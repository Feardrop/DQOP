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1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CloudstoreTUD\github\DQOP\"/>
    </mc:Choice>
  </mc:AlternateContent>
  <bookViews>
    <workbookView xWindow="0" yWindow="0" windowWidth="28800" windowHeight="10418" firstSheet="7" activeTab="7"/>
  </bookViews>
  <sheets>
    <sheet name="Formular" sheetId="3" r:id="rId1"/>
    <sheet name="Einstellungen" sheetId="20" r:id="rId2"/>
    <sheet name="Translator" sheetId="15" r:id="rId3"/>
    <sheet name="table_Variables" sheetId="1" r:id="rId4"/>
    <sheet name="table_DataQualities" sheetId="4" r:id="rId5"/>
    <sheet name="table_Units" sheetId="8" r:id="rId6"/>
    <sheet name="table_Units_bild" sheetId="22" r:id="rId7"/>
    <sheet name="table_Methods" sheetId="5" r:id="rId8"/>
    <sheet name="table_Persons" sheetId="6" r:id="rId9"/>
    <sheet name="table_Positions" sheetId="7" r:id="rId10"/>
    <sheet name="table_Transfers" sheetId="13" r:id="rId11"/>
    <sheet name="table_Storages" sheetId="14" r:id="rId12"/>
    <sheet name="dict_DQ_Meth_max" sheetId="23" r:id="rId13"/>
    <sheet name="dict_zul_Var_Meth" sheetId="2" r:id="rId14"/>
    <sheet name="dict_zuord_Var_DQ" sheetId="9" r:id="rId15"/>
    <sheet name="dict_zuord_Meth_Per" sheetId="10" r:id="rId16"/>
    <sheet name="dict_zuord_Meth_Pos" sheetId="11" r:id="rId17"/>
    <sheet name="dict_zuord_Meth_Transfers" sheetId="18" r:id="rId18"/>
    <sheet name="dict_zuord_Transfers_Storages" sheetId="19" r:id="rId19"/>
    <sheet name="dict_zuord_DQ_Units" sheetId="21" r:id="rId20"/>
    <sheet name="dict_DQ_Meth_max_deprecated" sheetId="12" r:id="rId21"/>
  </sheets>
  <definedNames>
    <definedName name="ExterneDaten_1" localSheetId="12" hidden="1">dict_DQ_Meth_max!$A$1:$B$1521</definedName>
    <definedName name="x">GET.WORKBOOK(1+0*NOW())</definedName>
  </definedNames>
  <calcPr calcId="152511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1" l="1"/>
  <c r="B4" i="11"/>
  <c r="C4" i="11"/>
  <c r="D4" i="11" s="1"/>
  <c r="A5" i="11"/>
  <c r="B5" i="11"/>
  <c r="C5" i="11"/>
  <c r="D5" i="11" s="1"/>
  <c r="A6" i="11"/>
  <c r="B6" i="11"/>
  <c r="C6" i="11"/>
  <c r="D6" i="11" s="1"/>
  <c r="A7" i="11"/>
  <c r="B7" i="11"/>
  <c r="C7" i="11"/>
  <c r="D7" i="11" s="1"/>
  <c r="A8" i="11"/>
  <c r="B8" i="11"/>
  <c r="C8" i="11"/>
  <c r="D8" i="11" s="1"/>
  <c r="A9" i="11"/>
  <c r="B9" i="11"/>
  <c r="C9" i="11"/>
  <c r="D9" i="11" s="1"/>
  <c r="A10" i="11"/>
  <c r="B10" i="11"/>
  <c r="C10" i="11"/>
  <c r="D10" i="11" s="1"/>
  <c r="A11" i="11"/>
  <c r="B11" i="11"/>
  <c r="C11" i="11"/>
  <c r="D11" i="11" s="1"/>
  <c r="A12" i="11"/>
  <c r="B12" i="11"/>
  <c r="C12" i="11"/>
  <c r="D12" i="11" s="1"/>
  <c r="A13" i="11"/>
  <c r="B13" i="11"/>
  <c r="C13" i="11"/>
  <c r="D13" i="11" s="1"/>
  <c r="A14" i="11"/>
  <c r="B14" i="11"/>
  <c r="C14" i="11"/>
  <c r="D14" i="11" s="1"/>
  <c r="A15" i="11"/>
  <c r="B15" i="11"/>
  <c r="C15" i="11"/>
  <c r="D15" i="11" s="1"/>
  <c r="A16" i="11"/>
  <c r="B16" i="11"/>
  <c r="C16" i="11"/>
  <c r="D16" i="11" s="1"/>
  <c r="A17" i="11"/>
  <c r="B17" i="11"/>
  <c r="C17" i="11"/>
  <c r="D17" i="11" s="1"/>
  <c r="A18" i="11"/>
  <c r="B18" i="11"/>
  <c r="C18" i="11"/>
  <c r="D18" i="11" s="1"/>
  <c r="A19" i="11"/>
  <c r="B19" i="11"/>
  <c r="C19" i="11"/>
  <c r="D19" i="11" s="1"/>
  <c r="A20" i="11"/>
  <c r="B20" i="11"/>
  <c r="C20" i="11"/>
  <c r="D20" i="11" s="1"/>
  <c r="A21" i="11"/>
  <c r="B21" i="11"/>
  <c r="C21" i="11"/>
  <c r="D21" i="11" s="1"/>
  <c r="A22" i="11"/>
  <c r="B22" i="11"/>
  <c r="C22" i="11"/>
  <c r="D22" i="11" s="1"/>
  <c r="A23" i="11"/>
  <c r="B23" i="11"/>
  <c r="C23" i="11"/>
  <c r="D23" i="11" s="1"/>
  <c r="A24" i="11"/>
  <c r="B24" i="11"/>
  <c r="C24" i="11"/>
  <c r="D24" i="11" s="1"/>
  <c r="A25" i="11"/>
  <c r="B25" i="11"/>
  <c r="C25" i="11"/>
  <c r="D25" i="11" s="1"/>
  <c r="A26" i="11"/>
  <c r="B26" i="11"/>
  <c r="C26" i="11"/>
  <c r="D26" i="11" s="1"/>
  <c r="A27" i="11"/>
  <c r="B27" i="11"/>
  <c r="C27" i="11"/>
  <c r="D27" i="11" s="1"/>
  <c r="A28" i="11"/>
  <c r="B28" i="11"/>
  <c r="C28" i="11"/>
  <c r="D28" i="11" s="1"/>
  <c r="A29" i="11"/>
  <c r="B29" i="11"/>
  <c r="C29" i="11"/>
  <c r="D29" i="11" s="1"/>
  <c r="A30" i="11"/>
  <c r="B30" i="11"/>
  <c r="C30" i="11"/>
  <c r="D30" i="11" s="1"/>
  <c r="A31" i="11"/>
  <c r="B31" i="11"/>
  <c r="C31" i="11"/>
  <c r="D31" i="11" s="1"/>
  <c r="A32" i="11"/>
  <c r="B32" i="11"/>
  <c r="C32" i="11"/>
  <c r="D32" i="11" s="1"/>
  <c r="A33" i="11"/>
  <c r="B33" i="11"/>
  <c r="C33" i="11"/>
  <c r="D33" i="11" s="1"/>
  <c r="A34" i="11"/>
  <c r="B34" i="11"/>
  <c r="C34" i="11"/>
  <c r="D34" i="11" s="1"/>
  <c r="A35" i="11"/>
  <c r="B35" i="11"/>
  <c r="C35" i="11"/>
  <c r="D35" i="11" s="1"/>
  <c r="A36" i="11"/>
  <c r="B36" i="11"/>
  <c r="C36" i="11"/>
  <c r="D36" i="11" s="1"/>
  <c r="A37" i="11"/>
  <c r="B37" i="11"/>
  <c r="C37" i="11"/>
  <c r="D37" i="11" s="1"/>
  <c r="A38" i="11"/>
  <c r="B38" i="11"/>
  <c r="C38" i="11"/>
  <c r="D38" i="11" s="1"/>
  <c r="A39" i="11"/>
  <c r="B39" i="11"/>
  <c r="C39" i="11"/>
  <c r="D39" i="11" s="1"/>
  <c r="A40" i="11"/>
  <c r="B40" i="11"/>
  <c r="C40" i="11"/>
  <c r="D40" i="11" s="1"/>
  <c r="A41" i="11"/>
  <c r="B41" i="11"/>
  <c r="C41" i="11"/>
  <c r="D41" i="11" s="1"/>
  <c r="A42" i="11"/>
  <c r="B42" i="11"/>
  <c r="C42" i="11"/>
  <c r="D42" i="11" s="1"/>
  <c r="A43" i="11"/>
  <c r="B43" i="11"/>
  <c r="C43" i="11"/>
  <c r="D43" i="11" s="1"/>
  <c r="A44" i="11"/>
  <c r="B44" i="11"/>
  <c r="C44" i="11"/>
  <c r="D44" i="11" s="1"/>
  <c r="A45" i="11"/>
  <c r="B45" i="11"/>
  <c r="C45" i="11"/>
  <c r="D45" i="11" s="1"/>
  <c r="A46" i="11"/>
  <c r="B46" i="11"/>
  <c r="C46" i="11"/>
  <c r="D46" i="11" s="1"/>
  <c r="A47" i="11"/>
  <c r="B47" i="11"/>
  <c r="C47" i="11"/>
  <c r="D47" i="11" s="1"/>
  <c r="A48" i="11"/>
  <c r="B48" i="11"/>
  <c r="C48" i="11"/>
  <c r="D48" i="11" s="1"/>
  <c r="A49" i="11"/>
  <c r="B49" i="11"/>
  <c r="C49" i="11"/>
  <c r="D49" i="11" s="1"/>
  <c r="A50" i="11"/>
  <c r="B50" i="11"/>
  <c r="C50" i="11"/>
  <c r="D50" i="11" s="1"/>
  <c r="A51" i="11"/>
  <c r="B51" i="11"/>
  <c r="C51" i="11"/>
  <c r="D51" i="11" s="1"/>
  <c r="A52" i="11"/>
  <c r="B52" i="11"/>
  <c r="C52" i="11"/>
  <c r="D52" i="11" s="1"/>
  <c r="A53" i="11"/>
  <c r="B53" i="11"/>
  <c r="C53" i="11"/>
  <c r="D53" i="11" s="1"/>
  <c r="A54" i="11"/>
  <c r="B54" i="11"/>
  <c r="C54" i="11"/>
  <c r="D54" i="11" s="1"/>
  <c r="A55" i="11"/>
  <c r="B55" i="11"/>
  <c r="C55" i="11"/>
  <c r="D55" i="11" s="1"/>
  <c r="A56" i="11"/>
  <c r="B56" i="11"/>
  <c r="C56" i="11"/>
  <c r="D56" i="11" s="1"/>
  <c r="A57" i="11"/>
  <c r="B57" i="11"/>
  <c r="C57" i="11"/>
  <c r="D57" i="11" s="1"/>
  <c r="A58" i="11"/>
  <c r="B58" i="11"/>
  <c r="C58" i="11"/>
  <c r="D58" i="11" s="1"/>
  <c r="A59" i="11"/>
  <c r="B59" i="11"/>
  <c r="C59" i="11"/>
  <c r="D59" i="11" s="1"/>
  <c r="A60" i="11"/>
  <c r="B60" i="11"/>
  <c r="C60" i="11"/>
  <c r="D60" i="11" s="1"/>
  <c r="A61" i="11"/>
  <c r="B61" i="11"/>
  <c r="C61" i="11"/>
  <c r="D61" i="11" s="1"/>
  <c r="A62" i="11"/>
  <c r="B62" i="11"/>
  <c r="C62" i="11"/>
  <c r="D62" i="11" s="1"/>
  <c r="A63" i="11"/>
  <c r="B63" i="11"/>
  <c r="C63" i="11"/>
  <c r="D63" i="11" s="1"/>
  <c r="A64" i="11"/>
  <c r="B64" i="11"/>
  <c r="C64" i="11"/>
  <c r="D64" i="11" s="1"/>
  <c r="A65" i="11"/>
  <c r="B65" i="11"/>
  <c r="C65" i="11"/>
  <c r="D65" i="11" s="1"/>
  <c r="A66" i="11"/>
  <c r="B66" i="11"/>
  <c r="C66" i="11"/>
  <c r="D66" i="11" s="1"/>
  <c r="A67" i="11"/>
  <c r="B67" i="11"/>
  <c r="C67" i="11"/>
  <c r="D67" i="11" s="1"/>
  <c r="A68" i="11"/>
  <c r="B68" i="11"/>
  <c r="C68" i="11"/>
  <c r="D68" i="11" s="1"/>
  <c r="A69" i="11"/>
  <c r="B69" i="11"/>
  <c r="C69" i="11"/>
  <c r="D69" i="11" s="1"/>
  <c r="A70" i="11"/>
  <c r="B70" i="11"/>
  <c r="C70" i="11"/>
  <c r="D70" i="11" s="1"/>
  <c r="A71" i="11"/>
  <c r="B71" i="11"/>
  <c r="C71" i="11"/>
  <c r="D71" i="11" s="1"/>
  <c r="A72" i="11"/>
  <c r="B72" i="11"/>
  <c r="C72" i="11"/>
  <c r="D72" i="11" s="1"/>
  <c r="A73" i="11"/>
  <c r="B73" i="11"/>
  <c r="C73" i="11"/>
  <c r="D73" i="11" s="1"/>
  <c r="A74" i="11"/>
  <c r="B74" i="11"/>
  <c r="C74" i="11"/>
  <c r="D74" i="11" s="1"/>
  <c r="A75" i="11"/>
  <c r="B75" i="11"/>
  <c r="C75" i="11"/>
  <c r="D75" i="11" s="1"/>
  <c r="A76" i="11"/>
  <c r="B76" i="11"/>
  <c r="C76" i="11"/>
  <c r="D76" i="11" s="1"/>
  <c r="A77" i="11"/>
  <c r="B77" i="11"/>
  <c r="C77" i="11"/>
  <c r="D77" i="11" s="1"/>
  <c r="A78" i="11"/>
  <c r="B78" i="11"/>
  <c r="C78" i="11"/>
  <c r="D78" i="11" s="1"/>
  <c r="A79" i="11"/>
  <c r="B79" i="11"/>
  <c r="C79" i="11"/>
  <c r="D79" i="11" s="1"/>
  <c r="A80" i="11"/>
  <c r="B80" i="11"/>
  <c r="C80" i="11"/>
  <c r="D80" i="11" s="1"/>
  <c r="A81" i="11"/>
  <c r="B81" i="11"/>
  <c r="C81" i="11"/>
  <c r="D81" i="11" s="1"/>
  <c r="A82" i="11"/>
  <c r="B82" i="11"/>
  <c r="C82" i="11"/>
  <c r="D82" i="11" s="1"/>
  <c r="A83" i="11"/>
  <c r="B83" i="11"/>
  <c r="C83" i="11"/>
  <c r="D83" i="11" s="1"/>
  <c r="A84" i="11"/>
  <c r="B84" i="11"/>
  <c r="C84" i="11"/>
  <c r="D84" i="11" s="1"/>
  <c r="A85" i="11"/>
  <c r="B85" i="11"/>
  <c r="C85" i="11"/>
  <c r="D85" i="11" s="1"/>
  <c r="A86" i="11"/>
  <c r="B86" i="11"/>
  <c r="C86" i="11"/>
  <c r="D86" i="11" s="1"/>
  <c r="A87" i="11"/>
  <c r="B87" i="11"/>
  <c r="C87" i="11"/>
  <c r="D87" i="11" s="1"/>
  <c r="A88" i="11"/>
  <c r="B88" i="11"/>
  <c r="C88" i="11"/>
  <c r="D88" i="11" s="1"/>
  <c r="A89" i="11"/>
  <c r="B89" i="11"/>
  <c r="C89" i="11"/>
  <c r="D89" i="11" s="1"/>
  <c r="A90" i="11"/>
  <c r="B90" i="11"/>
  <c r="C90" i="11"/>
  <c r="D90" i="11" s="1"/>
  <c r="A91" i="11"/>
  <c r="B91" i="11"/>
  <c r="C91" i="11"/>
  <c r="D91" i="11" s="1"/>
  <c r="A92" i="11"/>
  <c r="B92" i="11"/>
  <c r="C92" i="11"/>
  <c r="D92" i="11" s="1"/>
  <c r="A93" i="11"/>
  <c r="B93" i="11"/>
  <c r="C93" i="11"/>
  <c r="D93" i="11" s="1"/>
  <c r="A94" i="11"/>
  <c r="B94" i="11"/>
  <c r="C94" i="11"/>
  <c r="D94" i="11" s="1"/>
  <c r="A95" i="11"/>
  <c r="B95" i="11"/>
  <c r="C95" i="11"/>
  <c r="D95" i="11" s="1"/>
  <c r="A96" i="11"/>
  <c r="B96" i="11"/>
  <c r="C96" i="11"/>
  <c r="D96" i="11" s="1"/>
  <c r="A97" i="11"/>
  <c r="B97" i="11"/>
  <c r="C97" i="11"/>
  <c r="D97" i="11" s="1"/>
  <c r="A98" i="11"/>
  <c r="B98" i="11"/>
  <c r="C98" i="11"/>
  <c r="D98" i="11" s="1"/>
  <c r="A99" i="11"/>
  <c r="B99" i="11"/>
  <c r="C99" i="11"/>
  <c r="D99" i="11" s="1"/>
  <c r="A100" i="11"/>
  <c r="B100" i="11"/>
  <c r="C100" i="11"/>
  <c r="D100" i="11" s="1"/>
  <c r="A101" i="11"/>
  <c r="B101" i="11"/>
  <c r="C101" i="11"/>
  <c r="D101" i="11" s="1"/>
  <c r="A102" i="11"/>
  <c r="B102" i="11"/>
  <c r="C102" i="11"/>
  <c r="D102" i="11" s="1"/>
  <c r="A103" i="11"/>
  <c r="B103" i="11"/>
  <c r="C103" i="11"/>
  <c r="D103" i="11" s="1"/>
  <c r="A104" i="11"/>
  <c r="B104" i="11"/>
  <c r="C104" i="11"/>
  <c r="D104" i="11" s="1"/>
  <c r="A105" i="11"/>
  <c r="B105" i="11"/>
  <c r="C105" i="11"/>
  <c r="D105" i="11" s="1"/>
  <c r="A106" i="11"/>
  <c r="B106" i="11"/>
  <c r="C106" i="11"/>
  <c r="D106" i="11" s="1"/>
  <c r="A107" i="11"/>
  <c r="B107" i="11"/>
  <c r="C107" i="11"/>
  <c r="D107" i="11" s="1"/>
  <c r="A108" i="11"/>
  <c r="B108" i="11"/>
  <c r="C108" i="11"/>
  <c r="D108" i="11" s="1"/>
  <c r="A109" i="11"/>
  <c r="B109" i="11"/>
  <c r="C109" i="11"/>
  <c r="D109" i="11" s="1"/>
  <c r="A110" i="11"/>
  <c r="B110" i="11"/>
  <c r="C110" i="11"/>
  <c r="D110" i="11" s="1"/>
  <c r="A111" i="11"/>
  <c r="B111" i="11"/>
  <c r="C111" i="11"/>
  <c r="D111" i="11" s="1"/>
  <c r="A112" i="11"/>
  <c r="B112" i="11"/>
  <c r="C112" i="11"/>
  <c r="D112" i="11" s="1"/>
  <c r="A113" i="11"/>
  <c r="B113" i="11"/>
  <c r="C113" i="11"/>
  <c r="D113" i="11" s="1"/>
  <c r="A114" i="11"/>
  <c r="B114" i="11"/>
  <c r="C114" i="11"/>
  <c r="D114" i="11" s="1"/>
  <c r="A115" i="11"/>
  <c r="B115" i="11"/>
  <c r="C115" i="11"/>
  <c r="D115" i="11" s="1"/>
  <c r="A116" i="11"/>
  <c r="B116" i="11"/>
  <c r="C116" i="11"/>
  <c r="D116" i="11" s="1"/>
  <c r="A117" i="11"/>
  <c r="B117" i="11"/>
  <c r="C117" i="11"/>
  <c r="D117" i="11" s="1"/>
  <c r="A118" i="11"/>
  <c r="B118" i="11"/>
  <c r="C118" i="11"/>
  <c r="D118" i="11" s="1"/>
  <c r="A119" i="11"/>
  <c r="B119" i="11"/>
  <c r="C119" i="11"/>
  <c r="D119" i="11" s="1"/>
  <c r="A120" i="11"/>
  <c r="B120" i="11"/>
  <c r="C120" i="11"/>
  <c r="D120" i="11" s="1"/>
  <c r="A121" i="11"/>
  <c r="B121" i="11"/>
  <c r="C121" i="11"/>
  <c r="D121" i="11" s="1"/>
  <c r="A122" i="11"/>
  <c r="B122" i="11"/>
  <c r="C122" i="11"/>
  <c r="D122" i="11" s="1"/>
  <c r="A123" i="11"/>
  <c r="B123" i="11"/>
  <c r="C123" i="11"/>
  <c r="D123" i="11" s="1"/>
  <c r="A124" i="11"/>
  <c r="B124" i="11"/>
  <c r="C124" i="11"/>
  <c r="D124" i="11" s="1"/>
  <c r="A125" i="11"/>
  <c r="B125" i="11"/>
  <c r="C125" i="11"/>
  <c r="D125" i="11" s="1"/>
  <c r="A126" i="11"/>
  <c r="B126" i="11"/>
  <c r="C126" i="11"/>
  <c r="D126" i="11" s="1"/>
  <c r="A127" i="11"/>
  <c r="B127" i="11"/>
  <c r="C127" i="11"/>
  <c r="D127" i="11" s="1"/>
  <c r="A128" i="11"/>
  <c r="B128" i="11"/>
  <c r="C128" i="11"/>
  <c r="D128" i="11" s="1"/>
  <c r="A129" i="11"/>
  <c r="B129" i="11"/>
  <c r="C129" i="11"/>
  <c r="D129" i="11" s="1"/>
  <c r="A130" i="11"/>
  <c r="B130" i="11"/>
  <c r="C130" i="11"/>
  <c r="D130" i="11" s="1"/>
  <c r="A131" i="11"/>
  <c r="B131" i="11"/>
  <c r="C131" i="11"/>
  <c r="D131" i="11" s="1"/>
  <c r="A132" i="11"/>
  <c r="B132" i="11"/>
  <c r="C132" i="11"/>
  <c r="D132" i="11" s="1"/>
  <c r="A133" i="11"/>
  <c r="B133" i="11"/>
  <c r="C133" i="11"/>
  <c r="D133" i="11" s="1"/>
  <c r="A134" i="11"/>
  <c r="B134" i="11"/>
  <c r="C134" i="11"/>
  <c r="D134" i="11" s="1"/>
  <c r="A135" i="11"/>
  <c r="B135" i="11"/>
  <c r="C135" i="11"/>
  <c r="D135" i="11" s="1"/>
  <c r="A136" i="11"/>
  <c r="B136" i="11"/>
  <c r="C136" i="11"/>
  <c r="D136" i="11" s="1"/>
  <c r="A137" i="11"/>
  <c r="B137" i="11"/>
  <c r="C137" i="11"/>
  <c r="D137" i="11" s="1"/>
  <c r="A138" i="11"/>
  <c r="B138" i="11"/>
  <c r="C138" i="11"/>
  <c r="D138" i="11" s="1"/>
  <c r="A139" i="11"/>
  <c r="B139" i="11"/>
  <c r="C139" i="11"/>
  <c r="D139" i="11" s="1"/>
  <c r="A140" i="11"/>
  <c r="B140" i="11"/>
  <c r="C140" i="11"/>
  <c r="D140" i="11" s="1"/>
  <c r="A141" i="11"/>
  <c r="B141" i="11"/>
  <c r="C141" i="11"/>
  <c r="D141" i="11" s="1"/>
  <c r="A142" i="11"/>
  <c r="B142" i="11"/>
  <c r="C142" i="11"/>
  <c r="D142" i="11" s="1"/>
  <c r="A143" i="11"/>
  <c r="B143" i="11"/>
  <c r="C143" i="11"/>
  <c r="D143" i="11" s="1"/>
  <c r="A144" i="11"/>
  <c r="B144" i="11"/>
  <c r="C144" i="11"/>
  <c r="D144" i="11" s="1"/>
  <c r="A145" i="11"/>
  <c r="B145" i="11"/>
  <c r="C145" i="11"/>
  <c r="D145" i="11" s="1"/>
  <c r="A146" i="11"/>
  <c r="B146" i="11"/>
  <c r="C146" i="11"/>
  <c r="D146" i="11" s="1"/>
  <c r="A147" i="11"/>
  <c r="B147" i="11"/>
  <c r="C147" i="11"/>
  <c r="D147" i="11" s="1"/>
  <c r="A148" i="11"/>
  <c r="B148" i="11"/>
  <c r="C148" i="11"/>
  <c r="D148" i="11" s="1"/>
  <c r="A149" i="11"/>
  <c r="B149" i="11"/>
  <c r="C149" i="11"/>
  <c r="D149" i="11" s="1"/>
  <c r="A150" i="11"/>
  <c r="B150" i="11"/>
  <c r="C150" i="11"/>
  <c r="D150" i="11" s="1"/>
  <c r="A151" i="11"/>
  <c r="B151" i="11"/>
  <c r="C151" i="11"/>
  <c r="D151" i="11" s="1"/>
  <c r="A152" i="11"/>
  <c r="B152" i="11"/>
  <c r="C152" i="11"/>
  <c r="D152" i="11" s="1"/>
  <c r="A153" i="11"/>
  <c r="B153" i="11"/>
  <c r="C153" i="11"/>
  <c r="D153" i="11" s="1"/>
  <c r="A154" i="11"/>
  <c r="B154" i="11"/>
  <c r="C154" i="11"/>
  <c r="D154" i="11" s="1"/>
  <c r="A155" i="11"/>
  <c r="B155" i="11"/>
  <c r="C155" i="11"/>
  <c r="D155" i="11" s="1"/>
  <c r="A156" i="11"/>
  <c r="B156" i="11"/>
  <c r="C156" i="11"/>
  <c r="D156" i="11" s="1"/>
  <c r="A157" i="11"/>
  <c r="B157" i="11"/>
  <c r="C157" i="11"/>
  <c r="D157" i="11" s="1"/>
  <c r="A158" i="11"/>
  <c r="B158" i="11"/>
  <c r="C158" i="11"/>
  <c r="D158" i="11" s="1"/>
  <c r="A159" i="11"/>
  <c r="B159" i="11"/>
  <c r="C159" i="11"/>
  <c r="D159" i="11" s="1"/>
  <c r="A160" i="11"/>
  <c r="B160" i="11"/>
  <c r="C160" i="11"/>
  <c r="D160" i="11" s="1"/>
  <c r="A161" i="11"/>
  <c r="B161" i="11"/>
  <c r="C161" i="11"/>
  <c r="D161" i="11" s="1"/>
  <c r="A162" i="11"/>
  <c r="B162" i="11"/>
  <c r="C162" i="11"/>
  <c r="D162" i="11" s="1"/>
  <c r="A163" i="11"/>
  <c r="B163" i="11"/>
  <c r="C163" i="11"/>
  <c r="D163" i="11" s="1"/>
  <c r="A164" i="11"/>
  <c r="B164" i="11"/>
  <c r="C164" i="11"/>
  <c r="D164" i="11" s="1"/>
  <c r="A165" i="11"/>
  <c r="B165" i="11"/>
  <c r="C165" i="11"/>
  <c r="D165" i="11" s="1"/>
  <c r="A166" i="11"/>
  <c r="B166" i="11"/>
  <c r="C166" i="11"/>
  <c r="D166" i="11" s="1"/>
  <c r="A167" i="11"/>
  <c r="B167" i="11"/>
  <c r="C167" i="11"/>
  <c r="D167" i="11" s="1"/>
  <c r="A168" i="11"/>
  <c r="B168" i="11"/>
  <c r="C168" i="11"/>
  <c r="D168" i="11" s="1"/>
  <c r="A169" i="11"/>
  <c r="B169" i="11"/>
  <c r="C169" i="11"/>
  <c r="D169" i="11" s="1"/>
  <c r="A170" i="11"/>
  <c r="B170" i="11"/>
  <c r="C170" i="11"/>
  <c r="D170" i="11" s="1"/>
  <c r="A171" i="11"/>
  <c r="B171" i="11"/>
  <c r="C171" i="11"/>
  <c r="D171" i="11"/>
  <c r="A172" i="11"/>
  <c r="B172" i="11"/>
  <c r="C172" i="11"/>
  <c r="D172" i="11" s="1"/>
  <c r="A173" i="11"/>
  <c r="B173" i="11"/>
  <c r="C173" i="11"/>
  <c r="D173" i="11" s="1"/>
  <c r="A174" i="11"/>
  <c r="B174" i="11"/>
  <c r="C174" i="11"/>
  <c r="D174" i="11"/>
  <c r="A175" i="11"/>
  <c r="B175" i="11"/>
  <c r="C175" i="11"/>
  <c r="D175" i="11" s="1"/>
  <c r="A176" i="11"/>
  <c r="B176" i="11"/>
  <c r="C176" i="11"/>
  <c r="D176" i="11" s="1"/>
  <c r="A177" i="11"/>
  <c r="B177" i="11"/>
  <c r="C177" i="11"/>
  <c r="D177" i="11" s="1"/>
  <c r="A178" i="11"/>
  <c r="B178" i="11"/>
  <c r="C178" i="11"/>
  <c r="D178" i="11" s="1"/>
  <c r="A179" i="11"/>
  <c r="B179" i="11"/>
  <c r="C179" i="11"/>
  <c r="D179" i="11" s="1"/>
  <c r="A180" i="11"/>
  <c r="B180" i="11"/>
  <c r="C180" i="11"/>
  <c r="D180" i="11"/>
  <c r="A181" i="11"/>
  <c r="B181" i="11"/>
  <c r="C181" i="11"/>
  <c r="D181" i="11" s="1"/>
  <c r="A182" i="11"/>
  <c r="B182" i="11"/>
  <c r="C182" i="11"/>
  <c r="D182" i="11" s="1"/>
  <c r="A183" i="11"/>
  <c r="B183" i="11"/>
  <c r="C183" i="11"/>
  <c r="D183" i="11" s="1"/>
  <c r="A184" i="11"/>
  <c r="B184" i="11"/>
  <c r="C184" i="11"/>
  <c r="D184" i="11"/>
  <c r="A185" i="11"/>
  <c r="B185" i="11"/>
  <c r="C185" i="11"/>
  <c r="D185" i="11" s="1"/>
  <c r="A186" i="11"/>
  <c r="B186" i="11"/>
  <c r="C186" i="11"/>
  <c r="D186" i="11" s="1"/>
  <c r="A187" i="11"/>
  <c r="B187" i="11"/>
  <c r="C187" i="11"/>
  <c r="D187" i="11" s="1"/>
  <c r="A188" i="11"/>
  <c r="B188" i="11"/>
  <c r="C188" i="11"/>
  <c r="D188" i="11"/>
  <c r="A189" i="11"/>
  <c r="B189" i="11"/>
  <c r="C189" i="11"/>
  <c r="D189" i="11" s="1"/>
  <c r="A190" i="11"/>
  <c r="B190" i="11"/>
  <c r="C190" i="11"/>
  <c r="D190" i="11" s="1"/>
  <c r="A191" i="11"/>
  <c r="B191" i="11"/>
  <c r="C191" i="11"/>
  <c r="D191" i="11" s="1"/>
  <c r="A192" i="11"/>
  <c r="B192" i="11"/>
  <c r="C192" i="11"/>
  <c r="D192" i="11" s="1"/>
  <c r="A193" i="11"/>
  <c r="B193" i="11"/>
  <c r="C193" i="11"/>
  <c r="D193" i="11" s="1"/>
  <c r="A194" i="11"/>
  <c r="B194" i="11"/>
  <c r="C194" i="11"/>
  <c r="D194" i="11" s="1"/>
  <c r="A195" i="11"/>
  <c r="B195" i="11"/>
  <c r="C195" i="11"/>
  <c r="D195" i="11" s="1"/>
  <c r="A196" i="11"/>
  <c r="B196" i="11"/>
  <c r="C196" i="11"/>
  <c r="D196" i="11"/>
  <c r="A197" i="11"/>
  <c r="B197" i="11"/>
  <c r="C197" i="11"/>
  <c r="D197" i="11" s="1"/>
  <c r="A198" i="11"/>
  <c r="B198" i="11"/>
  <c r="C198" i="11"/>
  <c r="D198" i="11" s="1"/>
  <c r="A199" i="11"/>
  <c r="B199" i="11"/>
  <c r="C199" i="11"/>
  <c r="D199" i="11" s="1"/>
  <c r="A200" i="11"/>
  <c r="B200" i="11"/>
  <c r="C200" i="11"/>
  <c r="D200" i="11"/>
  <c r="A201" i="11"/>
  <c r="B201" i="11"/>
  <c r="C201" i="11"/>
  <c r="D201" i="11" s="1"/>
  <c r="A202" i="11"/>
  <c r="B202" i="11"/>
  <c r="C202" i="11"/>
  <c r="D202" i="11" s="1"/>
  <c r="A203" i="11"/>
  <c r="B203" i="11"/>
  <c r="C203" i="11"/>
  <c r="D203" i="11" s="1"/>
  <c r="A204" i="11"/>
  <c r="B204" i="11"/>
  <c r="C204" i="11"/>
  <c r="D204" i="11"/>
  <c r="A205" i="11"/>
  <c r="B205" i="11"/>
  <c r="C205" i="11"/>
  <c r="D205" i="11" s="1"/>
  <c r="A206" i="11"/>
  <c r="B206" i="11"/>
  <c r="C206" i="11"/>
  <c r="D206" i="11" s="1"/>
  <c r="A207" i="11"/>
  <c r="B207" i="11"/>
  <c r="C207" i="11"/>
  <c r="D207" i="11" s="1"/>
  <c r="A208" i="11"/>
  <c r="B208" i="11"/>
  <c r="C208" i="11"/>
  <c r="D208" i="11" s="1"/>
  <c r="A209" i="11"/>
  <c r="B209" i="11"/>
  <c r="C209" i="11"/>
  <c r="D209" i="11" s="1"/>
  <c r="A210" i="11"/>
  <c r="B210" i="11"/>
  <c r="C210" i="11"/>
  <c r="D210" i="11" s="1"/>
  <c r="A211" i="11"/>
  <c r="B211" i="11"/>
  <c r="C211" i="11"/>
  <c r="D211" i="11" s="1"/>
  <c r="A212" i="11"/>
  <c r="B212" i="11"/>
  <c r="C212" i="11"/>
  <c r="D212" i="11"/>
  <c r="A213" i="11"/>
  <c r="B213" i="11"/>
  <c r="C213" i="11"/>
  <c r="D213" i="11" s="1"/>
  <c r="A214" i="11"/>
  <c r="B214" i="11"/>
  <c r="C214" i="11"/>
  <c r="D214" i="11" s="1"/>
  <c r="A215" i="11"/>
  <c r="B215" i="11"/>
  <c r="C215" i="11"/>
  <c r="D215" i="11" s="1"/>
  <c r="A216" i="11"/>
  <c r="B216" i="11"/>
  <c r="C216" i="11"/>
  <c r="D216" i="11"/>
  <c r="A217" i="11"/>
  <c r="B217" i="11"/>
  <c r="C217" i="11"/>
  <c r="D217" i="11" s="1"/>
  <c r="A218" i="11"/>
  <c r="B218" i="11"/>
  <c r="C218" i="11"/>
  <c r="D218" i="11" s="1"/>
  <c r="A219" i="11"/>
  <c r="B219" i="11"/>
  <c r="C219" i="11"/>
  <c r="D219" i="11" s="1"/>
  <c r="A220" i="11"/>
  <c r="B220" i="11"/>
  <c r="C220" i="11"/>
  <c r="D220" i="11"/>
  <c r="A221" i="11"/>
  <c r="B221" i="11"/>
  <c r="C221" i="11"/>
  <c r="D221" i="11" s="1"/>
  <c r="A222" i="11"/>
  <c r="B222" i="11"/>
  <c r="C222" i="11"/>
  <c r="D222" i="11" s="1"/>
  <c r="A223" i="11"/>
  <c r="C223" i="11" s="1"/>
  <c r="D223" i="11" s="1"/>
  <c r="B223" i="11"/>
  <c r="A224" i="11"/>
  <c r="B224" i="11"/>
  <c r="C224" i="11"/>
  <c r="D224" i="11" s="1"/>
  <c r="A225" i="11"/>
  <c r="B225" i="11"/>
  <c r="C225" i="11"/>
  <c r="D225" i="11" s="1"/>
  <c r="A226" i="11"/>
  <c r="B226" i="11"/>
  <c r="C226" i="11"/>
  <c r="D226" i="11" s="1"/>
  <c r="A227" i="11"/>
  <c r="B227" i="11"/>
  <c r="C227" i="11"/>
  <c r="D227" i="11" s="1"/>
  <c r="A228" i="11"/>
  <c r="B228" i="11"/>
  <c r="C228" i="11"/>
  <c r="D228" i="11"/>
  <c r="A229" i="11"/>
  <c r="C229" i="11" s="1"/>
  <c r="D229" i="11" s="1"/>
  <c r="B229" i="11"/>
  <c r="A230" i="11"/>
  <c r="B230" i="11"/>
  <c r="C230" i="11"/>
  <c r="D230" i="11" s="1"/>
  <c r="A231" i="11"/>
  <c r="B231" i="11"/>
  <c r="C231" i="11"/>
  <c r="D231" i="11" s="1"/>
  <c r="A232" i="11"/>
  <c r="B232" i="11"/>
  <c r="C232" i="11"/>
  <c r="D232" i="11" s="1"/>
  <c r="A233" i="11"/>
  <c r="B233" i="11"/>
  <c r="C233" i="11"/>
  <c r="D233" i="11" s="1"/>
  <c r="A234" i="11"/>
  <c r="B234" i="11"/>
  <c r="C234" i="11"/>
  <c r="D234" i="11" s="1"/>
  <c r="A235" i="11"/>
  <c r="B235" i="11"/>
  <c r="C235" i="11"/>
  <c r="D235" i="11" s="1"/>
  <c r="A236" i="11"/>
  <c r="C236" i="11" s="1"/>
  <c r="D236" i="11" s="1"/>
  <c r="B236" i="11"/>
  <c r="A237" i="11"/>
  <c r="C237" i="11" s="1"/>
  <c r="D237" i="11" s="1"/>
  <c r="B237" i="11"/>
  <c r="A238" i="11"/>
  <c r="B238" i="11"/>
  <c r="C238" i="11" s="1"/>
  <c r="D238" i="11" s="1"/>
  <c r="A239" i="11"/>
  <c r="C239" i="11" s="1"/>
  <c r="D239" i="11" s="1"/>
  <c r="B239" i="11"/>
  <c r="A240" i="11"/>
  <c r="B240" i="11"/>
  <c r="C240" i="11"/>
  <c r="D240" i="11" s="1"/>
  <c r="A241" i="11"/>
  <c r="B241" i="11"/>
  <c r="C241" i="11"/>
  <c r="D241" i="11" s="1"/>
  <c r="A242" i="11"/>
  <c r="B242" i="11"/>
  <c r="C242" i="11"/>
  <c r="D242" i="11" s="1"/>
  <c r="A243" i="11"/>
  <c r="B243" i="11"/>
  <c r="C243" i="11"/>
  <c r="D243" i="11" s="1"/>
  <c r="A244" i="11"/>
  <c r="B244" i="11"/>
  <c r="C244" i="11" s="1"/>
  <c r="D244" i="11" s="1"/>
  <c r="A245" i="11"/>
  <c r="B245" i="11"/>
  <c r="C245" i="11"/>
  <c r="D245" i="11" s="1"/>
  <c r="A246" i="11"/>
  <c r="C246" i="11" s="1"/>
  <c r="D246" i="11" s="1"/>
  <c r="B246" i="11"/>
  <c r="A247" i="11"/>
  <c r="C247" i="11" s="1"/>
  <c r="D247" i="11" s="1"/>
  <c r="B247" i="11"/>
  <c r="A248" i="11"/>
  <c r="B248" i="11"/>
  <c r="C248" i="11" s="1"/>
  <c r="D248" i="11" s="1"/>
  <c r="A249" i="11"/>
  <c r="B249" i="11"/>
  <c r="C249" i="11"/>
  <c r="D249" i="11" s="1"/>
  <c r="A250" i="11"/>
  <c r="B250" i="11"/>
  <c r="C250" i="11"/>
  <c r="D250" i="11" s="1"/>
  <c r="A251" i="11"/>
  <c r="B251" i="11"/>
  <c r="C251" i="11"/>
  <c r="D251" i="11" s="1"/>
  <c r="A252" i="11"/>
  <c r="B252" i="11"/>
  <c r="C252" i="11"/>
  <c r="D252" i="11"/>
  <c r="A253" i="11"/>
  <c r="C253" i="11" s="1"/>
  <c r="D253" i="11" s="1"/>
  <c r="B253" i="11"/>
  <c r="A254" i="11"/>
  <c r="B254" i="11"/>
  <c r="C254" i="11" s="1"/>
  <c r="D254" i="11" s="1"/>
  <c r="A255" i="11"/>
  <c r="C255" i="11" s="1"/>
  <c r="D255" i="11" s="1"/>
  <c r="B255" i="11"/>
  <c r="A256" i="11"/>
  <c r="B256" i="11"/>
  <c r="C256" i="11"/>
  <c r="D256" i="11" s="1"/>
  <c r="A257" i="11"/>
  <c r="B257" i="11"/>
  <c r="C257" i="11"/>
  <c r="D257" i="11" s="1"/>
  <c r="A258" i="11"/>
  <c r="B258" i="11"/>
  <c r="C258" i="11"/>
  <c r="D258" i="11" s="1"/>
  <c r="A259" i="11"/>
  <c r="B259" i="11"/>
  <c r="C259" i="11"/>
  <c r="D259" i="11" s="1"/>
  <c r="A260" i="11"/>
  <c r="B260" i="11"/>
  <c r="C260" i="11" s="1"/>
  <c r="D260" i="11" s="1"/>
  <c r="A261" i="11"/>
  <c r="C261" i="11" s="1"/>
  <c r="D261" i="11" s="1"/>
  <c r="B261" i="11"/>
  <c r="A262" i="11"/>
  <c r="C262" i="11" s="1"/>
  <c r="D262" i="11" s="1"/>
  <c r="B262" i="11"/>
  <c r="A263" i="11"/>
  <c r="C263" i="11" s="1"/>
  <c r="D263" i="11" s="1"/>
  <c r="B263" i="11"/>
  <c r="A264" i="11"/>
  <c r="B264" i="11"/>
  <c r="C264" i="11" s="1"/>
  <c r="D264" i="11" s="1"/>
  <c r="A265" i="11"/>
  <c r="B265" i="11"/>
  <c r="C265" i="11"/>
  <c r="D265" i="11" s="1"/>
  <c r="A266" i="11"/>
  <c r="B266" i="11"/>
  <c r="C266" i="11"/>
  <c r="D266" i="11" s="1"/>
  <c r="A267" i="11"/>
  <c r="B267" i="11"/>
  <c r="C267" i="11"/>
  <c r="D267" i="11" s="1"/>
  <c r="A268" i="11"/>
  <c r="C268" i="11" s="1"/>
  <c r="D268" i="11" s="1"/>
  <c r="B268" i="11"/>
  <c r="A269" i="11"/>
  <c r="C269" i="11" s="1"/>
  <c r="D269" i="11" s="1"/>
  <c r="B269" i="11"/>
  <c r="A270" i="11"/>
  <c r="B270" i="11"/>
  <c r="C270" i="11" s="1"/>
  <c r="D270" i="11" s="1"/>
  <c r="A271" i="11"/>
  <c r="C271" i="11" s="1"/>
  <c r="D271" i="11" s="1"/>
  <c r="B271" i="11"/>
  <c r="A272" i="11"/>
  <c r="B272" i="11"/>
  <c r="C272" i="11"/>
  <c r="D272" i="11" s="1"/>
  <c r="A273" i="11"/>
  <c r="B273" i="11"/>
  <c r="C273" i="11"/>
  <c r="D273" i="11" s="1"/>
  <c r="A274" i="11"/>
  <c r="B274" i="11"/>
  <c r="C274" i="11"/>
  <c r="D274" i="11" s="1"/>
  <c r="A275" i="11"/>
  <c r="B275" i="11"/>
  <c r="C275" i="11"/>
  <c r="D275" i="11" s="1"/>
  <c r="A276" i="11"/>
  <c r="B276" i="11"/>
  <c r="C276" i="11" s="1"/>
  <c r="D276" i="11" s="1"/>
  <c r="A277" i="11"/>
  <c r="C277" i="11" s="1"/>
  <c r="D277" i="11" s="1"/>
  <c r="B277" i="11"/>
  <c r="A278" i="11"/>
  <c r="C278" i="11" s="1"/>
  <c r="D278" i="11" s="1"/>
  <c r="B278" i="11"/>
  <c r="A279" i="11"/>
  <c r="C279" i="11" s="1"/>
  <c r="D279" i="11" s="1"/>
  <c r="B279" i="11"/>
  <c r="A280" i="11"/>
  <c r="B280" i="11"/>
  <c r="C280" i="11" s="1"/>
  <c r="D280" i="11" s="1"/>
  <c r="A281" i="11"/>
  <c r="B281" i="11"/>
  <c r="C281" i="11"/>
  <c r="D281" i="11" s="1"/>
  <c r="A282" i="11"/>
  <c r="B282" i="11"/>
  <c r="C282" i="11"/>
  <c r="D282" i="11" s="1"/>
  <c r="A283" i="11"/>
  <c r="B283" i="11"/>
  <c r="C283" i="11"/>
  <c r="D283" i="11" s="1"/>
  <c r="A284" i="11"/>
  <c r="C284" i="11" s="1"/>
  <c r="D284" i="11" s="1"/>
  <c r="B284" i="11"/>
  <c r="A285" i="11"/>
  <c r="C285" i="11" s="1"/>
  <c r="D285" i="11" s="1"/>
  <c r="B285" i="11"/>
  <c r="A286" i="11"/>
  <c r="B286" i="11"/>
  <c r="C286" i="11" s="1"/>
  <c r="D286" i="11" s="1"/>
  <c r="A287" i="11"/>
  <c r="C287" i="11" s="1"/>
  <c r="D287" i="11" s="1"/>
  <c r="B287" i="11"/>
  <c r="A288" i="11"/>
  <c r="B288" i="11"/>
  <c r="C288" i="11"/>
  <c r="D288" i="11" s="1"/>
  <c r="A289" i="11"/>
  <c r="B289" i="11"/>
  <c r="C289" i="11"/>
  <c r="D289" i="11" s="1"/>
  <c r="A290" i="11"/>
  <c r="B290" i="11"/>
  <c r="C290" i="11"/>
  <c r="D290" i="11" s="1"/>
  <c r="A291" i="11"/>
  <c r="B291" i="11"/>
  <c r="C291" i="11"/>
  <c r="D291" i="11" s="1"/>
  <c r="A292" i="11"/>
  <c r="B292" i="11"/>
  <c r="C292" i="11" s="1"/>
  <c r="D292" i="11" s="1"/>
  <c r="A293" i="11"/>
  <c r="C293" i="11" s="1"/>
  <c r="D293" i="11" s="1"/>
  <c r="B293" i="11"/>
  <c r="A294" i="11"/>
  <c r="C294" i="11" s="1"/>
  <c r="D294" i="11" s="1"/>
  <c r="B294" i="11"/>
  <c r="A295" i="11"/>
  <c r="C295" i="11" s="1"/>
  <c r="D295" i="11" s="1"/>
  <c r="B295" i="11"/>
  <c r="A296" i="11"/>
  <c r="B296" i="11"/>
  <c r="C296" i="11" s="1"/>
  <c r="D296" i="11" s="1"/>
  <c r="A297" i="11"/>
  <c r="B297" i="11"/>
  <c r="C297" i="11"/>
  <c r="D297" i="11" s="1"/>
  <c r="A298" i="11"/>
  <c r="B298" i="11"/>
  <c r="C298" i="11"/>
  <c r="D298" i="11" s="1"/>
  <c r="A299" i="11"/>
  <c r="B299" i="11"/>
  <c r="C299" i="11"/>
  <c r="D299" i="11" s="1"/>
  <c r="A300" i="11"/>
  <c r="C300" i="11" s="1"/>
  <c r="D300" i="11" s="1"/>
  <c r="B300" i="11"/>
  <c r="A301" i="11"/>
  <c r="C301" i="11" s="1"/>
  <c r="D301" i="11" s="1"/>
  <c r="B301" i="11"/>
  <c r="A302" i="11"/>
  <c r="B302" i="11"/>
  <c r="C302" i="11" s="1"/>
  <c r="D302" i="11" s="1"/>
  <c r="A303" i="11"/>
  <c r="C303" i="11" s="1"/>
  <c r="D303" i="11" s="1"/>
  <c r="B303" i="11"/>
  <c r="A304" i="11"/>
  <c r="B304" i="11"/>
  <c r="C304" i="11"/>
  <c r="D304" i="11" s="1"/>
  <c r="A305" i="11"/>
  <c r="C305" i="11" s="1"/>
  <c r="D305" i="11" s="1"/>
  <c r="B305" i="11"/>
  <c r="A306" i="11"/>
  <c r="B306" i="11"/>
  <c r="C306" i="11"/>
  <c r="D306" i="11" s="1"/>
  <c r="A307" i="11"/>
  <c r="B307" i="11"/>
  <c r="C307" i="11"/>
  <c r="D307" i="11" s="1"/>
  <c r="A308" i="11"/>
  <c r="B308" i="11"/>
  <c r="C308" i="11" s="1"/>
  <c r="D308" i="11" s="1"/>
  <c r="A309" i="11"/>
  <c r="C309" i="11" s="1"/>
  <c r="D309" i="11" s="1"/>
  <c r="B309" i="11"/>
  <c r="A310" i="11"/>
  <c r="C310" i="11" s="1"/>
  <c r="D310" i="11" s="1"/>
  <c r="B310" i="11"/>
  <c r="A311" i="11"/>
  <c r="C311" i="11" s="1"/>
  <c r="D311" i="11" s="1"/>
  <c r="B311" i="11"/>
  <c r="A312" i="11"/>
  <c r="B312" i="11"/>
  <c r="C312" i="11" s="1"/>
  <c r="D312" i="11" s="1"/>
  <c r="A313" i="11"/>
  <c r="B313" i="11"/>
  <c r="C313" i="11"/>
  <c r="D313" i="11" s="1"/>
  <c r="A314" i="11"/>
  <c r="B314" i="11"/>
  <c r="C314" i="11"/>
  <c r="D314" i="11" s="1"/>
  <c r="A315" i="11"/>
  <c r="B315" i="11"/>
  <c r="C315" i="11"/>
  <c r="D315" i="11" s="1"/>
  <c r="A316" i="11"/>
  <c r="C316" i="11" s="1"/>
  <c r="D316" i="11" s="1"/>
  <c r="B316" i="11"/>
  <c r="A317" i="11"/>
  <c r="C317" i="11" s="1"/>
  <c r="D317" i="11" s="1"/>
  <c r="B317" i="11"/>
  <c r="A318" i="11"/>
  <c r="B318" i="11"/>
  <c r="C318" i="11" s="1"/>
  <c r="D318" i="11" s="1"/>
  <c r="A319" i="11"/>
  <c r="C319" i="11" s="1"/>
  <c r="D319" i="11" s="1"/>
  <c r="B319" i="11"/>
  <c r="A320" i="11"/>
  <c r="B320" i="11"/>
  <c r="C320" i="11"/>
  <c r="D320" i="11" s="1"/>
  <c r="A321" i="11"/>
  <c r="C321" i="11" s="1"/>
  <c r="D321" i="11" s="1"/>
  <c r="B321" i="11"/>
  <c r="A322" i="11"/>
  <c r="B322" i="11"/>
  <c r="C322" i="11"/>
  <c r="D322" i="11"/>
  <c r="A323" i="11"/>
  <c r="B323" i="11"/>
  <c r="C323" i="11"/>
  <c r="D323" i="11" s="1"/>
  <c r="A324" i="11"/>
  <c r="B324" i="11"/>
  <c r="C324" i="11" s="1"/>
  <c r="D324" i="11" s="1"/>
  <c r="A325" i="11"/>
  <c r="C325" i="11" s="1"/>
  <c r="D325" i="11" s="1"/>
  <c r="B325" i="11"/>
  <c r="A326" i="11"/>
  <c r="C326" i="11" s="1"/>
  <c r="D326" i="11" s="1"/>
  <c r="B326" i="11"/>
  <c r="A327" i="11"/>
  <c r="C327" i="11" s="1"/>
  <c r="D327" i="11" s="1"/>
  <c r="B327" i="11"/>
  <c r="A328" i="11"/>
  <c r="B328" i="11"/>
  <c r="C328" i="11" s="1"/>
  <c r="D328" i="11"/>
  <c r="A329" i="11"/>
  <c r="B329" i="11"/>
  <c r="C329" i="11"/>
  <c r="D329" i="11" s="1"/>
  <c r="A330" i="11"/>
  <c r="B330" i="11"/>
  <c r="C330" i="11"/>
  <c r="D330" i="11" s="1"/>
  <c r="A331" i="11"/>
  <c r="B331" i="11"/>
  <c r="C331" i="11"/>
  <c r="D331" i="11" s="1"/>
  <c r="A332" i="11"/>
  <c r="C332" i="11" s="1"/>
  <c r="D332" i="11" s="1"/>
  <c r="B332" i="11"/>
  <c r="A333" i="11"/>
  <c r="C333" i="11" s="1"/>
  <c r="D333" i="11" s="1"/>
  <c r="B333" i="11"/>
  <c r="A334" i="11"/>
  <c r="B334" i="11"/>
  <c r="C334" i="11" s="1"/>
  <c r="D334" i="11" s="1"/>
  <c r="A335" i="11"/>
  <c r="B335" i="11"/>
  <c r="C335" i="11"/>
  <c r="D335" i="11" s="1"/>
  <c r="A336" i="11"/>
  <c r="B336" i="11"/>
  <c r="C336" i="11" s="1"/>
  <c r="D336" i="11" s="1"/>
  <c r="A337" i="11"/>
  <c r="C337" i="11" s="1"/>
  <c r="D337" i="11" s="1"/>
  <c r="B337" i="11"/>
  <c r="A338" i="11"/>
  <c r="B338" i="11"/>
  <c r="C338" i="11"/>
  <c r="D338" i="11" s="1"/>
  <c r="A339" i="11"/>
  <c r="B339" i="11"/>
  <c r="C339" i="11"/>
  <c r="D339" i="11" s="1"/>
  <c r="A340" i="11"/>
  <c r="B340" i="11"/>
  <c r="C340" i="11" s="1"/>
  <c r="D340" i="11" s="1"/>
  <c r="A341" i="11"/>
  <c r="C341" i="11" s="1"/>
  <c r="D341" i="11" s="1"/>
  <c r="B341" i="11"/>
  <c r="A342" i="11"/>
  <c r="B342" i="11"/>
  <c r="C342" i="11" s="1"/>
  <c r="D342" i="11" s="1"/>
  <c r="A343" i="11"/>
  <c r="C343" i="11" s="1"/>
  <c r="D343" i="11" s="1"/>
  <c r="B343" i="11"/>
  <c r="A344" i="11"/>
  <c r="B344" i="11"/>
  <c r="C344" i="11" s="1"/>
  <c r="D344" i="11" s="1"/>
  <c r="A345" i="11"/>
  <c r="C345" i="11" s="1"/>
  <c r="D345" i="11" s="1"/>
  <c r="B345" i="11"/>
  <c r="A346" i="11"/>
  <c r="B346" i="11"/>
  <c r="C346" i="11" s="1"/>
  <c r="D346" i="11" s="1"/>
  <c r="A347" i="11"/>
  <c r="B347" i="11"/>
  <c r="C347" i="11"/>
  <c r="D347" i="11" s="1"/>
  <c r="A348" i="11"/>
  <c r="B348" i="11"/>
  <c r="C348" i="11"/>
  <c r="D348" i="11" s="1"/>
  <c r="A349" i="11"/>
  <c r="B349" i="11"/>
  <c r="C349" i="11"/>
  <c r="D349" i="11"/>
  <c r="A350" i="11"/>
  <c r="B350" i="11"/>
  <c r="C350" i="11" s="1"/>
  <c r="D350" i="11" s="1"/>
  <c r="A351" i="11"/>
  <c r="C351" i="11" s="1"/>
  <c r="D351" i="11" s="1"/>
  <c r="B351" i="11"/>
  <c r="A352" i="11"/>
  <c r="C352" i="11" s="1"/>
  <c r="D352" i="11" s="1"/>
  <c r="B352" i="11"/>
  <c r="A353" i="11"/>
  <c r="C353" i="11" s="1"/>
  <c r="D353" i="11" s="1"/>
  <c r="B353" i="11"/>
  <c r="A354" i="11"/>
  <c r="B354" i="11"/>
  <c r="C354" i="11" s="1"/>
  <c r="D354" i="11" s="1"/>
  <c r="A355" i="11"/>
  <c r="B355" i="11"/>
  <c r="C355" i="11"/>
  <c r="D355" i="11" s="1"/>
  <c r="A356" i="11"/>
  <c r="B356" i="11"/>
  <c r="C356" i="11"/>
  <c r="D356" i="11" s="1"/>
  <c r="A357" i="11"/>
  <c r="C357" i="11" s="1"/>
  <c r="D357" i="11" s="1"/>
  <c r="B357" i="11"/>
  <c r="A358" i="11"/>
  <c r="B358" i="11"/>
  <c r="C358" i="11"/>
  <c r="D358" i="11" s="1"/>
  <c r="A359" i="11"/>
  <c r="C359" i="11" s="1"/>
  <c r="D359" i="11" s="1"/>
  <c r="B359" i="11"/>
  <c r="A360" i="11"/>
  <c r="C360" i="11" s="1"/>
  <c r="D360" i="11" s="1"/>
  <c r="B360" i="11"/>
  <c r="A361" i="11"/>
  <c r="B361" i="11"/>
  <c r="C361" i="11"/>
  <c r="D361" i="11"/>
  <c r="A362" i="11"/>
  <c r="B362" i="11"/>
  <c r="C362" i="11" s="1"/>
  <c r="D362" i="11" s="1"/>
  <c r="A363" i="11"/>
  <c r="B363" i="11"/>
  <c r="C363" i="11"/>
  <c r="D363" i="11" s="1"/>
  <c r="A364" i="11"/>
  <c r="C364" i="11" s="1"/>
  <c r="D364" i="11" s="1"/>
  <c r="B364" i="11"/>
  <c r="A365" i="11"/>
  <c r="B365" i="11"/>
  <c r="C365" i="11"/>
  <c r="D365" i="11"/>
  <c r="A366" i="11"/>
  <c r="B366" i="11"/>
  <c r="C366" i="11" s="1"/>
  <c r="D366" i="11" s="1"/>
  <c r="A367" i="11"/>
  <c r="C367" i="11" s="1"/>
  <c r="D367" i="11" s="1"/>
  <c r="B367" i="11"/>
  <c r="A368" i="11"/>
  <c r="C368" i="11" s="1"/>
  <c r="D368" i="11" s="1"/>
  <c r="B368" i="11"/>
  <c r="A369" i="11"/>
  <c r="B369" i="11"/>
  <c r="C369" i="11"/>
  <c r="D369" i="11"/>
  <c r="A370" i="11"/>
  <c r="B370" i="11"/>
  <c r="C370" i="11" s="1"/>
  <c r="D370" i="11" s="1"/>
  <c r="A371" i="11"/>
  <c r="C371" i="11" s="1"/>
  <c r="D371" i="11" s="1"/>
  <c r="B371" i="11"/>
  <c r="A372" i="11"/>
  <c r="B372" i="11"/>
  <c r="C372" i="11"/>
  <c r="D372" i="11" s="1"/>
  <c r="A373" i="11"/>
  <c r="C373" i="11" s="1"/>
  <c r="D373" i="11" s="1"/>
  <c r="B373" i="11"/>
  <c r="A374" i="11"/>
  <c r="B374" i="11"/>
  <c r="C374" i="11"/>
  <c r="D374" i="11" s="1"/>
  <c r="A375" i="11"/>
  <c r="C375" i="11" s="1"/>
  <c r="D375" i="11" s="1"/>
  <c r="B375" i="11"/>
  <c r="A376" i="11"/>
  <c r="C376" i="11" s="1"/>
  <c r="D376" i="11" s="1"/>
  <c r="B376" i="11"/>
  <c r="A377" i="11"/>
  <c r="B377" i="11"/>
  <c r="C377" i="11"/>
  <c r="D377" i="11"/>
  <c r="A378" i="11"/>
  <c r="B378" i="11"/>
  <c r="C378" i="11" s="1"/>
  <c r="D378" i="11" s="1"/>
  <c r="A379" i="11"/>
  <c r="B379" i="11"/>
  <c r="C379" i="11"/>
  <c r="D379" i="11" s="1"/>
  <c r="A380" i="11"/>
  <c r="C380" i="11" s="1"/>
  <c r="D380" i="11" s="1"/>
  <c r="B380" i="11"/>
  <c r="A381" i="11"/>
  <c r="B381" i="11"/>
  <c r="C381" i="11"/>
  <c r="D381" i="11"/>
  <c r="A382" i="11"/>
  <c r="B382" i="11"/>
  <c r="C382" i="11" s="1"/>
  <c r="D382" i="11" s="1"/>
  <c r="A383" i="11"/>
  <c r="C383" i="11" s="1"/>
  <c r="D383" i="11" s="1"/>
  <c r="B383" i="11"/>
  <c r="A384" i="11"/>
  <c r="C384" i="11" s="1"/>
  <c r="D384" i="11" s="1"/>
  <c r="B384" i="11"/>
  <c r="A385" i="11"/>
  <c r="B385" i="11"/>
  <c r="C385" i="11"/>
  <c r="D385" i="11"/>
  <c r="A386" i="11"/>
  <c r="B386" i="11"/>
  <c r="C386" i="11" s="1"/>
  <c r="D386" i="11" s="1"/>
  <c r="A387" i="11"/>
  <c r="C387" i="11" s="1"/>
  <c r="D387" i="11" s="1"/>
  <c r="B387" i="11"/>
  <c r="A388" i="11"/>
  <c r="B388" i="11"/>
  <c r="C388" i="11"/>
  <c r="D388" i="11" s="1"/>
  <c r="A389" i="11"/>
  <c r="C389" i="11" s="1"/>
  <c r="D389" i="11" s="1"/>
  <c r="B389" i="11"/>
  <c r="A390" i="11"/>
  <c r="B390" i="11"/>
  <c r="C390" i="11"/>
  <c r="D390" i="11" s="1"/>
  <c r="A391" i="11"/>
  <c r="C391" i="11" s="1"/>
  <c r="D391" i="11" s="1"/>
  <c r="B391" i="11"/>
  <c r="A392" i="11"/>
  <c r="B392" i="11"/>
  <c r="C392" i="11"/>
  <c r="D392" i="11" s="1"/>
  <c r="A393" i="11"/>
  <c r="B393" i="11"/>
  <c r="C393" i="11"/>
  <c r="D393" i="11"/>
  <c r="A394" i="11"/>
  <c r="B394" i="11"/>
  <c r="C394" i="11" s="1"/>
  <c r="D394" i="11" s="1"/>
  <c r="A395" i="11"/>
  <c r="B395" i="11"/>
  <c r="C395" i="11"/>
  <c r="D395" i="11" s="1"/>
  <c r="A396" i="11"/>
  <c r="C396" i="11" s="1"/>
  <c r="D396" i="11" s="1"/>
  <c r="B396" i="11"/>
  <c r="A397" i="11"/>
  <c r="B397" i="11"/>
  <c r="C397" i="11"/>
  <c r="D397" i="11"/>
  <c r="A398" i="11"/>
  <c r="B398" i="11"/>
  <c r="C398" i="11" s="1"/>
  <c r="D398" i="11" s="1"/>
  <c r="A399" i="11"/>
  <c r="B399" i="11"/>
  <c r="C399" i="11"/>
  <c r="D399" i="11" s="1"/>
  <c r="A400" i="11"/>
  <c r="C400" i="11" s="1"/>
  <c r="D400" i="11" s="1"/>
  <c r="B400" i="11"/>
  <c r="A401" i="11"/>
  <c r="B401" i="11"/>
  <c r="C401" i="11"/>
  <c r="D401" i="11"/>
  <c r="A402" i="11"/>
  <c r="B402" i="11"/>
  <c r="C402" i="11" s="1"/>
  <c r="D402" i="11" s="1"/>
  <c r="A403" i="11"/>
  <c r="C403" i="11" s="1"/>
  <c r="D403" i="11" s="1"/>
  <c r="B403" i="11"/>
  <c r="A404" i="11"/>
  <c r="B404" i="11"/>
  <c r="C404" i="11"/>
  <c r="D404" i="11" s="1"/>
  <c r="A405" i="11"/>
  <c r="C405" i="11" s="1"/>
  <c r="D405" i="11" s="1"/>
  <c r="B405" i="11"/>
  <c r="A406" i="11"/>
  <c r="B406" i="11"/>
  <c r="C406" i="11" s="1"/>
  <c r="D406" i="11" s="1"/>
  <c r="A407" i="11"/>
  <c r="C407" i="11" s="1"/>
  <c r="D407" i="11" s="1"/>
  <c r="B407" i="11"/>
  <c r="A408" i="11"/>
  <c r="B408" i="11"/>
  <c r="C408" i="11"/>
  <c r="D408" i="11" s="1"/>
  <c r="A409" i="11"/>
  <c r="B409" i="11"/>
  <c r="C409" i="11"/>
  <c r="D409" i="11"/>
  <c r="A410" i="11"/>
  <c r="B410" i="11"/>
  <c r="C410" i="11" s="1"/>
  <c r="D410" i="11" s="1"/>
  <c r="A411" i="11"/>
  <c r="B411" i="11"/>
  <c r="C411" i="11"/>
  <c r="D411" i="11" s="1"/>
  <c r="A412" i="11"/>
  <c r="C412" i="11" s="1"/>
  <c r="D412" i="11" s="1"/>
  <c r="B412" i="11"/>
  <c r="A413" i="11"/>
  <c r="B413" i="11"/>
  <c r="C413" i="11"/>
  <c r="D413" i="11"/>
  <c r="A414" i="11"/>
  <c r="B414" i="11"/>
  <c r="C414" i="11" s="1"/>
  <c r="D414" i="11" s="1"/>
  <c r="A415" i="11"/>
  <c r="B415" i="11"/>
  <c r="C415" i="11"/>
  <c r="D415" i="11" s="1"/>
  <c r="A416" i="11"/>
  <c r="C416" i="11" s="1"/>
  <c r="D416" i="11" s="1"/>
  <c r="B416" i="11"/>
  <c r="A417" i="11"/>
  <c r="B417" i="11"/>
  <c r="C417" i="11"/>
  <c r="D417" i="11"/>
  <c r="A418" i="11"/>
  <c r="B418" i="11"/>
  <c r="C418" i="11" s="1"/>
  <c r="D418" i="11" s="1"/>
  <c r="A419" i="11"/>
  <c r="C419" i="11" s="1"/>
  <c r="D419" i="11" s="1"/>
  <c r="B419" i="11"/>
  <c r="A420" i="11"/>
  <c r="B420" i="11"/>
  <c r="C420" i="11"/>
  <c r="D420" i="11" s="1"/>
  <c r="A421" i="11"/>
  <c r="C421" i="11" s="1"/>
  <c r="D421" i="11" s="1"/>
  <c r="B421" i="11"/>
  <c r="A422" i="11"/>
  <c r="B422" i="11"/>
  <c r="C422" i="11" s="1"/>
  <c r="D422" i="11" s="1"/>
  <c r="A423" i="11"/>
  <c r="C423" i="11" s="1"/>
  <c r="D423" i="11" s="1"/>
  <c r="B423" i="11"/>
  <c r="A424" i="11"/>
  <c r="B424" i="11"/>
  <c r="C424" i="11"/>
  <c r="D424" i="11" s="1"/>
  <c r="A425" i="11"/>
  <c r="B425" i="11"/>
  <c r="C425" i="11"/>
  <c r="D425" i="11"/>
  <c r="A426" i="11"/>
  <c r="B426" i="11"/>
  <c r="C426" i="11" s="1"/>
  <c r="D426" i="11" s="1"/>
  <c r="A427" i="11"/>
  <c r="B427" i="11"/>
  <c r="C427" i="11"/>
  <c r="D427" i="11" s="1"/>
  <c r="A428" i="11"/>
  <c r="B428" i="11"/>
  <c r="C428" i="11"/>
  <c r="D428" i="11" s="1"/>
  <c r="A429" i="11"/>
  <c r="B429" i="11"/>
  <c r="C429" i="11"/>
  <c r="D429" i="11"/>
  <c r="A430" i="11"/>
  <c r="B430" i="11"/>
  <c r="C430" i="11" s="1"/>
  <c r="D430" i="11" s="1"/>
  <c r="A431" i="11"/>
  <c r="B431" i="11"/>
  <c r="C431" i="11"/>
  <c r="D431" i="11" s="1"/>
  <c r="A432" i="11"/>
  <c r="C432" i="11" s="1"/>
  <c r="D432" i="11" s="1"/>
  <c r="B432" i="11"/>
  <c r="A433" i="11"/>
  <c r="B433" i="11"/>
  <c r="C433" i="11"/>
  <c r="D433" i="11"/>
  <c r="A434" i="11"/>
  <c r="B434" i="11"/>
  <c r="C434" i="11" s="1"/>
  <c r="D434" i="11" s="1"/>
  <c r="A435" i="11"/>
  <c r="B435" i="11"/>
  <c r="C435" i="11"/>
  <c r="D435" i="11" s="1"/>
  <c r="A436" i="11"/>
  <c r="B436" i="11"/>
  <c r="C436" i="11"/>
  <c r="D436" i="11" s="1"/>
  <c r="A437" i="11"/>
  <c r="B437" i="11"/>
  <c r="C437" i="11"/>
  <c r="D437" i="11"/>
  <c r="A438" i="11"/>
  <c r="B438" i="11"/>
  <c r="C438" i="11" s="1"/>
  <c r="D438" i="11" s="1"/>
  <c r="A439" i="11"/>
  <c r="C439" i="11" s="1"/>
  <c r="D439" i="11" s="1"/>
  <c r="B439" i="11"/>
  <c r="A440" i="11"/>
  <c r="B440" i="11"/>
  <c r="C440" i="11"/>
  <c r="D440" i="11" s="1"/>
  <c r="A441" i="11"/>
  <c r="B441" i="11"/>
  <c r="C441" i="11"/>
  <c r="D441" i="11"/>
  <c r="A442" i="11"/>
  <c r="B442" i="11"/>
  <c r="C442" i="11" s="1"/>
  <c r="D442" i="11" s="1"/>
  <c r="A443" i="11"/>
  <c r="B443" i="11"/>
  <c r="C443" i="11"/>
  <c r="D443" i="11" s="1"/>
  <c r="A444" i="11"/>
  <c r="B444" i="11"/>
  <c r="C444" i="11"/>
  <c r="D444" i="11" s="1"/>
  <c r="A445" i="11"/>
  <c r="B445" i="11"/>
  <c r="C445" i="11"/>
  <c r="D445" i="11"/>
  <c r="A446" i="11"/>
  <c r="B446" i="11"/>
  <c r="C446" i="11" s="1"/>
  <c r="D446" i="11" s="1"/>
  <c r="A447" i="11"/>
  <c r="B447" i="11"/>
  <c r="C447" i="11"/>
  <c r="D447" i="11" s="1"/>
  <c r="A448" i="11"/>
  <c r="C448" i="11" s="1"/>
  <c r="D448" i="11" s="1"/>
  <c r="B448" i="11"/>
  <c r="A449" i="11"/>
  <c r="C449" i="11" s="1"/>
  <c r="D449" i="11" s="1"/>
  <c r="B449" i="11"/>
  <c r="A450" i="11"/>
  <c r="B450" i="11"/>
  <c r="C450" i="11" s="1"/>
  <c r="D450" i="11" s="1"/>
  <c r="A451" i="11"/>
  <c r="B451" i="11"/>
  <c r="C451" i="11"/>
  <c r="D451" i="11" s="1"/>
  <c r="A452" i="11"/>
  <c r="C452" i="11" s="1"/>
  <c r="D452" i="11" s="1"/>
  <c r="B452" i="11"/>
  <c r="A453" i="11"/>
  <c r="B453" i="11"/>
  <c r="C453" i="11"/>
  <c r="D453" i="11"/>
  <c r="A454" i="11"/>
  <c r="B454" i="11"/>
  <c r="C454" i="11" s="1"/>
  <c r="D454" i="11" s="1"/>
  <c r="A455" i="11"/>
  <c r="C455" i="11" s="1"/>
  <c r="D455" i="11" s="1"/>
  <c r="B455" i="11"/>
  <c r="A456" i="11"/>
  <c r="B456" i="11"/>
  <c r="C456" i="11"/>
  <c r="D456" i="11" s="1"/>
  <c r="A457" i="11"/>
  <c r="B457" i="11"/>
  <c r="C457" i="11"/>
  <c r="D457" i="11"/>
  <c r="A458" i="11"/>
  <c r="B458" i="11"/>
  <c r="C458" i="11" s="1"/>
  <c r="D458" i="11" s="1"/>
  <c r="A459" i="11"/>
  <c r="B459" i="11"/>
  <c r="C459" i="11"/>
  <c r="D459" i="11" s="1"/>
  <c r="A460" i="11"/>
  <c r="B460" i="11"/>
  <c r="C460" i="11"/>
  <c r="D460" i="11" s="1"/>
  <c r="A461" i="11"/>
  <c r="B461" i="11"/>
  <c r="C461" i="11"/>
  <c r="D461" i="11"/>
  <c r="A462" i="11"/>
  <c r="B462" i="11"/>
  <c r="C462" i="11"/>
  <c r="D462" i="11" s="1"/>
  <c r="A463" i="11"/>
  <c r="B463" i="11"/>
  <c r="C463" i="11"/>
  <c r="D463" i="11" s="1"/>
  <c r="A464" i="11"/>
  <c r="C464" i="11" s="1"/>
  <c r="D464" i="11" s="1"/>
  <c r="B464" i="11"/>
  <c r="A465" i="11"/>
  <c r="B465" i="11"/>
  <c r="C465" i="11"/>
  <c r="D465" i="11" s="1"/>
  <c r="A466" i="11"/>
  <c r="C466" i="11" s="1"/>
  <c r="D466" i="11" s="1"/>
  <c r="B466" i="11"/>
  <c r="A467" i="11"/>
  <c r="B467" i="11"/>
  <c r="C467" i="11"/>
  <c r="D467" i="11" s="1"/>
  <c r="A468" i="11"/>
  <c r="C468" i="11" s="1"/>
  <c r="D468" i="11" s="1"/>
  <c r="B468" i="11"/>
  <c r="A469" i="11"/>
  <c r="B469" i="11"/>
  <c r="C469" i="11"/>
  <c r="D469" i="11" s="1"/>
  <c r="A470" i="11"/>
  <c r="C470" i="11" s="1"/>
  <c r="D470" i="11" s="1"/>
  <c r="B470" i="11"/>
  <c r="A471" i="11"/>
  <c r="B471" i="11"/>
  <c r="C471" i="11"/>
  <c r="D471" i="11" s="1"/>
  <c r="A472" i="11"/>
  <c r="C472" i="11" s="1"/>
  <c r="D472" i="11" s="1"/>
  <c r="B472" i="11"/>
  <c r="A473" i="11"/>
  <c r="B473" i="11"/>
  <c r="C473" i="11"/>
  <c r="D473" i="11" s="1"/>
  <c r="A474" i="11"/>
  <c r="C474" i="11" s="1"/>
  <c r="D474" i="11" s="1"/>
  <c r="B474" i="11"/>
  <c r="A475" i="11"/>
  <c r="B475" i="11"/>
  <c r="C475" i="11"/>
  <c r="D475" i="11" s="1"/>
  <c r="A476" i="11"/>
  <c r="B476" i="11"/>
  <c r="C476" i="11"/>
  <c r="D476" i="11" s="1"/>
  <c r="A477" i="11"/>
  <c r="B477" i="11"/>
  <c r="C477" i="11"/>
  <c r="D477" i="11" s="1"/>
  <c r="A478" i="11"/>
  <c r="B478" i="11"/>
  <c r="C478" i="11"/>
  <c r="D478" i="11" s="1"/>
  <c r="A479" i="11"/>
  <c r="B479" i="11"/>
  <c r="C479" i="11"/>
  <c r="D479" i="11" s="1"/>
  <c r="A480" i="11"/>
  <c r="C480" i="11" s="1"/>
  <c r="D480" i="11" s="1"/>
  <c r="B480" i="11"/>
  <c r="A481" i="11"/>
  <c r="B481" i="11"/>
  <c r="C481" i="11"/>
  <c r="D481" i="11" s="1"/>
  <c r="A482" i="11"/>
  <c r="C482" i="11" s="1"/>
  <c r="D482" i="11" s="1"/>
  <c r="B482" i="11"/>
  <c r="A483" i="11"/>
  <c r="B483" i="11"/>
  <c r="C483" i="11"/>
  <c r="D483" i="11" s="1"/>
  <c r="A484" i="11"/>
  <c r="B484" i="11"/>
  <c r="C484" i="11"/>
  <c r="D484" i="11" s="1"/>
  <c r="A485" i="11"/>
  <c r="B485" i="11"/>
  <c r="C485" i="11"/>
  <c r="D485" i="11" s="1"/>
  <c r="A486" i="11"/>
  <c r="B486" i="11"/>
  <c r="C486" i="11"/>
  <c r="D486" i="11" s="1"/>
  <c r="A487" i="11"/>
  <c r="B487" i="11"/>
  <c r="C487" i="11"/>
  <c r="D487" i="11" s="1"/>
  <c r="A488" i="11"/>
  <c r="C488" i="11" s="1"/>
  <c r="D488" i="11" s="1"/>
  <c r="B488" i="11"/>
  <c r="A489" i="11"/>
  <c r="B489" i="11"/>
  <c r="C489" i="11"/>
  <c r="D489" i="11" s="1"/>
  <c r="A490" i="11"/>
  <c r="C490" i="11" s="1"/>
  <c r="D490" i="11" s="1"/>
  <c r="B490" i="11"/>
  <c r="A491" i="11"/>
  <c r="B491" i="11"/>
  <c r="C491" i="11"/>
  <c r="D491" i="11" s="1"/>
  <c r="A492" i="11"/>
  <c r="B492" i="11"/>
  <c r="C492" i="11"/>
  <c r="D492" i="11" s="1"/>
  <c r="A493" i="11"/>
  <c r="B493" i="11"/>
  <c r="C493" i="11"/>
  <c r="D493" i="11" s="1"/>
  <c r="A494" i="11"/>
  <c r="B494" i="11"/>
  <c r="C494" i="11"/>
  <c r="D494" i="11" s="1"/>
  <c r="A495" i="11"/>
  <c r="B495" i="11"/>
  <c r="C495" i="11"/>
  <c r="D495" i="11" s="1"/>
  <c r="A496" i="11"/>
  <c r="C496" i="11" s="1"/>
  <c r="D496" i="11" s="1"/>
  <c r="B496" i="11"/>
  <c r="A497" i="11"/>
  <c r="B497" i="11"/>
  <c r="C497" i="11"/>
  <c r="D497" i="11" s="1"/>
  <c r="A498" i="11"/>
  <c r="C498" i="11" s="1"/>
  <c r="D498" i="11" s="1"/>
  <c r="B498" i="11"/>
  <c r="A499" i="11"/>
  <c r="B499" i="11"/>
  <c r="C499" i="11"/>
  <c r="D499" i="11" s="1"/>
  <c r="A500" i="11"/>
  <c r="B500" i="11"/>
  <c r="C500" i="11"/>
  <c r="D500" i="11" s="1"/>
  <c r="A501" i="11"/>
  <c r="B501" i="11"/>
  <c r="C501" i="11"/>
  <c r="D501" i="11" s="1"/>
  <c r="A502" i="11"/>
  <c r="B502" i="11"/>
  <c r="C502" i="11"/>
  <c r="D502" i="11" s="1"/>
  <c r="A503" i="11"/>
  <c r="B503" i="11"/>
  <c r="C503" i="11"/>
  <c r="D503" i="11" s="1"/>
  <c r="A504" i="11"/>
  <c r="C504" i="11" s="1"/>
  <c r="D504" i="11" s="1"/>
  <c r="B504" i="11"/>
  <c r="A505" i="11"/>
  <c r="B505" i="11"/>
  <c r="C505" i="11"/>
  <c r="D505" i="11" s="1"/>
  <c r="A506" i="11"/>
  <c r="C506" i="11" s="1"/>
  <c r="D506" i="11" s="1"/>
  <c r="B506" i="11"/>
  <c r="A507" i="11"/>
  <c r="B507" i="11"/>
  <c r="C507" i="11"/>
  <c r="D507" i="11" s="1"/>
  <c r="A508" i="11"/>
  <c r="B508" i="11"/>
  <c r="C508" i="11"/>
  <c r="D508" i="11" s="1"/>
  <c r="A509" i="11"/>
  <c r="B509" i="11"/>
  <c r="C509" i="11"/>
  <c r="D509" i="11" s="1"/>
  <c r="A510" i="11"/>
  <c r="B510" i="11"/>
  <c r="C510" i="11"/>
  <c r="D510" i="11" s="1"/>
  <c r="A511" i="11"/>
  <c r="B511" i="11"/>
  <c r="C511" i="11"/>
  <c r="D511" i="11" s="1"/>
  <c r="A512" i="11"/>
  <c r="C512" i="11" s="1"/>
  <c r="D512" i="11" s="1"/>
  <c r="B512" i="11"/>
  <c r="A513" i="11"/>
  <c r="B513" i="11"/>
  <c r="C513" i="11"/>
  <c r="D513" i="11" s="1"/>
  <c r="A514" i="11"/>
  <c r="C514" i="11" s="1"/>
  <c r="D514" i="11" s="1"/>
  <c r="B514" i="11"/>
  <c r="A515" i="11"/>
  <c r="B515" i="11"/>
  <c r="C515" i="11"/>
  <c r="D515" i="11" s="1"/>
  <c r="A516" i="11"/>
  <c r="B516" i="11"/>
  <c r="C516" i="11"/>
  <c r="D516" i="11" s="1"/>
  <c r="A517" i="11"/>
  <c r="B517" i="11"/>
  <c r="C517" i="11"/>
  <c r="D517" i="11" s="1"/>
  <c r="A518" i="11"/>
  <c r="B518" i="11"/>
  <c r="C518" i="11"/>
  <c r="D518" i="11" s="1"/>
  <c r="A519" i="11"/>
  <c r="B519" i="11"/>
  <c r="C519" i="11"/>
  <c r="D519" i="11" s="1"/>
  <c r="A520" i="11"/>
  <c r="C520" i="11" s="1"/>
  <c r="D520" i="11" s="1"/>
  <c r="B520" i="11"/>
  <c r="A521" i="11"/>
  <c r="B521" i="11"/>
  <c r="C521" i="11"/>
  <c r="D521" i="11" s="1"/>
  <c r="A522" i="11"/>
  <c r="C522" i="11" s="1"/>
  <c r="D522" i="11" s="1"/>
  <c r="B522" i="11"/>
  <c r="A523" i="11"/>
  <c r="B523" i="11"/>
  <c r="C523" i="11"/>
  <c r="D523" i="11" s="1"/>
  <c r="A524" i="11"/>
  <c r="B524" i="11"/>
  <c r="C524" i="11"/>
  <c r="D524" i="11" s="1"/>
  <c r="A525" i="11"/>
  <c r="B525" i="11"/>
  <c r="C525" i="11"/>
  <c r="D525" i="11" s="1"/>
  <c r="A526" i="11"/>
  <c r="B526" i="11"/>
  <c r="C526" i="11"/>
  <c r="D526" i="11" s="1"/>
  <c r="A527" i="11"/>
  <c r="B527" i="11"/>
  <c r="C527" i="11"/>
  <c r="D527" i="11" s="1"/>
  <c r="A528" i="11"/>
  <c r="C528" i="11" s="1"/>
  <c r="D528" i="11" s="1"/>
  <c r="B528" i="11"/>
  <c r="A529" i="11"/>
  <c r="B529" i="11"/>
  <c r="C529" i="11"/>
  <c r="D529" i="11" s="1"/>
  <c r="A530" i="11"/>
  <c r="C530" i="11" s="1"/>
  <c r="D530" i="11" s="1"/>
  <c r="B530" i="11"/>
  <c r="A531" i="11"/>
  <c r="B531" i="11"/>
  <c r="C531" i="11"/>
  <c r="D531" i="11" s="1"/>
  <c r="A532" i="11"/>
  <c r="B532" i="11"/>
  <c r="C532" i="11"/>
  <c r="D532" i="11" s="1"/>
  <c r="A533" i="11"/>
  <c r="B533" i="11"/>
  <c r="C533" i="11"/>
  <c r="D533" i="11" s="1"/>
  <c r="A534" i="11"/>
  <c r="B534" i="11"/>
  <c r="C534" i="11"/>
  <c r="D534" i="11" s="1"/>
  <c r="A535" i="11"/>
  <c r="B535" i="11"/>
  <c r="C535" i="11"/>
  <c r="D535" i="11" s="1"/>
  <c r="A536" i="11"/>
  <c r="C536" i="11" s="1"/>
  <c r="D536" i="11" s="1"/>
  <c r="B536" i="11"/>
  <c r="A537" i="11"/>
  <c r="B537" i="11"/>
  <c r="C537" i="11"/>
  <c r="D537" i="11" s="1"/>
  <c r="A538" i="11"/>
  <c r="C538" i="11" s="1"/>
  <c r="D538" i="11" s="1"/>
  <c r="B538" i="11"/>
  <c r="A539" i="11"/>
  <c r="B539" i="11"/>
  <c r="C539" i="11"/>
  <c r="D539" i="11" s="1"/>
  <c r="A540" i="11"/>
  <c r="B540" i="11"/>
  <c r="C540" i="11"/>
  <c r="D540" i="11" s="1"/>
  <c r="A541" i="11"/>
  <c r="B541" i="11"/>
  <c r="C541" i="11"/>
  <c r="D541" i="11" s="1"/>
  <c r="A542" i="11"/>
  <c r="B542" i="11"/>
  <c r="C542" i="11"/>
  <c r="D542" i="11" s="1"/>
  <c r="A543" i="11"/>
  <c r="B543" i="11"/>
  <c r="C543" i="11"/>
  <c r="D543" i="11" s="1"/>
  <c r="A544" i="11"/>
  <c r="C544" i="11" s="1"/>
  <c r="D544" i="11" s="1"/>
  <c r="B544" i="11"/>
  <c r="A545" i="11"/>
  <c r="B545" i="11"/>
  <c r="C545" i="11"/>
  <c r="D545" i="11" s="1"/>
  <c r="A546" i="11"/>
  <c r="C546" i="11" s="1"/>
  <c r="D546" i="11" s="1"/>
  <c r="B546" i="11"/>
  <c r="A547" i="11"/>
  <c r="B547" i="11"/>
  <c r="C547" i="11"/>
  <c r="D547" i="11" s="1"/>
  <c r="A548" i="11"/>
  <c r="B548" i="11"/>
  <c r="C548" i="11"/>
  <c r="D548" i="11" s="1"/>
  <c r="A549" i="11"/>
  <c r="B549" i="11"/>
  <c r="C549" i="11"/>
  <c r="D549" i="11" s="1"/>
  <c r="A550" i="11"/>
  <c r="B550" i="11"/>
  <c r="C550" i="11"/>
  <c r="D550" i="11" s="1"/>
  <c r="A551" i="11"/>
  <c r="B551" i="11"/>
  <c r="C551" i="11"/>
  <c r="D551" i="11" s="1"/>
  <c r="A552" i="11"/>
  <c r="C552" i="11" s="1"/>
  <c r="D552" i="11" s="1"/>
  <c r="B552" i="11"/>
  <c r="A553" i="11"/>
  <c r="B553" i="11"/>
  <c r="C553" i="11"/>
  <c r="D553" i="11" s="1"/>
  <c r="A554" i="11"/>
  <c r="C554" i="11" s="1"/>
  <c r="D554" i="11" s="1"/>
  <c r="B554" i="11"/>
  <c r="A555" i="11"/>
  <c r="B555" i="11"/>
  <c r="C555" i="11"/>
  <c r="D555" i="11" s="1"/>
  <c r="A556" i="11"/>
  <c r="B556" i="11"/>
  <c r="C556" i="11"/>
  <c r="D556" i="11" s="1"/>
  <c r="A557" i="11"/>
  <c r="B557" i="11"/>
  <c r="C557" i="11"/>
  <c r="D557" i="11" s="1"/>
  <c r="A558" i="11"/>
  <c r="B558" i="11"/>
  <c r="C558" i="11"/>
  <c r="D558" i="11" s="1"/>
  <c r="A559" i="11"/>
  <c r="B559" i="11"/>
  <c r="C559" i="11"/>
  <c r="D559" i="11" s="1"/>
  <c r="A560" i="11"/>
  <c r="C560" i="11" s="1"/>
  <c r="D560" i="11" s="1"/>
  <c r="B560" i="11"/>
  <c r="A561" i="11"/>
  <c r="B561" i="11"/>
  <c r="C561" i="11"/>
  <c r="D561" i="11" s="1"/>
  <c r="A562" i="11"/>
  <c r="C562" i="11" s="1"/>
  <c r="D562" i="11" s="1"/>
  <c r="B562" i="11"/>
  <c r="A563" i="11"/>
  <c r="B563" i="11"/>
  <c r="C563" i="11"/>
  <c r="D563" i="11" s="1"/>
  <c r="A564" i="11"/>
  <c r="B564" i="11"/>
  <c r="C564" i="11"/>
  <c r="D564" i="11" s="1"/>
  <c r="A565" i="11"/>
  <c r="B565" i="11"/>
  <c r="C565" i="11"/>
  <c r="D565" i="11" s="1"/>
  <c r="A566" i="11"/>
  <c r="B566" i="11"/>
  <c r="C566" i="11"/>
  <c r="D566" i="11" s="1"/>
  <c r="A567" i="11"/>
  <c r="B567" i="11"/>
  <c r="C567" i="11"/>
  <c r="D567" i="11" s="1"/>
  <c r="A568" i="11"/>
  <c r="C568" i="11" s="1"/>
  <c r="D568" i="11" s="1"/>
  <c r="B568" i="11"/>
  <c r="A569" i="11"/>
  <c r="B569" i="11"/>
  <c r="C569" i="11"/>
  <c r="D569" i="11" s="1"/>
  <c r="A570" i="11"/>
  <c r="C570" i="11" s="1"/>
  <c r="D570" i="11" s="1"/>
  <c r="B570" i="11"/>
  <c r="A571" i="11"/>
  <c r="B571" i="11"/>
  <c r="C571" i="11"/>
  <c r="D571" i="11" s="1"/>
  <c r="A572" i="11"/>
  <c r="B572" i="11"/>
  <c r="C572" i="11"/>
  <c r="D572" i="11" s="1"/>
  <c r="A573" i="11"/>
  <c r="B573" i="11"/>
  <c r="C573" i="11"/>
  <c r="D573" i="11" s="1"/>
  <c r="A574" i="11"/>
  <c r="B574" i="11"/>
  <c r="C574" i="11"/>
  <c r="D574" i="11" s="1"/>
  <c r="A575" i="11"/>
  <c r="B575" i="11"/>
  <c r="C575" i="11"/>
  <c r="D575" i="11" s="1"/>
  <c r="A576" i="11"/>
  <c r="C576" i="11" s="1"/>
  <c r="D576" i="11" s="1"/>
  <c r="B576" i="11"/>
  <c r="A577" i="11"/>
  <c r="B577" i="11"/>
  <c r="C577" i="11"/>
  <c r="D577" i="11" s="1"/>
  <c r="A578" i="11"/>
  <c r="C578" i="11" s="1"/>
  <c r="D578" i="11" s="1"/>
  <c r="B578" i="11"/>
  <c r="A579" i="11"/>
  <c r="B579" i="11"/>
  <c r="C579" i="11"/>
  <c r="D579" i="11" s="1"/>
  <c r="A580" i="11"/>
  <c r="B580" i="11"/>
  <c r="C580" i="11"/>
  <c r="D580" i="11" s="1"/>
  <c r="A581" i="11"/>
  <c r="B581" i="11"/>
  <c r="C581" i="11"/>
  <c r="D581" i="11" s="1"/>
  <c r="A582" i="11"/>
  <c r="B582" i="11"/>
  <c r="C582" i="11"/>
  <c r="D582" i="11" s="1"/>
  <c r="A583" i="11"/>
  <c r="B583" i="11"/>
  <c r="C583" i="11"/>
  <c r="D583" i="11" s="1"/>
  <c r="A584" i="11"/>
  <c r="C584" i="11" s="1"/>
  <c r="D584" i="11" s="1"/>
  <c r="B584" i="11"/>
  <c r="A585" i="11"/>
  <c r="B585" i="11"/>
  <c r="C585" i="11"/>
  <c r="D585" i="11" s="1"/>
  <c r="A586" i="11"/>
  <c r="C586" i="11" s="1"/>
  <c r="D586" i="11" s="1"/>
  <c r="B586" i="11"/>
  <c r="A587" i="11"/>
  <c r="B587" i="11"/>
  <c r="C587" i="11"/>
  <c r="D587" i="11" s="1"/>
  <c r="A588" i="11"/>
  <c r="B588" i="11"/>
  <c r="C588" i="11"/>
  <c r="D588" i="11" s="1"/>
  <c r="A589" i="11"/>
  <c r="B589" i="11"/>
  <c r="C589" i="11"/>
  <c r="D589" i="11" s="1"/>
  <c r="A590" i="11"/>
  <c r="B590" i="11"/>
  <c r="C590" i="11"/>
  <c r="D590" i="11" s="1"/>
  <c r="A591" i="11"/>
  <c r="C591" i="11" s="1"/>
  <c r="D591" i="11" s="1"/>
  <c r="B591" i="11"/>
  <c r="A592" i="11"/>
  <c r="C592" i="11" s="1"/>
  <c r="D592" i="11" s="1"/>
  <c r="B592" i="11"/>
  <c r="A593" i="11"/>
  <c r="B593" i="11"/>
  <c r="C593" i="11"/>
  <c r="D593" i="11" s="1"/>
  <c r="A594" i="11"/>
  <c r="C594" i="11" s="1"/>
  <c r="D594" i="11" s="1"/>
  <c r="B594" i="11"/>
  <c r="A595" i="11"/>
  <c r="B595" i="11"/>
  <c r="C595" i="11"/>
  <c r="D595" i="11" s="1"/>
  <c r="A596" i="11"/>
  <c r="C596" i="11" s="1"/>
  <c r="D596" i="11" s="1"/>
  <c r="B596" i="11"/>
  <c r="A597" i="11"/>
  <c r="B597" i="11"/>
  <c r="C597" i="11"/>
  <c r="D597" i="11" s="1"/>
  <c r="A598" i="11"/>
  <c r="B598" i="11"/>
  <c r="C598" i="11"/>
  <c r="D598" i="11" s="1"/>
  <c r="A599" i="11"/>
  <c r="C599" i="11" s="1"/>
  <c r="D599" i="11" s="1"/>
  <c r="B599" i="11"/>
  <c r="A600" i="11"/>
  <c r="B600" i="11"/>
  <c r="C600" i="11"/>
  <c r="D600" i="11"/>
  <c r="A601" i="11"/>
  <c r="B601" i="11"/>
  <c r="C601" i="11"/>
  <c r="D601" i="11" s="1"/>
  <c r="A602" i="11"/>
  <c r="B602" i="11"/>
  <c r="C602" i="11"/>
  <c r="D602" i="11"/>
  <c r="A603" i="11"/>
  <c r="C603" i="11" s="1"/>
  <c r="D603" i="11" s="1"/>
  <c r="B603" i="11"/>
  <c r="A604" i="11"/>
  <c r="B604" i="11"/>
  <c r="C604" i="11"/>
  <c r="D604" i="11" s="1"/>
  <c r="A605" i="11"/>
  <c r="C605" i="11" s="1"/>
  <c r="D605" i="11" s="1"/>
  <c r="B605" i="11"/>
  <c r="A606" i="11"/>
  <c r="C606" i="11" s="1"/>
  <c r="D606" i="11" s="1"/>
  <c r="B606" i="11"/>
  <c r="A607" i="11"/>
  <c r="B607" i="11"/>
  <c r="C607" i="11"/>
  <c r="D607" i="11" s="1"/>
  <c r="A608" i="11"/>
  <c r="B608" i="11"/>
  <c r="C608" i="11"/>
  <c r="D608" i="11"/>
  <c r="A609" i="11"/>
  <c r="B609" i="11"/>
  <c r="C609" i="11"/>
  <c r="D609" i="11" s="1"/>
  <c r="A610" i="11"/>
  <c r="C610" i="11" s="1"/>
  <c r="D610" i="11" s="1"/>
  <c r="B610" i="11"/>
  <c r="A611" i="11"/>
  <c r="B611" i="11"/>
  <c r="C611" i="11"/>
  <c r="D611" i="11" s="1"/>
  <c r="A612" i="11"/>
  <c r="C612" i="11" s="1"/>
  <c r="D612" i="11" s="1"/>
  <c r="B612" i="11"/>
  <c r="A613" i="11"/>
  <c r="B613" i="11"/>
  <c r="C613" i="11"/>
  <c r="D613" i="11" s="1"/>
  <c r="A614" i="11"/>
  <c r="B614" i="11"/>
  <c r="C614" i="11"/>
  <c r="D614" i="11" s="1"/>
  <c r="A615" i="11"/>
  <c r="C615" i="11" s="1"/>
  <c r="D615" i="11" s="1"/>
  <c r="B615" i="11"/>
  <c r="A616" i="11"/>
  <c r="B616" i="11"/>
  <c r="C616" i="11"/>
  <c r="D616" i="11"/>
  <c r="A617" i="11"/>
  <c r="B617" i="11"/>
  <c r="C617" i="11"/>
  <c r="D617" i="11" s="1"/>
  <c r="A618" i="11"/>
  <c r="B618" i="11"/>
  <c r="C618" i="11"/>
  <c r="D618" i="11"/>
  <c r="A619" i="11"/>
  <c r="C619" i="11" s="1"/>
  <c r="D619" i="11" s="1"/>
  <c r="B619" i="11"/>
  <c r="A620" i="11"/>
  <c r="B620" i="11"/>
  <c r="C620" i="11"/>
  <c r="D620" i="11" s="1"/>
  <c r="A621" i="11"/>
  <c r="C621" i="11" s="1"/>
  <c r="D621" i="11" s="1"/>
  <c r="B621" i="11"/>
  <c r="A622" i="11"/>
  <c r="C622" i="11" s="1"/>
  <c r="D622" i="11" s="1"/>
  <c r="B622" i="11"/>
  <c r="A623" i="11"/>
  <c r="B623" i="11"/>
  <c r="C623" i="11"/>
  <c r="D623" i="11" s="1"/>
  <c r="A624" i="11"/>
  <c r="B624" i="11"/>
  <c r="C624" i="11"/>
  <c r="D624" i="11"/>
  <c r="A625" i="11"/>
  <c r="B625" i="11"/>
  <c r="C625" i="11"/>
  <c r="D625" i="11" s="1"/>
  <c r="A626" i="11"/>
  <c r="C626" i="11" s="1"/>
  <c r="D626" i="11" s="1"/>
  <c r="B626" i="11"/>
  <c r="A627" i="11"/>
  <c r="B627" i="11"/>
  <c r="C627" i="11"/>
  <c r="D627" i="11" s="1"/>
  <c r="A628" i="11"/>
  <c r="C628" i="11" s="1"/>
  <c r="D628" i="11" s="1"/>
  <c r="B628" i="11"/>
  <c r="A629" i="11"/>
  <c r="B629" i="11"/>
  <c r="C629" i="11"/>
  <c r="D629" i="11" s="1"/>
  <c r="A630" i="11"/>
  <c r="B630" i="11"/>
  <c r="C630" i="11"/>
  <c r="D630" i="11" s="1"/>
  <c r="A631" i="11"/>
  <c r="C631" i="11" s="1"/>
  <c r="D631" i="11" s="1"/>
  <c r="B631" i="11"/>
  <c r="A632" i="11"/>
  <c r="B632" i="11"/>
  <c r="C632" i="11"/>
  <c r="D632" i="11"/>
  <c r="A633" i="11"/>
  <c r="B633" i="11"/>
  <c r="C633" i="11"/>
  <c r="D633" i="11" s="1"/>
  <c r="A634" i="11"/>
  <c r="B634" i="11"/>
  <c r="C634" i="11"/>
  <c r="D634" i="11"/>
  <c r="A635" i="11"/>
  <c r="C635" i="11" s="1"/>
  <c r="D635" i="11" s="1"/>
  <c r="B635" i="11"/>
  <c r="A636" i="11"/>
  <c r="B636" i="11"/>
  <c r="C636" i="11"/>
  <c r="D636" i="11" s="1"/>
  <c r="A637" i="11"/>
  <c r="C637" i="11" s="1"/>
  <c r="D637" i="11" s="1"/>
  <c r="B637" i="11"/>
  <c r="A638" i="11"/>
  <c r="C638" i="11" s="1"/>
  <c r="D638" i="11" s="1"/>
  <c r="B638" i="11"/>
  <c r="A639" i="11"/>
  <c r="B639" i="11"/>
  <c r="C639" i="11"/>
  <c r="D639" i="11" s="1"/>
  <c r="A640" i="11"/>
  <c r="B640" i="11"/>
  <c r="C640" i="11"/>
  <c r="D640" i="11"/>
  <c r="A641" i="11"/>
  <c r="B641" i="11"/>
  <c r="C641" i="11"/>
  <c r="D641" i="11" s="1"/>
  <c r="A642" i="11"/>
  <c r="C642" i="11" s="1"/>
  <c r="D642" i="11" s="1"/>
  <c r="B642" i="11"/>
  <c r="A643" i="11"/>
  <c r="B643" i="11"/>
  <c r="C643" i="11"/>
  <c r="D643" i="11" s="1"/>
  <c r="A644" i="11"/>
  <c r="C644" i="11" s="1"/>
  <c r="D644" i="11" s="1"/>
  <c r="B644" i="11"/>
  <c r="A645" i="11"/>
  <c r="B645" i="11"/>
  <c r="C645" i="11"/>
  <c r="D645" i="11" s="1"/>
  <c r="A646" i="11"/>
  <c r="B646" i="11"/>
  <c r="C646" i="11"/>
  <c r="D646" i="11" s="1"/>
  <c r="A647" i="11"/>
  <c r="C647" i="11" s="1"/>
  <c r="D647" i="11" s="1"/>
  <c r="B647" i="11"/>
  <c r="A648" i="11"/>
  <c r="B648" i="11"/>
  <c r="C648" i="11"/>
  <c r="D648" i="11"/>
  <c r="A649" i="11"/>
  <c r="B649" i="11"/>
  <c r="C649" i="11"/>
  <c r="D649" i="11" s="1"/>
  <c r="A650" i="11"/>
  <c r="B650" i="11"/>
  <c r="C650" i="11"/>
  <c r="D650" i="11"/>
  <c r="A651" i="11"/>
  <c r="C651" i="11" s="1"/>
  <c r="D651" i="11" s="1"/>
  <c r="B651" i="11"/>
  <c r="A652" i="11"/>
  <c r="B652" i="11"/>
  <c r="C652" i="11"/>
  <c r="D652" i="11" s="1"/>
  <c r="A653" i="11"/>
  <c r="C653" i="11" s="1"/>
  <c r="D653" i="11" s="1"/>
  <c r="B653" i="11"/>
  <c r="A654" i="11"/>
  <c r="C654" i="11" s="1"/>
  <c r="D654" i="11" s="1"/>
  <c r="B654" i="11"/>
  <c r="A655" i="11"/>
  <c r="B655" i="11"/>
  <c r="C655" i="11"/>
  <c r="D655" i="11" s="1"/>
  <c r="A656" i="11"/>
  <c r="B656" i="11"/>
  <c r="C656" i="11"/>
  <c r="D656" i="11"/>
  <c r="A657" i="11"/>
  <c r="B657" i="11"/>
  <c r="C657" i="11"/>
  <c r="D657" i="11" s="1"/>
  <c r="A658" i="11"/>
  <c r="C658" i="11" s="1"/>
  <c r="D658" i="11" s="1"/>
  <c r="B658" i="11"/>
  <c r="A659" i="11"/>
  <c r="B659" i="11"/>
  <c r="C659" i="11"/>
  <c r="D659" i="11" s="1"/>
  <c r="A660" i="11"/>
  <c r="C660" i="11" s="1"/>
  <c r="D660" i="11" s="1"/>
  <c r="B660" i="11"/>
  <c r="A661" i="11"/>
  <c r="B661" i="11"/>
  <c r="C661" i="11"/>
  <c r="D661" i="11" s="1"/>
  <c r="A662" i="11"/>
  <c r="B662" i="11"/>
  <c r="C662" i="11"/>
  <c r="D662" i="11" s="1"/>
  <c r="A663" i="11"/>
  <c r="C663" i="11" s="1"/>
  <c r="D663" i="11" s="1"/>
  <c r="B663" i="11"/>
  <c r="A664" i="11"/>
  <c r="B664" i="11"/>
  <c r="C664" i="11"/>
  <c r="D664" i="11"/>
  <c r="A665" i="11"/>
  <c r="B665" i="11"/>
  <c r="C665" i="11"/>
  <c r="D665" i="11" s="1"/>
  <c r="A666" i="11"/>
  <c r="B666" i="11"/>
  <c r="C666" i="11"/>
  <c r="D666" i="11"/>
  <c r="A667" i="11"/>
  <c r="C667" i="11" s="1"/>
  <c r="D667" i="11" s="1"/>
  <c r="B667" i="11"/>
  <c r="A668" i="11"/>
  <c r="B668" i="11"/>
  <c r="C668" i="11"/>
  <c r="D668" i="11" s="1"/>
  <c r="A669" i="11"/>
  <c r="C669" i="11" s="1"/>
  <c r="D669" i="11" s="1"/>
  <c r="B669" i="11"/>
  <c r="A670" i="11"/>
  <c r="C670" i="11" s="1"/>
  <c r="D670" i="11" s="1"/>
  <c r="B670" i="11"/>
  <c r="A671" i="11"/>
  <c r="B671" i="11"/>
  <c r="C671" i="11"/>
  <c r="D671" i="11" s="1"/>
  <c r="A672" i="11"/>
  <c r="B672" i="11"/>
  <c r="C672" i="11"/>
  <c r="D672" i="11"/>
  <c r="A673" i="11"/>
  <c r="B673" i="11"/>
  <c r="C673" i="11"/>
  <c r="D673" i="11" s="1"/>
  <c r="A674" i="11"/>
  <c r="C674" i="11" s="1"/>
  <c r="D674" i="11" s="1"/>
  <c r="B674" i="11"/>
  <c r="A675" i="11"/>
  <c r="B675" i="11"/>
  <c r="C675" i="11"/>
  <c r="D675" i="11" s="1"/>
  <c r="A676" i="11"/>
  <c r="C676" i="11" s="1"/>
  <c r="D676" i="11" s="1"/>
  <c r="B676" i="11"/>
  <c r="A677" i="11"/>
  <c r="B677" i="11"/>
  <c r="C677" i="11"/>
  <c r="D677" i="11" s="1"/>
  <c r="A678" i="11"/>
  <c r="B678" i="11"/>
  <c r="C678" i="11"/>
  <c r="D678" i="11" s="1"/>
  <c r="A679" i="11"/>
  <c r="C679" i="11" s="1"/>
  <c r="D679" i="11" s="1"/>
  <c r="B679" i="11"/>
  <c r="A680" i="11"/>
  <c r="B680" i="11"/>
  <c r="C680" i="11"/>
  <c r="D680" i="11"/>
  <c r="A681" i="11"/>
  <c r="B681" i="11"/>
  <c r="C681" i="11"/>
  <c r="D681" i="11" s="1"/>
  <c r="A682" i="11"/>
  <c r="B682" i="11"/>
  <c r="C682" i="11"/>
  <c r="D682" i="11"/>
  <c r="A683" i="11"/>
  <c r="C683" i="11" s="1"/>
  <c r="D683" i="11" s="1"/>
  <c r="B683" i="11"/>
  <c r="A684" i="11"/>
  <c r="B684" i="11"/>
  <c r="C684" i="11"/>
  <c r="D684" i="11" s="1"/>
  <c r="A685" i="11"/>
  <c r="C685" i="11" s="1"/>
  <c r="D685" i="11" s="1"/>
  <c r="B685" i="11"/>
  <c r="A686" i="11"/>
  <c r="C686" i="11" s="1"/>
  <c r="D686" i="11" s="1"/>
  <c r="B686" i="11"/>
  <c r="A687" i="11"/>
  <c r="B687" i="11"/>
  <c r="C687" i="11"/>
  <c r="D687" i="11" s="1"/>
  <c r="A688" i="11"/>
  <c r="B688" i="11"/>
  <c r="C688" i="11"/>
  <c r="D688" i="11"/>
  <c r="A689" i="11"/>
  <c r="B689" i="11"/>
  <c r="C689" i="11"/>
  <c r="D689" i="11" s="1"/>
  <c r="A690" i="11"/>
  <c r="C690" i="11" s="1"/>
  <c r="D690" i="11" s="1"/>
  <c r="B690" i="11"/>
  <c r="A691" i="11"/>
  <c r="B691" i="11"/>
  <c r="C691" i="11"/>
  <c r="D691" i="11" s="1"/>
  <c r="A692" i="11"/>
  <c r="C692" i="11" s="1"/>
  <c r="D692" i="11" s="1"/>
  <c r="B692" i="11"/>
  <c r="A693" i="11"/>
  <c r="B693" i="11"/>
  <c r="C693" i="11"/>
  <c r="D693" i="11" s="1"/>
  <c r="A694" i="11"/>
  <c r="B694" i="11"/>
  <c r="C694" i="11"/>
  <c r="D694" i="11" s="1"/>
  <c r="A695" i="11"/>
  <c r="C695" i="11" s="1"/>
  <c r="D695" i="11" s="1"/>
  <c r="B695" i="11"/>
  <c r="A696" i="11"/>
  <c r="B696" i="11"/>
  <c r="C696" i="11"/>
  <c r="D696" i="11"/>
  <c r="A697" i="11"/>
  <c r="B697" i="11"/>
  <c r="C697" i="11"/>
  <c r="D697" i="11" s="1"/>
  <c r="A698" i="11"/>
  <c r="B698" i="11"/>
  <c r="C698" i="11"/>
  <c r="D698" i="11"/>
  <c r="A699" i="11"/>
  <c r="C699" i="11" s="1"/>
  <c r="D699" i="11" s="1"/>
  <c r="B699" i="11"/>
  <c r="A700" i="11"/>
  <c r="B700" i="11"/>
  <c r="C700" i="11"/>
  <c r="D700" i="11" s="1"/>
  <c r="A701" i="11"/>
  <c r="C701" i="11" s="1"/>
  <c r="D701" i="11" s="1"/>
  <c r="B701" i="11"/>
  <c r="A702" i="11"/>
  <c r="C702" i="11" s="1"/>
  <c r="D702" i="11" s="1"/>
  <c r="B702" i="11"/>
  <c r="A703" i="11"/>
  <c r="B703" i="11"/>
  <c r="C703" i="11"/>
  <c r="D703" i="11" s="1"/>
  <c r="A704" i="11"/>
  <c r="B704" i="11"/>
  <c r="C704" i="11"/>
  <c r="D704" i="11"/>
  <c r="A705" i="11"/>
  <c r="B705" i="11"/>
  <c r="C705" i="11"/>
  <c r="D705" i="11" s="1"/>
  <c r="A706" i="11"/>
  <c r="C706" i="11" s="1"/>
  <c r="D706" i="11" s="1"/>
  <c r="B706" i="11"/>
  <c r="A707" i="11"/>
  <c r="B707" i="11"/>
  <c r="C707" i="11"/>
  <c r="D707" i="11" s="1"/>
  <c r="A708" i="11"/>
  <c r="C708" i="11" s="1"/>
  <c r="D708" i="11" s="1"/>
  <c r="B708" i="11"/>
  <c r="A709" i="11"/>
  <c r="B709" i="11"/>
  <c r="C709" i="11"/>
  <c r="D709" i="11" s="1"/>
  <c r="A710" i="11"/>
  <c r="B710" i="11"/>
  <c r="C710" i="11"/>
  <c r="D710" i="11" s="1"/>
  <c r="A711" i="11"/>
  <c r="C711" i="11" s="1"/>
  <c r="D711" i="11" s="1"/>
  <c r="B711" i="11"/>
  <c r="A712" i="11"/>
  <c r="B712" i="11"/>
  <c r="C712" i="11"/>
  <c r="D712" i="11"/>
  <c r="A713" i="11"/>
  <c r="B713" i="11"/>
  <c r="C713" i="11"/>
  <c r="D713" i="11" s="1"/>
  <c r="A714" i="11"/>
  <c r="B714" i="11"/>
  <c r="C714" i="11"/>
  <c r="D714" i="11"/>
  <c r="A715" i="11"/>
  <c r="C715" i="11" s="1"/>
  <c r="D715" i="11" s="1"/>
  <c r="B715" i="11"/>
  <c r="A716" i="11"/>
  <c r="B716" i="11"/>
  <c r="C716" i="11"/>
  <c r="D716" i="11" s="1"/>
  <c r="A717" i="11"/>
  <c r="C717" i="11" s="1"/>
  <c r="D717" i="11" s="1"/>
  <c r="B717" i="11"/>
  <c r="A718" i="11"/>
  <c r="C718" i="11" s="1"/>
  <c r="D718" i="11" s="1"/>
  <c r="B718" i="11"/>
  <c r="A719" i="11"/>
  <c r="B719" i="11"/>
  <c r="C719" i="11"/>
  <c r="D719" i="11" s="1"/>
  <c r="A720" i="11"/>
  <c r="B720" i="11"/>
  <c r="C720" i="11"/>
  <c r="D720" i="11"/>
  <c r="A721" i="11"/>
  <c r="B721" i="11"/>
  <c r="C721" i="11"/>
  <c r="D721" i="11" s="1"/>
  <c r="A722" i="11"/>
  <c r="C722" i="11" s="1"/>
  <c r="D722" i="11" s="1"/>
  <c r="B722" i="11"/>
  <c r="A723" i="11"/>
  <c r="B723" i="11"/>
  <c r="C723" i="11"/>
  <c r="D723" i="11" s="1"/>
  <c r="A724" i="11"/>
  <c r="C724" i="11" s="1"/>
  <c r="D724" i="11" s="1"/>
  <c r="B724" i="11"/>
  <c r="A725" i="11"/>
  <c r="B725" i="11"/>
  <c r="C725" i="11"/>
  <c r="D725" i="11" s="1"/>
  <c r="A726" i="11"/>
  <c r="B726" i="11"/>
  <c r="C726" i="11"/>
  <c r="D726" i="11" s="1"/>
  <c r="A727" i="11"/>
  <c r="C727" i="11" s="1"/>
  <c r="D727" i="11" s="1"/>
  <c r="B727" i="11"/>
  <c r="A728" i="11"/>
  <c r="B728" i="11"/>
  <c r="C728" i="11"/>
  <c r="D728" i="11"/>
  <c r="A729" i="11"/>
  <c r="B729" i="11"/>
  <c r="C729" i="11"/>
  <c r="D729" i="11" s="1"/>
  <c r="A730" i="11"/>
  <c r="B730" i="11"/>
  <c r="C730" i="11"/>
  <c r="D730" i="11"/>
  <c r="A731" i="11"/>
  <c r="C731" i="11" s="1"/>
  <c r="D731" i="11" s="1"/>
  <c r="B731" i="11"/>
  <c r="A732" i="11"/>
  <c r="B732" i="11"/>
  <c r="C732" i="11"/>
  <c r="D732" i="11" s="1"/>
  <c r="A733" i="11"/>
  <c r="C733" i="11" s="1"/>
  <c r="D733" i="11" s="1"/>
  <c r="B733" i="11"/>
  <c r="A734" i="11"/>
  <c r="C734" i="11" s="1"/>
  <c r="D734" i="11" s="1"/>
  <c r="B734" i="11"/>
  <c r="A735" i="11"/>
  <c r="B735" i="11"/>
  <c r="C735" i="11"/>
  <c r="D735" i="11" s="1"/>
  <c r="A736" i="11"/>
  <c r="B736" i="11"/>
  <c r="C736" i="11"/>
  <c r="D736" i="11"/>
  <c r="A737" i="11"/>
  <c r="B737" i="11"/>
  <c r="C737" i="11"/>
  <c r="D737" i="11" s="1"/>
  <c r="A738" i="11"/>
  <c r="C738" i="11" s="1"/>
  <c r="D738" i="11" s="1"/>
  <c r="B738" i="11"/>
  <c r="A739" i="11"/>
  <c r="B739" i="11"/>
  <c r="C739" i="11"/>
  <c r="D739" i="11" s="1"/>
  <c r="A740" i="11"/>
  <c r="C740" i="11" s="1"/>
  <c r="D740" i="11" s="1"/>
  <c r="B740" i="11"/>
  <c r="A741" i="11"/>
  <c r="B741" i="11"/>
  <c r="C741" i="11"/>
  <c r="D741" i="11" s="1"/>
  <c r="A742" i="11"/>
  <c r="B742" i="11"/>
  <c r="C742" i="11"/>
  <c r="D742" i="11" s="1"/>
  <c r="A743" i="11"/>
  <c r="B743" i="11"/>
  <c r="C743" i="11"/>
  <c r="D743" i="11" s="1"/>
  <c r="A744" i="11"/>
  <c r="B744" i="11"/>
  <c r="C744" i="11"/>
  <c r="D744" i="11"/>
  <c r="A745" i="11"/>
  <c r="B745" i="11"/>
  <c r="C745" i="11"/>
  <c r="D745" i="11" s="1"/>
  <c r="A746" i="11"/>
  <c r="B746" i="11"/>
  <c r="C746" i="11"/>
  <c r="D746" i="11"/>
  <c r="A747" i="11"/>
  <c r="C747" i="11" s="1"/>
  <c r="D747" i="11" s="1"/>
  <c r="B747" i="11"/>
  <c r="A748" i="11"/>
  <c r="B748" i="11"/>
  <c r="C748" i="11"/>
  <c r="D748" i="11" s="1"/>
  <c r="A749" i="11"/>
  <c r="C749" i="11" s="1"/>
  <c r="D749" i="11" s="1"/>
  <c r="B749" i="11"/>
  <c r="A750" i="11"/>
  <c r="B750" i="11"/>
  <c r="C750" i="11"/>
  <c r="D750" i="11"/>
  <c r="A751" i="11"/>
  <c r="B751" i="11"/>
  <c r="C751" i="11"/>
  <c r="D751" i="11" s="1"/>
  <c r="A752" i="11"/>
  <c r="B752" i="11"/>
  <c r="C752" i="11"/>
  <c r="D752" i="11"/>
  <c r="A753" i="11"/>
  <c r="B753" i="11"/>
  <c r="C753" i="11"/>
  <c r="D753" i="11" s="1"/>
  <c r="A754" i="11"/>
  <c r="C754" i="11" s="1"/>
  <c r="D754" i="11" s="1"/>
  <c r="B754" i="11"/>
  <c r="A755" i="11"/>
  <c r="B755" i="11"/>
  <c r="C755" i="11"/>
  <c r="D755" i="11" s="1"/>
  <c r="A756" i="11"/>
  <c r="C756" i="11" s="1"/>
  <c r="D756" i="11" s="1"/>
  <c r="B756" i="11"/>
  <c r="A757" i="11"/>
  <c r="B757" i="11"/>
  <c r="C757" i="11"/>
  <c r="D757" i="11" s="1"/>
  <c r="A758" i="11"/>
  <c r="B758" i="11"/>
  <c r="C758" i="11"/>
  <c r="D758" i="11" s="1"/>
  <c r="A759" i="11"/>
  <c r="B759" i="11"/>
  <c r="C759" i="11"/>
  <c r="D759" i="11" s="1"/>
  <c r="A760" i="11"/>
  <c r="B760" i="11"/>
  <c r="C760" i="11"/>
  <c r="D760" i="11"/>
  <c r="A761" i="11"/>
  <c r="B761" i="11"/>
  <c r="C761" i="11"/>
  <c r="D761" i="11" s="1"/>
  <c r="A2" i="11"/>
  <c r="A3" i="11"/>
  <c r="B2" i="11"/>
  <c r="B3" i="11"/>
  <c r="C3" i="11" s="1"/>
  <c r="C2" i="11"/>
  <c r="D35" i="5" l="1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277" i="5"/>
  <c r="D278" i="5"/>
  <c r="D279" i="5"/>
  <c r="D280" i="5"/>
  <c r="D281" i="5"/>
  <c r="D282" i="5"/>
  <c r="D283" i="5"/>
  <c r="D284" i="5"/>
  <c r="D285" i="5"/>
  <c r="D286" i="5"/>
  <c r="D287" i="5"/>
  <c r="D288" i="5"/>
  <c r="D289" i="5"/>
  <c r="D290" i="5"/>
  <c r="D291" i="5"/>
  <c r="D292" i="5"/>
  <c r="D293" i="5"/>
  <c r="D294" i="5"/>
  <c r="D295" i="5"/>
  <c r="D296" i="5"/>
  <c r="D297" i="5"/>
  <c r="D298" i="5"/>
  <c r="D299" i="5"/>
  <c r="D300" i="5"/>
  <c r="D301" i="5"/>
  <c r="D302" i="5"/>
  <c r="D303" i="5"/>
  <c r="D304" i="5"/>
  <c r="D305" i="5"/>
  <c r="D306" i="5"/>
  <c r="D307" i="5"/>
  <c r="D308" i="5"/>
  <c r="D309" i="5"/>
  <c r="D310" i="5"/>
  <c r="D311" i="5"/>
  <c r="D312" i="5"/>
  <c r="D313" i="5"/>
  <c r="D314" i="5"/>
  <c r="D315" i="5"/>
  <c r="D316" i="5"/>
  <c r="D317" i="5"/>
  <c r="D318" i="5"/>
  <c r="D319" i="5"/>
  <c r="D320" i="5"/>
  <c r="D321" i="5"/>
  <c r="D322" i="5"/>
  <c r="D323" i="5"/>
  <c r="D324" i="5"/>
  <c r="D325" i="5"/>
  <c r="D326" i="5"/>
  <c r="D327" i="5"/>
  <c r="D328" i="5"/>
  <c r="D329" i="5"/>
  <c r="D330" i="5"/>
  <c r="D331" i="5"/>
  <c r="D332" i="5"/>
  <c r="D333" i="5"/>
  <c r="D334" i="5"/>
  <c r="D335" i="5"/>
  <c r="D336" i="5"/>
  <c r="D337" i="5"/>
  <c r="D338" i="5"/>
  <c r="D339" i="5"/>
  <c r="D340" i="5"/>
  <c r="D341" i="5"/>
  <c r="D342" i="5"/>
  <c r="D343" i="5"/>
  <c r="D344" i="5"/>
  <c r="D345" i="5"/>
  <c r="D346" i="5"/>
  <c r="D347" i="5"/>
  <c r="D348" i="5"/>
  <c r="D349" i="5"/>
  <c r="D350" i="5"/>
  <c r="D351" i="5"/>
  <c r="D352" i="5"/>
  <c r="D353" i="5"/>
  <c r="D354" i="5"/>
  <c r="D355" i="5"/>
  <c r="D356" i="5"/>
  <c r="D357" i="5"/>
  <c r="D358" i="5"/>
  <c r="D359" i="5"/>
  <c r="D360" i="5"/>
  <c r="D361" i="5"/>
  <c r="D362" i="5"/>
  <c r="D363" i="5"/>
  <c r="D364" i="5"/>
  <c r="D365" i="5"/>
  <c r="D366" i="5"/>
  <c r="D367" i="5"/>
  <c r="D368" i="5"/>
  <c r="D369" i="5"/>
  <c r="D370" i="5"/>
  <c r="D371" i="5"/>
  <c r="D372" i="5"/>
  <c r="D373" i="5"/>
  <c r="D374" i="5"/>
  <c r="D375" i="5"/>
  <c r="D376" i="5"/>
  <c r="D377" i="5"/>
  <c r="D378" i="5"/>
  <c r="D379" i="5"/>
  <c r="D380" i="5"/>
  <c r="D381" i="5"/>
  <c r="D382" i="5"/>
  <c r="D383" i="5"/>
  <c r="D384" i="5"/>
  <c r="D385" i="5"/>
  <c r="D386" i="5"/>
  <c r="D387" i="5"/>
  <c r="D388" i="5"/>
  <c r="D389" i="5"/>
  <c r="D390" i="5"/>
  <c r="D391" i="5"/>
  <c r="D392" i="5"/>
  <c r="D393" i="5"/>
  <c r="D394" i="5"/>
  <c r="D395" i="5"/>
  <c r="D396" i="5"/>
  <c r="D397" i="5"/>
  <c r="D398" i="5"/>
  <c r="D399" i="5"/>
  <c r="D400" i="5"/>
  <c r="D401" i="5"/>
  <c r="D402" i="5"/>
  <c r="D403" i="5"/>
  <c r="D404" i="5"/>
  <c r="D405" i="5"/>
  <c r="D406" i="5"/>
  <c r="D407" i="5"/>
  <c r="D408" i="5"/>
  <c r="D409" i="5"/>
  <c r="D410" i="5"/>
  <c r="D411" i="5"/>
  <c r="D412" i="5"/>
  <c r="D413" i="5"/>
  <c r="D414" i="5"/>
  <c r="D415" i="5"/>
  <c r="D416" i="5"/>
  <c r="D417" i="5"/>
  <c r="D418" i="5"/>
  <c r="D419" i="5"/>
  <c r="D420" i="5"/>
  <c r="D421" i="5"/>
  <c r="D422" i="5"/>
  <c r="D423" i="5"/>
  <c r="D424" i="5"/>
  <c r="D425" i="5"/>
  <c r="D426" i="5"/>
  <c r="D427" i="5"/>
  <c r="D428" i="5"/>
  <c r="D429" i="5"/>
  <c r="D430" i="5"/>
  <c r="D431" i="5"/>
  <c r="D432" i="5"/>
  <c r="D433" i="5"/>
  <c r="D434" i="5"/>
  <c r="D435" i="5"/>
  <c r="D436" i="5"/>
  <c r="D437" i="5"/>
  <c r="D438" i="5"/>
  <c r="D439" i="5"/>
  <c r="D440" i="5"/>
  <c r="D441" i="5"/>
  <c r="D442" i="5"/>
  <c r="D443" i="5"/>
  <c r="D444" i="5"/>
  <c r="D445" i="5"/>
  <c r="D446" i="5"/>
  <c r="D447" i="5"/>
  <c r="D448" i="5"/>
  <c r="D449" i="5"/>
  <c r="D450" i="5"/>
  <c r="D451" i="5"/>
  <c r="D452" i="5"/>
  <c r="D453" i="5"/>
  <c r="D454" i="5"/>
  <c r="D455" i="5"/>
  <c r="D456" i="5"/>
  <c r="D457" i="5"/>
  <c r="D458" i="5"/>
  <c r="D459" i="5"/>
  <c r="D460" i="5"/>
  <c r="D461" i="5"/>
  <c r="D462" i="5"/>
  <c r="D463" i="5"/>
  <c r="D464" i="5"/>
  <c r="D465" i="5"/>
  <c r="D466" i="5"/>
  <c r="D467" i="5"/>
  <c r="D468" i="5"/>
  <c r="D469" i="5"/>
  <c r="D470" i="5"/>
  <c r="D471" i="5"/>
  <c r="D472" i="5"/>
  <c r="D473" i="5"/>
  <c r="D474" i="5"/>
  <c r="D475" i="5"/>
  <c r="D476" i="5"/>
  <c r="D477" i="5"/>
  <c r="D478" i="5"/>
  <c r="D479" i="5"/>
  <c r="D480" i="5"/>
  <c r="D481" i="5"/>
  <c r="D482" i="5"/>
  <c r="D483" i="5"/>
  <c r="D484" i="5"/>
  <c r="D485" i="5"/>
  <c r="D486" i="5"/>
  <c r="D487" i="5"/>
  <c r="D488" i="5"/>
  <c r="D489" i="5"/>
  <c r="D490" i="5"/>
  <c r="D491" i="5"/>
  <c r="D492" i="5"/>
  <c r="D493" i="5"/>
  <c r="D494" i="5"/>
  <c r="D495" i="5"/>
  <c r="D496" i="5"/>
  <c r="D497" i="5"/>
  <c r="D498" i="5"/>
  <c r="D499" i="5"/>
  <c r="D500" i="5"/>
  <c r="D501" i="5"/>
  <c r="D502" i="5"/>
  <c r="D503" i="5"/>
  <c r="D504" i="5"/>
  <c r="D505" i="5"/>
  <c r="D506" i="5"/>
  <c r="D507" i="5"/>
  <c r="D508" i="5"/>
  <c r="D509" i="5"/>
  <c r="D510" i="5"/>
  <c r="D511" i="5"/>
  <c r="D512" i="5"/>
  <c r="D513" i="5"/>
  <c r="D514" i="5"/>
  <c r="D515" i="5"/>
  <c r="D516" i="5"/>
  <c r="D517" i="5"/>
  <c r="D518" i="5"/>
  <c r="D519" i="5"/>
  <c r="D520" i="5"/>
  <c r="D521" i="5"/>
  <c r="D522" i="5"/>
  <c r="D523" i="5"/>
  <c r="D524" i="5"/>
  <c r="D525" i="5"/>
  <c r="D526" i="5"/>
  <c r="D527" i="5"/>
  <c r="D528" i="5"/>
  <c r="D529" i="5"/>
  <c r="D530" i="5"/>
  <c r="D531" i="5"/>
  <c r="D532" i="5"/>
  <c r="D533" i="5"/>
  <c r="D534" i="5"/>
  <c r="D535" i="5"/>
  <c r="D536" i="5"/>
  <c r="D537" i="5"/>
  <c r="D538" i="5"/>
  <c r="D539" i="5"/>
  <c r="D540" i="5"/>
  <c r="D541" i="5"/>
  <c r="D542" i="5"/>
  <c r="D543" i="5"/>
  <c r="D544" i="5"/>
  <c r="D545" i="5"/>
  <c r="D546" i="5"/>
  <c r="D547" i="5"/>
  <c r="D548" i="5"/>
  <c r="D549" i="5"/>
  <c r="D550" i="5"/>
  <c r="D551" i="5"/>
  <c r="D552" i="5"/>
  <c r="D553" i="5"/>
  <c r="D554" i="5"/>
  <c r="D555" i="5"/>
  <c r="D556" i="5"/>
  <c r="D557" i="5"/>
  <c r="D558" i="5"/>
  <c r="D559" i="5"/>
  <c r="D560" i="5"/>
  <c r="D561" i="5"/>
  <c r="D562" i="5"/>
  <c r="D563" i="5"/>
  <c r="D564" i="5"/>
  <c r="D565" i="5"/>
  <c r="D566" i="5"/>
  <c r="D567" i="5"/>
  <c r="D568" i="5"/>
  <c r="D569" i="5"/>
  <c r="D570" i="5"/>
  <c r="D571" i="5"/>
  <c r="D572" i="5"/>
  <c r="D573" i="5"/>
  <c r="D574" i="5"/>
  <c r="D575" i="5"/>
  <c r="D576" i="5"/>
  <c r="D577" i="5"/>
  <c r="D578" i="5"/>
  <c r="D579" i="5"/>
  <c r="D580" i="5"/>
  <c r="D581" i="5"/>
  <c r="D582" i="5"/>
  <c r="D583" i="5"/>
  <c r="D584" i="5"/>
  <c r="D585" i="5"/>
  <c r="D586" i="5"/>
  <c r="D587" i="5"/>
  <c r="D588" i="5"/>
  <c r="D589" i="5"/>
  <c r="D590" i="5"/>
  <c r="D591" i="5"/>
  <c r="D592" i="5"/>
  <c r="D593" i="5"/>
  <c r="D594" i="5"/>
  <c r="D595" i="5"/>
  <c r="D596" i="5"/>
  <c r="D597" i="5"/>
  <c r="D598" i="5"/>
  <c r="D599" i="5"/>
  <c r="D600" i="5"/>
  <c r="D601" i="5"/>
  <c r="D602" i="5"/>
  <c r="D603" i="5"/>
  <c r="D604" i="5"/>
  <c r="D605" i="5"/>
  <c r="D606" i="5"/>
  <c r="D607" i="5"/>
  <c r="D608" i="5"/>
  <c r="D609" i="5"/>
  <c r="D610" i="5"/>
  <c r="D611" i="5"/>
  <c r="D612" i="5"/>
  <c r="D613" i="5"/>
  <c r="D614" i="5"/>
  <c r="D615" i="5"/>
  <c r="D616" i="5"/>
  <c r="D617" i="5"/>
  <c r="D618" i="5"/>
  <c r="D619" i="5"/>
  <c r="D620" i="5"/>
  <c r="D621" i="5"/>
  <c r="D622" i="5"/>
  <c r="D623" i="5"/>
  <c r="D624" i="5"/>
  <c r="D625" i="5"/>
  <c r="D626" i="5"/>
  <c r="D627" i="5"/>
  <c r="D628" i="5"/>
  <c r="D629" i="5"/>
  <c r="D630" i="5"/>
  <c r="D631" i="5"/>
  <c r="D632" i="5"/>
  <c r="D633" i="5"/>
  <c r="D634" i="5"/>
  <c r="D635" i="5"/>
  <c r="D636" i="5"/>
  <c r="D637" i="5"/>
  <c r="D638" i="5"/>
  <c r="D639" i="5"/>
  <c r="D640" i="5"/>
  <c r="D641" i="5"/>
  <c r="D642" i="5"/>
  <c r="D643" i="5"/>
  <c r="D644" i="5"/>
  <c r="D645" i="5"/>
  <c r="D646" i="5"/>
  <c r="D647" i="5"/>
  <c r="D648" i="5"/>
  <c r="D649" i="5"/>
  <c r="D650" i="5"/>
  <c r="D651" i="5"/>
  <c r="D652" i="5"/>
  <c r="D653" i="5"/>
  <c r="D654" i="5"/>
  <c r="D655" i="5"/>
  <c r="D656" i="5"/>
  <c r="D657" i="5"/>
  <c r="D658" i="5"/>
  <c r="D659" i="5"/>
  <c r="D660" i="5"/>
  <c r="D661" i="5"/>
  <c r="D662" i="5"/>
  <c r="D663" i="5"/>
  <c r="D664" i="5"/>
  <c r="D665" i="5"/>
  <c r="D666" i="5"/>
  <c r="D667" i="5"/>
  <c r="D668" i="5"/>
  <c r="D669" i="5"/>
  <c r="D670" i="5"/>
  <c r="D671" i="5"/>
  <c r="D672" i="5"/>
  <c r="D673" i="5"/>
  <c r="D674" i="5"/>
  <c r="D675" i="5"/>
  <c r="D676" i="5"/>
  <c r="D677" i="5"/>
  <c r="D678" i="5"/>
  <c r="D679" i="5"/>
  <c r="D680" i="5"/>
  <c r="D681" i="5"/>
  <c r="D682" i="5"/>
  <c r="D683" i="5"/>
  <c r="D684" i="5"/>
  <c r="D685" i="5"/>
  <c r="D686" i="5"/>
  <c r="D687" i="5"/>
  <c r="D688" i="5"/>
  <c r="D689" i="5"/>
  <c r="D690" i="5"/>
  <c r="D691" i="5"/>
  <c r="D692" i="5"/>
  <c r="D693" i="5"/>
  <c r="D694" i="5"/>
  <c r="D695" i="5"/>
  <c r="D696" i="5"/>
  <c r="D697" i="5"/>
  <c r="D698" i="5"/>
  <c r="D699" i="5"/>
  <c r="D700" i="5"/>
  <c r="D701" i="5"/>
  <c r="D702" i="5"/>
  <c r="F2" i="2" l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F2" i="7"/>
  <c r="B1739" i="19" l="1"/>
  <c r="D436" i="2"/>
  <c r="D116" i="2"/>
  <c r="D648" i="2"/>
  <c r="D653" i="2"/>
  <c r="D45" i="2"/>
  <c r="D346" i="2"/>
  <c r="D547" i="2"/>
  <c r="D556" i="2"/>
  <c r="O3" i="4" l="1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O248" i="4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2" i="4"/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2" i="5"/>
  <c r="B101" i="14" l="1"/>
  <c r="D101" i="14"/>
  <c r="B102" i="14"/>
  <c r="D102" i="14"/>
  <c r="B7" i="19"/>
  <c r="B4" i="19"/>
  <c r="B2" i="19"/>
  <c r="B6" i="19"/>
  <c r="B9" i="19"/>
  <c r="B8" i="19"/>
  <c r="B10" i="19"/>
  <c r="B3" i="19"/>
  <c r="B15" i="19"/>
  <c r="B14" i="19"/>
  <c r="B12" i="19"/>
  <c r="B19" i="19"/>
  <c r="B18" i="19"/>
  <c r="B11" i="19"/>
  <c r="B17" i="19"/>
  <c r="B16" i="19"/>
  <c r="B13" i="19"/>
  <c r="B26" i="19"/>
  <c r="B24" i="19"/>
  <c r="B27" i="19"/>
  <c r="B25" i="19"/>
  <c r="B28" i="19"/>
  <c r="B21" i="19"/>
  <c r="B22" i="19"/>
  <c r="B23" i="19"/>
  <c r="B20" i="19"/>
  <c r="B31" i="19"/>
  <c r="B29" i="19"/>
  <c r="B37" i="19"/>
  <c r="B33" i="19"/>
  <c r="B34" i="19"/>
  <c r="B30" i="19"/>
  <c r="B35" i="19"/>
  <c r="B32" i="19"/>
  <c r="B36" i="19"/>
  <c r="B41" i="19"/>
  <c r="B38" i="19"/>
  <c r="B46" i="19"/>
  <c r="B43" i="19"/>
  <c r="B45" i="19"/>
  <c r="B39" i="19"/>
  <c r="B44" i="19"/>
  <c r="B42" i="19"/>
  <c r="B40" i="19"/>
  <c r="B50" i="19"/>
  <c r="B47" i="19"/>
  <c r="B55" i="19"/>
  <c r="B52" i="19"/>
  <c r="B48" i="19"/>
  <c r="B49" i="19"/>
  <c r="B54" i="19"/>
  <c r="B53" i="19"/>
  <c r="B51" i="19"/>
  <c r="B56" i="19"/>
  <c r="B58" i="19"/>
  <c r="B62" i="19"/>
  <c r="B57" i="19"/>
  <c r="B61" i="19"/>
  <c r="B63" i="19"/>
  <c r="B60" i="19"/>
  <c r="B59" i="19"/>
  <c r="B64" i="19"/>
  <c r="B70" i="19"/>
  <c r="B65" i="19"/>
  <c r="B68" i="19"/>
  <c r="B67" i="19"/>
  <c r="B69" i="19"/>
  <c r="B73" i="19"/>
  <c r="B71" i="19"/>
  <c r="B72" i="19"/>
  <c r="B66" i="19"/>
  <c r="B75" i="19"/>
  <c r="B80" i="19"/>
  <c r="B79" i="19"/>
  <c r="B82" i="19"/>
  <c r="B78" i="19"/>
  <c r="B81" i="19"/>
  <c r="B76" i="19"/>
  <c r="B77" i="19"/>
  <c r="B74" i="19"/>
  <c r="B90" i="19"/>
  <c r="B84" i="19"/>
  <c r="B85" i="19"/>
  <c r="B91" i="19"/>
  <c r="B86" i="19"/>
  <c r="B88" i="19"/>
  <c r="B87" i="19"/>
  <c r="B83" i="19"/>
  <c r="B89" i="19"/>
  <c r="B92" i="19"/>
  <c r="B93" i="19"/>
  <c r="B99" i="19"/>
  <c r="B100" i="19"/>
  <c r="B96" i="19"/>
  <c r="B94" i="19"/>
  <c r="B98" i="19"/>
  <c r="B97" i="19"/>
  <c r="B95" i="19"/>
  <c r="B106" i="19"/>
  <c r="B108" i="19"/>
  <c r="B105" i="19"/>
  <c r="B107" i="19"/>
  <c r="B109" i="19"/>
  <c r="B104" i="19"/>
  <c r="B103" i="19"/>
  <c r="B101" i="19"/>
  <c r="B102" i="19"/>
  <c r="B114" i="19"/>
  <c r="B111" i="19"/>
  <c r="B117" i="19"/>
  <c r="B110" i="19"/>
  <c r="B112" i="19"/>
  <c r="B115" i="19"/>
  <c r="B116" i="19"/>
  <c r="B113" i="19"/>
  <c r="B118" i="19"/>
  <c r="B125" i="19"/>
  <c r="B127" i="19"/>
  <c r="B119" i="19"/>
  <c r="B122" i="19"/>
  <c r="B120" i="19"/>
  <c r="B123" i="19"/>
  <c r="B126" i="19"/>
  <c r="B121" i="19"/>
  <c r="B124" i="19"/>
  <c r="B134" i="19"/>
  <c r="B131" i="19"/>
  <c r="B129" i="19"/>
  <c r="B133" i="19"/>
  <c r="B136" i="19"/>
  <c r="B128" i="19"/>
  <c r="B135" i="19"/>
  <c r="B130" i="19"/>
  <c r="B132" i="19"/>
  <c r="B139" i="19"/>
  <c r="B141" i="19"/>
  <c r="B138" i="19"/>
  <c r="B145" i="19"/>
  <c r="B144" i="19"/>
  <c r="B137" i="19"/>
  <c r="B142" i="19"/>
  <c r="B140" i="19"/>
  <c r="B143" i="19"/>
  <c r="B148" i="19"/>
  <c r="B154" i="19"/>
  <c r="B150" i="19"/>
  <c r="B151" i="19"/>
  <c r="B153" i="19"/>
  <c r="B147" i="19"/>
  <c r="B146" i="19"/>
  <c r="B152" i="19"/>
  <c r="B149" i="19"/>
  <c r="B157" i="19"/>
  <c r="B158" i="19"/>
  <c r="B160" i="19"/>
  <c r="B161" i="19"/>
  <c r="B159" i="19"/>
  <c r="B156" i="19"/>
  <c r="B155" i="19"/>
  <c r="B162" i="19"/>
  <c r="B163" i="19"/>
  <c r="B169" i="19"/>
  <c r="B170" i="19"/>
  <c r="B164" i="19"/>
  <c r="B171" i="19"/>
  <c r="B167" i="19"/>
  <c r="B168" i="19"/>
  <c r="B165" i="19"/>
  <c r="B166" i="19"/>
  <c r="B172" i="19"/>
  <c r="B181" i="19"/>
  <c r="B180" i="19"/>
  <c r="B178" i="19"/>
  <c r="B175" i="19"/>
  <c r="B179" i="19"/>
  <c r="B174" i="19"/>
  <c r="B173" i="19"/>
  <c r="B176" i="19"/>
  <c r="B177" i="19"/>
  <c r="B183" i="19"/>
  <c r="B187" i="19"/>
  <c r="B186" i="19"/>
  <c r="B184" i="19"/>
  <c r="B189" i="19"/>
  <c r="B185" i="19"/>
  <c r="B188" i="19"/>
  <c r="B190" i="19"/>
  <c r="B182" i="19"/>
  <c r="B193" i="19"/>
  <c r="B198" i="19"/>
  <c r="B196" i="19"/>
  <c r="B194" i="19"/>
  <c r="B191" i="19"/>
  <c r="B192" i="19"/>
  <c r="B199" i="19"/>
  <c r="B197" i="19"/>
  <c r="B195" i="19"/>
  <c r="B206" i="19"/>
  <c r="B203" i="19"/>
  <c r="B208" i="19"/>
  <c r="B202" i="19"/>
  <c r="B207" i="19"/>
  <c r="B201" i="19"/>
  <c r="B205" i="19"/>
  <c r="B200" i="19"/>
  <c r="B204" i="19"/>
  <c r="B216" i="19"/>
  <c r="B217" i="19"/>
  <c r="B212" i="19"/>
  <c r="B214" i="19"/>
  <c r="B209" i="19"/>
  <c r="B211" i="19"/>
  <c r="B210" i="19"/>
  <c r="B215" i="19"/>
  <c r="B213" i="19"/>
  <c r="B225" i="19"/>
  <c r="B222" i="19"/>
  <c r="B224" i="19"/>
  <c r="B220" i="19"/>
  <c r="B226" i="19"/>
  <c r="B218" i="19"/>
  <c r="B223" i="19"/>
  <c r="B219" i="19"/>
  <c r="B221" i="19"/>
  <c r="B234" i="19"/>
  <c r="B229" i="19"/>
  <c r="B231" i="19"/>
  <c r="B228" i="19"/>
  <c r="B235" i="19"/>
  <c r="B227" i="19"/>
  <c r="B230" i="19"/>
  <c r="B232" i="19"/>
  <c r="B233" i="19"/>
  <c r="B236" i="19"/>
  <c r="B243" i="19"/>
  <c r="B239" i="19"/>
  <c r="B237" i="19"/>
  <c r="B242" i="19"/>
  <c r="B244" i="19"/>
  <c r="B241" i="19"/>
  <c r="B238" i="19"/>
  <c r="B240" i="19"/>
  <c r="B247" i="19"/>
  <c r="B248" i="19"/>
  <c r="B253" i="19"/>
  <c r="B251" i="19"/>
  <c r="B245" i="19"/>
  <c r="B249" i="19"/>
  <c r="B252" i="19"/>
  <c r="B246" i="19"/>
  <c r="B250" i="19"/>
  <c r="B257" i="19"/>
  <c r="B255" i="19"/>
  <c r="B261" i="19"/>
  <c r="B258" i="19"/>
  <c r="B260" i="19"/>
  <c r="B256" i="19"/>
  <c r="B254" i="19"/>
  <c r="B259" i="19"/>
  <c r="B262" i="19"/>
  <c r="B266" i="19"/>
  <c r="B265" i="19"/>
  <c r="B268" i="19"/>
  <c r="B263" i="19"/>
  <c r="B270" i="19"/>
  <c r="B264" i="19"/>
  <c r="B269" i="19"/>
  <c r="B267" i="19"/>
  <c r="B271" i="19"/>
  <c r="B280" i="19"/>
  <c r="B275" i="19"/>
  <c r="B273" i="19"/>
  <c r="B274" i="19"/>
  <c r="B272" i="19"/>
  <c r="B277" i="19"/>
  <c r="B278" i="19"/>
  <c r="B279" i="19"/>
  <c r="B276" i="19"/>
  <c r="B284" i="19"/>
  <c r="B282" i="19"/>
  <c r="B283" i="19"/>
  <c r="B288" i="19"/>
  <c r="B281" i="19"/>
  <c r="B285" i="19"/>
  <c r="B289" i="19"/>
  <c r="B287" i="19"/>
  <c r="B286" i="19"/>
  <c r="B298" i="19"/>
  <c r="B295" i="19"/>
  <c r="B293" i="19"/>
  <c r="B291" i="19"/>
  <c r="B292" i="19"/>
  <c r="B290" i="19"/>
  <c r="B297" i="19"/>
  <c r="B296" i="19"/>
  <c r="B294" i="19"/>
  <c r="B306" i="19"/>
  <c r="B307" i="19"/>
  <c r="B301" i="19"/>
  <c r="B299" i="19"/>
  <c r="B300" i="19"/>
  <c r="B304" i="19"/>
  <c r="B305" i="19"/>
  <c r="B302" i="19"/>
  <c r="B303" i="19"/>
  <c r="B308" i="19"/>
  <c r="B316" i="19"/>
  <c r="B310" i="19"/>
  <c r="B313" i="19"/>
  <c r="B311" i="19"/>
  <c r="B312" i="19"/>
  <c r="B309" i="19"/>
  <c r="B314" i="19"/>
  <c r="B315" i="19"/>
  <c r="B317" i="19"/>
  <c r="B321" i="19"/>
  <c r="B320" i="19"/>
  <c r="B323" i="19"/>
  <c r="B318" i="19"/>
  <c r="B325" i="19"/>
  <c r="B324" i="19"/>
  <c r="B322" i="19"/>
  <c r="B319" i="19"/>
  <c r="B331" i="19"/>
  <c r="B332" i="19"/>
  <c r="B326" i="19"/>
  <c r="B333" i="19"/>
  <c r="B334" i="19"/>
  <c r="B328" i="19"/>
  <c r="B329" i="19"/>
  <c r="B330" i="19"/>
  <c r="B327" i="19"/>
  <c r="B338" i="19"/>
  <c r="B341" i="19"/>
  <c r="B335" i="19"/>
  <c r="B343" i="19"/>
  <c r="B339" i="19"/>
  <c r="B340" i="19"/>
  <c r="B342" i="19"/>
  <c r="B336" i="19"/>
  <c r="B337" i="19"/>
  <c r="B345" i="19"/>
  <c r="B347" i="19"/>
  <c r="B351" i="19"/>
  <c r="B349" i="19"/>
  <c r="B348" i="19"/>
  <c r="B344" i="19"/>
  <c r="B350" i="19"/>
  <c r="B352" i="19"/>
  <c r="B346" i="19"/>
  <c r="B361" i="19"/>
  <c r="B355" i="19"/>
  <c r="B353" i="19"/>
  <c r="B358" i="19"/>
  <c r="B357" i="19"/>
  <c r="B360" i="19"/>
  <c r="B354" i="19"/>
  <c r="B356" i="19"/>
  <c r="B359" i="19"/>
  <c r="B367" i="19"/>
  <c r="B362" i="19"/>
  <c r="B365" i="19"/>
  <c r="B366" i="19"/>
  <c r="B363" i="19"/>
  <c r="B370" i="19"/>
  <c r="B364" i="19"/>
  <c r="B369" i="19"/>
  <c r="B368" i="19"/>
  <c r="B375" i="19"/>
  <c r="B374" i="19"/>
  <c r="B378" i="19"/>
  <c r="B372" i="19"/>
  <c r="B377" i="19"/>
  <c r="B379" i="19"/>
  <c r="B371" i="19"/>
  <c r="B373" i="19"/>
  <c r="B376" i="19"/>
  <c r="B385" i="19"/>
  <c r="B384" i="19"/>
  <c r="B380" i="19"/>
  <c r="B381" i="19"/>
  <c r="B383" i="19"/>
  <c r="B388" i="19"/>
  <c r="B382" i="19"/>
  <c r="B386" i="19"/>
  <c r="B387" i="19"/>
  <c r="B391" i="19"/>
  <c r="B392" i="19"/>
  <c r="B395" i="19"/>
  <c r="B394" i="19"/>
  <c r="B396" i="19"/>
  <c r="B393" i="19"/>
  <c r="B397" i="19"/>
  <c r="B389" i="19"/>
  <c r="B390" i="19"/>
  <c r="B399" i="19"/>
  <c r="B402" i="19"/>
  <c r="B405" i="19"/>
  <c r="B401" i="19"/>
  <c r="B403" i="19"/>
  <c r="B398" i="19"/>
  <c r="B400" i="19"/>
  <c r="B404" i="19"/>
  <c r="B406" i="19"/>
  <c r="B414" i="19"/>
  <c r="B412" i="19"/>
  <c r="B408" i="19"/>
  <c r="B407" i="19"/>
  <c r="B411" i="19"/>
  <c r="B415" i="19"/>
  <c r="B413" i="19"/>
  <c r="B409" i="19"/>
  <c r="B410" i="19"/>
  <c r="B423" i="19"/>
  <c r="B421" i="19"/>
  <c r="B424" i="19"/>
  <c r="B418" i="19"/>
  <c r="B419" i="19"/>
  <c r="B417" i="19"/>
  <c r="B422" i="19"/>
  <c r="B416" i="19"/>
  <c r="B420" i="19"/>
  <c r="B432" i="19"/>
  <c r="B428" i="19"/>
  <c r="B427" i="19"/>
  <c r="B431" i="19"/>
  <c r="B425" i="19"/>
  <c r="B426" i="19"/>
  <c r="B429" i="19"/>
  <c r="B430" i="19"/>
  <c r="B433" i="19"/>
  <c r="B441" i="19"/>
  <c r="B434" i="19"/>
  <c r="B437" i="19"/>
  <c r="B435" i="19"/>
  <c r="B442" i="19"/>
  <c r="B436" i="19"/>
  <c r="B439" i="19"/>
  <c r="B440" i="19"/>
  <c r="B438" i="19"/>
  <c r="B446" i="19"/>
  <c r="B447" i="19"/>
  <c r="B448" i="19"/>
  <c r="B445" i="19"/>
  <c r="B451" i="19"/>
  <c r="B443" i="19"/>
  <c r="B449" i="19"/>
  <c r="B450" i="19"/>
  <c r="B444" i="19"/>
  <c r="B459" i="19"/>
  <c r="B455" i="19"/>
  <c r="B458" i="19"/>
  <c r="B460" i="19"/>
  <c r="B452" i="19"/>
  <c r="B456" i="19"/>
  <c r="B457" i="19"/>
  <c r="B453" i="19"/>
  <c r="B454" i="19"/>
  <c r="B464" i="19"/>
  <c r="B466" i="19"/>
  <c r="B467" i="19"/>
  <c r="B461" i="19"/>
  <c r="B469" i="19"/>
  <c r="B468" i="19"/>
  <c r="B462" i="19"/>
  <c r="B465" i="19"/>
  <c r="B463" i="19"/>
  <c r="B475" i="19"/>
  <c r="B478" i="19"/>
  <c r="B473" i="19"/>
  <c r="B471" i="19"/>
  <c r="B477" i="19"/>
  <c r="B470" i="19"/>
  <c r="B476" i="19"/>
  <c r="B472" i="19"/>
  <c r="B474" i="19"/>
  <c r="B479" i="19"/>
  <c r="B481" i="19"/>
  <c r="B487" i="19"/>
  <c r="B484" i="19"/>
  <c r="B485" i="19"/>
  <c r="B483" i="19"/>
  <c r="B482" i="19"/>
  <c r="B486" i="19"/>
  <c r="B480" i="19"/>
  <c r="B492" i="19"/>
  <c r="B489" i="19"/>
  <c r="B488" i="19"/>
  <c r="B494" i="19"/>
  <c r="B490" i="19"/>
  <c r="B491" i="19"/>
  <c r="B496" i="19"/>
  <c r="B493" i="19"/>
  <c r="B495" i="19"/>
  <c r="B502" i="19"/>
  <c r="B499" i="19"/>
  <c r="B504" i="19"/>
  <c r="B500" i="19"/>
  <c r="B501" i="19"/>
  <c r="B498" i="19"/>
  <c r="B505" i="19"/>
  <c r="B503" i="19"/>
  <c r="B497" i="19"/>
  <c r="B514" i="19"/>
  <c r="B510" i="19"/>
  <c r="B509" i="19"/>
  <c r="B511" i="19"/>
  <c r="B506" i="19"/>
  <c r="B508" i="19"/>
  <c r="B513" i="19"/>
  <c r="B507" i="19"/>
  <c r="B512" i="19"/>
  <c r="B517" i="19"/>
  <c r="B515" i="19"/>
  <c r="B516" i="19"/>
  <c r="B518" i="19"/>
  <c r="B522" i="19"/>
  <c r="B520" i="19"/>
  <c r="B523" i="19"/>
  <c r="B519" i="19"/>
  <c r="B521" i="19"/>
  <c r="B532" i="19"/>
  <c r="B524" i="19"/>
  <c r="B528" i="19"/>
  <c r="B529" i="19"/>
  <c r="B525" i="19"/>
  <c r="B526" i="19"/>
  <c r="B531" i="19"/>
  <c r="B530" i="19"/>
  <c r="B527" i="19"/>
  <c r="B541" i="19"/>
  <c r="B537" i="19"/>
  <c r="B534" i="19"/>
  <c r="B538" i="19"/>
  <c r="B539" i="19"/>
  <c r="B536" i="19"/>
  <c r="B540" i="19"/>
  <c r="B533" i="19"/>
  <c r="B535" i="19"/>
  <c r="B547" i="19"/>
  <c r="B546" i="19"/>
  <c r="B543" i="19"/>
  <c r="B549" i="19"/>
  <c r="B548" i="19"/>
  <c r="B544" i="19"/>
  <c r="B545" i="19"/>
  <c r="B550" i="19"/>
  <c r="B542" i="19"/>
  <c r="B557" i="19"/>
  <c r="B555" i="19"/>
  <c r="B553" i="19"/>
  <c r="B556" i="19"/>
  <c r="B551" i="19"/>
  <c r="B554" i="19"/>
  <c r="B558" i="19"/>
  <c r="B559" i="19"/>
  <c r="B552" i="19"/>
  <c r="B567" i="19"/>
  <c r="B560" i="19"/>
  <c r="B565" i="19"/>
  <c r="B568" i="19"/>
  <c r="B564" i="19"/>
  <c r="B566" i="19"/>
  <c r="B563" i="19"/>
  <c r="B562" i="19"/>
  <c r="B561" i="19"/>
  <c r="B569" i="19"/>
  <c r="B571" i="19"/>
  <c r="B573" i="19"/>
  <c r="B574" i="19"/>
  <c r="B572" i="19"/>
  <c r="B570" i="19"/>
  <c r="B576" i="19"/>
  <c r="B575" i="19"/>
  <c r="B577" i="19"/>
  <c r="B583" i="19"/>
  <c r="B585" i="19"/>
  <c r="B582" i="19"/>
  <c r="B578" i="19"/>
  <c r="B584" i="19"/>
  <c r="B581" i="19"/>
  <c r="B579" i="19"/>
  <c r="B580" i="19"/>
  <c r="B586" i="19"/>
  <c r="B594" i="19"/>
  <c r="B591" i="19"/>
  <c r="B590" i="19"/>
  <c r="B587" i="19"/>
  <c r="B595" i="19"/>
  <c r="B593" i="19"/>
  <c r="B592" i="19"/>
  <c r="B588" i="19"/>
  <c r="B589" i="19"/>
  <c r="B597" i="19"/>
  <c r="B600" i="19"/>
  <c r="B603" i="19"/>
  <c r="B596" i="19"/>
  <c r="B604" i="19"/>
  <c r="B602" i="19"/>
  <c r="B598" i="19"/>
  <c r="B601" i="19"/>
  <c r="B599" i="19"/>
  <c r="B607" i="19"/>
  <c r="B613" i="19"/>
  <c r="B606" i="19"/>
  <c r="B605" i="19"/>
  <c r="B612" i="19"/>
  <c r="B609" i="19"/>
  <c r="B608" i="19"/>
  <c r="B610" i="19"/>
  <c r="B611" i="19"/>
  <c r="B621" i="19"/>
  <c r="B619" i="19"/>
  <c r="B615" i="19"/>
  <c r="B616" i="19"/>
  <c r="B614" i="19"/>
  <c r="B620" i="19"/>
  <c r="B618" i="19"/>
  <c r="B617" i="19"/>
  <c r="B622" i="19"/>
  <c r="B626" i="19"/>
  <c r="B628" i="19"/>
  <c r="B629" i="19"/>
  <c r="B624" i="19"/>
  <c r="B623" i="19"/>
  <c r="B627" i="19"/>
  <c r="B625" i="19"/>
  <c r="B630" i="19"/>
  <c r="B631" i="19"/>
  <c r="B640" i="19"/>
  <c r="B634" i="19"/>
  <c r="B638" i="19"/>
  <c r="B636" i="19"/>
  <c r="B637" i="19"/>
  <c r="B639" i="19"/>
  <c r="B635" i="19"/>
  <c r="B633" i="19"/>
  <c r="B632" i="19"/>
  <c r="B649" i="19"/>
  <c r="B646" i="19"/>
  <c r="B645" i="19"/>
  <c r="B644" i="19"/>
  <c r="B647" i="19"/>
  <c r="B642" i="19"/>
  <c r="B643" i="19"/>
  <c r="B641" i="19"/>
  <c r="B648" i="19"/>
  <c r="B652" i="19"/>
  <c r="B651" i="19"/>
  <c r="B653" i="19"/>
  <c r="B650" i="19"/>
  <c r="B654" i="19"/>
  <c r="B658" i="19"/>
  <c r="B657" i="19"/>
  <c r="B655" i="19"/>
  <c r="B656" i="19"/>
  <c r="B664" i="19"/>
  <c r="B667" i="19"/>
  <c r="B662" i="19"/>
  <c r="B666" i="19"/>
  <c r="B665" i="19"/>
  <c r="B663" i="19"/>
  <c r="B659" i="19"/>
  <c r="B660" i="19"/>
  <c r="B661" i="19"/>
  <c r="B673" i="19"/>
  <c r="B669" i="19"/>
  <c r="B674" i="19"/>
  <c r="B676" i="19"/>
  <c r="B672" i="19"/>
  <c r="B670" i="19"/>
  <c r="B671" i="19"/>
  <c r="B668" i="19"/>
  <c r="B675" i="19"/>
  <c r="B683" i="19"/>
  <c r="B682" i="19"/>
  <c r="B677" i="19"/>
  <c r="B679" i="19"/>
  <c r="B684" i="19"/>
  <c r="B685" i="19"/>
  <c r="B680" i="19"/>
  <c r="B681" i="19"/>
  <c r="B678" i="19"/>
  <c r="B688" i="19"/>
  <c r="B694" i="19"/>
  <c r="B693" i="19"/>
  <c r="B689" i="19"/>
  <c r="B686" i="19"/>
  <c r="B690" i="19"/>
  <c r="B687" i="19"/>
  <c r="B691" i="19"/>
  <c r="B692" i="19"/>
  <c r="B695" i="19"/>
  <c r="B696" i="19"/>
  <c r="B698" i="19"/>
  <c r="B699" i="19"/>
  <c r="B701" i="19"/>
  <c r="B702" i="19"/>
  <c r="B700" i="19"/>
  <c r="B697" i="19"/>
  <c r="B703" i="19"/>
  <c r="B712" i="19"/>
  <c r="B711" i="19"/>
  <c r="B707" i="19"/>
  <c r="B705" i="19"/>
  <c r="B704" i="19"/>
  <c r="B709" i="19"/>
  <c r="B708" i="19"/>
  <c r="B710" i="19"/>
  <c r="B706" i="19"/>
  <c r="B718" i="19"/>
  <c r="B721" i="19"/>
  <c r="B714" i="19"/>
  <c r="B716" i="19"/>
  <c r="B719" i="19"/>
  <c r="B717" i="19"/>
  <c r="B715" i="19"/>
  <c r="B713" i="19"/>
  <c r="B720" i="19"/>
  <c r="B725" i="19"/>
  <c r="B722" i="19"/>
  <c r="B723" i="19"/>
  <c r="B726" i="19"/>
  <c r="B724" i="19"/>
  <c r="B730" i="19"/>
  <c r="B728" i="19"/>
  <c r="B727" i="19"/>
  <c r="B729" i="19"/>
  <c r="B738" i="19"/>
  <c r="B735" i="19"/>
  <c r="B737" i="19"/>
  <c r="B736" i="19"/>
  <c r="B732" i="19"/>
  <c r="B734" i="19"/>
  <c r="B733" i="19"/>
  <c r="B731" i="19"/>
  <c r="B739" i="19"/>
  <c r="B741" i="19"/>
  <c r="B744" i="19"/>
  <c r="B743" i="19"/>
  <c r="B745" i="19"/>
  <c r="B746" i="19"/>
  <c r="B740" i="19"/>
  <c r="B742" i="19"/>
  <c r="B748" i="19"/>
  <c r="B747" i="19"/>
  <c r="B755" i="19"/>
  <c r="B749" i="19"/>
  <c r="B756" i="19"/>
  <c r="B754" i="19"/>
  <c r="B757" i="19"/>
  <c r="B751" i="19"/>
  <c r="B753" i="19"/>
  <c r="B752" i="19"/>
  <c r="B750" i="19"/>
  <c r="B759" i="19"/>
  <c r="B761" i="19"/>
  <c r="B758" i="19"/>
  <c r="B765" i="19"/>
  <c r="B766" i="19"/>
  <c r="B760" i="19"/>
  <c r="B763" i="19"/>
  <c r="B762" i="19"/>
  <c r="B764" i="19"/>
  <c r="B768" i="19"/>
  <c r="B775" i="19"/>
  <c r="B767" i="19"/>
  <c r="B770" i="19"/>
  <c r="B769" i="19"/>
  <c r="B772" i="19"/>
  <c r="B771" i="19"/>
  <c r="B773" i="19"/>
  <c r="B774" i="19"/>
  <c r="B781" i="19"/>
  <c r="B783" i="19"/>
  <c r="B782" i="19"/>
  <c r="B778" i="19"/>
  <c r="B780" i="19"/>
  <c r="B776" i="19"/>
  <c r="B779" i="19"/>
  <c r="B784" i="19"/>
  <c r="B777" i="19"/>
  <c r="B786" i="19"/>
  <c r="B789" i="19"/>
  <c r="B788" i="19"/>
  <c r="B793" i="19"/>
  <c r="B785" i="19"/>
  <c r="B792" i="19"/>
  <c r="B790" i="19"/>
  <c r="B787" i="19"/>
  <c r="B791" i="19"/>
  <c r="B795" i="19"/>
  <c r="B801" i="19"/>
  <c r="B797" i="19"/>
  <c r="B799" i="19"/>
  <c r="B802" i="19"/>
  <c r="B798" i="19"/>
  <c r="B794" i="19"/>
  <c r="B796" i="19"/>
  <c r="B800" i="19"/>
  <c r="B809" i="19"/>
  <c r="B805" i="19"/>
  <c r="B808" i="19"/>
  <c r="B804" i="19"/>
  <c r="B810" i="19"/>
  <c r="B803" i="19"/>
  <c r="B807" i="19"/>
  <c r="B811" i="19"/>
  <c r="B806" i="19"/>
  <c r="B814" i="19"/>
  <c r="B813" i="19"/>
  <c r="B819" i="19"/>
  <c r="B815" i="19"/>
  <c r="B818" i="19"/>
  <c r="B816" i="19"/>
  <c r="B817" i="19"/>
  <c r="B820" i="19"/>
  <c r="B812" i="19"/>
  <c r="B821" i="19"/>
  <c r="B823" i="19"/>
  <c r="B824" i="19"/>
  <c r="B826" i="19"/>
  <c r="B829" i="19"/>
  <c r="B827" i="19"/>
  <c r="B828" i="19"/>
  <c r="B822" i="19"/>
  <c r="B825" i="19"/>
  <c r="B834" i="19"/>
  <c r="B835" i="19"/>
  <c r="B831" i="19"/>
  <c r="B837" i="19"/>
  <c r="B833" i="19"/>
  <c r="B830" i="19"/>
  <c r="B838" i="19"/>
  <c r="B832" i="19"/>
  <c r="B836" i="19"/>
  <c r="B845" i="19"/>
  <c r="B839" i="19"/>
  <c r="B847" i="19"/>
  <c r="B842" i="19"/>
  <c r="B844" i="19"/>
  <c r="B846" i="19"/>
  <c r="B843" i="19"/>
  <c r="B841" i="19"/>
  <c r="B840" i="19"/>
  <c r="B853" i="19"/>
  <c r="B855" i="19"/>
  <c r="B851" i="19"/>
  <c r="B852" i="19"/>
  <c r="B854" i="19"/>
  <c r="B850" i="19"/>
  <c r="B856" i="19"/>
  <c r="B848" i="19"/>
  <c r="B849" i="19"/>
  <c r="B861" i="19"/>
  <c r="B860" i="19"/>
  <c r="B858" i="19"/>
  <c r="B862" i="19"/>
  <c r="B864" i="19"/>
  <c r="B857" i="19"/>
  <c r="B859" i="19"/>
  <c r="B865" i="19"/>
  <c r="B863" i="19"/>
  <c r="B874" i="19"/>
  <c r="B870" i="19"/>
  <c r="B868" i="19"/>
  <c r="B873" i="19"/>
  <c r="B872" i="19"/>
  <c r="B869" i="19"/>
  <c r="B867" i="19"/>
  <c r="B871" i="19"/>
  <c r="B866" i="19"/>
  <c r="B879" i="19"/>
  <c r="B881" i="19"/>
  <c r="B878" i="19"/>
  <c r="B877" i="19"/>
  <c r="B875" i="19"/>
  <c r="B876" i="19"/>
  <c r="B882" i="19"/>
  <c r="B883" i="19"/>
  <c r="B880" i="19"/>
  <c r="B889" i="19"/>
  <c r="B885" i="19"/>
  <c r="B891" i="19"/>
  <c r="B884" i="19"/>
  <c r="B892" i="19"/>
  <c r="B890" i="19"/>
  <c r="B888" i="19"/>
  <c r="B887" i="19"/>
  <c r="B886" i="19"/>
  <c r="B899" i="19"/>
  <c r="B893" i="19"/>
  <c r="B900" i="19"/>
  <c r="B897" i="19"/>
  <c r="B898" i="19"/>
  <c r="B896" i="19"/>
  <c r="B901" i="19"/>
  <c r="B894" i="19"/>
  <c r="B895" i="19"/>
  <c r="B907" i="19"/>
  <c r="B902" i="19"/>
  <c r="B910" i="19"/>
  <c r="B905" i="19"/>
  <c r="B904" i="19"/>
  <c r="B908" i="19"/>
  <c r="B906" i="19"/>
  <c r="B909" i="19"/>
  <c r="B903" i="19"/>
  <c r="B914" i="19"/>
  <c r="B918" i="19"/>
  <c r="B911" i="19"/>
  <c r="B915" i="19"/>
  <c r="B916" i="19"/>
  <c r="B912" i="19"/>
  <c r="B913" i="19"/>
  <c r="B919" i="19"/>
  <c r="B917" i="19"/>
  <c r="B927" i="19"/>
  <c r="B920" i="19"/>
  <c r="B926" i="19"/>
  <c r="B923" i="19"/>
  <c r="B924" i="19"/>
  <c r="B922" i="19"/>
  <c r="B921" i="19"/>
  <c r="B925" i="19"/>
  <c r="B928" i="19"/>
  <c r="B931" i="19"/>
  <c r="B937" i="19"/>
  <c r="B935" i="19"/>
  <c r="B933" i="19"/>
  <c r="B932" i="19"/>
  <c r="B929" i="19"/>
  <c r="B936" i="19"/>
  <c r="B930" i="19"/>
  <c r="B934" i="19"/>
  <c r="B938" i="19"/>
  <c r="B946" i="19"/>
  <c r="B942" i="19"/>
  <c r="B945" i="19"/>
  <c r="B944" i="19"/>
  <c r="B939" i="19"/>
  <c r="B943" i="19"/>
  <c r="B940" i="19"/>
  <c r="B941" i="19"/>
  <c r="B950" i="19"/>
  <c r="B948" i="19"/>
  <c r="B951" i="19"/>
  <c r="B955" i="19"/>
  <c r="B953" i="19"/>
  <c r="B952" i="19"/>
  <c r="B947" i="19"/>
  <c r="B949" i="19"/>
  <c r="B954" i="19"/>
  <c r="B959" i="19"/>
  <c r="B961" i="19"/>
  <c r="B964" i="19"/>
  <c r="B962" i="19"/>
  <c r="B957" i="19"/>
  <c r="B956" i="19"/>
  <c r="B960" i="19"/>
  <c r="B963" i="19"/>
  <c r="B958" i="19"/>
  <c r="B970" i="19"/>
  <c r="B965" i="19"/>
  <c r="B969" i="19"/>
  <c r="B968" i="19"/>
  <c r="B966" i="19"/>
  <c r="B967" i="19"/>
  <c r="B971" i="19"/>
  <c r="B972" i="19"/>
  <c r="B973" i="19"/>
  <c r="B974" i="19"/>
  <c r="B980" i="19"/>
  <c r="B976" i="19"/>
  <c r="B979" i="19"/>
  <c r="B982" i="19"/>
  <c r="B975" i="19"/>
  <c r="B978" i="19"/>
  <c r="B977" i="19"/>
  <c r="B981" i="19"/>
  <c r="B983" i="19"/>
  <c r="B989" i="19"/>
  <c r="B988" i="19"/>
  <c r="B991" i="19"/>
  <c r="B986" i="19"/>
  <c r="B987" i="19"/>
  <c r="B990" i="19"/>
  <c r="B985" i="19"/>
  <c r="B984" i="19"/>
  <c r="B997" i="19"/>
  <c r="B996" i="19"/>
  <c r="B1000" i="19"/>
  <c r="B995" i="19"/>
  <c r="B992" i="19"/>
  <c r="B993" i="19"/>
  <c r="B998" i="19"/>
  <c r="B999" i="19"/>
  <c r="B994" i="19"/>
  <c r="B1008" i="19"/>
  <c r="B1003" i="19"/>
  <c r="B1002" i="19"/>
  <c r="B1001" i="19"/>
  <c r="B1007" i="19"/>
  <c r="B1009" i="19"/>
  <c r="B1006" i="19"/>
  <c r="B1005" i="19"/>
  <c r="B1004" i="19"/>
  <c r="B1018" i="19"/>
  <c r="B1016" i="19"/>
  <c r="B1017" i="19"/>
  <c r="B1013" i="19"/>
  <c r="B1012" i="19"/>
  <c r="B1015" i="19"/>
  <c r="B1014" i="19"/>
  <c r="B1011" i="19"/>
  <c r="B1010" i="19"/>
  <c r="B1027" i="19"/>
  <c r="B1023" i="19"/>
  <c r="B1021" i="19"/>
  <c r="B1025" i="19"/>
  <c r="B1020" i="19"/>
  <c r="B1026" i="19"/>
  <c r="B1024" i="19"/>
  <c r="B1022" i="19"/>
  <c r="B1019" i="19"/>
  <c r="B1029" i="19"/>
  <c r="B1028" i="19"/>
  <c r="B1031" i="19"/>
  <c r="B1034" i="19"/>
  <c r="B1030" i="19"/>
  <c r="B1032" i="19"/>
  <c r="B1033" i="19"/>
  <c r="B1036" i="19"/>
  <c r="B1035" i="19"/>
  <c r="B1044" i="19"/>
  <c r="B1040" i="19"/>
  <c r="B1037" i="19"/>
  <c r="B1042" i="19"/>
  <c r="B1045" i="19"/>
  <c r="B1041" i="19"/>
  <c r="B1043" i="19"/>
  <c r="B1039" i="19"/>
  <c r="B1038" i="19"/>
  <c r="B1053" i="19"/>
  <c r="B1051" i="19"/>
  <c r="B1048" i="19"/>
  <c r="B1047" i="19"/>
  <c r="B1054" i="19"/>
  <c r="B1052" i="19"/>
  <c r="B1049" i="19"/>
  <c r="B1050" i="19"/>
  <c r="B1046" i="19"/>
  <c r="B1056" i="19"/>
  <c r="B1060" i="19"/>
  <c r="B1063" i="19"/>
  <c r="B1057" i="19"/>
  <c r="B1061" i="19"/>
  <c r="B1058" i="19"/>
  <c r="B1059" i="19"/>
  <c r="B1055" i="19"/>
  <c r="B1062" i="19"/>
  <c r="B1072" i="19"/>
  <c r="B1070" i="19"/>
  <c r="B1064" i="19"/>
  <c r="B1068" i="19"/>
  <c r="B1066" i="19"/>
  <c r="B1071" i="19"/>
  <c r="B1067" i="19"/>
  <c r="B1065" i="19"/>
  <c r="B1069" i="19"/>
  <c r="B1075" i="19"/>
  <c r="B1077" i="19"/>
  <c r="B1081" i="19"/>
  <c r="B1074" i="19"/>
  <c r="B1079" i="19"/>
  <c r="B1076" i="19"/>
  <c r="B1073" i="19"/>
  <c r="B1080" i="19"/>
  <c r="B1078" i="19"/>
  <c r="B1083" i="19"/>
  <c r="B1090" i="19"/>
  <c r="B1084" i="19"/>
  <c r="B1089" i="19"/>
  <c r="B1085" i="19"/>
  <c r="B1088" i="19"/>
  <c r="B1087" i="19"/>
  <c r="B1086" i="19"/>
  <c r="B1082" i="19"/>
  <c r="B1098" i="19"/>
  <c r="B1091" i="19"/>
  <c r="B1095" i="19"/>
  <c r="B1093" i="19"/>
  <c r="B1096" i="19"/>
  <c r="B1099" i="19"/>
  <c r="B1092" i="19"/>
  <c r="B1094" i="19"/>
  <c r="B1097" i="19"/>
  <c r="B1100" i="19"/>
  <c r="B1104" i="19"/>
  <c r="B1105" i="19"/>
  <c r="B1106" i="19"/>
  <c r="B1101" i="19"/>
  <c r="B1103" i="19"/>
  <c r="B1108" i="19"/>
  <c r="B1107" i="19"/>
  <c r="B1102" i="19"/>
  <c r="B1113" i="19"/>
  <c r="B1114" i="19"/>
  <c r="B1116" i="19"/>
  <c r="B1111" i="19"/>
  <c r="B1109" i="19"/>
  <c r="B1110" i="19"/>
  <c r="B1117" i="19"/>
  <c r="B1112" i="19"/>
  <c r="B1115" i="19"/>
  <c r="B1126" i="19"/>
  <c r="B1122" i="19"/>
  <c r="B1123" i="19"/>
  <c r="B1125" i="19"/>
  <c r="B1121" i="19"/>
  <c r="B1118" i="19"/>
  <c r="B1119" i="19"/>
  <c r="B1120" i="19"/>
  <c r="B1124" i="19"/>
  <c r="B1129" i="19"/>
  <c r="B1133" i="19"/>
  <c r="B1131" i="19"/>
  <c r="B1130" i="19"/>
  <c r="B1134" i="19"/>
  <c r="B1127" i="19"/>
  <c r="B1132" i="19"/>
  <c r="B1135" i="19"/>
  <c r="B1128" i="19"/>
  <c r="B1142" i="19"/>
  <c r="B1139" i="19"/>
  <c r="B1141" i="19"/>
  <c r="B1144" i="19"/>
  <c r="B1138" i="19"/>
  <c r="B1143" i="19"/>
  <c r="B1136" i="19"/>
  <c r="B1137" i="19"/>
  <c r="B1140" i="19"/>
  <c r="B1147" i="19"/>
  <c r="B1152" i="19"/>
  <c r="B1145" i="19"/>
  <c r="B1149" i="19"/>
  <c r="B1150" i="19"/>
  <c r="B1148" i="19"/>
  <c r="B1151" i="19"/>
  <c r="B1146" i="19"/>
  <c r="B1153" i="19"/>
  <c r="B1158" i="19"/>
  <c r="B1161" i="19"/>
  <c r="B1154" i="19"/>
  <c r="B1159" i="19"/>
  <c r="B1157" i="19"/>
  <c r="B1160" i="19"/>
  <c r="B1162" i="19"/>
  <c r="B1156" i="19"/>
  <c r="B1155" i="19"/>
  <c r="B1167" i="19"/>
  <c r="B1163" i="19"/>
  <c r="B1171" i="19"/>
  <c r="B1169" i="19"/>
  <c r="B1165" i="19"/>
  <c r="B1170" i="19"/>
  <c r="B1166" i="19"/>
  <c r="B1164" i="19"/>
  <c r="B1168" i="19"/>
  <c r="B1176" i="19"/>
  <c r="B1174" i="19"/>
  <c r="B1172" i="19"/>
  <c r="B1179" i="19"/>
  <c r="B1175" i="19"/>
  <c r="B1173" i="19"/>
  <c r="B1180" i="19"/>
  <c r="B1178" i="19"/>
  <c r="B1177" i="19"/>
  <c r="B1185" i="19"/>
  <c r="B1189" i="19"/>
  <c r="B1181" i="19"/>
  <c r="B1187" i="19"/>
  <c r="B1186" i="19"/>
  <c r="B1182" i="19"/>
  <c r="B1188" i="19"/>
  <c r="B1184" i="19"/>
  <c r="B1183" i="19"/>
  <c r="B1197" i="19"/>
  <c r="B1196" i="19"/>
  <c r="B1195" i="19"/>
  <c r="B1190" i="19"/>
  <c r="B1191" i="19"/>
  <c r="B1194" i="19"/>
  <c r="B1198" i="19"/>
  <c r="B1193" i="19"/>
  <c r="B1192" i="19"/>
  <c r="B1207" i="19"/>
  <c r="B1199" i="19"/>
  <c r="B1206" i="19"/>
  <c r="B1202" i="19"/>
  <c r="B1204" i="19"/>
  <c r="B1200" i="19"/>
  <c r="B1203" i="19"/>
  <c r="B1205" i="19"/>
  <c r="B1201" i="19"/>
  <c r="B1210" i="19"/>
  <c r="B1213" i="19"/>
  <c r="B1215" i="19"/>
  <c r="B1212" i="19"/>
  <c r="B1209" i="19"/>
  <c r="B1216" i="19"/>
  <c r="B1208" i="19"/>
  <c r="B1211" i="19"/>
  <c r="B1214" i="19"/>
  <c r="B1220" i="19"/>
  <c r="B1224" i="19"/>
  <c r="B1219" i="19"/>
  <c r="B1222" i="19"/>
  <c r="B1218" i="19"/>
  <c r="B1221" i="19"/>
  <c r="B1225" i="19"/>
  <c r="B1217" i="19"/>
  <c r="B1223" i="19"/>
  <c r="B1229" i="19"/>
  <c r="B1233" i="19"/>
  <c r="B1234" i="19"/>
  <c r="B1231" i="19"/>
  <c r="B1228" i="19"/>
  <c r="B1230" i="19"/>
  <c r="B1232" i="19"/>
  <c r="B1226" i="19"/>
  <c r="B1227" i="19"/>
  <c r="B1238" i="19"/>
  <c r="B1235" i="19"/>
  <c r="B1239" i="19"/>
  <c r="B1236" i="19"/>
  <c r="B1240" i="19"/>
  <c r="B1241" i="19"/>
  <c r="B1242" i="19"/>
  <c r="B1237" i="19"/>
  <c r="B1243" i="19"/>
  <c r="B1244" i="19"/>
  <c r="B1249" i="19"/>
  <c r="B1250" i="19"/>
  <c r="B1246" i="19"/>
  <c r="B1252" i="19"/>
  <c r="B1245" i="19"/>
  <c r="B1247" i="19"/>
  <c r="B1248" i="19"/>
  <c r="B1251" i="19"/>
  <c r="B1253" i="19"/>
  <c r="B1259" i="19"/>
  <c r="B1256" i="19"/>
  <c r="B1258" i="19"/>
  <c r="B1254" i="19"/>
  <c r="B1255" i="19"/>
  <c r="B1260" i="19"/>
  <c r="B1261" i="19"/>
  <c r="B1257" i="19"/>
  <c r="B1266" i="19"/>
  <c r="B1265" i="19"/>
  <c r="B1268" i="19"/>
  <c r="B1263" i="19"/>
  <c r="B1270" i="19"/>
  <c r="B1264" i="19"/>
  <c r="B1267" i="19"/>
  <c r="B1262" i="19"/>
  <c r="B1269" i="19"/>
  <c r="B1278" i="19"/>
  <c r="B1273" i="19"/>
  <c r="B1279" i="19"/>
  <c r="B1274" i="19"/>
  <c r="B1277" i="19"/>
  <c r="B1276" i="19"/>
  <c r="B1272" i="19"/>
  <c r="B1271" i="19"/>
  <c r="B1275" i="19"/>
  <c r="B1285" i="19"/>
  <c r="B1284" i="19"/>
  <c r="B1282" i="19"/>
  <c r="B1283" i="19"/>
  <c r="B1281" i="19"/>
  <c r="B1280" i="19"/>
  <c r="B1287" i="19"/>
  <c r="B1286" i="19"/>
  <c r="B1288" i="19"/>
  <c r="B1293" i="19"/>
  <c r="B1295" i="19"/>
  <c r="B1289" i="19"/>
  <c r="B1296" i="19"/>
  <c r="B1297" i="19"/>
  <c r="B1292" i="19"/>
  <c r="B1291" i="19"/>
  <c r="B1290" i="19"/>
  <c r="B1294" i="19"/>
  <c r="B1306" i="19"/>
  <c r="B1299" i="19"/>
  <c r="B1298" i="19"/>
  <c r="B1300" i="19"/>
  <c r="B1302" i="19"/>
  <c r="B1305" i="19"/>
  <c r="B1304" i="19"/>
  <c r="B1303" i="19"/>
  <c r="B1301" i="19"/>
  <c r="B1315" i="19"/>
  <c r="B1313" i="19"/>
  <c r="B1311" i="19"/>
  <c r="B1312" i="19"/>
  <c r="B1308" i="19"/>
  <c r="B1310" i="19"/>
  <c r="B1307" i="19"/>
  <c r="B1314" i="19"/>
  <c r="B1309" i="19"/>
  <c r="B1318" i="19"/>
  <c r="B1324" i="19"/>
  <c r="B1322" i="19"/>
  <c r="B1320" i="19"/>
  <c r="B1321" i="19"/>
  <c r="B1316" i="19"/>
  <c r="B1323" i="19"/>
  <c r="B1319" i="19"/>
  <c r="B1317" i="19"/>
  <c r="B1333" i="19"/>
  <c r="B1325" i="19"/>
  <c r="B1330" i="19"/>
  <c r="B1331" i="19"/>
  <c r="B1329" i="19"/>
  <c r="B1326" i="19"/>
  <c r="B1332" i="19"/>
  <c r="B1327" i="19"/>
  <c r="B1328" i="19"/>
  <c r="B1336" i="19"/>
  <c r="B1342" i="19"/>
  <c r="B1334" i="19"/>
  <c r="B1340" i="19"/>
  <c r="B1337" i="19"/>
  <c r="B1339" i="19"/>
  <c r="B1338" i="19"/>
  <c r="B1341" i="19"/>
  <c r="B1335" i="19"/>
  <c r="B1349" i="19"/>
  <c r="B1348" i="19"/>
  <c r="B1344" i="19"/>
  <c r="B1351" i="19"/>
  <c r="B1347" i="19"/>
  <c r="B1346" i="19"/>
  <c r="B1350" i="19"/>
  <c r="B1345" i="19"/>
  <c r="B1343" i="19"/>
  <c r="B1357" i="19"/>
  <c r="B1359" i="19"/>
  <c r="B1356" i="19"/>
  <c r="B1352" i="19"/>
  <c r="B1355" i="19"/>
  <c r="B1353" i="19"/>
  <c r="B1354" i="19"/>
  <c r="B1358" i="19"/>
  <c r="B1360" i="19"/>
  <c r="B1361" i="19"/>
  <c r="B1369" i="19"/>
  <c r="B1368" i="19"/>
  <c r="B1365" i="19"/>
  <c r="B1366" i="19"/>
  <c r="B1363" i="19"/>
  <c r="B1367" i="19"/>
  <c r="B1364" i="19"/>
  <c r="B1362" i="19"/>
  <c r="B1370" i="19"/>
  <c r="B1376" i="19"/>
  <c r="B1371" i="19"/>
  <c r="B1378" i="19"/>
  <c r="B1374" i="19"/>
  <c r="B1373" i="19"/>
  <c r="B1377" i="19"/>
  <c r="B1372" i="19"/>
  <c r="B1375" i="19"/>
  <c r="B1382" i="19"/>
  <c r="B1387" i="19"/>
  <c r="B1383" i="19"/>
  <c r="B1381" i="19"/>
  <c r="B1385" i="19"/>
  <c r="B1386" i="19"/>
  <c r="B1380" i="19"/>
  <c r="B1379" i="19"/>
  <c r="B1384" i="19"/>
  <c r="B1394" i="19"/>
  <c r="B1395" i="19"/>
  <c r="B1388" i="19"/>
  <c r="B1393" i="19"/>
  <c r="B1390" i="19"/>
  <c r="B1392" i="19"/>
  <c r="B1391" i="19"/>
  <c r="B1396" i="19"/>
  <c r="B1389" i="19"/>
  <c r="B1398" i="19"/>
  <c r="B1403" i="19"/>
  <c r="B1404" i="19"/>
  <c r="B1401" i="19"/>
  <c r="B1400" i="19"/>
  <c r="B1402" i="19"/>
  <c r="B1399" i="19"/>
  <c r="B1405" i="19"/>
  <c r="B1397" i="19"/>
  <c r="B1410" i="19"/>
  <c r="B1411" i="19"/>
  <c r="B1413" i="19"/>
  <c r="B1406" i="19"/>
  <c r="B1407" i="19"/>
  <c r="B1408" i="19"/>
  <c r="B1412" i="19"/>
  <c r="B1409" i="19"/>
  <c r="B1414" i="19"/>
  <c r="B1417" i="19"/>
  <c r="B1418" i="19"/>
  <c r="B1423" i="19"/>
  <c r="B1416" i="19"/>
  <c r="B1421" i="19"/>
  <c r="B1422" i="19"/>
  <c r="B1419" i="19"/>
  <c r="B1420" i="19"/>
  <c r="B1415" i="19"/>
  <c r="B1428" i="19"/>
  <c r="B1431" i="19"/>
  <c r="B1425" i="19"/>
  <c r="B1430" i="19"/>
  <c r="B1426" i="19"/>
  <c r="B1429" i="19"/>
  <c r="B1427" i="19"/>
  <c r="B1432" i="19"/>
  <c r="B1424" i="19"/>
  <c r="B1435" i="19"/>
  <c r="B1434" i="19"/>
  <c r="B1433" i="19"/>
  <c r="B1439" i="19"/>
  <c r="B1440" i="19"/>
  <c r="B1441" i="19"/>
  <c r="B1438" i="19"/>
  <c r="B1437" i="19"/>
  <c r="B1436" i="19"/>
  <c r="B1447" i="19"/>
  <c r="B1446" i="19"/>
  <c r="B1450" i="19"/>
  <c r="B1443" i="19"/>
  <c r="B1445" i="19"/>
  <c r="B1444" i="19"/>
  <c r="B1442" i="19"/>
  <c r="B1448" i="19"/>
  <c r="B1449" i="19"/>
  <c r="B1453" i="19"/>
  <c r="B1451" i="19"/>
  <c r="B1459" i="19"/>
  <c r="B1452" i="19"/>
  <c r="B1457" i="19"/>
  <c r="B1455" i="19"/>
  <c r="B1458" i="19"/>
  <c r="B1456" i="19"/>
  <c r="B1454" i="19"/>
  <c r="B1462" i="19"/>
  <c r="B1467" i="19"/>
  <c r="B1461" i="19"/>
  <c r="B1466" i="19"/>
  <c r="B1464" i="19"/>
  <c r="B1465" i="19"/>
  <c r="B1463" i="19"/>
  <c r="B1460" i="19"/>
  <c r="B1468" i="19"/>
  <c r="B1476" i="19"/>
  <c r="B1470" i="19"/>
  <c r="B1473" i="19"/>
  <c r="B1474" i="19"/>
  <c r="B1471" i="19"/>
  <c r="B1472" i="19"/>
  <c r="B1477" i="19"/>
  <c r="B1475" i="19"/>
  <c r="B1469" i="19"/>
  <c r="B1486" i="19"/>
  <c r="B1482" i="19"/>
  <c r="B1481" i="19"/>
  <c r="B1484" i="19"/>
  <c r="B1483" i="19"/>
  <c r="B1480" i="19"/>
  <c r="B1485" i="19"/>
  <c r="B1478" i="19"/>
  <c r="B1479" i="19"/>
  <c r="B1490" i="19"/>
  <c r="B1492" i="19"/>
  <c r="B1488" i="19"/>
  <c r="B1487" i="19"/>
  <c r="B1489" i="19"/>
  <c r="B1493" i="19"/>
  <c r="B1491" i="19"/>
  <c r="B1495" i="19"/>
  <c r="B1494" i="19"/>
  <c r="B1500" i="19"/>
  <c r="B1497" i="19"/>
  <c r="B1496" i="19"/>
  <c r="B1501" i="19"/>
  <c r="B1502" i="19"/>
  <c r="B1503" i="19"/>
  <c r="B1504" i="19"/>
  <c r="B1499" i="19"/>
  <c r="B1498" i="19"/>
  <c r="B1508" i="19"/>
  <c r="B1505" i="19"/>
  <c r="B1506" i="19"/>
  <c r="B1507" i="19"/>
  <c r="B1511" i="19"/>
  <c r="B1513" i="19"/>
  <c r="B1509" i="19"/>
  <c r="B1510" i="19"/>
  <c r="B1512" i="19"/>
  <c r="B1519" i="19"/>
  <c r="B1514" i="19"/>
  <c r="B1520" i="19"/>
  <c r="B1521" i="19"/>
  <c r="B1518" i="19"/>
  <c r="B1522" i="19"/>
  <c r="B1516" i="19"/>
  <c r="B1515" i="19"/>
  <c r="B1517" i="19"/>
  <c r="B1531" i="19"/>
  <c r="B1526" i="19"/>
  <c r="B1528" i="19"/>
  <c r="B1525" i="19"/>
  <c r="B1524" i="19"/>
  <c r="B1529" i="19"/>
  <c r="B1527" i="19"/>
  <c r="B1530" i="19"/>
  <c r="B1523" i="19"/>
  <c r="B1539" i="19"/>
  <c r="B1536" i="19"/>
  <c r="B1533" i="19"/>
  <c r="B1537" i="19"/>
  <c r="B1538" i="19"/>
  <c r="B1534" i="19"/>
  <c r="B1535" i="19"/>
  <c r="B1532" i="19"/>
  <c r="B1540" i="19"/>
  <c r="B1543" i="19"/>
  <c r="B1541" i="19"/>
  <c r="B1546" i="19"/>
  <c r="B1549" i="19"/>
  <c r="B1548" i="19"/>
  <c r="B1542" i="19"/>
  <c r="B1544" i="19"/>
  <c r="B1545" i="19"/>
  <c r="B1547" i="19"/>
  <c r="B1557" i="19"/>
  <c r="B1551" i="19"/>
  <c r="B1553" i="19"/>
  <c r="B1554" i="19"/>
  <c r="B1558" i="19"/>
  <c r="B1550" i="19"/>
  <c r="B1552" i="19"/>
  <c r="B1556" i="19"/>
  <c r="B1555" i="19"/>
  <c r="B1561" i="19"/>
  <c r="B1567" i="19"/>
  <c r="B1564" i="19"/>
  <c r="B1560" i="19"/>
  <c r="B1562" i="19"/>
  <c r="B1566" i="19"/>
  <c r="B1559" i="19"/>
  <c r="B1565" i="19"/>
  <c r="B1563" i="19"/>
  <c r="B1570" i="19"/>
  <c r="B1571" i="19"/>
  <c r="B1572" i="19"/>
  <c r="B1569" i="19"/>
  <c r="B1576" i="19"/>
  <c r="B1574" i="19"/>
  <c r="B1575" i="19"/>
  <c r="B1568" i="19"/>
  <c r="B1573" i="19"/>
  <c r="B1585" i="19"/>
  <c r="B1580" i="19"/>
  <c r="B1584" i="19"/>
  <c r="B1583" i="19"/>
  <c r="B1579" i="19"/>
  <c r="B1578" i="19"/>
  <c r="B1581" i="19"/>
  <c r="B1577" i="19"/>
  <c r="B1582" i="19"/>
  <c r="B1587" i="19"/>
  <c r="B1589" i="19"/>
  <c r="B1592" i="19"/>
  <c r="B1586" i="19"/>
  <c r="B1588" i="19"/>
  <c r="B1594" i="19"/>
  <c r="B1593" i="19"/>
  <c r="B1591" i="19"/>
  <c r="B1590" i="19"/>
  <c r="B1598" i="19"/>
  <c r="B1597" i="19"/>
  <c r="B1601" i="19"/>
  <c r="B1603" i="19"/>
  <c r="B1596" i="19"/>
  <c r="B1602" i="19"/>
  <c r="B1600" i="19"/>
  <c r="B1595" i="19"/>
  <c r="B1599" i="19"/>
  <c r="B1612" i="19"/>
  <c r="B1607" i="19"/>
  <c r="B1611" i="19"/>
  <c r="B1606" i="19"/>
  <c r="B1604" i="19"/>
  <c r="B1605" i="19"/>
  <c r="B1610" i="19"/>
  <c r="B1609" i="19"/>
  <c r="B1608" i="19"/>
  <c r="B1618" i="19"/>
  <c r="B1615" i="19"/>
  <c r="B1617" i="19"/>
  <c r="B1614" i="19"/>
  <c r="B1620" i="19"/>
  <c r="B1619" i="19"/>
  <c r="B1616" i="19"/>
  <c r="B1613" i="19"/>
  <c r="B1621" i="19"/>
  <c r="B1628" i="19"/>
  <c r="B1624" i="19"/>
  <c r="B1626" i="19"/>
  <c r="B1627" i="19"/>
  <c r="B1625" i="19"/>
  <c r="B1629" i="19"/>
  <c r="B1622" i="19"/>
  <c r="B1623" i="19"/>
  <c r="B1630" i="19"/>
  <c r="B1637" i="19"/>
  <c r="B1632" i="19"/>
  <c r="B1631" i="19"/>
  <c r="B1638" i="19"/>
  <c r="B1636" i="19"/>
  <c r="B1639" i="19"/>
  <c r="B1633" i="19"/>
  <c r="B1634" i="19"/>
  <c r="B1635" i="19"/>
  <c r="B1644" i="19"/>
  <c r="B1642" i="19"/>
  <c r="B1643" i="19"/>
  <c r="B1641" i="19"/>
  <c r="B1640" i="19"/>
  <c r="B1647" i="19"/>
  <c r="B1648" i="19"/>
  <c r="B1646" i="19"/>
  <c r="B1645" i="19"/>
  <c r="B1657" i="19"/>
  <c r="B1652" i="19"/>
  <c r="B1656" i="19"/>
  <c r="B1650" i="19"/>
  <c r="B1655" i="19"/>
  <c r="B1654" i="19"/>
  <c r="B1649" i="19"/>
  <c r="B1653" i="19"/>
  <c r="B1651" i="19"/>
  <c r="B1662" i="19"/>
  <c r="B1660" i="19"/>
  <c r="B1663" i="19"/>
  <c r="B1658" i="19"/>
  <c r="B1661" i="19"/>
  <c r="B1665" i="19"/>
  <c r="B1666" i="19"/>
  <c r="B1659" i="19"/>
  <c r="B1664" i="19"/>
  <c r="B1670" i="19"/>
  <c r="B1669" i="19"/>
  <c r="B1674" i="19"/>
  <c r="B1675" i="19"/>
  <c r="B1671" i="19"/>
  <c r="B1673" i="19"/>
  <c r="B1667" i="19"/>
  <c r="B1668" i="19"/>
  <c r="B1672" i="19"/>
  <c r="B1679" i="19"/>
  <c r="B1678" i="19"/>
  <c r="B1676" i="19"/>
  <c r="B1681" i="19"/>
  <c r="B1682" i="19"/>
  <c r="B1684" i="19"/>
  <c r="B1677" i="19"/>
  <c r="B1680" i="19"/>
  <c r="B1683" i="19"/>
  <c r="B1689" i="19"/>
  <c r="B1686" i="19"/>
  <c r="B1687" i="19"/>
  <c r="B1685" i="19"/>
  <c r="B1690" i="19"/>
  <c r="B1688" i="19"/>
  <c r="B1693" i="19"/>
  <c r="B1691" i="19"/>
  <c r="B1692" i="19"/>
  <c r="B1695" i="19"/>
  <c r="B1699" i="19"/>
  <c r="B1701" i="19"/>
  <c r="B1700" i="19"/>
  <c r="B1694" i="19"/>
  <c r="B1698" i="19"/>
  <c r="B1702" i="19"/>
  <c r="B1696" i="19"/>
  <c r="B1697" i="19"/>
  <c r="B1706" i="19"/>
  <c r="B1709" i="19"/>
  <c r="B1711" i="19"/>
  <c r="B1704" i="19"/>
  <c r="B1707" i="19"/>
  <c r="B1703" i="19"/>
  <c r="B1705" i="19"/>
  <c r="B1710" i="19"/>
  <c r="B1708" i="19"/>
  <c r="B1713" i="19"/>
  <c r="B1717" i="19"/>
  <c r="B1718" i="19"/>
  <c r="B1719" i="19"/>
  <c r="B1712" i="19"/>
  <c r="B1714" i="19"/>
  <c r="B1716" i="19"/>
  <c r="B1720" i="19"/>
  <c r="B1715" i="19"/>
  <c r="B1724" i="19"/>
  <c r="B1725" i="19"/>
  <c r="B1729" i="19"/>
  <c r="B1726" i="19"/>
  <c r="B1721" i="19"/>
  <c r="B1728" i="19"/>
  <c r="B1727" i="19"/>
  <c r="B1722" i="19"/>
  <c r="B1723" i="19"/>
  <c r="B1736" i="19"/>
  <c r="B1731" i="19"/>
  <c r="B1738" i="19"/>
  <c r="B1734" i="19"/>
  <c r="B1730" i="19"/>
  <c r="B1732" i="19"/>
  <c r="B1735" i="19"/>
  <c r="B1737" i="19"/>
  <c r="B1733" i="19"/>
  <c r="B1743" i="19"/>
  <c r="B1744" i="19"/>
  <c r="B1741" i="19"/>
  <c r="B1745" i="19"/>
  <c r="B1746" i="19"/>
  <c r="B1742" i="19"/>
  <c r="B1740" i="19"/>
  <c r="B1747" i="19"/>
  <c r="B1752" i="19"/>
  <c r="B1755" i="19"/>
  <c r="B1751" i="19"/>
  <c r="B1753" i="19"/>
  <c r="B1756" i="19"/>
  <c r="B1754" i="19"/>
  <c r="B1750" i="19"/>
  <c r="B1748" i="19"/>
  <c r="B1749" i="19"/>
  <c r="B1761" i="19"/>
  <c r="B1765" i="19"/>
  <c r="B1764" i="19"/>
  <c r="B1759" i="19"/>
  <c r="B1763" i="19"/>
  <c r="B1758" i="19"/>
  <c r="B1762" i="19"/>
  <c r="B1757" i="19"/>
  <c r="B1760" i="19"/>
  <c r="B1771" i="19"/>
  <c r="B1769" i="19"/>
  <c r="B1772" i="19"/>
  <c r="B1766" i="19"/>
  <c r="B1768" i="19"/>
  <c r="B1767" i="19"/>
  <c r="B1770" i="19"/>
  <c r="B1774" i="19"/>
  <c r="B1773" i="19"/>
  <c r="B1778" i="19"/>
  <c r="B1782" i="19"/>
  <c r="B1775" i="19"/>
  <c r="B1780" i="19"/>
  <c r="B1781" i="19"/>
  <c r="B1776" i="19"/>
  <c r="B1783" i="19"/>
  <c r="B1779" i="19"/>
  <c r="B1777" i="19"/>
  <c r="B1790" i="19"/>
  <c r="B1785" i="19"/>
  <c r="B1791" i="19"/>
  <c r="B1787" i="19"/>
  <c r="B1792" i="19"/>
  <c r="B1788" i="19"/>
  <c r="B1784" i="19"/>
  <c r="B1786" i="19"/>
  <c r="B1789" i="19"/>
  <c r="B1793" i="19"/>
  <c r="B1795" i="19"/>
  <c r="B1799" i="19"/>
  <c r="B1800" i="19"/>
  <c r="B1794" i="19"/>
  <c r="B1797" i="19"/>
  <c r="B1801" i="19"/>
  <c r="B1798" i="19"/>
  <c r="B1796" i="19"/>
  <c r="B1810" i="19"/>
  <c r="B1803" i="19"/>
  <c r="B1802" i="19"/>
  <c r="B1808" i="19"/>
  <c r="B1806" i="19"/>
  <c r="B1809" i="19"/>
  <c r="B1804" i="19"/>
  <c r="B1807" i="19"/>
  <c r="B1805" i="19"/>
  <c r="B5" i="19"/>
  <c r="B4207" i="18"/>
  <c r="B4201" i="18"/>
  <c r="B4190" i="18"/>
  <c r="B4185" i="18"/>
  <c r="B4181" i="18"/>
  <c r="B4172" i="18"/>
  <c r="B4167" i="18"/>
  <c r="B4160" i="18"/>
  <c r="B4158" i="18"/>
  <c r="B4150" i="18"/>
  <c r="B4147" i="18"/>
  <c r="B4139" i="18"/>
  <c r="B4130" i="18"/>
  <c r="B4124" i="18"/>
  <c r="B4122" i="18"/>
  <c r="B4117" i="18"/>
  <c r="B4108" i="18"/>
  <c r="B4102" i="18"/>
  <c r="B4099" i="18"/>
  <c r="B4088" i="18"/>
  <c r="B4083" i="18"/>
  <c r="B4079" i="18"/>
  <c r="B4074" i="18"/>
  <c r="B4066" i="18"/>
  <c r="B4062" i="18"/>
  <c r="B4055" i="18"/>
  <c r="B4049" i="18"/>
  <c r="B4042" i="18"/>
  <c r="B4036" i="18"/>
  <c r="B4033" i="18"/>
  <c r="B4023" i="18"/>
  <c r="B4018" i="18"/>
  <c r="B4011" i="18"/>
  <c r="B4006" i="18"/>
  <c r="B4001" i="18"/>
  <c r="B3992" i="18"/>
  <c r="B3987" i="18"/>
  <c r="B3983" i="18"/>
  <c r="B3979" i="18"/>
  <c r="B3971" i="18"/>
  <c r="B3964" i="18"/>
  <c r="B3960" i="18"/>
  <c r="B3952" i="18"/>
  <c r="B3947" i="18"/>
  <c r="B3941" i="18"/>
  <c r="B3933" i="18"/>
  <c r="B3927" i="18"/>
  <c r="B3923" i="18"/>
  <c r="B3915" i="18"/>
  <c r="B3909" i="18"/>
  <c r="B3905" i="18"/>
  <c r="B3898" i="18"/>
  <c r="B3891" i="18"/>
  <c r="B3885" i="18"/>
  <c r="B3878" i="18"/>
  <c r="B3873" i="18"/>
  <c r="B3869" i="18"/>
  <c r="B3863" i="18"/>
  <c r="B3859" i="18"/>
  <c r="B3850" i="18"/>
  <c r="B3847" i="18"/>
  <c r="B3839" i="18"/>
  <c r="B3833" i="18"/>
  <c r="B3827" i="18"/>
  <c r="B3821" i="18"/>
  <c r="B3817" i="18"/>
  <c r="B3809" i="18"/>
  <c r="B3804" i="18"/>
  <c r="B3795" i="18"/>
  <c r="B3791" i="18"/>
  <c r="B3782" i="18"/>
  <c r="B3780" i="18"/>
  <c r="B3775" i="18"/>
  <c r="B3764" i="18"/>
  <c r="B3761" i="18"/>
  <c r="B3755" i="18"/>
  <c r="B3748" i="18"/>
  <c r="B3744" i="18"/>
  <c r="B3739" i="18"/>
  <c r="B3728" i="18"/>
  <c r="B3727" i="18"/>
  <c r="B3719" i="18"/>
  <c r="B3712" i="18"/>
  <c r="B3704" i="18"/>
  <c r="B3703" i="18"/>
  <c r="B3694" i="18"/>
  <c r="B3690" i="18"/>
  <c r="B3682" i="18"/>
  <c r="B3674" i="18"/>
  <c r="B3671" i="18"/>
  <c r="B3666" i="18"/>
  <c r="B3659" i="18"/>
  <c r="B3650" i="18"/>
  <c r="B3648" i="18"/>
  <c r="B3638" i="18"/>
  <c r="B3637" i="18"/>
  <c r="B3629" i="18"/>
  <c r="B3623" i="18"/>
  <c r="B3619" i="18"/>
  <c r="B3609" i="18"/>
  <c r="B3605" i="18"/>
  <c r="B3599" i="18"/>
  <c r="B3590" i="18"/>
  <c r="B3584" i="18"/>
  <c r="B3580" i="18"/>
  <c r="B3575" i="18"/>
  <c r="B3566" i="18"/>
  <c r="B3561" i="18"/>
  <c r="B3554" i="18"/>
  <c r="B3551" i="18"/>
  <c r="B3543" i="18"/>
  <c r="B3538" i="18"/>
  <c r="B3532" i="18"/>
  <c r="B3526" i="18"/>
  <c r="B3519" i="18"/>
  <c r="B3517" i="18"/>
  <c r="B3510" i="18"/>
  <c r="B3500" i="18"/>
  <c r="B3494" i="18"/>
  <c r="B3488" i="18"/>
  <c r="B3485" i="18"/>
  <c r="B3480" i="18"/>
  <c r="B3472" i="18"/>
  <c r="B3468" i="18"/>
  <c r="B3459" i="18"/>
  <c r="B3457" i="18"/>
  <c r="B3446" i="18"/>
  <c r="B3445" i="18"/>
  <c r="B3437" i="18"/>
  <c r="B3431" i="18"/>
  <c r="B3427" i="18"/>
  <c r="B3416" i="18"/>
  <c r="B3411" i="18"/>
  <c r="B3409" i="18"/>
  <c r="B3401" i="18"/>
  <c r="B3394" i="18"/>
  <c r="B3389" i="18"/>
  <c r="B3380" i="18"/>
  <c r="B3374" i="18"/>
  <c r="B3372" i="18"/>
  <c r="B3367" i="18"/>
  <c r="B3360" i="18"/>
  <c r="B3351" i="18"/>
  <c r="B3346" i="18"/>
  <c r="B3342" i="18"/>
  <c r="B3336" i="18"/>
  <c r="B3328" i="18"/>
  <c r="B3322" i="18"/>
  <c r="B3317" i="18"/>
  <c r="B3311" i="18"/>
  <c r="B3304" i="18"/>
  <c r="B3300" i="18"/>
  <c r="B3294" i="18"/>
  <c r="B3285" i="18"/>
  <c r="B3279" i="18"/>
  <c r="B3275" i="18"/>
  <c r="B3270" i="18"/>
  <c r="B3263" i="18"/>
  <c r="B3259" i="18"/>
  <c r="B3251" i="18"/>
  <c r="B3242" i="18"/>
  <c r="B3239" i="18"/>
  <c r="B3230" i="18"/>
  <c r="B3228" i="18"/>
  <c r="B3222" i="18"/>
  <c r="B3215" i="18"/>
  <c r="B3207" i="18"/>
  <c r="B3205" i="18"/>
  <c r="B3199" i="18"/>
  <c r="B3192" i="18"/>
  <c r="B3183" i="18"/>
  <c r="B3178" i="18"/>
  <c r="B3172" i="18"/>
  <c r="B3168" i="18"/>
  <c r="B3160" i="18"/>
  <c r="B3157" i="18"/>
  <c r="B3146" i="18"/>
  <c r="B3141" i="18"/>
  <c r="B3137" i="18"/>
  <c r="B3131" i="18"/>
  <c r="B3124" i="18"/>
  <c r="B3116" i="18"/>
  <c r="B3110" i="18"/>
  <c r="B3105" i="18"/>
  <c r="B3102" i="18"/>
  <c r="B3095" i="18"/>
  <c r="B3088" i="18"/>
  <c r="B3085" i="18"/>
  <c r="B3077" i="18"/>
  <c r="B3068" i="18"/>
  <c r="B3064" i="18"/>
  <c r="B3060" i="18"/>
  <c r="B3053" i="18"/>
  <c r="B3045" i="18"/>
  <c r="B3041" i="18"/>
  <c r="B3033" i="18"/>
  <c r="B3027" i="18"/>
  <c r="B3024" i="18"/>
  <c r="B3016" i="18"/>
  <c r="B3013" i="18"/>
  <c r="B3004" i="18"/>
  <c r="B2997" i="18"/>
  <c r="B2995" i="18"/>
  <c r="B2984" i="18"/>
  <c r="B2979" i="18"/>
  <c r="B2976" i="18"/>
  <c r="B2966" i="18"/>
  <c r="B2961" i="18"/>
  <c r="B2956" i="18"/>
  <c r="B2953" i="18"/>
  <c r="B2943" i="18"/>
  <c r="B2938" i="18"/>
  <c r="B2933" i="18"/>
  <c r="B2928" i="18"/>
  <c r="B2920" i="18"/>
  <c r="B2913" i="18"/>
  <c r="B2911" i="18"/>
  <c r="B2901" i="18"/>
  <c r="B2899" i="18"/>
  <c r="B2889" i="18"/>
  <c r="B2886" i="18"/>
  <c r="B2877" i="18"/>
  <c r="B2872" i="18"/>
  <c r="B2865" i="18"/>
  <c r="B2859" i="18"/>
  <c r="B2857" i="18"/>
  <c r="B2851" i="18"/>
  <c r="B2840" i="18"/>
  <c r="B2839" i="18"/>
  <c r="B2829" i="18"/>
  <c r="B2823" i="18"/>
  <c r="B2816" i="18"/>
  <c r="B2810" i="18"/>
  <c r="B2805" i="18"/>
  <c r="B2802" i="18"/>
  <c r="B2792" i="18"/>
  <c r="B2787" i="18"/>
  <c r="B2783" i="18"/>
  <c r="B2776" i="18"/>
  <c r="B2768" i="18"/>
  <c r="B2767" i="18"/>
  <c r="B2760" i="18"/>
  <c r="B2754" i="18"/>
  <c r="B2745" i="18"/>
  <c r="B2741" i="18"/>
  <c r="B2733" i="18"/>
  <c r="B2731" i="18"/>
  <c r="B2722" i="18"/>
  <c r="B2718" i="18"/>
  <c r="B2709" i="18"/>
  <c r="B2704" i="18"/>
  <c r="B2699" i="18"/>
  <c r="B2690" i="18"/>
  <c r="B2686" i="18"/>
  <c r="B2681" i="18"/>
  <c r="B2675" i="18"/>
  <c r="B2669" i="18"/>
  <c r="B2663" i="18"/>
  <c r="B2658" i="18"/>
  <c r="B2653" i="18"/>
  <c r="B2646" i="18"/>
  <c r="B2639" i="18"/>
  <c r="B2635" i="18"/>
  <c r="B2628" i="18"/>
  <c r="B2619" i="18"/>
  <c r="B2612" i="18"/>
  <c r="B2610" i="18"/>
  <c r="B2604" i="18"/>
  <c r="B2597" i="18"/>
  <c r="B2588" i="18"/>
  <c r="B2586" i="18"/>
  <c r="B2579" i="18"/>
  <c r="B2570" i="18"/>
  <c r="B2565" i="18"/>
  <c r="B2562" i="18"/>
  <c r="B2555" i="18"/>
  <c r="B2547" i="18"/>
  <c r="B2541" i="18"/>
  <c r="B2534" i="18"/>
  <c r="B2532" i="18"/>
  <c r="B2523" i="18"/>
  <c r="B2520" i="18"/>
  <c r="B2510" i="18"/>
  <c r="B2507" i="18"/>
  <c r="B2501" i="18"/>
  <c r="B2495" i="18"/>
  <c r="B2489" i="18"/>
  <c r="B2482" i="18"/>
  <c r="B2479" i="18"/>
  <c r="B2473" i="18"/>
  <c r="B2462" i="18"/>
  <c r="B2457" i="18"/>
  <c r="B2453" i="18"/>
  <c r="B2447" i="18"/>
  <c r="B2443" i="18"/>
  <c r="B2437" i="18"/>
  <c r="B2428" i="18"/>
  <c r="B2424" i="18"/>
  <c r="B2415" i="18"/>
  <c r="B2413" i="18"/>
  <c r="B2404" i="18"/>
  <c r="B2396" i="18"/>
  <c r="B2391" i="18"/>
  <c r="B2388" i="18"/>
  <c r="B2383" i="18"/>
  <c r="B2373" i="18"/>
  <c r="B2367" i="18"/>
  <c r="B2365" i="18"/>
  <c r="B2354" i="18"/>
  <c r="B2352" i="18"/>
  <c r="B2345" i="18"/>
  <c r="B2340" i="18"/>
  <c r="B2332" i="18"/>
  <c r="B2324" i="18"/>
  <c r="B2320" i="18"/>
  <c r="B2316" i="18"/>
  <c r="B2306" i="18"/>
  <c r="B2302" i="18"/>
  <c r="B2298" i="18"/>
  <c r="B2289" i="18"/>
  <c r="B2286" i="18"/>
  <c r="B2277" i="18"/>
  <c r="B2273" i="18"/>
  <c r="B2269" i="18"/>
  <c r="B2263" i="18"/>
  <c r="B2255" i="18"/>
  <c r="B2251" i="18"/>
  <c r="B2241" i="18"/>
  <c r="B2236" i="18"/>
  <c r="B2232" i="18"/>
  <c r="B2226" i="18"/>
  <c r="B2220" i="18"/>
  <c r="B2211" i="18"/>
  <c r="B2209" i="18"/>
  <c r="B2199" i="18"/>
  <c r="B2196" i="18"/>
  <c r="B2186" i="18"/>
  <c r="B2183" i="18"/>
  <c r="B2179" i="18"/>
  <c r="B2170" i="18"/>
  <c r="B2163" i="18"/>
  <c r="B2160" i="18"/>
  <c r="B2151" i="18"/>
  <c r="B2147" i="18"/>
  <c r="B2142" i="18"/>
  <c r="B2132" i="18"/>
  <c r="B2128" i="18"/>
  <c r="B2121" i="18"/>
  <c r="B2118" i="18"/>
  <c r="B2109" i="18"/>
  <c r="B2106" i="18"/>
  <c r="B2100" i="18"/>
  <c r="B2091" i="18"/>
  <c r="B2087" i="18"/>
  <c r="B2078" i="18"/>
  <c r="B2076" i="18"/>
  <c r="B2066" i="18"/>
  <c r="B2065" i="18"/>
  <c r="B2057" i="18"/>
  <c r="B2048" i="18"/>
  <c r="B2047" i="18"/>
  <c r="B2038" i="18"/>
  <c r="B2035" i="18"/>
  <c r="B2026" i="18"/>
  <c r="B2018" i="18"/>
  <c r="B2015" i="18"/>
  <c r="B2008" i="18"/>
  <c r="B2003" i="18"/>
  <c r="B1994" i="18"/>
  <c r="B1989" i="18"/>
  <c r="B1987" i="18"/>
  <c r="B1976" i="18"/>
  <c r="B1974" i="18"/>
  <c r="B1969" i="18"/>
  <c r="B1959" i="18"/>
  <c r="B1953" i="18"/>
  <c r="B1946" i="18"/>
  <c r="B1940" i="18"/>
  <c r="B1934" i="18"/>
  <c r="B1928" i="18"/>
  <c r="B1923" i="18"/>
  <c r="B1921" i="18"/>
  <c r="B1914" i="18"/>
  <c r="B1905" i="18"/>
  <c r="B1898" i="18"/>
  <c r="B1897" i="18"/>
  <c r="B1890" i="18"/>
  <c r="B1884" i="18"/>
  <c r="B1878" i="18"/>
  <c r="B1868" i="18"/>
  <c r="B1863" i="18"/>
  <c r="B1860" i="18"/>
  <c r="B1851" i="18"/>
  <c r="B1848" i="18"/>
  <c r="B1843" i="18"/>
  <c r="B1833" i="18"/>
  <c r="B1826" i="18"/>
  <c r="B1820" i="18"/>
  <c r="B1818" i="18"/>
  <c r="B1811" i="18"/>
  <c r="B1806" i="18"/>
  <c r="B1801" i="18"/>
  <c r="B1791" i="18"/>
  <c r="B1784" i="18"/>
  <c r="B1780" i="18"/>
  <c r="B1775" i="18"/>
  <c r="B1767" i="18"/>
  <c r="B1765" i="18"/>
  <c r="B1754" i="18"/>
  <c r="B1748" i="18"/>
  <c r="B1742" i="18"/>
  <c r="B1736" i="18"/>
  <c r="B1734" i="18"/>
  <c r="B1729" i="18"/>
  <c r="B1718" i="18"/>
  <c r="B1714" i="18"/>
  <c r="B1711" i="18"/>
  <c r="B1700" i="18"/>
  <c r="B1698" i="18"/>
  <c r="B1692" i="18"/>
  <c r="B1687" i="18"/>
  <c r="B1678" i="18"/>
  <c r="B1671" i="18"/>
  <c r="B1664" i="18"/>
  <c r="B1661" i="18"/>
  <c r="B1657" i="18"/>
  <c r="B1648" i="18"/>
  <c r="B1644" i="18"/>
  <c r="B1634" i="18"/>
  <c r="B1631" i="18"/>
  <c r="B1624" i="18"/>
  <c r="B1616" i="18"/>
  <c r="B1615" i="18"/>
  <c r="B1606" i="18"/>
  <c r="B1599" i="18"/>
  <c r="B1592" i="18"/>
  <c r="B1590" i="18"/>
  <c r="B1583" i="18"/>
  <c r="B1579" i="18"/>
  <c r="B1568" i="18"/>
  <c r="B1564" i="18"/>
  <c r="B1556" i="18"/>
  <c r="B1554" i="18"/>
  <c r="B1546" i="18"/>
  <c r="B1542" i="18"/>
  <c r="B1533" i="18"/>
  <c r="B1529" i="18"/>
  <c r="B1522" i="18"/>
  <c r="B1519" i="18"/>
  <c r="B1513" i="18"/>
  <c r="B1503" i="18"/>
  <c r="B1496" i="18"/>
  <c r="B1494" i="18"/>
  <c r="B1485" i="18"/>
  <c r="B1483" i="18"/>
  <c r="B1473" i="18"/>
  <c r="B1470" i="18"/>
  <c r="B1465" i="18"/>
  <c r="B1455" i="18"/>
  <c r="B1450" i="18"/>
  <c r="B1446" i="18"/>
  <c r="B1441" i="18"/>
  <c r="B1430" i="18"/>
  <c r="B1429" i="18"/>
  <c r="B1422" i="18"/>
  <c r="B1417" i="18"/>
  <c r="B1409" i="18"/>
  <c r="B1405" i="18"/>
  <c r="B1398" i="18"/>
  <c r="B1393" i="18"/>
  <c r="B1382" i="18"/>
  <c r="B1377" i="18"/>
  <c r="B1371" i="18"/>
  <c r="B1366" i="18"/>
  <c r="B1359" i="18"/>
  <c r="B1356" i="18"/>
  <c r="B1346" i="18"/>
  <c r="B1340" i="18"/>
  <c r="B1338" i="18"/>
  <c r="B1328" i="18"/>
  <c r="B1327" i="18"/>
  <c r="B1319" i="18"/>
  <c r="B1310" i="18"/>
  <c r="B1305" i="18"/>
  <c r="B1300" i="18"/>
  <c r="B1296" i="18"/>
  <c r="B1291" i="18"/>
  <c r="B1282" i="18"/>
  <c r="B1274" i="18"/>
  <c r="B1271" i="18"/>
  <c r="B1267" i="18"/>
  <c r="B1258" i="18"/>
  <c r="B1253" i="18"/>
  <c r="B1248" i="18"/>
  <c r="B1240" i="18"/>
  <c r="B1237" i="18"/>
  <c r="B1230" i="18"/>
  <c r="B1223" i="18"/>
  <c r="B1215" i="18"/>
  <c r="B1213" i="18"/>
  <c r="B1204" i="18"/>
  <c r="B1201" i="18"/>
  <c r="B1195" i="18"/>
  <c r="B1188" i="18"/>
  <c r="B1181" i="18"/>
  <c r="B1174" i="18"/>
  <c r="B1167" i="18"/>
  <c r="B1162" i="18"/>
  <c r="B1157" i="18"/>
  <c r="B1150" i="18"/>
  <c r="B1145" i="18"/>
  <c r="B1140" i="18"/>
  <c r="B1132" i="18"/>
  <c r="B1124" i="18"/>
  <c r="B1123" i="18"/>
  <c r="B1116" i="18"/>
  <c r="B1107" i="18"/>
  <c r="B1101" i="18"/>
  <c r="B1095" i="18"/>
  <c r="B1092" i="18"/>
  <c r="B1082" i="18"/>
  <c r="B1081" i="18"/>
  <c r="B1074" i="18"/>
  <c r="B1066" i="18"/>
  <c r="B1058" i="18"/>
  <c r="B1057" i="18"/>
  <c r="B1048" i="18"/>
  <c r="B1045" i="18"/>
  <c r="B1034" i="18"/>
  <c r="B1032" i="18"/>
  <c r="B1022" i="18"/>
  <c r="B1020" i="18"/>
  <c r="B1013" i="18"/>
  <c r="B1004" i="18"/>
  <c r="B1002" i="18"/>
  <c r="B997" i="18"/>
  <c r="B987" i="18"/>
  <c r="B983" i="18"/>
  <c r="B977" i="18"/>
  <c r="B970" i="18"/>
  <c r="B965" i="18"/>
  <c r="B958" i="18"/>
  <c r="B950" i="18"/>
  <c r="B947" i="18"/>
  <c r="B941" i="18"/>
  <c r="B934" i="18"/>
  <c r="B929" i="18"/>
  <c r="B924" i="18"/>
  <c r="B919" i="18"/>
  <c r="B912" i="18"/>
  <c r="B902" i="18"/>
  <c r="B896" i="18"/>
  <c r="B895" i="18"/>
  <c r="B884" i="18"/>
  <c r="B879" i="18"/>
  <c r="B877" i="18"/>
  <c r="B868" i="18"/>
  <c r="B863" i="18"/>
  <c r="B855" i="18"/>
  <c r="B849" i="18"/>
  <c r="B847" i="18"/>
  <c r="B838" i="18"/>
  <c r="B833" i="18"/>
  <c r="B829" i="18"/>
  <c r="B819" i="18"/>
  <c r="B815" i="18"/>
  <c r="B807" i="18"/>
  <c r="B802" i="18"/>
  <c r="B795" i="18"/>
  <c r="B790" i="18"/>
  <c r="B785" i="18"/>
  <c r="B778" i="18"/>
  <c r="B774" i="18"/>
  <c r="B767" i="18"/>
  <c r="B760" i="18"/>
  <c r="B753" i="18"/>
  <c r="B751" i="18"/>
  <c r="B740" i="18"/>
  <c r="B736" i="18"/>
  <c r="B728" i="18"/>
  <c r="B725" i="18"/>
  <c r="B719" i="18"/>
  <c r="B712" i="18"/>
  <c r="B704" i="18"/>
  <c r="B702" i="18"/>
  <c r="B695" i="18"/>
  <c r="B687" i="18"/>
  <c r="B682" i="18"/>
  <c r="B674" i="18"/>
  <c r="B673" i="18"/>
  <c r="B667" i="18"/>
  <c r="B658" i="18"/>
  <c r="B650" i="18"/>
  <c r="B649" i="18"/>
  <c r="B641" i="18"/>
  <c r="B637" i="18"/>
  <c r="B629" i="18"/>
  <c r="B624" i="18"/>
  <c r="B615" i="18"/>
  <c r="B608" i="18"/>
  <c r="B603" i="18"/>
  <c r="B600" i="18"/>
  <c r="B591" i="18"/>
  <c r="B589" i="18"/>
  <c r="B578" i="18"/>
  <c r="B577" i="18"/>
  <c r="B571" i="18"/>
  <c r="B562" i="18"/>
  <c r="B557" i="18"/>
  <c r="B550" i="18"/>
  <c r="B545" i="18"/>
  <c r="B537" i="18"/>
  <c r="B534" i="18"/>
  <c r="B526" i="18"/>
  <c r="B519" i="18"/>
  <c r="B517" i="18"/>
  <c r="B511" i="18"/>
  <c r="B503" i="18"/>
  <c r="B498" i="18"/>
  <c r="B488" i="18"/>
  <c r="B485" i="18"/>
  <c r="B479" i="18"/>
  <c r="B475" i="18"/>
  <c r="B467" i="18"/>
  <c r="B459" i="18"/>
  <c r="B455" i="18"/>
  <c r="B451" i="18"/>
  <c r="B445" i="18"/>
  <c r="B438" i="18"/>
  <c r="B431" i="18"/>
  <c r="B427" i="18"/>
  <c r="B417" i="18"/>
  <c r="B415" i="18"/>
  <c r="B405" i="18"/>
  <c r="B400" i="18"/>
  <c r="B393" i="18"/>
  <c r="B390" i="18"/>
  <c r="B385" i="18"/>
  <c r="B374" i="18"/>
  <c r="B372" i="18"/>
  <c r="B364" i="18"/>
  <c r="B358" i="18"/>
  <c r="B351" i="18"/>
  <c r="B347" i="18"/>
  <c r="B343" i="18"/>
  <c r="B332" i="18"/>
  <c r="B326" i="18"/>
  <c r="B322" i="18"/>
  <c r="B314" i="18"/>
  <c r="B309" i="18"/>
  <c r="B304" i="18"/>
  <c r="B300" i="18"/>
  <c r="B294" i="18"/>
  <c r="B287" i="18"/>
  <c r="B282" i="18"/>
  <c r="B273" i="18"/>
  <c r="B268" i="18"/>
  <c r="B260" i="18"/>
  <c r="B258" i="18"/>
  <c r="B251" i="18"/>
  <c r="B245" i="18"/>
  <c r="B237" i="18"/>
  <c r="B235" i="18"/>
  <c r="B226" i="18"/>
  <c r="B220" i="18"/>
  <c r="B215" i="18"/>
  <c r="B211" i="18"/>
  <c r="B202" i="18"/>
  <c r="B196" i="18"/>
  <c r="B191" i="18"/>
  <c r="B186" i="18"/>
  <c r="B179" i="18"/>
  <c r="B172" i="18"/>
  <c r="B164" i="18"/>
  <c r="B161" i="18"/>
  <c r="B152" i="18"/>
  <c r="B149" i="18"/>
  <c r="B145" i="18"/>
  <c r="B136" i="18"/>
  <c r="B133" i="18"/>
  <c r="B127" i="18"/>
  <c r="B116" i="18"/>
  <c r="B113" i="18"/>
  <c r="B109" i="18"/>
  <c r="B102" i="18"/>
  <c r="B95" i="18"/>
  <c r="B86" i="18"/>
  <c r="B84" i="18"/>
  <c r="B76" i="18"/>
  <c r="B71" i="18"/>
  <c r="B62" i="18"/>
  <c r="B61" i="18"/>
  <c r="B50" i="18"/>
  <c r="B47" i="18"/>
  <c r="B43" i="18"/>
  <c r="B32" i="18"/>
  <c r="B30" i="18"/>
  <c r="B22" i="18"/>
  <c r="B15" i="18"/>
  <c r="B12" i="18"/>
  <c r="B7" i="18"/>
  <c r="B4204" i="18"/>
  <c r="B4200" i="18"/>
  <c r="B4193" i="18"/>
  <c r="B4188" i="18"/>
  <c r="B4178" i="18"/>
  <c r="B4174" i="18"/>
  <c r="B4171" i="18"/>
  <c r="B4164" i="18"/>
  <c r="B4157" i="18"/>
  <c r="B4151" i="18"/>
  <c r="B4145" i="18"/>
  <c r="B4138" i="18"/>
  <c r="B4133" i="18"/>
  <c r="B4126" i="18"/>
  <c r="B4123" i="18"/>
  <c r="B4115" i="18"/>
  <c r="B4110" i="18"/>
  <c r="B4104" i="18"/>
  <c r="B4096" i="18"/>
  <c r="B4090" i="18"/>
  <c r="B4084" i="18"/>
  <c r="B4076" i="18"/>
  <c r="B4073" i="18"/>
  <c r="B4069" i="18"/>
  <c r="B4063" i="18"/>
  <c r="B4057" i="18"/>
  <c r="B4046" i="18"/>
  <c r="B4043" i="18"/>
  <c r="B4039" i="18"/>
  <c r="B4032" i="18"/>
  <c r="B4027" i="18"/>
  <c r="B4020" i="18"/>
  <c r="B4013" i="18"/>
  <c r="B4009" i="18"/>
  <c r="B4003" i="18"/>
  <c r="B3993" i="18"/>
  <c r="B3989" i="18"/>
  <c r="B3980" i="18"/>
  <c r="B3976" i="18"/>
  <c r="B3973" i="18"/>
  <c r="B3967" i="18"/>
  <c r="B3958" i="18"/>
  <c r="B3953" i="18"/>
  <c r="B3945" i="18"/>
  <c r="B3940" i="18"/>
  <c r="B3934" i="18"/>
  <c r="B3931" i="18"/>
  <c r="B3924" i="18"/>
  <c r="B3918" i="18"/>
  <c r="B3911" i="18"/>
  <c r="B3907" i="18"/>
  <c r="B3900" i="18"/>
  <c r="B3895" i="18"/>
  <c r="B3889" i="18"/>
  <c r="B3883" i="18"/>
  <c r="B3872" i="18"/>
  <c r="B3870" i="18"/>
  <c r="B3865" i="18"/>
  <c r="B3854" i="18"/>
  <c r="B3851" i="18"/>
  <c r="B3842" i="18"/>
  <c r="B3840" i="18"/>
  <c r="B3830" i="18"/>
  <c r="B3829" i="18"/>
  <c r="B3820" i="18"/>
  <c r="B3813" i="18"/>
  <c r="B3810" i="18"/>
  <c r="B3802" i="18"/>
  <c r="B3799" i="18"/>
  <c r="B3789" i="18"/>
  <c r="B3786" i="18"/>
  <c r="B3778" i="18"/>
  <c r="B3770" i="18"/>
  <c r="B3768" i="18"/>
  <c r="B3760" i="18"/>
  <c r="B3753" i="18"/>
  <c r="B3746" i="18"/>
  <c r="B3742" i="18"/>
  <c r="B3738" i="18"/>
  <c r="B3729" i="18"/>
  <c r="B3726" i="18"/>
  <c r="B3716" i="18"/>
  <c r="B3715" i="18"/>
  <c r="B3708" i="18"/>
  <c r="B3700" i="18"/>
  <c r="B3696" i="18"/>
  <c r="B3691" i="18"/>
  <c r="B3683" i="18"/>
  <c r="B3676" i="18"/>
  <c r="B3668" i="18"/>
  <c r="B3664" i="18"/>
  <c r="B3661" i="18"/>
  <c r="B3653" i="18"/>
  <c r="B3649" i="18"/>
  <c r="B3642" i="18"/>
  <c r="B3632" i="18"/>
  <c r="B3627" i="18"/>
  <c r="B3620" i="18"/>
  <c r="B3616" i="18"/>
  <c r="B3613" i="18"/>
  <c r="B3602" i="18"/>
  <c r="B3601" i="18"/>
  <c r="B3592" i="18"/>
  <c r="B3589" i="18"/>
  <c r="B3578" i="18"/>
  <c r="B3576" i="18"/>
  <c r="B3569" i="18"/>
  <c r="B3560" i="18"/>
  <c r="B3555" i="18"/>
  <c r="B3552" i="18"/>
  <c r="B3546" i="18"/>
  <c r="B3536" i="18"/>
  <c r="B3531" i="18"/>
  <c r="B3527" i="18"/>
  <c r="B3521" i="18"/>
  <c r="B3514" i="18"/>
  <c r="B3507" i="18"/>
  <c r="B3503" i="18"/>
  <c r="B3499" i="18"/>
  <c r="B3489" i="18"/>
  <c r="B3482" i="18"/>
  <c r="B3476" i="18"/>
  <c r="B3471" i="18"/>
  <c r="B3466" i="18"/>
  <c r="B3463" i="18"/>
  <c r="B3452" i="18"/>
  <c r="B3447" i="18"/>
  <c r="B3440" i="18"/>
  <c r="B3439" i="18"/>
  <c r="B3429" i="18"/>
  <c r="B3424" i="18"/>
  <c r="B3418" i="18"/>
  <c r="B3413" i="18"/>
  <c r="B3408" i="18"/>
  <c r="B3402" i="18"/>
  <c r="B3396" i="18"/>
  <c r="B3386" i="18"/>
  <c r="B3382" i="18"/>
  <c r="B3375" i="18"/>
  <c r="B3370" i="18"/>
  <c r="B3362" i="18"/>
  <c r="B3356" i="18"/>
  <c r="B3350" i="18"/>
  <c r="B3345" i="18"/>
  <c r="B3343" i="18"/>
  <c r="B3333" i="18"/>
  <c r="B3327" i="18"/>
  <c r="B3321" i="18"/>
  <c r="B3318" i="18"/>
  <c r="B3308" i="18"/>
  <c r="B3303" i="18"/>
  <c r="B3297" i="18"/>
  <c r="B3293" i="18"/>
  <c r="B3289" i="18"/>
  <c r="B3283" i="18"/>
  <c r="B3276" i="18"/>
  <c r="B3266" i="18"/>
  <c r="B3261" i="18"/>
  <c r="B3255" i="18"/>
  <c r="B3253" i="18"/>
  <c r="B3243" i="18"/>
  <c r="B3238" i="18"/>
  <c r="B3232" i="18"/>
  <c r="B3225" i="18"/>
  <c r="B3218" i="18"/>
  <c r="B3214" i="18"/>
  <c r="B3209" i="18"/>
  <c r="B3204" i="18"/>
  <c r="B3198" i="18"/>
  <c r="B3188" i="18"/>
  <c r="B3185" i="18"/>
  <c r="B3176" i="18"/>
  <c r="B3174" i="18"/>
  <c r="B3165" i="18"/>
  <c r="B3161" i="18"/>
  <c r="B3155" i="18"/>
  <c r="B3149" i="18"/>
  <c r="B3144" i="18"/>
  <c r="B3136" i="18"/>
  <c r="B3133" i="18"/>
  <c r="B3127" i="18"/>
  <c r="B3119" i="18"/>
  <c r="B3115" i="18"/>
  <c r="B3106" i="18"/>
  <c r="B3103" i="18"/>
  <c r="B3093" i="18"/>
  <c r="B3086" i="18"/>
  <c r="B3083" i="18"/>
  <c r="B3074" i="18"/>
  <c r="B3073" i="18"/>
  <c r="B3067" i="18"/>
  <c r="B3058" i="18"/>
  <c r="B3052" i="18"/>
  <c r="B3044" i="18"/>
  <c r="B3039" i="18"/>
  <c r="B3036" i="18"/>
  <c r="B3030" i="18"/>
  <c r="B3022" i="18"/>
  <c r="B3019" i="18"/>
  <c r="B3010" i="18"/>
  <c r="B3003" i="18"/>
  <c r="B2999" i="18"/>
  <c r="B2990" i="18"/>
  <c r="B2989" i="18"/>
  <c r="B2982" i="18"/>
  <c r="B2974" i="18"/>
  <c r="B2971" i="18"/>
  <c r="B2962" i="18"/>
  <c r="B2954" i="18"/>
  <c r="B2951" i="18"/>
  <c r="B2945" i="18"/>
  <c r="B2939" i="18"/>
  <c r="B2931" i="18"/>
  <c r="B2929" i="18"/>
  <c r="B2919" i="18"/>
  <c r="B2912" i="18"/>
  <c r="B2908" i="18"/>
  <c r="B2904" i="18"/>
  <c r="B2897" i="18"/>
  <c r="B2888" i="18"/>
  <c r="B2885" i="18"/>
  <c r="B2879" i="18"/>
  <c r="B2874" i="18"/>
  <c r="B2866" i="18"/>
  <c r="B2862" i="18"/>
  <c r="B2855" i="18"/>
  <c r="B2849" i="18"/>
  <c r="B2843" i="18"/>
  <c r="B2835" i="18"/>
  <c r="B2830" i="18"/>
  <c r="B2822" i="18"/>
  <c r="B2821" i="18"/>
  <c r="B2813" i="18"/>
  <c r="B2809" i="18"/>
  <c r="B2800" i="18"/>
  <c r="B2797" i="18"/>
  <c r="B2791" i="18"/>
  <c r="B2781" i="18"/>
  <c r="B2775" i="18"/>
  <c r="B2770" i="18"/>
  <c r="B2765" i="18"/>
  <c r="B2757" i="18"/>
  <c r="B2751" i="18"/>
  <c r="B2747" i="18"/>
  <c r="B2739" i="18"/>
  <c r="B2734" i="18"/>
  <c r="B2730" i="18"/>
  <c r="B2723" i="18"/>
  <c r="B2714" i="18"/>
  <c r="B2713" i="18"/>
  <c r="B2705" i="18"/>
  <c r="B2697" i="18"/>
  <c r="B2695" i="18"/>
  <c r="B2688" i="18"/>
  <c r="B2679" i="18"/>
  <c r="B2677" i="18"/>
  <c r="B2666" i="18"/>
  <c r="B2665" i="18"/>
  <c r="B2659" i="18"/>
  <c r="B2649" i="18"/>
  <c r="B2643" i="18"/>
  <c r="B2638" i="18"/>
  <c r="B2633" i="18"/>
  <c r="B2629" i="18"/>
  <c r="B2622" i="18"/>
  <c r="B2616" i="18"/>
  <c r="B2606" i="18"/>
  <c r="B2600" i="18"/>
  <c r="B2595" i="18"/>
  <c r="B2593" i="18"/>
  <c r="B2584" i="18"/>
  <c r="B2580" i="18"/>
  <c r="B2574" i="18"/>
  <c r="B2566" i="18"/>
  <c r="B2563" i="18"/>
  <c r="B2553" i="18"/>
  <c r="B2550" i="18"/>
  <c r="B2545" i="18"/>
  <c r="B2539" i="18"/>
  <c r="B2531" i="18"/>
  <c r="B2526" i="18"/>
  <c r="B2517" i="18"/>
  <c r="B2513" i="18"/>
  <c r="B2509" i="18"/>
  <c r="B2503" i="18"/>
  <c r="B2497" i="18"/>
  <c r="B2486" i="18"/>
  <c r="B2484" i="18"/>
  <c r="B2476" i="18"/>
  <c r="B2472" i="18"/>
  <c r="B2464" i="18"/>
  <c r="B2460" i="18"/>
  <c r="B2454" i="18"/>
  <c r="B2445" i="18"/>
  <c r="B2442" i="18"/>
  <c r="B2432" i="18"/>
  <c r="B2427" i="18"/>
  <c r="B2425" i="18"/>
  <c r="B2419" i="18"/>
  <c r="B2412" i="18"/>
  <c r="B2406" i="18"/>
  <c r="B2397" i="18"/>
  <c r="B2394" i="18"/>
  <c r="B2385" i="18"/>
  <c r="B2380" i="18"/>
  <c r="B2376" i="18"/>
  <c r="B2366" i="18"/>
  <c r="B2360" i="18"/>
  <c r="B2359" i="18"/>
  <c r="B2348" i="18"/>
  <c r="B2344" i="18"/>
  <c r="B2338" i="18"/>
  <c r="B2330" i="18"/>
  <c r="B2328" i="18"/>
  <c r="B2321" i="18"/>
  <c r="B2314" i="18"/>
  <c r="B2309" i="18"/>
  <c r="B2304" i="18"/>
  <c r="B2299" i="18"/>
  <c r="B2291" i="18"/>
  <c r="B2285" i="18"/>
  <c r="B2281" i="18"/>
  <c r="B2272" i="18"/>
  <c r="B2264" i="18"/>
  <c r="B2261" i="18"/>
  <c r="B2253" i="18"/>
  <c r="B2246" i="18"/>
  <c r="B2244" i="18"/>
  <c r="B2235" i="18"/>
  <c r="B2233" i="18"/>
  <c r="B2225" i="18"/>
  <c r="B2219" i="18"/>
  <c r="B2212" i="18"/>
  <c r="B2204" i="18"/>
  <c r="B2201" i="18"/>
  <c r="B2194" i="18"/>
  <c r="B2189" i="18"/>
  <c r="B2181" i="18"/>
  <c r="B2174" i="18"/>
  <c r="B2169" i="18"/>
  <c r="B2167" i="18"/>
  <c r="B2159" i="18"/>
  <c r="B2153" i="18"/>
  <c r="B2148" i="18"/>
  <c r="B2141" i="18"/>
  <c r="B2136" i="18"/>
  <c r="B2126" i="18"/>
  <c r="B2124" i="18"/>
  <c r="B2116" i="18"/>
  <c r="B2113" i="18"/>
  <c r="B2103" i="18"/>
  <c r="B2097" i="18"/>
  <c r="B2093" i="18"/>
  <c r="B2088" i="18"/>
  <c r="B2081" i="18"/>
  <c r="B2075" i="18"/>
  <c r="B2071" i="18"/>
  <c r="B2061" i="18"/>
  <c r="B2058" i="18"/>
  <c r="B2051" i="18"/>
  <c r="B2044" i="18"/>
  <c r="B2039" i="18"/>
  <c r="B2031" i="18"/>
  <c r="B2024" i="18"/>
  <c r="B2021" i="18"/>
  <c r="B2013" i="18"/>
  <c r="B2010" i="18"/>
  <c r="B2000" i="18"/>
  <c r="B1995" i="18"/>
  <c r="B1992" i="18"/>
  <c r="B1982" i="18"/>
  <c r="B1981" i="18"/>
  <c r="B1973" i="18"/>
  <c r="B1967" i="18"/>
  <c r="B1958" i="18"/>
  <c r="B1955" i="18"/>
  <c r="B1948" i="18"/>
  <c r="B1944" i="18"/>
  <c r="B1935" i="18"/>
  <c r="B1933" i="18"/>
  <c r="B1927" i="18"/>
  <c r="B1920" i="18"/>
  <c r="B1911" i="18"/>
  <c r="B1904" i="18"/>
  <c r="B1903" i="18"/>
  <c r="B1894" i="18"/>
  <c r="B1886" i="18"/>
  <c r="B1885" i="18"/>
  <c r="B1874" i="18"/>
  <c r="B1872" i="18"/>
  <c r="B1864" i="18"/>
  <c r="B1858" i="18"/>
  <c r="B1854" i="18"/>
  <c r="B1849" i="18"/>
  <c r="B1840" i="18"/>
  <c r="B1836" i="18"/>
  <c r="B1831" i="18"/>
  <c r="B1825" i="18"/>
  <c r="B1819" i="18"/>
  <c r="B1808" i="18"/>
  <c r="B1807" i="18"/>
  <c r="B1799" i="18"/>
  <c r="B1790" i="18"/>
  <c r="B1787" i="18"/>
  <c r="B1782" i="18"/>
  <c r="B1774" i="18"/>
  <c r="B1768" i="18"/>
  <c r="B1764" i="18"/>
  <c r="B1755" i="18"/>
  <c r="B1753" i="18"/>
  <c r="B1743" i="18"/>
  <c r="B1741" i="18"/>
  <c r="B1732" i="18"/>
  <c r="B1725" i="18"/>
  <c r="B1719" i="18"/>
  <c r="B1715" i="18"/>
  <c r="B1708" i="18"/>
  <c r="B1701" i="18"/>
  <c r="B1694" i="18"/>
  <c r="B1691" i="18"/>
  <c r="B1685" i="18"/>
  <c r="B1676" i="18"/>
  <c r="B1670" i="18"/>
  <c r="B1669" i="18"/>
  <c r="B1663" i="18"/>
  <c r="B1656" i="18"/>
  <c r="B1650" i="18"/>
  <c r="B1645" i="18"/>
  <c r="B1639" i="18"/>
  <c r="B1633" i="18"/>
  <c r="B1623" i="18"/>
  <c r="B1619" i="18"/>
  <c r="B1614" i="18"/>
  <c r="B1607" i="18"/>
  <c r="B1598" i="18"/>
  <c r="B1595" i="18"/>
  <c r="B1591" i="18"/>
  <c r="B1582" i="18"/>
  <c r="B1576" i="18"/>
  <c r="B1573" i="18"/>
  <c r="B1566" i="18"/>
  <c r="B1558" i="18"/>
  <c r="B1551" i="18"/>
  <c r="B1545" i="18"/>
  <c r="B1538" i="18"/>
  <c r="B1534" i="18"/>
  <c r="B1530" i="18"/>
  <c r="B1523" i="18"/>
  <c r="B1515" i="18"/>
  <c r="B1510" i="18"/>
  <c r="B1504" i="18"/>
  <c r="B1497" i="18"/>
  <c r="B1492" i="18"/>
  <c r="B1488" i="18"/>
  <c r="B1482" i="18"/>
  <c r="B1477" i="18"/>
  <c r="B1469" i="18"/>
  <c r="B1462" i="18"/>
  <c r="B1458" i="18"/>
  <c r="B1448" i="18"/>
  <c r="B1442" i="18"/>
  <c r="B1436" i="18"/>
  <c r="B1434" i="18"/>
  <c r="B1428" i="18"/>
  <c r="B1423" i="18"/>
  <c r="B1414" i="18"/>
  <c r="B1410" i="18"/>
  <c r="B1403" i="18"/>
  <c r="B1394" i="18"/>
  <c r="B1391" i="18"/>
  <c r="B1384" i="18"/>
  <c r="B1378" i="18"/>
  <c r="B1373" i="18"/>
  <c r="B1369" i="18"/>
  <c r="B1358" i="18"/>
  <c r="B1353" i="18"/>
  <c r="B1347" i="18"/>
  <c r="B1342" i="18"/>
  <c r="B1336" i="18"/>
  <c r="B1332" i="18"/>
  <c r="B1323" i="18"/>
  <c r="B1318" i="18"/>
  <c r="B1315" i="18"/>
  <c r="B1307" i="18"/>
  <c r="B1298" i="18"/>
  <c r="B1294" i="18"/>
  <c r="B1288" i="18"/>
  <c r="B1280" i="18"/>
  <c r="B1276" i="18"/>
  <c r="B1268" i="18"/>
  <c r="B1263" i="18"/>
  <c r="B1259" i="18"/>
  <c r="B1250" i="18"/>
  <c r="B1247" i="18"/>
  <c r="B1241" i="18"/>
  <c r="B1232" i="18"/>
  <c r="B1228" i="18"/>
  <c r="B1224" i="18"/>
  <c r="B1219" i="18"/>
  <c r="B1211" i="18"/>
  <c r="B1203" i="18"/>
  <c r="B1197" i="18"/>
  <c r="B1194" i="18"/>
  <c r="B1189" i="18"/>
  <c r="B1182" i="18"/>
  <c r="B1176" i="18"/>
  <c r="B1170" i="18"/>
  <c r="B1165" i="18"/>
  <c r="B1156" i="18"/>
  <c r="B1152" i="18"/>
  <c r="B1143" i="18"/>
  <c r="B1137" i="18"/>
  <c r="B1130" i="18"/>
  <c r="B1126" i="18"/>
  <c r="B1119" i="18"/>
  <c r="B1112" i="18"/>
  <c r="B1108" i="18"/>
  <c r="B1105" i="18"/>
  <c r="B1097" i="18"/>
  <c r="B1091" i="18"/>
  <c r="B1083" i="18"/>
  <c r="B1079" i="18"/>
  <c r="B1070" i="18"/>
  <c r="B1065" i="18"/>
  <c r="B1062" i="18"/>
  <c r="B1052" i="18"/>
  <c r="B1051" i="18"/>
  <c r="B1042" i="18"/>
  <c r="B1036" i="18"/>
  <c r="B1031" i="18"/>
  <c r="B1023" i="18"/>
  <c r="B1018" i="18"/>
  <c r="B1011" i="18"/>
  <c r="B1009" i="18"/>
  <c r="B1003" i="18"/>
  <c r="B996" i="18"/>
  <c r="B988" i="18"/>
  <c r="B980" i="18"/>
  <c r="B975" i="18"/>
  <c r="B969" i="18"/>
  <c r="B963" i="18"/>
  <c r="B960" i="18"/>
  <c r="B954" i="18"/>
  <c r="B946" i="18"/>
  <c r="B940" i="18"/>
  <c r="B932" i="18"/>
  <c r="B931" i="18"/>
  <c r="B920" i="18"/>
  <c r="B918" i="18"/>
  <c r="B910" i="18"/>
  <c r="B906" i="18"/>
  <c r="B897" i="18"/>
  <c r="B891" i="18"/>
  <c r="B885" i="18"/>
  <c r="B881" i="18"/>
  <c r="B876" i="18"/>
  <c r="B867" i="18"/>
  <c r="B864" i="18"/>
  <c r="B857" i="18"/>
  <c r="B848" i="18"/>
  <c r="B843" i="18"/>
  <c r="B839" i="18"/>
  <c r="B832" i="18"/>
  <c r="B828" i="18"/>
  <c r="B820" i="18"/>
  <c r="B816" i="18"/>
  <c r="B806" i="18"/>
  <c r="B800" i="18"/>
  <c r="B799" i="18"/>
  <c r="B789" i="18"/>
  <c r="B787" i="18"/>
  <c r="B777" i="18"/>
  <c r="B771" i="18"/>
  <c r="B766" i="18"/>
  <c r="B758" i="18"/>
  <c r="B756" i="18"/>
  <c r="B749" i="18"/>
  <c r="B743" i="18"/>
  <c r="B737" i="18"/>
  <c r="B732" i="18"/>
  <c r="B724" i="18"/>
  <c r="B720" i="18"/>
  <c r="B714" i="18"/>
  <c r="B706" i="18"/>
  <c r="B703" i="18"/>
  <c r="B694" i="18"/>
  <c r="B686" i="18"/>
  <c r="B680" i="18"/>
  <c r="B675" i="18"/>
  <c r="B669" i="18"/>
  <c r="B662" i="18"/>
  <c r="B656" i="18"/>
  <c r="B655" i="18"/>
  <c r="B647" i="18"/>
  <c r="B643" i="18"/>
  <c r="B635" i="18"/>
  <c r="B627" i="18"/>
  <c r="B625" i="18"/>
  <c r="B619" i="18"/>
  <c r="B612" i="18"/>
  <c r="B607" i="18"/>
  <c r="B598" i="18"/>
  <c r="B593" i="18"/>
  <c r="B585" i="18"/>
  <c r="B581" i="18"/>
  <c r="B575" i="18"/>
  <c r="B567" i="18"/>
  <c r="B565" i="18"/>
  <c r="B558" i="18"/>
  <c r="B553" i="18"/>
  <c r="B543" i="18"/>
  <c r="B536" i="18"/>
  <c r="B531" i="18"/>
  <c r="B527" i="18"/>
  <c r="B520" i="18"/>
  <c r="B516" i="18"/>
  <c r="B510" i="18"/>
  <c r="B501" i="18"/>
  <c r="B494" i="18"/>
  <c r="B490" i="18"/>
  <c r="B483" i="18"/>
  <c r="B477" i="18"/>
  <c r="B473" i="18"/>
  <c r="B465" i="18"/>
  <c r="B460" i="18"/>
  <c r="B457" i="18"/>
  <c r="B446" i="18"/>
  <c r="B442" i="18"/>
  <c r="B439" i="18"/>
  <c r="B430" i="18"/>
  <c r="B423" i="18"/>
  <c r="B421" i="18"/>
  <c r="B412" i="18"/>
  <c r="B409" i="18"/>
  <c r="B403" i="18"/>
  <c r="B397" i="18"/>
  <c r="B387" i="18"/>
  <c r="B382" i="18"/>
  <c r="B379" i="18"/>
  <c r="B369" i="18"/>
  <c r="B367" i="18"/>
  <c r="B357" i="18"/>
  <c r="B355" i="18"/>
  <c r="B348" i="18"/>
  <c r="B341" i="18"/>
  <c r="B337" i="18"/>
  <c r="B328" i="18"/>
  <c r="B320" i="18"/>
  <c r="B316" i="18"/>
  <c r="B312" i="18"/>
  <c r="B307" i="18"/>
  <c r="B299" i="18"/>
  <c r="B292" i="18"/>
  <c r="B288" i="18"/>
  <c r="B281" i="18"/>
  <c r="B272" i="18"/>
  <c r="B267" i="18"/>
  <c r="B261" i="18"/>
  <c r="B254" i="18"/>
  <c r="B252" i="18"/>
  <c r="B243" i="18"/>
  <c r="B236" i="18"/>
  <c r="B232" i="18"/>
  <c r="B225" i="18"/>
  <c r="B222" i="18"/>
  <c r="B217" i="18"/>
  <c r="B210" i="18"/>
  <c r="B201" i="18"/>
  <c r="B194" i="18"/>
  <c r="B188" i="18"/>
  <c r="B185" i="18"/>
  <c r="B178" i="18"/>
  <c r="B173" i="18"/>
  <c r="B169" i="18"/>
  <c r="B160" i="18"/>
  <c r="B154" i="18"/>
  <c r="B148" i="18"/>
  <c r="B144" i="18"/>
  <c r="B138" i="18"/>
  <c r="B131" i="18"/>
  <c r="B123" i="18"/>
  <c r="B120" i="18"/>
  <c r="B112" i="18"/>
  <c r="B106" i="18"/>
  <c r="B98" i="18"/>
  <c r="B92" i="18"/>
  <c r="B88" i="18"/>
  <c r="B85" i="18"/>
  <c r="B75" i="18"/>
  <c r="B69" i="18"/>
  <c r="B66" i="18"/>
  <c r="B57" i="18"/>
  <c r="B52" i="18"/>
  <c r="B45" i="18"/>
  <c r="B40" i="18"/>
  <c r="B36" i="18"/>
  <c r="B31" i="18"/>
  <c r="B25" i="18"/>
  <c r="B16" i="18"/>
  <c r="B13" i="18"/>
  <c r="B4" i="18"/>
  <c r="B4203" i="18"/>
  <c r="B4197" i="18"/>
  <c r="B4191" i="18"/>
  <c r="B4186" i="18"/>
  <c r="B4179" i="18"/>
  <c r="B4176" i="18"/>
  <c r="B4168" i="18"/>
  <c r="B4163" i="18"/>
  <c r="B4159" i="18"/>
  <c r="B4149" i="18"/>
  <c r="B4146" i="18"/>
  <c r="B4137" i="18"/>
  <c r="B4135" i="18"/>
  <c r="B4129" i="18"/>
  <c r="B4121" i="18"/>
  <c r="B4114" i="18"/>
  <c r="B4109" i="18"/>
  <c r="B4103" i="18"/>
  <c r="B4098" i="18"/>
  <c r="B4089" i="18"/>
  <c r="B4086" i="18"/>
  <c r="B4081" i="18"/>
  <c r="B4072" i="18"/>
  <c r="B4064" i="18"/>
  <c r="B4060" i="18"/>
  <c r="B4052" i="18"/>
  <c r="B4047" i="18"/>
  <c r="B4044" i="18"/>
  <c r="B4035" i="18"/>
  <c r="B4031" i="18"/>
  <c r="B4025" i="18"/>
  <c r="B4016" i="18"/>
  <c r="B4010" i="18"/>
  <c r="B4004" i="18"/>
  <c r="B3999" i="18"/>
  <c r="B3994" i="18"/>
  <c r="B3990" i="18"/>
  <c r="B3984" i="18"/>
  <c r="B3975" i="18"/>
  <c r="B3968" i="18"/>
  <c r="B3965" i="18"/>
  <c r="B3961" i="18"/>
  <c r="B3951" i="18"/>
  <c r="B3946" i="18"/>
  <c r="B3939" i="18"/>
  <c r="B3932" i="18"/>
  <c r="B3928" i="18"/>
  <c r="B3925" i="18"/>
  <c r="B3917" i="18"/>
  <c r="B3913" i="18"/>
  <c r="B3906" i="18"/>
  <c r="B3901" i="18"/>
  <c r="B3894" i="18"/>
  <c r="B3888" i="18"/>
  <c r="B3879" i="18"/>
  <c r="B3877" i="18"/>
  <c r="B3866" i="18"/>
  <c r="B3862" i="18"/>
  <c r="B3858" i="18"/>
  <c r="B3852" i="18"/>
  <c r="B3845" i="18"/>
  <c r="B3836" i="18"/>
  <c r="B3831" i="18"/>
  <c r="B3826" i="18"/>
  <c r="B3818" i="18"/>
  <c r="B3814" i="18"/>
  <c r="B3807" i="18"/>
  <c r="B3803" i="18"/>
  <c r="B3796" i="18"/>
  <c r="B3792" i="18"/>
  <c r="B3785" i="18"/>
  <c r="B3781" i="18"/>
  <c r="B3771" i="18"/>
  <c r="B3766" i="18"/>
  <c r="B3763" i="18"/>
  <c r="B3756" i="18"/>
  <c r="B3749" i="18"/>
  <c r="B3741" i="18"/>
  <c r="B3736" i="18"/>
  <c r="B3730" i="18"/>
  <c r="B3724" i="18"/>
  <c r="B3717" i="18"/>
  <c r="B3714" i="18"/>
  <c r="B3705" i="18"/>
  <c r="B3701" i="18"/>
  <c r="B3692" i="18"/>
  <c r="B3688" i="18"/>
  <c r="B3685" i="18"/>
  <c r="B3677" i="18"/>
  <c r="B3670" i="18"/>
  <c r="B3665" i="18"/>
  <c r="B3656" i="18"/>
  <c r="B3654" i="18"/>
  <c r="B3647" i="18"/>
  <c r="B3643" i="18"/>
  <c r="B3633" i="18"/>
  <c r="B3628" i="18"/>
  <c r="B3625" i="18"/>
  <c r="B3614" i="18"/>
  <c r="B3612" i="18"/>
  <c r="B3606" i="18"/>
  <c r="B3600" i="18"/>
  <c r="B3591" i="18"/>
  <c r="B3587" i="18"/>
  <c r="B3582" i="18"/>
  <c r="B3573" i="18"/>
  <c r="B3571" i="18"/>
  <c r="B3564" i="18"/>
  <c r="B3557" i="18"/>
  <c r="B3553" i="18"/>
  <c r="B3542" i="18"/>
  <c r="B3539" i="18"/>
  <c r="B3535" i="18"/>
  <c r="B3528" i="18"/>
  <c r="B3522" i="18"/>
  <c r="B3516" i="18"/>
  <c r="B3506" i="18"/>
  <c r="B3502" i="18"/>
  <c r="B3496" i="18"/>
  <c r="B3491" i="18"/>
  <c r="B3483" i="18"/>
  <c r="B3479" i="18"/>
  <c r="B3473" i="18"/>
  <c r="B3467" i="18"/>
  <c r="B3460" i="18"/>
  <c r="B3456" i="18"/>
  <c r="B3451" i="18"/>
  <c r="B3442" i="18"/>
  <c r="B3435" i="18"/>
  <c r="B3432" i="18"/>
  <c r="B3425" i="18"/>
  <c r="B3417" i="18"/>
  <c r="B3414" i="18"/>
  <c r="B3406" i="18"/>
  <c r="B3403" i="18"/>
  <c r="B3392" i="18"/>
  <c r="B3390" i="18"/>
  <c r="B3384" i="18"/>
  <c r="B3377" i="18"/>
  <c r="B3373" i="18"/>
  <c r="B3364" i="18"/>
  <c r="B3358" i="18"/>
  <c r="B3354" i="18"/>
  <c r="B3344" i="18"/>
  <c r="B3338" i="18"/>
  <c r="B3335" i="18"/>
  <c r="B3331" i="18"/>
  <c r="B3325" i="18"/>
  <c r="B3315" i="18"/>
  <c r="B3309" i="18"/>
  <c r="B3305" i="18"/>
  <c r="B3299" i="18"/>
  <c r="B3290" i="18"/>
  <c r="B3286" i="18"/>
  <c r="B3280" i="18"/>
  <c r="B3277" i="18"/>
  <c r="B3269" i="18"/>
  <c r="B3262" i="18"/>
  <c r="B3254" i="18"/>
  <c r="B3249" i="18"/>
  <c r="B3246" i="18"/>
  <c r="B3241" i="18"/>
  <c r="B3234" i="18"/>
  <c r="B3229" i="18"/>
  <c r="B3219" i="18"/>
  <c r="B3212" i="18"/>
  <c r="B3210" i="18"/>
  <c r="B3201" i="18"/>
  <c r="B3194" i="18"/>
  <c r="B3190" i="18"/>
  <c r="B3184" i="18"/>
  <c r="B3180" i="18"/>
  <c r="B3171" i="18"/>
  <c r="B3169" i="18"/>
  <c r="B3163" i="18"/>
  <c r="B3152" i="18"/>
  <c r="B3147" i="18"/>
  <c r="B3143" i="18"/>
  <c r="B3138" i="18"/>
  <c r="B3132" i="18"/>
  <c r="B3122" i="18"/>
  <c r="B3117" i="18"/>
  <c r="B3111" i="18"/>
  <c r="B3109" i="18"/>
  <c r="B3101" i="18"/>
  <c r="B3094" i="18"/>
  <c r="B3087" i="18"/>
  <c r="B3084" i="18"/>
  <c r="B3075" i="18"/>
  <c r="B3072" i="18"/>
  <c r="B3065" i="18"/>
  <c r="B3061" i="18"/>
  <c r="B3050" i="18"/>
  <c r="B3049" i="18"/>
  <c r="B3040" i="18"/>
  <c r="B3034" i="18"/>
  <c r="B3031" i="18"/>
  <c r="B3025" i="18"/>
  <c r="B3014" i="18"/>
  <c r="B3011" i="18"/>
  <c r="B3005" i="18"/>
  <c r="B3000" i="18"/>
  <c r="B2992" i="18"/>
  <c r="B2985" i="18"/>
  <c r="B2983" i="18"/>
  <c r="B2973" i="18"/>
  <c r="B2969" i="18"/>
  <c r="B2964" i="18"/>
  <c r="B2955" i="18"/>
  <c r="B2952" i="18"/>
  <c r="B2946" i="18"/>
  <c r="B2937" i="18"/>
  <c r="B2934" i="18"/>
  <c r="B2927" i="18"/>
  <c r="B2923" i="18"/>
  <c r="B2914" i="18"/>
  <c r="B2909" i="18"/>
  <c r="B2905" i="18"/>
  <c r="B2895" i="18"/>
  <c r="B2890" i="18"/>
  <c r="B2884" i="18"/>
  <c r="B2881" i="18"/>
  <c r="B2875" i="18"/>
  <c r="B2864" i="18"/>
  <c r="B2861" i="18"/>
  <c r="B2852" i="18"/>
  <c r="B2847" i="18"/>
  <c r="B2844" i="18"/>
  <c r="B2836" i="18"/>
  <c r="B2832" i="18"/>
  <c r="B2827" i="18"/>
  <c r="B2820" i="18"/>
  <c r="B2815" i="18"/>
  <c r="B2807" i="18"/>
  <c r="B2803" i="18"/>
  <c r="B2796" i="18"/>
  <c r="B2786" i="18"/>
  <c r="B2784" i="18"/>
  <c r="B2777" i="18"/>
  <c r="B2772" i="18"/>
  <c r="B2766" i="18"/>
  <c r="B2756" i="18"/>
  <c r="B2752" i="18"/>
  <c r="B2749" i="18"/>
  <c r="B2738" i="18"/>
  <c r="B2735" i="18"/>
  <c r="B2729" i="18"/>
  <c r="B2720" i="18"/>
  <c r="B2716" i="18"/>
  <c r="B2711" i="18"/>
  <c r="B2702" i="18"/>
  <c r="B2700" i="18"/>
  <c r="B2694" i="18"/>
  <c r="B2685" i="18"/>
  <c r="B2683" i="18"/>
  <c r="B2676" i="18"/>
  <c r="B2668" i="18"/>
  <c r="B2660" i="18"/>
  <c r="B2656" i="18"/>
  <c r="B2650" i="18"/>
  <c r="B2642" i="18"/>
  <c r="B2637" i="18"/>
  <c r="B2631" i="18"/>
  <c r="B2625" i="18"/>
  <c r="B2621" i="18"/>
  <c r="B2613" i="18"/>
  <c r="B2607" i="18"/>
  <c r="B2602" i="18"/>
  <c r="B2596" i="18"/>
  <c r="B2589" i="18"/>
  <c r="B2587" i="18"/>
  <c r="B2577" i="18"/>
  <c r="B2573" i="18"/>
  <c r="B2569" i="18"/>
  <c r="B2559" i="18"/>
  <c r="B2554" i="18"/>
  <c r="B2551" i="18"/>
  <c r="B2543" i="18"/>
  <c r="B2538" i="18"/>
  <c r="B2529" i="18"/>
  <c r="B2525" i="18"/>
  <c r="B2521" i="18"/>
  <c r="B2515" i="18"/>
  <c r="B2506" i="18"/>
  <c r="B2499" i="18"/>
  <c r="B2494" i="18"/>
  <c r="B2488" i="18"/>
  <c r="B2480" i="18"/>
  <c r="B2477" i="18"/>
  <c r="B2469" i="18"/>
  <c r="B2466" i="18"/>
  <c r="B2461" i="18"/>
  <c r="B2455" i="18"/>
  <c r="B2446" i="18"/>
  <c r="B2441" i="18"/>
  <c r="B2435" i="18"/>
  <c r="B2430" i="18"/>
  <c r="B2420" i="18"/>
  <c r="B2414" i="18"/>
  <c r="B2410" i="18"/>
  <c r="B2402" i="18"/>
  <c r="B2398" i="18"/>
  <c r="B2392" i="18"/>
  <c r="B2386" i="18"/>
  <c r="B2379" i="18"/>
  <c r="B2377" i="18"/>
  <c r="B2369" i="18"/>
  <c r="B2362" i="18"/>
  <c r="B2358" i="18"/>
  <c r="B2351" i="18"/>
  <c r="B2347" i="18"/>
  <c r="B2339" i="18"/>
  <c r="B2335" i="18"/>
  <c r="B2326" i="18"/>
  <c r="B2318" i="18"/>
  <c r="B2313" i="18"/>
  <c r="B2308" i="18"/>
  <c r="B2303" i="18"/>
  <c r="B2295" i="18"/>
  <c r="B2290" i="18"/>
  <c r="B2283" i="18"/>
  <c r="B2278" i="18"/>
  <c r="B2274" i="18"/>
  <c r="B2268" i="18"/>
  <c r="B2262" i="18"/>
  <c r="B2254" i="18"/>
  <c r="B2247" i="18"/>
  <c r="B2240" i="18"/>
  <c r="B2239" i="18"/>
  <c r="B2231" i="18"/>
  <c r="B2224" i="18"/>
  <c r="B2216" i="18"/>
  <c r="B2215" i="18"/>
  <c r="B2206" i="18"/>
  <c r="B2198" i="18"/>
  <c r="B2197" i="18"/>
  <c r="B2191" i="18"/>
  <c r="B2180" i="18"/>
  <c r="B2175" i="18"/>
  <c r="B2171" i="18"/>
  <c r="B2166" i="18"/>
  <c r="B2158" i="18"/>
  <c r="B2150" i="18"/>
  <c r="B2149" i="18"/>
  <c r="B2138" i="18"/>
  <c r="B2137" i="18"/>
  <c r="B2130" i="18"/>
  <c r="B2123" i="18"/>
  <c r="B2117" i="18"/>
  <c r="B2108" i="18"/>
  <c r="B2102" i="18"/>
  <c r="B2099" i="18"/>
  <c r="B2092" i="18"/>
  <c r="B2089" i="18"/>
  <c r="B2083" i="18"/>
  <c r="B2077" i="18"/>
  <c r="B2070" i="18"/>
  <c r="B2060" i="18"/>
  <c r="B2059" i="18"/>
  <c r="B2050" i="18"/>
  <c r="B2046" i="18"/>
  <c r="B2036" i="18"/>
  <c r="B2030" i="18"/>
  <c r="B2028" i="18"/>
  <c r="B2023" i="18"/>
  <c r="B2016" i="18"/>
  <c r="B2006" i="18"/>
  <c r="B2001" i="18"/>
  <c r="B1997" i="18"/>
  <c r="B1993" i="18"/>
  <c r="B1985" i="18"/>
  <c r="B1979" i="18"/>
  <c r="B1975" i="18"/>
  <c r="B1964" i="18"/>
  <c r="B1961" i="18"/>
  <c r="B1952" i="18"/>
  <c r="B1949" i="18"/>
  <c r="B1942" i="18"/>
  <c r="B1936" i="18"/>
  <c r="B1929" i="18"/>
  <c r="B1926" i="18"/>
  <c r="B1916" i="18"/>
  <c r="B1910" i="18"/>
  <c r="B1908" i="18"/>
  <c r="B1902" i="18"/>
  <c r="B1895" i="18"/>
  <c r="B1888" i="18"/>
  <c r="B1882" i="18"/>
  <c r="B1877" i="18"/>
  <c r="B1870" i="18"/>
  <c r="B1862" i="18"/>
  <c r="B1859" i="18"/>
  <c r="B1850" i="18"/>
  <c r="B1847" i="18"/>
  <c r="B1838" i="18"/>
  <c r="B1835" i="18"/>
  <c r="B1830" i="18"/>
  <c r="B1821" i="18"/>
  <c r="B1817" i="18"/>
  <c r="B1812" i="18"/>
  <c r="B1804" i="18"/>
  <c r="B1800" i="18"/>
  <c r="B1794" i="18"/>
  <c r="B1786" i="18"/>
  <c r="B1779" i="18"/>
  <c r="B1777" i="18"/>
  <c r="B1771" i="18"/>
  <c r="B1761" i="18"/>
  <c r="B1757" i="18"/>
  <c r="B1752" i="18"/>
  <c r="B1744" i="18"/>
  <c r="B1737" i="18"/>
  <c r="B1730" i="18"/>
  <c r="B1727" i="18"/>
  <c r="B1722" i="18"/>
  <c r="B1717" i="18"/>
  <c r="B1706" i="18"/>
  <c r="B1703" i="18"/>
  <c r="B1695" i="18"/>
  <c r="B1689" i="18"/>
  <c r="B1682" i="18"/>
  <c r="B1681" i="18"/>
  <c r="B1675" i="18"/>
  <c r="B1668" i="18"/>
  <c r="B1660" i="18"/>
  <c r="B1652" i="18"/>
  <c r="B1646" i="18"/>
  <c r="B1643" i="18"/>
  <c r="B1638" i="18"/>
  <c r="B1632" i="18"/>
  <c r="B1627" i="18"/>
  <c r="B1618" i="18"/>
  <c r="B1610" i="18"/>
  <c r="B1608" i="18"/>
  <c r="B1603" i="18"/>
  <c r="B1594" i="18"/>
  <c r="B1587" i="18"/>
  <c r="B1581" i="18"/>
  <c r="B1575" i="18"/>
  <c r="B1572" i="18"/>
  <c r="B1565" i="18"/>
  <c r="B1560" i="18"/>
  <c r="B1553" i="18"/>
  <c r="B1548" i="18"/>
  <c r="B1543" i="18"/>
  <c r="B1532" i="18"/>
  <c r="B1528" i="18"/>
  <c r="B1520" i="18"/>
  <c r="B1516" i="18"/>
  <c r="B1508" i="18"/>
  <c r="B1507" i="18"/>
  <c r="B1498" i="18"/>
  <c r="B1490" i="18"/>
  <c r="B1487" i="18"/>
  <c r="B1481" i="18"/>
  <c r="B1475" i="18"/>
  <c r="B1468" i="18"/>
  <c r="B1464" i="18"/>
  <c r="B1454" i="18"/>
  <c r="B1449" i="18"/>
  <c r="B1443" i="18"/>
  <c r="B1439" i="18"/>
  <c r="B1432" i="18"/>
  <c r="B1427" i="18"/>
  <c r="B1418" i="18"/>
  <c r="B1415" i="18"/>
  <c r="B1406" i="18"/>
  <c r="B1402" i="18"/>
  <c r="B1397" i="18"/>
  <c r="B1389" i="18"/>
  <c r="B1385" i="18"/>
  <c r="B1379" i="18"/>
  <c r="B1372" i="18"/>
  <c r="B1364" i="18"/>
  <c r="B1360" i="18"/>
  <c r="B1357" i="18"/>
  <c r="B1351" i="18"/>
  <c r="B1343" i="18"/>
  <c r="B1337" i="18"/>
  <c r="B1331" i="18"/>
  <c r="B1322" i="18"/>
  <c r="B1316" i="18"/>
  <c r="B1311" i="18"/>
  <c r="B1304" i="18"/>
  <c r="B1299" i="18"/>
  <c r="B1292" i="18"/>
  <c r="B1286" i="18"/>
  <c r="B1281" i="18"/>
  <c r="B1278" i="18"/>
  <c r="B1272" i="18"/>
  <c r="B1264" i="18"/>
  <c r="B1260" i="18"/>
  <c r="B1251" i="18"/>
  <c r="B1246" i="18"/>
  <c r="B1243" i="18"/>
  <c r="B1234" i="18"/>
  <c r="B1226" i="18"/>
  <c r="B1220" i="18"/>
  <c r="B1217" i="18"/>
  <c r="B1208" i="18"/>
  <c r="B1206" i="18"/>
  <c r="B1198" i="18"/>
  <c r="B1190" i="18"/>
  <c r="B1186" i="18"/>
  <c r="B1178" i="18"/>
  <c r="B1175" i="18"/>
  <c r="B1169" i="18"/>
  <c r="B1164" i="18"/>
  <c r="B1154" i="18"/>
  <c r="B1148" i="18"/>
  <c r="B1147" i="18"/>
  <c r="B1138" i="18"/>
  <c r="B1133" i="18"/>
  <c r="B1127" i="18"/>
  <c r="B1120" i="18"/>
  <c r="B1115" i="18"/>
  <c r="B1109" i="18"/>
  <c r="B1100" i="18"/>
  <c r="B1099" i="18"/>
  <c r="B1089" i="18"/>
  <c r="B1087" i="18"/>
  <c r="B1080" i="18"/>
  <c r="B1073" i="18"/>
  <c r="B1067" i="18"/>
  <c r="B1061" i="18"/>
  <c r="B1056" i="18"/>
  <c r="B1046" i="18"/>
  <c r="B1044" i="18"/>
  <c r="B1035" i="18"/>
  <c r="B1030" i="18"/>
  <c r="B1024" i="18"/>
  <c r="B1019" i="18"/>
  <c r="B1015" i="18"/>
  <c r="B1006" i="18"/>
  <c r="B998" i="18"/>
  <c r="B992" i="18"/>
  <c r="B989" i="18"/>
  <c r="B982" i="18"/>
  <c r="B974" i="18"/>
  <c r="B971" i="18"/>
  <c r="B967" i="18"/>
  <c r="B956" i="18"/>
  <c r="B955" i="18"/>
  <c r="B949" i="18"/>
  <c r="B942" i="18"/>
  <c r="B935" i="18"/>
  <c r="B928" i="18"/>
  <c r="B925" i="18"/>
  <c r="B914" i="18"/>
  <c r="B909" i="18"/>
  <c r="B907" i="18"/>
  <c r="B900" i="18"/>
  <c r="B890" i="18"/>
  <c r="B887" i="18"/>
  <c r="B878" i="18"/>
  <c r="B872" i="18"/>
  <c r="B869" i="18"/>
  <c r="B865" i="18"/>
  <c r="B856" i="18"/>
  <c r="B853" i="18"/>
  <c r="B846" i="18"/>
  <c r="B841" i="18"/>
  <c r="B835" i="18"/>
  <c r="B827" i="18"/>
  <c r="B821" i="18"/>
  <c r="B813" i="18"/>
  <c r="B808" i="18"/>
  <c r="B805" i="18"/>
  <c r="B798" i="18"/>
  <c r="B791" i="18"/>
  <c r="B786" i="18"/>
  <c r="B776" i="18"/>
  <c r="B770" i="18"/>
  <c r="B768" i="18"/>
  <c r="B759" i="18"/>
  <c r="B755" i="18"/>
  <c r="B746" i="18"/>
  <c r="B745" i="18"/>
  <c r="B735" i="18"/>
  <c r="B733" i="18"/>
  <c r="B723" i="18"/>
  <c r="B717" i="18"/>
  <c r="B711" i="18"/>
  <c r="B709" i="18"/>
  <c r="B700" i="18"/>
  <c r="B697" i="18"/>
  <c r="B689" i="18"/>
  <c r="B684" i="18"/>
  <c r="B677" i="18"/>
  <c r="B668" i="18"/>
  <c r="B666" i="18"/>
  <c r="B659" i="18"/>
  <c r="B654" i="18"/>
  <c r="B646" i="18"/>
  <c r="B642" i="18"/>
  <c r="B636" i="18"/>
  <c r="B628" i="18"/>
  <c r="B622" i="18"/>
  <c r="B617" i="18"/>
  <c r="B609" i="18"/>
  <c r="B602" i="18"/>
  <c r="B599" i="18"/>
  <c r="B592" i="18"/>
  <c r="B588" i="18"/>
  <c r="B580" i="18"/>
  <c r="B576" i="18"/>
  <c r="B568" i="18"/>
  <c r="B564" i="18"/>
  <c r="B556" i="18"/>
  <c r="B549" i="18"/>
  <c r="B546" i="18"/>
  <c r="B541" i="18"/>
  <c r="B535" i="18"/>
  <c r="B524" i="18"/>
  <c r="B523" i="18"/>
  <c r="B513" i="18"/>
  <c r="B507" i="18"/>
  <c r="B505" i="18"/>
  <c r="B496" i="18"/>
  <c r="B493" i="18"/>
  <c r="B486" i="18"/>
  <c r="B480" i="18"/>
  <c r="B470" i="18"/>
  <c r="B466" i="18"/>
  <c r="B461" i="18"/>
  <c r="B453" i="18"/>
  <c r="B448" i="18"/>
  <c r="B440" i="18"/>
  <c r="B435" i="18"/>
  <c r="B432" i="18"/>
  <c r="B422" i="18"/>
  <c r="B416" i="18"/>
  <c r="B410" i="18"/>
  <c r="B408" i="18"/>
  <c r="B398" i="18"/>
  <c r="B396" i="18"/>
  <c r="B389" i="18"/>
  <c r="B380" i="18"/>
  <c r="B378" i="18"/>
  <c r="B368" i="18"/>
  <c r="B366" i="18"/>
  <c r="B360" i="18"/>
  <c r="B352" i="18"/>
  <c r="B345" i="18"/>
  <c r="B338" i="18"/>
  <c r="B336" i="18"/>
  <c r="B329" i="18"/>
  <c r="B321" i="18"/>
  <c r="B315" i="18"/>
  <c r="B308" i="18"/>
  <c r="B302" i="18"/>
  <c r="B298" i="18"/>
  <c r="B293" i="18"/>
  <c r="B285" i="18"/>
  <c r="B279" i="18"/>
  <c r="B275" i="18"/>
  <c r="B271" i="18"/>
  <c r="B264" i="18"/>
  <c r="B256" i="18"/>
  <c r="B253" i="18"/>
  <c r="B242" i="18"/>
  <c r="B238" i="18"/>
  <c r="B230" i="18"/>
  <c r="B229" i="18"/>
  <c r="B218" i="18"/>
  <c r="B212" i="18"/>
  <c r="B206" i="18"/>
  <c r="B203" i="18"/>
  <c r="B197" i="18"/>
  <c r="B192" i="18"/>
  <c r="B184" i="18"/>
  <c r="B177" i="18"/>
  <c r="B175" i="18"/>
  <c r="B166" i="18"/>
  <c r="B158" i="18"/>
  <c r="B155" i="18"/>
  <c r="B151" i="18"/>
  <c r="B140" i="18"/>
  <c r="B137" i="18"/>
  <c r="B132" i="18"/>
  <c r="B124" i="18"/>
  <c r="B121" i="18"/>
  <c r="B110" i="18"/>
  <c r="B105" i="18"/>
  <c r="B100" i="18"/>
  <c r="B94" i="18"/>
  <c r="B87" i="18"/>
  <c r="B81" i="18"/>
  <c r="B78" i="18"/>
  <c r="B70" i="18"/>
  <c r="B65" i="18"/>
  <c r="B59" i="18"/>
  <c r="B51" i="18"/>
  <c r="B49" i="18"/>
  <c r="B42" i="18"/>
  <c r="B35" i="18"/>
  <c r="B29" i="18"/>
  <c r="B20" i="18"/>
  <c r="B17" i="18"/>
  <c r="B10" i="18"/>
  <c r="B6" i="18"/>
  <c r="B4196" i="18"/>
  <c r="B4206" i="18"/>
  <c r="B5" i="18"/>
  <c r="B9" i="18"/>
  <c r="B18" i="18"/>
  <c r="B21" i="18"/>
  <c r="B27" i="18"/>
  <c r="B37" i="18"/>
  <c r="B39" i="18"/>
  <c r="B44" i="18"/>
  <c r="B55" i="18"/>
  <c r="B58" i="18"/>
  <c r="B67" i="18"/>
  <c r="B68" i="18"/>
  <c r="B74" i="18"/>
  <c r="B82" i="18"/>
  <c r="B91" i="18"/>
  <c r="B97" i="18"/>
  <c r="B99" i="18"/>
  <c r="B107" i="18"/>
  <c r="B115" i="18"/>
  <c r="B119" i="18"/>
  <c r="B122" i="18"/>
  <c r="B128" i="18"/>
  <c r="B139" i="18"/>
  <c r="B143" i="18"/>
  <c r="B146" i="18"/>
  <c r="B157" i="18"/>
  <c r="B159" i="18"/>
  <c r="B168" i="18"/>
  <c r="B171" i="18"/>
  <c r="B180" i="18"/>
  <c r="B187" i="18"/>
  <c r="B189" i="18"/>
  <c r="B198" i="18"/>
  <c r="B204" i="18"/>
  <c r="B208" i="18"/>
  <c r="B213" i="18"/>
  <c r="B219" i="18"/>
  <c r="B228" i="18"/>
  <c r="B233" i="18"/>
  <c r="B239" i="18"/>
  <c r="B246" i="18"/>
  <c r="B250" i="18"/>
  <c r="B257" i="18"/>
  <c r="B263" i="18"/>
  <c r="B266" i="18"/>
  <c r="B276" i="18"/>
  <c r="B283" i="18"/>
  <c r="B284" i="18"/>
  <c r="B295" i="18"/>
  <c r="B296" i="18"/>
  <c r="B305" i="18"/>
  <c r="B311" i="18"/>
  <c r="B318" i="18"/>
  <c r="B323" i="18"/>
  <c r="B330" i="18"/>
  <c r="B334" i="18"/>
  <c r="B339" i="18"/>
  <c r="B344" i="18"/>
  <c r="B353" i="18"/>
  <c r="B361" i="18"/>
  <c r="B362" i="18"/>
  <c r="B373" i="18"/>
  <c r="B377" i="18"/>
  <c r="B384" i="18"/>
  <c r="B388" i="18"/>
  <c r="B392" i="18"/>
  <c r="B399" i="18"/>
  <c r="B406" i="18"/>
  <c r="B414" i="18"/>
  <c r="B419" i="18"/>
  <c r="B426" i="18"/>
  <c r="B433" i="18"/>
  <c r="B437" i="18"/>
  <c r="B444" i="18"/>
  <c r="B449" i="18"/>
  <c r="B454" i="18"/>
  <c r="B463" i="18"/>
  <c r="B464" i="18"/>
  <c r="B472" i="18"/>
  <c r="B476" i="18"/>
  <c r="B482" i="18"/>
  <c r="B489" i="18"/>
  <c r="B499" i="18"/>
  <c r="B502" i="18"/>
  <c r="B508" i="18"/>
  <c r="B512" i="18"/>
  <c r="B521" i="18"/>
  <c r="B529" i="18"/>
  <c r="B533" i="18"/>
  <c r="B539" i="18"/>
  <c r="B544" i="18"/>
  <c r="B552" i="18"/>
  <c r="B554" i="18"/>
  <c r="B560" i="18"/>
  <c r="B569" i="18"/>
  <c r="B573" i="18"/>
  <c r="B582" i="18"/>
  <c r="B587" i="18"/>
  <c r="B594" i="18"/>
  <c r="B601" i="18"/>
  <c r="B606" i="18"/>
  <c r="B613" i="18"/>
  <c r="B618" i="18"/>
  <c r="B620" i="18"/>
  <c r="B631" i="18"/>
  <c r="B632" i="18"/>
  <c r="B639" i="18"/>
  <c r="B645" i="18"/>
  <c r="B653" i="18"/>
  <c r="B660" i="18"/>
  <c r="B665" i="18"/>
  <c r="B671" i="18"/>
  <c r="B678" i="18"/>
  <c r="B681" i="18"/>
  <c r="B691" i="18"/>
  <c r="B693" i="18"/>
  <c r="B701" i="18"/>
  <c r="B708" i="18"/>
  <c r="B715" i="18"/>
  <c r="B716" i="18"/>
  <c r="B726" i="18"/>
  <c r="B729" i="18"/>
  <c r="B739" i="18"/>
  <c r="B744" i="18"/>
  <c r="B747" i="18"/>
  <c r="B752" i="18"/>
  <c r="B762" i="18"/>
  <c r="B765" i="18"/>
  <c r="B773" i="18"/>
  <c r="B779" i="18"/>
  <c r="B782" i="18"/>
  <c r="B793" i="18"/>
  <c r="B794" i="18"/>
  <c r="B803" i="18"/>
  <c r="B810" i="18"/>
  <c r="B812" i="18"/>
  <c r="B818" i="18"/>
  <c r="B826" i="18"/>
  <c r="B830" i="18"/>
  <c r="B836" i="18"/>
  <c r="B845" i="18"/>
  <c r="B851" i="18"/>
  <c r="B858" i="18"/>
  <c r="B861" i="18"/>
  <c r="B871" i="18"/>
  <c r="B874" i="18"/>
  <c r="B880" i="18"/>
  <c r="B886" i="18"/>
  <c r="B892" i="18"/>
  <c r="B898" i="18"/>
  <c r="B903" i="18"/>
  <c r="B908" i="18"/>
  <c r="B916" i="18"/>
  <c r="B922" i="18"/>
  <c r="B926" i="18"/>
  <c r="B937" i="18"/>
  <c r="B938" i="18"/>
  <c r="B948" i="18"/>
  <c r="B951" i="18"/>
  <c r="B959" i="18"/>
  <c r="B964" i="18"/>
  <c r="B973" i="18"/>
  <c r="B976" i="18"/>
  <c r="B981" i="18"/>
  <c r="B986" i="18"/>
  <c r="B993" i="18"/>
  <c r="B1001" i="18"/>
  <c r="B1007" i="18"/>
  <c r="B1012" i="18"/>
  <c r="B1016" i="18"/>
  <c r="B1025" i="18"/>
  <c r="B1033" i="18"/>
  <c r="B1038" i="18"/>
  <c r="B1041" i="18"/>
  <c r="B1049" i="18"/>
  <c r="B1053" i="18"/>
  <c r="B1059" i="18"/>
  <c r="B1068" i="18"/>
  <c r="B1075" i="18"/>
  <c r="B1076" i="18"/>
  <c r="B1086" i="18"/>
  <c r="B1093" i="18"/>
  <c r="B1098" i="18"/>
  <c r="B1102" i="18"/>
  <c r="B1111" i="18"/>
  <c r="B1117" i="18"/>
  <c r="B1118" i="18"/>
  <c r="B1128" i="18"/>
  <c r="B1134" i="18"/>
  <c r="B1141" i="18"/>
  <c r="B1142" i="18"/>
  <c r="B1153" i="18"/>
  <c r="B1155" i="18"/>
  <c r="B1161" i="18"/>
  <c r="B1166" i="18"/>
  <c r="B1173" i="18"/>
  <c r="B1183" i="18"/>
  <c r="B1187" i="18"/>
  <c r="B1193" i="18"/>
  <c r="B1200" i="18"/>
  <c r="B1205" i="18"/>
  <c r="B1210" i="18"/>
  <c r="B1216" i="18"/>
  <c r="B1225" i="18"/>
  <c r="B1229" i="18"/>
  <c r="B1233" i="18"/>
  <c r="B1242" i="18"/>
  <c r="B1244" i="18"/>
  <c r="B1255" i="18"/>
  <c r="B1261" i="18"/>
  <c r="B1262" i="18"/>
  <c r="B1270" i="18"/>
  <c r="B1277" i="18"/>
  <c r="B1285" i="18"/>
  <c r="B1287" i="18"/>
  <c r="B1297" i="18"/>
  <c r="B1301" i="18"/>
  <c r="B1309" i="18"/>
  <c r="B1314" i="18"/>
  <c r="B1317" i="18"/>
  <c r="B1324" i="18"/>
  <c r="B1333" i="18"/>
  <c r="B1334" i="18"/>
  <c r="B1344" i="18"/>
  <c r="B1349" i="18"/>
  <c r="B1354" i="18"/>
  <c r="B1363" i="18"/>
  <c r="B1365" i="18"/>
  <c r="B1374" i="18"/>
  <c r="B1381" i="18"/>
  <c r="B1386" i="18"/>
  <c r="B1388" i="18"/>
  <c r="B1399" i="18"/>
  <c r="B1401" i="18"/>
  <c r="B1407" i="18"/>
  <c r="B1412" i="18"/>
  <c r="B1420" i="18"/>
  <c r="B1424" i="18"/>
  <c r="B1435" i="18"/>
  <c r="B1437" i="18"/>
  <c r="B1444" i="18"/>
  <c r="B1452" i="18"/>
  <c r="B1457" i="18"/>
  <c r="B1460" i="18"/>
  <c r="B1471" i="18"/>
  <c r="B1474" i="18"/>
  <c r="B1480" i="18"/>
  <c r="B1484" i="18"/>
  <c r="B1495" i="18"/>
  <c r="B1501" i="18"/>
  <c r="B1506" i="18"/>
  <c r="B1509" i="18"/>
  <c r="B1518" i="18"/>
  <c r="B1525" i="18"/>
  <c r="B1527" i="18"/>
  <c r="B1536" i="18"/>
  <c r="B1540" i="18"/>
  <c r="B1544" i="18"/>
  <c r="B1555" i="18"/>
  <c r="B1561" i="18"/>
  <c r="B1563" i="18"/>
  <c r="B1571" i="18"/>
  <c r="B1578" i="18"/>
  <c r="B1580" i="18"/>
  <c r="B1588" i="18"/>
  <c r="B1596" i="18"/>
  <c r="B1600" i="18"/>
  <c r="B1605" i="18"/>
  <c r="B1613" i="18"/>
  <c r="B1620" i="18"/>
  <c r="B1622" i="18"/>
  <c r="B1628" i="18"/>
  <c r="B1636" i="18"/>
  <c r="B1642" i="18"/>
  <c r="B1649" i="18"/>
  <c r="B1655" i="18"/>
  <c r="B1658" i="18"/>
  <c r="B1665" i="18"/>
  <c r="B1674" i="18"/>
  <c r="B1680" i="18"/>
  <c r="B1683" i="18"/>
  <c r="B1690" i="18"/>
  <c r="B1699" i="18"/>
  <c r="B1704" i="18"/>
  <c r="B1709" i="18"/>
  <c r="B1713" i="18"/>
  <c r="B1723" i="18"/>
  <c r="B1728" i="18"/>
  <c r="B1735" i="18"/>
  <c r="B1740" i="18"/>
  <c r="B1747" i="18"/>
  <c r="B1751" i="18"/>
  <c r="B1759" i="18"/>
  <c r="B1762" i="18"/>
  <c r="B1770" i="18"/>
  <c r="B1776" i="18"/>
  <c r="B1778" i="18"/>
  <c r="B1785" i="18"/>
  <c r="B1792" i="18"/>
  <c r="B1797" i="18"/>
  <c r="B1803" i="18"/>
  <c r="B1813" i="18"/>
  <c r="B1815" i="18"/>
  <c r="B1823" i="18"/>
  <c r="B1828" i="18"/>
  <c r="B1832" i="18"/>
  <c r="B1842" i="18"/>
  <c r="B1846" i="18"/>
  <c r="B1852" i="18"/>
  <c r="B1856" i="18"/>
  <c r="B1865" i="18"/>
  <c r="B1871" i="18"/>
  <c r="B1879" i="18"/>
  <c r="B1880" i="18"/>
  <c r="B1891" i="18"/>
  <c r="B1893" i="18"/>
  <c r="B1899" i="18"/>
  <c r="B1909" i="18"/>
  <c r="B1913" i="18"/>
  <c r="B1917" i="18"/>
  <c r="B1925" i="18"/>
  <c r="B1930" i="18"/>
  <c r="B1938" i="18"/>
  <c r="B1945" i="18"/>
  <c r="B1947" i="18"/>
  <c r="B1957" i="18"/>
  <c r="B1960" i="18"/>
  <c r="B1966" i="18"/>
  <c r="B1970" i="18"/>
  <c r="B1977" i="18"/>
  <c r="B1986" i="18"/>
  <c r="B1991" i="18"/>
  <c r="B1998" i="18"/>
  <c r="B2002" i="18"/>
  <c r="B2011" i="18"/>
  <c r="B2017" i="18"/>
  <c r="B2022" i="18"/>
  <c r="B2027" i="18"/>
  <c r="B2034" i="18"/>
  <c r="B2040" i="18"/>
  <c r="B2045" i="18"/>
  <c r="B2053" i="18"/>
  <c r="B2054" i="18"/>
  <c r="B2063" i="18"/>
  <c r="B2068" i="18"/>
  <c r="B2074" i="18"/>
  <c r="B2080" i="18"/>
  <c r="B2085" i="18"/>
  <c r="B2094" i="18"/>
  <c r="B2098" i="18"/>
  <c r="B2104" i="18"/>
  <c r="B2110" i="18"/>
  <c r="B2119" i="18"/>
  <c r="B2122" i="18"/>
  <c r="B2127" i="18"/>
  <c r="B2133" i="18"/>
  <c r="B2140" i="18"/>
  <c r="B2144" i="18"/>
  <c r="B2155" i="18"/>
  <c r="B2161" i="18"/>
  <c r="B2165" i="18"/>
  <c r="B2168" i="18"/>
  <c r="B2177" i="18"/>
  <c r="B2182" i="18"/>
  <c r="B2187" i="18"/>
  <c r="B2193" i="18"/>
  <c r="B2203" i="18"/>
  <c r="B2207" i="18"/>
  <c r="B2213" i="18"/>
  <c r="B2217" i="18"/>
  <c r="B2223" i="18"/>
  <c r="B2229" i="18"/>
  <c r="B2238" i="18"/>
  <c r="B2242" i="18"/>
  <c r="B2250" i="18"/>
  <c r="B2252" i="18"/>
  <c r="B2260" i="18"/>
  <c r="B2266" i="18"/>
  <c r="B2275" i="18"/>
  <c r="B2280" i="18"/>
  <c r="B2284" i="18"/>
  <c r="B2288" i="18"/>
  <c r="B2294" i="18"/>
  <c r="B2305" i="18"/>
  <c r="B2311" i="18"/>
  <c r="B2315" i="18"/>
  <c r="B2322" i="18"/>
  <c r="B2325" i="18"/>
  <c r="B2333" i="18"/>
  <c r="B2341" i="18"/>
  <c r="B2346" i="18"/>
  <c r="B2350" i="18"/>
  <c r="B2357" i="18"/>
  <c r="B2363" i="18"/>
  <c r="B2368" i="18"/>
  <c r="B2372" i="18"/>
  <c r="B2378" i="18"/>
  <c r="B2389" i="18"/>
  <c r="B2393" i="18"/>
  <c r="B2400" i="18"/>
  <c r="B2407" i="18"/>
  <c r="B2409" i="18"/>
  <c r="B2416" i="18"/>
  <c r="B2421" i="18"/>
  <c r="B2431" i="18"/>
  <c r="B2434" i="18"/>
  <c r="B2439" i="18"/>
  <c r="B2448" i="18"/>
  <c r="B2450" i="18"/>
  <c r="B2456" i="18"/>
  <c r="B2467" i="18"/>
  <c r="B2468" i="18"/>
  <c r="B2474" i="18"/>
  <c r="B2481" i="18"/>
  <c r="B2490" i="18"/>
  <c r="B2496" i="18"/>
  <c r="B2500" i="18"/>
  <c r="B2508" i="18"/>
  <c r="B2514" i="18"/>
  <c r="B2518" i="18"/>
  <c r="B2522" i="18"/>
  <c r="B2528" i="18"/>
  <c r="B2537" i="18"/>
  <c r="B2542" i="18"/>
  <c r="B2548" i="18"/>
  <c r="B2552" i="18"/>
  <c r="B2558" i="18"/>
  <c r="B2564" i="18"/>
  <c r="B2575" i="18"/>
  <c r="B2576" i="18"/>
  <c r="B2583" i="18"/>
  <c r="B2591" i="18"/>
  <c r="B2594" i="18"/>
  <c r="B2605" i="18"/>
  <c r="B2611" i="18"/>
  <c r="B2615" i="18"/>
  <c r="B2620" i="18"/>
  <c r="B2627" i="18"/>
  <c r="B2630" i="18"/>
  <c r="B2641" i="18"/>
  <c r="B2647" i="18"/>
  <c r="B2651" i="18"/>
  <c r="B2657" i="18"/>
  <c r="B2662" i="18"/>
  <c r="B2670" i="18"/>
  <c r="B2673" i="18"/>
  <c r="B2682" i="18"/>
  <c r="B2687" i="18"/>
  <c r="B2693" i="18"/>
  <c r="B2698" i="18"/>
  <c r="B2707" i="18"/>
  <c r="B2710" i="18"/>
  <c r="B2715" i="18"/>
  <c r="B2724" i="18"/>
  <c r="B2726" i="18"/>
  <c r="B2736" i="18"/>
  <c r="B2742" i="18"/>
  <c r="B2748" i="18"/>
  <c r="B2753" i="18"/>
  <c r="B2759" i="18"/>
  <c r="B2762" i="18"/>
  <c r="B2769" i="18"/>
  <c r="B2774" i="18"/>
  <c r="B2785" i="18"/>
  <c r="B2788" i="18"/>
  <c r="B2795" i="18"/>
  <c r="B2798" i="18"/>
  <c r="B2806" i="18"/>
  <c r="B2814" i="18"/>
  <c r="B2817" i="18"/>
  <c r="B2824" i="18"/>
  <c r="B2833" i="18"/>
  <c r="B2837" i="18"/>
  <c r="B2845" i="18"/>
  <c r="B2848" i="18"/>
  <c r="B2854" i="18"/>
  <c r="B2858" i="18"/>
  <c r="B2869" i="18"/>
  <c r="B2873" i="18"/>
  <c r="B2880" i="18"/>
  <c r="B2887" i="18"/>
  <c r="B2891" i="18"/>
  <c r="B2896" i="18"/>
  <c r="B2903" i="18"/>
  <c r="B2910" i="18"/>
  <c r="B2916" i="18"/>
  <c r="B2922" i="18"/>
  <c r="B2924" i="18"/>
  <c r="B2930" i="18"/>
  <c r="B2936" i="18"/>
  <c r="B2944" i="18"/>
  <c r="B2948" i="18"/>
  <c r="B2959" i="18"/>
  <c r="B2965" i="18"/>
  <c r="B2968" i="18"/>
  <c r="B2977" i="18"/>
  <c r="B2981" i="18"/>
  <c r="B2986" i="18"/>
  <c r="B2993" i="18"/>
  <c r="B2996" i="18"/>
  <c r="B3006" i="18"/>
  <c r="B3009" i="18"/>
  <c r="B3017" i="18"/>
  <c r="B3020" i="18"/>
  <c r="B3029" i="18"/>
  <c r="B3035" i="18"/>
  <c r="B3038" i="18"/>
  <c r="B3046" i="18"/>
  <c r="B3051" i="18"/>
  <c r="B3056" i="18"/>
  <c r="B3063" i="18"/>
  <c r="B3070" i="18"/>
  <c r="B3076" i="18"/>
  <c r="B3081" i="18"/>
  <c r="B3091" i="18"/>
  <c r="B3097" i="18"/>
  <c r="B3100" i="18"/>
  <c r="B3107" i="18"/>
  <c r="B3112" i="18"/>
  <c r="B3120" i="18"/>
  <c r="B3125" i="18"/>
  <c r="B3128" i="18"/>
  <c r="B3135" i="18"/>
  <c r="B3142" i="18"/>
  <c r="B3150" i="18"/>
  <c r="B3154" i="18"/>
  <c r="B3158" i="18"/>
  <c r="B3167" i="18"/>
  <c r="B3170" i="18"/>
  <c r="B3179" i="18"/>
  <c r="B3187" i="18"/>
  <c r="B3189" i="18"/>
  <c r="B3196" i="18"/>
  <c r="B3200" i="18"/>
  <c r="B3211" i="18"/>
  <c r="B3216" i="18"/>
  <c r="B3220" i="18"/>
  <c r="B3227" i="18"/>
  <c r="B3235" i="18"/>
  <c r="B3236" i="18"/>
  <c r="B3244" i="18"/>
  <c r="B3252" i="18"/>
  <c r="B3256" i="18"/>
  <c r="B3264" i="18"/>
  <c r="B3271" i="18"/>
  <c r="B3273" i="18"/>
  <c r="B3278" i="18"/>
  <c r="B3288" i="18"/>
  <c r="B3292" i="18"/>
  <c r="B3298" i="18"/>
  <c r="B3306" i="18"/>
  <c r="B3313" i="18"/>
  <c r="B3319" i="18"/>
  <c r="B3324" i="18"/>
  <c r="B3329" i="18"/>
  <c r="B3334" i="18"/>
  <c r="B3339" i="18"/>
  <c r="B3347" i="18"/>
  <c r="B3353" i="18"/>
  <c r="B3361" i="18"/>
  <c r="B3366" i="18"/>
  <c r="B3371" i="18"/>
  <c r="B3376" i="18"/>
  <c r="B3385" i="18"/>
  <c r="B3391" i="18"/>
  <c r="B3393" i="18"/>
  <c r="B3398" i="18"/>
  <c r="B3405" i="18"/>
  <c r="B3415" i="18"/>
  <c r="B3420" i="18"/>
  <c r="B3426" i="18"/>
  <c r="B3430" i="18"/>
  <c r="B3438" i="18"/>
  <c r="B3443" i="18"/>
  <c r="B3448" i="18"/>
  <c r="B3453" i="18"/>
  <c r="B3458" i="18"/>
  <c r="B3465" i="18"/>
  <c r="B3470" i="18"/>
  <c r="B3481" i="18"/>
  <c r="B3486" i="18"/>
  <c r="B3493" i="18"/>
  <c r="B3495" i="18"/>
  <c r="B3505" i="18"/>
  <c r="B3508" i="18"/>
  <c r="B3513" i="18"/>
  <c r="B3523" i="18"/>
  <c r="B3525" i="18"/>
  <c r="B3534" i="18"/>
  <c r="B3540" i="18"/>
  <c r="B3545" i="18"/>
  <c r="B3548" i="18"/>
  <c r="B3556" i="18"/>
  <c r="B3563" i="18"/>
  <c r="B3570" i="18"/>
  <c r="B3577" i="18"/>
  <c r="B3581" i="18"/>
  <c r="B3585" i="18"/>
  <c r="B3594" i="18"/>
  <c r="B3597" i="18"/>
  <c r="B3604" i="18"/>
  <c r="B3611" i="18"/>
  <c r="B3615" i="18"/>
  <c r="B3622" i="18"/>
  <c r="B3631" i="18"/>
  <c r="B3635" i="18"/>
  <c r="B3640" i="18"/>
  <c r="B3645" i="18"/>
  <c r="B3651" i="18"/>
  <c r="B3658" i="18"/>
  <c r="B3662" i="18"/>
  <c r="B3669" i="18"/>
  <c r="B3678" i="18"/>
  <c r="B3681" i="18"/>
  <c r="B3689" i="18"/>
  <c r="B3697" i="18"/>
  <c r="B3698" i="18"/>
  <c r="B3709" i="18"/>
  <c r="B3710" i="18"/>
  <c r="B3720" i="18"/>
  <c r="B3723" i="18"/>
  <c r="B3732" i="18"/>
  <c r="B3735" i="18"/>
  <c r="B3743" i="18"/>
  <c r="B3750" i="18"/>
  <c r="B3752" i="18"/>
  <c r="B3758" i="18"/>
  <c r="B3767" i="18"/>
  <c r="B3774" i="18"/>
  <c r="B3777" i="18"/>
  <c r="B3787" i="18"/>
  <c r="B3788" i="18"/>
  <c r="B3798" i="18"/>
  <c r="B3800" i="18"/>
  <c r="B3811" i="18"/>
  <c r="B3815" i="18"/>
  <c r="B3819" i="18"/>
  <c r="B3824" i="18"/>
  <c r="B3832" i="18"/>
  <c r="B3838" i="18"/>
  <c r="B3843" i="18"/>
  <c r="B3848" i="18"/>
  <c r="B3856" i="18"/>
  <c r="B3861" i="18"/>
  <c r="B3871" i="18"/>
  <c r="B3876" i="18"/>
  <c r="B3881" i="18"/>
  <c r="B3886" i="18"/>
  <c r="B3893" i="18"/>
  <c r="B3899" i="18"/>
  <c r="B3902" i="18"/>
  <c r="B3912" i="18"/>
  <c r="B3914" i="18"/>
  <c r="B3922" i="18"/>
  <c r="B3929" i="18"/>
  <c r="B3936" i="18"/>
  <c r="B3942" i="18"/>
  <c r="B3948" i="18"/>
  <c r="B3954" i="18"/>
  <c r="B3957" i="18"/>
  <c r="B3962" i="18"/>
  <c r="B3970" i="18"/>
  <c r="B3978" i="18"/>
  <c r="B3981" i="18"/>
  <c r="B3986" i="18"/>
  <c r="B3995" i="18"/>
  <c r="B4000" i="18"/>
  <c r="B4008" i="18"/>
  <c r="B4015" i="18"/>
  <c r="B4021" i="18"/>
  <c r="B4026" i="18"/>
  <c r="B4028" i="18"/>
  <c r="B4038" i="18"/>
  <c r="B4045" i="18"/>
  <c r="B4050" i="18"/>
  <c r="B4054" i="18"/>
  <c r="B4061" i="18"/>
  <c r="B4067" i="18"/>
  <c r="B4075" i="18"/>
  <c r="B4080" i="18"/>
  <c r="B4085" i="18"/>
  <c r="B4093" i="18"/>
  <c r="B4095" i="18"/>
  <c r="B4101" i="18"/>
  <c r="B4107" i="18"/>
  <c r="B4113" i="18"/>
  <c r="B4119" i="18"/>
  <c r="B4128" i="18"/>
  <c r="B4132" i="18"/>
  <c r="B4136" i="18"/>
  <c r="B4144" i="18"/>
  <c r="B4148" i="18"/>
  <c r="B4154" i="18"/>
  <c r="B4162" i="18"/>
  <c r="B4166" i="18"/>
  <c r="B4173" i="18"/>
  <c r="B4180" i="18"/>
  <c r="B4187" i="18"/>
  <c r="B4194" i="18"/>
  <c r="B4199" i="18"/>
  <c r="B4205" i="18"/>
  <c r="B2" i="18"/>
  <c r="B11" i="18"/>
  <c r="B19" i="18"/>
  <c r="B23" i="18"/>
  <c r="B26" i="18"/>
  <c r="B34" i="18"/>
  <c r="B41" i="18"/>
  <c r="B48" i="18"/>
  <c r="B53" i="18"/>
  <c r="B56" i="18"/>
  <c r="B64" i="18"/>
  <c r="B73" i="18"/>
  <c r="B79" i="18"/>
  <c r="B83" i="18"/>
  <c r="B90" i="18"/>
  <c r="B93" i="18"/>
  <c r="B103" i="18"/>
  <c r="B108" i="18"/>
  <c r="B114" i="18"/>
  <c r="B117" i="18"/>
  <c r="B126" i="18"/>
  <c r="B129" i="18"/>
  <c r="B135" i="18"/>
  <c r="B141" i="18"/>
  <c r="B150" i="18"/>
  <c r="B156" i="18"/>
  <c r="B163" i="18"/>
  <c r="B167" i="18"/>
  <c r="B174" i="18"/>
  <c r="B176" i="18"/>
  <c r="B182" i="18"/>
  <c r="B193" i="18"/>
  <c r="B199" i="18"/>
  <c r="B200" i="18"/>
  <c r="B209" i="18"/>
  <c r="B214" i="18"/>
  <c r="B221" i="18"/>
  <c r="B224" i="18"/>
  <c r="B234" i="18"/>
  <c r="B240" i="18"/>
  <c r="B247" i="18"/>
  <c r="B248" i="18"/>
  <c r="B259" i="18"/>
  <c r="B265" i="18"/>
  <c r="B269" i="18"/>
  <c r="B277" i="18"/>
  <c r="B278" i="18"/>
  <c r="B286" i="18"/>
  <c r="B290" i="18"/>
  <c r="B301" i="18"/>
  <c r="B306" i="18"/>
  <c r="B310" i="18"/>
  <c r="B317" i="18"/>
  <c r="B324" i="18"/>
  <c r="B331" i="18"/>
  <c r="B335" i="18"/>
  <c r="B340" i="18"/>
  <c r="B346" i="18"/>
  <c r="B354" i="18"/>
  <c r="B359" i="18"/>
  <c r="B363" i="18"/>
  <c r="B370" i="18"/>
  <c r="B375" i="18"/>
  <c r="B381" i="18"/>
  <c r="B386" i="18"/>
  <c r="B395" i="18"/>
  <c r="B402" i="18"/>
  <c r="B404" i="18"/>
  <c r="B413" i="18"/>
  <c r="B420" i="18"/>
  <c r="B425" i="18"/>
  <c r="B429" i="18"/>
  <c r="B434" i="18"/>
  <c r="B441" i="18"/>
  <c r="B447" i="18"/>
  <c r="B456" i="18"/>
  <c r="B462" i="18"/>
  <c r="B468" i="18"/>
  <c r="B474" i="18"/>
  <c r="B478" i="18"/>
  <c r="B484" i="18"/>
  <c r="B491" i="18"/>
  <c r="B497" i="18"/>
  <c r="B504" i="18"/>
  <c r="B506" i="18"/>
  <c r="B515" i="18"/>
  <c r="B518" i="18"/>
  <c r="B528" i="18"/>
  <c r="B532" i="18"/>
  <c r="B538" i="18"/>
  <c r="B547" i="18"/>
  <c r="B548" i="18"/>
  <c r="B555" i="18"/>
  <c r="B561" i="18"/>
  <c r="B570" i="18"/>
  <c r="B574" i="18"/>
  <c r="B583" i="18"/>
  <c r="B584" i="18"/>
  <c r="B590" i="18"/>
  <c r="B596" i="18"/>
  <c r="B605" i="18"/>
  <c r="B611" i="18"/>
  <c r="B616" i="18"/>
  <c r="B623" i="18"/>
  <c r="B626" i="18"/>
  <c r="B633" i="18"/>
  <c r="B640" i="18"/>
  <c r="B644" i="18"/>
  <c r="B651" i="18"/>
  <c r="B661" i="18"/>
  <c r="B664" i="18"/>
  <c r="B670" i="18"/>
  <c r="B679" i="18"/>
  <c r="B683" i="18"/>
  <c r="B690" i="18"/>
  <c r="B696" i="18"/>
  <c r="B698" i="18"/>
  <c r="B707" i="18"/>
  <c r="B710" i="18"/>
  <c r="B718" i="18"/>
  <c r="B722" i="18"/>
  <c r="B730" i="18"/>
  <c r="B734" i="18"/>
  <c r="B741" i="18"/>
  <c r="B748" i="18"/>
  <c r="B757" i="18"/>
  <c r="B761" i="18"/>
  <c r="B769" i="18"/>
  <c r="B775" i="18"/>
  <c r="B781" i="18"/>
  <c r="B784" i="18"/>
  <c r="B788" i="18"/>
  <c r="B796" i="18"/>
  <c r="B801" i="18"/>
  <c r="B809" i="18"/>
  <c r="B817" i="18"/>
  <c r="B822" i="18"/>
  <c r="B825" i="18"/>
  <c r="B834" i="18"/>
  <c r="B840" i="18"/>
  <c r="B842" i="18"/>
  <c r="B850" i="18"/>
  <c r="B854" i="18"/>
  <c r="B862" i="18"/>
  <c r="B870" i="18"/>
  <c r="B873" i="18"/>
  <c r="B883" i="18"/>
  <c r="B888" i="18"/>
  <c r="B893" i="18"/>
  <c r="B901" i="18"/>
  <c r="B904" i="18"/>
  <c r="B913" i="18"/>
  <c r="B915" i="18"/>
  <c r="B923" i="18"/>
  <c r="B927" i="18"/>
  <c r="B933" i="18"/>
  <c r="B939" i="18"/>
  <c r="B944" i="18"/>
  <c r="B953" i="18"/>
  <c r="B961" i="18"/>
  <c r="B966" i="18"/>
  <c r="B968" i="18"/>
  <c r="B978" i="18"/>
  <c r="B985" i="18"/>
  <c r="B990" i="18"/>
  <c r="B995" i="18"/>
  <c r="B1000" i="18"/>
  <c r="B1005" i="18"/>
  <c r="B1014" i="18"/>
  <c r="B1021" i="18"/>
  <c r="B1027" i="18"/>
  <c r="B1028" i="18"/>
  <c r="B1037" i="18"/>
  <c r="B1043" i="18"/>
  <c r="B1050" i="18"/>
  <c r="B1054" i="18"/>
  <c r="B1060" i="18"/>
  <c r="B1069" i="18"/>
  <c r="B1072" i="18"/>
  <c r="B1077" i="18"/>
  <c r="B1084" i="18"/>
  <c r="B1090" i="18"/>
  <c r="B1094" i="18"/>
  <c r="B1104" i="18"/>
  <c r="B1110" i="18"/>
  <c r="B1113" i="18"/>
  <c r="B1121" i="18"/>
  <c r="B1129" i="18"/>
  <c r="B1131" i="18"/>
  <c r="B1136" i="18"/>
  <c r="B1144" i="18"/>
  <c r="B1149" i="18"/>
  <c r="B1158" i="18"/>
  <c r="B1160" i="18"/>
  <c r="B1171" i="18"/>
  <c r="B1172" i="18"/>
  <c r="B1179" i="18"/>
  <c r="B1185" i="18"/>
  <c r="B1191" i="18"/>
  <c r="B1199" i="18"/>
  <c r="B1202" i="18"/>
  <c r="B1209" i="18"/>
  <c r="B1218" i="18"/>
  <c r="B1222" i="18"/>
  <c r="B1231" i="18"/>
  <c r="B1235" i="18"/>
  <c r="B1238" i="18"/>
  <c r="B1249" i="18"/>
  <c r="B1252" i="18"/>
  <c r="B1256" i="18"/>
  <c r="B1266" i="18"/>
  <c r="B1273" i="18"/>
  <c r="B1275" i="18"/>
  <c r="B1283" i="18"/>
  <c r="B1289" i="18"/>
  <c r="B1293" i="18"/>
  <c r="B1303" i="18"/>
  <c r="B1306" i="18"/>
  <c r="B1312" i="18"/>
  <c r="B1320" i="18"/>
  <c r="B1325" i="18"/>
  <c r="B1330" i="18"/>
  <c r="B1335" i="18"/>
  <c r="B1341" i="18"/>
  <c r="B1350" i="18"/>
  <c r="B1352" i="18"/>
  <c r="B1361" i="18"/>
  <c r="B1368" i="18"/>
  <c r="B1370" i="18"/>
  <c r="B1380" i="18"/>
  <c r="B1387" i="18"/>
  <c r="B1392" i="18"/>
  <c r="B1396" i="18"/>
  <c r="B1400" i="18"/>
  <c r="B1408" i="18"/>
  <c r="B1413" i="18"/>
  <c r="B1419" i="18"/>
  <c r="B1426" i="18"/>
  <c r="B1431" i="18"/>
  <c r="B1438" i="18"/>
  <c r="B1447" i="18"/>
  <c r="B1451" i="18"/>
  <c r="B1459" i="18"/>
  <c r="B1463" i="18"/>
  <c r="B1467" i="18"/>
  <c r="B1476" i="18"/>
  <c r="B1479" i="18"/>
  <c r="B1489" i="18"/>
  <c r="B1491" i="18"/>
  <c r="B1499" i="18"/>
  <c r="B1505" i="18"/>
  <c r="B1511" i="18"/>
  <c r="B1514" i="18"/>
  <c r="B1521" i="18"/>
  <c r="B1526" i="18"/>
  <c r="B1537" i="18"/>
  <c r="B1539" i="18"/>
  <c r="B1549" i="18"/>
  <c r="B1550" i="18"/>
  <c r="B1557" i="18"/>
  <c r="B1562" i="18"/>
  <c r="B1570" i="18"/>
  <c r="B1577" i="18"/>
  <c r="B1584" i="18"/>
  <c r="B1586" i="18"/>
  <c r="B1593" i="18"/>
  <c r="B1602" i="18"/>
  <c r="B1609" i="18"/>
  <c r="B1611" i="18"/>
  <c r="B1617" i="18"/>
  <c r="B1625" i="18"/>
  <c r="B1629" i="18"/>
  <c r="B1635" i="18"/>
  <c r="B1641" i="18"/>
  <c r="B1647" i="18"/>
  <c r="B1653" i="18"/>
  <c r="B1662" i="18"/>
  <c r="B1666" i="18"/>
  <c r="B1673" i="18"/>
  <c r="B1679" i="18"/>
  <c r="B1686" i="18"/>
  <c r="B1688" i="18"/>
  <c r="B1696" i="18"/>
  <c r="B1702" i="18"/>
  <c r="B1710" i="18"/>
  <c r="B1716" i="18"/>
  <c r="B1720" i="18"/>
  <c r="B1724" i="18"/>
  <c r="B1731" i="18"/>
  <c r="B1738" i="18"/>
  <c r="B1745" i="18"/>
  <c r="B1749" i="18"/>
  <c r="B1756" i="18"/>
  <c r="B1760" i="18"/>
  <c r="B1766" i="18"/>
  <c r="B1773" i="18"/>
  <c r="B1783" i="18"/>
  <c r="B1788" i="18"/>
  <c r="B1793" i="18"/>
  <c r="B1796" i="18"/>
  <c r="B1805" i="18"/>
  <c r="B1809" i="18"/>
  <c r="B1816" i="18"/>
  <c r="B1824" i="18"/>
  <c r="B1827" i="18"/>
  <c r="B1837" i="18"/>
  <c r="B1841" i="18"/>
  <c r="B1845" i="18"/>
  <c r="B1853" i="18"/>
  <c r="B1857" i="18"/>
  <c r="B1867" i="18"/>
  <c r="B1873" i="18"/>
  <c r="B1875" i="18"/>
  <c r="B1883" i="18"/>
  <c r="B1887" i="18"/>
  <c r="B1892" i="18"/>
  <c r="B1900" i="18"/>
  <c r="B1906" i="18"/>
  <c r="B1912" i="18"/>
  <c r="B1918" i="18"/>
  <c r="B1924" i="18"/>
  <c r="B1932" i="18"/>
  <c r="B1937" i="18"/>
  <c r="B1943" i="18"/>
  <c r="B1951" i="18"/>
  <c r="B1954" i="18"/>
  <c r="B1963" i="18"/>
  <c r="B1968" i="18"/>
  <c r="B1972" i="18"/>
  <c r="B1978" i="18"/>
  <c r="B1983" i="18"/>
  <c r="B1988" i="18"/>
  <c r="B1996" i="18"/>
  <c r="B2005" i="18"/>
  <c r="B2009" i="18"/>
  <c r="B2012" i="18"/>
  <c r="B2020" i="18"/>
  <c r="B2025" i="18"/>
  <c r="B2033" i="18"/>
  <c r="B2041" i="18"/>
  <c r="B2042" i="18"/>
  <c r="B2049" i="18"/>
  <c r="B2056" i="18"/>
  <c r="B2064" i="18"/>
  <c r="B2067" i="18"/>
  <c r="B2072" i="18"/>
  <c r="B2082" i="18"/>
  <c r="B2084" i="18"/>
  <c r="B2090" i="18"/>
  <c r="B2096" i="18"/>
  <c r="B2105" i="18"/>
  <c r="B2111" i="18"/>
  <c r="B2114" i="18"/>
  <c r="B2120" i="18"/>
  <c r="B2131" i="18"/>
  <c r="B2134" i="18"/>
  <c r="B2139" i="18"/>
  <c r="B2146" i="18"/>
  <c r="B2152" i="18"/>
  <c r="B2156" i="18"/>
  <c r="B2164" i="18"/>
  <c r="B2172" i="18"/>
  <c r="B2178" i="18"/>
  <c r="B2185" i="18"/>
  <c r="B2190" i="18"/>
  <c r="B2195" i="18"/>
  <c r="B2200" i="18"/>
  <c r="B2205" i="18"/>
  <c r="B2210" i="18"/>
  <c r="B2221" i="18"/>
  <c r="B2227" i="18"/>
  <c r="B2228" i="18"/>
  <c r="B2234" i="18"/>
  <c r="B2243" i="18"/>
  <c r="B2249" i="18"/>
  <c r="B2256" i="18"/>
  <c r="B2258" i="18"/>
  <c r="B2267" i="18"/>
  <c r="B2270" i="18"/>
  <c r="B2279" i="18"/>
  <c r="B2282" i="18"/>
  <c r="B2293" i="18"/>
  <c r="B2297" i="18"/>
  <c r="B2301" i="18"/>
  <c r="B2310" i="18"/>
  <c r="B2317" i="18"/>
  <c r="B2319" i="18"/>
  <c r="B2327" i="18"/>
  <c r="B2331" i="18"/>
  <c r="B2337" i="18"/>
  <c r="B2342" i="18"/>
  <c r="B2349" i="18"/>
  <c r="B2356" i="18"/>
  <c r="B2364" i="18"/>
  <c r="B2371" i="18"/>
  <c r="B2375" i="18"/>
  <c r="B2382" i="18"/>
  <c r="B2384" i="18"/>
  <c r="B2395" i="18"/>
  <c r="B2399" i="18"/>
  <c r="B2405" i="18"/>
  <c r="B2408" i="18"/>
  <c r="B2417" i="18"/>
  <c r="B2423" i="18"/>
  <c r="B2426" i="18"/>
  <c r="B2436" i="18"/>
  <c r="B2438" i="18"/>
  <c r="B2449" i="18"/>
  <c r="B2451" i="18"/>
  <c r="B2458" i="18"/>
  <c r="B2465" i="18"/>
  <c r="B2471" i="18"/>
  <c r="B2475" i="18"/>
  <c r="B2483" i="18"/>
  <c r="B2491" i="18"/>
  <c r="B2492" i="18"/>
  <c r="B2502" i="18"/>
  <c r="B2504" i="18"/>
  <c r="B2511" i="18"/>
  <c r="B2516" i="18"/>
  <c r="B2527" i="18"/>
  <c r="B2533" i="18"/>
  <c r="B2535" i="18"/>
  <c r="B2540" i="18"/>
  <c r="B2549" i="18"/>
  <c r="B2557" i="18"/>
  <c r="B2560" i="18"/>
  <c r="B2568" i="18"/>
  <c r="B2571" i="18"/>
  <c r="B2578" i="18"/>
  <c r="B2582" i="18"/>
  <c r="B2590" i="18"/>
  <c r="B2598" i="18"/>
  <c r="B2601" i="18"/>
  <c r="B2609" i="18"/>
  <c r="B2614" i="18"/>
  <c r="B2618" i="18"/>
  <c r="B2624" i="18"/>
  <c r="B2632" i="18"/>
  <c r="B2636" i="18"/>
  <c r="B2645" i="18"/>
  <c r="B2648" i="18"/>
  <c r="B2655" i="18"/>
  <c r="B2664" i="18"/>
  <c r="B2671" i="18"/>
  <c r="B2672" i="18"/>
  <c r="B2680" i="18"/>
  <c r="B2684" i="18"/>
  <c r="B2692" i="18"/>
  <c r="B2701" i="18"/>
  <c r="B2706" i="18"/>
  <c r="B2712" i="18"/>
  <c r="B2717" i="18"/>
  <c r="B2721" i="18"/>
  <c r="B2727" i="18"/>
  <c r="B2732" i="18"/>
  <c r="B2743" i="18"/>
  <c r="B2746" i="18"/>
  <c r="B2755" i="18"/>
  <c r="B2761" i="18"/>
  <c r="B2763" i="18"/>
  <c r="B2773" i="18"/>
  <c r="B2779" i="18"/>
  <c r="B2780" i="18"/>
  <c r="B2790" i="18"/>
  <c r="B2793" i="18"/>
  <c r="B2801" i="18"/>
  <c r="B2808" i="18"/>
  <c r="B2811" i="18"/>
  <c r="B2819" i="18"/>
  <c r="B2825" i="18"/>
  <c r="B2831" i="18"/>
  <c r="B2838" i="18"/>
  <c r="B2841" i="18"/>
  <c r="B2846" i="18"/>
  <c r="B2853" i="18"/>
  <c r="B2860" i="18"/>
  <c r="B2868" i="18"/>
  <c r="B2870" i="18"/>
  <c r="B2876" i="18"/>
  <c r="B2882" i="18"/>
  <c r="B2892" i="18"/>
  <c r="B2894" i="18"/>
  <c r="B2902" i="18"/>
  <c r="B2906" i="18"/>
  <c r="B2915" i="18"/>
  <c r="B2918" i="18"/>
  <c r="B2926" i="18"/>
  <c r="B2932" i="18"/>
  <c r="B2940" i="18"/>
  <c r="B2947" i="18"/>
  <c r="B2950" i="18"/>
  <c r="B2957" i="18"/>
  <c r="B2963" i="18"/>
  <c r="B2970" i="18"/>
  <c r="B2975" i="18"/>
  <c r="B2980" i="18"/>
  <c r="B2987" i="18"/>
  <c r="B2991" i="18"/>
  <c r="B2998" i="18"/>
  <c r="B3007" i="18"/>
  <c r="B3008" i="18"/>
  <c r="B3015" i="18"/>
  <c r="B3021" i="18"/>
  <c r="B3026" i="18"/>
  <c r="B3032" i="18"/>
  <c r="B3043" i="18"/>
  <c r="B3048" i="18"/>
  <c r="B3054" i="18"/>
  <c r="B3057" i="18"/>
  <c r="B3066" i="18"/>
  <c r="B3071" i="18"/>
  <c r="B3079" i="18"/>
  <c r="B3082" i="18"/>
  <c r="B3090" i="18"/>
  <c r="B3096" i="18"/>
  <c r="B3099" i="18"/>
  <c r="B3104" i="18"/>
  <c r="B3113" i="18"/>
  <c r="B3121" i="18"/>
  <c r="B3123" i="18"/>
  <c r="B3129" i="18"/>
  <c r="B3134" i="18"/>
  <c r="B3145" i="18"/>
  <c r="B3151" i="18"/>
  <c r="B3153" i="18"/>
  <c r="B3159" i="18"/>
  <c r="B3164" i="18"/>
  <c r="B3175" i="18"/>
  <c r="B3177" i="18"/>
  <c r="B3186" i="18"/>
  <c r="B3193" i="18"/>
  <c r="B3197" i="18"/>
  <c r="B3203" i="18"/>
  <c r="B3206" i="18"/>
  <c r="B3217" i="18"/>
  <c r="B3223" i="18"/>
  <c r="B3224" i="18"/>
  <c r="B3233" i="18"/>
  <c r="B3240" i="18"/>
  <c r="B3247" i="18"/>
  <c r="B3248" i="18"/>
  <c r="B3257" i="18"/>
  <c r="B3265" i="18"/>
  <c r="B3268" i="18"/>
  <c r="B3272" i="18"/>
  <c r="B3281" i="18"/>
  <c r="B3284" i="18"/>
  <c r="B3295" i="18"/>
  <c r="B3301" i="18"/>
  <c r="B3302" i="18"/>
  <c r="B3310" i="18"/>
  <c r="B3314" i="18"/>
  <c r="B3320" i="18"/>
  <c r="B3326" i="18"/>
  <c r="B3332" i="18"/>
  <c r="B3341" i="18"/>
  <c r="B3349" i="18"/>
  <c r="B3352" i="18"/>
  <c r="B3359" i="18"/>
  <c r="B3365" i="18"/>
  <c r="B3368" i="18"/>
  <c r="B3379" i="18"/>
  <c r="B3381" i="18"/>
  <c r="B3388" i="18"/>
  <c r="B3397" i="18"/>
  <c r="B3400" i="18"/>
  <c r="B3407" i="18"/>
  <c r="B3412" i="18"/>
  <c r="B3421" i="18"/>
  <c r="B3422" i="18"/>
  <c r="B3433" i="18"/>
  <c r="B3436" i="18"/>
  <c r="B3441" i="18"/>
  <c r="B3449" i="18"/>
  <c r="B3455" i="18"/>
  <c r="B3461" i="18"/>
  <c r="B3464" i="18"/>
  <c r="B3475" i="18"/>
  <c r="B3477" i="18"/>
  <c r="B3487" i="18"/>
  <c r="B3490" i="18"/>
  <c r="B3497" i="18"/>
  <c r="B3501" i="18"/>
  <c r="B3509" i="18"/>
  <c r="B3512" i="18"/>
  <c r="B3520" i="18"/>
  <c r="B3524" i="18"/>
  <c r="B3533" i="18"/>
  <c r="B3537" i="18"/>
  <c r="B3547" i="18"/>
  <c r="B3550" i="18"/>
  <c r="B3558" i="18"/>
  <c r="B3565" i="18"/>
  <c r="B3567" i="18"/>
  <c r="B3572" i="18"/>
  <c r="B3583" i="18"/>
  <c r="B3586" i="18"/>
  <c r="B3595" i="18"/>
  <c r="B3598" i="18"/>
  <c r="B3607" i="18"/>
  <c r="B3610" i="18"/>
  <c r="B3618" i="18"/>
  <c r="B3624" i="18"/>
  <c r="B3630" i="18"/>
  <c r="B3634" i="18"/>
  <c r="B3639" i="18"/>
  <c r="B3646" i="18"/>
  <c r="B3655" i="18"/>
  <c r="B3657" i="18"/>
  <c r="B3663" i="18"/>
  <c r="B3673" i="18"/>
  <c r="B3679" i="18"/>
  <c r="B3684" i="18"/>
  <c r="B3686" i="18"/>
  <c r="B3695" i="18"/>
  <c r="B3699" i="18"/>
  <c r="B3706" i="18"/>
  <c r="B3713" i="18"/>
  <c r="B3721" i="18"/>
  <c r="B3722" i="18"/>
  <c r="B3731" i="18"/>
  <c r="B3737" i="18"/>
  <c r="B3740" i="18"/>
  <c r="B3751" i="18"/>
  <c r="B3754" i="18"/>
  <c r="B3762" i="18"/>
  <c r="B3765" i="18"/>
  <c r="B3773" i="18"/>
  <c r="B3776" i="18"/>
  <c r="B3783" i="18"/>
  <c r="B3793" i="18"/>
  <c r="B3794" i="18"/>
  <c r="B3805" i="18"/>
  <c r="B3806" i="18"/>
  <c r="B3816" i="18"/>
  <c r="B3822" i="18"/>
  <c r="B3828" i="18"/>
  <c r="B3835" i="18"/>
  <c r="B3837" i="18"/>
  <c r="B3844" i="18"/>
  <c r="B3849" i="18"/>
  <c r="B3855" i="18"/>
  <c r="B3864" i="18"/>
  <c r="B3867" i="18"/>
  <c r="B3874" i="18"/>
  <c r="B3880" i="18"/>
  <c r="B3884" i="18"/>
  <c r="B3890" i="18"/>
  <c r="B3896" i="18"/>
  <c r="B3903" i="18"/>
  <c r="B3910" i="18"/>
  <c r="B3916" i="18"/>
  <c r="B3920" i="18"/>
  <c r="B3926" i="18"/>
  <c r="B3937" i="18"/>
  <c r="B3943" i="18"/>
  <c r="B3944" i="18"/>
  <c r="B3955" i="18"/>
  <c r="B3959" i="18"/>
  <c r="B3966" i="18"/>
  <c r="B3972" i="18"/>
  <c r="B3977" i="18"/>
  <c r="B3985" i="18"/>
  <c r="B3988" i="18"/>
  <c r="B3996" i="18"/>
  <c r="B4002" i="18"/>
  <c r="B4005" i="18"/>
  <c r="B4014" i="18"/>
  <c r="B4017" i="18"/>
  <c r="B4024" i="18"/>
  <c r="B4030" i="18"/>
  <c r="B4034" i="18"/>
  <c r="B4040" i="18"/>
  <c r="B4051" i="18"/>
  <c r="B4053" i="18"/>
  <c r="B4058" i="18"/>
  <c r="B4068" i="18"/>
  <c r="B4071" i="18"/>
  <c r="B4078" i="18"/>
  <c r="B4087" i="18"/>
  <c r="B4091" i="18"/>
  <c r="B4094" i="18"/>
  <c r="B4100" i="18"/>
  <c r="B4111" i="18"/>
  <c r="B4112" i="18"/>
  <c r="B4118" i="18"/>
  <c r="B4127" i="18"/>
  <c r="B4131" i="18"/>
  <c r="B4141" i="18"/>
  <c r="B4143" i="18"/>
  <c r="B4153" i="18"/>
  <c r="B4156" i="18"/>
  <c r="B4161" i="18"/>
  <c r="B4169" i="18"/>
  <c r="B4175" i="18"/>
  <c r="B4182" i="18"/>
  <c r="B4189" i="18"/>
  <c r="B4195" i="18"/>
  <c r="B4198" i="18"/>
  <c r="B4202" i="18"/>
  <c r="B3" i="18"/>
  <c r="B8" i="18"/>
  <c r="B14" i="18"/>
  <c r="B24" i="18"/>
  <c r="B28" i="18"/>
  <c r="B33" i="18"/>
  <c r="B38" i="18"/>
  <c r="B46" i="18"/>
  <c r="B54" i="18"/>
  <c r="B60" i="18"/>
  <c r="B63" i="18"/>
  <c r="B72" i="18"/>
  <c r="B77" i="18"/>
  <c r="B80" i="18"/>
  <c r="B89" i="18"/>
  <c r="B96" i="18"/>
  <c r="B101" i="18"/>
  <c r="B104" i="18"/>
  <c r="B111" i="18"/>
  <c r="B118" i="18"/>
  <c r="B125" i="18"/>
  <c r="B130" i="18"/>
  <c r="B134" i="18"/>
  <c r="B142" i="18"/>
  <c r="B147" i="18"/>
  <c r="B153" i="18"/>
  <c r="B162" i="18"/>
  <c r="B165" i="18"/>
  <c r="B170" i="18"/>
  <c r="B181" i="18"/>
  <c r="B183" i="18"/>
  <c r="B190" i="18"/>
  <c r="B195" i="18"/>
  <c r="B205" i="18"/>
  <c r="B207" i="18"/>
  <c r="B216" i="18"/>
  <c r="B223" i="18"/>
  <c r="B227" i="18"/>
  <c r="B231" i="18"/>
  <c r="B241" i="18"/>
  <c r="B244" i="18"/>
  <c r="B249" i="18"/>
  <c r="B255" i="18"/>
  <c r="B262" i="18"/>
  <c r="B270" i="18"/>
  <c r="B274" i="18"/>
  <c r="B280" i="18"/>
  <c r="B289" i="18"/>
  <c r="B291" i="18"/>
  <c r="B297" i="18"/>
  <c r="B303" i="18"/>
  <c r="B313" i="18"/>
  <c r="B319" i="18"/>
  <c r="B325" i="18"/>
  <c r="B327" i="18"/>
  <c r="B333" i="18"/>
  <c r="B342" i="18"/>
  <c r="B349" i="18"/>
  <c r="B350" i="18"/>
  <c r="B356" i="18"/>
  <c r="B365" i="18"/>
  <c r="B371" i="18"/>
  <c r="B376" i="18"/>
  <c r="B383" i="18"/>
  <c r="B391" i="18"/>
  <c r="B394" i="18"/>
  <c r="B401" i="18"/>
  <c r="B407" i="18"/>
  <c r="B411" i="18"/>
  <c r="B418" i="18"/>
  <c r="B424" i="18"/>
  <c r="B428" i="18"/>
  <c r="B436" i="18"/>
  <c r="B443" i="18"/>
  <c r="B450" i="18"/>
  <c r="B452" i="18"/>
  <c r="B458" i="18"/>
  <c r="B469" i="18"/>
  <c r="B471" i="18"/>
  <c r="B481" i="18"/>
  <c r="B487" i="18"/>
  <c r="B492" i="18"/>
  <c r="B495" i="18"/>
  <c r="B500" i="18"/>
  <c r="B509" i="18"/>
  <c r="B514" i="18"/>
  <c r="B522" i="18"/>
  <c r="B525" i="18"/>
  <c r="B530" i="18"/>
  <c r="B540" i="18"/>
  <c r="B542" i="18"/>
  <c r="B551" i="18"/>
  <c r="B559" i="18"/>
  <c r="B563" i="18"/>
  <c r="B566" i="18"/>
  <c r="B572" i="18"/>
  <c r="B579" i="18"/>
  <c r="B586" i="18"/>
  <c r="B595" i="18"/>
  <c r="B597" i="18"/>
  <c r="B604" i="18"/>
  <c r="B610" i="18"/>
  <c r="B614" i="18"/>
  <c r="B621" i="18"/>
  <c r="B630" i="18"/>
  <c r="B634" i="18"/>
  <c r="B638" i="18"/>
  <c r="B648" i="18"/>
  <c r="B652" i="18"/>
  <c r="B657" i="18"/>
  <c r="B663" i="18"/>
  <c r="B672" i="18"/>
  <c r="B676" i="18"/>
  <c r="B685" i="18"/>
  <c r="B688" i="18"/>
  <c r="B692" i="18"/>
  <c r="B699" i="18"/>
  <c r="B705" i="18"/>
  <c r="B713" i="18"/>
  <c r="B721" i="18"/>
  <c r="B727" i="18"/>
  <c r="B731" i="18"/>
  <c r="B738" i="18"/>
  <c r="B742" i="18"/>
  <c r="B750" i="18"/>
  <c r="B754" i="18"/>
  <c r="B763" i="18"/>
  <c r="B764" i="18"/>
  <c r="B772" i="18"/>
  <c r="B780" i="18"/>
  <c r="B783" i="18"/>
  <c r="B792" i="18"/>
  <c r="B797" i="18"/>
  <c r="B804" i="18"/>
  <c r="B811" i="18"/>
  <c r="B814" i="18"/>
  <c r="B823" i="18"/>
  <c r="B824" i="18"/>
  <c r="B831" i="18"/>
  <c r="B837" i="18"/>
  <c r="B844" i="18"/>
  <c r="B852" i="18"/>
  <c r="B859" i="18"/>
  <c r="B860" i="18"/>
  <c r="B866" i="18"/>
  <c r="B875" i="18"/>
  <c r="B882" i="18"/>
  <c r="B889" i="18"/>
  <c r="B894" i="18"/>
  <c r="B899" i="18"/>
  <c r="B905" i="18"/>
  <c r="B911" i="18"/>
  <c r="B917" i="18"/>
  <c r="B921" i="18"/>
  <c r="B930" i="18"/>
  <c r="B936" i="18"/>
  <c r="B943" i="18"/>
  <c r="B945" i="18"/>
  <c r="B952" i="18"/>
  <c r="B957" i="18"/>
  <c r="B962" i="18"/>
  <c r="B972" i="18"/>
  <c r="B979" i="18"/>
  <c r="B984" i="18"/>
  <c r="B991" i="18"/>
  <c r="B994" i="18"/>
  <c r="B999" i="18"/>
  <c r="B1008" i="18"/>
  <c r="B1010" i="18"/>
  <c r="B1017" i="18"/>
  <c r="B1026" i="18"/>
  <c r="B1029" i="18"/>
  <c r="B1039" i="18"/>
  <c r="B1040" i="18"/>
  <c r="B1047" i="18"/>
  <c r="B1055" i="18"/>
  <c r="B1063" i="18"/>
  <c r="B1064" i="18"/>
  <c r="B1071" i="18"/>
  <c r="B1078" i="18"/>
  <c r="B1085" i="18"/>
  <c r="B1088" i="18"/>
  <c r="B1096" i="18"/>
  <c r="B1103" i="18"/>
  <c r="B1106" i="18"/>
  <c r="B1114" i="18"/>
  <c r="B1122" i="18"/>
  <c r="B1125" i="18"/>
  <c r="B1135" i="18"/>
  <c r="B1139" i="18"/>
  <c r="B1146" i="18"/>
  <c r="B1151" i="18"/>
  <c r="B1159" i="18"/>
  <c r="B1163" i="18"/>
  <c r="B1168" i="18"/>
  <c r="B1177" i="18"/>
  <c r="B1180" i="18"/>
  <c r="B1184" i="18"/>
  <c r="B1192" i="18"/>
  <c r="B1196" i="18"/>
  <c r="B1207" i="18"/>
  <c r="B1212" i="18"/>
  <c r="B1214" i="18"/>
  <c r="B1221" i="18"/>
  <c r="B1227" i="18"/>
  <c r="B1236" i="18"/>
  <c r="B1239" i="18"/>
  <c r="B1245" i="18"/>
  <c r="B1254" i="18"/>
  <c r="B1257" i="18"/>
  <c r="B1265" i="18"/>
  <c r="B1269" i="18"/>
  <c r="B1279" i="18"/>
  <c r="B1284" i="18"/>
  <c r="B1290" i="18"/>
  <c r="B1295" i="18"/>
  <c r="B1302" i="18"/>
  <c r="B1308" i="18"/>
  <c r="B1313" i="18"/>
  <c r="B1321" i="18"/>
  <c r="B1326" i="18"/>
  <c r="B1329" i="18"/>
  <c r="B1339" i="18"/>
  <c r="B1345" i="18"/>
  <c r="B1348" i="18"/>
  <c r="B1355" i="18"/>
  <c r="B1362" i="18"/>
  <c r="B1367" i="18"/>
  <c r="B1375" i="18"/>
  <c r="B1376" i="18"/>
  <c r="B1383" i="18"/>
  <c r="B1390" i="18"/>
  <c r="B1395" i="18"/>
  <c r="B1404" i="18"/>
  <c r="B1411" i="18"/>
  <c r="B1416" i="18"/>
  <c r="B1421" i="18"/>
  <c r="B1425" i="18"/>
  <c r="B1433" i="18"/>
  <c r="B1440" i="18"/>
  <c r="B1445" i="18"/>
  <c r="B1453" i="18"/>
  <c r="B1456" i="18"/>
  <c r="B1461" i="18"/>
  <c r="B1466" i="18"/>
  <c r="B1472" i="18"/>
  <c r="B1478" i="18"/>
  <c r="B1486" i="18"/>
  <c r="B1493" i="18"/>
  <c r="B1500" i="18"/>
  <c r="B1502" i="18"/>
  <c r="B1512" i="18"/>
  <c r="B1517" i="18"/>
  <c r="B1524" i="18"/>
  <c r="B1531" i="18"/>
  <c r="B1535" i="18"/>
  <c r="B1541" i="18"/>
  <c r="B1547" i="18"/>
  <c r="B1552" i="18"/>
  <c r="B1559" i="18"/>
  <c r="B1567" i="18"/>
  <c r="B1569" i="18"/>
  <c r="B1574" i="18"/>
  <c r="B1585" i="18"/>
  <c r="B1589" i="18"/>
  <c r="B1597" i="18"/>
  <c r="B1601" i="18"/>
  <c r="B1604" i="18"/>
  <c r="B1612" i="18"/>
  <c r="B1621" i="18"/>
  <c r="B1626" i="18"/>
  <c r="B1630" i="18"/>
  <c r="B1637" i="18"/>
  <c r="B1640" i="18"/>
  <c r="B1651" i="18"/>
  <c r="B1654" i="18"/>
  <c r="B1659" i="18"/>
  <c r="B1667" i="18"/>
  <c r="B1672" i="18"/>
  <c r="B1677" i="18"/>
  <c r="B1684" i="18"/>
  <c r="B1693" i="18"/>
  <c r="B1697" i="18"/>
  <c r="B1705" i="18"/>
  <c r="B1707" i="18"/>
  <c r="B1712" i="18"/>
  <c r="B1721" i="18"/>
  <c r="B1726" i="18"/>
  <c r="B1733" i="18"/>
  <c r="B1739" i="18"/>
  <c r="B1746" i="18"/>
  <c r="B1750" i="18"/>
  <c r="B1758" i="18"/>
  <c r="B1763" i="18"/>
  <c r="B1769" i="18"/>
  <c r="B1772" i="18"/>
  <c r="B1781" i="18"/>
  <c r="B1789" i="18"/>
  <c r="B1795" i="18"/>
  <c r="B1798" i="18"/>
  <c r="B1802" i="18"/>
  <c r="B1810" i="18"/>
  <c r="B1814" i="18"/>
  <c r="B1822" i="18"/>
  <c r="B1829" i="18"/>
  <c r="B1834" i="18"/>
  <c r="B1839" i="18"/>
  <c r="B1844" i="18"/>
  <c r="B1855" i="18"/>
  <c r="B1861" i="18"/>
  <c r="B1866" i="18"/>
  <c r="B1869" i="18"/>
  <c r="B1876" i="18"/>
  <c r="B1881" i="18"/>
  <c r="B1889" i="18"/>
  <c r="B1896" i="18"/>
  <c r="B1901" i="18"/>
  <c r="B1907" i="18"/>
  <c r="B1915" i="18"/>
  <c r="B1919" i="18"/>
  <c r="B1922" i="18"/>
  <c r="B1931" i="18"/>
  <c r="B1939" i="18"/>
  <c r="B1941" i="18"/>
  <c r="B1950" i="18"/>
  <c r="B1956" i="18"/>
  <c r="B1962" i="18"/>
  <c r="B1965" i="18"/>
  <c r="B1971" i="18"/>
  <c r="B1980" i="18"/>
  <c r="B1984" i="18"/>
  <c r="B1990" i="18"/>
  <c r="B1999" i="18"/>
  <c r="B2004" i="18"/>
  <c r="B2007" i="18"/>
  <c r="B2014" i="18"/>
  <c r="B2019" i="18"/>
  <c r="B2029" i="18"/>
  <c r="B2032" i="18"/>
  <c r="B2037" i="18"/>
  <c r="B2043" i="18"/>
  <c r="B2052" i="18"/>
  <c r="B2055" i="18"/>
  <c r="B2062" i="18"/>
  <c r="B2069" i="18"/>
  <c r="B2073" i="18"/>
  <c r="B2079" i="18"/>
  <c r="B2086" i="18"/>
  <c r="B2095" i="18"/>
  <c r="B2101" i="18"/>
  <c r="B2107" i="18"/>
  <c r="B2112" i="18"/>
  <c r="B2115" i="18"/>
  <c r="B2125" i="18"/>
  <c r="B2129" i="18"/>
  <c r="B2135" i="18"/>
  <c r="B2143" i="18"/>
  <c r="B2145" i="18"/>
  <c r="B2154" i="18"/>
  <c r="B2157" i="18"/>
  <c r="B2162" i="18"/>
  <c r="B2173" i="18"/>
  <c r="B2176" i="18"/>
  <c r="B2184" i="18"/>
  <c r="B2188" i="18"/>
  <c r="B2192" i="18"/>
  <c r="B2202" i="18"/>
  <c r="B2208" i="18"/>
  <c r="B2214" i="18"/>
  <c r="B2218" i="18"/>
  <c r="B2222" i="18"/>
  <c r="B2230" i="18"/>
  <c r="B2237" i="18"/>
  <c r="B2245" i="18"/>
  <c r="B2248" i="18"/>
  <c r="B2257" i="18"/>
  <c r="B2259" i="18"/>
  <c r="B2265" i="18"/>
  <c r="B2271" i="18"/>
  <c r="B2276" i="18"/>
  <c r="B2287" i="18"/>
  <c r="B2292" i="18"/>
  <c r="B2296" i="18"/>
  <c r="B2300" i="18"/>
  <c r="B2307" i="18"/>
  <c r="B2312" i="18"/>
  <c r="B2323" i="18"/>
  <c r="B2329" i="18"/>
  <c r="B2334" i="18"/>
  <c r="B2336" i="18"/>
  <c r="B2343" i="18"/>
  <c r="B2353" i="18"/>
  <c r="B2355" i="18"/>
  <c r="B2361" i="18"/>
  <c r="B2370" i="18"/>
  <c r="B2374" i="18"/>
  <c r="B2381" i="18"/>
  <c r="B2387" i="18"/>
  <c r="B2390" i="18"/>
  <c r="B2401" i="18"/>
  <c r="B2403" i="18"/>
  <c r="B2411" i="18"/>
  <c r="B2418" i="18"/>
  <c r="B2422" i="18"/>
  <c r="B2429" i="18"/>
  <c r="B2433" i="18"/>
  <c r="B2440" i="18"/>
  <c r="B2444" i="18"/>
  <c r="B2452" i="18"/>
  <c r="B2459" i="18"/>
  <c r="B2463" i="18"/>
  <c r="B2470" i="18"/>
  <c r="B2478" i="18"/>
  <c r="B2485" i="18"/>
  <c r="B2487" i="18"/>
  <c r="B2493" i="18"/>
  <c r="B2498" i="18"/>
  <c r="B2505" i="18"/>
  <c r="B2512" i="18"/>
  <c r="B2519" i="18"/>
  <c r="B2524" i="18"/>
  <c r="B2530" i="18"/>
  <c r="B2536" i="18"/>
  <c r="B2544" i="18"/>
  <c r="B2546" i="18"/>
  <c r="B2556" i="18"/>
  <c r="B2561" i="18"/>
  <c r="B2567" i="18"/>
  <c r="B2572" i="18"/>
  <c r="B2581" i="18"/>
  <c r="B2585" i="18"/>
  <c r="B2592" i="18"/>
  <c r="B2599" i="18"/>
  <c r="B2603" i="18"/>
  <c r="B2608" i="18"/>
  <c r="B2617" i="18"/>
  <c r="B2623" i="18"/>
  <c r="B2626" i="18"/>
  <c r="B2634" i="18"/>
  <c r="B2640" i="18"/>
  <c r="B2644" i="18"/>
  <c r="B2652" i="18"/>
  <c r="B2654" i="18"/>
  <c r="B2661" i="18"/>
  <c r="B2667" i="18"/>
  <c r="B2674" i="18"/>
  <c r="B2678" i="18"/>
  <c r="B2689" i="18"/>
  <c r="B2691" i="18"/>
  <c r="B2696" i="18"/>
  <c r="B2703" i="18"/>
  <c r="B2708" i="18"/>
  <c r="B2719" i="18"/>
  <c r="B2725" i="18"/>
  <c r="B2728" i="18"/>
  <c r="B2737" i="18"/>
  <c r="B2740" i="18"/>
  <c r="B2744" i="18"/>
  <c r="B2750" i="18"/>
  <c r="B2758" i="18"/>
  <c r="B2764" i="18"/>
  <c r="B2771" i="18"/>
  <c r="B2778" i="18"/>
  <c r="B2782" i="18"/>
  <c r="B2789" i="18"/>
  <c r="B2794" i="18"/>
  <c r="B2799" i="18"/>
  <c r="B2804" i="18"/>
  <c r="B2812" i="18"/>
  <c r="B2818" i="18"/>
  <c r="B2826" i="18"/>
  <c r="B2828" i="18"/>
  <c r="B2834" i="18"/>
  <c r="B2842" i="18"/>
  <c r="B2850" i="18"/>
  <c r="B2856" i="18"/>
  <c r="B2863" i="18"/>
  <c r="B2867" i="18"/>
  <c r="B2871" i="18"/>
  <c r="B2878" i="18"/>
  <c r="B2883" i="18"/>
  <c r="B2893" i="18"/>
  <c r="B2898" i="18"/>
  <c r="B2900" i="18"/>
  <c r="B2907" i="18"/>
  <c r="B2917" i="18"/>
  <c r="B2921" i="18"/>
  <c r="B2925" i="18"/>
  <c r="B2935" i="18"/>
  <c r="B2941" i="18"/>
  <c r="B2942" i="18"/>
  <c r="B2949" i="18"/>
  <c r="B2958" i="18"/>
  <c r="B2960" i="18"/>
  <c r="B2967" i="18"/>
  <c r="B2972" i="18"/>
  <c r="B2978" i="18"/>
  <c r="B2988" i="18"/>
  <c r="B2994" i="18"/>
  <c r="B3001" i="18"/>
  <c r="B3002" i="18"/>
  <c r="B3012" i="18"/>
  <c r="B3018" i="18"/>
  <c r="B3023" i="18"/>
  <c r="B3028" i="18"/>
  <c r="B3037" i="18"/>
  <c r="B3042" i="18"/>
  <c r="B3047" i="18"/>
  <c r="B3055" i="18"/>
  <c r="B3059" i="18"/>
  <c r="B3062" i="18"/>
  <c r="B3069" i="18"/>
  <c r="B3078" i="18"/>
  <c r="B3080" i="18"/>
  <c r="B3089" i="18"/>
  <c r="B3092" i="18"/>
  <c r="B3098" i="18"/>
  <c r="B3108" i="18"/>
  <c r="B3114" i="18"/>
  <c r="B3118" i="18"/>
  <c r="B3126" i="18"/>
  <c r="B3130" i="18"/>
  <c r="B3139" i="18"/>
  <c r="B3140" i="18"/>
  <c r="B3148" i="18"/>
  <c r="B3156" i="18"/>
  <c r="B3162" i="18"/>
  <c r="B3166" i="18"/>
  <c r="B3173" i="18"/>
  <c r="B3181" i="18"/>
  <c r="B3182" i="18"/>
  <c r="B3191" i="18"/>
  <c r="B3195" i="18"/>
  <c r="B3202" i="18"/>
  <c r="B3208" i="18"/>
  <c r="B3213" i="18"/>
  <c r="B3221" i="18"/>
  <c r="B3226" i="18"/>
  <c r="B3231" i="18"/>
  <c r="B3237" i="18"/>
  <c r="B3245" i="18"/>
  <c r="B3250" i="18"/>
  <c r="B3258" i="18"/>
  <c r="B3260" i="18"/>
  <c r="B3267" i="18"/>
  <c r="B3274" i="18"/>
  <c r="B3282" i="18"/>
  <c r="B3287" i="18"/>
  <c r="B3291" i="18"/>
  <c r="B3296" i="18"/>
  <c r="B3307" i="18"/>
  <c r="B3312" i="18"/>
  <c r="B3316" i="18"/>
  <c r="B3323" i="18"/>
  <c r="B3330" i="18"/>
  <c r="B3337" i="18"/>
  <c r="B3340" i="18"/>
  <c r="B3348" i="18"/>
  <c r="B3355" i="18"/>
  <c r="B3357" i="18"/>
  <c r="B3363" i="18"/>
  <c r="B3369" i="18"/>
  <c r="B3378" i="18"/>
  <c r="B3383" i="18"/>
  <c r="B3387" i="18"/>
  <c r="B3395" i="18"/>
  <c r="B3399" i="18"/>
  <c r="B3404" i="18"/>
  <c r="B3410" i="18"/>
  <c r="B3419" i="18"/>
  <c r="B3423" i="18"/>
  <c r="B3428" i="18"/>
  <c r="B3434" i="18"/>
  <c r="B3444" i="18"/>
  <c r="B3450" i="18"/>
  <c r="B3454" i="18"/>
  <c r="B3462" i="18"/>
  <c r="B3469" i="18"/>
  <c r="B3474" i="18"/>
  <c r="B3478" i="18"/>
  <c r="B3484" i="18"/>
  <c r="B3492" i="18"/>
  <c r="B3498" i="18"/>
  <c r="B3504" i="18"/>
  <c r="B3511" i="18"/>
  <c r="B3515" i="18"/>
  <c r="B3518" i="18"/>
  <c r="B3529" i="18"/>
  <c r="B3530" i="18"/>
  <c r="B3541" i="18"/>
  <c r="B3544" i="18"/>
  <c r="B3549" i="18"/>
  <c r="B3559" i="18"/>
  <c r="B3562" i="18"/>
  <c r="B3568" i="18"/>
  <c r="B3574" i="18"/>
  <c r="B3579" i="18"/>
  <c r="B3588" i="18"/>
  <c r="B3593" i="18"/>
  <c r="B3596" i="18"/>
  <c r="B3603" i="18"/>
  <c r="B3608" i="18"/>
  <c r="B3617" i="18"/>
  <c r="B3621" i="18"/>
  <c r="B3626" i="18"/>
  <c r="B3636" i="18"/>
  <c r="B3641" i="18"/>
  <c r="B3644" i="18"/>
  <c r="B3652" i="18"/>
  <c r="B3660" i="18"/>
  <c r="B3667" i="18"/>
  <c r="B3672" i="18"/>
  <c r="B3675" i="18"/>
  <c r="B3680" i="18"/>
  <c r="B3687" i="18"/>
  <c r="B3693" i="18"/>
  <c r="B3702" i="18"/>
  <c r="B3707" i="18"/>
  <c r="B3711" i="18"/>
  <c r="B3718" i="18"/>
  <c r="B3725" i="18"/>
  <c r="B3733" i="18"/>
  <c r="B3734" i="18"/>
  <c r="B3745" i="18"/>
  <c r="B3747" i="18"/>
  <c r="B3757" i="18"/>
  <c r="B3759" i="18"/>
  <c r="B3769" i="18"/>
  <c r="B3772" i="18"/>
  <c r="B3779" i="18"/>
  <c r="B3784" i="18"/>
  <c r="B3790" i="18"/>
  <c r="B3797" i="18"/>
  <c r="B3801" i="18"/>
  <c r="B3808" i="18"/>
  <c r="B3812" i="18"/>
  <c r="B3823" i="18"/>
  <c r="B3825" i="18"/>
  <c r="B3834" i="18"/>
  <c r="B3841" i="18"/>
  <c r="B3846" i="18"/>
  <c r="B3853" i="18"/>
  <c r="B3857" i="18"/>
  <c r="B3860" i="18"/>
  <c r="B3868" i="18"/>
  <c r="B3875" i="18"/>
  <c r="B3882" i="18"/>
  <c r="B3887" i="18"/>
  <c r="B3892" i="18"/>
  <c r="B3897" i="18"/>
  <c r="B3904" i="18"/>
  <c r="B3908" i="18"/>
  <c r="B3919" i="18"/>
  <c r="B3921" i="18"/>
  <c r="B3930" i="18"/>
  <c r="B3935" i="18"/>
  <c r="B3938" i="18"/>
  <c r="B3949" i="18"/>
  <c r="B3950" i="18"/>
  <c r="B3956" i="18"/>
  <c r="B3963" i="18"/>
  <c r="B3969" i="18"/>
  <c r="B3974" i="18"/>
  <c r="B3982" i="18"/>
  <c r="B3991" i="18"/>
  <c r="B3997" i="18"/>
  <c r="B3998" i="18"/>
  <c r="B4007" i="18"/>
  <c r="B4012" i="18"/>
  <c r="B4019" i="18"/>
  <c r="B4022" i="18"/>
  <c r="B4029" i="18"/>
  <c r="B4037" i="18"/>
  <c r="B4041" i="18"/>
  <c r="B4048" i="18"/>
  <c r="B4056" i="18"/>
  <c r="B4059" i="18"/>
  <c r="B4065" i="18"/>
  <c r="B4070" i="18"/>
  <c r="B4077" i="18"/>
  <c r="B4082" i="18"/>
  <c r="B4092" i="18"/>
  <c r="B4097" i="18"/>
  <c r="B4105" i="18"/>
  <c r="B4106" i="18"/>
  <c r="B4116" i="18"/>
  <c r="B4120" i="18"/>
  <c r="B4125" i="18"/>
  <c r="B4134" i="18"/>
  <c r="B4140" i="18"/>
  <c r="B4142" i="18"/>
  <c r="B4152" i="18"/>
  <c r="B4155" i="18"/>
  <c r="B4165" i="18"/>
  <c r="B4170" i="18"/>
  <c r="B4177" i="18"/>
  <c r="B4183" i="18"/>
  <c r="B4184" i="18"/>
  <c r="B4192" i="18"/>
  <c r="A169" i="10"/>
  <c r="B169" i="10"/>
  <c r="A400" i="10"/>
  <c r="B400" i="10"/>
  <c r="D494" i="10"/>
  <c r="D419" i="10"/>
  <c r="D200" i="10"/>
  <c r="D136" i="10"/>
  <c r="D375" i="10"/>
  <c r="D485" i="10"/>
  <c r="D62" i="10"/>
  <c r="D251" i="10"/>
  <c r="D471" i="10"/>
  <c r="D54" i="10"/>
  <c r="D404" i="10"/>
  <c r="D130" i="10"/>
  <c r="D413" i="10"/>
  <c r="D286" i="10"/>
  <c r="D376" i="10"/>
  <c r="D239" i="10"/>
  <c r="D50" i="10"/>
  <c r="D500" i="10"/>
  <c r="D297" i="10"/>
  <c r="D315" i="10"/>
  <c r="D456" i="10"/>
  <c r="D218" i="10"/>
  <c r="D237" i="10"/>
  <c r="D415" i="10"/>
  <c r="D359" i="10"/>
  <c r="D360" i="10"/>
  <c r="D371" i="10"/>
  <c r="D383" i="10"/>
  <c r="D74" i="10"/>
  <c r="D222" i="10"/>
  <c r="D292" i="10"/>
  <c r="D342" i="10"/>
  <c r="D69" i="10"/>
  <c r="D212" i="10"/>
  <c r="D172" i="10"/>
  <c r="D264" i="10"/>
  <c r="D116" i="10"/>
  <c r="D193" i="10"/>
  <c r="D255" i="10"/>
  <c r="D278" i="10"/>
  <c r="D91" i="10"/>
  <c r="D282" i="10"/>
  <c r="D209" i="10"/>
  <c r="D340" i="10"/>
  <c r="D497" i="10"/>
  <c r="D411" i="10"/>
  <c r="D128" i="10"/>
  <c r="D122" i="10"/>
  <c r="D164" i="10"/>
  <c r="D469" i="10"/>
  <c r="D145" i="10"/>
  <c r="D208" i="10"/>
  <c r="D175" i="10"/>
  <c r="D177" i="10"/>
  <c r="D488" i="10"/>
  <c r="D265" i="10"/>
  <c r="D442" i="10"/>
  <c r="D422" i="10"/>
  <c r="D310" i="10"/>
  <c r="D446" i="10"/>
  <c r="D356" i="10"/>
  <c r="D402" i="10"/>
  <c r="D293" i="10"/>
  <c r="D10" i="10"/>
  <c r="D355" i="10"/>
  <c r="D332" i="10"/>
  <c r="D295" i="10"/>
  <c r="D44" i="10"/>
  <c r="D240" i="10"/>
  <c r="D244" i="10"/>
  <c r="D473" i="10"/>
  <c r="D445" i="10"/>
  <c r="D358" i="10"/>
  <c r="D53" i="10"/>
  <c r="D443" i="10"/>
  <c r="D381" i="10"/>
  <c r="D468" i="10"/>
  <c r="D33" i="10"/>
  <c r="D397" i="10"/>
  <c r="D291" i="10"/>
  <c r="D274" i="10"/>
  <c r="D298" i="10"/>
  <c r="D285" i="10"/>
  <c r="D417" i="10"/>
  <c r="D296" i="10"/>
  <c r="D486" i="10"/>
  <c r="D104" i="10"/>
  <c r="D269" i="10"/>
  <c r="D343" i="10"/>
  <c r="D41" i="10"/>
  <c r="D131" i="10"/>
  <c r="D79" i="10"/>
  <c r="D429" i="10"/>
  <c r="D405" i="10"/>
  <c r="D250" i="10"/>
  <c r="D223" i="10"/>
  <c r="D233" i="10"/>
  <c r="D441" i="10"/>
  <c r="D272" i="10"/>
  <c r="D182" i="10"/>
  <c r="D198" i="10"/>
  <c r="D143" i="10"/>
  <c r="D231" i="10"/>
  <c r="D165" i="10"/>
  <c r="D22" i="10"/>
  <c r="D76" i="10"/>
  <c r="D42" i="10"/>
  <c r="D5" i="10"/>
  <c r="D199" i="10"/>
  <c r="D495" i="10"/>
  <c r="D204" i="10"/>
  <c r="D377" i="10"/>
  <c r="D166" i="10"/>
  <c r="D171" i="10"/>
  <c r="D133" i="10"/>
  <c r="D389" i="10"/>
  <c r="D134" i="10"/>
  <c r="D150" i="10"/>
  <c r="D191" i="10"/>
  <c r="D439" i="10"/>
  <c r="D81" i="10"/>
  <c r="D434" i="10"/>
  <c r="D216" i="10"/>
  <c r="D431" i="10"/>
  <c r="D80" i="10"/>
  <c r="D224" i="10"/>
  <c r="D336" i="10"/>
  <c r="D210" i="10"/>
  <c r="D34" i="10"/>
  <c r="D394" i="10"/>
  <c r="D458" i="10"/>
  <c r="D138" i="10"/>
  <c r="D341" i="10"/>
  <c r="D299" i="10"/>
  <c r="D43" i="10"/>
  <c r="D93" i="10"/>
  <c r="D455" i="10"/>
  <c r="D248" i="10"/>
  <c r="D327" i="10"/>
  <c r="D399" i="10"/>
  <c r="D493" i="10"/>
  <c r="D144" i="10"/>
  <c r="D174" i="10"/>
  <c r="D498" i="10"/>
  <c r="D105" i="10"/>
  <c r="D56" i="10"/>
  <c r="D374" i="10"/>
  <c r="D127" i="10"/>
  <c r="D305" i="10"/>
  <c r="D95" i="10"/>
  <c r="D367" i="10"/>
  <c r="D227" i="10"/>
  <c r="D113" i="10"/>
  <c r="D312" i="10"/>
  <c r="D221" i="10"/>
  <c r="D474" i="10"/>
  <c r="D19" i="10"/>
  <c r="D139" i="10"/>
  <c r="D119" i="10"/>
  <c r="D313" i="10"/>
  <c r="D38" i="10"/>
  <c r="D273" i="10"/>
  <c r="D129" i="10"/>
  <c r="D307" i="10"/>
  <c r="D187" i="10"/>
  <c r="D460" i="10"/>
  <c r="D125" i="10"/>
  <c r="D328" i="10"/>
  <c r="D300" i="10"/>
  <c r="D324" i="10"/>
  <c r="D16" i="10"/>
  <c r="D192" i="10"/>
  <c r="D184" i="10"/>
  <c r="D309" i="10"/>
  <c r="D281" i="10"/>
  <c r="D412" i="10"/>
  <c r="D71" i="10"/>
  <c r="D157" i="10"/>
  <c r="D266" i="10"/>
  <c r="D401" i="10"/>
  <c r="D267" i="10"/>
  <c r="D283" i="10"/>
  <c r="D201" i="10"/>
  <c r="D77" i="10"/>
  <c r="D345" i="10"/>
  <c r="D403" i="10"/>
  <c r="D448" i="10"/>
  <c r="D158" i="10"/>
  <c r="D344" i="10"/>
  <c r="D205" i="10"/>
  <c r="D472" i="10"/>
  <c r="D347" i="10"/>
  <c r="D238" i="10"/>
  <c r="D249" i="10"/>
  <c r="D361" i="10"/>
  <c r="D321" i="10"/>
  <c r="D481" i="10"/>
  <c r="D438" i="10"/>
  <c r="D331" i="10"/>
  <c r="D103" i="10"/>
  <c r="D385" i="10"/>
  <c r="D60" i="10"/>
  <c r="D477" i="10"/>
  <c r="D121" i="10"/>
  <c r="D334" i="10"/>
  <c r="D52" i="10"/>
  <c r="D478" i="10"/>
  <c r="D90" i="10"/>
  <c r="D284" i="10"/>
  <c r="D57" i="10"/>
  <c r="D414" i="10"/>
  <c r="D462" i="10"/>
  <c r="D426" i="10"/>
  <c r="D362" i="10"/>
  <c r="D32" i="10"/>
  <c r="D49" i="10"/>
  <c r="D13" i="10"/>
  <c r="D277" i="10"/>
  <c r="D6" i="10"/>
  <c r="D36" i="10"/>
  <c r="D92" i="10"/>
  <c r="D3" i="10"/>
  <c r="D280" i="10"/>
  <c r="D140" i="10"/>
  <c r="D390" i="10"/>
  <c r="D262" i="10"/>
  <c r="D115" i="10"/>
  <c r="D435" i="10"/>
  <c r="D118" i="10"/>
  <c r="D294" i="10"/>
  <c r="D108" i="10"/>
  <c r="D467" i="10"/>
  <c r="D337" i="10"/>
  <c r="D406" i="10"/>
  <c r="D463" i="10"/>
  <c r="D31" i="10"/>
  <c r="D480" i="10"/>
  <c r="D444" i="10"/>
  <c r="D314" i="10"/>
  <c r="D492" i="10"/>
  <c r="D64" i="10"/>
  <c r="D330" i="10"/>
  <c r="D378" i="10"/>
  <c r="D206" i="10"/>
  <c r="D114" i="10"/>
  <c r="D366" i="10"/>
  <c r="D352" i="10"/>
  <c r="D65" i="10"/>
  <c r="D302" i="10"/>
  <c r="D432" i="10"/>
  <c r="D288" i="10"/>
  <c r="D156" i="10"/>
  <c r="D39" i="10"/>
  <c r="D388" i="10"/>
  <c r="D433" i="10"/>
  <c r="D372" i="10"/>
  <c r="D225" i="10"/>
  <c r="D268" i="10"/>
  <c r="D59" i="10"/>
  <c r="D373" i="10"/>
  <c r="D228" i="10"/>
  <c r="D370" i="10"/>
  <c r="D258" i="10"/>
  <c r="D464" i="10"/>
  <c r="D99" i="10"/>
  <c r="D226" i="10"/>
  <c r="D454" i="10"/>
  <c r="D245" i="10"/>
  <c r="D316" i="10"/>
  <c r="D246" i="10"/>
  <c r="D348" i="10"/>
  <c r="D254" i="10"/>
  <c r="D190" i="10"/>
  <c r="D393" i="10"/>
  <c r="D137" i="10"/>
  <c r="D392" i="10"/>
  <c r="D325" i="10"/>
  <c r="D461" i="10"/>
  <c r="D189" i="10"/>
  <c r="D117" i="10"/>
  <c r="D75" i="10"/>
  <c r="D14" i="10"/>
  <c r="D322" i="10"/>
  <c r="D475" i="10"/>
  <c r="D234" i="10"/>
  <c r="D78" i="10"/>
  <c r="D58" i="10"/>
  <c r="D97" i="10"/>
  <c r="D364" i="10"/>
  <c r="D45" i="10"/>
  <c r="D289" i="10"/>
  <c r="D408" i="10"/>
  <c r="D12" i="10"/>
  <c r="D306" i="10"/>
  <c r="D311" i="10"/>
  <c r="D109" i="10"/>
  <c r="D196" i="10"/>
  <c r="D188" i="10"/>
  <c r="D220" i="10"/>
  <c r="D440" i="10"/>
  <c r="D430" i="10"/>
  <c r="D409" i="10"/>
  <c r="D386" i="10"/>
  <c r="D148" i="10"/>
  <c r="D447" i="10"/>
  <c r="D63" i="10"/>
  <c r="D335" i="10"/>
  <c r="D449" i="10"/>
  <c r="D83" i="10"/>
  <c r="D241" i="10"/>
  <c r="D232" i="10"/>
  <c r="D351" i="10"/>
  <c r="D67" i="10"/>
  <c r="D186" i="10"/>
  <c r="D398" i="10"/>
  <c r="D380" i="10"/>
  <c r="D425" i="10"/>
  <c r="D162" i="10"/>
  <c r="D146" i="10"/>
  <c r="D379" i="10"/>
  <c r="D195" i="10"/>
  <c r="D73" i="10"/>
  <c r="D197" i="10"/>
  <c r="D369" i="10"/>
  <c r="D290" i="10"/>
  <c r="D326" i="10"/>
  <c r="D436" i="10"/>
  <c r="D270" i="10"/>
  <c r="D235" i="10"/>
  <c r="D275" i="10"/>
  <c r="D151" i="10"/>
  <c r="D236" i="10"/>
  <c r="D384" i="10"/>
  <c r="D160" i="10"/>
  <c r="D88" i="10"/>
  <c r="D423" i="10"/>
  <c r="D84" i="10"/>
  <c r="D168" i="10"/>
  <c r="D82" i="10"/>
  <c r="D387" i="10"/>
  <c r="D230" i="10"/>
  <c r="D110" i="10"/>
  <c r="D9" i="10"/>
  <c r="D89" i="10"/>
  <c r="D418" i="10"/>
  <c r="D179" i="10"/>
  <c r="D489" i="10"/>
  <c r="D132" i="10"/>
  <c r="D261" i="10"/>
  <c r="D257" i="10"/>
  <c r="D86" i="10"/>
  <c r="D94" i="10"/>
  <c r="D338" i="10"/>
  <c r="D427" i="10"/>
  <c r="D428" i="10"/>
  <c r="D451" i="10"/>
  <c r="D339" i="10"/>
  <c r="D242" i="10"/>
  <c r="D319" i="10"/>
  <c r="D483" i="10"/>
  <c r="D98" i="10"/>
  <c r="D354" i="10"/>
  <c r="D363" i="10"/>
  <c r="D173" i="10"/>
  <c r="D490" i="10"/>
  <c r="D459" i="10"/>
  <c r="D111" i="10"/>
  <c r="D207" i="10"/>
  <c r="D66" i="10"/>
  <c r="D465" i="10"/>
  <c r="D395" i="10"/>
  <c r="D452" i="10"/>
  <c r="D149" i="10"/>
  <c r="D333" i="10"/>
  <c r="D68" i="10"/>
  <c r="D424" i="10"/>
  <c r="D170" i="10"/>
  <c r="D185" i="10"/>
  <c r="D350" i="10"/>
  <c r="D11" i="10"/>
  <c r="D178" i="10"/>
  <c r="D252" i="10"/>
  <c r="D450" i="10"/>
  <c r="D48" i="10"/>
  <c r="D420" i="10"/>
  <c r="D152" i="10"/>
  <c r="D357" i="10"/>
  <c r="D217" i="10"/>
  <c r="D35" i="10"/>
  <c r="D17" i="10"/>
  <c r="D61" i="10"/>
  <c r="D155" i="10"/>
  <c r="D47" i="10"/>
  <c r="D85" i="10"/>
  <c r="D30" i="10"/>
  <c r="D487" i="10"/>
  <c r="D20" i="10"/>
  <c r="D159" i="10"/>
  <c r="D476" i="10"/>
  <c r="D181" i="10"/>
  <c r="D318" i="10"/>
  <c r="D317" i="10"/>
  <c r="D410" i="10"/>
  <c r="D123" i="10"/>
  <c r="D183" i="10"/>
  <c r="D279" i="10"/>
  <c r="D167" i="10"/>
  <c r="D154" i="10"/>
  <c r="D243" i="10"/>
  <c r="D147" i="10"/>
  <c r="D126" i="10"/>
  <c r="D219" i="10"/>
  <c r="D396" i="10"/>
  <c r="D15" i="10"/>
  <c r="D202" i="10"/>
  <c r="D7" i="10"/>
  <c r="D259" i="10"/>
  <c r="D301" i="10"/>
  <c r="D457" i="10"/>
  <c r="D308" i="10"/>
  <c r="D87" i="10"/>
  <c r="D18" i="10"/>
  <c r="D194" i="10"/>
  <c r="D416" i="10"/>
  <c r="D484" i="10"/>
  <c r="D276" i="10"/>
  <c r="D263" i="10"/>
  <c r="D304" i="10"/>
  <c r="D37" i="10"/>
  <c r="D101" i="10"/>
  <c r="D169" i="10"/>
  <c r="D400" i="10"/>
  <c r="D135" i="10"/>
  <c r="D25" i="10"/>
  <c r="D100" i="10"/>
  <c r="D124" i="10"/>
  <c r="D28" i="10"/>
  <c r="D26" i="10"/>
  <c r="D51" i="10"/>
  <c r="D247" i="10"/>
  <c r="D479" i="10"/>
  <c r="D213" i="10"/>
  <c r="D214" i="10"/>
  <c r="D368" i="10"/>
  <c r="D256" i="10"/>
  <c r="D353" i="10"/>
  <c r="D466" i="10"/>
  <c r="D120" i="10"/>
  <c r="D253" i="10"/>
  <c r="D102" i="10"/>
  <c r="D211" i="10"/>
  <c r="D499" i="10"/>
  <c r="D496" i="10"/>
  <c r="D161" i="10"/>
  <c r="D323" i="10"/>
  <c r="D141" i="10"/>
  <c r="D470" i="10"/>
  <c r="D229" i="10"/>
  <c r="D349" i="10"/>
  <c r="D329" i="10"/>
  <c r="D346" i="10"/>
  <c r="D55" i="10"/>
  <c r="D453" i="10"/>
  <c r="D180" i="10"/>
  <c r="D271" i="10"/>
  <c r="D421" i="10"/>
  <c r="D287" i="10"/>
  <c r="D72" i="10"/>
  <c r="D106" i="10"/>
  <c r="D112" i="10"/>
  <c r="D215" i="10"/>
  <c r="D320" i="10"/>
  <c r="D260" i="10"/>
  <c r="D40" i="10"/>
  <c r="D29" i="10"/>
  <c r="D23" i="10"/>
  <c r="D391" i="10"/>
  <c r="D163" i="10"/>
  <c r="D96" i="10"/>
  <c r="D24" i="10"/>
  <c r="D4" i="10"/>
  <c r="D46" i="10"/>
  <c r="D27" i="10"/>
  <c r="D203" i="10"/>
  <c r="D491" i="10"/>
  <c r="D8" i="10"/>
  <c r="D107" i="10"/>
  <c r="D365" i="10"/>
  <c r="D382" i="10"/>
  <c r="D176" i="10"/>
  <c r="D142" i="10"/>
  <c r="D407" i="10"/>
  <c r="D21" i="10"/>
  <c r="D2" i="10"/>
  <c r="D482" i="10"/>
  <c r="D303" i="10"/>
  <c r="D437" i="10"/>
  <c r="D153" i="10"/>
  <c r="D70" i="10"/>
  <c r="B494" i="10"/>
  <c r="B419" i="10"/>
  <c r="B200" i="10"/>
  <c r="B136" i="10"/>
  <c r="B375" i="10"/>
  <c r="B485" i="10"/>
  <c r="B62" i="10"/>
  <c r="B251" i="10"/>
  <c r="B471" i="10"/>
  <c r="B54" i="10"/>
  <c r="B404" i="10"/>
  <c r="B130" i="10"/>
  <c r="B413" i="10"/>
  <c r="B286" i="10"/>
  <c r="B376" i="10"/>
  <c r="B239" i="10"/>
  <c r="B50" i="10"/>
  <c r="B500" i="10"/>
  <c r="B297" i="10"/>
  <c r="B315" i="10"/>
  <c r="B456" i="10"/>
  <c r="B218" i="10"/>
  <c r="B237" i="10"/>
  <c r="B415" i="10"/>
  <c r="B359" i="10"/>
  <c r="B360" i="10"/>
  <c r="B371" i="10"/>
  <c r="B383" i="10"/>
  <c r="B74" i="10"/>
  <c r="B222" i="10"/>
  <c r="B292" i="10"/>
  <c r="B342" i="10"/>
  <c r="B69" i="10"/>
  <c r="B212" i="10"/>
  <c r="B172" i="10"/>
  <c r="B264" i="10"/>
  <c r="B116" i="10"/>
  <c r="B193" i="10"/>
  <c r="B255" i="10"/>
  <c r="B278" i="10"/>
  <c r="B91" i="10"/>
  <c r="B282" i="10"/>
  <c r="B209" i="10"/>
  <c r="B340" i="10"/>
  <c r="B497" i="10"/>
  <c r="B411" i="10"/>
  <c r="B128" i="10"/>
  <c r="B122" i="10"/>
  <c r="B164" i="10"/>
  <c r="B469" i="10"/>
  <c r="B145" i="10"/>
  <c r="B208" i="10"/>
  <c r="B175" i="10"/>
  <c r="B177" i="10"/>
  <c r="B488" i="10"/>
  <c r="B265" i="10"/>
  <c r="B442" i="10"/>
  <c r="B422" i="10"/>
  <c r="B310" i="10"/>
  <c r="B446" i="10"/>
  <c r="B356" i="10"/>
  <c r="B402" i="10"/>
  <c r="B293" i="10"/>
  <c r="B10" i="10"/>
  <c r="B355" i="10"/>
  <c r="B332" i="10"/>
  <c r="B295" i="10"/>
  <c r="B44" i="10"/>
  <c r="B240" i="10"/>
  <c r="B244" i="10"/>
  <c r="B473" i="10"/>
  <c r="B445" i="10"/>
  <c r="B358" i="10"/>
  <c r="B53" i="10"/>
  <c r="B443" i="10"/>
  <c r="B381" i="10"/>
  <c r="B468" i="10"/>
  <c r="B33" i="10"/>
  <c r="B397" i="10"/>
  <c r="B291" i="10"/>
  <c r="B274" i="10"/>
  <c r="B298" i="10"/>
  <c r="B285" i="10"/>
  <c r="B417" i="10"/>
  <c r="B296" i="10"/>
  <c r="B486" i="10"/>
  <c r="B104" i="10"/>
  <c r="B269" i="10"/>
  <c r="B343" i="10"/>
  <c r="B41" i="10"/>
  <c r="B131" i="10"/>
  <c r="B79" i="10"/>
  <c r="B429" i="10"/>
  <c r="B405" i="10"/>
  <c r="B250" i="10"/>
  <c r="B223" i="10"/>
  <c r="B233" i="10"/>
  <c r="B441" i="10"/>
  <c r="B272" i="10"/>
  <c r="B182" i="10"/>
  <c r="B198" i="10"/>
  <c r="B143" i="10"/>
  <c r="B231" i="10"/>
  <c r="B165" i="10"/>
  <c r="B22" i="10"/>
  <c r="B76" i="10"/>
  <c r="B42" i="10"/>
  <c r="B5" i="10"/>
  <c r="B199" i="10"/>
  <c r="B495" i="10"/>
  <c r="B204" i="10"/>
  <c r="B377" i="10"/>
  <c r="B166" i="10"/>
  <c r="B171" i="10"/>
  <c r="B133" i="10"/>
  <c r="B389" i="10"/>
  <c r="B134" i="10"/>
  <c r="B150" i="10"/>
  <c r="B191" i="10"/>
  <c r="B439" i="10"/>
  <c r="B81" i="10"/>
  <c r="B434" i="10"/>
  <c r="B216" i="10"/>
  <c r="B431" i="10"/>
  <c r="B80" i="10"/>
  <c r="B224" i="10"/>
  <c r="B336" i="10"/>
  <c r="B210" i="10"/>
  <c r="B34" i="10"/>
  <c r="B394" i="10"/>
  <c r="B458" i="10"/>
  <c r="B138" i="10"/>
  <c r="B341" i="10"/>
  <c r="B299" i="10"/>
  <c r="B43" i="10"/>
  <c r="B93" i="10"/>
  <c r="B455" i="10"/>
  <c r="B248" i="10"/>
  <c r="B327" i="10"/>
  <c r="B399" i="10"/>
  <c r="B493" i="10"/>
  <c r="B144" i="10"/>
  <c r="B174" i="10"/>
  <c r="B498" i="10"/>
  <c r="B105" i="10"/>
  <c r="B56" i="10"/>
  <c r="B374" i="10"/>
  <c r="B127" i="10"/>
  <c r="B305" i="10"/>
  <c r="B95" i="10"/>
  <c r="B367" i="10"/>
  <c r="B227" i="10"/>
  <c r="B113" i="10"/>
  <c r="B312" i="10"/>
  <c r="B221" i="10"/>
  <c r="B474" i="10"/>
  <c r="B19" i="10"/>
  <c r="B139" i="10"/>
  <c r="B119" i="10"/>
  <c r="B313" i="10"/>
  <c r="B38" i="10"/>
  <c r="B273" i="10"/>
  <c r="B129" i="10"/>
  <c r="B307" i="10"/>
  <c r="B187" i="10"/>
  <c r="B460" i="10"/>
  <c r="B125" i="10"/>
  <c r="B328" i="10"/>
  <c r="B300" i="10"/>
  <c r="B324" i="10"/>
  <c r="B16" i="10"/>
  <c r="B192" i="10"/>
  <c r="B184" i="10"/>
  <c r="B309" i="10"/>
  <c r="B281" i="10"/>
  <c r="B412" i="10"/>
  <c r="B71" i="10"/>
  <c r="B157" i="10"/>
  <c r="B266" i="10"/>
  <c r="B401" i="10"/>
  <c r="B267" i="10"/>
  <c r="B283" i="10"/>
  <c r="B201" i="10"/>
  <c r="B77" i="10"/>
  <c r="B345" i="10"/>
  <c r="B403" i="10"/>
  <c r="B448" i="10"/>
  <c r="B158" i="10"/>
  <c r="B344" i="10"/>
  <c r="B205" i="10"/>
  <c r="B472" i="10"/>
  <c r="B347" i="10"/>
  <c r="B238" i="10"/>
  <c r="B249" i="10"/>
  <c r="B361" i="10"/>
  <c r="B321" i="10"/>
  <c r="B481" i="10"/>
  <c r="B438" i="10"/>
  <c r="B331" i="10"/>
  <c r="B103" i="10"/>
  <c r="B385" i="10"/>
  <c r="B60" i="10"/>
  <c r="B477" i="10"/>
  <c r="B121" i="10"/>
  <c r="B334" i="10"/>
  <c r="B52" i="10"/>
  <c r="B478" i="10"/>
  <c r="B90" i="10"/>
  <c r="B284" i="10"/>
  <c r="B57" i="10"/>
  <c r="B414" i="10"/>
  <c r="B462" i="10"/>
  <c r="B426" i="10"/>
  <c r="B362" i="10"/>
  <c r="B32" i="10"/>
  <c r="B49" i="10"/>
  <c r="B13" i="10"/>
  <c r="B277" i="10"/>
  <c r="B6" i="10"/>
  <c r="B36" i="10"/>
  <c r="B92" i="10"/>
  <c r="B3" i="10"/>
  <c r="B280" i="10"/>
  <c r="B140" i="10"/>
  <c r="B390" i="10"/>
  <c r="B262" i="10"/>
  <c r="B115" i="10"/>
  <c r="B435" i="10"/>
  <c r="B118" i="10"/>
  <c r="B294" i="10"/>
  <c r="B108" i="10"/>
  <c r="B467" i="10"/>
  <c r="B337" i="10"/>
  <c r="B406" i="10"/>
  <c r="B463" i="10"/>
  <c r="B31" i="10"/>
  <c r="B480" i="10"/>
  <c r="B444" i="10"/>
  <c r="B314" i="10"/>
  <c r="B492" i="10"/>
  <c r="B64" i="10"/>
  <c r="B330" i="10"/>
  <c r="B378" i="10"/>
  <c r="B206" i="10"/>
  <c r="B114" i="10"/>
  <c r="B366" i="10"/>
  <c r="B352" i="10"/>
  <c r="B65" i="10"/>
  <c r="B302" i="10"/>
  <c r="B432" i="10"/>
  <c r="B288" i="10"/>
  <c r="B156" i="10"/>
  <c r="B39" i="10"/>
  <c r="B388" i="10"/>
  <c r="B433" i="10"/>
  <c r="B372" i="10"/>
  <c r="B225" i="10"/>
  <c r="B268" i="10"/>
  <c r="B59" i="10"/>
  <c r="B373" i="10"/>
  <c r="B228" i="10"/>
  <c r="B370" i="10"/>
  <c r="B258" i="10"/>
  <c r="B464" i="10"/>
  <c r="B99" i="10"/>
  <c r="B226" i="10"/>
  <c r="B454" i="10"/>
  <c r="B245" i="10"/>
  <c r="B316" i="10"/>
  <c r="B246" i="10"/>
  <c r="B348" i="10"/>
  <c r="B254" i="10"/>
  <c r="B190" i="10"/>
  <c r="B393" i="10"/>
  <c r="B137" i="10"/>
  <c r="B392" i="10"/>
  <c r="B325" i="10"/>
  <c r="B461" i="10"/>
  <c r="B189" i="10"/>
  <c r="B117" i="10"/>
  <c r="B75" i="10"/>
  <c r="B14" i="10"/>
  <c r="B322" i="10"/>
  <c r="B475" i="10"/>
  <c r="B234" i="10"/>
  <c r="B78" i="10"/>
  <c r="B58" i="10"/>
  <c r="B97" i="10"/>
  <c r="B364" i="10"/>
  <c r="B45" i="10"/>
  <c r="B289" i="10"/>
  <c r="B408" i="10"/>
  <c r="B12" i="10"/>
  <c r="B306" i="10"/>
  <c r="B311" i="10"/>
  <c r="B109" i="10"/>
  <c r="B196" i="10"/>
  <c r="B188" i="10"/>
  <c r="B220" i="10"/>
  <c r="B440" i="10"/>
  <c r="B430" i="10"/>
  <c r="B409" i="10"/>
  <c r="B386" i="10"/>
  <c r="B148" i="10"/>
  <c r="B447" i="10"/>
  <c r="B63" i="10"/>
  <c r="B335" i="10"/>
  <c r="B449" i="10"/>
  <c r="B83" i="10"/>
  <c r="B241" i="10"/>
  <c r="B232" i="10"/>
  <c r="B351" i="10"/>
  <c r="B67" i="10"/>
  <c r="B186" i="10"/>
  <c r="B398" i="10"/>
  <c r="B380" i="10"/>
  <c r="B425" i="10"/>
  <c r="B162" i="10"/>
  <c r="B146" i="10"/>
  <c r="B379" i="10"/>
  <c r="B195" i="10"/>
  <c r="B73" i="10"/>
  <c r="B197" i="10"/>
  <c r="B369" i="10"/>
  <c r="B290" i="10"/>
  <c r="B326" i="10"/>
  <c r="B436" i="10"/>
  <c r="B270" i="10"/>
  <c r="B235" i="10"/>
  <c r="B275" i="10"/>
  <c r="B151" i="10"/>
  <c r="B236" i="10"/>
  <c r="B384" i="10"/>
  <c r="B160" i="10"/>
  <c r="B88" i="10"/>
  <c r="B423" i="10"/>
  <c r="B84" i="10"/>
  <c r="B168" i="10"/>
  <c r="B82" i="10"/>
  <c r="B387" i="10"/>
  <c r="B230" i="10"/>
  <c r="B110" i="10"/>
  <c r="B9" i="10"/>
  <c r="B89" i="10"/>
  <c r="B418" i="10"/>
  <c r="B179" i="10"/>
  <c r="B489" i="10"/>
  <c r="B132" i="10"/>
  <c r="B261" i="10"/>
  <c r="B257" i="10"/>
  <c r="B86" i="10"/>
  <c r="B94" i="10"/>
  <c r="B338" i="10"/>
  <c r="B427" i="10"/>
  <c r="B428" i="10"/>
  <c r="B451" i="10"/>
  <c r="B339" i="10"/>
  <c r="B242" i="10"/>
  <c r="B319" i="10"/>
  <c r="B483" i="10"/>
  <c r="B98" i="10"/>
  <c r="B354" i="10"/>
  <c r="B363" i="10"/>
  <c r="B173" i="10"/>
  <c r="B490" i="10"/>
  <c r="B459" i="10"/>
  <c r="B111" i="10"/>
  <c r="B207" i="10"/>
  <c r="B66" i="10"/>
  <c r="B465" i="10"/>
  <c r="B395" i="10"/>
  <c r="B452" i="10"/>
  <c r="B149" i="10"/>
  <c r="B333" i="10"/>
  <c r="B68" i="10"/>
  <c r="B424" i="10"/>
  <c r="B170" i="10"/>
  <c r="B185" i="10"/>
  <c r="B350" i="10"/>
  <c r="B11" i="10"/>
  <c r="B178" i="10"/>
  <c r="B252" i="10"/>
  <c r="B450" i="10"/>
  <c r="B48" i="10"/>
  <c r="B420" i="10"/>
  <c r="B152" i="10"/>
  <c r="B357" i="10"/>
  <c r="B217" i="10"/>
  <c r="B35" i="10"/>
  <c r="B17" i="10"/>
  <c r="B61" i="10"/>
  <c r="B155" i="10"/>
  <c r="B47" i="10"/>
  <c r="B85" i="10"/>
  <c r="B30" i="10"/>
  <c r="B487" i="10"/>
  <c r="B20" i="10"/>
  <c r="B159" i="10"/>
  <c r="B476" i="10"/>
  <c r="B181" i="10"/>
  <c r="B318" i="10"/>
  <c r="B317" i="10"/>
  <c r="B410" i="10"/>
  <c r="B123" i="10"/>
  <c r="B183" i="10"/>
  <c r="B279" i="10"/>
  <c r="B167" i="10"/>
  <c r="B154" i="10"/>
  <c r="B243" i="10"/>
  <c r="B147" i="10"/>
  <c r="B126" i="10"/>
  <c r="B219" i="10"/>
  <c r="B396" i="10"/>
  <c r="B15" i="10"/>
  <c r="B202" i="10"/>
  <c r="B7" i="10"/>
  <c r="B259" i="10"/>
  <c r="B301" i="10"/>
  <c r="B457" i="10"/>
  <c r="B308" i="10"/>
  <c r="B87" i="10"/>
  <c r="B18" i="10"/>
  <c r="B194" i="10"/>
  <c r="B416" i="10"/>
  <c r="B484" i="10"/>
  <c r="B276" i="10"/>
  <c r="B263" i="10"/>
  <c r="B304" i="10"/>
  <c r="B37" i="10"/>
  <c r="B101" i="10"/>
  <c r="B135" i="10"/>
  <c r="B25" i="10"/>
  <c r="B100" i="10"/>
  <c r="B124" i="10"/>
  <c r="B28" i="10"/>
  <c r="B26" i="10"/>
  <c r="B51" i="10"/>
  <c r="B247" i="10"/>
  <c r="B479" i="10"/>
  <c r="B213" i="10"/>
  <c r="B214" i="10"/>
  <c r="B368" i="10"/>
  <c r="B256" i="10"/>
  <c r="B353" i="10"/>
  <c r="B466" i="10"/>
  <c r="B120" i="10"/>
  <c r="B253" i="10"/>
  <c r="B102" i="10"/>
  <c r="B211" i="10"/>
  <c r="B499" i="10"/>
  <c r="B496" i="10"/>
  <c r="B161" i="10"/>
  <c r="B323" i="10"/>
  <c r="B141" i="10"/>
  <c r="B470" i="10"/>
  <c r="B229" i="10"/>
  <c r="B349" i="10"/>
  <c r="B329" i="10"/>
  <c r="B346" i="10"/>
  <c r="B55" i="10"/>
  <c r="B453" i="10"/>
  <c r="B180" i="10"/>
  <c r="B271" i="10"/>
  <c r="B421" i="10"/>
  <c r="B287" i="10"/>
  <c r="B72" i="10"/>
  <c r="B106" i="10"/>
  <c r="B112" i="10"/>
  <c r="B215" i="10"/>
  <c r="B320" i="10"/>
  <c r="B260" i="10"/>
  <c r="B40" i="10"/>
  <c r="B29" i="10"/>
  <c r="B23" i="10"/>
  <c r="B391" i="10"/>
  <c r="B163" i="10"/>
  <c r="B96" i="10"/>
  <c r="B24" i="10"/>
  <c r="B4" i="10"/>
  <c r="B46" i="10"/>
  <c r="B27" i="10"/>
  <c r="B203" i="10"/>
  <c r="B491" i="10"/>
  <c r="B8" i="10"/>
  <c r="B107" i="10"/>
  <c r="B365" i="10"/>
  <c r="B382" i="10"/>
  <c r="B176" i="10"/>
  <c r="B142" i="10"/>
  <c r="B407" i="10"/>
  <c r="B21" i="10"/>
  <c r="B2" i="10"/>
  <c r="B482" i="10"/>
  <c r="B303" i="10"/>
  <c r="B437" i="10"/>
  <c r="B153" i="10"/>
  <c r="B70" i="10"/>
  <c r="A494" i="10"/>
  <c r="A419" i="10"/>
  <c r="A200" i="10"/>
  <c r="A136" i="10"/>
  <c r="A375" i="10"/>
  <c r="A485" i="10"/>
  <c r="A62" i="10"/>
  <c r="A251" i="10"/>
  <c r="A471" i="10"/>
  <c r="A54" i="10"/>
  <c r="A404" i="10"/>
  <c r="A130" i="10"/>
  <c r="A413" i="10"/>
  <c r="A286" i="10"/>
  <c r="A376" i="10"/>
  <c r="A239" i="10"/>
  <c r="A50" i="10"/>
  <c r="A500" i="10"/>
  <c r="A297" i="10"/>
  <c r="A315" i="10"/>
  <c r="A456" i="10"/>
  <c r="A218" i="10"/>
  <c r="A237" i="10"/>
  <c r="A415" i="10"/>
  <c r="A359" i="10"/>
  <c r="A360" i="10"/>
  <c r="A371" i="10"/>
  <c r="A383" i="10"/>
  <c r="A74" i="10"/>
  <c r="A222" i="10"/>
  <c r="A292" i="10"/>
  <c r="A342" i="10"/>
  <c r="A69" i="10"/>
  <c r="A212" i="10"/>
  <c r="A172" i="10"/>
  <c r="A264" i="10"/>
  <c r="A116" i="10"/>
  <c r="A193" i="10"/>
  <c r="A255" i="10"/>
  <c r="A278" i="10"/>
  <c r="A91" i="10"/>
  <c r="A282" i="10"/>
  <c r="A209" i="10"/>
  <c r="A340" i="10"/>
  <c r="A497" i="10"/>
  <c r="A411" i="10"/>
  <c r="A128" i="10"/>
  <c r="A122" i="10"/>
  <c r="A164" i="10"/>
  <c r="A469" i="10"/>
  <c r="A145" i="10"/>
  <c r="A208" i="10"/>
  <c r="A175" i="10"/>
  <c r="A177" i="10"/>
  <c r="A488" i="10"/>
  <c r="A265" i="10"/>
  <c r="A442" i="10"/>
  <c r="A422" i="10"/>
  <c r="A310" i="10"/>
  <c r="A446" i="10"/>
  <c r="A356" i="10"/>
  <c r="A402" i="10"/>
  <c r="A293" i="10"/>
  <c r="A10" i="10"/>
  <c r="A355" i="10"/>
  <c r="A332" i="10"/>
  <c r="A295" i="10"/>
  <c r="A44" i="10"/>
  <c r="A240" i="10"/>
  <c r="A244" i="10"/>
  <c r="A473" i="10"/>
  <c r="A445" i="10"/>
  <c r="A358" i="10"/>
  <c r="A53" i="10"/>
  <c r="A443" i="10"/>
  <c r="A381" i="10"/>
  <c r="A468" i="10"/>
  <c r="A33" i="10"/>
  <c r="A397" i="10"/>
  <c r="A291" i="10"/>
  <c r="A274" i="10"/>
  <c r="A298" i="10"/>
  <c r="A285" i="10"/>
  <c r="A417" i="10"/>
  <c r="A296" i="10"/>
  <c r="A486" i="10"/>
  <c r="A104" i="10"/>
  <c r="A269" i="10"/>
  <c r="A343" i="10"/>
  <c r="A41" i="10"/>
  <c r="A131" i="10"/>
  <c r="A79" i="10"/>
  <c r="A429" i="10"/>
  <c r="A405" i="10"/>
  <c r="A250" i="10"/>
  <c r="A223" i="10"/>
  <c r="A233" i="10"/>
  <c r="A441" i="10"/>
  <c r="A272" i="10"/>
  <c r="A182" i="10"/>
  <c r="A198" i="10"/>
  <c r="A143" i="10"/>
  <c r="A231" i="10"/>
  <c r="A165" i="10"/>
  <c r="A22" i="10"/>
  <c r="A76" i="10"/>
  <c r="A42" i="10"/>
  <c r="A5" i="10"/>
  <c r="A199" i="10"/>
  <c r="A495" i="10"/>
  <c r="A204" i="10"/>
  <c r="A377" i="10"/>
  <c r="A166" i="10"/>
  <c r="A171" i="10"/>
  <c r="A133" i="10"/>
  <c r="A389" i="10"/>
  <c r="A134" i="10"/>
  <c r="A150" i="10"/>
  <c r="A191" i="10"/>
  <c r="A439" i="10"/>
  <c r="A81" i="10"/>
  <c r="A434" i="10"/>
  <c r="A216" i="10"/>
  <c r="A431" i="10"/>
  <c r="A80" i="10"/>
  <c r="A224" i="10"/>
  <c r="A336" i="10"/>
  <c r="A210" i="10"/>
  <c r="A34" i="10"/>
  <c r="A394" i="10"/>
  <c r="A458" i="10"/>
  <c r="A138" i="10"/>
  <c r="A341" i="10"/>
  <c r="A299" i="10"/>
  <c r="A43" i="10"/>
  <c r="A93" i="10"/>
  <c r="A455" i="10"/>
  <c r="A248" i="10"/>
  <c r="A327" i="10"/>
  <c r="A399" i="10"/>
  <c r="A493" i="10"/>
  <c r="A144" i="10"/>
  <c r="A174" i="10"/>
  <c r="A498" i="10"/>
  <c r="A105" i="10"/>
  <c r="A56" i="10"/>
  <c r="A374" i="10"/>
  <c r="A127" i="10"/>
  <c r="A305" i="10"/>
  <c r="A95" i="10"/>
  <c r="A367" i="10"/>
  <c r="A227" i="10"/>
  <c r="A113" i="10"/>
  <c r="A312" i="10"/>
  <c r="A221" i="10"/>
  <c r="A474" i="10"/>
  <c r="A19" i="10"/>
  <c r="A139" i="10"/>
  <c r="A119" i="10"/>
  <c r="A313" i="10"/>
  <c r="A38" i="10"/>
  <c r="A273" i="10"/>
  <c r="A129" i="10"/>
  <c r="A307" i="10"/>
  <c r="A187" i="10"/>
  <c r="A460" i="10"/>
  <c r="A125" i="10"/>
  <c r="A328" i="10"/>
  <c r="A300" i="10"/>
  <c r="A324" i="10"/>
  <c r="A16" i="10"/>
  <c r="A192" i="10"/>
  <c r="A184" i="10"/>
  <c r="A309" i="10"/>
  <c r="A281" i="10"/>
  <c r="A412" i="10"/>
  <c r="A71" i="10"/>
  <c r="A157" i="10"/>
  <c r="A266" i="10"/>
  <c r="A401" i="10"/>
  <c r="A267" i="10"/>
  <c r="A283" i="10"/>
  <c r="A201" i="10"/>
  <c r="A77" i="10"/>
  <c r="A345" i="10"/>
  <c r="A403" i="10"/>
  <c r="A448" i="10"/>
  <c r="A158" i="10"/>
  <c r="A344" i="10"/>
  <c r="A205" i="10"/>
  <c r="A472" i="10"/>
  <c r="A347" i="10"/>
  <c r="A238" i="10"/>
  <c r="A249" i="10"/>
  <c r="A361" i="10"/>
  <c r="A321" i="10"/>
  <c r="A481" i="10"/>
  <c r="A438" i="10"/>
  <c r="A331" i="10"/>
  <c r="A103" i="10"/>
  <c r="A385" i="10"/>
  <c r="A60" i="10"/>
  <c r="A477" i="10"/>
  <c r="A121" i="10"/>
  <c r="A334" i="10"/>
  <c r="A52" i="10"/>
  <c r="A478" i="10"/>
  <c r="A90" i="10"/>
  <c r="A284" i="10"/>
  <c r="A57" i="10"/>
  <c r="A414" i="10"/>
  <c r="A462" i="10"/>
  <c r="A426" i="10"/>
  <c r="A362" i="10"/>
  <c r="A32" i="10"/>
  <c r="A49" i="10"/>
  <c r="A13" i="10"/>
  <c r="A277" i="10"/>
  <c r="A6" i="10"/>
  <c r="A36" i="10"/>
  <c r="A92" i="10"/>
  <c r="A3" i="10"/>
  <c r="A280" i="10"/>
  <c r="A140" i="10"/>
  <c r="A390" i="10"/>
  <c r="A262" i="10"/>
  <c r="A115" i="10"/>
  <c r="A435" i="10"/>
  <c r="A118" i="10"/>
  <c r="A294" i="10"/>
  <c r="A108" i="10"/>
  <c r="A467" i="10"/>
  <c r="A337" i="10"/>
  <c r="A406" i="10"/>
  <c r="A463" i="10"/>
  <c r="A31" i="10"/>
  <c r="A480" i="10"/>
  <c r="A444" i="10"/>
  <c r="A314" i="10"/>
  <c r="A492" i="10"/>
  <c r="A64" i="10"/>
  <c r="A330" i="10"/>
  <c r="A378" i="10"/>
  <c r="A206" i="10"/>
  <c r="A114" i="10"/>
  <c r="A366" i="10"/>
  <c r="A352" i="10"/>
  <c r="A65" i="10"/>
  <c r="A302" i="10"/>
  <c r="A432" i="10"/>
  <c r="A288" i="10"/>
  <c r="A156" i="10"/>
  <c r="A39" i="10"/>
  <c r="A388" i="10"/>
  <c r="A433" i="10"/>
  <c r="A372" i="10"/>
  <c r="A225" i="10"/>
  <c r="A268" i="10"/>
  <c r="A59" i="10"/>
  <c r="A373" i="10"/>
  <c r="A228" i="10"/>
  <c r="A370" i="10"/>
  <c r="A258" i="10"/>
  <c r="A464" i="10"/>
  <c r="A99" i="10"/>
  <c r="A226" i="10"/>
  <c r="A454" i="10"/>
  <c r="A245" i="10"/>
  <c r="A316" i="10"/>
  <c r="A246" i="10"/>
  <c r="A348" i="10"/>
  <c r="A254" i="10"/>
  <c r="A190" i="10"/>
  <c r="A393" i="10"/>
  <c r="A137" i="10"/>
  <c r="A392" i="10"/>
  <c r="A325" i="10"/>
  <c r="A461" i="10"/>
  <c r="A189" i="10"/>
  <c r="A117" i="10"/>
  <c r="A75" i="10"/>
  <c r="A14" i="10"/>
  <c r="A322" i="10"/>
  <c r="A475" i="10"/>
  <c r="A234" i="10"/>
  <c r="A78" i="10"/>
  <c r="A58" i="10"/>
  <c r="A97" i="10"/>
  <c r="A364" i="10"/>
  <c r="A45" i="10"/>
  <c r="A289" i="10"/>
  <c r="A408" i="10"/>
  <c r="A12" i="10"/>
  <c r="A306" i="10"/>
  <c r="A311" i="10"/>
  <c r="A109" i="10"/>
  <c r="A196" i="10"/>
  <c r="A188" i="10"/>
  <c r="A220" i="10"/>
  <c r="A440" i="10"/>
  <c r="A430" i="10"/>
  <c r="A409" i="10"/>
  <c r="A386" i="10"/>
  <c r="A148" i="10"/>
  <c r="A447" i="10"/>
  <c r="A63" i="10"/>
  <c r="A335" i="10"/>
  <c r="A449" i="10"/>
  <c r="A83" i="10"/>
  <c r="A241" i="10"/>
  <c r="A232" i="10"/>
  <c r="A351" i="10"/>
  <c r="A67" i="10"/>
  <c r="A186" i="10"/>
  <c r="A398" i="10"/>
  <c r="A380" i="10"/>
  <c r="A425" i="10"/>
  <c r="A162" i="10"/>
  <c r="A146" i="10"/>
  <c r="A379" i="10"/>
  <c r="A195" i="10"/>
  <c r="A73" i="10"/>
  <c r="A197" i="10"/>
  <c r="A369" i="10"/>
  <c r="A290" i="10"/>
  <c r="A326" i="10"/>
  <c r="A436" i="10"/>
  <c r="A270" i="10"/>
  <c r="A235" i="10"/>
  <c r="A275" i="10"/>
  <c r="A151" i="10"/>
  <c r="A236" i="10"/>
  <c r="A384" i="10"/>
  <c r="A160" i="10"/>
  <c r="A88" i="10"/>
  <c r="A423" i="10"/>
  <c r="A84" i="10"/>
  <c r="A168" i="10"/>
  <c r="A82" i="10"/>
  <c r="A387" i="10"/>
  <c r="A230" i="10"/>
  <c r="A110" i="10"/>
  <c r="A9" i="10"/>
  <c r="A89" i="10"/>
  <c r="A418" i="10"/>
  <c r="A179" i="10"/>
  <c r="A489" i="10"/>
  <c r="A132" i="10"/>
  <c r="A261" i="10"/>
  <c r="A257" i="10"/>
  <c r="A86" i="10"/>
  <c r="A94" i="10"/>
  <c r="A338" i="10"/>
  <c r="A427" i="10"/>
  <c r="A428" i="10"/>
  <c r="A451" i="10"/>
  <c r="A339" i="10"/>
  <c r="A242" i="10"/>
  <c r="A319" i="10"/>
  <c r="A483" i="10"/>
  <c r="A98" i="10"/>
  <c r="A354" i="10"/>
  <c r="A363" i="10"/>
  <c r="A173" i="10"/>
  <c r="A490" i="10"/>
  <c r="A459" i="10"/>
  <c r="A111" i="10"/>
  <c r="A207" i="10"/>
  <c r="A66" i="10"/>
  <c r="A465" i="10"/>
  <c r="A395" i="10"/>
  <c r="A452" i="10"/>
  <c r="A149" i="10"/>
  <c r="A333" i="10"/>
  <c r="A68" i="10"/>
  <c r="A424" i="10"/>
  <c r="A170" i="10"/>
  <c r="A185" i="10"/>
  <c r="A350" i="10"/>
  <c r="A11" i="10"/>
  <c r="A178" i="10"/>
  <c r="A252" i="10"/>
  <c r="A450" i="10"/>
  <c r="A48" i="10"/>
  <c r="A420" i="10"/>
  <c r="A152" i="10"/>
  <c r="A357" i="10"/>
  <c r="A217" i="10"/>
  <c r="A35" i="10"/>
  <c r="A17" i="10"/>
  <c r="A61" i="10"/>
  <c r="A155" i="10"/>
  <c r="A47" i="10"/>
  <c r="A85" i="10"/>
  <c r="A30" i="10"/>
  <c r="A487" i="10"/>
  <c r="A20" i="10"/>
  <c r="A159" i="10"/>
  <c r="A476" i="10"/>
  <c r="A181" i="10"/>
  <c r="A318" i="10"/>
  <c r="A317" i="10"/>
  <c r="A410" i="10"/>
  <c r="A123" i="10"/>
  <c r="A183" i="10"/>
  <c r="A279" i="10"/>
  <c r="A167" i="10"/>
  <c r="A154" i="10"/>
  <c r="A243" i="10"/>
  <c r="A147" i="10"/>
  <c r="A126" i="10"/>
  <c r="A219" i="10"/>
  <c r="A396" i="10"/>
  <c r="A15" i="10"/>
  <c r="A202" i="10"/>
  <c r="A7" i="10"/>
  <c r="A259" i="10"/>
  <c r="A301" i="10"/>
  <c r="A457" i="10"/>
  <c r="A308" i="10"/>
  <c r="A87" i="10"/>
  <c r="A18" i="10"/>
  <c r="A194" i="10"/>
  <c r="A416" i="10"/>
  <c r="A484" i="10"/>
  <c r="A276" i="10"/>
  <c r="A263" i="10"/>
  <c r="A304" i="10"/>
  <c r="A37" i="10"/>
  <c r="A101" i="10"/>
  <c r="A135" i="10"/>
  <c r="A25" i="10"/>
  <c r="A100" i="10"/>
  <c r="A124" i="10"/>
  <c r="A28" i="10"/>
  <c r="A26" i="10"/>
  <c r="A51" i="10"/>
  <c r="A247" i="10"/>
  <c r="A479" i="10"/>
  <c r="A213" i="10"/>
  <c r="A214" i="10"/>
  <c r="A368" i="10"/>
  <c r="A256" i="10"/>
  <c r="A353" i="10"/>
  <c r="A466" i="10"/>
  <c r="A120" i="10"/>
  <c r="A253" i="10"/>
  <c r="A102" i="10"/>
  <c r="A211" i="10"/>
  <c r="A499" i="10"/>
  <c r="A496" i="10"/>
  <c r="A161" i="10"/>
  <c r="A323" i="10"/>
  <c r="A141" i="10"/>
  <c r="A470" i="10"/>
  <c r="A229" i="10"/>
  <c r="A349" i="10"/>
  <c r="A329" i="10"/>
  <c r="A346" i="10"/>
  <c r="A55" i="10"/>
  <c r="A453" i="10"/>
  <c r="A180" i="10"/>
  <c r="A271" i="10"/>
  <c r="A421" i="10"/>
  <c r="A287" i="10"/>
  <c r="A72" i="10"/>
  <c r="A106" i="10"/>
  <c r="A112" i="10"/>
  <c r="A215" i="10"/>
  <c r="A320" i="10"/>
  <c r="A260" i="10"/>
  <c r="A40" i="10"/>
  <c r="A29" i="10"/>
  <c r="A23" i="10"/>
  <c r="A391" i="10"/>
  <c r="A163" i="10"/>
  <c r="A96" i="10"/>
  <c r="A24" i="10"/>
  <c r="A4" i="10"/>
  <c r="A46" i="10"/>
  <c r="A27" i="10"/>
  <c r="A203" i="10"/>
  <c r="A491" i="10"/>
  <c r="A8" i="10"/>
  <c r="A107" i="10"/>
  <c r="A365" i="10"/>
  <c r="A382" i="10"/>
  <c r="A176" i="10"/>
  <c r="A142" i="10"/>
  <c r="A407" i="10"/>
  <c r="A21" i="10"/>
  <c r="A2" i="10"/>
  <c r="A482" i="10"/>
  <c r="A303" i="10"/>
  <c r="A437" i="10"/>
  <c r="A153" i="10"/>
  <c r="A70" i="10"/>
  <c r="D2" i="4"/>
  <c r="F2" i="4"/>
  <c r="H2" i="4" s="1"/>
  <c r="G2" i="4"/>
  <c r="K2" i="4"/>
  <c r="M2" i="4"/>
  <c r="C13" i="4"/>
  <c r="C11" i="4"/>
  <c r="C9" i="4"/>
  <c r="C7" i="4"/>
  <c r="H21" i="23" s="1"/>
  <c r="C5" i="4"/>
  <c r="C3" i="4"/>
  <c r="B2" i="4"/>
  <c r="K3" i="4"/>
  <c r="B4" i="4"/>
  <c r="D4" i="4"/>
  <c r="F4" i="4"/>
  <c r="H4" i="4" s="1"/>
  <c r="G4" i="4"/>
  <c r="K4" i="4"/>
  <c r="M4" i="4"/>
  <c r="K5" i="4"/>
  <c r="B6" i="4"/>
  <c r="D6" i="4"/>
  <c r="F6" i="4"/>
  <c r="H6" i="4" s="1"/>
  <c r="G6" i="4"/>
  <c r="K6" i="4"/>
  <c r="M6" i="4"/>
  <c r="K7" i="4"/>
  <c r="B8" i="4"/>
  <c r="D8" i="4"/>
  <c r="F8" i="4"/>
  <c r="H8" i="4" s="1"/>
  <c r="G8" i="4"/>
  <c r="K8" i="4"/>
  <c r="M8" i="4"/>
  <c r="K9" i="4"/>
  <c r="B10" i="4"/>
  <c r="D10" i="4"/>
  <c r="F10" i="4"/>
  <c r="H10" i="4" s="1"/>
  <c r="G10" i="4"/>
  <c r="K10" i="4"/>
  <c r="M10" i="4"/>
  <c r="K11" i="4"/>
  <c r="B12" i="4"/>
  <c r="D12" i="4"/>
  <c r="F12" i="4"/>
  <c r="H12" i="4" s="1"/>
  <c r="G12" i="4"/>
  <c r="K12" i="4"/>
  <c r="M12" i="4"/>
  <c r="K13" i="4"/>
  <c r="H6" i="23" l="1"/>
  <c r="H18" i="23"/>
  <c r="H12" i="23"/>
  <c r="H5" i="23"/>
  <c r="H38" i="23"/>
  <c r="H23" i="23"/>
  <c r="H15" i="23"/>
  <c r="H36" i="23"/>
  <c r="H2" i="23"/>
  <c r="H27" i="23"/>
  <c r="H8" i="23"/>
  <c r="H4" i="23"/>
  <c r="H25" i="23"/>
  <c r="H20" i="23"/>
  <c r="H3" i="23"/>
  <c r="H28" i="23"/>
  <c r="H37" i="23"/>
  <c r="H26" i="23"/>
  <c r="H11" i="23"/>
  <c r="I12" i="4"/>
  <c r="I8" i="4"/>
  <c r="I6" i="4"/>
  <c r="I4" i="4"/>
  <c r="M13" i="4"/>
  <c r="I10" i="4"/>
  <c r="I2" i="4"/>
  <c r="M5" i="4"/>
  <c r="G11" i="4"/>
  <c r="H22" i="23"/>
  <c r="H40" i="23"/>
  <c r="H29" i="23"/>
  <c r="D3" i="4"/>
  <c r="H10" i="23"/>
  <c r="H9" i="23"/>
  <c r="H33" i="23"/>
  <c r="B5" i="4"/>
  <c r="H31" i="23"/>
  <c r="H14" i="23"/>
  <c r="F7" i="4"/>
  <c r="H17" i="23"/>
  <c r="H24" i="23"/>
  <c r="H32" i="23"/>
  <c r="H19" i="23"/>
  <c r="D9" i="4"/>
  <c r="H13" i="23"/>
  <c r="H16" i="23"/>
  <c r="B11" i="4"/>
  <c r="B13" i="4"/>
  <c r="D7" i="4"/>
  <c r="M7" i="4"/>
  <c r="G7" i="4"/>
  <c r="B7" i="4"/>
  <c r="G13" i="4"/>
  <c r="F13" i="4"/>
  <c r="D13" i="4"/>
  <c r="F9" i="4"/>
  <c r="M11" i="4"/>
  <c r="G9" i="4"/>
  <c r="F11" i="4"/>
  <c r="B9" i="4"/>
  <c r="D11" i="4"/>
  <c r="M9" i="4"/>
  <c r="M3" i="4"/>
  <c r="G5" i="4"/>
  <c r="F5" i="4"/>
  <c r="D5" i="4"/>
  <c r="F3" i="4"/>
  <c r="B3" i="4"/>
  <c r="G3" i="4"/>
  <c r="L2" i="12"/>
  <c r="L4" i="12"/>
  <c r="L6" i="12"/>
  <c r="L8" i="12"/>
  <c r="L10" i="12"/>
  <c r="L12" i="12"/>
  <c r="L14" i="12"/>
  <c r="L16" i="12"/>
  <c r="L18" i="12"/>
  <c r="L20" i="12"/>
  <c r="L22" i="12"/>
  <c r="L24" i="12"/>
  <c r="L26" i="12"/>
  <c r="L28" i="12"/>
  <c r="L30" i="12"/>
  <c r="H7" i="4" l="1"/>
  <c r="H3" i="4"/>
  <c r="H13" i="4"/>
  <c r="H9" i="4"/>
  <c r="H11" i="4"/>
  <c r="H5" i="4"/>
  <c r="D195" i="2"/>
  <c r="D610" i="2"/>
  <c r="D190" i="2"/>
  <c r="D375" i="2"/>
  <c r="D606" i="2"/>
  <c r="D280" i="2"/>
  <c r="D354" i="2"/>
  <c r="D34" i="2"/>
  <c r="D751" i="2"/>
  <c r="D290" i="2"/>
  <c r="D211" i="2"/>
  <c r="D487" i="2"/>
  <c r="D589" i="2"/>
  <c r="D282" i="2"/>
  <c r="D605" i="2"/>
  <c r="D422" i="2"/>
  <c r="D692" i="2"/>
  <c r="D141" i="2"/>
  <c r="D712" i="2"/>
  <c r="D555" i="2"/>
  <c r="D724" i="2"/>
  <c r="D707" i="2"/>
  <c r="D621" i="2"/>
  <c r="D240" i="2"/>
  <c r="D351" i="2"/>
  <c r="D268" i="2"/>
  <c r="D569" i="2"/>
  <c r="D491" i="2"/>
  <c r="D99" i="2"/>
  <c r="D287" i="2"/>
  <c r="D457" i="2"/>
  <c r="D104" i="2"/>
  <c r="D377" i="2"/>
  <c r="D661" i="2"/>
  <c r="D197" i="2"/>
  <c r="D258" i="2"/>
  <c r="D715" i="2"/>
  <c r="D628" i="2"/>
  <c r="D177" i="2"/>
  <c r="D403" i="2"/>
  <c r="D9" i="2"/>
  <c r="D685" i="2"/>
  <c r="D488" i="2"/>
  <c r="D394" i="2"/>
  <c r="D553" i="2"/>
  <c r="D164" i="2"/>
  <c r="D696" i="2"/>
  <c r="D482" i="2"/>
  <c r="D495" i="2"/>
  <c r="D599" i="2"/>
  <c r="D344" i="2"/>
  <c r="D417" i="2"/>
  <c r="D97" i="2"/>
  <c r="D368" i="2"/>
  <c r="D309" i="2"/>
  <c r="D149" i="2"/>
  <c r="D663" i="2"/>
  <c r="D367" i="2"/>
  <c r="D36" i="2"/>
  <c r="D331" i="2"/>
  <c r="D532" i="2"/>
  <c r="D587" i="2"/>
  <c r="D179" i="2"/>
  <c r="D12" i="2"/>
  <c r="D489" i="2"/>
  <c r="D601" i="2"/>
  <c r="D6" i="2"/>
  <c r="D388" i="2"/>
  <c r="D507" i="2"/>
  <c r="D16" i="2"/>
  <c r="D236" i="2"/>
  <c r="D523" i="2"/>
  <c r="D471" i="2"/>
  <c r="D520" i="2"/>
  <c r="D91" i="2"/>
  <c r="D31" i="2"/>
  <c r="D228" i="2"/>
  <c r="D430" i="2"/>
  <c r="D668" i="2"/>
  <c r="D72" i="2"/>
  <c r="D687" i="2"/>
  <c r="D241" i="2"/>
  <c r="D497" i="2"/>
  <c r="D731" i="2"/>
  <c r="D726" i="2"/>
  <c r="D358" i="2"/>
  <c r="D238" i="2"/>
  <c r="D448" i="2"/>
  <c r="D5" i="2"/>
  <c r="D758" i="2"/>
  <c r="D151" i="2"/>
  <c r="D753" i="2"/>
  <c r="D592" i="2"/>
  <c r="D464" i="2"/>
  <c r="D300" i="2"/>
  <c r="D454" i="2"/>
  <c r="D741" i="2"/>
  <c r="D357" i="2"/>
  <c r="D269" i="2"/>
  <c r="D389" i="2"/>
  <c r="D175" i="2"/>
  <c r="D304" i="2"/>
  <c r="D73" i="2"/>
  <c r="D619" i="2"/>
  <c r="D505" i="2"/>
  <c r="D404" i="2"/>
  <c r="D710" i="2"/>
  <c r="D161" i="2"/>
  <c r="D194" i="2"/>
  <c r="D29" i="2"/>
  <c r="D562" i="2"/>
  <c r="D254" i="2"/>
  <c r="D651" i="2"/>
  <c r="D572" i="2"/>
  <c r="D217" i="2"/>
  <c r="D602" i="2"/>
  <c r="D103" i="2"/>
  <c r="D701" i="2"/>
  <c r="D537" i="2"/>
  <c r="D289" i="2"/>
  <c r="D298" i="2"/>
  <c r="D156" i="2"/>
  <c r="D271" i="2"/>
  <c r="D747" i="2"/>
  <c r="D330" i="2"/>
  <c r="D232" i="2"/>
  <c r="D678" i="2"/>
  <c r="D745" i="2"/>
  <c r="D139" i="2"/>
  <c r="D720" i="2"/>
  <c r="D647" i="2"/>
  <c r="D8" i="2"/>
  <c r="D705" i="2"/>
  <c r="D657" i="2"/>
  <c r="D739" i="2"/>
  <c r="D191" i="2"/>
  <c r="D262" i="2"/>
  <c r="D642" i="2"/>
  <c r="D145" i="2"/>
  <c r="D38" i="2"/>
  <c r="D379" i="2"/>
  <c r="D399" i="2"/>
  <c r="D51" i="2"/>
  <c r="D274" i="2"/>
  <c r="D545" i="2"/>
  <c r="D201" i="2"/>
  <c r="D273" i="2"/>
  <c r="D242" i="2"/>
  <c r="D413" i="2"/>
  <c r="D432" i="2"/>
  <c r="D64" i="2"/>
  <c r="D759" i="2"/>
  <c r="D234" i="2"/>
  <c r="D754" i="2"/>
  <c r="D484" i="2"/>
  <c r="D679" i="2"/>
  <c r="D490" i="2"/>
  <c r="D760" i="2"/>
  <c r="D749" i="2"/>
  <c r="D528" i="2"/>
  <c r="D362" i="2"/>
  <c r="D350" i="2"/>
  <c r="D659" i="2"/>
  <c r="D220" i="2"/>
  <c r="D150" i="2"/>
  <c r="D106" i="2"/>
  <c r="D40" i="2"/>
  <c r="D580" i="2"/>
  <c r="D221" i="2"/>
  <c r="D467" i="2"/>
  <c r="D501" i="2"/>
  <c r="D544" i="2"/>
  <c r="D402" i="2"/>
  <c r="D567" i="2"/>
  <c r="D435" i="2"/>
  <c r="D207" i="2"/>
  <c r="D748" i="2"/>
  <c r="D118" i="2"/>
  <c r="D475" i="2"/>
  <c r="D636" i="2"/>
  <c r="D387" i="2"/>
  <c r="D697" i="2"/>
  <c r="D742" i="2"/>
  <c r="D52" i="2"/>
  <c r="D257" i="2"/>
  <c r="D322" i="2"/>
  <c r="D130" i="2"/>
  <c r="D723" i="2"/>
  <c r="D518" i="2"/>
  <c r="D39" i="2"/>
  <c r="D332" i="2"/>
  <c r="D546" i="2"/>
  <c r="D600" i="2"/>
  <c r="D182" i="2"/>
  <c r="D573" i="2"/>
  <c r="D538" i="2"/>
  <c r="D665" i="2"/>
  <c r="D49" i="2"/>
  <c r="D230" i="2"/>
  <c r="D135" i="2"/>
  <c r="D171" i="2"/>
  <c r="D570" i="2"/>
  <c r="D392" i="2"/>
  <c r="D461" i="2"/>
  <c r="D157" i="2"/>
  <c r="D548" i="2"/>
  <c r="D152" i="2"/>
  <c r="D62" i="2"/>
  <c r="D320" i="2"/>
  <c r="D410" i="2"/>
  <c r="D391" i="2"/>
  <c r="D565" i="2"/>
  <c r="D526" i="2"/>
  <c r="D124" i="2"/>
  <c r="D655" i="2"/>
  <c r="D277" i="2"/>
  <c r="D504" i="2"/>
  <c r="D598" i="2"/>
  <c r="D166" i="2"/>
  <c r="D132" i="2"/>
  <c r="D293" i="2"/>
  <c r="D722" i="2"/>
  <c r="D250" i="2"/>
  <c r="D576" i="2"/>
  <c r="D604" i="2"/>
  <c r="D641" i="2"/>
  <c r="D15" i="2"/>
  <c r="D249" i="2"/>
  <c r="D117" i="2"/>
  <c r="D736" i="2"/>
  <c r="D438" i="2"/>
  <c r="D673" i="2"/>
  <c r="D246" i="2"/>
  <c r="D656" i="2"/>
  <c r="D622" i="2"/>
  <c r="D631" i="2"/>
  <c r="D689" i="2"/>
  <c r="D335" i="2"/>
  <c r="D174" i="2"/>
  <c r="D443" i="2"/>
  <c r="D681" i="2"/>
  <c r="D122" i="2"/>
  <c r="D370" i="2"/>
  <c r="D133" i="2"/>
  <c r="D63" i="2"/>
  <c r="D33" i="2"/>
  <c r="D119" i="2"/>
  <c r="D521" i="2"/>
  <c r="D235" i="2"/>
  <c r="D146" i="2"/>
  <c r="D463" i="2"/>
  <c r="D53" i="2"/>
  <c r="D617" i="2"/>
  <c r="D699" i="2"/>
  <c r="D511" i="2"/>
  <c r="D360" i="2"/>
  <c r="D381" i="2"/>
  <c r="D333" i="2"/>
  <c r="D172" i="2"/>
  <c r="D667" i="2"/>
  <c r="D633" i="2"/>
  <c r="D493" i="2"/>
  <c r="D671" i="2"/>
  <c r="D265" i="2"/>
  <c r="D452" i="2"/>
  <c r="D728" i="2"/>
  <c r="D396" i="2"/>
  <c r="D163" i="2"/>
  <c r="D7" i="2"/>
  <c r="D397" i="2"/>
  <c r="D597" i="2"/>
  <c r="D483" i="2"/>
  <c r="D363" i="2"/>
  <c r="D627" i="2"/>
  <c r="D366" i="2"/>
  <c r="D476" i="2"/>
  <c r="D35" i="2"/>
  <c r="D512" i="2"/>
  <c r="D328" i="2"/>
  <c r="D215" i="2"/>
  <c r="D224" i="2"/>
  <c r="D466" i="2"/>
  <c r="D395" i="2"/>
  <c r="D205" i="2"/>
  <c r="D244" i="2"/>
  <c r="D406" i="2"/>
  <c r="D733" i="2"/>
  <c r="D625" i="2"/>
  <c r="D229" i="2"/>
  <c r="D90" i="2"/>
  <c r="D536" i="2"/>
  <c r="D98" i="2"/>
  <c r="D639" i="2"/>
  <c r="D349" i="2"/>
  <c r="D123" i="2"/>
  <c r="D451" i="2"/>
  <c r="D390" i="2"/>
  <c r="D324" i="2"/>
  <c r="D162" i="2"/>
  <c r="D255" i="2"/>
  <c r="D711" i="2"/>
  <c r="D506" i="2"/>
  <c r="D462" i="2"/>
  <c r="D676" i="2"/>
  <c r="D509" i="2"/>
  <c r="D307" i="2"/>
  <c r="D540" i="2"/>
  <c r="D729" i="2"/>
  <c r="D176" i="2"/>
  <c r="D385" i="2"/>
  <c r="D173" i="2"/>
  <c r="D612" i="2"/>
  <c r="D517" i="2"/>
  <c r="D231" i="2"/>
  <c r="D634" i="2"/>
  <c r="D644" i="2"/>
  <c r="D738" i="2"/>
  <c r="D267" i="2"/>
  <c r="D327" i="2"/>
  <c r="D393" i="2"/>
  <c r="D352" i="2"/>
  <c r="D10" i="2"/>
  <c r="D559" i="2"/>
  <c r="D65" i="2"/>
  <c r="D566" i="2"/>
  <c r="D755" i="2"/>
  <c r="D78" i="2"/>
  <c r="D411" i="2"/>
  <c r="D198" i="2"/>
  <c r="D514" i="2"/>
  <c r="D365" i="2"/>
  <c r="D88" i="2"/>
  <c r="D530" i="2"/>
  <c r="D82" i="2"/>
  <c r="D750" i="2"/>
  <c r="D646" i="2"/>
  <c r="D347" i="2"/>
  <c r="D202" i="2"/>
  <c r="D414" i="2"/>
  <c r="D199" i="2"/>
  <c r="D654" i="2"/>
  <c r="D260" i="2"/>
  <c r="D155" i="2"/>
  <c r="D429" i="2"/>
  <c r="D59" i="2"/>
  <c r="D437" i="2"/>
  <c r="D54" i="2"/>
  <c r="D725" i="2"/>
  <c r="D586" i="2"/>
  <c r="D440" i="2"/>
  <c r="D372" i="2"/>
  <c r="D359" i="2"/>
  <c r="D317" i="2"/>
  <c r="D93" i="2"/>
  <c r="D529" i="2"/>
  <c r="D20" i="2"/>
  <c r="D450" i="2"/>
  <c r="D22" i="2"/>
  <c r="D233" i="2"/>
  <c r="D294" i="2"/>
  <c r="D27" i="2"/>
  <c r="D386" i="2"/>
  <c r="D616" i="2"/>
  <c r="D669" i="2"/>
  <c r="D76" i="2"/>
  <c r="D13" i="2"/>
  <c r="D444" i="2"/>
  <c r="D345" i="2"/>
  <c r="D168" i="2"/>
  <c r="D709" i="2"/>
  <c r="D281" i="2"/>
  <c r="D624" i="2"/>
  <c r="D253" i="2"/>
  <c r="D577" i="2"/>
  <c r="D283" i="2"/>
  <c r="D492" i="2"/>
  <c r="D58" i="2"/>
  <c r="D650" i="2"/>
  <c r="D449" i="2"/>
  <c r="D24" i="2"/>
  <c r="D496" i="2"/>
  <c r="D96" i="2"/>
  <c r="D136" i="2"/>
  <c r="D84" i="2"/>
  <c r="D453" i="2"/>
  <c r="D458" i="2"/>
  <c r="D618" i="2"/>
  <c r="D513" i="2"/>
  <c r="D270" i="2"/>
  <c r="D326" i="2"/>
  <c r="D757" i="2"/>
  <c r="D276" i="2"/>
  <c r="D714" i="2"/>
  <c r="D60" i="2"/>
  <c r="D100" i="2"/>
  <c r="D121" i="2"/>
  <c r="D306" i="2"/>
  <c r="D70" i="2"/>
  <c r="D355" i="2"/>
  <c r="D549" i="2"/>
  <c r="D682" i="2"/>
  <c r="D296" i="2"/>
  <c r="D278" i="2"/>
  <c r="D558" i="2"/>
  <c r="D478" i="2"/>
  <c r="D43" i="2"/>
  <c r="D376" i="2"/>
  <c r="D75" i="2"/>
  <c r="D415" i="2"/>
  <c r="D419" i="2"/>
  <c r="D325" i="2"/>
  <c r="D424" i="2"/>
  <c r="D218" i="2"/>
  <c r="D206" i="2"/>
  <c r="D81" i="2"/>
  <c r="D535" i="2"/>
  <c r="D473" i="2"/>
  <c r="D348" i="2"/>
  <c r="D200" i="2"/>
  <c r="D539" i="2"/>
  <c r="D706" i="2"/>
  <c r="D364" i="2"/>
  <c r="D704" i="2"/>
  <c r="D227" i="2"/>
  <c r="D137" i="2"/>
  <c r="D94" i="2"/>
  <c r="D702" i="2"/>
  <c r="D222" i="2"/>
  <c r="D693" i="2"/>
  <c r="D19" i="2"/>
  <c r="D611" i="2"/>
  <c r="D77" i="2"/>
  <c r="D593" i="2"/>
  <c r="D279" i="2"/>
  <c r="D727" i="2"/>
  <c r="D405" i="2"/>
  <c r="D299" i="2"/>
  <c r="D251" i="2"/>
  <c r="D637" i="2"/>
  <c r="D66" i="2"/>
  <c r="D502" i="2"/>
  <c r="D582" i="2"/>
  <c r="D551" i="2"/>
  <c r="D55" i="2"/>
  <c r="D468" i="2"/>
  <c r="D113" i="2"/>
  <c r="D374" i="2"/>
  <c r="D441" i="2"/>
  <c r="D285" i="2"/>
  <c r="D30" i="2"/>
  <c r="D686" i="2"/>
  <c r="D638" i="2"/>
  <c r="D460" i="2"/>
  <c r="D129" i="2"/>
  <c r="D338" i="2"/>
  <c r="D516" i="2"/>
  <c r="D465" i="2"/>
  <c r="D408" i="2"/>
  <c r="D69" i="2"/>
  <c r="D691" i="2"/>
  <c r="D561" i="2"/>
  <c r="D695" i="2"/>
  <c r="D613" i="2"/>
  <c r="D420" i="2"/>
  <c r="D313" i="2"/>
  <c r="D632" i="2"/>
  <c r="D373" i="2"/>
  <c r="D321" i="2"/>
  <c r="D2" i="2"/>
  <c r="D297" i="2"/>
  <c r="D32" i="2"/>
  <c r="D672" i="2"/>
  <c r="D708" i="2"/>
  <c r="D718" i="2"/>
  <c r="D143" i="2"/>
  <c r="D524" i="2"/>
  <c r="D519" i="2"/>
  <c r="D186" i="2"/>
  <c r="D734" i="2"/>
  <c r="D533" i="2"/>
  <c r="D683" i="2"/>
  <c r="D382" i="2"/>
  <c r="D645" i="2"/>
  <c r="D439" i="2"/>
  <c r="D407" i="2"/>
  <c r="D588" i="2"/>
  <c r="D623" i="2"/>
  <c r="D56" i="2"/>
  <c r="D608" i="2"/>
  <c r="D21" i="2"/>
  <c r="D147" i="2"/>
  <c r="D380" i="2"/>
  <c r="D585" i="2"/>
  <c r="D312" i="2"/>
  <c r="D239" i="2"/>
  <c r="D44" i="2"/>
  <c r="D591" i="2"/>
  <c r="D125" i="2"/>
  <c r="D4" i="2"/>
  <c r="D652" i="2"/>
  <c r="D470" i="2"/>
  <c r="D445" i="2"/>
  <c r="D515" i="2"/>
  <c r="D148" i="2"/>
  <c r="D144" i="2"/>
  <c r="D210" i="2"/>
  <c r="D153" i="2"/>
  <c r="D178" i="2"/>
  <c r="D170" i="2"/>
  <c r="D531" i="2"/>
  <c r="D80" i="2"/>
  <c r="D542" i="2"/>
  <c r="D120" i="2"/>
  <c r="D308" i="2"/>
  <c r="D620" i="2"/>
  <c r="D494" i="2"/>
  <c r="D418" i="2"/>
  <c r="D614" i="2"/>
  <c r="D744" i="2"/>
  <c r="D213" i="2"/>
  <c r="D112" i="2"/>
  <c r="D165" i="2"/>
  <c r="D101" i="2"/>
  <c r="D594" i="2"/>
  <c r="D263" i="2"/>
  <c r="D716" i="2"/>
  <c r="D477" i="2"/>
  <c r="D756" i="2"/>
  <c r="D342" i="2"/>
  <c r="D303" i="2"/>
  <c r="D110" i="2"/>
  <c r="D752" i="2"/>
  <c r="D557" i="2"/>
  <c r="D105" i="2"/>
  <c r="D472" i="2"/>
  <c r="D243" i="2"/>
  <c r="D664" i="2"/>
  <c r="D343" i="2"/>
  <c r="D286" i="2"/>
  <c r="D140" i="2"/>
  <c r="D42" i="2"/>
  <c r="D680" i="2"/>
  <c r="D425" i="2"/>
  <c r="D527" i="2"/>
  <c r="D719" i="2"/>
  <c r="D581" i="2"/>
  <c r="D643" i="2"/>
  <c r="D428" i="2"/>
  <c r="D71" i="2"/>
  <c r="D209" i="2"/>
  <c r="D416" i="2"/>
  <c r="D479" i="2"/>
  <c r="D688" i="2"/>
  <c r="D568" i="2"/>
  <c r="D128" i="2"/>
  <c r="D583" i="2"/>
  <c r="D700" i="2"/>
  <c r="D735" i="2"/>
  <c r="D85" i="2"/>
  <c r="D369" i="2"/>
  <c r="D433" i="2"/>
  <c r="D261" i="2"/>
  <c r="D57" i="2"/>
  <c r="D160" i="2"/>
  <c r="D291" i="2"/>
  <c r="D188" i="2"/>
  <c r="D219" i="2"/>
  <c r="D480" i="2"/>
  <c r="D730" i="2"/>
  <c r="D311" i="2"/>
  <c r="D50" i="2"/>
  <c r="D214" i="2"/>
  <c r="D596" i="2"/>
  <c r="D401" i="2"/>
  <c r="D316" i="2"/>
  <c r="D301" i="2"/>
  <c r="D295" i="2"/>
  <c r="D47" i="2"/>
  <c r="D732" i="2"/>
  <c r="D318" i="2"/>
  <c r="D421" i="2"/>
  <c r="D319" i="2"/>
  <c r="D334" i="2"/>
  <c r="D575" i="2"/>
  <c r="D525" i="2"/>
  <c r="D446" i="2"/>
  <c r="D442" i="2"/>
  <c r="D83" i="2"/>
  <c r="D737" i="2"/>
  <c r="D609" i="2"/>
  <c r="D109" i="2"/>
  <c r="D142" i="2"/>
  <c r="D629" i="2"/>
  <c r="D498" i="2"/>
  <c r="D690" i="2"/>
  <c r="D541" i="2"/>
  <c r="D203" i="2"/>
  <c r="D223" i="2"/>
  <c r="D607" i="2"/>
  <c r="D107" i="2"/>
  <c r="D481" i="2"/>
  <c r="D264" i="2"/>
  <c r="D226" i="2"/>
  <c r="D560" i="2"/>
  <c r="D138" i="2"/>
  <c r="D469" i="2"/>
  <c r="D14" i="2"/>
  <c r="D74" i="2"/>
  <c r="D68" i="2"/>
  <c r="D662" i="2"/>
  <c r="D204" i="2"/>
  <c r="D361" i="2"/>
  <c r="D340" i="2"/>
  <c r="D41" i="2"/>
  <c r="D447" i="2"/>
  <c r="D11" i="2"/>
  <c r="D743" i="2"/>
  <c r="D649" i="2"/>
  <c r="D212" i="2"/>
  <c r="D640" i="2"/>
  <c r="D746" i="2"/>
  <c r="D336" i="2"/>
  <c r="D426" i="2"/>
  <c r="D675" i="2"/>
  <c r="D660" i="2"/>
  <c r="D703" i="2"/>
  <c r="D431" i="2"/>
  <c r="D183" i="2"/>
  <c r="D92" i="2"/>
  <c r="D67" i="2"/>
  <c r="D383" i="2"/>
  <c r="D574" i="2"/>
  <c r="D18" i="2"/>
  <c r="D216" i="2"/>
  <c r="D305" i="2"/>
  <c r="D459" i="2"/>
  <c r="D434" i="2"/>
  <c r="D86" i="2"/>
  <c r="D499" i="2"/>
  <c r="D192" i="2"/>
  <c r="D154" i="2"/>
  <c r="D61" i="2"/>
  <c r="D95" i="2"/>
  <c r="D184" i="2"/>
  <c r="D384" i="2"/>
  <c r="D111" i="2"/>
  <c r="D721" i="2"/>
  <c r="D635" i="2"/>
  <c r="D115" i="2"/>
  <c r="D590" i="2"/>
  <c r="D245" i="2"/>
  <c r="D552" i="2"/>
  <c r="D185" i="2"/>
  <c r="D339" i="2"/>
  <c r="D46" i="2"/>
  <c r="D412" i="2"/>
  <c r="D761" i="2"/>
  <c r="D159" i="2"/>
  <c r="D87" i="2"/>
  <c r="D28" i="2"/>
  <c r="D169" i="2"/>
  <c r="D187" i="2"/>
  <c r="D550" i="2"/>
  <c r="D208" i="2"/>
  <c r="D584" i="2"/>
  <c r="D252" i="2"/>
  <c r="D79" i="2"/>
  <c r="D180" i="2"/>
  <c r="D522" i="2"/>
  <c r="D409" i="2"/>
  <c r="D341" i="2"/>
  <c r="D455" i="2"/>
  <c r="D259" i="2"/>
  <c r="D196" i="2"/>
  <c r="D630" i="2"/>
  <c r="D554" i="2"/>
  <c r="D615" i="2"/>
  <c r="D510" i="2"/>
  <c r="D247" i="2"/>
  <c r="D713" i="2"/>
  <c r="D740" i="2"/>
  <c r="D684" i="2"/>
  <c r="D603" i="2"/>
  <c r="D670" i="2"/>
  <c r="D189" i="2"/>
  <c r="D25" i="2"/>
  <c r="D337" i="2"/>
  <c r="D23" i="2"/>
  <c r="D456" i="2"/>
  <c r="D256" i="2"/>
  <c r="D37" i="2"/>
  <c r="D272" i="2"/>
  <c r="D474" i="2"/>
  <c r="D694" i="2"/>
  <c r="D543" i="2"/>
  <c r="D571" i="2"/>
  <c r="D248" i="2"/>
  <c r="D626" i="2"/>
  <c r="D534" i="2"/>
  <c r="D486" i="2"/>
  <c r="D225" i="2"/>
  <c r="D666" i="2"/>
  <c r="D275" i="2"/>
  <c r="D564" i="2"/>
  <c r="D89" i="2"/>
  <c r="D503" i="2"/>
  <c r="D400" i="2"/>
  <c r="D427" i="2"/>
  <c r="D356" i="2"/>
  <c r="D674" i="2"/>
  <c r="D134" i="2"/>
  <c r="D677" i="2"/>
  <c r="D398" i="2"/>
  <c r="D353" i="2"/>
  <c r="D48" i="2"/>
  <c r="D595" i="2"/>
  <c r="D193" i="2"/>
  <c r="D698" i="2"/>
  <c r="D579" i="2"/>
  <c r="D126" i="2"/>
  <c r="D131" i="2"/>
  <c r="D266" i="2"/>
  <c r="D563" i="2"/>
  <c r="D314" i="2"/>
  <c r="D371" i="2"/>
  <c r="D26" i="2"/>
  <c r="D485" i="2"/>
  <c r="D500" i="2"/>
  <c r="D302" i="2"/>
  <c r="D181" i="2"/>
  <c r="D315" i="2"/>
  <c r="D284" i="2"/>
  <c r="D329" i="2"/>
  <c r="D288" i="2"/>
  <c r="D102" i="2"/>
  <c r="D310" i="2"/>
  <c r="D108" i="2"/>
  <c r="D508" i="2"/>
  <c r="D423" i="2"/>
  <c r="D578" i="2"/>
  <c r="D127" i="2"/>
  <c r="D167" i="2"/>
  <c r="D114" i="2"/>
  <c r="D3" i="2"/>
  <c r="D378" i="2"/>
  <c r="D323" i="2"/>
  <c r="D292" i="2"/>
  <c r="D658" i="2"/>
  <c r="D158" i="2"/>
  <c r="D717" i="2"/>
  <c r="D237" i="2"/>
  <c r="D17" i="2"/>
  <c r="B201" i="13"/>
  <c r="D201" i="13"/>
  <c r="E201" i="13" s="1"/>
  <c r="F201" i="13" s="1"/>
  <c r="B202" i="13"/>
  <c r="D202" i="13"/>
  <c r="E202" i="13" s="1"/>
  <c r="F202" i="13" s="1"/>
  <c r="B101" i="13"/>
  <c r="D101" i="13"/>
  <c r="B102" i="13"/>
  <c r="D102" i="13"/>
  <c r="B103" i="13"/>
  <c r="D103" i="13"/>
  <c r="E103" i="13" s="1"/>
  <c r="F103" i="13" s="1"/>
  <c r="B104" i="13"/>
  <c r="D104" i="13"/>
  <c r="E104" i="13" s="1"/>
  <c r="F104" i="13" s="1"/>
  <c r="B105" i="13"/>
  <c r="D105" i="13"/>
  <c r="E105" i="13" s="1"/>
  <c r="F105" i="13" s="1"/>
  <c r="B106" i="13"/>
  <c r="D106" i="13"/>
  <c r="E106" i="13" s="1"/>
  <c r="F106" i="13" s="1"/>
  <c r="B107" i="13"/>
  <c r="D107" i="13"/>
  <c r="E107" i="13" s="1"/>
  <c r="F107" i="13" s="1"/>
  <c r="B108" i="13"/>
  <c r="D108" i="13"/>
  <c r="E108" i="13" s="1"/>
  <c r="F108" i="13" s="1"/>
  <c r="B109" i="13"/>
  <c r="D109" i="13"/>
  <c r="E109" i="13" s="1"/>
  <c r="F109" i="13" s="1"/>
  <c r="B110" i="13"/>
  <c r="D110" i="13"/>
  <c r="E110" i="13" s="1"/>
  <c r="F110" i="13" s="1"/>
  <c r="B111" i="13"/>
  <c r="D111" i="13"/>
  <c r="E111" i="13" s="1"/>
  <c r="F111" i="13" s="1"/>
  <c r="B112" i="13"/>
  <c r="D112" i="13"/>
  <c r="E112" i="13" s="1"/>
  <c r="F112" i="13" s="1"/>
  <c r="B113" i="13"/>
  <c r="D113" i="13"/>
  <c r="E113" i="13" s="1"/>
  <c r="F113" i="13" s="1"/>
  <c r="B114" i="13"/>
  <c r="D114" i="13"/>
  <c r="E114" i="13" s="1"/>
  <c r="F114" i="13" s="1"/>
  <c r="B115" i="13"/>
  <c r="D115" i="13"/>
  <c r="E115" i="13" s="1"/>
  <c r="F115" i="13" s="1"/>
  <c r="B116" i="13"/>
  <c r="D116" i="13"/>
  <c r="E116" i="13" s="1"/>
  <c r="F116" i="13" s="1"/>
  <c r="B117" i="13"/>
  <c r="D117" i="13"/>
  <c r="E117" i="13" s="1"/>
  <c r="F117" i="13" s="1"/>
  <c r="B118" i="13"/>
  <c r="D118" i="13"/>
  <c r="E118" i="13" s="1"/>
  <c r="F118" i="13" s="1"/>
  <c r="B119" i="13"/>
  <c r="D119" i="13"/>
  <c r="E119" i="13" s="1"/>
  <c r="F119" i="13" s="1"/>
  <c r="B120" i="13"/>
  <c r="D120" i="13"/>
  <c r="E120" i="13" s="1"/>
  <c r="F120" i="13" s="1"/>
  <c r="B121" i="13"/>
  <c r="D121" i="13"/>
  <c r="E121" i="13" s="1"/>
  <c r="F121" i="13" s="1"/>
  <c r="B122" i="13"/>
  <c r="D122" i="13"/>
  <c r="E122" i="13" s="1"/>
  <c r="F122" i="13" s="1"/>
  <c r="B123" i="13"/>
  <c r="D123" i="13"/>
  <c r="E123" i="13" s="1"/>
  <c r="F123" i="13" s="1"/>
  <c r="B124" i="13"/>
  <c r="D124" i="13"/>
  <c r="E124" i="13" s="1"/>
  <c r="F124" i="13" s="1"/>
  <c r="B125" i="13"/>
  <c r="D125" i="13"/>
  <c r="E125" i="13" s="1"/>
  <c r="F125" i="13" s="1"/>
  <c r="B126" i="13"/>
  <c r="D126" i="13"/>
  <c r="E126" i="13" s="1"/>
  <c r="F126" i="13" s="1"/>
  <c r="B127" i="13"/>
  <c r="D127" i="13"/>
  <c r="E127" i="13" s="1"/>
  <c r="F127" i="13" s="1"/>
  <c r="B128" i="13"/>
  <c r="D128" i="13"/>
  <c r="E128" i="13" s="1"/>
  <c r="F128" i="13" s="1"/>
  <c r="B129" i="13"/>
  <c r="D129" i="13"/>
  <c r="E129" i="13" s="1"/>
  <c r="F129" i="13" s="1"/>
  <c r="B130" i="13"/>
  <c r="D130" i="13"/>
  <c r="E130" i="13" s="1"/>
  <c r="F130" i="13" s="1"/>
  <c r="B131" i="13"/>
  <c r="D131" i="13"/>
  <c r="E131" i="13" s="1"/>
  <c r="F131" i="13" s="1"/>
  <c r="B132" i="13"/>
  <c r="D132" i="13"/>
  <c r="E132" i="13" s="1"/>
  <c r="F132" i="13" s="1"/>
  <c r="B133" i="13"/>
  <c r="D133" i="13"/>
  <c r="E133" i="13" s="1"/>
  <c r="F133" i="13" s="1"/>
  <c r="B134" i="13"/>
  <c r="D134" i="13"/>
  <c r="E134" i="13" s="1"/>
  <c r="F134" i="13" s="1"/>
  <c r="B135" i="13"/>
  <c r="D135" i="13"/>
  <c r="E135" i="13" s="1"/>
  <c r="F135" i="13" s="1"/>
  <c r="B136" i="13"/>
  <c r="D136" i="13"/>
  <c r="E136" i="13" s="1"/>
  <c r="F136" i="13" s="1"/>
  <c r="B137" i="13"/>
  <c r="D137" i="13"/>
  <c r="E137" i="13" s="1"/>
  <c r="F137" i="13" s="1"/>
  <c r="B138" i="13"/>
  <c r="D138" i="13"/>
  <c r="E138" i="13" s="1"/>
  <c r="F138" i="13" s="1"/>
  <c r="B139" i="13"/>
  <c r="D139" i="13"/>
  <c r="E139" i="13" s="1"/>
  <c r="F139" i="13" s="1"/>
  <c r="B140" i="13"/>
  <c r="D140" i="13"/>
  <c r="E140" i="13" s="1"/>
  <c r="F140" i="13" s="1"/>
  <c r="B141" i="13"/>
  <c r="D141" i="13"/>
  <c r="E141" i="13" s="1"/>
  <c r="F141" i="13" s="1"/>
  <c r="B142" i="13"/>
  <c r="D142" i="13"/>
  <c r="E142" i="13" s="1"/>
  <c r="F142" i="13" s="1"/>
  <c r="B143" i="13"/>
  <c r="D143" i="13"/>
  <c r="E143" i="13" s="1"/>
  <c r="F143" i="13" s="1"/>
  <c r="B144" i="13"/>
  <c r="D144" i="13"/>
  <c r="E144" i="13" s="1"/>
  <c r="F144" i="13" s="1"/>
  <c r="B145" i="13"/>
  <c r="D145" i="13"/>
  <c r="E145" i="13" s="1"/>
  <c r="F145" i="13" s="1"/>
  <c r="B146" i="13"/>
  <c r="D146" i="13"/>
  <c r="E146" i="13" s="1"/>
  <c r="F146" i="13" s="1"/>
  <c r="B147" i="13"/>
  <c r="D147" i="13"/>
  <c r="E147" i="13" s="1"/>
  <c r="F147" i="13" s="1"/>
  <c r="B148" i="13"/>
  <c r="D148" i="13"/>
  <c r="E148" i="13" s="1"/>
  <c r="F148" i="13" s="1"/>
  <c r="B149" i="13"/>
  <c r="D149" i="13"/>
  <c r="E149" i="13" s="1"/>
  <c r="F149" i="13" s="1"/>
  <c r="B150" i="13"/>
  <c r="D150" i="13"/>
  <c r="E150" i="13" s="1"/>
  <c r="F150" i="13" s="1"/>
  <c r="B151" i="13"/>
  <c r="D151" i="13"/>
  <c r="E151" i="13" s="1"/>
  <c r="F151" i="13" s="1"/>
  <c r="B152" i="13"/>
  <c r="D152" i="13"/>
  <c r="E152" i="13" s="1"/>
  <c r="F152" i="13" s="1"/>
  <c r="B153" i="13"/>
  <c r="D153" i="13"/>
  <c r="E153" i="13" s="1"/>
  <c r="F153" i="13" s="1"/>
  <c r="B154" i="13"/>
  <c r="D154" i="13"/>
  <c r="E154" i="13" s="1"/>
  <c r="F154" i="13" s="1"/>
  <c r="B155" i="13"/>
  <c r="D155" i="13"/>
  <c r="E155" i="13" s="1"/>
  <c r="F155" i="13" s="1"/>
  <c r="B156" i="13"/>
  <c r="D156" i="13"/>
  <c r="E156" i="13" s="1"/>
  <c r="F156" i="13" s="1"/>
  <c r="B157" i="13"/>
  <c r="D157" i="13"/>
  <c r="E157" i="13" s="1"/>
  <c r="F157" i="13" s="1"/>
  <c r="B158" i="13"/>
  <c r="D158" i="13"/>
  <c r="E158" i="13" s="1"/>
  <c r="F158" i="13" s="1"/>
  <c r="B159" i="13"/>
  <c r="D159" i="13"/>
  <c r="E159" i="13" s="1"/>
  <c r="F159" i="13" s="1"/>
  <c r="B160" i="13"/>
  <c r="D160" i="13"/>
  <c r="E160" i="13" s="1"/>
  <c r="F160" i="13" s="1"/>
  <c r="B161" i="13"/>
  <c r="D161" i="13"/>
  <c r="E161" i="13" s="1"/>
  <c r="F161" i="13" s="1"/>
  <c r="B162" i="13"/>
  <c r="D162" i="13"/>
  <c r="E162" i="13" s="1"/>
  <c r="F162" i="13" s="1"/>
  <c r="B163" i="13"/>
  <c r="D163" i="13"/>
  <c r="E163" i="13" s="1"/>
  <c r="F163" i="13" s="1"/>
  <c r="B164" i="13"/>
  <c r="D164" i="13"/>
  <c r="E164" i="13" s="1"/>
  <c r="F164" i="13" s="1"/>
  <c r="B165" i="13"/>
  <c r="D165" i="13"/>
  <c r="E165" i="13" s="1"/>
  <c r="F165" i="13" s="1"/>
  <c r="B166" i="13"/>
  <c r="D166" i="13"/>
  <c r="E166" i="13" s="1"/>
  <c r="F166" i="13" s="1"/>
  <c r="B167" i="13"/>
  <c r="D167" i="13"/>
  <c r="E167" i="13" s="1"/>
  <c r="F167" i="13" s="1"/>
  <c r="B168" i="13"/>
  <c r="D168" i="13"/>
  <c r="E168" i="13" s="1"/>
  <c r="F168" i="13" s="1"/>
  <c r="B169" i="13"/>
  <c r="D169" i="13"/>
  <c r="E169" i="13" s="1"/>
  <c r="F169" i="13" s="1"/>
  <c r="B170" i="13"/>
  <c r="D170" i="13"/>
  <c r="E170" i="13" s="1"/>
  <c r="F170" i="13" s="1"/>
  <c r="B171" i="13"/>
  <c r="D171" i="13"/>
  <c r="E171" i="13" s="1"/>
  <c r="F171" i="13" s="1"/>
  <c r="B172" i="13"/>
  <c r="D172" i="13"/>
  <c r="E172" i="13" s="1"/>
  <c r="F172" i="13" s="1"/>
  <c r="B173" i="13"/>
  <c r="D173" i="13"/>
  <c r="E173" i="13" s="1"/>
  <c r="F173" i="13" s="1"/>
  <c r="B174" i="13"/>
  <c r="D174" i="13"/>
  <c r="E174" i="13" s="1"/>
  <c r="F174" i="13" s="1"/>
  <c r="B175" i="13"/>
  <c r="D175" i="13"/>
  <c r="E175" i="13" s="1"/>
  <c r="F175" i="13" s="1"/>
  <c r="B176" i="13"/>
  <c r="D176" i="13"/>
  <c r="E176" i="13" s="1"/>
  <c r="F176" i="13" s="1"/>
  <c r="B177" i="13"/>
  <c r="D177" i="13"/>
  <c r="E177" i="13" s="1"/>
  <c r="F177" i="13" s="1"/>
  <c r="B178" i="13"/>
  <c r="D178" i="13"/>
  <c r="E178" i="13" s="1"/>
  <c r="F178" i="13" s="1"/>
  <c r="B179" i="13"/>
  <c r="D179" i="13"/>
  <c r="E179" i="13" s="1"/>
  <c r="F179" i="13" s="1"/>
  <c r="B180" i="13"/>
  <c r="D180" i="13"/>
  <c r="E180" i="13" s="1"/>
  <c r="F180" i="13" s="1"/>
  <c r="B181" i="13"/>
  <c r="D181" i="13"/>
  <c r="E181" i="13" s="1"/>
  <c r="F181" i="13" s="1"/>
  <c r="B182" i="13"/>
  <c r="D182" i="13"/>
  <c r="E182" i="13" s="1"/>
  <c r="F182" i="13" s="1"/>
  <c r="B183" i="13"/>
  <c r="D183" i="13"/>
  <c r="E183" i="13" s="1"/>
  <c r="F183" i="13" s="1"/>
  <c r="B184" i="13"/>
  <c r="D184" i="13"/>
  <c r="E184" i="13" s="1"/>
  <c r="F184" i="13" s="1"/>
  <c r="B185" i="13"/>
  <c r="D185" i="13"/>
  <c r="E185" i="13" s="1"/>
  <c r="F185" i="13" s="1"/>
  <c r="B186" i="13"/>
  <c r="D186" i="13"/>
  <c r="E186" i="13" s="1"/>
  <c r="F186" i="13" s="1"/>
  <c r="B187" i="13"/>
  <c r="D187" i="13"/>
  <c r="E187" i="13" s="1"/>
  <c r="F187" i="13" s="1"/>
  <c r="B188" i="13"/>
  <c r="D188" i="13"/>
  <c r="E188" i="13" s="1"/>
  <c r="F188" i="13" s="1"/>
  <c r="B189" i="13"/>
  <c r="D189" i="13"/>
  <c r="E189" i="13" s="1"/>
  <c r="F189" i="13" s="1"/>
  <c r="B190" i="13"/>
  <c r="D190" i="13"/>
  <c r="E190" i="13" s="1"/>
  <c r="F190" i="13" s="1"/>
  <c r="B191" i="13"/>
  <c r="D191" i="13"/>
  <c r="E191" i="13" s="1"/>
  <c r="F191" i="13" s="1"/>
  <c r="B192" i="13"/>
  <c r="D192" i="13"/>
  <c r="E192" i="13" s="1"/>
  <c r="F192" i="13" s="1"/>
  <c r="B193" i="13"/>
  <c r="D193" i="13"/>
  <c r="E193" i="13" s="1"/>
  <c r="F193" i="13" s="1"/>
  <c r="B194" i="13"/>
  <c r="D194" i="13"/>
  <c r="E194" i="13" s="1"/>
  <c r="F194" i="13" s="1"/>
  <c r="B195" i="13"/>
  <c r="D195" i="13"/>
  <c r="E195" i="13" s="1"/>
  <c r="F195" i="13" s="1"/>
  <c r="B196" i="13"/>
  <c r="D196" i="13"/>
  <c r="E196" i="13" s="1"/>
  <c r="F196" i="13" s="1"/>
  <c r="B197" i="13"/>
  <c r="D197" i="13"/>
  <c r="E197" i="13" s="1"/>
  <c r="F197" i="13" s="1"/>
  <c r="B198" i="13"/>
  <c r="D198" i="13"/>
  <c r="E198" i="13" s="1"/>
  <c r="F198" i="13" s="1"/>
  <c r="B199" i="13"/>
  <c r="D199" i="13"/>
  <c r="E199" i="13" s="1"/>
  <c r="F199" i="13" s="1"/>
  <c r="B200" i="13"/>
  <c r="D200" i="13"/>
  <c r="E200" i="13" s="1"/>
  <c r="F200" i="13" s="1"/>
  <c r="D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D2" i="13"/>
  <c r="E2" i="14" s="1"/>
  <c r="D3" i="13"/>
  <c r="E3" i="14" s="1"/>
  <c r="D4" i="13"/>
  <c r="E4" i="14" s="1"/>
  <c r="D5" i="13"/>
  <c r="E5" i="14" s="1"/>
  <c r="D6" i="13"/>
  <c r="E6" i="14" s="1"/>
  <c r="D7" i="13"/>
  <c r="E7" i="13" s="1"/>
  <c r="D8" i="13"/>
  <c r="E8" i="14" s="1"/>
  <c r="D9" i="13"/>
  <c r="E9" i="13" s="1"/>
  <c r="D10" i="13"/>
  <c r="E10" i="14" s="1"/>
  <c r="D11" i="13"/>
  <c r="E11" i="14" s="1"/>
  <c r="D12" i="13"/>
  <c r="E12" i="14" s="1"/>
  <c r="D13" i="13"/>
  <c r="E13" i="14" s="1"/>
  <c r="D14" i="13"/>
  <c r="E14" i="14" s="1"/>
  <c r="D15" i="13"/>
  <c r="E15" i="13" s="1"/>
  <c r="D16" i="13"/>
  <c r="E16" i="14" s="1"/>
  <c r="D17" i="13"/>
  <c r="E17" i="13" s="1"/>
  <c r="D18" i="13"/>
  <c r="E18" i="14" s="1"/>
  <c r="D19" i="13"/>
  <c r="E19" i="14" s="1"/>
  <c r="D20" i="13"/>
  <c r="E20" i="14" s="1"/>
  <c r="D21" i="13"/>
  <c r="E21" i="14" s="1"/>
  <c r="D22" i="13"/>
  <c r="E22" i="14" s="1"/>
  <c r="D23" i="13"/>
  <c r="E23" i="13" s="1"/>
  <c r="D24" i="13"/>
  <c r="E24" i="14" s="1"/>
  <c r="D25" i="13"/>
  <c r="E25" i="13" s="1"/>
  <c r="D26" i="13"/>
  <c r="E26" i="14" s="1"/>
  <c r="D27" i="13"/>
  <c r="E27" i="14" s="1"/>
  <c r="D28" i="13"/>
  <c r="E28" i="14" s="1"/>
  <c r="D29" i="13"/>
  <c r="E29" i="14" s="1"/>
  <c r="D30" i="13"/>
  <c r="E30" i="14" s="1"/>
  <c r="D31" i="13"/>
  <c r="E31" i="13" s="1"/>
  <c r="D32" i="13"/>
  <c r="E32" i="14" s="1"/>
  <c r="D33" i="13"/>
  <c r="E33" i="13" s="1"/>
  <c r="D34" i="13"/>
  <c r="E34" i="14" s="1"/>
  <c r="D35" i="13"/>
  <c r="E35" i="14" s="1"/>
  <c r="D36" i="13"/>
  <c r="E36" i="14" s="1"/>
  <c r="D37" i="13"/>
  <c r="E37" i="14" s="1"/>
  <c r="D38" i="13"/>
  <c r="E38" i="14" s="1"/>
  <c r="D39" i="13"/>
  <c r="E39" i="13" s="1"/>
  <c r="D40" i="13"/>
  <c r="E40" i="14" s="1"/>
  <c r="D41" i="13"/>
  <c r="E41" i="13" s="1"/>
  <c r="D42" i="13"/>
  <c r="E42" i="14" s="1"/>
  <c r="D43" i="13"/>
  <c r="E43" i="14" s="1"/>
  <c r="D44" i="13"/>
  <c r="E44" i="14" s="1"/>
  <c r="D45" i="13"/>
  <c r="E45" i="14" s="1"/>
  <c r="D46" i="13"/>
  <c r="E46" i="14" s="1"/>
  <c r="D47" i="13"/>
  <c r="E47" i="13" s="1"/>
  <c r="D48" i="13"/>
  <c r="E48" i="14" s="1"/>
  <c r="D49" i="13"/>
  <c r="E49" i="13" s="1"/>
  <c r="D50" i="13"/>
  <c r="E50" i="14" s="1"/>
  <c r="D51" i="13"/>
  <c r="E51" i="14" s="1"/>
  <c r="D52" i="13"/>
  <c r="E52" i="14" s="1"/>
  <c r="D53" i="13"/>
  <c r="E53" i="14" s="1"/>
  <c r="D54" i="13"/>
  <c r="E54" i="14" s="1"/>
  <c r="D55" i="13"/>
  <c r="E55" i="13" s="1"/>
  <c r="D56" i="13"/>
  <c r="E56" i="14" s="1"/>
  <c r="D57" i="13"/>
  <c r="E57" i="13" s="1"/>
  <c r="D58" i="13"/>
  <c r="E58" i="14" s="1"/>
  <c r="D59" i="13"/>
  <c r="E59" i="14" s="1"/>
  <c r="D60" i="13"/>
  <c r="E60" i="14" s="1"/>
  <c r="D61" i="13"/>
  <c r="E61" i="14" s="1"/>
  <c r="D62" i="13"/>
  <c r="E62" i="14" s="1"/>
  <c r="D63" i="13"/>
  <c r="E63" i="13" s="1"/>
  <c r="D64" i="13"/>
  <c r="E64" i="14" s="1"/>
  <c r="D65" i="13"/>
  <c r="E65" i="13" s="1"/>
  <c r="D66" i="13"/>
  <c r="E66" i="14" s="1"/>
  <c r="D67" i="13"/>
  <c r="E67" i="14" s="1"/>
  <c r="D68" i="13"/>
  <c r="E68" i="14" s="1"/>
  <c r="D69" i="13"/>
  <c r="E69" i="14" s="1"/>
  <c r="D70" i="13"/>
  <c r="E70" i="14" s="1"/>
  <c r="D71" i="13"/>
  <c r="E71" i="13" s="1"/>
  <c r="D72" i="13"/>
  <c r="E72" i="14" s="1"/>
  <c r="D73" i="13"/>
  <c r="E73" i="13" s="1"/>
  <c r="D74" i="13"/>
  <c r="E74" i="14" s="1"/>
  <c r="D75" i="13"/>
  <c r="E75" i="14" s="1"/>
  <c r="D76" i="13"/>
  <c r="E76" i="14" s="1"/>
  <c r="D77" i="13"/>
  <c r="E77" i="14" s="1"/>
  <c r="D78" i="13"/>
  <c r="E78" i="14" s="1"/>
  <c r="D79" i="13"/>
  <c r="E79" i="13" s="1"/>
  <c r="D80" i="13"/>
  <c r="E80" i="14" s="1"/>
  <c r="D81" i="13"/>
  <c r="E81" i="13" s="1"/>
  <c r="D82" i="13"/>
  <c r="E82" i="14" s="1"/>
  <c r="D83" i="13"/>
  <c r="E83" i="14" s="1"/>
  <c r="D84" i="13"/>
  <c r="E84" i="14" s="1"/>
  <c r="D85" i="13"/>
  <c r="E85" i="14" s="1"/>
  <c r="D86" i="13"/>
  <c r="E86" i="14" s="1"/>
  <c r="D87" i="13"/>
  <c r="E87" i="13" s="1"/>
  <c r="D88" i="13"/>
  <c r="E88" i="14" s="1"/>
  <c r="D89" i="13"/>
  <c r="E89" i="13" s="1"/>
  <c r="D90" i="13"/>
  <c r="E90" i="14" s="1"/>
  <c r="D91" i="13"/>
  <c r="E91" i="14" s="1"/>
  <c r="D92" i="13"/>
  <c r="E92" i="14" s="1"/>
  <c r="D93" i="13"/>
  <c r="E93" i="14" s="1"/>
  <c r="D94" i="13"/>
  <c r="E94" i="14" s="1"/>
  <c r="D95" i="13"/>
  <c r="E95" i="13" s="1"/>
  <c r="D96" i="13"/>
  <c r="E96" i="14" s="1"/>
  <c r="D97" i="13"/>
  <c r="E97" i="13" s="1"/>
  <c r="D98" i="13"/>
  <c r="E98" i="14" s="1"/>
  <c r="D99" i="13"/>
  <c r="E99" i="14" s="1"/>
  <c r="D100" i="13"/>
  <c r="E100" i="14" s="1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3" i="13"/>
  <c r="B4" i="13"/>
  <c r="B5" i="13"/>
  <c r="B2" i="13"/>
  <c r="D2" i="7"/>
  <c r="E2" i="7" s="1"/>
  <c r="D3" i="7"/>
  <c r="E3" i="7" s="1"/>
  <c r="D4" i="7"/>
  <c r="E4" i="7" s="1"/>
  <c r="D5" i="7"/>
  <c r="E5" i="7" s="1"/>
  <c r="D6" i="7"/>
  <c r="E6" i="7" s="1"/>
  <c r="D7" i="7"/>
  <c r="E7" i="7" s="1"/>
  <c r="D8" i="7"/>
  <c r="E8" i="7" s="1"/>
  <c r="D9" i="7"/>
  <c r="E9" i="7" s="1"/>
  <c r="D10" i="7"/>
  <c r="E10" i="7" s="1"/>
  <c r="D11" i="7"/>
  <c r="E11" i="7" s="1"/>
  <c r="D12" i="7"/>
  <c r="E12" i="7" s="1"/>
  <c r="D13" i="7"/>
  <c r="E13" i="7" s="1"/>
  <c r="D14" i="7"/>
  <c r="E14" i="7" s="1"/>
  <c r="D15" i="7"/>
  <c r="E15" i="7" s="1"/>
  <c r="D16" i="7"/>
  <c r="E16" i="7" s="1"/>
  <c r="D17" i="7"/>
  <c r="E17" i="7" s="1"/>
  <c r="D18" i="7"/>
  <c r="E18" i="7" s="1"/>
  <c r="D19" i="7"/>
  <c r="E19" i="7" s="1"/>
  <c r="D20" i="7"/>
  <c r="E20" i="7" s="1"/>
  <c r="D21" i="7"/>
  <c r="E21" i="7" s="1"/>
  <c r="D22" i="7"/>
  <c r="E22" i="7" s="1"/>
  <c r="D23" i="7"/>
  <c r="E23" i="7" s="1"/>
  <c r="D24" i="7"/>
  <c r="E24" i="7" s="1"/>
  <c r="D25" i="7"/>
  <c r="E25" i="7" s="1"/>
  <c r="D26" i="7"/>
  <c r="E26" i="7" s="1"/>
  <c r="D27" i="7"/>
  <c r="E27" i="7" s="1"/>
  <c r="D28" i="7"/>
  <c r="E28" i="7" s="1"/>
  <c r="D29" i="7"/>
  <c r="E29" i="7" s="1"/>
  <c r="D30" i="7"/>
  <c r="E30" i="7" s="1"/>
  <c r="D31" i="7"/>
  <c r="E31" i="7" s="1"/>
  <c r="D32" i="7"/>
  <c r="E32" i="7" s="1"/>
  <c r="D33" i="7"/>
  <c r="E33" i="7" s="1"/>
  <c r="D34" i="7"/>
  <c r="E34" i="7" s="1"/>
  <c r="D35" i="7"/>
  <c r="E35" i="7" s="1"/>
  <c r="D36" i="7"/>
  <c r="E36" i="7" s="1"/>
  <c r="D37" i="7"/>
  <c r="E37" i="7" s="1"/>
  <c r="D38" i="7"/>
  <c r="E38" i="7" s="1"/>
  <c r="D39" i="7"/>
  <c r="E39" i="7" s="1"/>
  <c r="D40" i="7"/>
  <c r="E40" i="7" s="1"/>
  <c r="D41" i="7"/>
  <c r="E41" i="7" s="1"/>
  <c r="D42" i="7"/>
  <c r="E42" i="7" s="1"/>
  <c r="D43" i="7"/>
  <c r="E43" i="7" s="1"/>
  <c r="D44" i="7"/>
  <c r="E44" i="7" s="1"/>
  <c r="D45" i="7"/>
  <c r="E45" i="7" s="1"/>
  <c r="D46" i="7"/>
  <c r="E46" i="7" s="1"/>
  <c r="D47" i="7"/>
  <c r="E47" i="7" s="1"/>
  <c r="D48" i="7"/>
  <c r="E48" i="7" s="1"/>
  <c r="D49" i="7"/>
  <c r="E49" i="7" s="1"/>
  <c r="D50" i="7"/>
  <c r="E50" i="7" s="1"/>
  <c r="D51" i="7"/>
  <c r="E51" i="7" s="1"/>
  <c r="D52" i="7"/>
  <c r="E52" i="7" s="1"/>
  <c r="D53" i="7"/>
  <c r="E53" i="7" s="1"/>
  <c r="D54" i="7"/>
  <c r="E54" i="7" s="1"/>
  <c r="D55" i="7"/>
  <c r="E55" i="7" s="1"/>
  <c r="D56" i="7"/>
  <c r="E56" i="7" s="1"/>
  <c r="D57" i="7"/>
  <c r="E57" i="7" s="1"/>
  <c r="D58" i="7"/>
  <c r="E58" i="7" s="1"/>
  <c r="D59" i="7"/>
  <c r="E59" i="7" s="1"/>
  <c r="D60" i="7"/>
  <c r="E60" i="7" s="1"/>
  <c r="D61" i="7"/>
  <c r="E61" i="7" s="1"/>
  <c r="D62" i="7"/>
  <c r="E62" i="7" s="1"/>
  <c r="D63" i="7"/>
  <c r="E63" i="7" s="1"/>
  <c r="D64" i="7"/>
  <c r="E64" i="7" s="1"/>
  <c r="D65" i="7"/>
  <c r="E65" i="7" s="1"/>
  <c r="D66" i="7"/>
  <c r="E66" i="7" s="1"/>
  <c r="D67" i="7"/>
  <c r="E67" i="7" s="1"/>
  <c r="D68" i="7"/>
  <c r="E68" i="7" s="1"/>
  <c r="D69" i="7"/>
  <c r="E69" i="7" s="1"/>
  <c r="D70" i="7"/>
  <c r="E70" i="7" s="1"/>
  <c r="D71" i="7"/>
  <c r="E71" i="7" s="1"/>
  <c r="D72" i="7"/>
  <c r="E72" i="7" s="1"/>
  <c r="D73" i="7"/>
  <c r="E73" i="7" s="1"/>
  <c r="D74" i="7"/>
  <c r="E74" i="7" s="1"/>
  <c r="D75" i="7"/>
  <c r="E75" i="7" s="1"/>
  <c r="D76" i="7"/>
  <c r="E76" i="7" s="1"/>
  <c r="D77" i="7"/>
  <c r="E77" i="7" s="1"/>
  <c r="D78" i="7"/>
  <c r="E78" i="7" s="1"/>
  <c r="D79" i="7"/>
  <c r="E79" i="7" s="1"/>
  <c r="D80" i="7"/>
  <c r="E80" i="7" s="1"/>
  <c r="D81" i="7"/>
  <c r="E81" i="7" s="1"/>
  <c r="D82" i="7"/>
  <c r="E82" i="7" s="1"/>
  <c r="D83" i="7"/>
  <c r="E83" i="7" s="1"/>
  <c r="D84" i="7"/>
  <c r="E84" i="7" s="1"/>
  <c r="D85" i="7"/>
  <c r="E85" i="7" s="1"/>
  <c r="D86" i="7"/>
  <c r="E86" i="7" s="1"/>
  <c r="D87" i="7"/>
  <c r="E87" i="7" s="1"/>
  <c r="D88" i="7"/>
  <c r="E88" i="7" s="1"/>
  <c r="D89" i="7"/>
  <c r="E89" i="7" s="1"/>
  <c r="D90" i="7"/>
  <c r="E90" i="7" s="1"/>
  <c r="D91" i="7"/>
  <c r="E91" i="7" s="1"/>
  <c r="D92" i="7"/>
  <c r="E92" i="7" s="1"/>
  <c r="D93" i="7"/>
  <c r="E93" i="7" s="1"/>
  <c r="D94" i="7"/>
  <c r="E94" i="7" s="1"/>
  <c r="D95" i="7"/>
  <c r="E95" i="7" s="1"/>
  <c r="D96" i="7"/>
  <c r="E96" i="7" s="1"/>
  <c r="D97" i="7"/>
  <c r="E97" i="7" s="1"/>
  <c r="D98" i="7"/>
  <c r="E98" i="7" s="1"/>
  <c r="D99" i="7"/>
  <c r="E99" i="7" s="1"/>
  <c r="D100" i="7"/>
  <c r="E100" i="7" s="1"/>
  <c r="D101" i="7"/>
  <c r="E101" i="7" s="1"/>
  <c r="D102" i="7"/>
  <c r="E102" i="7" s="1"/>
  <c r="D103" i="7"/>
  <c r="E103" i="7" s="1"/>
  <c r="D104" i="7"/>
  <c r="E104" i="7" s="1"/>
  <c r="D105" i="7"/>
  <c r="E105" i="7" s="1"/>
  <c r="D106" i="7"/>
  <c r="E106" i="7" s="1"/>
  <c r="D107" i="7"/>
  <c r="E107" i="7" s="1"/>
  <c r="D108" i="7"/>
  <c r="E108" i="7" s="1"/>
  <c r="D109" i="7"/>
  <c r="E109" i="7" s="1"/>
  <c r="D110" i="7"/>
  <c r="E110" i="7" s="1"/>
  <c r="D111" i="7"/>
  <c r="E111" i="7" s="1"/>
  <c r="D112" i="7"/>
  <c r="E112" i="7" s="1"/>
  <c r="D113" i="7"/>
  <c r="E113" i="7" s="1"/>
  <c r="D114" i="7"/>
  <c r="E114" i="7" s="1"/>
  <c r="D115" i="7"/>
  <c r="E115" i="7" s="1"/>
  <c r="D116" i="7"/>
  <c r="E116" i="7" s="1"/>
  <c r="D117" i="7"/>
  <c r="E117" i="7" s="1"/>
  <c r="D118" i="7"/>
  <c r="E118" i="7" s="1"/>
  <c r="D119" i="7"/>
  <c r="E119" i="7" s="1"/>
  <c r="D120" i="7"/>
  <c r="E120" i="7" s="1"/>
  <c r="D121" i="7"/>
  <c r="E121" i="7" s="1"/>
  <c r="D122" i="7"/>
  <c r="E122" i="7" s="1"/>
  <c r="D123" i="7"/>
  <c r="E123" i="7" s="1"/>
  <c r="D124" i="7"/>
  <c r="E124" i="7" s="1"/>
  <c r="D125" i="7"/>
  <c r="E125" i="7" s="1"/>
  <c r="D126" i="7"/>
  <c r="E126" i="7" s="1"/>
  <c r="D127" i="7"/>
  <c r="E127" i="7" s="1"/>
  <c r="D128" i="7"/>
  <c r="E128" i="7" s="1"/>
  <c r="D129" i="7"/>
  <c r="E129" i="7" s="1"/>
  <c r="D130" i="7"/>
  <c r="E130" i="7" s="1"/>
  <c r="D131" i="7"/>
  <c r="E131" i="7" s="1"/>
  <c r="D132" i="7"/>
  <c r="E132" i="7" s="1"/>
  <c r="D133" i="7"/>
  <c r="E133" i="7" s="1"/>
  <c r="D134" i="7"/>
  <c r="E134" i="7" s="1"/>
  <c r="D135" i="7"/>
  <c r="E135" i="7" s="1"/>
  <c r="D136" i="7"/>
  <c r="E136" i="7" s="1"/>
  <c r="D137" i="7"/>
  <c r="E137" i="7" s="1"/>
  <c r="D138" i="7"/>
  <c r="E138" i="7" s="1"/>
  <c r="D139" i="7"/>
  <c r="E139" i="7" s="1"/>
  <c r="D140" i="7"/>
  <c r="E140" i="7" s="1"/>
  <c r="D141" i="7"/>
  <c r="E141" i="7" s="1"/>
  <c r="D142" i="7"/>
  <c r="E142" i="7" s="1"/>
  <c r="D143" i="7"/>
  <c r="E143" i="7" s="1"/>
  <c r="D144" i="7"/>
  <c r="E144" i="7" s="1"/>
  <c r="D145" i="7"/>
  <c r="E145" i="7" s="1"/>
  <c r="D146" i="7"/>
  <c r="E146" i="7" s="1"/>
  <c r="D147" i="7"/>
  <c r="E147" i="7" s="1"/>
  <c r="D148" i="7"/>
  <c r="E148" i="7" s="1"/>
  <c r="D149" i="7"/>
  <c r="E149" i="7" s="1"/>
  <c r="D150" i="7"/>
  <c r="E150" i="7" s="1"/>
  <c r="D151" i="7"/>
  <c r="E151" i="7" s="1"/>
  <c r="D152" i="7"/>
  <c r="E152" i="7" s="1"/>
  <c r="D153" i="7"/>
  <c r="E153" i="7" s="1"/>
  <c r="D154" i="7"/>
  <c r="E154" i="7" s="1"/>
  <c r="D155" i="7"/>
  <c r="E155" i="7" s="1"/>
  <c r="D156" i="7"/>
  <c r="E156" i="7" s="1"/>
  <c r="D157" i="7"/>
  <c r="E157" i="7" s="1"/>
  <c r="D158" i="7"/>
  <c r="E158" i="7" s="1"/>
  <c r="D159" i="7"/>
  <c r="E159" i="7" s="1"/>
  <c r="D160" i="7"/>
  <c r="E160" i="7" s="1"/>
  <c r="D161" i="7"/>
  <c r="E161" i="7" s="1"/>
  <c r="D162" i="7"/>
  <c r="E162" i="7" s="1"/>
  <c r="D163" i="7"/>
  <c r="E163" i="7" s="1"/>
  <c r="D164" i="7"/>
  <c r="E164" i="7" s="1"/>
  <c r="D165" i="7"/>
  <c r="E165" i="7" s="1"/>
  <c r="D166" i="7"/>
  <c r="E166" i="7" s="1"/>
  <c r="D167" i="7"/>
  <c r="E167" i="7" s="1"/>
  <c r="D168" i="7"/>
  <c r="E168" i="7" s="1"/>
  <c r="D169" i="7"/>
  <c r="E169" i="7" s="1"/>
  <c r="D170" i="7"/>
  <c r="E170" i="7" s="1"/>
  <c r="D171" i="7"/>
  <c r="E171" i="7" s="1"/>
  <c r="D172" i="7"/>
  <c r="E172" i="7" s="1"/>
  <c r="D173" i="7"/>
  <c r="E173" i="7" s="1"/>
  <c r="D174" i="7"/>
  <c r="E174" i="7" s="1"/>
  <c r="D175" i="7"/>
  <c r="E175" i="7" s="1"/>
  <c r="D176" i="7"/>
  <c r="E176" i="7" s="1"/>
  <c r="D177" i="7"/>
  <c r="E177" i="7" s="1"/>
  <c r="D178" i="7"/>
  <c r="E178" i="7" s="1"/>
  <c r="D179" i="7"/>
  <c r="E179" i="7" s="1"/>
  <c r="D180" i="7"/>
  <c r="E180" i="7" s="1"/>
  <c r="D181" i="7"/>
  <c r="E181" i="7" s="1"/>
  <c r="D182" i="7"/>
  <c r="E182" i="7" s="1"/>
  <c r="D183" i="7"/>
  <c r="E183" i="7" s="1"/>
  <c r="D184" i="7"/>
  <c r="E184" i="7" s="1"/>
  <c r="D185" i="7"/>
  <c r="E185" i="7" s="1"/>
  <c r="D186" i="7"/>
  <c r="E186" i="7" s="1"/>
  <c r="D187" i="7"/>
  <c r="E187" i="7" s="1"/>
  <c r="D188" i="7"/>
  <c r="E188" i="7" s="1"/>
  <c r="D189" i="7"/>
  <c r="E189" i="7" s="1"/>
  <c r="D190" i="7"/>
  <c r="E190" i="7" s="1"/>
  <c r="D191" i="7"/>
  <c r="E191" i="7" s="1"/>
  <c r="D192" i="7"/>
  <c r="E192" i="7" s="1"/>
  <c r="D193" i="7"/>
  <c r="E193" i="7" s="1"/>
  <c r="D194" i="7"/>
  <c r="E194" i="7" s="1"/>
  <c r="D195" i="7"/>
  <c r="E195" i="7" s="1"/>
  <c r="D196" i="7"/>
  <c r="E196" i="7" s="1"/>
  <c r="D197" i="7"/>
  <c r="E197" i="7" s="1"/>
  <c r="D198" i="7"/>
  <c r="E198" i="7" s="1"/>
  <c r="D199" i="7"/>
  <c r="E199" i="7" s="1"/>
  <c r="D200" i="7"/>
  <c r="E200" i="7" s="1"/>
  <c r="D201" i="7"/>
  <c r="E201" i="7" s="1"/>
  <c r="D202" i="7"/>
  <c r="E202" i="7" s="1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3" i="7"/>
  <c r="B4" i="7"/>
  <c r="B5" i="7"/>
  <c r="B6" i="7"/>
  <c r="B7" i="7"/>
  <c r="B8" i="7"/>
  <c r="B9" i="7"/>
  <c r="B10" i="7"/>
  <c r="B11" i="7"/>
  <c r="B2" i="7"/>
  <c r="F201" i="7"/>
  <c r="F202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E22" i="6"/>
  <c r="E12" i="6"/>
  <c r="B2" i="6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E2" i="5"/>
  <c r="F2" i="5"/>
  <c r="E3" i="5"/>
  <c r="F3" i="5"/>
  <c r="E4" i="5"/>
  <c r="F4" i="5"/>
  <c r="E5" i="5"/>
  <c r="F5" i="5"/>
  <c r="E6" i="5"/>
  <c r="F6" i="5"/>
  <c r="E7" i="5"/>
  <c r="F7" i="5"/>
  <c r="E8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E100" i="5"/>
  <c r="F100" i="5"/>
  <c r="E101" i="5"/>
  <c r="F101" i="5"/>
  <c r="E102" i="5"/>
  <c r="F102" i="5"/>
  <c r="E103" i="5"/>
  <c r="F103" i="5"/>
  <c r="E104" i="5"/>
  <c r="F104" i="5"/>
  <c r="E105" i="5"/>
  <c r="F105" i="5"/>
  <c r="E106" i="5"/>
  <c r="F106" i="5"/>
  <c r="E107" i="5"/>
  <c r="F107" i="5"/>
  <c r="E108" i="5"/>
  <c r="F108" i="5"/>
  <c r="E109" i="5"/>
  <c r="F109" i="5"/>
  <c r="E110" i="5"/>
  <c r="F110" i="5"/>
  <c r="E111" i="5"/>
  <c r="F111" i="5"/>
  <c r="E112" i="5"/>
  <c r="F112" i="5"/>
  <c r="E113" i="5"/>
  <c r="F113" i="5"/>
  <c r="E114" i="5"/>
  <c r="F114" i="5"/>
  <c r="E115" i="5"/>
  <c r="F115" i="5"/>
  <c r="E116" i="5"/>
  <c r="F116" i="5"/>
  <c r="E117" i="5"/>
  <c r="F117" i="5"/>
  <c r="E118" i="5"/>
  <c r="F118" i="5"/>
  <c r="E119" i="5"/>
  <c r="F119" i="5"/>
  <c r="E120" i="5"/>
  <c r="F120" i="5"/>
  <c r="E121" i="5"/>
  <c r="F121" i="5"/>
  <c r="E122" i="5"/>
  <c r="F122" i="5"/>
  <c r="E123" i="5"/>
  <c r="F123" i="5"/>
  <c r="E124" i="5"/>
  <c r="F124" i="5"/>
  <c r="E125" i="5"/>
  <c r="F125" i="5"/>
  <c r="E126" i="5"/>
  <c r="F126" i="5"/>
  <c r="E127" i="5"/>
  <c r="F127" i="5"/>
  <c r="E128" i="5"/>
  <c r="F128" i="5"/>
  <c r="E129" i="5"/>
  <c r="F129" i="5"/>
  <c r="E130" i="5"/>
  <c r="F130" i="5"/>
  <c r="E131" i="5"/>
  <c r="F131" i="5"/>
  <c r="E132" i="5"/>
  <c r="F132" i="5"/>
  <c r="E133" i="5"/>
  <c r="F133" i="5"/>
  <c r="E134" i="5"/>
  <c r="F134" i="5"/>
  <c r="E135" i="5"/>
  <c r="F135" i="5"/>
  <c r="E136" i="5"/>
  <c r="F136" i="5"/>
  <c r="E137" i="5"/>
  <c r="F137" i="5"/>
  <c r="E138" i="5"/>
  <c r="F138" i="5"/>
  <c r="E139" i="5"/>
  <c r="F139" i="5"/>
  <c r="E140" i="5"/>
  <c r="F140" i="5"/>
  <c r="E141" i="5"/>
  <c r="F141" i="5"/>
  <c r="E142" i="5"/>
  <c r="F142" i="5"/>
  <c r="E143" i="5"/>
  <c r="F143" i="5"/>
  <c r="E144" i="5"/>
  <c r="F144" i="5"/>
  <c r="E145" i="5"/>
  <c r="F145" i="5"/>
  <c r="E146" i="5"/>
  <c r="F146" i="5"/>
  <c r="E147" i="5"/>
  <c r="F147" i="5"/>
  <c r="E148" i="5"/>
  <c r="F148" i="5"/>
  <c r="E149" i="5"/>
  <c r="F149" i="5"/>
  <c r="E150" i="5"/>
  <c r="F150" i="5"/>
  <c r="E151" i="5"/>
  <c r="F151" i="5"/>
  <c r="E152" i="5"/>
  <c r="F152" i="5"/>
  <c r="E153" i="5"/>
  <c r="F153" i="5"/>
  <c r="E154" i="5"/>
  <c r="F154" i="5"/>
  <c r="E155" i="5"/>
  <c r="F155" i="5"/>
  <c r="E156" i="5"/>
  <c r="F156" i="5"/>
  <c r="E157" i="5"/>
  <c r="F157" i="5"/>
  <c r="E158" i="5"/>
  <c r="F158" i="5"/>
  <c r="E159" i="5"/>
  <c r="F159" i="5"/>
  <c r="E160" i="5"/>
  <c r="F160" i="5"/>
  <c r="E161" i="5"/>
  <c r="F161" i="5"/>
  <c r="E162" i="5"/>
  <c r="F162" i="5"/>
  <c r="E163" i="5"/>
  <c r="F163" i="5"/>
  <c r="E164" i="5"/>
  <c r="F164" i="5"/>
  <c r="E165" i="5"/>
  <c r="F165" i="5"/>
  <c r="E166" i="5"/>
  <c r="F166" i="5"/>
  <c r="E167" i="5"/>
  <c r="F167" i="5"/>
  <c r="E168" i="5"/>
  <c r="F168" i="5"/>
  <c r="E169" i="5"/>
  <c r="F169" i="5"/>
  <c r="E170" i="5"/>
  <c r="F170" i="5"/>
  <c r="E171" i="5"/>
  <c r="F171" i="5"/>
  <c r="E172" i="5"/>
  <c r="F172" i="5"/>
  <c r="E173" i="5"/>
  <c r="F173" i="5"/>
  <c r="E174" i="5"/>
  <c r="F174" i="5"/>
  <c r="E175" i="5"/>
  <c r="F175" i="5"/>
  <c r="E176" i="5"/>
  <c r="F176" i="5"/>
  <c r="E177" i="5"/>
  <c r="F177" i="5"/>
  <c r="E178" i="5"/>
  <c r="F178" i="5"/>
  <c r="E179" i="5"/>
  <c r="F179" i="5"/>
  <c r="E180" i="5"/>
  <c r="F180" i="5"/>
  <c r="E181" i="5"/>
  <c r="F181" i="5"/>
  <c r="E182" i="5"/>
  <c r="F182" i="5"/>
  <c r="E183" i="5"/>
  <c r="F183" i="5"/>
  <c r="E184" i="5"/>
  <c r="F184" i="5"/>
  <c r="E185" i="5"/>
  <c r="F185" i="5"/>
  <c r="E186" i="5"/>
  <c r="F186" i="5"/>
  <c r="E187" i="5"/>
  <c r="F187" i="5"/>
  <c r="E188" i="5"/>
  <c r="F188" i="5"/>
  <c r="E189" i="5"/>
  <c r="F189" i="5"/>
  <c r="E190" i="5"/>
  <c r="F190" i="5"/>
  <c r="E191" i="5"/>
  <c r="F191" i="5"/>
  <c r="E192" i="5"/>
  <c r="F192" i="5"/>
  <c r="E193" i="5"/>
  <c r="F193" i="5"/>
  <c r="E194" i="5"/>
  <c r="F194" i="5"/>
  <c r="E195" i="5"/>
  <c r="F195" i="5"/>
  <c r="E196" i="5"/>
  <c r="F196" i="5"/>
  <c r="E197" i="5"/>
  <c r="F197" i="5"/>
  <c r="E198" i="5"/>
  <c r="F198" i="5"/>
  <c r="E199" i="5"/>
  <c r="F199" i="5"/>
  <c r="E200" i="5"/>
  <c r="F200" i="5"/>
  <c r="E201" i="5"/>
  <c r="F201" i="5"/>
  <c r="E202" i="5"/>
  <c r="F202" i="5"/>
  <c r="E203" i="5"/>
  <c r="F203" i="5"/>
  <c r="E204" i="5"/>
  <c r="F204" i="5"/>
  <c r="E205" i="5"/>
  <c r="F205" i="5"/>
  <c r="E206" i="5"/>
  <c r="F206" i="5"/>
  <c r="E207" i="5"/>
  <c r="F207" i="5"/>
  <c r="E208" i="5"/>
  <c r="F208" i="5"/>
  <c r="E209" i="5"/>
  <c r="F209" i="5"/>
  <c r="E210" i="5"/>
  <c r="F210" i="5"/>
  <c r="E211" i="5"/>
  <c r="F211" i="5"/>
  <c r="E212" i="5"/>
  <c r="F212" i="5"/>
  <c r="E213" i="5"/>
  <c r="F213" i="5"/>
  <c r="E214" i="5"/>
  <c r="F214" i="5"/>
  <c r="E215" i="5"/>
  <c r="F215" i="5"/>
  <c r="E216" i="5"/>
  <c r="F216" i="5"/>
  <c r="E217" i="5"/>
  <c r="F217" i="5"/>
  <c r="E218" i="5"/>
  <c r="F218" i="5"/>
  <c r="E219" i="5"/>
  <c r="F219" i="5"/>
  <c r="E220" i="5"/>
  <c r="F220" i="5"/>
  <c r="E221" i="5"/>
  <c r="F221" i="5"/>
  <c r="E222" i="5"/>
  <c r="F222" i="5"/>
  <c r="E223" i="5"/>
  <c r="F223" i="5"/>
  <c r="E224" i="5"/>
  <c r="F224" i="5"/>
  <c r="E225" i="5"/>
  <c r="F225" i="5"/>
  <c r="E226" i="5"/>
  <c r="F226" i="5"/>
  <c r="E227" i="5"/>
  <c r="F227" i="5"/>
  <c r="E228" i="5"/>
  <c r="F228" i="5"/>
  <c r="E229" i="5"/>
  <c r="F229" i="5"/>
  <c r="E230" i="5"/>
  <c r="F230" i="5"/>
  <c r="E231" i="5"/>
  <c r="F231" i="5"/>
  <c r="E232" i="5"/>
  <c r="F232" i="5"/>
  <c r="E233" i="5"/>
  <c r="F233" i="5"/>
  <c r="E234" i="5"/>
  <c r="F234" i="5"/>
  <c r="E235" i="5"/>
  <c r="F235" i="5"/>
  <c r="E236" i="5"/>
  <c r="F236" i="5"/>
  <c r="E237" i="5"/>
  <c r="F237" i="5"/>
  <c r="E238" i="5"/>
  <c r="F238" i="5"/>
  <c r="E239" i="5"/>
  <c r="F239" i="5"/>
  <c r="E240" i="5"/>
  <c r="F240" i="5"/>
  <c r="E241" i="5"/>
  <c r="F241" i="5"/>
  <c r="E242" i="5"/>
  <c r="F242" i="5"/>
  <c r="E243" i="5"/>
  <c r="F243" i="5"/>
  <c r="E244" i="5"/>
  <c r="F244" i="5"/>
  <c r="E245" i="5"/>
  <c r="F245" i="5"/>
  <c r="E246" i="5"/>
  <c r="F246" i="5"/>
  <c r="E247" i="5"/>
  <c r="F247" i="5"/>
  <c r="E248" i="5"/>
  <c r="F248" i="5"/>
  <c r="E249" i="5"/>
  <c r="F249" i="5"/>
  <c r="E250" i="5"/>
  <c r="F250" i="5"/>
  <c r="E251" i="5"/>
  <c r="F251" i="5"/>
  <c r="E252" i="5"/>
  <c r="F252" i="5"/>
  <c r="E253" i="5"/>
  <c r="F253" i="5"/>
  <c r="E254" i="5"/>
  <c r="F254" i="5"/>
  <c r="E255" i="5"/>
  <c r="F255" i="5"/>
  <c r="E256" i="5"/>
  <c r="F256" i="5"/>
  <c r="E257" i="5"/>
  <c r="F257" i="5"/>
  <c r="E258" i="5"/>
  <c r="F258" i="5"/>
  <c r="E259" i="5"/>
  <c r="F259" i="5"/>
  <c r="E260" i="5"/>
  <c r="F260" i="5"/>
  <c r="E261" i="5"/>
  <c r="F261" i="5"/>
  <c r="E262" i="5"/>
  <c r="F262" i="5"/>
  <c r="E263" i="5"/>
  <c r="F263" i="5"/>
  <c r="E264" i="5"/>
  <c r="F264" i="5"/>
  <c r="E265" i="5"/>
  <c r="F265" i="5"/>
  <c r="E266" i="5"/>
  <c r="F266" i="5"/>
  <c r="E267" i="5"/>
  <c r="F267" i="5"/>
  <c r="E268" i="5"/>
  <c r="F268" i="5"/>
  <c r="E269" i="5"/>
  <c r="F269" i="5"/>
  <c r="E270" i="5"/>
  <c r="F270" i="5"/>
  <c r="E271" i="5"/>
  <c r="F271" i="5"/>
  <c r="E272" i="5"/>
  <c r="F272" i="5"/>
  <c r="E273" i="5"/>
  <c r="F273" i="5"/>
  <c r="E274" i="5"/>
  <c r="F274" i="5"/>
  <c r="E275" i="5"/>
  <c r="F275" i="5"/>
  <c r="E276" i="5"/>
  <c r="F276" i="5"/>
  <c r="E277" i="5"/>
  <c r="F277" i="5"/>
  <c r="E278" i="5"/>
  <c r="F278" i="5"/>
  <c r="E279" i="5"/>
  <c r="F279" i="5"/>
  <c r="E280" i="5"/>
  <c r="F280" i="5"/>
  <c r="E281" i="5"/>
  <c r="F281" i="5"/>
  <c r="E282" i="5"/>
  <c r="F282" i="5"/>
  <c r="E283" i="5"/>
  <c r="F283" i="5"/>
  <c r="E284" i="5"/>
  <c r="F284" i="5"/>
  <c r="E285" i="5"/>
  <c r="F285" i="5"/>
  <c r="E286" i="5"/>
  <c r="F286" i="5"/>
  <c r="E287" i="5"/>
  <c r="F287" i="5"/>
  <c r="E288" i="5"/>
  <c r="F288" i="5"/>
  <c r="E289" i="5"/>
  <c r="F289" i="5"/>
  <c r="E290" i="5"/>
  <c r="F290" i="5"/>
  <c r="E291" i="5"/>
  <c r="F291" i="5"/>
  <c r="E292" i="5"/>
  <c r="F292" i="5"/>
  <c r="E293" i="5"/>
  <c r="F293" i="5"/>
  <c r="E294" i="5"/>
  <c r="F294" i="5"/>
  <c r="E295" i="5"/>
  <c r="F295" i="5"/>
  <c r="E296" i="5"/>
  <c r="F296" i="5"/>
  <c r="E297" i="5"/>
  <c r="F297" i="5"/>
  <c r="E298" i="5"/>
  <c r="F298" i="5"/>
  <c r="E299" i="5"/>
  <c r="F299" i="5"/>
  <c r="E300" i="5"/>
  <c r="F300" i="5"/>
  <c r="E301" i="5"/>
  <c r="F301" i="5"/>
  <c r="E302" i="5"/>
  <c r="F302" i="5"/>
  <c r="E303" i="5"/>
  <c r="F303" i="5"/>
  <c r="E304" i="5"/>
  <c r="F304" i="5"/>
  <c r="E305" i="5"/>
  <c r="F305" i="5"/>
  <c r="E306" i="5"/>
  <c r="F306" i="5"/>
  <c r="E307" i="5"/>
  <c r="F307" i="5"/>
  <c r="E308" i="5"/>
  <c r="F308" i="5"/>
  <c r="E309" i="5"/>
  <c r="F309" i="5"/>
  <c r="E310" i="5"/>
  <c r="F310" i="5"/>
  <c r="E311" i="5"/>
  <c r="F311" i="5"/>
  <c r="E312" i="5"/>
  <c r="F312" i="5"/>
  <c r="E313" i="5"/>
  <c r="F313" i="5"/>
  <c r="E314" i="5"/>
  <c r="F314" i="5"/>
  <c r="E315" i="5"/>
  <c r="F315" i="5"/>
  <c r="E316" i="5"/>
  <c r="F316" i="5"/>
  <c r="E317" i="5"/>
  <c r="F317" i="5"/>
  <c r="E318" i="5"/>
  <c r="F318" i="5"/>
  <c r="E319" i="5"/>
  <c r="F319" i="5"/>
  <c r="E320" i="5"/>
  <c r="F320" i="5"/>
  <c r="E321" i="5"/>
  <c r="F321" i="5"/>
  <c r="E322" i="5"/>
  <c r="F322" i="5"/>
  <c r="E323" i="5"/>
  <c r="F323" i="5"/>
  <c r="E324" i="5"/>
  <c r="F324" i="5"/>
  <c r="E325" i="5"/>
  <c r="F325" i="5"/>
  <c r="E326" i="5"/>
  <c r="F326" i="5"/>
  <c r="E327" i="5"/>
  <c r="F327" i="5"/>
  <c r="E328" i="5"/>
  <c r="F328" i="5"/>
  <c r="E329" i="5"/>
  <c r="F329" i="5"/>
  <c r="E330" i="5"/>
  <c r="F330" i="5"/>
  <c r="E331" i="5"/>
  <c r="F331" i="5"/>
  <c r="E332" i="5"/>
  <c r="F332" i="5"/>
  <c r="E333" i="5"/>
  <c r="F333" i="5"/>
  <c r="E334" i="5"/>
  <c r="F334" i="5"/>
  <c r="E335" i="5"/>
  <c r="F335" i="5"/>
  <c r="E336" i="5"/>
  <c r="F336" i="5"/>
  <c r="E337" i="5"/>
  <c r="F337" i="5"/>
  <c r="E338" i="5"/>
  <c r="F338" i="5"/>
  <c r="E339" i="5"/>
  <c r="F339" i="5"/>
  <c r="E340" i="5"/>
  <c r="F340" i="5"/>
  <c r="E341" i="5"/>
  <c r="F341" i="5"/>
  <c r="E342" i="5"/>
  <c r="F342" i="5"/>
  <c r="E343" i="5"/>
  <c r="F343" i="5"/>
  <c r="E344" i="5"/>
  <c r="F344" i="5"/>
  <c r="E345" i="5"/>
  <c r="F345" i="5"/>
  <c r="E346" i="5"/>
  <c r="F346" i="5"/>
  <c r="E347" i="5"/>
  <c r="F347" i="5"/>
  <c r="E348" i="5"/>
  <c r="F348" i="5"/>
  <c r="E349" i="5"/>
  <c r="F349" i="5"/>
  <c r="E350" i="5"/>
  <c r="F350" i="5"/>
  <c r="E351" i="5"/>
  <c r="F351" i="5"/>
  <c r="E352" i="5"/>
  <c r="F352" i="5"/>
  <c r="E353" i="5"/>
  <c r="F353" i="5"/>
  <c r="E354" i="5"/>
  <c r="F354" i="5"/>
  <c r="E355" i="5"/>
  <c r="F355" i="5"/>
  <c r="E356" i="5"/>
  <c r="F356" i="5"/>
  <c r="E357" i="5"/>
  <c r="F357" i="5"/>
  <c r="E358" i="5"/>
  <c r="F358" i="5"/>
  <c r="E359" i="5"/>
  <c r="F359" i="5"/>
  <c r="E360" i="5"/>
  <c r="F360" i="5"/>
  <c r="E361" i="5"/>
  <c r="F361" i="5"/>
  <c r="E362" i="5"/>
  <c r="F362" i="5"/>
  <c r="E363" i="5"/>
  <c r="F363" i="5"/>
  <c r="E364" i="5"/>
  <c r="F364" i="5"/>
  <c r="E365" i="5"/>
  <c r="F365" i="5"/>
  <c r="E366" i="5"/>
  <c r="F366" i="5"/>
  <c r="E367" i="5"/>
  <c r="F367" i="5"/>
  <c r="E368" i="5"/>
  <c r="F368" i="5"/>
  <c r="E369" i="5"/>
  <c r="F369" i="5"/>
  <c r="E370" i="5"/>
  <c r="F370" i="5"/>
  <c r="E371" i="5"/>
  <c r="F371" i="5"/>
  <c r="E372" i="5"/>
  <c r="F372" i="5"/>
  <c r="E373" i="5"/>
  <c r="F373" i="5"/>
  <c r="E374" i="5"/>
  <c r="F374" i="5"/>
  <c r="E375" i="5"/>
  <c r="F375" i="5"/>
  <c r="E376" i="5"/>
  <c r="F376" i="5"/>
  <c r="E377" i="5"/>
  <c r="F377" i="5"/>
  <c r="E378" i="5"/>
  <c r="F378" i="5"/>
  <c r="E379" i="5"/>
  <c r="F379" i="5"/>
  <c r="E380" i="5"/>
  <c r="F380" i="5"/>
  <c r="E381" i="5"/>
  <c r="F381" i="5"/>
  <c r="E382" i="5"/>
  <c r="F382" i="5"/>
  <c r="E383" i="5"/>
  <c r="F383" i="5"/>
  <c r="E384" i="5"/>
  <c r="F384" i="5"/>
  <c r="E385" i="5"/>
  <c r="F385" i="5"/>
  <c r="E386" i="5"/>
  <c r="F386" i="5"/>
  <c r="E387" i="5"/>
  <c r="F387" i="5"/>
  <c r="E388" i="5"/>
  <c r="F388" i="5"/>
  <c r="E389" i="5"/>
  <c r="F389" i="5"/>
  <c r="E390" i="5"/>
  <c r="F390" i="5"/>
  <c r="E391" i="5"/>
  <c r="F391" i="5"/>
  <c r="E392" i="5"/>
  <c r="F392" i="5"/>
  <c r="E393" i="5"/>
  <c r="F393" i="5"/>
  <c r="E394" i="5"/>
  <c r="F394" i="5"/>
  <c r="E395" i="5"/>
  <c r="F395" i="5"/>
  <c r="E396" i="5"/>
  <c r="F396" i="5"/>
  <c r="E397" i="5"/>
  <c r="F397" i="5"/>
  <c r="E398" i="5"/>
  <c r="F398" i="5"/>
  <c r="E399" i="5"/>
  <c r="F399" i="5"/>
  <c r="E400" i="5"/>
  <c r="F400" i="5"/>
  <c r="E401" i="5"/>
  <c r="F401" i="5"/>
  <c r="E402" i="5"/>
  <c r="F402" i="5"/>
  <c r="E403" i="5"/>
  <c r="F403" i="5"/>
  <c r="E404" i="5"/>
  <c r="F404" i="5"/>
  <c r="E405" i="5"/>
  <c r="F405" i="5"/>
  <c r="E406" i="5"/>
  <c r="F406" i="5"/>
  <c r="E407" i="5"/>
  <c r="F407" i="5"/>
  <c r="E408" i="5"/>
  <c r="F408" i="5"/>
  <c r="E409" i="5"/>
  <c r="F409" i="5"/>
  <c r="E410" i="5"/>
  <c r="F410" i="5"/>
  <c r="E411" i="5"/>
  <c r="F411" i="5"/>
  <c r="E412" i="5"/>
  <c r="F412" i="5"/>
  <c r="E413" i="5"/>
  <c r="F413" i="5"/>
  <c r="E414" i="5"/>
  <c r="F414" i="5"/>
  <c r="E415" i="5"/>
  <c r="F415" i="5"/>
  <c r="E416" i="5"/>
  <c r="F416" i="5"/>
  <c r="E417" i="5"/>
  <c r="F417" i="5"/>
  <c r="E418" i="5"/>
  <c r="F418" i="5"/>
  <c r="E419" i="5"/>
  <c r="F419" i="5"/>
  <c r="E420" i="5"/>
  <c r="F420" i="5"/>
  <c r="E421" i="5"/>
  <c r="F421" i="5"/>
  <c r="E422" i="5"/>
  <c r="F422" i="5"/>
  <c r="E423" i="5"/>
  <c r="F423" i="5"/>
  <c r="E424" i="5"/>
  <c r="F424" i="5"/>
  <c r="E425" i="5"/>
  <c r="F425" i="5"/>
  <c r="E426" i="5"/>
  <c r="F426" i="5"/>
  <c r="E427" i="5"/>
  <c r="F427" i="5"/>
  <c r="E428" i="5"/>
  <c r="F428" i="5"/>
  <c r="E429" i="5"/>
  <c r="F429" i="5"/>
  <c r="E430" i="5"/>
  <c r="F430" i="5"/>
  <c r="E431" i="5"/>
  <c r="F431" i="5"/>
  <c r="E432" i="5"/>
  <c r="F432" i="5"/>
  <c r="E433" i="5"/>
  <c r="F433" i="5"/>
  <c r="E434" i="5"/>
  <c r="F434" i="5"/>
  <c r="E435" i="5"/>
  <c r="F435" i="5"/>
  <c r="E436" i="5"/>
  <c r="F436" i="5"/>
  <c r="E437" i="5"/>
  <c r="F437" i="5"/>
  <c r="E438" i="5"/>
  <c r="F438" i="5"/>
  <c r="E439" i="5"/>
  <c r="F439" i="5"/>
  <c r="E440" i="5"/>
  <c r="F440" i="5"/>
  <c r="E441" i="5"/>
  <c r="F441" i="5"/>
  <c r="E442" i="5"/>
  <c r="F442" i="5"/>
  <c r="E443" i="5"/>
  <c r="F443" i="5"/>
  <c r="E444" i="5"/>
  <c r="F444" i="5"/>
  <c r="E445" i="5"/>
  <c r="F445" i="5"/>
  <c r="E446" i="5"/>
  <c r="F446" i="5"/>
  <c r="E447" i="5"/>
  <c r="F447" i="5"/>
  <c r="E448" i="5"/>
  <c r="F448" i="5"/>
  <c r="E449" i="5"/>
  <c r="F449" i="5"/>
  <c r="E450" i="5"/>
  <c r="F450" i="5"/>
  <c r="E451" i="5"/>
  <c r="F451" i="5"/>
  <c r="E452" i="5"/>
  <c r="F452" i="5"/>
  <c r="E453" i="5"/>
  <c r="F453" i="5"/>
  <c r="E454" i="5"/>
  <c r="F454" i="5"/>
  <c r="E455" i="5"/>
  <c r="F455" i="5"/>
  <c r="E456" i="5"/>
  <c r="F456" i="5"/>
  <c r="E457" i="5"/>
  <c r="F457" i="5"/>
  <c r="E458" i="5"/>
  <c r="F458" i="5"/>
  <c r="E459" i="5"/>
  <c r="F459" i="5"/>
  <c r="E460" i="5"/>
  <c r="F460" i="5"/>
  <c r="E461" i="5"/>
  <c r="F461" i="5"/>
  <c r="E462" i="5"/>
  <c r="F462" i="5"/>
  <c r="E463" i="5"/>
  <c r="F463" i="5"/>
  <c r="E464" i="5"/>
  <c r="F464" i="5"/>
  <c r="E465" i="5"/>
  <c r="F465" i="5"/>
  <c r="E466" i="5"/>
  <c r="F466" i="5"/>
  <c r="E467" i="5"/>
  <c r="F467" i="5"/>
  <c r="E468" i="5"/>
  <c r="F468" i="5"/>
  <c r="E469" i="5"/>
  <c r="F469" i="5"/>
  <c r="E470" i="5"/>
  <c r="F470" i="5"/>
  <c r="E471" i="5"/>
  <c r="F471" i="5"/>
  <c r="E472" i="5"/>
  <c r="F472" i="5"/>
  <c r="E473" i="5"/>
  <c r="F473" i="5"/>
  <c r="E474" i="5"/>
  <c r="F474" i="5"/>
  <c r="E475" i="5"/>
  <c r="F475" i="5"/>
  <c r="E476" i="5"/>
  <c r="F476" i="5"/>
  <c r="E477" i="5"/>
  <c r="F477" i="5"/>
  <c r="E478" i="5"/>
  <c r="F478" i="5"/>
  <c r="E479" i="5"/>
  <c r="F479" i="5"/>
  <c r="E480" i="5"/>
  <c r="F480" i="5"/>
  <c r="E481" i="5"/>
  <c r="F481" i="5"/>
  <c r="E482" i="5"/>
  <c r="F482" i="5"/>
  <c r="E483" i="5"/>
  <c r="F483" i="5"/>
  <c r="E484" i="5"/>
  <c r="F484" i="5"/>
  <c r="E485" i="5"/>
  <c r="F485" i="5"/>
  <c r="E486" i="5"/>
  <c r="F486" i="5"/>
  <c r="E487" i="5"/>
  <c r="F487" i="5"/>
  <c r="E488" i="5"/>
  <c r="F488" i="5"/>
  <c r="E489" i="5"/>
  <c r="F489" i="5"/>
  <c r="E490" i="5"/>
  <c r="F490" i="5"/>
  <c r="E491" i="5"/>
  <c r="F491" i="5"/>
  <c r="E492" i="5"/>
  <c r="F492" i="5"/>
  <c r="E493" i="5"/>
  <c r="F493" i="5"/>
  <c r="E494" i="5"/>
  <c r="F494" i="5"/>
  <c r="E495" i="5"/>
  <c r="F495" i="5"/>
  <c r="E496" i="5"/>
  <c r="F496" i="5"/>
  <c r="E497" i="5"/>
  <c r="F497" i="5"/>
  <c r="E498" i="5"/>
  <c r="F498" i="5"/>
  <c r="E499" i="5"/>
  <c r="F499" i="5"/>
  <c r="E500" i="5"/>
  <c r="F500" i="5"/>
  <c r="E501" i="5"/>
  <c r="F501" i="5"/>
  <c r="E502" i="5"/>
  <c r="F502" i="5"/>
  <c r="E503" i="5"/>
  <c r="F503" i="5"/>
  <c r="E504" i="5"/>
  <c r="F504" i="5"/>
  <c r="E505" i="5"/>
  <c r="F505" i="5"/>
  <c r="E506" i="5"/>
  <c r="F506" i="5"/>
  <c r="E507" i="5"/>
  <c r="F507" i="5"/>
  <c r="E508" i="5"/>
  <c r="F508" i="5"/>
  <c r="E509" i="5"/>
  <c r="F509" i="5"/>
  <c r="E510" i="5"/>
  <c r="F510" i="5"/>
  <c r="E511" i="5"/>
  <c r="F511" i="5"/>
  <c r="E512" i="5"/>
  <c r="F512" i="5"/>
  <c r="E513" i="5"/>
  <c r="F513" i="5"/>
  <c r="E514" i="5"/>
  <c r="F514" i="5"/>
  <c r="E515" i="5"/>
  <c r="F515" i="5"/>
  <c r="E516" i="5"/>
  <c r="F516" i="5"/>
  <c r="E517" i="5"/>
  <c r="F517" i="5"/>
  <c r="E518" i="5"/>
  <c r="F518" i="5"/>
  <c r="E519" i="5"/>
  <c r="F519" i="5"/>
  <c r="E520" i="5"/>
  <c r="F520" i="5"/>
  <c r="E521" i="5"/>
  <c r="F521" i="5"/>
  <c r="E522" i="5"/>
  <c r="F522" i="5"/>
  <c r="E523" i="5"/>
  <c r="F523" i="5"/>
  <c r="E524" i="5"/>
  <c r="F524" i="5"/>
  <c r="E525" i="5"/>
  <c r="F525" i="5"/>
  <c r="E526" i="5"/>
  <c r="F526" i="5"/>
  <c r="E527" i="5"/>
  <c r="F527" i="5"/>
  <c r="E528" i="5"/>
  <c r="F528" i="5"/>
  <c r="E529" i="5"/>
  <c r="F529" i="5"/>
  <c r="E530" i="5"/>
  <c r="F530" i="5"/>
  <c r="E531" i="5"/>
  <c r="F531" i="5"/>
  <c r="E532" i="5"/>
  <c r="F532" i="5"/>
  <c r="E533" i="5"/>
  <c r="F533" i="5"/>
  <c r="E534" i="5"/>
  <c r="F534" i="5"/>
  <c r="E535" i="5"/>
  <c r="F535" i="5"/>
  <c r="E536" i="5"/>
  <c r="F536" i="5"/>
  <c r="E537" i="5"/>
  <c r="F537" i="5"/>
  <c r="E538" i="5"/>
  <c r="F538" i="5"/>
  <c r="E539" i="5"/>
  <c r="F539" i="5"/>
  <c r="E540" i="5"/>
  <c r="F540" i="5"/>
  <c r="E541" i="5"/>
  <c r="F541" i="5"/>
  <c r="E542" i="5"/>
  <c r="F542" i="5"/>
  <c r="E543" i="5"/>
  <c r="F543" i="5"/>
  <c r="E544" i="5"/>
  <c r="F544" i="5"/>
  <c r="E545" i="5"/>
  <c r="F545" i="5"/>
  <c r="E546" i="5"/>
  <c r="F546" i="5"/>
  <c r="E547" i="5"/>
  <c r="F547" i="5"/>
  <c r="E548" i="5"/>
  <c r="F548" i="5"/>
  <c r="E549" i="5"/>
  <c r="F549" i="5"/>
  <c r="E550" i="5"/>
  <c r="F550" i="5"/>
  <c r="E551" i="5"/>
  <c r="F551" i="5"/>
  <c r="E552" i="5"/>
  <c r="F552" i="5"/>
  <c r="E553" i="5"/>
  <c r="F553" i="5"/>
  <c r="E554" i="5"/>
  <c r="F554" i="5"/>
  <c r="E555" i="5"/>
  <c r="F555" i="5"/>
  <c r="E556" i="5"/>
  <c r="F556" i="5"/>
  <c r="E557" i="5"/>
  <c r="F557" i="5"/>
  <c r="E558" i="5"/>
  <c r="F558" i="5"/>
  <c r="E559" i="5"/>
  <c r="F559" i="5"/>
  <c r="E560" i="5"/>
  <c r="F560" i="5"/>
  <c r="E561" i="5"/>
  <c r="F561" i="5"/>
  <c r="E562" i="5"/>
  <c r="F562" i="5"/>
  <c r="E563" i="5"/>
  <c r="F563" i="5"/>
  <c r="E564" i="5"/>
  <c r="F564" i="5"/>
  <c r="E565" i="5"/>
  <c r="F565" i="5"/>
  <c r="E566" i="5"/>
  <c r="F566" i="5"/>
  <c r="E567" i="5"/>
  <c r="F567" i="5"/>
  <c r="E568" i="5"/>
  <c r="F568" i="5"/>
  <c r="E569" i="5"/>
  <c r="F569" i="5"/>
  <c r="E570" i="5"/>
  <c r="F570" i="5"/>
  <c r="E571" i="5"/>
  <c r="F571" i="5"/>
  <c r="E572" i="5"/>
  <c r="F572" i="5"/>
  <c r="E573" i="5"/>
  <c r="F573" i="5"/>
  <c r="E574" i="5"/>
  <c r="F574" i="5"/>
  <c r="E575" i="5"/>
  <c r="F575" i="5"/>
  <c r="E576" i="5"/>
  <c r="F576" i="5"/>
  <c r="E577" i="5"/>
  <c r="F577" i="5"/>
  <c r="E578" i="5"/>
  <c r="F578" i="5"/>
  <c r="E579" i="5"/>
  <c r="F579" i="5"/>
  <c r="E580" i="5"/>
  <c r="F580" i="5"/>
  <c r="E581" i="5"/>
  <c r="F581" i="5"/>
  <c r="E582" i="5"/>
  <c r="F582" i="5"/>
  <c r="E583" i="5"/>
  <c r="F583" i="5"/>
  <c r="E584" i="5"/>
  <c r="F584" i="5"/>
  <c r="E585" i="5"/>
  <c r="F585" i="5"/>
  <c r="E586" i="5"/>
  <c r="F586" i="5"/>
  <c r="E587" i="5"/>
  <c r="F587" i="5"/>
  <c r="E588" i="5"/>
  <c r="F588" i="5"/>
  <c r="E589" i="5"/>
  <c r="F589" i="5"/>
  <c r="E590" i="5"/>
  <c r="F590" i="5"/>
  <c r="E591" i="5"/>
  <c r="F591" i="5"/>
  <c r="E592" i="5"/>
  <c r="F592" i="5"/>
  <c r="E593" i="5"/>
  <c r="F593" i="5"/>
  <c r="E594" i="5"/>
  <c r="F594" i="5"/>
  <c r="E595" i="5"/>
  <c r="F595" i="5"/>
  <c r="E596" i="5"/>
  <c r="F596" i="5"/>
  <c r="E597" i="5"/>
  <c r="F597" i="5"/>
  <c r="E598" i="5"/>
  <c r="F598" i="5"/>
  <c r="E599" i="5"/>
  <c r="F599" i="5"/>
  <c r="E600" i="5"/>
  <c r="F600" i="5"/>
  <c r="E601" i="5"/>
  <c r="F601" i="5"/>
  <c r="E602" i="5"/>
  <c r="F602" i="5"/>
  <c r="E603" i="5"/>
  <c r="F603" i="5"/>
  <c r="E604" i="5"/>
  <c r="F604" i="5"/>
  <c r="E605" i="5"/>
  <c r="F605" i="5"/>
  <c r="E606" i="5"/>
  <c r="F606" i="5"/>
  <c r="E607" i="5"/>
  <c r="F607" i="5"/>
  <c r="E608" i="5"/>
  <c r="F608" i="5"/>
  <c r="E609" i="5"/>
  <c r="F609" i="5"/>
  <c r="E610" i="5"/>
  <c r="F610" i="5"/>
  <c r="E611" i="5"/>
  <c r="F611" i="5"/>
  <c r="E612" i="5"/>
  <c r="F612" i="5"/>
  <c r="E613" i="5"/>
  <c r="F613" i="5"/>
  <c r="E614" i="5"/>
  <c r="F614" i="5"/>
  <c r="E615" i="5"/>
  <c r="F615" i="5"/>
  <c r="E616" i="5"/>
  <c r="F616" i="5"/>
  <c r="E617" i="5"/>
  <c r="F617" i="5"/>
  <c r="E618" i="5"/>
  <c r="F618" i="5"/>
  <c r="E619" i="5"/>
  <c r="F619" i="5"/>
  <c r="E620" i="5"/>
  <c r="F620" i="5"/>
  <c r="E621" i="5"/>
  <c r="F621" i="5"/>
  <c r="E622" i="5"/>
  <c r="F622" i="5"/>
  <c r="E623" i="5"/>
  <c r="F623" i="5"/>
  <c r="E624" i="5"/>
  <c r="F624" i="5"/>
  <c r="E625" i="5"/>
  <c r="F625" i="5"/>
  <c r="E626" i="5"/>
  <c r="F626" i="5"/>
  <c r="E627" i="5"/>
  <c r="F627" i="5"/>
  <c r="E628" i="5"/>
  <c r="F628" i="5"/>
  <c r="E629" i="5"/>
  <c r="F629" i="5"/>
  <c r="E630" i="5"/>
  <c r="F630" i="5"/>
  <c r="E631" i="5"/>
  <c r="F631" i="5"/>
  <c r="E632" i="5"/>
  <c r="F632" i="5"/>
  <c r="E633" i="5"/>
  <c r="F633" i="5"/>
  <c r="E634" i="5"/>
  <c r="F634" i="5"/>
  <c r="E635" i="5"/>
  <c r="F635" i="5"/>
  <c r="E636" i="5"/>
  <c r="F636" i="5"/>
  <c r="E637" i="5"/>
  <c r="F637" i="5"/>
  <c r="E638" i="5"/>
  <c r="F638" i="5"/>
  <c r="E639" i="5"/>
  <c r="F639" i="5"/>
  <c r="E640" i="5"/>
  <c r="F640" i="5"/>
  <c r="E641" i="5"/>
  <c r="F641" i="5"/>
  <c r="E642" i="5"/>
  <c r="F642" i="5"/>
  <c r="E643" i="5"/>
  <c r="F643" i="5"/>
  <c r="E644" i="5"/>
  <c r="F644" i="5"/>
  <c r="E645" i="5"/>
  <c r="F645" i="5"/>
  <c r="E646" i="5"/>
  <c r="F646" i="5"/>
  <c r="E647" i="5"/>
  <c r="F647" i="5"/>
  <c r="E648" i="5"/>
  <c r="F648" i="5"/>
  <c r="E649" i="5"/>
  <c r="F649" i="5"/>
  <c r="E650" i="5"/>
  <c r="F650" i="5"/>
  <c r="E651" i="5"/>
  <c r="F651" i="5"/>
  <c r="E652" i="5"/>
  <c r="F652" i="5"/>
  <c r="E653" i="5"/>
  <c r="F653" i="5"/>
  <c r="E654" i="5"/>
  <c r="F654" i="5"/>
  <c r="E655" i="5"/>
  <c r="F655" i="5"/>
  <c r="E656" i="5"/>
  <c r="F656" i="5"/>
  <c r="E657" i="5"/>
  <c r="F657" i="5"/>
  <c r="E658" i="5"/>
  <c r="F658" i="5"/>
  <c r="E659" i="5"/>
  <c r="F659" i="5"/>
  <c r="E660" i="5"/>
  <c r="F660" i="5"/>
  <c r="E661" i="5"/>
  <c r="F661" i="5"/>
  <c r="E662" i="5"/>
  <c r="F662" i="5"/>
  <c r="E663" i="5"/>
  <c r="F663" i="5"/>
  <c r="E664" i="5"/>
  <c r="F664" i="5"/>
  <c r="E665" i="5"/>
  <c r="F665" i="5"/>
  <c r="E666" i="5"/>
  <c r="F666" i="5"/>
  <c r="E667" i="5"/>
  <c r="F667" i="5"/>
  <c r="E668" i="5"/>
  <c r="F668" i="5"/>
  <c r="E669" i="5"/>
  <c r="F669" i="5"/>
  <c r="E670" i="5"/>
  <c r="F670" i="5"/>
  <c r="E671" i="5"/>
  <c r="F671" i="5"/>
  <c r="E672" i="5"/>
  <c r="F672" i="5"/>
  <c r="E673" i="5"/>
  <c r="F673" i="5"/>
  <c r="E674" i="5"/>
  <c r="F674" i="5"/>
  <c r="E675" i="5"/>
  <c r="F675" i="5"/>
  <c r="E676" i="5"/>
  <c r="F676" i="5"/>
  <c r="E677" i="5"/>
  <c r="F677" i="5"/>
  <c r="E678" i="5"/>
  <c r="F678" i="5"/>
  <c r="E679" i="5"/>
  <c r="F679" i="5"/>
  <c r="E680" i="5"/>
  <c r="F680" i="5"/>
  <c r="E681" i="5"/>
  <c r="F681" i="5"/>
  <c r="E682" i="5"/>
  <c r="F682" i="5"/>
  <c r="E683" i="5"/>
  <c r="F683" i="5"/>
  <c r="E684" i="5"/>
  <c r="F684" i="5"/>
  <c r="E685" i="5"/>
  <c r="F685" i="5"/>
  <c r="E686" i="5"/>
  <c r="F686" i="5"/>
  <c r="E687" i="5"/>
  <c r="F687" i="5"/>
  <c r="E688" i="5"/>
  <c r="F688" i="5"/>
  <c r="E689" i="5"/>
  <c r="F689" i="5"/>
  <c r="E690" i="5"/>
  <c r="F690" i="5"/>
  <c r="E691" i="5"/>
  <c r="F691" i="5"/>
  <c r="E692" i="5"/>
  <c r="F692" i="5"/>
  <c r="E693" i="5"/>
  <c r="F693" i="5"/>
  <c r="E694" i="5"/>
  <c r="F694" i="5"/>
  <c r="E695" i="5"/>
  <c r="F695" i="5"/>
  <c r="E696" i="5"/>
  <c r="F696" i="5"/>
  <c r="E697" i="5"/>
  <c r="F697" i="5"/>
  <c r="E698" i="5"/>
  <c r="F698" i="5"/>
  <c r="E699" i="5"/>
  <c r="F699" i="5"/>
  <c r="E700" i="5"/>
  <c r="F700" i="5"/>
  <c r="E701" i="5"/>
  <c r="F701" i="5"/>
  <c r="E702" i="5"/>
  <c r="F702" i="5"/>
  <c r="E35" i="5"/>
  <c r="F35" i="5"/>
  <c r="H2" i="5"/>
  <c r="I2" i="5"/>
  <c r="H3" i="5"/>
  <c r="I3" i="5"/>
  <c r="H4" i="5"/>
  <c r="I4" i="5"/>
  <c r="H5" i="5"/>
  <c r="I5" i="5"/>
  <c r="H6" i="5"/>
  <c r="I6" i="5"/>
  <c r="H7" i="5"/>
  <c r="I7" i="5"/>
  <c r="H8" i="5"/>
  <c r="I8" i="5"/>
  <c r="H9" i="5"/>
  <c r="I9" i="5"/>
  <c r="H10" i="5"/>
  <c r="I10" i="5"/>
  <c r="H11" i="5"/>
  <c r="I11" i="5"/>
  <c r="H12" i="5"/>
  <c r="I12" i="5"/>
  <c r="H13" i="5"/>
  <c r="I13" i="5"/>
  <c r="H14" i="5"/>
  <c r="I14" i="5"/>
  <c r="H15" i="5"/>
  <c r="I15" i="5"/>
  <c r="H16" i="5"/>
  <c r="I16" i="5"/>
  <c r="H17" i="5"/>
  <c r="I17" i="5"/>
  <c r="H18" i="5"/>
  <c r="I18" i="5"/>
  <c r="H19" i="5"/>
  <c r="I19" i="5"/>
  <c r="H20" i="5"/>
  <c r="I20" i="5"/>
  <c r="H21" i="5"/>
  <c r="I21" i="5"/>
  <c r="H22" i="5"/>
  <c r="I22" i="5"/>
  <c r="H23" i="5"/>
  <c r="I23" i="5"/>
  <c r="H24" i="5"/>
  <c r="I24" i="5"/>
  <c r="H25" i="5"/>
  <c r="I25" i="5"/>
  <c r="H26" i="5"/>
  <c r="I26" i="5"/>
  <c r="H27" i="5"/>
  <c r="I27" i="5"/>
  <c r="H28" i="5"/>
  <c r="I28" i="5"/>
  <c r="H29" i="5"/>
  <c r="I29" i="5"/>
  <c r="H30" i="5"/>
  <c r="I30" i="5"/>
  <c r="H31" i="5"/>
  <c r="I31" i="5"/>
  <c r="H32" i="5"/>
  <c r="I32" i="5"/>
  <c r="H33" i="5"/>
  <c r="I33" i="5"/>
  <c r="H34" i="5"/>
  <c r="I34" i="5"/>
  <c r="H35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H352" i="5"/>
  <c r="H353" i="5"/>
  <c r="H354" i="5"/>
  <c r="H355" i="5"/>
  <c r="H356" i="5"/>
  <c r="H357" i="5"/>
  <c r="H358" i="5"/>
  <c r="H359" i="5"/>
  <c r="H360" i="5"/>
  <c r="H361" i="5"/>
  <c r="H362" i="5"/>
  <c r="H363" i="5"/>
  <c r="H364" i="5"/>
  <c r="H365" i="5"/>
  <c r="H366" i="5"/>
  <c r="H367" i="5"/>
  <c r="H368" i="5"/>
  <c r="H369" i="5"/>
  <c r="H370" i="5"/>
  <c r="H371" i="5"/>
  <c r="H372" i="5"/>
  <c r="H373" i="5"/>
  <c r="H374" i="5"/>
  <c r="H375" i="5"/>
  <c r="H376" i="5"/>
  <c r="H377" i="5"/>
  <c r="H378" i="5"/>
  <c r="H379" i="5"/>
  <c r="H380" i="5"/>
  <c r="H381" i="5"/>
  <c r="H382" i="5"/>
  <c r="H383" i="5"/>
  <c r="H384" i="5"/>
  <c r="H385" i="5"/>
  <c r="H386" i="5"/>
  <c r="H387" i="5"/>
  <c r="H388" i="5"/>
  <c r="H389" i="5"/>
  <c r="H390" i="5"/>
  <c r="H391" i="5"/>
  <c r="H392" i="5"/>
  <c r="H393" i="5"/>
  <c r="H394" i="5"/>
  <c r="H395" i="5"/>
  <c r="H396" i="5"/>
  <c r="H397" i="5"/>
  <c r="H398" i="5"/>
  <c r="H399" i="5"/>
  <c r="H400" i="5"/>
  <c r="H401" i="5"/>
  <c r="H402" i="5"/>
  <c r="H403" i="5"/>
  <c r="H404" i="5"/>
  <c r="H405" i="5"/>
  <c r="H406" i="5"/>
  <c r="H407" i="5"/>
  <c r="H408" i="5"/>
  <c r="H409" i="5"/>
  <c r="H410" i="5"/>
  <c r="H411" i="5"/>
  <c r="H412" i="5"/>
  <c r="H413" i="5"/>
  <c r="H414" i="5"/>
  <c r="H415" i="5"/>
  <c r="H416" i="5"/>
  <c r="H417" i="5"/>
  <c r="H418" i="5"/>
  <c r="H419" i="5"/>
  <c r="H420" i="5"/>
  <c r="H421" i="5"/>
  <c r="H422" i="5"/>
  <c r="H423" i="5"/>
  <c r="H424" i="5"/>
  <c r="H425" i="5"/>
  <c r="H426" i="5"/>
  <c r="H427" i="5"/>
  <c r="H428" i="5"/>
  <c r="H429" i="5"/>
  <c r="H430" i="5"/>
  <c r="H431" i="5"/>
  <c r="H432" i="5"/>
  <c r="H433" i="5"/>
  <c r="H434" i="5"/>
  <c r="H435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53" i="5"/>
  <c r="H454" i="5"/>
  <c r="H455" i="5"/>
  <c r="H456" i="5"/>
  <c r="H457" i="5"/>
  <c r="H458" i="5"/>
  <c r="H459" i="5"/>
  <c r="H460" i="5"/>
  <c r="H461" i="5"/>
  <c r="H462" i="5"/>
  <c r="H463" i="5"/>
  <c r="H464" i="5"/>
  <c r="H465" i="5"/>
  <c r="H466" i="5"/>
  <c r="H467" i="5"/>
  <c r="H468" i="5"/>
  <c r="H469" i="5"/>
  <c r="H470" i="5"/>
  <c r="H471" i="5"/>
  <c r="H472" i="5"/>
  <c r="H473" i="5"/>
  <c r="H474" i="5"/>
  <c r="H475" i="5"/>
  <c r="H476" i="5"/>
  <c r="H477" i="5"/>
  <c r="H478" i="5"/>
  <c r="H479" i="5"/>
  <c r="H480" i="5"/>
  <c r="H481" i="5"/>
  <c r="H482" i="5"/>
  <c r="H483" i="5"/>
  <c r="H484" i="5"/>
  <c r="H485" i="5"/>
  <c r="H486" i="5"/>
  <c r="H487" i="5"/>
  <c r="H488" i="5"/>
  <c r="H489" i="5"/>
  <c r="H490" i="5"/>
  <c r="H491" i="5"/>
  <c r="H492" i="5"/>
  <c r="H493" i="5"/>
  <c r="H494" i="5"/>
  <c r="H495" i="5"/>
  <c r="H496" i="5"/>
  <c r="H497" i="5"/>
  <c r="H498" i="5"/>
  <c r="H499" i="5"/>
  <c r="H500" i="5"/>
  <c r="H501" i="5"/>
  <c r="H502" i="5"/>
  <c r="H503" i="5"/>
  <c r="H504" i="5"/>
  <c r="H505" i="5"/>
  <c r="H506" i="5"/>
  <c r="H507" i="5"/>
  <c r="H508" i="5"/>
  <c r="H509" i="5"/>
  <c r="H510" i="5"/>
  <c r="H511" i="5"/>
  <c r="H512" i="5"/>
  <c r="H513" i="5"/>
  <c r="H514" i="5"/>
  <c r="H515" i="5"/>
  <c r="H516" i="5"/>
  <c r="H517" i="5"/>
  <c r="H518" i="5"/>
  <c r="H519" i="5"/>
  <c r="H520" i="5"/>
  <c r="H521" i="5"/>
  <c r="H522" i="5"/>
  <c r="H523" i="5"/>
  <c r="H524" i="5"/>
  <c r="H525" i="5"/>
  <c r="H526" i="5"/>
  <c r="H527" i="5"/>
  <c r="H528" i="5"/>
  <c r="H529" i="5"/>
  <c r="H530" i="5"/>
  <c r="H531" i="5"/>
  <c r="H532" i="5"/>
  <c r="H533" i="5"/>
  <c r="H534" i="5"/>
  <c r="H535" i="5"/>
  <c r="H536" i="5"/>
  <c r="H537" i="5"/>
  <c r="H538" i="5"/>
  <c r="H539" i="5"/>
  <c r="H540" i="5"/>
  <c r="H541" i="5"/>
  <c r="H542" i="5"/>
  <c r="H543" i="5"/>
  <c r="H544" i="5"/>
  <c r="H545" i="5"/>
  <c r="H546" i="5"/>
  <c r="H547" i="5"/>
  <c r="H548" i="5"/>
  <c r="H549" i="5"/>
  <c r="H550" i="5"/>
  <c r="H551" i="5"/>
  <c r="H552" i="5"/>
  <c r="H553" i="5"/>
  <c r="H554" i="5"/>
  <c r="H555" i="5"/>
  <c r="H556" i="5"/>
  <c r="H557" i="5"/>
  <c r="H558" i="5"/>
  <c r="H559" i="5"/>
  <c r="H560" i="5"/>
  <c r="H561" i="5"/>
  <c r="H562" i="5"/>
  <c r="H563" i="5"/>
  <c r="H564" i="5"/>
  <c r="H565" i="5"/>
  <c r="H566" i="5"/>
  <c r="H567" i="5"/>
  <c r="H568" i="5"/>
  <c r="H569" i="5"/>
  <c r="H570" i="5"/>
  <c r="H571" i="5"/>
  <c r="H572" i="5"/>
  <c r="H573" i="5"/>
  <c r="H574" i="5"/>
  <c r="H575" i="5"/>
  <c r="H576" i="5"/>
  <c r="H577" i="5"/>
  <c r="H578" i="5"/>
  <c r="H579" i="5"/>
  <c r="H580" i="5"/>
  <c r="H581" i="5"/>
  <c r="H582" i="5"/>
  <c r="H583" i="5"/>
  <c r="H584" i="5"/>
  <c r="H585" i="5"/>
  <c r="H586" i="5"/>
  <c r="H587" i="5"/>
  <c r="H588" i="5"/>
  <c r="H589" i="5"/>
  <c r="H590" i="5"/>
  <c r="H591" i="5"/>
  <c r="H592" i="5"/>
  <c r="H593" i="5"/>
  <c r="H594" i="5"/>
  <c r="H595" i="5"/>
  <c r="H596" i="5"/>
  <c r="H597" i="5"/>
  <c r="H598" i="5"/>
  <c r="H599" i="5"/>
  <c r="H600" i="5"/>
  <c r="H601" i="5"/>
  <c r="H602" i="5"/>
  <c r="H603" i="5"/>
  <c r="H604" i="5"/>
  <c r="H605" i="5"/>
  <c r="H606" i="5"/>
  <c r="H607" i="5"/>
  <c r="H608" i="5"/>
  <c r="H609" i="5"/>
  <c r="H610" i="5"/>
  <c r="H611" i="5"/>
  <c r="H612" i="5"/>
  <c r="H613" i="5"/>
  <c r="H614" i="5"/>
  <c r="H615" i="5"/>
  <c r="H616" i="5"/>
  <c r="H617" i="5"/>
  <c r="H618" i="5"/>
  <c r="H619" i="5"/>
  <c r="H620" i="5"/>
  <c r="H621" i="5"/>
  <c r="H622" i="5"/>
  <c r="H623" i="5"/>
  <c r="H624" i="5"/>
  <c r="H625" i="5"/>
  <c r="H626" i="5"/>
  <c r="H627" i="5"/>
  <c r="H628" i="5"/>
  <c r="H629" i="5"/>
  <c r="H630" i="5"/>
  <c r="H631" i="5"/>
  <c r="H632" i="5"/>
  <c r="H633" i="5"/>
  <c r="H634" i="5"/>
  <c r="H635" i="5"/>
  <c r="H636" i="5"/>
  <c r="H637" i="5"/>
  <c r="H638" i="5"/>
  <c r="H639" i="5"/>
  <c r="H640" i="5"/>
  <c r="H641" i="5"/>
  <c r="H642" i="5"/>
  <c r="H643" i="5"/>
  <c r="H644" i="5"/>
  <c r="H645" i="5"/>
  <c r="H646" i="5"/>
  <c r="H647" i="5"/>
  <c r="H648" i="5"/>
  <c r="H649" i="5"/>
  <c r="H650" i="5"/>
  <c r="H651" i="5"/>
  <c r="H652" i="5"/>
  <c r="H653" i="5"/>
  <c r="H654" i="5"/>
  <c r="H655" i="5"/>
  <c r="H656" i="5"/>
  <c r="H657" i="5"/>
  <c r="H658" i="5"/>
  <c r="H659" i="5"/>
  <c r="H660" i="5"/>
  <c r="H661" i="5"/>
  <c r="H662" i="5"/>
  <c r="H663" i="5"/>
  <c r="H664" i="5"/>
  <c r="H665" i="5"/>
  <c r="H666" i="5"/>
  <c r="H667" i="5"/>
  <c r="H668" i="5"/>
  <c r="H669" i="5"/>
  <c r="H670" i="5"/>
  <c r="H671" i="5"/>
  <c r="H672" i="5"/>
  <c r="H673" i="5"/>
  <c r="H674" i="5"/>
  <c r="H675" i="5"/>
  <c r="H676" i="5"/>
  <c r="H677" i="5"/>
  <c r="H678" i="5"/>
  <c r="H679" i="5"/>
  <c r="H680" i="5"/>
  <c r="H681" i="5"/>
  <c r="H682" i="5"/>
  <c r="H683" i="5"/>
  <c r="H684" i="5"/>
  <c r="H685" i="5"/>
  <c r="H686" i="5"/>
  <c r="H687" i="5"/>
  <c r="H688" i="5"/>
  <c r="H689" i="5"/>
  <c r="H690" i="5"/>
  <c r="H691" i="5"/>
  <c r="H692" i="5"/>
  <c r="H693" i="5"/>
  <c r="H694" i="5"/>
  <c r="H695" i="5"/>
  <c r="H696" i="5"/>
  <c r="H697" i="5"/>
  <c r="H698" i="5"/>
  <c r="H699" i="5"/>
  <c r="H700" i="5"/>
  <c r="H701" i="5"/>
  <c r="H702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35" i="5"/>
  <c r="B13" i="8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14" i="4"/>
  <c r="F16" i="4"/>
  <c r="H16" i="4" s="1"/>
  <c r="F18" i="4"/>
  <c r="H18" i="4" s="1"/>
  <c r="F20" i="4"/>
  <c r="H20" i="4" s="1"/>
  <c r="F22" i="4"/>
  <c r="H22" i="4" s="1"/>
  <c r="F24" i="4"/>
  <c r="H24" i="4" s="1"/>
  <c r="F26" i="4"/>
  <c r="H26" i="4" s="1"/>
  <c r="F28" i="4"/>
  <c r="H28" i="4" s="1"/>
  <c r="F30" i="4"/>
  <c r="H30" i="4" s="1"/>
  <c r="F32" i="4"/>
  <c r="H32" i="4" s="1"/>
  <c r="F34" i="4"/>
  <c r="H34" i="4" s="1"/>
  <c r="F36" i="4"/>
  <c r="H36" i="4" s="1"/>
  <c r="F38" i="4"/>
  <c r="H38" i="4" s="1"/>
  <c r="F40" i="4"/>
  <c r="H40" i="4" s="1"/>
  <c r="F42" i="4"/>
  <c r="H42" i="4" s="1"/>
  <c r="F44" i="4"/>
  <c r="H44" i="4" s="1"/>
  <c r="F46" i="4"/>
  <c r="H46" i="4" s="1"/>
  <c r="F48" i="4"/>
  <c r="H48" i="4" s="1"/>
  <c r="F50" i="4"/>
  <c r="H50" i="4" s="1"/>
  <c r="F52" i="4"/>
  <c r="H52" i="4" s="1"/>
  <c r="F54" i="4"/>
  <c r="H54" i="4" s="1"/>
  <c r="F56" i="4"/>
  <c r="H56" i="4" s="1"/>
  <c r="F58" i="4"/>
  <c r="H58" i="4" s="1"/>
  <c r="F60" i="4"/>
  <c r="H60" i="4" s="1"/>
  <c r="F62" i="4"/>
  <c r="H62" i="4" s="1"/>
  <c r="F64" i="4"/>
  <c r="H64" i="4" s="1"/>
  <c r="F66" i="4"/>
  <c r="H66" i="4" s="1"/>
  <c r="F68" i="4"/>
  <c r="H68" i="4" s="1"/>
  <c r="F70" i="4"/>
  <c r="H70" i="4" s="1"/>
  <c r="F72" i="4"/>
  <c r="H72" i="4" s="1"/>
  <c r="F74" i="4"/>
  <c r="H74" i="4" s="1"/>
  <c r="F76" i="4"/>
  <c r="H76" i="4" s="1"/>
  <c r="F78" i="4"/>
  <c r="H78" i="4" s="1"/>
  <c r="F80" i="4"/>
  <c r="H80" i="4" s="1"/>
  <c r="F82" i="4"/>
  <c r="H82" i="4" s="1"/>
  <c r="F84" i="4"/>
  <c r="H84" i="4" s="1"/>
  <c r="F86" i="4"/>
  <c r="H86" i="4" s="1"/>
  <c r="F88" i="4"/>
  <c r="H88" i="4" s="1"/>
  <c r="F90" i="4"/>
  <c r="H90" i="4" s="1"/>
  <c r="F92" i="4"/>
  <c r="H92" i="4" s="1"/>
  <c r="F94" i="4"/>
  <c r="H94" i="4" s="1"/>
  <c r="F96" i="4"/>
  <c r="H96" i="4" s="1"/>
  <c r="F98" i="4"/>
  <c r="H98" i="4" s="1"/>
  <c r="F100" i="4"/>
  <c r="H100" i="4" s="1"/>
  <c r="F102" i="4"/>
  <c r="H102" i="4" s="1"/>
  <c r="F104" i="4"/>
  <c r="H104" i="4" s="1"/>
  <c r="F106" i="4"/>
  <c r="H106" i="4" s="1"/>
  <c r="F108" i="4"/>
  <c r="H108" i="4" s="1"/>
  <c r="F110" i="4"/>
  <c r="H110" i="4" s="1"/>
  <c r="F112" i="4"/>
  <c r="H112" i="4" s="1"/>
  <c r="F114" i="4"/>
  <c r="H114" i="4" s="1"/>
  <c r="F116" i="4"/>
  <c r="H116" i="4" s="1"/>
  <c r="F118" i="4"/>
  <c r="H118" i="4" s="1"/>
  <c r="F120" i="4"/>
  <c r="H120" i="4" s="1"/>
  <c r="F122" i="4"/>
  <c r="H122" i="4" s="1"/>
  <c r="F124" i="4"/>
  <c r="H124" i="4" s="1"/>
  <c r="F126" i="4"/>
  <c r="H126" i="4" s="1"/>
  <c r="F128" i="4"/>
  <c r="H128" i="4" s="1"/>
  <c r="F130" i="4"/>
  <c r="H130" i="4" s="1"/>
  <c r="F132" i="4"/>
  <c r="H132" i="4" s="1"/>
  <c r="F134" i="4"/>
  <c r="H134" i="4" s="1"/>
  <c r="F136" i="4"/>
  <c r="H136" i="4" s="1"/>
  <c r="F138" i="4"/>
  <c r="H138" i="4" s="1"/>
  <c r="F140" i="4"/>
  <c r="H140" i="4" s="1"/>
  <c r="F142" i="4"/>
  <c r="H142" i="4" s="1"/>
  <c r="F144" i="4"/>
  <c r="H144" i="4" s="1"/>
  <c r="F146" i="4"/>
  <c r="H146" i="4" s="1"/>
  <c r="F148" i="4"/>
  <c r="H148" i="4" s="1"/>
  <c r="F150" i="4"/>
  <c r="H150" i="4" s="1"/>
  <c r="F152" i="4"/>
  <c r="H152" i="4" s="1"/>
  <c r="F154" i="4"/>
  <c r="H154" i="4" s="1"/>
  <c r="F156" i="4"/>
  <c r="H156" i="4" s="1"/>
  <c r="F158" i="4"/>
  <c r="H158" i="4" s="1"/>
  <c r="F160" i="4"/>
  <c r="H160" i="4" s="1"/>
  <c r="F162" i="4"/>
  <c r="H162" i="4" s="1"/>
  <c r="F164" i="4"/>
  <c r="H164" i="4" s="1"/>
  <c r="F166" i="4"/>
  <c r="H166" i="4" s="1"/>
  <c r="F168" i="4"/>
  <c r="H168" i="4" s="1"/>
  <c r="F170" i="4"/>
  <c r="H170" i="4" s="1"/>
  <c r="F172" i="4"/>
  <c r="H172" i="4" s="1"/>
  <c r="F174" i="4"/>
  <c r="H174" i="4" s="1"/>
  <c r="F176" i="4"/>
  <c r="H176" i="4" s="1"/>
  <c r="F178" i="4"/>
  <c r="H178" i="4" s="1"/>
  <c r="F180" i="4"/>
  <c r="H180" i="4" s="1"/>
  <c r="F182" i="4"/>
  <c r="H182" i="4" s="1"/>
  <c r="F184" i="4"/>
  <c r="H184" i="4" s="1"/>
  <c r="F186" i="4"/>
  <c r="H186" i="4" s="1"/>
  <c r="F188" i="4"/>
  <c r="H188" i="4" s="1"/>
  <c r="F190" i="4"/>
  <c r="H190" i="4" s="1"/>
  <c r="F192" i="4"/>
  <c r="H192" i="4" s="1"/>
  <c r="F194" i="4"/>
  <c r="H194" i="4" s="1"/>
  <c r="F196" i="4"/>
  <c r="H196" i="4" s="1"/>
  <c r="F198" i="4"/>
  <c r="H198" i="4" s="1"/>
  <c r="F200" i="4"/>
  <c r="H200" i="4" s="1"/>
  <c r="F202" i="4"/>
  <c r="H202" i="4" s="1"/>
  <c r="F204" i="4"/>
  <c r="H204" i="4" s="1"/>
  <c r="F206" i="4"/>
  <c r="H206" i="4" s="1"/>
  <c r="F208" i="4"/>
  <c r="H208" i="4" s="1"/>
  <c r="F210" i="4"/>
  <c r="H210" i="4" s="1"/>
  <c r="F212" i="4"/>
  <c r="H212" i="4" s="1"/>
  <c r="F214" i="4"/>
  <c r="H214" i="4" s="1"/>
  <c r="F216" i="4"/>
  <c r="H216" i="4" s="1"/>
  <c r="F218" i="4"/>
  <c r="H218" i="4" s="1"/>
  <c r="F220" i="4"/>
  <c r="H220" i="4" s="1"/>
  <c r="F222" i="4"/>
  <c r="H222" i="4" s="1"/>
  <c r="F224" i="4"/>
  <c r="H224" i="4" s="1"/>
  <c r="F226" i="4"/>
  <c r="H226" i="4" s="1"/>
  <c r="F228" i="4"/>
  <c r="H228" i="4" s="1"/>
  <c r="F230" i="4"/>
  <c r="H230" i="4" s="1"/>
  <c r="F232" i="4"/>
  <c r="H232" i="4" s="1"/>
  <c r="F234" i="4"/>
  <c r="H234" i="4" s="1"/>
  <c r="F236" i="4"/>
  <c r="H236" i="4" s="1"/>
  <c r="F238" i="4"/>
  <c r="H238" i="4" s="1"/>
  <c r="F240" i="4"/>
  <c r="H240" i="4" s="1"/>
  <c r="F242" i="4"/>
  <c r="H242" i="4" s="1"/>
  <c r="F244" i="4"/>
  <c r="H244" i="4" s="1"/>
  <c r="F246" i="4"/>
  <c r="H246" i="4" s="1"/>
  <c r="F248" i="4"/>
  <c r="H248" i="4" s="1"/>
  <c r="F250" i="4"/>
  <c r="H250" i="4" s="1"/>
  <c r="F252" i="4"/>
  <c r="H252" i="4" s="1"/>
  <c r="F254" i="4"/>
  <c r="H254" i="4" s="1"/>
  <c r="F256" i="4"/>
  <c r="H256" i="4" s="1"/>
  <c r="F258" i="4"/>
  <c r="H258" i="4" s="1"/>
  <c r="F260" i="4"/>
  <c r="H260" i="4" s="1"/>
  <c r="F262" i="4"/>
  <c r="H262" i="4" s="1"/>
  <c r="F264" i="4"/>
  <c r="H264" i="4" s="1"/>
  <c r="F266" i="4"/>
  <c r="H266" i="4" s="1"/>
  <c r="F268" i="4"/>
  <c r="H268" i="4" s="1"/>
  <c r="F270" i="4"/>
  <c r="H270" i="4" s="1"/>
  <c r="F272" i="4"/>
  <c r="H272" i="4" s="1"/>
  <c r="F274" i="4"/>
  <c r="H274" i="4" s="1"/>
  <c r="F276" i="4"/>
  <c r="H276" i="4" s="1"/>
  <c r="F278" i="4"/>
  <c r="H278" i="4" s="1"/>
  <c r="F280" i="4"/>
  <c r="H280" i="4" s="1"/>
  <c r="F282" i="4"/>
  <c r="H282" i="4" s="1"/>
  <c r="F284" i="4"/>
  <c r="H284" i="4" s="1"/>
  <c r="F286" i="4"/>
  <c r="H286" i="4" s="1"/>
  <c r="F288" i="4"/>
  <c r="H288" i="4" s="1"/>
  <c r="F290" i="4"/>
  <c r="H290" i="4" s="1"/>
  <c r="F292" i="4"/>
  <c r="H292" i="4" s="1"/>
  <c r="F294" i="4"/>
  <c r="H294" i="4" s="1"/>
  <c r="F296" i="4"/>
  <c r="H296" i="4" s="1"/>
  <c r="F298" i="4"/>
  <c r="H298" i="4" s="1"/>
  <c r="F300" i="4"/>
  <c r="H300" i="4" s="1"/>
  <c r="F302" i="4"/>
  <c r="H302" i="4" s="1"/>
  <c r="F304" i="4"/>
  <c r="H304" i="4" s="1"/>
  <c r="F306" i="4"/>
  <c r="H306" i="4" s="1"/>
  <c r="F308" i="4"/>
  <c r="H308" i="4" s="1"/>
  <c r="F310" i="4"/>
  <c r="H310" i="4" s="1"/>
  <c r="F312" i="4"/>
  <c r="H312" i="4" s="1"/>
  <c r="F314" i="4"/>
  <c r="H314" i="4" s="1"/>
  <c r="F316" i="4"/>
  <c r="H316" i="4" s="1"/>
  <c r="F318" i="4"/>
  <c r="H318" i="4" s="1"/>
  <c r="F320" i="4"/>
  <c r="H320" i="4" s="1"/>
  <c r="F322" i="4"/>
  <c r="H322" i="4" s="1"/>
  <c r="F324" i="4"/>
  <c r="H324" i="4" s="1"/>
  <c r="F326" i="4"/>
  <c r="H326" i="4" s="1"/>
  <c r="F328" i="4"/>
  <c r="H328" i="4" s="1"/>
  <c r="F330" i="4"/>
  <c r="H330" i="4" s="1"/>
  <c r="F332" i="4"/>
  <c r="H332" i="4" s="1"/>
  <c r="F334" i="4"/>
  <c r="H334" i="4" s="1"/>
  <c r="F336" i="4"/>
  <c r="H336" i="4" s="1"/>
  <c r="F338" i="4"/>
  <c r="H338" i="4" s="1"/>
  <c r="F340" i="4"/>
  <c r="H340" i="4" s="1"/>
  <c r="F342" i="4"/>
  <c r="H342" i="4" s="1"/>
  <c r="F344" i="4"/>
  <c r="H344" i="4" s="1"/>
  <c r="F346" i="4"/>
  <c r="H346" i="4" s="1"/>
  <c r="F348" i="4"/>
  <c r="H348" i="4" s="1"/>
  <c r="F350" i="4"/>
  <c r="H350" i="4" s="1"/>
  <c r="F352" i="4"/>
  <c r="H352" i="4" s="1"/>
  <c r="F354" i="4"/>
  <c r="H354" i="4" s="1"/>
  <c r="F356" i="4"/>
  <c r="H356" i="4" s="1"/>
  <c r="F358" i="4"/>
  <c r="H358" i="4" s="1"/>
  <c r="F360" i="4"/>
  <c r="H360" i="4" s="1"/>
  <c r="F362" i="4"/>
  <c r="H362" i="4" s="1"/>
  <c r="F364" i="4"/>
  <c r="H364" i="4" s="1"/>
  <c r="F366" i="4"/>
  <c r="H366" i="4" s="1"/>
  <c r="F368" i="4"/>
  <c r="H368" i="4" s="1"/>
  <c r="F370" i="4"/>
  <c r="H370" i="4" s="1"/>
  <c r="F372" i="4"/>
  <c r="H372" i="4" s="1"/>
  <c r="F374" i="4"/>
  <c r="H374" i="4" s="1"/>
  <c r="F376" i="4"/>
  <c r="H376" i="4" s="1"/>
  <c r="F378" i="4"/>
  <c r="H378" i="4" s="1"/>
  <c r="F380" i="4"/>
  <c r="H380" i="4" s="1"/>
  <c r="F382" i="4"/>
  <c r="H382" i="4" s="1"/>
  <c r="F384" i="4"/>
  <c r="H384" i="4" s="1"/>
  <c r="F386" i="4"/>
  <c r="H386" i="4" s="1"/>
  <c r="F388" i="4"/>
  <c r="H388" i="4" s="1"/>
  <c r="F390" i="4"/>
  <c r="H390" i="4" s="1"/>
  <c r="F392" i="4"/>
  <c r="H392" i="4" s="1"/>
  <c r="F394" i="4"/>
  <c r="H394" i="4" s="1"/>
  <c r="F396" i="4"/>
  <c r="H396" i="4" s="1"/>
  <c r="F398" i="4"/>
  <c r="H398" i="4" s="1"/>
  <c r="F400" i="4"/>
  <c r="H400" i="4" s="1"/>
  <c r="F402" i="4"/>
  <c r="H402" i="4" s="1"/>
  <c r="F14" i="4"/>
  <c r="H14" i="4" s="1"/>
  <c r="G14" i="4"/>
  <c r="G16" i="4"/>
  <c r="G18" i="4"/>
  <c r="G20" i="4"/>
  <c r="G22" i="4"/>
  <c r="G24" i="4"/>
  <c r="G26" i="4"/>
  <c r="G28" i="4"/>
  <c r="G30" i="4"/>
  <c r="G32" i="4"/>
  <c r="G34" i="4"/>
  <c r="G36" i="4"/>
  <c r="G38" i="4"/>
  <c r="G40" i="4"/>
  <c r="G42" i="4"/>
  <c r="G44" i="4"/>
  <c r="G46" i="4"/>
  <c r="G48" i="4"/>
  <c r="G50" i="4"/>
  <c r="G52" i="4"/>
  <c r="G54" i="4"/>
  <c r="G56" i="4"/>
  <c r="G58" i="4"/>
  <c r="G60" i="4"/>
  <c r="G62" i="4"/>
  <c r="G64" i="4"/>
  <c r="G66" i="4"/>
  <c r="G68" i="4"/>
  <c r="G70" i="4"/>
  <c r="G72" i="4"/>
  <c r="G74" i="4"/>
  <c r="G76" i="4"/>
  <c r="G78" i="4"/>
  <c r="G80" i="4"/>
  <c r="G82" i="4"/>
  <c r="G84" i="4"/>
  <c r="G86" i="4"/>
  <c r="G88" i="4"/>
  <c r="G90" i="4"/>
  <c r="G92" i="4"/>
  <c r="G94" i="4"/>
  <c r="G96" i="4"/>
  <c r="G98" i="4"/>
  <c r="G100" i="4"/>
  <c r="G102" i="4"/>
  <c r="G104" i="4"/>
  <c r="G106" i="4"/>
  <c r="G108" i="4"/>
  <c r="G110" i="4"/>
  <c r="G112" i="4"/>
  <c r="G114" i="4"/>
  <c r="G116" i="4"/>
  <c r="G118" i="4"/>
  <c r="G120" i="4"/>
  <c r="G122" i="4"/>
  <c r="G124" i="4"/>
  <c r="G126" i="4"/>
  <c r="G128" i="4"/>
  <c r="G130" i="4"/>
  <c r="G132" i="4"/>
  <c r="G134" i="4"/>
  <c r="G136" i="4"/>
  <c r="G138" i="4"/>
  <c r="G140" i="4"/>
  <c r="G142" i="4"/>
  <c r="G144" i="4"/>
  <c r="G146" i="4"/>
  <c r="G148" i="4"/>
  <c r="G150" i="4"/>
  <c r="G152" i="4"/>
  <c r="G154" i="4"/>
  <c r="G156" i="4"/>
  <c r="G158" i="4"/>
  <c r="G160" i="4"/>
  <c r="G162" i="4"/>
  <c r="G164" i="4"/>
  <c r="G166" i="4"/>
  <c r="G168" i="4"/>
  <c r="G170" i="4"/>
  <c r="G172" i="4"/>
  <c r="G174" i="4"/>
  <c r="G176" i="4"/>
  <c r="G178" i="4"/>
  <c r="G180" i="4"/>
  <c r="G182" i="4"/>
  <c r="G184" i="4"/>
  <c r="G186" i="4"/>
  <c r="G188" i="4"/>
  <c r="G190" i="4"/>
  <c r="G192" i="4"/>
  <c r="G194" i="4"/>
  <c r="G196" i="4"/>
  <c r="G198" i="4"/>
  <c r="G200" i="4"/>
  <c r="G202" i="4"/>
  <c r="G204" i="4"/>
  <c r="G206" i="4"/>
  <c r="G208" i="4"/>
  <c r="G210" i="4"/>
  <c r="G212" i="4"/>
  <c r="G214" i="4"/>
  <c r="G216" i="4"/>
  <c r="G218" i="4"/>
  <c r="G220" i="4"/>
  <c r="G222" i="4"/>
  <c r="G224" i="4"/>
  <c r="G226" i="4"/>
  <c r="G228" i="4"/>
  <c r="G230" i="4"/>
  <c r="G232" i="4"/>
  <c r="G234" i="4"/>
  <c r="G236" i="4"/>
  <c r="G238" i="4"/>
  <c r="G240" i="4"/>
  <c r="G242" i="4"/>
  <c r="G244" i="4"/>
  <c r="G246" i="4"/>
  <c r="G248" i="4"/>
  <c r="G250" i="4"/>
  <c r="G252" i="4"/>
  <c r="G254" i="4"/>
  <c r="G256" i="4"/>
  <c r="G258" i="4"/>
  <c r="G260" i="4"/>
  <c r="G262" i="4"/>
  <c r="G264" i="4"/>
  <c r="G266" i="4"/>
  <c r="G268" i="4"/>
  <c r="G270" i="4"/>
  <c r="G272" i="4"/>
  <c r="G274" i="4"/>
  <c r="G276" i="4"/>
  <c r="G278" i="4"/>
  <c r="G280" i="4"/>
  <c r="G282" i="4"/>
  <c r="G284" i="4"/>
  <c r="G286" i="4"/>
  <c r="G288" i="4"/>
  <c r="G290" i="4"/>
  <c r="G292" i="4"/>
  <c r="G294" i="4"/>
  <c r="G296" i="4"/>
  <c r="G298" i="4"/>
  <c r="G300" i="4"/>
  <c r="G302" i="4"/>
  <c r="G304" i="4"/>
  <c r="G306" i="4"/>
  <c r="G308" i="4"/>
  <c r="G310" i="4"/>
  <c r="G312" i="4"/>
  <c r="G314" i="4"/>
  <c r="G316" i="4"/>
  <c r="G318" i="4"/>
  <c r="G320" i="4"/>
  <c r="G322" i="4"/>
  <c r="G324" i="4"/>
  <c r="G326" i="4"/>
  <c r="G328" i="4"/>
  <c r="G330" i="4"/>
  <c r="G332" i="4"/>
  <c r="G334" i="4"/>
  <c r="G336" i="4"/>
  <c r="G338" i="4"/>
  <c r="G340" i="4"/>
  <c r="G342" i="4"/>
  <c r="G344" i="4"/>
  <c r="G346" i="4"/>
  <c r="G348" i="4"/>
  <c r="G350" i="4"/>
  <c r="G352" i="4"/>
  <c r="G354" i="4"/>
  <c r="G356" i="4"/>
  <c r="G358" i="4"/>
  <c r="G360" i="4"/>
  <c r="G362" i="4"/>
  <c r="G364" i="4"/>
  <c r="G366" i="4"/>
  <c r="G368" i="4"/>
  <c r="G370" i="4"/>
  <c r="G372" i="4"/>
  <c r="G374" i="4"/>
  <c r="G376" i="4"/>
  <c r="G378" i="4"/>
  <c r="G380" i="4"/>
  <c r="G382" i="4"/>
  <c r="G384" i="4"/>
  <c r="G386" i="4"/>
  <c r="G388" i="4"/>
  <c r="G390" i="4"/>
  <c r="G392" i="4"/>
  <c r="G394" i="4"/>
  <c r="G396" i="4"/>
  <c r="G398" i="4"/>
  <c r="G400" i="4"/>
  <c r="G402" i="4"/>
  <c r="C403" i="4"/>
  <c r="C401" i="4"/>
  <c r="C399" i="4"/>
  <c r="C397" i="4"/>
  <c r="C395" i="4"/>
  <c r="C393" i="4"/>
  <c r="C391" i="4"/>
  <c r="C389" i="4"/>
  <c r="C387" i="4"/>
  <c r="C385" i="4"/>
  <c r="C383" i="4"/>
  <c r="C381" i="4"/>
  <c r="C379" i="4"/>
  <c r="C377" i="4"/>
  <c r="C375" i="4"/>
  <c r="C373" i="4"/>
  <c r="C371" i="4"/>
  <c r="C369" i="4"/>
  <c r="C367" i="4"/>
  <c r="C365" i="4"/>
  <c r="C363" i="4"/>
  <c r="C361" i="4"/>
  <c r="C359" i="4"/>
  <c r="C357" i="4"/>
  <c r="C355" i="4"/>
  <c r="C353" i="4"/>
  <c r="C351" i="4"/>
  <c r="H1225" i="23" s="1"/>
  <c r="C349" i="4"/>
  <c r="C347" i="4"/>
  <c r="C345" i="4"/>
  <c r="C343" i="4"/>
  <c r="C341" i="4"/>
  <c r="C339" i="4"/>
  <c r="C337" i="4"/>
  <c r="C335" i="4"/>
  <c r="C333" i="4"/>
  <c r="C331" i="4"/>
  <c r="C329" i="4"/>
  <c r="C327" i="4"/>
  <c r="C325" i="4"/>
  <c r="C323" i="4"/>
  <c r="C321" i="4"/>
  <c r="C319" i="4"/>
  <c r="C317" i="4"/>
  <c r="C315" i="4"/>
  <c r="C313" i="4"/>
  <c r="C311" i="4"/>
  <c r="C309" i="4"/>
  <c r="C307" i="4"/>
  <c r="C305" i="4"/>
  <c r="C303" i="4"/>
  <c r="C301" i="4"/>
  <c r="C299" i="4"/>
  <c r="C297" i="4"/>
  <c r="C295" i="4"/>
  <c r="C293" i="4"/>
  <c r="C291" i="4"/>
  <c r="C289" i="4"/>
  <c r="C287" i="4"/>
  <c r="B14" i="4"/>
  <c r="B16" i="4"/>
  <c r="B18" i="4"/>
  <c r="B20" i="4"/>
  <c r="B22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70" i="4"/>
  <c r="B72" i="4"/>
  <c r="B74" i="4"/>
  <c r="B76" i="4"/>
  <c r="B78" i="4"/>
  <c r="B80" i="4"/>
  <c r="B82" i="4"/>
  <c r="B84" i="4"/>
  <c r="B86" i="4"/>
  <c r="B88" i="4"/>
  <c r="B90" i="4"/>
  <c r="B92" i="4"/>
  <c r="B94" i="4"/>
  <c r="B96" i="4"/>
  <c r="B98" i="4"/>
  <c r="B100" i="4"/>
  <c r="B102" i="4"/>
  <c r="B104" i="4"/>
  <c r="B106" i="4"/>
  <c r="B108" i="4"/>
  <c r="B110" i="4"/>
  <c r="B112" i="4"/>
  <c r="B114" i="4"/>
  <c r="B116" i="4"/>
  <c r="B118" i="4"/>
  <c r="B120" i="4"/>
  <c r="B122" i="4"/>
  <c r="B124" i="4"/>
  <c r="B126" i="4"/>
  <c r="B128" i="4"/>
  <c r="B130" i="4"/>
  <c r="B132" i="4"/>
  <c r="B134" i="4"/>
  <c r="B136" i="4"/>
  <c r="B138" i="4"/>
  <c r="B140" i="4"/>
  <c r="B142" i="4"/>
  <c r="B144" i="4"/>
  <c r="B146" i="4"/>
  <c r="B148" i="4"/>
  <c r="B150" i="4"/>
  <c r="B152" i="4"/>
  <c r="B154" i="4"/>
  <c r="B156" i="4"/>
  <c r="B158" i="4"/>
  <c r="B160" i="4"/>
  <c r="B162" i="4"/>
  <c r="B164" i="4"/>
  <c r="B166" i="4"/>
  <c r="B168" i="4"/>
  <c r="B170" i="4"/>
  <c r="B172" i="4"/>
  <c r="B174" i="4"/>
  <c r="B176" i="4"/>
  <c r="B178" i="4"/>
  <c r="B180" i="4"/>
  <c r="B182" i="4"/>
  <c r="B184" i="4"/>
  <c r="B186" i="4"/>
  <c r="B188" i="4"/>
  <c r="B190" i="4"/>
  <c r="B192" i="4"/>
  <c r="B194" i="4"/>
  <c r="B196" i="4"/>
  <c r="B198" i="4"/>
  <c r="B200" i="4"/>
  <c r="B202" i="4"/>
  <c r="B204" i="4"/>
  <c r="B206" i="4"/>
  <c r="B208" i="4"/>
  <c r="B210" i="4"/>
  <c r="B212" i="4"/>
  <c r="B214" i="4"/>
  <c r="B216" i="4"/>
  <c r="B218" i="4"/>
  <c r="B220" i="4"/>
  <c r="B222" i="4"/>
  <c r="B224" i="4"/>
  <c r="B226" i="4"/>
  <c r="B228" i="4"/>
  <c r="B230" i="4"/>
  <c r="B232" i="4"/>
  <c r="B234" i="4"/>
  <c r="B236" i="4"/>
  <c r="B238" i="4"/>
  <c r="B240" i="4"/>
  <c r="B242" i="4"/>
  <c r="B244" i="4"/>
  <c r="B246" i="4"/>
  <c r="B248" i="4"/>
  <c r="B250" i="4"/>
  <c r="B252" i="4"/>
  <c r="B254" i="4"/>
  <c r="B256" i="4"/>
  <c r="B258" i="4"/>
  <c r="B260" i="4"/>
  <c r="B262" i="4"/>
  <c r="B264" i="4"/>
  <c r="B266" i="4"/>
  <c r="B268" i="4"/>
  <c r="B270" i="4"/>
  <c r="B272" i="4"/>
  <c r="B274" i="4"/>
  <c r="B276" i="4"/>
  <c r="B278" i="4"/>
  <c r="B280" i="4"/>
  <c r="B282" i="4"/>
  <c r="B284" i="4"/>
  <c r="B286" i="4"/>
  <c r="B288" i="4"/>
  <c r="B290" i="4"/>
  <c r="B292" i="4"/>
  <c r="B294" i="4"/>
  <c r="B296" i="4"/>
  <c r="B298" i="4"/>
  <c r="B300" i="4"/>
  <c r="B302" i="4"/>
  <c r="B304" i="4"/>
  <c r="B306" i="4"/>
  <c r="B308" i="4"/>
  <c r="B310" i="4"/>
  <c r="B312" i="4"/>
  <c r="B314" i="4"/>
  <c r="B316" i="4"/>
  <c r="B318" i="4"/>
  <c r="B320" i="4"/>
  <c r="B322" i="4"/>
  <c r="B324" i="4"/>
  <c r="B326" i="4"/>
  <c r="B328" i="4"/>
  <c r="B330" i="4"/>
  <c r="B332" i="4"/>
  <c r="B334" i="4"/>
  <c r="B336" i="4"/>
  <c r="B338" i="4"/>
  <c r="B340" i="4"/>
  <c r="B342" i="4"/>
  <c r="B344" i="4"/>
  <c r="B346" i="4"/>
  <c r="B348" i="4"/>
  <c r="B350" i="4"/>
  <c r="B352" i="4"/>
  <c r="B354" i="4"/>
  <c r="B356" i="4"/>
  <c r="B358" i="4"/>
  <c r="B360" i="4"/>
  <c r="B362" i="4"/>
  <c r="B364" i="4"/>
  <c r="B366" i="4"/>
  <c r="B368" i="4"/>
  <c r="B370" i="4"/>
  <c r="B372" i="4"/>
  <c r="B374" i="4"/>
  <c r="B376" i="4"/>
  <c r="B378" i="4"/>
  <c r="B380" i="4"/>
  <c r="B382" i="4"/>
  <c r="B384" i="4"/>
  <c r="B386" i="4"/>
  <c r="B388" i="4"/>
  <c r="B390" i="4"/>
  <c r="B392" i="4"/>
  <c r="B394" i="4"/>
  <c r="B396" i="4"/>
  <c r="B398" i="4"/>
  <c r="B400" i="4"/>
  <c r="B402" i="4"/>
  <c r="D302" i="4"/>
  <c r="M302" i="4"/>
  <c r="D304" i="4"/>
  <c r="M304" i="4"/>
  <c r="D306" i="4"/>
  <c r="M306" i="4"/>
  <c r="D308" i="4"/>
  <c r="M308" i="4"/>
  <c r="D310" i="4"/>
  <c r="M310" i="4"/>
  <c r="D312" i="4"/>
  <c r="M312" i="4"/>
  <c r="D314" i="4"/>
  <c r="M314" i="4"/>
  <c r="D316" i="4"/>
  <c r="M316" i="4"/>
  <c r="D318" i="4"/>
  <c r="M318" i="4"/>
  <c r="D320" i="4"/>
  <c r="M320" i="4"/>
  <c r="D322" i="4"/>
  <c r="M322" i="4"/>
  <c r="D324" i="4"/>
  <c r="M324" i="4"/>
  <c r="D326" i="4"/>
  <c r="M326" i="4"/>
  <c r="D328" i="4"/>
  <c r="M328" i="4"/>
  <c r="D330" i="4"/>
  <c r="M330" i="4"/>
  <c r="D332" i="4"/>
  <c r="M332" i="4"/>
  <c r="D334" i="4"/>
  <c r="M334" i="4"/>
  <c r="D336" i="4"/>
  <c r="M336" i="4"/>
  <c r="D338" i="4"/>
  <c r="M338" i="4"/>
  <c r="D340" i="4"/>
  <c r="M340" i="4"/>
  <c r="D342" i="4"/>
  <c r="M342" i="4"/>
  <c r="D344" i="4"/>
  <c r="M344" i="4"/>
  <c r="D346" i="4"/>
  <c r="M346" i="4"/>
  <c r="D348" i="4"/>
  <c r="M348" i="4"/>
  <c r="D350" i="4"/>
  <c r="M350" i="4"/>
  <c r="D352" i="4"/>
  <c r="M352" i="4"/>
  <c r="D354" i="4"/>
  <c r="M354" i="4"/>
  <c r="D356" i="4"/>
  <c r="M356" i="4"/>
  <c r="D358" i="4"/>
  <c r="M358" i="4"/>
  <c r="D360" i="4"/>
  <c r="M360" i="4"/>
  <c r="D362" i="4"/>
  <c r="M362" i="4"/>
  <c r="D364" i="4"/>
  <c r="M364" i="4"/>
  <c r="D366" i="4"/>
  <c r="M366" i="4"/>
  <c r="D368" i="4"/>
  <c r="M368" i="4"/>
  <c r="D370" i="4"/>
  <c r="M370" i="4"/>
  <c r="D372" i="4"/>
  <c r="M372" i="4"/>
  <c r="D374" i="4"/>
  <c r="M374" i="4"/>
  <c r="D376" i="4"/>
  <c r="M376" i="4"/>
  <c r="D378" i="4"/>
  <c r="M378" i="4"/>
  <c r="D380" i="4"/>
  <c r="M380" i="4"/>
  <c r="D382" i="4"/>
  <c r="M382" i="4"/>
  <c r="D384" i="4"/>
  <c r="M384" i="4"/>
  <c r="D386" i="4"/>
  <c r="M386" i="4"/>
  <c r="D388" i="4"/>
  <c r="M388" i="4"/>
  <c r="D390" i="4"/>
  <c r="M390" i="4"/>
  <c r="D392" i="4"/>
  <c r="M392" i="4"/>
  <c r="D394" i="4"/>
  <c r="M394" i="4"/>
  <c r="D396" i="4"/>
  <c r="M396" i="4"/>
  <c r="D398" i="4"/>
  <c r="M398" i="4"/>
  <c r="D400" i="4"/>
  <c r="M400" i="4"/>
  <c r="D402" i="4"/>
  <c r="M402" i="4"/>
  <c r="A303" i="9"/>
  <c r="C303" i="9"/>
  <c r="N303" i="4" s="1"/>
  <c r="A304" i="9"/>
  <c r="C304" i="9"/>
  <c r="N304" i="4" s="1"/>
  <c r="A305" i="9"/>
  <c r="C305" i="9"/>
  <c r="N305" i="4" s="1"/>
  <c r="A306" i="9"/>
  <c r="C306" i="9"/>
  <c r="N306" i="4" s="1"/>
  <c r="A307" i="9"/>
  <c r="C307" i="9"/>
  <c r="N307" i="4" s="1"/>
  <c r="A308" i="9"/>
  <c r="C308" i="9"/>
  <c r="N308" i="4" s="1"/>
  <c r="A309" i="9"/>
  <c r="C309" i="9"/>
  <c r="N309" i="4" s="1"/>
  <c r="A310" i="9"/>
  <c r="C310" i="9"/>
  <c r="N310" i="4" s="1"/>
  <c r="A311" i="9"/>
  <c r="C311" i="9"/>
  <c r="N311" i="4" s="1"/>
  <c r="A312" i="9"/>
  <c r="C312" i="9"/>
  <c r="N312" i="4" s="1"/>
  <c r="A313" i="9"/>
  <c r="C313" i="9"/>
  <c r="N313" i="4" s="1"/>
  <c r="A314" i="9"/>
  <c r="C314" i="9"/>
  <c r="N314" i="4" s="1"/>
  <c r="A315" i="9"/>
  <c r="C315" i="9"/>
  <c r="N315" i="4" s="1"/>
  <c r="A316" i="9"/>
  <c r="C316" i="9"/>
  <c r="N316" i="4" s="1"/>
  <c r="A317" i="9"/>
  <c r="C317" i="9"/>
  <c r="N317" i="4" s="1"/>
  <c r="A318" i="9"/>
  <c r="C318" i="9"/>
  <c r="N318" i="4" s="1"/>
  <c r="A319" i="9"/>
  <c r="C319" i="9"/>
  <c r="N319" i="4" s="1"/>
  <c r="A320" i="9"/>
  <c r="C320" i="9"/>
  <c r="N320" i="4" s="1"/>
  <c r="A321" i="9"/>
  <c r="C321" i="9"/>
  <c r="N321" i="4" s="1"/>
  <c r="A322" i="9"/>
  <c r="C322" i="9"/>
  <c r="N322" i="4" s="1"/>
  <c r="A323" i="9"/>
  <c r="C323" i="9"/>
  <c r="N323" i="4" s="1"/>
  <c r="A324" i="9"/>
  <c r="C324" i="9"/>
  <c r="N324" i="4" s="1"/>
  <c r="A325" i="9"/>
  <c r="C325" i="9"/>
  <c r="N325" i="4" s="1"/>
  <c r="A326" i="9"/>
  <c r="C326" i="9"/>
  <c r="N326" i="4" s="1"/>
  <c r="A327" i="9"/>
  <c r="C327" i="9"/>
  <c r="N327" i="4" s="1"/>
  <c r="A328" i="9"/>
  <c r="C328" i="9"/>
  <c r="N328" i="4" s="1"/>
  <c r="A329" i="9"/>
  <c r="C329" i="9"/>
  <c r="N329" i="4" s="1"/>
  <c r="A330" i="9"/>
  <c r="C330" i="9"/>
  <c r="N330" i="4" s="1"/>
  <c r="A331" i="9"/>
  <c r="C331" i="9"/>
  <c r="N331" i="4" s="1"/>
  <c r="A332" i="9"/>
  <c r="C332" i="9"/>
  <c r="N332" i="4" s="1"/>
  <c r="A333" i="9"/>
  <c r="C333" i="9"/>
  <c r="N333" i="4" s="1"/>
  <c r="A334" i="9"/>
  <c r="C334" i="9"/>
  <c r="N334" i="4" s="1"/>
  <c r="A335" i="9"/>
  <c r="C335" i="9"/>
  <c r="N335" i="4" s="1"/>
  <c r="A336" i="9"/>
  <c r="C336" i="9"/>
  <c r="N336" i="4" s="1"/>
  <c r="A337" i="9"/>
  <c r="C337" i="9"/>
  <c r="N337" i="4" s="1"/>
  <c r="A338" i="9"/>
  <c r="C338" i="9"/>
  <c r="N338" i="4" s="1"/>
  <c r="A339" i="9"/>
  <c r="C339" i="9"/>
  <c r="N339" i="4" s="1"/>
  <c r="A340" i="9"/>
  <c r="C340" i="9"/>
  <c r="N340" i="4" s="1"/>
  <c r="A341" i="9"/>
  <c r="C341" i="9"/>
  <c r="N341" i="4" s="1"/>
  <c r="A342" i="9"/>
  <c r="C342" i="9"/>
  <c r="N342" i="4" s="1"/>
  <c r="A343" i="9"/>
  <c r="C343" i="9"/>
  <c r="N343" i="4" s="1"/>
  <c r="A344" i="9"/>
  <c r="C344" i="9"/>
  <c r="N344" i="4" s="1"/>
  <c r="A345" i="9"/>
  <c r="C345" i="9"/>
  <c r="N345" i="4" s="1"/>
  <c r="A346" i="9"/>
  <c r="C346" i="9"/>
  <c r="N346" i="4" s="1"/>
  <c r="A347" i="9"/>
  <c r="C347" i="9"/>
  <c r="N347" i="4" s="1"/>
  <c r="A348" i="9"/>
  <c r="C348" i="9"/>
  <c r="N348" i="4" s="1"/>
  <c r="A349" i="9"/>
  <c r="C349" i="9"/>
  <c r="N349" i="4" s="1"/>
  <c r="A350" i="9"/>
  <c r="C350" i="9"/>
  <c r="N350" i="4" s="1"/>
  <c r="A351" i="9"/>
  <c r="C351" i="9"/>
  <c r="N351" i="4" s="1"/>
  <c r="A352" i="9"/>
  <c r="C352" i="9"/>
  <c r="N352" i="4" s="1"/>
  <c r="A353" i="9"/>
  <c r="C353" i="9"/>
  <c r="N353" i="4" s="1"/>
  <c r="A354" i="9"/>
  <c r="C354" i="9"/>
  <c r="N354" i="4" s="1"/>
  <c r="A355" i="9"/>
  <c r="C355" i="9"/>
  <c r="N355" i="4" s="1"/>
  <c r="A356" i="9"/>
  <c r="C356" i="9"/>
  <c r="N356" i="4" s="1"/>
  <c r="A357" i="9"/>
  <c r="C357" i="9"/>
  <c r="N357" i="4" s="1"/>
  <c r="A358" i="9"/>
  <c r="C358" i="9"/>
  <c r="N358" i="4" s="1"/>
  <c r="A359" i="9"/>
  <c r="C359" i="9"/>
  <c r="N359" i="4" s="1"/>
  <c r="A360" i="9"/>
  <c r="C360" i="9"/>
  <c r="N360" i="4" s="1"/>
  <c r="A361" i="9"/>
  <c r="C361" i="9"/>
  <c r="N361" i="4" s="1"/>
  <c r="A362" i="9"/>
  <c r="C362" i="9"/>
  <c r="N362" i="4" s="1"/>
  <c r="A363" i="9"/>
  <c r="C363" i="9"/>
  <c r="N363" i="4" s="1"/>
  <c r="A364" i="9"/>
  <c r="C364" i="9"/>
  <c r="N364" i="4" s="1"/>
  <c r="A365" i="9"/>
  <c r="C365" i="9"/>
  <c r="N365" i="4" s="1"/>
  <c r="A366" i="9"/>
  <c r="C366" i="9"/>
  <c r="N366" i="4" s="1"/>
  <c r="A367" i="9"/>
  <c r="C367" i="9"/>
  <c r="N367" i="4" s="1"/>
  <c r="A368" i="9"/>
  <c r="C368" i="9"/>
  <c r="N368" i="4" s="1"/>
  <c r="A369" i="9"/>
  <c r="C369" i="9"/>
  <c r="N369" i="4" s="1"/>
  <c r="A370" i="9"/>
  <c r="C370" i="9"/>
  <c r="N370" i="4" s="1"/>
  <c r="A371" i="9"/>
  <c r="C371" i="9"/>
  <c r="N371" i="4" s="1"/>
  <c r="A372" i="9"/>
  <c r="C372" i="9"/>
  <c r="N372" i="4" s="1"/>
  <c r="A373" i="9"/>
  <c r="C373" i="9"/>
  <c r="N373" i="4" s="1"/>
  <c r="A374" i="9"/>
  <c r="C374" i="9"/>
  <c r="N374" i="4" s="1"/>
  <c r="A375" i="9"/>
  <c r="C375" i="9"/>
  <c r="N375" i="4" s="1"/>
  <c r="A376" i="9"/>
  <c r="C376" i="9"/>
  <c r="N376" i="4" s="1"/>
  <c r="A377" i="9"/>
  <c r="C377" i="9"/>
  <c r="N377" i="4" s="1"/>
  <c r="A378" i="9"/>
  <c r="C378" i="9"/>
  <c r="N378" i="4" s="1"/>
  <c r="A379" i="9"/>
  <c r="C379" i="9"/>
  <c r="N379" i="4" s="1"/>
  <c r="A380" i="9"/>
  <c r="C380" i="9"/>
  <c r="N380" i="4" s="1"/>
  <c r="A381" i="9"/>
  <c r="C381" i="9"/>
  <c r="N381" i="4" s="1"/>
  <c r="A382" i="9"/>
  <c r="C382" i="9"/>
  <c r="N382" i="4" s="1"/>
  <c r="A383" i="9"/>
  <c r="C383" i="9"/>
  <c r="N383" i="4" s="1"/>
  <c r="A384" i="9"/>
  <c r="C384" i="9"/>
  <c r="N384" i="4" s="1"/>
  <c r="A385" i="9"/>
  <c r="C385" i="9"/>
  <c r="N385" i="4" s="1"/>
  <c r="A386" i="9"/>
  <c r="C386" i="9"/>
  <c r="N386" i="4" s="1"/>
  <c r="A387" i="9"/>
  <c r="C387" i="9"/>
  <c r="N387" i="4" s="1"/>
  <c r="A388" i="9"/>
  <c r="C388" i="9"/>
  <c r="N388" i="4" s="1"/>
  <c r="A389" i="9"/>
  <c r="C389" i="9"/>
  <c r="N389" i="4" s="1"/>
  <c r="A390" i="9"/>
  <c r="C390" i="9"/>
  <c r="N390" i="4" s="1"/>
  <c r="A391" i="9"/>
  <c r="C391" i="9"/>
  <c r="N391" i="4" s="1"/>
  <c r="A392" i="9"/>
  <c r="C392" i="9"/>
  <c r="N392" i="4" s="1"/>
  <c r="A393" i="9"/>
  <c r="C393" i="9"/>
  <c r="N393" i="4" s="1"/>
  <c r="A394" i="9"/>
  <c r="C394" i="9"/>
  <c r="N394" i="4" s="1"/>
  <c r="A395" i="9"/>
  <c r="C395" i="9"/>
  <c r="N395" i="4" s="1"/>
  <c r="A396" i="9"/>
  <c r="C396" i="9"/>
  <c r="N396" i="4" s="1"/>
  <c r="A397" i="9"/>
  <c r="C397" i="9"/>
  <c r="N397" i="4" s="1"/>
  <c r="A398" i="9"/>
  <c r="C398" i="9"/>
  <c r="N398" i="4" s="1"/>
  <c r="A399" i="9"/>
  <c r="C399" i="9"/>
  <c r="N399" i="4" s="1"/>
  <c r="A400" i="9"/>
  <c r="C400" i="9"/>
  <c r="N400" i="4" s="1"/>
  <c r="A401" i="9"/>
  <c r="C401" i="9"/>
  <c r="N401" i="4" s="1"/>
  <c r="A402" i="9"/>
  <c r="C402" i="9"/>
  <c r="N402" i="4" s="1"/>
  <c r="A403" i="9"/>
  <c r="C403" i="9"/>
  <c r="N403" i="4" s="1"/>
  <c r="C22" i="9"/>
  <c r="N22" i="4" s="1"/>
  <c r="A25" i="9"/>
  <c r="C25" i="9" s="1"/>
  <c r="N25" i="4" s="1"/>
  <c r="A26" i="9"/>
  <c r="A27" i="9"/>
  <c r="C27" i="9" s="1"/>
  <c r="N27" i="4" s="1"/>
  <c r="A28" i="9"/>
  <c r="A29" i="9"/>
  <c r="C29" i="9" s="1"/>
  <c r="N29" i="4" s="1"/>
  <c r="A30" i="9"/>
  <c r="A31" i="9"/>
  <c r="C31" i="9" s="1"/>
  <c r="N31" i="4" s="1"/>
  <c r="A32" i="9"/>
  <c r="C32" i="9" s="1"/>
  <c r="N32" i="4" s="1"/>
  <c r="A33" i="9"/>
  <c r="C33" i="9" s="1"/>
  <c r="N33" i="4" s="1"/>
  <c r="A34" i="9"/>
  <c r="A35" i="9"/>
  <c r="A36" i="9"/>
  <c r="A37" i="9"/>
  <c r="A38" i="9"/>
  <c r="C38" i="9" s="1"/>
  <c r="N38" i="4" s="1"/>
  <c r="A39" i="9"/>
  <c r="C39" i="9" s="1"/>
  <c r="N39" i="4" s="1"/>
  <c r="A40" i="9"/>
  <c r="C40" i="9" s="1"/>
  <c r="N40" i="4" s="1"/>
  <c r="A41" i="9"/>
  <c r="C41" i="9" s="1"/>
  <c r="N41" i="4" s="1"/>
  <c r="A42" i="9"/>
  <c r="C42" i="9" s="1"/>
  <c r="N42" i="4" s="1"/>
  <c r="A43" i="9"/>
  <c r="C43" i="9" s="1"/>
  <c r="N43" i="4" s="1"/>
  <c r="A44" i="9"/>
  <c r="A45" i="9"/>
  <c r="C45" i="9" s="1"/>
  <c r="N45" i="4" s="1"/>
  <c r="A46" i="9"/>
  <c r="C46" i="9" s="1"/>
  <c r="N46" i="4" s="1"/>
  <c r="A47" i="9"/>
  <c r="C47" i="9" s="1"/>
  <c r="N47" i="4" s="1"/>
  <c r="A48" i="9"/>
  <c r="C48" i="9" s="1"/>
  <c r="N48" i="4" s="1"/>
  <c r="A49" i="9"/>
  <c r="C49" i="9" s="1"/>
  <c r="N49" i="4" s="1"/>
  <c r="A50" i="9"/>
  <c r="A51" i="9"/>
  <c r="A52" i="9"/>
  <c r="A53" i="9"/>
  <c r="A54" i="9"/>
  <c r="C54" i="9" s="1"/>
  <c r="N54" i="4" s="1"/>
  <c r="A55" i="9"/>
  <c r="C55" i="9" s="1"/>
  <c r="N55" i="4" s="1"/>
  <c r="A56" i="9"/>
  <c r="C56" i="9" s="1"/>
  <c r="N56" i="4" s="1"/>
  <c r="A57" i="9"/>
  <c r="C57" i="9" s="1"/>
  <c r="N57" i="4" s="1"/>
  <c r="A58" i="9"/>
  <c r="C58" i="9" s="1"/>
  <c r="N58" i="4" s="1"/>
  <c r="A59" i="9"/>
  <c r="C59" i="9" s="1"/>
  <c r="N59" i="4" s="1"/>
  <c r="A60" i="9"/>
  <c r="A61" i="9"/>
  <c r="C61" i="9" s="1"/>
  <c r="N61" i="4" s="1"/>
  <c r="A62" i="9"/>
  <c r="C62" i="9" s="1"/>
  <c r="N62" i="4" s="1"/>
  <c r="A63" i="9"/>
  <c r="C63" i="9" s="1"/>
  <c r="N63" i="4" s="1"/>
  <c r="A64" i="9"/>
  <c r="C64" i="9" s="1"/>
  <c r="N64" i="4" s="1"/>
  <c r="A65" i="9"/>
  <c r="A66" i="9"/>
  <c r="A67" i="9"/>
  <c r="C67" i="9" s="1"/>
  <c r="N67" i="4" s="1"/>
  <c r="A68" i="9"/>
  <c r="A69" i="9"/>
  <c r="A70" i="9"/>
  <c r="C70" i="9" s="1"/>
  <c r="N70" i="4" s="1"/>
  <c r="A71" i="9"/>
  <c r="A72" i="9"/>
  <c r="C72" i="9" s="1"/>
  <c r="N72" i="4" s="1"/>
  <c r="A73" i="9"/>
  <c r="C73" i="9" s="1"/>
  <c r="N73" i="4" s="1"/>
  <c r="A74" i="9"/>
  <c r="A75" i="9"/>
  <c r="C75" i="9" s="1"/>
  <c r="N75" i="4" s="1"/>
  <c r="A76" i="9"/>
  <c r="A77" i="9"/>
  <c r="C77" i="9" s="1"/>
  <c r="N77" i="4" s="1"/>
  <c r="A78" i="9"/>
  <c r="A79" i="9"/>
  <c r="C79" i="9" s="1"/>
  <c r="N79" i="4" s="1"/>
  <c r="A80" i="9"/>
  <c r="C80" i="9" s="1"/>
  <c r="N80" i="4" s="1"/>
  <c r="A81" i="9"/>
  <c r="C81" i="9" s="1"/>
  <c r="N81" i="4" s="1"/>
  <c r="A82" i="9"/>
  <c r="A83" i="9"/>
  <c r="C83" i="9" s="1"/>
  <c r="N83" i="4" s="1"/>
  <c r="A84" i="9"/>
  <c r="A85" i="9"/>
  <c r="C85" i="9" s="1"/>
  <c r="N85" i="4" s="1"/>
  <c r="A86" i="9"/>
  <c r="C86" i="9" s="1"/>
  <c r="N86" i="4" s="1"/>
  <c r="A87" i="9"/>
  <c r="C87" i="9" s="1"/>
  <c r="N87" i="4" s="1"/>
  <c r="A88" i="9"/>
  <c r="C88" i="9" s="1"/>
  <c r="N88" i="4" s="1"/>
  <c r="A89" i="9"/>
  <c r="C89" i="9" s="1"/>
  <c r="N89" i="4" s="1"/>
  <c r="A90" i="9"/>
  <c r="A91" i="9"/>
  <c r="C91" i="9" s="1"/>
  <c r="N91" i="4" s="1"/>
  <c r="A92" i="9"/>
  <c r="A93" i="9"/>
  <c r="C93" i="9" s="1"/>
  <c r="N93" i="4" s="1"/>
  <c r="A94" i="9"/>
  <c r="C94" i="9" s="1"/>
  <c r="N94" i="4" s="1"/>
  <c r="A95" i="9"/>
  <c r="C95" i="9" s="1"/>
  <c r="N95" i="4" s="1"/>
  <c r="A96" i="9"/>
  <c r="C96" i="9" s="1"/>
  <c r="N96" i="4" s="1"/>
  <c r="A97" i="9"/>
  <c r="C97" i="9" s="1"/>
  <c r="N97" i="4" s="1"/>
  <c r="A98" i="9"/>
  <c r="A99" i="9"/>
  <c r="C99" i="9" s="1"/>
  <c r="N99" i="4" s="1"/>
  <c r="A100" i="9"/>
  <c r="A101" i="9"/>
  <c r="C101" i="9" s="1"/>
  <c r="N101" i="4" s="1"/>
  <c r="A102" i="9"/>
  <c r="A103" i="9"/>
  <c r="C103" i="9" s="1"/>
  <c r="N103" i="4" s="1"/>
  <c r="A104" i="9"/>
  <c r="C104" i="9" s="1"/>
  <c r="N104" i="4" s="1"/>
  <c r="A105" i="9"/>
  <c r="C105" i="9" s="1"/>
  <c r="N105" i="4" s="1"/>
  <c r="A106" i="9"/>
  <c r="A107" i="9"/>
  <c r="C107" i="9" s="1"/>
  <c r="N107" i="4" s="1"/>
  <c r="A108" i="9"/>
  <c r="A109" i="9"/>
  <c r="C109" i="9" s="1"/>
  <c r="N109" i="4" s="1"/>
  <c r="A110" i="9"/>
  <c r="A111" i="9"/>
  <c r="C111" i="9" s="1"/>
  <c r="N111" i="4" s="1"/>
  <c r="A112" i="9"/>
  <c r="C112" i="9" s="1"/>
  <c r="A113" i="9"/>
  <c r="C113" i="9" s="1"/>
  <c r="A114" i="9"/>
  <c r="A115" i="9"/>
  <c r="A116" i="9"/>
  <c r="A117" i="9"/>
  <c r="A118" i="9"/>
  <c r="A119" i="9"/>
  <c r="A120" i="9"/>
  <c r="C120" i="9" s="1"/>
  <c r="A121" i="9"/>
  <c r="C121" i="9" s="1"/>
  <c r="A122" i="9"/>
  <c r="A123" i="9"/>
  <c r="C123" i="9" s="1"/>
  <c r="N123" i="4" s="1"/>
  <c r="A124" i="9"/>
  <c r="A125" i="9"/>
  <c r="C125" i="9" s="1"/>
  <c r="N125" i="4" s="1"/>
  <c r="A126" i="9"/>
  <c r="A127" i="9"/>
  <c r="A128" i="9"/>
  <c r="C128" i="9" s="1"/>
  <c r="N128" i="4" s="1"/>
  <c r="A129" i="9"/>
  <c r="A130" i="9"/>
  <c r="A131" i="9"/>
  <c r="C131" i="9" s="1"/>
  <c r="N131" i="4" s="1"/>
  <c r="A132" i="9"/>
  <c r="A133" i="9"/>
  <c r="C133" i="9" s="1"/>
  <c r="N133" i="4" s="1"/>
  <c r="A134" i="9"/>
  <c r="A135" i="9"/>
  <c r="C135" i="9" s="1"/>
  <c r="N135" i="4" s="1"/>
  <c r="A136" i="9"/>
  <c r="C136" i="9" s="1"/>
  <c r="N136" i="4" s="1"/>
  <c r="A137" i="9"/>
  <c r="A138" i="9"/>
  <c r="A139" i="9"/>
  <c r="C139" i="9" s="1"/>
  <c r="N139" i="4" s="1"/>
  <c r="A140" i="9"/>
  <c r="A141" i="9"/>
  <c r="C141" i="9" s="1"/>
  <c r="N141" i="4" s="1"/>
  <c r="A142" i="9"/>
  <c r="C142" i="9" s="1"/>
  <c r="N142" i="4" s="1"/>
  <c r="A143" i="9"/>
  <c r="C143" i="9" s="1"/>
  <c r="N143" i="4" s="1"/>
  <c r="A144" i="9"/>
  <c r="C144" i="9" s="1"/>
  <c r="N144" i="4" s="1"/>
  <c r="A145" i="9"/>
  <c r="A146" i="9"/>
  <c r="A147" i="9"/>
  <c r="C147" i="9" s="1"/>
  <c r="N147" i="4" s="1"/>
  <c r="A148" i="9"/>
  <c r="A149" i="9"/>
  <c r="A150" i="9"/>
  <c r="A151" i="9"/>
  <c r="C151" i="9" s="1"/>
  <c r="N151" i="4" s="1"/>
  <c r="A152" i="9"/>
  <c r="C152" i="9" s="1"/>
  <c r="N152" i="4" s="1"/>
  <c r="A153" i="9"/>
  <c r="C153" i="9" s="1"/>
  <c r="N153" i="4" s="1"/>
  <c r="A154" i="9"/>
  <c r="A155" i="9"/>
  <c r="C155" i="9" s="1"/>
  <c r="N155" i="4" s="1"/>
  <c r="A156" i="9"/>
  <c r="A157" i="9"/>
  <c r="C157" i="9" s="1"/>
  <c r="N157" i="4" s="1"/>
  <c r="A158" i="9"/>
  <c r="C158" i="9" s="1"/>
  <c r="N158" i="4" s="1"/>
  <c r="A159" i="9"/>
  <c r="C159" i="9" s="1"/>
  <c r="N159" i="4" s="1"/>
  <c r="A160" i="9"/>
  <c r="C160" i="9" s="1"/>
  <c r="N160" i="4" s="1"/>
  <c r="A161" i="9"/>
  <c r="C161" i="9" s="1"/>
  <c r="N161" i="4" s="1"/>
  <c r="A162" i="9"/>
  <c r="A163" i="9"/>
  <c r="C163" i="9" s="1"/>
  <c r="N163" i="4" s="1"/>
  <c r="A164" i="9"/>
  <c r="A165" i="9"/>
  <c r="A166" i="9"/>
  <c r="A167" i="9"/>
  <c r="C167" i="9" s="1"/>
  <c r="N167" i="4" s="1"/>
  <c r="A168" i="9"/>
  <c r="C168" i="9" s="1"/>
  <c r="N168" i="4" s="1"/>
  <c r="A169" i="9"/>
  <c r="C169" i="9" s="1"/>
  <c r="N169" i="4" s="1"/>
  <c r="A170" i="9"/>
  <c r="A171" i="9"/>
  <c r="C171" i="9" s="1"/>
  <c r="N171" i="4" s="1"/>
  <c r="A172" i="9"/>
  <c r="A173" i="9"/>
  <c r="C173" i="9" s="1"/>
  <c r="N173" i="4" s="1"/>
  <c r="A174" i="9"/>
  <c r="A175" i="9"/>
  <c r="C175" i="9" s="1"/>
  <c r="N175" i="4" s="1"/>
  <c r="A176" i="9"/>
  <c r="C176" i="9" s="1"/>
  <c r="N176" i="4" s="1"/>
  <c r="A177" i="9"/>
  <c r="C177" i="9" s="1"/>
  <c r="N177" i="4" s="1"/>
  <c r="A178" i="9"/>
  <c r="A179" i="9"/>
  <c r="A180" i="9"/>
  <c r="A181" i="9"/>
  <c r="A182" i="9"/>
  <c r="A183" i="9"/>
  <c r="A184" i="9"/>
  <c r="C184" i="9" s="1"/>
  <c r="N184" i="4" s="1"/>
  <c r="A185" i="9"/>
  <c r="C185" i="9" s="1"/>
  <c r="N185" i="4" s="1"/>
  <c r="A186" i="9"/>
  <c r="A187" i="9"/>
  <c r="C187" i="9" s="1"/>
  <c r="N187" i="4" s="1"/>
  <c r="A188" i="9"/>
  <c r="A189" i="9"/>
  <c r="C189" i="9" s="1"/>
  <c r="N189" i="4" s="1"/>
  <c r="A190" i="9"/>
  <c r="C190" i="9" s="1"/>
  <c r="N190" i="4" s="1"/>
  <c r="A191" i="9"/>
  <c r="A192" i="9"/>
  <c r="C192" i="9" s="1"/>
  <c r="N192" i="4" s="1"/>
  <c r="A193" i="9"/>
  <c r="A194" i="9"/>
  <c r="A195" i="9"/>
  <c r="C195" i="9" s="1"/>
  <c r="N195" i="4" s="1"/>
  <c r="A196" i="9"/>
  <c r="A197" i="9"/>
  <c r="C197" i="9" s="1"/>
  <c r="N197" i="4" s="1"/>
  <c r="A198" i="9"/>
  <c r="A199" i="9"/>
  <c r="C199" i="9" s="1"/>
  <c r="N199" i="4" s="1"/>
  <c r="A200" i="9"/>
  <c r="C200" i="9" s="1"/>
  <c r="N200" i="4" s="1"/>
  <c r="A201" i="9"/>
  <c r="A202" i="9"/>
  <c r="A203" i="9"/>
  <c r="C203" i="9" s="1"/>
  <c r="N203" i="4" s="1"/>
  <c r="A204" i="9"/>
  <c r="A205" i="9"/>
  <c r="C205" i="9" s="1"/>
  <c r="N205" i="4" s="1"/>
  <c r="A206" i="9"/>
  <c r="A207" i="9"/>
  <c r="C207" i="9" s="1"/>
  <c r="N207" i="4" s="1"/>
  <c r="A208" i="9"/>
  <c r="C208" i="9" s="1"/>
  <c r="N208" i="4" s="1"/>
  <c r="A209" i="9"/>
  <c r="C209" i="9" s="1"/>
  <c r="N209" i="4" s="1"/>
  <c r="A210" i="9"/>
  <c r="A211" i="9"/>
  <c r="C211" i="9" s="1"/>
  <c r="N211" i="4" s="1"/>
  <c r="A212" i="9"/>
  <c r="A213" i="9"/>
  <c r="A214" i="9"/>
  <c r="A215" i="9"/>
  <c r="C215" i="9" s="1"/>
  <c r="N215" i="4" s="1"/>
  <c r="A216" i="9"/>
  <c r="C216" i="9" s="1"/>
  <c r="N216" i="4" s="1"/>
  <c r="A217" i="9"/>
  <c r="C217" i="9" s="1"/>
  <c r="N217" i="4" s="1"/>
  <c r="A218" i="9"/>
  <c r="A219" i="9"/>
  <c r="C219" i="9" s="1"/>
  <c r="N219" i="4" s="1"/>
  <c r="A220" i="9"/>
  <c r="A221" i="9"/>
  <c r="C221" i="9" s="1"/>
  <c r="N221" i="4" s="1"/>
  <c r="A222" i="9"/>
  <c r="C222" i="9" s="1"/>
  <c r="N222" i="4" s="1"/>
  <c r="A223" i="9"/>
  <c r="C223" i="9" s="1"/>
  <c r="N223" i="4" s="1"/>
  <c r="A224" i="9"/>
  <c r="C224" i="9" s="1"/>
  <c r="N224" i="4" s="1"/>
  <c r="A225" i="9"/>
  <c r="C225" i="9" s="1"/>
  <c r="N225" i="4" s="1"/>
  <c r="A226" i="9"/>
  <c r="A227" i="9"/>
  <c r="A228" i="9"/>
  <c r="A229" i="9"/>
  <c r="A230" i="9"/>
  <c r="A231" i="9"/>
  <c r="C231" i="9" s="1"/>
  <c r="N231" i="4" s="1"/>
  <c r="A232" i="9"/>
  <c r="C232" i="9" s="1"/>
  <c r="N232" i="4" s="1"/>
  <c r="A233" i="9"/>
  <c r="C233" i="9" s="1"/>
  <c r="N233" i="4" s="1"/>
  <c r="A234" i="9"/>
  <c r="A235" i="9"/>
  <c r="C235" i="9" s="1"/>
  <c r="N235" i="4" s="1"/>
  <c r="A236" i="9"/>
  <c r="A237" i="9"/>
  <c r="A238" i="9"/>
  <c r="A239" i="9"/>
  <c r="C239" i="9" s="1"/>
  <c r="N239" i="4" s="1"/>
  <c r="A240" i="9"/>
  <c r="C240" i="9" s="1"/>
  <c r="N240" i="4" s="1"/>
  <c r="A241" i="9"/>
  <c r="A242" i="9"/>
  <c r="A243" i="9"/>
  <c r="A244" i="9"/>
  <c r="A245" i="9"/>
  <c r="A246" i="9"/>
  <c r="A247" i="9"/>
  <c r="A248" i="9"/>
  <c r="C248" i="9" s="1"/>
  <c r="N248" i="4" s="1"/>
  <c r="A249" i="9"/>
  <c r="C249" i="9" s="1"/>
  <c r="N249" i="4" s="1"/>
  <c r="A250" i="9"/>
  <c r="A251" i="9"/>
  <c r="C251" i="9" s="1"/>
  <c r="N251" i="4" s="1"/>
  <c r="A252" i="9"/>
  <c r="A253" i="9"/>
  <c r="C253" i="9" s="1"/>
  <c r="N253" i="4" s="1"/>
  <c r="A254" i="9"/>
  <c r="A255" i="9"/>
  <c r="A256" i="9"/>
  <c r="C256" i="9" s="1"/>
  <c r="N256" i="4" s="1"/>
  <c r="A257" i="9"/>
  <c r="C257" i="9" s="1"/>
  <c r="N257" i="4" s="1"/>
  <c r="A258" i="9"/>
  <c r="A259" i="9"/>
  <c r="C259" i="9" s="1"/>
  <c r="N259" i="4" s="1"/>
  <c r="A260" i="9"/>
  <c r="A261" i="9"/>
  <c r="C261" i="9" s="1"/>
  <c r="N261" i="4" s="1"/>
  <c r="A262" i="9"/>
  <c r="A263" i="9"/>
  <c r="A264" i="9"/>
  <c r="C264" i="9" s="1"/>
  <c r="N264" i="4" s="1"/>
  <c r="A265" i="9"/>
  <c r="A266" i="9"/>
  <c r="A267" i="9"/>
  <c r="C267" i="9" s="1"/>
  <c r="N267" i="4" s="1"/>
  <c r="A268" i="9"/>
  <c r="A269" i="9"/>
  <c r="C269" i="9" s="1"/>
  <c r="N269" i="4" s="1"/>
  <c r="A270" i="9"/>
  <c r="A271" i="9"/>
  <c r="C271" i="9" s="1"/>
  <c r="N271" i="4" s="1"/>
  <c r="A272" i="9"/>
  <c r="C272" i="9" s="1"/>
  <c r="N272" i="4" s="1"/>
  <c r="A273" i="9"/>
  <c r="C273" i="9" s="1"/>
  <c r="N273" i="4" s="1"/>
  <c r="A274" i="9"/>
  <c r="A275" i="9"/>
  <c r="C275" i="9" s="1"/>
  <c r="N275" i="4" s="1"/>
  <c r="A276" i="9"/>
  <c r="A277" i="9"/>
  <c r="A278" i="9"/>
  <c r="A279" i="9"/>
  <c r="A280" i="9"/>
  <c r="C280" i="9" s="1"/>
  <c r="N280" i="4" s="1"/>
  <c r="A281" i="9"/>
  <c r="C281" i="9" s="1"/>
  <c r="N281" i="4" s="1"/>
  <c r="A282" i="9"/>
  <c r="A283" i="9"/>
  <c r="C283" i="9" s="1"/>
  <c r="N283" i="4" s="1"/>
  <c r="A284" i="9"/>
  <c r="A285" i="9"/>
  <c r="C285" i="9" s="1"/>
  <c r="N285" i="4" s="1"/>
  <c r="A286" i="9"/>
  <c r="A287" i="9"/>
  <c r="C287" i="9" s="1"/>
  <c r="N287" i="4" s="1"/>
  <c r="A288" i="9"/>
  <c r="C288" i="9" s="1"/>
  <c r="N288" i="4" s="1"/>
  <c r="A289" i="9"/>
  <c r="A290" i="9"/>
  <c r="A291" i="9"/>
  <c r="C291" i="9" s="1"/>
  <c r="N291" i="4" s="1"/>
  <c r="A292" i="9"/>
  <c r="A293" i="9"/>
  <c r="C293" i="9" s="1"/>
  <c r="N293" i="4" s="1"/>
  <c r="A294" i="9"/>
  <c r="A295" i="9"/>
  <c r="C295" i="9" s="1"/>
  <c r="N295" i="4" s="1"/>
  <c r="A296" i="9"/>
  <c r="C296" i="9" s="1"/>
  <c r="N296" i="4" s="1"/>
  <c r="A297" i="9"/>
  <c r="C297" i="9" s="1"/>
  <c r="N297" i="4" s="1"/>
  <c r="A298" i="9"/>
  <c r="A299" i="9"/>
  <c r="C299" i="9" s="1"/>
  <c r="N299" i="4" s="1"/>
  <c r="A300" i="9"/>
  <c r="A301" i="9"/>
  <c r="A302" i="9"/>
  <c r="A3" i="9"/>
  <c r="A4" i="9"/>
  <c r="A5" i="9"/>
  <c r="A6" i="9"/>
  <c r="A7" i="9"/>
  <c r="A8" i="9"/>
  <c r="A9" i="9"/>
  <c r="A10" i="9"/>
  <c r="A11" i="9"/>
  <c r="C11" i="9" s="1"/>
  <c r="N11" i="4" s="1"/>
  <c r="A12" i="9"/>
  <c r="C12" i="9" s="1"/>
  <c r="N12" i="4" s="1"/>
  <c r="A13" i="9"/>
  <c r="C13" i="9" s="1"/>
  <c r="N13" i="4" s="1"/>
  <c r="A14" i="9"/>
  <c r="C14" i="9" s="1"/>
  <c r="N14" i="4" s="1"/>
  <c r="A15" i="9"/>
  <c r="C15" i="9" s="1"/>
  <c r="N15" i="4" s="1"/>
  <c r="A16" i="9"/>
  <c r="C16" i="9" s="1"/>
  <c r="N16" i="4" s="1"/>
  <c r="A17" i="9"/>
  <c r="C17" i="9" s="1"/>
  <c r="N17" i="4" s="1"/>
  <c r="A18" i="9"/>
  <c r="C18" i="9" s="1"/>
  <c r="N18" i="4" s="1"/>
  <c r="A19" i="9"/>
  <c r="C19" i="9" s="1"/>
  <c r="N19" i="4" s="1"/>
  <c r="A20" i="9"/>
  <c r="C20" i="9" s="1"/>
  <c r="N20" i="4" s="1"/>
  <c r="A21" i="9"/>
  <c r="C21" i="9" s="1"/>
  <c r="N21" i="4" s="1"/>
  <c r="A22" i="9"/>
  <c r="A23" i="9"/>
  <c r="C23" i="9" s="1"/>
  <c r="N23" i="4" s="1"/>
  <c r="A24" i="9"/>
  <c r="C24" i="9" s="1"/>
  <c r="N24" i="4" s="1"/>
  <c r="A2" i="9"/>
  <c r="C26" i="9"/>
  <c r="N26" i="4" s="1"/>
  <c r="C28" i="9"/>
  <c r="N28" i="4" s="1"/>
  <c r="C30" i="9"/>
  <c r="N30" i="4" s="1"/>
  <c r="C34" i="9"/>
  <c r="N34" i="4" s="1"/>
  <c r="C35" i="9"/>
  <c r="N35" i="4" s="1"/>
  <c r="C36" i="9"/>
  <c r="N36" i="4" s="1"/>
  <c r="C37" i="9"/>
  <c r="N37" i="4" s="1"/>
  <c r="C44" i="9"/>
  <c r="N44" i="4" s="1"/>
  <c r="C50" i="9"/>
  <c r="N50" i="4" s="1"/>
  <c r="C51" i="9"/>
  <c r="N51" i="4" s="1"/>
  <c r="C52" i="9"/>
  <c r="N52" i="4" s="1"/>
  <c r="C53" i="9"/>
  <c r="N53" i="4" s="1"/>
  <c r="C60" i="9"/>
  <c r="N60" i="4" s="1"/>
  <c r="C65" i="9"/>
  <c r="N65" i="4" s="1"/>
  <c r="C66" i="9"/>
  <c r="N66" i="4" s="1"/>
  <c r="C68" i="9"/>
  <c r="N68" i="4" s="1"/>
  <c r="C69" i="9"/>
  <c r="N69" i="4" s="1"/>
  <c r="C71" i="9"/>
  <c r="N71" i="4" s="1"/>
  <c r="C74" i="9"/>
  <c r="N74" i="4" s="1"/>
  <c r="C76" i="9"/>
  <c r="N76" i="4" s="1"/>
  <c r="C78" i="9"/>
  <c r="N78" i="4" s="1"/>
  <c r="C82" i="9"/>
  <c r="N82" i="4" s="1"/>
  <c r="C84" i="9"/>
  <c r="N84" i="4" s="1"/>
  <c r="C90" i="9"/>
  <c r="N90" i="4" s="1"/>
  <c r="C92" i="9"/>
  <c r="N92" i="4" s="1"/>
  <c r="C98" i="9"/>
  <c r="N98" i="4" s="1"/>
  <c r="C100" i="9"/>
  <c r="N100" i="4" s="1"/>
  <c r="C102" i="9"/>
  <c r="N102" i="4" s="1"/>
  <c r="C106" i="9"/>
  <c r="N106" i="4" s="1"/>
  <c r="C108" i="9"/>
  <c r="N108" i="4" s="1"/>
  <c r="C110" i="9"/>
  <c r="N110" i="4" s="1"/>
  <c r="C114" i="9"/>
  <c r="C115" i="9"/>
  <c r="C116" i="9"/>
  <c r="C117" i="9"/>
  <c r="C118" i="9"/>
  <c r="C119" i="9"/>
  <c r="C122" i="9"/>
  <c r="N122" i="4" s="1"/>
  <c r="C124" i="9"/>
  <c r="N124" i="4" s="1"/>
  <c r="C126" i="9"/>
  <c r="N126" i="4" s="1"/>
  <c r="C127" i="9"/>
  <c r="N127" i="4" s="1"/>
  <c r="C129" i="9"/>
  <c r="N129" i="4" s="1"/>
  <c r="C130" i="9"/>
  <c r="N130" i="4" s="1"/>
  <c r="C132" i="9"/>
  <c r="N132" i="4" s="1"/>
  <c r="C134" i="9"/>
  <c r="N134" i="4" s="1"/>
  <c r="C137" i="9"/>
  <c r="N137" i="4" s="1"/>
  <c r="C138" i="9"/>
  <c r="N138" i="4" s="1"/>
  <c r="C140" i="9"/>
  <c r="N140" i="4" s="1"/>
  <c r="C145" i="9"/>
  <c r="N145" i="4" s="1"/>
  <c r="C146" i="9"/>
  <c r="N146" i="4" s="1"/>
  <c r="C148" i="9"/>
  <c r="N148" i="4" s="1"/>
  <c r="C149" i="9"/>
  <c r="N149" i="4" s="1"/>
  <c r="C150" i="9"/>
  <c r="N150" i="4" s="1"/>
  <c r="C154" i="9"/>
  <c r="N154" i="4" s="1"/>
  <c r="C156" i="9"/>
  <c r="N156" i="4" s="1"/>
  <c r="C162" i="9"/>
  <c r="N162" i="4" s="1"/>
  <c r="C164" i="9"/>
  <c r="N164" i="4" s="1"/>
  <c r="C165" i="9"/>
  <c r="N165" i="4" s="1"/>
  <c r="C166" i="9"/>
  <c r="N166" i="4" s="1"/>
  <c r="C170" i="9"/>
  <c r="N170" i="4" s="1"/>
  <c r="C172" i="9"/>
  <c r="N172" i="4" s="1"/>
  <c r="C174" i="9"/>
  <c r="N174" i="4" s="1"/>
  <c r="C178" i="9"/>
  <c r="N178" i="4" s="1"/>
  <c r="C179" i="9"/>
  <c r="N179" i="4" s="1"/>
  <c r="C180" i="9"/>
  <c r="N180" i="4" s="1"/>
  <c r="C181" i="9"/>
  <c r="N181" i="4" s="1"/>
  <c r="C182" i="9"/>
  <c r="N182" i="4" s="1"/>
  <c r="C183" i="9"/>
  <c r="N183" i="4" s="1"/>
  <c r="C186" i="9"/>
  <c r="N186" i="4" s="1"/>
  <c r="C188" i="9"/>
  <c r="N188" i="4" s="1"/>
  <c r="C191" i="9"/>
  <c r="N191" i="4" s="1"/>
  <c r="C193" i="9"/>
  <c r="N193" i="4" s="1"/>
  <c r="C194" i="9"/>
  <c r="N194" i="4" s="1"/>
  <c r="C196" i="9"/>
  <c r="N196" i="4" s="1"/>
  <c r="C198" i="9"/>
  <c r="N198" i="4" s="1"/>
  <c r="C201" i="9"/>
  <c r="N201" i="4" s="1"/>
  <c r="C683" i="23" s="1"/>
  <c r="C202" i="9"/>
  <c r="N202" i="4" s="1"/>
  <c r="C204" i="9"/>
  <c r="N204" i="4" s="1"/>
  <c r="C206" i="9"/>
  <c r="N206" i="4" s="1"/>
  <c r="C210" i="9"/>
  <c r="N210" i="4" s="1"/>
  <c r="C212" i="9"/>
  <c r="N212" i="4" s="1"/>
  <c r="C213" i="9"/>
  <c r="N213" i="4" s="1"/>
  <c r="C214" i="9"/>
  <c r="N214" i="4" s="1"/>
  <c r="C218" i="9"/>
  <c r="N218" i="4" s="1"/>
  <c r="C220" i="9"/>
  <c r="N220" i="4" s="1"/>
  <c r="C226" i="9"/>
  <c r="N226" i="4" s="1"/>
  <c r="C227" i="9"/>
  <c r="N227" i="4" s="1"/>
  <c r="C228" i="9"/>
  <c r="N228" i="4" s="1"/>
  <c r="C229" i="9"/>
  <c r="N229" i="4" s="1"/>
  <c r="C230" i="9"/>
  <c r="N230" i="4" s="1"/>
  <c r="C234" i="9"/>
  <c r="N234" i="4" s="1"/>
  <c r="C236" i="9"/>
  <c r="N236" i="4" s="1"/>
  <c r="C237" i="9"/>
  <c r="N237" i="4" s="1"/>
  <c r="C238" i="9"/>
  <c r="N238" i="4" s="1"/>
  <c r="C241" i="9"/>
  <c r="N241" i="4" s="1"/>
  <c r="C242" i="9"/>
  <c r="N242" i="4" s="1"/>
  <c r="C243" i="9"/>
  <c r="N243" i="4" s="1"/>
  <c r="C244" i="9"/>
  <c r="N244" i="4" s="1"/>
  <c r="C245" i="9"/>
  <c r="N245" i="4" s="1"/>
  <c r="C246" i="9"/>
  <c r="N246" i="4" s="1"/>
  <c r="C247" i="9"/>
  <c r="N247" i="4" s="1"/>
  <c r="C250" i="9"/>
  <c r="N250" i="4" s="1"/>
  <c r="C252" i="9"/>
  <c r="N252" i="4" s="1"/>
  <c r="C254" i="9"/>
  <c r="N254" i="4" s="1"/>
  <c r="C255" i="9"/>
  <c r="N255" i="4" s="1"/>
  <c r="C258" i="9"/>
  <c r="N258" i="4" s="1"/>
  <c r="C260" i="9"/>
  <c r="N260" i="4" s="1"/>
  <c r="C262" i="9"/>
  <c r="N262" i="4" s="1"/>
  <c r="C263" i="9"/>
  <c r="N263" i="4" s="1"/>
  <c r="C265" i="9"/>
  <c r="N265" i="4" s="1"/>
  <c r="C266" i="9"/>
  <c r="N266" i="4" s="1"/>
  <c r="C268" i="9"/>
  <c r="N268" i="4" s="1"/>
  <c r="C270" i="9"/>
  <c r="N270" i="4" s="1"/>
  <c r="C274" i="9"/>
  <c r="N274" i="4" s="1"/>
  <c r="C276" i="9"/>
  <c r="N276" i="4" s="1"/>
  <c r="C277" i="9"/>
  <c r="N277" i="4" s="1"/>
  <c r="C278" i="9"/>
  <c r="N278" i="4" s="1"/>
  <c r="C279" i="9"/>
  <c r="N279" i="4" s="1"/>
  <c r="C282" i="9"/>
  <c r="N282" i="4" s="1"/>
  <c r="C284" i="9"/>
  <c r="N284" i="4" s="1"/>
  <c r="C286" i="9"/>
  <c r="N286" i="4" s="1"/>
  <c r="C289" i="9"/>
  <c r="N289" i="4" s="1"/>
  <c r="C290" i="9"/>
  <c r="N290" i="4" s="1"/>
  <c r="C292" i="9"/>
  <c r="N292" i="4" s="1"/>
  <c r="C294" i="9"/>
  <c r="N294" i="4" s="1"/>
  <c r="C298" i="9"/>
  <c r="N298" i="4" s="1"/>
  <c r="C300" i="9"/>
  <c r="N300" i="4" s="1"/>
  <c r="C301" i="9"/>
  <c r="N301" i="4" s="1"/>
  <c r="C302" i="9"/>
  <c r="N302" i="4" s="1"/>
  <c r="C283" i="4"/>
  <c r="C285" i="4"/>
  <c r="C279" i="4"/>
  <c r="H965" i="23" s="1"/>
  <c r="C281" i="4"/>
  <c r="C277" i="4"/>
  <c r="C275" i="4"/>
  <c r="C273" i="4"/>
  <c r="C271" i="4"/>
  <c r="C269" i="4"/>
  <c r="C267" i="4"/>
  <c r="C265" i="4"/>
  <c r="C263" i="4"/>
  <c r="C261" i="4"/>
  <c r="C259" i="4"/>
  <c r="C257" i="4"/>
  <c r="C255" i="4"/>
  <c r="C253" i="4"/>
  <c r="C251" i="4"/>
  <c r="C249" i="4"/>
  <c r="C247" i="4"/>
  <c r="C245" i="4"/>
  <c r="C243" i="4"/>
  <c r="C241" i="4"/>
  <c r="C239" i="4"/>
  <c r="C237" i="4"/>
  <c r="C235" i="4"/>
  <c r="C233" i="4"/>
  <c r="C231" i="4"/>
  <c r="C229" i="4"/>
  <c r="C227" i="4"/>
  <c r="C225" i="4"/>
  <c r="C223" i="4"/>
  <c r="C221" i="4"/>
  <c r="C219" i="4"/>
  <c r="C217" i="4"/>
  <c r="C215" i="4"/>
  <c r="C213" i="4"/>
  <c r="C211" i="4"/>
  <c r="C209" i="4"/>
  <c r="C207" i="4"/>
  <c r="C205" i="4"/>
  <c r="C203" i="4"/>
  <c r="C201" i="4"/>
  <c r="C199" i="4"/>
  <c r="C197" i="4"/>
  <c r="C195" i="4"/>
  <c r="C193" i="4"/>
  <c r="C191" i="4"/>
  <c r="C189" i="4"/>
  <c r="C187" i="4"/>
  <c r="C185" i="4"/>
  <c r="C183" i="4"/>
  <c r="C181" i="4"/>
  <c r="C179" i="4"/>
  <c r="C177" i="4"/>
  <c r="C175" i="4"/>
  <c r="C173" i="4"/>
  <c r="C171" i="4"/>
  <c r="C169" i="4"/>
  <c r="C167" i="4"/>
  <c r="C165" i="4"/>
  <c r="C163" i="4"/>
  <c r="C161" i="4"/>
  <c r="C159" i="4"/>
  <c r="C157" i="4"/>
  <c r="C155" i="4"/>
  <c r="C153" i="4"/>
  <c r="H524" i="23" s="1"/>
  <c r="C151" i="4"/>
  <c r="C149" i="4"/>
  <c r="C147" i="4"/>
  <c r="C145" i="4"/>
  <c r="C143" i="4"/>
  <c r="C141" i="4"/>
  <c r="H484" i="23" s="1"/>
  <c r="C139" i="4"/>
  <c r="C137" i="4"/>
  <c r="C135" i="4"/>
  <c r="C133" i="4"/>
  <c r="C131" i="4"/>
  <c r="C129" i="4"/>
  <c r="C127" i="4"/>
  <c r="C125" i="4"/>
  <c r="C123" i="4"/>
  <c r="C121" i="4"/>
  <c r="C119" i="4"/>
  <c r="C117" i="4"/>
  <c r="C115" i="4"/>
  <c r="C113" i="4"/>
  <c r="C111" i="4"/>
  <c r="C109" i="4"/>
  <c r="C107" i="4"/>
  <c r="C105" i="4"/>
  <c r="C103" i="4"/>
  <c r="C101" i="4"/>
  <c r="C99" i="4"/>
  <c r="C97" i="4"/>
  <c r="C95" i="4"/>
  <c r="C93" i="4"/>
  <c r="C91" i="4"/>
  <c r="C89" i="4"/>
  <c r="C87" i="4"/>
  <c r="C85" i="4"/>
  <c r="C83" i="4"/>
  <c r="C81" i="4"/>
  <c r="C79" i="4"/>
  <c r="C77" i="4"/>
  <c r="C75" i="4"/>
  <c r="C73" i="4"/>
  <c r="C71" i="4"/>
  <c r="C69" i="4"/>
  <c r="C67" i="4"/>
  <c r="C65" i="4"/>
  <c r="C63" i="4"/>
  <c r="C61" i="4"/>
  <c r="C59" i="4"/>
  <c r="C57" i="4"/>
  <c r="C55" i="4"/>
  <c r="C53" i="4"/>
  <c r="C51" i="4"/>
  <c r="C49" i="4"/>
  <c r="C47" i="4"/>
  <c r="C45" i="4"/>
  <c r="C43" i="4"/>
  <c r="C41" i="4"/>
  <c r="C39" i="4"/>
  <c r="C37" i="4"/>
  <c r="H115" i="23" s="1"/>
  <c r="C35" i="4"/>
  <c r="C33" i="4"/>
  <c r="C31" i="4"/>
  <c r="C29" i="4"/>
  <c r="H102" i="23" s="1"/>
  <c r="C27" i="4"/>
  <c r="C19" i="4"/>
  <c r="C21" i="4"/>
  <c r="C23" i="4"/>
  <c r="H82" i="23" s="1"/>
  <c r="C25" i="4"/>
  <c r="C17" i="4"/>
  <c r="C15" i="4"/>
  <c r="D14" i="4"/>
  <c r="D16" i="4"/>
  <c r="D18" i="4"/>
  <c r="D20" i="4"/>
  <c r="D22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D66" i="4"/>
  <c r="D68" i="4"/>
  <c r="D70" i="4"/>
  <c r="D72" i="4"/>
  <c r="D74" i="4"/>
  <c r="D76" i="4"/>
  <c r="D78" i="4"/>
  <c r="D80" i="4"/>
  <c r="D82" i="4"/>
  <c r="D84" i="4"/>
  <c r="D86" i="4"/>
  <c r="D88" i="4"/>
  <c r="D90" i="4"/>
  <c r="D92" i="4"/>
  <c r="D94" i="4"/>
  <c r="D96" i="4"/>
  <c r="D98" i="4"/>
  <c r="D100" i="4"/>
  <c r="D102" i="4"/>
  <c r="D104" i="4"/>
  <c r="D106" i="4"/>
  <c r="D108" i="4"/>
  <c r="D110" i="4"/>
  <c r="D112" i="4"/>
  <c r="D114" i="4"/>
  <c r="D116" i="4"/>
  <c r="D118" i="4"/>
  <c r="D120" i="4"/>
  <c r="D122" i="4"/>
  <c r="D124" i="4"/>
  <c r="D126" i="4"/>
  <c r="D128" i="4"/>
  <c r="D130" i="4"/>
  <c r="D132" i="4"/>
  <c r="D134" i="4"/>
  <c r="D136" i="4"/>
  <c r="D138" i="4"/>
  <c r="D140" i="4"/>
  <c r="D142" i="4"/>
  <c r="D144" i="4"/>
  <c r="D146" i="4"/>
  <c r="D148" i="4"/>
  <c r="D150" i="4"/>
  <c r="D152" i="4"/>
  <c r="D154" i="4"/>
  <c r="D156" i="4"/>
  <c r="D158" i="4"/>
  <c r="D160" i="4"/>
  <c r="D162" i="4"/>
  <c r="D164" i="4"/>
  <c r="D166" i="4"/>
  <c r="D168" i="4"/>
  <c r="D170" i="4"/>
  <c r="D172" i="4"/>
  <c r="D174" i="4"/>
  <c r="D176" i="4"/>
  <c r="D178" i="4"/>
  <c r="D180" i="4"/>
  <c r="D182" i="4"/>
  <c r="D184" i="4"/>
  <c r="D186" i="4"/>
  <c r="D188" i="4"/>
  <c r="D190" i="4"/>
  <c r="D192" i="4"/>
  <c r="D194" i="4"/>
  <c r="D196" i="4"/>
  <c r="D198" i="4"/>
  <c r="D200" i="4"/>
  <c r="D202" i="4"/>
  <c r="D204" i="4"/>
  <c r="D206" i="4"/>
  <c r="D208" i="4"/>
  <c r="D210" i="4"/>
  <c r="D212" i="4"/>
  <c r="D214" i="4"/>
  <c r="D216" i="4"/>
  <c r="D218" i="4"/>
  <c r="D220" i="4"/>
  <c r="D222" i="4"/>
  <c r="D224" i="4"/>
  <c r="D226" i="4"/>
  <c r="D228" i="4"/>
  <c r="D230" i="4"/>
  <c r="D232" i="4"/>
  <c r="D234" i="4"/>
  <c r="D236" i="4"/>
  <c r="D238" i="4"/>
  <c r="D240" i="4"/>
  <c r="D242" i="4"/>
  <c r="D244" i="4"/>
  <c r="D246" i="4"/>
  <c r="D248" i="4"/>
  <c r="D250" i="4"/>
  <c r="D252" i="4"/>
  <c r="D254" i="4"/>
  <c r="D256" i="4"/>
  <c r="D258" i="4"/>
  <c r="D260" i="4"/>
  <c r="D262" i="4"/>
  <c r="D264" i="4"/>
  <c r="D266" i="4"/>
  <c r="D268" i="4"/>
  <c r="D270" i="4"/>
  <c r="D272" i="4"/>
  <c r="D274" i="4"/>
  <c r="D276" i="4"/>
  <c r="D278" i="4"/>
  <c r="D280" i="4"/>
  <c r="D282" i="4"/>
  <c r="D284" i="4"/>
  <c r="D286" i="4"/>
  <c r="D288" i="4"/>
  <c r="D290" i="4"/>
  <c r="D292" i="4"/>
  <c r="D294" i="4"/>
  <c r="D296" i="4"/>
  <c r="D298" i="4"/>
  <c r="D300" i="4"/>
  <c r="M14" i="4"/>
  <c r="M16" i="4"/>
  <c r="M18" i="4"/>
  <c r="M20" i="4"/>
  <c r="M22" i="4"/>
  <c r="M24" i="4"/>
  <c r="M26" i="4"/>
  <c r="M28" i="4"/>
  <c r="M30" i="4"/>
  <c r="M32" i="4"/>
  <c r="M34" i="4"/>
  <c r="M36" i="4"/>
  <c r="M38" i="4"/>
  <c r="M40" i="4"/>
  <c r="M42" i="4"/>
  <c r="M44" i="4"/>
  <c r="M46" i="4"/>
  <c r="M48" i="4"/>
  <c r="M50" i="4"/>
  <c r="M52" i="4"/>
  <c r="M54" i="4"/>
  <c r="M56" i="4"/>
  <c r="M58" i="4"/>
  <c r="M60" i="4"/>
  <c r="M62" i="4"/>
  <c r="M64" i="4"/>
  <c r="M66" i="4"/>
  <c r="M68" i="4"/>
  <c r="M70" i="4"/>
  <c r="M72" i="4"/>
  <c r="M74" i="4"/>
  <c r="M76" i="4"/>
  <c r="M78" i="4"/>
  <c r="M80" i="4"/>
  <c r="M82" i="4"/>
  <c r="M84" i="4"/>
  <c r="M86" i="4"/>
  <c r="M88" i="4"/>
  <c r="M90" i="4"/>
  <c r="M92" i="4"/>
  <c r="M94" i="4"/>
  <c r="M96" i="4"/>
  <c r="M98" i="4"/>
  <c r="M100" i="4"/>
  <c r="M102" i="4"/>
  <c r="M104" i="4"/>
  <c r="M106" i="4"/>
  <c r="M108" i="4"/>
  <c r="M110" i="4"/>
  <c r="M112" i="4"/>
  <c r="M114" i="4"/>
  <c r="M116" i="4"/>
  <c r="M118" i="4"/>
  <c r="M120" i="4"/>
  <c r="M122" i="4"/>
  <c r="M124" i="4"/>
  <c r="M126" i="4"/>
  <c r="M128" i="4"/>
  <c r="M130" i="4"/>
  <c r="M132" i="4"/>
  <c r="M134" i="4"/>
  <c r="M136" i="4"/>
  <c r="M138" i="4"/>
  <c r="M140" i="4"/>
  <c r="M142" i="4"/>
  <c r="M144" i="4"/>
  <c r="M146" i="4"/>
  <c r="M148" i="4"/>
  <c r="M150" i="4"/>
  <c r="M152" i="4"/>
  <c r="M154" i="4"/>
  <c r="M156" i="4"/>
  <c r="M158" i="4"/>
  <c r="M160" i="4"/>
  <c r="M162" i="4"/>
  <c r="M164" i="4"/>
  <c r="M166" i="4"/>
  <c r="M168" i="4"/>
  <c r="M170" i="4"/>
  <c r="M172" i="4"/>
  <c r="M174" i="4"/>
  <c r="M176" i="4"/>
  <c r="M178" i="4"/>
  <c r="M180" i="4"/>
  <c r="M182" i="4"/>
  <c r="M184" i="4"/>
  <c r="M186" i="4"/>
  <c r="M188" i="4"/>
  <c r="M190" i="4"/>
  <c r="M192" i="4"/>
  <c r="M194" i="4"/>
  <c r="M196" i="4"/>
  <c r="M198" i="4"/>
  <c r="M200" i="4"/>
  <c r="M202" i="4"/>
  <c r="M204" i="4"/>
  <c r="M206" i="4"/>
  <c r="M208" i="4"/>
  <c r="M210" i="4"/>
  <c r="M212" i="4"/>
  <c r="M214" i="4"/>
  <c r="M216" i="4"/>
  <c r="M218" i="4"/>
  <c r="M220" i="4"/>
  <c r="M222" i="4"/>
  <c r="M224" i="4"/>
  <c r="M226" i="4"/>
  <c r="M228" i="4"/>
  <c r="M230" i="4"/>
  <c r="M232" i="4"/>
  <c r="M234" i="4"/>
  <c r="M236" i="4"/>
  <c r="M238" i="4"/>
  <c r="M240" i="4"/>
  <c r="M242" i="4"/>
  <c r="M244" i="4"/>
  <c r="M246" i="4"/>
  <c r="M248" i="4"/>
  <c r="M250" i="4"/>
  <c r="M252" i="4"/>
  <c r="M254" i="4"/>
  <c r="M256" i="4"/>
  <c r="M258" i="4"/>
  <c r="M260" i="4"/>
  <c r="M262" i="4"/>
  <c r="M264" i="4"/>
  <c r="M266" i="4"/>
  <c r="M268" i="4"/>
  <c r="M270" i="4"/>
  <c r="M272" i="4"/>
  <c r="M274" i="4"/>
  <c r="M276" i="4"/>
  <c r="M278" i="4"/>
  <c r="M280" i="4"/>
  <c r="M282" i="4"/>
  <c r="M284" i="4"/>
  <c r="M286" i="4"/>
  <c r="M288" i="4"/>
  <c r="M290" i="4"/>
  <c r="M292" i="4"/>
  <c r="M294" i="4"/>
  <c r="M296" i="4"/>
  <c r="M298" i="4"/>
  <c r="M300" i="4"/>
  <c r="H111" i="23" l="1"/>
  <c r="H207" i="23"/>
  <c r="H35" i="23"/>
  <c r="H43" i="23"/>
  <c r="C1502" i="23"/>
  <c r="H1267" i="23"/>
  <c r="H713" i="23"/>
  <c r="H348" i="23"/>
  <c r="H706" i="23"/>
  <c r="H501" i="23"/>
  <c r="H259" i="23"/>
  <c r="H506" i="23"/>
  <c r="H1229" i="23"/>
  <c r="H683" i="23"/>
  <c r="H386" i="23"/>
  <c r="C267" i="23"/>
  <c r="C160" i="23"/>
  <c r="H952" i="23"/>
  <c r="H447" i="23"/>
  <c r="H49" i="23"/>
  <c r="H52" i="23"/>
  <c r="H1200" i="23"/>
  <c r="C640" i="23"/>
  <c r="H937" i="23"/>
  <c r="H559" i="23"/>
  <c r="H591" i="23"/>
  <c r="H1257" i="23"/>
  <c r="H1468" i="23"/>
  <c r="H396" i="23"/>
  <c r="H527" i="23"/>
  <c r="H1173" i="23"/>
  <c r="H668" i="23"/>
  <c r="H842" i="23"/>
  <c r="H883" i="23"/>
  <c r="H1067" i="23"/>
  <c r="H1110" i="23"/>
  <c r="H1254" i="23"/>
  <c r="H1039" i="23"/>
  <c r="H927" i="23"/>
  <c r="H455" i="23"/>
  <c r="H408" i="23"/>
  <c r="H477" i="23"/>
  <c r="H251" i="23"/>
  <c r="H962" i="23"/>
  <c r="H1199" i="23"/>
  <c r="H601" i="23"/>
  <c r="H1314" i="23"/>
  <c r="C993" i="23"/>
  <c r="H335" i="23"/>
  <c r="H863" i="23"/>
  <c r="H690" i="23"/>
  <c r="H909" i="23"/>
  <c r="H367" i="23"/>
  <c r="H1289" i="23"/>
  <c r="H196" i="23"/>
  <c r="H821" i="23"/>
  <c r="H1307" i="23"/>
  <c r="H166" i="23"/>
  <c r="H479" i="23"/>
  <c r="C629" i="23"/>
  <c r="H148" i="23"/>
  <c r="H773" i="23"/>
  <c r="C100" i="23"/>
  <c r="C717" i="23"/>
  <c r="H886" i="23"/>
  <c r="C838" i="23"/>
  <c r="H844" i="23"/>
  <c r="C697" i="23"/>
  <c r="C860" i="23"/>
  <c r="C274" i="23"/>
  <c r="C163" i="23"/>
  <c r="C1222" i="23"/>
  <c r="C311" i="23"/>
  <c r="C239" i="23"/>
  <c r="C243" i="23"/>
  <c r="C1232" i="23"/>
  <c r="C303" i="23"/>
  <c r="H715" i="23"/>
  <c r="C704" i="23"/>
  <c r="C87" i="23"/>
  <c r="C1017" i="23"/>
  <c r="C1016" i="23"/>
  <c r="C1008" i="23"/>
  <c r="C1037" i="23"/>
  <c r="C584" i="23"/>
  <c r="C599" i="23"/>
  <c r="C736" i="23"/>
  <c r="C740" i="23"/>
  <c r="C733" i="23"/>
  <c r="C737" i="23"/>
  <c r="C746" i="23"/>
  <c r="C621" i="23"/>
  <c r="C615" i="23"/>
  <c r="C617" i="23"/>
  <c r="C623" i="23"/>
  <c r="C634" i="23"/>
  <c r="C628" i="23"/>
  <c r="C498" i="23"/>
  <c r="C520" i="23"/>
  <c r="C491" i="23"/>
  <c r="C238" i="23"/>
  <c r="C254" i="23"/>
  <c r="C229" i="23"/>
  <c r="C232" i="23"/>
  <c r="C247" i="23"/>
  <c r="C168" i="23"/>
  <c r="C185" i="23"/>
  <c r="C179" i="23"/>
  <c r="C151" i="23"/>
  <c r="C62" i="23"/>
  <c r="C80" i="23"/>
  <c r="C65" i="23"/>
  <c r="C59" i="23"/>
  <c r="C58" i="23"/>
  <c r="C1018" i="23"/>
  <c r="C1030" i="23"/>
  <c r="C1021" i="23"/>
  <c r="C940" i="23"/>
  <c r="C942" i="23"/>
  <c r="C943" i="23"/>
  <c r="C953" i="23"/>
  <c r="C946" i="23"/>
  <c r="C791" i="23"/>
  <c r="C800" i="23"/>
  <c r="C793" i="23"/>
  <c r="C801" i="23"/>
  <c r="C747" i="23"/>
  <c r="C751" i="23"/>
  <c r="C725" i="23"/>
  <c r="C738" i="23"/>
  <c r="C699" i="23"/>
  <c r="C688" i="23"/>
  <c r="C678" i="23"/>
  <c r="C675" i="23"/>
  <c r="C693" i="23"/>
  <c r="C581" i="23"/>
  <c r="C589" i="23"/>
  <c r="C578" i="23"/>
  <c r="C585" i="23"/>
  <c r="C539" i="23"/>
  <c r="C517" i="23"/>
  <c r="C526" i="23"/>
  <c r="C464" i="23"/>
  <c r="C465" i="23"/>
  <c r="C467" i="23"/>
  <c r="C357" i="23"/>
  <c r="C367" i="23"/>
  <c r="C333" i="23"/>
  <c r="C320" i="23"/>
  <c r="C315" i="23"/>
  <c r="C319" i="23"/>
  <c r="C334" i="23"/>
  <c r="C281" i="23"/>
  <c r="C301" i="23"/>
  <c r="C307" i="23"/>
  <c r="C297" i="23"/>
  <c r="C298" i="23"/>
  <c r="C262" i="23"/>
  <c r="C257" i="23"/>
  <c r="C269" i="23"/>
  <c r="C270" i="23"/>
  <c r="C275" i="23"/>
  <c r="C199" i="23"/>
  <c r="C224" i="23"/>
  <c r="C223" i="23"/>
  <c r="C220" i="23"/>
  <c r="C178" i="23"/>
  <c r="C159" i="23"/>
  <c r="C183" i="23"/>
  <c r="C187" i="23"/>
  <c r="C186" i="23"/>
  <c r="C166" i="23"/>
  <c r="C154" i="23"/>
  <c r="C153" i="23"/>
  <c r="C152" i="23"/>
  <c r="C132" i="23"/>
  <c r="C140" i="23"/>
  <c r="C136" i="23"/>
  <c r="C130" i="23"/>
  <c r="C145" i="23"/>
  <c r="C139" i="23"/>
  <c r="C112" i="23"/>
  <c r="C83" i="23"/>
  <c r="C99" i="23"/>
  <c r="C96" i="23"/>
  <c r="C101" i="23"/>
  <c r="C113" i="23"/>
  <c r="C1505" i="23"/>
  <c r="C1507" i="23"/>
  <c r="C1509" i="23"/>
  <c r="C1503" i="23"/>
  <c r="C1513" i="23"/>
  <c r="C1492" i="23"/>
  <c r="C1493" i="23"/>
  <c r="C1506" i="23"/>
  <c r="C1517" i="23"/>
  <c r="C1501" i="23"/>
  <c r="C1500" i="23"/>
  <c r="C1499" i="23"/>
  <c r="C1512" i="23"/>
  <c r="C1514" i="23"/>
  <c r="C1406" i="23"/>
  <c r="C1366" i="23"/>
  <c r="C1435" i="23"/>
  <c r="C1362" i="23"/>
  <c r="C1427" i="23"/>
  <c r="C1353" i="23"/>
  <c r="C1376" i="23"/>
  <c r="C1370" i="23"/>
  <c r="C1345" i="23"/>
  <c r="C1367" i="23"/>
  <c r="C1365" i="23"/>
  <c r="C1369" i="23"/>
  <c r="C1351" i="23"/>
  <c r="C1333" i="23"/>
  <c r="C1344" i="23"/>
  <c r="C1321" i="23"/>
  <c r="C1358" i="23"/>
  <c r="C1331" i="23"/>
  <c r="C1332" i="23"/>
  <c r="C1328" i="23"/>
  <c r="C1339" i="23"/>
  <c r="C1306" i="23"/>
  <c r="C1313" i="23"/>
  <c r="C1320" i="23"/>
  <c r="C1296" i="23"/>
  <c r="C1329" i="23"/>
  <c r="C1314" i="23"/>
  <c r="C1286" i="23"/>
  <c r="C1295" i="23"/>
  <c r="C1269" i="23"/>
  <c r="C1274" i="23"/>
  <c r="C1272" i="23"/>
  <c r="C1258" i="23"/>
  <c r="C1239" i="23"/>
  <c r="C1244" i="23"/>
  <c r="C1250" i="23"/>
  <c r="C1212" i="23"/>
  <c r="C1207" i="23"/>
  <c r="C1221" i="23"/>
  <c r="C1219" i="23"/>
  <c r="C1182" i="23"/>
  <c r="C1186" i="23"/>
  <c r="C1209" i="23"/>
  <c r="C1193" i="23"/>
  <c r="C1196" i="23"/>
  <c r="C1190" i="23"/>
  <c r="C1172" i="23"/>
  <c r="C1180" i="23"/>
  <c r="C1184" i="23"/>
  <c r="C1165" i="23"/>
  <c r="C1144" i="23"/>
  <c r="C1157" i="23"/>
  <c r="C1158" i="23"/>
  <c r="C1167" i="23"/>
  <c r="C1159" i="23"/>
  <c r="C1135" i="23"/>
  <c r="C1141" i="23"/>
  <c r="C1127" i="23"/>
  <c r="C1132" i="23"/>
  <c r="C1134" i="23"/>
  <c r="C1124" i="23"/>
  <c r="C1118" i="23"/>
  <c r="C1099" i="23"/>
  <c r="C1108" i="23"/>
  <c r="C1109" i="23"/>
  <c r="C1093" i="23"/>
  <c r="C1069" i="23"/>
  <c r="C1080" i="23"/>
  <c r="C1081" i="23"/>
  <c r="C1087" i="23"/>
  <c r="C1073" i="23"/>
  <c r="C1065" i="23"/>
  <c r="C1068" i="23"/>
  <c r="C1072" i="23"/>
  <c r="C1031" i="23"/>
  <c r="C1034" i="23"/>
  <c r="C1050" i="23"/>
  <c r="C1041" i="23"/>
  <c r="C1048" i="23"/>
  <c r="C826" i="23"/>
  <c r="C837" i="23"/>
  <c r="C811" i="23"/>
  <c r="C345" i="23"/>
  <c r="C364" i="23"/>
  <c r="C885" i="23"/>
  <c r="C884" i="23"/>
  <c r="C888" i="23"/>
  <c r="C906" i="23"/>
  <c r="C802" i="23"/>
  <c r="C806" i="23"/>
  <c r="C820" i="23"/>
  <c r="C804" i="23"/>
  <c r="C687" i="23"/>
  <c r="C690" i="23"/>
  <c r="C671" i="23"/>
  <c r="C561" i="23"/>
  <c r="C572" i="23"/>
  <c r="C579" i="23"/>
  <c r="C567" i="23"/>
  <c r="C340" i="23"/>
  <c r="C338" i="23"/>
  <c r="C339" i="23"/>
  <c r="C323" i="23"/>
  <c r="C995" i="23"/>
  <c r="C999" i="23"/>
  <c r="C1006" i="23"/>
  <c r="C994" i="23"/>
  <c r="C824" i="23"/>
  <c r="C830" i="23"/>
  <c r="C818" i="23"/>
  <c r="C816" i="23"/>
  <c r="C760" i="23"/>
  <c r="C767" i="23"/>
  <c r="C701" i="23"/>
  <c r="C722" i="23"/>
  <c r="C709" i="23"/>
  <c r="C721" i="23"/>
  <c r="C602" i="23"/>
  <c r="C604" i="23"/>
  <c r="C600" i="23"/>
  <c r="C549" i="23"/>
  <c r="C547" i="23"/>
  <c r="C497" i="23"/>
  <c r="C492" i="23"/>
  <c r="C478" i="23"/>
  <c r="C375" i="23"/>
  <c r="C390" i="23"/>
  <c r="C1053" i="23"/>
  <c r="C1062" i="23"/>
  <c r="C1056" i="23"/>
  <c r="C1058" i="23"/>
  <c r="C1054" i="23"/>
  <c r="C1002" i="23"/>
  <c r="C996" i="23"/>
  <c r="C1000" i="23"/>
  <c r="C989" i="23"/>
  <c r="C936" i="23"/>
  <c r="C929" i="23"/>
  <c r="C947" i="23"/>
  <c r="C952" i="23"/>
  <c r="C927" i="23"/>
  <c r="C893" i="23"/>
  <c r="C894" i="23"/>
  <c r="C878" i="23"/>
  <c r="C887" i="23"/>
  <c r="C864" i="23"/>
  <c r="C839" i="23"/>
  <c r="C859" i="23"/>
  <c r="C845" i="23"/>
  <c r="C835" i="23"/>
  <c r="C786" i="23"/>
  <c r="C789" i="23"/>
  <c r="C729" i="23"/>
  <c r="C748" i="23"/>
  <c r="C743" i="23"/>
  <c r="C728" i="23"/>
  <c r="C745" i="23"/>
  <c r="C676" i="23"/>
  <c r="C670" i="23"/>
  <c r="C655" i="23"/>
  <c r="C673" i="23"/>
  <c r="C607" i="23"/>
  <c r="C625" i="23"/>
  <c r="C626" i="23"/>
  <c r="C633" i="23"/>
  <c r="C638" i="23"/>
  <c r="C632" i="23"/>
  <c r="C564" i="23"/>
  <c r="C562" i="23"/>
  <c r="C557" i="23"/>
  <c r="C568" i="23"/>
  <c r="C505" i="23"/>
  <c r="C494" i="23"/>
  <c r="C489" i="23"/>
  <c r="C513" i="23"/>
  <c r="C165" i="23"/>
  <c r="C172" i="23"/>
  <c r="C182" i="23"/>
  <c r="C167" i="23"/>
  <c r="C92" i="23"/>
  <c r="C104" i="23"/>
  <c r="C77" i="23"/>
  <c r="C78" i="23"/>
  <c r="C90" i="23"/>
  <c r="C64" i="23"/>
  <c r="C72" i="23"/>
  <c r="C41" i="23"/>
  <c r="C50" i="23"/>
  <c r="C61" i="23"/>
  <c r="C768" i="23"/>
  <c r="C757" i="23"/>
  <c r="C662" i="23"/>
  <c r="C651" i="23"/>
  <c r="C680" i="23"/>
  <c r="C529" i="23"/>
  <c r="C544" i="23"/>
  <c r="C510" i="23"/>
  <c r="C493" i="23"/>
  <c r="C479" i="23"/>
  <c r="C308" i="23"/>
  <c r="C329" i="23"/>
  <c r="C326" i="23"/>
  <c r="C328" i="23"/>
  <c r="C341" i="23"/>
  <c r="C282" i="23"/>
  <c r="C305" i="23"/>
  <c r="C300" i="23"/>
  <c r="C304" i="23"/>
  <c r="C306" i="23"/>
  <c r="C233" i="23"/>
  <c r="C228" i="23"/>
  <c r="C246" i="23"/>
  <c r="C235" i="23"/>
  <c r="C234" i="23"/>
  <c r="C211" i="23"/>
  <c r="C208" i="23"/>
  <c r="C197" i="23"/>
  <c r="C213" i="23"/>
  <c r="C181" i="23"/>
  <c r="C194" i="23"/>
  <c r="C200" i="23"/>
  <c r="C189" i="23"/>
  <c r="C176" i="23"/>
  <c r="C177" i="23"/>
  <c r="C174" i="23"/>
  <c r="C169" i="23"/>
  <c r="C161" i="23"/>
  <c r="C170" i="23"/>
  <c r="C148" i="23"/>
  <c r="C120" i="23"/>
  <c r="C123" i="23"/>
  <c r="C135" i="23"/>
  <c r="C125" i="23"/>
  <c r="C945" i="23"/>
  <c r="C949" i="23"/>
  <c r="C963" i="23"/>
  <c r="C1007" i="23"/>
  <c r="C1004" i="23"/>
  <c r="C1014" i="23"/>
  <c r="C987" i="23"/>
  <c r="C870" i="23"/>
  <c r="C879" i="23"/>
  <c r="C882" i="23"/>
  <c r="C892" i="23"/>
  <c r="C798" i="23"/>
  <c r="C779" i="23"/>
  <c r="C667" i="23"/>
  <c r="C664" i="23"/>
  <c r="C660" i="23"/>
  <c r="C555" i="23"/>
  <c r="C553" i="23"/>
  <c r="C54" i="23"/>
  <c r="C45" i="23"/>
  <c r="C981" i="23"/>
  <c r="C985" i="23"/>
  <c r="C997" i="23"/>
  <c r="C982" i="23"/>
  <c r="C905" i="23"/>
  <c r="C896" i="23"/>
  <c r="C904" i="23"/>
  <c r="C895" i="23"/>
  <c r="C659" i="23"/>
  <c r="C661" i="23"/>
  <c r="C648" i="23"/>
  <c r="C654" i="23"/>
  <c r="C672" i="23"/>
  <c r="C551" i="23"/>
  <c r="C546" i="23"/>
  <c r="C542" i="23"/>
  <c r="C566" i="23"/>
  <c r="C455" i="23"/>
  <c r="C468" i="23"/>
  <c r="C472" i="23"/>
  <c r="C383" i="23"/>
  <c r="C382" i="23"/>
  <c r="C400" i="23"/>
  <c r="C374" i="23"/>
  <c r="C370" i="23"/>
  <c r="C356" i="23"/>
  <c r="C347" i="23"/>
  <c r="C365" i="23"/>
  <c r="C278" i="23"/>
  <c r="C289" i="23"/>
  <c r="C283" i="23"/>
  <c r="C299" i="23"/>
  <c r="C180" i="23"/>
  <c r="C198" i="23"/>
  <c r="C203" i="23"/>
  <c r="C137" i="23"/>
  <c r="C162" i="23"/>
  <c r="C1498" i="23"/>
  <c r="C1515" i="23"/>
  <c r="C1496" i="23"/>
  <c r="C1510" i="23"/>
  <c r="C1519" i="23"/>
  <c r="C1441" i="23"/>
  <c r="C1491" i="23"/>
  <c r="C1490" i="23"/>
  <c r="C1494" i="23"/>
  <c r="C1508" i="23"/>
  <c r="C1516" i="23"/>
  <c r="C1489" i="23"/>
  <c r="C1520" i="23"/>
  <c r="C1521" i="23"/>
  <c r="C1372" i="23"/>
  <c r="C1388" i="23"/>
  <c r="C1371" i="23"/>
  <c r="C1350" i="23"/>
  <c r="C1334" i="23"/>
  <c r="C1347" i="23"/>
  <c r="C1343" i="23"/>
  <c r="C1338" i="23"/>
  <c r="C1324" i="23"/>
  <c r="C1325" i="23"/>
  <c r="C1315" i="23"/>
  <c r="C1316" i="23"/>
  <c r="C1317" i="23"/>
  <c r="C1327" i="23"/>
  <c r="C1294" i="23"/>
  <c r="C1300" i="23"/>
  <c r="C1290" i="23"/>
  <c r="C1292" i="23"/>
  <c r="C1309" i="23"/>
  <c r="C1273" i="23"/>
  <c r="C1287" i="23"/>
  <c r="C1268" i="23"/>
  <c r="C1277" i="23"/>
  <c r="C1246" i="23"/>
  <c r="C1241" i="23"/>
  <c r="C1227" i="23"/>
  <c r="C1238" i="23"/>
  <c r="C1215" i="23"/>
  <c r="C1225" i="23"/>
  <c r="C1194" i="23"/>
  <c r="C1204" i="23"/>
  <c r="C1191" i="23"/>
  <c r="C1214" i="23"/>
  <c r="C1183" i="23"/>
  <c r="C1185" i="23"/>
  <c r="C1189" i="23"/>
  <c r="C1161" i="23"/>
  <c r="C1176" i="23"/>
  <c r="C1179" i="23"/>
  <c r="C1175" i="23"/>
  <c r="C1155" i="23"/>
  <c r="C1153" i="23"/>
  <c r="C1152" i="23"/>
  <c r="C1163" i="23"/>
  <c r="C1143" i="23"/>
  <c r="C1160" i="23"/>
  <c r="C1151" i="23"/>
  <c r="C1148" i="23"/>
  <c r="C1139" i="23"/>
  <c r="C1131" i="23"/>
  <c r="C1120" i="23"/>
  <c r="C1130" i="23"/>
  <c r="C1116" i="23"/>
  <c r="C1102" i="23"/>
  <c r="C1119" i="23"/>
  <c r="C1096" i="23"/>
  <c r="C1098" i="23"/>
  <c r="C1117" i="23"/>
  <c r="C1075" i="23"/>
  <c r="C1092" i="23"/>
  <c r="C1076" i="23"/>
  <c r="C1047" i="23"/>
  <c r="C1052" i="23"/>
  <c r="C1063" i="23"/>
  <c r="C749" i="23"/>
  <c r="C753" i="23"/>
  <c r="C759" i="23"/>
  <c r="C755" i="23"/>
  <c r="C266" i="23"/>
  <c r="C260" i="23"/>
  <c r="C250" i="23"/>
  <c r="C1049" i="23"/>
  <c r="C1043" i="23"/>
  <c r="C911" i="23"/>
  <c r="C926" i="23"/>
  <c r="C857" i="23"/>
  <c r="C848" i="23"/>
  <c r="C841" i="23"/>
  <c r="C846" i="23"/>
  <c r="C833" i="23"/>
  <c r="C727" i="23"/>
  <c r="C734" i="23"/>
  <c r="C719" i="23"/>
  <c r="C618" i="23"/>
  <c r="C613" i="23"/>
  <c r="C484" i="23"/>
  <c r="C483" i="23"/>
  <c r="C476" i="23"/>
  <c r="C313" i="23"/>
  <c r="C310" i="23"/>
  <c r="C322" i="23"/>
  <c r="C316" i="23"/>
  <c r="C147" i="23"/>
  <c r="C155" i="23"/>
  <c r="C1012" i="23"/>
  <c r="C1003" i="23"/>
  <c r="C1013" i="23"/>
  <c r="C938" i="23"/>
  <c r="C924" i="23"/>
  <c r="C869" i="23"/>
  <c r="C875" i="23"/>
  <c r="C889" i="23"/>
  <c r="C861" i="23"/>
  <c r="C771" i="23"/>
  <c r="C769" i="23"/>
  <c r="C780" i="23"/>
  <c r="C777" i="23"/>
  <c r="C677" i="23"/>
  <c r="C696" i="23"/>
  <c r="C681" i="23"/>
  <c r="C595" i="23"/>
  <c r="C574" i="23"/>
  <c r="C590" i="23"/>
  <c r="C587" i="23"/>
  <c r="C593" i="23"/>
  <c r="C508" i="23"/>
  <c r="C486" i="23"/>
  <c r="C474" i="23"/>
  <c r="C261" i="23"/>
  <c r="C264" i="23"/>
  <c r="C276" i="23"/>
  <c r="C1373" i="23"/>
  <c r="C1399" i="23"/>
  <c r="C1383" i="23"/>
  <c r="C1389" i="23"/>
  <c r="C1377" i="23"/>
  <c r="C1355" i="23"/>
  <c r="C1352" i="23"/>
  <c r="C1341" i="23"/>
  <c r="C1361" i="23"/>
  <c r="C1356" i="23"/>
  <c r="C1036" i="23"/>
  <c r="C1046" i="23"/>
  <c r="C984" i="23"/>
  <c r="C977" i="23"/>
  <c r="C992" i="23"/>
  <c r="C991" i="23"/>
  <c r="C972" i="23"/>
  <c r="C914" i="23"/>
  <c r="C933" i="23"/>
  <c r="C932" i="23"/>
  <c r="C934" i="23"/>
  <c r="C928" i="23"/>
  <c r="C872" i="23"/>
  <c r="C868" i="23"/>
  <c r="C876" i="23"/>
  <c r="C886" i="23"/>
  <c r="C814" i="23"/>
  <c r="C842" i="23"/>
  <c r="C828" i="23"/>
  <c r="C764" i="23"/>
  <c r="C785" i="23"/>
  <c r="C794" i="23"/>
  <c r="C782" i="23"/>
  <c r="C712" i="23"/>
  <c r="C705" i="23"/>
  <c r="C708" i="23"/>
  <c r="C731" i="23"/>
  <c r="C669" i="23"/>
  <c r="C645" i="23"/>
  <c r="C665" i="23"/>
  <c r="C603" i="23"/>
  <c r="C614" i="23"/>
  <c r="C534" i="23"/>
  <c r="C536" i="23"/>
  <c r="C533" i="23"/>
  <c r="C535" i="23"/>
  <c r="C480" i="23"/>
  <c r="C482" i="23"/>
  <c r="C499" i="23"/>
  <c r="C381" i="23"/>
  <c r="C387" i="23"/>
  <c r="C292" i="23"/>
  <c r="C287" i="23"/>
  <c r="C279" i="23"/>
  <c r="C294" i="23"/>
  <c r="C236" i="23"/>
  <c r="C222" i="23"/>
  <c r="C226" i="23"/>
  <c r="C231" i="23"/>
  <c r="C221" i="23"/>
  <c r="C251" i="23"/>
  <c r="C116" i="23"/>
  <c r="C122" i="23"/>
  <c r="C124" i="23"/>
  <c r="C126" i="23"/>
  <c r="C128" i="23"/>
  <c r="C85" i="23"/>
  <c r="C94" i="23"/>
  <c r="C74" i="23"/>
  <c r="C63" i="23"/>
  <c r="C56" i="23"/>
  <c r="C847" i="23"/>
  <c r="C854" i="23"/>
  <c r="C851" i="23"/>
  <c r="C863" i="23"/>
  <c r="C834" i="23"/>
  <c r="C853" i="23"/>
  <c r="C1029" i="23"/>
  <c r="C1051" i="23"/>
  <c r="C1028" i="23"/>
  <c r="C1035" i="23"/>
  <c r="C918" i="23"/>
  <c r="C923" i="23"/>
  <c r="C920" i="23"/>
  <c r="C850" i="23"/>
  <c r="C825" i="23"/>
  <c r="C813" i="23"/>
  <c r="C843" i="23"/>
  <c r="C781" i="23"/>
  <c r="C775" i="23"/>
  <c r="C788" i="23"/>
  <c r="C796" i="23"/>
  <c r="C635" i="23"/>
  <c r="C647" i="23"/>
  <c r="C650" i="23"/>
  <c r="C630" i="23"/>
  <c r="C644" i="23"/>
  <c r="C541" i="23"/>
  <c r="C545" i="23"/>
  <c r="C273" i="23"/>
  <c r="C277" i="23"/>
  <c r="C285" i="23"/>
  <c r="C296" i="23"/>
  <c r="C114" i="23"/>
  <c r="C107" i="23"/>
  <c r="C115" i="23"/>
  <c r="C121" i="23"/>
  <c r="C133" i="23"/>
  <c r="C48" i="23"/>
  <c r="C46" i="23"/>
  <c r="C69" i="23"/>
  <c r="C976" i="23"/>
  <c r="C1026" i="23"/>
  <c r="C1005" i="23"/>
  <c r="C1015" i="23"/>
  <c r="C1010" i="23"/>
  <c r="C956" i="23"/>
  <c r="C957" i="23"/>
  <c r="C968" i="23"/>
  <c r="C910" i="23"/>
  <c r="C908" i="23"/>
  <c r="C890" i="23"/>
  <c r="C899" i="23"/>
  <c r="C821" i="23"/>
  <c r="C812" i="23"/>
  <c r="C831" i="23"/>
  <c r="C810" i="23"/>
  <c r="C730" i="23"/>
  <c r="C720" i="23"/>
  <c r="C739" i="23"/>
  <c r="C674" i="23"/>
  <c r="C666" i="23"/>
  <c r="C695" i="23"/>
  <c r="C679" i="23"/>
  <c r="C601" i="23"/>
  <c r="C582" i="23"/>
  <c r="C537" i="23"/>
  <c r="C552" i="23"/>
  <c r="C460" i="23"/>
  <c r="C481" i="23"/>
  <c r="C487" i="23"/>
  <c r="C336" i="23"/>
  <c r="C331" i="23"/>
  <c r="C332" i="23"/>
  <c r="C343" i="23"/>
  <c r="C295" i="23"/>
  <c r="C280" i="23"/>
  <c r="C286" i="23"/>
  <c r="C268" i="23"/>
  <c r="C219" i="23"/>
  <c r="C212" i="23"/>
  <c r="C225" i="23"/>
  <c r="C242" i="23"/>
  <c r="C218" i="23"/>
  <c r="C240" i="23"/>
  <c r="C138" i="23"/>
  <c r="C146" i="23"/>
  <c r="C144" i="23"/>
  <c r="C157" i="23"/>
  <c r="C1398" i="23"/>
  <c r="C1411" i="23"/>
  <c r="C1461" i="23"/>
  <c r="C1431" i="23"/>
  <c r="C1428" i="23"/>
  <c r="C1396" i="23"/>
  <c r="C1454" i="23"/>
  <c r="C1475" i="23"/>
  <c r="C1488" i="23"/>
  <c r="C1511" i="23"/>
  <c r="C1379" i="23"/>
  <c r="C1442" i="23"/>
  <c r="C1391" i="23"/>
  <c r="C1408" i="23"/>
  <c r="C1419" i="23"/>
  <c r="C1483" i="23"/>
  <c r="C1395" i="23"/>
  <c r="C1445" i="23"/>
  <c r="C1452" i="23"/>
  <c r="C1463" i="23"/>
  <c r="C1471" i="23"/>
  <c r="C1497" i="23"/>
  <c r="C1417" i="23"/>
  <c r="C1386" i="23"/>
  <c r="C1414" i="23"/>
  <c r="C1413" i="23"/>
  <c r="C1436" i="23"/>
  <c r="C1432" i="23"/>
  <c r="C1434" i="23"/>
  <c r="C1444" i="23"/>
  <c r="C1457" i="23"/>
  <c r="C1453" i="23"/>
  <c r="C1473" i="23"/>
  <c r="C1474" i="23"/>
  <c r="C1495" i="23"/>
  <c r="C1504" i="23"/>
  <c r="C1459" i="23"/>
  <c r="C1456" i="23"/>
  <c r="C1448" i="23"/>
  <c r="C1458" i="23"/>
  <c r="C1466" i="23"/>
  <c r="C1469" i="23"/>
  <c r="C1394" i="23"/>
  <c r="C1422" i="23"/>
  <c r="C1392" i="23"/>
  <c r="C1416" i="23"/>
  <c r="C1438" i="23"/>
  <c r="C1401" i="23"/>
  <c r="C1443" i="23"/>
  <c r="C1437" i="23"/>
  <c r="C1354" i="23"/>
  <c r="C1363" i="23"/>
  <c r="C1364" i="23"/>
  <c r="C1349" i="23"/>
  <c r="C1375" i="23"/>
  <c r="C1360" i="23"/>
  <c r="C1336" i="23"/>
  <c r="C1335" i="23"/>
  <c r="C1312" i="23"/>
  <c r="C1346" i="23"/>
  <c r="C1319" i="23"/>
  <c r="C1310" i="23"/>
  <c r="C1330" i="23"/>
  <c r="C1311" i="23"/>
  <c r="C1307" i="23"/>
  <c r="C1301" i="23"/>
  <c r="C1284" i="23"/>
  <c r="C1293" i="23"/>
  <c r="C1299" i="23"/>
  <c r="C1280" i="23"/>
  <c r="C1297" i="23"/>
  <c r="C1266" i="23"/>
  <c r="C1291" i="23"/>
  <c r="C1285" i="23"/>
  <c r="C1257" i="23"/>
  <c r="C1240" i="23"/>
  <c r="C1267" i="23"/>
  <c r="C1271" i="23"/>
  <c r="C1265" i="23"/>
  <c r="C1279" i="23"/>
  <c r="C1252" i="23"/>
  <c r="C1256" i="23"/>
  <c r="C1251" i="23"/>
  <c r="C1263" i="23"/>
  <c r="C1264" i="23"/>
  <c r="C1245" i="23"/>
  <c r="C1237" i="23"/>
  <c r="C1254" i="23"/>
  <c r="C1243" i="23"/>
  <c r="C1226" i="23"/>
  <c r="C1230" i="23"/>
  <c r="C1236" i="23"/>
  <c r="C1248" i="23"/>
  <c r="C1228" i="23"/>
  <c r="C1235" i="23"/>
  <c r="C1213" i="23"/>
  <c r="C1206" i="23"/>
  <c r="C1205" i="23"/>
  <c r="C1223" i="23"/>
  <c r="C1200" i="23"/>
  <c r="C1202" i="23"/>
  <c r="C1203" i="23"/>
  <c r="C1174" i="23"/>
  <c r="C1195" i="23"/>
  <c r="C1181" i="23"/>
  <c r="C1187" i="23"/>
  <c r="C1168" i="23"/>
  <c r="C1177" i="23"/>
  <c r="C1188" i="23"/>
  <c r="C1171" i="23"/>
  <c r="C1154" i="23"/>
  <c r="C1149" i="23"/>
  <c r="C1145" i="23"/>
  <c r="C1142" i="23"/>
  <c r="C1136" i="23"/>
  <c r="C1138" i="23"/>
  <c r="C1121" i="23"/>
  <c r="C1137" i="23"/>
  <c r="C1125" i="23"/>
  <c r="C1126" i="23"/>
  <c r="C1112" i="23"/>
  <c r="C1106" i="23"/>
  <c r="C1113" i="23"/>
  <c r="C1114" i="23"/>
  <c r="C1088" i="23"/>
  <c r="C1100" i="23"/>
  <c r="C1101" i="23"/>
  <c r="C1103" i="23"/>
  <c r="C1107" i="23"/>
  <c r="C1094" i="23"/>
  <c r="C1085" i="23"/>
  <c r="C1095" i="23"/>
  <c r="C1084" i="23"/>
  <c r="C1067" i="23"/>
  <c r="C1082" i="23"/>
  <c r="C1066" i="23"/>
  <c r="C1061" i="23"/>
  <c r="C1060" i="23"/>
  <c r="C1064" i="23"/>
  <c r="C1057" i="23"/>
  <c r="C948" i="23"/>
  <c r="C959" i="23"/>
  <c r="C962" i="23"/>
  <c r="C950" i="23"/>
  <c r="C961" i="23"/>
  <c r="C514" i="23"/>
  <c r="C490" i="23"/>
  <c r="C515" i="23"/>
  <c r="C503" i="23"/>
  <c r="C509" i="23"/>
  <c r="C979" i="23"/>
  <c r="C969" i="23"/>
  <c r="C858" i="23"/>
  <c r="C865" i="23"/>
  <c r="C608" i="23"/>
  <c r="C611" i="23"/>
  <c r="C591" i="23"/>
  <c r="C473" i="23"/>
  <c r="C477" i="23"/>
  <c r="C466" i="23"/>
  <c r="C475" i="23"/>
  <c r="C361" i="23"/>
  <c r="C377" i="23"/>
  <c r="C371" i="23"/>
  <c r="C378" i="23"/>
  <c r="C376" i="23"/>
  <c r="C227" i="23"/>
  <c r="C204" i="23"/>
  <c r="C55" i="23"/>
  <c r="C60" i="23"/>
  <c r="C68" i="23"/>
  <c r="C70" i="23"/>
  <c r="C1038" i="23"/>
  <c r="C1020" i="23"/>
  <c r="C1045" i="23"/>
  <c r="C1032" i="23"/>
  <c r="C986" i="23"/>
  <c r="C983" i="23"/>
  <c r="C955" i="23"/>
  <c r="C980" i="23"/>
  <c r="C973" i="23"/>
  <c r="C922" i="23"/>
  <c r="C930" i="23"/>
  <c r="C917" i="23"/>
  <c r="C915" i="23"/>
  <c r="C937" i="23"/>
  <c r="C871" i="23"/>
  <c r="C880" i="23"/>
  <c r="C756" i="23"/>
  <c r="C744" i="23"/>
  <c r="C750" i="23"/>
  <c r="C762" i="23"/>
  <c r="C685" i="23"/>
  <c r="C703" i="23"/>
  <c r="C698" i="23"/>
  <c r="C711" i="23"/>
  <c r="C713" i="23"/>
  <c r="C689" i="23"/>
  <c r="C642" i="23"/>
  <c r="C646" i="23"/>
  <c r="C657" i="23"/>
  <c r="C554" i="23"/>
  <c r="C540" i="23"/>
  <c r="C495" i="23"/>
  <c r="C496" i="23"/>
  <c r="C501" i="23"/>
  <c r="C352" i="23"/>
  <c r="C363" i="23"/>
  <c r="C359" i="23"/>
  <c r="C317" i="23"/>
  <c r="C309" i="23"/>
  <c r="C324" i="23"/>
  <c r="C314" i="23"/>
  <c r="C256" i="23"/>
  <c r="C244" i="23"/>
  <c r="C252" i="23"/>
  <c r="C263" i="23"/>
  <c r="C271" i="23"/>
  <c r="C214" i="23"/>
  <c r="C217" i="23"/>
  <c r="C205" i="23"/>
  <c r="C206" i="23"/>
  <c r="C98" i="23"/>
  <c r="C103" i="23"/>
  <c r="C89" i="23"/>
  <c r="C81" i="23"/>
  <c r="C95" i="23"/>
  <c r="C1378" i="23"/>
  <c r="C1390" i="23"/>
  <c r="C1397" i="23"/>
  <c r="C1039" i="23"/>
  <c r="C1022" i="23"/>
  <c r="C1025" i="23"/>
  <c r="C974" i="23"/>
  <c r="C970" i="23"/>
  <c r="C913" i="23"/>
  <c r="C925" i="23"/>
  <c r="C907" i="23"/>
  <c r="C844" i="23"/>
  <c r="C866" i="23"/>
  <c r="C852" i="23"/>
  <c r="C849" i="23"/>
  <c r="C856" i="23"/>
  <c r="C855" i="23"/>
  <c r="C827" i="23"/>
  <c r="C819" i="23"/>
  <c r="C808" i="23"/>
  <c r="C776" i="23"/>
  <c r="C774" i="23"/>
  <c r="C765" i="23"/>
  <c r="C770" i="23"/>
  <c r="C702" i="23"/>
  <c r="C691" i="23"/>
  <c r="C684" i="23"/>
  <c r="C710" i="23"/>
  <c r="C724" i="23"/>
  <c r="C700" i="23"/>
  <c r="C658" i="23"/>
  <c r="C652" i="23"/>
  <c r="C656" i="23"/>
  <c r="C606" i="23"/>
  <c r="C596" i="23"/>
  <c r="C612" i="23"/>
  <c r="C619" i="23"/>
  <c r="C592" i="23"/>
  <c r="C527" i="23"/>
  <c r="C511" i="23"/>
  <c r="C523" i="23"/>
  <c r="C456" i="23"/>
  <c r="C459" i="23"/>
  <c r="C471" i="23"/>
  <c r="C368" i="23"/>
  <c r="C372" i="23"/>
  <c r="C362" i="23"/>
  <c r="C284" i="23"/>
  <c r="C291" i="23"/>
  <c r="C265" i="23"/>
  <c r="C288" i="23"/>
  <c r="C272" i="23"/>
  <c r="C210" i="23"/>
  <c r="C202" i="23"/>
  <c r="C209" i="23"/>
  <c r="C118" i="23"/>
  <c r="C127" i="23"/>
  <c r="C106" i="23"/>
  <c r="C53" i="23"/>
  <c r="C51" i="23"/>
  <c r="C47" i="23"/>
  <c r="C39" i="23"/>
  <c r="C201" i="23"/>
  <c r="C215" i="23"/>
  <c r="C191" i="23"/>
  <c r="C196" i="23"/>
  <c r="C129" i="23"/>
  <c r="C150" i="23"/>
  <c r="C156" i="23"/>
  <c r="C143" i="23"/>
  <c r="C173" i="23"/>
  <c r="C175" i="23"/>
  <c r="C184" i="23"/>
  <c r="C164" i="23"/>
  <c r="C134" i="23"/>
  <c r="C108" i="23"/>
  <c r="C109" i="23"/>
  <c r="C76" i="23"/>
  <c r="C73" i="23"/>
  <c r="C52" i="23"/>
  <c r="C44" i="23"/>
  <c r="C1044" i="23"/>
  <c r="C1023" i="23"/>
  <c r="C1009" i="23"/>
  <c r="C1019" i="23"/>
  <c r="C978" i="23"/>
  <c r="C958" i="23"/>
  <c r="C960" i="23"/>
  <c r="C939" i="23"/>
  <c r="C941" i="23"/>
  <c r="C916" i="23"/>
  <c r="C901" i="23"/>
  <c r="C877" i="23"/>
  <c r="C874" i="23"/>
  <c r="C862" i="23"/>
  <c r="C873" i="23"/>
  <c r="C797" i="23"/>
  <c r="C823" i="23"/>
  <c r="C799" i="23"/>
  <c r="C795" i="23"/>
  <c r="C792" i="23"/>
  <c r="C772" i="23"/>
  <c r="C790" i="23"/>
  <c r="C783" i="23"/>
  <c r="C766" i="23"/>
  <c r="C763" i="23"/>
  <c r="C707" i="23"/>
  <c r="C732" i="23"/>
  <c r="C723" i="23"/>
  <c r="C706" i="23"/>
  <c r="C653" i="23"/>
  <c r="C637" i="23"/>
  <c r="C641" i="23"/>
  <c r="C643" i="23"/>
  <c r="C609" i="23"/>
  <c r="C616" i="23"/>
  <c r="C605" i="23"/>
  <c r="C620" i="23"/>
  <c r="C583" i="23"/>
  <c r="C570" i="23"/>
  <c r="C597" i="23"/>
  <c r="C571" i="23"/>
  <c r="C548" i="23"/>
  <c r="C556" i="23"/>
  <c r="C558" i="23"/>
  <c r="C550" i="23"/>
  <c r="C576" i="23"/>
  <c r="C516" i="23"/>
  <c r="C528" i="23"/>
  <c r="C524" i="23"/>
  <c r="C521" i="23"/>
  <c r="C532" i="23"/>
  <c r="C360" i="23"/>
  <c r="C366" i="23"/>
  <c r="C354" i="23"/>
  <c r="C346" i="23"/>
  <c r="C358" i="23"/>
  <c r="C350" i="23"/>
  <c r="C335" i="23"/>
  <c r="C327" i="23"/>
  <c r="C318" i="23"/>
  <c r="C290" i="23"/>
  <c r="C312" i="23"/>
  <c r="C259" i="23"/>
  <c r="C258" i="23"/>
  <c r="C195" i="23"/>
  <c r="C192" i="23"/>
  <c r="C149" i="23"/>
  <c r="C131" i="23"/>
  <c r="C119" i="23"/>
  <c r="C93" i="23"/>
  <c r="C66" i="23"/>
  <c r="C84" i="23"/>
  <c r="C79" i="23"/>
  <c r="C1418" i="23"/>
  <c r="C1400" i="23"/>
  <c r="C1409" i="23"/>
  <c r="C1412" i="23"/>
  <c r="C1403" i="23"/>
  <c r="C1423" i="23"/>
  <c r="C1455" i="23"/>
  <c r="C1447" i="23"/>
  <c r="C1449" i="23"/>
  <c r="C1468" i="23"/>
  <c r="C1450" i="23"/>
  <c r="C1465" i="23"/>
  <c r="C1420" i="23"/>
  <c r="C1479" i="23"/>
  <c r="C1430" i="23"/>
  <c r="C1433" i="23"/>
  <c r="C1415" i="23"/>
  <c r="C1393" i="23"/>
  <c r="C1429" i="23"/>
  <c r="C1440" i="23"/>
  <c r="C1446" i="23"/>
  <c r="C1472" i="23"/>
  <c r="C1451" i="23"/>
  <c r="C1484" i="23"/>
  <c r="C1478" i="23"/>
  <c r="C1482" i="23"/>
  <c r="C1518" i="23"/>
  <c r="C1387" i="23"/>
  <c r="C1407" i="23"/>
  <c r="C1404" i="23"/>
  <c r="C1402" i="23"/>
  <c r="C1460" i="23"/>
  <c r="C1425" i="23"/>
  <c r="C1476" i="23"/>
  <c r="C1382" i="23"/>
  <c r="C1481" i="23"/>
  <c r="C1467" i="23"/>
  <c r="C1477" i="23"/>
  <c r="C1486" i="23"/>
  <c r="C1487" i="23"/>
  <c r="C1480" i="23"/>
  <c r="C1464" i="23"/>
  <c r="C1426" i="23"/>
  <c r="C1462" i="23"/>
  <c r="C1470" i="23"/>
  <c r="C1485" i="23"/>
  <c r="C1410" i="23"/>
  <c r="C1421" i="23"/>
  <c r="C1424" i="23"/>
  <c r="C1405" i="23"/>
  <c r="C1439" i="23"/>
  <c r="C1384" i="23"/>
  <c r="C1385" i="23"/>
  <c r="C1381" i="23"/>
  <c r="C1374" i="23"/>
  <c r="C1380" i="23"/>
  <c r="C1368" i="23"/>
  <c r="C1357" i="23"/>
  <c r="C1359" i="23"/>
  <c r="C1340" i="23"/>
  <c r="C1323" i="23"/>
  <c r="C1342" i="23"/>
  <c r="C1337" i="23"/>
  <c r="C1322" i="23"/>
  <c r="C1348" i="23"/>
  <c r="C1305" i="23"/>
  <c r="C1318" i="23"/>
  <c r="C1326" i="23"/>
  <c r="C1304" i="23"/>
  <c r="C1303" i="23"/>
  <c r="C1288" i="23"/>
  <c r="C1289" i="23"/>
  <c r="C1302" i="23"/>
  <c r="C1308" i="23"/>
  <c r="C1298" i="23"/>
  <c r="C1282" i="23"/>
  <c r="C1281" i="23"/>
  <c r="C1262" i="23"/>
  <c r="C1275" i="23"/>
  <c r="C1261" i="23"/>
  <c r="C1270" i="23"/>
  <c r="C1283" i="23"/>
  <c r="C1276" i="23"/>
  <c r="C1278" i="23"/>
  <c r="C1253" i="23"/>
  <c r="C1231" i="23"/>
  <c r="C1249" i="23"/>
  <c r="C1255" i="23"/>
  <c r="C1260" i="23"/>
  <c r="C1259" i="23"/>
  <c r="C1234" i="23"/>
  <c r="C1247" i="23"/>
  <c r="C1242" i="23"/>
  <c r="C1220" i="23"/>
  <c r="C1233" i="23"/>
  <c r="C1216" i="23"/>
  <c r="C1218" i="23"/>
  <c r="C1208" i="23"/>
  <c r="C1229" i="23"/>
  <c r="C1210" i="23"/>
  <c r="C1224" i="23"/>
  <c r="C1217" i="23"/>
  <c r="C1211" i="23"/>
  <c r="C1197" i="23"/>
  <c r="C1201" i="23"/>
  <c r="C1198" i="23"/>
  <c r="C1170" i="23"/>
  <c r="C1192" i="23"/>
  <c r="C1178" i="23"/>
  <c r="C1199" i="23"/>
  <c r="C1164" i="23"/>
  <c r="C1162" i="23"/>
  <c r="C1169" i="23"/>
  <c r="C1166" i="23"/>
  <c r="C1140" i="23"/>
  <c r="C1173" i="23"/>
  <c r="C1146" i="23"/>
  <c r="C1156" i="23"/>
  <c r="C1147" i="23"/>
  <c r="C1150" i="23"/>
  <c r="C1129" i="23"/>
  <c r="C1123" i="23"/>
  <c r="C1133" i="23"/>
  <c r="C1110" i="23"/>
  <c r="C1115" i="23"/>
  <c r="C1128" i="23"/>
  <c r="C1111" i="23"/>
  <c r="C1122" i="23"/>
  <c r="C1104" i="23"/>
  <c r="C1090" i="23"/>
  <c r="C1097" i="23"/>
  <c r="C1089" i="23"/>
  <c r="C1105" i="23"/>
  <c r="C1086" i="23"/>
  <c r="C1091" i="23"/>
  <c r="C1074" i="23"/>
  <c r="C1078" i="23"/>
  <c r="C1083" i="23"/>
  <c r="C1077" i="23"/>
  <c r="C1070" i="23"/>
  <c r="C1079" i="23"/>
  <c r="C1055" i="23"/>
  <c r="C1071" i="23"/>
  <c r="C1059" i="23"/>
  <c r="C919" i="23"/>
  <c r="C921" i="23"/>
  <c r="C902" i="23"/>
  <c r="C461" i="23"/>
  <c r="C462" i="23"/>
  <c r="C450" i="23"/>
  <c r="C988" i="23"/>
  <c r="C1024" i="23"/>
  <c r="C1011" i="23"/>
  <c r="C1001" i="23"/>
  <c r="C998" i="23"/>
  <c r="C951" i="23"/>
  <c r="C964" i="23"/>
  <c r="C966" i="23"/>
  <c r="C967" i="23"/>
  <c r="C965" i="23"/>
  <c r="C900" i="23"/>
  <c r="C909" i="23"/>
  <c r="C898" i="23"/>
  <c r="C903" i="23"/>
  <c r="C832" i="23"/>
  <c r="C809" i="23"/>
  <c r="C803" i="23"/>
  <c r="C817" i="23"/>
  <c r="C735" i="23"/>
  <c r="C754" i="23"/>
  <c r="C742" i="23"/>
  <c r="C758" i="23"/>
  <c r="C663" i="23"/>
  <c r="C686" i="23"/>
  <c r="C694" i="23"/>
  <c r="C715" i="23"/>
  <c r="C692" i="23"/>
  <c r="C573" i="23"/>
  <c r="C563" i="23"/>
  <c r="C580" i="23"/>
  <c r="C588" i="23"/>
  <c r="C519" i="23"/>
  <c r="C502" i="23"/>
  <c r="C506" i="23"/>
  <c r="C512" i="23"/>
  <c r="C522" i="23"/>
  <c r="C342" i="23"/>
  <c r="C337" i="23"/>
  <c r="C348" i="23"/>
  <c r="C255" i="23"/>
  <c r="C241" i="23"/>
  <c r="C237" i="23"/>
  <c r="C249" i="23"/>
  <c r="C253" i="23"/>
  <c r="C207" i="23"/>
  <c r="C171" i="23"/>
  <c r="C158" i="23"/>
  <c r="C188" i="23"/>
  <c r="C86" i="23"/>
  <c r="C105" i="23"/>
  <c r="C102" i="23"/>
  <c r="C110" i="23"/>
  <c r="C97" i="23"/>
  <c r="C91" i="23"/>
  <c r="C71" i="23"/>
  <c r="C57" i="23"/>
  <c r="C49" i="23"/>
  <c r="C1042" i="23"/>
  <c r="C1033" i="23"/>
  <c r="C1040" i="23"/>
  <c r="C1027" i="23"/>
  <c r="C975" i="23"/>
  <c r="C990" i="23"/>
  <c r="C971" i="23"/>
  <c r="C954" i="23"/>
  <c r="C944" i="23"/>
  <c r="C912" i="23"/>
  <c r="C931" i="23"/>
  <c r="C935" i="23"/>
  <c r="C897" i="23"/>
  <c r="C883" i="23"/>
  <c r="C891" i="23"/>
  <c r="C840" i="23"/>
  <c r="C867" i="23"/>
  <c r="C881" i="23"/>
  <c r="C822" i="23"/>
  <c r="C836" i="23"/>
  <c r="C829" i="23"/>
  <c r="C807" i="23"/>
  <c r="C787" i="23"/>
  <c r="C815" i="23"/>
  <c r="C805" i="23"/>
  <c r="C778" i="23"/>
  <c r="C761" i="23"/>
  <c r="C773" i="23"/>
  <c r="C784" i="23"/>
  <c r="C752" i="23"/>
  <c r="C741" i="23"/>
  <c r="C714" i="23"/>
  <c r="C726" i="23"/>
  <c r="C718" i="23"/>
  <c r="C716" i="23"/>
  <c r="C649" i="23"/>
  <c r="C668" i="23"/>
  <c r="C682" i="23"/>
  <c r="C622" i="23"/>
  <c r="C636" i="23"/>
  <c r="C631" i="23"/>
  <c r="C639" i="23"/>
  <c r="C624" i="23"/>
  <c r="C594" i="23"/>
  <c r="C627" i="23"/>
  <c r="C610" i="23"/>
  <c r="C598" i="23"/>
  <c r="C586" i="23"/>
  <c r="C575" i="23"/>
  <c r="C577" i="23"/>
  <c r="C569" i="23"/>
  <c r="C560" i="23"/>
  <c r="C565" i="23"/>
  <c r="C543" i="23"/>
  <c r="C559" i="23"/>
  <c r="C525" i="23"/>
  <c r="C531" i="23"/>
  <c r="C518" i="23"/>
  <c r="C530" i="23"/>
  <c r="C538" i="23"/>
  <c r="C504" i="23"/>
  <c r="C485" i="23"/>
  <c r="C507" i="23"/>
  <c r="C500" i="23"/>
  <c r="C470" i="23"/>
  <c r="C458" i="23"/>
  <c r="C469" i="23"/>
  <c r="C488" i="23"/>
  <c r="C452" i="23"/>
  <c r="C369" i="23"/>
  <c r="C355" i="23"/>
  <c r="C351" i="23"/>
  <c r="C353" i="23"/>
  <c r="C349" i="23"/>
  <c r="C321" i="23"/>
  <c r="C344" i="23"/>
  <c r="C330" i="23"/>
  <c r="C325" i="23"/>
  <c r="C302" i="23"/>
  <c r="C293" i="23"/>
  <c r="C248" i="23"/>
  <c r="C245" i="23"/>
  <c r="C230" i="23"/>
  <c r="C216" i="23"/>
  <c r="C190" i="23"/>
  <c r="C193" i="23"/>
  <c r="C142" i="23"/>
  <c r="C141" i="23"/>
  <c r="C117" i="23"/>
  <c r="C111" i="23"/>
  <c r="C75" i="23"/>
  <c r="C67" i="23"/>
  <c r="C82" i="23"/>
  <c r="C88" i="23"/>
  <c r="E436" i="2"/>
  <c r="A436" i="2" s="1"/>
  <c r="E45" i="2"/>
  <c r="A45" i="2" s="1"/>
  <c r="E346" i="2"/>
  <c r="A346" i="2" s="1"/>
  <c r="E556" i="2"/>
  <c r="A556" i="2" s="1"/>
  <c r="E116" i="2"/>
  <c r="A116" i="2" s="1"/>
  <c r="E653" i="2"/>
  <c r="A653" i="2" s="1"/>
  <c r="E547" i="2"/>
  <c r="A547" i="2" s="1"/>
  <c r="E648" i="2"/>
  <c r="A648" i="2" s="1"/>
  <c r="H999" i="23"/>
  <c r="H1084" i="23"/>
  <c r="H589" i="23"/>
  <c r="L23" i="23"/>
  <c r="H1097" i="23"/>
  <c r="H1090" i="23"/>
  <c r="H737" i="23"/>
  <c r="H499" i="23"/>
  <c r="H460" i="23"/>
  <c r="H687" i="23"/>
  <c r="H612" i="23"/>
  <c r="H595" i="23"/>
  <c r="H662" i="23"/>
  <c r="H925" i="23"/>
  <c r="H913" i="23"/>
  <c r="H361" i="23"/>
  <c r="H1027" i="23"/>
  <c r="H498" i="23"/>
  <c r="H1168" i="23"/>
  <c r="H1167" i="23"/>
  <c r="H1349" i="23"/>
  <c r="H1357" i="23"/>
  <c r="H424" i="23"/>
  <c r="H425" i="23"/>
  <c r="H1183" i="23"/>
  <c r="H1193" i="23"/>
  <c r="H709" i="23"/>
  <c r="H726" i="23"/>
  <c r="H774" i="23"/>
  <c r="H403" i="23"/>
  <c r="H384" i="23"/>
  <c r="H126" i="23"/>
  <c r="H182" i="23"/>
  <c r="H729" i="23"/>
  <c r="H720" i="23"/>
  <c r="H1101" i="23"/>
  <c r="H1119" i="23"/>
  <c r="H1328" i="23"/>
  <c r="H1332" i="23"/>
  <c r="L27" i="23"/>
  <c r="H252" i="23"/>
  <c r="H266" i="23"/>
  <c r="H271" i="23"/>
  <c r="H546" i="23"/>
  <c r="H759" i="23"/>
  <c r="H756" i="23"/>
  <c r="H1160" i="23"/>
  <c r="H1159" i="23"/>
  <c r="H901" i="23"/>
  <c r="H1275" i="23"/>
  <c r="H1404" i="23"/>
  <c r="H1458" i="23"/>
  <c r="H1444" i="23"/>
  <c r="H235" i="23"/>
  <c r="H254" i="23"/>
  <c r="H323" i="23"/>
  <c r="H343" i="23"/>
  <c r="H496" i="23"/>
  <c r="H503" i="23"/>
  <c r="H985" i="23"/>
  <c r="H1014" i="23"/>
  <c r="H1017" i="23"/>
  <c r="H993" i="23"/>
  <c r="H1467" i="23"/>
  <c r="H1463" i="23"/>
  <c r="H456" i="23"/>
  <c r="H463" i="23"/>
  <c r="H805" i="23"/>
  <c r="H1047" i="23"/>
  <c r="H1161" i="23"/>
  <c r="H1165" i="23"/>
  <c r="H928" i="23"/>
  <c r="H920" i="23"/>
  <c r="H1253" i="23"/>
  <c r="H1259" i="23"/>
  <c r="L6" i="23"/>
  <c r="L15" i="23"/>
  <c r="H67" i="23"/>
  <c r="H84" i="23"/>
  <c r="H104" i="23"/>
  <c r="H155" i="23"/>
  <c r="H132" i="23"/>
  <c r="H180" i="23"/>
  <c r="H209" i="23"/>
  <c r="H309" i="23"/>
  <c r="H324" i="23"/>
  <c r="H824" i="23"/>
  <c r="H808" i="23"/>
  <c r="H262" i="23"/>
  <c r="H265" i="23"/>
  <c r="H1096" i="23"/>
  <c r="H1080" i="23"/>
  <c r="L36" i="23"/>
  <c r="H1041" i="23"/>
  <c r="H1164" i="23"/>
  <c r="H274" i="23"/>
  <c r="H284" i="23"/>
  <c r="H291" i="23"/>
  <c r="H504" i="23"/>
  <c r="H494" i="23"/>
  <c r="H610" i="23"/>
  <c r="H624" i="23"/>
  <c r="H1317" i="23"/>
  <c r="H1306" i="23"/>
  <c r="H1353" i="23"/>
  <c r="H1378" i="23"/>
  <c r="H94" i="23"/>
  <c r="H66" i="23"/>
  <c r="H221" i="23"/>
  <c r="H218" i="23"/>
  <c r="H406" i="23"/>
  <c r="H422" i="23"/>
  <c r="H395" i="23"/>
  <c r="H734" i="23"/>
  <c r="H733" i="23"/>
  <c r="H788" i="23"/>
  <c r="H786" i="23"/>
  <c r="H956" i="23"/>
  <c r="H949" i="23"/>
  <c r="H959" i="23"/>
  <c r="H1377" i="23"/>
  <c r="H1366" i="23"/>
  <c r="H1321" i="23"/>
  <c r="H1358" i="23"/>
  <c r="H1396" i="23"/>
  <c r="H1391" i="23"/>
  <c r="H1379" i="23"/>
  <c r="H1407" i="23"/>
  <c r="H1386" i="23"/>
  <c r="H1395" i="23"/>
  <c r="H1453" i="23"/>
  <c r="H1411" i="23"/>
  <c r="H1445" i="23"/>
  <c r="H1457" i="23"/>
  <c r="L5" i="23"/>
  <c r="L2" i="23"/>
  <c r="L8" i="23"/>
  <c r="H173" i="23"/>
  <c r="H188" i="23"/>
  <c r="H164" i="23"/>
  <c r="H365" i="23"/>
  <c r="H297" i="23"/>
  <c r="H307" i="23"/>
  <c r="H364" i="23"/>
  <c r="H357" i="23"/>
  <c r="H628" i="23"/>
  <c r="H634" i="23"/>
  <c r="H921" i="23"/>
  <c r="H919" i="23"/>
  <c r="H575" i="23"/>
  <c r="H583" i="23"/>
  <c r="H570" i="23"/>
  <c r="H637" i="23"/>
  <c r="H631" i="23"/>
  <c r="H636" i="23"/>
  <c r="H797" i="23"/>
  <c r="H815" i="23"/>
  <c r="H1226" i="23"/>
  <c r="H1247" i="23"/>
  <c r="H1284" i="23"/>
  <c r="H1297" i="23"/>
  <c r="H1302" i="23"/>
  <c r="H103" i="23"/>
  <c r="H95" i="23"/>
  <c r="H146" i="23"/>
  <c r="H144" i="23"/>
  <c r="H657" i="23"/>
  <c r="H656" i="23"/>
  <c r="H1078" i="23"/>
  <c r="H1083" i="23"/>
  <c r="H1139" i="23"/>
  <c r="H1150" i="23"/>
  <c r="H1363" i="23"/>
  <c r="H1365" i="23"/>
  <c r="H371" i="23"/>
  <c r="H382" i="23"/>
  <c r="H421" i="23"/>
  <c r="H434" i="23"/>
  <c r="H535" i="23"/>
  <c r="H566" i="23"/>
  <c r="H661" i="23"/>
  <c r="H648" i="23"/>
  <c r="H826" i="23"/>
  <c r="H837" i="23"/>
  <c r="H604" i="23"/>
  <c r="H602" i="23"/>
  <c r="H667" i="23"/>
  <c r="H1258" i="23"/>
  <c r="H1277" i="23"/>
  <c r="H312" i="23"/>
  <c r="H325" i="23"/>
  <c r="H313" i="23"/>
  <c r="H317" i="23"/>
  <c r="H480" i="23"/>
  <c r="H482" i="23"/>
  <c r="H541" i="23"/>
  <c r="H551" i="23"/>
  <c r="H700" i="23"/>
  <c r="H711" i="23"/>
  <c r="H831" i="23"/>
  <c r="H803" i="23"/>
  <c r="H880" i="23"/>
  <c r="H876" i="23"/>
  <c r="H917" i="23"/>
  <c r="H915" i="23"/>
  <c r="H922" i="23"/>
  <c r="H987" i="23"/>
  <c r="H997" i="23"/>
  <c r="H1249" i="23"/>
  <c r="H1244" i="23"/>
  <c r="H1255" i="23"/>
  <c r="H1300" i="23"/>
  <c r="H1318" i="23"/>
  <c r="H1304" i="23"/>
  <c r="H1355" i="23"/>
  <c r="H1369" i="23"/>
  <c r="H81" i="23"/>
  <c r="H86" i="23"/>
  <c r="H260" i="23"/>
  <c r="H264" i="23"/>
  <c r="H308" i="23"/>
  <c r="H303" i="23"/>
  <c r="H776" i="23"/>
  <c r="H770" i="23"/>
  <c r="H868" i="23"/>
  <c r="H861" i="23"/>
  <c r="H938" i="23"/>
  <c r="H924" i="23"/>
  <c r="H942" i="23"/>
  <c r="H972" i="23"/>
  <c r="H973" i="23"/>
  <c r="H1135" i="23"/>
  <c r="H1138" i="23"/>
  <c r="H1151" i="23"/>
  <c r="H1202" i="23"/>
  <c r="H1197" i="23"/>
  <c r="H1252" i="23"/>
  <c r="H1260" i="23"/>
  <c r="H44" i="23"/>
  <c r="H63" i="23"/>
  <c r="H56" i="23"/>
  <c r="H321" i="23"/>
  <c r="H329" i="23"/>
  <c r="H319" i="23"/>
  <c r="H448" i="23"/>
  <c r="H454" i="23"/>
  <c r="H430" i="23"/>
  <c r="H768" i="23"/>
  <c r="H780" i="23"/>
  <c r="H882" i="23"/>
  <c r="H870" i="23"/>
  <c r="H879" i="23"/>
  <c r="H1020" i="23"/>
  <c r="H1035" i="23"/>
  <c r="H1036" i="23"/>
  <c r="H1316" i="23"/>
  <c r="H1326" i="23"/>
  <c r="H1371" i="23"/>
  <c r="H1388" i="23"/>
  <c r="H353" i="23"/>
  <c r="H368" i="23"/>
  <c r="H1206" i="23"/>
  <c r="H1205" i="23"/>
  <c r="H1223" i="23"/>
  <c r="H93" i="23"/>
  <c r="H117" i="23"/>
  <c r="H174" i="23"/>
  <c r="H177" i="23"/>
  <c r="H230" i="23"/>
  <c r="H216" i="23"/>
  <c r="H784" i="23"/>
  <c r="H792" i="23"/>
  <c r="H772" i="23"/>
  <c r="H891" i="23"/>
  <c r="H897" i="23"/>
  <c r="H939" i="23"/>
  <c r="H954" i="23"/>
  <c r="H165" i="23"/>
  <c r="H167" i="23"/>
  <c r="H603" i="23"/>
  <c r="H626" i="23"/>
  <c r="H633" i="23"/>
  <c r="H614" i="23"/>
  <c r="H833" i="23"/>
  <c r="H841" i="23"/>
  <c r="H846" i="23"/>
  <c r="H906" i="23"/>
  <c r="H910" i="23"/>
  <c r="H904" i="23"/>
  <c r="H916" i="23"/>
  <c r="H884" i="23"/>
  <c r="H1109" i="23"/>
  <c r="H1099" i="23"/>
  <c r="H1269" i="23"/>
  <c r="H1283" i="23"/>
  <c r="H1274" i="23"/>
  <c r="H1331" i="23"/>
  <c r="H1324" i="23"/>
  <c r="H122" i="23"/>
  <c r="H128" i="23"/>
  <c r="H243" i="23"/>
  <c r="H231" i="23"/>
  <c r="H242" i="23"/>
  <c r="H292" i="23"/>
  <c r="H299" i="23"/>
  <c r="H294" i="23"/>
  <c r="H385" i="23"/>
  <c r="H410" i="23"/>
  <c r="H462" i="23"/>
  <c r="H450" i="23"/>
  <c r="H579" i="23"/>
  <c r="H567" i="23"/>
  <c r="H745" i="23"/>
  <c r="H748" i="23"/>
  <c r="H864" i="23"/>
  <c r="H859" i="23"/>
  <c r="H1062" i="23"/>
  <c r="H1050" i="23"/>
  <c r="H1387" i="23"/>
  <c r="H1473" i="23"/>
  <c r="H1459" i="23"/>
  <c r="H1448" i="23"/>
  <c r="H1394" i="23"/>
  <c r="H1392" i="23"/>
  <c r="H1401" i="23"/>
  <c r="H1443" i="23"/>
  <c r="H1398" i="23"/>
  <c r="H1418" i="23"/>
  <c r="H1400" i="23"/>
  <c r="H1447" i="23"/>
  <c r="H1449" i="23"/>
  <c r="H1454" i="23"/>
  <c r="H1442" i="23"/>
  <c r="H1430" i="23"/>
  <c r="H1433" i="23"/>
  <c r="H1456" i="23"/>
  <c r="H1452" i="23"/>
  <c r="H1414" i="23"/>
  <c r="H65" i="23"/>
  <c r="H72" i="23"/>
  <c r="H50" i="23"/>
  <c r="H302" i="23"/>
  <c r="H300" i="23"/>
  <c r="H799" i="23"/>
  <c r="H823" i="23"/>
  <c r="H862" i="23"/>
  <c r="H866" i="23"/>
  <c r="H125" i="23"/>
  <c r="H133" i="23"/>
  <c r="H136" i="23"/>
  <c r="H200" i="23"/>
  <c r="H183" i="23"/>
  <c r="H189" i="23"/>
  <c r="H234" i="23"/>
  <c r="H246" i="23"/>
  <c r="H232" i="23"/>
  <c r="H517" i="23"/>
  <c r="H523" i="23"/>
  <c r="H528" i="23"/>
  <c r="H692" i="23"/>
  <c r="H686" i="23"/>
  <c r="H693" i="23"/>
  <c r="H955" i="23"/>
  <c r="H990" i="23"/>
  <c r="H998" i="23"/>
  <c r="H1015" i="23"/>
  <c r="H1073" i="23"/>
  <c r="H1076" i="23"/>
  <c r="H1124" i="23"/>
  <c r="H1118" i="23"/>
  <c r="H1130" i="23"/>
  <c r="H1220" i="23"/>
  <c r="H1222" i="23"/>
  <c r="H1280" i="23"/>
  <c r="H1309" i="23"/>
  <c r="H1350" i="23"/>
  <c r="H1334" i="23"/>
  <c r="H1170" i="23"/>
  <c r="H1178" i="23"/>
  <c r="H1356" i="23"/>
  <c r="H1359" i="23"/>
  <c r="L21" i="12"/>
  <c r="L4" i="23"/>
  <c r="L25" i="23"/>
  <c r="H1026" i="23"/>
  <c r="H976" i="23"/>
  <c r="H1059" i="23"/>
  <c r="H1057" i="23"/>
  <c r="H1113" i="23"/>
  <c r="H1112" i="23"/>
  <c r="H1128" i="23"/>
  <c r="H1169" i="23"/>
  <c r="H1188" i="23"/>
  <c r="H1228" i="23"/>
  <c r="H1230" i="23"/>
  <c r="H1218" i="23"/>
  <c r="H1281" i="23"/>
  <c r="H1262" i="23"/>
  <c r="H1291" i="23"/>
  <c r="H1429" i="23"/>
  <c r="H1486" i="23"/>
  <c r="H1484" i="23"/>
  <c r="H1413" i="23"/>
  <c r="H1393" i="23"/>
  <c r="H1461" i="23"/>
  <c r="H1466" i="23"/>
  <c r="H1469" i="23"/>
  <c r="H1403" i="23"/>
  <c r="H1475" i="23"/>
  <c r="H1422" i="23"/>
  <c r="H1477" i="23"/>
  <c r="H1424" i="23"/>
  <c r="H1497" i="23"/>
  <c r="H1425" i="23"/>
  <c r="H1426" i="23"/>
  <c r="H1421" i="23"/>
  <c r="H1420" i="23"/>
  <c r="L15" i="12"/>
  <c r="L12" i="23"/>
  <c r="H190" i="23"/>
  <c r="H214" i="23"/>
  <c r="H217" i="23"/>
  <c r="H258" i="23"/>
  <c r="H255" i="23"/>
  <c r="H411" i="23"/>
  <c r="H416" i="23"/>
  <c r="H530" i="23"/>
  <c r="H538" i="23"/>
  <c r="H577" i="23"/>
  <c r="H597" i="23"/>
  <c r="H639" i="23"/>
  <c r="H643" i="23"/>
  <c r="H698" i="23"/>
  <c r="H703" i="23"/>
  <c r="H689" i="23"/>
  <c r="H755" i="23"/>
  <c r="H766" i="23"/>
  <c r="H762" i="23"/>
  <c r="H763" i="23"/>
  <c r="H960" i="23"/>
  <c r="H971" i="23"/>
  <c r="H970" i="23"/>
  <c r="H974" i="23"/>
  <c r="H75" i="23"/>
  <c r="H55" i="23"/>
  <c r="H388" i="23"/>
  <c r="H402" i="23"/>
  <c r="H409" i="23"/>
  <c r="H467" i="23"/>
  <c r="H464" i="23"/>
  <c r="H515" i="23"/>
  <c r="H519" i="23"/>
  <c r="H502" i="23"/>
  <c r="H562" i="23"/>
  <c r="H564" i="23"/>
  <c r="H621" i="23"/>
  <c r="H623" i="23"/>
  <c r="H607" i="23"/>
  <c r="H671" i="23"/>
  <c r="H675" i="23"/>
  <c r="H681" i="23"/>
  <c r="H804" i="23"/>
  <c r="H779" i="23"/>
  <c r="H838" i="23"/>
  <c r="H847" i="23"/>
  <c r="H903" i="23"/>
  <c r="H895" i="23"/>
  <c r="H905" i="23"/>
  <c r="H73" i="23"/>
  <c r="H76" i="23"/>
  <c r="H57" i="23"/>
  <c r="H139" i="23"/>
  <c r="H145" i="23"/>
  <c r="H123" i="23"/>
  <c r="H178" i="23"/>
  <c r="H181" i="23"/>
  <c r="H305" i="23"/>
  <c r="H301" i="23"/>
  <c r="H298" i="23"/>
  <c r="H351" i="23"/>
  <c r="H360" i="23"/>
  <c r="H354" i="23"/>
  <c r="H469" i="23"/>
  <c r="H458" i="23"/>
  <c r="H581" i="23"/>
  <c r="H585" i="23"/>
  <c r="H735" i="23"/>
  <c r="H738" i="23"/>
  <c r="H800" i="23"/>
  <c r="H820" i="23"/>
  <c r="H806" i="23"/>
  <c r="H854" i="23"/>
  <c r="H853" i="23"/>
  <c r="H855" i="23"/>
  <c r="H1012" i="23"/>
  <c r="H1016" i="23"/>
  <c r="H1063" i="23"/>
  <c r="H1052" i="23"/>
  <c r="H1179" i="23"/>
  <c r="H1180" i="23"/>
  <c r="H1333" i="23"/>
  <c r="H1347" i="23"/>
  <c r="H1520" i="23"/>
  <c r="H1512" i="23"/>
  <c r="H1491" i="23"/>
  <c r="H1079" i="23"/>
  <c r="H1082" i="23"/>
  <c r="H1123" i="23"/>
  <c r="H1133" i="23"/>
  <c r="H1121" i="23"/>
  <c r="H1137" i="23"/>
  <c r="H1243" i="23"/>
  <c r="H1241" i="23"/>
  <c r="H98" i="23"/>
  <c r="H90" i="23"/>
  <c r="H129" i="23"/>
  <c r="H157" i="23"/>
  <c r="H138" i="23"/>
  <c r="H137" i="23"/>
  <c r="H147" i="23"/>
  <c r="H215" i="23"/>
  <c r="H206" i="23"/>
  <c r="H256" i="23"/>
  <c r="H253" i="23"/>
  <c r="H316" i="23"/>
  <c r="H322" i="23"/>
  <c r="H363" i="23"/>
  <c r="H359" i="23"/>
  <c r="H440" i="23"/>
  <c r="H415" i="23"/>
  <c r="H417" i="23"/>
  <c r="H552" i="23"/>
  <c r="H545" i="23"/>
  <c r="H606" i="23"/>
  <c r="H619" i="23"/>
  <c r="H635" i="23"/>
  <c r="H650" i="23"/>
  <c r="H647" i="23"/>
  <c r="H753" i="23"/>
  <c r="H749" i="23"/>
  <c r="H865" i="23"/>
  <c r="H875" i="23"/>
  <c r="H1007" i="23"/>
  <c r="H1004" i="23"/>
  <c r="H1019" i="23"/>
  <c r="H1022" i="23"/>
  <c r="H1025" i="23"/>
  <c r="H1030" i="23"/>
  <c r="H1092" i="23"/>
  <c r="H1087" i="23"/>
  <c r="H1196" i="23"/>
  <c r="H1185" i="23"/>
  <c r="H1189" i="23"/>
  <c r="H203" i="23"/>
  <c r="H224" i="23"/>
  <c r="H400" i="23"/>
  <c r="H370" i="23"/>
  <c r="H376" i="23"/>
  <c r="H444" i="23"/>
  <c r="H405" i="23"/>
  <c r="H474" i="23"/>
  <c r="H476" i="23"/>
  <c r="H478" i="23"/>
  <c r="H592" i="23"/>
  <c r="H593" i="23"/>
  <c r="H717" i="23"/>
  <c r="H704" i="23"/>
  <c r="H986" i="23"/>
  <c r="H983" i="23"/>
  <c r="H1028" i="23"/>
  <c r="H1032" i="23"/>
  <c r="H1033" i="23"/>
  <c r="H1095" i="23"/>
  <c r="H1086" i="23"/>
  <c r="H1147" i="23"/>
  <c r="H1156" i="23"/>
  <c r="H1142" i="23"/>
  <c r="H1209" i="23"/>
  <c r="H1191" i="23"/>
  <c r="H1305" i="23"/>
  <c r="H1303" i="23"/>
  <c r="H1374" i="23"/>
  <c r="H1380" i="23"/>
  <c r="I5" i="4"/>
  <c r="L11" i="23"/>
  <c r="L28" i="23"/>
  <c r="H47" i="23"/>
  <c r="H69" i="23"/>
  <c r="H46" i="23"/>
  <c r="H51" i="23"/>
  <c r="H96" i="23"/>
  <c r="H110" i="23"/>
  <c r="H99" i="23"/>
  <c r="H197" i="23"/>
  <c r="H213" i="23"/>
  <c r="H270" i="23"/>
  <c r="H272" i="23"/>
  <c r="H381" i="23"/>
  <c r="H387" i="23"/>
  <c r="H489" i="23"/>
  <c r="H500" i="23"/>
  <c r="H513" i="23"/>
  <c r="H544" i="23"/>
  <c r="H547" i="23"/>
  <c r="H600" i="23"/>
  <c r="H605" i="23"/>
  <c r="H665" i="23"/>
  <c r="H680" i="23"/>
  <c r="H731" i="23"/>
  <c r="H707" i="23"/>
  <c r="H732" i="23"/>
  <c r="H757" i="23"/>
  <c r="H760" i="23"/>
  <c r="H818" i="23"/>
  <c r="H850" i="23"/>
  <c r="H940" i="23"/>
  <c r="H936" i="23"/>
  <c r="L29" i="23"/>
  <c r="L37" i="23"/>
  <c r="L18" i="23"/>
  <c r="L26" i="23"/>
  <c r="H1049" i="23"/>
  <c r="H1031" i="23"/>
  <c r="H1089" i="23"/>
  <c r="H1105" i="23"/>
  <c r="H1088" i="23"/>
  <c r="H1144" i="23"/>
  <c r="H1158" i="23"/>
  <c r="H1153" i="23"/>
  <c r="H1210" i="23"/>
  <c r="H1217" i="23"/>
  <c r="H1278" i="23"/>
  <c r="H1279" i="23"/>
  <c r="H1265" i="23"/>
  <c r="H1319" i="23"/>
  <c r="H1346" i="23"/>
  <c r="H1406" i="23"/>
  <c r="H1397" i="23"/>
  <c r="H1383" i="23"/>
  <c r="H1362" i="23"/>
  <c r="L13" i="23"/>
  <c r="L20" i="23"/>
  <c r="H41" i="23"/>
  <c r="H45" i="23"/>
  <c r="H58" i="23"/>
  <c r="H160" i="23"/>
  <c r="H163" i="23"/>
  <c r="H204" i="23"/>
  <c r="H212" i="23"/>
  <c r="H380" i="23"/>
  <c r="H393" i="23"/>
  <c r="H443" i="23"/>
  <c r="H435" i="23"/>
  <c r="H565" i="23"/>
  <c r="H548" i="23"/>
  <c r="H556" i="23"/>
  <c r="H682" i="23"/>
  <c r="H649" i="23"/>
  <c r="H716" i="23"/>
  <c r="H730" i="23"/>
  <c r="H814" i="23"/>
  <c r="H828" i="23"/>
  <c r="H848" i="23"/>
  <c r="H127" i="23"/>
  <c r="H108" i="23"/>
  <c r="H134" i="23"/>
  <c r="H286" i="23"/>
  <c r="H287" i="23"/>
  <c r="H279" i="23"/>
  <c r="H331" i="23"/>
  <c r="H338" i="23"/>
  <c r="H340" i="23"/>
  <c r="H457" i="23"/>
  <c r="H451" i="23"/>
  <c r="H441" i="23"/>
  <c r="H561" i="23"/>
  <c r="H555" i="23"/>
  <c r="H572" i="23"/>
  <c r="H673" i="23"/>
  <c r="H655" i="23"/>
  <c r="H782" i="23"/>
  <c r="H781" i="23"/>
  <c r="H968" i="23"/>
  <c r="H951" i="23"/>
  <c r="H1002" i="23"/>
  <c r="H996" i="23"/>
  <c r="H1058" i="23"/>
  <c r="H1054" i="23"/>
  <c r="H1221" i="23"/>
  <c r="H1238" i="23"/>
  <c r="H1208" i="23"/>
  <c r="H1339" i="23"/>
  <c r="H1338" i="23"/>
  <c r="L13" i="12"/>
  <c r="E102" i="13"/>
  <c r="E102" i="14"/>
  <c r="E101" i="13"/>
  <c r="E101" i="14"/>
  <c r="L23" i="12"/>
  <c r="I392" i="4"/>
  <c r="I376" i="4"/>
  <c r="I360" i="4"/>
  <c r="I344" i="4"/>
  <c r="I328" i="4"/>
  <c r="I312" i="4"/>
  <c r="I296" i="4"/>
  <c r="I280" i="4"/>
  <c r="I264" i="4"/>
  <c r="I248" i="4"/>
  <c r="I232" i="4"/>
  <c r="I216" i="4"/>
  <c r="I200" i="4"/>
  <c r="I184" i="4"/>
  <c r="I168" i="4"/>
  <c r="I152" i="4"/>
  <c r="I136" i="4"/>
  <c r="I120" i="4"/>
  <c r="I104" i="4"/>
  <c r="I88" i="4"/>
  <c r="I72" i="4"/>
  <c r="I56" i="4"/>
  <c r="I40" i="4"/>
  <c r="I24" i="4"/>
  <c r="L21" i="23"/>
  <c r="L32" i="23"/>
  <c r="L19" i="23"/>
  <c r="L24" i="23"/>
  <c r="L17" i="23"/>
  <c r="I394" i="4"/>
  <c r="I378" i="4"/>
  <c r="I362" i="4"/>
  <c r="I346" i="4"/>
  <c r="I330" i="4"/>
  <c r="I314" i="4"/>
  <c r="I298" i="4"/>
  <c r="I282" i="4"/>
  <c r="I266" i="4"/>
  <c r="I250" i="4"/>
  <c r="I234" i="4"/>
  <c r="I218" i="4"/>
  <c r="I202" i="4"/>
  <c r="I170" i="4"/>
  <c r="I138" i="4"/>
  <c r="I122" i="4"/>
  <c r="I106" i="4"/>
  <c r="I90" i="4"/>
  <c r="I74" i="4"/>
  <c r="I58" i="4"/>
  <c r="I42" i="4"/>
  <c r="I26" i="4"/>
  <c r="I7" i="4"/>
  <c r="I396" i="4"/>
  <c r="I380" i="4"/>
  <c r="I364" i="4"/>
  <c r="I348" i="4"/>
  <c r="I332" i="4"/>
  <c r="I316" i="4"/>
  <c r="I300" i="4"/>
  <c r="I284" i="4"/>
  <c r="I268" i="4"/>
  <c r="I252" i="4"/>
  <c r="I236" i="4"/>
  <c r="I220" i="4"/>
  <c r="I204" i="4"/>
  <c r="I188" i="4"/>
  <c r="I172" i="4"/>
  <c r="I156" i="4"/>
  <c r="I140" i="4"/>
  <c r="I124" i="4"/>
  <c r="I108" i="4"/>
  <c r="I92" i="4"/>
  <c r="I76" i="4"/>
  <c r="I60" i="4"/>
  <c r="I44" i="4"/>
  <c r="I28" i="4"/>
  <c r="I390" i="4"/>
  <c r="I374" i="4"/>
  <c r="I358" i="4"/>
  <c r="I342" i="4"/>
  <c r="I326" i="4"/>
  <c r="I294" i="4"/>
  <c r="I278" i="4"/>
  <c r="I262" i="4"/>
  <c r="I246" i="4"/>
  <c r="I230" i="4"/>
  <c r="I214" i="4"/>
  <c r="I182" i="4"/>
  <c r="I166" i="4"/>
  <c r="I150" i="4"/>
  <c r="I134" i="4"/>
  <c r="I118" i="4"/>
  <c r="I102" i="4"/>
  <c r="I86" i="4"/>
  <c r="I70" i="4"/>
  <c r="I54" i="4"/>
  <c r="I38" i="4"/>
  <c r="I22" i="4"/>
  <c r="I400" i="4"/>
  <c r="I384" i="4"/>
  <c r="I368" i="4"/>
  <c r="I352" i="4"/>
  <c r="I336" i="4"/>
  <c r="I320" i="4"/>
  <c r="I304" i="4"/>
  <c r="I288" i="4"/>
  <c r="I256" i="4"/>
  <c r="I240" i="4"/>
  <c r="I224" i="4"/>
  <c r="I208" i="4"/>
  <c r="I192" i="4"/>
  <c r="I176" i="4"/>
  <c r="I160" i="4"/>
  <c r="I144" i="4"/>
  <c r="I128" i="4"/>
  <c r="I112" i="4"/>
  <c r="I96" i="4"/>
  <c r="I80" i="4"/>
  <c r="I64" i="4"/>
  <c r="I48" i="4"/>
  <c r="I16" i="4"/>
  <c r="I398" i="4"/>
  <c r="I382" i="4"/>
  <c r="I366" i="4"/>
  <c r="I350" i="4"/>
  <c r="I334" i="4"/>
  <c r="I318" i="4"/>
  <c r="I302" i="4"/>
  <c r="I286" i="4"/>
  <c r="I270" i="4"/>
  <c r="I254" i="4"/>
  <c r="I238" i="4"/>
  <c r="I222" i="4"/>
  <c r="I206" i="4"/>
  <c r="I190" i="4"/>
  <c r="I174" i="4"/>
  <c r="I158" i="4"/>
  <c r="I142" i="4"/>
  <c r="I126" i="4"/>
  <c r="I110" i="4"/>
  <c r="I94" i="4"/>
  <c r="I78" i="4"/>
  <c r="I62" i="4"/>
  <c r="I46" i="4"/>
  <c r="I30" i="4"/>
  <c r="I14" i="4"/>
  <c r="I9" i="4"/>
  <c r="H105" i="23"/>
  <c r="H943" i="23"/>
  <c r="I186" i="4"/>
  <c r="I154" i="4"/>
  <c r="H900" i="23"/>
  <c r="I310" i="4"/>
  <c r="I198" i="4"/>
  <c r="H694" i="23"/>
  <c r="H1120" i="23"/>
  <c r="I388" i="4"/>
  <c r="I372" i="4"/>
  <c r="I356" i="4"/>
  <c r="I340" i="4"/>
  <c r="I324" i="4"/>
  <c r="I308" i="4"/>
  <c r="I292" i="4"/>
  <c r="I276" i="4"/>
  <c r="I260" i="4"/>
  <c r="I244" i="4"/>
  <c r="I228" i="4"/>
  <c r="I212" i="4"/>
  <c r="I196" i="4"/>
  <c r="I180" i="4"/>
  <c r="I164" i="4"/>
  <c r="I148" i="4"/>
  <c r="I132" i="4"/>
  <c r="I116" i="4"/>
  <c r="I100" i="4"/>
  <c r="I84" i="4"/>
  <c r="I68" i="4"/>
  <c r="I52" i="4"/>
  <c r="I36" i="4"/>
  <c r="I20" i="4"/>
  <c r="I13" i="4"/>
  <c r="I402" i="4"/>
  <c r="I386" i="4"/>
  <c r="I370" i="4"/>
  <c r="I354" i="4"/>
  <c r="I338" i="4"/>
  <c r="I322" i="4"/>
  <c r="I306" i="4"/>
  <c r="I290" i="4"/>
  <c r="I274" i="4"/>
  <c r="I258" i="4"/>
  <c r="I242" i="4"/>
  <c r="I226" i="4"/>
  <c r="I210" i="4"/>
  <c r="I194" i="4"/>
  <c r="I178" i="4"/>
  <c r="I162" i="4"/>
  <c r="I146" i="4"/>
  <c r="I130" i="4"/>
  <c r="I114" i="4"/>
  <c r="I98" i="4"/>
  <c r="I82" i="4"/>
  <c r="I66" i="4"/>
  <c r="I50" i="4"/>
  <c r="I34" i="4"/>
  <c r="I18" i="4"/>
  <c r="I11" i="4"/>
  <c r="I3" i="4"/>
  <c r="H493" i="23"/>
  <c r="H620" i="23"/>
  <c r="H521" i="23"/>
  <c r="H652" i="23"/>
  <c r="H1081" i="23"/>
  <c r="I272" i="4"/>
  <c r="I32" i="4"/>
  <c r="L10" i="23"/>
  <c r="L9" i="23"/>
  <c r="L3" i="12"/>
  <c r="L5" i="12"/>
  <c r="H1037" i="23"/>
  <c r="H1013" i="23"/>
  <c r="H1008" i="23"/>
  <c r="H1003" i="23"/>
  <c r="H1061" i="23"/>
  <c r="H1075" i="23"/>
  <c r="H1066" i="23"/>
  <c r="H1077" i="23"/>
  <c r="H1125" i="23"/>
  <c r="H1134" i="23"/>
  <c r="H1148" i="23"/>
  <c r="H1126" i="23"/>
  <c r="H1132" i="23"/>
  <c r="H1129" i="23"/>
  <c r="H1174" i="23"/>
  <c r="H1181" i="23"/>
  <c r="H1192" i="23"/>
  <c r="H1237" i="23"/>
  <c r="H1239" i="23"/>
  <c r="H1227" i="23"/>
  <c r="H1250" i="23"/>
  <c r="H1234" i="23"/>
  <c r="H1293" i="23"/>
  <c r="H1288" i="23"/>
  <c r="H1341" i="23"/>
  <c r="H1361" i="23"/>
  <c r="H1375" i="23"/>
  <c r="H1352" i="23"/>
  <c r="H89" i="23"/>
  <c r="H78" i="23"/>
  <c r="H92" i="23"/>
  <c r="H150" i="23"/>
  <c r="H156" i="23"/>
  <c r="H143" i="23"/>
  <c r="H201" i="23"/>
  <c r="H191" i="23"/>
  <c r="H205" i="23"/>
  <c r="H263" i="23"/>
  <c r="H241" i="23"/>
  <c r="H328" i="23"/>
  <c r="H310" i="23"/>
  <c r="H311" i="23"/>
  <c r="H314" i="23"/>
  <c r="H352" i="23"/>
  <c r="H372" i="23"/>
  <c r="H362" i="23"/>
  <c r="H438" i="23"/>
  <c r="H420" i="23"/>
  <c r="H432" i="23"/>
  <c r="H487" i="23"/>
  <c r="H481" i="23"/>
  <c r="H582" i="23"/>
  <c r="H584" i="23"/>
  <c r="H596" i="23"/>
  <c r="H702" i="23"/>
  <c r="H691" i="23"/>
  <c r="H685" i="23"/>
  <c r="H710" i="23"/>
  <c r="H724" i="23"/>
  <c r="H771" i="23"/>
  <c r="H750" i="23"/>
  <c r="H777" i="23"/>
  <c r="H744" i="23"/>
  <c r="H812" i="23"/>
  <c r="H832" i="23"/>
  <c r="H810" i="23"/>
  <c r="H811" i="23"/>
  <c r="H819" i="23"/>
  <c r="H858" i="23"/>
  <c r="H889" i="23"/>
  <c r="H871" i="23"/>
  <c r="H911" i="23"/>
  <c r="H930" i="23"/>
  <c r="H914" i="23"/>
  <c r="H934" i="23"/>
  <c r="H933" i="23"/>
  <c r="H982" i="23"/>
  <c r="H981" i="23"/>
  <c r="H1021" i="23"/>
  <c r="H1018" i="23"/>
  <c r="H1009" i="23"/>
  <c r="H1131" i="23"/>
  <c r="H1127" i="23"/>
  <c r="H1203" i="23"/>
  <c r="H1187" i="23"/>
  <c r="H1190" i="23"/>
  <c r="H1198" i="23"/>
  <c r="H1231" i="23"/>
  <c r="H1246" i="23"/>
  <c r="H1294" i="23"/>
  <c r="H1296" i="23"/>
  <c r="H1290" i="23"/>
  <c r="H1329" i="23"/>
  <c r="H1367" i="23"/>
  <c r="H1345" i="23"/>
  <c r="H1351" i="23"/>
  <c r="H1042" i="23"/>
  <c r="H1044" i="23"/>
  <c r="H1040" i="23"/>
  <c r="H1023" i="23"/>
  <c r="H1085" i="23"/>
  <c r="H1074" i="23"/>
  <c r="H1091" i="23"/>
  <c r="H1069" i="23"/>
  <c r="H1117" i="23"/>
  <c r="H1094" i="23"/>
  <c r="H1146" i="23"/>
  <c r="H1136" i="23"/>
  <c r="H1145" i="23"/>
  <c r="H1182" i="23"/>
  <c r="H1201" i="23"/>
  <c r="H1214" i="23"/>
  <c r="H1256" i="23"/>
  <c r="H1251" i="23"/>
  <c r="H1245" i="23"/>
  <c r="H1264" i="23"/>
  <c r="H1320" i="23"/>
  <c r="H1313" i="23"/>
  <c r="H1310" i="23"/>
  <c r="H1330" i="23"/>
  <c r="H1301" i="23"/>
  <c r="H1372" i="23"/>
  <c r="H1376" i="23"/>
  <c r="H1368" i="23"/>
  <c r="H1364" i="23"/>
  <c r="H1354" i="23"/>
  <c r="H53" i="23"/>
  <c r="H48" i="23"/>
  <c r="H30" i="23"/>
  <c r="H39" i="23"/>
  <c r="H97" i="23"/>
  <c r="H83" i="23"/>
  <c r="H112" i="23"/>
  <c r="H119" i="23"/>
  <c r="H91" i="23"/>
  <c r="H154" i="23"/>
  <c r="H152" i="23"/>
  <c r="H223" i="23"/>
  <c r="H211" i="23"/>
  <c r="H220" i="23"/>
  <c r="H208" i="23"/>
  <c r="H288" i="23"/>
  <c r="H257" i="23"/>
  <c r="H269" i="23"/>
  <c r="H275" i="23"/>
  <c r="H341" i="23"/>
  <c r="H326" i="23"/>
  <c r="H320" i="23"/>
  <c r="H315" i="23"/>
  <c r="H350" i="23"/>
  <c r="H375" i="23"/>
  <c r="H390" i="23"/>
  <c r="H373" i="23"/>
  <c r="H397" i="23"/>
  <c r="H449" i="23"/>
  <c r="H428" i="23"/>
  <c r="H529" i="23"/>
  <c r="H549" i="23"/>
  <c r="H543" i="23"/>
  <c r="H558" i="23"/>
  <c r="H651" i="23"/>
  <c r="H669" i="23"/>
  <c r="H645" i="23"/>
  <c r="H712" i="23"/>
  <c r="H708" i="23"/>
  <c r="H767" i="23"/>
  <c r="H778" i="23"/>
  <c r="H761" i="23"/>
  <c r="H790" i="23"/>
  <c r="H783" i="23"/>
  <c r="H825" i="23"/>
  <c r="H830" i="23"/>
  <c r="H843" i="23"/>
  <c r="H813" i="23"/>
  <c r="H893" i="23"/>
  <c r="H894" i="23"/>
  <c r="H887" i="23"/>
  <c r="H892" i="23"/>
  <c r="H878" i="23"/>
  <c r="H929" i="23"/>
  <c r="H946" i="23"/>
  <c r="H944" i="23"/>
  <c r="H941" i="23"/>
  <c r="H1051" i="23"/>
  <c r="H1029" i="23"/>
  <c r="H1045" i="23"/>
  <c r="H1038" i="23"/>
  <c r="H1098" i="23"/>
  <c r="H1093" i="23"/>
  <c r="H1141" i="23"/>
  <c r="H1143" i="23"/>
  <c r="H1166" i="23"/>
  <c r="H1140" i="23"/>
  <c r="H1186" i="23"/>
  <c r="H1194" i="23"/>
  <c r="H1219" i="23"/>
  <c r="H1204" i="23"/>
  <c r="H1268" i="23"/>
  <c r="H1272" i="23"/>
  <c r="H1263" i="23"/>
  <c r="H1311" i="23"/>
  <c r="H1327" i="23"/>
  <c r="H1381" i="23"/>
  <c r="H1370" i="23"/>
  <c r="H62" i="23"/>
  <c r="H80" i="23"/>
  <c r="H64" i="23"/>
  <c r="H142" i="23"/>
  <c r="H131" i="23"/>
  <c r="H149" i="23"/>
  <c r="H141" i="23"/>
  <c r="H193" i="23"/>
  <c r="H192" i="23"/>
  <c r="H249" i="23"/>
  <c r="H245" i="23"/>
  <c r="H244" i="23"/>
  <c r="H237" i="23"/>
  <c r="H248" i="23"/>
  <c r="H290" i="23"/>
  <c r="H304" i="23"/>
  <c r="H293" i="23"/>
  <c r="H318" i="23"/>
  <c r="H366" i="23"/>
  <c r="H349" i="23"/>
  <c r="H369" i="23"/>
  <c r="H358" i="23"/>
  <c r="H346" i="23"/>
  <c r="H419" i="23"/>
  <c r="H414" i="23"/>
  <c r="H423" i="23"/>
  <c r="H475" i="23"/>
  <c r="H488" i="23"/>
  <c r="H466" i="23"/>
  <c r="H470" i="23"/>
  <c r="H473" i="23"/>
  <c r="H525" i="23"/>
  <c r="H531" i="23"/>
  <c r="H537" i="23"/>
  <c r="H518" i="23"/>
  <c r="H516" i="23"/>
  <c r="H532" i="23"/>
  <c r="H599" i="23"/>
  <c r="H587" i="23"/>
  <c r="H586" i="23"/>
  <c r="H598" i="23"/>
  <c r="H571" i="23"/>
  <c r="H641" i="23"/>
  <c r="H644" i="23"/>
  <c r="H646" i="23"/>
  <c r="H642" i="23"/>
  <c r="H658" i="23"/>
  <c r="H699" i="23"/>
  <c r="H697" i="23"/>
  <c r="H684" i="23"/>
  <c r="H741" i="23"/>
  <c r="H742" i="23"/>
  <c r="H752" i="23"/>
  <c r="H747" i="23"/>
  <c r="H795" i="23"/>
  <c r="H809" i="23"/>
  <c r="H817" i="23"/>
  <c r="H881" i="23"/>
  <c r="H873" i="23"/>
  <c r="H867" i="23"/>
  <c r="H840" i="23"/>
  <c r="H874" i="23"/>
  <c r="H931" i="23"/>
  <c r="H912" i="23"/>
  <c r="H923" i="23"/>
  <c r="H932" i="23"/>
  <c r="H969" i="23"/>
  <c r="H958" i="23"/>
  <c r="H977" i="23"/>
  <c r="H979" i="23"/>
  <c r="H948" i="23"/>
  <c r="H54" i="23"/>
  <c r="H42" i="23"/>
  <c r="H34" i="23"/>
  <c r="H151" i="23"/>
  <c r="H172" i="23"/>
  <c r="H170" i="23"/>
  <c r="H225" i="23"/>
  <c r="H227" i="23"/>
  <c r="H236" i="23"/>
  <c r="H222" i="23"/>
  <c r="H267" i="23"/>
  <c r="H268" i="23"/>
  <c r="H277" i="23"/>
  <c r="H295" i="23"/>
  <c r="H280" i="23"/>
  <c r="H344" i="23"/>
  <c r="H330" i="23"/>
  <c r="H327" i="23"/>
  <c r="H389" i="23"/>
  <c r="H392" i="23"/>
  <c r="H391" i="23"/>
  <c r="H439" i="23"/>
  <c r="H437" i="23"/>
  <c r="H446" i="23"/>
  <c r="H429" i="23"/>
  <c r="H505" i="23"/>
  <c r="H485" i="23"/>
  <c r="H507" i="23"/>
  <c r="H520" i="23"/>
  <c r="H495" i="23"/>
  <c r="H550" i="23"/>
  <c r="H576" i="23"/>
  <c r="H569" i="23"/>
  <c r="H560" i="23"/>
  <c r="H594" i="23"/>
  <c r="H616" i="23"/>
  <c r="H627" i="23"/>
  <c r="H609" i="23"/>
  <c r="H664" i="23"/>
  <c r="H674" i="23"/>
  <c r="H660" i="23"/>
  <c r="H670" i="23"/>
  <c r="H666" i="23"/>
  <c r="H695" i="23"/>
  <c r="H714" i="23"/>
  <c r="H718" i="23"/>
  <c r="H727" i="23"/>
  <c r="H723" i="23"/>
  <c r="H796" i="23"/>
  <c r="H785" i="23"/>
  <c r="H839" i="23"/>
  <c r="H822" i="23"/>
  <c r="H836" i="23"/>
  <c r="H829" i="23"/>
  <c r="H877" i="23"/>
  <c r="H908" i="23"/>
  <c r="H890" i="23"/>
  <c r="H1034" i="23"/>
  <c r="H1043" i="23"/>
  <c r="H1046" i="23"/>
  <c r="H1107" i="23"/>
  <c r="H1104" i="23"/>
  <c r="H1103" i="23"/>
  <c r="H1100" i="23"/>
  <c r="H1102" i="23"/>
  <c r="H1171" i="23"/>
  <c r="H1154" i="23"/>
  <c r="H1149" i="23"/>
  <c r="H1157" i="23"/>
  <c r="H1211" i="23"/>
  <c r="H1213" i="23"/>
  <c r="H1224" i="23"/>
  <c r="H1212" i="23"/>
  <c r="H1215" i="23"/>
  <c r="H1270" i="23"/>
  <c r="H1240" i="23"/>
  <c r="H1261" i="23"/>
  <c r="H1276" i="23"/>
  <c r="H1271" i="23"/>
  <c r="H1348" i="23"/>
  <c r="H1312" i="23"/>
  <c r="H1337" i="23"/>
  <c r="H1322" i="23"/>
  <c r="H1390" i="23"/>
  <c r="H1384" i="23"/>
  <c r="H1373" i="23"/>
  <c r="H1385" i="23"/>
  <c r="H100" i="23"/>
  <c r="H113" i="23"/>
  <c r="H87" i="23"/>
  <c r="H101" i="23"/>
  <c r="H153" i="23"/>
  <c r="H162" i="23"/>
  <c r="H140" i="23"/>
  <c r="H161" i="23"/>
  <c r="H169" i="23"/>
  <c r="H210" i="23"/>
  <c r="H202" i="23"/>
  <c r="H198" i="23"/>
  <c r="H199" i="23"/>
  <c r="H261" i="23"/>
  <c r="H250" i="23"/>
  <c r="H276" i="23"/>
  <c r="H334" i="23"/>
  <c r="H333" i="23"/>
  <c r="H374" i="23"/>
  <c r="H378" i="23"/>
  <c r="H383" i="23"/>
  <c r="H377" i="23"/>
  <c r="H426" i="23"/>
  <c r="H427" i="23"/>
  <c r="H442" i="23"/>
  <c r="H433" i="23"/>
  <c r="H436" i="23"/>
  <c r="H486" i="23"/>
  <c r="H492" i="23"/>
  <c r="H497" i="23"/>
  <c r="H510" i="23"/>
  <c r="H508" i="23"/>
  <c r="H483" i="23"/>
  <c r="H536" i="23"/>
  <c r="H534" i="23"/>
  <c r="H542" i="23"/>
  <c r="H533" i="23"/>
  <c r="H590" i="23"/>
  <c r="H608" i="23"/>
  <c r="H611" i="23"/>
  <c r="H574" i="23"/>
  <c r="H654" i="23"/>
  <c r="H672" i="23"/>
  <c r="H659" i="23"/>
  <c r="H630" i="23"/>
  <c r="H705" i="23"/>
  <c r="H701" i="23"/>
  <c r="H721" i="23"/>
  <c r="H722" i="23"/>
  <c r="H765" i="23"/>
  <c r="H769" i="23"/>
  <c r="H827" i="23"/>
  <c r="H816" i="23"/>
  <c r="H869" i="23"/>
  <c r="H872" i="23"/>
  <c r="H926" i="23"/>
  <c r="H947" i="23"/>
  <c r="H953" i="23"/>
  <c r="H980" i="23"/>
  <c r="H992" i="23"/>
  <c r="H991" i="23"/>
  <c r="H984" i="23"/>
  <c r="H77" i="23"/>
  <c r="H85" i="23"/>
  <c r="H109" i="23"/>
  <c r="H106" i="23"/>
  <c r="H107" i="23"/>
  <c r="H121" i="23"/>
  <c r="H118" i="23"/>
  <c r="H179" i="23"/>
  <c r="H171" i="23"/>
  <c r="H168" i="23"/>
  <c r="H185" i="23"/>
  <c r="H158" i="23"/>
  <c r="H226" i="23"/>
  <c r="H219" i="23"/>
  <c r="H296" i="23"/>
  <c r="H285" i="23"/>
  <c r="H273" i="23"/>
  <c r="H336" i="23"/>
  <c r="H342" i="23"/>
  <c r="H332" i="23"/>
  <c r="H337" i="23"/>
  <c r="H339" i="23"/>
  <c r="H407" i="23"/>
  <c r="H404" i="23"/>
  <c r="H394" i="23"/>
  <c r="H461" i="23"/>
  <c r="H472" i="23"/>
  <c r="H452" i="23"/>
  <c r="H453" i="23"/>
  <c r="H491" i="23"/>
  <c r="H509" i="23"/>
  <c r="H490" i="23"/>
  <c r="H553" i="23"/>
  <c r="H540" i="23"/>
  <c r="H554" i="23"/>
  <c r="H618" i="23"/>
  <c r="H617" i="23"/>
  <c r="H625" i="23"/>
  <c r="H613" i="23"/>
  <c r="H676" i="23"/>
  <c r="H679" i="23"/>
  <c r="H739" i="23"/>
  <c r="H736" i="23"/>
  <c r="H740" i="23"/>
  <c r="H719" i="23"/>
  <c r="H764" i="23"/>
  <c r="H775" i="23"/>
  <c r="H794" i="23"/>
  <c r="H845" i="23"/>
  <c r="H835" i="23"/>
  <c r="H857" i="23"/>
  <c r="H899" i="23"/>
  <c r="H888" i="23"/>
  <c r="H885" i="23"/>
  <c r="H896" i="23"/>
  <c r="H898" i="23"/>
  <c r="H950" i="23"/>
  <c r="H945" i="23"/>
  <c r="H963" i="23"/>
  <c r="H957" i="23"/>
  <c r="H995" i="23"/>
  <c r="H1006" i="23"/>
  <c r="H989" i="23"/>
  <c r="H994" i="23"/>
  <c r="H1053" i="23"/>
  <c r="H1048" i="23"/>
  <c r="H1056" i="23"/>
  <c r="H1114" i="23"/>
  <c r="H1122" i="23"/>
  <c r="H1115" i="23"/>
  <c r="H1152" i="23"/>
  <c r="H1155" i="23"/>
  <c r="H1163" i="23"/>
  <c r="H1216" i="23"/>
  <c r="H1207" i="23"/>
  <c r="H1273" i="23"/>
  <c r="H1282" i="23"/>
  <c r="H1287" i="23"/>
  <c r="H1325" i="23"/>
  <c r="H1315" i="23"/>
  <c r="H1389" i="23"/>
  <c r="H1427" i="23"/>
  <c r="H1435" i="23"/>
  <c r="H1399" i="23"/>
  <c r="H988" i="23"/>
  <c r="H1001" i="23"/>
  <c r="H1000" i="23"/>
  <c r="H1064" i="23"/>
  <c r="H1055" i="23"/>
  <c r="H1071" i="23"/>
  <c r="H1060" i="23"/>
  <c r="H1116" i="23"/>
  <c r="H1108" i="23"/>
  <c r="H1111" i="23"/>
  <c r="H1106" i="23"/>
  <c r="H1177" i="23"/>
  <c r="H1175" i="23"/>
  <c r="H1172" i="23"/>
  <c r="H1162" i="23"/>
  <c r="H1236" i="23"/>
  <c r="H1233" i="23"/>
  <c r="H1248" i="23"/>
  <c r="H1235" i="23"/>
  <c r="H1266" i="23"/>
  <c r="H1295" i="23"/>
  <c r="H1292" i="23"/>
  <c r="H1299" i="23"/>
  <c r="H1285" i="23"/>
  <c r="H1335" i="23"/>
  <c r="H1342" i="23"/>
  <c r="H1336" i="23"/>
  <c r="H1323" i="23"/>
  <c r="H1405" i="23"/>
  <c r="H1488" i="23"/>
  <c r="H1470" i="23"/>
  <c r="H1437" i="23"/>
  <c r="H1518" i="23"/>
  <c r="H1412" i="23"/>
  <c r="H1478" i="23"/>
  <c r="H1409" i="23"/>
  <c r="H1428" i="23"/>
  <c r="H1485" i="23"/>
  <c r="H1434" i="23"/>
  <c r="H1465" i="23"/>
  <c r="H1431" i="23"/>
  <c r="H1436" i="23"/>
  <c r="H1440" i="23"/>
  <c r="H1511" i="23"/>
  <c r="H1451" i="23"/>
  <c r="H1504" i="23"/>
  <c r="H1415" i="23"/>
  <c r="H1479" i="23"/>
  <c r="H1480" i="23"/>
  <c r="H1482" i="23"/>
  <c r="H1446" i="23"/>
  <c r="H1460" i="23"/>
  <c r="H1410" i="23"/>
  <c r="H1471" i="23"/>
  <c r="H1472" i="23"/>
  <c r="H1487" i="23"/>
  <c r="H1450" i="23"/>
  <c r="H1417" i="23"/>
  <c r="H1455" i="23"/>
  <c r="H1438" i="23"/>
  <c r="H1490" i="23"/>
  <c r="H1402" i="23"/>
  <c r="H1416" i="23"/>
  <c r="H1476" i="23"/>
  <c r="H1432" i="23"/>
  <c r="H1481" i="23"/>
  <c r="H1489" i="23"/>
  <c r="H1514" i="23"/>
  <c r="H1419" i="23"/>
  <c r="H1423" i="23"/>
  <c r="H1439" i="23"/>
  <c r="H1408" i="23"/>
  <c r="H1483" i="23"/>
  <c r="H1441" i="23"/>
  <c r="H1382" i="23"/>
  <c r="H1462" i="23"/>
  <c r="H1474" i="23"/>
  <c r="H1495" i="23"/>
  <c r="H1502" i="23"/>
  <c r="H1464" i="23"/>
  <c r="H60" i="23"/>
  <c r="H68" i="23"/>
  <c r="H88" i="23"/>
  <c r="H79" i="23"/>
  <c r="H74" i="23"/>
  <c r="H70" i="23"/>
  <c r="H124" i="23"/>
  <c r="H114" i="23"/>
  <c r="H116" i="23"/>
  <c r="H175" i="23"/>
  <c r="H176" i="23"/>
  <c r="H184" i="23"/>
  <c r="H239" i="23"/>
  <c r="H238" i="23"/>
  <c r="H229" i="23"/>
  <c r="H240" i="23"/>
  <c r="H278" i="23"/>
  <c r="H289" i="23"/>
  <c r="H283" i="23"/>
  <c r="H356" i="23"/>
  <c r="H347" i="23"/>
  <c r="H398" i="23"/>
  <c r="H412" i="23"/>
  <c r="H379" i="23"/>
  <c r="H465" i="23"/>
  <c r="H459" i="23"/>
  <c r="H514" i="23"/>
  <c r="H522" i="23"/>
  <c r="H512" i="23"/>
  <c r="H563" i="23"/>
  <c r="H580" i="23"/>
  <c r="H557" i="23"/>
  <c r="H568" i="23"/>
  <c r="H615" i="23"/>
  <c r="H638" i="23"/>
  <c r="H632" i="23"/>
  <c r="H677" i="23"/>
  <c r="H663" i="23"/>
  <c r="H696" i="23"/>
  <c r="H688" i="23"/>
  <c r="H678" i="23"/>
  <c r="H746" i="23"/>
  <c r="H728" i="23"/>
  <c r="H743" i="23"/>
  <c r="H798" i="23"/>
  <c r="H793" i="23"/>
  <c r="H802" i="23"/>
  <c r="H801" i="23"/>
  <c r="H789" i="23"/>
  <c r="H834" i="23"/>
  <c r="H851" i="23"/>
  <c r="H856" i="23"/>
  <c r="H860" i="23"/>
  <c r="H961" i="23"/>
  <c r="H964" i="23"/>
  <c r="H967" i="23"/>
  <c r="H966" i="23"/>
  <c r="H61" i="23"/>
  <c r="H59" i="23"/>
  <c r="H71" i="23"/>
  <c r="H120" i="23"/>
  <c r="H135" i="23"/>
  <c r="H130" i="23"/>
  <c r="H186" i="23"/>
  <c r="H194" i="23"/>
  <c r="H159" i="23"/>
  <c r="H187" i="23"/>
  <c r="H195" i="23"/>
  <c r="H228" i="23"/>
  <c r="H247" i="23"/>
  <c r="H233" i="23"/>
  <c r="H306" i="23"/>
  <c r="H282" i="23"/>
  <c r="H281" i="23"/>
  <c r="H355" i="23"/>
  <c r="H345" i="23"/>
  <c r="H418" i="23"/>
  <c r="H399" i="23"/>
  <c r="H431" i="23"/>
  <c r="H401" i="23"/>
  <c r="H413" i="23"/>
  <c r="H468" i="23"/>
  <c r="H471" i="23"/>
  <c r="H445" i="23"/>
  <c r="H511" i="23"/>
  <c r="H526" i="23"/>
  <c r="H539" i="23"/>
  <c r="H588" i="23"/>
  <c r="H578" i="23"/>
  <c r="H573" i="23"/>
  <c r="H622" i="23"/>
  <c r="H640" i="23"/>
  <c r="H629" i="23"/>
  <c r="H653" i="23"/>
  <c r="H725" i="23"/>
  <c r="H754" i="23"/>
  <c r="H751" i="23"/>
  <c r="H758" i="23"/>
  <c r="H807" i="23"/>
  <c r="H787" i="23"/>
  <c r="H791" i="23"/>
  <c r="H852" i="23"/>
  <c r="H849" i="23"/>
  <c r="H907" i="23"/>
  <c r="H902" i="23"/>
  <c r="H935" i="23"/>
  <c r="H918" i="23"/>
  <c r="H978" i="23"/>
  <c r="H975" i="23"/>
  <c r="H1011" i="23"/>
  <c r="H1010" i="23"/>
  <c r="H1024" i="23"/>
  <c r="H1005" i="23"/>
  <c r="H1072" i="23"/>
  <c r="H1070" i="23"/>
  <c r="H1068" i="23"/>
  <c r="H1065" i="23"/>
  <c r="H1195" i="23"/>
  <c r="H1184" i="23"/>
  <c r="H1176" i="23"/>
  <c r="H1242" i="23"/>
  <c r="H1232" i="23"/>
  <c r="H1286" i="23"/>
  <c r="H1308" i="23"/>
  <c r="H1298" i="23"/>
  <c r="H1360" i="23"/>
  <c r="H1340" i="23"/>
  <c r="H1344" i="23"/>
  <c r="H1343" i="23"/>
  <c r="H1494" i="23"/>
  <c r="H1508" i="23"/>
  <c r="H1505" i="23"/>
  <c r="H1521" i="23"/>
  <c r="H1516" i="23"/>
  <c r="D61" i="4"/>
  <c r="L9" i="12"/>
  <c r="L19" i="12"/>
  <c r="L29" i="12"/>
  <c r="L16" i="23"/>
  <c r="L27" i="12"/>
  <c r="L31" i="12"/>
  <c r="L38" i="23"/>
  <c r="L33" i="23"/>
  <c r="L40" i="23"/>
  <c r="L22" i="23"/>
  <c r="L25" i="12"/>
  <c r="L14" i="23"/>
  <c r="L31" i="23"/>
  <c r="L3" i="23"/>
  <c r="L7" i="12"/>
  <c r="L17" i="12"/>
  <c r="L11" i="12"/>
  <c r="D17" i="4"/>
  <c r="D49" i="4"/>
  <c r="D97" i="4"/>
  <c r="G161" i="4"/>
  <c r="F297" i="4"/>
  <c r="F313" i="4"/>
  <c r="F329" i="4"/>
  <c r="F345" i="4"/>
  <c r="F361" i="4"/>
  <c r="F377" i="4"/>
  <c r="F393" i="4"/>
  <c r="G33" i="4"/>
  <c r="D65" i="4"/>
  <c r="G81" i="4"/>
  <c r="G113" i="4"/>
  <c r="D129" i="4"/>
  <c r="G145" i="4"/>
  <c r="G177" i="4"/>
  <c r="G193" i="4"/>
  <c r="G209" i="4"/>
  <c r="G225" i="4"/>
  <c r="G241" i="4"/>
  <c r="G257" i="4"/>
  <c r="G273" i="4"/>
  <c r="G25" i="4"/>
  <c r="G35" i="4"/>
  <c r="G51" i="4"/>
  <c r="G67" i="4"/>
  <c r="G83" i="4"/>
  <c r="G99" i="4"/>
  <c r="G115" i="4"/>
  <c r="G131" i="4"/>
  <c r="G147" i="4"/>
  <c r="G163" i="4"/>
  <c r="G179" i="4"/>
  <c r="G195" i="4"/>
  <c r="G211" i="4"/>
  <c r="G227" i="4"/>
  <c r="G243" i="4"/>
  <c r="G259" i="4"/>
  <c r="G275" i="4"/>
  <c r="F299" i="4"/>
  <c r="F315" i="4"/>
  <c r="F331" i="4"/>
  <c r="F347" i="4"/>
  <c r="F363" i="4"/>
  <c r="F379" i="4"/>
  <c r="F395" i="4"/>
  <c r="M19" i="4"/>
  <c r="G41" i="4"/>
  <c r="D57" i="4"/>
  <c r="M73" i="4"/>
  <c r="M89" i="4"/>
  <c r="G105" i="4"/>
  <c r="D121" i="4"/>
  <c r="D137" i="4"/>
  <c r="D153" i="4"/>
  <c r="D169" i="4"/>
  <c r="D185" i="4"/>
  <c r="D201" i="4"/>
  <c r="D217" i="4"/>
  <c r="D233" i="4"/>
  <c r="D249" i="4"/>
  <c r="D265" i="4"/>
  <c r="M279" i="4"/>
  <c r="F301" i="4"/>
  <c r="D317" i="4"/>
  <c r="B333" i="4"/>
  <c r="B349" i="4"/>
  <c r="B365" i="4"/>
  <c r="B381" i="4"/>
  <c r="B397" i="4"/>
  <c r="G23" i="4"/>
  <c r="G37" i="4"/>
  <c r="G53" i="4"/>
  <c r="G69" i="4"/>
  <c r="G85" i="4"/>
  <c r="G101" i="4"/>
  <c r="G117" i="4"/>
  <c r="G133" i="4"/>
  <c r="G149" i="4"/>
  <c r="G165" i="4"/>
  <c r="G181" i="4"/>
  <c r="G197" i="4"/>
  <c r="G213" i="4"/>
  <c r="G229" i="4"/>
  <c r="G245" i="4"/>
  <c r="G261" i="4"/>
  <c r="G277" i="4"/>
  <c r="G21" i="4"/>
  <c r="G39" i="4"/>
  <c r="G55" i="4"/>
  <c r="G71" i="4"/>
  <c r="G87" i="4"/>
  <c r="G103" i="4"/>
  <c r="G119" i="4"/>
  <c r="G135" i="4"/>
  <c r="G151" i="4"/>
  <c r="G167" i="4"/>
  <c r="G183" i="4"/>
  <c r="G199" i="4"/>
  <c r="G215" i="4"/>
  <c r="G231" i="4"/>
  <c r="G247" i="4"/>
  <c r="G263" i="4"/>
  <c r="G281" i="4"/>
  <c r="F287" i="4"/>
  <c r="G303" i="4"/>
  <c r="F319" i="4"/>
  <c r="G335" i="4"/>
  <c r="F351" i="4"/>
  <c r="F367" i="4"/>
  <c r="F383" i="4"/>
  <c r="F399" i="4"/>
  <c r="F289" i="4"/>
  <c r="G305" i="4"/>
  <c r="G321" i="4"/>
  <c r="B337" i="4"/>
  <c r="B353" i="4"/>
  <c r="B369" i="4"/>
  <c r="M385" i="4"/>
  <c r="M401" i="4"/>
  <c r="G27" i="4"/>
  <c r="G43" i="4"/>
  <c r="G59" i="4"/>
  <c r="G75" i="4"/>
  <c r="G91" i="4"/>
  <c r="G107" i="4"/>
  <c r="G123" i="4"/>
  <c r="G139" i="4"/>
  <c r="G155" i="4"/>
  <c r="G171" i="4"/>
  <c r="G187" i="4"/>
  <c r="G203" i="4"/>
  <c r="G219" i="4"/>
  <c r="G235" i="4"/>
  <c r="G251" i="4"/>
  <c r="G267" i="4"/>
  <c r="G285" i="4"/>
  <c r="F291" i="4"/>
  <c r="D307" i="4"/>
  <c r="F323" i="4"/>
  <c r="F339" i="4"/>
  <c r="F355" i="4"/>
  <c r="F371" i="4"/>
  <c r="F387" i="4"/>
  <c r="F403" i="4"/>
  <c r="G293" i="4"/>
  <c r="F309" i="4"/>
  <c r="F325" i="4"/>
  <c r="F341" i="4"/>
  <c r="F357" i="4"/>
  <c r="F373" i="4"/>
  <c r="G389" i="4"/>
  <c r="D29" i="4"/>
  <c r="G45" i="4"/>
  <c r="G61" i="4"/>
  <c r="F77" i="4"/>
  <c r="D93" i="4"/>
  <c r="D109" i="4"/>
  <c r="D125" i="4"/>
  <c r="F141" i="4"/>
  <c r="F157" i="4"/>
  <c r="D173" i="4"/>
  <c r="D189" i="4"/>
  <c r="G205" i="4"/>
  <c r="F221" i="4"/>
  <c r="D237" i="4"/>
  <c r="F253" i="4"/>
  <c r="F269" i="4"/>
  <c r="G283" i="4"/>
  <c r="F15" i="4"/>
  <c r="G31" i="4"/>
  <c r="G47" i="4"/>
  <c r="G63" i="4"/>
  <c r="G79" i="4"/>
  <c r="G95" i="4"/>
  <c r="G111" i="4"/>
  <c r="G127" i="4"/>
  <c r="G143" i="4"/>
  <c r="G159" i="4"/>
  <c r="G175" i="4"/>
  <c r="G191" i="4"/>
  <c r="G207" i="4"/>
  <c r="G223" i="4"/>
  <c r="G239" i="4"/>
  <c r="G255" i="4"/>
  <c r="G271" i="4"/>
  <c r="F295" i="4"/>
  <c r="B311" i="4"/>
  <c r="F327" i="4"/>
  <c r="F343" i="4"/>
  <c r="F359" i="4"/>
  <c r="F375" i="4"/>
  <c r="F391" i="4"/>
  <c r="E195" i="2"/>
  <c r="A195" i="2" s="1"/>
  <c r="C195" i="2" s="1"/>
  <c r="E751" i="2"/>
  <c r="A751" i="2" s="1"/>
  <c r="C751" i="2" s="1"/>
  <c r="E610" i="2"/>
  <c r="A610" i="2" s="1"/>
  <c r="C610" i="2" s="1"/>
  <c r="E495" i="2"/>
  <c r="A495" i="2" s="1"/>
  <c r="C495" i="2" s="1"/>
  <c r="E9" i="2"/>
  <c r="A9" i="2" s="1"/>
  <c r="C9" i="2" s="1"/>
  <c r="E377" i="2"/>
  <c r="A377" i="2" s="1"/>
  <c r="C377" i="2" s="1"/>
  <c r="E351" i="2"/>
  <c r="A351" i="2" s="1"/>
  <c r="C351" i="2" s="1"/>
  <c r="E692" i="2"/>
  <c r="A692" i="2" s="1"/>
  <c r="C692" i="2" s="1"/>
  <c r="E482" i="2"/>
  <c r="A482" i="2" s="1"/>
  <c r="C482" i="2" s="1"/>
  <c r="E403" i="2"/>
  <c r="A403" i="2" s="1"/>
  <c r="C403" i="2" s="1"/>
  <c r="E104" i="2"/>
  <c r="A104" i="2" s="1"/>
  <c r="C104" i="2" s="1"/>
  <c r="E240" i="2"/>
  <c r="A240" i="2" s="1"/>
  <c r="C240" i="2" s="1"/>
  <c r="E422" i="2"/>
  <c r="A422" i="2" s="1"/>
  <c r="C422" i="2" s="1"/>
  <c r="E34" i="2"/>
  <c r="A34" i="2" s="1"/>
  <c r="C34" i="2" s="1"/>
  <c r="E696" i="2"/>
  <c r="A696" i="2" s="1"/>
  <c r="C696" i="2" s="1"/>
  <c r="E177" i="2"/>
  <c r="A177" i="2" s="1"/>
  <c r="C177" i="2" s="1"/>
  <c r="E457" i="2"/>
  <c r="A457" i="2" s="1"/>
  <c r="C457" i="2" s="1"/>
  <c r="E621" i="2"/>
  <c r="A621" i="2" s="1"/>
  <c r="C621" i="2" s="1"/>
  <c r="E605" i="2"/>
  <c r="A605" i="2" s="1"/>
  <c r="C605" i="2" s="1"/>
  <c r="E354" i="2"/>
  <c r="A354" i="2" s="1"/>
  <c r="C354" i="2" s="1"/>
  <c r="E164" i="2"/>
  <c r="A164" i="2" s="1"/>
  <c r="C164" i="2" s="1"/>
  <c r="E628" i="2"/>
  <c r="A628" i="2" s="1"/>
  <c r="C628" i="2" s="1"/>
  <c r="E287" i="2"/>
  <c r="A287" i="2" s="1"/>
  <c r="C287" i="2" s="1"/>
  <c r="E707" i="2"/>
  <c r="A707" i="2" s="1"/>
  <c r="C707" i="2" s="1"/>
  <c r="E282" i="2"/>
  <c r="A282" i="2" s="1"/>
  <c r="C282" i="2" s="1"/>
  <c r="E280" i="2"/>
  <c r="A280" i="2" s="1"/>
  <c r="C280" i="2" s="1"/>
  <c r="E553" i="2"/>
  <c r="A553" i="2" s="1"/>
  <c r="C553" i="2" s="1"/>
  <c r="E715" i="2"/>
  <c r="A715" i="2" s="1"/>
  <c r="C715" i="2" s="1"/>
  <c r="E99" i="2"/>
  <c r="A99" i="2" s="1"/>
  <c r="C99" i="2" s="1"/>
  <c r="E724" i="2"/>
  <c r="A724" i="2" s="1"/>
  <c r="C724" i="2" s="1"/>
  <c r="E589" i="2"/>
  <c r="A589" i="2" s="1"/>
  <c r="C589" i="2" s="1"/>
  <c r="E606" i="2"/>
  <c r="A606" i="2" s="1"/>
  <c r="C606" i="2" s="1"/>
  <c r="E394" i="2"/>
  <c r="A394" i="2" s="1"/>
  <c r="C394" i="2" s="1"/>
  <c r="E258" i="2"/>
  <c r="A258" i="2" s="1"/>
  <c r="C258" i="2" s="1"/>
  <c r="E491" i="2"/>
  <c r="A491" i="2" s="1"/>
  <c r="C491" i="2" s="1"/>
  <c r="E555" i="2"/>
  <c r="A555" i="2" s="1"/>
  <c r="C555" i="2" s="1"/>
  <c r="E487" i="2"/>
  <c r="A487" i="2" s="1"/>
  <c r="C487" i="2" s="1"/>
  <c r="E375" i="2"/>
  <c r="A375" i="2" s="1"/>
  <c r="C375" i="2" s="1"/>
  <c r="E488" i="2"/>
  <c r="A488" i="2" s="1"/>
  <c r="C488" i="2" s="1"/>
  <c r="E197" i="2"/>
  <c r="A197" i="2" s="1"/>
  <c r="C197" i="2" s="1"/>
  <c r="E569" i="2"/>
  <c r="A569" i="2" s="1"/>
  <c r="C569" i="2" s="1"/>
  <c r="E712" i="2"/>
  <c r="A712" i="2" s="1"/>
  <c r="C712" i="2" s="1"/>
  <c r="E211" i="2"/>
  <c r="A211" i="2" s="1"/>
  <c r="C211" i="2" s="1"/>
  <c r="E190" i="2"/>
  <c r="A190" i="2" s="1"/>
  <c r="C190" i="2" s="1"/>
  <c r="E685" i="2"/>
  <c r="A685" i="2" s="1"/>
  <c r="C685" i="2" s="1"/>
  <c r="E661" i="2"/>
  <c r="A661" i="2" s="1"/>
  <c r="C661" i="2" s="1"/>
  <c r="E268" i="2"/>
  <c r="A268" i="2" s="1"/>
  <c r="C268" i="2" s="1"/>
  <c r="E141" i="2"/>
  <c r="A141" i="2" s="1"/>
  <c r="C141" i="2" s="1"/>
  <c r="E290" i="2"/>
  <c r="A290" i="2" s="1"/>
  <c r="C290" i="2" s="1"/>
  <c r="E344" i="2"/>
  <c r="A344" i="2" s="1"/>
  <c r="C344" i="2" s="1"/>
  <c r="E599" i="2"/>
  <c r="A599" i="2" s="1"/>
  <c r="C599" i="2" s="1"/>
  <c r="E417" i="2"/>
  <c r="A417" i="2" s="1"/>
  <c r="E717" i="2"/>
  <c r="A717" i="2" s="1"/>
  <c r="E167" i="2"/>
  <c r="A167" i="2" s="1"/>
  <c r="E288" i="2"/>
  <c r="A288" i="2" s="1"/>
  <c r="E26" i="2"/>
  <c r="A26" i="2" s="1"/>
  <c r="E698" i="2"/>
  <c r="A698" i="2" s="1"/>
  <c r="E674" i="2"/>
  <c r="A674" i="2" s="1"/>
  <c r="E666" i="2"/>
  <c r="A666" i="2" s="1"/>
  <c r="E694" i="2"/>
  <c r="A694" i="2" s="1"/>
  <c r="E25" i="2"/>
  <c r="A25" i="2" s="1"/>
  <c r="E510" i="2"/>
  <c r="A510" i="2" s="1"/>
  <c r="E409" i="2"/>
  <c r="A409" i="2" s="1"/>
  <c r="E187" i="2"/>
  <c r="A187" i="2" s="1"/>
  <c r="E339" i="2"/>
  <c r="A339" i="2" s="1"/>
  <c r="E111" i="2"/>
  <c r="A111" i="2" s="1"/>
  <c r="E86" i="2"/>
  <c r="A86" i="2" s="1"/>
  <c r="E67" i="2"/>
  <c r="A67" i="2" s="1"/>
  <c r="E336" i="2"/>
  <c r="A336" i="2" s="1"/>
  <c r="E41" i="2"/>
  <c r="A41" i="2" s="1"/>
  <c r="E469" i="2"/>
  <c r="A469" i="2" s="1"/>
  <c r="E223" i="2"/>
  <c r="A223" i="2" s="1"/>
  <c r="E609" i="2"/>
  <c r="A609" i="2" s="1"/>
  <c r="E319" i="2"/>
  <c r="A319" i="2" s="1"/>
  <c r="E401" i="2"/>
  <c r="A401" i="2" s="1"/>
  <c r="E188" i="2"/>
  <c r="A188" i="2" s="1"/>
  <c r="E735" i="2"/>
  <c r="A735" i="2" s="1"/>
  <c r="E209" i="2"/>
  <c r="A209" i="2" s="1"/>
  <c r="E680" i="2"/>
  <c r="A680" i="2" s="1"/>
  <c r="E105" i="2"/>
  <c r="A105" i="2" s="1"/>
  <c r="E716" i="2"/>
  <c r="A716" i="2" s="1"/>
  <c r="E614" i="2"/>
  <c r="E531" i="2"/>
  <c r="A531" i="2" s="1"/>
  <c r="E445" i="2"/>
  <c r="A445" i="2" s="1"/>
  <c r="E312" i="2"/>
  <c r="A312" i="2" s="1"/>
  <c r="E588" i="2"/>
  <c r="A588" i="2" s="1"/>
  <c r="E186" i="2"/>
  <c r="A186" i="2" s="1"/>
  <c r="E297" i="2"/>
  <c r="A297" i="2" s="1"/>
  <c r="E695" i="2"/>
  <c r="A695" i="2" s="1"/>
  <c r="E129" i="2"/>
  <c r="E113" i="2"/>
  <c r="A113" i="2" s="1"/>
  <c r="E251" i="2"/>
  <c r="A251" i="2" s="1"/>
  <c r="E19" i="2"/>
  <c r="A19" i="2" s="1"/>
  <c r="E364" i="2"/>
  <c r="A364" i="2" s="1"/>
  <c r="E206" i="2"/>
  <c r="A206" i="2" s="1"/>
  <c r="E43" i="2"/>
  <c r="A43" i="2" s="1"/>
  <c r="E70" i="2"/>
  <c r="A70" i="2" s="1"/>
  <c r="E326" i="2"/>
  <c r="A326" i="2" s="1"/>
  <c r="E96" i="2"/>
  <c r="A96" i="2" s="1"/>
  <c r="E577" i="2"/>
  <c r="A577" i="2" s="1"/>
  <c r="E13" i="2"/>
  <c r="A13" i="2" s="1"/>
  <c r="E22" i="2"/>
  <c r="A22" i="2" s="1"/>
  <c r="E440" i="2"/>
  <c r="A440" i="2" s="1"/>
  <c r="E260" i="2"/>
  <c r="A260" i="2" s="1"/>
  <c r="E82" i="2"/>
  <c r="A82" i="2" s="1"/>
  <c r="E755" i="2"/>
  <c r="E267" i="2"/>
  <c r="A267" i="2" s="1"/>
  <c r="E385" i="2"/>
  <c r="A385" i="2" s="1"/>
  <c r="E506" i="2"/>
  <c r="A506" i="2" s="1"/>
  <c r="E349" i="2"/>
  <c r="A349" i="2" s="1"/>
  <c r="E406" i="2"/>
  <c r="A406" i="2" s="1"/>
  <c r="E512" i="2"/>
  <c r="A512" i="2" s="1"/>
  <c r="E397" i="2"/>
  <c r="A397" i="2" s="1"/>
  <c r="E493" i="2"/>
  <c r="A493" i="2" s="1"/>
  <c r="E699" i="2"/>
  <c r="A699" i="2" s="1"/>
  <c r="E33" i="2"/>
  <c r="A33" i="2" s="1"/>
  <c r="E335" i="2"/>
  <c r="A335" i="2" s="1"/>
  <c r="E736" i="2"/>
  <c r="A736" i="2" s="1"/>
  <c r="E722" i="2"/>
  <c r="A722" i="2" s="1"/>
  <c r="E124" i="2"/>
  <c r="A124" i="2" s="1"/>
  <c r="E548" i="2"/>
  <c r="A548" i="2" s="1"/>
  <c r="E49" i="2"/>
  <c r="A49" i="2" s="1"/>
  <c r="E39" i="2"/>
  <c r="A39" i="2" s="1"/>
  <c r="E697" i="2"/>
  <c r="A697" i="2" s="1"/>
  <c r="E567" i="2"/>
  <c r="A567" i="2" s="1"/>
  <c r="E106" i="2"/>
  <c r="A106" i="2" s="1"/>
  <c r="E760" i="2"/>
  <c r="A760" i="2" s="1"/>
  <c r="E432" i="2"/>
  <c r="A432" i="2" s="1"/>
  <c r="E399" i="2"/>
  <c r="A399" i="2" s="1"/>
  <c r="E657" i="2"/>
  <c r="A657" i="2" s="1"/>
  <c r="E232" i="2"/>
  <c r="A232" i="2" s="1"/>
  <c r="E701" i="2"/>
  <c r="A701" i="2" s="1"/>
  <c r="E29" i="2"/>
  <c r="A29" i="2" s="1"/>
  <c r="E304" i="2"/>
  <c r="A304" i="2" s="1"/>
  <c r="E464" i="2"/>
  <c r="A464" i="2" s="1"/>
  <c r="E358" i="2"/>
  <c r="A358" i="2" s="1"/>
  <c r="E430" i="2"/>
  <c r="A430" i="2" s="1"/>
  <c r="E16" i="2"/>
  <c r="A16" i="2" s="1"/>
  <c r="E587" i="2"/>
  <c r="A587" i="2" s="1"/>
  <c r="E368" i="2"/>
  <c r="A368" i="2" s="1"/>
  <c r="E273" i="2"/>
  <c r="A273" i="2" s="1"/>
  <c r="E366" i="2"/>
  <c r="A366" i="2" s="1"/>
  <c r="E278" i="2"/>
  <c r="A278" i="2" s="1"/>
  <c r="E308" i="2"/>
  <c r="A308" i="2" s="1"/>
  <c r="E47" i="2"/>
  <c r="A47" i="2" s="1"/>
  <c r="E61" i="2"/>
  <c r="A61" i="2" s="1"/>
  <c r="E503" i="2"/>
  <c r="A503" i="2" s="1"/>
  <c r="E303" i="2"/>
  <c r="A303" i="2" s="1"/>
  <c r="E158" i="2"/>
  <c r="A158" i="2" s="1"/>
  <c r="E127" i="2"/>
  <c r="A127" i="2" s="1"/>
  <c r="E329" i="2"/>
  <c r="A329" i="2" s="1"/>
  <c r="E371" i="2"/>
  <c r="A371" i="2" s="1"/>
  <c r="E193" i="2"/>
  <c r="A193" i="2" s="1"/>
  <c r="E356" i="2"/>
  <c r="A356" i="2" s="1"/>
  <c r="E225" i="2"/>
  <c r="A225" i="2" s="1"/>
  <c r="E474" i="2"/>
  <c r="A474" i="2" s="1"/>
  <c r="E189" i="2"/>
  <c r="A189" i="2" s="1"/>
  <c r="E615" i="2"/>
  <c r="A615" i="2" s="1"/>
  <c r="E522" i="2"/>
  <c r="A522" i="2" s="1"/>
  <c r="E169" i="2"/>
  <c r="A169" i="2" s="1"/>
  <c r="E185" i="2"/>
  <c r="A185" i="2" s="1"/>
  <c r="E384" i="2"/>
  <c r="A384" i="2" s="1"/>
  <c r="E434" i="2"/>
  <c r="A434" i="2" s="1"/>
  <c r="E92" i="2"/>
  <c r="A92" i="2" s="1"/>
  <c r="E746" i="2"/>
  <c r="A746" i="2" s="1"/>
  <c r="E340" i="2"/>
  <c r="A340" i="2" s="1"/>
  <c r="E138" i="2"/>
  <c r="A138" i="2" s="1"/>
  <c r="E203" i="2"/>
  <c r="A203" i="2" s="1"/>
  <c r="E737" i="2"/>
  <c r="A737" i="2" s="1"/>
  <c r="E421" i="2"/>
  <c r="A421" i="2" s="1"/>
  <c r="E596" i="2"/>
  <c r="A596" i="2" s="1"/>
  <c r="E291" i="2"/>
  <c r="A291" i="2" s="1"/>
  <c r="E700" i="2"/>
  <c r="A700" i="2" s="1"/>
  <c r="E71" i="2"/>
  <c r="A71" i="2" s="1"/>
  <c r="E42" i="2"/>
  <c r="A42" i="2" s="1"/>
  <c r="E557" i="2"/>
  <c r="A557" i="2" s="1"/>
  <c r="E263" i="2"/>
  <c r="A263" i="2" s="1"/>
  <c r="E418" i="2"/>
  <c r="A418" i="2" s="1"/>
  <c r="E170" i="2"/>
  <c r="A170" i="2" s="1"/>
  <c r="E470" i="2"/>
  <c r="A470" i="2" s="1"/>
  <c r="E585" i="2"/>
  <c r="A585" i="2" s="1"/>
  <c r="E407" i="2"/>
  <c r="A407" i="2" s="1"/>
  <c r="E756" i="2"/>
  <c r="A756" i="2" s="1"/>
  <c r="E658" i="2"/>
  <c r="A658" i="2" s="1"/>
  <c r="E578" i="2"/>
  <c r="A578" i="2" s="1"/>
  <c r="E284" i="2"/>
  <c r="E314" i="2"/>
  <c r="A314" i="2" s="1"/>
  <c r="E595" i="2"/>
  <c r="A595" i="2" s="1"/>
  <c r="E427" i="2"/>
  <c r="A427" i="2" s="1"/>
  <c r="E486" i="2"/>
  <c r="A486" i="2" s="1"/>
  <c r="E272" i="2"/>
  <c r="A272" i="2" s="1"/>
  <c r="E670" i="2"/>
  <c r="A670" i="2" s="1"/>
  <c r="E554" i="2"/>
  <c r="A554" i="2" s="1"/>
  <c r="E180" i="2"/>
  <c r="E28" i="2"/>
  <c r="A28" i="2" s="1"/>
  <c r="E552" i="2"/>
  <c r="A552" i="2" s="1"/>
  <c r="E184" i="2"/>
  <c r="A184" i="2" s="1"/>
  <c r="E459" i="2"/>
  <c r="A459" i="2" s="1"/>
  <c r="E183" i="2"/>
  <c r="A183" i="2" s="1"/>
  <c r="E640" i="2"/>
  <c r="A640" i="2" s="1"/>
  <c r="E361" i="2"/>
  <c r="A361" i="2" s="1"/>
  <c r="E560" i="2"/>
  <c r="E541" i="2"/>
  <c r="A541" i="2" s="1"/>
  <c r="E83" i="2"/>
  <c r="A83" i="2" s="1"/>
  <c r="E318" i="2"/>
  <c r="A318" i="2" s="1"/>
  <c r="E214" i="2"/>
  <c r="A214" i="2" s="1"/>
  <c r="E160" i="2"/>
  <c r="A160" i="2" s="1"/>
  <c r="E583" i="2"/>
  <c r="A583" i="2" s="1"/>
  <c r="E428" i="2"/>
  <c r="A428" i="2" s="1"/>
  <c r="E140" i="2"/>
  <c r="E752" i="2"/>
  <c r="A752" i="2" s="1"/>
  <c r="E594" i="2"/>
  <c r="A594" i="2" s="1"/>
  <c r="E494" i="2"/>
  <c r="A494" i="2" s="1"/>
  <c r="E178" i="2"/>
  <c r="A178" i="2" s="1"/>
  <c r="E652" i="2"/>
  <c r="A652" i="2" s="1"/>
  <c r="E380" i="2"/>
  <c r="A380" i="2" s="1"/>
  <c r="E439" i="2"/>
  <c r="A439" i="2" s="1"/>
  <c r="C439" i="2" s="1"/>
  <c r="E524" i="2"/>
  <c r="A524" i="2" s="1"/>
  <c r="E321" i="2"/>
  <c r="A321" i="2" s="1"/>
  <c r="E691" i="2"/>
  <c r="A691" i="2" s="1"/>
  <c r="E638" i="2"/>
  <c r="A638" i="2" s="1"/>
  <c r="E55" i="2"/>
  <c r="A55" i="2" s="1"/>
  <c r="E266" i="2"/>
  <c r="A266" i="2" s="1"/>
  <c r="E727" i="2"/>
  <c r="A727" i="2" s="1"/>
  <c r="E126" i="2"/>
  <c r="A126" i="2" s="1"/>
  <c r="E702" i="2"/>
  <c r="E159" i="2"/>
  <c r="A159" i="2" s="1"/>
  <c r="E540" i="2"/>
  <c r="A540" i="2" s="1"/>
  <c r="E412" i="2"/>
  <c r="A412" i="2" s="1"/>
  <c r="E162" i="2"/>
  <c r="A162" i="2" s="1"/>
  <c r="E710" i="2"/>
  <c r="A710" i="2" s="1"/>
  <c r="E564" i="2"/>
  <c r="A564" i="2" s="1"/>
  <c r="E23" i="2"/>
  <c r="A23" i="2" s="1"/>
  <c r="E455" i="2"/>
  <c r="E192" i="2"/>
  <c r="A192" i="2" s="1"/>
  <c r="E675" i="2"/>
  <c r="A675" i="2" s="1"/>
  <c r="E74" i="2"/>
  <c r="A74" i="2" s="1"/>
  <c r="E301" i="2"/>
  <c r="A301" i="2" s="1"/>
  <c r="E369" i="2"/>
  <c r="A369" i="2" s="1"/>
  <c r="E527" i="2"/>
  <c r="A527" i="2" s="1"/>
  <c r="E542" i="2"/>
  <c r="A542" i="2" s="1"/>
  <c r="E498" i="2"/>
  <c r="A498" i="2" s="1"/>
  <c r="E475" i="2"/>
  <c r="A475" i="2" s="1"/>
  <c r="E237" i="2"/>
  <c r="A237" i="2" s="1"/>
  <c r="E114" i="2"/>
  <c r="A114" i="2" s="1"/>
  <c r="E102" i="2"/>
  <c r="A102" i="2" s="1"/>
  <c r="E485" i="2"/>
  <c r="A485" i="2" s="1"/>
  <c r="E579" i="2"/>
  <c r="A579" i="2" s="1"/>
  <c r="E134" i="2"/>
  <c r="A134" i="2" s="1"/>
  <c r="E275" i="2"/>
  <c r="A275" i="2" s="1"/>
  <c r="E543" i="2"/>
  <c r="A543" i="2" s="1"/>
  <c r="E337" i="2"/>
  <c r="A337" i="2" s="1"/>
  <c r="E247" i="2"/>
  <c r="A247" i="2" s="1"/>
  <c r="E341" i="2"/>
  <c r="A341" i="2" s="1"/>
  <c r="E142" i="2"/>
  <c r="A142" i="2" s="1"/>
  <c r="E501" i="2"/>
  <c r="A501" i="2" s="1"/>
  <c r="E292" i="2"/>
  <c r="A292" i="2" s="1"/>
  <c r="E423" i="2"/>
  <c r="E315" i="2"/>
  <c r="A315" i="2" s="1"/>
  <c r="E563" i="2"/>
  <c r="A563" i="2" s="1"/>
  <c r="E48" i="2"/>
  <c r="A48" i="2" s="1"/>
  <c r="E400" i="2"/>
  <c r="A400" i="2" s="1"/>
  <c r="E534" i="2"/>
  <c r="A534" i="2" s="1"/>
  <c r="E37" i="2"/>
  <c r="A37" i="2" s="1"/>
  <c r="E603" i="2"/>
  <c r="A603" i="2" s="1"/>
  <c r="E630" i="2"/>
  <c r="E79" i="2"/>
  <c r="A79" i="2" s="1"/>
  <c r="E87" i="2"/>
  <c r="A87" i="2" s="1"/>
  <c r="E245" i="2"/>
  <c r="A245" i="2" s="1"/>
  <c r="E95" i="2"/>
  <c r="A95" i="2" s="1"/>
  <c r="E305" i="2"/>
  <c r="A305" i="2" s="1"/>
  <c r="E431" i="2"/>
  <c r="A431" i="2" s="1"/>
  <c r="E212" i="2"/>
  <c r="A212" i="2" s="1"/>
  <c r="E204" i="2"/>
  <c r="E226" i="2"/>
  <c r="A226" i="2" s="1"/>
  <c r="E690" i="2"/>
  <c r="A690" i="2" s="1"/>
  <c r="E442" i="2"/>
  <c r="A442" i="2" s="1"/>
  <c r="E732" i="2"/>
  <c r="A732" i="2" s="1"/>
  <c r="E50" i="2"/>
  <c r="A50" i="2" s="1"/>
  <c r="E57" i="2"/>
  <c r="A57" i="2" s="1"/>
  <c r="E128" i="2"/>
  <c r="A128" i="2" s="1"/>
  <c r="E643" i="2"/>
  <c r="A643" i="2" s="1"/>
  <c r="E286" i="2"/>
  <c r="A286" i="2" s="1"/>
  <c r="E110" i="2"/>
  <c r="A110" i="2" s="1"/>
  <c r="E101" i="2"/>
  <c r="A101" i="2" s="1"/>
  <c r="E620" i="2"/>
  <c r="A620" i="2" s="1"/>
  <c r="E153" i="2"/>
  <c r="A153" i="2" s="1"/>
  <c r="E4" i="2"/>
  <c r="A4" i="2" s="1"/>
  <c r="E645" i="2"/>
  <c r="A645" i="2" s="1"/>
  <c r="E143" i="2"/>
  <c r="A143" i="2" s="1"/>
  <c r="E686" i="2"/>
  <c r="A686" i="2" s="1"/>
  <c r="E551" i="2"/>
  <c r="A551" i="2" s="1"/>
  <c r="E200" i="2"/>
  <c r="A200" i="2" s="1"/>
  <c r="E325" i="2"/>
  <c r="A325" i="2" s="1"/>
  <c r="E618" i="2"/>
  <c r="A618" i="2" s="1"/>
  <c r="E449" i="2"/>
  <c r="A449" i="2" s="1"/>
  <c r="E529" i="2"/>
  <c r="A529" i="2" s="1"/>
  <c r="E54" i="2"/>
  <c r="A54" i="2" s="1"/>
  <c r="E559" i="2"/>
  <c r="A559" i="2" s="1"/>
  <c r="E634" i="2"/>
  <c r="A634" i="2" s="1"/>
  <c r="E536" i="2"/>
  <c r="A536" i="2" s="1"/>
  <c r="E395" i="2"/>
  <c r="A395" i="2" s="1"/>
  <c r="E172" i="2"/>
  <c r="A172" i="2" s="1"/>
  <c r="E463" i="2"/>
  <c r="A463" i="2" s="1"/>
  <c r="E15" i="2"/>
  <c r="A15" i="2" s="1"/>
  <c r="E166" i="2"/>
  <c r="A166" i="2" s="1"/>
  <c r="E573" i="2"/>
  <c r="A573" i="2" s="1"/>
  <c r="E130" i="2"/>
  <c r="A130" i="2" s="1"/>
  <c r="E659" i="2"/>
  <c r="A659" i="2" s="1"/>
  <c r="E484" i="2"/>
  <c r="A484" i="2" s="1"/>
  <c r="E647" i="2"/>
  <c r="A647" i="2" s="1"/>
  <c r="E271" i="2"/>
  <c r="A271" i="2" s="1"/>
  <c r="E269" i="2"/>
  <c r="A269" i="2" s="1"/>
  <c r="E151" i="2"/>
  <c r="A151" i="2" s="1"/>
  <c r="E6" i="2"/>
  <c r="A6" i="2" s="1"/>
  <c r="E36" i="2"/>
  <c r="A36" i="2" s="1"/>
  <c r="E323" i="2"/>
  <c r="A323" i="2" s="1"/>
  <c r="E100" i="2"/>
  <c r="A100" i="2" s="1"/>
  <c r="E396" i="2"/>
  <c r="A396" i="2" s="1"/>
  <c r="E145" i="2"/>
  <c r="A145" i="2" s="1"/>
  <c r="E353" i="2"/>
  <c r="A353" i="2" s="1"/>
  <c r="E626" i="2"/>
  <c r="E684" i="2"/>
  <c r="A684" i="2" s="1"/>
  <c r="E252" i="2"/>
  <c r="A252" i="2" s="1"/>
  <c r="E590" i="2"/>
  <c r="A590" i="2" s="1"/>
  <c r="E216" i="2"/>
  <c r="A216" i="2" s="1"/>
  <c r="E649" i="2"/>
  <c r="A649" i="2" s="1"/>
  <c r="E264" i="2"/>
  <c r="A264" i="2" s="1"/>
  <c r="E446" i="2"/>
  <c r="A446" i="2" s="1"/>
  <c r="E311" i="2"/>
  <c r="E568" i="2"/>
  <c r="A568" i="2" s="1"/>
  <c r="E343" i="2"/>
  <c r="A343" i="2" s="1"/>
  <c r="E165" i="2"/>
  <c r="A165" i="2" s="1"/>
  <c r="E210" i="2"/>
  <c r="A210" i="2" s="1"/>
  <c r="E21" i="2"/>
  <c r="A21" i="2" s="1"/>
  <c r="E382" i="2"/>
  <c r="A382" i="2" s="1"/>
  <c r="E718" i="2"/>
  <c r="A718" i="2" s="1"/>
  <c r="E632" i="2"/>
  <c r="A632" i="2" s="1"/>
  <c r="E408" i="2"/>
  <c r="A408" i="2" s="1"/>
  <c r="E30" i="2"/>
  <c r="A30" i="2" s="1"/>
  <c r="E582" i="2"/>
  <c r="A582" i="2" s="1"/>
  <c r="E279" i="2"/>
  <c r="A279" i="2" s="1"/>
  <c r="E94" i="2"/>
  <c r="A94" i="2" s="1"/>
  <c r="E348" i="2"/>
  <c r="A348" i="2" s="1"/>
  <c r="E419" i="2"/>
  <c r="A419" i="2" s="1"/>
  <c r="E296" i="2"/>
  <c r="A296" i="2" s="1"/>
  <c r="E60" i="2"/>
  <c r="A60" i="2" s="1"/>
  <c r="E458" i="2"/>
  <c r="A458" i="2" s="1"/>
  <c r="E650" i="2"/>
  <c r="A650" i="2" s="1"/>
  <c r="E709" i="2"/>
  <c r="A709" i="2" s="1"/>
  <c r="E386" i="2"/>
  <c r="A386" i="2" s="1"/>
  <c r="E93" i="2"/>
  <c r="A93" i="2" s="1"/>
  <c r="E437" i="2"/>
  <c r="A437" i="2" s="1"/>
  <c r="E202" i="2"/>
  <c r="A202" i="2" s="1"/>
  <c r="E514" i="2"/>
  <c r="A514" i="2" s="1"/>
  <c r="E10" i="2"/>
  <c r="A10" i="2" s="1"/>
  <c r="E231" i="2"/>
  <c r="A231" i="2" s="1"/>
  <c r="E307" i="2"/>
  <c r="A307" i="2" s="1"/>
  <c r="E324" i="2"/>
  <c r="A324" i="2" s="1"/>
  <c r="E90" i="2"/>
  <c r="A90" i="2" s="1"/>
  <c r="E466" i="2"/>
  <c r="A466" i="2" s="1"/>
  <c r="E627" i="2"/>
  <c r="A627" i="2" s="1"/>
  <c r="E728" i="2"/>
  <c r="A728" i="2" s="1"/>
  <c r="E333" i="2"/>
  <c r="A333" i="2" s="1"/>
  <c r="E146" i="2"/>
  <c r="A146" i="2" s="1"/>
  <c r="E122" i="2"/>
  <c r="A122" i="2" s="1"/>
  <c r="E656" i="2"/>
  <c r="A656" i="2" s="1"/>
  <c r="E641" i="2"/>
  <c r="A641" i="2" s="1"/>
  <c r="E598" i="2"/>
  <c r="A598" i="2" s="1"/>
  <c r="E410" i="2"/>
  <c r="A410" i="2" s="1"/>
  <c r="E570" i="2"/>
  <c r="A570" i="2" s="1"/>
  <c r="E182" i="2"/>
  <c r="A182" i="2" s="1"/>
  <c r="E322" i="2"/>
  <c r="A322" i="2" s="1"/>
  <c r="E118" i="2"/>
  <c r="A118" i="2" s="1"/>
  <c r="E467" i="2"/>
  <c r="A467" i="2" s="1"/>
  <c r="E350" i="2"/>
  <c r="A350" i="2" s="1"/>
  <c r="E754" i="2"/>
  <c r="A754" i="2" s="1"/>
  <c r="E201" i="2"/>
  <c r="A201" i="2" s="1"/>
  <c r="E642" i="2"/>
  <c r="A642" i="2" s="1"/>
  <c r="E720" i="2"/>
  <c r="A720" i="2" s="1"/>
  <c r="E156" i="2"/>
  <c r="A156" i="2" s="1"/>
  <c r="E572" i="2"/>
  <c r="A572" i="2" s="1"/>
  <c r="E404" i="2"/>
  <c r="A404" i="2" s="1"/>
  <c r="E357" i="2"/>
  <c r="A357" i="2" s="1"/>
  <c r="E758" i="2"/>
  <c r="A758" i="2" s="1"/>
  <c r="E241" i="2"/>
  <c r="A241" i="2" s="1"/>
  <c r="E520" i="2"/>
  <c r="A520" i="2" s="1"/>
  <c r="E601" i="2"/>
  <c r="A601" i="2" s="1"/>
  <c r="E367" i="2"/>
  <c r="A367" i="2" s="1"/>
  <c r="E256" i="2"/>
  <c r="A256" i="2" s="1"/>
  <c r="E703" i="2"/>
  <c r="A703" i="2" s="1"/>
  <c r="E261" i="2"/>
  <c r="A261" i="2" s="1"/>
  <c r="E125" i="2"/>
  <c r="A125" i="2" s="1"/>
  <c r="E281" i="2"/>
  <c r="E370" i="2"/>
  <c r="A370" i="2" s="1"/>
  <c r="E217" i="2"/>
  <c r="A217" i="2" s="1"/>
  <c r="E378" i="2"/>
  <c r="A378" i="2" s="1"/>
  <c r="E108" i="2"/>
  <c r="A108" i="2" s="1"/>
  <c r="E302" i="2"/>
  <c r="A302" i="2" s="1"/>
  <c r="E131" i="2"/>
  <c r="A131" i="2" s="1"/>
  <c r="E398" i="2"/>
  <c r="A398" i="2" s="1"/>
  <c r="E89" i="2"/>
  <c r="A89" i="2" s="1"/>
  <c r="E248" i="2"/>
  <c r="A248" i="2" s="1"/>
  <c r="E456" i="2"/>
  <c r="A456" i="2" s="1"/>
  <c r="E740" i="2"/>
  <c r="A740" i="2" s="1"/>
  <c r="E259" i="2"/>
  <c r="A259" i="2" s="1"/>
  <c r="E584" i="2"/>
  <c r="A584" i="2" s="1"/>
  <c r="E761" i="2"/>
  <c r="A761" i="2" s="1"/>
  <c r="E115" i="2"/>
  <c r="A115" i="2" s="1"/>
  <c r="E154" i="2"/>
  <c r="A154" i="2" s="1"/>
  <c r="E18" i="2"/>
  <c r="A18" i="2" s="1"/>
  <c r="E660" i="2"/>
  <c r="A660" i="2" s="1"/>
  <c r="E743" i="2"/>
  <c r="A743" i="2" s="1"/>
  <c r="E68" i="2"/>
  <c r="A68" i="2" s="1"/>
  <c r="E481" i="2"/>
  <c r="A481" i="2" s="1"/>
  <c r="E629" i="2"/>
  <c r="A629" i="2" s="1"/>
  <c r="E525" i="2"/>
  <c r="A525" i="2" s="1"/>
  <c r="E295" i="2"/>
  <c r="A295" i="2" s="1"/>
  <c r="E730" i="2"/>
  <c r="A730" i="2" s="1"/>
  <c r="E433" i="2"/>
  <c r="A433" i="2" s="1"/>
  <c r="E688" i="2"/>
  <c r="A688" i="2" s="1"/>
  <c r="E719" i="2"/>
  <c r="A719" i="2" s="1"/>
  <c r="E664" i="2"/>
  <c r="A664" i="2" s="1"/>
  <c r="E342" i="2"/>
  <c r="A342" i="2" s="1"/>
  <c r="E112" i="2"/>
  <c r="A112" i="2" s="1"/>
  <c r="E120" i="2"/>
  <c r="A120" i="2" s="1"/>
  <c r="E144" i="2"/>
  <c r="A144" i="2" s="1"/>
  <c r="E591" i="2"/>
  <c r="A591" i="2" s="1"/>
  <c r="E608" i="2"/>
  <c r="A608" i="2" s="1"/>
  <c r="E683" i="2"/>
  <c r="A683" i="2" s="1"/>
  <c r="E708" i="2"/>
  <c r="A708" i="2" s="1"/>
  <c r="E313" i="2"/>
  <c r="A313" i="2" s="1"/>
  <c r="E465" i="2"/>
  <c r="A465" i="2" s="1"/>
  <c r="E285" i="2"/>
  <c r="A285" i="2" s="1"/>
  <c r="E502" i="2"/>
  <c r="A502" i="2" s="1"/>
  <c r="E593" i="2"/>
  <c r="A593" i="2" s="1"/>
  <c r="E137" i="2"/>
  <c r="A137" i="2" s="1"/>
  <c r="E473" i="2"/>
  <c r="A473" i="2" s="1"/>
  <c r="E415" i="2"/>
  <c r="A415" i="2" s="1"/>
  <c r="E682" i="2"/>
  <c r="A682" i="2" s="1"/>
  <c r="E714" i="2"/>
  <c r="A714" i="2" s="1"/>
  <c r="E453" i="2"/>
  <c r="A453" i="2" s="1"/>
  <c r="E58" i="2"/>
  <c r="A58" i="2" s="1"/>
  <c r="E168" i="2"/>
  <c r="A168" i="2" s="1"/>
  <c r="E27" i="2"/>
  <c r="A27" i="2" s="1"/>
  <c r="E317" i="2"/>
  <c r="A317" i="2" s="1"/>
  <c r="E59" i="2"/>
  <c r="A59" i="2" s="1"/>
  <c r="E347" i="2"/>
  <c r="A347" i="2" s="1"/>
  <c r="E198" i="2"/>
  <c r="A198" i="2" s="1"/>
  <c r="E352" i="2"/>
  <c r="A352" i="2" s="1"/>
  <c r="E517" i="2"/>
  <c r="A517" i="2" s="1"/>
  <c r="E509" i="2"/>
  <c r="A509" i="2" s="1"/>
  <c r="E390" i="2"/>
  <c r="A390" i="2" s="1"/>
  <c r="E229" i="2"/>
  <c r="A229" i="2" s="1"/>
  <c r="E224" i="2"/>
  <c r="A224" i="2" s="1"/>
  <c r="E363" i="2"/>
  <c r="A363" i="2" s="1"/>
  <c r="E452" i="2"/>
  <c r="A452" i="2" s="1"/>
  <c r="E381" i="2"/>
  <c r="A381" i="2" s="1"/>
  <c r="E235" i="2"/>
  <c r="A235" i="2" s="1"/>
  <c r="E681" i="2"/>
  <c r="A681" i="2" s="1"/>
  <c r="E246" i="2"/>
  <c r="A246" i="2" s="1"/>
  <c r="E604" i="2"/>
  <c r="A604" i="2" s="1"/>
  <c r="E504" i="2"/>
  <c r="A504" i="2" s="1"/>
  <c r="E320" i="2"/>
  <c r="A320" i="2" s="1"/>
  <c r="E171" i="2"/>
  <c r="A171" i="2" s="1"/>
  <c r="E600" i="2"/>
  <c r="A600" i="2" s="1"/>
  <c r="E257" i="2"/>
  <c r="A257" i="2" s="1"/>
  <c r="E748" i="2"/>
  <c r="A748" i="2" s="1"/>
  <c r="E221" i="2"/>
  <c r="A221" i="2" s="1"/>
  <c r="E362" i="2"/>
  <c r="A362" i="2" s="1"/>
  <c r="E234" i="2"/>
  <c r="A234" i="2" s="1"/>
  <c r="E545" i="2"/>
  <c r="A545" i="2" s="1"/>
  <c r="E262" i="2"/>
  <c r="A262" i="2" s="1"/>
  <c r="E139" i="2"/>
  <c r="A139" i="2" s="1"/>
  <c r="E298" i="2"/>
  <c r="A298" i="2" s="1"/>
  <c r="E651" i="2"/>
  <c r="A651" i="2" s="1"/>
  <c r="E505" i="2"/>
  <c r="A505" i="2" s="1"/>
  <c r="E741" i="2"/>
  <c r="A741" i="2" s="1"/>
  <c r="C741" i="2" s="1"/>
  <c r="E5" i="2"/>
  <c r="A5" i="2" s="1"/>
  <c r="E687" i="2"/>
  <c r="A687" i="2" s="1"/>
  <c r="E471" i="2"/>
  <c r="A471" i="2" s="1"/>
  <c r="E489" i="2"/>
  <c r="A489" i="2" s="1"/>
  <c r="E663" i="2"/>
  <c r="A663" i="2" s="1"/>
  <c r="E508" i="2"/>
  <c r="A508" i="2" s="1"/>
  <c r="E147" i="2"/>
  <c r="A147" i="2" s="1"/>
  <c r="E616" i="2"/>
  <c r="A616" i="2" s="1"/>
  <c r="E622" i="2"/>
  <c r="A622" i="2" s="1"/>
  <c r="E17" i="2"/>
  <c r="A17" i="2" s="1"/>
  <c r="E3" i="2"/>
  <c r="A3" i="2" s="1"/>
  <c r="E310" i="2"/>
  <c r="E500" i="2"/>
  <c r="A500" i="2" s="1"/>
  <c r="E677" i="2"/>
  <c r="A677" i="2" s="1"/>
  <c r="E571" i="2"/>
  <c r="A571" i="2" s="1"/>
  <c r="E713" i="2"/>
  <c r="A713" i="2" s="1"/>
  <c r="E208" i="2"/>
  <c r="A208" i="2" s="1"/>
  <c r="E635" i="2"/>
  <c r="A635" i="2" s="1"/>
  <c r="E574" i="2"/>
  <c r="A574" i="2" s="1"/>
  <c r="E11" i="2"/>
  <c r="A11" i="2" s="1"/>
  <c r="E107" i="2"/>
  <c r="A107" i="2" s="1"/>
  <c r="E575" i="2"/>
  <c r="A575" i="2" s="1"/>
  <c r="E480" i="2"/>
  <c r="A480" i="2" s="1"/>
  <c r="E479" i="2"/>
  <c r="A479" i="2" s="1"/>
  <c r="E243" i="2"/>
  <c r="A243" i="2" s="1"/>
  <c r="E213" i="2"/>
  <c r="A213" i="2" s="1"/>
  <c r="E148" i="2"/>
  <c r="A148" i="2" s="1"/>
  <c r="E44" i="2"/>
  <c r="E56" i="2"/>
  <c r="A56" i="2" s="1"/>
  <c r="E533" i="2"/>
  <c r="A533" i="2" s="1"/>
  <c r="E672" i="2"/>
  <c r="A672" i="2" s="1"/>
  <c r="E420" i="2"/>
  <c r="A420" i="2" s="1"/>
  <c r="E516" i="2"/>
  <c r="A516" i="2" s="1"/>
  <c r="E441" i="2"/>
  <c r="A441" i="2" s="1"/>
  <c r="E66" i="2"/>
  <c r="A66" i="2" s="1"/>
  <c r="E77" i="2"/>
  <c r="E227" i="2"/>
  <c r="A227" i="2" s="1"/>
  <c r="E535" i="2"/>
  <c r="A535" i="2" s="1"/>
  <c r="E75" i="2"/>
  <c r="A75" i="2" s="1"/>
  <c r="E549" i="2"/>
  <c r="A549" i="2" s="1"/>
  <c r="E276" i="2"/>
  <c r="A276" i="2" s="1"/>
  <c r="E84" i="2"/>
  <c r="A84" i="2" s="1"/>
  <c r="E492" i="2"/>
  <c r="A492" i="2" s="1"/>
  <c r="E345" i="2"/>
  <c r="A345" i="2" s="1"/>
  <c r="E294" i="2"/>
  <c r="A294" i="2" s="1"/>
  <c r="E359" i="2"/>
  <c r="A359" i="2" s="1"/>
  <c r="E429" i="2"/>
  <c r="A429" i="2" s="1"/>
  <c r="E646" i="2"/>
  <c r="A646" i="2" s="1"/>
  <c r="E411" i="2"/>
  <c r="A411" i="2" s="1"/>
  <c r="E393" i="2"/>
  <c r="A393" i="2" s="1"/>
  <c r="E612" i="2"/>
  <c r="A612" i="2" s="1"/>
  <c r="E676" i="2"/>
  <c r="A676" i="2" s="1"/>
  <c r="E451" i="2"/>
  <c r="A451" i="2" s="1"/>
  <c r="E625" i="2"/>
  <c r="A625" i="2" s="1"/>
  <c r="E215" i="2"/>
  <c r="A215" i="2" s="1"/>
  <c r="E483" i="2"/>
  <c r="A483" i="2" s="1"/>
  <c r="E265" i="2"/>
  <c r="A265" i="2" s="1"/>
  <c r="E360" i="2"/>
  <c r="A360" i="2" s="1"/>
  <c r="E521" i="2"/>
  <c r="A521" i="2" s="1"/>
  <c r="E443" i="2"/>
  <c r="A443" i="2" s="1"/>
  <c r="E673" i="2"/>
  <c r="A673" i="2" s="1"/>
  <c r="E576" i="2"/>
  <c r="A576" i="2" s="1"/>
  <c r="E277" i="2"/>
  <c r="A277" i="2" s="1"/>
  <c r="E62" i="2"/>
  <c r="A62" i="2" s="1"/>
  <c r="E135" i="2"/>
  <c r="A135" i="2" s="1"/>
  <c r="E546" i="2"/>
  <c r="A546" i="2" s="1"/>
  <c r="E52" i="2"/>
  <c r="A52" i="2" s="1"/>
  <c r="E207" i="2"/>
  <c r="A207" i="2" s="1"/>
  <c r="E580" i="2"/>
  <c r="A580" i="2" s="1"/>
  <c r="E528" i="2"/>
  <c r="A528" i="2" s="1"/>
  <c r="E759" i="2"/>
  <c r="A759" i="2" s="1"/>
  <c r="E274" i="2"/>
  <c r="A274" i="2" s="1"/>
  <c r="E191" i="2"/>
  <c r="A191" i="2" s="1"/>
  <c r="E745" i="2"/>
  <c r="A745" i="2" s="1"/>
  <c r="E289" i="2"/>
  <c r="A289" i="2" s="1"/>
  <c r="E254" i="2"/>
  <c r="A254" i="2" s="1"/>
  <c r="E619" i="2"/>
  <c r="A619" i="2" s="1"/>
  <c r="E454" i="2"/>
  <c r="A454" i="2" s="1"/>
  <c r="E448" i="2"/>
  <c r="A448" i="2" s="1"/>
  <c r="E72" i="2"/>
  <c r="A72" i="2" s="1"/>
  <c r="E196" i="2"/>
  <c r="A196" i="2" s="1"/>
  <c r="E662" i="2"/>
  <c r="A662" i="2" s="1"/>
  <c r="E581" i="2"/>
  <c r="A581" i="2" s="1"/>
  <c r="E373" i="2"/>
  <c r="E414" i="2"/>
  <c r="A414" i="2" s="1"/>
  <c r="E391" i="2"/>
  <c r="A391" i="2" s="1"/>
  <c r="E497" i="2"/>
  <c r="A497" i="2" s="1"/>
  <c r="E550" i="2"/>
  <c r="A550" i="2" s="1"/>
  <c r="E46" i="2"/>
  <c r="A46" i="2" s="1"/>
  <c r="E721" i="2"/>
  <c r="A721" i="2" s="1"/>
  <c r="E499" i="2"/>
  <c r="A499" i="2" s="1"/>
  <c r="E383" i="2"/>
  <c r="E426" i="2"/>
  <c r="A426" i="2" s="1"/>
  <c r="E447" i="2"/>
  <c r="A447" i="2" s="1"/>
  <c r="E14" i="2"/>
  <c r="A14" i="2" s="1"/>
  <c r="E607" i="2"/>
  <c r="A607" i="2" s="1"/>
  <c r="E109" i="2"/>
  <c r="A109" i="2" s="1"/>
  <c r="E334" i="2"/>
  <c r="A334" i="2" s="1"/>
  <c r="E316" i="2"/>
  <c r="A316" i="2" s="1"/>
  <c r="E219" i="2"/>
  <c r="A219" i="2" s="1"/>
  <c r="E85" i="2"/>
  <c r="A85" i="2" s="1"/>
  <c r="E416" i="2"/>
  <c r="A416" i="2" s="1"/>
  <c r="E425" i="2"/>
  <c r="A425" i="2" s="1"/>
  <c r="E472" i="2"/>
  <c r="A472" i="2" s="1"/>
  <c r="E477" i="2"/>
  <c r="A477" i="2" s="1"/>
  <c r="E744" i="2"/>
  <c r="A744" i="2" s="1"/>
  <c r="E80" i="2"/>
  <c r="A80" i="2" s="1"/>
  <c r="E515" i="2"/>
  <c r="E239" i="2"/>
  <c r="A239" i="2" s="1"/>
  <c r="E623" i="2"/>
  <c r="A623" i="2" s="1"/>
  <c r="E734" i="2"/>
  <c r="A734" i="2" s="1"/>
  <c r="E32" i="2"/>
  <c r="A32" i="2" s="1"/>
  <c r="E613" i="2"/>
  <c r="A613" i="2" s="1"/>
  <c r="E338" i="2"/>
  <c r="A338" i="2" s="1"/>
  <c r="E374" i="2"/>
  <c r="A374" i="2" s="1"/>
  <c r="E637" i="2"/>
  <c r="A637" i="2" s="1"/>
  <c r="E611" i="2"/>
  <c r="A611" i="2" s="1"/>
  <c r="E704" i="2"/>
  <c r="A704" i="2" s="1"/>
  <c r="E81" i="2"/>
  <c r="A81" i="2" s="1"/>
  <c r="E376" i="2"/>
  <c r="A376" i="2" s="1"/>
  <c r="E355" i="2"/>
  <c r="A355" i="2" s="1"/>
  <c r="E757" i="2"/>
  <c r="A757" i="2" s="1"/>
  <c r="E136" i="2"/>
  <c r="A136" i="2" s="1"/>
  <c r="E283" i="2"/>
  <c r="A283" i="2" s="1"/>
  <c r="E444" i="2"/>
  <c r="A444" i="2" s="1"/>
  <c r="E233" i="2"/>
  <c r="A233" i="2" s="1"/>
  <c r="E372" i="2"/>
  <c r="A372" i="2" s="1"/>
  <c r="E155" i="2"/>
  <c r="A155" i="2" s="1"/>
  <c r="E750" i="2"/>
  <c r="A750" i="2" s="1"/>
  <c r="E78" i="2"/>
  <c r="A78" i="2" s="1"/>
  <c r="E327" i="2"/>
  <c r="A327" i="2" s="1"/>
  <c r="E173" i="2"/>
  <c r="A173" i="2" s="1"/>
  <c r="E462" i="2"/>
  <c r="A462" i="2" s="1"/>
  <c r="E123" i="2"/>
  <c r="A123" i="2" s="1"/>
  <c r="E733" i="2"/>
  <c r="A733" i="2" s="1"/>
  <c r="E328" i="2"/>
  <c r="A328" i="2" s="1"/>
  <c r="E597" i="2"/>
  <c r="A597" i="2" s="1"/>
  <c r="E671" i="2"/>
  <c r="A671" i="2" s="1"/>
  <c r="E511" i="2"/>
  <c r="A511" i="2" s="1"/>
  <c r="E119" i="2"/>
  <c r="A119" i="2" s="1"/>
  <c r="E174" i="2"/>
  <c r="A174" i="2" s="1"/>
  <c r="E438" i="2"/>
  <c r="A438" i="2" s="1"/>
  <c r="E250" i="2"/>
  <c r="A250" i="2" s="1"/>
  <c r="E655" i="2"/>
  <c r="A655" i="2" s="1"/>
  <c r="E152" i="2"/>
  <c r="A152" i="2" s="1"/>
  <c r="E230" i="2"/>
  <c r="A230" i="2" s="1"/>
  <c r="E332" i="2"/>
  <c r="A332" i="2" s="1"/>
  <c r="E742" i="2"/>
  <c r="A742" i="2" s="1"/>
  <c r="E435" i="2"/>
  <c r="A435" i="2" s="1"/>
  <c r="E40" i="2"/>
  <c r="A40" i="2" s="1"/>
  <c r="E749" i="2"/>
  <c r="A749" i="2" s="1"/>
  <c r="E64" i="2"/>
  <c r="A64" i="2" s="1"/>
  <c r="E51" i="2"/>
  <c r="A51" i="2" s="1"/>
  <c r="E739" i="2"/>
  <c r="A739" i="2" s="1"/>
  <c r="E678" i="2"/>
  <c r="A678" i="2" s="1"/>
  <c r="E537" i="2"/>
  <c r="A537" i="2" s="1"/>
  <c r="E562" i="2"/>
  <c r="A562" i="2" s="1"/>
  <c r="E73" i="2"/>
  <c r="A73" i="2" s="1"/>
  <c r="E300" i="2"/>
  <c r="A300" i="2" s="1"/>
  <c r="E238" i="2"/>
  <c r="A238" i="2" s="1"/>
  <c r="E668" i="2"/>
  <c r="A668" i="2" s="1"/>
  <c r="E236" i="2"/>
  <c r="A236" i="2" s="1"/>
  <c r="E179" i="2"/>
  <c r="A179" i="2" s="1"/>
  <c r="E309" i="2"/>
  <c r="A309" i="2" s="1"/>
  <c r="E181" i="2"/>
  <c r="A181" i="2" s="1"/>
  <c r="E69" i="2"/>
  <c r="A69" i="2" s="1"/>
  <c r="E365" i="2"/>
  <c r="A365" i="2" s="1"/>
  <c r="E392" i="2"/>
  <c r="A392" i="2" s="1"/>
  <c r="E91" i="2"/>
  <c r="A91" i="2" s="1"/>
  <c r="E523" i="2"/>
  <c r="A523" i="2" s="1"/>
  <c r="E12" i="2"/>
  <c r="A12" i="2" s="1"/>
  <c r="E149" i="2"/>
  <c r="A149" i="2" s="1"/>
  <c r="E519" i="2"/>
  <c r="A519" i="2" s="1"/>
  <c r="E2" i="2"/>
  <c r="A2" i="2" s="1"/>
  <c r="E561" i="2"/>
  <c r="A561" i="2" s="1"/>
  <c r="E460" i="2"/>
  <c r="A460" i="2" s="1"/>
  <c r="E468" i="2"/>
  <c r="A468" i="2" s="1"/>
  <c r="E299" i="2"/>
  <c r="A299" i="2" s="1"/>
  <c r="E693" i="2"/>
  <c r="A693" i="2" s="1"/>
  <c r="E706" i="2"/>
  <c r="E218" i="2"/>
  <c r="A218" i="2" s="1"/>
  <c r="E478" i="2"/>
  <c r="A478" i="2" s="1"/>
  <c r="E306" i="2"/>
  <c r="A306" i="2" s="1"/>
  <c r="E270" i="2"/>
  <c r="A270" i="2" s="1"/>
  <c r="E496" i="2"/>
  <c r="A496" i="2" s="1"/>
  <c r="E253" i="2"/>
  <c r="A253" i="2" s="1"/>
  <c r="E76" i="2"/>
  <c r="A76" i="2" s="1"/>
  <c r="E450" i="2"/>
  <c r="E586" i="2"/>
  <c r="A586" i="2" s="1"/>
  <c r="E654" i="2"/>
  <c r="A654" i="2" s="1"/>
  <c r="E530" i="2"/>
  <c r="A530" i="2" s="1"/>
  <c r="E566" i="2"/>
  <c r="A566" i="2" s="1"/>
  <c r="E738" i="2"/>
  <c r="A738" i="2" s="1"/>
  <c r="E176" i="2"/>
  <c r="A176" i="2" s="1"/>
  <c r="E711" i="2"/>
  <c r="A711" i="2" s="1"/>
  <c r="E639" i="2"/>
  <c r="E244" i="2"/>
  <c r="A244" i="2" s="1"/>
  <c r="E35" i="2"/>
  <c r="A35" i="2" s="1"/>
  <c r="E7" i="2"/>
  <c r="A7" i="2" s="1"/>
  <c r="E633" i="2"/>
  <c r="A633" i="2" s="1"/>
  <c r="E617" i="2"/>
  <c r="A617" i="2" s="1"/>
  <c r="E63" i="2"/>
  <c r="A63" i="2" s="1"/>
  <c r="E689" i="2"/>
  <c r="A689" i="2" s="1"/>
  <c r="E117" i="2"/>
  <c r="E293" i="2"/>
  <c r="A293" i="2" s="1"/>
  <c r="E526" i="2"/>
  <c r="A526" i="2" s="1"/>
  <c r="E157" i="2"/>
  <c r="A157" i="2" s="1"/>
  <c r="E665" i="2"/>
  <c r="A665" i="2" s="1"/>
  <c r="E518" i="2"/>
  <c r="A518" i="2" s="1"/>
  <c r="E387" i="2"/>
  <c r="A387" i="2" s="1"/>
  <c r="E402" i="2"/>
  <c r="A402" i="2" s="1"/>
  <c r="E150" i="2"/>
  <c r="E490" i="2"/>
  <c r="A490" i="2" s="1"/>
  <c r="E413" i="2"/>
  <c r="A413" i="2" s="1"/>
  <c r="E379" i="2"/>
  <c r="A379" i="2" s="1"/>
  <c r="E705" i="2"/>
  <c r="A705" i="2" s="1"/>
  <c r="E330" i="2"/>
  <c r="A330" i="2" s="1"/>
  <c r="E103" i="2"/>
  <c r="A103" i="2" s="1"/>
  <c r="E194" i="2"/>
  <c r="A194" i="2" s="1"/>
  <c r="E175" i="2"/>
  <c r="E592" i="2"/>
  <c r="A592" i="2" s="1"/>
  <c r="E726" i="2"/>
  <c r="A726" i="2" s="1"/>
  <c r="E228" i="2"/>
  <c r="A228" i="2" s="1"/>
  <c r="E507" i="2"/>
  <c r="A507" i="2" s="1"/>
  <c r="E532" i="2"/>
  <c r="A532" i="2" s="1"/>
  <c r="E97" i="2"/>
  <c r="A97" i="2" s="1"/>
  <c r="E405" i="2"/>
  <c r="A405" i="2" s="1"/>
  <c r="E222" i="2"/>
  <c r="A222" i="2" s="1"/>
  <c r="E539" i="2"/>
  <c r="A539" i="2" s="1"/>
  <c r="E424" i="2"/>
  <c r="A424" i="2" s="1"/>
  <c r="E558" i="2"/>
  <c r="A558" i="2" s="1"/>
  <c r="E121" i="2"/>
  <c r="A121" i="2" s="1"/>
  <c r="E513" i="2"/>
  <c r="A513" i="2" s="1"/>
  <c r="E24" i="2"/>
  <c r="A24" i="2" s="1"/>
  <c r="E624" i="2"/>
  <c r="A624" i="2" s="1"/>
  <c r="E669" i="2"/>
  <c r="E20" i="2"/>
  <c r="A20" i="2" s="1"/>
  <c r="E725" i="2"/>
  <c r="A725" i="2" s="1"/>
  <c r="E199" i="2"/>
  <c r="A199" i="2" s="1"/>
  <c r="E88" i="2"/>
  <c r="A88" i="2" s="1"/>
  <c r="E65" i="2"/>
  <c r="A65" i="2" s="1"/>
  <c r="E644" i="2"/>
  <c r="A644" i="2" s="1"/>
  <c r="E729" i="2"/>
  <c r="A729" i="2" s="1"/>
  <c r="E255" i="2"/>
  <c r="A255" i="2" s="1"/>
  <c r="E98" i="2"/>
  <c r="A98" i="2" s="1"/>
  <c r="E205" i="2"/>
  <c r="A205" i="2" s="1"/>
  <c r="E476" i="2"/>
  <c r="A476" i="2" s="1"/>
  <c r="E163" i="2"/>
  <c r="A163" i="2" s="1"/>
  <c r="E667" i="2"/>
  <c r="A667" i="2" s="1"/>
  <c r="E53" i="2"/>
  <c r="E133" i="2"/>
  <c r="A133" i="2" s="1"/>
  <c r="E631" i="2"/>
  <c r="E249" i="2"/>
  <c r="A249" i="2" s="1"/>
  <c r="E132" i="2"/>
  <c r="A132" i="2" s="1"/>
  <c r="E565" i="2"/>
  <c r="A565" i="2" s="1"/>
  <c r="E461" i="2"/>
  <c r="A461" i="2" s="1"/>
  <c r="E538" i="2"/>
  <c r="A538" i="2" s="1"/>
  <c r="E723" i="2"/>
  <c r="A723" i="2" s="1"/>
  <c r="E636" i="2"/>
  <c r="A636" i="2" s="1"/>
  <c r="E544" i="2"/>
  <c r="E220" i="2"/>
  <c r="A220" i="2" s="1"/>
  <c r="E679" i="2"/>
  <c r="A679" i="2" s="1"/>
  <c r="E242" i="2"/>
  <c r="A242" i="2" s="1"/>
  <c r="E38" i="2"/>
  <c r="A38" i="2" s="1"/>
  <c r="E8" i="2"/>
  <c r="A8" i="2" s="1"/>
  <c r="E747" i="2"/>
  <c r="A747" i="2" s="1"/>
  <c r="E602" i="2"/>
  <c r="A602" i="2" s="1"/>
  <c r="E161" i="2"/>
  <c r="A161" i="2" s="1"/>
  <c r="E389" i="2"/>
  <c r="A389" i="2" s="1"/>
  <c r="E753" i="2"/>
  <c r="A753" i="2" s="1"/>
  <c r="E731" i="2"/>
  <c r="A731" i="2" s="1"/>
  <c r="E31" i="2"/>
  <c r="A31" i="2" s="1"/>
  <c r="E388" i="2"/>
  <c r="A388" i="2" s="1"/>
  <c r="E331" i="2"/>
  <c r="A331" i="2" s="1"/>
  <c r="E97" i="14"/>
  <c r="E89" i="14"/>
  <c r="E81" i="14"/>
  <c r="E73" i="14"/>
  <c r="E65" i="14"/>
  <c r="E57" i="14"/>
  <c r="E49" i="14"/>
  <c r="E41" i="14"/>
  <c r="E33" i="14"/>
  <c r="E25" i="14"/>
  <c r="E17" i="14"/>
  <c r="E9" i="14"/>
  <c r="E95" i="14"/>
  <c r="E87" i="14"/>
  <c r="E79" i="14"/>
  <c r="E71" i="14"/>
  <c r="E63" i="14"/>
  <c r="E55" i="14"/>
  <c r="E47" i="14"/>
  <c r="E39" i="14"/>
  <c r="E31" i="14"/>
  <c r="E23" i="14"/>
  <c r="E15" i="14"/>
  <c r="E7" i="14"/>
  <c r="F95" i="13"/>
  <c r="F87" i="13"/>
  <c r="F79" i="13"/>
  <c r="F71" i="13"/>
  <c r="F63" i="13"/>
  <c r="F55" i="13"/>
  <c r="F47" i="13"/>
  <c r="F39" i="13"/>
  <c r="F31" i="13"/>
  <c r="F23" i="13"/>
  <c r="F15" i="13"/>
  <c r="F7" i="13"/>
  <c r="E96" i="13"/>
  <c r="F96" i="13" s="1"/>
  <c r="E88" i="13"/>
  <c r="F88" i="13" s="1"/>
  <c r="E80" i="13"/>
  <c r="F80" i="13" s="1"/>
  <c r="E72" i="13"/>
  <c r="F72" i="13" s="1"/>
  <c r="E64" i="13"/>
  <c r="F64" i="13" s="1"/>
  <c r="E56" i="13"/>
  <c r="F56" i="14" s="1"/>
  <c r="E48" i="13"/>
  <c r="F48" i="13" s="1"/>
  <c r="E40" i="13"/>
  <c r="F40" i="14" s="1"/>
  <c r="E32" i="13"/>
  <c r="F32" i="13" s="1"/>
  <c r="E24" i="13"/>
  <c r="F24" i="13" s="1"/>
  <c r="E16" i="13"/>
  <c r="F16" i="13" s="1"/>
  <c r="E8" i="13"/>
  <c r="F8" i="13" s="1"/>
  <c r="E94" i="13"/>
  <c r="F94" i="13" s="1"/>
  <c r="E86" i="13"/>
  <c r="F86" i="14" s="1"/>
  <c r="E78" i="13"/>
  <c r="F78" i="13" s="1"/>
  <c r="E70" i="13"/>
  <c r="F70" i="14" s="1"/>
  <c r="E62" i="13"/>
  <c r="F62" i="13" s="1"/>
  <c r="E54" i="13"/>
  <c r="F54" i="13" s="1"/>
  <c r="E46" i="13"/>
  <c r="F46" i="13" s="1"/>
  <c r="E38" i="13"/>
  <c r="F38" i="13" s="1"/>
  <c r="E30" i="13"/>
  <c r="F30" i="13" s="1"/>
  <c r="E22" i="13"/>
  <c r="F22" i="14" s="1"/>
  <c r="E14" i="13"/>
  <c r="F14" i="13" s="1"/>
  <c r="E6" i="13"/>
  <c r="F6" i="14" s="1"/>
  <c r="E93" i="13"/>
  <c r="F93" i="14" s="1"/>
  <c r="E85" i="13"/>
  <c r="F85" i="14" s="1"/>
  <c r="E77" i="13"/>
  <c r="F77" i="13" s="1"/>
  <c r="E69" i="13"/>
  <c r="F69" i="13" s="1"/>
  <c r="E61" i="13"/>
  <c r="F61" i="13" s="1"/>
  <c r="E53" i="13"/>
  <c r="F53" i="13" s="1"/>
  <c r="E45" i="13"/>
  <c r="F45" i="13" s="1"/>
  <c r="E37" i="13"/>
  <c r="F37" i="13" s="1"/>
  <c r="E29" i="13"/>
  <c r="F29" i="14" s="1"/>
  <c r="E21" i="13"/>
  <c r="F21" i="14" s="1"/>
  <c r="E13" i="13"/>
  <c r="F13" i="14" s="1"/>
  <c r="E5" i="13"/>
  <c r="F5" i="13" s="1"/>
  <c r="E100" i="13"/>
  <c r="F100" i="13" s="1"/>
  <c r="E92" i="13"/>
  <c r="F92" i="13" s="1"/>
  <c r="E84" i="13"/>
  <c r="F84" i="13" s="1"/>
  <c r="E76" i="13"/>
  <c r="F76" i="13" s="1"/>
  <c r="E68" i="13"/>
  <c r="F68" i="13" s="1"/>
  <c r="E60" i="13"/>
  <c r="F60" i="13" s="1"/>
  <c r="E52" i="13"/>
  <c r="F52" i="13" s="1"/>
  <c r="E44" i="13"/>
  <c r="F44" i="14" s="1"/>
  <c r="E36" i="13"/>
  <c r="F36" i="13" s="1"/>
  <c r="E28" i="13"/>
  <c r="F28" i="13" s="1"/>
  <c r="E20" i="13"/>
  <c r="F20" i="13" s="1"/>
  <c r="E12" i="13"/>
  <c r="F12" i="13" s="1"/>
  <c r="E4" i="13"/>
  <c r="F4" i="13" s="1"/>
  <c r="E99" i="13"/>
  <c r="F99" i="13" s="1"/>
  <c r="E91" i="13"/>
  <c r="F91" i="13" s="1"/>
  <c r="E83" i="13"/>
  <c r="F83" i="13" s="1"/>
  <c r="E75" i="13"/>
  <c r="F75" i="13" s="1"/>
  <c r="E67" i="13"/>
  <c r="F67" i="13" s="1"/>
  <c r="E59" i="13"/>
  <c r="F59" i="14" s="1"/>
  <c r="E51" i="13"/>
  <c r="F51" i="13" s="1"/>
  <c r="E43" i="13"/>
  <c r="F43" i="14" s="1"/>
  <c r="E35" i="13"/>
  <c r="F35" i="13" s="1"/>
  <c r="E27" i="13"/>
  <c r="F27" i="13" s="1"/>
  <c r="E19" i="13"/>
  <c r="F19" i="13" s="1"/>
  <c r="E11" i="13"/>
  <c r="F11" i="13" s="1"/>
  <c r="E3" i="13"/>
  <c r="F3" i="13" s="1"/>
  <c r="F97" i="14"/>
  <c r="F89" i="14"/>
  <c r="F81" i="14"/>
  <c r="F73" i="14"/>
  <c r="F65" i="13"/>
  <c r="F57" i="13"/>
  <c r="F49" i="13"/>
  <c r="F41" i="13"/>
  <c r="F33" i="14"/>
  <c r="F25" i="14"/>
  <c r="F17" i="14"/>
  <c r="F9" i="14"/>
  <c r="E98" i="13"/>
  <c r="F98" i="13" s="1"/>
  <c r="E90" i="13"/>
  <c r="F90" i="13" s="1"/>
  <c r="E82" i="13"/>
  <c r="F82" i="14" s="1"/>
  <c r="E74" i="13"/>
  <c r="F74" i="13" s="1"/>
  <c r="E66" i="13"/>
  <c r="F66" i="14" s="1"/>
  <c r="E58" i="13"/>
  <c r="F58" i="13" s="1"/>
  <c r="E50" i="13"/>
  <c r="F50" i="13" s="1"/>
  <c r="E42" i="13"/>
  <c r="F42" i="13" s="1"/>
  <c r="E34" i="13"/>
  <c r="F34" i="13" s="1"/>
  <c r="E26" i="13"/>
  <c r="F26" i="13" s="1"/>
  <c r="E18" i="13"/>
  <c r="F18" i="13" s="1"/>
  <c r="E10" i="13"/>
  <c r="F10" i="13" s="1"/>
  <c r="E2" i="13"/>
  <c r="F2" i="14" s="1"/>
  <c r="F97" i="13"/>
  <c r="F33" i="13"/>
  <c r="F89" i="13"/>
  <c r="F25" i="13"/>
  <c r="F81" i="13"/>
  <c r="F17" i="13"/>
  <c r="F73" i="13"/>
  <c r="F9" i="13"/>
  <c r="F7" i="14"/>
  <c r="F15" i="14"/>
  <c r="F23" i="14"/>
  <c r="F31" i="14"/>
  <c r="F39" i="14"/>
  <c r="F41" i="14"/>
  <c r="F47" i="14"/>
  <c r="F49" i="14"/>
  <c r="F55" i="14"/>
  <c r="F57" i="14"/>
  <c r="F63" i="14"/>
  <c r="F65" i="14"/>
  <c r="F71" i="14"/>
  <c r="F79" i="14"/>
  <c r="F87" i="14"/>
  <c r="F95" i="14"/>
  <c r="D393" i="4"/>
  <c r="F397" i="4"/>
  <c r="F389" i="4"/>
  <c r="F381" i="4"/>
  <c r="F365" i="4"/>
  <c r="F349" i="4"/>
  <c r="F333" i="4"/>
  <c r="F317" i="4"/>
  <c r="F293" i="4"/>
  <c r="F285" i="4"/>
  <c r="F277" i="4"/>
  <c r="F261" i="4"/>
  <c r="F245" i="4"/>
  <c r="F237" i="4"/>
  <c r="F229" i="4"/>
  <c r="F213" i="4"/>
  <c r="F205" i="4"/>
  <c r="F197" i="4"/>
  <c r="F189" i="4"/>
  <c r="F181" i="4"/>
  <c r="F173" i="4"/>
  <c r="F165" i="4"/>
  <c r="F149" i="4"/>
  <c r="F133" i="4"/>
  <c r="F125" i="4"/>
  <c r="F117" i="4"/>
  <c r="F109" i="4"/>
  <c r="F101" i="4"/>
  <c r="F93" i="4"/>
  <c r="F85" i="4"/>
  <c r="F69" i="4"/>
  <c r="F61" i="4"/>
  <c r="F53" i="4"/>
  <c r="F45" i="4"/>
  <c r="F37" i="4"/>
  <c r="F29" i="4"/>
  <c r="F21" i="4"/>
  <c r="F307" i="4"/>
  <c r="F283" i="4"/>
  <c r="F275" i="4"/>
  <c r="F267" i="4"/>
  <c r="F259" i="4"/>
  <c r="H259" i="4" s="1"/>
  <c r="F251" i="4"/>
  <c r="H251" i="4" s="1"/>
  <c r="F243" i="4"/>
  <c r="F235" i="4"/>
  <c r="F227" i="4"/>
  <c r="F219" i="4"/>
  <c r="F211" i="4"/>
  <c r="F203" i="4"/>
  <c r="F195" i="4"/>
  <c r="F187" i="4"/>
  <c r="F179" i="4"/>
  <c r="F171" i="4"/>
  <c r="F163" i="4"/>
  <c r="F155" i="4"/>
  <c r="F147" i="4"/>
  <c r="F139" i="4"/>
  <c r="F131" i="4"/>
  <c r="F123" i="4"/>
  <c r="F115" i="4"/>
  <c r="F107" i="4"/>
  <c r="F99" i="4"/>
  <c r="F91" i="4"/>
  <c r="F83" i="4"/>
  <c r="F75" i="4"/>
  <c r="F67" i="4"/>
  <c r="F59" i="4"/>
  <c r="F51" i="4"/>
  <c r="F43" i="4"/>
  <c r="F35" i="4"/>
  <c r="F27" i="4"/>
  <c r="F19" i="4"/>
  <c r="F401" i="4"/>
  <c r="F385" i="4"/>
  <c r="F369" i="4"/>
  <c r="F353" i="4"/>
  <c r="F337" i="4"/>
  <c r="F321" i="4"/>
  <c r="F305" i="4"/>
  <c r="F281" i="4"/>
  <c r="F273" i="4"/>
  <c r="F265" i="4"/>
  <c r="F257" i="4"/>
  <c r="F249" i="4"/>
  <c r="F241" i="4"/>
  <c r="F233" i="4"/>
  <c r="F225" i="4"/>
  <c r="F217" i="4"/>
  <c r="F209" i="4"/>
  <c r="F201" i="4"/>
  <c r="F193" i="4"/>
  <c r="F185" i="4"/>
  <c r="F177" i="4"/>
  <c r="F169" i="4"/>
  <c r="F161" i="4"/>
  <c r="F153" i="4"/>
  <c r="F145" i="4"/>
  <c r="F137" i="4"/>
  <c r="F129" i="4"/>
  <c r="F121" i="4"/>
  <c r="F113" i="4"/>
  <c r="F105" i="4"/>
  <c r="F97" i="4"/>
  <c r="F89" i="4"/>
  <c r="F81" i="4"/>
  <c r="F73" i="4"/>
  <c r="F65" i="4"/>
  <c r="F57" i="4"/>
  <c r="F49" i="4"/>
  <c r="F41" i="4"/>
  <c r="F33" i="4"/>
  <c r="F25" i="4"/>
  <c r="F17" i="4"/>
  <c r="F335" i="4"/>
  <c r="F311" i="4"/>
  <c r="F303" i="4"/>
  <c r="F279" i="4"/>
  <c r="F271" i="4"/>
  <c r="F263" i="4"/>
  <c r="F255" i="4"/>
  <c r="F247" i="4"/>
  <c r="F239" i="4"/>
  <c r="F231" i="4"/>
  <c r="F223" i="4"/>
  <c r="F215" i="4"/>
  <c r="F207" i="4"/>
  <c r="F199" i="4"/>
  <c r="F191" i="4"/>
  <c r="F183" i="4"/>
  <c r="F175" i="4"/>
  <c r="F167" i="4"/>
  <c r="F159" i="4"/>
  <c r="F151" i="4"/>
  <c r="F143" i="4"/>
  <c r="F135" i="4"/>
  <c r="F127" i="4"/>
  <c r="F119" i="4"/>
  <c r="F111" i="4"/>
  <c r="F103" i="4"/>
  <c r="F95" i="4"/>
  <c r="F87" i="4"/>
  <c r="F79" i="4"/>
  <c r="F71" i="4"/>
  <c r="F63" i="4"/>
  <c r="F55" i="4"/>
  <c r="F47" i="4"/>
  <c r="F39" i="4"/>
  <c r="F31" i="4"/>
  <c r="F23" i="4"/>
  <c r="G397" i="4"/>
  <c r="G381" i="4"/>
  <c r="G373" i="4"/>
  <c r="G365" i="4"/>
  <c r="G357" i="4"/>
  <c r="H357" i="4" s="1"/>
  <c r="G349" i="4"/>
  <c r="G341" i="4"/>
  <c r="G333" i="4"/>
  <c r="G325" i="4"/>
  <c r="G317" i="4"/>
  <c r="G309" i="4"/>
  <c r="G301" i="4"/>
  <c r="G269" i="4"/>
  <c r="G253" i="4"/>
  <c r="H253" i="4" s="1"/>
  <c r="I253" i="4" s="1"/>
  <c r="G237" i="4"/>
  <c r="G221" i="4"/>
  <c r="G189" i="4"/>
  <c r="G173" i="4"/>
  <c r="G157" i="4"/>
  <c r="G141" i="4"/>
  <c r="H141" i="4" s="1"/>
  <c r="G125" i="4"/>
  <c r="G109" i="4"/>
  <c r="H109" i="4" s="1"/>
  <c r="G93" i="4"/>
  <c r="G77" i="4"/>
  <c r="H77" i="4" s="1"/>
  <c r="G29" i="4"/>
  <c r="G403" i="4"/>
  <c r="H403" i="4" s="1"/>
  <c r="L1515" i="23" s="1"/>
  <c r="G395" i="4"/>
  <c r="H395" i="4" s="1"/>
  <c r="G387" i="4"/>
  <c r="G379" i="4"/>
  <c r="G371" i="4"/>
  <c r="H371" i="4" s="1"/>
  <c r="G363" i="4"/>
  <c r="G355" i="4"/>
  <c r="G347" i="4"/>
  <c r="G339" i="4"/>
  <c r="H339" i="4" s="1"/>
  <c r="G331" i="4"/>
  <c r="H331" i="4" s="1"/>
  <c r="G323" i="4"/>
  <c r="H323" i="4" s="1"/>
  <c r="G315" i="4"/>
  <c r="H315" i="4" s="1"/>
  <c r="G307" i="4"/>
  <c r="G299" i="4"/>
  <c r="G291" i="4"/>
  <c r="G19" i="4"/>
  <c r="G401" i="4"/>
  <c r="G393" i="4"/>
  <c r="H393" i="4" s="1"/>
  <c r="G385" i="4"/>
  <c r="G377" i="4"/>
  <c r="H377" i="4" s="1"/>
  <c r="G369" i="4"/>
  <c r="H369" i="4" s="1"/>
  <c r="G361" i="4"/>
  <c r="G353" i="4"/>
  <c r="G345" i="4"/>
  <c r="H345" i="4" s="1"/>
  <c r="G337" i="4"/>
  <c r="G329" i="4"/>
  <c r="H329" i="4" s="1"/>
  <c r="G313" i="4"/>
  <c r="G297" i="4"/>
  <c r="G289" i="4"/>
  <c r="H289" i="4" s="1"/>
  <c r="G265" i="4"/>
  <c r="G249" i="4"/>
  <c r="G233" i="4"/>
  <c r="H233" i="4" s="1"/>
  <c r="G217" i="4"/>
  <c r="G201" i="4"/>
  <c r="G185" i="4"/>
  <c r="G169" i="4"/>
  <c r="G153" i="4"/>
  <c r="G137" i="4"/>
  <c r="G129" i="4"/>
  <c r="G121" i="4"/>
  <c r="G97" i="4"/>
  <c r="G89" i="4"/>
  <c r="G73" i="4"/>
  <c r="G65" i="4"/>
  <c r="G57" i="4"/>
  <c r="G49" i="4"/>
  <c r="G17" i="4"/>
  <c r="G399" i="4"/>
  <c r="G391" i="4"/>
  <c r="G383" i="4"/>
  <c r="H383" i="4" s="1"/>
  <c r="G375" i="4"/>
  <c r="H375" i="4" s="1"/>
  <c r="G367" i="4"/>
  <c r="H367" i="4" s="1"/>
  <c r="G359" i="4"/>
  <c r="H359" i="4" s="1"/>
  <c r="G351" i="4"/>
  <c r="G343" i="4"/>
  <c r="G327" i="4"/>
  <c r="H327" i="4" s="1"/>
  <c r="G319" i="4"/>
  <c r="H319" i="4" s="1"/>
  <c r="G311" i="4"/>
  <c r="G295" i="4"/>
  <c r="H295" i="4" s="1"/>
  <c r="G287" i="4"/>
  <c r="H287" i="4" s="1"/>
  <c r="G279" i="4"/>
  <c r="G15" i="4"/>
  <c r="M379" i="4"/>
  <c r="M395" i="4"/>
  <c r="M347" i="4"/>
  <c r="M331" i="4"/>
  <c r="M315" i="4"/>
  <c r="M363" i="4"/>
  <c r="D313" i="4"/>
  <c r="D361" i="4"/>
  <c r="D377" i="4"/>
  <c r="D345" i="4"/>
  <c r="D329" i="4"/>
  <c r="D371" i="4"/>
  <c r="D339" i="4"/>
  <c r="D403" i="4"/>
  <c r="D355" i="4"/>
  <c r="D387" i="4"/>
  <c r="D323" i="4"/>
  <c r="D289" i="4"/>
  <c r="D21" i="4"/>
  <c r="M39" i="4"/>
  <c r="M55" i="4"/>
  <c r="M71" i="4"/>
  <c r="D103" i="4"/>
  <c r="D183" i="4"/>
  <c r="D199" i="4"/>
  <c r="M231" i="4"/>
  <c r="M247" i="4"/>
  <c r="M263" i="4"/>
  <c r="D75" i="4"/>
  <c r="D91" i="4"/>
  <c r="D123" i="4"/>
  <c r="D139" i="4"/>
  <c r="D155" i="4"/>
  <c r="D187" i="4"/>
  <c r="D219" i="4"/>
  <c r="M235" i="4"/>
  <c r="D267" i="4"/>
  <c r="D25" i="4"/>
  <c r="D131" i="4"/>
  <c r="D147" i="4"/>
  <c r="D163" i="4"/>
  <c r="D179" i="4"/>
  <c r="D195" i="4"/>
  <c r="M211" i="4"/>
  <c r="M227" i="4"/>
  <c r="D275" i="4"/>
  <c r="D283" i="4"/>
  <c r="D15" i="4"/>
  <c r="D47" i="4"/>
  <c r="D111" i="4"/>
  <c r="D23" i="4"/>
  <c r="D37" i="4"/>
  <c r="M53" i="4"/>
  <c r="D133" i="4"/>
  <c r="D277" i="4"/>
  <c r="B327" i="4"/>
  <c r="B375" i="4"/>
  <c r="B343" i="4"/>
  <c r="B391" i="4"/>
  <c r="M305" i="4"/>
  <c r="D305" i="4"/>
  <c r="D321" i="4"/>
  <c r="D399" i="4"/>
  <c r="B305" i="4"/>
  <c r="D303" i="4"/>
  <c r="M397" i="4"/>
  <c r="M383" i="4"/>
  <c r="M355" i="4"/>
  <c r="M307" i="4"/>
  <c r="B345" i="4"/>
  <c r="M403" i="4"/>
  <c r="M387" i="4"/>
  <c r="M353" i="4"/>
  <c r="B377" i="4"/>
  <c r="D369" i="4"/>
  <c r="D353" i="4"/>
  <c r="M303" i="4"/>
  <c r="B401" i="4"/>
  <c r="B321" i="4"/>
  <c r="B385" i="4"/>
  <c r="B329" i="4"/>
  <c r="M365" i="4"/>
  <c r="B393" i="4"/>
  <c r="B313" i="4"/>
  <c r="D367" i="4"/>
  <c r="D351" i="4"/>
  <c r="M339" i="4"/>
  <c r="M381" i="4"/>
  <c r="M349" i="4"/>
  <c r="B403" i="4"/>
  <c r="B395" i="4"/>
  <c r="B387" i="4"/>
  <c r="B379" i="4"/>
  <c r="B371" i="4"/>
  <c r="B363" i="4"/>
  <c r="B355" i="4"/>
  <c r="B347" i="4"/>
  <c r="B339" i="4"/>
  <c r="B331" i="4"/>
  <c r="B323" i="4"/>
  <c r="B315" i="4"/>
  <c r="B307" i="4"/>
  <c r="B299" i="4"/>
  <c r="B291" i="4"/>
  <c r="B283" i="4"/>
  <c r="B275" i="4"/>
  <c r="B267" i="4"/>
  <c r="B259" i="4"/>
  <c r="B251" i="4"/>
  <c r="B243" i="4"/>
  <c r="B235" i="4"/>
  <c r="B227" i="4"/>
  <c r="B219" i="4"/>
  <c r="B211" i="4"/>
  <c r="B203" i="4"/>
  <c r="B195" i="4"/>
  <c r="B187" i="4"/>
  <c r="B179" i="4"/>
  <c r="B171" i="4"/>
  <c r="B163" i="4"/>
  <c r="B155" i="4"/>
  <c r="B147" i="4"/>
  <c r="B139" i="4"/>
  <c r="B131" i="4"/>
  <c r="B123" i="4"/>
  <c r="B115" i="4"/>
  <c r="B107" i="4"/>
  <c r="B99" i="4"/>
  <c r="B91" i="4"/>
  <c r="B83" i="4"/>
  <c r="B75" i="4"/>
  <c r="B67" i="4"/>
  <c r="B59" i="4"/>
  <c r="B51" i="4"/>
  <c r="B43" i="4"/>
  <c r="B35" i="4"/>
  <c r="B27" i="4"/>
  <c r="B19" i="4"/>
  <c r="M351" i="4"/>
  <c r="B361" i="4"/>
  <c r="B297" i="4"/>
  <c r="B289" i="4"/>
  <c r="B281" i="4"/>
  <c r="B273" i="4"/>
  <c r="B265" i="4"/>
  <c r="B257" i="4"/>
  <c r="B249" i="4"/>
  <c r="B241" i="4"/>
  <c r="B233" i="4"/>
  <c r="B225" i="4"/>
  <c r="B217" i="4"/>
  <c r="B209" i="4"/>
  <c r="B201" i="4"/>
  <c r="B193" i="4"/>
  <c r="B185" i="4"/>
  <c r="B177" i="4"/>
  <c r="B169" i="4"/>
  <c r="B161" i="4"/>
  <c r="B153" i="4"/>
  <c r="B145" i="4"/>
  <c r="B137" i="4"/>
  <c r="B129" i="4"/>
  <c r="B121" i="4"/>
  <c r="B113" i="4"/>
  <c r="B105" i="4"/>
  <c r="B97" i="4"/>
  <c r="B89" i="4"/>
  <c r="B81" i="4"/>
  <c r="B73" i="4"/>
  <c r="B65" i="4"/>
  <c r="B57" i="4"/>
  <c r="B49" i="4"/>
  <c r="B41" i="4"/>
  <c r="B33" i="4"/>
  <c r="B25" i="4"/>
  <c r="B17" i="4"/>
  <c r="B399" i="4"/>
  <c r="B383" i="4"/>
  <c r="B367" i="4"/>
  <c r="B359" i="4"/>
  <c r="B351" i="4"/>
  <c r="B335" i="4"/>
  <c r="B319" i="4"/>
  <c r="B303" i="4"/>
  <c r="B295" i="4"/>
  <c r="B287" i="4"/>
  <c r="B279" i="4"/>
  <c r="B271" i="4"/>
  <c r="B263" i="4"/>
  <c r="B255" i="4"/>
  <c r="B247" i="4"/>
  <c r="B239" i="4"/>
  <c r="B231" i="4"/>
  <c r="B223" i="4"/>
  <c r="B215" i="4"/>
  <c r="B207" i="4"/>
  <c r="B199" i="4"/>
  <c r="B191" i="4"/>
  <c r="B183" i="4"/>
  <c r="B175" i="4"/>
  <c r="B167" i="4"/>
  <c r="B159" i="4"/>
  <c r="B151" i="4"/>
  <c r="B143" i="4"/>
  <c r="B135" i="4"/>
  <c r="B127" i="4"/>
  <c r="B119" i="4"/>
  <c r="B111" i="4"/>
  <c r="B103" i="4"/>
  <c r="B95" i="4"/>
  <c r="B87" i="4"/>
  <c r="B79" i="4"/>
  <c r="B71" i="4"/>
  <c r="B63" i="4"/>
  <c r="B55" i="4"/>
  <c r="B47" i="4"/>
  <c r="B39" i="4"/>
  <c r="B31" i="4"/>
  <c r="B23" i="4"/>
  <c r="B15" i="4"/>
  <c r="B389" i="4"/>
  <c r="B373" i="4"/>
  <c r="B357" i="4"/>
  <c r="B341" i="4"/>
  <c r="B325" i="4"/>
  <c r="B317" i="4"/>
  <c r="B309" i="4"/>
  <c r="B301" i="4"/>
  <c r="B293" i="4"/>
  <c r="B285" i="4"/>
  <c r="B277" i="4"/>
  <c r="B269" i="4"/>
  <c r="B261" i="4"/>
  <c r="B253" i="4"/>
  <c r="B245" i="4"/>
  <c r="B237" i="4"/>
  <c r="B229" i="4"/>
  <c r="B221" i="4"/>
  <c r="B213" i="4"/>
  <c r="B205" i="4"/>
  <c r="B197" i="4"/>
  <c r="B189" i="4"/>
  <c r="B181" i="4"/>
  <c r="B173" i="4"/>
  <c r="B165" i="4"/>
  <c r="B157" i="4"/>
  <c r="B149" i="4"/>
  <c r="B141" i="4"/>
  <c r="B133" i="4"/>
  <c r="B125" i="4"/>
  <c r="B117" i="4"/>
  <c r="B109" i="4"/>
  <c r="B101" i="4"/>
  <c r="B93" i="4"/>
  <c r="B85" i="4"/>
  <c r="B77" i="4"/>
  <c r="B69" i="4"/>
  <c r="B61" i="4"/>
  <c r="B53" i="4"/>
  <c r="B45" i="4"/>
  <c r="B37" i="4"/>
  <c r="B29" i="4"/>
  <c r="B21" i="4"/>
  <c r="M337" i="4"/>
  <c r="M335" i="4"/>
  <c r="M333" i="4"/>
  <c r="D385" i="4"/>
  <c r="D383" i="4"/>
  <c r="D337" i="4"/>
  <c r="D335" i="4"/>
  <c r="M323" i="4"/>
  <c r="M321" i="4"/>
  <c r="M371" i="4"/>
  <c r="M319" i="4"/>
  <c r="M317" i="4"/>
  <c r="M369" i="4"/>
  <c r="M367" i="4"/>
  <c r="D319" i="4"/>
  <c r="M391" i="4"/>
  <c r="D389" i="4"/>
  <c r="M375" i="4"/>
  <c r="D373" i="4"/>
  <c r="M359" i="4"/>
  <c r="D357" i="4"/>
  <c r="M343" i="4"/>
  <c r="D341" i="4"/>
  <c r="M327" i="4"/>
  <c r="D325" i="4"/>
  <c r="M311" i="4"/>
  <c r="D309" i="4"/>
  <c r="D395" i="4"/>
  <c r="D379" i="4"/>
  <c r="D363" i="4"/>
  <c r="D347" i="4"/>
  <c r="D331" i="4"/>
  <c r="D315" i="4"/>
  <c r="D401" i="4"/>
  <c r="M393" i="4"/>
  <c r="D391" i="4"/>
  <c r="M377" i="4"/>
  <c r="D375" i="4"/>
  <c r="M361" i="4"/>
  <c r="D359" i="4"/>
  <c r="M345" i="4"/>
  <c r="D343" i="4"/>
  <c r="M329" i="4"/>
  <c r="D327" i="4"/>
  <c r="M313" i="4"/>
  <c r="D311" i="4"/>
  <c r="M399" i="4"/>
  <c r="D397" i="4"/>
  <c r="D381" i="4"/>
  <c r="D365" i="4"/>
  <c r="D349" i="4"/>
  <c r="D333" i="4"/>
  <c r="M389" i="4"/>
  <c r="M373" i="4"/>
  <c r="M357" i="4"/>
  <c r="M341" i="4"/>
  <c r="M325" i="4"/>
  <c r="M309" i="4"/>
  <c r="M285" i="4"/>
  <c r="M255" i="4"/>
  <c r="M239" i="4"/>
  <c r="M205" i="4"/>
  <c r="M289" i="4"/>
  <c r="M269" i="4"/>
  <c r="M253" i="4"/>
  <c r="M299" i="4"/>
  <c r="M189" i="4"/>
  <c r="M173" i="4"/>
  <c r="M283" i="4"/>
  <c r="M141" i="4"/>
  <c r="M287" i="4"/>
  <c r="M93" i="4"/>
  <c r="M163" i="4"/>
  <c r="M257" i="4"/>
  <c r="M161" i="4"/>
  <c r="M243" i="4"/>
  <c r="M273" i="4"/>
  <c r="M275" i="4"/>
  <c r="M271" i="4"/>
  <c r="M177" i="4"/>
  <c r="M145" i="4"/>
  <c r="D299" i="4"/>
  <c r="D127" i="4"/>
  <c r="M237" i="4"/>
  <c r="M157" i="4"/>
  <c r="D301" i="4"/>
  <c r="M301" i="4"/>
  <c r="M221" i="4"/>
  <c r="D285" i="4"/>
  <c r="M125" i="4"/>
  <c r="M109" i="4"/>
  <c r="M77" i="4"/>
  <c r="D271" i="4"/>
  <c r="D257" i="4"/>
  <c r="M225" i="4"/>
  <c r="D145" i="4"/>
  <c r="M209" i="4"/>
  <c r="M49" i="4"/>
  <c r="M193" i="4"/>
  <c r="M241" i="4"/>
  <c r="M129" i="4"/>
  <c r="D273" i="4"/>
  <c r="D259" i="4"/>
  <c r="M195" i="4"/>
  <c r="D243" i="4"/>
  <c r="M147" i="4"/>
  <c r="M25" i="4"/>
  <c r="D227" i="4"/>
  <c r="M259" i="4"/>
  <c r="D211" i="4"/>
  <c r="M179" i="4"/>
  <c r="M35" i="4"/>
  <c r="M131" i="4"/>
  <c r="D281" i="4"/>
  <c r="D221" i="4"/>
  <c r="D141" i="4"/>
  <c r="M293" i="4"/>
  <c r="M291" i="4"/>
  <c r="D205" i="4"/>
  <c r="D77" i="4"/>
  <c r="D291" i="4"/>
  <c r="D269" i="4"/>
  <c r="D253" i="4"/>
  <c r="M295" i="4"/>
  <c r="M165" i="4"/>
  <c r="D157" i="4"/>
  <c r="M81" i="4"/>
  <c r="D287" i="4"/>
  <c r="D241" i="4"/>
  <c r="D297" i="4"/>
  <c r="D295" i="4"/>
  <c r="D239" i="4"/>
  <c r="M297" i="4"/>
  <c r="M135" i="4"/>
  <c r="M107" i="4"/>
  <c r="M155" i="4"/>
  <c r="M169" i="4"/>
  <c r="M61" i="4"/>
  <c r="D45" i="4"/>
  <c r="M45" i="4"/>
  <c r="M185" i="4"/>
  <c r="M29" i="4"/>
  <c r="D19" i="4"/>
  <c r="M101" i="4"/>
  <c r="D165" i="4"/>
  <c r="M213" i="4"/>
  <c r="M133" i="4"/>
  <c r="M37" i="4"/>
  <c r="D213" i="4"/>
  <c r="M181" i="4"/>
  <c r="M85" i="4"/>
  <c r="D245" i="4"/>
  <c r="D69" i="4"/>
  <c r="M261" i="4"/>
  <c r="D41" i="4"/>
  <c r="D27" i="4"/>
  <c r="M149" i="4"/>
  <c r="M245" i="4"/>
  <c r="M229" i="4"/>
  <c r="M197" i="4"/>
  <c r="M117" i="4"/>
  <c r="M69" i="4"/>
  <c r="M277" i="4"/>
  <c r="D293" i="4"/>
  <c r="D117" i="4"/>
  <c r="D53" i="4"/>
  <c r="M23" i="4"/>
  <c r="D197" i="4"/>
  <c r="D261" i="4"/>
  <c r="D149" i="4"/>
  <c r="D101" i="4"/>
  <c r="D229" i="4"/>
  <c r="D181" i="4"/>
  <c r="D85" i="4"/>
  <c r="D171" i="4"/>
  <c r="D215" i="4"/>
  <c r="D223" i="4"/>
  <c r="D203" i="4"/>
  <c r="D251" i="4"/>
  <c r="D235" i="4"/>
  <c r="M251" i="4"/>
  <c r="M203" i="4"/>
  <c r="M267" i="4"/>
  <c r="M91" i="4"/>
  <c r="M219" i="4"/>
  <c r="M171" i="4"/>
  <c r="M123" i="4"/>
  <c r="M187" i="4"/>
  <c r="D255" i="4"/>
  <c r="M139" i="4"/>
  <c r="M75" i="4"/>
  <c r="M201" i="4"/>
  <c r="M167" i="4"/>
  <c r="M105" i="4"/>
  <c r="M217" i="4"/>
  <c r="M183" i="4"/>
  <c r="D279" i="4"/>
  <c r="D263" i="4"/>
  <c r="D247" i="4"/>
  <c r="D231" i="4"/>
  <c r="M281" i="4"/>
  <c r="M265" i="4"/>
  <c r="M249" i="4"/>
  <c r="M233" i="4"/>
  <c r="M199" i="4"/>
  <c r="M57" i="4"/>
  <c r="M215" i="4"/>
  <c r="M121" i="4"/>
  <c r="D175" i="4"/>
  <c r="M151" i="4"/>
  <c r="M137" i="4"/>
  <c r="D191" i="4"/>
  <c r="M153" i="4"/>
  <c r="M119" i="4"/>
  <c r="D207" i="4"/>
  <c r="D107" i="4"/>
  <c r="M223" i="4"/>
  <c r="M207" i="4"/>
  <c r="M191" i="4"/>
  <c r="M175" i="4"/>
  <c r="M159" i="4"/>
  <c r="M143" i="4"/>
  <c r="M127" i="4"/>
  <c r="D81" i="4"/>
  <c r="D33" i="4"/>
  <c r="D143" i="4"/>
  <c r="D113" i="4"/>
  <c r="M97" i="4"/>
  <c r="M65" i="4"/>
  <c r="M33" i="4"/>
  <c r="D161" i="4"/>
  <c r="D225" i="4"/>
  <c r="D209" i="4"/>
  <c r="D193" i="4"/>
  <c r="D177" i="4"/>
  <c r="D159" i="4"/>
  <c r="D119" i="4"/>
  <c r="M113" i="4"/>
  <c r="D135" i="4"/>
  <c r="M87" i="4"/>
  <c r="D151" i="4"/>
  <c r="D167" i="4"/>
  <c r="D73" i="4"/>
  <c r="M103" i="4"/>
  <c r="D89" i="4"/>
  <c r="D71" i="4"/>
  <c r="M41" i="4"/>
  <c r="D105" i="4"/>
  <c r="D87" i="4"/>
  <c r="M63" i="4"/>
  <c r="M79" i="4"/>
  <c r="D63" i="4"/>
  <c r="M95" i="4"/>
  <c r="M111" i="4"/>
  <c r="D79" i="4"/>
  <c r="D39" i="4"/>
  <c r="D95" i="4"/>
  <c r="M47" i="4"/>
  <c r="D35" i="4"/>
  <c r="D51" i="4"/>
  <c r="D115" i="4"/>
  <c r="D99" i="4"/>
  <c r="D83" i="4"/>
  <c r="D67" i="4"/>
  <c r="M51" i="4"/>
  <c r="M115" i="4"/>
  <c r="M99" i="4"/>
  <c r="M83" i="4"/>
  <c r="M67" i="4"/>
  <c r="D55" i="4"/>
  <c r="M21" i="4"/>
  <c r="M59" i="4"/>
  <c r="M43" i="4"/>
  <c r="D59" i="4"/>
  <c r="D43" i="4"/>
  <c r="M31" i="4"/>
  <c r="M27" i="4"/>
  <c r="D31" i="4"/>
  <c r="M15" i="4"/>
  <c r="M17" i="4"/>
  <c r="H221" i="4" l="1"/>
  <c r="M14" i="23"/>
  <c r="H361" i="4"/>
  <c r="H347" i="4"/>
  <c r="L1514" i="23"/>
  <c r="H373" i="4"/>
  <c r="H391" i="4"/>
  <c r="I391" i="4" s="1"/>
  <c r="L1521" i="23"/>
  <c r="L1512" i="23"/>
  <c r="L1510" i="23"/>
  <c r="L1507" i="23"/>
  <c r="L1520" i="23"/>
  <c r="L1509" i="23"/>
  <c r="H387" i="4"/>
  <c r="I387" i="4" s="1"/>
  <c r="L1513" i="23"/>
  <c r="L1501" i="23"/>
  <c r="L1498" i="23"/>
  <c r="L1516" i="23"/>
  <c r="L1505" i="23"/>
  <c r="L1494" i="23"/>
  <c r="L1502" i="23"/>
  <c r="L1503" i="23"/>
  <c r="L1500" i="23"/>
  <c r="L1508" i="23"/>
  <c r="L1511" i="23"/>
  <c r="L1506" i="23"/>
  <c r="L1519" i="23"/>
  <c r="L1517" i="23"/>
  <c r="H355" i="4"/>
  <c r="I355" i="4" s="1"/>
  <c r="M37" i="23"/>
  <c r="H309" i="4"/>
  <c r="I309" i="4" s="1"/>
  <c r="H301" i="4"/>
  <c r="M8" i="23"/>
  <c r="M3" i="23"/>
  <c r="G3" i="23" s="1"/>
  <c r="H399" i="4"/>
  <c r="H151" i="4"/>
  <c r="L1328" i="23"/>
  <c r="M22" i="23"/>
  <c r="G22" i="23" s="1"/>
  <c r="M16" i="23"/>
  <c r="F16" i="23" s="1"/>
  <c r="M11" i="23"/>
  <c r="M28" i="23"/>
  <c r="M12" i="23"/>
  <c r="M5" i="23"/>
  <c r="G5" i="23" s="1"/>
  <c r="H341" i="4"/>
  <c r="I341" i="4" s="1"/>
  <c r="H313" i="4"/>
  <c r="I313" i="4" s="1"/>
  <c r="L1347" i="23"/>
  <c r="M6" i="23"/>
  <c r="G6" i="23" s="1"/>
  <c r="M7" i="23"/>
  <c r="M36" i="23"/>
  <c r="M27" i="23"/>
  <c r="G27" i="23" s="1"/>
  <c r="M23" i="23"/>
  <c r="G23" i="23" s="1"/>
  <c r="M4" i="23"/>
  <c r="M33" i="23"/>
  <c r="F33" i="23" s="1"/>
  <c r="M18" i="23"/>
  <c r="H363" i="4"/>
  <c r="I363" i="4" s="1"/>
  <c r="H53" i="4"/>
  <c r="I53" i="4" s="1"/>
  <c r="M192" i="23" s="1"/>
  <c r="M45" i="23"/>
  <c r="M9" i="23"/>
  <c r="F9" i="23" s="1"/>
  <c r="M15" i="23"/>
  <c r="M2" i="23"/>
  <c r="M26" i="23"/>
  <c r="M40" i="23"/>
  <c r="F40" i="23" s="1"/>
  <c r="M29" i="23"/>
  <c r="L1380" i="23"/>
  <c r="M30" i="23"/>
  <c r="M44" i="23"/>
  <c r="M20" i="23"/>
  <c r="F20" i="23" s="1"/>
  <c r="M13" i="23"/>
  <c r="M38" i="23"/>
  <c r="F38" i="23" s="1"/>
  <c r="M21" i="23"/>
  <c r="F21" i="23" s="1"/>
  <c r="M25" i="23"/>
  <c r="M31" i="23"/>
  <c r="G31" i="23" s="1"/>
  <c r="M19" i="23"/>
  <c r="F19" i="23" s="1"/>
  <c r="M10" i="23"/>
  <c r="F10" i="23" s="1"/>
  <c r="M17" i="23"/>
  <c r="G17" i="23" s="1"/>
  <c r="M24" i="23"/>
  <c r="F24" i="23" s="1"/>
  <c r="M32" i="23"/>
  <c r="G32" i="23" s="1"/>
  <c r="H291" i="4"/>
  <c r="I291" i="4" s="1"/>
  <c r="H33" i="4"/>
  <c r="H15" i="4"/>
  <c r="H167" i="4"/>
  <c r="I167" i="4" s="1"/>
  <c r="I287" i="4"/>
  <c r="H157" i="4"/>
  <c r="I157" i="4" s="1"/>
  <c r="H389" i="4"/>
  <c r="H149" i="4"/>
  <c r="I149" i="4" s="1"/>
  <c r="M548" i="23" s="1"/>
  <c r="H269" i="4"/>
  <c r="H239" i="4"/>
  <c r="I375" i="4"/>
  <c r="M1396" i="23" s="1"/>
  <c r="H267" i="4"/>
  <c r="H35" i="4"/>
  <c r="I35" i="4" s="1"/>
  <c r="M120" i="23" s="1"/>
  <c r="H177" i="4"/>
  <c r="I177" i="4" s="1"/>
  <c r="M657" i="23" s="1"/>
  <c r="H43" i="4"/>
  <c r="H83" i="4"/>
  <c r="H213" i="4"/>
  <c r="H321" i="4"/>
  <c r="L1197" i="23" s="1"/>
  <c r="H85" i="4"/>
  <c r="I85" i="4" s="1"/>
  <c r="H145" i="4"/>
  <c r="H95" i="4"/>
  <c r="I95" i="4" s="1"/>
  <c r="H229" i="4"/>
  <c r="I229" i="4" s="1"/>
  <c r="H325" i="4"/>
  <c r="L1207" i="23" s="1"/>
  <c r="H99" i="4"/>
  <c r="I99" i="4" s="1"/>
  <c r="H227" i="4"/>
  <c r="H215" i="4"/>
  <c r="L798" i="23" s="1"/>
  <c r="H119" i="4"/>
  <c r="I119" i="4" s="1"/>
  <c r="I395" i="4"/>
  <c r="H133" i="4"/>
  <c r="H27" i="4"/>
  <c r="I27" i="4" s="1"/>
  <c r="M96" i="23" s="1"/>
  <c r="H23" i="4"/>
  <c r="H351" i="4"/>
  <c r="H243" i="4"/>
  <c r="I377" i="4"/>
  <c r="H379" i="4"/>
  <c r="I339" i="4"/>
  <c r="H335" i="4"/>
  <c r="L1167" i="23"/>
  <c r="L1332" i="23"/>
  <c r="L937" i="23"/>
  <c r="L1165" i="23"/>
  <c r="L1366" i="23"/>
  <c r="L1200" i="23"/>
  <c r="L1226" i="23"/>
  <c r="L1161" i="23"/>
  <c r="L1257" i="23"/>
  <c r="L1365" i="23"/>
  <c r="L44" i="23"/>
  <c r="L1388" i="23"/>
  <c r="L1369" i="23"/>
  <c r="L1202" i="23"/>
  <c r="L1334" i="23"/>
  <c r="L1371" i="23"/>
  <c r="L1333" i="23"/>
  <c r="F14" i="23"/>
  <c r="L1374" i="23"/>
  <c r="L1221" i="23"/>
  <c r="L1291" i="23"/>
  <c r="L51" i="23"/>
  <c r="L1079" i="23"/>
  <c r="F101" i="13"/>
  <c r="F101" i="14"/>
  <c r="F102" i="13"/>
  <c r="F102" i="14"/>
  <c r="I141" i="4"/>
  <c r="I359" i="4"/>
  <c r="M1323" i="23" s="1"/>
  <c r="I373" i="4"/>
  <c r="M1395" i="23" s="1"/>
  <c r="I371" i="4"/>
  <c r="I251" i="4"/>
  <c r="M942" i="23" s="1"/>
  <c r="I383" i="4"/>
  <c r="I361" i="4"/>
  <c r="M1347" i="23" s="1"/>
  <c r="I357" i="4"/>
  <c r="M1332" i="23" s="1"/>
  <c r="I367" i="4"/>
  <c r="M1368" i="23" s="1"/>
  <c r="I345" i="4"/>
  <c r="I327" i="4"/>
  <c r="M1217" i="23" s="1"/>
  <c r="I221" i="4"/>
  <c r="I329" i="4"/>
  <c r="I323" i="4"/>
  <c r="M1200" i="23" s="1"/>
  <c r="I295" i="4"/>
  <c r="I319" i="4"/>
  <c r="I347" i="4"/>
  <c r="I331" i="4"/>
  <c r="I369" i="4"/>
  <c r="I109" i="4"/>
  <c r="I289" i="4"/>
  <c r="I315" i="4"/>
  <c r="I393" i="4"/>
  <c r="I233" i="4"/>
  <c r="I259" i="4"/>
  <c r="I77" i="4"/>
  <c r="I403" i="4"/>
  <c r="I151" i="4"/>
  <c r="L30" i="23"/>
  <c r="L1263" i="23"/>
  <c r="L1292" i="23"/>
  <c r="L1285" i="23"/>
  <c r="L1295" i="23"/>
  <c r="L1341" i="23"/>
  <c r="L994" i="23"/>
  <c r="L1282" i="23"/>
  <c r="L1376" i="23"/>
  <c r="L1368" i="23"/>
  <c r="L1372" i="23"/>
  <c r="L1061" i="23"/>
  <c r="L1293" i="23"/>
  <c r="L1290" i="23"/>
  <c r="L1069" i="23"/>
  <c r="L1340" i="23"/>
  <c r="L934" i="23"/>
  <c r="L930" i="23"/>
  <c r="L1176" i="23"/>
  <c r="L1389" i="23"/>
  <c r="L1201" i="23"/>
  <c r="L1182" i="23"/>
  <c r="A544" i="2"/>
  <c r="A631" i="2"/>
  <c r="A669" i="2"/>
  <c r="A175" i="2"/>
  <c r="A150" i="2"/>
  <c r="A117" i="2"/>
  <c r="A639" i="2"/>
  <c r="A450" i="2"/>
  <c r="A706" i="2"/>
  <c r="A515" i="2"/>
  <c r="A383" i="2"/>
  <c r="A373" i="2"/>
  <c r="A77" i="2"/>
  <c r="A44" i="2"/>
  <c r="A310" i="2"/>
  <c r="A281" i="2"/>
  <c r="A311" i="2"/>
  <c r="A626" i="2"/>
  <c r="A204" i="2"/>
  <c r="A630" i="2"/>
  <c r="A423" i="2"/>
  <c r="A455" i="2"/>
  <c r="A702" i="2"/>
  <c r="A140" i="2"/>
  <c r="A560" i="2"/>
  <c r="A180" i="2"/>
  <c r="A284" i="2"/>
  <c r="A755" i="2"/>
  <c r="A129" i="2"/>
  <c r="A614" i="2"/>
  <c r="A53" i="2"/>
  <c r="F30" i="14"/>
  <c r="F4" i="14"/>
  <c r="F14" i="14"/>
  <c r="F62" i="14"/>
  <c r="F45" i="14"/>
  <c r="F78" i="14"/>
  <c r="F48" i="14"/>
  <c r="F100" i="14"/>
  <c r="F53" i="14"/>
  <c r="F98" i="14"/>
  <c r="F88" i="14"/>
  <c r="F84" i="14"/>
  <c r="F91" i="14"/>
  <c r="F20" i="14"/>
  <c r="F74" i="14"/>
  <c r="F67" i="14"/>
  <c r="F10" i="14"/>
  <c r="F50" i="14"/>
  <c r="F96" i="14"/>
  <c r="F32" i="14"/>
  <c r="F68" i="14"/>
  <c r="F58" i="14"/>
  <c r="F37" i="14"/>
  <c r="F38" i="14"/>
  <c r="F8" i="14"/>
  <c r="F60" i="14"/>
  <c r="F99" i="14"/>
  <c r="F26" i="14"/>
  <c r="F54" i="14"/>
  <c r="F24" i="14"/>
  <c r="F35" i="14"/>
  <c r="F72" i="14"/>
  <c r="F42" i="14"/>
  <c r="F27" i="14"/>
  <c r="F80" i="14"/>
  <c r="F16" i="14"/>
  <c r="F34" i="14"/>
  <c r="F3" i="14"/>
  <c r="F69" i="14"/>
  <c r="F94" i="14"/>
  <c r="F90" i="14"/>
  <c r="F36" i="14"/>
  <c r="F5" i="14"/>
  <c r="F19" i="14"/>
  <c r="F44" i="13"/>
  <c r="F83" i="14"/>
  <c r="F51" i="14"/>
  <c r="F82" i="13"/>
  <c r="F76" i="14"/>
  <c r="F52" i="14"/>
  <c r="F12" i="14"/>
  <c r="F21" i="13"/>
  <c r="F85" i="13"/>
  <c r="F11" i="14"/>
  <c r="F46" i="14"/>
  <c r="F61" i="14"/>
  <c r="F18" i="14"/>
  <c r="F75" i="14"/>
  <c r="F2" i="13"/>
  <c r="F66" i="13"/>
  <c r="F64" i="14"/>
  <c r="F43" i="13"/>
  <c r="F29" i="13"/>
  <c r="F93" i="13"/>
  <c r="F40" i="13"/>
  <c r="F6" i="13"/>
  <c r="F70" i="13"/>
  <c r="F59" i="13"/>
  <c r="F56" i="13"/>
  <c r="F22" i="13"/>
  <c r="F86" i="13"/>
  <c r="F92" i="14"/>
  <c r="F28" i="14"/>
  <c r="F77" i="14"/>
  <c r="F13" i="13"/>
  <c r="H71" i="4"/>
  <c r="H51" i="4"/>
  <c r="H21" i="4"/>
  <c r="H231" i="4"/>
  <c r="H277" i="4"/>
  <c r="H39" i="4"/>
  <c r="H59" i="4"/>
  <c r="H61" i="4"/>
  <c r="H25" i="4"/>
  <c r="H275" i="4"/>
  <c r="L1022" i="23" s="1"/>
  <c r="H131" i="4"/>
  <c r="H63" i="4"/>
  <c r="H241" i="4"/>
  <c r="H111" i="4"/>
  <c r="H195" i="4"/>
  <c r="H47" i="4"/>
  <c r="H261" i="4"/>
  <c r="H19" i="4"/>
  <c r="H211" i="4"/>
  <c r="L781" i="23" s="1"/>
  <c r="H107" i="4"/>
  <c r="H235" i="4"/>
  <c r="H193" i="4"/>
  <c r="H179" i="4"/>
  <c r="H41" i="4"/>
  <c r="I41" i="4" s="1"/>
  <c r="H159" i="4"/>
  <c r="H305" i="4"/>
  <c r="H217" i="4"/>
  <c r="H29" i="4"/>
  <c r="L92" i="23" s="1"/>
  <c r="H191" i="4"/>
  <c r="H201" i="4"/>
  <c r="H303" i="4"/>
  <c r="L1130" i="23" s="1"/>
  <c r="H255" i="4"/>
  <c r="H57" i="4"/>
  <c r="H155" i="4"/>
  <c r="H183" i="4"/>
  <c r="H257" i="4"/>
  <c r="H37" i="4"/>
  <c r="L126" i="23" s="1"/>
  <c r="H163" i="4"/>
  <c r="H113" i="4"/>
  <c r="H281" i="4"/>
  <c r="H197" i="4"/>
  <c r="H79" i="4"/>
  <c r="L287" i="23" s="1"/>
  <c r="H105" i="4"/>
  <c r="H123" i="4"/>
  <c r="H397" i="4"/>
  <c r="L1475" i="23" s="1"/>
  <c r="H103" i="4"/>
  <c r="L374" i="23" s="1"/>
  <c r="H285" i="4"/>
  <c r="L1067" i="23" s="1"/>
  <c r="H337" i="4"/>
  <c r="L1164" i="23" s="1"/>
  <c r="H237" i="4"/>
  <c r="H173" i="4"/>
  <c r="H137" i="4"/>
  <c r="L505" i="23" s="1"/>
  <c r="H245" i="4"/>
  <c r="H93" i="4"/>
  <c r="H67" i="4"/>
  <c r="H97" i="4"/>
  <c r="H219" i="4"/>
  <c r="L823" i="23" s="1"/>
  <c r="H293" i="4"/>
  <c r="I293" i="4" s="1"/>
  <c r="M1093" i="23" s="1"/>
  <c r="H89" i="4"/>
  <c r="H75" i="4"/>
  <c r="L279" i="23" s="1"/>
  <c r="H169" i="4"/>
  <c r="H139" i="4"/>
  <c r="H81" i="4"/>
  <c r="H401" i="4"/>
  <c r="L1491" i="23" s="1"/>
  <c r="H55" i="4"/>
  <c r="H263" i="4"/>
  <c r="H91" i="4"/>
  <c r="L331" i="23" s="1"/>
  <c r="H147" i="4"/>
  <c r="L536" i="23" s="1"/>
  <c r="H247" i="4"/>
  <c r="H203" i="4"/>
  <c r="H199" i="4"/>
  <c r="L738" i="23" s="1"/>
  <c r="H65" i="4"/>
  <c r="H283" i="4"/>
  <c r="H225" i="4"/>
  <c r="H69" i="4"/>
  <c r="H17" i="4"/>
  <c r="L48" i="23" s="1"/>
  <c r="H49" i="4"/>
  <c r="H129" i="4"/>
  <c r="H343" i="4"/>
  <c r="L1269" i="23" s="1"/>
  <c r="H209" i="4"/>
  <c r="H297" i="4"/>
  <c r="H265" i="4"/>
  <c r="L988" i="23" s="1"/>
  <c r="H45" i="4"/>
  <c r="H153" i="4"/>
  <c r="H87" i="4"/>
  <c r="H333" i="4"/>
  <c r="H121" i="4"/>
  <c r="H165" i="4"/>
  <c r="H101" i="4"/>
  <c r="H381" i="4"/>
  <c r="L1331" i="23" s="1"/>
  <c r="H73" i="4"/>
  <c r="L259" i="23" s="1"/>
  <c r="H349" i="4"/>
  <c r="L1204" i="23" s="1"/>
  <c r="H353" i="4"/>
  <c r="L1220" i="23" s="1"/>
  <c r="H185" i="4"/>
  <c r="H125" i="4"/>
  <c r="H187" i="4"/>
  <c r="H249" i="4"/>
  <c r="L915" i="23" s="1"/>
  <c r="H311" i="4"/>
  <c r="L1084" i="23" s="1"/>
  <c r="H207" i="4"/>
  <c r="H307" i="4"/>
  <c r="L1150" i="23" s="1"/>
  <c r="H127" i="4"/>
  <c r="H299" i="4"/>
  <c r="L1111" i="23" s="1"/>
  <c r="H117" i="4"/>
  <c r="H205" i="4"/>
  <c r="H171" i="4"/>
  <c r="H279" i="4"/>
  <c r="H223" i="4"/>
  <c r="H161" i="4"/>
  <c r="L559" i="23" s="1"/>
  <c r="H385" i="4"/>
  <c r="L1325" i="23" s="1"/>
  <c r="H115" i="4"/>
  <c r="H181" i="4"/>
  <c r="H175" i="4"/>
  <c r="H135" i="4"/>
  <c r="H143" i="4"/>
  <c r="L523" i="23" s="1"/>
  <c r="H31" i="4"/>
  <c r="H189" i="4"/>
  <c r="L648" i="23" s="1"/>
  <c r="H365" i="4"/>
  <c r="L1364" i="23" s="1"/>
  <c r="H273" i="4"/>
  <c r="L1010" i="23" s="1"/>
  <c r="H317" i="4"/>
  <c r="L1184" i="23" s="1"/>
  <c r="H271" i="4"/>
  <c r="F31" i="12"/>
  <c r="G31" i="12"/>
  <c r="H31" i="12"/>
  <c r="F30" i="12"/>
  <c r="G30" i="12"/>
  <c r="H30" i="12"/>
  <c r="F29" i="12"/>
  <c r="G29" i="12"/>
  <c r="H29" i="12"/>
  <c r="F28" i="12"/>
  <c r="G28" i="12"/>
  <c r="H28" i="12"/>
  <c r="L947" i="23" l="1"/>
  <c r="L1186" i="23"/>
  <c r="L1344" i="23"/>
  <c r="L774" i="23"/>
  <c r="L846" i="23"/>
  <c r="L49" i="23"/>
  <c r="L782" i="23"/>
  <c r="L748" i="23"/>
  <c r="L1496" i="23"/>
  <c r="L336" i="23"/>
  <c r="L1493" i="23"/>
  <c r="L1499" i="23"/>
  <c r="L1006" i="23"/>
  <c r="L1049" i="23"/>
  <c r="L1238" i="23"/>
  <c r="L1124" i="23"/>
  <c r="L845" i="23"/>
  <c r="L386" i="23"/>
  <c r="M1514" i="23"/>
  <c r="G1514" i="23" s="1"/>
  <c r="L1214" i="23"/>
  <c r="L1192" i="23"/>
  <c r="L1199" i="23"/>
  <c r="L888" i="23"/>
  <c r="L1363" i="23"/>
  <c r="L1132" i="23"/>
  <c r="L35" i="23"/>
  <c r="L43" i="23"/>
  <c r="L175" i="23"/>
  <c r="I301" i="4"/>
  <c r="L1307" i="23"/>
  <c r="L1163" i="23"/>
  <c r="L865" i="23"/>
  <c r="M1471" i="23"/>
  <c r="M1226" i="23"/>
  <c r="L283" i="23"/>
  <c r="I399" i="4"/>
  <c r="L1483" i="23"/>
  <c r="L1489" i="23"/>
  <c r="L1001" i="23"/>
  <c r="M1510" i="23"/>
  <c r="G1510" i="23" s="1"/>
  <c r="M1521" i="23"/>
  <c r="G1521" i="23" s="1"/>
  <c r="M1512" i="23"/>
  <c r="G1512" i="23" s="1"/>
  <c r="L1191" i="23"/>
  <c r="L996" i="23"/>
  <c r="L876" i="23"/>
  <c r="M1507" i="23"/>
  <c r="F1507" i="23" s="1"/>
  <c r="L1518" i="23"/>
  <c r="L1490" i="23"/>
  <c r="M1520" i="23"/>
  <c r="F1520" i="23" s="1"/>
  <c r="M1509" i="23"/>
  <c r="G1509" i="23" s="1"/>
  <c r="L1478" i="23"/>
  <c r="L1469" i="23"/>
  <c r="L1194" i="23"/>
  <c r="L1304" i="23"/>
  <c r="L1249" i="23"/>
  <c r="L1159" i="23"/>
  <c r="M1090" i="23"/>
  <c r="L835" i="23"/>
  <c r="L1482" i="23"/>
  <c r="L1495" i="23"/>
  <c r="M1463" i="23"/>
  <c r="M1513" i="23"/>
  <c r="G1513" i="23" s="1"/>
  <c r="M1501" i="23"/>
  <c r="G1501" i="23" s="1"/>
  <c r="L1267" i="23"/>
  <c r="L844" i="23"/>
  <c r="L286" i="23"/>
  <c r="M1515" i="23"/>
  <c r="G1515" i="23" s="1"/>
  <c r="L1468" i="23"/>
  <c r="L1476" i="23"/>
  <c r="L1497" i="23"/>
  <c r="L1479" i="23"/>
  <c r="G20" i="23"/>
  <c r="L1370" i="23"/>
  <c r="L1472" i="23"/>
  <c r="L1486" i="23"/>
  <c r="L1484" i="23"/>
  <c r="L1077" i="23"/>
  <c r="L1305" i="23"/>
  <c r="L993" i="23"/>
  <c r="L1074" i="23"/>
  <c r="I83" i="4"/>
  <c r="M318" i="23" s="1"/>
  <c r="I269" i="4"/>
  <c r="L1135" i="23"/>
  <c r="L1296" i="23"/>
  <c r="L995" i="23"/>
  <c r="M1498" i="23"/>
  <c r="M1516" i="23"/>
  <c r="M1502" i="23"/>
  <c r="M1505" i="23"/>
  <c r="M1494" i="23"/>
  <c r="M1500" i="23"/>
  <c r="M1508" i="23"/>
  <c r="M1511" i="23"/>
  <c r="M1503" i="23"/>
  <c r="M1506" i="23"/>
  <c r="M1517" i="23"/>
  <c r="M1519" i="23"/>
  <c r="L998" i="23"/>
  <c r="L1504" i="23"/>
  <c r="L1492" i="23"/>
  <c r="L1487" i="23"/>
  <c r="L1474" i="23"/>
  <c r="L1477" i="23"/>
  <c r="L1488" i="23"/>
  <c r="L1485" i="23"/>
  <c r="L1299" i="23"/>
  <c r="L1086" i="23"/>
  <c r="L88" i="23"/>
  <c r="L1298" i="23"/>
  <c r="L1112" i="23"/>
  <c r="L805" i="23"/>
  <c r="M1218" i="23"/>
  <c r="L1120" i="23"/>
  <c r="L533" i="23"/>
  <c r="L976" i="23"/>
  <c r="L450" i="23"/>
  <c r="L1286" i="23"/>
  <c r="L1284" i="23"/>
  <c r="L1354" i="23"/>
  <c r="M1072" i="23"/>
  <c r="L93" i="23"/>
  <c r="L1030" i="23"/>
  <c r="L581" i="23"/>
  <c r="L109" i="23"/>
  <c r="I15" i="4"/>
  <c r="L53" i="23"/>
  <c r="M1292" i="23"/>
  <c r="L106" i="23"/>
  <c r="L46" i="23"/>
  <c r="L1141" i="23"/>
  <c r="I321" i="4"/>
  <c r="M1205" i="23" s="1"/>
  <c r="L1272" i="23"/>
  <c r="L924" i="23"/>
  <c r="L527" i="23"/>
  <c r="L989" i="23"/>
  <c r="M1373" i="23"/>
  <c r="L933" i="23"/>
  <c r="L1259" i="23"/>
  <c r="M1290" i="23"/>
  <c r="L1329" i="23"/>
  <c r="L1244" i="23"/>
  <c r="L1242" i="23"/>
  <c r="L1005" i="23"/>
  <c r="L67" i="23"/>
  <c r="L858" i="23"/>
  <c r="L914" i="23"/>
  <c r="L413" i="23"/>
  <c r="M1186" i="23"/>
  <c r="L207" i="23"/>
  <c r="L868" i="23"/>
  <c r="L706" i="23"/>
  <c r="L1114" i="23"/>
  <c r="L1129" i="23"/>
  <c r="M1169" i="23"/>
  <c r="I335" i="4"/>
  <c r="L300" i="23"/>
  <c r="L1260" i="23"/>
  <c r="L95" i="23"/>
  <c r="L1239" i="23"/>
  <c r="M35" i="23"/>
  <c r="L578" i="23"/>
  <c r="L285" i="23"/>
  <c r="L1308" i="23"/>
  <c r="L1309" i="23"/>
  <c r="L1280" i="23"/>
  <c r="M1337" i="23"/>
  <c r="L1252" i="23"/>
  <c r="L542" i="23"/>
  <c r="M1229" i="23"/>
  <c r="L1127" i="23"/>
  <c r="M1346" i="23"/>
  <c r="L850" i="23"/>
  <c r="L913" i="23"/>
  <c r="L911" i="23"/>
  <c r="L1178" i="23"/>
  <c r="L1246" i="23"/>
  <c r="L1262" i="23"/>
  <c r="L476" i="23"/>
  <c r="L526" i="23"/>
  <c r="L1349" i="23"/>
  <c r="L764" i="23"/>
  <c r="M1340" i="23"/>
  <c r="L1281" i="23"/>
  <c r="M1379" i="23"/>
  <c r="L1014" i="23"/>
  <c r="I267" i="4"/>
  <c r="M995" i="23" s="1"/>
  <c r="L1041" i="23"/>
  <c r="L196" i="23"/>
  <c r="L1143" i="23"/>
  <c r="L1123" i="23"/>
  <c r="L1195" i="23"/>
  <c r="L1258" i="23"/>
  <c r="M1328" i="23"/>
  <c r="L1011" i="23"/>
  <c r="L519" i="23"/>
  <c r="M1220" i="23"/>
  <c r="L447" i="23"/>
  <c r="M1381" i="23"/>
  <c r="L299" i="23"/>
  <c r="L1352" i="23"/>
  <c r="L111" i="23"/>
  <c r="L1113" i="23"/>
  <c r="L47" i="23"/>
  <c r="L52" i="23"/>
  <c r="M52" i="23"/>
  <c r="M1467" i="23"/>
  <c r="L1146" i="23"/>
  <c r="L1266" i="23"/>
  <c r="M1084" i="23"/>
  <c r="L1302" i="23"/>
  <c r="L786" i="23"/>
  <c r="M1464" i="23"/>
  <c r="L1027" i="23"/>
  <c r="L869" i="23"/>
  <c r="L1274" i="23"/>
  <c r="M1371" i="23"/>
  <c r="G1371" i="23" s="1"/>
  <c r="M1223" i="23"/>
  <c r="L1138" i="23"/>
  <c r="M1176" i="23"/>
  <c r="L751" i="23"/>
  <c r="L871" i="23"/>
  <c r="M1374" i="23"/>
  <c r="L105" i="23"/>
  <c r="L1134" i="23"/>
  <c r="L1250" i="23"/>
  <c r="L320" i="23"/>
  <c r="M1191" i="23"/>
  <c r="M1257" i="23"/>
  <c r="M1224" i="23"/>
  <c r="L512" i="23"/>
  <c r="L535" i="23"/>
  <c r="L1122" i="23"/>
  <c r="F31" i="23"/>
  <c r="L1222" i="23"/>
  <c r="L1297" i="23"/>
  <c r="M1344" i="23"/>
  <c r="M1235" i="23"/>
  <c r="L1174" i="23"/>
  <c r="L1303" i="23"/>
  <c r="L89" i="23"/>
  <c r="L1360" i="23"/>
  <c r="M1092" i="23"/>
  <c r="M303" i="23"/>
  <c r="M1339" i="23"/>
  <c r="M1362" i="23"/>
  <c r="M1079" i="23"/>
  <c r="F1079" i="23" s="1"/>
  <c r="L591" i="23"/>
  <c r="L1091" i="23"/>
  <c r="M1091" i="23"/>
  <c r="M1389" i="23"/>
  <c r="M1088" i="23"/>
  <c r="M41" i="23"/>
  <c r="L278" i="23"/>
  <c r="L1151" i="23"/>
  <c r="M938" i="23"/>
  <c r="M1327" i="23"/>
  <c r="L1231" i="23"/>
  <c r="L1245" i="23"/>
  <c r="I33" i="4"/>
  <c r="M117" i="23" s="1"/>
  <c r="L861" i="23"/>
  <c r="L922" i="23"/>
  <c r="L1356" i="23"/>
  <c r="L396" i="23"/>
  <c r="M1087" i="23"/>
  <c r="L1002" i="23"/>
  <c r="L880" i="23"/>
  <c r="L117" i="23"/>
  <c r="L1247" i="23"/>
  <c r="M1369" i="23"/>
  <c r="M1086" i="23"/>
  <c r="M654" i="23"/>
  <c r="L1300" i="23"/>
  <c r="L1116" i="23"/>
  <c r="M1193" i="23"/>
  <c r="M1295" i="23"/>
  <c r="L920" i="23"/>
  <c r="L1294" i="23"/>
  <c r="M1325" i="23"/>
  <c r="L511" i="23"/>
  <c r="L1106" i="23"/>
  <c r="L1094" i="23"/>
  <c r="L273" i="23"/>
  <c r="L1275" i="23"/>
  <c r="L1139" i="23"/>
  <c r="M51" i="23"/>
  <c r="G51" i="23" s="1"/>
  <c r="M1321" i="23"/>
  <c r="M312" i="23"/>
  <c r="M559" i="23"/>
  <c r="M1076" i="23"/>
  <c r="L610" i="23"/>
  <c r="L1181" i="23"/>
  <c r="L1179" i="23"/>
  <c r="L1039" i="23"/>
  <c r="L1015" i="23"/>
  <c r="L1110" i="23"/>
  <c r="M1338" i="23"/>
  <c r="M1407" i="23"/>
  <c r="M554" i="23"/>
  <c r="M1061" i="23"/>
  <c r="L715" i="23"/>
  <c r="L400" i="23"/>
  <c r="L134" i="23"/>
  <c r="L1180" i="23"/>
  <c r="M1165" i="23"/>
  <c r="F1165" i="23" s="1"/>
  <c r="M575" i="23"/>
  <c r="M1466" i="23"/>
  <c r="M1398" i="23"/>
  <c r="M1382" i="23"/>
  <c r="M1096" i="23"/>
  <c r="L842" i="23"/>
  <c r="L1227" i="23"/>
  <c r="L294" i="23"/>
  <c r="M1172" i="23"/>
  <c r="M1001" i="23"/>
  <c r="M1074" i="23"/>
  <c r="M1391" i="23"/>
  <c r="M937" i="23"/>
  <c r="F937" i="23" s="1"/>
  <c r="M1378" i="23"/>
  <c r="L884" i="23"/>
  <c r="L361" i="23"/>
  <c r="L1126" i="23"/>
  <c r="L789" i="23"/>
  <c r="L1330" i="23"/>
  <c r="L1361" i="23"/>
  <c r="L1147" i="23"/>
  <c r="L1254" i="23"/>
  <c r="M1094" i="23"/>
  <c r="M1383" i="23"/>
  <c r="L1209" i="23"/>
  <c r="L524" i="23"/>
  <c r="L1367" i="23"/>
  <c r="L1301" i="23"/>
  <c r="L1017" i="23"/>
  <c r="L55" i="23"/>
  <c r="M1376" i="23"/>
  <c r="L1096" i="23"/>
  <c r="L323" i="23"/>
  <c r="L514" i="23"/>
  <c r="L534" i="23"/>
  <c r="L1287" i="23"/>
  <c r="L1264" i="23"/>
  <c r="L1142" i="23"/>
  <c r="L1043" i="23"/>
  <c r="I23" i="4"/>
  <c r="L1318" i="23"/>
  <c r="L841" i="23"/>
  <c r="L138" i="23"/>
  <c r="L66" i="23"/>
  <c r="L754" i="23"/>
  <c r="L261" i="23"/>
  <c r="L455" i="23"/>
  <c r="L1255" i="23"/>
  <c r="L315" i="23"/>
  <c r="L1125" i="23"/>
  <c r="L795" i="23"/>
  <c r="L794" i="23"/>
  <c r="L1148" i="23"/>
  <c r="L78" i="23"/>
  <c r="L127" i="23"/>
  <c r="L627" i="23"/>
  <c r="L1131" i="23"/>
  <c r="L825" i="23"/>
  <c r="L770" i="23"/>
  <c r="L1256" i="23"/>
  <c r="L1314" i="23"/>
  <c r="L833" i="23"/>
  <c r="L326" i="23"/>
  <c r="M1341" i="23"/>
  <c r="M1357" i="23"/>
  <c r="L276" i="23"/>
  <c r="L546" i="23"/>
  <c r="L188" i="23"/>
  <c r="L1345" i="23"/>
  <c r="L1145" i="23"/>
  <c r="L1375" i="23"/>
  <c r="L1000" i="23"/>
  <c r="M565" i="23"/>
  <c r="M560" i="23"/>
  <c r="M1473" i="23"/>
  <c r="M1228" i="23"/>
  <c r="M1315" i="23"/>
  <c r="M1331" i="23"/>
  <c r="M1348" i="23"/>
  <c r="M1324" i="23"/>
  <c r="L502" i="23"/>
  <c r="L1080" i="23"/>
  <c r="L1316" i="23"/>
  <c r="M1465" i="23"/>
  <c r="M1461" i="23"/>
  <c r="L504" i="23"/>
  <c r="L173" i="23"/>
  <c r="M1261" i="23"/>
  <c r="M1263" i="23"/>
  <c r="M1078" i="23"/>
  <c r="M1098" i="23"/>
  <c r="M1080" i="23"/>
  <c r="M1095" i="23"/>
  <c r="L896" i="23"/>
  <c r="L1351" i="23"/>
  <c r="L1234" i="23"/>
  <c r="M1458" i="23"/>
  <c r="M1460" i="23"/>
  <c r="M1075" i="23"/>
  <c r="M1085" i="23"/>
  <c r="M1083" i="23"/>
  <c r="M1069" i="23"/>
  <c r="M1343" i="23"/>
  <c r="M1334" i="23"/>
  <c r="M1333" i="23"/>
  <c r="G1347" i="23"/>
  <c r="L1118" i="23"/>
  <c r="L329" i="23"/>
  <c r="L875" i="23"/>
  <c r="L292" i="23"/>
  <c r="L917" i="23"/>
  <c r="L585" i="23"/>
  <c r="M314" i="23"/>
  <c r="M1322" i="23"/>
  <c r="L886" i="23"/>
  <c r="L601" i="23"/>
  <c r="L340" i="23"/>
  <c r="L990" i="23"/>
  <c r="L1288" i="23"/>
  <c r="L1136" i="23"/>
  <c r="M118" i="23"/>
  <c r="M1164" i="23"/>
  <c r="M1162" i="23"/>
  <c r="M1161" i="23"/>
  <c r="F1161" i="23" s="1"/>
  <c r="M42" i="23"/>
  <c r="M1225" i="23"/>
  <c r="M1236" i="23"/>
  <c r="L1156" i="23"/>
  <c r="L1026" i="23"/>
  <c r="L735" i="23"/>
  <c r="M1386" i="23"/>
  <c r="M1392" i="23"/>
  <c r="L1243" i="23"/>
  <c r="M1388" i="23"/>
  <c r="F1388" i="23" s="1"/>
  <c r="M1370" i="23"/>
  <c r="M1380" i="23"/>
  <c r="M1372" i="23"/>
  <c r="L515" i="23"/>
  <c r="L401" i="23"/>
  <c r="L1117" i="23"/>
  <c r="L889" i="23"/>
  <c r="M302" i="23"/>
  <c r="M429" i="23"/>
  <c r="M1293" i="23"/>
  <c r="M930" i="23"/>
  <c r="M934" i="23"/>
  <c r="L108" i="23"/>
  <c r="L1326" i="23"/>
  <c r="L1289" i="23"/>
  <c r="L745" i="23"/>
  <c r="L1101" i="23"/>
  <c r="L367" i="23"/>
  <c r="L683" i="23"/>
  <c r="L508" i="23"/>
  <c r="L813" i="23"/>
  <c r="L594" i="23"/>
  <c r="M1082" i="23"/>
  <c r="M1066" i="23"/>
  <c r="M1081" i="23"/>
  <c r="M1077" i="23"/>
  <c r="M1070" i="23"/>
  <c r="M1183" i="23"/>
  <c r="M1192" i="23"/>
  <c r="M1221" i="23"/>
  <c r="F1221" i="23" s="1"/>
  <c r="M1212" i="23"/>
  <c r="M1213" i="23"/>
  <c r="M1390" i="23"/>
  <c r="M1384" i="23"/>
  <c r="M1385" i="23"/>
  <c r="M1397" i="23"/>
  <c r="M1406" i="23"/>
  <c r="L1095" i="23"/>
  <c r="L1128" i="23"/>
  <c r="L264" i="23"/>
  <c r="L319" i="23"/>
  <c r="L737" i="23"/>
  <c r="L1355" i="23"/>
  <c r="L338" i="23"/>
  <c r="L370" i="23"/>
  <c r="M1105" i="23"/>
  <c r="M549" i="23"/>
  <c r="M1282" i="23"/>
  <c r="M1285" i="23"/>
  <c r="M1291" i="23"/>
  <c r="M1377" i="23"/>
  <c r="M1399" i="23"/>
  <c r="M1387" i="23"/>
  <c r="M1394" i="23"/>
  <c r="L1119" i="23"/>
  <c r="L522" i="23"/>
  <c r="L1237" i="23"/>
  <c r="L377" i="23"/>
  <c r="L1251" i="23"/>
  <c r="M1203" i="23"/>
  <c r="M1185" i="23"/>
  <c r="M1177" i="23"/>
  <c r="M1167" i="23"/>
  <c r="M1365" i="23"/>
  <c r="F1365" i="23" s="1"/>
  <c r="M1335" i="23"/>
  <c r="M1336" i="23"/>
  <c r="M1342" i="23"/>
  <c r="L1133" i="23"/>
  <c r="L1241" i="23"/>
  <c r="L371" i="23"/>
  <c r="L1253" i="23"/>
  <c r="L999" i="23"/>
  <c r="L150" i="23"/>
  <c r="L1170" i="23"/>
  <c r="I43" i="4"/>
  <c r="M147" i="23" s="1"/>
  <c r="I389" i="4"/>
  <c r="M1451" i="23" s="1"/>
  <c r="L146" i="23"/>
  <c r="L1359" i="23"/>
  <c r="L1357" i="23"/>
  <c r="L143" i="23"/>
  <c r="L843" i="23"/>
  <c r="L830" i="23"/>
  <c r="I227" i="4"/>
  <c r="L746" i="23"/>
  <c r="I239" i="4"/>
  <c r="I213" i="4"/>
  <c r="L818" i="23"/>
  <c r="L788" i="23"/>
  <c r="L725" i="23"/>
  <c r="L1137" i="23"/>
  <c r="L1121" i="23"/>
  <c r="I325" i="4"/>
  <c r="M1201" i="23" s="1"/>
  <c r="I243" i="4"/>
  <c r="I215" i="4"/>
  <c r="L462" i="23"/>
  <c r="L1108" i="23"/>
  <c r="L1115" i="23"/>
  <c r="I133" i="4"/>
  <c r="I379" i="4"/>
  <c r="M1402" i="23" s="1"/>
  <c r="L507" i="23"/>
  <c r="L1310" i="23"/>
  <c r="I145" i="4"/>
  <c r="I351" i="4"/>
  <c r="G10" i="23"/>
  <c r="L1225" i="23"/>
  <c r="L1320" i="23"/>
  <c r="L1327" i="23"/>
  <c r="L1311" i="23"/>
  <c r="L56" i="23"/>
  <c r="L1085" i="23"/>
  <c r="L1273" i="23"/>
  <c r="L70" i="23"/>
  <c r="L616" i="23"/>
  <c r="L1099" i="23"/>
  <c r="L1046" i="23"/>
  <c r="L474" i="23"/>
  <c r="L1109" i="23"/>
  <c r="L75" i="23"/>
  <c r="L1160" i="23"/>
  <c r="L1277" i="23"/>
  <c r="L906" i="23"/>
  <c r="L156" i="23"/>
  <c r="L624" i="23"/>
  <c r="L486" i="23"/>
  <c r="L90" i="23"/>
  <c r="L609" i="23"/>
  <c r="L1232" i="23"/>
  <c r="L118" i="23"/>
  <c r="L485" i="23"/>
  <c r="L765" i="23"/>
  <c r="L588" i="23"/>
  <c r="L1025" i="23"/>
  <c r="L157" i="23"/>
  <c r="L260" i="23"/>
  <c r="L779" i="23"/>
  <c r="L965" i="23"/>
  <c r="L776" i="23"/>
  <c r="L566" i="23"/>
  <c r="L324" i="23"/>
  <c r="L985" i="23"/>
  <c r="L634" i="23"/>
  <c r="L218" i="23"/>
  <c r="F1347" i="23"/>
  <c r="G21" i="23"/>
  <c r="G14" i="23"/>
  <c r="G24" i="23"/>
  <c r="F23" i="23"/>
  <c r="G9" i="23"/>
  <c r="F44" i="23"/>
  <c r="F27" i="23"/>
  <c r="L501" i="23"/>
  <c r="L378" i="23"/>
  <c r="F3" i="23"/>
  <c r="L1082" i="23"/>
  <c r="L1315" i="23"/>
  <c r="L589" i="23"/>
  <c r="L376" i="23"/>
  <c r="L713" i="23"/>
  <c r="L384" i="23"/>
  <c r="L1021" i="23"/>
  <c r="L251" i="23"/>
  <c r="L885" i="23"/>
  <c r="G40" i="23"/>
  <c r="L60" i="23"/>
  <c r="L382" i="23"/>
  <c r="L573" i="23"/>
  <c r="L942" i="23"/>
  <c r="L1097" i="23"/>
  <c r="L1090" i="23"/>
  <c r="L668" i="23"/>
  <c r="L1377" i="23"/>
  <c r="F32" i="23"/>
  <c r="L1018" i="23"/>
  <c r="L687" i="23"/>
  <c r="L484" i="23"/>
  <c r="L460" i="23"/>
  <c r="L84" i="23"/>
  <c r="L797" i="23"/>
  <c r="L68" i="23"/>
  <c r="L815" i="23"/>
  <c r="I97" i="4"/>
  <c r="M346" i="23" s="1"/>
  <c r="L335" i="23"/>
  <c r="L1268" i="23"/>
  <c r="L164" i="23"/>
  <c r="L418" i="23"/>
  <c r="L662" i="23"/>
  <c r="L121" i="23"/>
  <c r="L1009" i="23"/>
  <c r="L758" i="23"/>
  <c r="L612" i="23"/>
  <c r="L595" i="23"/>
  <c r="L1031" i="23"/>
  <c r="L98" i="23"/>
  <c r="L339" i="23"/>
  <c r="L348" i="23"/>
  <c r="L1339" i="23"/>
  <c r="L332" i="23"/>
  <c r="L103" i="23"/>
  <c r="L82" i="23"/>
  <c r="L510" i="23"/>
  <c r="L479" i="23"/>
  <c r="L773" i="23"/>
  <c r="L866" i="23"/>
  <c r="L863" i="23"/>
  <c r="L1168" i="23"/>
  <c r="L938" i="23"/>
  <c r="F1332" i="23"/>
  <c r="G1332" i="23"/>
  <c r="L424" i="23"/>
  <c r="L425" i="23"/>
  <c r="L897" i="23"/>
  <c r="L883" i="23"/>
  <c r="L503" i="23"/>
  <c r="L498" i="23"/>
  <c r="L729" i="23"/>
  <c r="L720" i="23"/>
  <c r="L1343" i="23"/>
  <c r="L343" i="23"/>
  <c r="L517" i="23"/>
  <c r="L709" i="23"/>
  <c r="L726" i="23"/>
  <c r="L1219" i="23"/>
  <c r="L1016" i="23"/>
  <c r="L494" i="23"/>
  <c r="L1183" i="23"/>
  <c r="L1193" i="23"/>
  <c r="L1404" i="23"/>
  <c r="L1458" i="23"/>
  <c r="L1444" i="23"/>
  <c r="L403" i="23"/>
  <c r="L901" i="23"/>
  <c r="L104" i="23"/>
  <c r="L102" i="23"/>
  <c r="L809" i="23"/>
  <c r="L483" i="23"/>
  <c r="L252" i="23"/>
  <c r="L266" i="23"/>
  <c r="L271" i="23"/>
  <c r="L910" i="23"/>
  <c r="L184" i="23"/>
  <c r="L1093" i="23"/>
  <c r="L1283" i="23"/>
  <c r="L759" i="23"/>
  <c r="L756" i="23"/>
  <c r="L235" i="23"/>
  <c r="L254" i="23"/>
  <c r="L1467" i="23"/>
  <c r="L1463" i="23"/>
  <c r="L180" i="23"/>
  <c r="L209" i="23"/>
  <c r="L39" i="23"/>
  <c r="L497" i="23"/>
  <c r="L926" i="23"/>
  <c r="L769" i="23"/>
  <c r="L350" i="23"/>
  <c r="F6" i="23"/>
  <c r="F36" i="23"/>
  <c r="G36" i="23"/>
  <c r="L148" i="23"/>
  <c r="L1324" i="23"/>
  <c r="L1047" i="23"/>
  <c r="L793" i="23"/>
  <c r="L804" i="23"/>
  <c r="F5" i="23"/>
  <c r="L506" i="23"/>
  <c r="L129" i="23"/>
  <c r="L132" i="23"/>
  <c r="L262" i="23"/>
  <c r="L265" i="23"/>
  <c r="L459" i="23"/>
  <c r="L463" i="23"/>
  <c r="L456" i="23"/>
  <c r="L919" i="23"/>
  <c r="L925" i="23"/>
  <c r="L837" i="23"/>
  <c r="L808" i="23"/>
  <c r="L824" i="23"/>
  <c r="L690" i="23"/>
  <c r="L775" i="23"/>
  <c r="L872" i="23"/>
  <c r="L341" i="23"/>
  <c r="L916" i="23"/>
  <c r="L478" i="23"/>
  <c r="L144" i="23"/>
  <c r="G15" i="23"/>
  <c r="F15" i="23"/>
  <c r="L656" i="23"/>
  <c r="L657" i="23"/>
  <c r="L1395" i="23"/>
  <c r="L1386" i="23"/>
  <c r="L1407" i="23"/>
  <c r="L1445" i="23"/>
  <c r="L1453" i="23"/>
  <c r="L1457" i="23"/>
  <c r="L1391" i="23"/>
  <c r="L1411" i="23"/>
  <c r="L1379" i="23"/>
  <c r="L1396" i="23"/>
  <c r="I47" i="4"/>
  <c r="L166" i="23"/>
  <c r="L250" i="23"/>
  <c r="L383" i="23"/>
  <c r="L321" i="23"/>
  <c r="L954" i="23"/>
  <c r="L952" i="23"/>
  <c r="L395" i="23"/>
  <c r="L422" i="23"/>
  <c r="L434" i="23"/>
  <c r="L421" i="23"/>
  <c r="L399" i="23"/>
  <c r="L408" i="23"/>
  <c r="L284" i="23"/>
  <c r="L291" i="23"/>
  <c r="L364" i="23"/>
  <c r="L357" i="23"/>
  <c r="L1155" i="23"/>
  <c r="L1098" i="23"/>
  <c r="L539" i="23"/>
  <c r="L147" i="23"/>
  <c r="F2" i="23"/>
  <c r="G2" i="23"/>
  <c r="I385" i="4"/>
  <c r="M1437" i="23" s="1"/>
  <c r="L1358" i="23"/>
  <c r="L1321" i="23"/>
  <c r="L637" i="23"/>
  <c r="L631" i="23"/>
  <c r="L636" i="23"/>
  <c r="L482" i="23"/>
  <c r="L499" i="23"/>
  <c r="L303" i="23"/>
  <c r="L309" i="23"/>
  <c r="L1381" i="23"/>
  <c r="L1353" i="23"/>
  <c r="L1378" i="23"/>
  <c r="L128" i="23"/>
  <c r="L115" i="23"/>
  <c r="L667" i="23"/>
  <c r="L803" i="23"/>
  <c r="L821" i="23"/>
  <c r="L1399" i="23"/>
  <c r="L801" i="23"/>
  <c r="L1152" i="23"/>
  <c r="G8" i="23"/>
  <c r="F8" i="23"/>
  <c r="L799" i="23"/>
  <c r="L1216" i="23"/>
  <c r="L1229" i="23"/>
  <c r="L297" i="23"/>
  <c r="L307" i="23"/>
  <c r="L575" i="23"/>
  <c r="L570" i="23"/>
  <c r="L583" i="23"/>
  <c r="L69" i="23"/>
  <c r="L1019" i="23"/>
  <c r="L728" i="23"/>
  <c r="L733" i="23"/>
  <c r="L1435" i="23"/>
  <c r="L528" i="23"/>
  <c r="L1066" i="23"/>
  <c r="L1083" i="23"/>
  <c r="L1317" i="23"/>
  <c r="L1306" i="23"/>
  <c r="L898" i="23"/>
  <c r="L909" i="23"/>
  <c r="L956" i="23"/>
  <c r="L959" i="23"/>
  <c r="L949" i="23"/>
  <c r="L167" i="23"/>
  <c r="L182" i="23"/>
  <c r="L296" i="23"/>
  <c r="L1350" i="23"/>
  <c r="L63" i="23"/>
  <c r="L604" i="23"/>
  <c r="L602" i="23"/>
  <c r="L817" i="23"/>
  <c r="L899" i="23"/>
  <c r="L904" i="23"/>
  <c r="F17" i="23"/>
  <c r="G33" i="23"/>
  <c r="G38" i="23"/>
  <c r="L579" i="23"/>
  <c r="L567" i="23"/>
  <c r="L230" i="23"/>
  <c r="L216" i="23"/>
  <c r="L1394" i="23"/>
  <c r="L1398" i="23"/>
  <c r="L1401" i="23"/>
  <c r="L1473" i="23"/>
  <c r="L1443" i="23"/>
  <c r="L1414" i="23"/>
  <c r="L1447" i="23"/>
  <c r="L1449" i="23"/>
  <c r="L1387" i="23"/>
  <c r="L1459" i="23"/>
  <c r="L1452" i="23"/>
  <c r="L1392" i="23"/>
  <c r="L1433" i="23"/>
  <c r="L1448" i="23"/>
  <c r="L1454" i="23"/>
  <c r="L1456" i="23"/>
  <c r="L1400" i="23"/>
  <c r="L1430" i="23"/>
  <c r="L1442" i="23"/>
  <c r="L1418" i="23"/>
  <c r="L997" i="23"/>
  <c r="L987" i="23"/>
  <c r="I179" i="4"/>
  <c r="L614" i="23"/>
  <c r="L633" i="23"/>
  <c r="L603" i="23"/>
  <c r="L626" i="23"/>
  <c r="L464" i="23"/>
  <c r="L137" i="23"/>
  <c r="L385" i="23"/>
  <c r="L410" i="23"/>
  <c r="L686" i="23"/>
  <c r="L693" i="23"/>
  <c r="I67" i="4"/>
  <c r="L221" i="23"/>
  <c r="L1313" i="23"/>
  <c r="L1208" i="23"/>
  <c r="G4" i="23"/>
  <c r="F4" i="23"/>
  <c r="L1035" i="23"/>
  <c r="L1036" i="23"/>
  <c r="L1140" i="23"/>
  <c r="L1173" i="23"/>
  <c r="I203" i="4"/>
  <c r="L711" i="23"/>
  <c r="L700" i="23"/>
  <c r="L133" i="23"/>
  <c r="L125" i="23"/>
  <c r="L136" i="23"/>
  <c r="L1034" i="23"/>
  <c r="F25" i="23"/>
  <c r="G25" i="23"/>
  <c r="I189" i="4"/>
  <c r="L661" i="23"/>
  <c r="L430" i="23"/>
  <c r="L454" i="23"/>
  <c r="L177" i="23"/>
  <c r="L174" i="23"/>
  <c r="L864" i="23"/>
  <c r="L859" i="23"/>
  <c r="I29" i="4"/>
  <c r="M92" i="23" s="1"/>
  <c r="L81" i="23"/>
  <c r="L86" i="23"/>
  <c r="I277" i="4"/>
  <c r="L962" i="23"/>
  <c r="L289" i="23"/>
  <c r="L802" i="23"/>
  <c r="L743" i="23"/>
  <c r="L1073" i="23"/>
  <c r="L1076" i="23"/>
  <c r="L1205" i="23"/>
  <c r="L1223" i="23"/>
  <c r="L1206" i="23"/>
  <c r="I137" i="4"/>
  <c r="L477" i="23"/>
  <c r="I105" i="4"/>
  <c r="L368" i="23"/>
  <c r="L353" i="23"/>
  <c r="I183" i="4"/>
  <c r="L628" i="23"/>
  <c r="L768" i="23"/>
  <c r="L780" i="23"/>
  <c r="I45" i="4"/>
  <c r="L155" i="23"/>
  <c r="L231" i="23"/>
  <c r="L242" i="23"/>
  <c r="L325" i="23"/>
  <c r="L317" i="23"/>
  <c r="L312" i="23"/>
  <c r="L313" i="23"/>
  <c r="L551" i="23"/>
  <c r="L541" i="23"/>
  <c r="L1062" i="23"/>
  <c r="L1050" i="23"/>
  <c r="L50" i="23"/>
  <c r="L72" i="23"/>
  <c r="L107" i="23"/>
  <c r="L1427" i="23"/>
  <c r="L492" i="23"/>
  <c r="L1075" i="23"/>
  <c r="L1078" i="23"/>
  <c r="I225" i="4"/>
  <c r="L784" i="23"/>
  <c r="L772" i="23"/>
  <c r="L792" i="23"/>
  <c r="I263" i="4"/>
  <c r="L921" i="23"/>
  <c r="L431" i="23"/>
  <c r="L465" i="23"/>
  <c r="L467" i="23"/>
  <c r="L953" i="23"/>
  <c r="L927" i="23"/>
  <c r="I101" i="4"/>
  <c r="M362" i="23" s="1"/>
  <c r="L365" i="23"/>
  <c r="L972" i="23"/>
  <c r="L973" i="23"/>
  <c r="L176" i="23"/>
  <c r="L189" i="23"/>
  <c r="L200" i="23"/>
  <c r="L183" i="23"/>
  <c r="L879" i="23"/>
  <c r="L870" i="23"/>
  <c r="I25" i="4"/>
  <c r="M95" i="23" s="1"/>
  <c r="L94" i="23"/>
  <c r="L246" i="23"/>
  <c r="L232" i="23"/>
  <c r="L1024" i="23"/>
  <c r="L857" i="23"/>
  <c r="L1012" i="23"/>
  <c r="L1338" i="23"/>
  <c r="G19" i="23"/>
  <c r="I161" i="4"/>
  <c r="L565" i="23"/>
  <c r="L556" i="23"/>
  <c r="L548" i="23"/>
  <c r="I127" i="4"/>
  <c r="L448" i="23"/>
  <c r="I353" i="4"/>
  <c r="M1311" i="23" s="1"/>
  <c r="L1218" i="23"/>
  <c r="L1230" i="23"/>
  <c r="L1228" i="23"/>
  <c r="I87" i="4"/>
  <c r="L305" i="23"/>
  <c r="L301" i="23"/>
  <c r="L298" i="23"/>
  <c r="I49" i="4"/>
  <c r="L163" i="23"/>
  <c r="L160" i="23"/>
  <c r="I247" i="4"/>
  <c r="L855" i="23"/>
  <c r="L854" i="23"/>
  <c r="L853" i="23"/>
  <c r="I169" i="4"/>
  <c r="M624" i="23" s="1"/>
  <c r="L597" i="23"/>
  <c r="L577" i="23"/>
  <c r="I245" i="4"/>
  <c r="M912" i="23" s="1"/>
  <c r="L838" i="23"/>
  <c r="L847" i="23"/>
  <c r="I123" i="4"/>
  <c r="L417" i="23"/>
  <c r="L440" i="23"/>
  <c r="L415" i="23"/>
  <c r="I257" i="4"/>
  <c r="L891" i="23"/>
  <c r="I107" i="4"/>
  <c r="M404" i="23" s="1"/>
  <c r="L359" i="23"/>
  <c r="L363" i="23"/>
  <c r="I241" i="4"/>
  <c r="M904" i="23" s="1"/>
  <c r="L814" i="23"/>
  <c r="L848" i="23"/>
  <c r="L828" i="23"/>
  <c r="I31" i="4"/>
  <c r="M119" i="23" s="1"/>
  <c r="L110" i="23"/>
  <c r="L99" i="23"/>
  <c r="L96" i="23"/>
  <c r="I307" i="4"/>
  <c r="M1141" i="23" s="1"/>
  <c r="L1063" i="23"/>
  <c r="L1052" i="23"/>
  <c r="I349" i="4"/>
  <c r="M1308" i="23" s="1"/>
  <c r="L1217" i="23"/>
  <c r="L1210" i="23"/>
  <c r="I153" i="4"/>
  <c r="M569" i="23" s="1"/>
  <c r="L538" i="23"/>
  <c r="L530" i="23"/>
  <c r="I17" i="4"/>
  <c r="M54" i="23" s="1"/>
  <c r="L58" i="23"/>
  <c r="L41" i="23"/>
  <c r="L45" i="23"/>
  <c r="I147" i="4"/>
  <c r="L496" i="23"/>
  <c r="I75" i="4"/>
  <c r="M284" i="23" s="1"/>
  <c r="L253" i="23"/>
  <c r="L256" i="23"/>
  <c r="I217" i="4"/>
  <c r="L766" i="23"/>
  <c r="L763" i="23"/>
  <c r="L762" i="23"/>
  <c r="L755" i="23"/>
  <c r="I211" i="4"/>
  <c r="L734" i="23"/>
  <c r="I63" i="4"/>
  <c r="L197" i="23"/>
  <c r="L213" i="23"/>
  <c r="I231" i="4"/>
  <c r="M847" i="23" s="1"/>
  <c r="L806" i="23"/>
  <c r="L820" i="23"/>
  <c r="L800" i="23"/>
  <c r="L493" i="23"/>
  <c r="L500" i="23"/>
  <c r="L489" i="23"/>
  <c r="L513" i="23"/>
  <c r="I223" i="4"/>
  <c r="M837" i="23" s="1"/>
  <c r="L757" i="23"/>
  <c r="L760" i="23"/>
  <c r="I207" i="4"/>
  <c r="L707" i="23"/>
  <c r="L732" i="23"/>
  <c r="L731" i="23"/>
  <c r="I73" i="4"/>
  <c r="L258" i="23"/>
  <c r="L255" i="23"/>
  <c r="I69" i="4"/>
  <c r="L243" i="23"/>
  <c r="I91" i="4"/>
  <c r="L322" i="23"/>
  <c r="L316" i="23"/>
  <c r="I89" i="4"/>
  <c r="L302" i="23"/>
  <c r="I173" i="4"/>
  <c r="L592" i="23"/>
  <c r="L593" i="23"/>
  <c r="I79" i="4"/>
  <c r="M285" i="23" s="1"/>
  <c r="L272" i="23"/>
  <c r="L270" i="23"/>
  <c r="L521" i="23"/>
  <c r="L545" i="23"/>
  <c r="L552" i="23"/>
  <c r="I305" i="4"/>
  <c r="L1059" i="23"/>
  <c r="L1057" i="23"/>
  <c r="I19" i="4"/>
  <c r="L65" i="23"/>
  <c r="I131" i="4"/>
  <c r="L441" i="23"/>
  <c r="L457" i="23"/>
  <c r="L451" i="23"/>
  <c r="I21" i="4"/>
  <c r="M75" i="23" s="1"/>
  <c r="L57" i="23"/>
  <c r="L73" i="23"/>
  <c r="L76" i="23"/>
  <c r="L520" i="23"/>
  <c r="I135" i="4"/>
  <c r="M496" i="23" s="1"/>
  <c r="L458" i="23"/>
  <c r="L469" i="23"/>
  <c r="I279" i="4"/>
  <c r="L971" i="23"/>
  <c r="L974" i="23"/>
  <c r="L970" i="23"/>
  <c r="L960" i="23"/>
  <c r="L1081" i="23"/>
  <c r="L1087" i="23"/>
  <c r="L1092" i="23"/>
  <c r="I381" i="4"/>
  <c r="M1419" i="23" s="1"/>
  <c r="L1346" i="23"/>
  <c r="L1319" i="23"/>
  <c r="I265" i="4"/>
  <c r="M989" i="23" s="1"/>
  <c r="L928" i="23"/>
  <c r="I237" i="4"/>
  <c r="M882" i="23" s="1"/>
  <c r="L826" i="23"/>
  <c r="I197" i="4"/>
  <c r="L681" i="23"/>
  <c r="L675" i="23"/>
  <c r="L671" i="23"/>
  <c r="I57" i="4"/>
  <c r="M206" i="23" s="1"/>
  <c r="L217" i="23"/>
  <c r="L190" i="23"/>
  <c r="L214" i="23"/>
  <c r="I159" i="4"/>
  <c r="M589" i="23" s="1"/>
  <c r="L547" i="23"/>
  <c r="L544" i="23"/>
  <c r="L900" i="23"/>
  <c r="L903" i="23"/>
  <c r="L895" i="23"/>
  <c r="L905" i="23"/>
  <c r="I275" i="4"/>
  <c r="L968" i="23"/>
  <c r="L951" i="23"/>
  <c r="I51" i="4"/>
  <c r="M186" i="23" s="1"/>
  <c r="L165" i="23"/>
  <c r="L495" i="23"/>
  <c r="L1166" i="23"/>
  <c r="I271" i="4"/>
  <c r="L940" i="23"/>
  <c r="L936" i="23"/>
  <c r="L620" i="23"/>
  <c r="L600" i="23"/>
  <c r="L605" i="23"/>
  <c r="I171" i="4"/>
  <c r="L619" i="23"/>
  <c r="L606" i="23"/>
  <c r="I249" i="4"/>
  <c r="M926" i="23" s="1"/>
  <c r="L862" i="23"/>
  <c r="I297" i="4"/>
  <c r="M1099" i="23" s="1"/>
  <c r="L1028" i="23"/>
  <c r="L1032" i="23"/>
  <c r="L1033" i="23"/>
  <c r="I283" i="4"/>
  <c r="L986" i="23"/>
  <c r="L983" i="23"/>
  <c r="I55" i="4"/>
  <c r="M203" i="23" s="1"/>
  <c r="L181" i="23"/>
  <c r="L178" i="23"/>
  <c r="I219" i="4"/>
  <c r="L753" i="23"/>
  <c r="L749" i="23"/>
  <c r="I337" i="4"/>
  <c r="L1188" i="23"/>
  <c r="L1169" i="23"/>
  <c r="I281" i="4"/>
  <c r="L955" i="23"/>
  <c r="I255" i="4"/>
  <c r="L882" i="23"/>
  <c r="I71" i="4"/>
  <c r="L234" i="23"/>
  <c r="L79" i="23"/>
  <c r="I317" i="4"/>
  <c r="M1175" i="23" s="1"/>
  <c r="L1105" i="23"/>
  <c r="L1089" i="23"/>
  <c r="L1088" i="23"/>
  <c r="I181" i="4"/>
  <c r="L623" i="23"/>
  <c r="L607" i="23"/>
  <c r="L621" i="23"/>
  <c r="I205" i="4"/>
  <c r="M757" i="23" s="1"/>
  <c r="L704" i="23"/>
  <c r="L717" i="23"/>
  <c r="L652" i="23"/>
  <c r="L635" i="23"/>
  <c r="L650" i="23"/>
  <c r="L647" i="23"/>
  <c r="I165" i="4"/>
  <c r="M618" i="23" s="1"/>
  <c r="L564" i="23"/>
  <c r="L562" i="23"/>
  <c r="I209" i="4"/>
  <c r="L730" i="23"/>
  <c r="L716" i="23"/>
  <c r="I65" i="4"/>
  <c r="L212" i="23"/>
  <c r="L204" i="23"/>
  <c r="I401" i="4"/>
  <c r="M1485" i="23" s="1"/>
  <c r="L1429" i="23"/>
  <c r="L1393" i="23"/>
  <c r="L1466" i="23"/>
  <c r="L1425" i="23"/>
  <c r="L1413" i="23"/>
  <c r="L1461" i="23"/>
  <c r="L1403" i="23"/>
  <c r="L1424" i="23"/>
  <c r="L1421" i="23"/>
  <c r="L1426" i="23"/>
  <c r="L1420" i="23"/>
  <c r="L1422" i="23"/>
  <c r="I285" i="4"/>
  <c r="M1067" i="23" s="1"/>
  <c r="L1007" i="23"/>
  <c r="L1004" i="23"/>
  <c r="I113" i="4"/>
  <c r="L380" i="23"/>
  <c r="L393" i="23"/>
  <c r="I303" i="4"/>
  <c r="M1130" i="23" s="1"/>
  <c r="L1058" i="23"/>
  <c r="L1054" i="23"/>
  <c r="I61" i="4"/>
  <c r="M219" i="23" s="1"/>
  <c r="L224" i="23"/>
  <c r="L203" i="23"/>
  <c r="L74" i="23"/>
  <c r="L943" i="23"/>
  <c r="L939" i="23"/>
  <c r="I115" i="4"/>
  <c r="L406" i="23"/>
  <c r="I117" i="4"/>
  <c r="M435" i="23" s="1"/>
  <c r="L409" i="23"/>
  <c r="L388" i="23"/>
  <c r="L402" i="23"/>
  <c r="I125" i="4"/>
  <c r="L444" i="23"/>
  <c r="L405" i="23"/>
  <c r="I121" i="4"/>
  <c r="M439" i="23" s="1"/>
  <c r="L411" i="23"/>
  <c r="L416" i="23"/>
  <c r="I343" i="4"/>
  <c r="M1280" i="23" s="1"/>
  <c r="L1189" i="23"/>
  <c r="L1185" i="23"/>
  <c r="L1196" i="23"/>
  <c r="L694" i="23"/>
  <c r="L692" i="23"/>
  <c r="I81" i="4"/>
  <c r="L274" i="23"/>
  <c r="I103" i="4"/>
  <c r="M375" i="23" s="1"/>
  <c r="L351" i="23"/>
  <c r="L360" i="23"/>
  <c r="L354" i="23"/>
  <c r="I163" i="4"/>
  <c r="L572" i="23"/>
  <c r="L555" i="23"/>
  <c r="L561" i="23"/>
  <c r="I201" i="4"/>
  <c r="L698" i="23"/>
  <c r="L689" i="23"/>
  <c r="L703" i="23"/>
  <c r="I193" i="4"/>
  <c r="L649" i="23"/>
  <c r="L682" i="23"/>
  <c r="I195" i="4"/>
  <c r="L673" i="23"/>
  <c r="L655" i="23"/>
  <c r="I59" i="4"/>
  <c r="M216" i="23" s="1"/>
  <c r="L206" i="23"/>
  <c r="L215" i="23"/>
  <c r="L342" i="23"/>
  <c r="I365" i="4"/>
  <c r="M1349" i="23" s="1"/>
  <c r="L1279" i="23"/>
  <c r="L1265" i="23"/>
  <c r="L1278" i="23"/>
  <c r="I299" i="4"/>
  <c r="L1020" i="23"/>
  <c r="I185" i="4"/>
  <c r="L639" i="23"/>
  <c r="L643" i="23"/>
  <c r="I333" i="4"/>
  <c r="M1246" i="23" s="1"/>
  <c r="L1144" i="23"/>
  <c r="L1158" i="23"/>
  <c r="L1153" i="23"/>
  <c r="I129" i="4"/>
  <c r="L435" i="23"/>
  <c r="L443" i="23"/>
  <c r="I139" i="4"/>
  <c r="L480" i="23"/>
  <c r="I93" i="4"/>
  <c r="M345" i="23" s="1"/>
  <c r="L308" i="23"/>
  <c r="I397" i="4"/>
  <c r="M1462" i="23" s="1"/>
  <c r="L1383" i="23"/>
  <c r="L1406" i="23"/>
  <c r="L1397" i="23"/>
  <c r="L1362" i="23"/>
  <c r="I37" i="4"/>
  <c r="M115" i="23" s="1"/>
  <c r="L122" i="23"/>
  <c r="I191" i="4"/>
  <c r="L680" i="23"/>
  <c r="L665" i="23"/>
  <c r="I235" i="4"/>
  <c r="M869" i="23" s="1"/>
  <c r="L831" i="23"/>
  <c r="I111" i="4"/>
  <c r="M412" i="23" s="1"/>
  <c r="L387" i="23"/>
  <c r="L381" i="23"/>
  <c r="I39" i="4"/>
  <c r="M146" i="23" s="1"/>
  <c r="L123" i="23"/>
  <c r="L139" i="23"/>
  <c r="L145" i="23"/>
  <c r="L337" i="23"/>
  <c r="G26" i="23"/>
  <c r="F26" i="23"/>
  <c r="F37" i="23"/>
  <c r="G37" i="23"/>
  <c r="F12" i="23"/>
  <c r="G12" i="23"/>
  <c r="G11" i="23"/>
  <c r="F11" i="23"/>
  <c r="G18" i="23"/>
  <c r="F18" i="23"/>
  <c r="G28" i="23"/>
  <c r="F28" i="23"/>
  <c r="G44" i="23"/>
  <c r="G16" i="23"/>
  <c r="F22" i="23"/>
  <c r="I175" i="4"/>
  <c r="M652" i="23" s="1"/>
  <c r="I261" i="4"/>
  <c r="M965" i="23" s="1"/>
  <c r="I143" i="4"/>
  <c r="M526" i="23" s="1"/>
  <c r="I273" i="4"/>
  <c r="I187" i="4"/>
  <c r="G29" i="23"/>
  <c r="F29" i="23"/>
  <c r="I155" i="4"/>
  <c r="M588" i="23" s="1"/>
  <c r="I311" i="4"/>
  <c r="M1158" i="23" s="1"/>
  <c r="G13" i="23"/>
  <c r="F13" i="23"/>
  <c r="I199" i="4"/>
  <c r="L767" i="23"/>
  <c r="L778" i="23"/>
  <c r="L790" i="23"/>
  <c r="L783" i="23"/>
  <c r="L761" i="23"/>
  <c r="L1051" i="23"/>
  <c r="L1029" i="23"/>
  <c r="L1038" i="23"/>
  <c r="L1045" i="23"/>
  <c r="L1233" i="23"/>
  <c r="L1248" i="23"/>
  <c r="L1235" i="23"/>
  <c r="L1236" i="23"/>
  <c r="L414" i="23"/>
  <c r="L419" i="23"/>
  <c r="L423" i="23"/>
  <c r="L1042" i="23"/>
  <c r="L1044" i="23"/>
  <c r="L1040" i="23"/>
  <c r="L1023" i="23"/>
  <c r="L439" i="23"/>
  <c r="L437" i="23"/>
  <c r="L429" i="23"/>
  <c r="L446" i="23"/>
  <c r="L702" i="23"/>
  <c r="L691" i="23"/>
  <c r="L710" i="23"/>
  <c r="L724" i="23"/>
  <c r="L685" i="23"/>
  <c r="L311" i="23"/>
  <c r="L328" i="23"/>
  <c r="L310" i="23"/>
  <c r="L314" i="23"/>
  <c r="L186" i="23"/>
  <c r="L194" i="23"/>
  <c r="L159" i="23"/>
  <c r="L195" i="23"/>
  <c r="L187" i="23"/>
  <c r="L358" i="23"/>
  <c r="L366" i="23"/>
  <c r="L349" i="23"/>
  <c r="L369" i="23"/>
  <c r="L346" i="23"/>
  <c r="L877" i="23"/>
  <c r="L908" i="23"/>
  <c r="L890" i="23"/>
  <c r="L699" i="23"/>
  <c r="L697" i="23"/>
  <c r="L684" i="23"/>
  <c r="L529" i="23"/>
  <c r="L549" i="23"/>
  <c r="L558" i="23"/>
  <c r="L543" i="23"/>
  <c r="L811" i="23"/>
  <c r="L812" i="23"/>
  <c r="L832" i="23"/>
  <c r="L810" i="23"/>
  <c r="L819" i="23"/>
  <c r="L152" i="23"/>
  <c r="L154" i="23"/>
  <c r="L461" i="23"/>
  <c r="L472" i="23"/>
  <c r="L453" i="23"/>
  <c r="L452" i="23"/>
  <c r="L135" i="23"/>
  <c r="L120" i="23"/>
  <c r="L130" i="23"/>
  <c r="L119" i="23"/>
  <c r="L97" i="23"/>
  <c r="L83" i="23"/>
  <c r="L112" i="23"/>
  <c r="L91" i="23"/>
  <c r="L642" i="23"/>
  <c r="L646" i="23"/>
  <c r="L658" i="23"/>
  <c r="L641" i="23"/>
  <c r="L644" i="23"/>
  <c r="L568" i="23"/>
  <c r="L580" i="23"/>
  <c r="L557" i="23"/>
  <c r="L563" i="23"/>
  <c r="L931" i="23"/>
  <c r="L912" i="23"/>
  <c r="L923" i="23"/>
  <c r="L932" i="23"/>
  <c r="L1203" i="23"/>
  <c r="L1187" i="23"/>
  <c r="L1198" i="23"/>
  <c r="L1190" i="23"/>
  <c r="L263" i="23"/>
  <c r="L241" i="23"/>
  <c r="L1177" i="23"/>
  <c r="L1162" i="23"/>
  <c r="L1175" i="23"/>
  <c r="L1172" i="23"/>
  <c r="L438" i="23"/>
  <c r="L420" i="23"/>
  <c r="L432" i="23"/>
  <c r="L1060" i="23"/>
  <c r="L1055" i="23"/>
  <c r="L1064" i="23"/>
  <c r="L1071" i="23"/>
  <c r="L211" i="23"/>
  <c r="L220" i="23"/>
  <c r="L223" i="23"/>
  <c r="L208" i="23"/>
  <c r="L1104" i="23"/>
  <c r="L1103" i="23"/>
  <c r="L1107" i="23"/>
  <c r="L1100" i="23"/>
  <c r="L1102" i="23"/>
  <c r="L1157" i="23"/>
  <c r="L1149" i="23"/>
  <c r="L1171" i="23"/>
  <c r="L1154" i="23"/>
  <c r="L151" i="23"/>
  <c r="L172" i="23"/>
  <c r="L170" i="23"/>
  <c r="L240" i="23"/>
  <c r="L239" i="23"/>
  <c r="L238" i="23"/>
  <c r="L229" i="23"/>
  <c r="L293" i="23"/>
  <c r="L290" i="23"/>
  <c r="L304" i="23"/>
  <c r="L318" i="23"/>
  <c r="L982" i="23"/>
  <c r="L981" i="23"/>
  <c r="L288" i="23"/>
  <c r="L257" i="23"/>
  <c r="L275" i="23"/>
  <c r="L269" i="23"/>
  <c r="L629" i="23"/>
  <c r="L640" i="23"/>
  <c r="L653" i="23"/>
  <c r="L622" i="23"/>
  <c r="L149" i="23"/>
  <c r="L142" i="23"/>
  <c r="L131" i="23"/>
  <c r="L141" i="23"/>
  <c r="L352" i="23"/>
  <c r="L372" i="23"/>
  <c r="L362" i="23"/>
  <c r="L967" i="23"/>
  <c r="L961" i="23"/>
  <c r="L966" i="23"/>
  <c r="L964" i="23"/>
  <c r="L638" i="23"/>
  <c r="L632" i="23"/>
  <c r="L615" i="23"/>
  <c r="L979" i="23"/>
  <c r="L969" i="23"/>
  <c r="L948" i="23"/>
  <c r="L958" i="23"/>
  <c r="L977" i="23"/>
  <c r="L282" i="23"/>
  <c r="L306" i="23"/>
  <c r="L281" i="23"/>
  <c r="L54" i="23"/>
  <c r="L34" i="23"/>
  <c r="L42" i="23"/>
  <c r="L796" i="23"/>
  <c r="L785" i="23"/>
  <c r="L907" i="23"/>
  <c r="L902" i="23"/>
  <c r="L935" i="23"/>
  <c r="L918" i="23"/>
  <c r="L1450" i="23"/>
  <c r="L1417" i="23"/>
  <c r="L1455" i="23"/>
  <c r="L1438" i="23"/>
  <c r="L1419" i="23"/>
  <c r="L1423" i="23"/>
  <c r="L1439" i="23"/>
  <c r="L1408" i="23"/>
  <c r="L1441" i="23"/>
  <c r="L1405" i="23"/>
  <c r="L1440" i="23"/>
  <c r="L1432" i="23"/>
  <c r="L1415" i="23"/>
  <c r="L1460" i="23"/>
  <c r="L1434" i="23"/>
  <c r="L1471" i="23"/>
  <c r="L1462" i="23"/>
  <c r="L1464" i="23"/>
  <c r="L1436" i="23"/>
  <c r="L1437" i="23"/>
  <c r="L1481" i="23"/>
  <c r="L1480" i="23"/>
  <c r="L1410" i="23"/>
  <c r="L1428" i="23"/>
  <c r="L1402" i="23"/>
  <c r="L1412" i="23"/>
  <c r="L1431" i="23"/>
  <c r="L1416" i="23"/>
  <c r="L1470" i="23"/>
  <c r="L1451" i="23"/>
  <c r="L1382" i="23"/>
  <c r="L1409" i="23"/>
  <c r="L1446" i="23"/>
  <c r="L1465" i="23"/>
  <c r="L1008" i="23"/>
  <c r="L1037" i="23"/>
  <c r="L1003" i="23"/>
  <c r="L1013" i="23"/>
  <c r="L226" i="23"/>
  <c r="L219" i="23"/>
  <c r="L827" i="23"/>
  <c r="L816" i="23"/>
  <c r="L677" i="23"/>
  <c r="L663" i="23"/>
  <c r="L696" i="23"/>
  <c r="L688" i="23"/>
  <c r="L678" i="23"/>
  <c r="L540" i="23"/>
  <c r="L554" i="23"/>
  <c r="L553" i="23"/>
  <c r="L613" i="23"/>
  <c r="L625" i="23"/>
  <c r="L618" i="23"/>
  <c r="L617" i="23"/>
  <c r="L719" i="23"/>
  <c r="L739" i="23"/>
  <c r="L736" i="23"/>
  <c r="L740" i="23"/>
  <c r="L676" i="23"/>
  <c r="L679" i="23"/>
  <c r="L787" i="23"/>
  <c r="L807" i="23"/>
  <c r="L791" i="23"/>
  <c r="L1276" i="23"/>
  <c r="L1270" i="23"/>
  <c r="L1261" i="23"/>
  <c r="L1271" i="23"/>
  <c r="L1240" i="23"/>
  <c r="L428" i="23"/>
  <c r="L449" i="23"/>
  <c r="L840" i="23"/>
  <c r="L881" i="23"/>
  <c r="L873" i="23"/>
  <c r="L867" i="23"/>
  <c r="L874" i="23"/>
  <c r="L1213" i="23"/>
  <c r="L1224" i="23"/>
  <c r="L1215" i="23"/>
  <c r="L1212" i="23"/>
  <c r="L1211" i="23"/>
  <c r="L980" i="23"/>
  <c r="L992" i="23"/>
  <c r="L991" i="23"/>
  <c r="L984" i="23"/>
  <c r="L267" i="23"/>
  <c r="L277" i="23"/>
  <c r="L295" i="23"/>
  <c r="L268" i="23"/>
  <c r="L280" i="23"/>
  <c r="L777" i="23"/>
  <c r="L771" i="23"/>
  <c r="L750" i="23"/>
  <c r="L744" i="23"/>
  <c r="L333" i="23"/>
  <c r="L334" i="23"/>
  <c r="L355" i="23"/>
  <c r="L345" i="23"/>
  <c r="L645" i="23"/>
  <c r="L669" i="23"/>
  <c r="L651" i="23"/>
  <c r="L963" i="23"/>
  <c r="L950" i="23"/>
  <c r="L957" i="23"/>
  <c r="L945" i="23"/>
  <c r="L59" i="23"/>
  <c r="L61" i="23"/>
  <c r="L71" i="23"/>
  <c r="L672" i="23"/>
  <c r="L630" i="23"/>
  <c r="L654" i="23"/>
  <c r="L659" i="23"/>
  <c r="L468" i="23"/>
  <c r="L471" i="23"/>
  <c r="L445" i="23"/>
  <c r="L407" i="23"/>
  <c r="L404" i="23"/>
  <c r="L394" i="23"/>
  <c r="L584" i="23"/>
  <c r="L596" i="23"/>
  <c r="L582" i="23"/>
  <c r="L1065" i="23"/>
  <c r="L1072" i="23"/>
  <c r="L1070" i="23"/>
  <c r="L1068" i="23"/>
  <c r="L237" i="23"/>
  <c r="L249" i="23"/>
  <c r="L245" i="23"/>
  <c r="L244" i="23"/>
  <c r="L248" i="23"/>
  <c r="L852" i="23"/>
  <c r="L849" i="23"/>
  <c r="L344" i="23"/>
  <c r="L327" i="23"/>
  <c r="L330" i="23"/>
  <c r="L860" i="23"/>
  <c r="L834" i="23"/>
  <c r="L851" i="23"/>
  <c r="L856" i="23"/>
  <c r="L1373" i="23"/>
  <c r="L1390" i="23"/>
  <c r="L1385" i="23"/>
  <c r="L1384" i="23"/>
  <c r="L192" i="23"/>
  <c r="L193" i="23"/>
  <c r="L113" i="23"/>
  <c r="L87" i="23"/>
  <c r="L101" i="23"/>
  <c r="L100" i="23"/>
  <c r="L62" i="23"/>
  <c r="L80" i="23"/>
  <c r="L64" i="23"/>
  <c r="L85" i="23"/>
  <c r="L77" i="23"/>
  <c r="L179" i="23"/>
  <c r="L171" i="23"/>
  <c r="L168" i="23"/>
  <c r="L158" i="23"/>
  <c r="L185" i="23"/>
  <c r="L1323" i="23"/>
  <c r="L1336" i="23"/>
  <c r="L1342" i="23"/>
  <c r="L1335" i="23"/>
  <c r="L705" i="23"/>
  <c r="L721" i="23"/>
  <c r="L722" i="23"/>
  <c r="L701" i="23"/>
  <c r="L712" i="23"/>
  <c r="L708" i="23"/>
  <c r="L1337" i="23"/>
  <c r="L1348" i="23"/>
  <c r="L1322" i="23"/>
  <c r="L1312" i="23"/>
  <c r="L516" i="23"/>
  <c r="L531" i="23"/>
  <c r="L537" i="23"/>
  <c r="L518" i="23"/>
  <c r="L532" i="23"/>
  <c r="L525" i="23"/>
  <c r="L723" i="23"/>
  <c r="L714" i="23"/>
  <c r="L718" i="23"/>
  <c r="L727" i="23"/>
  <c r="L491" i="23"/>
  <c r="L509" i="23"/>
  <c r="L490" i="23"/>
  <c r="L481" i="23"/>
  <c r="L487" i="23"/>
  <c r="L470" i="23"/>
  <c r="L475" i="23"/>
  <c r="L488" i="23"/>
  <c r="L466" i="23"/>
  <c r="L473" i="23"/>
  <c r="L978" i="23"/>
  <c r="L975" i="23"/>
  <c r="L893" i="23"/>
  <c r="L894" i="23"/>
  <c r="L892" i="23"/>
  <c r="L878" i="23"/>
  <c r="L887" i="23"/>
  <c r="L390" i="23"/>
  <c r="L373" i="23"/>
  <c r="L375" i="23"/>
  <c r="L397" i="23"/>
  <c r="L202" i="23"/>
  <c r="L198" i="23"/>
  <c r="L210" i="23"/>
  <c r="L199" i="23"/>
  <c r="L247" i="23"/>
  <c r="L228" i="23"/>
  <c r="L233" i="23"/>
  <c r="L929" i="23"/>
  <c r="L946" i="23"/>
  <c r="L944" i="23"/>
  <c r="L941" i="23"/>
  <c r="L550" i="23"/>
  <c r="L576" i="23"/>
  <c r="L560" i="23"/>
  <c r="L569" i="23"/>
  <c r="L412" i="23"/>
  <c r="L398" i="23"/>
  <c r="L379" i="23"/>
  <c r="L433" i="23"/>
  <c r="L426" i="23"/>
  <c r="L427" i="23"/>
  <c r="L442" i="23"/>
  <c r="L436" i="23"/>
  <c r="L356" i="23"/>
  <c r="L347" i="23"/>
  <c r="L161" i="23"/>
  <c r="L153" i="23"/>
  <c r="L162" i="23"/>
  <c r="L140" i="23"/>
  <c r="L169" i="23"/>
  <c r="L227" i="23"/>
  <c r="L236" i="23"/>
  <c r="L225" i="23"/>
  <c r="L222" i="23"/>
  <c r="L598" i="23"/>
  <c r="L586" i="23"/>
  <c r="L571" i="23"/>
  <c r="L599" i="23"/>
  <c r="L587" i="23"/>
  <c r="L611" i="23"/>
  <c r="L608" i="23"/>
  <c r="L574" i="23"/>
  <c r="L590" i="23"/>
  <c r="L389" i="23"/>
  <c r="L391" i="23"/>
  <c r="L392" i="23"/>
  <c r="L124" i="23"/>
  <c r="L114" i="23"/>
  <c r="L116" i="23"/>
  <c r="L1056" i="23"/>
  <c r="L1048" i="23"/>
  <c r="L1053" i="23"/>
  <c r="L752" i="23"/>
  <c r="L741" i="23"/>
  <c r="L747" i="23"/>
  <c r="L742" i="23"/>
  <c r="L670" i="23"/>
  <c r="L666" i="23"/>
  <c r="L695" i="23"/>
  <c r="L664" i="23"/>
  <c r="L674" i="23"/>
  <c r="L660" i="23"/>
  <c r="L839" i="23"/>
  <c r="L836" i="23"/>
  <c r="L829" i="23"/>
  <c r="L822" i="23"/>
  <c r="L201" i="23"/>
  <c r="L191" i="23"/>
  <c r="L205" i="23"/>
  <c r="D35" i="1"/>
  <c r="D39" i="1"/>
  <c r="D177" i="1"/>
  <c r="D156" i="1"/>
  <c r="D129" i="1"/>
  <c r="D114" i="1"/>
  <c r="D116" i="1"/>
  <c r="D176" i="1"/>
  <c r="D192" i="1"/>
  <c r="D85" i="1"/>
  <c r="D98" i="1"/>
  <c r="D69" i="1"/>
  <c r="D57" i="1"/>
  <c r="D44" i="1"/>
  <c r="D106" i="1"/>
  <c r="D36" i="1"/>
  <c r="D165" i="1"/>
  <c r="D138" i="1"/>
  <c r="D27" i="1"/>
  <c r="D77" i="1"/>
  <c r="D200" i="1"/>
  <c r="D144" i="1"/>
  <c r="D75" i="1"/>
  <c r="D2" i="1"/>
  <c r="D194" i="1"/>
  <c r="D141" i="1"/>
  <c r="D170" i="1"/>
  <c r="D3" i="1"/>
  <c r="D55" i="1"/>
  <c r="D133" i="1"/>
  <c r="D96" i="1"/>
  <c r="D121" i="1"/>
  <c r="D154" i="1"/>
  <c r="D72" i="1"/>
  <c r="D43" i="1"/>
  <c r="D88" i="1"/>
  <c r="D181" i="1"/>
  <c r="D178" i="1"/>
  <c r="D197" i="1"/>
  <c r="D10" i="1"/>
  <c r="D28" i="1"/>
  <c r="D7" i="1"/>
  <c r="D26" i="1"/>
  <c r="D172" i="1"/>
  <c r="D149" i="1"/>
  <c r="D112" i="1"/>
  <c r="D185" i="1"/>
  <c r="D132" i="1"/>
  <c r="D18" i="1"/>
  <c r="D66" i="1"/>
  <c r="D31" i="1"/>
  <c r="D122" i="1"/>
  <c r="D82" i="1"/>
  <c r="D103" i="1"/>
  <c r="D110" i="1"/>
  <c r="D67" i="1"/>
  <c r="D47" i="1"/>
  <c r="D186" i="1"/>
  <c r="D123" i="1"/>
  <c r="D139" i="1"/>
  <c r="D119" i="1"/>
  <c r="D40" i="1"/>
  <c r="D83" i="1"/>
  <c r="D63" i="1"/>
  <c r="D180" i="1"/>
  <c r="D91" i="1"/>
  <c r="D71" i="1"/>
  <c r="D46" i="1"/>
  <c r="D164" i="1"/>
  <c r="D15" i="1"/>
  <c r="D42" i="1"/>
  <c r="D51" i="1"/>
  <c r="D93" i="1"/>
  <c r="D4" i="1"/>
  <c r="D201" i="1"/>
  <c r="D95" i="1"/>
  <c r="D24" i="1"/>
  <c r="D59" i="1"/>
  <c r="D167" i="1"/>
  <c r="D193" i="1"/>
  <c r="D131" i="1"/>
  <c r="D111" i="1"/>
  <c r="D174" i="1"/>
  <c r="D188" i="1"/>
  <c r="D5" i="1"/>
  <c r="D183" i="1"/>
  <c r="D48" i="1"/>
  <c r="D147" i="1"/>
  <c r="D127" i="1"/>
  <c r="D62" i="1"/>
  <c r="D155" i="1"/>
  <c r="D135" i="1"/>
  <c r="D126" i="1"/>
  <c r="D99" i="1"/>
  <c r="D79" i="1"/>
  <c r="D94" i="1"/>
  <c r="D30" i="1"/>
  <c r="D157" i="1"/>
  <c r="D128" i="1"/>
  <c r="D115" i="1"/>
  <c r="D159" i="1"/>
  <c r="D78" i="1"/>
  <c r="D187" i="1"/>
  <c r="D33" i="1"/>
  <c r="D179" i="1"/>
  <c r="D195" i="1"/>
  <c r="D175" i="1"/>
  <c r="D8" i="1"/>
  <c r="D89" i="1"/>
  <c r="D92" i="1"/>
  <c r="D49" i="1"/>
  <c r="D70" i="1"/>
  <c r="D142" i="1"/>
  <c r="D13" i="1"/>
  <c r="D191" i="1"/>
  <c r="D134" i="1"/>
  <c r="D21" i="1"/>
  <c r="D199" i="1"/>
  <c r="D86" i="1"/>
  <c r="D163" i="1"/>
  <c r="D143" i="1"/>
  <c r="D190" i="1"/>
  <c r="D22" i="1"/>
  <c r="D23" i="1"/>
  <c r="D90" i="1"/>
  <c r="D45" i="1"/>
  <c r="D25" i="1"/>
  <c r="D150" i="1"/>
  <c r="D60" i="1"/>
  <c r="D120" i="1"/>
  <c r="D81" i="1"/>
  <c r="D76" i="1"/>
  <c r="D41" i="1"/>
  <c r="D118" i="1"/>
  <c r="D153" i="1"/>
  <c r="D68" i="1"/>
  <c r="D152" i="1"/>
  <c r="D97" i="1"/>
  <c r="D108" i="1"/>
  <c r="D56" i="1"/>
  <c r="D105" i="1"/>
  <c r="D124" i="1"/>
  <c r="D64" i="1"/>
  <c r="D102" i="1"/>
  <c r="D29" i="1"/>
  <c r="D9" i="1"/>
  <c r="D16" i="1"/>
  <c r="D107" i="1"/>
  <c r="D87" i="1"/>
  <c r="D158" i="1"/>
  <c r="D6" i="1"/>
  <c r="D104" i="1"/>
  <c r="D182" i="1"/>
  <c r="D14" i="1"/>
  <c r="D50" i="1"/>
  <c r="D145" i="1"/>
  <c r="D38" i="1"/>
  <c r="D136" i="1"/>
  <c r="D65" i="1"/>
  <c r="D19" i="1"/>
  <c r="D61" i="1"/>
  <c r="D74" i="1"/>
  <c r="D161" i="1"/>
  <c r="D84" i="1"/>
  <c r="D168" i="1"/>
  <c r="D169" i="1"/>
  <c r="D100" i="1"/>
  <c r="D184" i="1"/>
  <c r="D113" i="1"/>
  <c r="D140" i="1"/>
  <c r="D80" i="1"/>
  <c r="D198" i="1"/>
  <c r="D171" i="1"/>
  <c r="D151" i="1"/>
  <c r="D54" i="1"/>
  <c r="D148" i="1"/>
  <c r="D34" i="1"/>
  <c r="D32" i="1"/>
  <c r="D109" i="1"/>
  <c r="D20" i="1"/>
  <c r="D11" i="1"/>
  <c r="D53" i="1"/>
  <c r="D58" i="1"/>
  <c r="D202" i="1"/>
  <c r="D162" i="1"/>
  <c r="D125" i="1"/>
  <c r="D196" i="1"/>
  <c r="D37" i="1"/>
  <c r="D17" i="1"/>
  <c r="D166" i="1"/>
  <c r="D101" i="1"/>
  <c r="D12" i="1"/>
  <c r="D73" i="1"/>
  <c r="D173" i="1"/>
  <c r="D160" i="1"/>
  <c r="D130" i="1"/>
  <c r="D117" i="1"/>
  <c r="D52" i="1"/>
  <c r="D137" i="1"/>
  <c r="D146" i="1"/>
  <c r="D189" i="1"/>
  <c r="M1366" i="23" l="1"/>
  <c r="M996" i="23"/>
  <c r="F1514" i="23"/>
  <c r="M948" i="23"/>
  <c r="M947" i="23"/>
  <c r="M1279" i="23"/>
  <c r="M133" i="23"/>
  <c r="M1163" i="23"/>
  <c r="F1163" i="23" s="1"/>
  <c r="M1252" i="23"/>
  <c r="M525" i="23"/>
  <c r="F525" i="23" s="1"/>
  <c r="G1165" i="23"/>
  <c r="M1358" i="23"/>
  <c r="M555" i="23"/>
  <c r="M1312" i="23"/>
  <c r="M1350" i="23"/>
  <c r="M1006" i="23"/>
  <c r="F1006" i="23" s="1"/>
  <c r="M1443" i="23"/>
  <c r="M873" i="23"/>
  <c r="F873" i="23" s="1"/>
  <c r="M859" i="23"/>
  <c r="M1493" i="23"/>
  <c r="M1481" i="23"/>
  <c r="M1450" i="23"/>
  <c r="M1434" i="23"/>
  <c r="M1480" i="23"/>
  <c r="F1480" i="23" s="1"/>
  <c r="M49" i="23"/>
  <c r="F49" i="23" s="1"/>
  <c r="M47" i="23"/>
  <c r="F47" i="23" s="1"/>
  <c r="M957" i="23"/>
  <c r="M1496" i="23"/>
  <c r="F1496" i="23" s="1"/>
  <c r="M1211" i="23"/>
  <c r="M187" i="23"/>
  <c r="M128" i="23"/>
  <c r="M648" i="23"/>
  <c r="M927" i="23"/>
  <c r="M1488" i="23"/>
  <c r="G1488" i="23" s="1"/>
  <c r="M1479" i="23"/>
  <c r="G1479" i="23" s="1"/>
  <c r="M1414" i="23"/>
  <c r="M929" i="23"/>
  <c r="F929" i="23" s="1"/>
  <c r="M556" i="23"/>
  <c r="M1238" i="23"/>
  <c r="M967" i="23"/>
  <c r="F967" i="23" s="1"/>
  <c r="M1204" i="23"/>
  <c r="M1452" i="23"/>
  <c r="M1499" i="23"/>
  <c r="M272" i="23"/>
  <c r="M641" i="23"/>
  <c r="F641" i="23" s="1"/>
  <c r="M1124" i="23"/>
  <c r="G1124" i="23" s="1"/>
  <c r="M953" i="23"/>
  <c r="M368" i="23"/>
  <c r="F1349" i="23"/>
  <c r="M311" i="23"/>
  <c r="F311" i="23" s="1"/>
  <c r="M985" i="23"/>
  <c r="G985" i="23" s="1"/>
  <c r="M310" i="23"/>
  <c r="F1512" i="23"/>
  <c r="F1513" i="23"/>
  <c r="G35" i="23"/>
  <c r="M659" i="23"/>
  <c r="F659" i="23" s="1"/>
  <c r="M1491" i="23"/>
  <c r="F1491" i="23" s="1"/>
  <c r="G1086" i="23"/>
  <c r="F35" i="23"/>
  <c r="M1015" i="23"/>
  <c r="M1474" i="23"/>
  <c r="G1474" i="23" s="1"/>
  <c r="M994" i="23"/>
  <c r="M372" i="23"/>
  <c r="F372" i="23" s="1"/>
  <c r="M34" i="23"/>
  <c r="F34" i="23" s="1"/>
  <c r="M43" i="23"/>
  <c r="M1363" i="23"/>
  <c r="G1363" i="23" s="1"/>
  <c r="M1114" i="23"/>
  <c r="M987" i="23"/>
  <c r="M1487" i="23"/>
  <c r="G1487" i="23" s="1"/>
  <c r="G1507" i="23"/>
  <c r="M1182" i="23"/>
  <c r="M1197" i="23"/>
  <c r="F1197" i="23" s="1"/>
  <c r="M1454" i="23"/>
  <c r="F1191" i="23"/>
  <c r="M1400" i="23"/>
  <c r="M529" i="23"/>
  <c r="M1199" i="23"/>
  <c r="F1199" i="23" s="1"/>
  <c r="M1404" i="23"/>
  <c r="M290" i="23"/>
  <c r="G290" i="23" s="1"/>
  <c r="F1510" i="23"/>
  <c r="M540" i="23"/>
  <c r="M122" i="23"/>
  <c r="F122" i="23" s="1"/>
  <c r="M293" i="23"/>
  <c r="M258" i="23"/>
  <c r="M46" i="23"/>
  <c r="F46" i="23" s="1"/>
  <c r="M1231" i="23"/>
  <c r="F1521" i="23"/>
  <c r="M189" i="23"/>
  <c r="M1483" i="23"/>
  <c r="M1489" i="23"/>
  <c r="M1497" i="23"/>
  <c r="G1497" i="23" s="1"/>
  <c r="M304" i="23"/>
  <c r="G304" i="23" s="1"/>
  <c r="F95" i="23"/>
  <c r="M728" i="23"/>
  <c r="F728" i="23" s="1"/>
  <c r="M537" i="23"/>
  <c r="F537" i="23" s="1"/>
  <c r="G1520" i="23"/>
  <c r="M1003" i="23"/>
  <c r="G1003" i="23" s="1"/>
  <c r="F1479" i="23"/>
  <c r="F1509" i="23"/>
  <c r="M1196" i="23"/>
  <c r="M997" i="23"/>
  <c r="M1159" i="23"/>
  <c r="G1159" i="23" s="1"/>
  <c r="M1518" i="23"/>
  <c r="M1490" i="23"/>
  <c r="M1249" i="23"/>
  <c r="G1249" i="23" s="1"/>
  <c r="M1364" i="23"/>
  <c r="G1280" i="23"/>
  <c r="G1199" i="23"/>
  <c r="M1482" i="23"/>
  <c r="M1495" i="23"/>
  <c r="M286" i="23"/>
  <c r="F286" i="23" s="1"/>
  <c r="M1267" i="23"/>
  <c r="F1267" i="23" s="1"/>
  <c r="F1515" i="23"/>
  <c r="M81" i="23"/>
  <c r="M433" i="23"/>
  <c r="F433" i="23" s="1"/>
  <c r="M1168" i="23"/>
  <c r="M446" i="23"/>
  <c r="M1216" i="23"/>
  <c r="F1216" i="23" s="1"/>
  <c r="F1501" i="23"/>
  <c r="F1357" i="23"/>
  <c r="F52" i="23"/>
  <c r="G1079" i="23"/>
  <c r="G1191" i="23"/>
  <c r="F1500" i="23"/>
  <c r="G1500" i="23"/>
  <c r="F1485" i="23"/>
  <c r="G1485" i="23"/>
  <c r="G1519" i="23"/>
  <c r="F1519" i="23"/>
  <c r="G1493" i="23"/>
  <c r="F1493" i="23"/>
  <c r="F1517" i="23"/>
  <c r="G1517" i="23"/>
  <c r="G1494" i="23"/>
  <c r="F1494" i="23"/>
  <c r="F1474" i="23"/>
  <c r="F1506" i="23"/>
  <c r="G1506" i="23"/>
  <c r="G1505" i="23"/>
  <c r="F1505" i="23"/>
  <c r="G1502" i="23"/>
  <c r="F1502" i="23"/>
  <c r="G1503" i="23"/>
  <c r="F1503" i="23"/>
  <c r="G1516" i="23"/>
  <c r="F1516" i="23"/>
  <c r="G1511" i="23"/>
  <c r="F1511" i="23"/>
  <c r="G1498" i="23"/>
  <c r="F1498" i="23"/>
  <c r="F1508" i="23"/>
  <c r="G1508" i="23"/>
  <c r="M1504" i="23"/>
  <c r="M1492" i="23"/>
  <c r="M592" i="23"/>
  <c r="M998" i="23"/>
  <c r="G998" i="23" s="1"/>
  <c r="M145" i="23"/>
  <c r="M1214" i="23"/>
  <c r="F1214" i="23" s="1"/>
  <c r="M1135" i="23"/>
  <c r="F1135" i="23" s="1"/>
  <c r="M53" i="23"/>
  <c r="F53" i="23" s="1"/>
  <c r="M1194" i="23"/>
  <c r="F1194" i="23" s="1"/>
  <c r="M1239" i="23"/>
  <c r="F1239" i="23" s="1"/>
  <c r="M1441" i="23"/>
  <c r="M899" i="23"/>
  <c r="F899" i="23" s="1"/>
  <c r="M959" i="23"/>
  <c r="M460" i="23"/>
  <c r="M961" i="23"/>
  <c r="G961" i="23" s="1"/>
  <c r="M672" i="23"/>
  <c r="F672" i="23" s="1"/>
  <c r="M576" i="23"/>
  <c r="G576" i="23" s="1"/>
  <c r="M1187" i="23"/>
  <c r="F1187" i="23" s="1"/>
  <c r="M100" i="23"/>
  <c r="M366" i="23"/>
  <c r="F366" i="23" s="1"/>
  <c r="M840" i="23"/>
  <c r="M1299" i="23"/>
  <c r="G1299" i="23" s="1"/>
  <c r="F51" i="23"/>
  <c r="G1067" i="23"/>
  <c r="F1067" i="23"/>
  <c r="M638" i="23"/>
  <c r="G638" i="23" s="1"/>
  <c r="M172" i="23"/>
  <c r="M351" i="23"/>
  <c r="M1306" i="23"/>
  <c r="M84" i="23"/>
  <c r="F84" i="23" s="1"/>
  <c r="M1068" i="23"/>
  <c r="M1120" i="23"/>
  <c r="M1198" i="23"/>
  <c r="F1198" i="23" s="1"/>
  <c r="M1063" i="23"/>
  <c r="M1112" i="23"/>
  <c r="M431" i="23"/>
  <c r="F431" i="23" s="1"/>
  <c r="M1011" i="23"/>
  <c r="M976" i="23"/>
  <c r="F976" i="23" s="1"/>
  <c r="M1277" i="23"/>
  <c r="M940" i="23"/>
  <c r="M939" i="23"/>
  <c r="M860" i="23"/>
  <c r="G860" i="23" s="1"/>
  <c r="M1298" i="23"/>
  <c r="M831" i="23"/>
  <c r="F831" i="23" s="1"/>
  <c r="M724" i="23"/>
  <c r="M764" i="23"/>
  <c r="F764" i="23" s="1"/>
  <c r="M605" i="23"/>
  <c r="M1260" i="23"/>
  <c r="G1260" i="23" s="1"/>
  <c r="M826" i="23"/>
  <c r="F826" i="23" s="1"/>
  <c r="M1476" i="23"/>
  <c r="M1127" i="23"/>
  <c r="F1127" i="23" s="1"/>
  <c r="M87" i="23"/>
  <c r="F87" i="23" s="1"/>
  <c r="M1117" i="23"/>
  <c r="M1354" i="23"/>
  <c r="F1354" i="23" s="1"/>
  <c r="M1284" i="23"/>
  <c r="G1284" i="23" s="1"/>
  <c r="M365" i="23"/>
  <c r="F365" i="23" s="1"/>
  <c r="M1416" i="23"/>
  <c r="F1416" i="23" s="1"/>
  <c r="M348" i="23"/>
  <c r="M698" i="23"/>
  <c r="M1014" i="23"/>
  <c r="M1286" i="23"/>
  <c r="F1286" i="23" s="1"/>
  <c r="M104" i="23"/>
  <c r="F104" i="23" s="1"/>
  <c r="M1019" i="23"/>
  <c r="F1019" i="23" s="1"/>
  <c r="M106" i="23"/>
  <c r="G106" i="23" s="1"/>
  <c r="M834" i="23"/>
  <c r="F834" i="23" s="1"/>
  <c r="M359" i="23"/>
  <c r="M1438" i="23"/>
  <c r="F1438" i="23" s="1"/>
  <c r="M851" i="23"/>
  <c r="G851" i="23" s="1"/>
  <c r="M864" i="23"/>
  <c r="M1317" i="23"/>
  <c r="F1317" i="23" s="1"/>
  <c r="M409" i="23"/>
  <c r="M1411" i="23"/>
  <c r="M1233" i="23"/>
  <c r="G1233" i="23" s="1"/>
  <c r="M1155" i="23"/>
  <c r="M924" i="23"/>
  <c r="G924" i="23" s="1"/>
  <c r="M1270" i="23"/>
  <c r="G1270" i="23" s="1"/>
  <c r="M1272" i="23"/>
  <c r="G1272" i="23" s="1"/>
  <c r="M132" i="23"/>
  <c r="M140" i="23"/>
  <c r="G140" i="23" s="1"/>
  <c r="M512" i="23"/>
  <c r="F512" i="23" s="1"/>
  <c r="M116" i="23"/>
  <c r="F116" i="23" s="1"/>
  <c r="M386" i="23"/>
  <c r="M279" i="23"/>
  <c r="M922" i="23"/>
  <c r="F922" i="23" s="1"/>
  <c r="M933" i="23"/>
  <c r="G933" i="23" s="1"/>
  <c r="M1418" i="23"/>
  <c r="M449" i="23"/>
  <c r="F449" i="23" s="1"/>
  <c r="M48" i="23"/>
  <c r="F48" i="23" s="1"/>
  <c r="M198" i="23"/>
  <c r="F198" i="23" s="1"/>
  <c r="M1455" i="23"/>
  <c r="M109" i="23"/>
  <c r="G109" i="23" s="1"/>
  <c r="M1259" i="23"/>
  <c r="G1259" i="23" s="1"/>
  <c r="M325" i="23"/>
  <c r="M448" i="23"/>
  <c r="F448" i="23" s="1"/>
  <c r="M322" i="23"/>
  <c r="M79" i="23"/>
  <c r="F79" i="23" s="1"/>
  <c r="M88" i="23"/>
  <c r="F88" i="23" s="1"/>
  <c r="M1472" i="23"/>
  <c r="M1313" i="23"/>
  <c r="F1313" i="23" s="1"/>
  <c r="M527" i="23"/>
  <c r="M616" i="23"/>
  <c r="F616" i="23" s="1"/>
  <c r="M1426" i="23"/>
  <c r="M1353" i="23"/>
  <c r="M958" i="23"/>
  <c r="G958" i="23" s="1"/>
  <c r="M228" i="23"/>
  <c r="F228" i="23" s="1"/>
  <c r="M263" i="23"/>
  <c r="M257" i="23"/>
  <c r="F257" i="23" s="1"/>
  <c r="M863" i="23"/>
  <c r="F863" i="23" s="1"/>
  <c r="M270" i="23"/>
  <c r="M274" i="23"/>
  <c r="F274" i="23" s="1"/>
  <c r="M1202" i="23"/>
  <c r="F1202" i="23" s="1"/>
  <c r="M1208" i="23"/>
  <c r="F1208" i="23" s="1"/>
  <c r="M398" i="23"/>
  <c r="G398" i="23" s="1"/>
  <c r="M823" i="23"/>
  <c r="M808" i="23"/>
  <c r="M858" i="23"/>
  <c r="F858" i="23" s="1"/>
  <c r="M1005" i="23"/>
  <c r="G1005" i="23" s="1"/>
  <c r="M1242" i="23"/>
  <c r="F1242" i="23" s="1"/>
  <c r="M982" i="23"/>
  <c r="G982" i="23" s="1"/>
  <c r="M1248" i="23"/>
  <c r="F1248" i="23" s="1"/>
  <c r="M1244" i="23"/>
  <c r="F1244" i="23" s="1"/>
  <c r="M1431" i="23"/>
  <c r="M1425" i="23"/>
  <c r="M862" i="23"/>
  <c r="M1230" i="23"/>
  <c r="M1129" i="23"/>
  <c r="G1129" i="23" s="1"/>
  <c r="M387" i="23"/>
  <c r="M110" i="23"/>
  <c r="M66" i="23"/>
  <c r="M411" i="23"/>
  <c r="M911" i="23"/>
  <c r="G911" i="23" s="1"/>
  <c r="M914" i="23"/>
  <c r="G914" i="23" s="1"/>
  <c r="M316" i="23"/>
  <c r="M874" i="23"/>
  <c r="M844" i="23"/>
  <c r="G844" i="23" s="1"/>
  <c r="M819" i="23"/>
  <c r="F819" i="23" s="1"/>
  <c r="M1055" i="23"/>
  <c r="G1055" i="23" s="1"/>
  <c r="M1047" i="23"/>
  <c r="M1435" i="23"/>
  <c r="F1435" i="23" s="1"/>
  <c r="M1468" i="23"/>
  <c r="F1468" i="23" s="1"/>
  <c r="M868" i="23"/>
  <c r="M307" i="23"/>
  <c r="M300" i="23"/>
  <c r="M354" i="23"/>
  <c r="M981" i="23"/>
  <c r="F981" i="23" s="1"/>
  <c r="M988" i="23"/>
  <c r="M1453" i="23"/>
  <c r="M1448" i="23"/>
  <c r="M385" i="23"/>
  <c r="M1484" i="23"/>
  <c r="G1484" i="23" s="1"/>
  <c r="M585" i="23"/>
  <c r="F585" i="23" s="1"/>
  <c r="M960" i="23"/>
  <c r="M955" i="23"/>
  <c r="F955" i="23" s="1"/>
  <c r="M1309" i="23"/>
  <c r="F1309" i="23" s="1"/>
  <c r="M324" i="23"/>
  <c r="M1160" i="23"/>
  <c r="M1157" i="23"/>
  <c r="F1157" i="23" s="1"/>
  <c r="M497" i="23"/>
  <c r="F497" i="23" s="1"/>
  <c r="M200" i="23"/>
  <c r="M661" i="23"/>
  <c r="G661" i="23" s="1"/>
  <c r="M1432" i="23"/>
  <c r="F1432" i="23" s="1"/>
  <c r="M774" i="23"/>
  <c r="M777" i="23"/>
  <c r="F777" i="23" s="1"/>
  <c r="M170" i="23"/>
  <c r="F170" i="23" s="1"/>
  <c r="M160" i="23"/>
  <c r="M1144" i="23"/>
  <c r="M1215" i="23"/>
  <c r="F1215" i="23" s="1"/>
  <c r="M339" i="23"/>
  <c r="G339" i="23" s="1"/>
  <c r="M347" i="23"/>
  <c r="F347" i="23" s="1"/>
  <c r="M643" i="23"/>
  <c r="M635" i="23"/>
  <c r="M1097" i="23"/>
  <c r="M369" i="23"/>
  <c r="F369" i="23" s="1"/>
  <c r="M974" i="23"/>
  <c r="M550" i="23"/>
  <c r="G550" i="23" s="1"/>
  <c r="M562" i="23"/>
  <c r="M1033" i="23"/>
  <c r="M1032" i="23"/>
  <c r="M801" i="23"/>
  <c r="F801" i="23" s="1"/>
  <c r="M779" i="23"/>
  <c r="F779" i="23" s="1"/>
  <c r="M1232" i="23"/>
  <c r="G1232" i="23" s="1"/>
  <c r="M357" i="23"/>
  <c r="M1319" i="23"/>
  <c r="M599" i="23"/>
  <c r="F599" i="23" s="1"/>
  <c r="F146" i="23"/>
  <c r="M838" i="23"/>
  <c r="M99" i="23"/>
  <c r="M463" i="23"/>
  <c r="M472" i="23"/>
  <c r="G472" i="23" s="1"/>
  <c r="M1424" i="23"/>
  <c r="M91" i="23"/>
  <c r="G91" i="23" s="1"/>
  <c r="M1057" i="23"/>
  <c r="M1073" i="23"/>
  <c r="M1041" i="23"/>
  <c r="F1041" i="23" s="1"/>
  <c r="M1048" i="23"/>
  <c r="G1048" i="23" s="1"/>
  <c r="M1109" i="23"/>
  <c r="F1109" i="23" s="1"/>
  <c r="M763" i="23"/>
  <c r="M742" i="23"/>
  <c r="G742" i="23" s="1"/>
  <c r="G146" i="23"/>
  <c r="M1427" i="23"/>
  <c r="G1427" i="23" s="1"/>
  <c r="M337" i="23"/>
  <c r="F337" i="23" s="1"/>
  <c r="M811" i="23"/>
  <c r="F811" i="23" s="1"/>
  <c r="M1274" i="23"/>
  <c r="G1274" i="23" s="1"/>
  <c r="M1281" i="23"/>
  <c r="M1195" i="23"/>
  <c r="F1195" i="23" s="1"/>
  <c r="M1178" i="23"/>
  <c r="G1178" i="23" s="1"/>
  <c r="M169" i="23"/>
  <c r="G169" i="23" s="1"/>
  <c r="M1422" i="23"/>
  <c r="M992" i="23"/>
  <c r="F992" i="23" s="1"/>
  <c r="M130" i="23"/>
  <c r="G130" i="23" s="1"/>
  <c r="M734" i="23"/>
  <c r="G734" i="23" s="1"/>
  <c r="M730" i="23"/>
  <c r="M349" i="23"/>
  <c r="G349" i="23" s="1"/>
  <c r="M353" i="23"/>
  <c r="M150" i="23"/>
  <c r="F150" i="23" s="1"/>
  <c r="M531" i="23"/>
  <c r="F531" i="23" s="1"/>
  <c r="M1262" i="23"/>
  <c r="F1262" i="23" s="1"/>
  <c r="M1405" i="23"/>
  <c r="F1405" i="23" s="1"/>
  <c r="M155" i="23"/>
  <c r="F155" i="23" s="1"/>
  <c r="M428" i="23"/>
  <c r="G428" i="23" s="1"/>
  <c r="M430" i="23"/>
  <c r="M861" i="23"/>
  <c r="G861" i="23" s="1"/>
  <c r="M870" i="23"/>
  <c r="M830" i="23"/>
  <c r="G830" i="23" s="1"/>
  <c r="M850" i="23"/>
  <c r="M630" i="23"/>
  <c r="G630" i="23" s="1"/>
  <c r="M810" i="23"/>
  <c r="F810" i="23" s="1"/>
  <c r="M124" i="23"/>
  <c r="F124" i="23" s="1"/>
  <c r="M993" i="23"/>
  <c r="G993" i="23" s="1"/>
  <c r="M578" i="23"/>
  <c r="F578" i="23" s="1"/>
  <c r="M470" i="23"/>
  <c r="G470" i="23" s="1"/>
  <c r="M476" i="23"/>
  <c r="F476" i="23" s="1"/>
  <c r="M591" i="23"/>
  <c r="F591" i="23" s="1"/>
  <c r="M604" i="23"/>
  <c r="F604" i="23" s="1"/>
  <c r="M420" i="23"/>
  <c r="F420" i="23" s="1"/>
  <c r="M438" i="23"/>
  <c r="G438" i="23" s="1"/>
  <c r="M655" i="23"/>
  <c r="M676" i="23"/>
  <c r="F676" i="23" s="1"/>
  <c r="M628" i="23"/>
  <c r="G628" i="23" s="1"/>
  <c r="M634" i="23"/>
  <c r="M330" i="23"/>
  <c r="F330" i="23" s="1"/>
  <c r="M332" i="23"/>
  <c r="G332" i="23" s="1"/>
  <c r="M663" i="23"/>
  <c r="F663" i="23" s="1"/>
  <c r="M688" i="23"/>
  <c r="F688" i="23" s="1"/>
  <c r="M660" i="23"/>
  <c r="G660" i="23" s="1"/>
  <c r="M680" i="23"/>
  <c r="M126" i="23"/>
  <c r="F126" i="23" s="1"/>
  <c r="M114" i="23"/>
  <c r="F114" i="23" s="1"/>
  <c r="F1096" i="23"/>
  <c r="G1096" i="23"/>
  <c r="M567" i="23"/>
  <c r="M568" i="23"/>
  <c r="F568" i="23" s="1"/>
  <c r="M941" i="23"/>
  <c r="F941" i="23" s="1"/>
  <c r="M946" i="23"/>
  <c r="G946" i="23" s="1"/>
  <c r="M936" i="23"/>
  <c r="M866" i="23"/>
  <c r="M853" i="23"/>
  <c r="M105" i="23"/>
  <c r="G105" i="23" s="1"/>
  <c r="M121" i="23"/>
  <c r="F121" i="23" s="1"/>
  <c r="M1258" i="23"/>
  <c r="F1258" i="23" s="1"/>
  <c r="M881" i="23"/>
  <c r="F881" i="23" s="1"/>
  <c r="M1477" i="23"/>
  <c r="M1478" i="23"/>
  <c r="G1478" i="23" s="1"/>
  <c r="M1122" i="23"/>
  <c r="F1122" i="23" s="1"/>
  <c r="M1113" i="23"/>
  <c r="F1113" i="23" s="1"/>
  <c r="M68" i="23"/>
  <c r="F68" i="23" s="1"/>
  <c r="M1297" i="23"/>
  <c r="F1297" i="23" s="1"/>
  <c r="M1302" i="23"/>
  <c r="F1302" i="23" s="1"/>
  <c r="M835" i="23"/>
  <c r="F835" i="23" s="1"/>
  <c r="M848" i="23"/>
  <c r="M144" i="23"/>
  <c r="F144" i="23" s="1"/>
  <c r="M1065" i="23"/>
  <c r="F1065" i="23" s="1"/>
  <c r="M1126" i="23"/>
  <c r="F1126" i="23" s="1"/>
  <c r="M1123" i="23"/>
  <c r="G1123" i="23" s="1"/>
  <c r="M207" i="23"/>
  <c r="M181" i="23"/>
  <c r="M193" i="23"/>
  <c r="F193" i="23" s="1"/>
  <c r="M820" i="23"/>
  <c r="M799" i="23"/>
  <c r="M182" i="23"/>
  <c r="G182" i="23" s="1"/>
  <c r="M175" i="23"/>
  <c r="F175" i="23" s="1"/>
  <c r="M94" i="23"/>
  <c r="F94" i="23" s="1"/>
  <c r="M1271" i="23"/>
  <c r="G1271" i="23" s="1"/>
  <c r="M342" i="23"/>
  <c r="F342" i="23" s="1"/>
  <c r="M685" i="23"/>
  <c r="F685" i="23" s="1"/>
  <c r="M693" i="23"/>
  <c r="M1174" i="23"/>
  <c r="F1174" i="23" s="1"/>
  <c r="M1190" i="23"/>
  <c r="F1190" i="23" s="1"/>
  <c r="M621" i="23"/>
  <c r="M632" i="23"/>
  <c r="F632" i="23" s="1"/>
  <c r="M623" i="23"/>
  <c r="M625" i="23"/>
  <c r="F625" i="23" s="1"/>
  <c r="M363" i="23"/>
  <c r="M725" i="23"/>
  <c r="G725" i="23" s="1"/>
  <c r="M738" i="23"/>
  <c r="F738" i="23" s="1"/>
  <c r="M603" i="23"/>
  <c r="M611" i="23"/>
  <c r="G611" i="23" s="1"/>
  <c r="M920" i="23"/>
  <c r="M915" i="23"/>
  <c r="F915" i="23" s="1"/>
  <c r="M577" i="23"/>
  <c r="M590" i="23"/>
  <c r="F590" i="23" s="1"/>
  <c r="M1151" i="23"/>
  <c r="F1151" i="23" s="1"/>
  <c r="M1146" i="23"/>
  <c r="G1146" i="23" s="1"/>
  <c r="M471" i="23"/>
  <c r="G471" i="23" s="1"/>
  <c r="M467" i="23"/>
  <c r="G467" i="23" s="1"/>
  <c r="M1276" i="23"/>
  <c r="G1276" i="23" s="1"/>
  <c r="M509" i="23"/>
  <c r="F509" i="23" s="1"/>
  <c r="M519" i="23"/>
  <c r="F519" i="23" s="1"/>
  <c r="M1356" i="23"/>
  <c r="G1356" i="23" s="1"/>
  <c r="M1352" i="23"/>
  <c r="G1352" i="23" s="1"/>
  <c r="M789" i="23"/>
  <c r="F789" i="23" s="1"/>
  <c r="M786" i="23"/>
  <c r="F786" i="23" s="1"/>
  <c r="M783" i="23"/>
  <c r="F783" i="23" s="1"/>
  <c r="M461" i="23"/>
  <c r="G461" i="23" s="1"/>
  <c r="M456" i="23"/>
  <c r="M287" i="23"/>
  <c r="G287" i="23" s="1"/>
  <c r="M1266" i="23"/>
  <c r="F1266" i="23" s="1"/>
  <c r="M442" i="23"/>
  <c r="F442" i="23" s="1"/>
  <c r="M447" i="23"/>
  <c r="G447" i="23" s="1"/>
  <c r="M510" i="23"/>
  <c r="F510" i="23" s="1"/>
  <c r="M506" i="23"/>
  <c r="F506" i="23" s="1"/>
  <c r="M1296" i="23"/>
  <c r="F1296" i="23" s="1"/>
  <c r="M1305" i="23"/>
  <c r="F1305" i="23" s="1"/>
  <c r="M111" i="23"/>
  <c r="F111" i="23" s="1"/>
  <c r="M352" i="23"/>
  <c r="F352" i="23" s="1"/>
  <c r="M1143" i="23"/>
  <c r="F1143" i="23" s="1"/>
  <c r="M98" i="23"/>
  <c r="G98" i="23" s="1"/>
  <c r="M1166" i="23"/>
  <c r="F1166" i="23" s="1"/>
  <c r="M1171" i="23"/>
  <c r="F1171" i="23" s="1"/>
  <c r="M204" i="23"/>
  <c r="M218" i="23"/>
  <c r="M492" i="23"/>
  <c r="F492" i="23" s="1"/>
  <c r="M500" i="23"/>
  <c r="M484" i="23"/>
  <c r="G484" i="23" s="1"/>
  <c r="M535" i="23"/>
  <c r="G535" i="23" s="1"/>
  <c r="M551" i="23"/>
  <c r="M964" i="23"/>
  <c r="F964" i="23" s="1"/>
  <c r="M196" i="23"/>
  <c r="F196" i="23" s="1"/>
  <c r="M1240" i="23"/>
  <c r="G1240" i="23" s="1"/>
  <c r="G52" i="23"/>
  <c r="M410" i="23"/>
  <c r="M402" i="23"/>
  <c r="M396" i="23"/>
  <c r="M427" i="23"/>
  <c r="F427" i="23" s="1"/>
  <c r="M405" i="23"/>
  <c r="M425" i="23"/>
  <c r="M417" i="23"/>
  <c r="M419" i="23"/>
  <c r="F419" i="23" s="1"/>
  <c r="M1017" i="23"/>
  <c r="G1017" i="23" s="1"/>
  <c r="M1016" i="23"/>
  <c r="F1016" i="23" s="1"/>
  <c r="M275" i="23"/>
  <c r="F275" i="23" s="1"/>
  <c r="M280" i="23"/>
  <c r="F280" i="23" s="1"/>
  <c r="M156" i="23"/>
  <c r="G156" i="23" s="1"/>
  <c r="M162" i="23"/>
  <c r="F162" i="23" s="1"/>
  <c r="M1002" i="23"/>
  <c r="M642" i="23"/>
  <c r="F642" i="23" s="1"/>
  <c r="M646" i="23"/>
  <c r="M235" i="23"/>
  <c r="M232" i="23"/>
  <c r="M229" i="23"/>
  <c r="F229" i="23" s="1"/>
  <c r="M1423" i="23"/>
  <c r="M1436" i="23"/>
  <c r="F1436" i="23" s="1"/>
  <c r="M1439" i="23"/>
  <c r="G1161" i="23"/>
  <c r="M1430" i="23"/>
  <c r="M1245" i="23"/>
  <c r="G1245" i="23" s="1"/>
  <c r="M865" i="23"/>
  <c r="F865" i="23" s="1"/>
  <c r="M880" i="23"/>
  <c r="M871" i="23"/>
  <c r="F871" i="23" s="1"/>
  <c r="M709" i="23"/>
  <c r="G709" i="23" s="1"/>
  <c r="M708" i="23"/>
  <c r="M227" i="23"/>
  <c r="F227" i="23" s="1"/>
  <c r="M212" i="23"/>
  <c r="M341" i="23"/>
  <c r="G341" i="23" s="1"/>
  <c r="M320" i="23"/>
  <c r="F320" i="23" s="1"/>
  <c r="M250" i="23"/>
  <c r="F250" i="23" s="1"/>
  <c r="M260" i="23"/>
  <c r="M597" i="23"/>
  <c r="M85" i="23"/>
  <c r="M90" i="23"/>
  <c r="F90" i="23" s="1"/>
  <c r="M74" i="23"/>
  <c r="M70" i="23"/>
  <c r="G70" i="23" s="1"/>
  <c r="M986" i="23"/>
  <c r="M1004" i="23"/>
  <c r="M919" i="23"/>
  <c r="M913" i="23"/>
  <c r="M574" i="23"/>
  <c r="M593" i="23"/>
  <c r="M596" i="23"/>
  <c r="F596" i="23" s="1"/>
  <c r="M645" i="23"/>
  <c r="G645" i="23" s="1"/>
  <c r="M682" i="23"/>
  <c r="M662" i="23"/>
  <c r="F662" i="23" s="1"/>
  <c r="M665" i="23"/>
  <c r="M523" i="23"/>
  <c r="F523" i="23" s="1"/>
  <c r="M1433" i="23"/>
  <c r="M199" i="23"/>
  <c r="F199" i="23" s="1"/>
  <c r="M224" i="23"/>
  <c r="M772" i="23"/>
  <c r="M790" i="23"/>
  <c r="G790" i="23" s="1"/>
  <c r="M949" i="23"/>
  <c r="M963" i="23"/>
  <c r="F963" i="23" s="1"/>
  <c r="M951" i="23"/>
  <c r="M1401" i="23"/>
  <c r="M1250" i="23"/>
  <c r="F1250" i="23" s="1"/>
  <c r="M1152" i="23"/>
  <c r="G1152" i="23" s="1"/>
  <c r="M141" i="23"/>
  <c r="F141" i="23" s="1"/>
  <c r="M139" i="23"/>
  <c r="M142" i="23"/>
  <c r="G142" i="23" s="1"/>
  <c r="M717" i="23"/>
  <c r="M710" i="23"/>
  <c r="G710" i="23" s="1"/>
  <c r="M301" i="23"/>
  <c r="M278" i="23"/>
  <c r="F278" i="23" s="1"/>
  <c r="M545" i="23"/>
  <c r="M533" i="23"/>
  <c r="F533" i="23" s="1"/>
  <c r="M793" i="23"/>
  <c r="F793" i="23" s="1"/>
  <c r="M785" i="23"/>
  <c r="G785" i="23" s="1"/>
  <c r="M539" i="23"/>
  <c r="F539" i="23" s="1"/>
  <c r="F1015" i="23"/>
  <c r="M741" i="23"/>
  <c r="M748" i="23"/>
  <c r="G748" i="23" s="1"/>
  <c r="M751" i="23"/>
  <c r="F751" i="23" s="1"/>
  <c r="M373" i="23"/>
  <c r="G373" i="23" s="1"/>
  <c r="M381" i="23"/>
  <c r="M755" i="23"/>
  <c r="M750" i="23"/>
  <c r="G750" i="23" s="1"/>
  <c r="M762" i="23"/>
  <c r="M180" i="23"/>
  <c r="F180" i="23" s="1"/>
  <c r="M210" i="23"/>
  <c r="G210" i="23" s="1"/>
  <c r="M1413" i="23"/>
  <c r="M1403" i="23"/>
  <c r="M1429" i="23"/>
  <c r="M69" i="23"/>
  <c r="G69" i="23" s="1"/>
  <c r="M56" i="23"/>
  <c r="G56" i="23" s="1"/>
  <c r="M744" i="23"/>
  <c r="F744" i="23" s="1"/>
  <c r="M758" i="23"/>
  <c r="F758" i="23" s="1"/>
  <c r="M58" i="23"/>
  <c r="M1469" i="23"/>
  <c r="G1469" i="23" s="1"/>
  <c r="M296" i="23"/>
  <c r="G296" i="23" s="1"/>
  <c r="M125" i="23"/>
  <c r="M123" i="23"/>
  <c r="M1222" i="23"/>
  <c r="F1222" i="23" s="1"/>
  <c r="M1247" i="23"/>
  <c r="G1247" i="23" s="1"/>
  <c r="M613" i="23"/>
  <c r="F613" i="23" s="1"/>
  <c r="M617" i="23"/>
  <c r="G617" i="23" s="1"/>
  <c r="M586" i="23"/>
  <c r="G586" i="23" s="1"/>
  <c r="M584" i="23"/>
  <c r="G584" i="23" s="1"/>
  <c r="M1138" i="23"/>
  <c r="F1138" i="23" s="1"/>
  <c r="M1134" i="23"/>
  <c r="F1134" i="23" s="1"/>
  <c r="M271" i="23"/>
  <c r="M253" i="23"/>
  <c r="M884" i="23"/>
  <c r="G884" i="23" s="1"/>
  <c r="M890" i="23"/>
  <c r="F890" i="23" s="1"/>
  <c r="M77" i="23"/>
  <c r="F77" i="23" s="1"/>
  <c r="M89" i="23"/>
  <c r="F89" i="23" s="1"/>
  <c r="M1219" i="23"/>
  <c r="F1219" i="23" s="1"/>
  <c r="M1207" i="23"/>
  <c r="F1207" i="23" s="1"/>
  <c r="M1210" i="23"/>
  <c r="M1442" i="23"/>
  <c r="M1449" i="23"/>
  <c r="M1188" i="23"/>
  <c r="M566" i="23"/>
  <c r="G566" i="23" s="1"/>
  <c r="M1360" i="23"/>
  <c r="F1360" i="23" s="1"/>
  <c r="M481" i="23"/>
  <c r="G481" i="23" s="1"/>
  <c r="M480" i="23"/>
  <c r="F480" i="23" s="1"/>
  <c r="M954" i="23"/>
  <c r="F954" i="23" s="1"/>
  <c r="M945" i="23"/>
  <c r="G945" i="23" s="1"/>
  <c r="M809" i="23"/>
  <c r="M812" i="23"/>
  <c r="G812" i="23" s="1"/>
  <c r="M803" i="23"/>
  <c r="M197" i="23"/>
  <c r="M202" i="23"/>
  <c r="F202" i="23" s="1"/>
  <c r="M220" i="23"/>
  <c r="F220" i="23" s="1"/>
  <c r="M849" i="23"/>
  <c r="G849" i="23" s="1"/>
  <c r="M852" i="23"/>
  <c r="G852" i="23" s="1"/>
  <c r="M134" i="23"/>
  <c r="G134" i="23" s="1"/>
  <c r="M93" i="23"/>
  <c r="M902" i="23"/>
  <c r="M895" i="23"/>
  <c r="M903" i="23"/>
  <c r="M1030" i="23"/>
  <c r="F1030" i="23" s="1"/>
  <c r="M1040" i="23"/>
  <c r="F1040" i="23" s="1"/>
  <c r="M1408" i="23"/>
  <c r="F1408" i="23" s="1"/>
  <c r="M1393" i="23"/>
  <c r="M1421" i="23"/>
  <c r="M1409" i="23"/>
  <c r="F1409" i="23" s="1"/>
  <c r="M828" i="23"/>
  <c r="M857" i="23"/>
  <c r="F857" i="23" s="1"/>
  <c r="M1189" i="23"/>
  <c r="M694" i="23"/>
  <c r="G694" i="23" s="1"/>
  <c r="M715" i="23"/>
  <c r="F715" i="23" s="1"/>
  <c r="M1470" i="23"/>
  <c r="F1470" i="23" s="1"/>
  <c r="M1475" i="23"/>
  <c r="M1111" i="23"/>
  <c r="F1111" i="23" s="1"/>
  <c r="M1106" i="23"/>
  <c r="G1106" i="23" s="1"/>
  <c r="M1116" i="23"/>
  <c r="F1116" i="23" s="1"/>
  <c r="M80" i="23"/>
  <c r="F80" i="23" s="1"/>
  <c r="M65" i="23"/>
  <c r="F65" i="23" s="1"/>
  <c r="M62" i="23"/>
  <c r="F62" i="23" s="1"/>
  <c r="M1301" i="23"/>
  <c r="M1294" i="23"/>
  <c r="F1294" i="23" s="1"/>
  <c r="M1300" i="23"/>
  <c r="M675" i="23"/>
  <c r="M695" i="23"/>
  <c r="F695" i="23" s="1"/>
  <c r="G1015" i="23"/>
  <c r="M1154" i="23"/>
  <c r="F1154" i="23" s="1"/>
  <c r="M651" i="23"/>
  <c r="F651" i="23" s="1"/>
  <c r="M740" i="23"/>
  <c r="F740" i="23" s="1"/>
  <c r="M743" i="23"/>
  <c r="F743" i="23" s="1"/>
  <c r="M1046" i="23"/>
  <c r="F1046" i="23" s="1"/>
  <c r="M1038" i="23"/>
  <c r="F1038" i="23" s="1"/>
  <c r="M1045" i="23"/>
  <c r="F1045" i="23" s="1"/>
  <c r="M1104" i="23"/>
  <c r="G1104" i="23" s="1"/>
  <c r="M1089" i="23"/>
  <c r="M194" i="23"/>
  <c r="F194" i="23" s="1"/>
  <c r="M183" i="23"/>
  <c r="M289" i="23"/>
  <c r="F289" i="23" s="1"/>
  <c r="M273" i="23"/>
  <c r="F273" i="23" s="1"/>
  <c r="M343" i="23"/>
  <c r="G343" i="23" s="1"/>
  <c r="M327" i="23"/>
  <c r="F327" i="23" s="1"/>
  <c r="M331" i="23"/>
  <c r="F331" i="23" s="1"/>
  <c r="M168" i="23"/>
  <c r="F168" i="23" s="1"/>
  <c r="M178" i="23"/>
  <c r="M1330" i="23"/>
  <c r="G1330" i="23" s="1"/>
  <c r="M1310" i="23"/>
  <c r="F1310" i="23" s="1"/>
  <c r="M839" i="23"/>
  <c r="G839" i="23" s="1"/>
  <c r="M842" i="23"/>
  <c r="G842" i="23" s="1"/>
  <c r="M814" i="23"/>
  <c r="M609" i="23"/>
  <c r="F609" i="23" s="1"/>
  <c r="M524" i="23"/>
  <c r="M521" i="23"/>
  <c r="F521" i="23" s="1"/>
  <c r="M541" i="23"/>
  <c r="M532" i="23"/>
  <c r="F532" i="23" s="1"/>
  <c r="M356" i="23"/>
  <c r="F356" i="23" s="1"/>
  <c r="M336" i="23"/>
  <c r="F336" i="23" s="1"/>
  <c r="M390" i="23"/>
  <c r="G390" i="23" s="1"/>
  <c r="M400" i="23"/>
  <c r="F400" i="23" s="1"/>
  <c r="M1287" i="23"/>
  <c r="F1287" i="23" s="1"/>
  <c r="M1273" i="23"/>
  <c r="F1273" i="23" s="1"/>
  <c r="M1275" i="23"/>
  <c r="F1275" i="23" s="1"/>
  <c r="M1181" i="23"/>
  <c r="G1181" i="23" s="1"/>
  <c r="M1180" i="23"/>
  <c r="M195" i="23"/>
  <c r="G195" i="23" s="1"/>
  <c r="M201" i="23"/>
  <c r="G201" i="23" s="1"/>
  <c r="M1028" i="23"/>
  <c r="M1020" i="23"/>
  <c r="M1035" i="23"/>
  <c r="M1031" i="23"/>
  <c r="F1031" i="23" s="1"/>
  <c r="M55" i="23"/>
  <c r="F55" i="23" s="1"/>
  <c r="M60" i="23"/>
  <c r="F60" i="23" s="1"/>
  <c r="M768" i="23"/>
  <c r="M760" i="23"/>
  <c r="M769" i="23"/>
  <c r="M242" i="23"/>
  <c r="M238" i="23"/>
  <c r="F238" i="23" s="1"/>
  <c r="M63" i="23"/>
  <c r="M39" i="23"/>
  <c r="G39" i="23" s="1"/>
  <c r="M102" i="23"/>
  <c r="M113" i="23"/>
  <c r="F113" i="23" s="1"/>
  <c r="M705" i="23"/>
  <c r="F705" i="23" s="1"/>
  <c r="M689" i="23"/>
  <c r="M699" i="23"/>
  <c r="G699" i="23" s="1"/>
  <c r="M355" i="23"/>
  <c r="F355" i="23" s="1"/>
  <c r="M364" i="23"/>
  <c r="F364" i="23" s="1"/>
  <c r="M1179" i="23"/>
  <c r="M571" i="23"/>
  <c r="F571" i="23" s="1"/>
  <c r="M1227" i="23"/>
  <c r="F1227" i="23" s="1"/>
  <c r="M1254" i="23"/>
  <c r="M706" i="23"/>
  <c r="F706" i="23" s="1"/>
  <c r="M716" i="23"/>
  <c r="M714" i="23"/>
  <c r="F714" i="23" s="1"/>
  <c r="M614" i="23"/>
  <c r="M610" i="23"/>
  <c r="F610" i="23" s="1"/>
  <c r="M733" i="23"/>
  <c r="M727" i="23"/>
  <c r="G727" i="23" s="1"/>
  <c r="M1110" i="23"/>
  <c r="F1110" i="23" s="1"/>
  <c r="M1139" i="23"/>
  <c r="G1139" i="23" s="1"/>
  <c r="M256" i="23"/>
  <c r="M245" i="23"/>
  <c r="G245" i="23" s="1"/>
  <c r="M244" i="23"/>
  <c r="M1147" i="23"/>
  <c r="F1147" i="23" s="1"/>
  <c r="M1142" i="23"/>
  <c r="G1142" i="23" s="1"/>
  <c r="M469" i="23"/>
  <c r="M464" i="23"/>
  <c r="F464" i="23" s="1"/>
  <c r="M380" i="23"/>
  <c r="M393" i="23"/>
  <c r="M174" i="23"/>
  <c r="M158" i="23"/>
  <c r="F158" i="23" s="1"/>
  <c r="M517" i="23"/>
  <c r="F517" i="23" s="1"/>
  <c r="M514" i="23"/>
  <c r="F514" i="23" s="1"/>
  <c r="M511" i="23"/>
  <c r="F511" i="23" s="1"/>
  <c r="M1367" i="23"/>
  <c r="G1367" i="23" s="1"/>
  <c r="M1361" i="23"/>
  <c r="G1361" i="23" s="1"/>
  <c r="M282" i="23"/>
  <c r="G282" i="23" s="1"/>
  <c r="M294" i="23"/>
  <c r="G294" i="23" s="1"/>
  <c r="M281" i="23"/>
  <c r="F281" i="23" s="1"/>
  <c r="M1268" i="23"/>
  <c r="F1268" i="23" s="1"/>
  <c r="M1264" i="23"/>
  <c r="F1264" i="23" s="1"/>
  <c r="M1039" i="23"/>
  <c r="F1039" i="23" s="1"/>
  <c r="M1013" i="23"/>
  <c r="G1013" i="23" s="1"/>
  <c r="M1027" i="23"/>
  <c r="G1027" i="23" s="1"/>
  <c r="M1018" i="23"/>
  <c r="F1018" i="23" s="1"/>
  <c r="M631" i="23"/>
  <c r="M639" i="23"/>
  <c r="M650" i="23"/>
  <c r="M291" i="23"/>
  <c r="M288" i="23"/>
  <c r="G288" i="23" s="1"/>
  <c r="M265" i="23"/>
  <c r="M452" i="23"/>
  <c r="F452" i="23" s="1"/>
  <c r="M468" i="23"/>
  <c r="F468" i="23" s="1"/>
  <c r="M163" i="23"/>
  <c r="M167" i="23"/>
  <c r="M804" i="23"/>
  <c r="M800" i="23"/>
  <c r="M805" i="23"/>
  <c r="F805" i="23" s="1"/>
  <c r="M797" i="23"/>
  <c r="M579" i="23"/>
  <c r="M572" i="23"/>
  <c r="M457" i="23"/>
  <c r="M454" i="23"/>
  <c r="M1052" i="23"/>
  <c r="M1054" i="23"/>
  <c r="M1050" i="23"/>
  <c r="M879" i="23"/>
  <c r="M883" i="23"/>
  <c r="M498" i="23"/>
  <c r="M507" i="23"/>
  <c r="G507" i="23" s="1"/>
  <c r="M818" i="23"/>
  <c r="F818" i="23" s="1"/>
  <c r="M822" i="23"/>
  <c r="G822" i="23" s="1"/>
  <c r="M827" i="23"/>
  <c r="F827" i="23" s="1"/>
  <c r="M563" i="23"/>
  <c r="F563" i="23" s="1"/>
  <c r="M553" i="23"/>
  <c r="F553" i="23" s="1"/>
  <c r="M382" i="23"/>
  <c r="M376" i="23"/>
  <c r="F376" i="23" s="1"/>
  <c r="M361" i="23"/>
  <c r="F361" i="23" s="1"/>
  <c r="M972" i="23"/>
  <c r="M975" i="23"/>
  <c r="F975" i="23" s="1"/>
  <c r="M984" i="23"/>
  <c r="G984" i="23" s="1"/>
  <c r="M513" i="23"/>
  <c r="M485" i="23"/>
  <c r="G485" i="23" s="1"/>
  <c r="M503" i="23"/>
  <c r="M246" i="23"/>
  <c r="M255" i="23"/>
  <c r="M247" i="23"/>
  <c r="F247" i="23" s="1"/>
  <c r="M888" i="23"/>
  <c r="G888" i="23" s="1"/>
  <c r="M908" i="23"/>
  <c r="F908" i="23" s="1"/>
  <c r="M893" i="23"/>
  <c r="F893" i="23" s="1"/>
  <c r="M887" i="23"/>
  <c r="F887" i="23" s="1"/>
  <c r="M897" i="23"/>
  <c r="M1209" i="23"/>
  <c r="F1209" i="23" s="1"/>
  <c r="M678" i="23"/>
  <c r="G678" i="23" s="1"/>
  <c r="M686" i="23"/>
  <c r="M712" i="23"/>
  <c r="G712" i="23" s="1"/>
  <c r="M722" i="23"/>
  <c r="F722" i="23" s="1"/>
  <c r="M415" i="23"/>
  <c r="M436" i="23"/>
  <c r="G436" i="23" s="1"/>
  <c r="M668" i="23"/>
  <c r="M681" i="23"/>
  <c r="M482" i="23"/>
  <c r="M478" i="23"/>
  <c r="G478" i="23" s="1"/>
  <c r="M308" i="23"/>
  <c r="F308" i="23" s="1"/>
  <c r="M333" i="23"/>
  <c r="F333" i="23" s="1"/>
  <c r="M334" i="23"/>
  <c r="G334" i="23" s="1"/>
  <c r="M534" i="23"/>
  <c r="F534" i="23" s="1"/>
  <c r="M544" i="23"/>
  <c r="M406" i="23"/>
  <c r="G406" i="23" s="1"/>
  <c r="M394" i="23"/>
  <c r="F394" i="23" s="1"/>
  <c r="M407" i="23"/>
  <c r="G407" i="23" s="1"/>
  <c r="M935" i="23"/>
  <c r="G935" i="23" s="1"/>
  <c r="M907" i="23"/>
  <c r="F907" i="23" s="1"/>
  <c r="M1444" i="23"/>
  <c r="M1447" i="23"/>
  <c r="F1080" i="23"/>
  <c r="G1388" i="23"/>
  <c r="M721" i="23"/>
  <c r="G721" i="23" s="1"/>
  <c r="M707" i="23"/>
  <c r="M732" i="23"/>
  <c r="M731" i="23"/>
  <c r="M1053" i="23"/>
  <c r="G1053" i="23" s="1"/>
  <c r="M1056" i="23"/>
  <c r="G1056" i="23" s="1"/>
  <c r="M1058" i="23"/>
  <c r="M925" i="23"/>
  <c r="F925" i="23" s="1"/>
  <c r="M931" i="23"/>
  <c r="F931" i="23" s="1"/>
  <c r="M918" i="23"/>
  <c r="G918" i="23" s="1"/>
  <c r="M923" i="23"/>
  <c r="F923" i="23" s="1"/>
  <c r="M928" i="23"/>
  <c r="G928" i="23" s="1"/>
  <c r="M489" i="23"/>
  <c r="M504" i="23"/>
  <c r="G504" i="23" s="1"/>
  <c r="M505" i="23"/>
  <c r="G505" i="23" s="1"/>
  <c r="M490" i="23"/>
  <c r="G490" i="23" s="1"/>
  <c r="M520" i="23"/>
  <c r="F520" i="23" s="1"/>
  <c r="M495" i="23"/>
  <c r="F495" i="23" s="1"/>
  <c r="M340" i="23"/>
  <c r="G340" i="23" s="1"/>
  <c r="M338" i="23"/>
  <c r="F338" i="23" s="1"/>
  <c r="M208" i="23"/>
  <c r="F208" i="23" s="1"/>
  <c r="M211" i="23"/>
  <c r="G211" i="23" s="1"/>
  <c r="M213" i="23"/>
  <c r="M209" i="23"/>
  <c r="M223" i="23"/>
  <c r="G223" i="23" s="1"/>
  <c r="M445" i="23"/>
  <c r="F445" i="23" s="1"/>
  <c r="M450" i="23"/>
  <c r="G450" i="23" s="1"/>
  <c r="M458" i="23"/>
  <c r="M776" i="23"/>
  <c r="F776" i="23" s="1"/>
  <c r="M767" i="23"/>
  <c r="G767" i="23" s="1"/>
  <c r="M773" i="23"/>
  <c r="F773" i="23" s="1"/>
  <c r="M780" i="23"/>
  <c r="M640" i="23"/>
  <c r="F640" i="23" s="1"/>
  <c r="M629" i="23"/>
  <c r="F629" i="23" s="1"/>
  <c r="M876" i="23"/>
  <c r="G876" i="23" s="1"/>
  <c r="M872" i="23"/>
  <c r="G872" i="23" s="1"/>
  <c r="M875" i="23"/>
  <c r="F875" i="23" s="1"/>
  <c r="M892" i="23"/>
  <c r="F892" i="23" s="1"/>
  <c r="M493" i="23"/>
  <c r="F493" i="23" s="1"/>
  <c r="M501" i="23"/>
  <c r="M491" i="23"/>
  <c r="F491" i="23" s="1"/>
  <c r="M1125" i="23"/>
  <c r="G1125" i="23" s="1"/>
  <c r="M1131" i="23"/>
  <c r="G1131" i="23" s="1"/>
  <c r="M1145" i="23"/>
  <c r="F1145" i="23" s="1"/>
  <c r="M1132" i="23"/>
  <c r="F1132" i="23" s="1"/>
  <c r="M1148" i="23"/>
  <c r="F1148" i="23" s="1"/>
  <c r="M248" i="23"/>
  <c r="G248" i="23" s="1"/>
  <c r="M241" i="23"/>
  <c r="F241" i="23" s="1"/>
  <c r="M237" i="23"/>
  <c r="G237" i="23" s="1"/>
  <c r="M259" i="23"/>
  <c r="G259" i="23" s="1"/>
  <c r="M806" i="23"/>
  <c r="M791" i="23"/>
  <c r="F791" i="23" s="1"/>
  <c r="M807" i="23"/>
  <c r="F807" i="23" s="1"/>
  <c r="M905" i="23"/>
  <c r="M921" i="23"/>
  <c r="G921" i="23" s="1"/>
  <c r="M909" i="23"/>
  <c r="F909" i="23" s="1"/>
  <c r="M595" i="23"/>
  <c r="M601" i="23"/>
  <c r="G601" i="23" s="1"/>
  <c r="M619" i="23"/>
  <c r="M606" i="23"/>
  <c r="M587" i="23"/>
  <c r="F587" i="23" s="1"/>
  <c r="M233" i="23"/>
  <c r="F233" i="23" s="1"/>
  <c r="M234" i="23"/>
  <c r="F234" i="23" s="1"/>
  <c r="M254" i="23"/>
  <c r="F254" i="23" s="1"/>
  <c r="M479" i="23"/>
  <c r="M494" i="23"/>
  <c r="F494" i="23" s="1"/>
  <c r="M1140" i="23"/>
  <c r="F1140" i="23" s="1"/>
  <c r="M1153" i="23"/>
  <c r="M1173" i="23"/>
  <c r="F1173" i="23" s="1"/>
  <c r="M1149" i="23"/>
  <c r="F1149" i="23" s="1"/>
  <c r="M221" i="23"/>
  <c r="F221" i="23" s="1"/>
  <c r="M226" i="23"/>
  <c r="F226" i="23" s="1"/>
  <c r="M231" i="23"/>
  <c r="M230" i="23"/>
  <c r="M225" i="23"/>
  <c r="F225" i="23" s="1"/>
  <c r="M667" i="23"/>
  <c r="F667" i="23" s="1"/>
  <c r="M679" i="23"/>
  <c r="G679" i="23" s="1"/>
  <c r="M673" i="23"/>
  <c r="M999" i="23"/>
  <c r="F999" i="23" s="1"/>
  <c r="M1026" i="23"/>
  <c r="F1026" i="23" s="1"/>
  <c r="M1000" i="23"/>
  <c r="F1000" i="23" s="1"/>
  <c r="M299" i="23"/>
  <c r="F299" i="23" s="1"/>
  <c r="M295" i="23"/>
  <c r="F295" i="23" s="1"/>
  <c r="M283" i="23"/>
  <c r="F283" i="23" s="1"/>
  <c r="M161" i="23"/>
  <c r="G161" i="23" s="1"/>
  <c r="M153" i="23"/>
  <c r="G153" i="23" s="1"/>
  <c r="M151" i="23"/>
  <c r="G151" i="23" s="1"/>
  <c r="M1428" i="23"/>
  <c r="F1428" i="23" s="1"/>
  <c r="M1440" i="23"/>
  <c r="G1440" i="23" s="1"/>
  <c r="M1446" i="23"/>
  <c r="G1446" i="23" s="1"/>
  <c r="M1417" i="23"/>
  <c r="F1417" i="23" s="1"/>
  <c r="M1445" i="23"/>
  <c r="M1457" i="23"/>
  <c r="M1456" i="23"/>
  <c r="M1459" i="23"/>
  <c r="M137" i="23"/>
  <c r="G137" i="23" s="1"/>
  <c r="M129" i="23"/>
  <c r="F129" i="23" s="1"/>
  <c r="M138" i="23"/>
  <c r="F138" i="23" s="1"/>
  <c r="M143" i="23"/>
  <c r="G143" i="23" s="1"/>
  <c r="M778" i="23"/>
  <c r="G778" i="23" s="1"/>
  <c r="M761" i="23"/>
  <c r="F761" i="23" s="1"/>
  <c r="M770" i="23"/>
  <c r="F770" i="23" s="1"/>
  <c r="M388" i="23"/>
  <c r="M403" i="23"/>
  <c r="F403" i="23" s="1"/>
  <c r="M395" i="23"/>
  <c r="M379" i="23"/>
  <c r="G379" i="23" s="1"/>
  <c r="M841" i="23"/>
  <c r="G841" i="23" s="1"/>
  <c r="M845" i="23"/>
  <c r="G845" i="23" s="1"/>
  <c r="M836" i="23"/>
  <c r="F836" i="23" s="1"/>
  <c r="M846" i="23"/>
  <c r="F846" i="23" s="1"/>
  <c r="M833" i="23"/>
  <c r="F833" i="23" s="1"/>
  <c r="M136" i="23"/>
  <c r="M131" i="23"/>
  <c r="F131" i="23" s="1"/>
  <c r="M135" i="23"/>
  <c r="G135" i="23" s="1"/>
  <c r="M149" i="23"/>
  <c r="G149" i="23" s="1"/>
  <c r="M1241" i="23"/>
  <c r="G1241" i="23" s="1"/>
  <c r="M1243" i="23"/>
  <c r="F1243" i="23" s="1"/>
  <c r="M1237" i="23"/>
  <c r="G1237" i="23" s="1"/>
  <c r="M1234" i="23"/>
  <c r="F1234" i="23" s="1"/>
  <c r="M1118" i="23"/>
  <c r="F1118" i="23" s="1"/>
  <c r="M1133" i="23"/>
  <c r="F1133" i="23" s="1"/>
  <c r="M1137" i="23"/>
  <c r="F1137" i="23" s="1"/>
  <c r="M1121" i="23"/>
  <c r="F1121" i="23" s="1"/>
  <c r="M952" i="23"/>
  <c r="M944" i="23"/>
  <c r="F944" i="23" s="1"/>
  <c r="M956" i="23"/>
  <c r="F956" i="23" s="1"/>
  <c r="M943" i="23"/>
  <c r="G943" i="23" s="1"/>
  <c r="M795" i="23"/>
  <c r="F795" i="23" s="1"/>
  <c r="M832" i="23"/>
  <c r="G832" i="23" s="1"/>
  <c r="M817" i="23"/>
  <c r="F817" i="23" s="1"/>
  <c r="M815" i="23"/>
  <c r="G815" i="23" s="1"/>
  <c r="M821" i="23"/>
  <c r="M622" i="23"/>
  <c r="G622" i="23" s="1"/>
  <c r="M637" i="23"/>
  <c r="F637" i="23" s="1"/>
  <c r="M653" i="23"/>
  <c r="F653" i="23" s="1"/>
  <c r="M636" i="23"/>
  <c r="M236" i="23"/>
  <c r="F236" i="23" s="1"/>
  <c r="M222" i="23"/>
  <c r="F222" i="23" s="1"/>
  <c r="M59" i="23"/>
  <c r="G59" i="23" s="1"/>
  <c r="M61" i="23"/>
  <c r="F61" i="23" s="1"/>
  <c r="M50" i="23"/>
  <c r="M72" i="23"/>
  <c r="M966" i="23"/>
  <c r="G966" i="23" s="1"/>
  <c r="M968" i="23"/>
  <c r="M950" i="23"/>
  <c r="F950" i="23" s="1"/>
  <c r="M962" i="23"/>
  <c r="F962" i="23" s="1"/>
  <c r="M179" i="23"/>
  <c r="F179" i="23" s="1"/>
  <c r="M171" i="23"/>
  <c r="F171" i="23" s="1"/>
  <c r="M164" i="23"/>
  <c r="G164" i="23" s="1"/>
  <c r="M177" i="23"/>
  <c r="M188" i="23"/>
  <c r="G188" i="23" s="1"/>
  <c r="M600" i="23"/>
  <c r="M612" i="23"/>
  <c r="F612" i="23" s="1"/>
  <c r="M608" i="23"/>
  <c r="G608" i="23" s="1"/>
  <c r="M432" i="23"/>
  <c r="G432" i="23" s="1"/>
  <c r="M424" i="23"/>
  <c r="F424" i="23" s="1"/>
  <c r="M350" i="23"/>
  <c r="F350" i="23" s="1"/>
  <c r="M335" i="23"/>
  <c r="G335" i="23" s="1"/>
  <c r="M321" i="23"/>
  <c r="G321" i="23" s="1"/>
  <c r="M344" i="23"/>
  <c r="G344" i="23" s="1"/>
  <c r="M323" i="23"/>
  <c r="G323" i="23" s="1"/>
  <c r="M1206" i="23"/>
  <c r="M713" i="23"/>
  <c r="F713" i="23" s="1"/>
  <c r="M704" i="23"/>
  <c r="M711" i="23"/>
  <c r="M701" i="23"/>
  <c r="F701" i="23" s="1"/>
  <c r="M1288" i="23"/>
  <c r="F1288" i="23" s="1"/>
  <c r="M1289" i="23"/>
  <c r="G1289" i="23" s="1"/>
  <c r="M697" i="23"/>
  <c r="F697" i="23" s="1"/>
  <c r="M683" i="23"/>
  <c r="F683" i="23" s="1"/>
  <c r="M401" i="23"/>
  <c r="G401" i="23" s="1"/>
  <c r="M414" i="23"/>
  <c r="F414" i="23" s="1"/>
  <c r="M399" i="23"/>
  <c r="F399" i="23" s="1"/>
  <c r="M422" i="23"/>
  <c r="M416" i="23"/>
  <c r="M515" i="23"/>
  <c r="F515" i="23" s="1"/>
  <c r="M522" i="23"/>
  <c r="F522" i="23" s="1"/>
  <c r="M502" i="23"/>
  <c r="F502" i="23" s="1"/>
  <c r="M1345" i="23"/>
  <c r="F1345" i="23" s="1"/>
  <c r="M1351" i="23"/>
  <c r="F1351" i="23" s="1"/>
  <c r="M1375" i="23"/>
  <c r="F1375" i="23" s="1"/>
  <c r="M1355" i="23"/>
  <c r="F1355" i="23" s="1"/>
  <c r="M1359" i="23"/>
  <c r="G1359" i="23" s="1"/>
  <c r="M752" i="23"/>
  <c r="G752" i="23" s="1"/>
  <c r="M754" i="23"/>
  <c r="F754" i="23" s="1"/>
  <c r="M747" i="23"/>
  <c r="F747" i="23" s="1"/>
  <c r="M374" i="23"/>
  <c r="G374" i="23" s="1"/>
  <c r="M377" i="23"/>
  <c r="F377" i="23" s="1"/>
  <c r="M1265" i="23"/>
  <c r="M1283" i="23"/>
  <c r="G1283" i="23" s="1"/>
  <c r="M1278" i="23"/>
  <c r="M1269" i="23"/>
  <c r="M759" i="23"/>
  <c r="F759" i="23" s="1"/>
  <c r="M765" i="23"/>
  <c r="M771" i="23"/>
  <c r="G771" i="23" s="1"/>
  <c r="M766" i="23"/>
  <c r="M1170" i="23"/>
  <c r="F1170" i="23" s="1"/>
  <c r="M1184" i="23"/>
  <c r="F1184" i="23" s="1"/>
  <c r="M205" i="23"/>
  <c r="F205" i="23" s="1"/>
  <c r="M191" i="23"/>
  <c r="G191" i="23" s="1"/>
  <c r="M991" i="23"/>
  <c r="F991" i="23" s="1"/>
  <c r="M1007" i="23"/>
  <c r="M980" i="23"/>
  <c r="G980" i="23" s="1"/>
  <c r="M816" i="23"/>
  <c r="G816" i="23" s="1"/>
  <c r="M813" i="23"/>
  <c r="F813" i="23" s="1"/>
  <c r="M824" i="23"/>
  <c r="M843" i="23"/>
  <c r="F843" i="23" s="1"/>
  <c r="M829" i="23"/>
  <c r="G829" i="23" s="1"/>
  <c r="M825" i="23"/>
  <c r="G825" i="23" s="1"/>
  <c r="M1156" i="23"/>
  <c r="F1156" i="23" s="1"/>
  <c r="M1150" i="23"/>
  <c r="F1150" i="23" s="1"/>
  <c r="M1136" i="23"/>
  <c r="F1136" i="23" s="1"/>
  <c r="M165" i="23"/>
  <c r="F165" i="23" s="1"/>
  <c r="M185" i="23"/>
  <c r="F185" i="23" s="1"/>
  <c r="M1316" i="23"/>
  <c r="F1316" i="23" s="1"/>
  <c r="M1326" i="23"/>
  <c r="F1326" i="23" s="1"/>
  <c r="M1320" i="23"/>
  <c r="G1320" i="23" s="1"/>
  <c r="M670" i="23"/>
  <c r="G670" i="23" s="1"/>
  <c r="M666" i="23"/>
  <c r="G666" i="23" s="1"/>
  <c r="M674" i="23"/>
  <c r="F674" i="23" s="1"/>
  <c r="M671" i="23"/>
  <c r="M1029" i="23"/>
  <c r="F1029" i="23" s="1"/>
  <c r="M1042" i="23"/>
  <c r="F1042" i="23" s="1"/>
  <c r="M1044" i="23"/>
  <c r="F1044" i="23" s="1"/>
  <c r="M1023" i="23"/>
  <c r="F1023" i="23" s="1"/>
  <c r="M360" i="23"/>
  <c r="M358" i="23"/>
  <c r="F358" i="23" s="1"/>
  <c r="M367" i="23"/>
  <c r="G367" i="23" s="1"/>
  <c r="M1318" i="23"/>
  <c r="M1307" i="23"/>
  <c r="M1303" i="23"/>
  <c r="M1329" i="23"/>
  <c r="G1329" i="23" s="1"/>
  <c r="M1314" i="23"/>
  <c r="M1304" i="23"/>
  <c r="M656" i="23"/>
  <c r="M644" i="23"/>
  <c r="G644" i="23" s="1"/>
  <c r="M658" i="23"/>
  <c r="F658" i="23" s="1"/>
  <c r="M647" i="23"/>
  <c r="M1256" i="23"/>
  <c r="G1256" i="23" s="1"/>
  <c r="M1251" i="23"/>
  <c r="F1251" i="23" s="1"/>
  <c r="M1253" i="23"/>
  <c r="F1253" i="23" s="1"/>
  <c r="M1255" i="23"/>
  <c r="G1255" i="23" s="1"/>
  <c r="M108" i="23"/>
  <c r="F108" i="23" s="1"/>
  <c r="M112" i="23"/>
  <c r="F112" i="23" s="1"/>
  <c r="M107" i="23"/>
  <c r="F107" i="23" s="1"/>
  <c r="M127" i="23"/>
  <c r="F127" i="23" s="1"/>
  <c r="M581" i="23"/>
  <c r="F581" i="23" s="1"/>
  <c r="M570" i="23"/>
  <c r="M573" i="23"/>
  <c r="F573" i="23" s="1"/>
  <c r="M583" i="23"/>
  <c r="M261" i="23"/>
  <c r="F261" i="23" s="1"/>
  <c r="M252" i="23"/>
  <c r="F252" i="23" s="1"/>
  <c r="M266" i="23"/>
  <c r="M249" i="23"/>
  <c r="F249" i="23" s="1"/>
  <c r="M977" i="23"/>
  <c r="G977" i="23" s="1"/>
  <c r="M973" i="23"/>
  <c r="M983" i="23"/>
  <c r="M990" i="23"/>
  <c r="M154" i="23"/>
  <c r="F154" i="23" s="1"/>
  <c r="M157" i="23"/>
  <c r="G157" i="23" s="1"/>
  <c r="M166" i="23"/>
  <c r="G166" i="23" s="1"/>
  <c r="M152" i="23"/>
  <c r="F152" i="23" s="1"/>
  <c r="M148" i="23"/>
  <c r="F148" i="23" s="1"/>
  <c r="M746" i="23"/>
  <c r="G746" i="23" s="1"/>
  <c r="M737" i="23"/>
  <c r="F737" i="23" s="1"/>
  <c r="M735" i="23"/>
  <c r="F735" i="23" s="1"/>
  <c r="M745" i="23"/>
  <c r="F745" i="23" s="1"/>
  <c r="M736" i="23"/>
  <c r="F736" i="23" s="1"/>
  <c r="M1024" i="23"/>
  <c r="G1024" i="23" s="1"/>
  <c r="M1010" i="23"/>
  <c r="F1010" i="23" s="1"/>
  <c r="M1012" i="23"/>
  <c r="F1012" i="23" s="1"/>
  <c r="M1008" i="23"/>
  <c r="F1008" i="23" s="1"/>
  <c r="M726" i="23"/>
  <c r="M723" i="23"/>
  <c r="F723" i="23" s="1"/>
  <c r="M718" i="23"/>
  <c r="F718" i="23" s="1"/>
  <c r="M602" i="23"/>
  <c r="M594" i="23"/>
  <c r="F594" i="23" s="1"/>
  <c r="M627" i="23"/>
  <c r="F627" i="23" s="1"/>
  <c r="M620" i="23"/>
  <c r="F620" i="23" s="1"/>
  <c r="M1036" i="23"/>
  <c r="M1049" i="23"/>
  <c r="G1049" i="23" s="1"/>
  <c r="M1034" i="23"/>
  <c r="F1034" i="23" s="1"/>
  <c r="M1051" i="23"/>
  <c r="F1051" i="23" s="1"/>
  <c r="M1043" i="23"/>
  <c r="G1043" i="23" s="1"/>
  <c r="M1107" i="23"/>
  <c r="F1107" i="23" s="1"/>
  <c r="M1101" i="23"/>
  <c r="F1101" i="23" s="1"/>
  <c r="M1100" i="23"/>
  <c r="G1100" i="23" s="1"/>
  <c r="M1103" i="23"/>
  <c r="F1103" i="23" s="1"/>
  <c r="M486" i="23"/>
  <c r="G486" i="23" s="1"/>
  <c r="M499" i="23"/>
  <c r="F499" i="23" s="1"/>
  <c r="M508" i="23"/>
  <c r="F508" i="23" s="1"/>
  <c r="M483" i="23"/>
  <c r="F483" i="23" s="1"/>
  <c r="M474" i="23"/>
  <c r="G474" i="23" s="1"/>
  <c r="M329" i="23"/>
  <c r="F329" i="23" s="1"/>
  <c r="M315" i="23"/>
  <c r="F315" i="23" s="1"/>
  <c r="M326" i="23"/>
  <c r="F326" i="23" s="1"/>
  <c r="M319" i="23"/>
  <c r="F319" i="23" s="1"/>
  <c r="M328" i="23"/>
  <c r="F328" i="23" s="1"/>
  <c r="M262" i="23"/>
  <c r="F262" i="23" s="1"/>
  <c r="M276" i="23"/>
  <c r="F276" i="23" s="1"/>
  <c r="M264" i="23"/>
  <c r="F264" i="23" s="1"/>
  <c r="M792" i="23"/>
  <c r="M784" i="23"/>
  <c r="M794" i="23"/>
  <c r="F794" i="23" s="1"/>
  <c r="M775" i="23"/>
  <c r="F775" i="23" s="1"/>
  <c r="M781" i="23"/>
  <c r="F781" i="23" s="1"/>
  <c r="M277" i="23"/>
  <c r="F277" i="23" s="1"/>
  <c r="M267" i="23"/>
  <c r="G267" i="23" s="1"/>
  <c r="M268" i="23"/>
  <c r="F268" i="23" s="1"/>
  <c r="M269" i="23"/>
  <c r="F269" i="23" s="1"/>
  <c r="M626" i="23"/>
  <c r="M633" i="23"/>
  <c r="M615" i="23"/>
  <c r="F615" i="23" s="1"/>
  <c r="M607" i="23"/>
  <c r="M669" i="23"/>
  <c r="G669" i="23" s="1"/>
  <c r="M649" i="23"/>
  <c r="M664" i="23"/>
  <c r="F664" i="23" s="1"/>
  <c r="M1486" i="23"/>
  <c r="G1486" i="23" s="1"/>
  <c r="M598" i="23"/>
  <c r="G598" i="23" s="1"/>
  <c r="M582" i="23"/>
  <c r="G582" i="23" s="1"/>
  <c r="M1060" i="23"/>
  <c r="G1060" i="23" s="1"/>
  <c r="M1062" i="23"/>
  <c r="M1059" i="23"/>
  <c r="M1064" i="23"/>
  <c r="F1064" i="23" s="1"/>
  <c r="M1071" i="23"/>
  <c r="F1071" i="23" s="1"/>
  <c r="M1022" i="23"/>
  <c r="M1037" i="23"/>
  <c r="G1037" i="23" s="1"/>
  <c r="M1009" i="23"/>
  <c r="F1009" i="23" s="1"/>
  <c r="M1021" i="23"/>
  <c r="F1021" i="23" s="1"/>
  <c r="M1025" i="23"/>
  <c r="F1025" i="23" s="1"/>
  <c r="M82" i="23"/>
  <c r="G82" i="23" s="1"/>
  <c r="M73" i="23"/>
  <c r="M67" i="23"/>
  <c r="G67" i="23" s="1"/>
  <c r="M76" i="23"/>
  <c r="M371" i="23"/>
  <c r="F371" i="23" s="1"/>
  <c r="M378" i="23"/>
  <c r="G378" i="23" s="1"/>
  <c r="M370" i="23"/>
  <c r="F370" i="23" s="1"/>
  <c r="M518" i="23"/>
  <c r="G518" i="23" s="1"/>
  <c r="M516" i="23"/>
  <c r="F516" i="23" s="1"/>
  <c r="M528" i="23"/>
  <c r="F528" i="23" s="1"/>
  <c r="M530" i="23"/>
  <c r="M889" i="23"/>
  <c r="F889" i="23" s="1"/>
  <c r="M886" i="23"/>
  <c r="G886" i="23" s="1"/>
  <c r="M867" i="23"/>
  <c r="F867" i="23" s="1"/>
  <c r="M677" i="23"/>
  <c r="G677" i="23" s="1"/>
  <c r="M690" i="23"/>
  <c r="F690" i="23" s="1"/>
  <c r="M696" i="23"/>
  <c r="F696" i="23" s="1"/>
  <c r="M692" i="23"/>
  <c r="M687" i="23"/>
  <c r="F687" i="23" s="1"/>
  <c r="M297" i="23"/>
  <c r="G297" i="23" s="1"/>
  <c r="M292" i="23"/>
  <c r="F292" i="23" s="1"/>
  <c r="M306" i="23"/>
  <c r="F306" i="23" s="1"/>
  <c r="M298" i="23"/>
  <c r="M305" i="23"/>
  <c r="M426" i="23"/>
  <c r="F426" i="23" s="1"/>
  <c r="M440" i="23"/>
  <c r="M421" i="23"/>
  <c r="M434" i="23"/>
  <c r="M444" i="23"/>
  <c r="M418" i="23"/>
  <c r="F418" i="23" s="1"/>
  <c r="M423" i="23"/>
  <c r="G423" i="23" s="1"/>
  <c r="M413" i="23"/>
  <c r="F413" i="23" s="1"/>
  <c r="M408" i="23"/>
  <c r="F408" i="23" s="1"/>
  <c r="M217" i="23"/>
  <c r="M215" i="23"/>
  <c r="M190" i="23"/>
  <c r="M214" i="23"/>
  <c r="M159" i="23"/>
  <c r="G159" i="23" s="1"/>
  <c r="M184" i="23"/>
  <c r="F184" i="23" s="1"/>
  <c r="M173" i="23"/>
  <c r="M176" i="23"/>
  <c r="F176" i="23" s="1"/>
  <c r="M564" i="23"/>
  <c r="M561" i="23"/>
  <c r="M557" i="23"/>
  <c r="F557" i="23" s="1"/>
  <c r="M580" i="23"/>
  <c r="F580" i="23" s="1"/>
  <c r="M885" i="23"/>
  <c r="F885" i="23" s="1"/>
  <c r="M896" i="23"/>
  <c r="F896" i="23" s="1"/>
  <c r="M910" i="23"/>
  <c r="M459" i="23"/>
  <c r="F459" i="23" s="1"/>
  <c r="M475" i="23"/>
  <c r="F475" i="23" s="1"/>
  <c r="M465" i="23"/>
  <c r="F465" i="23" s="1"/>
  <c r="M466" i="23"/>
  <c r="F466" i="23" s="1"/>
  <c r="M538" i="23"/>
  <c r="M536" i="23"/>
  <c r="F536" i="23" s="1"/>
  <c r="M552" i="23"/>
  <c r="M542" i="23"/>
  <c r="F542" i="23" s="1"/>
  <c r="M798" i="23"/>
  <c r="F798" i="23" s="1"/>
  <c r="M787" i="23"/>
  <c r="G787" i="23" s="1"/>
  <c r="M802" i="23"/>
  <c r="F802" i="23" s="1"/>
  <c r="M788" i="23"/>
  <c r="G788" i="23" s="1"/>
  <c r="M782" i="23"/>
  <c r="M796" i="23"/>
  <c r="G796" i="23" s="1"/>
  <c r="M1128" i="23"/>
  <c r="F1128" i="23" s="1"/>
  <c r="M1108" i="23"/>
  <c r="F1108" i="23" s="1"/>
  <c r="M1102" i="23"/>
  <c r="F1102" i="23" s="1"/>
  <c r="M1119" i="23"/>
  <c r="G1119" i="23" s="1"/>
  <c r="M1115" i="23"/>
  <c r="F1115" i="23" s="1"/>
  <c r="M719" i="23"/>
  <c r="G719" i="23" s="1"/>
  <c r="M720" i="23"/>
  <c r="M729" i="23"/>
  <c r="F729" i="23" s="1"/>
  <c r="M739" i="23"/>
  <c r="G739" i="23" s="1"/>
  <c r="M856" i="23"/>
  <c r="F856" i="23" s="1"/>
  <c r="M854" i="23"/>
  <c r="M855" i="23"/>
  <c r="M317" i="23"/>
  <c r="M313" i="23"/>
  <c r="M309" i="23"/>
  <c r="F309" i="23" s="1"/>
  <c r="M749" i="23"/>
  <c r="M756" i="23"/>
  <c r="M753" i="23"/>
  <c r="M971" i="23"/>
  <c r="M978" i="23"/>
  <c r="G978" i="23" s="1"/>
  <c r="M969" i="23"/>
  <c r="F969" i="23" s="1"/>
  <c r="M970" i="23"/>
  <c r="M979" i="23"/>
  <c r="G979" i="23" s="1"/>
  <c r="M477" i="23"/>
  <c r="F477" i="23" s="1"/>
  <c r="M487" i="23"/>
  <c r="G487" i="23" s="1"/>
  <c r="M473" i="23"/>
  <c r="F473" i="23" s="1"/>
  <c r="M488" i="23"/>
  <c r="F488" i="23" s="1"/>
  <c r="M437" i="23"/>
  <c r="F437" i="23" s="1"/>
  <c r="M443" i="23"/>
  <c r="M240" i="23"/>
  <c r="G240" i="23" s="1"/>
  <c r="M243" i="23"/>
  <c r="G243" i="23" s="1"/>
  <c r="M251" i="23"/>
  <c r="M239" i="23"/>
  <c r="F239" i="23" s="1"/>
  <c r="M917" i="23"/>
  <c r="M932" i="23"/>
  <c r="F932" i="23" s="1"/>
  <c r="M1420" i="23"/>
  <c r="M1410" i="23"/>
  <c r="F1410" i="23" s="1"/>
  <c r="M1415" i="23"/>
  <c r="F1415" i="23" s="1"/>
  <c r="M1412" i="23"/>
  <c r="G1412" i="23" s="1"/>
  <c r="M64" i="23"/>
  <c r="F64" i="23" s="1"/>
  <c r="M71" i="23"/>
  <c r="G71" i="23" s="1"/>
  <c r="M57" i="23"/>
  <c r="M558" i="23"/>
  <c r="F558" i="23" s="1"/>
  <c r="M547" i="23"/>
  <c r="M543" i="23"/>
  <c r="F543" i="23" s="1"/>
  <c r="M546" i="23"/>
  <c r="F546" i="23" s="1"/>
  <c r="M451" i="23"/>
  <c r="M453" i="23"/>
  <c r="F453" i="23" s="1"/>
  <c r="M462" i="23"/>
  <c r="F462" i="23" s="1"/>
  <c r="M455" i="23"/>
  <c r="F455" i="23" s="1"/>
  <c r="M441" i="23"/>
  <c r="M78" i="23"/>
  <c r="F78" i="23" s="1"/>
  <c r="M103" i="23"/>
  <c r="G103" i="23" s="1"/>
  <c r="M397" i="23"/>
  <c r="G397" i="23" s="1"/>
  <c r="M383" i="23"/>
  <c r="F383" i="23" s="1"/>
  <c r="M389" i="23"/>
  <c r="F389" i="23" s="1"/>
  <c r="M392" i="23"/>
  <c r="F392" i="23" s="1"/>
  <c r="M384" i="23"/>
  <c r="F384" i="23" s="1"/>
  <c r="M391" i="23"/>
  <c r="F391" i="23" s="1"/>
  <c r="M86" i="23"/>
  <c r="M83" i="23"/>
  <c r="F83" i="23" s="1"/>
  <c r="M97" i="23"/>
  <c r="G97" i="23" s="1"/>
  <c r="M101" i="23"/>
  <c r="G101" i="23" s="1"/>
  <c r="M700" i="23"/>
  <c r="M703" i="23"/>
  <c r="M691" i="23"/>
  <c r="F691" i="23" s="1"/>
  <c r="M684" i="23"/>
  <c r="F684" i="23" s="1"/>
  <c r="M702" i="23"/>
  <c r="F702" i="23" s="1"/>
  <c r="M900" i="23"/>
  <c r="F900" i="23" s="1"/>
  <c r="M906" i="23"/>
  <c r="M898" i="23"/>
  <c r="F898" i="23" s="1"/>
  <c r="M916" i="23"/>
  <c r="F916" i="23" s="1"/>
  <c r="M891" i="23"/>
  <c r="F891" i="23" s="1"/>
  <c r="M878" i="23"/>
  <c r="F878" i="23" s="1"/>
  <c r="M894" i="23"/>
  <c r="F894" i="23" s="1"/>
  <c r="M877" i="23"/>
  <c r="F877" i="23" s="1"/>
  <c r="M901" i="23"/>
  <c r="G901" i="23" s="1"/>
  <c r="G1462" i="23"/>
  <c r="G1465" i="23"/>
  <c r="G937" i="23"/>
  <c r="F1371" i="23"/>
  <c r="F1277" i="23"/>
  <c r="F1220" i="23"/>
  <c r="F874" i="23"/>
  <c r="F1312" i="23"/>
  <c r="F912" i="23"/>
  <c r="F985" i="23"/>
  <c r="F1235" i="23"/>
  <c r="G1082" i="23"/>
  <c r="F1086" i="23"/>
  <c r="F219" i="23"/>
  <c r="F1343" i="23"/>
  <c r="F1315" i="23"/>
  <c r="F1229" i="23"/>
  <c r="G362" i="23"/>
  <c r="F1382" i="23"/>
  <c r="F1384" i="23"/>
  <c r="G49" i="23"/>
  <c r="F1451" i="23"/>
  <c r="G1350" i="23"/>
  <c r="F589" i="23"/>
  <c r="F54" i="23"/>
  <c r="F809" i="23"/>
  <c r="G1349" i="23"/>
  <c r="G1080" i="23"/>
  <c r="G1357" i="23"/>
  <c r="F192" i="23"/>
  <c r="F1481" i="23"/>
  <c r="G187" i="23"/>
  <c r="F618" i="23"/>
  <c r="F404" i="23"/>
  <c r="F1082" i="23"/>
  <c r="F1084" i="23"/>
  <c r="F926" i="23"/>
  <c r="F1464" i="23"/>
  <c r="F100" i="23"/>
  <c r="F1236" i="23"/>
  <c r="F1224" i="23"/>
  <c r="F1322" i="23"/>
  <c r="F1434" i="23"/>
  <c r="G1075" i="23"/>
  <c r="F1213" i="23"/>
  <c r="G42" i="23"/>
  <c r="F186" i="23"/>
  <c r="F1097" i="23"/>
  <c r="G942" i="23"/>
  <c r="F429" i="23"/>
  <c r="F1017" i="23"/>
  <c r="G1365" i="23"/>
  <c r="G345" i="23"/>
  <c r="G1309" i="23"/>
  <c r="F559" i="23"/>
  <c r="G1338" i="23"/>
  <c r="G1220" i="23"/>
  <c r="F1167" i="23"/>
  <c r="G1167" i="23"/>
  <c r="F346" i="23"/>
  <c r="F439" i="23"/>
  <c r="F1183" i="23"/>
  <c r="G1468" i="23"/>
  <c r="G375" i="23"/>
  <c r="F569" i="23"/>
  <c r="G1261" i="23"/>
  <c r="G446" i="23"/>
  <c r="G1325" i="23"/>
  <c r="G244" i="23"/>
  <c r="G1323" i="23"/>
  <c r="G1335" i="23"/>
  <c r="G1221" i="23"/>
  <c r="F1280" i="23"/>
  <c r="F1331" i="23"/>
  <c r="G1331" i="23"/>
  <c r="F1472" i="23"/>
  <c r="G496" i="23"/>
  <c r="F1259" i="23"/>
  <c r="F1441" i="23"/>
  <c r="F1455" i="23"/>
  <c r="F741" i="23"/>
  <c r="F1098" i="23"/>
  <c r="F1399" i="23"/>
  <c r="F1437" i="23"/>
  <c r="G1423" i="23"/>
  <c r="F1439" i="23"/>
  <c r="F1431" i="23"/>
  <c r="F172" i="23"/>
  <c r="F1419" i="23"/>
  <c r="F412" i="23"/>
  <c r="F1177" i="23"/>
  <c r="F407" i="23"/>
  <c r="F282" i="23"/>
  <c r="F119" i="23"/>
  <c r="F529" i="23"/>
  <c r="G95" i="23"/>
  <c r="F1155" i="23"/>
  <c r="F947" i="23"/>
  <c r="F318" i="23"/>
  <c r="F1164" i="23"/>
  <c r="G1164" i="23"/>
  <c r="F386" i="23"/>
  <c r="G386" i="23"/>
  <c r="G904" i="23"/>
  <c r="F1257" i="23"/>
  <c r="G1257" i="23"/>
  <c r="G1226" i="23"/>
  <c r="F1226" i="23"/>
  <c r="G575" i="23"/>
  <c r="F1200" i="23"/>
  <c r="G1200" i="23"/>
  <c r="G1068" i="23"/>
  <c r="F1078" i="23"/>
  <c r="F63" i="23"/>
  <c r="F1366" i="23"/>
  <c r="G1366" i="23"/>
  <c r="F1225" i="23"/>
  <c r="G1225" i="23"/>
  <c r="F115" i="23"/>
  <c r="G115" i="23"/>
  <c r="G1229" i="23"/>
  <c r="F1328" i="23"/>
  <c r="G1328" i="23"/>
  <c r="G111" i="23"/>
  <c r="G85" i="23"/>
  <c r="G74" i="23"/>
  <c r="F560" i="23"/>
  <c r="F263" i="23"/>
  <c r="F708" i="23"/>
  <c r="F1203" i="23"/>
  <c r="F965" i="23"/>
  <c r="G965" i="23"/>
  <c r="F1252" i="23"/>
  <c r="G1252" i="23"/>
  <c r="F882" i="23"/>
  <c r="F117" i="23"/>
  <c r="G117" i="23"/>
  <c r="F1350" i="23"/>
  <c r="F1334" i="23"/>
  <c r="G1334" i="23"/>
  <c r="G996" i="23"/>
  <c r="F996" i="23"/>
  <c r="F1369" i="23"/>
  <c r="G1369" i="23"/>
  <c r="G862" i="23"/>
  <c r="F302" i="23"/>
  <c r="G1135" i="23"/>
  <c r="F884" i="23"/>
  <c r="F1099" i="23"/>
  <c r="G1099" i="23"/>
  <c r="F1130" i="23"/>
  <c r="G1130" i="23"/>
  <c r="G927" i="23"/>
  <c r="F927" i="23"/>
  <c r="F823" i="23"/>
  <c r="G823" i="23"/>
  <c r="G1112" i="23"/>
  <c r="F1112" i="23"/>
  <c r="F1291" i="23"/>
  <c r="G1291" i="23"/>
  <c r="F1238" i="23"/>
  <c r="G1238" i="23"/>
  <c r="G1081" i="23"/>
  <c r="F134" i="23"/>
  <c r="F287" i="23"/>
  <c r="F147" i="23"/>
  <c r="G147" i="23"/>
  <c r="F1333" i="23"/>
  <c r="G1333" i="23"/>
  <c r="G47" i="23"/>
  <c r="G1031" i="23"/>
  <c r="F1374" i="23"/>
  <c r="G1374" i="23"/>
  <c r="F540" i="23"/>
  <c r="F1380" i="23"/>
  <c r="G1380" i="23"/>
  <c r="G1209" i="23"/>
  <c r="F1095" i="23"/>
  <c r="G1095" i="23"/>
  <c r="G652" i="23"/>
  <c r="G818" i="23"/>
  <c r="F1339" i="23"/>
  <c r="G1339" i="23"/>
  <c r="F554" i="23"/>
  <c r="F120" i="23"/>
  <c r="F310" i="23"/>
  <c r="F902" i="23"/>
  <c r="F314" i="23"/>
  <c r="F957" i="23"/>
  <c r="F549" i="23"/>
  <c r="F724" i="23"/>
  <c r="F1192" i="23"/>
  <c r="G1192" i="23"/>
  <c r="F989" i="23"/>
  <c r="G989" i="23"/>
  <c r="F948" i="23"/>
  <c r="G948" i="23"/>
  <c r="F293" i="23"/>
  <c r="G293" i="23"/>
  <c r="F1372" i="23"/>
  <c r="G1372" i="23"/>
  <c r="F1450" i="23"/>
  <c r="G1450" i="23"/>
  <c r="F1117" i="23"/>
  <c r="G1117" i="23"/>
  <c r="F840" i="23"/>
  <c r="G840" i="23"/>
  <c r="F825" i="23"/>
  <c r="F1381" i="23"/>
  <c r="G1381" i="23"/>
  <c r="G902" i="23"/>
  <c r="G549" i="23"/>
  <c r="F1061" i="23"/>
  <c r="G1061" i="23"/>
  <c r="F654" i="23"/>
  <c r="G654" i="23"/>
  <c r="G641" i="23"/>
  <c r="F1293" i="23"/>
  <c r="G1293" i="23"/>
  <c r="F1270" i="23"/>
  <c r="F1330" i="23"/>
  <c r="G192" i="23"/>
  <c r="F1364" i="23"/>
  <c r="G1364" i="23"/>
  <c r="F1471" i="23"/>
  <c r="G1471" i="23"/>
  <c r="F1094" i="23"/>
  <c r="G1094" i="23"/>
  <c r="F1182" i="23"/>
  <c r="G1182" i="23"/>
  <c r="F1336" i="23"/>
  <c r="G1336" i="23"/>
  <c r="F1070" i="23"/>
  <c r="G1070" i="23"/>
  <c r="F1011" i="23"/>
  <c r="G1011" i="23"/>
  <c r="F1162" i="23"/>
  <c r="G1162" i="23"/>
  <c r="F1298" i="23"/>
  <c r="G1298" i="23"/>
  <c r="F1370" i="23"/>
  <c r="G1370" i="23"/>
  <c r="G311" i="23"/>
  <c r="G119" i="23"/>
  <c r="F1077" i="23"/>
  <c r="G1077" i="23"/>
  <c r="F526" i="23"/>
  <c r="G526" i="23"/>
  <c r="F638" i="23"/>
  <c r="F630" i="23"/>
  <c r="F930" i="23"/>
  <c r="G930" i="23"/>
  <c r="F1276" i="23"/>
  <c r="F1389" i="23"/>
  <c r="G1389" i="23"/>
  <c r="F1402" i="23"/>
  <c r="G1402" i="23"/>
  <c r="F1069" i="23"/>
  <c r="G1069" i="23"/>
  <c r="F1201" i="23"/>
  <c r="G1201" i="23"/>
  <c r="F1231" i="23"/>
  <c r="G1231" i="23"/>
  <c r="F1186" i="23"/>
  <c r="G1186" i="23"/>
  <c r="F1340" i="23"/>
  <c r="G1340" i="23"/>
  <c r="F1390" i="23"/>
  <c r="G1390" i="23"/>
  <c r="G120" i="23"/>
  <c r="G740" i="23"/>
  <c r="G314" i="23"/>
  <c r="F1066" i="23"/>
  <c r="G1066" i="23"/>
  <c r="F1292" i="23"/>
  <c r="G1292" i="23"/>
  <c r="F934" i="23"/>
  <c r="G934" i="23"/>
  <c r="F92" i="23"/>
  <c r="G92" i="23"/>
  <c r="G858" i="23"/>
  <c r="F1301" i="23"/>
  <c r="G1301" i="23"/>
  <c r="F1368" i="23"/>
  <c r="G1368" i="23"/>
  <c r="G1480" i="23"/>
  <c r="F1176" i="23"/>
  <c r="G1176" i="23"/>
  <c r="F1091" i="23"/>
  <c r="G1091" i="23"/>
  <c r="F1246" i="23"/>
  <c r="G1246" i="23"/>
  <c r="F1204" i="23"/>
  <c r="G1204" i="23"/>
  <c r="F1172" i="23"/>
  <c r="G1172" i="23"/>
  <c r="F1344" i="23"/>
  <c r="G1344" i="23"/>
  <c r="F1373" i="23"/>
  <c r="G1373" i="23"/>
  <c r="G560" i="23"/>
  <c r="G263" i="23"/>
  <c r="G554" i="23"/>
  <c r="F1295" i="23"/>
  <c r="G1295" i="23"/>
  <c r="F1141" i="23"/>
  <c r="G1141" i="23"/>
  <c r="F1348" i="23"/>
  <c r="G1348" i="23"/>
  <c r="F1327" i="23"/>
  <c r="G1327" i="23"/>
  <c r="F1074" i="23"/>
  <c r="G1074" i="23"/>
  <c r="F1175" i="23"/>
  <c r="G1175" i="23"/>
  <c r="F1114" i="23"/>
  <c r="G1114" i="23"/>
  <c r="F1290" i="23"/>
  <c r="G1290" i="23"/>
  <c r="G834" i="23"/>
  <c r="G724" i="23"/>
  <c r="G247" i="23"/>
  <c r="G1187" i="23"/>
  <c r="F1093" i="23"/>
  <c r="G1093" i="23"/>
  <c r="F118" i="23"/>
  <c r="G118" i="23"/>
  <c r="F1285" i="23"/>
  <c r="G1285" i="23"/>
  <c r="G439" i="23"/>
  <c r="F1311" i="23"/>
  <c r="G1311" i="23"/>
  <c r="F725" i="23"/>
  <c r="F1001" i="23"/>
  <c r="G1001" i="23"/>
  <c r="F1385" i="23"/>
  <c r="G1385" i="23"/>
  <c r="G708" i="23"/>
  <c r="F995" i="23"/>
  <c r="G995" i="23"/>
  <c r="F914" i="23"/>
  <c r="F869" i="23"/>
  <c r="G869" i="23"/>
  <c r="F646" i="23"/>
  <c r="G646" i="23"/>
  <c r="F1282" i="23"/>
  <c r="G1282" i="23"/>
  <c r="F1212" i="23"/>
  <c r="G1212" i="23"/>
  <c r="F1337" i="23"/>
  <c r="G1337" i="23"/>
  <c r="G1163" i="23"/>
  <c r="F1341" i="23"/>
  <c r="G1341" i="23"/>
  <c r="F285" i="23"/>
  <c r="G285" i="23"/>
  <c r="F332" i="23"/>
  <c r="F1460" i="23"/>
  <c r="G1460" i="23"/>
  <c r="F588" i="23"/>
  <c r="G588" i="23"/>
  <c r="G751" i="23"/>
  <c r="F988" i="23"/>
  <c r="G988" i="23"/>
  <c r="F30" i="23"/>
  <c r="G30" i="23"/>
  <c r="F1129" i="23"/>
  <c r="F574" i="23"/>
  <c r="G574" i="23"/>
  <c r="F109" i="23"/>
  <c r="F953" i="23"/>
  <c r="G953" i="23"/>
  <c r="F994" i="23"/>
  <c r="G994" i="23"/>
  <c r="G728" i="23"/>
  <c r="F1211" i="23"/>
  <c r="G1211" i="23"/>
  <c r="F1263" i="23"/>
  <c r="G1263" i="23"/>
  <c r="F1352" i="23"/>
  <c r="F1376" i="23"/>
  <c r="G1376" i="23"/>
  <c r="F1085" i="23"/>
  <c r="G1085" i="23"/>
  <c r="F1342" i="23"/>
  <c r="G1342" i="23"/>
  <c r="F1072" i="23"/>
  <c r="G1072" i="23"/>
  <c r="G758" i="23"/>
  <c r="F1308" i="23"/>
  <c r="G1308" i="23"/>
  <c r="G310" i="23"/>
  <c r="G613" i="23"/>
  <c r="G1203" i="23"/>
  <c r="G957" i="23"/>
  <c r="H3" i="12"/>
  <c r="H5" i="12"/>
  <c r="H15" i="12"/>
  <c r="H6" i="12"/>
  <c r="H10" i="12"/>
  <c r="H16" i="12"/>
  <c r="H7" i="12"/>
  <c r="H11" i="12"/>
  <c r="H17" i="12"/>
  <c r="H8" i="12"/>
  <c r="H12" i="12"/>
  <c r="H18" i="12"/>
  <c r="H9" i="12"/>
  <c r="H13" i="12"/>
  <c r="H19" i="12"/>
  <c r="H21" i="12"/>
  <c r="H23" i="12"/>
  <c r="H24" i="12"/>
  <c r="H25" i="12"/>
  <c r="H26" i="12"/>
  <c r="H27" i="12"/>
  <c r="C17" i="8"/>
  <c r="G1496" i="23" l="1"/>
  <c r="G873" i="23"/>
  <c r="G1019" i="23"/>
  <c r="F1488" i="23"/>
  <c r="G449" i="23"/>
  <c r="F470" i="23"/>
  <c r="F428" i="23"/>
  <c r="F851" i="23"/>
  <c r="G1006" i="23"/>
  <c r="G899" i="23"/>
  <c r="G87" i="23"/>
  <c r="G863" i="23"/>
  <c r="G779" i="23"/>
  <c r="G922" i="23"/>
  <c r="F438" i="23"/>
  <c r="G519" i="23"/>
  <c r="G1197" i="23"/>
  <c r="G1151" i="23"/>
  <c r="F946" i="23"/>
  <c r="G1242" i="23"/>
  <c r="G497" i="23"/>
  <c r="F1487" i="23"/>
  <c r="G1143" i="23"/>
  <c r="F1178" i="23"/>
  <c r="F861" i="23"/>
  <c r="G1111" i="23"/>
  <c r="F1284" i="23"/>
  <c r="G1046" i="23"/>
  <c r="G77" i="23"/>
  <c r="G333" i="23"/>
  <c r="F1124" i="23"/>
  <c r="G273" i="23"/>
  <c r="F839" i="23"/>
  <c r="F1142" i="23"/>
  <c r="G1499" i="23"/>
  <c r="F1499" i="23"/>
  <c r="F507" i="23"/>
  <c r="F294" i="23"/>
  <c r="F872" i="23"/>
  <c r="G1145" i="23"/>
  <c r="G659" i="23"/>
  <c r="G34" i="23"/>
  <c r="G61" i="23"/>
  <c r="F845" i="23"/>
  <c r="G283" i="23"/>
  <c r="G338" i="23"/>
  <c r="G1491" i="23"/>
  <c r="G414" i="23"/>
  <c r="F977" i="23"/>
  <c r="F1003" i="23"/>
  <c r="G476" i="23"/>
  <c r="F106" i="23"/>
  <c r="G512" i="23"/>
  <c r="G48" i="23"/>
  <c r="F1363" i="23"/>
  <c r="F401" i="23"/>
  <c r="G857" i="23"/>
  <c r="G1208" i="23"/>
  <c r="G1194" i="23"/>
  <c r="G1198" i="23"/>
  <c r="G202" i="23"/>
  <c r="F576" i="23"/>
  <c r="F149" i="23"/>
  <c r="G1345" i="23"/>
  <c r="F143" i="23"/>
  <c r="F481" i="23"/>
  <c r="F1249" i="23"/>
  <c r="F1299" i="23"/>
  <c r="G1216" i="23"/>
  <c r="G976" i="23"/>
  <c r="F993" i="23"/>
  <c r="F1159" i="23"/>
  <c r="G468" i="23"/>
  <c r="F1053" i="23"/>
  <c r="F43" i="23"/>
  <c r="G43" i="23"/>
  <c r="G399" i="23"/>
  <c r="G1018" i="23"/>
  <c r="G875" i="23"/>
  <c r="G777" i="23"/>
  <c r="G1313" i="23"/>
  <c r="F1247" i="23"/>
  <c r="F1240" i="23"/>
  <c r="F876" i="23"/>
  <c r="F841" i="23"/>
  <c r="G1297" i="23"/>
  <c r="G361" i="23"/>
  <c r="G523" i="23"/>
  <c r="F374" i="23"/>
  <c r="G46" i="23"/>
  <c r="F998" i="23"/>
  <c r="F924" i="23"/>
  <c r="F1131" i="23"/>
  <c r="G744" i="23"/>
  <c r="G889" i="23"/>
  <c r="G1012" i="23"/>
  <c r="G1266" i="23"/>
  <c r="G466" i="23"/>
  <c r="G1195" i="23"/>
  <c r="F1256" i="23"/>
  <c r="F719" i="23"/>
  <c r="F822" i="23"/>
  <c r="G642" i="23"/>
  <c r="F812" i="23"/>
  <c r="F1289" i="23"/>
  <c r="F748" i="23"/>
  <c r="G277" i="23"/>
  <c r="F1181" i="23"/>
  <c r="G1042" i="23"/>
  <c r="G1250" i="23"/>
  <c r="G193" i="23"/>
  <c r="G515" i="23"/>
  <c r="G794" i="23"/>
  <c r="G1174" i="23"/>
  <c r="F169" i="23"/>
  <c r="G1267" i="23"/>
  <c r="F1329" i="23"/>
  <c r="F344" i="23"/>
  <c r="G1202" i="23"/>
  <c r="F982" i="23"/>
  <c r="G150" i="23"/>
  <c r="F752" i="23"/>
  <c r="G1215" i="23"/>
  <c r="F91" i="23"/>
  <c r="G585" i="23"/>
  <c r="F447" i="23"/>
  <c r="G144" i="23"/>
  <c r="G53" i="23"/>
  <c r="F1260" i="23"/>
  <c r="F1233" i="23"/>
  <c r="F1125" i="23"/>
  <c r="G330" i="23"/>
  <c r="F622" i="23"/>
  <c r="G1489" i="23"/>
  <c r="F1489" i="23"/>
  <c r="F918" i="23"/>
  <c r="F1483" i="23"/>
  <c r="G1483" i="23"/>
  <c r="G1262" i="23"/>
  <c r="F860" i="23"/>
  <c r="F1497" i="23"/>
  <c r="G591" i="23"/>
  <c r="G1132" i="23"/>
  <c r="G1375" i="23"/>
  <c r="G208" i="23"/>
  <c r="G1239" i="23"/>
  <c r="F1320" i="23"/>
  <c r="G587" i="23"/>
  <c r="G1275" i="23"/>
  <c r="F210" i="23"/>
  <c r="F349" i="23"/>
  <c r="F1232" i="23"/>
  <c r="G1294" i="23"/>
  <c r="G1115" i="23"/>
  <c r="G326" i="23"/>
  <c r="G743" i="23"/>
  <c r="G84" i="23"/>
  <c r="G1310" i="23"/>
  <c r="G835" i="23"/>
  <c r="G1008" i="23"/>
  <c r="G1286" i="23"/>
  <c r="G890" i="23"/>
  <c r="G90" i="23"/>
  <c r="G881" i="23"/>
  <c r="G278" i="23"/>
  <c r="G1148" i="23"/>
  <c r="G590" i="23"/>
  <c r="G1354" i="23"/>
  <c r="G764" i="23"/>
  <c r="G227" i="23"/>
  <c r="G1214" i="23"/>
  <c r="G286" i="23"/>
  <c r="F1356" i="23"/>
  <c r="G1490" i="23"/>
  <c r="F1490" i="23"/>
  <c r="G1518" i="23"/>
  <c r="F1518" i="23"/>
  <c r="G573" i="23"/>
  <c r="G991" i="23"/>
  <c r="G1253" i="23"/>
  <c r="F1049" i="23"/>
  <c r="G83" i="23"/>
  <c r="G1071" i="23"/>
  <c r="G1410" i="23"/>
  <c r="F1495" i="23"/>
  <c r="G1495" i="23"/>
  <c r="G1482" i="23"/>
  <c r="F1482" i="23"/>
  <c r="G1476" i="23"/>
  <c r="F1476" i="23"/>
  <c r="G1492" i="23"/>
  <c r="F1492" i="23"/>
  <c r="G1504" i="23"/>
  <c r="F1504" i="23"/>
  <c r="F1477" i="23"/>
  <c r="G1477" i="23"/>
  <c r="F1475" i="23"/>
  <c r="G1475" i="23"/>
  <c r="G437" i="23"/>
  <c r="F1120" i="23"/>
  <c r="G1120" i="23"/>
  <c r="F888" i="23"/>
  <c r="G754" i="23"/>
  <c r="F1237" i="23"/>
  <c r="F1024" i="23"/>
  <c r="F98" i="23"/>
  <c r="F1146" i="23"/>
  <c r="F341" i="23"/>
  <c r="G1127" i="23"/>
  <c r="G228" i="23"/>
  <c r="G336" i="23"/>
  <c r="F1367" i="23"/>
  <c r="F485" i="23"/>
  <c r="G64" i="23"/>
  <c r="G702" i="23"/>
  <c r="G78" i="23"/>
  <c r="G1184" i="23"/>
  <c r="F135" i="23"/>
  <c r="F379" i="23"/>
  <c r="G1137" i="23"/>
  <c r="G299" i="23"/>
  <c r="G706" i="23"/>
  <c r="F710" i="23"/>
  <c r="F1139" i="23"/>
  <c r="F1027" i="23"/>
  <c r="G1157" i="23"/>
  <c r="G616" i="23"/>
  <c r="G651" i="23"/>
  <c r="G1408" i="23"/>
  <c r="G715" i="23"/>
  <c r="G1258" i="23"/>
  <c r="G509" i="23"/>
  <c r="G194" i="23"/>
  <c r="G1436" i="23"/>
  <c r="G138" i="23"/>
  <c r="G915" i="23"/>
  <c r="G1302" i="23"/>
  <c r="F945" i="23"/>
  <c r="F1272" i="23"/>
  <c r="F933" i="23"/>
  <c r="G495" i="23"/>
  <c r="F1361" i="23"/>
  <c r="F1005" i="23"/>
  <c r="G1305" i="23"/>
  <c r="G222" i="23"/>
  <c r="G627" i="23"/>
  <c r="G62" i="23"/>
  <c r="F601" i="23"/>
  <c r="F279" i="23"/>
  <c r="G279" i="23"/>
  <c r="F296" i="23"/>
  <c r="F39" i="23"/>
  <c r="F1106" i="23"/>
  <c r="F1245" i="23"/>
  <c r="G975" i="23"/>
  <c r="F830" i="23"/>
  <c r="G738" i="23"/>
  <c r="G55" i="23"/>
  <c r="F842" i="23"/>
  <c r="G610" i="23"/>
  <c r="F335" i="23"/>
  <c r="F535" i="23"/>
  <c r="F979" i="23"/>
  <c r="G198" i="23"/>
  <c r="F153" i="23"/>
  <c r="G141" i="23"/>
  <c r="G1268" i="23"/>
  <c r="G89" i="23"/>
  <c r="G789" i="23"/>
  <c r="G1360" i="23"/>
  <c r="F935" i="23"/>
  <c r="G319" i="23"/>
  <c r="G846" i="23"/>
  <c r="G371" i="23"/>
  <c r="G347" i="23"/>
  <c r="G1122" i="23"/>
  <c r="G1147" i="23"/>
  <c r="G1016" i="23"/>
  <c r="G1244" i="23"/>
  <c r="F712" i="23"/>
  <c r="G88" i="23"/>
  <c r="G533" i="23"/>
  <c r="G1355" i="23"/>
  <c r="F527" i="23"/>
  <c r="G527" i="23"/>
  <c r="G462" i="23"/>
  <c r="F367" i="23"/>
  <c r="G805" i="23"/>
  <c r="G736" i="23"/>
  <c r="G896" i="23"/>
  <c r="F130" i="23"/>
  <c r="G1030" i="23"/>
  <c r="F644" i="23"/>
  <c r="F816" i="23"/>
  <c r="F911" i="23"/>
  <c r="F423" i="23"/>
  <c r="G1021" i="23"/>
  <c r="F1060" i="23"/>
  <c r="F157" i="23"/>
  <c r="G1136" i="23"/>
  <c r="G964" i="23"/>
  <c r="G508" i="23"/>
  <c r="F739" i="23"/>
  <c r="G1128" i="23"/>
  <c r="G370" i="23"/>
  <c r="G112" i="23"/>
  <c r="F334" i="23"/>
  <c r="G563" i="23"/>
  <c r="F71" i="23"/>
  <c r="G1041" i="23"/>
  <c r="G113" i="23"/>
  <c r="F397" i="23"/>
  <c r="G1296" i="23"/>
  <c r="G276" i="23"/>
  <c r="G520" i="23"/>
  <c r="G534" i="23"/>
  <c r="G539" i="23"/>
  <c r="G594" i="23"/>
  <c r="G107" i="23"/>
  <c r="F223" i="23"/>
  <c r="G1025" i="23"/>
  <c r="G1170" i="23"/>
  <c r="F166" i="23"/>
  <c r="G871" i="23"/>
  <c r="G522" i="23"/>
  <c r="G1108" i="23"/>
  <c r="F461" i="23"/>
  <c r="F850" i="23"/>
  <c r="G850" i="23"/>
  <c r="G420" i="23"/>
  <c r="F156" i="23"/>
  <c r="G121" i="23"/>
  <c r="G483" i="23"/>
  <c r="F436" i="23"/>
  <c r="G963" i="23"/>
  <c r="F750" i="23"/>
  <c r="F1048" i="23"/>
  <c r="G196" i="23"/>
  <c r="F323" i="23"/>
  <c r="G1222" i="23"/>
  <c r="G553" i="23"/>
  <c r="G1287" i="23"/>
  <c r="F1013" i="23"/>
  <c r="G129" i="23"/>
  <c r="G1133" i="23"/>
  <c r="G813" i="23"/>
  <c r="G542" i="23"/>
  <c r="G887" i="23"/>
  <c r="G1110" i="23"/>
  <c r="G1000" i="23"/>
  <c r="G413" i="23"/>
  <c r="G931" i="23"/>
  <c r="F1274" i="23"/>
  <c r="F1281" i="23"/>
  <c r="G1281" i="23"/>
  <c r="G1116" i="23"/>
  <c r="G327" i="23"/>
  <c r="G908" i="23"/>
  <c r="F471" i="23"/>
  <c r="G865" i="23"/>
  <c r="G477" i="23"/>
  <c r="G1138" i="23"/>
  <c r="G389" i="23"/>
  <c r="F248" i="23"/>
  <c r="G907" i="23"/>
  <c r="G175" i="23"/>
  <c r="G1009" i="23"/>
  <c r="G320" i="23"/>
  <c r="F790" i="23"/>
  <c r="G261" i="23"/>
  <c r="G571" i="23"/>
  <c r="G1264" i="23"/>
  <c r="G60" i="23"/>
  <c r="G1126" i="23"/>
  <c r="G1219" i="23"/>
  <c r="F505" i="23"/>
  <c r="F984" i="23"/>
  <c r="G793" i="23"/>
  <c r="G1166" i="23"/>
  <c r="G514" i="23"/>
  <c r="G1113" i="23"/>
  <c r="G786" i="23"/>
  <c r="G893" i="23"/>
  <c r="G609" i="23"/>
  <c r="G511" i="23"/>
  <c r="F980" i="23"/>
  <c r="G1118" i="23"/>
  <c r="G400" i="23"/>
  <c r="G781" i="23"/>
  <c r="G662" i="23"/>
  <c r="F288" i="23"/>
  <c r="G68" i="23"/>
  <c r="G745" i="23"/>
  <c r="G909" i="23"/>
  <c r="F771" i="23"/>
  <c r="F1412" i="23"/>
  <c r="G280" i="23"/>
  <c r="G1288" i="23"/>
  <c r="F142" i="23"/>
  <c r="G1207" i="23"/>
  <c r="G383" i="23"/>
  <c r="F727" i="23"/>
  <c r="G331" i="23"/>
  <c r="G1039" i="23"/>
  <c r="F796" i="23"/>
  <c r="G1150" i="23"/>
  <c r="F105" i="23"/>
  <c r="G226" i="23"/>
  <c r="G885" i="23"/>
  <c r="G1134" i="23"/>
  <c r="F490" i="23"/>
  <c r="F1359" i="23"/>
  <c r="G254" i="23"/>
  <c r="F785" i="23"/>
  <c r="G1227" i="23"/>
  <c r="G536" i="23"/>
  <c r="F69" i="23"/>
  <c r="F1123" i="23"/>
  <c r="G1026" i="23"/>
  <c r="G329" i="23"/>
  <c r="G1316" i="23"/>
  <c r="G528" i="23"/>
  <c r="F1002" i="23"/>
  <c r="G1002" i="23"/>
  <c r="G843" i="23"/>
  <c r="G475" i="23"/>
  <c r="G1101" i="23"/>
  <c r="G894" i="23"/>
  <c r="F1241" i="23"/>
  <c r="F880" i="23"/>
  <c r="G880" i="23"/>
  <c r="G396" i="23"/>
  <c r="F396" i="23"/>
  <c r="F788" i="23"/>
  <c r="G737" i="23"/>
  <c r="F103" i="23"/>
  <c r="F1179" i="23"/>
  <c r="G1179" i="23"/>
  <c r="F1300" i="23"/>
  <c r="G1300" i="23"/>
  <c r="F1254" i="23"/>
  <c r="G1254" i="23"/>
  <c r="F1180" i="23"/>
  <c r="G1180" i="23"/>
  <c r="F486" i="23"/>
  <c r="F97" i="23"/>
  <c r="F1255" i="23"/>
  <c r="F321" i="23"/>
  <c r="G723" i="23"/>
  <c r="G775" i="23"/>
  <c r="G546" i="23"/>
  <c r="G999" i="23"/>
  <c r="F886" i="23"/>
  <c r="G735" i="23"/>
  <c r="G292" i="23"/>
  <c r="F240" i="23"/>
  <c r="G1234" i="23"/>
  <c r="G1156" i="23"/>
  <c r="G833" i="23"/>
  <c r="F1037" i="23"/>
  <c r="G653" i="23"/>
  <c r="G108" i="23"/>
  <c r="G1140" i="23"/>
  <c r="G264" i="23"/>
  <c r="G923" i="23"/>
  <c r="F340" i="23"/>
  <c r="G1029" i="23"/>
  <c r="G1102" i="23"/>
  <c r="G249" i="23"/>
  <c r="G691" i="23"/>
  <c r="G408" i="23"/>
  <c r="G268" i="23"/>
  <c r="G295" i="23"/>
  <c r="F450" i="23"/>
  <c r="F432" i="23"/>
  <c r="G798" i="23"/>
  <c r="G502" i="23"/>
  <c r="F474" i="23"/>
  <c r="G1107" i="23"/>
  <c r="G473" i="23"/>
  <c r="F59" i="23"/>
  <c r="G683" i="23"/>
  <c r="G1010" i="23"/>
  <c r="G127" i="23"/>
  <c r="G1121" i="23"/>
  <c r="G877" i="23"/>
  <c r="G384" i="23"/>
  <c r="G687" i="23"/>
  <c r="F1100" i="23"/>
  <c r="F746" i="23"/>
  <c r="G377" i="23"/>
  <c r="F829" i="23"/>
  <c r="G1243" i="23"/>
  <c r="F164" i="23"/>
  <c r="F191" i="23"/>
  <c r="F504" i="23"/>
  <c r="G1304" i="23"/>
  <c r="F1304" i="23"/>
  <c r="G1044" i="23"/>
  <c r="G1022" i="23"/>
  <c r="F1022" i="23"/>
  <c r="G1314" i="23"/>
  <c r="F1314" i="23"/>
  <c r="G315" i="23"/>
  <c r="G1351" i="23"/>
  <c r="F787" i="23"/>
  <c r="F917" i="23"/>
  <c r="G917" i="23"/>
  <c r="G1303" i="23"/>
  <c r="F1303" i="23"/>
  <c r="G761" i="23"/>
  <c r="G1326" i="23"/>
  <c r="G1307" i="23"/>
  <c r="F1307" i="23"/>
  <c r="G350" i="23"/>
  <c r="F67" i="23"/>
  <c r="F1119" i="23"/>
  <c r="F173" i="23"/>
  <c r="G173" i="23"/>
  <c r="F1318" i="23"/>
  <c r="G1318" i="23"/>
  <c r="G1251" i="23"/>
  <c r="G1173" i="23"/>
  <c r="F1269" i="23"/>
  <c r="G1269" i="23"/>
  <c r="F782" i="23"/>
  <c r="G782" i="23"/>
  <c r="G455" i="23"/>
  <c r="F343" i="23"/>
  <c r="G685" i="23"/>
  <c r="F70" i="23"/>
  <c r="G452" i="23"/>
  <c r="G355" i="23"/>
  <c r="G926" i="23"/>
  <c r="G1273" i="23"/>
  <c r="F1465" i="23"/>
  <c r="G1409" i="23"/>
  <c r="F1104" i="23"/>
  <c r="G1235" i="23"/>
  <c r="G912" i="23"/>
  <c r="G199" i="23"/>
  <c r="G100" i="23"/>
  <c r="G802" i="23"/>
  <c r="F1462" i="23"/>
  <c r="G168" i="23"/>
  <c r="F611" i="23"/>
  <c r="G185" i="23"/>
  <c r="G676" i="23"/>
  <c r="G807" i="23"/>
  <c r="G640" i="23"/>
  <c r="G124" i="23"/>
  <c r="G557" i="23"/>
  <c r="G811" i="23"/>
  <c r="G1438" i="23"/>
  <c r="G684" i="23"/>
  <c r="F195" i="23"/>
  <c r="F742" i="23"/>
  <c r="G1434" i="23"/>
  <c r="G427" i="23"/>
  <c r="G874" i="23"/>
  <c r="G776" i="23"/>
  <c r="F617" i="23"/>
  <c r="G346" i="23"/>
  <c r="G932" i="23"/>
  <c r="F161" i="23"/>
  <c r="G1109" i="23"/>
  <c r="G155" i="23"/>
  <c r="F844" i="23"/>
  <c r="F566" i="23"/>
  <c r="G1315" i="23"/>
  <c r="F137" i="23"/>
  <c r="F378" i="23"/>
  <c r="F1043" i="23"/>
  <c r="G618" i="23"/>
  <c r="F1440" i="23"/>
  <c r="G241" i="23"/>
  <c r="G801" i="23"/>
  <c r="G1154" i="23"/>
  <c r="G568" i="23"/>
  <c r="G170" i="23"/>
  <c r="G445" i="23"/>
  <c r="G131" i="23"/>
  <c r="G1481" i="23"/>
  <c r="G1171" i="23"/>
  <c r="G239" i="23"/>
  <c r="G629" i="23"/>
  <c r="G162" i="23"/>
  <c r="G366" i="23"/>
  <c r="G1248" i="23"/>
  <c r="G892" i="23"/>
  <c r="F237" i="23"/>
  <c r="G171" i="23"/>
  <c r="G1312" i="23"/>
  <c r="F767" i="23"/>
  <c r="F852" i="23"/>
  <c r="G1451" i="23"/>
  <c r="F1055" i="23"/>
  <c r="F721" i="23"/>
  <c r="G1464" i="23"/>
  <c r="F211" i="23"/>
  <c r="G625" i="23"/>
  <c r="G1277" i="23"/>
  <c r="F584" i="23"/>
  <c r="F93" i="23"/>
  <c r="G93" i="23"/>
  <c r="F624" i="23"/>
  <c r="G624" i="23"/>
  <c r="F906" i="23"/>
  <c r="G906" i="23"/>
  <c r="F1160" i="23"/>
  <c r="G1160" i="23"/>
  <c r="F75" i="23"/>
  <c r="G75" i="23"/>
  <c r="F765" i="23"/>
  <c r="G765" i="23"/>
  <c r="G260" i="23"/>
  <c r="F260" i="23"/>
  <c r="G116" i="23"/>
  <c r="G856" i="23"/>
  <c r="G1064" i="23"/>
  <c r="G238" i="23"/>
  <c r="G220" i="23"/>
  <c r="F151" i="23"/>
  <c r="G713" i="23"/>
  <c r="G672" i="23"/>
  <c r="G236" i="23"/>
  <c r="F961" i="23"/>
  <c r="G809" i="23"/>
  <c r="F849" i="23"/>
  <c r="G148" i="23"/>
  <c r="G1103" i="23"/>
  <c r="G219" i="23"/>
  <c r="G494" i="23"/>
  <c r="G365" i="23"/>
  <c r="G1382" i="23"/>
  <c r="G419" i="23"/>
  <c r="F1271" i="23"/>
  <c r="F699" i="23"/>
  <c r="F362" i="23"/>
  <c r="G1405" i="23"/>
  <c r="F101" i="23"/>
  <c r="G1343" i="23"/>
  <c r="G79" i="23"/>
  <c r="G967" i="23"/>
  <c r="G80" i="23"/>
  <c r="G404" i="23"/>
  <c r="F42" i="23"/>
  <c r="F1427" i="23"/>
  <c r="G54" i="23"/>
  <c r="F484" i="23"/>
  <c r="G969" i="23"/>
  <c r="G578" i="23"/>
  <c r="G1084" i="23"/>
  <c r="G867" i="23"/>
  <c r="G1149" i="23"/>
  <c r="G898" i="23"/>
  <c r="F140" i="23"/>
  <c r="G580" i="23"/>
  <c r="F679" i="23"/>
  <c r="G697" i="23"/>
  <c r="G981" i="23"/>
  <c r="G658" i="23"/>
  <c r="F187" i="23"/>
  <c r="F669" i="23"/>
  <c r="G152" i="23"/>
  <c r="G184" i="23"/>
  <c r="G488" i="23"/>
  <c r="G1322" i="23"/>
  <c r="G418" i="23"/>
  <c r="G154" i="23"/>
  <c r="G431" i="23"/>
  <c r="G1384" i="23"/>
  <c r="G376" i="23"/>
  <c r="G433" i="23"/>
  <c r="G358" i="23"/>
  <c r="G491" i="23"/>
  <c r="G690" i="23"/>
  <c r="F496" i="23"/>
  <c r="G615" i="23"/>
  <c r="F966" i="23"/>
  <c r="G165" i="23"/>
  <c r="G810" i="23"/>
  <c r="F1068" i="23"/>
  <c r="F628" i="23"/>
  <c r="G114" i="23"/>
  <c r="F159" i="23"/>
  <c r="F472" i="23"/>
  <c r="F339" i="23"/>
  <c r="G722" i="23"/>
  <c r="G372" i="23"/>
  <c r="F978" i="23"/>
  <c r="F550" i="23"/>
  <c r="F709" i="23"/>
  <c r="F375" i="23"/>
  <c r="G596" i="23"/>
  <c r="F390" i="23"/>
  <c r="G225" i="23"/>
  <c r="G453" i="23"/>
  <c r="G1441" i="23"/>
  <c r="F660" i="23"/>
  <c r="G1038" i="23"/>
  <c r="F1446" i="23"/>
  <c r="F1075" i="23"/>
  <c r="F267" i="23"/>
  <c r="G559" i="23"/>
  <c r="G180" i="23"/>
  <c r="G525" i="23"/>
  <c r="G795" i="23"/>
  <c r="G773" i="23"/>
  <c r="G1098" i="23"/>
  <c r="F778" i="23"/>
  <c r="G882" i="23"/>
  <c r="F1338" i="23"/>
  <c r="G426" i="23"/>
  <c r="G531" i="23"/>
  <c r="G954" i="23"/>
  <c r="F942" i="23"/>
  <c r="G394" i="23"/>
  <c r="G506" i="23"/>
  <c r="F1056" i="23"/>
  <c r="F928" i="23"/>
  <c r="G770" i="23"/>
  <c r="F478" i="23"/>
  <c r="G1224" i="23"/>
  <c r="G1023" i="23"/>
  <c r="F958" i="23"/>
  <c r="G65" i="23"/>
  <c r="G1213" i="23"/>
  <c r="G1236" i="23"/>
  <c r="G589" i="23"/>
  <c r="G186" i="23"/>
  <c r="G599" i="23"/>
  <c r="F598" i="23"/>
  <c r="G1437" i="23"/>
  <c r="G925" i="23"/>
  <c r="G328" i="23"/>
  <c r="G791" i="23"/>
  <c r="G369" i="23"/>
  <c r="G517" i="23"/>
  <c r="F290" i="23"/>
  <c r="G992" i="23"/>
  <c r="G309" i="23"/>
  <c r="G819" i="23"/>
  <c r="G695" i="23"/>
  <c r="F904" i="23"/>
  <c r="G532" i="23"/>
  <c r="G604" i="23"/>
  <c r="G741" i="23"/>
  <c r="G412" i="23"/>
  <c r="G269" i="23"/>
  <c r="G718" i="23"/>
  <c r="F586" i="23"/>
  <c r="G962" i="23"/>
  <c r="F1323" i="23"/>
  <c r="G664" i="23"/>
  <c r="F245" i="23"/>
  <c r="G783" i="23"/>
  <c r="F1423" i="23"/>
  <c r="G1097" i="23"/>
  <c r="G817" i="23"/>
  <c r="G158" i="23"/>
  <c r="G252" i="23"/>
  <c r="F398" i="23"/>
  <c r="F661" i="23"/>
  <c r="F815" i="23"/>
  <c r="G1065" i="23"/>
  <c r="G558" i="23"/>
  <c r="G1431" i="23"/>
  <c r="F74" i="23"/>
  <c r="G1155" i="23"/>
  <c r="G429" i="23"/>
  <c r="G747" i="23"/>
  <c r="G172" i="23"/>
  <c r="G612" i="23"/>
  <c r="G233" i="23"/>
  <c r="F244" i="23"/>
  <c r="G516" i="23"/>
  <c r="F406" i="23"/>
  <c r="G759" i="23"/>
  <c r="F345" i="23"/>
  <c r="F188" i="23"/>
  <c r="G1428" i="23"/>
  <c r="G205" i="23"/>
  <c r="F446" i="23"/>
  <c r="F1081" i="23"/>
  <c r="F582" i="23"/>
  <c r="G667" i="23"/>
  <c r="G637" i="23"/>
  <c r="G1470" i="23"/>
  <c r="G179" i="23"/>
  <c r="G510" i="23"/>
  <c r="G950" i="23"/>
  <c r="F518" i="23"/>
  <c r="G1045" i="23"/>
  <c r="G1417" i="23"/>
  <c r="G1034" i="23"/>
  <c r="F304" i="23"/>
  <c r="G356" i="23"/>
  <c r="G941" i="23"/>
  <c r="F1335" i="23"/>
  <c r="F1261" i="23"/>
  <c r="G878" i="23"/>
  <c r="F56" i="23"/>
  <c r="G424" i="23"/>
  <c r="G275" i="23"/>
  <c r="G1399" i="23"/>
  <c r="G900" i="23"/>
  <c r="G826" i="23"/>
  <c r="G221" i="23"/>
  <c r="G465" i="23"/>
  <c r="G836" i="23"/>
  <c r="G492" i="23"/>
  <c r="G1190" i="23"/>
  <c r="G537" i="23"/>
  <c r="G581" i="23"/>
  <c r="G63" i="23"/>
  <c r="F467" i="23"/>
  <c r="F182" i="23"/>
  <c r="F1014" i="23"/>
  <c r="G1014" i="23"/>
  <c r="G391" i="23"/>
  <c r="G521" i="23"/>
  <c r="G714" i="23"/>
  <c r="G1040" i="23"/>
  <c r="F608" i="23"/>
  <c r="F943" i="23"/>
  <c r="F501" i="23"/>
  <c r="G501" i="23"/>
  <c r="F734" i="23"/>
  <c r="G499" i="23"/>
  <c r="F575" i="23"/>
  <c r="G126" i="23"/>
  <c r="F1377" i="23"/>
  <c r="G1377" i="23"/>
  <c r="F382" i="23"/>
  <c r="G382" i="23"/>
  <c r="F1090" i="23"/>
  <c r="G1090" i="23"/>
  <c r="F797" i="23"/>
  <c r="G797" i="23"/>
  <c r="F460" i="23"/>
  <c r="G460" i="23"/>
  <c r="F595" i="23"/>
  <c r="G595" i="23"/>
  <c r="F251" i="23"/>
  <c r="G251" i="23"/>
  <c r="F913" i="23"/>
  <c r="G913" i="23"/>
  <c r="F348" i="23"/>
  <c r="G348" i="23"/>
  <c r="G696" i="23"/>
  <c r="F645" i="23"/>
  <c r="G479" i="23"/>
  <c r="F479" i="23"/>
  <c r="F832" i="23"/>
  <c r="F259" i="23"/>
  <c r="G956" i="23"/>
  <c r="G1419" i="23"/>
  <c r="G632" i="23"/>
  <c r="F82" i="23"/>
  <c r="F1168" i="23"/>
  <c r="G1168" i="23"/>
  <c r="G176" i="23"/>
  <c r="G1416" i="23"/>
  <c r="G1415" i="23"/>
  <c r="G1183" i="23"/>
  <c r="G729" i="23"/>
  <c r="F938" i="23"/>
  <c r="G938" i="23"/>
  <c r="G229" i="23"/>
  <c r="F883" i="23"/>
  <c r="G883" i="23"/>
  <c r="F720" i="23"/>
  <c r="G720" i="23"/>
  <c r="F498" i="23"/>
  <c r="G498" i="23"/>
  <c r="F425" i="23"/>
  <c r="G425" i="23"/>
  <c r="F862" i="23"/>
  <c r="G726" i="23"/>
  <c r="F726" i="23"/>
  <c r="F1193" i="23"/>
  <c r="G1193" i="23"/>
  <c r="F901" i="23"/>
  <c r="G257" i="23"/>
  <c r="G569" i="23"/>
  <c r="G1435" i="23"/>
  <c r="G274" i="23"/>
  <c r="G281" i="23"/>
  <c r="F297" i="23"/>
  <c r="G1472" i="23"/>
  <c r="G289" i="23"/>
  <c r="G302" i="23"/>
  <c r="F1283" i="23"/>
  <c r="G663" i="23"/>
  <c r="G1439" i="23"/>
  <c r="G1317" i="23"/>
  <c r="G262" i="23"/>
  <c r="F1325" i="23"/>
  <c r="F1478" i="23"/>
  <c r="G540" i="23"/>
  <c r="F102" i="23"/>
  <c r="G102" i="23"/>
  <c r="G318" i="23"/>
  <c r="F487" i="23"/>
  <c r="G403" i="23"/>
  <c r="G104" i="23"/>
  <c r="F271" i="23"/>
  <c r="G271" i="23"/>
  <c r="F668" i="23"/>
  <c r="G668" i="23"/>
  <c r="F1458" i="23"/>
  <c r="G1458" i="23"/>
  <c r="F207" i="23"/>
  <c r="G207" i="23"/>
  <c r="F677" i="23"/>
  <c r="F910" i="23"/>
  <c r="G910" i="23"/>
  <c r="G266" i="23"/>
  <c r="F266" i="23"/>
  <c r="G442" i="23"/>
  <c r="G620" i="23"/>
  <c r="F201" i="23"/>
  <c r="G955" i="23"/>
  <c r="F756" i="23"/>
  <c r="G756" i="23"/>
  <c r="F1404" i="23"/>
  <c r="G1404" i="23"/>
  <c r="G674" i="23"/>
  <c r="G480" i="23"/>
  <c r="G306" i="23"/>
  <c r="F670" i="23"/>
  <c r="G916" i="23"/>
  <c r="F1444" i="23"/>
  <c r="G1444" i="23"/>
  <c r="G529" i="23"/>
  <c r="F463" i="23"/>
  <c r="G463" i="23"/>
  <c r="F920" i="23"/>
  <c r="G920" i="23"/>
  <c r="G705" i="23"/>
  <c r="G1455" i="23"/>
  <c r="F503" i="23"/>
  <c r="G503" i="23"/>
  <c r="F1324" i="23"/>
  <c r="G1324" i="23"/>
  <c r="G392" i="23"/>
  <c r="F85" i="23"/>
  <c r="F808" i="23"/>
  <c r="G808" i="23"/>
  <c r="F1467" i="23"/>
  <c r="G1467" i="23"/>
  <c r="G824" i="23"/>
  <c r="F824" i="23"/>
  <c r="F265" i="23"/>
  <c r="G265" i="23"/>
  <c r="G1463" i="23"/>
  <c r="F1463" i="23"/>
  <c r="G947" i="23"/>
  <c r="G337" i="23"/>
  <c r="G1432" i="23"/>
  <c r="F209" i="23"/>
  <c r="G209" i="23"/>
  <c r="F132" i="23"/>
  <c r="G132" i="23"/>
  <c r="G944" i="23"/>
  <c r="F324" i="23"/>
  <c r="G324" i="23"/>
  <c r="G701" i="23"/>
  <c r="F769" i="23"/>
  <c r="G769" i="23"/>
  <c r="F456" i="23"/>
  <c r="G456" i="23"/>
  <c r="F804" i="23"/>
  <c r="G804" i="23"/>
  <c r="G774" i="23"/>
  <c r="F774" i="23"/>
  <c r="F921" i="23"/>
  <c r="F1152" i="23"/>
  <c r="G94" i="23"/>
  <c r="G364" i="23"/>
  <c r="F666" i="23"/>
  <c r="G250" i="23"/>
  <c r="G448" i="23"/>
  <c r="G1177" i="23"/>
  <c r="G1078" i="23"/>
  <c r="F1047" i="23"/>
  <c r="G1047" i="23"/>
  <c r="F395" i="23"/>
  <c r="G395" i="23"/>
  <c r="F602" i="23"/>
  <c r="G602" i="23"/>
  <c r="F1391" i="23"/>
  <c r="G1391" i="23"/>
  <c r="F959" i="23"/>
  <c r="G959" i="23"/>
  <c r="F634" i="23"/>
  <c r="G634" i="23"/>
  <c r="F1453" i="23"/>
  <c r="G1453" i="23"/>
  <c r="F1457" i="23"/>
  <c r="G1457" i="23"/>
  <c r="F1321" i="23"/>
  <c r="G1321" i="23"/>
  <c r="F949" i="23"/>
  <c r="G949" i="23"/>
  <c r="G421" i="23"/>
  <c r="F421" i="23"/>
  <c r="F648" i="23"/>
  <c r="G648" i="23"/>
  <c r="F636" i="23"/>
  <c r="G636" i="23"/>
  <c r="F1411" i="23"/>
  <c r="G1411" i="23"/>
  <c r="G1379" i="23"/>
  <c r="F1379" i="23"/>
  <c r="F1358" i="23"/>
  <c r="G1358" i="23"/>
  <c r="F307" i="23"/>
  <c r="G307" i="23"/>
  <c r="F799" i="23"/>
  <c r="G799" i="23"/>
  <c r="F235" i="23"/>
  <c r="G235" i="23"/>
  <c r="F570" i="23"/>
  <c r="G570" i="23"/>
  <c r="F434" i="23"/>
  <c r="G434" i="23"/>
  <c r="F631" i="23"/>
  <c r="G631" i="23"/>
  <c r="F1396" i="23"/>
  <c r="G1396" i="23"/>
  <c r="F919" i="23"/>
  <c r="G919" i="23"/>
  <c r="F952" i="23"/>
  <c r="G952" i="23"/>
  <c r="F583" i="23"/>
  <c r="G583" i="23"/>
  <c r="F1378" i="23"/>
  <c r="G1378" i="23"/>
  <c r="F218" i="23"/>
  <c r="G218" i="23"/>
  <c r="F1407" i="23"/>
  <c r="G1407" i="23"/>
  <c r="F524" i="23"/>
  <c r="G524" i="23"/>
  <c r="F1353" i="23"/>
  <c r="G1353" i="23"/>
  <c r="F821" i="23"/>
  <c r="G821" i="23"/>
  <c r="F1445" i="23"/>
  <c r="G1445" i="23"/>
  <c r="F284" i="23"/>
  <c r="G284" i="23"/>
  <c r="F357" i="23"/>
  <c r="G357" i="23"/>
  <c r="G1083" i="23"/>
  <c r="F1083" i="23"/>
  <c r="F66" i="23"/>
  <c r="G66" i="23"/>
  <c r="G1306" i="23"/>
  <c r="F1306" i="23"/>
  <c r="F657" i="23"/>
  <c r="G657" i="23"/>
  <c r="G1386" i="23"/>
  <c r="F1386" i="23"/>
  <c r="G291" i="23"/>
  <c r="F291" i="23"/>
  <c r="F837" i="23"/>
  <c r="G837" i="23"/>
  <c r="F733" i="23"/>
  <c r="G733" i="23"/>
  <c r="F656" i="23"/>
  <c r="G656" i="23"/>
  <c r="F422" i="23"/>
  <c r="G422" i="23"/>
  <c r="F1395" i="23"/>
  <c r="G1395" i="23"/>
  <c r="G543" i="23"/>
  <c r="G464" i="23"/>
  <c r="F243" i="23"/>
  <c r="G459" i="23"/>
  <c r="G929" i="23"/>
  <c r="F373" i="23"/>
  <c r="F694" i="23"/>
  <c r="G831" i="23"/>
  <c r="G342" i="23"/>
  <c r="G352" i="23"/>
  <c r="G122" i="23"/>
  <c r="G308" i="23"/>
  <c r="F678" i="23"/>
  <c r="G827" i="23"/>
  <c r="G234" i="23"/>
  <c r="G891" i="23"/>
  <c r="F897" i="23"/>
  <c r="G897" i="23"/>
  <c r="F81" i="23"/>
  <c r="G81" i="23"/>
  <c r="F200" i="23"/>
  <c r="G200" i="23"/>
  <c r="G792" i="23"/>
  <c r="F792" i="23"/>
  <c r="F1062" i="23"/>
  <c r="G1062" i="23"/>
  <c r="F454" i="23"/>
  <c r="G454" i="23"/>
  <c r="F325" i="23"/>
  <c r="G325" i="23"/>
  <c r="F1449" i="23"/>
  <c r="G1449" i="23"/>
  <c r="F1433" i="23"/>
  <c r="G1433" i="23"/>
  <c r="F246" i="23"/>
  <c r="G246" i="23"/>
  <c r="F125" i="23"/>
  <c r="G125" i="23"/>
  <c r="F86" i="23"/>
  <c r="G86" i="23"/>
  <c r="F772" i="23"/>
  <c r="G772" i="23"/>
  <c r="F230" i="23"/>
  <c r="G230" i="23"/>
  <c r="F1050" i="23"/>
  <c r="G1050" i="23"/>
  <c r="G430" i="23"/>
  <c r="F430" i="23"/>
  <c r="F313" i="23"/>
  <c r="G313" i="23"/>
  <c r="G1387" i="23"/>
  <c r="F1387" i="23"/>
  <c r="F1459" i="23"/>
  <c r="G1459" i="23"/>
  <c r="F1473" i="23"/>
  <c r="G1473" i="23"/>
  <c r="F1205" i="23"/>
  <c r="G1205" i="23"/>
  <c r="F136" i="23"/>
  <c r="G136" i="23"/>
  <c r="F859" i="23"/>
  <c r="G859" i="23"/>
  <c r="G216" i="23"/>
  <c r="F216" i="23"/>
  <c r="F868" i="23"/>
  <c r="G868" i="23"/>
  <c r="F368" i="23"/>
  <c r="G368" i="23"/>
  <c r="F317" i="23"/>
  <c r="G317" i="23"/>
  <c r="F1398" i="23"/>
  <c r="G1398" i="23"/>
  <c r="G1394" i="23"/>
  <c r="F1394" i="23"/>
  <c r="F1418" i="23"/>
  <c r="G1418" i="23"/>
  <c r="F541" i="23"/>
  <c r="G541" i="23"/>
  <c r="F1206" i="23"/>
  <c r="G1206" i="23"/>
  <c r="G866" i="23"/>
  <c r="F866" i="23"/>
  <c r="F133" i="23"/>
  <c r="G133" i="23"/>
  <c r="G864" i="23"/>
  <c r="F864" i="23"/>
  <c r="F1035" i="23"/>
  <c r="G1035" i="23"/>
  <c r="F603" i="23"/>
  <c r="G603" i="23"/>
  <c r="F879" i="23"/>
  <c r="G879" i="23"/>
  <c r="G353" i="23"/>
  <c r="F353" i="23"/>
  <c r="F1430" i="23"/>
  <c r="G1430" i="23"/>
  <c r="F1442" i="23"/>
  <c r="G1442" i="23"/>
  <c r="F1392" i="23"/>
  <c r="G1392" i="23"/>
  <c r="F551" i="23"/>
  <c r="G551" i="23"/>
  <c r="G1223" i="23"/>
  <c r="F1223" i="23"/>
  <c r="G686" i="23"/>
  <c r="F686" i="23"/>
  <c r="F780" i="23"/>
  <c r="G780" i="23"/>
  <c r="F1036" i="23"/>
  <c r="G1036" i="23"/>
  <c r="F626" i="23"/>
  <c r="G626" i="23"/>
  <c r="F870" i="23"/>
  <c r="G870" i="23"/>
  <c r="F1447" i="23"/>
  <c r="G1447" i="23"/>
  <c r="F1400" i="23"/>
  <c r="G1400" i="23"/>
  <c r="F1448" i="23"/>
  <c r="G1448" i="23"/>
  <c r="F177" i="23"/>
  <c r="G177" i="23"/>
  <c r="F303" i="23"/>
  <c r="G303" i="23"/>
  <c r="F997" i="23"/>
  <c r="G997" i="23"/>
  <c r="F693" i="23"/>
  <c r="G693" i="23"/>
  <c r="F768" i="23"/>
  <c r="G768" i="23"/>
  <c r="F614" i="23"/>
  <c r="G614" i="23"/>
  <c r="F231" i="23"/>
  <c r="G231" i="23"/>
  <c r="F1073" i="23"/>
  <c r="G1073" i="23"/>
  <c r="F1443" i="23"/>
  <c r="G1443" i="23"/>
  <c r="F1454" i="23"/>
  <c r="G1454" i="23"/>
  <c r="F410" i="23"/>
  <c r="G410" i="23"/>
  <c r="F711" i="23"/>
  <c r="G711" i="23"/>
  <c r="F972" i="23"/>
  <c r="G972" i="23"/>
  <c r="F174" i="23"/>
  <c r="G174" i="23"/>
  <c r="F987" i="23"/>
  <c r="G987" i="23"/>
  <c r="F189" i="23"/>
  <c r="G189" i="23"/>
  <c r="F633" i="23"/>
  <c r="G633" i="23"/>
  <c r="G242" i="23"/>
  <c r="F242" i="23"/>
  <c r="F803" i="23"/>
  <c r="G803" i="23"/>
  <c r="F579" i="23"/>
  <c r="G579" i="23"/>
  <c r="F1076" i="23"/>
  <c r="G1076" i="23"/>
  <c r="F1414" i="23"/>
  <c r="G1414" i="23"/>
  <c r="F1456" i="23"/>
  <c r="G1456" i="23"/>
  <c r="F385" i="23"/>
  <c r="G385" i="23"/>
  <c r="F700" i="23"/>
  <c r="G700" i="23"/>
  <c r="F72" i="23"/>
  <c r="G72" i="23"/>
  <c r="F973" i="23"/>
  <c r="G973" i="23"/>
  <c r="F128" i="23"/>
  <c r="G128" i="23"/>
  <c r="F167" i="23"/>
  <c r="G167" i="23"/>
  <c r="F300" i="23"/>
  <c r="G300" i="23"/>
  <c r="F183" i="23"/>
  <c r="G183" i="23"/>
  <c r="F784" i="23"/>
  <c r="G784" i="23"/>
  <c r="G990" i="23"/>
  <c r="F990" i="23"/>
  <c r="F567" i="23"/>
  <c r="G567" i="23"/>
  <c r="F312" i="23"/>
  <c r="G312" i="23"/>
  <c r="F1452" i="23"/>
  <c r="G1452" i="23"/>
  <c r="F1401" i="23"/>
  <c r="G1401" i="23"/>
  <c r="F482" i="23"/>
  <c r="G482" i="23"/>
  <c r="F50" i="23"/>
  <c r="G50" i="23"/>
  <c r="G232" i="23"/>
  <c r="F232" i="23"/>
  <c r="G493" i="23"/>
  <c r="G688" i="23"/>
  <c r="G1051" i="23"/>
  <c r="F652" i="23"/>
  <c r="F99" i="23"/>
  <c r="G99" i="23"/>
  <c r="G623" i="23"/>
  <c r="F623" i="23"/>
  <c r="G1020" i="23"/>
  <c r="F1020" i="23"/>
  <c r="F853" i="23"/>
  <c r="G853" i="23"/>
  <c r="F1028" i="23"/>
  <c r="G1028" i="23"/>
  <c r="G435" i="23"/>
  <c r="F435" i="23"/>
  <c r="F298" i="23"/>
  <c r="G298" i="23"/>
  <c r="F469" i="23"/>
  <c r="G469" i="23"/>
  <c r="F555" i="23"/>
  <c r="G555" i="23"/>
  <c r="F253" i="23"/>
  <c r="G253" i="23"/>
  <c r="F968" i="23"/>
  <c r="G968" i="23"/>
  <c r="F411" i="23"/>
  <c r="G411" i="23"/>
  <c r="F1052" i="23"/>
  <c r="G1052" i="23"/>
  <c r="F671" i="23"/>
  <c r="G671" i="23"/>
  <c r="F704" i="23"/>
  <c r="G704" i="23"/>
  <c r="F1469" i="23"/>
  <c r="G1466" i="23"/>
  <c r="F1466" i="23"/>
  <c r="G45" i="23"/>
  <c r="F45" i="23"/>
  <c r="F971" i="23"/>
  <c r="G971" i="23"/>
  <c r="G1054" i="23"/>
  <c r="F1054" i="23"/>
  <c r="F163" i="23"/>
  <c r="G163" i="23"/>
  <c r="F936" i="23"/>
  <c r="G936" i="23"/>
  <c r="F351" i="23"/>
  <c r="G351" i="23"/>
  <c r="F451" i="23"/>
  <c r="G451" i="23"/>
  <c r="F665" i="23"/>
  <c r="G665" i="23"/>
  <c r="F96" i="23"/>
  <c r="G96" i="23"/>
  <c r="F607" i="23"/>
  <c r="G607" i="23"/>
  <c r="F854" i="23"/>
  <c r="G854" i="23"/>
  <c r="F1032" i="23"/>
  <c r="G1032" i="23"/>
  <c r="G301" i="23"/>
  <c r="F301" i="23"/>
  <c r="F458" i="23"/>
  <c r="G458" i="23"/>
  <c r="F572" i="23"/>
  <c r="G572" i="23"/>
  <c r="F732" i="23"/>
  <c r="G732" i="23"/>
  <c r="F749" i="23"/>
  <c r="G749" i="23"/>
  <c r="F1063" i="23"/>
  <c r="G1063" i="23"/>
  <c r="F544" i="23"/>
  <c r="G544" i="23"/>
  <c r="F717" i="23"/>
  <c r="G717" i="23"/>
  <c r="F1425" i="23"/>
  <c r="G1425" i="23"/>
  <c r="F1413" i="23"/>
  <c r="G1413" i="23"/>
  <c r="F1278" i="23"/>
  <c r="G1278" i="23"/>
  <c r="F903" i="23"/>
  <c r="G903" i="23"/>
  <c r="F41" i="23"/>
  <c r="G41" i="23"/>
  <c r="F970" i="23"/>
  <c r="G970" i="23"/>
  <c r="F1058" i="23"/>
  <c r="G1058" i="23"/>
  <c r="G692" i="23"/>
  <c r="F692" i="23"/>
  <c r="F766" i="23"/>
  <c r="G766" i="23"/>
  <c r="F1188" i="23"/>
  <c r="G1188" i="23"/>
  <c r="F354" i="23"/>
  <c r="G354" i="23"/>
  <c r="F457" i="23"/>
  <c r="G457" i="23"/>
  <c r="F145" i="23"/>
  <c r="G145" i="23"/>
  <c r="G565" i="23"/>
  <c r="F565" i="23"/>
  <c r="G800" i="23"/>
  <c r="F800" i="23"/>
  <c r="F190" i="23"/>
  <c r="G190" i="23"/>
  <c r="F203" i="23"/>
  <c r="G203" i="23"/>
  <c r="F1406" i="23"/>
  <c r="G1406" i="23"/>
  <c r="F359" i="23"/>
  <c r="G359" i="23"/>
  <c r="G1033" i="23"/>
  <c r="F1033" i="23"/>
  <c r="F530" i="23"/>
  <c r="G530" i="23"/>
  <c r="F561" i="23"/>
  <c r="G561" i="23"/>
  <c r="F731" i="23"/>
  <c r="G731" i="23"/>
  <c r="F753" i="23"/>
  <c r="G753" i="23"/>
  <c r="F322" i="23"/>
  <c r="G322" i="23"/>
  <c r="F547" i="23"/>
  <c r="G547" i="23"/>
  <c r="F1484" i="23"/>
  <c r="F1426" i="23"/>
  <c r="G1426" i="23"/>
  <c r="F1279" i="23"/>
  <c r="G1279" i="23"/>
  <c r="F895" i="23"/>
  <c r="G895" i="23"/>
  <c r="F197" i="23"/>
  <c r="G197" i="23"/>
  <c r="F1346" i="23"/>
  <c r="G1346" i="23"/>
  <c r="F655" i="23"/>
  <c r="G655" i="23"/>
  <c r="F763" i="23"/>
  <c r="G763" i="23"/>
  <c r="F1169" i="23"/>
  <c r="G1169" i="23"/>
  <c r="F360" i="23"/>
  <c r="G360" i="23"/>
  <c r="F939" i="23"/>
  <c r="G939" i="23"/>
  <c r="G1210" i="23"/>
  <c r="F1210" i="23"/>
  <c r="G441" i="23"/>
  <c r="F441" i="23"/>
  <c r="F139" i="23"/>
  <c r="G139" i="23"/>
  <c r="G548" i="23"/>
  <c r="F548" i="23"/>
  <c r="G806" i="23"/>
  <c r="F806" i="23"/>
  <c r="F217" i="23"/>
  <c r="G217" i="23"/>
  <c r="F224" i="23"/>
  <c r="G224" i="23"/>
  <c r="F1362" i="23"/>
  <c r="G1362" i="23"/>
  <c r="F650" i="23"/>
  <c r="G650" i="23"/>
  <c r="F363" i="23"/>
  <c r="G363" i="23"/>
  <c r="F538" i="23"/>
  <c r="G538" i="23"/>
  <c r="F707" i="23"/>
  <c r="G707" i="23"/>
  <c r="F600" i="23"/>
  <c r="G600" i="23"/>
  <c r="F316" i="23"/>
  <c r="G316" i="23"/>
  <c r="G606" i="23"/>
  <c r="F606" i="23"/>
  <c r="F1429" i="23"/>
  <c r="G1429" i="23"/>
  <c r="F1422" i="23"/>
  <c r="G1422" i="23"/>
  <c r="G1421" i="23"/>
  <c r="F1421" i="23"/>
  <c r="F1265" i="23"/>
  <c r="G1265" i="23"/>
  <c r="F905" i="23"/>
  <c r="G905" i="23"/>
  <c r="G213" i="23"/>
  <c r="F213" i="23"/>
  <c r="F1319" i="23"/>
  <c r="G1319" i="23"/>
  <c r="F673" i="23"/>
  <c r="G673" i="23"/>
  <c r="F762" i="23"/>
  <c r="G762" i="23"/>
  <c r="G730" i="23"/>
  <c r="F730" i="23"/>
  <c r="F703" i="23"/>
  <c r="G703" i="23"/>
  <c r="F1217" i="23"/>
  <c r="G1217" i="23"/>
  <c r="F123" i="23"/>
  <c r="G123" i="23"/>
  <c r="F556" i="23"/>
  <c r="G556" i="23"/>
  <c r="F820" i="23"/>
  <c r="G820" i="23"/>
  <c r="F214" i="23"/>
  <c r="G214" i="23"/>
  <c r="G444" i="23"/>
  <c r="F444" i="23"/>
  <c r="F1397" i="23"/>
  <c r="G1397" i="23"/>
  <c r="F647" i="23"/>
  <c r="G647" i="23"/>
  <c r="F380" i="23"/>
  <c r="G380" i="23"/>
  <c r="F649" i="23"/>
  <c r="G649" i="23"/>
  <c r="F415" i="23"/>
  <c r="G415" i="23"/>
  <c r="F57" i="23"/>
  <c r="G57" i="23"/>
  <c r="F605" i="23"/>
  <c r="G605" i="23"/>
  <c r="F272" i="23"/>
  <c r="G272" i="23"/>
  <c r="F619" i="23"/>
  <c r="G619" i="23"/>
  <c r="F1424" i="23"/>
  <c r="G1424" i="23"/>
  <c r="G388" i="23"/>
  <c r="F388" i="23"/>
  <c r="F986" i="23"/>
  <c r="G986" i="23"/>
  <c r="G1153" i="23"/>
  <c r="F1153" i="23"/>
  <c r="F1228" i="23"/>
  <c r="G1228" i="23"/>
  <c r="F755" i="23"/>
  <c r="G755" i="23"/>
  <c r="F716" i="23"/>
  <c r="G716" i="23"/>
  <c r="F689" i="23"/>
  <c r="G689" i="23"/>
  <c r="F1087" i="23"/>
  <c r="G1087" i="23"/>
  <c r="F255" i="23"/>
  <c r="G255" i="23"/>
  <c r="F838" i="23"/>
  <c r="G838" i="23"/>
  <c r="F178" i="23"/>
  <c r="G178" i="23"/>
  <c r="F405" i="23"/>
  <c r="G405" i="23"/>
  <c r="F1383" i="23"/>
  <c r="G1383" i="23"/>
  <c r="F635" i="23"/>
  <c r="G635" i="23"/>
  <c r="F204" i="23"/>
  <c r="G204" i="23"/>
  <c r="F393" i="23"/>
  <c r="G393" i="23"/>
  <c r="F682" i="23"/>
  <c r="G682" i="23"/>
  <c r="F417" i="23"/>
  <c r="G417" i="23"/>
  <c r="F73" i="23"/>
  <c r="G73" i="23"/>
  <c r="G562" i="23"/>
  <c r="F562" i="23"/>
  <c r="F848" i="23"/>
  <c r="G848" i="23"/>
  <c r="F270" i="23"/>
  <c r="G270" i="23"/>
  <c r="F1089" i="23"/>
  <c r="G1089" i="23"/>
  <c r="G1393" i="23"/>
  <c r="F1393" i="23"/>
  <c r="F1486" i="23"/>
  <c r="F402" i="23"/>
  <c r="G402" i="23"/>
  <c r="G597" i="23"/>
  <c r="F597" i="23"/>
  <c r="F983" i="23"/>
  <c r="G983" i="23"/>
  <c r="F1144" i="23"/>
  <c r="G1144" i="23"/>
  <c r="F500" i="23"/>
  <c r="G500" i="23"/>
  <c r="F1230" i="23"/>
  <c r="G1230" i="23"/>
  <c r="G1196" i="23"/>
  <c r="F1196" i="23"/>
  <c r="G698" i="23"/>
  <c r="F698" i="23"/>
  <c r="F1092" i="23"/>
  <c r="G1092" i="23"/>
  <c r="F258" i="23"/>
  <c r="G258" i="23"/>
  <c r="F1007" i="23"/>
  <c r="G1007" i="23"/>
  <c r="G847" i="23"/>
  <c r="F847" i="23"/>
  <c r="F757" i="23"/>
  <c r="G757" i="23"/>
  <c r="F181" i="23"/>
  <c r="G181" i="23"/>
  <c r="F215" i="23"/>
  <c r="G215" i="23"/>
  <c r="G592" i="23"/>
  <c r="F592" i="23"/>
  <c r="F212" i="23"/>
  <c r="G212" i="23"/>
  <c r="G1059" i="23"/>
  <c r="F1059" i="23"/>
  <c r="F639" i="23"/>
  <c r="G639" i="23"/>
  <c r="F440" i="23"/>
  <c r="G440" i="23"/>
  <c r="F76" i="23"/>
  <c r="G76" i="23"/>
  <c r="F564" i="23"/>
  <c r="G564" i="23"/>
  <c r="F552" i="23"/>
  <c r="G552" i="23"/>
  <c r="F814" i="23"/>
  <c r="G814" i="23"/>
  <c r="F675" i="23"/>
  <c r="G675" i="23"/>
  <c r="F1088" i="23"/>
  <c r="G1088" i="23"/>
  <c r="G1403" i="23"/>
  <c r="F1403" i="23"/>
  <c r="F1420" i="23"/>
  <c r="G1420" i="23"/>
  <c r="G409" i="23"/>
  <c r="F409" i="23"/>
  <c r="F387" i="23"/>
  <c r="G387" i="23"/>
  <c r="F577" i="23"/>
  <c r="G577" i="23"/>
  <c r="F974" i="23"/>
  <c r="G974" i="23"/>
  <c r="F1158" i="23"/>
  <c r="G1158" i="23"/>
  <c r="G489" i="23"/>
  <c r="F489" i="23"/>
  <c r="F1218" i="23"/>
  <c r="G1218" i="23"/>
  <c r="F1189" i="23"/>
  <c r="G1189" i="23"/>
  <c r="F1004" i="23"/>
  <c r="G1004" i="23"/>
  <c r="F110" i="23"/>
  <c r="G110" i="23"/>
  <c r="F760" i="23"/>
  <c r="G760" i="23"/>
  <c r="F621" i="23"/>
  <c r="G621" i="23"/>
  <c r="F206" i="23"/>
  <c r="G206" i="23"/>
  <c r="F855" i="23"/>
  <c r="G855" i="23"/>
  <c r="G593" i="23"/>
  <c r="F593" i="23"/>
  <c r="F443" i="23"/>
  <c r="G443" i="23"/>
  <c r="F305" i="23"/>
  <c r="G305" i="23"/>
  <c r="G1057" i="23"/>
  <c r="F1057" i="23"/>
  <c r="F643" i="23"/>
  <c r="G643" i="23"/>
  <c r="F256" i="23"/>
  <c r="G256" i="23"/>
  <c r="F951" i="23"/>
  <c r="G951" i="23"/>
  <c r="F416" i="23"/>
  <c r="G416" i="23"/>
  <c r="F545" i="23"/>
  <c r="G545" i="23"/>
  <c r="F828" i="23"/>
  <c r="G828" i="23"/>
  <c r="F681" i="23"/>
  <c r="G681" i="23"/>
  <c r="F1105" i="23"/>
  <c r="G1105" i="23"/>
  <c r="F1461" i="23"/>
  <c r="G1461" i="23"/>
  <c r="F381" i="23"/>
  <c r="G381" i="23"/>
  <c r="F58" i="23"/>
  <c r="G58" i="23"/>
  <c r="F960" i="23"/>
  <c r="G960" i="23"/>
  <c r="G513" i="23"/>
  <c r="F513" i="23"/>
  <c r="F160" i="23"/>
  <c r="G160" i="23"/>
  <c r="F940" i="23"/>
  <c r="G940" i="23"/>
  <c r="F1185" i="23"/>
  <c r="G1185" i="23"/>
  <c r="F680" i="23"/>
  <c r="G680" i="23"/>
  <c r="B2" i="22"/>
  <c r="C2" i="22"/>
  <c r="D2" i="22"/>
  <c r="B3" i="22"/>
  <c r="C3" i="22"/>
  <c r="D3" i="22"/>
  <c r="B4" i="22"/>
  <c r="C4" i="22"/>
  <c r="D4" i="22"/>
  <c r="B5" i="22"/>
  <c r="D5" i="22"/>
  <c r="B6" i="22"/>
  <c r="C6" i="22"/>
  <c r="D6" i="22"/>
  <c r="B7" i="22"/>
  <c r="C7" i="22"/>
  <c r="D7" i="22"/>
  <c r="B8" i="22"/>
  <c r="C8" i="22"/>
  <c r="D8" i="22"/>
  <c r="B9" i="22"/>
  <c r="C9" i="22"/>
  <c r="D9" i="22"/>
  <c r="C10" i="22"/>
  <c r="D10" i="22"/>
  <c r="C11" i="22"/>
  <c r="D11" i="22"/>
  <c r="C12" i="22"/>
  <c r="D12" i="22"/>
  <c r="C13" i="22"/>
  <c r="D13" i="22"/>
  <c r="C14" i="22"/>
  <c r="D14" i="22"/>
  <c r="C15" i="22"/>
  <c r="D15" i="22"/>
  <c r="C16" i="22"/>
  <c r="D16" i="22"/>
  <c r="C17" i="22"/>
  <c r="D17" i="22"/>
  <c r="B18" i="22"/>
  <c r="C18" i="22"/>
  <c r="D18" i="22"/>
  <c r="B19" i="22"/>
  <c r="C19" i="22"/>
  <c r="D19" i="22"/>
  <c r="B20" i="22"/>
  <c r="C20" i="22"/>
  <c r="D20" i="22"/>
  <c r="B21" i="22"/>
  <c r="C21" i="22"/>
  <c r="D21" i="22"/>
  <c r="B22" i="22"/>
  <c r="C22" i="22"/>
  <c r="D22" i="22"/>
  <c r="B23" i="22"/>
  <c r="C23" i="22"/>
  <c r="D23" i="22"/>
  <c r="B24" i="22"/>
  <c r="C24" i="22"/>
  <c r="D24" i="22"/>
  <c r="B25" i="22"/>
  <c r="C25" i="22"/>
  <c r="D25" i="22"/>
  <c r="B26" i="22"/>
  <c r="C26" i="22"/>
  <c r="D26" i="22"/>
  <c r="B27" i="22"/>
  <c r="C27" i="22"/>
  <c r="D27" i="22"/>
  <c r="B28" i="22"/>
  <c r="C28" i="22"/>
  <c r="D28" i="22"/>
  <c r="B29" i="22"/>
  <c r="C29" i="22"/>
  <c r="D29" i="22"/>
  <c r="B30" i="22"/>
  <c r="C30" i="22"/>
  <c r="D30" i="22"/>
  <c r="B31" i="22"/>
  <c r="C31" i="22"/>
  <c r="D31" i="22"/>
  <c r="B32" i="22"/>
  <c r="C32" i="22"/>
  <c r="D32" i="22"/>
  <c r="B33" i="22"/>
  <c r="C33" i="22"/>
  <c r="D33" i="22"/>
  <c r="B34" i="22"/>
  <c r="C34" i="22"/>
  <c r="D34" i="22"/>
  <c r="B35" i="22"/>
  <c r="C35" i="22"/>
  <c r="D35" i="22"/>
  <c r="B36" i="22"/>
  <c r="C36" i="22"/>
  <c r="D36" i="22"/>
  <c r="B37" i="22"/>
  <c r="C37" i="22"/>
  <c r="D37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E18" i="8"/>
  <c r="F18" i="8"/>
  <c r="F2" i="8"/>
  <c r="F3" i="8"/>
  <c r="F4" i="8"/>
  <c r="F6" i="8"/>
  <c r="F7" i="8"/>
  <c r="F8" i="8"/>
  <c r="F9" i="8"/>
  <c r="F10" i="8"/>
  <c r="F11" i="8"/>
  <c r="F12" i="8"/>
  <c r="F13" i="8"/>
  <c r="F14" i="8"/>
  <c r="F15" i="8"/>
  <c r="F16" i="8"/>
  <c r="F17" i="8"/>
  <c r="E2" i="8"/>
  <c r="E3" i="8"/>
  <c r="E4" i="8"/>
  <c r="E6" i="8"/>
  <c r="E7" i="8"/>
  <c r="E8" i="8"/>
  <c r="E9" i="8"/>
  <c r="E10" i="8"/>
  <c r="E11" i="8"/>
  <c r="E12" i="8"/>
  <c r="E13" i="8"/>
  <c r="E14" i="8"/>
  <c r="E15" i="8"/>
  <c r="E16" i="8"/>
  <c r="E17" i="8"/>
  <c r="G20" i="12" l="1"/>
  <c r="F22" i="12"/>
  <c r="G22" i="12"/>
  <c r="F20" i="12"/>
  <c r="G7" i="12"/>
  <c r="F17" i="12"/>
  <c r="G17" i="12"/>
  <c r="F7" i="12"/>
  <c r="G11" i="12"/>
  <c r="F11" i="12"/>
  <c r="G26" i="12"/>
  <c r="F24" i="12"/>
  <c r="G24" i="12"/>
  <c r="F26" i="12"/>
  <c r="G19" i="12"/>
  <c r="F9" i="12"/>
  <c r="F19" i="12"/>
  <c r="G13" i="12"/>
  <c r="F13" i="12"/>
  <c r="G9" i="12"/>
  <c r="G4" i="12"/>
  <c r="F4" i="12"/>
  <c r="G2" i="12"/>
  <c r="F14" i="12"/>
  <c r="G14" i="12"/>
  <c r="F2" i="12"/>
  <c r="G12" i="12"/>
  <c r="F18" i="12"/>
  <c r="G18" i="12"/>
  <c r="F8" i="12"/>
  <c r="F12" i="12"/>
  <c r="G8" i="12"/>
  <c r="G15" i="12"/>
  <c r="G23" i="12"/>
  <c r="G27" i="12"/>
  <c r="F3" i="12"/>
  <c r="F10" i="12"/>
  <c r="F21" i="12"/>
  <c r="F25" i="12"/>
  <c r="G3" i="12"/>
  <c r="G21" i="12"/>
  <c r="F27" i="12"/>
  <c r="G16" i="12"/>
  <c r="G6" i="12"/>
  <c r="F5" i="12"/>
  <c r="F16" i="12"/>
  <c r="G10" i="12"/>
  <c r="G25" i="12"/>
  <c r="F15" i="12"/>
  <c r="F23" i="12"/>
  <c r="G5" i="12"/>
  <c r="F6" i="12"/>
  <c r="C5" i="8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301" i="21"/>
  <c r="A302" i="21"/>
  <c r="A303" i="21"/>
  <c r="A304" i="21"/>
  <c r="A305" i="21"/>
  <c r="A306" i="21"/>
  <c r="A307" i="21"/>
  <c r="A308" i="21"/>
  <c r="A309" i="21"/>
  <c r="A310" i="21"/>
  <c r="A311" i="21"/>
  <c r="A312" i="21"/>
  <c r="A313" i="21"/>
  <c r="A314" i="21"/>
  <c r="A315" i="21"/>
  <c r="A316" i="21"/>
  <c r="A317" i="21"/>
  <c r="A318" i="21"/>
  <c r="A319" i="21"/>
  <c r="A320" i="21"/>
  <c r="A321" i="21"/>
  <c r="A322" i="21"/>
  <c r="A323" i="21"/>
  <c r="A324" i="21"/>
  <c r="A325" i="21"/>
  <c r="A326" i="21"/>
  <c r="A327" i="21"/>
  <c r="A328" i="21"/>
  <c r="A329" i="21"/>
  <c r="A330" i="21"/>
  <c r="A331" i="21"/>
  <c r="A332" i="21"/>
  <c r="A333" i="21"/>
  <c r="A334" i="21"/>
  <c r="A335" i="21"/>
  <c r="A336" i="21"/>
  <c r="A337" i="21"/>
  <c r="A338" i="21"/>
  <c r="A339" i="21"/>
  <c r="A340" i="21"/>
  <c r="A341" i="21"/>
  <c r="A342" i="21"/>
  <c r="A343" i="21"/>
  <c r="A344" i="21"/>
  <c r="A345" i="21"/>
  <c r="A346" i="21"/>
  <c r="A347" i="21"/>
  <c r="A348" i="21"/>
  <c r="A349" i="21"/>
  <c r="A350" i="21"/>
  <c r="A351" i="21"/>
  <c r="A352" i="21"/>
  <c r="A353" i="21"/>
  <c r="A354" i="21"/>
  <c r="A355" i="21"/>
  <c r="A356" i="21"/>
  <c r="A357" i="21"/>
  <c r="A358" i="21"/>
  <c r="A359" i="21"/>
  <c r="A360" i="21"/>
  <c r="A361" i="21"/>
  <c r="A362" i="21"/>
  <c r="A363" i="21"/>
  <c r="A364" i="21"/>
  <c r="A365" i="21"/>
  <c r="A366" i="21"/>
  <c r="A367" i="21"/>
  <c r="A368" i="21"/>
  <c r="A369" i="21"/>
  <c r="A370" i="21"/>
  <c r="A371" i="21"/>
  <c r="A372" i="21"/>
  <c r="A373" i="21"/>
  <c r="A374" i="21"/>
  <c r="A375" i="21"/>
  <c r="A376" i="21"/>
  <c r="A377" i="21"/>
  <c r="A378" i="21"/>
  <c r="A379" i="21"/>
  <c r="A380" i="21"/>
  <c r="A381" i="21"/>
  <c r="A382" i="21"/>
  <c r="A383" i="21"/>
  <c r="A384" i="21"/>
  <c r="A385" i="21"/>
  <c r="A386" i="21"/>
  <c r="A387" i="21"/>
  <c r="A388" i="21"/>
  <c r="A389" i="21"/>
  <c r="A390" i="21"/>
  <c r="A391" i="21"/>
  <c r="A392" i="21"/>
  <c r="A393" i="21"/>
  <c r="A394" i="21"/>
  <c r="A395" i="21"/>
  <c r="A396" i="21"/>
  <c r="A397" i="21"/>
  <c r="A398" i="21"/>
  <c r="A399" i="21"/>
  <c r="A400" i="21"/>
  <c r="A401" i="21"/>
  <c r="A402" i="21"/>
  <c r="A403" i="21"/>
  <c r="A404" i="21"/>
  <c r="A405" i="21"/>
  <c r="A406" i="21"/>
  <c r="A407" i="21"/>
  <c r="A408" i="21"/>
  <c r="A409" i="21"/>
  <c r="A410" i="21"/>
  <c r="A411" i="21"/>
  <c r="A412" i="21"/>
  <c r="A413" i="21"/>
  <c r="A414" i="21"/>
  <c r="A415" i="21"/>
  <c r="A416" i="21"/>
  <c r="A417" i="21"/>
  <c r="A418" i="21"/>
  <c r="A419" i="21"/>
  <c r="A420" i="21"/>
  <c r="A421" i="21"/>
  <c r="A422" i="21"/>
  <c r="A423" i="21"/>
  <c r="A424" i="21"/>
  <c r="A425" i="21"/>
  <c r="A426" i="21"/>
  <c r="A427" i="21"/>
  <c r="A428" i="21"/>
  <c r="A429" i="21"/>
  <c r="A430" i="21"/>
  <c r="A431" i="21"/>
  <c r="A432" i="21"/>
  <c r="A433" i="21"/>
  <c r="A434" i="21"/>
  <c r="A435" i="21"/>
  <c r="A436" i="21"/>
  <c r="A437" i="21"/>
  <c r="A438" i="21"/>
  <c r="A439" i="21"/>
  <c r="A440" i="21"/>
  <c r="A441" i="21"/>
  <c r="A442" i="21"/>
  <c r="A443" i="21"/>
  <c r="A444" i="21"/>
  <c r="A445" i="21"/>
  <c r="A446" i="21"/>
  <c r="A447" i="21"/>
  <c r="A448" i="21"/>
  <c r="A449" i="21"/>
  <c r="A450" i="21"/>
  <c r="A451" i="21"/>
  <c r="A452" i="21"/>
  <c r="A453" i="21"/>
  <c r="A454" i="21"/>
  <c r="A455" i="21"/>
  <c r="A456" i="21"/>
  <c r="A457" i="21"/>
  <c r="A458" i="21"/>
  <c r="A459" i="21"/>
  <c r="A460" i="21"/>
  <c r="A461" i="21"/>
  <c r="A462" i="21"/>
  <c r="A463" i="21"/>
  <c r="A464" i="21"/>
  <c r="A465" i="21"/>
  <c r="A466" i="21"/>
  <c r="A467" i="21"/>
  <c r="A468" i="21"/>
  <c r="A469" i="21"/>
  <c r="A470" i="21"/>
  <c r="A471" i="21"/>
  <c r="A472" i="21"/>
  <c r="A473" i="21"/>
  <c r="A474" i="21"/>
  <c r="A475" i="21"/>
  <c r="A476" i="21"/>
  <c r="A477" i="21"/>
  <c r="A478" i="21"/>
  <c r="A479" i="21"/>
  <c r="A480" i="21"/>
  <c r="A481" i="21"/>
  <c r="A482" i="21"/>
  <c r="A483" i="21"/>
  <c r="A484" i="21"/>
  <c r="A485" i="21"/>
  <c r="A486" i="21"/>
  <c r="A487" i="21"/>
  <c r="A488" i="21"/>
  <c r="A489" i="21"/>
  <c r="A490" i="21"/>
  <c r="A491" i="21"/>
  <c r="A492" i="21"/>
  <c r="A493" i="21"/>
  <c r="A494" i="21"/>
  <c r="A495" i="21"/>
  <c r="A496" i="21"/>
  <c r="A497" i="21"/>
  <c r="A498" i="21"/>
  <c r="A499" i="21"/>
  <c r="A500" i="21"/>
  <c r="A501" i="21"/>
  <c r="A502" i="21"/>
  <c r="A503" i="21"/>
  <c r="A504" i="21"/>
  <c r="A505" i="21"/>
  <c r="A506" i="21"/>
  <c r="A507" i="21"/>
  <c r="A508" i="21"/>
  <c r="A509" i="21"/>
  <c r="A510" i="21"/>
  <c r="A511" i="21"/>
  <c r="A512" i="21"/>
  <c r="A513" i="21"/>
  <c r="A514" i="21"/>
  <c r="A515" i="21"/>
  <c r="A516" i="21"/>
  <c r="A517" i="21"/>
  <c r="A518" i="21"/>
  <c r="A519" i="21"/>
  <c r="A520" i="21"/>
  <c r="A521" i="21"/>
  <c r="A522" i="21"/>
  <c r="A523" i="21"/>
  <c r="A524" i="21"/>
  <c r="A525" i="21"/>
  <c r="A526" i="21"/>
  <c r="A527" i="21"/>
  <c r="A528" i="21"/>
  <c r="A529" i="21"/>
  <c r="A530" i="21"/>
  <c r="A531" i="21"/>
  <c r="A532" i="21"/>
  <c r="A533" i="21"/>
  <c r="A534" i="21"/>
  <c r="A535" i="21"/>
  <c r="A536" i="21"/>
  <c r="A537" i="21"/>
  <c r="A538" i="21"/>
  <c r="A539" i="21"/>
  <c r="A540" i="21"/>
  <c r="A541" i="21"/>
  <c r="A542" i="21"/>
  <c r="A543" i="21"/>
  <c r="A544" i="21"/>
  <c r="A545" i="21"/>
  <c r="A546" i="21"/>
  <c r="A547" i="21"/>
  <c r="A548" i="21"/>
  <c r="A549" i="21"/>
  <c r="A550" i="21"/>
  <c r="A551" i="21"/>
  <c r="A552" i="21"/>
  <c r="A553" i="21"/>
  <c r="A554" i="21"/>
  <c r="A555" i="21"/>
  <c r="A556" i="21"/>
  <c r="A557" i="21"/>
  <c r="A558" i="21"/>
  <c r="A559" i="21"/>
  <c r="A560" i="21"/>
  <c r="A561" i="21"/>
  <c r="A562" i="21"/>
  <c r="A563" i="21"/>
  <c r="A564" i="21"/>
  <c r="A565" i="21"/>
  <c r="A566" i="21"/>
  <c r="A567" i="21"/>
  <c r="A568" i="21"/>
  <c r="A569" i="21"/>
  <c r="A570" i="21"/>
  <c r="A571" i="21"/>
  <c r="A572" i="21"/>
  <c r="A573" i="21"/>
  <c r="A574" i="21"/>
  <c r="A575" i="21"/>
  <c r="A576" i="21"/>
  <c r="A577" i="21"/>
  <c r="A578" i="21"/>
  <c r="A579" i="21"/>
  <c r="A580" i="21"/>
  <c r="A581" i="21"/>
  <c r="A582" i="21"/>
  <c r="A583" i="21"/>
  <c r="A584" i="21"/>
  <c r="A585" i="21"/>
  <c r="A586" i="21"/>
  <c r="A587" i="21"/>
  <c r="A588" i="21"/>
  <c r="A589" i="21"/>
  <c r="A590" i="21"/>
  <c r="A591" i="21"/>
  <c r="A592" i="21"/>
  <c r="A593" i="21"/>
  <c r="A594" i="21"/>
  <c r="A595" i="21"/>
  <c r="A596" i="21"/>
  <c r="A597" i="21"/>
  <c r="A598" i="21"/>
  <c r="A599" i="21"/>
  <c r="A600" i="21"/>
  <c r="A601" i="21"/>
  <c r="A602" i="21"/>
  <c r="A603" i="21"/>
  <c r="A604" i="21"/>
  <c r="A605" i="21"/>
  <c r="A606" i="21"/>
  <c r="A607" i="21"/>
  <c r="A608" i="21"/>
  <c r="A609" i="21"/>
  <c r="A610" i="21"/>
  <c r="A611" i="21"/>
  <c r="A612" i="21"/>
  <c r="A613" i="21"/>
  <c r="A614" i="21"/>
  <c r="A615" i="21"/>
  <c r="A616" i="21"/>
  <c r="A617" i="21"/>
  <c r="A618" i="21"/>
  <c r="A619" i="21"/>
  <c r="A620" i="21"/>
  <c r="A621" i="21"/>
  <c r="A622" i="21"/>
  <c r="A623" i="21"/>
  <c r="A624" i="21"/>
  <c r="A625" i="21"/>
  <c r="A626" i="21"/>
  <c r="A627" i="21"/>
  <c r="A628" i="21"/>
  <c r="A629" i="21"/>
  <c r="A630" i="21"/>
  <c r="A631" i="21"/>
  <c r="A632" i="21"/>
  <c r="A633" i="21"/>
  <c r="A634" i="21"/>
  <c r="A635" i="21"/>
  <c r="A636" i="21"/>
  <c r="A637" i="21"/>
  <c r="A638" i="21"/>
  <c r="A639" i="21"/>
  <c r="A640" i="21"/>
  <c r="A641" i="21"/>
  <c r="A642" i="21"/>
  <c r="A643" i="21"/>
  <c r="A644" i="21"/>
  <c r="A645" i="21"/>
  <c r="A646" i="21"/>
  <c r="A647" i="21"/>
  <c r="A648" i="21"/>
  <c r="A649" i="21"/>
  <c r="A650" i="21"/>
  <c r="A651" i="21"/>
  <c r="A652" i="21"/>
  <c r="A653" i="21"/>
  <c r="A654" i="21"/>
  <c r="A655" i="21"/>
  <c r="A656" i="21"/>
  <c r="A657" i="21"/>
  <c r="A658" i="21"/>
  <c r="C658" i="21" s="1"/>
  <c r="A659" i="21"/>
  <c r="A660" i="21"/>
  <c r="A661" i="21"/>
  <c r="A662" i="21"/>
  <c r="A663" i="21"/>
  <c r="A664" i="21"/>
  <c r="A665" i="21"/>
  <c r="A666" i="21"/>
  <c r="C666" i="21" s="1"/>
  <c r="A667" i="21"/>
  <c r="A668" i="21"/>
  <c r="A669" i="21"/>
  <c r="A670" i="21"/>
  <c r="A671" i="21"/>
  <c r="A672" i="21"/>
  <c r="A673" i="21"/>
  <c r="A674" i="21"/>
  <c r="C674" i="21" s="1"/>
  <c r="A675" i="21"/>
  <c r="A676" i="21"/>
  <c r="A677" i="21"/>
  <c r="A678" i="21"/>
  <c r="A679" i="21"/>
  <c r="A680" i="21"/>
  <c r="A681" i="21"/>
  <c r="A682" i="21"/>
  <c r="C682" i="21" s="1"/>
  <c r="A683" i="21"/>
  <c r="A684" i="21"/>
  <c r="A685" i="21"/>
  <c r="A686" i="21"/>
  <c r="A687" i="21"/>
  <c r="A688" i="21"/>
  <c r="A689" i="21"/>
  <c r="A690" i="21"/>
  <c r="C690" i="21" s="1"/>
  <c r="A691" i="21"/>
  <c r="A692" i="21"/>
  <c r="A693" i="21"/>
  <c r="A694" i="21"/>
  <c r="A695" i="21"/>
  <c r="A696" i="21"/>
  <c r="A697" i="21"/>
  <c r="A698" i="21"/>
  <c r="C698" i="21" s="1"/>
  <c r="A699" i="21"/>
  <c r="A700" i="21"/>
  <c r="A701" i="21"/>
  <c r="A702" i="21"/>
  <c r="A703" i="21"/>
  <c r="A704" i="21"/>
  <c r="A705" i="21"/>
  <c r="A706" i="21"/>
  <c r="C706" i="21" s="1"/>
  <c r="A707" i="21"/>
  <c r="A708" i="21"/>
  <c r="A709" i="21"/>
  <c r="A710" i="21"/>
  <c r="A711" i="21"/>
  <c r="A712" i="21"/>
  <c r="A713" i="21"/>
  <c r="A714" i="21"/>
  <c r="C714" i="21" s="1"/>
  <c r="A715" i="21"/>
  <c r="A716" i="21"/>
  <c r="A717" i="21"/>
  <c r="A718" i="21"/>
  <c r="A719" i="21"/>
  <c r="A720" i="21"/>
  <c r="A721" i="21"/>
  <c r="A722" i="21"/>
  <c r="C722" i="21" s="1"/>
  <c r="A723" i="21"/>
  <c r="A724" i="21"/>
  <c r="A725" i="21"/>
  <c r="A726" i="21"/>
  <c r="A727" i="21"/>
  <c r="A728" i="21"/>
  <c r="A729" i="21"/>
  <c r="A730" i="21"/>
  <c r="C730" i="21" s="1"/>
  <c r="A731" i="21"/>
  <c r="A732" i="21"/>
  <c r="A733" i="21"/>
  <c r="A734" i="21"/>
  <c r="A735" i="21"/>
  <c r="A736" i="21"/>
  <c r="A737" i="21"/>
  <c r="A738" i="21"/>
  <c r="C738" i="21" s="1"/>
  <c r="A739" i="21"/>
  <c r="A740" i="21"/>
  <c r="A741" i="21"/>
  <c r="A742" i="21"/>
  <c r="A743" i="21"/>
  <c r="A744" i="21"/>
  <c r="A745" i="21"/>
  <c r="A746" i="21"/>
  <c r="C746" i="21" s="1"/>
  <c r="A747" i="21"/>
  <c r="A748" i="21"/>
  <c r="A749" i="21"/>
  <c r="A750" i="21"/>
  <c r="A751" i="21"/>
  <c r="A752" i="21"/>
  <c r="A753" i="21"/>
  <c r="A754" i="21"/>
  <c r="C754" i="21" s="1"/>
  <c r="A755" i="21"/>
  <c r="A756" i="21"/>
  <c r="A757" i="21"/>
  <c r="A758" i="21"/>
  <c r="A759" i="21"/>
  <c r="A760" i="21"/>
  <c r="A761" i="21"/>
  <c r="A762" i="21"/>
  <c r="C762" i="21" s="1"/>
  <c r="A763" i="21"/>
  <c r="A764" i="21"/>
  <c r="A765" i="21"/>
  <c r="A766" i="21"/>
  <c r="A767" i="21"/>
  <c r="A768" i="21"/>
  <c r="A769" i="21"/>
  <c r="A770" i="21"/>
  <c r="C770" i="21" s="1"/>
  <c r="A771" i="21"/>
  <c r="A772" i="21"/>
  <c r="A773" i="21"/>
  <c r="A774" i="21"/>
  <c r="A775" i="21"/>
  <c r="A776" i="21"/>
  <c r="A777" i="21"/>
  <c r="A778" i="21"/>
  <c r="C778" i="21" s="1"/>
  <c r="A779" i="21"/>
  <c r="A780" i="21"/>
  <c r="A781" i="21"/>
  <c r="A782" i="21"/>
  <c r="A783" i="21"/>
  <c r="A784" i="21"/>
  <c r="A785" i="21"/>
  <c r="A786" i="21"/>
  <c r="C786" i="21" s="1"/>
  <c r="A787" i="21"/>
  <c r="A788" i="21"/>
  <c r="A789" i="21"/>
  <c r="A790" i="21"/>
  <c r="A791" i="21"/>
  <c r="A792" i="21"/>
  <c r="A793" i="21"/>
  <c r="A794" i="21"/>
  <c r="C794" i="21" s="1"/>
  <c r="A795" i="21"/>
  <c r="A796" i="21"/>
  <c r="A797" i="21"/>
  <c r="A798" i="21"/>
  <c r="A799" i="21"/>
  <c r="A800" i="21"/>
  <c r="A801" i="21"/>
  <c r="A802" i="21"/>
  <c r="C802" i="21" s="1"/>
  <c r="A803" i="21"/>
  <c r="A804" i="21"/>
  <c r="A805" i="21"/>
  <c r="A806" i="21"/>
  <c r="A807" i="21"/>
  <c r="A808" i="21"/>
  <c r="A809" i="21"/>
  <c r="A810" i="21"/>
  <c r="C810" i="21" s="1"/>
  <c r="A811" i="21"/>
  <c r="A812" i="21"/>
  <c r="A813" i="21"/>
  <c r="A814" i="21"/>
  <c r="A815" i="21"/>
  <c r="A816" i="21"/>
  <c r="A817" i="21"/>
  <c r="A818" i="21"/>
  <c r="C818" i="21" s="1"/>
  <c r="A819" i="21"/>
  <c r="A820" i="21"/>
  <c r="A821" i="21"/>
  <c r="A822" i="21"/>
  <c r="A823" i="21"/>
  <c r="A824" i="21"/>
  <c r="A825" i="21"/>
  <c r="A826" i="21"/>
  <c r="C826" i="21" s="1"/>
  <c r="A827" i="21"/>
  <c r="A828" i="21"/>
  <c r="A829" i="21"/>
  <c r="A830" i="21"/>
  <c r="A831" i="21"/>
  <c r="A832" i="21"/>
  <c r="A833" i="21"/>
  <c r="A834" i="21"/>
  <c r="C834" i="21" s="1"/>
  <c r="A835" i="21"/>
  <c r="A836" i="21"/>
  <c r="A837" i="21"/>
  <c r="A838" i="21"/>
  <c r="A839" i="21"/>
  <c r="A840" i="21"/>
  <c r="A841" i="21"/>
  <c r="A842" i="21"/>
  <c r="C842" i="21" s="1"/>
  <c r="A843" i="21"/>
  <c r="A844" i="21"/>
  <c r="A845" i="21"/>
  <c r="A846" i="21"/>
  <c r="A847" i="21"/>
  <c r="A848" i="21"/>
  <c r="A849" i="21"/>
  <c r="A850" i="21"/>
  <c r="C850" i="21" s="1"/>
  <c r="A851" i="21"/>
  <c r="A852" i="21"/>
  <c r="A853" i="21"/>
  <c r="A854" i="21"/>
  <c r="A855" i="21"/>
  <c r="A856" i="21"/>
  <c r="A857" i="21"/>
  <c r="A858" i="21"/>
  <c r="C858" i="21" s="1"/>
  <c r="A859" i="21"/>
  <c r="A860" i="21"/>
  <c r="A861" i="21"/>
  <c r="A862" i="21"/>
  <c r="A863" i="21"/>
  <c r="A864" i="21"/>
  <c r="A865" i="21"/>
  <c r="A866" i="21"/>
  <c r="C866" i="21" s="1"/>
  <c r="A867" i="21"/>
  <c r="A868" i="21"/>
  <c r="A869" i="21"/>
  <c r="A870" i="21"/>
  <c r="A871" i="21"/>
  <c r="A872" i="21"/>
  <c r="A873" i="21"/>
  <c r="A874" i="21"/>
  <c r="C874" i="21" s="1"/>
  <c r="A875" i="21"/>
  <c r="A876" i="21"/>
  <c r="A877" i="21"/>
  <c r="A878" i="21"/>
  <c r="A879" i="21"/>
  <c r="A880" i="21"/>
  <c r="A881" i="21"/>
  <c r="A882" i="21"/>
  <c r="C882" i="21" s="1"/>
  <c r="A883" i="21"/>
  <c r="A884" i="21"/>
  <c r="A885" i="21"/>
  <c r="A886" i="21"/>
  <c r="A887" i="21"/>
  <c r="A888" i="21"/>
  <c r="A889" i="21"/>
  <c r="A890" i="21"/>
  <c r="C890" i="21" s="1"/>
  <c r="A891" i="21"/>
  <c r="A892" i="21"/>
  <c r="A893" i="21"/>
  <c r="A894" i="21"/>
  <c r="A895" i="21"/>
  <c r="A896" i="21"/>
  <c r="A897" i="21"/>
  <c r="A898" i="21"/>
  <c r="C898" i="21" s="1"/>
  <c r="A899" i="21"/>
  <c r="A900" i="21"/>
  <c r="A901" i="21"/>
  <c r="A902" i="21"/>
  <c r="A903" i="21"/>
  <c r="A904" i="21"/>
  <c r="A905" i="21"/>
  <c r="A906" i="21"/>
  <c r="C906" i="21" s="1"/>
  <c r="A907" i="21"/>
  <c r="A908" i="21"/>
  <c r="A909" i="21"/>
  <c r="A910" i="21"/>
  <c r="A911" i="21"/>
  <c r="A912" i="21"/>
  <c r="A913" i="21"/>
  <c r="A914" i="21"/>
  <c r="C914" i="21" s="1"/>
  <c r="A915" i="21"/>
  <c r="A916" i="21"/>
  <c r="A917" i="21"/>
  <c r="A918" i="21"/>
  <c r="A919" i="21"/>
  <c r="A920" i="21"/>
  <c r="A921" i="21"/>
  <c r="A922" i="21"/>
  <c r="C922" i="21" s="1"/>
  <c r="A923" i="21"/>
  <c r="A924" i="21"/>
  <c r="A925" i="21"/>
  <c r="A926" i="21"/>
  <c r="A927" i="21"/>
  <c r="A928" i="21"/>
  <c r="A929" i="21"/>
  <c r="A930" i="21"/>
  <c r="C930" i="21" s="1"/>
  <c r="A931" i="21"/>
  <c r="A932" i="21"/>
  <c r="A933" i="21"/>
  <c r="A934" i="21"/>
  <c r="A935" i="21"/>
  <c r="A936" i="21"/>
  <c r="A937" i="21"/>
  <c r="A938" i="21"/>
  <c r="C938" i="21" s="1"/>
  <c r="A939" i="21"/>
  <c r="A940" i="21"/>
  <c r="A941" i="21"/>
  <c r="A942" i="21"/>
  <c r="A943" i="21"/>
  <c r="A944" i="21"/>
  <c r="A945" i="21"/>
  <c r="A946" i="21"/>
  <c r="C946" i="21" s="1"/>
  <c r="A947" i="21"/>
  <c r="A948" i="21"/>
  <c r="A949" i="21"/>
  <c r="A950" i="21"/>
  <c r="A951" i="21"/>
  <c r="A952" i="21"/>
  <c r="A953" i="21"/>
  <c r="A954" i="21"/>
  <c r="C954" i="21" s="1"/>
  <c r="A955" i="21"/>
  <c r="A956" i="21"/>
  <c r="A957" i="21"/>
  <c r="A958" i="21"/>
  <c r="A959" i="21"/>
  <c r="A960" i="21"/>
  <c r="A961" i="21"/>
  <c r="A962" i="21"/>
  <c r="C962" i="21" s="1"/>
  <c r="A963" i="21"/>
  <c r="A964" i="21"/>
  <c r="A965" i="21"/>
  <c r="A966" i="21"/>
  <c r="A967" i="21"/>
  <c r="A968" i="21"/>
  <c r="A969" i="21"/>
  <c r="A970" i="21"/>
  <c r="C970" i="21" s="1"/>
  <c r="A971" i="21"/>
  <c r="A972" i="21"/>
  <c r="A973" i="21"/>
  <c r="A974" i="21"/>
  <c r="A975" i="21"/>
  <c r="A976" i="21"/>
  <c r="A977" i="21"/>
  <c r="A978" i="21"/>
  <c r="C978" i="21" s="1"/>
  <c r="A979" i="21"/>
  <c r="A980" i="21"/>
  <c r="A981" i="21"/>
  <c r="A982" i="21"/>
  <c r="A983" i="21"/>
  <c r="A984" i="21"/>
  <c r="C984" i="21" s="1"/>
  <c r="A985" i="21"/>
  <c r="A986" i="21"/>
  <c r="C986" i="21" s="1"/>
  <c r="A987" i="21"/>
  <c r="A988" i="21"/>
  <c r="A989" i="21"/>
  <c r="A990" i="21"/>
  <c r="A991" i="21"/>
  <c r="A992" i="21"/>
  <c r="C992" i="21" s="1"/>
  <c r="A993" i="21"/>
  <c r="A994" i="21"/>
  <c r="C994" i="21" s="1"/>
  <c r="A995" i="21"/>
  <c r="A996" i="21"/>
  <c r="A997" i="21"/>
  <c r="A998" i="21"/>
  <c r="A999" i="21"/>
  <c r="A1000" i="21"/>
  <c r="C1000" i="21" s="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301" i="21"/>
  <c r="B302" i="21"/>
  <c r="B303" i="21"/>
  <c r="B304" i="21"/>
  <c r="B305" i="21"/>
  <c r="B306" i="21"/>
  <c r="B307" i="21"/>
  <c r="B308" i="21"/>
  <c r="B309" i="21"/>
  <c r="B310" i="21"/>
  <c r="B311" i="21"/>
  <c r="B312" i="21"/>
  <c r="B313" i="21"/>
  <c r="B314" i="21"/>
  <c r="B315" i="21"/>
  <c r="B316" i="21"/>
  <c r="B317" i="21"/>
  <c r="B318" i="21"/>
  <c r="B319" i="21"/>
  <c r="B320" i="21"/>
  <c r="B321" i="21"/>
  <c r="B322" i="21"/>
  <c r="B323" i="21"/>
  <c r="B324" i="21"/>
  <c r="B325" i="21"/>
  <c r="B326" i="21"/>
  <c r="B327" i="21"/>
  <c r="B328" i="21"/>
  <c r="B329" i="21"/>
  <c r="B330" i="21"/>
  <c r="B331" i="21"/>
  <c r="B332" i="21"/>
  <c r="B333" i="21"/>
  <c r="B334" i="21"/>
  <c r="B335" i="21"/>
  <c r="B336" i="21"/>
  <c r="B337" i="21"/>
  <c r="B338" i="21"/>
  <c r="B339" i="21"/>
  <c r="B340" i="21"/>
  <c r="B341" i="21"/>
  <c r="B342" i="21"/>
  <c r="B343" i="21"/>
  <c r="B344" i="21"/>
  <c r="B345" i="21"/>
  <c r="B346" i="21"/>
  <c r="B347" i="21"/>
  <c r="B348" i="21"/>
  <c r="B349" i="21"/>
  <c r="B350" i="21"/>
  <c r="B351" i="21"/>
  <c r="B352" i="21"/>
  <c r="B353" i="21"/>
  <c r="B354" i="21"/>
  <c r="B355" i="21"/>
  <c r="B356" i="21"/>
  <c r="B357" i="21"/>
  <c r="B358" i="21"/>
  <c r="B359" i="21"/>
  <c r="B360" i="21"/>
  <c r="B361" i="21"/>
  <c r="B362" i="21"/>
  <c r="B363" i="21"/>
  <c r="B364" i="21"/>
  <c r="B365" i="21"/>
  <c r="B366" i="21"/>
  <c r="B367" i="21"/>
  <c r="B368" i="21"/>
  <c r="B369" i="21"/>
  <c r="B370" i="21"/>
  <c r="B371" i="21"/>
  <c r="B372" i="21"/>
  <c r="B373" i="21"/>
  <c r="B374" i="21"/>
  <c r="B375" i="21"/>
  <c r="B376" i="21"/>
  <c r="B377" i="21"/>
  <c r="B378" i="21"/>
  <c r="B379" i="21"/>
  <c r="B380" i="21"/>
  <c r="B381" i="21"/>
  <c r="B382" i="21"/>
  <c r="B383" i="21"/>
  <c r="B384" i="21"/>
  <c r="B385" i="21"/>
  <c r="B386" i="21"/>
  <c r="B387" i="21"/>
  <c r="B388" i="21"/>
  <c r="B389" i="21"/>
  <c r="B390" i="21"/>
  <c r="B391" i="21"/>
  <c r="B392" i="21"/>
  <c r="B393" i="21"/>
  <c r="B394" i="21"/>
  <c r="B395" i="21"/>
  <c r="B396" i="21"/>
  <c r="B397" i="21"/>
  <c r="B398" i="21"/>
  <c r="B399" i="21"/>
  <c r="B400" i="21"/>
  <c r="B401" i="21"/>
  <c r="B402" i="21"/>
  <c r="B403" i="21"/>
  <c r="B404" i="21"/>
  <c r="B405" i="21"/>
  <c r="B406" i="21"/>
  <c r="B407" i="21"/>
  <c r="B408" i="21"/>
  <c r="B409" i="21"/>
  <c r="B410" i="21"/>
  <c r="B411" i="21"/>
  <c r="B412" i="21"/>
  <c r="B413" i="21"/>
  <c r="B414" i="21"/>
  <c r="B415" i="21"/>
  <c r="B416" i="21"/>
  <c r="B417" i="21"/>
  <c r="B418" i="21"/>
  <c r="B419" i="21"/>
  <c r="B420" i="21"/>
  <c r="B421" i="21"/>
  <c r="B422" i="21"/>
  <c r="B423" i="21"/>
  <c r="B424" i="21"/>
  <c r="B425" i="21"/>
  <c r="B426" i="21"/>
  <c r="B427" i="21"/>
  <c r="B428" i="21"/>
  <c r="B429" i="21"/>
  <c r="B430" i="21"/>
  <c r="B431" i="21"/>
  <c r="B432" i="21"/>
  <c r="B433" i="21"/>
  <c r="B434" i="21"/>
  <c r="B435" i="21"/>
  <c r="B436" i="21"/>
  <c r="B437" i="21"/>
  <c r="B438" i="21"/>
  <c r="B439" i="21"/>
  <c r="B440" i="21"/>
  <c r="B441" i="21"/>
  <c r="B442" i="21"/>
  <c r="B443" i="21"/>
  <c r="B444" i="21"/>
  <c r="B445" i="21"/>
  <c r="B446" i="21"/>
  <c r="B447" i="21"/>
  <c r="B448" i="21"/>
  <c r="B449" i="21"/>
  <c r="B450" i="21"/>
  <c r="B451" i="21"/>
  <c r="B452" i="21"/>
  <c r="B453" i="21"/>
  <c r="B454" i="21"/>
  <c r="B455" i="21"/>
  <c r="B456" i="21"/>
  <c r="B457" i="21"/>
  <c r="B458" i="21"/>
  <c r="B459" i="21"/>
  <c r="B460" i="21"/>
  <c r="B461" i="21"/>
  <c r="B462" i="21"/>
  <c r="B463" i="21"/>
  <c r="B464" i="21"/>
  <c r="B465" i="21"/>
  <c r="B466" i="21"/>
  <c r="B467" i="21"/>
  <c r="B468" i="21"/>
  <c r="B469" i="21"/>
  <c r="B470" i="21"/>
  <c r="B471" i="21"/>
  <c r="B472" i="21"/>
  <c r="B473" i="21"/>
  <c r="B474" i="21"/>
  <c r="B475" i="21"/>
  <c r="B476" i="21"/>
  <c r="B477" i="21"/>
  <c r="B478" i="21"/>
  <c r="B479" i="21"/>
  <c r="B480" i="21"/>
  <c r="B481" i="21"/>
  <c r="B482" i="21"/>
  <c r="B483" i="21"/>
  <c r="B484" i="21"/>
  <c r="B485" i="21"/>
  <c r="B486" i="21"/>
  <c r="B487" i="21"/>
  <c r="B488" i="21"/>
  <c r="B489" i="21"/>
  <c r="B490" i="21"/>
  <c r="B491" i="21"/>
  <c r="B492" i="21"/>
  <c r="B493" i="21"/>
  <c r="B494" i="21"/>
  <c r="B495" i="21"/>
  <c r="B496" i="21"/>
  <c r="B497" i="21"/>
  <c r="B498" i="21"/>
  <c r="B499" i="21"/>
  <c r="B500" i="21"/>
  <c r="B501" i="21"/>
  <c r="B502" i="21"/>
  <c r="B503" i="21"/>
  <c r="B504" i="21"/>
  <c r="B505" i="21"/>
  <c r="B506" i="21"/>
  <c r="B507" i="21"/>
  <c r="B508" i="21"/>
  <c r="B509" i="21"/>
  <c r="B510" i="21"/>
  <c r="B511" i="21"/>
  <c r="B512" i="21"/>
  <c r="B513" i="21"/>
  <c r="B514" i="21"/>
  <c r="B515" i="21"/>
  <c r="B516" i="21"/>
  <c r="B517" i="21"/>
  <c r="B518" i="21"/>
  <c r="B519" i="21"/>
  <c r="B520" i="21"/>
  <c r="B521" i="21"/>
  <c r="B522" i="21"/>
  <c r="B523" i="21"/>
  <c r="B524" i="21"/>
  <c r="B525" i="21"/>
  <c r="B526" i="21"/>
  <c r="B527" i="21"/>
  <c r="B528" i="21"/>
  <c r="B529" i="21"/>
  <c r="B530" i="21"/>
  <c r="B531" i="21"/>
  <c r="B532" i="21"/>
  <c r="B533" i="21"/>
  <c r="B534" i="21"/>
  <c r="B535" i="21"/>
  <c r="B536" i="21"/>
  <c r="B537" i="21"/>
  <c r="B538" i="21"/>
  <c r="B539" i="21"/>
  <c r="B540" i="21"/>
  <c r="B541" i="21"/>
  <c r="B542" i="21"/>
  <c r="B543" i="21"/>
  <c r="B544" i="21"/>
  <c r="B545" i="21"/>
  <c r="B546" i="21"/>
  <c r="B547" i="21"/>
  <c r="B548" i="21"/>
  <c r="B549" i="21"/>
  <c r="B550" i="21"/>
  <c r="B551" i="21"/>
  <c r="B552" i="21"/>
  <c r="B553" i="21"/>
  <c r="B554" i="21"/>
  <c r="B555" i="21"/>
  <c r="B556" i="21"/>
  <c r="B557" i="21"/>
  <c r="B558" i="21"/>
  <c r="B559" i="21"/>
  <c r="B560" i="21"/>
  <c r="B561" i="21"/>
  <c r="B562" i="21"/>
  <c r="B563" i="21"/>
  <c r="B564" i="21"/>
  <c r="B565" i="21"/>
  <c r="B566" i="21"/>
  <c r="B567" i="21"/>
  <c r="B568" i="21"/>
  <c r="B569" i="21"/>
  <c r="B570" i="21"/>
  <c r="B571" i="21"/>
  <c r="B572" i="21"/>
  <c r="B573" i="21"/>
  <c r="B574" i="21"/>
  <c r="B575" i="21"/>
  <c r="B576" i="21"/>
  <c r="B577" i="21"/>
  <c r="B578" i="21"/>
  <c r="B579" i="21"/>
  <c r="B580" i="21"/>
  <c r="B581" i="21"/>
  <c r="B582" i="21"/>
  <c r="B583" i="21"/>
  <c r="B584" i="21"/>
  <c r="B585" i="21"/>
  <c r="B586" i="21"/>
  <c r="B587" i="21"/>
  <c r="B588" i="21"/>
  <c r="B589" i="21"/>
  <c r="B590" i="21"/>
  <c r="B591" i="21"/>
  <c r="B592" i="21"/>
  <c r="B593" i="21"/>
  <c r="B594" i="21"/>
  <c r="B595" i="21"/>
  <c r="B596" i="21"/>
  <c r="B597" i="21"/>
  <c r="B598" i="21"/>
  <c r="B599" i="21"/>
  <c r="B600" i="21"/>
  <c r="B601" i="21"/>
  <c r="B602" i="21"/>
  <c r="B603" i="21"/>
  <c r="B604" i="21"/>
  <c r="B605" i="21"/>
  <c r="B606" i="21"/>
  <c r="B607" i="21"/>
  <c r="B608" i="21"/>
  <c r="B609" i="21"/>
  <c r="B610" i="21"/>
  <c r="B611" i="21"/>
  <c r="B612" i="21"/>
  <c r="B613" i="21"/>
  <c r="B614" i="21"/>
  <c r="B615" i="21"/>
  <c r="B616" i="21"/>
  <c r="B617" i="21"/>
  <c r="B618" i="21"/>
  <c r="B619" i="21"/>
  <c r="B620" i="21"/>
  <c r="B621" i="21"/>
  <c r="B622" i="21"/>
  <c r="B623" i="21"/>
  <c r="B624" i="21"/>
  <c r="B625" i="21"/>
  <c r="B626" i="21"/>
  <c r="B627" i="21"/>
  <c r="B628" i="21"/>
  <c r="B629" i="21"/>
  <c r="B630" i="21"/>
  <c r="B631" i="21"/>
  <c r="B632" i="21"/>
  <c r="B633" i="21"/>
  <c r="B634" i="21"/>
  <c r="B635" i="21"/>
  <c r="B636" i="21"/>
  <c r="B637" i="21"/>
  <c r="B638" i="21"/>
  <c r="B639" i="21"/>
  <c r="B640" i="21"/>
  <c r="B641" i="21"/>
  <c r="B642" i="21"/>
  <c r="B643" i="21"/>
  <c r="B644" i="21"/>
  <c r="B645" i="21"/>
  <c r="B646" i="21"/>
  <c r="B647" i="21"/>
  <c r="B648" i="21"/>
  <c r="B649" i="21"/>
  <c r="B650" i="21"/>
  <c r="B651" i="21"/>
  <c r="B652" i="21"/>
  <c r="B653" i="21"/>
  <c r="B654" i="21"/>
  <c r="B655" i="21"/>
  <c r="B656" i="21"/>
  <c r="B657" i="21"/>
  <c r="B658" i="21"/>
  <c r="B659" i="21"/>
  <c r="B660" i="21"/>
  <c r="B661" i="21"/>
  <c r="B662" i="21"/>
  <c r="B663" i="21"/>
  <c r="B664" i="21"/>
  <c r="B665" i="21"/>
  <c r="B666" i="21"/>
  <c r="B667" i="21"/>
  <c r="B668" i="21"/>
  <c r="B669" i="21"/>
  <c r="B670" i="21"/>
  <c r="B671" i="21"/>
  <c r="B672" i="21"/>
  <c r="B673" i="21"/>
  <c r="B674" i="21"/>
  <c r="B675" i="21"/>
  <c r="B676" i="21"/>
  <c r="B677" i="21"/>
  <c r="B678" i="21"/>
  <c r="B679" i="21"/>
  <c r="B680" i="21"/>
  <c r="B681" i="21"/>
  <c r="B682" i="21"/>
  <c r="B683" i="21"/>
  <c r="B684" i="21"/>
  <c r="B685" i="21"/>
  <c r="B686" i="21"/>
  <c r="B687" i="21"/>
  <c r="B688" i="21"/>
  <c r="B689" i="21"/>
  <c r="B690" i="21"/>
  <c r="B691" i="21"/>
  <c r="B692" i="21"/>
  <c r="B693" i="21"/>
  <c r="B694" i="21"/>
  <c r="B695" i="21"/>
  <c r="B696" i="21"/>
  <c r="B697" i="21"/>
  <c r="B698" i="21"/>
  <c r="B699" i="21"/>
  <c r="B700" i="21"/>
  <c r="B701" i="21"/>
  <c r="B702" i="21"/>
  <c r="B703" i="21"/>
  <c r="B704" i="21"/>
  <c r="B705" i="21"/>
  <c r="B706" i="21"/>
  <c r="B707" i="21"/>
  <c r="B708" i="21"/>
  <c r="B709" i="21"/>
  <c r="B710" i="21"/>
  <c r="B711" i="21"/>
  <c r="B712" i="21"/>
  <c r="B713" i="21"/>
  <c r="B714" i="21"/>
  <c r="B715" i="21"/>
  <c r="B716" i="21"/>
  <c r="B717" i="21"/>
  <c r="B718" i="21"/>
  <c r="B719" i="21"/>
  <c r="B720" i="21"/>
  <c r="B721" i="21"/>
  <c r="B722" i="21"/>
  <c r="B723" i="21"/>
  <c r="B724" i="21"/>
  <c r="B725" i="21"/>
  <c r="B726" i="21"/>
  <c r="B727" i="21"/>
  <c r="B728" i="21"/>
  <c r="B729" i="21"/>
  <c r="B730" i="21"/>
  <c r="B731" i="21"/>
  <c r="B732" i="21"/>
  <c r="B733" i="21"/>
  <c r="B734" i="21"/>
  <c r="B735" i="21"/>
  <c r="B736" i="21"/>
  <c r="B737" i="21"/>
  <c r="B738" i="21"/>
  <c r="B739" i="21"/>
  <c r="B740" i="21"/>
  <c r="B741" i="21"/>
  <c r="B742" i="21"/>
  <c r="B743" i="21"/>
  <c r="B744" i="21"/>
  <c r="B745" i="21"/>
  <c r="B746" i="21"/>
  <c r="B747" i="21"/>
  <c r="B748" i="21"/>
  <c r="B749" i="21"/>
  <c r="B750" i="21"/>
  <c r="B751" i="21"/>
  <c r="B752" i="21"/>
  <c r="B753" i="21"/>
  <c r="B754" i="21"/>
  <c r="B755" i="21"/>
  <c r="B756" i="21"/>
  <c r="B757" i="21"/>
  <c r="B758" i="21"/>
  <c r="B759" i="21"/>
  <c r="B760" i="21"/>
  <c r="B761" i="21"/>
  <c r="B762" i="21"/>
  <c r="B763" i="21"/>
  <c r="B764" i="21"/>
  <c r="B765" i="21"/>
  <c r="B766" i="21"/>
  <c r="B767" i="21"/>
  <c r="B768" i="21"/>
  <c r="B769" i="21"/>
  <c r="B770" i="21"/>
  <c r="B771" i="21"/>
  <c r="B772" i="21"/>
  <c r="B773" i="21"/>
  <c r="B774" i="21"/>
  <c r="B775" i="21"/>
  <c r="B776" i="21"/>
  <c r="B777" i="21"/>
  <c r="B778" i="21"/>
  <c r="B779" i="21"/>
  <c r="B780" i="21"/>
  <c r="B781" i="21"/>
  <c r="B782" i="21"/>
  <c r="B783" i="21"/>
  <c r="B784" i="21"/>
  <c r="B785" i="21"/>
  <c r="B786" i="21"/>
  <c r="B787" i="21"/>
  <c r="B788" i="21"/>
  <c r="B789" i="21"/>
  <c r="B790" i="21"/>
  <c r="B791" i="21"/>
  <c r="B792" i="21"/>
  <c r="B793" i="21"/>
  <c r="B794" i="21"/>
  <c r="B795" i="21"/>
  <c r="B796" i="21"/>
  <c r="B797" i="21"/>
  <c r="B798" i="21"/>
  <c r="B799" i="21"/>
  <c r="B800" i="21"/>
  <c r="B801" i="21"/>
  <c r="B802" i="21"/>
  <c r="B803" i="21"/>
  <c r="B804" i="21"/>
  <c r="B805" i="21"/>
  <c r="B806" i="21"/>
  <c r="B807" i="21"/>
  <c r="B808" i="21"/>
  <c r="B809" i="21"/>
  <c r="B810" i="21"/>
  <c r="B811" i="21"/>
  <c r="B812" i="21"/>
  <c r="B813" i="21"/>
  <c r="B814" i="21"/>
  <c r="B815" i="21"/>
  <c r="B816" i="21"/>
  <c r="B817" i="21"/>
  <c r="B818" i="21"/>
  <c r="B819" i="21"/>
  <c r="B820" i="21"/>
  <c r="B821" i="21"/>
  <c r="B822" i="21"/>
  <c r="B823" i="21"/>
  <c r="B824" i="21"/>
  <c r="B825" i="21"/>
  <c r="B826" i="21"/>
  <c r="B827" i="21"/>
  <c r="B828" i="21"/>
  <c r="B829" i="21"/>
  <c r="B830" i="21"/>
  <c r="B831" i="21"/>
  <c r="B832" i="21"/>
  <c r="B833" i="21"/>
  <c r="B834" i="21"/>
  <c r="B835" i="21"/>
  <c r="B836" i="21"/>
  <c r="B837" i="21"/>
  <c r="B838" i="21"/>
  <c r="B839" i="21"/>
  <c r="B840" i="21"/>
  <c r="B841" i="21"/>
  <c r="B842" i="21"/>
  <c r="B843" i="21"/>
  <c r="B844" i="21"/>
  <c r="B845" i="21"/>
  <c r="B846" i="21"/>
  <c r="B847" i="21"/>
  <c r="B848" i="21"/>
  <c r="B849" i="21"/>
  <c r="B850" i="21"/>
  <c r="B851" i="21"/>
  <c r="B852" i="21"/>
  <c r="B853" i="21"/>
  <c r="B854" i="21"/>
  <c r="B855" i="21"/>
  <c r="B856" i="21"/>
  <c r="B857" i="21"/>
  <c r="B858" i="21"/>
  <c r="B859" i="21"/>
  <c r="B860" i="21"/>
  <c r="B861" i="21"/>
  <c r="B862" i="21"/>
  <c r="B863" i="21"/>
  <c r="B864" i="21"/>
  <c r="B865" i="21"/>
  <c r="B866" i="21"/>
  <c r="B867" i="21"/>
  <c r="B868" i="21"/>
  <c r="B869" i="21"/>
  <c r="B870" i="21"/>
  <c r="B871" i="21"/>
  <c r="B872" i="21"/>
  <c r="B873" i="21"/>
  <c r="B874" i="21"/>
  <c r="B875" i="21"/>
  <c r="B876" i="21"/>
  <c r="B877" i="21"/>
  <c r="B878" i="21"/>
  <c r="B879" i="21"/>
  <c r="B880" i="21"/>
  <c r="B881" i="21"/>
  <c r="B882" i="21"/>
  <c r="B883" i="21"/>
  <c r="B884" i="21"/>
  <c r="B885" i="21"/>
  <c r="B886" i="21"/>
  <c r="B887" i="21"/>
  <c r="B888" i="21"/>
  <c r="B889" i="21"/>
  <c r="B890" i="21"/>
  <c r="B891" i="21"/>
  <c r="B892" i="21"/>
  <c r="B893" i="21"/>
  <c r="B894" i="21"/>
  <c r="B895" i="21"/>
  <c r="B896" i="21"/>
  <c r="B897" i="21"/>
  <c r="B898" i="21"/>
  <c r="B899" i="21"/>
  <c r="B900" i="21"/>
  <c r="B901" i="21"/>
  <c r="B902" i="21"/>
  <c r="B903" i="21"/>
  <c r="B904" i="21"/>
  <c r="B905" i="21"/>
  <c r="B906" i="21"/>
  <c r="B907" i="21"/>
  <c r="B908" i="21"/>
  <c r="B909" i="21"/>
  <c r="B910" i="21"/>
  <c r="B911" i="21"/>
  <c r="B912" i="21"/>
  <c r="B913" i="21"/>
  <c r="B914" i="21"/>
  <c r="B915" i="21"/>
  <c r="B916" i="21"/>
  <c r="B917" i="21"/>
  <c r="B918" i="21"/>
  <c r="B919" i="21"/>
  <c r="B920" i="21"/>
  <c r="B921" i="21"/>
  <c r="B922" i="21"/>
  <c r="B923" i="21"/>
  <c r="B924" i="21"/>
  <c r="B925" i="21"/>
  <c r="B926" i="21"/>
  <c r="B927" i="21"/>
  <c r="B928" i="21"/>
  <c r="B929" i="21"/>
  <c r="B930" i="21"/>
  <c r="B931" i="21"/>
  <c r="B932" i="21"/>
  <c r="B933" i="21"/>
  <c r="B934" i="21"/>
  <c r="B935" i="21"/>
  <c r="B936" i="21"/>
  <c r="B937" i="21"/>
  <c r="B938" i="21"/>
  <c r="B939" i="21"/>
  <c r="B940" i="21"/>
  <c r="B941" i="21"/>
  <c r="B942" i="21"/>
  <c r="B943" i="21"/>
  <c r="B944" i="21"/>
  <c r="B945" i="21"/>
  <c r="B946" i="21"/>
  <c r="B947" i="21"/>
  <c r="B948" i="21"/>
  <c r="B949" i="21"/>
  <c r="B950" i="21"/>
  <c r="B951" i="21"/>
  <c r="B952" i="21"/>
  <c r="B953" i="21"/>
  <c r="B954" i="21"/>
  <c r="B955" i="21"/>
  <c r="B956" i="21"/>
  <c r="B957" i="21"/>
  <c r="B958" i="21"/>
  <c r="B959" i="21"/>
  <c r="B960" i="21"/>
  <c r="B961" i="21"/>
  <c r="B962" i="21"/>
  <c r="B963" i="21"/>
  <c r="B964" i="21"/>
  <c r="B965" i="21"/>
  <c r="B966" i="21"/>
  <c r="B967" i="21"/>
  <c r="B968" i="21"/>
  <c r="B969" i="21"/>
  <c r="B970" i="21"/>
  <c r="B971" i="21"/>
  <c r="B972" i="21"/>
  <c r="B973" i="21"/>
  <c r="B974" i="21"/>
  <c r="B975" i="21"/>
  <c r="B976" i="21"/>
  <c r="B977" i="21"/>
  <c r="B978" i="21"/>
  <c r="B979" i="21"/>
  <c r="B980" i="21"/>
  <c r="B981" i="21"/>
  <c r="B982" i="21"/>
  <c r="B983" i="21"/>
  <c r="B984" i="21"/>
  <c r="B985" i="21"/>
  <c r="B986" i="21"/>
  <c r="B987" i="21"/>
  <c r="B988" i="21"/>
  <c r="B989" i="21"/>
  <c r="B990" i="21"/>
  <c r="B991" i="21"/>
  <c r="B992" i="21"/>
  <c r="B993" i="21"/>
  <c r="B994" i="21"/>
  <c r="B995" i="21"/>
  <c r="B996" i="21"/>
  <c r="B997" i="21"/>
  <c r="B998" i="21"/>
  <c r="B999" i="21"/>
  <c r="B1000" i="21"/>
  <c r="B2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A2" i="21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C28" i="21" s="1"/>
  <c r="A29" i="21"/>
  <c r="A30" i="21"/>
  <c r="A31" i="21"/>
  <c r="B14" i="8"/>
  <c r="B14" i="22" s="1"/>
  <c r="B15" i="8"/>
  <c r="B15" i="22" s="1"/>
  <c r="B17" i="8"/>
  <c r="B16" i="8"/>
  <c r="C976" i="21" l="1"/>
  <c r="C968" i="21"/>
  <c r="C960" i="21"/>
  <c r="C952" i="21"/>
  <c r="C650" i="21"/>
  <c r="C642" i="21"/>
  <c r="C634" i="21"/>
  <c r="C626" i="21"/>
  <c r="C618" i="21"/>
  <c r="C610" i="21"/>
  <c r="C602" i="21"/>
  <c r="C944" i="21"/>
  <c r="C936" i="21"/>
  <c r="C904" i="21"/>
  <c r="C896" i="21"/>
  <c r="C888" i="21"/>
  <c r="C880" i="21"/>
  <c r="C872" i="21"/>
  <c r="C864" i="21"/>
  <c r="C912" i="21"/>
  <c r="C920" i="21"/>
  <c r="C928" i="21"/>
  <c r="C856" i="21"/>
  <c r="C848" i="21"/>
  <c r="C840" i="21"/>
  <c r="C832" i="21"/>
  <c r="C824" i="21"/>
  <c r="C816" i="21"/>
  <c r="C594" i="21"/>
  <c r="C586" i="21"/>
  <c r="C808" i="21"/>
  <c r="C800" i="21"/>
  <c r="C792" i="21"/>
  <c r="C578" i="21"/>
  <c r="C570" i="21"/>
  <c r="C562" i="21"/>
  <c r="C554" i="21"/>
  <c r="C27" i="21"/>
  <c r="C546" i="21"/>
  <c r="C538" i="21"/>
  <c r="C530" i="21"/>
  <c r="C522" i="21"/>
  <c r="C514" i="21"/>
  <c r="C506" i="21"/>
  <c r="C498" i="21"/>
  <c r="C490" i="21"/>
  <c r="C482" i="21"/>
  <c r="C474" i="21"/>
  <c r="C784" i="21"/>
  <c r="C776" i="21"/>
  <c r="C768" i="21"/>
  <c r="C760" i="21"/>
  <c r="C752" i="21"/>
  <c r="C744" i="21"/>
  <c r="C736" i="21"/>
  <c r="C728" i="21"/>
  <c r="C720" i="21"/>
  <c r="C712" i="21"/>
  <c r="C704" i="21"/>
  <c r="C696" i="21"/>
  <c r="C688" i="21"/>
  <c r="C680" i="21"/>
  <c r="C29" i="21"/>
  <c r="C394" i="21"/>
  <c r="C386" i="21"/>
  <c r="C378" i="21"/>
  <c r="C370" i="21"/>
  <c r="C362" i="21"/>
  <c r="C354" i="21"/>
  <c r="C346" i="21"/>
  <c r="C672" i="21"/>
  <c r="C664" i="21"/>
  <c r="C656" i="21"/>
  <c r="C648" i="21"/>
  <c r="C640" i="21"/>
  <c r="C384" i="21"/>
  <c r="C993" i="21"/>
  <c r="C985" i="21"/>
  <c r="C977" i="21"/>
  <c r="C969" i="21"/>
  <c r="C961" i="21"/>
  <c r="C26" i="21"/>
  <c r="C624" i="21"/>
  <c r="C592" i="21"/>
  <c r="C552" i="21"/>
  <c r="C520" i="21"/>
  <c r="C488" i="21"/>
  <c r="C711" i="21"/>
  <c r="C608" i="21"/>
  <c r="C576" i="21"/>
  <c r="C544" i="21"/>
  <c r="C512" i="21"/>
  <c r="C352" i="21"/>
  <c r="C616" i="21"/>
  <c r="C584" i="21"/>
  <c r="C536" i="21"/>
  <c r="C504" i="21"/>
  <c r="C400" i="21"/>
  <c r="C376" i="21"/>
  <c r="C568" i="21"/>
  <c r="C496" i="21"/>
  <c r="C360" i="21"/>
  <c r="C632" i="21"/>
  <c r="C600" i="21"/>
  <c r="C560" i="21"/>
  <c r="C528" i="21"/>
  <c r="C480" i="21"/>
  <c r="C392" i="21"/>
  <c r="C368" i="21"/>
  <c r="C338" i="21"/>
  <c r="C330" i="21"/>
  <c r="C322" i="21"/>
  <c r="C314" i="21"/>
  <c r="C306" i="21"/>
  <c r="C298" i="21"/>
  <c r="C290" i="21"/>
  <c r="C282" i="21"/>
  <c r="C274" i="21"/>
  <c r="C266" i="21"/>
  <c r="C258" i="21"/>
  <c r="C250" i="21"/>
  <c r="C242" i="21"/>
  <c r="C234" i="21"/>
  <c r="C226" i="21"/>
  <c r="C218" i="21"/>
  <c r="C210" i="21"/>
  <c r="C202" i="21"/>
  <c r="C194" i="21"/>
  <c r="C186" i="21"/>
  <c r="C178" i="21"/>
  <c r="C170" i="21"/>
  <c r="C162" i="21"/>
  <c r="C154" i="21"/>
  <c r="C146" i="21"/>
  <c r="C138" i="21"/>
  <c r="C130" i="21"/>
  <c r="C122" i="21"/>
  <c r="C106" i="21"/>
  <c r="C98" i="21"/>
  <c r="C90" i="21"/>
  <c r="C82" i="21"/>
  <c r="C74" i="21"/>
  <c r="C66" i="21"/>
  <c r="C58" i="21"/>
  <c r="C50" i="21"/>
  <c r="C42" i="21"/>
  <c r="C34" i="21"/>
  <c r="C953" i="21"/>
  <c r="C945" i="21"/>
  <c r="C937" i="21"/>
  <c r="C929" i="21"/>
  <c r="C921" i="21"/>
  <c r="C913" i="21"/>
  <c r="C905" i="21"/>
  <c r="C897" i="21"/>
  <c r="C889" i="21"/>
  <c r="C881" i="21"/>
  <c r="C873" i="21"/>
  <c r="C865" i="21"/>
  <c r="C857" i="21"/>
  <c r="C849" i="21"/>
  <c r="C841" i="21"/>
  <c r="C833" i="21"/>
  <c r="C825" i="21"/>
  <c r="C817" i="21"/>
  <c r="C809" i="21"/>
  <c r="C801" i="21"/>
  <c r="C793" i="21"/>
  <c r="C785" i="21"/>
  <c r="C777" i="21"/>
  <c r="C769" i="21"/>
  <c r="C761" i="21"/>
  <c r="C753" i="21"/>
  <c r="C745" i="21"/>
  <c r="C737" i="21"/>
  <c r="C729" i="21"/>
  <c r="C721" i="21"/>
  <c r="C713" i="21"/>
  <c r="C705" i="21"/>
  <c r="C697" i="21"/>
  <c r="C689" i="21"/>
  <c r="C681" i="21"/>
  <c r="C673" i="21"/>
  <c r="C665" i="21"/>
  <c r="C657" i="21"/>
  <c r="C649" i="21"/>
  <c r="C641" i="21"/>
  <c r="C633" i="21"/>
  <c r="C625" i="21"/>
  <c r="C617" i="21"/>
  <c r="C609" i="21"/>
  <c r="C601" i="21"/>
  <c r="C593" i="21"/>
  <c r="C585" i="21"/>
  <c r="C320" i="21"/>
  <c r="C288" i="21"/>
  <c r="C256" i="21"/>
  <c r="C224" i="21"/>
  <c r="C192" i="21"/>
  <c r="C168" i="21"/>
  <c r="C136" i="21"/>
  <c r="C104" i="21"/>
  <c r="C72" i="21"/>
  <c r="C40" i="21"/>
  <c r="C25" i="21"/>
  <c r="C999" i="21"/>
  <c r="C967" i="21"/>
  <c r="C935" i="21"/>
  <c r="C903" i="21"/>
  <c r="C871" i="21"/>
  <c r="C839" i="21"/>
  <c r="C807" i="21"/>
  <c r="C783" i="21"/>
  <c r="C751" i="21"/>
  <c r="C990" i="21"/>
  <c r="C966" i="21"/>
  <c r="C934" i="21"/>
  <c r="C910" i="21"/>
  <c r="C886" i="21"/>
  <c r="C862" i="21"/>
  <c r="C838" i="21"/>
  <c r="C814" i="21"/>
  <c r="C806" i="21"/>
  <c r="C790" i="21"/>
  <c r="C782" i="21"/>
  <c r="C774" i="21"/>
  <c r="C766" i="21"/>
  <c r="C758" i="21"/>
  <c r="C750" i="21"/>
  <c r="C742" i="21"/>
  <c r="C734" i="21"/>
  <c r="C726" i="21"/>
  <c r="C718" i="21"/>
  <c r="C710" i="21"/>
  <c r="C702" i="21"/>
  <c r="C694" i="21"/>
  <c r="C686" i="21"/>
  <c r="C678" i="21"/>
  <c r="C670" i="21"/>
  <c r="C662" i="21"/>
  <c r="C654" i="21"/>
  <c r="C646" i="21"/>
  <c r="C638" i="21"/>
  <c r="C630" i="21"/>
  <c r="C622" i="21"/>
  <c r="C614" i="21"/>
  <c r="C606" i="21"/>
  <c r="C598" i="21"/>
  <c r="C590" i="21"/>
  <c r="C582" i="21"/>
  <c r="C574" i="21"/>
  <c r="C566" i="21"/>
  <c r="C558" i="21"/>
  <c r="C550" i="21"/>
  <c r="C542" i="21"/>
  <c r="C534" i="21"/>
  <c r="C526" i="21"/>
  <c r="C518" i="21"/>
  <c r="C510" i="21"/>
  <c r="C502" i="21"/>
  <c r="C494" i="21"/>
  <c r="C486" i="21"/>
  <c r="C478" i="21"/>
  <c r="C398" i="21"/>
  <c r="C390" i="21"/>
  <c r="C382" i="21"/>
  <c r="C374" i="21"/>
  <c r="C366" i="21"/>
  <c r="C358" i="21"/>
  <c r="C350" i="21"/>
  <c r="C336" i="21"/>
  <c r="C312" i="21"/>
  <c r="C272" i="21"/>
  <c r="C248" i="21"/>
  <c r="C216" i="21"/>
  <c r="C184" i="21"/>
  <c r="C152" i="21"/>
  <c r="C80" i="21"/>
  <c r="C56" i="21"/>
  <c r="C991" i="21"/>
  <c r="C951" i="21"/>
  <c r="C927" i="21"/>
  <c r="C887" i="21"/>
  <c r="C863" i="21"/>
  <c r="C831" i="21"/>
  <c r="C799" i="21"/>
  <c r="C767" i="21"/>
  <c r="C727" i="21"/>
  <c r="C982" i="21"/>
  <c r="C958" i="21"/>
  <c r="C926" i="21"/>
  <c r="C902" i="21"/>
  <c r="C878" i="21"/>
  <c r="C854" i="21"/>
  <c r="C822" i="21"/>
  <c r="C31" i="21"/>
  <c r="C997" i="21"/>
  <c r="C989" i="21"/>
  <c r="C981" i="21"/>
  <c r="C973" i="21"/>
  <c r="C965" i="21"/>
  <c r="C957" i="21"/>
  <c r="C949" i="21"/>
  <c r="C941" i="21"/>
  <c r="C933" i="21"/>
  <c r="C925" i="21"/>
  <c r="C917" i="21"/>
  <c r="C909" i="21"/>
  <c r="C901" i="21"/>
  <c r="C893" i="21"/>
  <c r="C885" i="21"/>
  <c r="C877" i="21"/>
  <c r="C869" i="21"/>
  <c r="C861" i="21"/>
  <c r="C853" i="21"/>
  <c r="C845" i="21"/>
  <c r="C837" i="21"/>
  <c r="C829" i="21"/>
  <c r="C821" i="21"/>
  <c r="C813" i="21"/>
  <c r="C805" i="21"/>
  <c r="C797" i="21"/>
  <c r="C789" i="21"/>
  <c r="C781" i="21"/>
  <c r="C773" i="21"/>
  <c r="C765" i="21"/>
  <c r="C757" i="21"/>
  <c r="C749" i="21"/>
  <c r="C741" i="21"/>
  <c r="C733" i="21"/>
  <c r="C725" i="21"/>
  <c r="C717" i="21"/>
  <c r="C709" i="21"/>
  <c r="C701" i="21"/>
  <c r="C328" i="21"/>
  <c r="C296" i="21"/>
  <c r="C264" i="21"/>
  <c r="C232" i="21"/>
  <c r="C200" i="21"/>
  <c r="C160" i="21"/>
  <c r="C128" i="21"/>
  <c r="C96" i="21"/>
  <c r="C64" i="21"/>
  <c r="C32" i="21"/>
  <c r="C975" i="21"/>
  <c r="C943" i="21"/>
  <c r="C911" i="21"/>
  <c r="C879" i="21"/>
  <c r="C847" i="21"/>
  <c r="C815" i="21"/>
  <c r="C775" i="21"/>
  <c r="C735" i="21"/>
  <c r="C974" i="21"/>
  <c r="C942" i="21"/>
  <c r="C918" i="21"/>
  <c r="C894" i="21"/>
  <c r="C870" i="21"/>
  <c r="C846" i="21"/>
  <c r="C830" i="21"/>
  <c r="C798" i="21"/>
  <c r="C30" i="21"/>
  <c r="C996" i="21"/>
  <c r="C988" i="21"/>
  <c r="C980" i="21"/>
  <c r="C972" i="21"/>
  <c r="C964" i="21"/>
  <c r="C956" i="21"/>
  <c r="C948" i="21"/>
  <c r="C940" i="21"/>
  <c r="C932" i="21"/>
  <c r="C924" i="21"/>
  <c r="C916" i="21"/>
  <c r="C908" i="21"/>
  <c r="C900" i="21"/>
  <c r="C892" i="21"/>
  <c r="C884" i="21"/>
  <c r="C876" i="21"/>
  <c r="C868" i="21"/>
  <c r="C860" i="21"/>
  <c r="C852" i="21"/>
  <c r="C844" i="21"/>
  <c r="C836" i="21"/>
  <c r="C828" i="21"/>
  <c r="C820" i="21"/>
  <c r="C812" i="21"/>
  <c r="C804" i="21"/>
  <c r="C796" i="21"/>
  <c r="C788" i="21"/>
  <c r="C780" i="21"/>
  <c r="C772" i="21"/>
  <c r="C764" i="21"/>
  <c r="C756" i="21"/>
  <c r="C748" i="21"/>
  <c r="C740" i="21"/>
  <c r="C732" i="21"/>
  <c r="C724" i="21"/>
  <c r="C716" i="21"/>
  <c r="C344" i="21"/>
  <c r="C304" i="21"/>
  <c r="C280" i="21"/>
  <c r="C240" i="21"/>
  <c r="C208" i="21"/>
  <c r="C176" i="21"/>
  <c r="C144" i="21"/>
  <c r="C88" i="21"/>
  <c r="C48" i="21"/>
  <c r="C983" i="21"/>
  <c r="C959" i="21"/>
  <c r="C919" i="21"/>
  <c r="C895" i="21"/>
  <c r="C855" i="21"/>
  <c r="C823" i="21"/>
  <c r="C791" i="21"/>
  <c r="C759" i="21"/>
  <c r="C743" i="21"/>
  <c r="C719" i="21"/>
  <c r="C24" i="21"/>
  <c r="C998" i="21"/>
  <c r="C950" i="21"/>
  <c r="C995" i="21"/>
  <c r="C987" i="21"/>
  <c r="C979" i="21"/>
  <c r="C971" i="21"/>
  <c r="C963" i="21"/>
  <c r="C955" i="21"/>
  <c r="C947" i="21"/>
  <c r="C939" i="21"/>
  <c r="C931" i="21"/>
  <c r="C923" i="21"/>
  <c r="C915" i="21"/>
  <c r="C907" i="21"/>
  <c r="C899" i="21"/>
  <c r="C891" i="21"/>
  <c r="C883" i="21"/>
  <c r="C875" i="21"/>
  <c r="C867" i="21"/>
  <c r="C859" i="21"/>
  <c r="C851" i="21"/>
  <c r="C843" i="21"/>
  <c r="C835" i="21"/>
  <c r="C827" i="21"/>
  <c r="C819" i="21"/>
  <c r="C811" i="21"/>
  <c r="C803" i="21"/>
  <c r="C795" i="21"/>
  <c r="C787" i="21"/>
  <c r="C779" i="21"/>
  <c r="C771" i="21"/>
  <c r="C763" i="21"/>
  <c r="C755" i="21"/>
  <c r="C747" i="21"/>
  <c r="C739" i="21"/>
  <c r="C731" i="21"/>
  <c r="C723" i="21"/>
  <c r="C715" i="21"/>
  <c r="C707" i="21"/>
  <c r="C699" i="21"/>
  <c r="C691" i="21"/>
  <c r="C683" i="21"/>
  <c r="C675" i="21"/>
  <c r="C577" i="21"/>
  <c r="C569" i="21"/>
  <c r="C561" i="21"/>
  <c r="C553" i="21"/>
  <c r="C545" i="21"/>
  <c r="C537" i="21"/>
  <c r="C529" i="21"/>
  <c r="C521" i="21"/>
  <c r="C513" i="21"/>
  <c r="C505" i="21"/>
  <c r="C497" i="21"/>
  <c r="C489" i="21"/>
  <c r="C481" i="21"/>
  <c r="C401" i="21"/>
  <c r="C393" i="21"/>
  <c r="C385" i="21"/>
  <c r="C377" i="21"/>
  <c r="C369" i="21"/>
  <c r="C361" i="21"/>
  <c r="C353" i="21"/>
  <c r="C345" i="21"/>
  <c r="C337" i="21"/>
  <c r="C329" i="21"/>
  <c r="C321" i="21"/>
  <c r="C313" i="21"/>
  <c r="C305" i="21"/>
  <c r="C297" i="21"/>
  <c r="C289" i="21"/>
  <c r="C281" i="21"/>
  <c r="C273" i="21"/>
  <c r="C265" i="21"/>
  <c r="C257" i="21"/>
  <c r="C249" i="21"/>
  <c r="C241" i="21"/>
  <c r="C233" i="21"/>
  <c r="C225" i="21"/>
  <c r="C217" i="21"/>
  <c r="C209" i="21"/>
  <c r="C201" i="21"/>
  <c r="C193" i="21"/>
  <c r="C185" i="21"/>
  <c r="C177" i="21"/>
  <c r="C169" i="21"/>
  <c r="C161" i="21"/>
  <c r="C153" i="21"/>
  <c r="C145" i="21"/>
  <c r="C137" i="21"/>
  <c r="C129" i="21"/>
  <c r="C105" i="21"/>
  <c r="C97" i="21"/>
  <c r="C89" i="21"/>
  <c r="C81" i="21"/>
  <c r="C73" i="21"/>
  <c r="C65" i="21"/>
  <c r="C57" i="21"/>
  <c r="C49" i="21"/>
  <c r="C41" i="21"/>
  <c r="C33" i="21"/>
  <c r="M31" i="12"/>
  <c r="M29" i="12"/>
  <c r="C703" i="21"/>
  <c r="C695" i="21"/>
  <c r="C687" i="21"/>
  <c r="C679" i="21"/>
  <c r="C671" i="21"/>
  <c r="C663" i="21"/>
  <c r="C655" i="21"/>
  <c r="C647" i="21"/>
  <c r="C639" i="21"/>
  <c r="C631" i="21"/>
  <c r="C623" i="21"/>
  <c r="C615" i="21"/>
  <c r="C607" i="21"/>
  <c r="C599" i="21"/>
  <c r="C591" i="21"/>
  <c r="C583" i="21"/>
  <c r="C575" i="21"/>
  <c r="C567" i="21"/>
  <c r="C559" i="21"/>
  <c r="C551" i="21"/>
  <c r="C543" i="21"/>
  <c r="C535" i="21"/>
  <c r="C527" i="21"/>
  <c r="C519" i="21"/>
  <c r="C511" i="21"/>
  <c r="C503" i="21"/>
  <c r="C495" i="21"/>
  <c r="C487" i="21"/>
  <c r="C479" i="21"/>
  <c r="C399" i="21"/>
  <c r="C391" i="21"/>
  <c r="C383" i="21"/>
  <c r="C375" i="21"/>
  <c r="C367" i="21"/>
  <c r="C359" i="21"/>
  <c r="C351" i="21"/>
  <c r="C343" i="21"/>
  <c r="C335" i="21"/>
  <c r="C327" i="21"/>
  <c r="C319" i="21"/>
  <c r="C311" i="21"/>
  <c r="C303" i="21"/>
  <c r="C295" i="21"/>
  <c r="C287" i="21"/>
  <c r="C279" i="21"/>
  <c r="C271" i="21"/>
  <c r="C263" i="21"/>
  <c r="C255" i="21"/>
  <c r="C247" i="21"/>
  <c r="C239" i="21"/>
  <c r="C231" i="21"/>
  <c r="C223" i="21"/>
  <c r="C215" i="21"/>
  <c r="C207" i="21"/>
  <c r="C199" i="21"/>
  <c r="C191" i="21"/>
  <c r="C183" i="21"/>
  <c r="C175" i="21"/>
  <c r="C167" i="21"/>
  <c r="C159" i="21"/>
  <c r="C151" i="21"/>
  <c r="C143" i="21"/>
  <c r="C135" i="21"/>
  <c r="C127" i="21"/>
  <c r="C103" i="21"/>
  <c r="C95" i="21"/>
  <c r="C87" i="21"/>
  <c r="C79" i="21"/>
  <c r="C71" i="21"/>
  <c r="C63" i="21"/>
  <c r="C55" i="21"/>
  <c r="C47" i="21"/>
  <c r="C39" i="21"/>
  <c r="C342" i="21"/>
  <c r="C334" i="21"/>
  <c r="C326" i="21"/>
  <c r="C318" i="21"/>
  <c r="C310" i="21"/>
  <c r="C302" i="21"/>
  <c r="C294" i="21"/>
  <c r="C286" i="21"/>
  <c r="C278" i="21"/>
  <c r="C270" i="21"/>
  <c r="C262" i="21"/>
  <c r="C254" i="21"/>
  <c r="C246" i="21"/>
  <c r="C238" i="21"/>
  <c r="C230" i="21"/>
  <c r="C222" i="21"/>
  <c r="C214" i="21"/>
  <c r="C206" i="21"/>
  <c r="C198" i="21"/>
  <c r="C190" i="21"/>
  <c r="C182" i="21"/>
  <c r="C174" i="21"/>
  <c r="C166" i="21"/>
  <c r="C158" i="21"/>
  <c r="C150" i="21"/>
  <c r="C142" i="21"/>
  <c r="C134" i="21"/>
  <c r="C126" i="21"/>
  <c r="C102" i="21"/>
  <c r="C94" i="21"/>
  <c r="C86" i="21"/>
  <c r="C78" i="21"/>
  <c r="C70" i="21"/>
  <c r="C62" i="21"/>
  <c r="C54" i="21"/>
  <c r="C46" i="21"/>
  <c r="C38" i="21"/>
  <c r="C693" i="21"/>
  <c r="C685" i="21"/>
  <c r="C677" i="21"/>
  <c r="C669" i="21"/>
  <c r="C661" i="21"/>
  <c r="C653" i="21"/>
  <c r="C645" i="21"/>
  <c r="C637" i="21"/>
  <c r="C629" i="21"/>
  <c r="C621" i="21"/>
  <c r="C613" i="21"/>
  <c r="C605" i="21"/>
  <c r="C597" i="21"/>
  <c r="C589" i="21"/>
  <c r="C581" i="21"/>
  <c r="C573" i="21"/>
  <c r="C565" i="21"/>
  <c r="C557" i="21"/>
  <c r="C549" i="21"/>
  <c r="C541" i="21"/>
  <c r="C533" i="21"/>
  <c r="C525" i="21"/>
  <c r="C517" i="21"/>
  <c r="C509" i="21"/>
  <c r="C501" i="21"/>
  <c r="C493" i="21"/>
  <c r="C485" i="21"/>
  <c r="C477" i="21"/>
  <c r="C397" i="21"/>
  <c r="C389" i="21"/>
  <c r="C381" i="21"/>
  <c r="C373" i="21"/>
  <c r="C365" i="21"/>
  <c r="C357" i="21"/>
  <c r="C349" i="21"/>
  <c r="C341" i="21"/>
  <c r="C333" i="21"/>
  <c r="C325" i="21"/>
  <c r="C317" i="21"/>
  <c r="C309" i="21"/>
  <c r="C301" i="21"/>
  <c r="C293" i="21"/>
  <c r="C285" i="21"/>
  <c r="C277" i="21"/>
  <c r="C269" i="21"/>
  <c r="C261" i="21"/>
  <c r="C253" i="21"/>
  <c r="C245" i="21"/>
  <c r="C237" i="21"/>
  <c r="C229" i="21"/>
  <c r="C221" i="21"/>
  <c r="C213" i="21"/>
  <c r="C205" i="21"/>
  <c r="C197" i="21"/>
  <c r="C189" i="21"/>
  <c r="C181" i="21"/>
  <c r="C173" i="21"/>
  <c r="C165" i="21"/>
  <c r="C157" i="21"/>
  <c r="C149" i="21"/>
  <c r="C141" i="21"/>
  <c r="C133" i="21"/>
  <c r="C125" i="21"/>
  <c r="C109" i="21"/>
  <c r="C101" i="21"/>
  <c r="C93" i="21"/>
  <c r="C85" i="21"/>
  <c r="C77" i="21"/>
  <c r="C69" i="21"/>
  <c r="C61" i="21"/>
  <c r="C53" i="21"/>
  <c r="C45" i="21"/>
  <c r="C37" i="21"/>
  <c r="C708" i="21"/>
  <c r="C700" i="21"/>
  <c r="C692" i="21"/>
  <c r="C684" i="21"/>
  <c r="C676" i="21"/>
  <c r="C668" i="21"/>
  <c r="C660" i="21"/>
  <c r="C652" i="21"/>
  <c r="C644" i="21"/>
  <c r="C636" i="21"/>
  <c r="C628" i="21"/>
  <c r="C620" i="21"/>
  <c r="C612" i="21"/>
  <c r="C604" i="21"/>
  <c r="C596" i="21"/>
  <c r="C588" i="21"/>
  <c r="C580" i="21"/>
  <c r="C572" i="21"/>
  <c r="C564" i="21"/>
  <c r="C556" i="21"/>
  <c r="C548" i="21"/>
  <c r="C540" i="21"/>
  <c r="C532" i="21"/>
  <c r="C524" i="21"/>
  <c r="C516" i="21"/>
  <c r="C508" i="21"/>
  <c r="C500" i="21"/>
  <c r="C492" i="21"/>
  <c r="C484" i="21"/>
  <c r="C476" i="21"/>
  <c r="C396" i="21"/>
  <c r="C388" i="21"/>
  <c r="C380" i="21"/>
  <c r="C372" i="21"/>
  <c r="C364" i="21"/>
  <c r="C356" i="21"/>
  <c r="C348" i="21"/>
  <c r="C340" i="21"/>
  <c r="C332" i="21"/>
  <c r="C324" i="21"/>
  <c r="C316" i="21"/>
  <c r="C308" i="21"/>
  <c r="C300" i="21"/>
  <c r="C292" i="21"/>
  <c r="C284" i="21"/>
  <c r="C276" i="21"/>
  <c r="C268" i="21"/>
  <c r="C260" i="21"/>
  <c r="C252" i="21"/>
  <c r="C244" i="21"/>
  <c r="C236" i="21"/>
  <c r="C228" i="21"/>
  <c r="C220" i="21"/>
  <c r="C212" i="21"/>
  <c r="C204" i="21"/>
  <c r="C196" i="21"/>
  <c r="C188" i="21"/>
  <c r="C180" i="21"/>
  <c r="C172" i="21"/>
  <c r="C164" i="21"/>
  <c r="C156" i="21"/>
  <c r="C148" i="21"/>
  <c r="C140" i="21"/>
  <c r="C132" i="21"/>
  <c r="C124" i="21"/>
  <c r="C108" i="21"/>
  <c r="C100" i="21"/>
  <c r="C92" i="21"/>
  <c r="C84" i="21"/>
  <c r="C76" i="21"/>
  <c r="C68" i="21"/>
  <c r="C60" i="21"/>
  <c r="C52" i="21"/>
  <c r="C44" i="21"/>
  <c r="C36" i="21"/>
  <c r="C667" i="21"/>
  <c r="C659" i="21"/>
  <c r="C651" i="21"/>
  <c r="C643" i="21"/>
  <c r="C635" i="21"/>
  <c r="C627" i="21"/>
  <c r="C619" i="21"/>
  <c r="C611" i="21"/>
  <c r="C603" i="21"/>
  <c r="C595" i="21"/>
  <c r="C587" i="21"/>
  <c r="C579" i="21"/>
  <c r="C571" i="21"/>
  <c r="C563" i="21"/>
  <c r="C555" i="21"/>
  <c r="C547" i="21"/>
  <c r="C539" i="21"/>
  <c r="C531" i="21"/>
  <c r="C523" i="21"/>
  <c r="C515" i="21"/>
  <c r="C507" i="21"/>
  <c r="C499" i="21"/>
  <c r="C491" i="21"/>
  <c r="C483" i="21"/>
  <c r="C475" i="21"/>
  <c r="C395" i="21"/>
  <c r="C387" i="21"/>
  <c r="C379" i="21"/>
  <c r="C371" i="21"/>
  <c r="C363" i="21"/>
  <c r="C355" i="21"/>
  <c r="C347" i="21"/>
  <c r="C339" i="21"/>
  <c r="C331" i="21"/>
  <c r="C323" i="21"/>
  <c r="C315" i="21"/>
  <c r="C307" i="21"/>
  <c r="C299" i="21"/>
  <c r="C291" i="21"/>
  <c r="C283" i="21"/>
  <c r="C275" i="21"/>
  <c r="C267" i="21"/>
  <c r="C259" i="21"/>
  <c r="C251" i="21"/>
  <c r="C243" i="21"/>
  <c r="C235" i="21"/>
  <c r="C227" i="21"/>
  <c r="C219" i="21"/>
  <c r="C211" i="21"/>
  <c r="C203" i="21"/>
  <c r="C195" i="21"/>
  <c r="C187" i="21"/>
  <c r="C179" i="21"/>
  <c r="C171" i="21"/>
  <c r="C163" i="21"/>
  <c r="C155" i="21"/>
  <c r="C147" i="21"/>
  <c r="C139" i="21"/>
  <c r="C131" i="21"/>
  <c r="C123" i="21"/>
  <c r="C107" i="21"/>
  <c r="C99" i="21"/>
  <c r="C91" i="21"/>
  <c r="C83" i="21"/>
  <c r="C75" i="21"/>
  <c r="C67" i="21"/>
  <c r="C59" i="21"/>
  <c r="C51" i="21"/>
  <c r="C43" i="21"/>
  <c r="C35" i="21"/>
  <c r="M28" i="12"/>
  <c r="M30" i="12"/>
  <c r="M8" i="12"/>
  <c r="M12" i="12"/>
  <c r="M18" i="12"/>
  <c r="M25" i="12"/>
  <c r="M27" i="12"/>
  <c r="M9" i="12"/>
  <c r="M13" i="12"/>
  <c r="M19" i="12"/>
  <c r="M20" i="12"/>
  <c r="M22" i="12"/>
  <c r="M21" i="12"/>
  <c r="M23" i="12"/>
  <c r="M11" i="12"/>
  <c r="M17" i="12"/>
  <c r="M7" i="12"/>
  <c r="M6" i="12"/>
  <c r="M10" i="12"/>
  <c r="M16" i="12"/>
  <c r="M3" i="12"/>
  <c r="M5" i="12"/>
  <c r="M15" i="12"/>
  <c r="M2" i="12"/>
  <c r="M4" i="12"/>
  <c r="M14" i="12"/>
  <c r="M24" i="12"/>
  <c r="M26" i="12"/>
  <c r="C12" i="21"/>
  <c r="C8" i="12"/>
  <c r="C12" i="12"/>
  <c r="C18" i="12"/>
  <c r="C13" i="21"/>
  <c r="C13" i="12"/>
  <c r="C19" i="12"/>
  <c r="C9" i="12"/>
  <c r="B17" i="22"/>
  <c r="H22" i="12"/>
  <c r="H20" i="12"/>
  <c r="B16" i="22"/>
  <c r="F5" i="8"/>
  <c r="E5" i="8"/>
  <c r="C5" i="22"/>
  <c r="B13" i="22" l="1"/>
  <c r="B12" i="8"/>
  <c r="B12" i="22" s="1"/>
  <c r="B11" i="8"/>
  <c r="B10" i="8"/>
  <c r="H2" i="12" l="1"/>
  <c r="H4" i="12"/>
  <c r="H14" i="12"/>
  <c r="B10" i="22"/>
  <c r="B11" i="22"/>
  <c r="E2" i="6" l="1"/>
  <c r="C17" i="2" l="1"/>
  <c r="N112" i="4" l="1"/>
  <c r="N113" i="4"/>
  <c r="N114" i="4"/>
  <c r="N115" i="4"/>
  <c r="N116" i="4"/>
  <c r="N117" i="4"/>
  <c r="N118" i="4"/>
  <c r="N119" i="4"/>
  <c r="N120" i="4"/>
  <c r="N121" i="4"/>
  <c r="C445" i="23" s="1"/>
  <c r="C441" i="23" l="1"/>
  <c r="C463" i="23"/>
  <c r="C457" i="23"/>
  <c r="C453" i="23"/>
  <c r="C447" i="23"/>
  <c r="C451" i="23"/>
  <c r="C415" i="23"/>
  <c r="C432" i="23"/>
  <c r="C428" i="23"/>
  <c r="C448" i="23"/>
  <c r="C439" i="23"/>
  <c r="C449" i="23"/>
  <c r="C427" i="23"/>
  <c r="C436" i="23"/>
  <c r="C433" i="23"/>
  <c r="C420" i="23"/>
  <c r="C405" i="23"/>
  <c r="C440" i="23"/>
  <c r="C434" i="23"/>
  <c r="C444" i="23"/>
  <c r="C426" i="23"/>
  <c r="C421" i="23"/>
  <c r="C429" i="23"/>
  <c r="C442" i="23"/>
  <c r="C435" i="23"/>
  <c r="C446" i="23"/>
  <c r="C437" i="23"/>
  <c r="C443" i="23"/>
  <c r="C454" i="23"/>
  <c r="C430" i="23"/>
  <c r="C425" i="23"/>
  <c r="C417" i="23"/>
  <c r="C411" i="23"/>
  <c r="C424" i="23"/>
  <c r="C414" i="23"/>
  <c r="C399" i="23"/>
  <c r="C373" i="23"/>
  <c r="C380" i="23"/>
  <c r="C393" i="23"/>
  <c r="C389" i="23"/>
  <c r="C413" i="23"/>
  <c r="C431" i="23"/>
  <c r="C401" i="23"/>
  <c r="C418" i="23"/>
  <c r="C408" i="23"/>
  <c r="C396" i="23"/>
  <c r="C407" i="23"/>
  <c r="C422" i="23"/>
  <c r="C395" i="23"/>
  <c r="C403" i="23"/>
  <c r="C379" i="23"/>
  <c r="C398" i="23"/>
  <c r="C409" i="23"/>
  <c r="C410" i="23"/>
  <c r="C402" i="23"/>
  <c r="C388" i="23"/>
  <c r="C412" i="23"/>
  <c r="C386" i="23"/>
  <c r="C406" i="23"/>
  <c r="C404" i="23"/>
  <c r="C394" i="23"/>
  <c r="C385" i="23"/>
  <c r="C419" i="23"/>
  <c r="C438" i="23"/>
  <c r="C423" i="23"/>
  <c r="C416" i="23"/>
  <c r="C392" i="23"/>
  <c r="C391" i="23"/>
  <c r="C397" i="23"/>
  <c r="C384" i="23"/>
  <c r="C121" i="21"/>
  <c r="C120" i="21"/>
  <c r="C117" i="21"/>
  <c r="C115" i="21"/>
  <c r="C119" i="21"/>
  <c r="C118" i="21"/>
  <c r="C116" i="21"/>
  <c r="C114" i="21"/>
  <c r="C113" i="21"/>
  <c r="C111" i="21"/>
  <c r="C112" i="21"/>
  <c r="C110" i="21"/>
  <c r="C17" i="21"/>
  <c r="C20" i="21"/>
  <c r="C16" i="21"/>
  <c r="C21" i="21"/>
  <c r="C23" i="21"/>
  <c r="C19" i="21"/>
  <c r="C15" i="21"/>
  <c r="C22" i="21"/>
  <c r="C18" i="21"/>
  <c r="C14" i="21"/>
  <c r="C2" i="9" l="1"/>
  <c r="N2" i="4" s="1"/>
  <c r="C3" i="9"/>
  <c r="N3" i="4" s="1"/>
  <c r="C4" i="9"/>
  <c r="N4" i="4" s="1"/>
  <c r="C5" i="9"/>
  <c r="N5" i="4" s="1"/>
  <c r="C6" i="9"/>
  <c r="C7" i="9"/>
  <c r="N7" i="4" s="1"/>
  <c r="C8" i="9"/>
  <c r="N8" i="4" s="1"/>
  <c r="C9" i="9"/>
  <c r="N9" i="4" s="1"/>
  <c r="C10" i="9"/>
  <c r="C5" i="23" l="1"/>
  <c r="C7" i="23"/>
  <c r="C6" i="23"/>
  <c r="C14" i="23"/>
  <c r="C15" i="23"/>
  <c r="N6" i="4"/>
  <c r="C4" i="23" s="1"/>
  <c r="N10" i="4"/>
  <c r="C42" i="23" s="1"/>
  <c r="C31" i="12"/>
  <c r="C30" i="12"/>
  <c r="C2" i="23"/>
  <c r="C9" i="21"/>
  <c r="C29" i="12"/>
  <c r="C8" i="21"/>
  <c r="C28" i="12"/>
  <c r="C10" i="21"/>
  <c r="C2" i="21"/>
  <c r="C5" i="21"/>
  <c r="C7" i="12"/>
  <c r="C11" i="12"/>
  <c r="C17" i="12"/>
  <c r="C4" i="21"/>
  <c r="C16" i="12"/>
  <c r="C6" i="12"/>
  <c r="C10" i="12"/>
  <c r="C11" i="21"/>
  <c r="C27" i="12"/>
  <c r="C25" i="12"/>
  <c r="C7" i="21"/>
  <c r="C23" i="12"/>
  <c r="C21" i="12"/>
  <c r="C3" i="21"/>
  <c r="C5" i="12"/>
  <c r="C15" i="12"/>
  <c r="C3" i="12"/>
  <c r="F3" i="7"/>
  <c r="F4" i="7"/>
  <c r="F5" i="7"/>
  <c r="F6" i="7"/>
  <c r="F7" i="7"/>
  <c r="F8" i="7"/>
  <c r="F9" i="7"/>
  <c r="F10" i="7"/>
  <c r="F11" i="7"/>
  <c r="C9" i="23" l="1"/>
  <c r="C38" i="23"/>
  <c r="C34" i="23"/>
  <c r="C8" i="23"/>
  <c r="C12" i="23"/>
  <c r="C31" i="23"/>
  <c r="C13" i="23"/>
  <c r="C29" i="23"/>
  <c r="C30" i="23"/>
  <c r="C10" i="23"/>
  <c r="C20" i="23"/>
  <c r="C32" i="23"/>
  <c r="C24" i="23"/>
  <c r="C21" i="23"/>
  <c r="C11" i="23"/>
  <c r="C16" i="23"/>
  <c r="C26" i="12"/>
  <c r="C35" i="23"/>
  <c r="C40" i="23"/>
  <c r="C36" i="23"/>
  <c r="C3" i="23"/>
  <c r="C24" i="12"/>
  <c r="C17" i="23"/>
  <c r="C33" i="23"/>
  <c r="C22" i="23"/>
  <c r="C37" i="23"/>
  <c r="C27" i="23"/>
  <c r="C43" i="23"/>
  <c r="C26" i="23"/>
  <c r="C18" i="23"/>
  <c r="C19" i="23"/>
  <c r="C23" i="23"/>
  <c r="C28" i="23"/>
  <c r="C25" i="23"/>
  <c r="C6" i="21"/>
  <c r="C20" i="12"/>
  <c r="C22" i="12"/>
  <c r="C14" i="12"/>
  <c r="C4" i="12"/>
  <c r="C2" i="12"/>
  <c r="C410" i="21"/>
  <c r="C402" i="21"/>
  <c r="C448" i="21"/>
  <c r="C440" i="21"/>
  <c r="C422" i="21"/>
  <c r="C449" i="21"/>
  <c r="C431" i="21"/>
  <c r="C421" i="21"/>
  <c r="C460" i="21"/>
  <c r="C432" i="21"/>
  <c r="C458" i="21"/>
  <c r="C470" i="21"/>
  <c r="C406" i="21"/>
  <c r="C433" i="21"/>
  <c r="C415" i="21"/>
  <c r="C469" i="21"/>
  <c r="C405" i="21"/>
  <c r="C444" i="21"/>
  <c r="C467" i="21"/>
  <c r="C403" i="21"/>
  <c r="C408" i="21"/>
  <c r="C441" i="21"/>
  <c r="C450" i="21"/>
  <c r="C462" i="21"/>
  <c r="C425" i="21"/>
  <c r="C471" i="21"/>
  <c r="C407" i="21"/>
  <c r="C461" i="21"/>
  <c r="C436" i="21"/>
  <c r="C459" i="21"/>
  <c r="C423" i="21"/>
  <c r="C411" i="21"/>
  <c r="C442" i="21"/>
  <c r="C456" i="21"/>
  <c r="C454" i="21"/>
  <c r="C417" i="21"/>
  <c r="C463" i="21"/>
  <c r="C453" i="21"/>
  <c r="C428" i="21"/>
  <c r="C451" i="21"/>
  <c r="C414" i="21"/>
  <c r="C452" i="21"/>
  <c r="C434" i="21"/>
  <c r="C424" i="21"/>
  <c r="C416" i="21"/>
  <c r="C446" i="21"/>
  <c r="C473" i="21"/>
  <c r="C409" i="21"/>
  <c r="C455" i="21"/>
  <c r="C445" i="21"/>
  <c r="C420" i="21"/>
  <c r="C443" i="21"/>
  <c r="C466" i="21"/>
  <c r="C426" i="21"/>
  <c r="C438" i="21"/>
  <c r="C465" i="21"/>
  <c r="C447" i="21"/>
  <c r="C437" i="21"/>
  <c r="C412" i="21"/>
  <c r="C435" i="21"/>
  <c r="C418" i="21"/>
  <c r="C472" i="21"/>
  <c r="C464" i="21"/>
  <c r="C430" i="21"/>
  <c r="C457" i="21"/>
  <c r="C439" i="21"/>
  <c r="C429" i="21"/>
  <c r="C468" i="21"/>
  <c r="C404" i="21"/>
  <c r="C427" i="21"/>
  <c r="C419" i="21"/>
  <c r="C413" i="21"/>
  <c r="L7" i="23" l="1"/>
  <c r="H7" i="23"/>
  <c r="G7" i="23" l="1"/>
  <c r="F7" i="23"/>
  <c r="C447" i="2" l="1"/>
  <c r="C140" i="2"/>
  <c r="C631" i="2"/>
  <c r="C180" i="2"/>
  <c r="C383" i="2"/>
  <c r="C175" i="2"/>
  <c r="C107" i="2"/>
  <c r="C675" i="2"/>
  <c r="C182" i="2"/>
  <c r="C424" i="2"/>
  <c r="C71" i="2"/>
  <c r="C710" i="2"/>
  <c r="C557" i="2"/>
  <c r="C397" i="2"/>
  <c r="C292" i="2"/>
  <c r="C353" i="2"/>
  <c r="C125" i="2"/>
  <c r="C612" i="2"/>
  <c r="C636" i="2"/>
  <c r="C443" i="2"/>
  <c r="C742" i="2"/>
  <c r="C159" i="2"/>
  <c r="C686" i="2"/>
  <c r="C426" i="2"/>
  <c r="C592" i="2"/>
  <c r="C509" i="2"/>
  <c r="C416" i="2"/>
  <c r="C725" i="2"/>
  <c r="C425" i="2"/>
  <c r="C736" i="2"/>
  <c r="C118" i="2"/>
  <c r="C138" i="2"/>
  <c r="C369" i="2"/>
  <c r="C172" i="2"/>
  <c r="C656" i="2"/>
  <c r="C243" i="2"/>
  <c r="C51" i="2"/>
  <c r="C357" i="2"/>
  <c r="C338" i="2"/>
  <c r="C548" i="2"/>
  <c r="C361" i="2"/>
  <c r="C603" i="2"/>
  <c r="C171" i="2"/>
  <c r="C136" i="2"/>
  <c r="C602" i="2"/>
  <c r="C537" i="2"/>
  <c r="C596" i="2"/>
  <c r="C20" i="2"/>
  <c r="C595" i="2"/>
  <c r="C217" i="2"/>
  <c r="C681" i="2"/>
  <c r="C359" i="2"/>
  <c r="C623" i="2"/>
  <c r="C205" i="2"/>
  <c r="C270" i="2"/>
  <c r="C106" i="2"/>
  <c r="C486" i="2"/>
  <c r="C341" i="2"/>
  <c r="C100" i="2"/>
  <c r="C655" i="2"/>
  <c r="C467" i="2"/>
  <c r="C415" i="2"/>
  <c r="C516" i="2"/>
  <c r="C37" i="2"/>
  <c r="C261" i="2"/>
  <c r="C360" i="2"/>
  <c r="C698" i="2"/>
  <c r="C47" i="2"/>
  <c r="C212" i="2"/>
  <c r="C115" i="2"/>
  <c r="C262" i="2"/>
  <c r="C418" i="2"/>
  <c r="C14" i="2"/>
  <c r="C573" i="2"/>
  <c r="C642" i="2"/>
  <c r="C517" i="2"/>
  <c r="C294" i="2"/>
  <c r="C519" i="2"/>
  <c r="C249" i="2"/>
  <c r="C552" i="2"/>
  <c r="C456" i="2"/>
  <c r="C748" i="2"/>
  <c r="C625" i="2"/>
  <c r="C704" i="2"/>
  <c r="C478" i="2"/>
  <c r="C372" i="2"/>
  <c r="C68" i="2"/>
  <c r="C62" i="2"/>
  <c r="C459" i="2"/>
  <c r="C400" i="2"/>
  <c r="C216" i="2"/>
  <c r="C460" i="2"/>
  <c r="C756" i="2"/>
  <c r="C142" i="2"/>
  <c r="C496" i="2"/>
  <c r="C8" i="2"/>
  <c r="C382" i="2"/>
  <c r="C320" i="2"/>
  <c r="C387" i="2"/>
  <c r="C128" i="2"/>
  <c r="C419" i="2"/>
  <c r="C194" i="2"/>
  <c r="C319" i="2"/>
  <c r="C86" i="2"/>
  <c r="C684" i="2"/>
  <c r="C370" i="2"/>
  <c r="C611" i="2"/>
  <c r="C389" i="2"/>
  <c r="C83" i="2"/>
  <c r="C30" i="2"/>
  <c r="C651" i="2"/>
  <c r="C576" i="2"/>
  <c r="C233" i="2"/>
  <c r="C679" i="2"/>
  <c r="C705" i="2"/>
  <c r="C209" i="2"/>
  <c r="C210" i="2"/>
  <c r="C108" i="2"/>
  <c r="C566" i="2"/>
  <c r="C409" i="2"/>
  <c r="C534" i="2"/>
  <c r="C649" i="2"/>
  <c r="C411" i="2"/>
  <c r="C738" i="2"/>
  <c r="C57" i="2"/>
  <c r="C761" i="2"/>
  <c r="C545" i="2"/>
  <c r="C745" i="2"/>
  <c r="C716" i="2"/>
  <c r="C185" i="2"/>
  <c r="C332" i="2"/>
  <c r="C405" i="2"/>
  <c r="C326" i="2"/>
  <c r="C498" i="2"/>
  <c r="C161" i="2"/>
  <c r="C410" i="2"/>
  <c r="C401" i="2"/>
  <c r="C28" i="2"/>
  <c r="C444" i="2"/>
  <c r="C586" i="2"/>
  <c r="C594" i="2"/>
  <c r="C528" i="2"/>
  <c r="C123" i="2"/>
  <c r="C35" i="2"/>
  <c r="C317" i="2"/>
  <c r="C483" i="2"/>
  <c r="C469" i="2"/>
  <c r="C464" i="2"/>
  <c r="C305" i="2"/>
  <c r="C187" i="2"/>
  <c r="C4" i="2"/>
  <c r="C635" i="2"/>
  <c r="C230" i="2"/>
  <c r="C24" i="2"/>
  <c r="C695" i="2"/>
  <c r="C466" i="2"/>
  <c r="C148" i="2"/>
  <c r="C499" i="2"/>
  <c r="C678" i="2"/>
  <c r="C624" i="2"/>
  <c r="C643" i="2"/>
  <c r="C11" i="2"/>
  <c r="C531" i="2"/>
  <c r="C18" i="2"/>
  <c r="C298" i="2"/>
  <c r="C580" i="2"/>
  <c r="C110" i="2"/>
  <c r="C591" i="2"/>
  <c r="C461" i="2"/>
  <c r="C709" i="2"/>
  <c r="C121" i="2"/>
  <c r="C278" i="2"/>
  <c r="C50" i="2"/>
  <c r="C750" i="2"/>
  <c r="C449" i="2"/>
  <c r="C90" i="2"/>
  <c r="C739" i="2"/>
  <c r="C70" i="2"/>
  <c r="C15" i="2"/>
  <c r="C693" i="2"/>
  <c r="C657" i="2"/>
  <c r="C173" i="2"/>
  <c r="C597" i="2"/>
  <c r="C318" i="2"/>
  <c r="C74" i="2"/>
  <c r="C717" i="2"/>
  <c r="C386" i="2"/>
  <c r="C567" i="2"/>
  <c r="C299" i="2"/>
  <c r="C25" i="2"/>
  <c r="C134" i="2"/>
  <c r="C165" i="2"/>
  <c r="C494" i="2"/>
  <c r="C672" i="2"/>
  <c r="C608" i="2"/>
  <c r="C203" i="2"/>
  <c r="C585" i="2"/>
  <c r="C505" i="2"/>
  <c r="C174" i="2"/>
  <c r="C323" i="2"/>
  <c r="C561" i="2"/>
  <c r="C80" i="2"/>
  <c r="C335" i="2"/>
  <c r="C277" i="2"/>
  <c r="C147" i="2"/>
  <c r="C746" i="2"/>
  <c r="C322" i="2"/>
  <c r="C674" i="2"/>
  <c r="C551" i="2"/>
  <c r="C156" i="2"/>
  <c r="C75" i="2"/>
  <c r="C26" i="2"/>
  <c r="C749" i="2"/>
  <c r="C740" i="2"/>
  <c r="C582" i="2"/>
  <c r="C463" i="2"/>
  <c r="C133" i="2"/>
  <c r="C49" i="2"/>
  <c r="C163" i="2"/>
  <c r="C293" i="2"/>
  <c r="C7" i="2"/>
  <c r="C215" i="2"/>
  <c r="C54" i="2"/>
  <c r="C538" i="2"/>
  <c r="C492" i="2"/>
  <c r="C619" i="2"/>
  <c r="C699" i="2"/>
  <c r="C119" i="2"/>
  <c r="C153" i="2"/>
  <c r="C481" i="2"/>
  <c r="C39" i="2"/>
  <c r="C590" i="2"/>
  <c r="C101" i="2"/>
  <c r="C530" i="2"/>
  <c r="C158" i="2"/>
  <c r="C723" i="2"/>
  <c r="C29" i="2"/>
  <c r="C186" i="2"/>
  <c r="C571" i="2"/>
  <c r="C48" i="2"/>
  <c r="C701" i="2"/>
  <c r="C242" i="2"/>
  <c r="C334" i="2"/>
  <c r="C432" i="2"/>
  <c r="C711" i="2" l="1"/>
  <c r="C450" i="2"/>
  <c r="C286" i="2"/>
  <c r="C618" i="2"/>
  <c r="C414" i="2"/>
  <c r="C544" i="2"/>
  <c r="C522" i="2"/>
  <c r="C152" i="2"/>
  <c r="G17" i="5" s="1"/>
  <c r="C77" i="2"/>
  <c r="C490" i="2"/>
  <c r="C747" i="2"/>
  <c r="C324" i="2"/>
  <c r="C297" i="2"/>
  <c r="C760" i="2"/>
  <c r="C253" i="2"/>
  <c r="C122" i="2"/>
  <c r="C117" i="2"/>
  <c r="C587" i="2"/>
  <c r="C73" i="2"/>
  <c r="G19" i="5"/>
  <c r="G44" i="5"/>
  <c r="C255" i="18" s="1"/>
  <c r="D255" i="18" s="1"/>
  <c r="G13" i="5"/>
  <c r="G37" i="5"/>
  <c r="G38" i="5"/>
  <c r="G15" i="5"/>
  <c r="G41" i="5"/>
  <c r="C259" i="18" l="1"/>
  <c r="D259" i="18" s="1"/>
  <c r="C256" i="18"/>
  <c r="D256" i="18" s="1"/>
  <c r="C258" i="18"/>
  <c r="D258" i="18" s="1"/>
  <c r="C254" i="18"/>
  <c r="D254" i="18" s="1"/>
  <c r="C257" i="18"/>
  <c r="D257" i="18" s="1"/>
  <c r="C72" i="18"/>
  <c r="D72" i="18" s="1"/>
  <c r="C73" i="18"/>
  <c r="D73" i="18" s="1"/>
  <c r="C70" i="18"/>
  <c r="D70" i="18" s="1"/>
  <c r="C68" i="18"/>
  <c r="D68" i="18" s="1"/>
  <c r="C71" i="18"/>
  <c r="D71" i="18" s="1"/>
  <c r="C69" i="18"/>
  <c r="D69" i="18" s="1"/>
  <c r="C104" i="18"/>
  <c r="D104" i="18" s="1"/>
  <c r="C108" i="18"/>
  <c r="D108" i="18" s="1"/>
  <c r="C105" i="18"/>
  <c r="D105" i="18" s="1"/>
  <c r="C106" i="18"/>
  <c r="D106" i="18" s="1"/>
  <c r="C109" i="18"/>
  <c r="D109" i="18" s="1"/>
  <c r="C107" i="18"/>
  <c r="D107" i="18" s="1"/>
  <c r="C139" i="2"/>
  <c r="C218" i="18"/>
  <c r="D218" i="18" s="1"/>
  <c r="C223" i="18"/>
  <c r="D223" i="18" s="1"/>
  <c r="C221" i="18"/>
  <c r="D221" i="18" s="1"/>
  <c r="C219" i="18"/>
  <c r="D219" i="18" s="1"/>
  <c r="C222" i="18"/>
  <c r="D222" i="18" s="1"/>
  <c r="C220" i="18"/>
  <c r="D220" i="18" s="1"/>
  <c r="C92" i="18"/>
  <c r="D92" i="18" s="1"/>
  <c r="C97" i="18"/>
  <c r="D97" i="18" s="1"/>
  <c r="C95" i="18"/>
  <c r="D95" i="18" s="1"/>
  <c r="C96" i="18"/>
  <c r="D96" i="18" s="1"/>
  <c r="C94" i="18"/>
  <c r="D94" i="18" s="1"/>
  <c r="C93" i="18"/>
  <c r="D93" i="18" s="1"/>
  <c r="C356" i="2"/>
  <c r="G39" i="5"/>
  <c r="C575" i="2"/>
  <c r="C176" i="2"/>
  <c r="C480" i="2"/>
  <c r="C274" i="2"/>
  <c r="C733" i="2"/>
  <c r="C673" i="2"/>
  <c r="C609" i="2"/>
  <c r="C600" i="2"/>
  <c r="C85" i="2"/>
  <c r="C217" i="18"/>
  <c r="D217" i="18" s="1"/>
  <c r="C216" i="18"/>
  <c r="D216" i="18" s="1"/>
  <c r="C214" i="18"/>
  <c r="D214" i="18" s="1"/>
  <c r="C213" i="18"/>
  <c r="D213" i="18" s="1"/>
  <c r="C212" i="18"/>
  <c r="D212" i="18" s="1"/>
  <c r="C215" i="18"/>
  <c r="D215" i="18" s="1"/>
  <c r="C179" i="2"/>
  <c r="C515" i="2"/>
  <c r="C313" i="2"/>
  <c r="C238" i="18"/>
  <c r="D238" i="18" s="1"/>
  <c r="C240" i="18"/>
  <c r="D240" i="18" s="1"/>
  <c r="C236" i="18"/>
  <c r="D236" i="18" s="1"/>
  <c r="C237" i="18"/>
  <c r="D237" i="18" s="1"/>
  <c r="C241" i="18"/>
  <c r="D241" i="18" s="1"/>
  <c r="C239" i="18"/>
  <c r="D239" i="18" s="1"/>
  <c r="C85" i="18"/>
  <c r="D85" i="18" s="1"/>
  <c r="C80" i="18"/>
  <c r="D80" i="18" s="1"/>
  <c r="C81" i="18"/>
  <c r="D81" i="18" s="1"/>
  <c r="C82" i="18"/>
  <c r="D82" i="18" s="1"/>
  <c r="C83" i="18"/>
  <c r="D83" i="18" s="1"/>
  <c r="C84" i="18"/>
  <c r="D84" i="18" s="1"/>
  <c r="C82" i="2"/>
  <c r="C607" i="2"/>
  <c r="C235" i="2"/>
  <c r="C55" i="2"/>
  <c r="C264" i="2"/>
  <c r="C399" i="2"/>
  <c r="C310" i="2" l="1"/>
  <c r="C224" i="2"/>
  <c r="C644" i="2"/>
  <c r="C224" i="18"/>
  <c r="D224" i="18" s="1"/>
  <c r="C228" i="18"/>
  <c r="D228" i="18" s="1"/>
  <c r="C226" i="18"/>
  <c r="D226" i="18" s="1"/>
  <c r="C225" i="18"/>
  <c r="D225" i="18" s="1"/>
  <c r="C227" i="18"/>
  <c r="D227" i="18" s="1"/>
  <c r="C229" i="18"/>
  <c r="D229" i="18" s="1"/>
  <c r="C462" i="2"/>
  <c r="C254" i="2"/>
  <c r="G16" i="5" s="1"/>
  <c r="C307" i="2"/>
  <c r="C183" i="2"/>
  <c r="C671" i="2"/>
  <c r="C436" i="2"/>
  <c r="C127" i="2"/>
  <c r="C646" i="2"/>
  <c r="C12" i="2"/>
  <c r="C245" i="2"/>
  <c r="C452" i="2"/>
  <c r="C744" i="2"/>
  <c r="C275" i="2"/>
  <c r="C583" i="2"/>
  <c r="C89" i="18"/>
  <c r="D89" i="18" s="1"/>
  <c r="C87" i="18"/>
  <c r="D87" i="18" s="1"/>
  <c r="C91" i="18"/>
  <c r="D91" i="18" s="1"/>
  <c r="C90" i="18"/>
  <c r="D90" i="18" s="1"/>
  <c r="C86" i="18"/>
  <c r="D86" i="18" s="1"/>
  <c r="C88" i="18"/>
  <c r="D88" i="18" s="1"/>
  <c r="C337" i="2" l="1"/>
  <c r="C512" i="2"/>
  <c r="C468" i="2"/>
  <c r="G36" i="5" s="1"/>
  <c r="C677" i="2"/>
  <c r="C629" i="2"/>
  <c r="C650" i="2"/>
  <c r="C257" i="2"/>
  <c r="C207" i="2"/>
  <c r="C526" i="2"/>
  <c r="C476" i="2"/>
  <c r="C376" i="2"/>
  <c r="C330" i="2"/>
  <c r="C114" i="2"/>
  <c r="C543" i="2"/>
  <c r="C124" i="2"/>
  <c r="C348" i="2"/>
  <c r="C327" i="2"/>
  <c r="C207" i="18" l="1"/>
  <c r="D207" i="18" s="1"/>
  <c r="C208" i="18"/>
  <c r="D208" i="18" s="1"/>
  <c r="C209" i="18"/>
  <c r="D209" i="18" s="1"/>
  <c r="C206" i="18"/>
  <c r="D206" i="18" s="1"/>
  <c r="C210" i="18"/>
  <c r="D210" i="18" s="1"/>
  <c r="C211" i="18"/>
  <c r="D211" i="18" s="1"/>
  <c r="C438" i="2"/>
  <c r="C150" i="2"/>
  <c r="C285" i="2"/>
  <c r="C304" i="2"/>
  <c r="C729" i="2"/>
  <c r="C78" i="2"/>
  <c r="C246" i="2"/>
  <c r="C206" i="2"/>
  <c r="C79" i="2"/>
  <c r="C518" i="2"/>
  <c r="G47" i="5"/>
  <c r="C154" i="2"/>
  <c r="C302" i="2"/>
  <c r="C682" i="2"/>
  <c r="C428" i="2"/>
  <c r="C525" i="2"/>
  <c r="C32" i="2"/>
  <c r="C659" i="2"/>
  <c r="C60" i="2"/>
  <c r="C633" i="2" l="1"/>
  <c r="C562" i="2"/>
  <c r="C45" i="2"/>
  <c r="C404" i="2"/>
  <c r="C465" i="2"/>
  <c r="C276" i="18"/>
  <c r="D276" i="18" s="1"/>
  <c r="C275" i="18"/>
  <c r="D275" i="18" s="1"/>
  <c r="C277" i="18"/>
  <c r="D277" i="18" s="1"/>
  <c r="C274" i="18"/>
  <c r="D274" i="18" s="1"/>
  <c r="C272" i="18"/>
  <c r="D272" i="18" s="1"/>
  <c r="C273" i="18"/>
  <c r="D273" i="18" s="1"/>
  <c r="C169" i="2"/>
  <c r="C563" i="2"/>
  <c r="C454" i="2"/>
  <c r="G48" i="5" s="1"/>
  <c r="C434" i="2"/>
  <c r="C336" i="2"/>
  <c r="C22" i="2"/>
  <c r="C364" i="2"/>
  <c r="C296" i="2"/>
  <c r="C637" i="2"/>
  <c r="C423" i="2"/>
  <c r="C256" i="2"/>
  <c r="C475" i="2"/>
  <c r="C311" i="2"/>
  <c r="C281" i="18" l="1"/>
  <c r="D281" i="18" s="1"/>
  <c r="C282" i="18"/>
  <c r="D282" i="18" s="1"/>
  <c r="C279" i="18"/>
  <c r="D279" i="18" s="1"/>
  <c r="C278" i="18"/>
  <c r="D278" i="18" s="1"/>
  <c r="C283" i="18"/>
  <c r="D283" i="18" s="1"/>
  <c r="C280" i="18"/>
  <c r="D280" i="18" s="1"/>
  <c r="C510" i="2"/>
  <c r="C27" i="2"/>
  <c r="C402" i="2"/>
  <c r="C393" i="2"/>
  <c r="C720" i="2"/>
  <c r="C722" i="2"/>
  <c r="C191" i="2"/>
  <c r="C63" i="2"/>
  <c r="C64" i="2"/>
  <c r="C484" i="2"/>
  <c r="C536" i="2"/>
  <c r="C521" i="2"/>
  <c r="C94" i="2"/>
  <c r="C638" i="2"/>
  <c r="C13" i="2" l="1"/>
  <c r="C665" i="2"/>
  <c r="C755" i="2"/>
  <c r="C539" i="2"/>
  <c r="C615" i="2"/>
  <c r="C109" i="2"/>
  <c r="C577" i="2"/>
  <c r="C700" i="2"/>
  <c r="C160" i="2"/>
  <c r="C433" i="2"/>
  <c r="C593" i="2"/>
  <c r="C137" i="2"/>
  <c r="C396" i="2"/>
  <c r="C420" i="2"/>
  <c r="C578" i="2"/>
  <c r="C441" i="2"/>
  <c r="C199" i="2"/>
  <c r="C340" i="2" l="1"/>
  <c r="C730" i="2"/>
  <c r="C654" i="2"/>
  <c r="C743" i="2"/>
  <c r="C620" i="2"/>
  <c r="C312" i="2"/>
  <c r="C58" i="2"/>
  <c r="C96" i="2"/>
  <c r="C565" i="2"/>
  <c r="C223" i="2"/>
  <c r="C269" i="2"/>
  <c r="C219" i="2"/>
  <c r="C639" i="2" l="1"/>
  <c r="C384" i="2"/>
  <c r="C378" i="2"/>
  <c r="C660" i="2"/>
  <c r="C267" i="2"/>
  <c r="C265" i="2"/>
  <c r="C546" i="2"/>
  <c r="C105" i="2"/>
  <c r="C718" i="2"/>
  <c r="C97" i="2"/>
  <c r="C431" i="2"/>
  <c r="C453" i="2"/>
  <c r="C339" i="2"/>
  <c r="C380" i="2" l="1"/>
  <c r="C604" i="2"/>
  <c r="C714" i="2"/>
  <c r="C647" i="2"/>
  <c r="C300" i="2"/>
  <c r="C365" i="2"/>
  <c r="C132" i="2"/>
  <c r="C260" i="2" l="1"/>
  <c r="C129" i="2"/>
  <c r="C168" i="2"/>
  <c r="C202" i="2"/>
  <c r="C33" i="2"/>
  <c r="C754" i="2"/>
  <c r="C626" i="2"/>
  <c r="C157" i="2" l="1"/>
  <c r="C213" i="2"/>
  <c r="C533" i="2"/>
  <c r="C291" i="2"/>
  <c r="C314" i="2"/>
  <c r="C691" i="2"/>
  <c r="C752" i="2"/>
  <c r="C373" i="2"/>
  <c r="C669" i="2"/>
  <c r="C255" i="2" l="1"/>
  <c r="C541" i="2"/>
  <c r="C613" i="2"/>
  <c r="C196" i="2"/>
  <c r="C451" i="2"/>
  <c r="C713" i="2" l="1"/>
  <c r="C321" i="2"/>
  <c r="C379" i="2"/>
  <c r="C325" i="2"/>
  <c r="C306" i="2"/>
  <c r="C181" i="2" l="1"/>
  <c r="C702" i="2"/>
  <c r="C363" i="2"/>
  <c r="C524" i="2"/>
  <c r="C706" i="2"/>
  <c r="C271" i="2"/>
  <c r="C734" i="2" l="1"/>
  <c r="C627" i="2"/>
  <c r="C568" i="2"/>
  <c r="C303" i="2"/>
  <c r="C508" i="2"/>
  <c r="C558" i="2" l="1"/>
  <c r="C59" i="2"/>
  <c r="C470" i="2"/>
  <c r="C178" i="2" l="1"/>
  <c r="C622" i="2"/>
  <c r="C81" i="2"/>
  <c r="C653" i="2" l="1"/>
  <c r="C652" i="2"/>
  <c r="C93" i="2"/>
  <c r="C347" i="2"/>
  <c r="C542" i="2"/>
  <c r="C120" i="2" l="1"/>
  <c r="C581" i="2" l="1"/>
  <c r="C479" i="2" l="1"/>
  <c r="C735" i="2" l="1"/>
  <c r="C214" i="2" l="1"/>
  <c r="C421" i="2" l="1"/>
  <c r="C446" i="2" l="1"/>
  <c r="C737" i="2" l="1"/>
  <c r="C184" i="2" l="1"/>
  <c r="G40" i="5" s="1"/>
  <c r="C232" i="18" l="1"/>
  <c r="D232" i="18" s="1"/>
  <c r="C231" i="18"/>
  <c r="D231" i="18" s="1"/>
  <c r="C233" i="18"/>
  <c r="D233" i="18" s="1"/>
  <c r="C234" i="18"/>
  <c r="D234" i="18" s="1"/>
  <c r="C230" i="18"/>
  <c r="D230" i="18" s="1"/>
  <c r="C235" i="18"/>
  <c r="D235" i="18" s="1"/>
  <c r="C721" i="2"/>
  <c r="G43" i="5" s="1"/>
  <c r="C249" i="18" l="1"/>
  <c r="D249" i="18" s="1"/>
  <c r="C250" i="18"/>
  <c r="D250" i="18" s="1"/>
  <c r="C253" i="18"/>
  <c r="D253" i="18" s="1"/>
  <c r="C248" i="18"/>
  <c r="D248" i="18" s="1"/>
  <c r="C252" i="18"/>
  <c r="D252" i="18" s="1"/>
  <c r="C251" i="18"/>
  <c r="D251" i="18" s="1"/>
  <c r="C584" i="2"/>
  <c r="G46" i="5" s="1"/>
  <c r="C266" i="18" l="1"/>
  <c r="D266" i="18" s="1"/>
  <c r="C269" i="18"/>
  <c r="D269" i="18" s="1"/>
  <c r="C271" i="18"/>
  <c r="D271" i="18" s="1"/>
  <c r="C270" i="18"/>
  <c r="D270" i="18" s="1"/>
  <c r="C268" i="18"/>
  <c r="D268" i="18" s="1"/>
  <c r="C267" i="18"/>
  <c r="D267" i="18" s="1"/>
  <c r="C564" i="2"/>
  <c r="G49" i="5" s="1"/>
  <c r="C287" i="18" l="1"/>
  <c r="D287" i="18" s="1"/>
  <c r="C288" i="18"/>
  <c r="D288" i="18" s="1"/>
  <c r="C289" i="18"/>
  <c r="D289" i="18" s="1"/>
  <c r="C284" i="18"/>
  <c r="D284" i="18" s="1"/>
  <c r="C286" i="18"/>
  <c r="D286" i="18" s="1"/>
  <c r="C285" i="18"/>
  <c r="D285" i="18" s="1"/>
  <c r="C427" i="2"/>
  <c r="C398" i="2" l="1"/>
  <c r="C417" i="2" l="1"/>
  <c r="C131" i="2"/>
  <c r="G52" i="5"/>
  <c r="G51" i="5"/>
  <c r="C307" i="18"/>
  <c r="D307" i="18" s="1"/>
  <c r="G9" i="5"/>
  <c r="C45" i="18"/>
  <c r="D45" i="18" s="1"/>
  <c r="G35" i="5"/>
  <c r="C203" i="18" s="1"/>
  <c r="D203" i="18" s="1"/>
  <c r="C283" i="2"/>
  <c r="C145" i="2"/>
  <c r="G74" i="5" s="1"/>
  <c r="C439" i="18" s="1"/>
  <c r="D439" i="18" s="1"/>
  <c r="C309" i="2"/>
  <c r="G10" i="5"/>
  <c r="G25" i="5"/>
  <c r="C141" i="18" s="1"/>
  <c r="D141" i="18" s="1"/>
  <c r="C92" i="2"/>
  <c r="G85" i="5" s="1"/>
  <c r="C503" i="18" s="1"/>
  <c r="D503" i="18" s="1"/>
  <c r="C390" i="2"/>
  <c r="G71" i="5" s="1"/>
  <c r="G98" i="5"/>
  <c r="C582" i="18" s="1"/>
  <c r="D582" i="18" s="1"/>
  <c r="G3" i="5"/>
  <c r="C8" i="18" s="1"/>
  <c r="D8" i="18" s="1"/>
  <c r="G27" i="5"/>
  <c r="C152" i="18" s="1"/>
  <c r="D152" i="18" s="1"/>
  <c r="G31" i="5"/>
  <c r="C179" i="18" s="1"/>
  <c r="D179" i="18" s="1"/>
  <c r="C550" i="2"/>
  <c r="G63" i="5" s="1"/>
  <c r="C373" i="18" s="1"/>
  <c r="D373" i="18" s="1"/>
  <c r="G6" i="5"/>
  <c r="C473" i="2"/>
  <c r="G23" i="5" s="1"/>
  <c r="G4" i="5"/>
  <c r="C17" i="18" s="1"/>
  <c r="D17" i="18" s="1"/>
  <c r="C305" i="18"/>
  <c r="D305" i="18" s="1"/>
  <c r="G22" i="5"/>
  <c r="C391" i="2"/>
  <c r="G59" i="5" s="1"/>
  <c r="C346" i="18" s="1"/>
  <c r="D346" i="18" s="1"/>
  <c r="C61" i="2"/>
  <c r="G8" i="5" s="1"/>
  <c r="G73" i="5"/>
  <c r="G24" i="5"/>
  <c r="C134" i="18" s="1"/>
  <c r="D134" i="18" s="1"/>
  <c r="C177" i="18"/>
  <c r="D177" i="18" s="1"/>
  <c r="G96" i="5"/>
  <c r="C570" i="18" s="1"/>
  <c r="D570" i="18" s="1"/>
  <c r="C10" i="2"/>
  <c r="G67" i="5" s="1"/>
  <c r="C532" i="2"/>
  <c r="G66" i="5"/>
  <c r="C388" i="18" s="1"/>
  <c r="D388" i="18" s="1"/>
  <c r="C50" i="18"/>
  <c r="D50" i="18" s="1"/>
  <c r="G26" i="5"/>
  <c r="C151" i="18" s="1"/>
  <c r="D151" i="18" s="1"/>
  <c r="C308" i="2"/>
  <c r="G61" i="5" s="1"/>
  <c r="C361" i="18" s="1"/>
  <c r="D361" i="18" s="1"/>
  <c r="C27" i="18"/>
  <c r="D27" i="18" s="1"/>
  <c r="G99" i="5"/>
  <c r="C584" i="18" s="1"/>
  <c r="D584" i="18" s="1"/>
  <c r="C127" i="18"/>
  <c r="D127" i="18" s="1"/>
  <c r="G137" i="5"/>
  <c r="C812" i="18" s="1"/>
  <c r="D812" i="18" s="1"/>
  <c r="G28" i="5"/>
  <c r="C158" i="18" s="1"/>
  <c r="D158" i="18" s="1"/>
  <c r="G7" i="5"/>
  <c r="C37" i="18" s="1"/>
  <c r="D37" i="18" s="1"/>
  <c r="C474" i="2"/>
  <c r="C144" i="18"/>
  <c r="D144" i="18" s="1"/>
  <c r="G53" i="5"/>
  <c r="C311" i="18" s="1"/>
  <c r="D311" i="18" s="1"/>
  <c r="G92" i="5"/>
  <c r="C542" i="18" s="1"/>
  <c r="D542" i="18" s="1"/>
  <c r="C47" i="18"/>
  <c r="D47" i="18" s="1"/>
  <c r="C30" i="18"/>
  <c r="D30" i="18" s="1"/>
  <c r="C300" i="18"/>
  <c r="D300" i="18" s="1"/>
  <c r="G109" i="5"/>
  <c r="C649" i="18" s="1"/>
  <c r="D649" i="18" s="1"/>
  <c r="C731" i="2"/>
  <c r="G91" i="5" s="1"/>
  <c r="C536" i="18" s="1"/>
  <c r="D536" i="18" s="1"/>
  <c r="G55" i="5"/>
  <c r="C49" i="18"/>
  <c r="D49" i="18" s="1"/>
  <c r="C53" i="18"/>
  <c r="D53" i="18" s="1"/>
  <c r="C632" i="2"/>
  <c r="G82" i="5" s="1"/>
  <c r="C16" i="18"/>
  <c r="D16" i="18" s="1"/>
  <c r="G200" i="5"/>
  <c r="C1190" i="18" s="1"/>
  <c r="D1190" i="18" s="1"/>
  <c r="C28" i="18"/>
  <c r="D28" i="18" s="1"/>
  <c r="C52" i="18"/>
  <c r="D52" i="18" s="1"/>
  <c r="C178" i="18"/>
  <c r="D178" i="18" s="1"/>
  <c r="C51" i="18"/>
  <c r="D51" i="18" s="1"/>
  <c r="G197" i="5"/>
  <c r="C1174" i="18" s="1"/>
  <c r="D1174" i="18" s="1"/>
  <c r="C205" i="18"/>
  <c r="D205" i="18" s="1"/>
  <c r="C126" i="18"/>
  <c r="D126" i="18" s="1"/>
  <c r="C349" i="2"/>
  <c r="G89" i="5" s="1"/>
  <c r="C150" i="18"/>
  <c r="D150" i="18" s="1"/>
  <c r="G20" i="5"/>
  <c r="C115" i="18" s="1"/>
  <c r="D115" i="18" s="1"/>
  <c r="C44" i="18"/>
  <c r="D44" i="18" s="1"/>
  <c r="C26" i="18"/>
  <c r="D26" i="18" s="1"/>
  <c r="G34" i="5"/>
  <c r="C199" i="18" s="1"/>
  <c r="D199" i="18" s="1"/>
  <c r="C138" i="18"/>
  <c r="D138" i="18" s="1"/>
  <c r="C35" i="18"/>
  <c r="D35" i="18" s="1"/>
  <c r="G54" i="5"/>
  <c r="C314" i="18" s="1"/>
  <c r="D314" i="18" s="1"/>
  <c r="C29" i="18"/>
  <c r="D29" i="18" s="1"/>
  <c r="C34" i="18"/>
  <c r="D34" i="18" s="1"/>
  <c r="C48" i="18"/>
  <c r="D48" i="18" s="1"/>
  <c r="C301" i="18"/>
  <c r="D301" i="18" s="1"/>
  <c r="C54" i="18"/>
  <c r="D54" i="18" s="1"/>
  <c r="C587" i="18"/>
  <c r="D587" i="18" s="1"/>
  <c r="C523" i="2"/>
  <c r="G83" i="5" s="1"/>
  <c r="C32" i="18"/>
  <c r="D32" i="18" s="1"/>
  <c r="C284" i="2"/>
  <c r="G365" i="5"/>
  <c r="G192" i="5"/>
  <c r="C1146" i="18" s="1"/>
  <c r="D1146" i="18" s="1"/>
  <c r="G113" i="5"/>
  <c r="C671" i="18" s="1"/>
  <c r="D671" i="18" s="1"/>
  <c r="G426" i="5"/>
  <c r="C2548" i="18" s="1"/>
  <c r="D2548" i="18" s="1"/>
  <c r="G445" i="5"/>
  <c r="C2663" i="18" s="1"/>
  <c r="D2663" i="18" s="1"/>
  <c r="G379" i="5"/>
  <c r="C2264" i="18" s="1"/>
  <c r="D2264" i="18" s="1"/>
  <c r="G468" i="5"/>
  <c r="C2801" i="18" s="1"/>
  <c r="D2801" i="18" s="1"/>
  <c r="G423" i="5"/>
  <c r="C2533" i="18" s="1"/>
  <c r="D2533" i="18" s="1"/>
  <c r="G527" i="5"/>
  <c r="C3153" i="18" s="1"/>
  <c r="D3153" i="18" s="1"/>
  <c r="G139" i="5"/>
  <c r="C826" i="18" s="1"/>
  <c r="D826" i="18" s="1"/>
  <c r="G648" i="5"/>
  <c r="C3882" i="18" s="1"/>
  <c r="D3882" i="18" s="1"/>
  <c r="G307" i="5"/>
  <c r="C1835" i="18" s="1"/>
  <c r="D1835" i="18" s="1"/>
  <c r="G226" i="5"/>
  <c r="C1350" i="18" s="1"/>
  <c r="D1350" i="18" s="1"/>
  <c r="G181" i="5"/>
  <c r="C1076" i="18" s="1"/>
  <c r="D1076" i="18" s="1"/>
  <c r="G178" i="5"/>
  <c r="C1062" i="18" s="1"/>
  <c r="D1062" i="18" s="1"/>
  <c r="G438" i="5"/>
  <c r="C2622" i="18" s="1"/>
  <c r="D2622" i="18" s="1"/>
  <c r="G310" i="5"/>
  <c r="C1850" i="18" s="1"/>
  <c r="D1850" i="18" s="1"/>
  <c r="G485" i="5"/>
  <c r="C2903" i="18" s="1"/>
  <c r="D2903" i="18" s="1"/>
  <c r="G439" i="5"/>
  <c r="C2625" i="18" s="1"/>
  <c r="D2625" i="18" s="1"/>
  <c r="C322" i="18"/>
  <c r="D322" i="18" s="1"/>
  <c r="C325" i="18"/>
  <c r="D325" i="18" s="1"/>
  <c r="C324" i="18"/>
  <c r="D324" i="18" s="1"/>
  <c r="C323" i="18"/>
  <c r="D323" i="18" s="1"/>
  <c r="C321" i="18"/>
  <c r="D321" i="18" s="1"/>
  <c r="G412" i="5"/>
  <c r="C2463" i="18" s="1"/>
  <c r="D2463" i="18" s="1"/>
  <c r="G112" i="5"/>
  <c r="C666" i="18" s="1"/>
  <c r="D666" i="18" s="1"/>
  <c r="G489" i="5"/>
  <c r="C2929" i="18" s="1"/>
  <c r="D2929" i="18" s="1"/>
  <c r="G170" i="5"/>
  <c r="C1015" i="18" s="1"/>
  <c r="D1015" i="18" s="1"/>
  <c r="G515" i="5"/>
  <c r="C3085" i="18" s="1"/>
  <c r="D3085" i="18" s="1"/>
  <c r="G114" i="5"/>
  <c r="C675" i="18" s="1"/>
  <c r="D675" i="18" s="1"/>
  <c r="G448" i="5"/>
  <c r="C2683" i="18" s="1"/>
  <c r="D2683" i="18" s="1"/>
  <c r="G240" i="5"/>
  <c r="C1430" i="18" s="1"/>
  <c r="D1430" i="18" s="1"/>
  <c r="G104" i="5"/>
  <c r="C615" i="18" s="1"/>
  <c r="D615" i="18" s="1"/>
  <c r="G202" i="5"/>
  <c r="C1204" i="18" s="1"/>
  <c r="D1204" i="18" s="1"/>
  <c r="G651" i="5"/>
  <c r="C3897" i="18" s="1"/>
  <c r="D3897" i="18" s="1"/>
  <c r="G261" i="5"/>
  <c r="C1560" i="18" s="1"/>
  <c r="D1560" i="18" s="1"/>
  <c r="C44" i="2"/>
  <c r="G72" i="5" s="1"/>
  <c r="G637" i="5"/>
  <c r="C3817" i="18" s="1"/>
  <c r="D3817" i="18" s="1"/>
  <c r="C538" i="18"/>
  <c r="D538" i="18" s="1"/>
  <c r="G675" i="5"/>
  <c r="C4042" i="18" s="1"/>
  <c r="D4042" i="18" s="1"/>
  <c r="C666" i="2"/>
  <c r="G68" i="5" s="1"/>
  <c r="G531" i="5"/>
  <c r="C3177" i="18" s="1"/>
  <c r="D3177" i="18" s="1"/>
  <c r="G227" i="5"/>
  <c r="C1356" i="18" s="1"/>
  <c r="D1356" i="18" s="1"/>
  <c r="G276" i="5"/>
  <c r="G498" i="5"/>
  <c r="C2980" i="18" s="1"/>
  <c r="D2980" i="18" s="1"/>
  <c r="G357" i="5"/>
  <c r="C2137" i="18" s="1"/>
  <c r="D2137" i="18" s="1"/>
  <c r="G547" i="5"/>
  <c r="C3273" i="18" s="1"/>
  <c r="D3273" i="18" s="1"/>
  <c r="G244" i="5"/>
  <c r="C1454" i="18" s="1"/>
  <c r="D1454" i="18" s="1"/>
  <c r="G186" i="5"/>
  <c r="C1109" i="18" s="1"/>
  <c r="D1109" i="18" s="1"/>
  <c r="G175" i="5"/>
  <c r="C1042" i="18" s="1"/>
  <c r="D1042" i="18" s="1"/>
  <c r="G118" i="5"/>
  <c r="C698" i="18" s="1"/>
  <c r="D698" i="18" s="1"/>
  <c r="G388" i="5"/>
  <c r="C2319" i="18" s="1"/>
  <c r="D2319" i="18" s="1"/>
  <c r="G293" i="5"/>
  <c r="C1752" i="18" s="1"/>
  <c r="D1752" i="18" s="1"/>
  <c r="G376" i="5"/>
  <c r="C2246" i="18" s="1"/>
  <c r="D2246" i="18" s="1"/>
  <c r="G461" i="5"/>
  <c r="C2758" i="18" s="1"/>
  <c r="D2758" i="18" s="1"/>
  <c r="G700" i="5"/>
  <c r="C4195" i="18" s="1"/>
  <c r="D4195" i="18" s="1"/>
  <c r="G434" i="5"/>
  <c r="C2596" i="18" s="1"/>
  <c r="D2596" i="18" s="1"/>
  <c r="C588" i="18"/>
  <c r="D588" i="18" s="1"/>
  <c r="C585" i="18"/>
  <c r="D585" i="18" s="1"/>
  <c r="C589" i="18"/>
  <c r="D589" i="18" s="1"/>
  <c r="C586" i="18"/>
  <c r="D586" i="18" s="1"/>
  <c r="G322" i="5"/>
  <c r="C1927" i="18" s="1"/>
  <c r="D1927" i="18" s="1"/>
  <c r="C817" i="18"/>
  <c r="D817" i="18" s="1"/>
  <c r="C816" i="18"/>
  <c r="D816" i="18" s="1"/>
  <c r="C813" i="18"/>
  <c r="D813" i="18" s="1"/>
  <c r="C815" i="18"/>
  <c r="D815" i="18" s="1"/>
  <c r="C814" i="18"/>
  <c r="D814" i="18" s="1"/>
  <c r="G254" i="5"/>
  <c r="C1516" i="18" s="1"/>
  <c r="D1516" i="18" s="1"/>
  <c r="G131" i="5"/>
  <c r="C778" i="18" s="1"/>
  <c r="D778" i="18" s="1"/>
  <c r="G389" i="5"/>
  <c r="C2327" i="18" s="1"/>
  <c r="D2327" i="18" s="1"/>
  <c r="C200" i="18"/>
  <c r="D200" i="18" s="1"/>
  <c r="C229" i="2"/>
  <c r="G663" i="5" s="1"/>
  <c r="C3971" i="18" s="1"/>
  <c r="D3971" i="18" s="1"/>
  <c r="G64" i="5"/>
  <c r="C377" i="18" s="1"/>
  <c r="D377" i="18" s="1"/>
  <c r="C33" i="18"/>
  <c r="D33" i="18" s="1"/>
  <c r="C12" i="18"/>
  <c r="D12" i="18" s="1"/>
  <c r="G149" i="5"/>
  <c r="C886" i="18" s="1"/>
  <c r="D886" i="18" s="1"/>
  <c r="G282" i="5"/>
  <c r="C1683" i="18" s="1"/>
  <c r="D1683" i="18" s="1"/>
  <c r="G428" i="5"/>
  <c r="C2560" i="18" s="1"/>
  <c r="D2560" i="18" s="1"/>
  <c r="G326" i="5"/>
  <c r="C1950" i="18" s="1"/>
  <c r="D1950" i="18" s="1"/>
  <c r="G366" i="5"/>
  <c r="C2189" i="18" s="1"/>
  <c r="D2189" i="18" s="1"/>
  <c r="G655" i="5"/>
  <c r="C3921" i="18" s="1"/>
  <c r="D3921" i="18" s="1"/>
  <c r="G420" i="5"/>
  <c r="G390" i="5"/>
  <c r="C2335" i="18" s="1"/>
  <c r="D2335" i="18" s="1"/>
  <c r="G658" i="5"/>
  <c r="C3940" i="18" s="1"/>
  <c r="D3940" i="18" s="1"/>
  <c r="G324" i="5"/>
  <c r="C1938" i="18" s="1"/>
  <c r="D1938" i="18" s="1"/>
  <c r="G165" i="5"/>
  <c r="C983" i="18" s="1"/>
  <c r="D983" i="18" s="1"/>
  <c r="G145" i="5"/>
  <c r="C861" i="18" s="1"/>
  <c r="D861" i="18" s="1"/>
  <c r="G691" i="5"/>
  <c r="C4139" i="18" s="1"/>
  <c r="D4139" i="18" s="1"/>
  <c r="G597" i="5"/>
  <c r="C3573" i="18" s="1"/>
  <c r="D3573" i="18" s="1"/>
  <c r="G183" i="5"/>
  <c r="C1088" i="18" s="1"/>
  <c r="D1088" i="18" s="1"/>
  <c r="G56" i="5"/>
  <c r="C330" i="18" s="1"/>
  <c r="D330" i="18" s="1"/>
  <c r="G358" i="5"/>
  <c r="C2139" i="18" s="1"/>
  <c r="D2139" i="18" s="1"/>
  <c r="G496" i="5"/>
  <c r="G220" i="5"/>
  <c r="C1315" i="18" s="1"/>
  <c r="D1315" i="18" s="1"/>
  <c r="G403" i="5"/>
  <c r="C2410" i="18" s="1"/>
  <c r="D2410" i="18" s="1"/>
  <c r="G405" i="5"/>
  <c r="C2422" i="18" s="1"/>
  <c r="D2422" i="18" s="1"/>
  <c r="G463" i="5"/>
  <c r="C2771" i="18" s="1"/>
  <c r="D2771" i="18" s="1"/>
  <c r="G150" i="5"/>
  <c r="C893" i="18" s="1"/>
  <c r="D893" i="18" s="1"/>
  <c r="G419" i="5"/>
  <c r="C2505" i="18" s="1"/>
  <c r="D2505" i="18" s="1"/>
  <c r="G284" i="5"/>
  <c r="C1696" i="18" s="1"/>
  <c r="D1696" i="18" s="1"/>
  <c r="G491" i="5"/>
  <c r="C2937" i="18" s="1"/>
  <c r="D2937" i="18" s="1"/>
  <c r="G211" i="5"/>
  <c r="C1256" i="18" s="1"/>
  <c r="D1256" i="18" s="1"/>
  <c r="G216" i="5"/>
  <c r="C1289" i="18" s="1"/>
  <c r="D1289" i="18" s="1"/>
  <c r="C579" i="18"/>
  <c r="D579" i="18" s="1"/>
  <c r="C583" i="18"/>
  <c r="D583" i="18" s="1"/>
  <c r="C580" i="18"/>
  <c r="D580" i="18" s="1"/>
  <c r="C581" i="18"/>
  <c r="D581" i="18" s="1"/>
  <c r="C578" i="18"/>
  <c r="D578" i="18" s="1"/>
  <c r="G510" i="5"/>
  <c r="C3054" i="18" s="1"/>
  <c r="D3054" i="18" s="1"/>
  <c r="G333" i="5"/>
  <c r="G662" i="5"/>
  <c r="G217" i="5"/>
  <c r="G248" i="5"/>
  <c r="C1481" i="18" s="1"/>
  <c r="D1481" i="18" s="1"/>
  <c r="G644" i="5"/>
  <c r="G179" i="5"/>
  <c r="C1064" i="18" s="1"/>
  <c r="D1064" i="18" s="1"/>
  <c r="G296" i="5"/>
  <c r="C1768" i="18" s="1"/>
  <c r="D1768" i="18" s="1"/>
  <c r="G93" i="5"/>
  <c r="C549" i="18" s="1"/>
  <c r="D549" i="18" s="1"/>
  <c r="G267" i="5"/>
  <c r="C1594" i="18" s="1"/>
  <c r="D1594" i="18" s="1"/>
  <c r="G164" i="5"/>
  <c r="C976" i="18" s="1"/>
  <c r="D976" i="18" s="1"/>
  <c r="C395" i="2"/>
  <c r="G88" i="5" s="1"/>
  <c r="G665" i="5"/>
  <c r="C3984" i="18" s="1"/>
  <c r="D3984" i="18" s="1"/>
  <c r="G297" i="5"/>
  <c r="G578" i="5"/>
  <c r="C298" i="18"/>
  <c r="D298" i="18" s="1"/>
  <c r="C299" i="18"/>
  <c r="D299" i="18" s="1"/>
  <c r="C297" i="18"/>
  <c r="D297" i="18" s="1"/>
  <c r="C296" i="18"/>
  <c r="D296" i="18" s="1"/>
  <c r="G386" i="5"/>
  <c r="C2306" i="18" s="1"/>
  <c r="D2306" i="18" s="1"/>
  <c r="G680" i="5"/>
  <c r="C4074" i="18" s="1"/>
  <c r="D4074" i="18" s="1"/>
  <c r="G279" i="5"/>
  <c r="C1669" i="18" s="1"/>
  <c r="D1669" i="18" s="1"/>
  <c r="G146" i="5"/>
  <c r="C869" i="18" s="1"/>
  <c r="D869" i="18" s="1"/>
  <c r="G537" i="5"/>
  <c r="C3212" i="18" s="1"/>
  <c r="D3212" i="18" s="1"/>
  <c r="G492" i="5"/>
  <c r="C2946" i="18" s="1"/>
  <c r="D2946" i="18" s="1"/>
  <c r="G371" i="5"/>
  <c r="C2216" i="18" s="1"/>
  <c r="D2216" i="18" s="1"/>
  <c r="G460" i="5"/>
  <c r="C2751" i="18" s="1"/>
  <c r="D2751" i="18" s="1"/>
  <c r="G516" i="5"/>
  <c r="C3089" i="18" s="1"/>
  <c r="D3089" i="18" s="1"/>
  <c r="G263" i="5"/>
  <c r="C1570" i="18" s="1"/>
  <c r="D1570" i="18" s="1"/>
  <c r="G239" i="5"/>
  <c r="C1426" i="18" s="1"/>
  <c r="D1426" i="18" s="1"/>
  <c r="G184" i="5"/>
  <c r="G342" i="5"/>
  <c r="C2046" i="18" s="1"/>
  <c r="D2046" i="18" s="1"/>
  <c r="G102" i="5"/>
  <c r="C605" i="18" s="1"/>
  <c r="D605" i="18" s="1"/>
  <c r="G257" i="5"/>
  <c r="C1532" i="18" s="1"/>
  <c r="D1532" i="18" s="1"/>
  <c r="G557" i="5"/>
  <c r="C3332" i="18" s="1"/>
  <c r="D3332" i="18" s="1"/>
  <c r="G606" i="5"/>
  <c r="C3628" i="18" s="1"/>
  <c r="D3628" i="18" s="1"/>
  <c r="G224" i="5"/>
  <c r="G605" i="5"/>
  <c r="C3623" i="18" s="1"/>
  <c r="D3623" i="18" s="1"/>
  <c r="G559" i="5"/>
  <c r="C3346" i="18" s="1"/>
  <c r="D3346" i="18" s="1"/>
  <c r="G110" i="5"/>
  <c r="G555" i="5"/>
  <c r="C3320" i="18" s="1"/>
  <c r="D3320" i="18" s="1"/>
  <c r="C500" i="18"/>
  <c r="D500" i="18" s="1"/>
  <c r="C504" i="18"/>
  <c r="D504" i="18" s="1"/>
  <c r="C505" i="18"/>
  <c r="D505" i="18" s="1"/>
  <c r="C502" i="18"/>
  <c r="D502" i="18" s="1"/>
  <c r="C501" i="18"/>
  <c r="D501" i="18" s="1"/>
  <c r="G353" i="5"/>
  <c r="G367" i="5"/>
  <c r="C2192" i="18" s="1"/>
  <c r="D2192" i="18" s="1"/>
  <c r="G524" i="5"/>
  <c r="G204" i="5"/>
  <c r="C1216" i="18" s="1"/>
  <c r="D1216" i="18" s="1"/>
  <c r="C250" i="2"/>
  <c r="G84" i="5"/>
  <c r="C496" i="18" s="1"/>
  <c r="D496" i="18" s="1"/>
  <c r="G417" i="5"/>
  <c r="C2493" i="18" s="1"/>
  <c r="D2493" i="18" s="1"/>
  <c r="G225" i="5"/>
  <c r="C1345" i="18" s="1"/>
  <c r="D1345" i="18" s="1"/>
  <c r="G608" i="5"/>
  <c r="C3638" i="18" s="1"/>
  <c r="D3638" i="18" s="1"/>
  <c r="G544" i="5"/>
  <c r="C3257" i="18" s="1"/>
  <c r="D3257" i="18" s="1"/>
  <c r="G352" i="5"/>
  <c r="G288" i="5"/>
  <c r="C1720" i="18" s="1"/>
  <c r="D1720" i="18" s="1"/>
  <c r="C567" i="18"/>
  <c r="D567" i="18" s="1"/>
  <c r="C571" i="18"/>
  <c r="D571" i="18" s="1"/>
  <c r="C566" i="18"/>
  <c r="D566" i="18" s="1"/>
  <c r="C569" i="18"/>
  <c r="D569" i="18" s="1"/>
  <c r="C568" i="18"/>
  <c r="D568" i="18" s="1"/>
  <c r="G495" i="5"/>
  <c r="C2962" i="18" s="1"/>
  <c r="D2962" i="18" s="1"/>
  <c r="G431" i="5"/>
  <c r="C2581" i="18" s="1"/>
  <c r="D2581" i="18" s="1"/>
  <c r="G303" i="5"/>
  <c r="C1809" i="18" s="1"/>
  <c r="D1809" i="18" s="1"/>
  <c r="G558" i="5"/>
  <c r="C3339" i="18" s="1"/>
  <c r="D3339" i="18" s="1"/>
  <c r="G302" i="5"/>
  <c r="C1807" i="18" s="1"/>
  <c r="D1807" i="18" s="1"/>
  <c r="G238" i="5"/>
  <c r="C1420" i="18" s="1"/>
  <c r="D1420" i="18" s="1"/>
  <c r="G533" i="5"/>
  <c r="C3190" i="18" s="1"/>
  <c r="D3190" i="18" s="1"/>
  <c r="G341" i="5"/>
  <c r="C2039" i="18" s="1"/>
  <c r="D2039" i="18" s="1"/>
  <c r="G213" i="5"/>
  <c r="C1272" i="18" s="1"/>
  <c r="D1272" i="18" s="1"/>
  <c r="G588" i="5"/>
  <c r="G332" i="5"/>
  <c r="G268" i="5"/>
  <c r="C1599" i="18" s="1"/>
  <c r="D1599" i="18" s="1"/>
  <c r="G140" i="5"/>
  <c r="C833" i="18" s="1"/>
  <c r="D833" i="18" s="1"/>
  <c r="G161" i="5"/>
  <c r="C960" i="18" s="1"/>
  <c r="D960" i="18" s="1"/>
  <c r="G416" i="5"/>
  <c r="C2489" i="18" s="1"/>
  <c r="D2489" i="18" s="1"/>
  <c r="G411" i="5"/>
  <c r="C2461" i="18" s="1"/>
  <c r="D2461" i="18" s="1"/>
  <c r="G349" i="5"/>
  <c r="C2084" i="18" s="1"/>
  <c r="D2084" i="18" s="1"/>
  <c r="G696" i="5"/>
  <c r="C4170" i="18" s="1"/>
  <c r="D4170" i="18" s="1"/>
  <c r="G346" i="5"/>
  <c r="C2071" i="18" s="1"/>
  <c r="D2071" i="18" s="1"/>
  <c r="G473" i="5"/>
  <c r="G615" i="5"/>
  <c r="C3684" i="18" s="1"/>
  <c r="D3684" i="18" s="1"/>
  <c r="G611" i="5"/>
  <c r="C3657" i="18" s="1"/>
  <c r="D3657" i="18" s="1"/>
  <c r="G563" i="5"/>
  <c r="C3369" i="18" s="1"/>
  <c r="D3369" i="18" s="1"/>
  <c r="G210" i="5"/>
  <c r="G157" i="5"/>
  <c r="C936" i="18" s="1"/>
  <c r="D936" i="18" s="1"/>
  <c r="G359" i="5"/>
  <c r="C2146" i="18" s="1"/>
  <c r="D2146" i="18" s="1"/>
  <c r="G196" i="5"/>
  <c r="C1166" i="18" s="1"/>
  <c r="D1166" i="18" s="1"/>
  <c r="G243" i="5"/>
  <c r="C1449" i="18" s="1"/>
  <c r="D1449" i="18" s="1"/>
  <c r="G214" i="5"/>
  <c r="C1278" i="18" s="1"/>
  <c r="D1278" i="18" s="1"/>
  <c r="G315" i="5"/>
  <c r="C1880" i="18" s="1"/>
  <c r="D1880" i="18" s="1"/>
  <c r="G251" i="5"/>
  <c r="C1498" i="18" s="1"/>
  <c r="D1498" i="18" s="1"/>
  <c r="G568" i="5"/>
  <c r="C3402" i="18" s="1"/>
  <c r="D3402" i="18" s="1"/>
  <c r="G394" i="5"/>
  <c r="C2355" i="18" s="1"/>
  <c r="D2355" i="18" s="1"/>
  <c r="G266" i="5"/>
  <c r="C1586" i="18" s="1"/>
  <c r="D1586" i="18" s="1"/>
  <c r="G519" i="5"/>
  <c r="C3109" i="18" s="1"/>
  <c r="D3109" i="18" s="1"/>
  <c r="G414" i="5"/>
  <c r="C2477" i="18" s="1"/>
  <c r="D2477" i="18" s="1"/>
  <c r="G350" i="5"/>
  <c r="C2091" i="18" s="1"/>
  <c r="D2091" i="18" s="1"/>
  <c r="G158" i="5"/>
  <c r="C938" i="18" s="1"/>
  <c r="D938" i="18" s="1"/>
  <c r="G539" i="5"/>
  <c r="C3225" i="18" s="1"/>
  <c r="D3225" i="18" s="1"/>
  <c r="G475" i="5"/>
  <c r="C2841" i="18" s="1"/>
  <c r="D2841" i="18" s="1"/>
  <c r="G347" i="5"/>
  <c r="C2076" i="18" s="1"/>
  <c r="D2076" i="18" s="1"/>
  <c r="G283" i="5"/>
  <c r="C1692" i="18" s="1"/>
  <c r="D1692" i="18" s="1"/>
  <c r="G155" i="5"/>
  <c r="C923" i="18" s="1"/>
  <c r="D923" i="18" s="1"/>
  <c r="G413" i="5"/>
  <c r="C2471" i="18" s="1"/>
  <c r="D2471" i="18" s="1"/>
  <c r="G285" i="5"/>
  <c r="C1705" i="18" s="1"/>
  <c r="D1705" i="18" s="1"/>
  <c r="G221" i="5"/>
  <c r="C1321" i="18" s="1"/>
  <c r="D1321" i="18" s="1"/>
  <c r="G674" i="5"/>
  <c r="C4036" i="18" s="1"/>
  <c r="D4036" i="18" s="1"/>
  <c r="G601" i="5"/>
  <c r="C3597" i="18" s="1"/>
  <c r="D3597" i="18" s="1"/>
  <c r="G345" i="5"/>
  <c r="C2064" i="18" s="1"/>
  <c r="D2064" i="18" s="1"/>
  <c r="G281" i="5"/>
  <c r="C1680" i="18" s="1"/>
  <c r="D1680" i="18" s="1"/>
  <c r="G598" i="5"/>
  <c r="G408" i="5"/>
  <c r="C2439" i="18" s="1"/>
  <c r="D2439" i="18" s="1"/>
  <c r="G612" i="5"/>
  <c r="C3664" i="18" s="1"/>
  <c r="D3664" i="18" s="1"/>
  <c r="G294" i="5"/>
  <c r="C1759" i="18" s="1"/>
  <c r="D1759" i="18" s="1"/>
  <c r="G525" i="5"/>
  <c r="C3142" i="18" s="1"/>
  <c r="D3142" i="18" s="1"/>
  <c r="G269" i="5"/>
  <c r="C1608" i="18" s="1"/>
  <c r="D1608" i="18" s="1"/>
  <c r="G260" i="5"/>
  <c r="C1553" i="18" s="1"/>
  <c r="D1553" i="18" s="1"/>
  <c r="C640" i="2"/>
  <c r="G76" i="5"/>
  <c r="G499" i="5"/>
  <c r="C2988" i="18" s="1"/>
  <c r="D2988" i="18" s="1"/>
  <c r="G115" i="5"/>
  <c r="C682" i="18" s="1"/>
  <c r="D682" i="18" s="1"/>
  <c r="G560" i="5"/>
  <c r="C3352" i="18" s="1"/>
  <c r="D3352" i="18" s="1"/>
  <c r="G194" i="5"/>
  <c r="C1159" i="18" s="1"/>
  <c r="D1159" i="18" s="1"/>
  <c r="G575" i="5"/>
  <c r="C3442" i="18" s="1"/>
  <c r="D3442" i="18" s="1"/>
  <c r="G470" i="5"/>
  <c r="C2815" i="18" s="1"/>
  <c r="D2815" i="18" s="1"/>
  <c r="C95" i="2"/>
  <c r="G595" i="5"/>
  <c r="C3563" i="18" s="1"/>
  <c r="D3563" i="18" s="1"/>
  <c r="G402" i="5"/>
  <c r="C2407" i="18" s="1"/>
  <c r="D2407" i="18" s="1"/>
  <c r="G338" i="5"/>
  <c r="C2022" i="18" s="1"/>
  <c r="D2022" i="18" s="1"/>
  <c r="G686" i="5"/>
  <c r="C4111" i="18" s="1"/>
  <c r="D4111" i="18" s="1"/>
  <c r="G337" i="5"/>
  <c r="C2012" i="18" s="1"/>
  <c r="D2012" i="18" s="1"/>
  <c r="G378" i="5"/>
  <c r="C2263" i="18" s="1"/>
  <c r="D2263" i="18" s="1"/>
  <c r="C408" i="2"/>
  <c r="G32" i="5" s="1"/>
  <c r="G272" i="5"/>
  <c r="C1626" i="18" s="1"/>
  <c r="D1626" i="18" s="1"/>
  <c r="G479" i="5"/>
  <c r="G596" i="5"/>
  <c r="G573" i="5"/>
  <c r="C3429" i="18" s="1"/>
  <c r="D3429" i="18" s="1"/>
  <c r="G529" i="5"/>
  <c r="C3165" i="18" s="1"/>
  <c r="D3165" i="18" s="1"/>
  <c r="G465" i="5"/>
  <c r="C234" i="2"/>
  <c r="G80" i="5"/>
  <c r="C471" i="18" s="1"/>
  <c r="D471" i="18" s="1"/>
  <c r="G188" i="5"/>
  <c r="C1122" i="18" s="1"/>
  <c r="D1122" i="18" s="1"/>
  <c r="G641" i="5"/>
  <c r="C3836" i="18" s="1"/>
  <c r="D3836" i="18" s="1"/>
  <c r="G122" i="5"/>
  <c r="C726" i="18" s="1"/>
  <c r="D726" i="18" s="1"/>
  <c r="G526" i="5"/>
  <c r="C3147" i="18" s="1"/>
  <c r="D3147" i="18" s="1"/>
  <c r="G270" i="5"/>
  <c r="C1613" i="18" s="1"/>
  <c r="D1613" i="18" s="1"/>
  <c r="G521" i="5"/>
  <c r="C3119" i="18" s="1"/>
  <c r="D3119" i="18" s="1"/>
  <c r="G201" i="5"/>
  <c r="C1196" i="18" s="1"/>
  <c r="D1196" i="18" s="1"/>
  <c r="G456" i="5"/>
  <c r="C2728" i="18" s="1"/>
  <c r="D2728" i="18" s="1"/>
  <c r="G317" i="5"/>
  <c r="C1892" i="18" s="1"/>
  <c r="D1892" i="18" s="1"/>
  <c r="G372" i="5"/>
  <c r="C2223" i="18" s="1"/>
  <c r="D2223" i="18" s="1"/>
  <c r="G273" i="5"/>
  <c r="C1630" i="18" s="1"/>
  <c r="D1630" i="18" s="1"/>
  <c r="G528" i="5"/>
  <c r="C3160" i="18" s="1"/>
  <c r="D3160" i="18" s="1"/>
  <c r="G464" i="5"/>
  <c r="C2779" i="18" s="1"/>
  <c r="D2779" i="18" s="1"/>
  <c r="G336" i="5"/>
  <c r="C2011" i="18" s="1"/>
  <c r="D2011" i="18" s="1"/>
  <c r="G543" i="5"/>
  <c r="C3250" i="18" s="1"/>
  <c r="D3250" i="18" s="1"/>
  <c r="G223" i="5"/>
  <c r="C1333" i="18" s="1"/>
  <c r="D1333" i="18" s="1"/>
  <c r="G517" i="5"/>
  <c r="C3094" i="18" s="1"/>
  <c r="D3094" i="18" s="1"/>
  <c r="G453" i="5"/>
  <c r="C2710" i="18" s="1"/>
  <c r="D2710" i="18" s="1"/>
  <c r="G642" i="5"/>
  <c r="C3843" i="18" s="1"/>
  <c r="D3843" i="18" s="1"/>
  <c r="G572" i="5"/>
  <c r="C3424" i="18" s="1"/>
  <c r="D3424" i="18" s="1"/>
  <c r="G508" i="5"/>
  <c r="C3039" i="18" s="1"/>
  <c r="D3039" i="18" s="1"/>
  <c r="G444" i="5"/>
  <c r="C2657" i="18" s="1"/>
  <c r="D2657" i="18" s="1"/>
  <c r="G427" i="5"/>
  <c r="C2555" i="18" s="1"/>
  <c r="D2555" i="18" s="1"/>
  <c r="G363" i="5"/>
  <c r="C2170" i="18" s="1"/>
  <c r="D2170" i="18" s="1"/>
  <c r="G299" i="5"/>
  <c r="C1786" i="18" s="1"/>
  <c r="D1786" i="18" s="1"/>
  <c r="G171" i="5"/>
  <c r="C1018" i="18" s="1"/>
  <c r="D1018" i="18" s="1"/>
  <c r="G506" i="5"/>
  <c r="C3028" i="18" s="1"/>
  <c r="D3028" i="18" s="1"/>
  <c r="G314" i="5"/>
  <c r="C1874" i="18" s="1"/>
  <c r="D1874" i="18" s="1"/>
  <c r="G250" i="5"/>
  <c r="C1491" i="18" s="1"/>
  <c r="D1491" i="18" s="1"/>
  <c r="G334" i="5"/>
  <c r="C1997" i="18" s="1"/>
  <c r="D1997" i="18" s="1"/>
  <c r="G206" i="5"/>
  <c r="C1228" i="18" s="1"/>
  <c r="D1228" i="18" s="1"/>
  <c r="G523" i="5"/>
  <c r="C3130" i="18" s="1"/>
  <c r="D3130" i="18" s="1"/>
  <c r="C318" i="18"/>
  <c r="D318" i="18" s="1"/>
  <c r="C316" i="18"/>
  <c r="D316" i="18" s="1"/>
  <c r="C315" i="18"/>
  <c r="D315" i="18" s="1"/>
  <c r="C317" i="18"/>
  <c r="D317" i="18" s="1"/>
  <c r="C319" i="18"/>
  <c r="D319" i="18" s="1"/>
  <c r="G585" i="5"/>
  <c r="C3502" i="18" s="1"/>
  <c r="D3502" i="18" s="1"/>
  <c r="G329" i="5"/>
  <c r="C1967" i="18" s="1"/>
  <c r="D1967" i="18" s="1"/>
  <c r="C430" i="18"/>
  <c r="D430" i="18" s="1"/>
  <c r="C433" i="18"/>
  <c r="D433" i="18" s="1"/>
  <c r="C432" i="18"/>
  <c r="D432" i="18" s="1"/>
  <c r="C431" i="18"/>
  <c r="D431" i="18" s="1"/>
  <c r="C428" i="18"/>
  <c r="D428" i="18" s="1"/>
  <c r="G584" i="5"/>
  <c r="C3499" i="18" s="1"/>
  <c r="D3499" i="18" s="1"/>
  <c r="G520" i="5"/>
  <c r="C3114" i="18" s="1"/>
  <c r="D3114" i="18" s="1"/>
  <c r="G264" i="5"/>
  <c r="C1578" i="18" s="1"/>
  <c r="D1578" i="18" s="1"/>
  <c r="C1194" i="18"/>
  <c r="D1194" i="18" s="1"/>
  <c r="C1195" i="18"/>
  <c r="D1195" i="18" s="1"/>
  <c r="C1192" i="18"/>
  <c r="D1192" i="18" s="1"/>
  <c r="C1191" i="18"/>
  <c r="D1191" i="18" s="1"/>
  <c r="C1193" i="18"/>
  <c r="D1193" i="18" s="1"/>
  <c r="G471" i="5"/>
  <c r="C2821" i="18" s="1"/>
  <c r="D2821" i="18" s="1"/>
  <c r="G151" i="5"/>
  <c r="C901" i="18" s="1"/>
  <c r="D901" i="18" s="1"/>
  <c r="G692" i="5"/>
  <c r="C4143" i="18" s="1"/>
  <c r="D4143" i="18" s="1"/>
  <c r="G564" i="5"/>
  <c r="C3374" i="18" s="1"/>
  <c r="D3374" i="18" s="1"/>
  <c r="G436" i="5"/>
  <c r="C2608" i="18" s="1"/>
  <c r="D2608" i="18" s="1"/>
  <c r="G308" i="5"/>
  <c r="C1840" i="18" s="1"/>
  <c r="D1840" i="18" s="1"/>
  <c r="G422" i="5"/>
  <c r="C2525" i="18" s="1"/>
  <c r="D2525" i="18" s="1"/>
  <c r="G295" i="5"/>
  <c r="G101" i="5"/>
  <c r="C597" i="18" s="1"/>
  <c r="D597" i="18" s="1"/>
  <c r="G174" i="5"/>
  <c r="C1035" i="18" s="1"/>
  <c r="D1035" i="18" s="1"/>
  <c r="G477" i="5"/>
  <c r="C2857" i="18" s="1"/>
  <c r="D2857" i="18" s="1"/>
  <c r="G275" i="5"/>
  <c r="C1640" i="18" s="1"/>
  <c r="D1640" i="18" s="1"/>
  <c r="G407" i="5"/>
  <c r="C2432" i="18" s="1"/>
  <c r="D2432" i="18" s="1"/>
  <c r="G549" i="5"/>
  <c r="C3285" i="18" s="1"/>
  <c r="D3285" i="18" s="1"/>
  <c r="G397" i="5"/>
  <c r="C2377" i="18" s="1"/>
  <c r="D2377" i="18" s="1"/>
  <c r="C458" i="2"/>
  <c r="G435" i="5"/>
  <c r="C2605" i="18" s="1"/>
  <c r="D2605" i="18" s="1"/>
  <c r="G136" i="5"/>
  <c r="C811" i="18" s="1"/>
  <c r="D811" i="18" s="1"/>
  <c r="G626" i="5"/>
  <c r="C3748" i="18" s="1"/>
  <c r="D3748" i="18" s="1"/>
  <c r="G291" i="5"/>
  <c r="C1737" i="18" s="1"/>
  <c r="D1737" i="18" s="1"/>
  <c r="G454" i="5"/>
  <c r="C2715" i="18" s="1"/>
  <c r="D2715" i="18" s="1"/>
  <c r="G579" i="5"/>
  <c r="C3465" i="18" s="1"/>
  <c r="D3465" i="18" s="1"/>
  <c r="G193" i="5"/>
  <c r="C1151" i="18" s="1"/>
  <c r="D1151" i="18" s="1"/>
  <c r="G501" i="5"/>
  <c r="C3000" i="18" s="1"/>
  <c r="D3000" i="18" s="1"/>
  <c r="C303" i="18"/>
  <c r="D303" i="18" s="1"/>
  <c r="C306" i="18"/>
  <c r="D306" i="18" s="1"/>
  <c r="C302" i="18"/>
  <c r="D302" i="18" s="1"/>
  <c r="C304" i="18"/>
  <c r="D304" i="18" s="1"/>
  <c r="G234" i="5"/>
  <c r="C1395" i="18" s="1"/>
  <c r="D1395" i="18" s="1"/>
  <c r="G391" i="5"/>
  <c r="C2339" i="18" s="1"/>
  <c r="D2339" i="18" s="1"/>
  <c r="G493" i="5"/>
  <c r="C2948" i="18" s="1"/>
  <c r="D2948" i="18" s="1"/>
  <c r="C648" i="18"/>
  <c r="D648" i="18" s="1"/>
  <c r="C644" i="18"/>
  <c r="D644" i="18" s="1"/>
  <c r="C645" i="18"/>
  <c r="D645" i="18" s="1"/>
  <c r="C646" i="18"/>
  <c r="D646" i="18" s="1"/>
  <c r="C647" i="18"/>
  <c r="D647" i="18" s="1"/>
  <c r="G592" i="5"/>
  <c r="C3543" i="18" s="1"/>
  <c r="D3543" i="18" s="1"/>
  <c r="G418" i="5"/>
  <c r="G128" i="5"/>
  <c r="C758" i="18" s="1"/>
  <c r="D758" i="18" s="1"/>
  <c r="G701" i="5"/>
  <c r="C4201" i="18" s="1"/>
  <c r="D4201" i="18" s="1"/>
  <c r="G209" i="5"/>
  <c r="G542" i="5"/>
  <c r="C3244" i="18" s="1"/>
  <c r="D3244" i="18" s="1"/>
  <c r="G177" i="5"/>
  <c r="C1056" i="18" s="1"/>
  <c r="D1056" i="18" s="1"/>
  <c r="G483" i="5"/>
  <c r="C2890" i="18" s="1"/>
  <c r="D2890" i="18" s="1"/>
  <c r="G355" i="5"/>
  <c r="C2125" i="18" s="1"/>
  <c r="D2125" i="18" s="1"/>
  <c r="G370" i="5"/>
  <c r="C2212" i="18" s="1"/>
  <c r="D2212" i="18" s="1"/>
  <c r="G306" i="5"/>
  <c r="C1827" i="18" s="1"/>
  <c r="D1827" i="18" s="1"/>
  <c r="G582" i="5"/>
  <c r="C3484" i="18" s="1"/>
  <c r="D3484" i="18" s="1"/>
  <c r="G262" i="5"/>
  <c r="C1563" i="18" s="1"/>
  <c r="D1563" i="18" s="1"/>
  <c r="G387" i="5"/>
  <c r="C2314" i="18" s="1"/>
  <c r="D2314" i="18" s="1"/>
  <c r="C527" i="2"/>
  <c r="G649" i="5" s="1"/>
  <c r="G62" i="5"/>
  <c r="C366" i="18" s="1"/>
  <c r="D366" i="18" s="1"/>
  <c r="G385" i="5"/>
  <c r="C2303" i="18" s="1"/>
  <c r="D2303" i="18" s="1"/>
  <c r="G321" i="5"/>
  <c r="C42" i="2"/>
  <c r="G384" i="5"/>
  <c r="C2298" i="18" s="1"/>
  <c r="D2298" i="18" s="1"/>
  <c r="G320" i="5"/>
  <c r="C1914" i="18" s="1"/>
  <c r="D1914" i="18" s="1"/>
  <c r="G256" i="5"/>
  <c r="C1531" i="18" s="1"/>
  <c r="D1531" i="18" s="1"/>
  <c r="C375" i="18"/>
  <c r="D375" i="18" s="1"/>
  <c r="C374" i="18"/>
  <c r="D374" i="18" s="1"/>
  <c r="C378" i="18"/>
  <c r="D378" i="18" s="1"/>
  <c r="C379" i="18"/>
  <c r="D379" i="18" s="1"/>
  <c r="C376" i="18"/>
  <c r="D376" i="18" s="1"/>
  <c r="G591" i="5"/>
  <c r="C3538" i="18" s="1"/>
  <c r="D3538" i="18" s="1"/>
  <c r="G399" i="5"/>
  <c r="C2388" i="18" s="1"/>
  <c r="D2388" i="18" s="1"/>
  <c r="G207" i="5"/>
  <c r="C1233" i="18" s="1"/>
  <c r="D1233" i="18" s="1"/>
  <c r="G143" i="5"/>
  <c r="C850" i="18" s="1"/>
  <c r="D850" i="18" s="1"/>
  <c r="C23" i="2"/>
  <c r="G79" i="5" s="1"/>
  <c r="G437" i="5"/>
  <c r="C2615" i="18" s="1"/>
  <c r="D2615" i="18" s="1"/>
  <c r="G309" i="5"/>
  <c r="C1849" i="18" s="1"/>
  <c r="D1849" i="18" s="1"/>
  <c r="C312" i="18"/>
  <c r="D312" i="18" s="1"/>
  <c r="C313" i="18"/>
  <c r="D313" i="18" s="1"/>
  <c r="C310" i="18"/>
  <c r="D310" i="18" s="1"/>
  <c r="C308" i="18"/>
  <c r="D308" i="18" s="1"/>
  <c r="C309" i="18"/>
  <c r="D309" i="18" s="1"/>
  <c r="G300" i="5"/>
  <c r="C1791" i="18" s="1"/>
  <c r="D1791" i="18" s="1"/>
  <c r="G172" i="5"/>
  <c r="C1022" i="18" s="1"/>
  <c r="D1022" i="18" s="1"/>
  <c r="G574" i="5"/>
  <c r="C3437" i="18" s="1"/>
  <c r="D3437" i="18" s="1"/>
  <c r="G318" i="5"/>
  <c r="G190" i="5"/>
  <c r="C1130" i="18" s="1"/>
  <c r="D1130" i="18" s="1"/>
  <c r="G126" i="5"/>
  <c r="C748" i="18" s="1"/>
  <c r="D748" i="18" s="1"/>
  <c r="G185" i="5"/>
  <c r="C1105" i="18" s="1"/>
  <c r="D1105" i="18" s="1"/>
  <c r="G57" i="5"/>
  <c r="C335" i="18" s="1"/>
  <c r="D335" i="18" s="1"/>
  <c r="G327" i="5"/>
  <c r="C1955" i="18" s="1"/>
  <c r="D1955" i="18" s="1"/>
  <c r="G429" i="5"/>
  <c r="G237" i="5"/>
  <c r="C1416" i="18" s="1"/>
  <c r="D1416" i="18" s="1"/>
  <c r="G173" i="5"/>
  <c r="C1032" i="18" s="1"/>
  <c r="D1032" i="18" s="1"/>
  <c r="G356" i="5"/>
  <c r="C2128" i="18" s="1"/>
  <c r="D2128" i="18" s="1"/>
  <c r="G364" i="5"/>
  <c r="C2178" i="18" s="1"/>
  <c r="D2178" i="18" s="1"/>
  <c r="G546" i="5"/>
  <c r="C3270" i="18" s="1"/>
  <c r="D3270" i="18" s="1"/>
  <c r="G482" i="5"/>
  <c r="C2882" i="18" s="1"/>
  <c r="D2882" i="18" s="1"/>
  <c r="G162" i="5"/>
  <c r="C964" i="18" s="1"/>
  <c r="D964" i="18" s="1"/>
  <c r="G433" i="5"/>
  <c r="C2592" i="18" s="1"/>
  <c r="D2592" i="18" s="1"/>
  <c r="G369" i="5"/>
  <c r="C2207" i="18" s="1"/>
  <c r="D2207" i="18" s="1"/>
  <c r="G241" i="5"/>
  <c r="C1437" i="18" s="1"/>
  <c r="D1437" i="18" s="1"/>
  <c r="G319" i="5"/>
  <c r="C1904" i="18" s="1"/>
  <c r="D1904" i="18" s="1"/>
  <c r="G127" i="5"/>
  <c r="C752" i="18" s="1"/>
  <c r="D752" i="18" s="1"/>
  <c r="G509" i="5"/>
  <c r="C3047" i="18" s="1"/>
  <c r="D3047" i="18" s="1"/>
  <c r="G382" i="5"/>
  <c r="C2287" i="18" s="1"/>
  <c r="D2287" i="18" s="1"/>
  <c r="G330" i="5"/>
  <c r="C1971" i="18" s="1"/>
  <c r="D1971" i="18" s="1"/>
  <c r="G344" i="5"/>
  <c r="C2057" i="18" s="1"/>
  <c r="D2057" i="18" s="1"/>
  <c r="C487" i="18"/>
  <c r="D487" i="18" s="1"/>
  <c r="C485" i="18"/>
  <c r="D485" i="18" s="1"/>
  <c r="C486" i="18"/>
  <c r="D486" i="18" s="1"/>
  <c r="C482" i="18"/>
  <c r="D482" i="18" s="1"/>
  <c r="G393" i="5"/>
  <c r="C2352" i="18" s="1"/>
  <c r="D2352" i="18" s="1"/>
  <c r="G123" i="5"/>
  <c r="G230" i="5"/>
  <c r="G305" i="5"/>
  <c r="G392" i="5"/>
  <c r="G215" i="5"/>
  <c r="G343" i="5"/>
  <c r="G125" i="5"/>
  <c r="C66" i="2"/>
  <c r="G571" i="5" s="1"/>
  <c r="C574" i="2"/>
  <c r="G685" i="5" s="1"/>
  <c r="C167" i="2"/>
  <c r="G676" i="5" s="1"/>
  <c r="C527" i="18"/>
  <c r="D527" i="18" s="1"/>
  <c r="C526" i="18"/>
  <c r="D526" i="18" s="1"/>
  <c r="C528" i="18"/>
  <c r="D528" i="18" s="1"/>
  <c r="C524" i="18"/>
  <c r="D524" i="18" s="1"/>
  <c r="C525" i="18"/>
  <c r="D525" i="18" s="1"/>
  <c r="G375" i="5"/>
  <c r="C2242" i="18" s="1"/>
  <c r="D2242" i="18" s="1"/>
  <c r="G504" i="5"/>
  <c r="C3018" i="18" s="1"/>
  <c r="D3018" i="18" s="1"/>
  <c r="G287" i="5"/>
  <c r="C1717" i="18" s="1"/>
  <c r="D1717" i="18" s="1"/>
  <c r="C614" i="2"/>
  <c r="G236" i="5"/>
  <c r="C1407" i="18" s="1"/>
  <c r="D1407" i="18" s="1"/>
  <c r="C418" i="18"/>
  <c r="D418" i="18" s="1"/>
  <c r="C416" i="18"/>
  <c r="D416" i="18" s="1"/>
  <c r="C420" i="18"/>
  <c r="D420" i="18" s="1"/>
  <c r="G570" i="5"/>
  <c r="C3414" i="18" s="1"/>
  <c r="D3414" i="18" s="1"/>
  <c r="G94" i="5"/>
  <c r="C554" i="18" s="1"/>
  <c r="D554" i="18" s="1"/>
  <c r="G103" i="5"/>
  <c r="C612" i="18" s="1"/>
  <c r="D612" i="18" s="1"/>
  <c r="C547" i="2"/>
  <c r="G660" i="5" s="1"/>
  <c r="C252" i="2"/>
  <c r="G484" i="5" s="1"/>
  <c r="G607" i="5"/>
  <c r="C3634" i="18" s="1"/>
  <c r="D3634" i="18" s="1"/>
  <c r="C288" i="2"/>
  <c r="G331" i="5"/>
  <c r="C1976" i="18" s="1"/>
  <c r="D1976" i="18" s="1"/>
  <c r="G512" i="5"/>
  <c r="G480" i="5"/>
  <c r="C2875" i="18" s="1"/>
  <c r="D2875" i="18" s="1"/>
  <c r="G195" i="5"/>
  <c r="C1165" i="18" s="1"/>
  <c r="D1165" i="18" s="1"/>
  <c r="G245" i="5"/>
  <c r="G617" i="5"/>
  <c r="G404" i="5"/>
  <c r="C2416" i="18" s="1"/>
  <c r="D2416" i="18" s="1"/>
  <c r="G133" i="5"/>
  <c r="C790" i="18" s="1"/>
  <c r="D790" i="18" s="1"/>
  <c r="G383" i="5"/>
  <c r="C2288" i="18" s="1"/>
  <c r="D2288" i="18" s="1"/>
  <c r="G219" i="5"/>
  <c r="C1306" i="18" s="1"/>
  <c r="D1306" i="18" s="1"/>
  <c r="C436" i="18"/>
  <c r="D436" i="18" s="1"/>
  <c r="C434" i="18"/>
  <c r="D434" i="18" s="1"/>
  <c r="C437" i="18"/>
  <c r="D437" i="18" s="1"/>
  <c r="C438" i="18"/>
  <c r="D438" i="18" s="1"/>
  <c r="G505" i="5"/>
  <c r="C3024" i="18" s="1"/>
  <c r="D3024" i="18" s="1"/>
  <c r="G624" i="5"/>
  <c r="C697" i="2"/>
  <c r="G298" i="5"/>
  <c r="C1781" i="18" s="1"/>
  <c r="D1781" i="18" s="1"/>
  <c r="C690" i="2"/>
  <c r="G163" i="5" s="1"/>
  <c r="C3" i="2"/>
  <c r="G191" i="5" s="1"/>
  <c r="C708" i="2"/>
  <c r="G380" i="5"/>
  <c r="C2271" i="18" s="1"/>
  <c r="D2271" i="18" s="1"/>
  <c r="G134" i="5"/>
  <c r="G222" i="5"/>
  <c r="C1326" i="18" s="1"/>
  <c r="D1326" i="18" s="1"/>
  <c r="G621" i="5"/>
  <c r="C3720" i="18" s="1"/>
  <c r="D3720" i="18" s="1"/>
  <c r="G121" i="5"/>
  <c r="G290" i="5"/>
  <c r="C1731" i="18" s="1"/>
  <c r="D1731" i="18" s="1"/>
  <c r="G312" i="5"/>
  <c r="G189" i="5"/>
  <c r="C1125" i="18" s="1"/>
  <c r="D1125" i="18" s="1"/>
  <c r="G452" i="5"/>
  <c r="C2702" i="18" s="1"/>
  <c r="D2702" i="18" s="1"/>
  <c r="G278" i="5"/>
  <c r="C1661" i="18" s="1"/>
  <c r="D1661" i="18" s="1"/>
  <c r="G203" i="5"/>
  <c r="C1208" i="18" s="1"/>
  <c r="D1208" i="18" s="1"/>
  <c r="G455" i="5"/>
  <c r="C2723" i="18" s="1"/>
  <c r="D2723" i="18" s="1"/>
  <c r="G198" i="5"/>
  <c r="C1178" i="18" s="1"/>
  <c r="D1178" i="18" s="1"/>
  <c r="C556" i="2"/>
  <c r="G635" i="5" s="1"/>
  <c r="C41" i="2"/>
  <c r="G694" i="5" s="1"/>
  <c r="C4157" i="18" s="1"/>
  <c r="D4157" i="18" s="1"/>
  <c r="C371" i="18"/>
  <c r="D371" i="18" s="1"/>
  <c r="C372" i="18"/>
  <c r="D372" i="18" s="1"/>
  <c r="C368" i="18"/>
  <c r="D368" i="18" s="1"/>
  <c r="G182" i="5"/>
  <c r="C1085" i="18" s="1"/>
  <c r="D1085" i="18" s="1"/>
  <c r="G466" i="5"/>
  <c r="C2790" i="18" s="1"/>
  <c r="D2790" i="18" s="1"/>
  <c r="G255" i="5"/>
  <c r="C1521" i="18" s="1"/>
  <c r="D1521" i="18" s="1"/>
  <c r="G459" i="5"/>
  <c r="C2746" i="18" s="1"/>
  <c r="D2746" i="18" s="1"/>
  <c r="G398" i="5"/>
  <c r="C2381" i="18" s="1"/>
  <c r="D2381" i="18" s="1"/>
  <c r="G107" i="5"/>
  <c r="C633" i="18" s="1"/>
  <c r="D633" i="18" s="1"/>
  <c r="G432" i="5"/>
  <c r="C2585" i="18" s="1"/>
  <c r="D2585" i="18" s="1"/>
  <c r="G401" i="5"/>
  <c r="C2401" i="18" s="1"/>
  <c r="D2401" i="18" s="1"/>
  <c r="G373" i="5"/>
  <c r="C2228" i="18" s="1"/>
  <c r="D2228" i="18" s="1"/>
  <c r="C226" i="2"/>
  <c r="G153" i="5" s="1"/>
  <c r="C359" i="18"/>
  <c r="D359" i="18" s="1"/>
  <c r="C360" i="18"/>
  <c r="D360" i="18" s="1"/>
  <c r="C358" i="18"/>
  <c r="D358" i="18" s="1"/>
  <c r="C357" i="18"/>
  <c r="D357" i="18" s="1"/>
  <c r="C356" i="18"/>
  <c r="D356" i="18" s="1"/>
  <c r="C485" i="2"/>
  <c r="G695" i="5" s="1"/>
  <c r="C192" i="2"/>
  <c r="G566" i="5" s="1"/>
  <c r="C237" i="2"/>
  <c r="G457" i="5" s="1"/>
  <c r="G362" i="5"/>
  <c r="G633" i="5"/>
  <c r="C3789" i="18" s="1"/>
  <c r="D3789" i="18" s="1"/>
  <c r="G361" i="5"/>
  <c r="C2159" i="18" s="1"/>
  <c r="D2159" i="18" s="1"/>
  <c r="G339" i="5"/>
  <c r="C2028" i="18" s="1"/>
  <c r="D2028" i="18" s="1"/>
  <c r="G249" i="5"/>
  <c r="C1486" i="18" s="1"/>
  <c r="D1486" i="18" s="1"/>
  <c r="G451" i="5"/>
  <c r="G351" i="5"/>
  <c r="C2096" i="18" s="1"/>
  <c r="D2096" i="18" s="1"/>
  <c r="G252" i="5"/>
  <c r="C1504" i="18" s="1"/>
  <c r="D1504" i="18" s="1"/>
  <c r="G536" i="5"/>
  <c r="C3210" i="18" s="1"/>
  <c r="D3210" i="18" s="1"/>
  <c r="G541" i="5"/>
  <c r="G274" i="5"/>
  <c r="C1637" i="18" s="1"/>
  <c r="D1637" i="18" s="1"/>
  <c r="G442" i="5"/>
  <c r="G469" i="5"/>
  <c r="C2804" i="18" s="1"/>
  <c r="D2804" i="18" s="1"/>
  <c r="C396" i="18"/>
  <c r="D396" i="18" s="1"/>
  <c r="C392" i="18"/>
  <c r="D392" i="18" s="1"/>
  <c r="C393" i="18"/>
  <c r="D393" i="18" s="1"/>
  <c r="C394" i="18"/>
  <c r="D394" i="18" s="1"/>
  <c r="C395" i="18"/>
  <c r="D395" i="18" s="1"/>
  <c r="C263" i="2"/>
  <c r="G277" i="5" s="1"/>
  <c r="G586" i="5"/>
  <c r="G119" i="5"/>
  <c r="C707" i="18" s="1"/>
  <c r="D707" i="18" s="1"/>
  <c r="G587" i="5"/>
  <c r="G449" i="5"/>
  <c r="G232" i="5"/>
  <c r="C1386" i="18" s="1"/>
  <c r="D1386" i="18" s="1"/>
  <c r="G447" i="5"/>
  <c r="G247" i="5"/>
  <c r="C1477" i="18" s="1"/>
  <c r="D1477" i="18" s="1"/>
  <c r="G374" i="5"/>
  <c r="C2237" i="18" s="1"/>
  <c r="D2237" i="18" s="1"/>
  <c r="G377" i="5"/>
  <c r="C2252" i="18" s="1"/>
  <c r="D2252" i="18" s="1"/>
  <c r="C1177" i="18"/>
  <c r="D1177" i="18" s="1"/>
  <c r="C1172" i="18"/>
  <c r="D1172" i="18" s="1"/>
  <c r="C1173" i="18"/>
  <c r="D1173" i="18" s="1"/>
  <c r="C1176" i="18"/>
  <c r="D1176" i="18" s="1"/>
  <c r="C1175" i="18"/>
  <c r="D1175" i="18" s="1"/>
  <c r="G258" i="5"/>
  <c r="C1542" i="18" s="1"/>
  <c r="D1542" i="18" s="1"/>
  <c r="G616" i="5"/>
  <c r="C346" i="2"/>
  <c r="G530" i="5" s="1"/>
  <c r="G205" i="5"/>
  <c r="C1221" i="18" s="1"/>
  <c r="D1221" i="18" s="1"/>
  <c r="G618" i="5"/>
  <c r="G235" i="5"/>
  <c r="C1405" i="18" s="1"/>
  <c r="D1405" i="18" s="1"/>
  <c r="G160" i="5"/>
  <c r="G668" i="5"/>
  <c r="C3998" i="18" s="1"/>
  <c r="D3998" i="18" s="1"/>
  <c r="C588" i="2"/>
  <c r="G325" i="5" s="1"/>
  <c r="C513" i="2"/>
  <c r="G441" i="5" s="1"/>
  <c r="G421" i="5"/>
  <c r="G229" i="5"/>
  <c r="C1367" i="18" s="1"/>
  <c r="D1367" i="18" s="1"/>
  <c r="G476" i="5"/>
  <c r="G154" i="5"/>
  <c r="G553" i="5"/>
  <c r="C3309" i="18" s="1"/>
  <c r="D3309" i="18" s="1"/>
  <c r="G360" i="5"/>
  <c r="G168" i="5"/>
  <c r="G212" i="5"/>
  <c r="C1266" i="18" s="1"/>
  <c r="D1266" i="18" s="1"/>
  <c r="G148" i="5"/>
  <c r="C878" i="18" s="1"/>
  <c r="D878" i="18" s="1"/>
  <c r="G348" i="5"/>
  <c r="C2078" i="18" s="1"/>
  <c r="D2078" i="18" s="1"/>
  <c r="G311" i="5"/>
  <c r="C1857" i="18" s="1"/>
  <c r="D1857" i="18" s="1"/>
  <c r="G242" i="5"/>
  <c r="G625" i="5"/>
  <c r="C3740" i="18" s="1"/>
  <c r="D3740" i="18" s="1"/>
  <c r="G246" i="5"/>
  <c r="C1469" i="18" s="1"/>
  <c r="D1469" i="18" s="1"/>
  <c r="G548" i="5"/>
  <c r="G335" i="5"/>
  <c r="C2004" i="18" s="1"/>
  <c r="D2004" i="18" s="1"/>
  <c r="G286" i="5"/>
  <c r="C1707" i="18" s="1"/>
  <c r="D1707" i="18" s="1"/>
  <c r="C389" i="18"/>
  <c r="D389" i="18" s="1"/>
  <c r="C387" i="18"/>
  <c r="D387" i="18" s="1"/>
  <c r="C390" i="18"/>
  <c r="D390" i="18" s="1"/>
  <c r="C391" i="18"/>
  <c r="D391" i="18" s="1"/>
  <c r="G97" i="5"/>
  <c r="C572" i="18" s="1"/>
  <c r="D572" i="18" s="1"/>
  <c r="G323" i="5"/>
  <c r="C1932" i="18" s="1"/>
  <c r="D1932" i="18" s="1"/>
  <c r="C272" i="2"/>
  <c r="G511" i="5" s="1"/>
  <c r="C554" i="2"/>
  <c r="G650" i="5" s="1"/>
  <c r="C2456" i="18"/>
  <c r="D2456" i="18" s="1"/>
  <c r="C511" i="2"/>
  <c r="G565" i="5" s="1"/>
  <c r="C381" i="2"/>
  <c r="G646" i="5" s="1"/>
  <c r="C248" i="2"/>
  <c r="G610" i="5" s="1"/>
  <c r="C355" i="2"/>
  <c r="G600" i="5" s="1"/>
  <c r="C222" i="2"/>
  <c r="G30" i="5" s="1"/>
  <c r="C732" i="2"/>
  <c r="G551" i="5" s="1"/>
  <c r="C19" i="2"/>
  <c r="G679" i="5" s="1"/>
  <c r="C727" i="2"/>
  <c r="G652" i="5" s="1"/>
  <c r="C315" i="2"/>
  <c r="G628" i="5" s="1"/>
  <c r="C2" i="2"/>
  <c r="G368" i="5" s="1"/>
  <c r="C69" i="2"/>
  <c r="G599" i="5" s="1"/>
  <c r="C406" i="2"/>
  <c r="G497" i="5" s="1"/>
  <c r="C87" i="2"/>
  <c r="G654" i="5" s="1"/>
  <c r="C276" i="2"/>
  <c r="G673" i="5" s="1"/>
  <c r="C52" i="2"/>
  <c r="G316" i="5" s="1"/>
  <c r="C477" i="2"/>
  <c r="G381" i="5" s="1"/>
  <c r="G406" i="5"/>
  <c r="C2431" i="18" s="1"/>
  <c r="D2431" i="18" s="1"/>
  <c r="G488" i="5"/>
  <c r="G581" i="5"/>
  <c r="C3480" i="18" s="1"/>
  <c r="D3480" i="18" s="1"/>
  <c r="G29" i="5"/>
  <c r="G167" i="5"/>
  <c r="C994" i="18" s="1"/>
  <c r="D994" i="18" s="1"/>
  <c r="G233" i="5"/>
  <c r="G602" i="5"/>
  <c r="C3603" i="18" s="1"/>
  <c r="D3603" i="18" s="1"/>
  <c r="G472" i="5"/>
  <c r="G138" i="5"/>
  <c r="C821" i="18" s="1"/>
  <c r="D821" i="18" s="1"/>
  <c r="C67" i="2"/>
  <c r="G77" i="5"/>
  <c r="C452" i="18" s="1"/>
  <c r="D452" i="18" s="1"/>
  <c r="G629" i="5"/>
  <c r="G513" i="5"/>
  <c r="C3070" i="18" s="1"/>
  <c r="D3070" i="18" s="1"/>
  <c r="G532" i="5"/>
  <c r="G443" i="5"/>
  <c r="G231" i="5"/>
  <c r="C1377" i="18" s="1"/>
  <c r="D1377" i="18" s="1"/>
  <c r="C579" i="2"/>
  <c r="G228" i="5" s="1"/>
  <c r="C316" i="2"/>
  <c r="G659" i="5" s="1"/>
  <c r="C688" i="2"/>
  <c r="G583" i="5" s="1"/>
  <c r="C662" i="2"/>
  <c r="G623" i="5" s="1"/>
  <c r="C112" i="2"/>
  <c r="G42" i="5" s="1"/>
  <c r="C472" i="2"/>
  <c r="G636" i="5" s="1"/>
  <c r="C616" i="2"/>
  <c r="G313" i="5" s="1"/>
  <c r="C189" i="2"/>
  <c r="G550" i="5" s="1"/>
  <c r="C500" i="2"/>
  <c r="G604" i="5" s="1"/>
  <c r="C295" i="2"/>
  <c r="G116" i="5" s="1"/>
  <c r="C225" i="2"/>
  <c r="G218" i="5" s="1"/>
  <c r="C170" i="2"/>
  <c r="G684" i="5" s="1"/>
  <c r="C130" i="2"/>
  <c r="G577" i="5" s="1"/>
  <c r="C126" i="2"/>
  <c r="G265" i="5" s="1"/>
  <c r="C440" i="2"/>
  <c r="G678" i="5" s="1"/>
  <c r="C392" i="2"/>
  <c r="G561" i="5" s="1"/>
  <c r="C757" i="2"/>
  <c r="G354" i="5" s="1"/>
  <c r="C76" i="2"/>
  <c r="G156" i="5" s="1"/>
  <c r="C371" i="2"/>
  <c r="G667" i="5" s="1"/>
  <c r="C648" i="2"/>
  <c r="G580" i="5" s="1"/>
  <c r="C162" i="2"/>
  <c r="G462" i="5" s="1"/>
  <c r="C232" i="2"/>
  <c r="G518" i="5" s="1"/>
  <c r="C146" i="2"/>
  <c r="G677" i="5" s="1"/>
  <c r="C352" i="2"/>
  <c r="G292" i="5" s="1"/>
  <c r="C227" i="2"/>
  <c r="G627" i="5" s="1"/>
  <c r="C218" i="2"/>
  <c r="G180" i="5" s="1"/>
  <c r="C281" i="2"/>
  <c r="G630" i="5" s="1"/>
  <c r="C247" i="2"/>
  <c r="G690" i="5" s="1"/>
  <c r="C204" i="2"/>
  <c r="G21" i="5" s="1"/>
  <c r="C279" i="2"/>
  <c r="G124" i="5" s="1"/>
  <c r="C501" i="2"/>
  <c r="G645" i="5" s="1"/>
  <c r="C46" i="2"/>
  <c r="G590" i="5" s="1"/>
  <c r="C244" i="2"/>
  <c r="G340" i="5" s="1"/>
  <c r="C166" i="2"/>
  <c r="G415" i="5" s="1"/>
  <c r="C40" i="2"/>
  <c r="G395" i="5" s="1"/>
  <c r="C116" i="2"/>
  <c r="G666" i="5" s="1"/>
  <c r="C658" i="2"/>
  <c r="C759" i="2"/>
  <c r="C412" i="2"/>
  <c r="G631" i="5" s="1"/>
  <c r="C493" i="2"/>
  <c r="C435" i="2"/>
  <c r="G120" i="5" s="1"/>
  <c r="C266" i="2"/>
  <c r="G653" i="5" s="1"/>
  <c r="C56" i="2"/>
  <c r="G440" i="5" s="1"/>
  <c r="C188" i="2"/>
  <c r="G45" i="5" s="1"/>
  <c r="C719" i="2"/>
  <c r="G554" i="5" s="1"/>
  <c r="C343" i="2"/>
  <c r="G208" i="5" s="1"/>
  <c r="C429" i="2"/>
  <c r="G534" i="5" s="1"/>
  <c r="C328" i="2"/>
  <c r="G683" i="5" s="1"/>
  <c r="C143" i="2"/>
  <c r="G100" i="5" s="1"/>
  <c r="C200" i="2"/>
  <c r="G90" i="5" s="1"/>
  <c r="C135" i="2"/>
  <c r="G589" i="5" s="1"/>
  <c r="C645" i="2"/>
  <c r="G111" i="5" s="1"/>
  <c r="C504" i="2"/>
  <c r="G159" i="5" s="1"/>
  <c r="C506" i="2"/>
  <c r="G672" i="5" s="1"/>
  <c r="C437" i="2"/>
  <c r="G328" i="5" s="1"/>
  <c r="C102" i="2"/>
  <c r="G638" i="5" s="1"/>
  <c r="C703" i="2"/>
  <c r="C84" i="2"/>
  <c r="G593" i="5" s="1"/>
  <c r="C4034" i="18"/>
  <c r="D4034" i="18" s="1"/>
  <c r="C113" i="2"/>
  <c r="G514" i="5" s="1"/>
  <c r="C198" i="2"/>
  <c r="G670" i="5" s="1"/>
  <c r="C442" i="2"/>
  <c r="G613" i="5" s="1"/>
  <c r="C251" i="2"/>
  <c r="G661" i="5" s="1"/>
  <c r="C683" i="2"/>
  <c r="G494" i="5" s="1"/>
  <c r="C111" i="2"/>
  <c r="G135" i="5" s="1"/>
  <c r="C680" i="2"/>
  <c r="G643" i="5" s="1"/>
  <c r="C689" i="2"/>
  <c r="G18" i="5" s="1"/>
  <c r="C728" i="2"/>
  <c r="G142" i="5" s="1"/>
  <c r="C342" i="2"/>
  <c r="G152" i="5" s="1"/>
  <c r="C445" i="2"/>
  <c r="G603" i="5" s="1"/>
  <c r="C502" i="2"/>
  <c r="G176" i="5" s="1"/>
  <c r="C549" i="2"/>
  <c r="G166" i="5" s="1"/>
  <c r="C43" i="2"/>
  <c r="G169" i="5" s="1"/>
  <c r="C529" i="2"/>
  <c r="G144" i="5" s="1"/>
  <c r="C333" i="2"/>
  <c r="G640" i="5" s="1"/>
  <c r="C231" i="2"/>
  <c r="G698" i="5" s="1"/>
  <c r="C155" i="2"/>
  <c r="G430" i="5" s="1"/>
  <c r="C239" i="2"/>
  <c r="G609" i="5" s="1"/>
  <c r="C362" i="2"/>
  <c r="G522" i="5" s="1"/>
  <c r="C694" i="2"/>
  <c r="C208" i="2"/>
  <c r="G594" i="5" s="1"/>
  <c r="C301" i="2"/>
  <c r="G490" i="5" s="1"/>
  <c r="C88" i="2"/>
  <c r="G647" i="5" s="1"/>
  <c r="C535" i="2"/>
  <c r="G78" i="5" s="1"/>
  <c r="C413" i="2"/>
  <c r="G614" i="5" s="1"/>
  <c r="C193" i="2"/>
  <c r="G569" i="5" s="1"/>
  <c r="C570" i="2"/>
  <c r="G538" i="5" s="1"/>
  <c r="C21" i="2"/>
  <c r="G187" i="5" s="1"/>
  <c r="C617" i="2"/>
  <c r="C103" i="2"/>
  <c r="G129" i="5" s="1"/>
  <c r="C345" i="2"/>
  <c r="G478" i="5" s="1"/>
  <c r="C289" i="2"/>
  <c r="G556" i="5" s="1"/>
  <c r="C598" i="2"/>
  <c r="G619" i="5" s="1"/>
  <c r="C540" i="2"/>
  <c r="G425" i="5" s="1"/>
  <c r="C385" i="2"/>
  <c r="G409" i="5" s="1"/>
  <c r="C201" i="2"/>
  <c r="G95" i="5" s="1"/>
  <c r="C366" i="2"/>
  <c r="G410" i="5" s="1"/>
  <c r="C98" i="2"/>
  <c r="G446" i="5" s="1"/>
  <c r="C670" i="2"/>
  <c r="G147" i="5" s="1"/>
  <c r="C630" i="2"/>
  <c r="G507" i="5" s="1"/>
  <c r="C273" i="2"/>
  <c r="G12" i="5" s="1"/>
  <c r="C350" i="2"/>
  <c r="C664" i="2"/>
  <c r="G199" i="5" s="1"/>
  <c r="C634" i="2"/>
  <c r="G106" i="5" s="1"/>
  <c r="C144" i="2"/>
  <c r="G141" i="5" s="1"/>
  <c r="C560" i="2"/>
  <c r="G689" i="5" s="1"/>
  <c r="C259" i="2"/>
  <c r="G33" i="5" s="1"/>
  <c r="C89" i="2"/>
  <c r="G620" i="5" s="1"/>
  <c r="C572" i="2"/>
  <c r="G2" i="5" s="1"/>
  <c r="C667" i="2"/>
  <c r="G467" i="5" s="1"/>
  <c r="C221" i="2"/>
  <c r="G474" i="5" s="1"/>
  <c r="C559" i="2"/>
  <c r="G424" i="5" s="1"/>
  <c r="C641" i="2"/>
  <c r="G688" i="5" s="1"/>
  <c r="C514" i="2"/>
  <c r="G5" i="5" s="1"/>
  <c r="C503" i="2"/>
  <c r="C329" i="2"/>
  <c r="G622" i="5" s="1"/>
  <c r="C53" i="2"/>
  <c r="G301" i="5" s="1"/>
  <c r="C676" i="2"/>
  <c r="G132" i="5" s="1"/>
  <c r="C65" i="2"/>
  <c r="G702" i="5" s="1"/>
  <c r="C374" i="2"/>
  <c r="G693" i="5" s="1"/>
  <c r="C220" i="2"/>
  <c r="G639" i="5" s="1"/>
  <c r="C407" i="2"/>
  <c r="G576" i="5" s="1"/>
  <c r="C38" i="2"/>
  <c r="G304" i="5" s="1"/>
  <c r="C3607" i="18"/>
  <c r="D3607" i="18" s="1"/>
  <c r="C507" i="2"/>
  <c r="C169" i="18"/>
  <c r="D169" i="18" s="1"/>
  <c r="C164" i="18"/>
  <c r="D164" i="18" s="1"/>
  <c r="C168" i="18"/>
  <c r="D168" i="18" s="1"/>
  <c r="C166" i="18"/>
  <c r="D166" i="18" s="1"/>
  <c r="C165" i="18"/>
  <c r="D165" i="18" s="1"/>
  <c r="C167" i="18"/>
  <c r="D167" i="18" s="1"/>
  <c r="C154" i="18"/>
  <c r="D154" i="18" s="1"/>
  <c r="C155" i="18"/>
  <c r="D155" i="18" s="1"/>
  <c r="C156" i="18"/>
  <c r="D156" i="18" s="1"/>
  <c r="C157" i="18"/>
  <c r="D157" i="18" s="1"/>
  <c r="C3186" i="18"/>
  <c r="D3186" i="18" s="1"/>
  <c r="C3187" i="18"/>
  <c r="D3187" i="18" s="1"/>
  <c r="C3182" i="18"/>
  <c r="D3182" i="18" s="1"/>
  <c r="C3184" i="18"/>
  <c r="D3184" i="18" s="1"/>
  <c r="C3185" i="18"/>
  <c r="D3185" i="18" s="1"/>
  <c r="C3183" i="18"/>
  <c r="D3183" i="18" s="1"/>
  <c r="C136" i="18"/>
  <c r="D136" i="18" s="1"/>
  <c r="C135" i="18"/>
  <c r="D135" i="18" s="1"/>
  <c r="C137" i="18"/>
  <c r="D137" i="18" s="1"/>
  <c r="C142" i="18"/>
  <c r="D142" i="18" s="1"/>
  <c r="C145" i="18"/>
  <c r="D145" i="18" s="1"/>
  <c r="C113" i="18"/>
  <c r="D113" i="18" s="1"/>
  <c r="C111" i="18"/>
  <c r="D111" i="18" s="1"/>
  <c r="C114" i="18"/>
  <c r="D114" i="18" s="1"/>
  <c r="C146" i="18"/>
  <c r="D146" i="18" s="1"/>
  <c r="C147" i="18"/>
  <c r="D147" i="18" s="1"/>
  <c r="C123" i="18"/>
  <c r="D123" i="18" s="1"/>
  <c r="C124" i="18"/>
  <c r="D124" i="18" s="1"/>
  <c r="C125" i="18"/>
  <c r="D125" i="18" s="1"/>
  <c r="C160" i="18"/>
  <c r="D160" i="18" s="1"/>
  <c r="C163" i="18"/>
  <c r="D163" i="18" s="1"/>
  <c r="C161" i="18"/>
  <c r="D161" i="18" s="1"/>
  <c r="C3477" i="18"/>
  <c r="D3477" i="18" s="1"/>
  <c r="C3479" i="18"/>
  <c r="D3479" i="18" s="1"/>
  <c r="C3069" i="18"/>
  <c r="D3069" i="18" s="1"/>
  <c r="C3071" i="18"/>
  <c r="D3071" i="18" s="1"/>
  <c r="C31" i="2"/>
  <c r="G500" i="5" s="1"/>
  <c r="C471" i="2"/>
  <c r="G699" i="5" s="1"/>
  <c r="C16" i="2"/>
  <c r="G253" i="5" s="1"/>
  <c r="C331" i="2"/>
  <c r="G562" i="5" s="1"/>
  <c r="C388" i="2"/>
  <c r="G487" i="5" s="1"/>
  <c r="C601" i="2"/>
  <c r="C6" i="2"/>
  <c r="G108" i="5" s="1"/>
  <c r="C489" i="2"/>
  <c r="G682" i="5" s="1"/>
  <c r="C72" i="2"/>
  <c r="G545" i="5" s="1"/>
  <c r="C91" i="2"/>
  <c r="G657" i="5" s="1"/>
  <c r="C430" i="2"/>
  <c r="G450" i="5" s="1"/>
  <c r="C520" i="2"/>
  <c r="G400" i="5" s="1"/>
  <c r="C668" i="2"/>
  <c r="G289" i="5" s="1"/>
  <c r="C228" i="2"/>
  <c r="G502" i="5" s="1"/>
  <c r="C236" i="2"/>
  <c r="G486" i="5" s="1"/>
  <c r="C10" i="18"/>
  <c r="D10" i="18" s="1"/>
  <c r="C1392" i="18"/>
  <c r="D1392" i="18" s="1"/>
  <c r="C1391" i="18"/>
  <c r="D1391" i="18" s="1"/>
  <c r="C1389" i="18"/>
  <c r="D1389" i="18" s="1"/>
  <c r="C1393" i="18"/>
  <c r="D1393" i="18" s="1"/>
  <c r="C1390" i="18"/>
  <c r="D1390" i="18" s="1"/>
  <c r="C1388" i="18"/>
  <c r="D1388" i="18" s="1"/>
  <c r="C149" i="2"/>
  <c r="G632" i="5" s="1"/>
  <c r="C368" i="2"/>
  <c r="G130" i="5" s="1"/>
  <c r="C663" i="2"/>
  <c r="G540" i="5" s="1"/>
  <c r="C318" i="10"/>
  <c r="E318" i="10" s="1"/>
  <c r="C46" i="18"/>
  <c r="D46" i="18" s="1"/>
  <c r="C36" i="2"/>
  <c r="G396" i="5" s="1"/>
  <c r="C367" i="2"/>
  <c r="G535" i="5" s="1"/>
  <c r="C454" i="18"/>
  <c r="D454" i="18" s="1"/>
  <c r="C457" i="18"/>
  <c r="D457" i="18" s="1"/>
  <c r="C3766" i="18"/>
  <c r="D3766" i="18" s="1"/>
  <c r="C3764" i="18"/>
  <c r="D3764" i="18" s="1"/>
  <c r="C3768" i="18"/>
  <c r="D3768" i="18" s="1"/>
  <c r="C3769" i="18"/>
  <c r="D3769" i="18" s="1"/>
  <c r="C3765" i="18"/>
  <c r="D3765" i="18" s="1"/>
  <c r="C3767" i="18"/>
  <c r="D3767" i="18" s="1"/>
  <c r="C2919" i="18"/>
  <c r="D2919" i="18" s="1"/>
  <c r="C2921" i="18"/>
  <c r="D2921" i="18" s="1"/>
  <c r="C2918" i="18"/>
  <c r="D2918" i="18" s="1"/>
  <c r="C2923" i="18"/>
  <c r="D2923" i="18" s="1"/>
  <c r="C2920" i="18"/>
  <c r="D2920" i="18" s="1"/>
  <c r="C2922" i="18"/>
  <c r="D2922" i="18" s="1"/>
  <c r="C180" i="18"/>
  <c r="D180" i="18" s="1"/>
  <c r="C176" i="18"/>
  <c r="D176" i="18" s="1"/>
  <c r="C181" i="18"/>
  <c r="D181" i="18" s="1"/>
  <c r="C202" i="18"/>
  <c r="D202" i="18" s="1"/>
  <c r="C201" i="18"/>
  <c r="D201" i="18" s="1"/>
  <c r="C204" i="18"/>
  <c r="D204" i="18" s="1"/>
  <c r="C196" i="18"/>
  <c r="D196" i="18" s="1"/>
  <c r="C194" i="18"/>
  <c r="D194" i="18" s="1"/>
  <c r="C197" i="18"/>
  <c r="D197" i="18" s="1"/>
  <c r="C198" i="18"/>
  <c r="D198" i="18" s="1"/>
  <c r="C2827" i="18"/>
  <c r="D2827" i="18" s="1"/>
  <c r="C2822" i="18"/>
  <c r="D2822" i="18" s="1"/>
  <c r="C2823" i="18"/>
  <c r="D2823" i="18" s="1"/>
  <c r="C2826" i="18"/>
  <c r="D2826" i="18" s="1"/>
  <c r="C2824" i="18"/>
  <c r="D2824" i="18" s="1"/>
  <c r="C2825" i="18"/>
  <c r="D2825" i="18" s="1"/>
  <c r="C687" i="2"/>
  <c r="G458" i="5" s="1"/>
  <c r="C758" i="2"/>
  <c r="G671" i="5" s="1"/>
  <c r="C241" i="2"/>
  <c r="G280" i="5" s="1"/>
  <c r="C2648" i="18"/>
  <c r="D2648" i="18" s="1"/>
  <c r="C2649" i="18"/>
  <c r="D2649" i="18" s="1"/>
  <c r="C2650" i="18"/>
  <c r="D2650" i="18" s="1"/>
  <c r="C2653" i="18"/>
  <c r="D2653" i="18" s="1"/>
  <c r="C2652" i="18"/>
  <c r="D2652" i="18" s="1"/>
  <c r="C2651" i="18"/>
  <c r="D2651" i="18" s="1"/>
  <c r="C151" i="2"/>
  <c r="G481" i="5" s="1"/>
  <c r="C726" i="2"/>
  <c r="G259" i="5" s="1"/>
  <c r="C497" i="2"/>
  <c r="G552" i="5" s="1"/>
  <c r="C753" i="2"/>
  <c r="G664" i="5" s="1"/>
  <c r="C238" i="2"/>
  <c r="G271" i="5" s="1"/>
  <c r="C358" i="2"/>
  <c r="G567" i="5" s="1"/>
  <c r="C124" i="10" s="1"/>
  <c r="E124" i="10" s="1"/>
  <c r="C5" i="2"/>
  <c r="G503" i="5" s="1"/>
  <c r="C448" i="2"/>
  <c r="G105" i="5" s="1"/>
  <c r="C455" i="2"/>
  <c r="G117" i="5" s="1"/>
  <c r="C435" i="18" l="1"/>
  <c r="D435" i="18" s="1"/>
  <c r="G681" i="5"/>
  <c r="C4077" i="18" s="1"/>
  <c r="D4077" i="18" s="1"/>
  <c r="C119" i="18"/>
  <c r="D119" i="18" s="1"/>
  <c r="C117" i="18"/>
  <c r="D117" i="18" s="1"/>
  <c r="C121" i="18"/>
  <c r="D121" i="18" s="1"/>
  <c r="C120" i="18"/>
  <c r="D120" i="18" s="1"/>
  <c r="C116" i="18"/>
  <c r="D116" i="18" s="1"/>
  <c r="C175" i="18"/>
  <c r="D175" i="18" s="1"/>
  <c r="C174" i="18"/>
  <c r="D174" i="18" s="1"/>
  <c r="C172" i="18"/>
  <c r="D172" i="18" s="1"/>
  <c r="C173" i="18"/>
  <c r="D173" i="18" s="1"/>
  <c r="C171" i="18"/>
  <c r="D171" i="18" s="1"/>
  <c r="C170" i="18"/>
  <c r="D170" i="18" s="1"/>
  <c r="C192" i="18"/>
  <c r="D192" i="18" s="1"/>
  <c r="C188" i="18"/>
  <c r="D188" i="18" s="1"/>
  <c r="C189" i="18"/>
  <c r="D189" i="18" s="1"/>
  <c r="C190" i="18"/>
  <c r="D190" i="18" s="1"/>
  <c r="C191" i="18"/>
  <c r="D191" i="18" s="1"/>
  <c r="C193" i="18"/>
  <c r="D193" i="18" s="1"/>
  <c r="C132" i="18"/>
  <c r="D132" i="18" s="1"/>
  <c r="C129" i="18"/>
  <c r="D129" i="18" s="1"/>
  <c r="C130" i="18"/>
  <c r="D130" i="18" s="1"/>
  <c r="C131" i="18"/>
  <c r="D131" i="18" s="1"/>
  <c r="C133" i="18"/>
  <c r="D133" i="18" s="1"/>
  <c r="C128" i="18"/>
  <c r="D128" i="18" s="1"/>
  <c r="C24" i="18"/>
  <c r="D24" i="18" s="1"/>
  <c r="C22" i="18"/>
  <c r="D22" i="18" s="1"/>
  <c r="C38" i="18"/>
  <c r="D38" i="18" s="1"/>
  <c r="C42" i="18"/>
  <c r="D42" i="18" s="1"/>
  <c r="C41" i="18"/>
  <c r="D41" i="18" s="1"/>
  <c r="C43" i="18"/>
  <c r="D43" i="18" s="1"/>
  <c r="C39" i="18"/>
  <c r="D39" i="18" s="1"/>
  <c r="C40" i="18"/>
  <c r="D40" i="18" s="1"/>
  <c r="C6" i="18"/>
  <c r="D6" i="18" s="1"/>
  <c r="C5" i="18"/>
  <c r="D5" i="18" s="1"/>
  <c r="D2" i="11"/>
  <c r="C3" i="18"/>
  <c r="D3" i="18" s="1"/>
  <c r="C7" i="18"/>
  <c r="D7" i="18" s="1"/>
  <c r="C184" i="18"/>
  <c r="D184" i="18" s="1"/>
  <c r="C187" i="18"/>
  <c r="D187" i="18" s="1"/>
  <c r="C185" i="18"/>
  <c r="D185" i="18" s="1"/>
  <c r="C183" i="18"/>
  <c r="D183" i="18" s="1"/>
  <c r="C186" i="18"/>
  <c r="D186" i="18" s="1"/>
  <c r="G11" i="5"/>
  <c r="G87" i="5"/>
  <c r="G50" i="5"/>
  <c r="G58" i="5"/>
  <c r="C65" i="18"/>
  <c r="D65" i="18" s="1"/>
  <c r="C62" i="18"/>
  <c r="D62" i="18" s="1"/>
  <c r="C67" i="18"/>
  <c r="D67" i="18" s="1"/>
  <c r="C64" i="18"/>
  <c r="D64" i="18" s="1"/>
  <c r="C66" i="18"/>
  <c r="D66" i="18" s="1"/>
  <c r="C63" i="18"/>
  <c r="D63" i="18" s="1"/>
  <c r="C244" i="18"/>
  <c r="D244" i="18" s="1"/>
  <c r="C246" i="18"/>
  <c r="D246" i="18" s="1"/>
  <c r="C247" i="18"/>
  <c r="D247" i="18" s="1"/>
  <c r="C242" i="18"/>
  <c r="D242" i="18" s="1"/>
  <c r="C245" i="18"/>
  <c r="D245" i="18" s="1"/>
  <c r="C243" i="18"/>
  <c r="D243" i="18" s="1"/>
  <c r="C261" i="18"/>
  <c r="D261" i="18" s="1"/>
  <c r="C260" i="18"/>
  <c r="D260" i="18" s="1"/>
  <c r="C264" i="18"/>
  <c r="D264" i="18" s="1"/>
  <c r="C263" i="18"/>
  <c r="D263" i="18" s="1"/>
  <c r="C265" i="18"/>
  <c r="D265" i="18" s="1"/>
  <c r="C262" i="18"/>
  <c r="D262" i="18" s="1"/>
  <c r="G75" i="5"/>
  <c r="G14" i="5"/>
  <c r="C98" i="18"/>
  <c r="D98" i="18" s="1"/>
  <c r="C102" i="18"/>
  <c r="D102" i="18" s="1"/>
  <c r="C100" i="18"/>
  <c r="D100" i="18" s="1"/>
  <c r="C101" i="18"/>
  <c r="D101" i="18" s="1"/>
  <c r="C99" i="18"/>
  <c r="D99" i="18" s="1"/>
  <c r="C103" i="18"/>
  <c r="D103" i="18" s="1"/>
  <c r="C822" i="18"/>
  <c r="D822" i="18" s="1"/>
  <c r="C818" i="18"/>
  <c r="D818" i="18" s="1"/>
  <c r="C1378" i="18"/>
  <c r="D1378" i="18" s="1"/>
  <c r="C823" i="18"/>
  <c r="D823" i="18" s="1"/>
  <c r="C1376" i="18"/>
  <c r="D1376" i="18" s="1"/>
  <c r="C819" i="18"/>
  <c r="D819" i="18" s="1"/>
  <c r="C9" i="10"/>
  <c r="E9" i="10" s="1"/>
  <c r="C543" i="18"/>
  <c r="D543" i="18" s="1"/>
  <c r="C3602" i="18"/>
  <c r="D3602" i="18" s="1"/>
  <c r="C3604" i="18"/>
  <c r="D3604" i="18" s="1"/>
  <c r="C3605" i="18"/>
  <c r="D3605" i="18" s="1"/>
  <c r="C3606" i="18"/>
  <c r="D3606" i="18" s="1"/>
  <c r="G687" i="5"/>
  <c r="C10" i="10"/>
  <c r="E10" i="10" s="1"/>
  <c r="C455" i="18"/>
  <c r="D455" i="18" s="1"/>
  <c r="C3481" i="18"/>
  <c r="D3481" i="18" s="1"/>
  <c r="C547" i="18"/>
  <c r="D547" i="18" s="1"/>
  <c r="C544" i="18"/>
  <c r="D544" i="18" s="1"/>
  <c r="C453" i="18"/>
  <c r="D453" i="18" s="1"/>
  <c r="C3478" i="18"/>
  <c r="D3478" i="18" s="1"/>
  <c r="C546" i="18"/>
  <c r="D546" i="18" s="1"/>
  <c r="C456" i="18"/>
  <c r="D456" i="18" s="1"/>
  <c r="C3476" i="18"/>
  <c r="D3476" i="18" s="1"/>
  <c r="C349" i="18"/>
  <c r="D349" i="18" s="1"/>
  <c r="C545" i="18"/>
  <c r="D545" i="18" s="1"/>
  <c r="C820" i="18"/>
  <c r="D820" i="18" s="1"/>
  <c r="C57" i="18"/>
  <c r="D57" i="18" s="1"/>
  <c r="C2430" i="18"/>
  <c r="D2430" i="18" s="1"/>
  <c r="C344" i="18"/>
  <c r="D344" i="18" s="1"/>
  <c r="C303" i="10"/>
  <c r="E303" i="10" s="1"/>
  <c r="C36" i="18"/>
  <c r="D36" i="18" s="1"/>
  <c r="C3068" i="18"/>
  <c r="D3068" i="18" s="1"/>
  <c r="C345" i="18"/>
  <c r="D345" i="18" s="1"/>
  <c r="C540" i="18"/>
  <c r="D540" i="18" s="1"/>
  <c r="C60" i="18"/>
  <c r="D60" i="18" s="1"/>
  <c r="C3072" i="18"/>
  <c r="D3072" i="18" s="1"/>
  <c r="C347" i="18"/>
  <c r="D347" i="18" s="1"/>
  <c r="C539" i="18"/>
  <c r="D539" i="18" s="1"/>
  <c r="C348" i="18"/>
  <c r="D348" i="18" s="1"/>
  <c r="C541" i="18"/>
  <c r="D541" i="18" s="1"/>
  <c r="C997" i="18"/>
  <c r="D997" i="18" s="1"/>
  <c r="C996" i="18"/>
  <c r="D996" i="18" s="1"/>
  <c r="C3073" i="18"/>
  <c r="D3073" i="18" s="1"/>
  <c r="C993" i="18"/>
  <c r="D993" i="18" s="1"/>
  <c r="C25" i="18"/>
  <c r="D25" i="18" s="1"/>
  <c r="C386" i="18"/>
  <c r="D386" i="18" s="1"/>
  <c r="C995" i="18"/>
  <c r="D995" i="18" s="1"/>
  <c r="G656" i="5"/>
  <c r="C3929" i="18" s="1"/>
  <c r="D3929" i="18" s="1"/>
  <c r="C2964" i="18"/>
  <c r="D2964" i="18" s="1"/>
  <c r="C290" i="10"/>
  <c r="E290" i="10" s="1"/>
  <c r="C377" i="10"/>
  <c r="E377" i="10" s="1"/>
  <c r="C2429" i="18"/>
  <c r="D2429" i="18" s="1"/>
  <c r="C2426" i="18"/>
  <c r="D2426" i="18" s="1"/>
  <c r="C2428" i="18"/>
  <c r="D2428" i="18" s="1"/>
  <c r="C382" i="10"/>
  <c r="E382" i="10" s="1"/>
  <c r="C2591" i="18"/>
  <c r="D2591" i="18" s="1"/>
  <c r="C1846" i="18"/>
  <c r="D1846" i="18" s="1"/>
  <c r="C1379" i="18"/>
  <c r="D1379" i="18" s="1"/>
  <c r="C21" i="18"/>
  <c r="D21" i="18" s="1"/>
  <c r="C20" i="18"/>
  <c r="D20" i="18" s="1"/>
  <c r="C1381" i="18"/>
  <c r="D1381" i="18" s="1"/>
  <c r="C159" i="18"/>
  <c r="D159" i="18" s="1"/>
  <c r="C2427" i="18"/>
  <c r="D2427" i="18" s="1"/>
  <c r="C1380" i="18"/>
  <c r="D1380" i="18" s="1"/>
  <c r="C162" i="18"/>
  <c r="D162" i="18" s="1"/>
  <c r="C23" i="18"/>
  <c r="D23" i="18" s="1"/>
  <c r="C153" i="18"/>
  <c r="D153" i="18" s="1"/>
  <c r="C409" i="10"/>
  <c r="E409" i="10" s="1"/>
  <c r="C366" i="10"/>
  <c r="E366" i="10" s="1"/>
  <c r="C147" i="10"/>
  <c r="E147" i="10" s="1"/>
  <c r="C95" i="10"/>
  <c r="E95" i="10" s="1"/>
  <c r="C430" i="10"/>
  <c r="E430" i="10" s="1"/>
  <c r="C4" i="18"/>
  <c r="D4" i="18" s="1"/>
  <c r="D3" i="11"/>
  <c r="C58" i="7" s="1"/>
  <c r="C18" i="18"/>
  <c r="D18" i="18" s="1"/>
  <c r="C19" i="18"/>
  <c r="D19" i="18" s="1"/>
  <c r="C13" i="18"/>
  <c r="D13" i="18" s="1"/>
  <c r="C14" i="18"/>
  <c r="D14" i="18" s="1"/>
  <c r="C143" i="18"/>
  <c r="D143" i="18" s="1"/>
  <c r="C148" i="18"/>
  <c r="D148" i="18" s="1"/>
  <c r="C9" i="18"/>
  <c r="D9" i="18" s="1"/>
  <c r="C140" i="18"/>
  <c r="D140" i="18" s="1"/>
  <c r="C15" i="10"/>
  <c r="E15" i="10" s="1"/>
  <c r="C11" i="18"/>
  <c r="D11" i="18" s="1"/>
  <c r="C139" i="10"/>
  <c r="E139" i="10" s="1"/>
  <c r="C469" i="10"/>
  <c r="E469" i="10" s="1"/>
  <c r="C173" i="10"/>
  <c r="E173" i="10" s="1"/>
  <c r="C199" i="10"/>
  <c r="E199" i="10" s="1"/>
  <c r="C122" i="10"/>
  <c r="E122" i="10" s="1"/>
  <c r="C457" i="10"/>
  <c r="E457" i="10" s="1"/>
  <c r="C1480" i="18"/>
  <c r="D1480" i="18" s="1"/>
  <c r="C47" i="10"/>
  <c r="E47" i="10" s="1"/>
  <c r="C29" i="10"/>
  <c r="E29" i="10" s="1"/>
  <c r="C267" i="10"/>
  <c r="E267" i="10" s="1"/>
  <c r="C1834" i="18"/>
  <c r="D1834" i="18" s="1"/>
  <c r="C2665" i="18"/>
  <c r="D2665" i="18" s="1"/>
  <c r="C41" i="10"/>
  <c r="E41" i="10" s="1"/>
  <c r="C781" i="18"/>
  <c r="D781" i="18" s="1"/>
  <c r="C3718" i="18"/>
  <c r="D3718" i="18" s="1"/>
  <c r="C3466" i="18"/>
  <c r="D3466" i="18" s="1"/>
  <c r="C992" i="18"/>
  <c r="D992" i="18" s="1"/>
  <c r="C91" i="10"/>
  <c r="E91" i="10" s="1"/>
  <c r="C3844" i="18"/>
  <c r="D3844" i="18" s="1"/>
  <c r="C3188" i="18"/>
  <c r="D3188" i="18" s="1"/>
  <c r="C2218" i="18"/>
  <c r="D2218" i="18" s="1"/>
  <c r="C4166" i="18"/>
  <c r="D4166" i="18" s="1"/>
  <c r="C1012" i="18"/>
  <c r="D1012" i="18" s="1"/>
  <c r="C2888" i="18"/>
  <c r="D2888" i="18" s="1"/>
  <c r="C1429" i="18"/>
  <c r="D1429" i="18" s="1"/>
  <c r="C673" i="18"/>
  <c r="D673" i="18" s="1"/>
  <c r="C2385" i="18"/>
  <c r="D2385" i="18" s="1"/>
  <c r="C2313" i="18"/>
  <c r="D2313" i="18" s="1"/>
  <c r="C3847" i="18"/>
  <c r="D3847" i="18" s="1"/>
  <c r="C1935" i="18"/>
  <c r="D1935" i="18" s="1"/>
  <c r="C1448" i="18"/>
  <c r="D1448" i="18" s="1"/>
  <c r="C3189" i="18"/>
  <c r="D3189" i="18" s="1"/>
  <c r="C2757" i="18"/>
  <c r="D2757" i="18" s="1"/>
  <c r="C146" i="10"/>
  <c r="E146" i="10" s="1"/>
  <c r="C179" i="10"/>
  <c r="E179" i="10" s="1"/>
  <c r="C2892" i="18"/>
  <c r="D2892" i="18" s="1"/>
  <c r="C3091" i="18"/>
  <c r="D3091" i="18" s="1"/>
  <c r="C1147" i="18"/>
  <c r="D1147" i="18" s="1"/>
  <c r="C266" i="10"/>
  <c r="E266" i="10" s="1"/>
  <c r="C1555" i="18"/>
  <c r="D1555" i="18" s="1"/>
  <c r="C1615" i="18"/>
  <c r="D1615" i="18" s="1"/>
  <c r="C4039" i="18"/>
  <c r="D4039" i="18" s="1"/>
  <c r="C500" i="10"/>
  <c r="E500" i="10" s="1"/>
  <c r="C3259" i="18"/>
  <c r="D3259" i="18" s="1"/>
  <c r="C1313" i="18"/>
  <c r="D1313" i="18" s="1"/>
  <c r="C2594" i="18"/>
  <c r="D2594" i="18" s="1"/>
  <c r="C2464" i="18"/>
  <c r="D2464" i="18" s="1"/>
  <c r="C1472" i="18"/>
  <c r="D1472" i="18" s="1"/>
  <c r="C2549" i="18"/>
  <c r="D2549" i="18" s="1"/>
  <c r="C177" i="10"/>
  <c r="E177" i="10" s="1"/>
  <c r="C3081" i="18"/>
  <c r="D3081" i="18" s="1"/>
  <c r="C2546" i="18"/>
  <c r="D2546" i="18" s="1"/>
  <c r="C1475" i="18"/>
  <c r="D1475" i="18" s="1"/>
  <c r="C3560" i="18"/>
  <c r="D3560" i="18" s="1"/>
  <c r="C1317" i="18"/>
  <c r="D1317" i="18" s="1"/>
  <c r="C222" i="10"/>
  <c r="E222" i="10" s="1"/>
  <c r="C3751" i="18"/>
  <c r="D3751" i="18" s="1"/>
  <c r="C3377" i="18"/>
  <c r="D3377" i="18" s="1"/>
  <c r="C617" i="18"/>
  <c r="D617" i="18" s="1"/>
  <c r="C4155" i="18"/>
  <c r="D4155" i="18" s="1"/>
  <c r="C2024" i="18"/>
  <c r="D2024" i="18" s="1"/>
  <c r="C2397" i="18"/>
  <c r="D2397" i="18" s="1"/>
  <c r="C3162" i="18"/>
  <c r="D3162" i="18" s="1"/>
  <c r="C3191" i="18"/>
  <c r="D3191" i="18" s="1"/>
  <c r="C871" i="18"/>
  <c r="D871" i="18" s="1"/>
  <c r="C2817" i="18"/>
  <c r="D2817" i="18" s="1"/>
  <c r="C667" i="18"/>
  <c r="D667" i="18" s="1"/>
  <c r="C2802" i="18"/>
  <c r="D2802" i="18" s="1"/>
  <c r="C669" i="18"/>
  <c r="D669" i="18" s="1"/>
  <c r="C2382" i="18"/>
  <c r="D2382" i="18" s="1"/>
  <c r="C1909" i="18"/>
  <c r="D1909" i="18" s="1"/>
  <c r="C1828" i="18"/>
  <c r="D1828" i="18" s="1"/>
  <c r="C2716" i="18"/>
  <c r="D2716" i="18" s="1"/>
  <c r="C2819" i="18"/>
  <c r="D2819" i="18" s="1"/>
  <c r="C2017" i="18"/>
  <c r="D2017" i="18" s="1"/>
  <c r="C1667" i="18"/>
  <c r="D1667" i="18" s="1"/>
  <c r="C4138" i="18"/>
  <c r="D4138" i="18" s="1"/>
  <c r="C672" i="18"/>
  <c r="D672" i="18" s="1"/>
  <c r="C2380" i="18"/>
  <c r="D2380" i="18" s="1"/>
  <c r="C2873" i="18"/>
  <c r="D2873" i="18" s="1"/>
  <c r="C611" i="18"/>
  <c r="D611" i="18" s="1"/>
  <c r="C849" i="18"/>
  <c r="D849" i="18" s="1"/>
  <c r="C1826" i="18"/>
  <c r="D1826" i="18" s="1"/>
  <c r="C2719" i="18"/>
  <c r="D2719" i="18" s="1"/>
  <c r="C2372" i="18"/>
  <c r="D2372" i="18" s="1"/>
  <c r="C3030" i="18"/>
  <c r="D3030" i="18" s="1"/>
  <c r="C2224" i="18"/>
  <c r="D2224" i="18" s="1"/>
  <c r="C2013" i="18"/>
  <c r="D2013" i="18" s="1"/>
  <c r="C941" i="18"/>
  <c r="D941" i="18" s="1"/>
  <c r="C2206" i="18"/>
  <c r="D2206" i="18" s="1"/>
  <c r="C2215" i="18"/>
  <c r="D2215" i="18" s="1"/>
  <c r="C1843" i="18"/>
  <c r="D1843" i="18" s="1"/>
  <c r="C3842" i="18"/>
  <c r="D3842" i="18" s="1"/>
  <c r="C2010" i="18"/>
  <c r="D2010" i="18" s="1"/>
  <c r="C4107" i="18"/>
  <c r="D4107" i="18" s="1"/>
  <c r="C924" i="18"/>
  <c r="D924" i="18" s="1"/>
  <c r="C3621" i="18"/>
  <c r="D3621" i="18" s="1"/>
  <c r="C1766" i="18"/>
  <c r="D1766" i="18" s="1"/>
  <c r="C1312" i="18"/>
  <c r="D1312" i="18" s="1"/>
  <c r="C1951" i="18"/>
  <c r="D1951" i="18" s="1"/>
  <c r="C1010" i="18"/>
  <c r="D1010" i="18" s="1"/>
  <c r="C2619" i="18"/>
  <c r="D2619" i="18" s="1"/>
  <c r="C1143" i="18"/>
  <c r="D1143" i="18" s="1"/>
  <c r="C1860" i="18"/>
  <c r="D1860" i="18" s="1"/>
  <c r="C3792" i="18"/>
  <c r="D3792" i="18" s="1"/>
  <c r="C1524" i="18"/>
  <c r="D1524" i="18" s="1"/>
  <c r="C1441" i="18"/>
  <c r="D1441" i="18" s="1"/>
  <c r="C1957" i="18"/>
  <c r="D1957" i="18" s="1"/>
  <c r="C3539" i="18"/>
  <c r="D3539" i="18" s="1"/>
  <c r="C2121" i="18"/>
  <c r="D2121" i="18" s="1"/>
  <c r="C4200" i="18"/>
  <c r="D4200" i="18" s="1"/>
  <c r="C1645" i="18"/>
  <c r="D1645" i="18" s="1"/>
  <c r="C1016" i="18"/>
  <c r="D1016" i="18" s="1"/>
  <c r="C3251" i="18"/>
  <c r="D3251" i="18" s="1"/>
  <c r="C1631" i="18"/>
  <c r="D1631" i="18" s="1"/>
  <c r="C2726" i="18"/>
  <c r="D2726" i="18" s="1"/>
  <c r="C3432" i="18"/>
  <c r="D3432" i="18" s="1"/>
  <c r="C2259" i="18"/>
  <c r="D2259" i="18" s="1"/>
  <c r="C1605" i="18"/>
  <c r="D1605" i="18" s="1"/>
  <c r="C3229" i="18"/>
  <c r="D3229" i="18" s="1"/>
  <c r="C1668" i="18"/>
  <c r="D1668" i="18" s="1"/>
  <c r="C862" i="18"/>
  <c r="D862" i="18" s="1"/>
  <c r="C619" i="18"/>
  <c r="D619" i="18" s="1"/>
  <c r="C2466" i="18"/>
  <c r="D2466" i="18" s="1"/>
  <c r="C1058" i="18"/>
  <c r="D1058" i="18" s="1"/>
  <c r="C1145" i="18"/>
  <c r="D1145" i="18" s="1"/>
  <c r="C4000" i="18"/>
  <c r="D4000" i="18" s="1"/>
  <c r="C2351" i="18"/>
  <c r="D2351" i="18" s="1"/>
  <c r="C1998" i="18"/>
  <c r="D1998" i="18" s="1"/>
  <c r="C3248" i="18"/>
  <c r="D3248" i="18" s="1"/>
  <c r="C1628" i="18"/>
  <c r="D1628" i="18" s="1"/>
  <c r="C1119" i="18"/>
  <c r="D1119" i="18" s="1"/>
  <c r="C3433" i="18"/>
  <c r="D3433" i="18" s="1"/>
  <c r="C2468" i="18"/>
  <c r="D2468" i="18" s="1"/>
  <c r="C3227" i="18"/>
  <c r="D3227" i="18" s="1"/>
  <c r="C959" i="18"/>
  <c r="D959" i="18" s="1"/>
  <c r="C189" i="10"/>
  <c r="E189" i="10" s="1"/>
  <c r="C322" i="10"/>
  <c r="E322" i="10" s="1"/>
  <c r="C2255" i="18"/>
  <c r="D2255" i="18" s="1"/>
  <c r="C2620" i="18"/>
  <c r="D2620" i="18" s="1"/>
  <c r="C2800" i="18"/>
  <c r="D2800" i="18" s="1"/>
  <c r="C1142" i="18"/>
  <c r="D1142" i="18" s="1"/>
  <c r="C228" i="10"/>
  <c r="E228" i="10" s="1"/>
  <c r="C2256" i="18"/>
  <c r="D2256" i="18" s="1"/>
  <c r="C3717" i="18"/>
  <c r="D3717" i="18" s="1"/>
  <c r="C2589" i="18"/>
  <c r="D2589" i="18" s="1"/>
  <c r="C3545" i="18"/>
  <c r="D3545" i="18" s="1"/>
  <c r="C1148" i="18"/>
  <c r="D1148" i="18" s="1"/>
  <c r="C1736" i="18"/>
  <c r="D1736" i="18" s="1"/>
  <c r="C2225" i="18"/>
  <c r="D2225" i="18" s="1"/>
  <c r="C2014" i="18"/>
  <c r="D2014" i="18" s="1"/>
  <c r="C2623" i="18"/>
  <c r="D2623" i="18" s="1"/>
  <c r="C1144" i="18"/>
  <c r="D1144" i="18" s="1"/>
  <c r="C1001" i="18"/>
  <c r="D1001" i="18" s="1"/>
  <c r="C2233" i="18"/>
  <c r="D2233" i="18" s="1"/>
  <c r="C3721" i="18"/>
  <c r="D3721" i="18" s="1"/>
  <c r="C2414" i="18"/>
  <c r="D2414" i="18" s="1"/>
  <c r="C1979" i="18"/>
  <c r="D1979" i="18" s="1"/>
  <c r="C2590" i="18"/>
  <c r="D2590" i="18" s="1"/>
  <c r="C3547" i="18"/>
  <c r="D3547" i="18" s="1"/>
  <c r="C1149" i="18"/>
  <c r="D1149" i="18" s="1"/>
  <c r="C1740" i="18"/>
  <c r="D1740" i="18" s="1"/>
  <c r="C3372" i="18"/>
  <c r="D3372" i="18" s="1"/>
  <c r="C616" i="18"/>
  <c r="D616" i="18" s="1"/>
  <c r="C1438" i="18"/>
  <c r="D1438" i="18" s="1"/>
  <c r="C618" i="18"/>
  <c r="D618" i="18" s="1"/>
  <c r="C329" i="10"/>
  <c r="E329" i="10" s="1"/>
  <c r="C3788" i="18"/>
  <c r="D3788" i="18" s="1"/>
  <c r="C1522" i="18"/>
  <c r="D1522" i="18" s="1"/>
  <c r="C1436" i="18"/>
  <c r="D1436" i="18" s="1"/>
  <c r="C3431" i="18"/>
  <c r="D3431" i="18" s="1"/>
  <c r="C1679" i="18"/>
  <c r="D1679" i="18" s="1"/>
  <c r="C1452" i="18"/>
  <c r="D1452" i="18" s="1"/>
  <c r="C3349" i="18"/>
  <c r="D3349" i="18" s="1"/>
  <c r="C607" i="18"/>
  <c r="D607" i="18" s="1"/>
  <c r="C1665" i="18"/>
  <c r="D1665" i="18" s="1"/>
  <c r="C1769" i="18"/>
  <c r="D1769" i="18" s="1"/>
  <c r="C1260" i="18"/>
  <c r="D1260" i="18" s="1"/>
  <c r="C2413" i="18"/>
  <c r="D2413" i="18" s="1"/>
  <c r="C2599" i="18"/>
  <c r="D2599" i="18" s="1"/>
  <c r="C703" i="18"/>
  <c r="D703" i="18" s="1"/>
  <c r="C614" i="18"/>
  <c r="D614" i="18" s="1"/>
  <c r="C2467" i="18"/>
  <c r="D2467" i="18" s="1"/>
  <c r="C2660" i="18"/>
  <c r="D2660" i="18" s="1"/>
  <c r="C2003" i="18"/>
  <c r="D2003" i="18" s="1"/>
  <c r="C1476" i="18"/>
  <c r="D1476" i="18" s="1"/>
  <c r="C3506" i="18"/>
  <c r="D3506" i="18" s="1"/>
  <c r="C3411" i="18"/>
  <c r="D3411" i="18" s="1"/>
  <c r="C3016" i="18"/>
  <c r="D3016" i="18" s="1"/>
  <c r="C2350" i="18"/>
  <c r="D2350" i="18" s="1"/>
  <c r="C334" i="18"/>
  <c r="D334" i="18" s="1"/>
  <c r="C1794" i="18"/>
  <c r="D1794" i="18" s="1"/>
  <c r="C2386" i="18"/>
  <c r="D2386" i="18" s="1"/>
  <c r="C2315" i="18"/>
  <c r="D2315" i="18" s="1"/>
  <c r="C3245" i="18"/>
  <c r="D3245" i="18" s="1"/>
  <c r="C1641" i="18"/>
  <c r="D1641" i="18" s="1"/>
  <c r="C1575" i="18"/>
  <c r="D1575" i="18" s="1"/>
  <c r="C2656" i="18"/>
  <c r="D2656" i="18" s="1"/>
  <c r="C3151" i="18"/>
  <c r="D3151" i="18" s="1"/>
  <c r="C3428" i="18"/>
  <c r="D3428" i="18" s="1"/>
  <c r="C3322" i="18"/>
  <c r="D3322" i="18" s="1"/>
  <c r="C2000" i="18"/>
  <c r="D2000" i="18" s="1"/>
  <c r="C1503" i="18"/>
  <c r="D1503" i="18" s="1"/>
  <c r="C2389" i="18"/>
  <c r="D2389" i="18" s="1"/>
  <c r="C2494" i="18"/>
  <c r="D2494" i="18" s="1"/>
  <c r="C2773" i="18"/>
  <c r="D2773" i="18" s="1"/>
  <c r="C982" i="18"/>
  <c r="D982" i="18" s="1"/>
  <c r="C171" i="10"/>
  <c r="E171" i="10" s="1"/>
  <c r="C577" i="18"/>
  <c r="D577" i="18" s="1"/>
  <c r="C1506" i="18"/>
  <c r="D1506" i="18" s="1"/>
  <c r="C155" i="10"/>
  <c r="E155" i="10" s="1"/>
  <c r="C1778" i="18"/>
  <c r="D1778" i="18" s="1"/>
  <c r="C2243" i="18"/>
  <c r="D2243" i="18" s="1"/>
  <c r="C2568" i="18"/>
  <c r="D2568" i="18" s="1"/>
  <c r="C2387" i="18"/>
  <c r="D2387" i="18" s="1"/>
  <c r="C1248" i="18"/>
  <c r="D1248" i="18" s="1"/>
  <c r="C2337" i="18"/>
  <c r="D2337" i="18" s="1"/>
  <c r="C2718" i="18"/>
  <c r="D2718" i="18" s="1"/>
  <c r="C1739" i="18"/>
  <c r="D1739" i="18" s="1"/>
  <c r="C2376" i="18"/>
  <c r="D2376" i="18" s="1"/>
  <c r="C2854" i="18"/>
  <c r="D2854" i="18" s="1"/>
  <c r="C1966" i="18"/>
  <c r="D1966" i="18" s="1"/>
  <c r="C1999" i="18"/>
  <c r="D1999" i="18" s="1"/>
  <c r="C727" i="18"/>
  <c r="D727" i="18" s="1"/>
  <c r="C3571" i="18"/>
  <c r="D3571" i="18" s="1"/>
  <c r="C2258" i="18"/>
  <c r="D2258" i="18" s="1"/>
  <c r="C1702" i="18"/>
  <c r="D1702" i="18" s="1"/>
  <c r="C2067" i="18"/>
  <c r="D2067" i="18" s="1"/>
  <c r="C958" i="18"/>
  <c r="D958" i="18" s="1"/>
  <c r="C2492" i="18"/>
  <c r="D2492" i="18" s="1"/>
  <c r="C977" i="18"/>
  <c r="D977" i="18" s="1"/>
  <c r="C981" i="18"/>
  <c r="D981" i="18" s="1"/>
  <c r="C2329" i="18"/>
  <c r="D2329" i="18" s="1"/>
  <c r="C2598" i="18"/>
  <c r="D2598" i="18" s="1"/>
  <c r="C3896" i="18"/>
  <c r="D3896" i="18" s="1"/>
  <c r="C2462" i="18"/>
  <c r="D2462" i="18" s="1"/>
  <c r="C2621" i="18"/>
  <c r="D2621" i="18" s="1"/>
  <c r="C2531" i="18"/>
  <c r="D2531" i="18" s="1"/>
  <c r="C2662" i="18"/>
  <c r="D2662" i="18" s="1"/>
  <c r="C670" i="18"/>
  <c r="D670" i="18" s="1"/>
  <c r="C2001" i="18"/>
  <c r="D2001" i="18" s="1"/>
  <c r="C1265" i="18"/>
  <c r="D1265" i="18" s="1"/>
  <c r="C232" i="10"/>
  <c r="E232" i="10" s="1"/>
  <c r="C1502" i="18"/>
  <c r="D1502" i="18" s="1"/>
  <c r="C756" i="18"/>
  <c r="D756" i="18" s="1"/>
  <c r="C2565" i="18"/>
  <c r="D2565" i="18" s="1"/>
  <c r="C851" i="18"/>
  <c r="D851" i="18" s="1"/>
  <c r="C81" i="10"/>
  <c r="E81" i="10" s="1"/>
  <c r="C1246" i="18"/>
  <c r="D1246" i="18" s="1"/>
  <c r="C2341" i="18"/>
  <c r="D2341" i="18" s="1"/>
  <c r="C2714" i="18"/>
  <c r="D2714" i="18" s="1"/>
  <c r="C2856" i="18"/>
  <c r="D2856" i="18" s="1"/>
  <c r="C3494" i="18"/>
  <c r="D3494" i="18" s="1"/>
  <c r="C2774" i="18"/>
  <c r="D2774" i="18" s="1"/>
  <c r="C3567" i="18"/>
  <c r="D3567" i="18" s="1"/>
  <c r="C1551" i="18"/>
  <c r="D1551" i="18" s="1"/>
  <c r="C3663" i="18"/>
  <c r="D3663" i="18" s="1"/>
  <c r="C1703" i="18"/>
  <c r="D1703" i="18" s="1"/>
  <c r="C3108" i="18"/>
  <c r="D3108" i="18" s="1"/>
  <c r="C1279" i="18"/>
  <c r="D1279" i="18" s="1"/>
  <c r="C3340" i="18"/>
  <c r="D3340" i="18" s="1"/>
  <c r="C2495" i="18"/>
  <c r="D2495" i="18" s="1"/>
  <c r="C2135" i="18"/>
  <c r="D2135" i="18" s="1"/>
  <c r="C2626" i="18"/>
  <c r="D2626" i="18" s="1"/>
  <c r="C1351" i="18"/>
  <c r="D1351" i="18" s="1"/>
  <c r="C1810" i="18"/>
  <c r="D1810" i="18" s="1"/>
  <c r="C3090" i="18"/>
  <c r="D3090" i="18" s="1"/>
  <c r="C2507" i="18"/>
  <c r="D2507" i="18" s="1"/>
  <c r="C678" i="18"/>
  <c r="D678" i="18" s="1"/>
  <c r="C2905" i="18"/>
  <c r="D2905" i="18" s="1"/>
  <c r="C1858" i="18"/>
  <c r="D1858" i="18" s="1"/>
  <c r="C1473" i="18"/>
  <c r="D1473" i="18" s="1"/>
  <c r="C3790" i="18"/>
  <c r="D3790" i="18" s="1"/>
  <c r="C299" i="10"/>
  <c r="E299" i="10" s="1"/>
  <c r="C2353" i="18"/>
  <c r="D2353" i="18" s="1"/>
  <c r="C1906" i="18"/>
  <c r="D1906" i="18" s="1"/>
  <c r="C1952" i="18"/>
  <c r="D1952" i="18" s="1"/>
  <c r="C1232" i="18"/>
  <c r="D1232" i="18" s="1"/>
  <c r="C3541" i="18"/>
  <c r="D3541" i="18" s="1"/>
  <c r="C1152" i="18"/>
  <c r="D1152" i="18" s="1"/>
  <c r="C2717" i="18"/>
  <c r="D2717" i="18" s="1"/>
  <c r="C3379" i="18"/>
  <c r="D3379" i="18" s="1"/>
  <c r="C900" i="18"/>
  <c r="D900" i="18" s="1"/>
  <c r="C3846" i="18"/>
  <c r="D3846" i="18" s="1"/>
  <c r="C3252" i="18"/>
  <c r="D3252" i="18" s="1"/>
  <c r="C3161" i="18"/>
  <c r="D3161" i="18" s="1"/>
  <c r="C1614" i="18"/>
  <c r="D1614" i="18" s="1"/>
  <c r="C1121" i="18"/>
  <c r="D1121" i="18" s="1"/>
  <c r="C3430" i="18"/>
  <c r="D3430" i="18" s="1"/>
  <c r="C2016" i="18"/>
  <c r="D2016" i="18" s="1"/>
  <c r="C3562" i="18"/>
  <c r="D3562" i="18" s="1"/>
  <c r="C680" i="18"/>
  <c r="D680" i="18" s="1"/>
  <c r="C1607" i="18"/>
  <c r="D1607" i="18" s="1"/>
  <c r="C1319" i="18"/>
  <c r="D1319" i="18" s="1"/>
  <c r="C2354" i="18"/>
  <c r="D2354" i="18" s="1"/>
  <c r="C1451" i="18"/>
  <c r="D1451" i="18" s="1"/>
  <c r="C3193" i="18"/>
  <c r="D3193" i="18" s="1"/>
  <c r="C1808" i="18"/>
  <c r="D1808" i="18" s="1"/>
  <c r="C3625" i="18"/>
  <c r="D3625" i="18" s="1"/>
  <c r="C3088" i="18"/>
  <c r="D3088" i="18" s="1"/>
  <c r="C2504" i="18"/>
  <c r="D2504" i="18" s="1"/>
  <c r="C864" i="18"/>
  <c r="D864" i="18" s="1"/>
  <c r="C3942" i="18"/>
  <c r="D3942" i="18" s="1"/>
  <c r="C1515" i="18"/>
  <c r="D1515" i="18" s="1"/>
  <c r="C1040" i="18"/>
  <c r="D1040" i="18" s="1"/>
  <c r="C2901" i="18"/>
  <c r="D2901" i="18" s="1"/>
  <c r="C4079" i="18"/>
  <c r="D4079" i="18" s="1"/>
  <c r="C537" i="18"/>
  <c r="D537" i="18" s="1"/>
  <c r="C2002" i="18"/>
  <c r="D2002" i="18" s="1"/>
  <c r="C2082" i="18"/>
  <c r="D2082" i="18" s="1"/>
  <c r="C4154" i="18"/>
  <c r="D4154" i="18" s="1"/>
  <c r="C1387" i="18"/>
  <c r="D1387" i="18" s="1"/>
  <c r="C2379" i="18"/>
  <c r="D2379" i="18" s="1"/>
  <c r="C613" i="18"/>
  <c r="D613" i="18" s="1"/>
  <c r="C2282" i="18"/>
  <c r="D2282" i="18" s="1"/>
  <c r="C1907" i="18"/>
  <c r="D1907" i="18" s="1"/>
  <c r="C2204" i="18"/>
  <c r="D2204" i="18" s="1"/>
  <c r="C3268" i="18"/>
  <c r="D3268" i="18" s="1"/>
  <c r="C1415" i="18"/>
  <c r="D1415" i="18" s="1"/>
  <c r="C1131" i="18"/>
  <c r="D1131" i="18" s="1"/>
  <c r="C1844" i="18"/>
  <c r="D1844" i="18" s="1"/>
  <c r="C356" i="10"/>
  <c r="E356" i="10" s="1"/>
  <c r="C411" i="10"/>
  <c r="E411" i="10" s="1"/>
  <c r="C1244" i="18"/>
  <c r="D1244" i="18" s="1"/>
  <c r="C599" i="18"/>
  <c r="D599" i="18" s="1"/>
  <c r="C3113" i="18"/>
  <c r="D3113" i="18" s="1"/>
  <c r="C1230" i="18"/>
  <c r="D1230" i="18" s="1"/>
  <c r="C2654" i="18"/>
  <c r="D2654" i="18" s="1"/>
  <c r="C1199" i="18"/>
  <c r="D1199" i="18" s="1"/>
  <c r="C725" i="18"/>
  <c r="D725" i="18" s="1"/>
  <c r="C2023" i="18"/>
  <c r="D2023" i="18" s="1"/>
  <c r="C3662" i="18"/>
  <c r="D3662" i="18" s="1"/>
  <c r="C942" i="18"/>
  <c r="D942" i="18" s="1"/>
  <c r="C4171" i="18"/>
  <c r="D4171" i="18" s="1"/>
  <c r="C2491" i="18"/>
  <c r="D2491" i="18" s="1"/>
  <c r="C1598" i="18"/>
  <c r="D1598" i="18" s="1"/>
  <c r="C1270" i="18"/>
  <c r="D1270" i="18" s="1"/>
  <c r="C890" i="18"/>
  <c r="D890" i="18" s="1"/>
  <c r="C2967" i="18"/>
  <c r="D2967" i="18" s="1"/>
  <c r="C663" i="18"/>
  <c r="D663" i="18" s="1"/>
  <c r="C96" i="10"/>
  <c r="E96" i="10" s="1"/>
  <c r="C462" i="10"/>
  <c r="E462" i="10" s="1"/>
  <c r="C966" i="18"/>
  <c r="D966" i="18" s="1"/>
  <c r="C3267" i="18"/>
  <c r="D3267" i="18" s="1"/>
  <c r="C2952" i="18"/>
  <c r="D2952" i="18" s="1"/>
  <c r="C1226" i="18"/>
  <c r="D1226" i="18" s="1"/>
  <c r="C473" i="10"/>
  <c r="E473" i="10" s="1"/>
  <c r="C2812" i="18"/>
  <c r="D2812" i="18" s="1"/>
  <c r="C1602" i="18"/>
  <c r="D1602" i="18" s="1"/>
  <c r="C1419" i="18"/>
  <c r="D1419" i="18" s="1"/>
  <c r="C895" i="18"/>
  <c r="D895" i="18" s="1"/>
  <c r="C2966" i="18"/>
  <c r="D2966" i="18" s="1"/>
  <c r="C2983" i="18"/>
  <c r="D2983" i="18" s="1"/>
  <c r="C1929" i="18"/>
  <c r="D1929" i="18" s="1"/>
  <c r="C4156" i="18"/>
  <c r="D4156" i="18" s="1"/>
  <c r="C3208" i="18"/>
  <c r="D3208" i="18" s="1"/>
  <c r="C2099" i="18"/>
  <c r="D2099" i="18" s="1"/>
  <c r="C2160" i="18"/>
  <c r="D2160" i="18" s="1"/>
  <c r="C2396" i="18"/>
  <c r="D2396" i="18" s="1"/>
  <c r="C2747" i="18"/>
  <c r="D2747" i="18" s="1"/>
  <c r="C3738" i="18"/>
  <c r="D3738" i="18" s="1"/>
  <c r="C1161" i="18"/>
  <c r="D1161" i="18" s="1"/>
  <c r="C609" i="18"/>
  <c r="D609" i="18" s="1"/>
  <c r="C1439" i="18"/>
  <c r="D1439" i="18" s="1"/>
  <c r="C962" i="18"/>
  <c r="D962" i="18" s="1"/>
  <c r="C3269" i="18"/>
  <c r="D3269" i="18" s="1"/>
  <c r="C2614" i="18"/>
  <c r="D2614" i="18" s="1"/>
  <c r="C1526" i="18"/>
  <c r="D1526" i="18" s="1"/>
  <c r="C2953" i="18"/>
  <c r="D2953" i="18" s="1"/>
  <c r="C1229" i="18"/>
  <c r="D1229" i="18" s="1"/>
  <c r="C3038" i="18"/>
  <c r="D3038" i="18" s="1"/>
  <c r="C1756" i="18"/>
  <c r="D1756" i="18" s="1"/>
  <c r="C935" i="18"/>
  <c r="D935" i="18" s="1"/>
  <c r="C3682" i="18"/>
  <c r="D3682" i="18" s="1"/>
  <c r="C1600" i="18"/>
  <c r="D1600" i="18" s="1"/>
  <c r="C1423" i="18"/>
  <c r="D1423" i="18" s="1"/>
  <c r="C1069" i="18"/>
  <c r="D1069" i="18" s="1"/>
  <c r="C2509" i="18"/>
  <c r="D2509" i="18" s="1"/>
  <c r="C891" i="18"/>
  <c r="D891" i="18" s="1"/>
  <c r="C2971" i="18"/>
  <c r="D2971" i="18" s="1"/>
  <c r="C2324" i="18"/>
  <c r="D2324" i="18" s="1"/>
  <c r="C2595" i="18"/>
  <c r="D2595" i="18" s="1"/>
  <c r="C2250" i="18"/>
  <c r="D2250" i="18" s="1"/>
  <c r="C1110" i="18"/>
  <c r="D1110" i="18" s="1"/>
  <c r="C2978" i="18"/>
  <c r="D2978" i="18" s="1"/>
  <c r="C664" i="18"/>
  <c r="D664" i="18" s="1"/>
  <c r="C4080" i="18"/>
  <c r="D4080" i="18" s="1"/>
  <c r="C31" i="18"/>
  <c r="D31" i="18" s="1"/>
  <c r="C2235" i="18"/>
  <c r="D2235" i="18" s="1"/>
  <c r="C408" i="10"/>
  <c r="E408" i="10" s="1"/>
  <c r="C3211" i="18"/>
  <c r="D3211" i="18" s="1"/>
  <c r="C2097" i="18"/>
  <c r="D2097" i="18" s="1"/>
  <c r="C2157" i="18"/>
  <c r="D2157" i="18" s="1"/>
  <c r="C201" i="10"/>
  <c r="E201" i="10" s="1"/>
  <c r="C2400" i="18"/>
  <c r="D2400" i="18" s="1"/>
  <c r="C2749" i="18"/>
  <c r="D2749" i="18" s="1"/>
  <c r="C1086" i="18"/>
  <c r="D1086" i="18" s="1"/>
  <c r="C610" i="18"/>
  <c r="D610" i="18" s="1"/>
  <c r="C2241" i="18"/>
  <c r="D2241" i="18" s="1"/>
  <c r="C965" i="18"/>
  <c r="D965" i="18" s="1"/>
  <c r="C3436" i="18"/>
  <c r="D3436" i="18" s="1"/>
  <c r="C2612" i="18"/>
  <c r="D2612" i="18" s="1"/>
  <c r="C1831" i="18"/>
  <c r="D1831" i="18" s="1"/>
  <c r="C1053" i="18"/>
  <c r="D1053" i="18" s="1"/>
  <c r="C1227" i="18"/>
  <c r="D1227" i="18" s="1"/>
  <c r="C3040" i="18"/>
  <c r="D3040" i="18" s="1"/>
  <c r="C3164" i="18"/>
  <c r="D3164" i="18" s="1"/>
  <c r="C461" i="10"/>
  <c r="E461" i="10" s="1"/>
  <c r="C2090" i="18"/>
  <c r="D2090" i="18" s="1"/>
  <c r="C937" i="18"/>
  <c r="D937" i="18" s="1"/>
  <c r="C3680" i="18"/>
  <c r="D3680" i="18" s="1"/>
  <c r="C3643" i="18"/>
  <c r="D3643" i="18" s="1"/>
  <c r="C3333" i="18"/>
  <c r="D3333" i="18" s="1"/>
  <c r="C2506" i="18"/>
  <c r="D2506" i="18" s="1"/>
  <c r="C892" i="18"/>
  <c r="D892" i="18" s="1"/>
  <c r="C2969" i="18"/>
  <c r="D2969" i="18" s="1"/>
  <c r="C2331" i="18"/>
  <c r="D2331" i="18" s="1"/>
  <c r="C2563" i="18"/>
  <c r="D2563" i="18" s="1"/>
  <c r="C2979" i="18"/>
  <c r="D2979" i="18" s="1"/>
  <c r="C1202" i="18"/>
  <c r="D1202" i="18" s="1"/>
  <c r="C3880" i="18"/>
  <c r="D3880" i="18" s="1"/>
  <c r="C2238" i="18"/>
  <c r="D2238" i="18" s="1"/>
  <c r="C1635" i="18"/>
  <c r="D1635" i="18" s="1"/>
  <c r="C2399" i="18"/>
  <c r="D2399" i="18" s="1"/>
  <c r="C1422" i="18"/>
  <c r="D1422" i="18" s="1"/>
  <c r="C130" i="10"/>
  <c r="E130" i="10" s="1"/>
  <c r="C2005" i="18"/>
  <c r="D2005" i="18" s="1"/>
  <c r="C1861" i="18"/>
  <c r="D1861" i="18" s="1"/>
  <c r="C2851" i="18"/>
  <c r="D2851" i="18" s="1"/>
  <c r="C2239" i="18"/>
  <c r="D2239" i="18" s="1"/>
  <c r="C709" i="18"/>
  <c r="D709" i="18" s="1"/>
  <c r="C2229" i="18"/>
  <c r="D2229" i="18" s="1"/>
  <c r="C2378" i="18"/>
  <c r="D2378" i="18" s="1"/>
  <c r="C1213" i="18"/>
  <c r="D1213" i="18" s="1"/>
  <c r="C438" i="10"/>
  <c r="E438" i="10" s="1"/>
  <c r="C3025" i="18"/>
  <c r="D3025" i="18" s="1"/>
  <c r="C1305" i="18"/>
  <c r="D1305" i="18" s="1"/>
  <c r="C2415" i="18"/>
  <c r="D2415" i="18" s="1"/>
  <c r="C2870" i="18"/>
  <c r="D2870" i="18" s="1"/>
  <c r="C2244" i="18"/>
  <c r="D2244" i="18" s="1"/>
  <c r="C1440" i="18"/>
  <c r="D1440" i="18" s="1"/>
  <c r="C2885" i="18"/>
  <c r="D2885" i="18" s="1"/>
  <c r="C750" i="18"/>
  <c r="D750" i="18" s="1"/>
  <c r="C1027" i="18"/>
  <c r="D1027" i="18" s="1"/>
  <c r="C2312" i="18"/>
  <c r="D2312" i="18" s="1"/>
  <c r="C1829" i="18"/>
  <c r="D1829" i="18" s="1"/>
  <c r="C2120" i="18"/>
  <c r="D2120" i="18" s="1"/>
  <c r="C3243" i="18"/>
  <c r="D3243" i="18" s="1"/>
  <c r="C4199" i="18"/>
  <c r="D4199" i="18" s="1"/>
  <c r="C2340" i="18"/>
  <c r="D2340" i="18" s="1"/>
  <c r="C2602" i="18"/>
  <c r="D2602" i="18" s="1"/>
  <c r="C2820" i="18"/>
  <c r="D2820" i="18" s="1"/>
  <c r="C1995" i="18"/>
  <c r="D1995" i="18" s="1"/>
  <c r="C3026" i="18"/>
  <c r="D3026" i="18" s="1"/>
  <c r="C3422" i="18"/>
  <c r="D3422" i="18" s="1"/>
  <c r="C2006" i="18"/>
  <c r="D2006" i="18" s="1"/>
  <c r="C1632" i="18"/>
  <c r="D1632" i="18" s="1"/>
  <c r="C1123" i="18"/>
  <c r="D1123" i="18" s="1"/>
  <c r="C3568" i="18"/>
  <c r="D3568" i="18" s="1"/>
  <c r="C2262" i="18"/>
  <c r="D2262" i="18" s="1"/>
  <c r="C3565" i="18"/>
  <c r="D3565" i="18" s="1"/>
  <c r="C3667" i="18"/>
  <c r="D3667" i="18" s="1"/>
  <c r="C3226" i="18"/>
  <c r="D3226" i="18" s="1"/>
  <c r="C1453" i="18"/>
  <c r="D1453" i="18" s="1"/>
  <c r="C2458" i="18"/>
  <c r="D2458" i="18" s="1"/>
  <c r="C1343" i="18"/>
  <c r="D1343" i="18" s="1"/>
  <c r="C3620" i="18"/>
  <c r="D3620" i="18" s="1"/>
  <c r="C1536" i="18"/>
  <c r="D1536" i="18" s="1"/>
  <c r="C2219" i="18"/>
  <c r="D2219" i="18" s="1"/>
  <c r="C1666" i="18"/>
  <c r="D1666" i="18" s="1"/>
  <c r="C1634" i="18"/>
  <c r="D1634" i="18" s="1"/>
  <c r="C1697" i="18"/>
  <c r="D1697" i="18" s="1"/>
  <c r="C894" i="18"/>
  <c r="D894" i="18" s="1"/>
  <c r="C2191" i="18"/>
  <c r="D2191" i="18" s="1"/>
  <c r="C446" i="10"/>
  <c r="E446" i="10" s="1"/>
  <c r="C3266" i="18"/>
  <c r="D3266" i="18" s="1"/>
  <c r="C1134" i="18"/>
  <c r="D1134" i="18" s="1"/>
  <c r="C1845" i="18"/>
  <c r="D1845" i="18" s="1"/>
  <c r="C1830" i="18"/>
  <c r="D1830" i="18" s="1"/>
  <c r="C601" i="18"/>
  <c r="D601" i="18" s="1"/>
  <c r="C1231" i="18"/>
  <c r="D1231" i="18" s="1"/>
  <c r="C2659" i="18"/>
  <c r="D2659" i="18" s="1"/>
  <c r="C3665" i="18"/>
  <c r="D3665" i="18" s="1"/>
  <c r="C3368" i="18"/>
  <c r="D3368" i="18" s="1"/>
  <c r="C1603" i="18"/>
  <c r="D1603" i="18" s="1"/>
  <c r="C1268" i="18"/>
  <c r="D1268" i="18" s="1"/>
  <c r="C3192" i="18"/>
  <c r="D3192" i="18" s="1"/>
  <c r="C3624" i="18"/>
  <c r="D3624" i="18" s="1"/>
  <c r="C1664" i="18"/>
  <c r="D1664" i="18" s="1"/>
  <c r="C1770" i="18"/>
  <c r="D1770" i="18" s="1"/>
  <c r="C1698" i="18"/>
  <c r="D1698" i="18" s="1"/>
  <c r="C2968" i="18"/>
  <c r="D2968" i="18" s="1"/>
  <c r="C2187" i="18"/>
  <c r="D2187" i="18" s="1"/>
  <c r="C888" i="18"/>
  <c r="D888" i="18" s="1"/>
  <c r="C2136" i="18"/>
  <c r="D2136" i="18" s="1"/>
  <c r="C665" i="18"/>
  <c r="D665" i="18" s="1"/>
  <c r="C170" i="10"/>
  <c r="E170" i="10" s="1"/>
  <c r="C3313" i="18"/>
  <c r="D3313" i="18" s="1"/>
  <c r="C2676" i="18"/>
  <c r="D2676" i="18" s="1"/>
  <c r="C3239" i="18"/>
  <c r="D3239" i="18" s="1"/>
  <c r="C2098" i="18"/>
  <c r="D2098" i="18" s="1"/>
  <c r="C1484" i="18"/>
  <c r="D1484" i="18" s="1"/>
  <c r="C1520" i="18"/>
  <c r="D1520" i="18" s="1"/>
  <c r="C2789" i="18"/>
  <c r="D2789" i="18" s="1"/>
  <c r="C2725" i="18"/>
  <c r="D2725" i="18" s="1"/>
  <c r="C1663" i="18"/>
  <c r="D1663" i="18" s="1"/>
  <c r="C1129" i="18"/>
  <c r="D1129" i="18" s="1"/>
  <c r="C1327" i="18"/>
  <c r="D1327" i="18" s="1"/>
  <c r="C1164" i="18"/>
  <c r="D1164" i="18" s="1"/>
  <c r="C1162" i="18"/>
  <c r="D1162" i="18" s="1"/>
  <c r="C1980" i="18"/>
  <c r="D1980" i="18" s="1"/>
  <c r="C555" i="18"/>
  <c r="D555" i="18" s="1"/>
  <c r="C3312" i="18"/>
  <c r="D3312" i="18" s="1"/>
  <c r="C2257" i="18"/>
  <c r="D2257" i="18" s="1"/>
  <c r="C2673" i="18"/>
  <c r="D2673" i="18" s="1"/>
  <c r="C708" i="18"/>
  <c r="D708" i="18" s="1"/>
  <c r="C2645" i="18"/>
  <c r="D2645" i="18" s="1"/>
  <c r="C2101" i="18"/>
  <c r="D2101" i="18" s="1"/>
  <c r="C1485" i="18"/>
  <c r="D1485" i="18" s="1"/>
  <c r="C2788" i="18"/>
  <c r="D2788" i="18" s="1"/>
  <c r="C1658" i="18"/>
  <c r="D1658" i="18" s="1"/>
  <c r="C1782" i="18"/>
  <c r="D1782" i="18" s="1"/>
  <c r="C2417" i="18"/>
  <c r="D2417" i="18" s="1"/>
  <c r="C2419" i="18"/>
  <c r="D2419" i="18" s="1"/>
  <c r="C2874" i="18"/>
  <c r="D2874" i="18" s="1"/>
  <c r="C472" i="10"/>
  <c r="E472" i="10" s="1"/>
  <c r="C2836" i="18"/>
  <c r="D2836" i="18" s="1"/>
  <c r="C429" i="10"/>
  <c r="E429" i="10" s="1"/>
  <c r="C2518" i="18"/>
  <c r="D2518" i="18" s="1"/>
  <c r="C6" i="10"/>
  <c r="E6" i="10" s="1"/>
  <c r="C36" i="10"/>
  <c r="E36" i="10" s="1"/>
  <c r="C3693" i="18"/>
  <c r="D3693" i="18" s="1"/>
  <c r="C432" i="10"/>
  <c r="E432" i="10" s="1"/>
  <c r="C1708" i="18"/>
  <c r="D1708" i="18" s="1"/>
  <c r="C917" i="18"/>
  <c r="D917" i="18" s="1"/>
  <c r="C2705" i="18"/>
  <c r="D2705" i="18" s="1"/>
  <c r="C1304" i="18"/>
  <c r="D1304" i="18" s="1"/>
  <c r="C2056" i="18"/>
  <c r="D2056" i="18" s="1"/>
  <c r="C2055" i="18"/>
  <c r="D2055" i="18" s="1"/>
  <c r="C413" i="10"/>
  <c r="E413" i="10" s="1"/>
  <c r="C3207" i="18"/>
  <c r="D3207" i="18" s="1"/>
  <c r="C2701" i="18"/>
  <c r="D2701" i="18" s="1"/>
  <c r="C2744" i="18"/>
  <c r="D2744" i="18" s="1"/>
  <c r="C1084" i="18"/>
  <c r="D1084" i="18" s="1"/>
  <c r="C1212" i="18"/>
  <c r="D1212" i="18" s="1"/>
  <c r="C2707" i="18"/>
  <c r="D2707" i="18" s="1"/>
  <c r="C1865" i="18"/>
  <c r="D1865" i="18" s="1"/>
  <c r="C3020" i="18"/>
  <c r="D3020" i="18" s="1"/>
  <c r="C1308" i="18"/>
  <c r="D1308" i="18" s="1"/>
  <c r="C3635" i="18"/>
  <c r="D3635" i="18" s="1"/>
  <c r="C3633" i="18"/>
  <c r="D3633" i="18" s="1"/>
  <c r="C3637" i="18"/>
  <c r="D3637" i="18" s="1"/>
  <c r="C556" i="18"/>
  <c r="D556" i="18" s="1"/>
  <c r="C1411" i="18"/>
  <c r="D1411" i="18" s="1"/>
  <c r="C56" i="10"/>
  <c r="E56" i="10" s="1"/>
  <c r="C1466" i="18"/>
  <c r="D1466" i="18" s="1"/>
  <c r="C2850" i="18"/>
  <c r="D2850" i="18" s="1"/>
  <c r="C1403" i="18"/>
  <c r="D1403" i="18" s="1"/>
  <c r="C4159" i="18"/>
  <c r="D4159" i="18" s="1"/>
  <c r="C2254" i="18"/>
  <c r="D2254" i="18" s="1"/>
  <c r="C2672" i="18"/>
  <c r="D2672" i="18" s="1"/>
  <c r="C3508" i="18"/>
  <c r="D3508" i="18" s="1"/>
  <c r="C2809" i="18"/>
  <c r="D2809" i="18" s="1"/>
  <c r="C1487" i="18"/>
  <c r="D1487" i="18" s="1"/>
  <c r="C164" i="10"/>
  <c r="E164" i="10" s="1"/>
  <c r="C2383" i="18"/>
  <c r="D2383" i="18" s="1"/>
  <c r="C2748" i="18"/>
  <c r="D2748" i="18" s="1"/>
  <c r="C1083" i="18"/>
  <c r="D1083" i="18" s="1"/>
  <c r="C1181" i="18"/>
  <c r="D1181" i="18" s="1"/>
  <c r="C1210" i="18"/>
  <c r="D1210" i="18" s="1"/>
  <c r="C2703" i="18"/>
  <c r="D2703" i="18" s="1"/>
  <c r="C1309" i="18"/>
  <c r="D1309" i="18" s="1"/>
  <c r="C557" i="18"/>
  <c r="D557" i="18" s="1"/>
  <c r="C3703" i="18"/>
  <c r="D3703" i="18" s="1"/>
  <c r="C418" i="10"/>
  <c r="E418" i="10" s="1"/>
  <c r="C2674" i="18"/>
  <c r="D2674" i="18" s="1"/>
  <c r="C2685" i="18"/>
  <c r="D2685" i="18" s="1"/>
  <c r="C3240" i="18"/>
  <c r="D3240" i="18" s="1"/>
  <c r="C1489" i="18"/>
  <c r="D1489" i="18" s="1"/>
  <c r="C2787" i="18"/>
  <c r="D2787" i="18" s="1"/>
  <c r="C3066" i="18"/>
  <c r="D3066" i="18" s="1"/>
  <c r="C3065" i="18"/>
  <c r="D3065" i="18" s="1"/>
  <c r="C558" i="18"/>
  <c r="D558" i="18" s="1"/>
  <c r="C2677" i="18"/>
  <c r="D2677" i="18" s="1"/>
  <c r="C3238" i="18"/>
  <c r="D3238" i="18" s="1"/>
  <c r="C1488" i="18"/>
  <c r="D1488" i="18" s="1"/>
  <c r="C2786" i="18"/>
  <c r="D2786" i="18" s="1"/>
  <c r="C1182" i="18"/>
  <c r="D1182" i="18" s="1"/>
  <c r="C1735" i="18"/>
  <c r="D1735" i="18" s="1"/>
  <c r="C383" i="10"/>
  <c r="E383" i="10" s="1"/>
  <c r="C559" i="18"/>
  <c r="D559" i="18" s="1"/>
  <c r="C1905" i="18"/>
  <c r="D1905" i="18" s="1"/>
  <c r="C967" i="18"/>
  <c r="D967" i="18" s="1"/>
  <c r="C2564" i="18"/>
  <c r="D2564" i="18" s="1"/>
  <c r="C1133" i="18"/>
  <c r="D1133" i="18" s="1"/>
  <c r="C1848" i="18"/>
  <c r="D1848" i="18" s="1"/>
  <c r="C3540" i="18"/>
  <c r="D3540" i="18" s="1"/>
  <c r="C2124" i="18"/>
  <c r="D2124" i="18" s="1"/>
  <c r="C2891" i="18"/>
  <c r="D2891" i="18" s="1"/>
  <c r="C1052" i="18"/>
  <c r="D1052" i="18" s="1"/>
  <c r="C1247" i="18"/>
  <c r="D1247" i="18" s="1"/>
  <c r="C2336" i="18"/>
  <c r="D2336" i="18" s="1"/>
  <c r="C1153" i="18"/>
  <c r="D1153" i="18" s="1"/>
  <c r="C3287" i="18"/>
  <c r="D3287" i="18" s="1"/>
  <c r="C1642" i="18"/>
  <c r="D1642" i="18" s="1"/>
  <c r="C1842" i="18"/>
  <c r="D1842" i="18" s="1"/>
  <c r="C2818" i="18"/>
  <c r="D2818" i="18" s="1"/>
  <c r="C3505" i="18"/>
  <c r="D3505" i="18" s="1"/>
  <c r="C1996" i="18"/>
  <c r="D1996" i="18" s="1"/>
  <c r="C3027" i="18"/>
  <c r="D3027" i="18" s="1"/>
  <c r="C1788" i="18"/>
  <c r="D1788" i="18" s="1"/>
  <c r="C2655" i="18"/>
  <c r="D2655" i="18" s="1"/>
  <c r="C3425" i="18"/>
  <c r="D3425" i="18" s="1"/>
  <c r="C2007" i="18"/>
  <c r="D2007" i="18" s="1"/>
  <c r="C1629" i="18"/>
  <c r="D1629" i="18" s="1"/>
  <c r="C1201" i="18"/>
  <c r="D1201" i="18" s="1"/>
  <c r="C1612" i="18"/>
  <c r="D1612" i="18" s="1"/>
  <c r="C723" i="18"/>
  <c r="D723" i="18" s="1"/>
  <c r="C1118" i="18"/>
  <c r="D1118" i="18" s="1"/>
  <c r="C3973" i="18"/>
  <c r="D3973" i="18" s="1"/>
  <c r="C2020" i="18"/>
  <c r="D2020" i="18" s="1"/>
  <c r="C684" i="18"/>
  <c r="D684" i="18" s="1"/>
  <c r="C1550" i="18"/>
  <c r="D1550" i="18" s="1"/>
  <c r="C3666" i="18"/>
  <c r="D3666" i="18" s="1"/>
  <c r="C4037" i="18"/>
  <c r="D4037" i="18" s="1"/>
  <c r="C1320" i="18"/>
  <c r="D1320" i="18" s="1"/>
  <c r="C1701" i="18"/>
  <c r="D1701" i="18" s="1"/>
  <c r="C1691" i="18"/>
  <c r="D1691" i="18" s="1"/>
  <c r="C2093" i="18"/>
  <c r="D2093" i="18" s="1"/>
  <c r="C1589" i="18"/>
  <c r="D1589" i="18" s="1"/>
  <c r="C3400" i="18"/>
  <c r="D3400" i="18" s="1"/>
  <c r="C3656" i="18"/>
  <c r="D3656" i="18" s="1"/>
  <c r="C2066" i="18"/>
  <c r="D2066" i="18" s="1"/>
  <c r="C4169" i="18"/>
  <c r="D4169" i="18" s="1"/>
  <c r="C2459" i="18"/>
  <c r="D2459" i="18" s="1"/>
  <c r="C2036" i="18"/>
  <c r="D2036" i="18" s="1"/>
  <c r="C3338" i="18"/>
  <c r="D3338" i="18" s="1"/>
  <c r="C1217" i="18"/>
  <c r="D1217" i="18" s="1"/>
  <c r="C3323" i="18"/>
  <c r="D3323" i="18" s="1"/>
  <c r="C3337" i="18"/>
  <c r="D3337" i="18" s="1"/>
  <c r="C3216" i="18"/>
  <c r="D3216" i="18" s="1"/>
  <c r="C1592" i="18"/>
  <c r="D1592" i="18" s="1"/>
  <c r="C1767" i="18"/>
  <c r="D1767" i="18" s="1"/>
  <c r="C1479" i="18"/>
  <c r="D1479" i="18" s="1"/>
  <c r="C2936" i="18"/>
  <c r="D2936" i="18" s="1"/>
  <c r="C2508" i="18"/>
  <c r="D2508" i="18" s="1"/>
  <c r="C1310" i="18"/>
  <c r="D1310" i="18" s="1"/>
  <c r="C2970" i="18"/>
  <c r="D2970" i="18" s="1"/>
  <c r="C863" i="18"/>
  <c r="D863" i="18" s="1"/>
  <c r="C1937" i="18"/>
  <c r="D1937" i="18" s="1"/>
  <c r="C2511" i="18"/>
  <c r="D2511" i="18" s="1"/>
  <c r="C1946" i="18"/>
  <c r="D1946" i="18" s="1"/>
  <c r="C889" i="18"/>
  <c r="D889" i="18" s="1"/>
  <c r="C780" i="18"/>
  <c r="D780" i="18" s="1"/>
  <c r="C2597" i="18"/>
  <c r="D2597" i="18" s="1"/>
  <c r="C1041" i="18"/>
  <c r="D1041" i="18" s="1"/>
  <c r="C2132" i="18"/>
  <c r="D2132" i="18" s="1"/>
  <c r="C1648" i="18"/>
  <c r="D1648" i="18" s="1"/>
  <c r="C677" i="18"/>
  <c r="D677" i="18" s="1"/>
  <c r="C1059" i="18"/>
  <c r="D1059" i="18" s="1"/>
  <c r="C1347" i="18"/>
  <c r="D1347" i="18" s="1"/>
  <c r="C2798" i="18"/>
  <c r="D2798" i="18" s="1"/>
  <c r="C397" i="18"/>
  <c r="D397" i="18" s="1"/>
  <c r="C3046" i="18"/>
  <c r="D3046" i="18" s="1"/>
  <c r="C2205" i="18"/>
  <c r="D2205" i="18" s="1"/>
  <c r="C1135" i="18"/>
  <c r="D1135" i="18" s="1"/>
  <c r="C3439" i="18"/>
  <c r="D3439" i="18" s="1"/>
  <c r="C3537" i="18"/>
  <c r="D3537" i="18" s="1"/>
  <c r="C2214" i="18"/>
  <c r="D2214" i="18" s="1"/>
  <c r="C2123" i="18"/>
  <c r="D2123" i="18" s="1"/>
  <c r="C2893" i="18"/>
  <c r="D2893" i="18" s="1"/>
  <c r="C3284" i="18"/>
  <c r="D3284" i="18" s="1"/>
  <c r="C2607" i="18"/>
  <c r="D2607" i="18" s="1"/>
  <c r="C2816" i="18"/>
  <c r="D2816" i="18" s="1"/>
  <c r="C1994" i="18"/>
  <c r="D1994" i="18" s="1"/>
  <c r="C3031" i="18"/>
  <c r="D3031" i="18" s="1"/>
  <c r="C2172" i="18"/>
  <c r="D2172" i="18" s="1"/>
  <c r="C2709" i="18"/>
  <c r="D2709" i="18" s="1"/>
  <c r="C1197" i="18"/>
  <c r="D1197" i="18" s="1"/>
  <c r="C1611" i="18"/>
  <c r="D1611" i="18" s="1"/>
  <c r="C722" i="18"/>
  <c r="D722" i="18" s="1"/>
  <c r="C3166" i="18"/>
  <c r="D3166" i="18" s="1"/>
  <c r="C3566" i="18"/>
  <c r="D3566" i="18" s="1"/>
  <c r="C3970" i="18"/>
  <c r="D3970" i="18" s="1"/>
  <c r="C681" i="18"/>
  <c r="D681" i="18" s="1"/>
  <c r="C3141" i="18"/>
  <c r="D3141" i="18" s="1"/>
  <c r="C2061" i="18"/>
  <c r="D2061" i="18" s="1"/>
  <c r="C1316" i="18"/>
  <c r="D1316" i="18" s="1"/>
  <c r="C1700" i="18"/>
  <c r="D1700" i="18" s="1"/>
  <c r="C1591" i="18"/>
  <c r="D1591" i="18" s="1"/>
  <c r="C2070" i="18"/>
  <c r="D2070" i="18" s="1"/>
  <c r="C830" i="18"/>
  <c r="D830" i="18" s="1"/>
  <c r="C1214" i="18"/>
  <c r="D1214" i="18" s="1"/>
  <c r="C1095" i="18"/>
  <c r="D1095" i="18" s="1"/>
  <c r="C3214" i="18"/>
  <c r="D3214" i="18" s="1"/>
  <c r="C1774" i="18"/>
  <c r="D1774" i="18" s="1"/>
  <c r="C1595" i="18"/>
  <c r="D1595" i="18" s="1"/>
  <c r="C1478" i="18"/>
  <c r="D1478" i="18" s="1"/>
  <c r="C2770" i="18"/>
  <c r="D2770" i="18" s="1"/>
  <c r="C1311" i="18"/>
  <c r="D1311" i="18" s="1"/>
  <c r="C1939" i="18"/>
  <c r="D1939" i="18" s="1"/>
  <c r="C884" i="18"/>
  <c r="D884" i="18" s="1"/>
  <c r="C779" i="18"/>
  <c r="D779" i="18" s="1"/>
  <c r="C1518" i="18"/>
  <c r="D1518" i="18" s="1"/>
  <c r="C1748" i="18"/>
  <c r="D1748" i="18" s="1"/>
  <c r="C1352" i="18"/>
  <c r="D1352" i="18" s="1"/>
  <c r="C1063" i="18"/>
  <c r="D1063" i="18" s="1"/>
  <c r="C1349" i="18"/>
  <c r="D1349" i="18" s="1"/>
  <c r="C2799" i="18"/>
  <c r="D2799" i="18" s="1"/>
  <c r="C2182" i="18"/>
  <c r="D2182" i="18" s="1"/>
  <c r="C195" i="18"/>
  <c r="D195" i="18" s="1"/>
  <c r="C429" i="18"/>
  <c r="D429" i="18" s="1"/>
  <c r="C55" i="18"/>
  <c r="D55" i="18" s="1"/>
  <c r="C1394" i="18"/>
  <c r="D1394" i="18" s="1"/>
  <c r="C2" i="10"/>
  <c r="E2" i="10" s="1"/>
  <c r="C2522" i="18"/>
  <c r="D2522" i="18" s="1"/>
  <c r="C2606" i="18"/>
  <c r="D2606" i="18" s="1"/>
  <c r="C2713" i="18"/>
  <c r="D2713" i="18" s="1"/>
  <c r="C1895" i="18"/>
  <c r="D1895" i="18" s="1"/>
  <c r="C1120" i="18"/>
  <c r="D1120" i="18" s="1"/>
  <c r="C3968" i="18"/>
  <c r="D3968" i="18" s="1"/>
  <c r="C1554" i="18"/>
  <c r="D1554" i="18" s="1"/>
  <c r="C2063" i="18"/>
  <c r="D2063" i="18" s="1"/>
  <c r="C1693" i="18"/>
  <c r="D1693" i="18" s="1"/>
  <c r="C2088" i="18"/>
  <c r="D2088" i="18" s="1"/>
  <c r="C2040" i="18"/>
  <c r="D2040" i="18" s="1"/>
  <c r="C3324" i="18"/>
  <c r="D3324" i="18" s="1"/>
  <c r="C1947" i="18"/>
  <c r="D1947" i="18" s="1"/>
  <c r="C149" i="18"/>
  <c r="D149" i="18" s="1"/>
  <c r="C338" i="18"/>
  <c r="D338" i="18" s="1"/>
  <c r="C2208" i="18"/>
  <c r="D2208" i="18" s="1"/>
  <c r="C2887" i="18"/>
  <c r="D2887" i="18" s="1"/>
  <c r="C1414" i="18"/>
  <c r="D1414" i="18" s="1"/>
  <c r="C1956" i="18"/>
  <c r="D1956" i="18" s="1"/>
  <c r="C1102" i="18"/>
  <c r="D1102" i="18" s="1"/>
  <c r="C1132" i="18"/>
  <c r="D1132" i="18" s="1"/>
  <c r="C2617" i="18"/>
  <c r="D2617" i="18" s="1"/>
  <c r="C1527" i="18"/>
  <c r="D1527" i="18" s="1"/>
  <c r="C2210" i="18"/>
  <c r="D2210" i="18" s="1"/>
  <c r="C2122" i="18"/>
  <c r="D2122" i="18" s="1"/>
  <c r="C2889" i="18"/>
  <c r="D2889" i="18" s="1"/>
  <c r="C4197" i="18"/>
  <c r="D4197" i="18" s="1"/>
  <c r="C2996" i="18"/>
  <c r="D2996" i="18" s="1"/>
  <c r="C2373" i="18"/>
  <c r="D2373" i="18" s="1"/>
  <c r="C2527" i="18"/>
  <c r="D2527" i="18" s="1"/>
  <c r="C2609" i="18"/>
  <c r="D2609" i="18" s="1"/>
  <c r="C3376" i="18"/>
  <c r="D3376" i="18" s="1"/>
  <c r="C1017" i="18"/>
  <c r="D1017" i="18" s="1"/>
  <c r="C2658" i="18"/>
  <c r="D2658" i="18" s="1"/>
  <c r="C2712" i="18"/>
  <c r="D2712" i="18" s="1"/>
  <c r="C1893" i="18"/>
  <c r="D1893" i="18" s="1"/>
  <c r="C3146" i="18"/>
  <c r="D3146" i="18" s="1"/>
  <c r="C3569" i="18"/>
  <c r="D3569" i="18" s="1"/>
  <c r="C3972" i="18"/>
  <c r="D3972" i="18" s="1"/>
  <c r="C2261" i="18"/>
  <c r="D2261" i="18" s="1"/>
  <c r="C2062" i="18"/>
  <c r="D2062" i="18" s="1"/>
  <c r="C4038" i="18"/>
  <c r="D4038" i="18" s="1"/>
  <c r="C943" i="18"/>
  <c r="D943" i="18" s="1"/>
  <c r="C2478" i="18"/>
  <c r="D2478" i="18" s="1"/>
  <c r="C2356" i="18"/>
  <c r="D2356" i="18" s="1"/>
  <c r="C3685" i="18"/>
  <c r="D3685" i="18" s="1"/>
  <c r="C2069" i="18"/>
  <c r="D2069" i="18" s="1"/>
  <c r="C2086" i="18"/>
  <c r="D2086" i="18" s="1"/>
  <c r="C1271" i="18"/>
  <c r="D1271" i="18" s="1"/>
  <c r="C867" i="18"/>
  <c r="D867" i="18" s="1"/>
  <c r="C3980" i="18"/>
  <c r="D3980" i="18" s="1"/>
  <c r="C2772" i="18"/>
  <c r="D2772" i="18" s="1"/>
  <c r="C4140" i="18"/>
  <c r="D4140" i="18" s="1"/>
  <c r="C2186" i="18"/>
  <c r="D2186" i="18" s="1"/>
  <c r="C777" i="18"/>
  <c r="D777" i="18" s="1"/>
  <c r="C2759" i="18"/>
  <c r="D2759" i="18" s="1"/>
  <c r="C2982" i="18"/>
  <c r="D2982" i="18" s="1"/>
  <c r="C3181" i="18"/>
  <c r="D3181" i="18" s="1"/>
  <c r="C3813" i="18"/>
  <c r="D3813" i="18" s="1"/>
  <c r="C1205" i="18"/>
  <c r="D1205" i="18" s="1"/>
  <c r="C3084" i="18"/>
  <c r="D3084" i="18" s="1"/>
  <c r="C4081" i="18"/>
  <c r="D4081" i="18" s="1"/>
  <c r="C1061" i="18"/>
  <c r="D1061" i="18" s="1"/>
  <c r="C2269" i="18"/>
  <c r="D2269" i="18" s="1"/>
  <c r="C182" i="18"/>
  <c r="D182" i="18" s="1"/>
  <c r="C2" i="18"/>
  <c r="D2" i="18" s="1"/>
  <c r="C2285" i="18"/>
  <c r="D2285" i="18" s="1"/>
  <c r="C1908" i="18"/>
  <c r="D1908" i="18" s="1"/>
  <c r="C2209" i="18"/>
  <c r="D2209" i="18" s="1"/>
  <c r="C2588" i="18"/>
  <c r="D2588" i="18" s="1"/>
  <c r="C2883" i="18"/>
  <c r="D2883" i="18" s="1"/>
  <c r="C1954" i="18"/>
  <c r="D1954" i="18" s="1"/>
  <c r="C751" i="18"/>
  <c r="D751" i="18" s="1"/>
  <c r="C1793" i="18"/>
  <c r="D1793" i="18" s="1"/>
  <c r="C1847" i="18"/>
  <c r="D1847" i="18" s="1"/>
  <c r="C2616" i="18"/>
  <c r="D2616" i="18" s="1"/>
  <c r="C194" i="10"/>
  <c r="E194" i="10" s="1"/>
  <c r="C1913" i="18"/>
  <c r="D1913" i="18" s="1"/>
  <c r="C365" i="18"/>
  <c r="D365" i="18" s="1"/>
  <c r="C4196" i="18"/>
  <c r="D4196" i="18" s="1"/>
  <c r="C2949" i="18"/>
  <c r="D2949" i="18" s="1"/>
  <c r="C1150" i="18"/>
  <c r="D1150" i="18" s="1"/>
  <c r="C807" i="18"/>
  <c r="D807" i="18" s="1"/>
  <c r="C2436" i="18"/>
  <c r="D2436" i="18" s="1"/>
  <c r="C2524" i="18"/>
  <c r="D2524" i="18" s="1"/>
  <c r="C2611" i="18"/>
  <c r="D2611" i="18" s="1"/>
  <c r="C3112" i="18"/>
  <c r="D3112" i="18" s="1"/>
  <c r="C3128" i="18"/>
  <c r="D3128" i="18" s="1"/>
  <c r="C2553" i="18"/>
  <c r="D2553" i="18" s="1"/>
  <c r="C3043" i="18"/>
  <c r="D3043" i="18" s="1"/>
  <c r="C2708" i="18"/>
  <c r="D2708" i="18" s="1"/>
  <c r="C1896" i="18"/>
  <c r="D1896" i="18" s="1"/>
  <c r="C3116" i="18"/>
  <c r="D3116" i="18" s="1"/>
  <c r="C3570" i="18"/>
  <c r="D3570" i="18" s="1"/>
  <c r="C3969" i="18"/>
  <c r="D3969" i="18" s="1"/>
  <c r="C2260" i="18"/>
  <c r="D2260" i="18" s="1"/>
  <c r="C2405" i="18"/>
  <c r="D2405" i="18" s="1"/>
  <c r="C1606" i="18"/>
  <c r="D1606" i="18" s="1"/>
  <c r="C2060" i="18"/>
  <c r="D2060" i="18" s="1"/>
  <c r="C1318" i="18"/>
  <c r="D1318" i="18" s="1"/>
  <c r="C1704" i="18"/>
  <c r="D1704" i="18" s="1"/>
  <c r="C939" i="18"/>
  <c r="D939" i="18" s="1"/>
  <c r="C2476" i="18"/>
  <c r="D2476" i="18" s="1"/>
  <c r="C1450" i="18"/>
  <c r="D1450" i="18" s="1"/>
  <c r="C3681" i="18"/>
  <c r="D3681" i="18" s="1"/>
  <c r="C2068" i="18"/>
  <c r="D2068" i="18" s="1"/>
  <c r="C2490" i="18"/>
  <c r="D2490" i="18" s="1"/>
  <c r="C2195" i="18"/>
  <c r="D2195" i="18" s="1"/>
  <c r="C3930" i="18"/>
  <c r="D3930" i="18" s="1"/>
  <c r="C866" i="18"/>
  <c r="D866" i="18" s="1"/>
  <c r="C551" i="18"/>
  <c r="D551" i="18" s="1"/>
  <c r="C1065" i="18"/>
  <c r="D1065" i="18" s="1"/>
  <c r="C2769" i="18"/>
  <c r="D2769" i="18" s="1"/>
  <c r="C2411" i="18"/>
  <c r="D2411" i="18" s="1"/>
  <c r="C4136" i="18"/>
  <c r="D4136" i="18" s="1"/>
  <c r="C776" i="18"/>
  <c r="D776" i="18" s="1"/>
  <c r="C2760" i="18"/>
  <c r="D2760" i="18" s="1"/>
  <c r="C699" i="18"/>
  <c r="D699" i="18" s="1"/>
  <c r="C2981" i="18"/>
  <c r="D2981" i="18" s="1"/>
  <c r="C4076" i="18"/>
  <c r="D4076" i="18" s="1"/>
  <c r="C1060" i="18"/>
  <c r="D1060" i="18" s="1"/>
  <c r="C2266" i="18"/>
  <c r="D2266" i="18" s="1"/>
  <c r="C320" i="18"/>
  <c r="D320" i="18" s="1"/>
  <c r="C2179" i="18"/>
  <c r="D2179" i="18" s="1"/>
  <c r="C363" i="18"/>
  <c r="D363" i="18" s="1"/>
  <c r="C1566" i="18"/>
  <c r="D1566" i="18" s="1"/>
  <c r="C2211" i="18"/>
  <c r="D2211" i="18" s="1"/>
  <c r="C1398" i="18"/>
  <c r="D1398" i="18" s="1"/>
  <c r="C1037" i="18"/>
  <c r="D1037" i="18" s="1"/>
  <c r="C1757" i="18"/>
  <c r="D1757" i="18" s="1"/>
  <c r="C2089" i="18"/>
  <c r="D2089" i="18" s="1"/>
  <c r="C3859" i="18"/>
  <c r="D3859" i="18" s="1"/>
  <c r="C1990" i="18"/>
  <c r="D1990" i="18" s="1"/>
  <c r="C3812" i="18"/>
  <c r="D3812" i="18" s="1"/>
  <c r="C1207" i="18"/>
  <c r="D1207" i="18" s="1"/>
  <c r="C122" i="18"/>
  <c r="D122" i="18" s="1"/>
  <c r="C2177" i="18"/>
  <c r="D2177" i="18" s="1"/>
  <c r="C1900" i="18"/>
  <c r="D1900" i="18" s="1"/>
  <c r="C2613" i="18"/>
  <c r="D2613" i="18" s="1"/>
  <c r="C3536" i="18"/>
  <c r="D3536" i="18" s="1"/>
  <c r="C2610" i="18"/>
  <c r="D2610" i="18" s="1"/>
  <c r="C2780" i="18"/>
  <c r="D2780" i="18" s="1"/>
  <c r="C3583" i="18"/>
  <c r="D3583" i="18" s="1"/>
  <c r="C2113" i="18"/>
  <c r="D2113" i="18" s="1"/>
  <c r="C3321" i="18"/>
  <c r="D3321" i="18" s="1"/>
  <c r="C3217" i="18"/>
  <c r="D3217" i="18" s="1"/>
  <c r="C1483" i="18"/>
  <c r="D1483" i="18" s="1"/>
  <c r="C2768" i="18"/>
  <c r="D2768" i="18" s="1"/>
  <c r="C1314" i="18"/>
  <c r="D1314" i="18" s="1"/>
  <c r="C4137" i="18"/>
  <c r="D4137" i="18" s="1"/>
  <c r="C2330" i="18"/>
  <c r="D2330" i="18" s="1"/>
  <c r="C2188" i="18"/>
  <c r="D2188" i="18" s="1"/>
  <c r="C1684" i="18"/>
  <c r="D1684" i="18" s="1"/>
  <c r="C3878" i="18"/>
  <c r="D3878" i="18" s="1"/>
  <c r="C2803" i="18"/>
  <c r="D2803" i="18" s="1"/>
  <c r="C367" i="18"/>
  <c r="D367" i="18" s="1"/>
  <c r="C2866" i="18"/>
  <c r="D2866" i="18" s="1"/>
  <c r="C921" i="18"/>
  <c r="D921" i="18" s="1"/>
  <c r="C2832" i="18"/>
  <c r="D2832" i="18" s="1"/>
  <c r="C1215" i="18"/>
  <c r="D1215" i="18" s="1"/>
  <c r="C3325" i="18"/>
  <c r="D3325" i="18" s="1"/>
  <c r="C604" i="18"/>
  <c r="D604" i="18" s="1"/>
  <c r="C3213" i="18"/>
  <c r="D3213" i="18" s="1"/>
  <c r="C974" i="18"/>
  <c r="D974" i="18" s="1"/>
  <c r="C2326" i="18"/>
  <c r="D2326" i="18" s="1"/>
  <c r="C4078" i="18"/>
  <c r="D4078" i="18" s="1"/>
  <c r="C139" i="18"/>
  <c r="D139" i="18" s="1"/>
  <c r="C1931" i="18"/>
  <c r="D1931" i="18" s="1"/>
  <c r="C574" i="18"/>
  <c r="D574" i="18" s="1"/>
  <c r="C1709" i="18"/>
  <c r="D1709" i="18" s="1"/>
  <c r="C1467" i="18"/>
  <c r="D1467" i="18" s="1"/>
  <c r="C1002" i="18"/>
  <c r="D1002" i="18" s="1"/>
  <c r="C2520" i="18"/>
  <c r="D2520" i="18" s="1"/>
  <c r="C1543" i="18"/>
  <c r="D1543" i="18" s="1"/>
  <c r="C1385" i="18"/>
  <c r="D1385" i="18" s="1"/>
  <c r="C705" i="18"/>
  <c r="D705" i="18" s="1"/>
  <c r="C1638" i="18"/>
  <c r="D1638" i="18" s="1"/>
  <c r="C3241" i="18"/>
  <c r="D3241" i="18" s="1"/>
  <c r="C3209" i="18"/>
  <c r="D3209" i="18" s="1"/>
  <c r="C1505" i="18"/>
  <c r="D1505" i="18" s="1"/>
  <c r="C2699" i="18"/>
  <c r="D2699" i="18" s="1"/>
  <c r="C2156" i="18"/>
  <c r="D2156" i="18" s="1"/>
  <c r="C3793" i="18"/>
  <c r="D3793" i="18" s="1"/>
  <c r="C2232" i="18"/>
  <c r="D2232" i="18" s="1"/>
  <c r="C2745" i="18"/>
  <c r="D2745" i="18" s="1"/>
  <c r="C1523" i="18"/>
  <c r="D1523" i="18" s="1"/>
  <c r="C1082" i="18"/>
  <c r="D1082" i="18" s="1"/>
  <c r="C2721" i="18"/>
  <c r="D2721" i="18" s="1"/>
  <c r="C1128" i="18"/>
  <c r="D1128" i="18" s="1"/>
  <c r="C791" i="18"/>
  <c r="D791" i="18" s="1"/>
  <c r="C793" i="18"/>
  <c r="D793" i="18" s="1"/>
  <c r="C789" i="18"/>
  <c r="D789" i="18" s="1"/>
  <c r="C792" i="18"/>
  <c r="D792" i="18" s="1"/>
  <c r="C788" i="18"/>
  <c r="D788" i="18" s="1"/>
  <c r="C1930" i="18"/>
  <c r="D1930" i="18" s="1"/>
  <c r="C576" i="18"/>
  <c r="D576" i="18" s="1"/>
  <c r="C1711" i="18"/>
  <c r="D1711" i="18" s="1"/>
  <c r="C1364" i="18"/>
  <c r="D1364" i="18" s="1"/>
  <c r="C2516" i="18"/>
  <c r="D2516" i="18" s="1"/>
  <c r="C4002" i="18"/>
  <c r="D4002" i="18" s="1"/>
  <c r="C1538" i="18"/>
  <c r="D1538" i="18" s="1"/>
  <c r="C1383" i="18"/>
  <c r="D1383" i="18" s="1"/>
  <c r="C2697" i="18"/>
  <c r="D2697" i="18" s="1"/>
  <c r="C2161" i="18"/>
  <c r="D2161" i="18" s="1"/>
  <c r="C2231" i="18"/>
  <c r="D2231" i="18" s="1"/>
  <c r="C2720" i="18"/>
  <c r="D2720" i="18" s="1"/>
  <c r="C1659" i="18"/>
  <c r="D1659" i="18" s="1"/>
  <c r="C1660" i="18"/>
  <c r="D1660" i="18" s="1"/>
  <c r="C1461" i="18"/>
  <c r="D1461" i="18" s="1"/>
  <c r="C1465" i="18"/>
  <c r="D1465" i="18" s="1"/>
  <c r="C1462" i="18"/>
  <c r="D1462" i="18" s="1"/>
  <c r="C1463" i="18"/>
  <c r="D1463" i="18" s="1"/>
  <c r="C1460" i="18"/>
  <c r="D1460" i="18" s="1"/>
  <c r="C1464" i="18"/>
  <c r="D1464" i="18" s="1"/>
  <c r="C1933" i="18"/>
  <c r="D1933" i="18" s="1"/>
  <c r="C3281" i="18"/>
  <c r="D3281" i="18" s="1"/>
  <c r="C2150" i="18"/>
  <c r="D2150" i="18" s="1"/>
  <c r="C1366" i="18"/>
  <c r="D1366" i="18" s="1"/>
  <c r="C2519" i="18"/>
  <c r="D2519" i="18" s="1"/>
  <c r="C1539" i="18"/>
  <c r="D1539" i="18" s="1"/>
  <c r="C2162" i="18"/>
  <c r="D2162" i="18" s="1"/>
  <c r="C719" i="18"/>
  <c r="D719" i="18" s="1"/>
  <c r="C3743" i="18"/>
  <c r="D3743" i="18" s="1"/>
  <c r="C2152" i="18"/>
  <c r="D2152" i="18" s="1"/>
  <c r="C3311" i="18"/>
  <c r="D3311" i="18" s="1"/>
  <c r="C2849" i="18"/>
  <c r="D2849" i="18" s="1"/>
  <c r="C1365" i="18"/>
  <c r="D1365" i="18" s="1"/>
  <c r="C2521" i="18"/>
  <c r="D2521" i="18" s="1"/>
  <c r="C952" i="18"/>
  <c r="D952" i="18" s="1"/>
  <c r="C1402" i="18"/>
  <c r="D1402" i="18" s="1"/>
  <c r="C4158" i="18"/>
  <c r="D4158" i="18" s="1"/>
  <c r="C2253" i="18"/>
  <c r="D2253" i="18" s="1"/>
  <c r="C2234" i="18"/>
  <c r="D2234" i="18" s="1"/>
  <c r="C2684" i="18"/>
  <c r="D2684" i="18" s="1"/>
  <c r="C3510" i="18"/>
  <c r="D3510" i="18" s="1"/>
  <c r="C1636" i="18"/>
  <c r="D1636" i="18" s="1"/>
  <c r="C3236" i="18"/>
  <c r="D3236" i="18" s="1"/>
  <c r="C3206" i="18"/>
  <c r="D3206" i="18" s="1"/>
  <c r="C1507" i="18"/>
  <c r="D1507" i="18" s="1"/>
  <c r="C2025" i="18"/>
  <c r="D2025" i="18" s="1"/>
  <c r="C2230" i="18"/>
  <c r="D2230" i="18" s="1"/>
  <c r="C2398" i="18"/>
  <c r="D2398" i="18" s="1"/>
  <c r="C2583" i="18"/>
  <c r="D2583" i="18" s="1"/>
  <c r="C1525" i="18"/>
  <c r="D1525" i="18" s="1"/>
  <c r="C1087" i="18"/>
  <c r="D1087" i="18" s="1"/>
  <c r="C2724" i="18"/>
  <c r="D2724" i="18" s="1"/>
  <c r="C1209" i="18"/>
  <c r="D1209" i="18" s="1"/>
  <c r="C1211" i="18"/>
  <c r="D1211" i="18" s="1"/>
  <c r="C3737" i="18"/>
  <c r="D3737" i="18" s="1"/>
  <c r="C3736" i="18"/>
  <c r="D3736" i="18" s="1"/>
  <c r="C3739" i="18"/>
  <c r="D3739" i="18" s="1"/>
  <c r="C1470" i="18"/>
  <c r="D1470" i="18" s="1"/>
  <c r="C3745" i="18"/>
  <c r="D3745" i="18" s="1"/>
  <c r="C2155" i="18"/>
  <c r="D2155" i="18" s="1"/>
  <c r="C2846" i="18"/>
  <c r="D2846" i="18" s="1"/>
  <c r="C1369" i="18"/>
  <c r="D1369" i="18" s="1"/>
  <c r="C2517" i="18"/>
  <c r="D2517" i="18" s="1"/>
  <c r="C4001" i="18"/>
  <c r="D4001" i="18" s="1"/>
  <c r="C950" i="18"/>
  <c r="D950" i="18" s="1"/>
  <c r="C1540" i="18"/>
  <c r="D1540" i="18" s="1"/>
  <c r="C1474" i="18"/>
  <c r="D1474" i="18" s="1"/>
  <c r="C43" i="10"/>
  <c r="E43" i="10" s="1"/>
  <c r="C2686" i="18"/>
  <c r="D2686" i="18" s="1"/>
  <c r="C3509" i="18"/>
  <c r="D3509" i="18" s="1"/>
  <c r="C2646" i="18"/>
  <c r="D2646" i="18" s="1"/>
  <c r="C1325" i="18"/>
  <c r="D1325" i="18" s="1"/>
  <c r="C1323" i="18"/>
  <c r="D1323" i="18" s="1"/>
  <c r="C1928" i="18"/>
  <c r="D1928" i="18" s="1"/>
  <c r="C3282" i="18"/>
  <c r="D3282" i="18" s="1"/>
  <c r="C1471" i="18"/>
  <c r="D1471" i="18" s="1"/>
  <c r="C3744" i="18"/>
  <c r="D3744" i="18" s="1"/>
  <c r="C998" i="18"/>
  <c r="D998" i="18" s="1"/>
  <c r="C2154" i="18"/>
  <c r="D2154" i="18" s="1"/>
  <c r="C914" i="18"/>
  <c r="D914" i="18" s="1"/>
  <c r="C2847" i="18"/>
  <c r="D2847" i="18" s="1"/>
  <c r="C1368" i="18"/>
  <c r="D1368" i="18" s="1"/>
  <c r="C3999" i="18"/>
  <c r="D3999" i="18" s="1"/>
  <c r="C954" i="18"/>
  <c r="D954" i="18" s="1"/>
  <c r="C3701" i="18"/>
  <c r="D3701" i="18" s="1"/>
  <c r="C125" i="10"/>
  <c r="E125" i="10" s="1"/>
  <c r="C468" i="10"/>
  <c r="E468" i="10" s="1"/>
  <c r="C1541" i="18"/>
  <c r="D1541" i="18" s="1"/>
  <c r="C2689" i="18"/>
  <c r="D2689" i="18" s="1"/>
  <c r="C2642" i="18"/>
  <c r="D2642" i="18" s="1"/>
  <c r="C2291" i="18"/>
  <c r="D2291" i="18" s="1"/>
  <c r="C2289" i="18"/>
  <c r="D2289" i="18" s="1"/>
  <c r="C2293" i="18"/>
  <c r="D2293" i="18" s="1"/>
  <c r="C2290" i="18"/>
  <c r="D2290" i="18" s="1"/>
  <c r="C3283" i="18"/>
  <c r="D3283" i="18" s="1"/>
  <c r="C1468" i="18"/>
  <c r="D1468" i="18" s="1"/>
  <c r="C3741" i="18"/>
  <c r="D3741" i="18" s="1"/>
  <c r="C2079" i="18"/>
  <c r="D2079" i="18" s="1"/>
  <c r="C1000" i="18"/>
  <c r="D1000" i="18" s="1"/>
  <c r="C2153" i="18"/>
  <c r="D2153" i="18" s="1"/>
  <c r="C915" i="18"/>
  <c r="D915" i="18" s="1"/>
  <c r="C2848" i="18"/>
  <c r="D2848" i="18" s="1"/>
  <c r="C4003" i="18"/>
  <c r="D4003" i="18" s="1"/>
  <c r="C953" i="18"/>
  <c r="D953" i="18" s="1"/>
  <c r="C1382" i="18"/>
  <c r="D1382" i="18" s="1"/>
  <c r="C2687" i="18"/>
  <c r="D2687" i="18" s="1"/>
  <c r="C704" i="18"/>
  <c r="D704" i="18" s="1"/>
  <c r="C2807" i="18"/>
  <c r="D2807" i="18" s="1"/>
  <c r="C3237" i="18"/>
  <c r="D3237" i="18" s="1"/>
  <c r="C2100" i="18"/>
  <c r="D2100" i="18" s="1"/>
  <c r="C485" i="10"/>
  <c r="E485" i="10" s="1"/>
  <c r="C2158" i="18"/>
  <c r="D2158" i="18" s="1"/>
  <c r="C271" i="10"/>
  <c r="E271" i="10" s="1"/>
  <c r="C193" i="10"/>
  <c r="E193" i="10" s="1"/>
  <c r="C450" i="10"/>
  <c r="E450" i="10" s="1"/>
  <c r="C794" i="18"/>
  <c r="D794" i="18" s="1"/>
  <c r="C797" i="18"/>
  <c r="D797" i="18" s="1"/>
  <c r="C799" i="18"/>
  <c r="D799" i="18" s="1"/>
  <c r="C796" i="18"/>
  <c r="D796" i="18" s="1"/>
  <c r="C279" i="10"/>
  <c r="E279" i="10" s="1"/>
  <c r="C129" i="10"/>
  <c r="E129" i="10" s="1"/>
  <c r="C2696" i="18"/>
  <c r="D2696" i="18" s="1"/>
  <c r="C2722" i="18"/>
  <c r="D2722" i="18" s="1"/>
  <c r="C1662" i="18"/>
  <c r="D1662" i="18" s="1"/>
  <c r="C495" i="10"/>
  <c r="E495" i="10" s="1"/>
  <c r="C2706" i="18"/>
  <c r="D2706" i="18" s="1"/>
  <c r="C2704" i="18"/>
  <c r="D2704" i="18" s="1"/>
  <c r="C3694" i="18"/>
  <c r="D3694" i="18" s="1"/>
  <c r="C3692" i="18"/>
  <c r="D3692" i="18" s="1"/>
  <c r="C3697" i="18"/>
  <c r="D3697" i="18" s="1"/>
  <c r="C3696" i="18"/>
  <c r="D3696" i="18" s="1"/>
  <c r="C3695" i="18"/>
  <c r="D3695" i="18" s="1"/>
  <c r="C2343" i="18"/>
  <c r="D2343" i="18" s="1"/>
  <c r="C1103" i="18"/>
  <c r="D1103" i="18" s="1"/>
  <c r="C2301" i="18"/>
  <c r="D2301" i="18" s="1"/>
  <c r="C3487" i="18"/>
  <c r="D3487" i="18" s="1"/>
  <c r="C3467" i="18"/>
  <c r="D3467" i="18" s="1"/>
  <c r="C3503" i="18"/>
  <c r="D3503" i="18" s="1"/>
  <c r="C3131" i="18"/>
  <c r="D3131" i="18" s="1"/>
  <c r="C3840" i="18"/>
  <c r="D3840" i="18" s="1"/>
  <c r="C2864" i="18"/>
  <c r="D2864" i="18" s="1"/>
  <c r="C3443" i="18"/>
  <c r="D3443" i="18" s="1"/>
  <c r="C3350" i="18"/>
  <c r="D3350" i="18" s="1"/>
  <c r="C1758" i="18"/>
  <c r="D1758" i="18" s="1"/>
  <c r="C2843" i="18"/>
  <c r="D2843" i="18" s="1"/>
  <c r="C333" i="10"/>
  <c r="E333" i="10" s="1"/>
  <c r="C2963" i="18"/>
  <c r="D2963" i="18" s="1"/>
  <c r="C2965" i="18"/>
  <c r="D2965" i="18" s="1"/>
  <c r="C2960" i="18"/>
  <c r="D2960" i="18" s="1"/>
  <c r="C1721" i="18"/>
  <c r="D1721" i="18" s="1"/>
  <c r="C1719" i="18"/>
  <c r="D1719" i="18" s="1"/>
  <c r="C1718" i="18"/>
  <c r="D1718" i="18" s="1"/>
  <c r="C2345" i="18"/>
  <c r="D2345" i="18" s="1"/>
  <c r="C1101" i="18"/>
  <c r="D1101" i="18" s="1"/>
  <c r="C749" i="18"/>
  <c r="D749" i="18" s="1"/>
  <c r="C2304" i="18"/>
  <c r="D2304" i="18" s="1"/>
  <c r="C364" i="18"/>
  <c r="D364" i="18" s="1"/>
  <c r="C1567" i="18"/>
  <c r="D1567" i="18" s="1"/>
  <c r="C3485" i="18"/>
  <c r="D3485" i="18" s="1"/>
  <c r="C2213" i="18"/>
  <c r="D2213" i="18" s="1"/>
  <c r="C3242" i="18"/>
  <c r="D3242" i="18" s="1"/>
  <c r="C4198" i="18"/>
  <c r="D4198" i="18" s="1"/>
  <c r="C1397" i="18"/>
  <c r="D1397" i="18" s="1"/>
  <c r="C3469" i="18"/>
  <c r="D3469" i="18" s="1"/>
  <c r="C140" i="10"/>
  <c r="E140" i="10" s="1"/>
  <c r="C809" i="18"/>
  <c r="D809" i="18" s="1"/>
  <c r="C1644" i="18"/>
  <c r="D1644" i="18" s="1"/>
  <c r="C2855" i="18"/>
  <c r="D2855" i="18" s="1"/>
  <c r="C600" i="18"/>
  <c r="D600" i="18" s="1"/>
  <c r="C1839" i="18"/>
  <c r="D1839" i="18" s="1"/>
  <c r="C3110" i="18"/>
  <c r="D3110" i="18" s="1"/>
  <c r="C3501" i="18"/>
  <c r="D3501" i="18" s="1"/>
  <c r="C3133" i="18"/>
  <c r="D3133" i="18" s="1"/>
  <c r="C1020" i="18"/>
  <c r="D1020" i="18" s="1"/>
  <c r="C3097" i="18"/>
  <c r="D3097" i="18" s="1"/>
  <c r="C3838" i="18"/>
  <c r="D3838" i="18" s="1"/>
  <c r="C3168" i="18"/>
  <c r="D3168" i="18" s="1"/>
  <c r="C2869" i="18"/>
  <c r="D2869" i="18" s="1"/>
  <c r="C3444" i="18"/>
  <c r="D3444" i="18" s="1"/>
  <c r="C3354" i="18"/>
  <c r="D3354" i="18" s="1"/>
  <c r="C1754" i="18"/>
  <c r="D1754" i="18" s="1"/>
  <c r="C1678" i="18"/>
  <c r="D1678" i="18" s="1"/>
  <c r="C2844" i="18"/>
  <c r="D2844" i="18" s="1"/>
  <c r="C2094" i="18"/>
  <c r="D2094" i="18" s="1"/>
  <c r="C1497" i="18"/>
  <c r="D1497" i="18" s="1"/>
  <c r="C957" i="18"/>
  <c r="D957" i="18" s="1"/>
  <c r="C956" i="18"/>
  <c r="D956" i="18" s="1"/>
  <c r="C2104" i="18"/>
  <c r="D2104" i="18" s="1"/>
  <c r="C2106" i="18"/>
  <c r="D2106" i="18" s="1"/>
  <c r="C1780" i="18"/>
  <c r="D1780" i="18" s="1"/>
  <c r="C3064" i="18"/>
  <c r="D3064" i="18" s="1"/>
  <c r="C1713" i="18"/>
  <c r="D1713" i="18" s="1"/>
  <c r="C2344" i="18"/>
  <c r="D2344" i="18" s="1"/>
  <c r="C2348" i="18"/>
  <c r="D2348" i="18" s="1"/>
  <c r="C1975" i="18"/>
  <c r="D1975" i="18" s="1"/>
  <c r="C2886" i="18"/>
  <c r="D2886" i="18" s="1"/>
  <c r="C2175" i="18"/>
  <c r="D2175" i="18" s="1"/>
  <c r="C1033" i="18"/>
  <c r="D1033" i="18" s="1"/>
  <c r="C1100" i="18"/>
  <c r="D1100" i="18" s="1"/>
  <c r="C747" i="18"/>
  <c r="D747" i="18" s="1"/>
  <c r="C2305" i="18"/>
  <c r="D2305" i="18" s="1"/>
  <c r="C1562" i="18"/>
  <c r="D1562" i="18" s="1"/>
  <c r="C3486" i="18"/>
  <c r="D3486" i="18" s="1"/>
  <c r="C3464" i="18"/>
  <c r="D3464" i="18" s="1"/>
  <c r="C3749" i="18"/>
  <c r="D3749" i="18" s="1"/>
  <c r="C2433" i="18"/>
  <c r="D2433" i="18" s="1"/>
  <c r="C3504" i="18"/>
  <c r="D3504" i="18" s="1"/>
  <c r="C3132" i="18"/>
  <c r="D3132" i="18" s="1"/>
  <c r="C3096" i="18"/>
  <c r="D3096" i="18" s="1"/>
  <c r="C3841" i="18"/>
  <c r="D3841" i="18" s="1"/>
  <c r="C3169" i="18"/>
  <c r="D3169" i="18" s="1"/>
  <c r="C2868" i="18"/>
  <c r="D2868" i="18" s="1"/>
  <c r="C3441" i="18"/>
  <c r="D3441" i="18" s="1"/>
  <c r="C3355" i="18"/>
  <c r="D3355" i="18" s="1"/>
  <c r="C2989" i="18"/>
  <c r="D2989" i="18" s="1"/>
  <c r="C1755" i="18"/>
  <c r="D1755" i="18" s="1"/>
  <c r="C1681" i="18"/>
  <c r="D1681" i="18" s="1"/>
  <c r="C1688" i="18"/>
  <c r="D1688" i="18" s="1"/>
  <c r="C2842" i="18"/>
  <c r="D2842" i="18" s="1"/>
  <c r="C940" i="18"/>
  <c r="D940" i="18" s="1"/>
  <c r="C2092" i="18"/>
  <c r="D2092" i="18" s="1"/>
  <c r="C2358" i="18"/>
  <c r="D2358" i="18" s="1"/>
  <c r="C3403" i="18"/>
  <c r="D3403" i="18" s="1"/>
  <c r="C1500" i="18"/>
  <c r="D1500" i="18" s="1"/>
  <c r="C1169" i="18"/>
  <c r="D1169" i="18" s="1"/>
  <c r="C932" i="18"/>
  <c r="D932" i="18" s="1"/>
  <c r="C2087" i="18"/>
  <c r="D2087" i="18" s="1"/>
  <c r="C2460" i="18"/>
  <c r="D2460" i="18" s="1"/>
  <c r="C2457" i="18"/>
  <c r="D2457" i="18" s="1"/>
  <c r="C831" i="18"/>
  <c r="D831" i="18" s="1"/>
  <c r="C1269" i="18"/>
  <c r="D1269" i="18" s="1"/>
  <c r="C1273" i="18"/>
  <c r="D1273" i="18" s="1"/>
  <c r="C1802" i="18"/>
  <c r="D1802" i="18" s="1"/>
  <c r="C1779" i="18"/>
  <c r="D1779" i="18" s="1"/>
  <c r="C1307" i="18"/>
  <c r="D1307" i="18" s="1"/>
  <c r="C2872" i="18"/>
  <c r="D2872" i="18" s="1"/>
  <c r="C3067" i="18"/>
  <c r="D3067" i="18" s="1"/>
  <c r="C178" i="10"/>
  <c r="E178" i="10" s="1"/>
  <c r="C1716" i="18"/>
  <c r="D1716" i="18" s="1"/>
  <c r="C2347" i="18"/>
  <c r="D2347" i="18" s="1"/>
  <c r="C2349" i="18"/>
  <c r="D2349" i="18" s="1"/>
  <c r="C2593" i="18"/>
  <c r="D2593" i="18" s="1"/>
  <c r="C963" i="18"/>
  <c r="D963" i="18" s="1"/>
  <c r="C2884" i="18"/>
  <c r="D2884" i="18" s="1"/>
  <c r="C3271" i="18"/>
  <c r="D3271" i="18" s="1"/>
  <c r="C2176" i="18"/>
  <c r="D2176" i="18" s="1"/>
  <c r="C1028" i="18"/>
  <c r="D1028" i="18" s="1"/>
  <c r="C337" i="18"/>
  <c r="D337" i="18" s="1"/>
  <c r="C1104" i="18"/>
  <c r="D1104" i="18" s="1"/>
  <c r="C746" i="18"/>
  <c r="D746" i="18" s="1"/>
  <c r="C1023" i="18"/>
  <c r="D1023" i="18" s="1"/>
  <c r="C2300" i="18"/>
  <c r="D2300" i="18" s="1"/>
  <c r="C1564" i="18"/>
  <c r="D1564" i="18" s="1"/>
  <c r="C3246" i="18"/>
  <c r="D3246" i="18" s="1"/>
  <c r="C365" i="10"/>
  <c r="E365" i="10" s="1"/>
  <c r="C2338" i="18"/>
  <c r="D2338" i="18" s="1"/>
  <c r="C1396" i="18"/>
  <c r="D1396" i="18" s="1"/>
  <c r="C2997" i="18"/>
  <c r="D2997" i="18" s="1"/>
  <c r="C3746" i="18"/>
  <c r="D3746" i="18" s="1"/>
  <c r="C2437" i="18"/>
  <c r="D2437" i="18" s="1"/>
  <c r="C1643" i="18"/>
  <c r="D1643" i="18" s="1"/>
  <c r="C1038" i="18"/>
  <c r="D1038" i="18" s="1"/>
  <c r="C1838" i="18"/>
  <c r="D1838" i="18" s="1"/>
  <c r="C4144" i="18"/>
  <c r="D4144" i="18" s="1"/>
  <c r="C1576" i="18"/>
  <c r="D1576" i="18" s="1"/>
  <c r="C3498" i="18"/>
  <c r="D3498" i="18" s="1"/>
  <c r="C3500" i="18"/>
  <c r="D3500" i="18" s="1"/>
  <c r="C3129" i="18"/>
  <c r="D3129" i="18" s="1"/>
  <c r="C3845" i="18"/>
  <c r="D3845" i="18" s="1"/>
  <c r="C2711" i="18"/>
  <c r="D2711" i="18" s="1"/>
  <c r="C3095" i="18"/>
  <c r="D3095" i="18" s="1"/>
  <c r="C2777" i="18"/>
  <c r="D2777" i="18" s="1"/>
  <c r="C1633" i="18"/>
  <c r="D1633" i="18" s="1"/>
  <c r="C2731" i="18"/>
  <c r="D2731" i="18" s="1"/>
  <c r="C3837" i="18"/>
  <c r="D3837" i="18" s="1"/>
  <c r="C3167" i="18"/>
  <c r="D3167" i="18" s="1"/>
  <c r="C2867" i="18"/>
  <c r="D2867" i="18" s="1"/>
  <c r="C4106" i="18"/>
  <c r="D4106" i="18" s="1"/>
  <c r="C2403" i="18"/>
  <c r="D2403" i="18" s="1"/>
  <c r="C3445" i="18"/>
  <c r="D3445" i="18" s="1"/>
  <c r="C2985" i="18"/>
  <c r="D2985" i="18" s="1"/>
  <c r="C1676" i="18"/>
  <c r="D1676" i="18" s="1"/>
  <c r="C2065" i="18"/>
  <c r="D2065" i="18" s="1"/>
  <c r="C176" i="10"/>
  <c r="E176" i="10" s="1"/>
  <c r="C2469" i="18"/>
  <c r="D2469" i="18" s="1"/>
  <c r="C2845" i="18"/>
  <c r="D2845" i="18" s="1"/>
  <c r="C2095" i="18"/>
  <c r="D2095" i="18" s="1"/>
  <c r="C2359" i="18"/>
  <c r="D2359" i="18" s="1"/>
  <c r="C3398" i="18"/>
  <c r="D3398" i="18" s="1"/>
  <c r="C1168" i="18"/>
  <c r="D1168" i="18" s="1"/>
  <c r="C934" i="18"/>
  <c r="D934" i="18" s="1"/>
  <c r="C3661" i="18"/>
  <c r="D3661" i="18" s="1"/>
  <c r="C2833" i="18"/>
  <c r="D2833" i="18" s="1"/>
  <c r="C4167" i="18"/>
  <c r="D4167" i="18" s="1"/>
  <c r="C2085" i="18"/>
  <c r="D2085" i="18" s="1"/>
  <c r="C2038" i="18"/>
  <c r="D2038" i="18" s="1"/>
  <c r="C651" i="18"/>
  <c r="D651" i="18" s="1"/>
  <c r="C655" i="18"/>
  <c r="D655" i="18" s="1"/>
  <c r="C650" i="18"/>
  <c r="D650" i="18" s="1"/>
  <c r="C652" i="18"/>
  <c r="D652" i="18" s="1"/>
  <c r="C654" i="18"/>
  <c r="D654" i="18" s="1"/>
  <c r="C653" i="18"/>
  <c r="D653" i="18" s="1"/>
  <c r="C3353" i="18"/>
  <c r="D3353" i="18" s="1"/>
  <c r="C187" i="10"/>
  <c r="E187" i="10" s="1"/>
  <c r="C1804" i="18"/>
  <c r="D1804" i="18" s="1"/>
  <c r="C1805" i="18"/>
  <c r="D1805" i="18" s="1"/>
  <c r="C1783" i="18"/>
  <c r="D1783" i="18" s="1"/>
  <c r="C3063" i="18"/>
  <c r="D3063" i="18" s="1"/>
  <c r="C3632" i="18"/>
  <c r="D3632" i="18" s="1"/>
  <c r="C608" i="18"/>
  <c r="D608" i="18" s="1"/>
  <c r="C3410" i="18"/>
  <c r="D3410" i="18" s="1"/>
  <c r="C3014" i="18"/>
  <c r="D3014" i="18" s="1"/>
  <c r="C2054" i="18"/>
  <c r="D2054" i="18" s="1"/>
  <c r="C2174" i="18"/>
  <c r="D2174" i="18" s="1"/>
  <c r="C1417" i="18"/>
  <c r="D1417" i="18" s="1"/>
  <c r="C339" i="10"/>
  <c r="E339" i="10" s="1"/>
  <c r="C333" i="18"/>
  <c r="D333" i="18" s="1"/>
  <c r="C1024" i="18"/>
  <c r="D1024" i="18" s="1"/>
  <c r="C1911" i="18"/>
  <c r="D1911" i="18" s="1"/>
  <c r="C1921" i="18"/>
  <c r="D1921" i="18" s="1"/>
  <c r="C2317" i="18"/>
  <c r="D2317" i="18" s="1"/>
  <c r="C1565" i="18"/>
  <c r="D1565" i="18" s="1"/>
  <c r="C1054" i="18"/>
  <c r="D1054" i="18" s="1"/>
  <c r="C3247" i="18"/>
  <c r="D3247" i="18" s="1"/>
  <c r="C3546" i="18"/>
  <c r="D3546" i="18" s="1"/>
  <c r="C2998" i="18"/>
  <c r="D2998" i="18" s="1"/>
  <c r="C1741" i="18"/>
  <c r="D1741" i="18" s="1"/>
  <c r="C2601" i="18"/>
  <c r="D2601" i="18" s="1"/>
  <c r="C2434" i="18"/>
  <c r="D2434" i="18" s="1"/>
  <c r="C1039" i="18"/>
  <c r="D1039" i="18" s="1"/>
  <c r="C2523" i="18"/>
  <c r="D2523" i="18" s="1"/>
  <c r="C1841" i="18"/>
  <c r="D1841" i="18" s="1"/>
  <c r="C4147" i="18"/>
  <c r="D4147" i="18" s="1"/>
  <c r="C1577" i="18"/>
  <c r="D1577" i="18" s="1"/>
  <c r="C3496" i="18"/>
  <c r="D3496" i="18" s="1"/>
  <c r="C1495" i="18"/>
  <c r="D1495" i="18" s="1"/>
  <c r="C2173" i="18"/>
  <c r="D2173" i="18" s="1"/>
  <c r="C2008" i="18"/>
  <c r="D2008" i="18" s="1"/>
  <c r="C2775" i="18"/>
  <c r="D2775" i="18" s="1"/>
  <c r="C2727" i="18"/>
  <c r="D2727" i="18" s="1"/>
  <c r="C3149" i="18"/>
  <c r="D3149" i="18" s="1"/>
  <c r="C1623" i="18"/>
  <c r="D1623" i="18" s="1"/>
  <c r="C4108" i="18"/>
  <c r="D4108" i="18" s="1"/>
  <c r="C2402" i="18"/>
  <c r="D2402" i="18" s="1"/>
  <c r="C1156" i="18"/>
  <c r="D1156" i="18" s="1"/>
  <c r="C685" i="18"/>
  <c r="D685" i="18" s="1"/>
  <c r="C1677" i="18"/>
  <c r="D1677" i="18" s="1"/>
  <c r="C1690" i="18"/>
  <c r="D1690" i="18" s="1"/>
  <c r="C3106" i="18"/>
  <c r="D3106" i="18" s="1"/>
  <c r="C2357" i="18"/>
  <c r="D2357" i="18" s="1"/>
  <c r="C3401" i="18"/>
  <c r="D3401" i="18" s="1"/>
  <c r="C1882" i="18"/>
  <c r="D1882" i="18" s="1"/>
  <c r="C933" i="18"/>
  <c r="D933" i="18" s="1"/>
  <c r="C4168" i="18"/>
  <c r="D4168" i="18" s="1"/>
  <c r="C832" i="18"/>
  <c r="D832" i="18" s="1"/>
  <c r="C834" i="18"/>
  <c r="D834" i="18" s="1"/>
  <c r="C835" i="18"/>
  <c r="D835" i="18" s="1"/>
  <c r="C2346" i="18"/>
  <c r="D2346" i="18" s="1"/>
  <c r="C332" i="18"/>
  <c r="D332" i="18" s="1"/>
  <c r="C1910" i="18"/>
  <c r="D1910" i="18" s="1"/>
  <c r="C1920" i="18"/>
  <c r="D1920" i="18" s="1"/>
  <c r="C3468" i="18"/>
  <c r="D3468" i="18" s="1"/>
  <c r="C2435" i="18"/>
  <c r="D2435" i="18" s="1"/>
  <c r="C1494" i="18"/>
  <c r="D1494" i="18" s="1"/>
  <c r="C1329" i="18"/>
  <c r="D1329" i="18" s="1"/>
  <c r="C3118" i="18"/>
  <c r="D3118" i="18" s="1"/>
  <c r="C3839" i="18"/>
  <c r="D3839" i="18" s="1"/>
  <c r="C2865" i="18"/>
  <c r="D2865" i="18" s="1"/>
  <c r="C3440" i="18"/>
  <c r="D3440" i="18" s="1"/>
  <c r="C2961" i="18"/>
  <c r="D2961" i="18" s="1"/>
  <c r="C2342" i="18"/>
  <c r="D2342" i="18" s="1"/>
  <c r="C3351" i="18"/>
  <c r="D3351" i="18" s="1"/>
  <c r="C2840" i="18"/>
  <c r="D2840" i="18" s="1"/>
  <c r="C2041" i="18"/>
  <c r="D2041" i="18" s="1"/>
  <c r="C2037" i="18"/>
  <c r="D2037" i="18" s="1"/>
  <c r="C2112" i="18"/>
  <c r="D2112" i="18" s="1"/>
  <c r="C3335" i="18"/>
  <c r="D3335" i="18" s="1"/>
  <c r="C1098" i="18"/>
  <c r="D1098" i="18" s="1"/>
  <c r="C1569" i="18"/>
  <c r="D1569" i="18" s="1"/>
  <c r="C2217" i="18"/>
  <c r="D2217" i="18" s="1"/>
  <c r="C2943" i="18"/>
  <c r="D2943" i="18" s="1"/>
  <c r="C1067" i="18"/>
  <c r="D1067" i="18" s="1"/>
  <c r="C3856" i="18"/>
  <c r="D3856" i="18" s="1"/>
  <c r="C3051" i="18"/>
  <c r="D3051" i="18" s="1"/>
  <c r="C1288" i="18"/>
  <c r="D1288" i="18" s="1"/>
  <c r="C2409" i="18"/>
  <c r="D2409" i="18" s="1"/>
  <c r="C2141" i="18"/>
  <c r="D2141" i="18" s="1"/>
  <c r="C329" i="18"/>
  <c r="D329" i="18" s="1"/>
  <c r="C3938" i="18"/>
  <c r="D3938" i="18" s="1"/>
  <c r="C3924" i="18"/>
  <c r="D3924" i="18" s="1"/>
  <c r="C1924" i="18"/>
  <c r="D1924" i="18" s="1"/>
  <c r="C4193" i="18"/>
  <c r="D4193" i="18" s="1"/>
  <c r="C2756" i="18"/>
  <c r="D2756" i="18" s="1"/>
  <c r="C2247" i="18"/>
  <c r="D2247" i="18" s="1"/>
  <c r="C700" i="18"/>
  <c r="D700" i="18" s="1"/>
  <c r="C1045" i="18"/>
  <c r="D1045" i="18" s="1"/>
  <c r="C3275" i="18"/>
  <c r="D3275" i="18" s="1"/>
  <c r="C1647" i="18"/>
  <c r="D1647" i="18" s="1"/>
  <c r="C1357" i="18"/>
  <c r="D1357" i="18" s="1"/>
  <c r="C3901" i="18"/>
  <c r="D3901" i="18" s="1"/>
  <c r="C2680" i="18"/>
  <c r="D2680" i="18" s="1"/>
  <c r="C679" i="18"/>
  <c r="D679" i="18" s="1"/>
  <c r="C1014" i="18"/>
  <c r="D1014" i="18" s="1"/>
  <c r="C2928" i="18"/>
  <c r="D2928" i="18" s="1"/>
  <c r="C1854" i="18"/>
  <c r="D1854" i="18" s="1"/>
  <c r="C1077" i="18"/>
  <c r="D1077" i="18" s="1"/>
  <c r="C1832" i="18"/>
  <c r="D1832" i="18" s="1"/>
  <c r="C827" i="18"/>
  <c r="D827" i="18" s="1"/>
  <c r="C2184" i="18"/>
  <c r="D2184" i="18" s="1"/>
  <c r="C110" i="18"/>
  <c r="D110" i="18" s="1"/>
  <c r="C3855" i="18"/>
  <c r="D3855" i="18" s="1"/>
  <c r="C1286" i="18"/>
  <c r="D1286" i="18" s="1"/>
  <c r="C2138" i="18"/>
  <c r="D2138" i="18" s="1"/>
  <c r="C3922" i="18"/>
  <c r="D3922" i="18" s="1"/>
  <c r="C1925" i="18"/>
  <c r="D1925" i="18" s="1"/>
  <c r="C4194" i="18"/>
  <c r="D4194" i="18" s="1"/>
  <c r="C1649" i="18"/>
  <c r="D1649" i="18" s="1"/>
  <c r="C1558" i="18"/>
  <c r="D1558" i="18" s="1"/>
  <c r="C2678" i="18"/>
  <c r="D2678" i="18" s="1"/>
  <c r="C824" i="18"/>
  <c r="D824" i="18" s="1"/>
  <c r="C112" i="18"/>
  <c r="D112" i="18" s="1"/>
  <c r="C2196" i="18"/>
  <c r="D2196" i="18" s="1"/>
  <c r="C3336" i="18"/>
  <c r="D3336" i="18" s="1"/>
  <c r="C1424" i="18"/>
  <c r="D1424" i="18" s="1"/>
  <c r="C2220" i="18"/>
  <c r="D2220" i="18" s="1"/>
  <c r="C870" i="18"/>
  <c r="D870" i="18" s="1"/>
  <c r="C1772" i="18"/>
  <c r="D1772" i="18" s="1"/>
  <c r="C1068" i="18"/>
  <c r="D1068" i="18" s="1"/>
  <c r="C3857" i="18"/>
  <c r="D3857" i="18" s="1"/>
  <c r="C1291" i="18"/>
  <c r="D1291" i="18" s="1"/>
  <c r="C2412" i="18"/>
  <c r="D2412" i="18" s="1"/>
  <c r="C2140" i="18"/>
  <c r="D2140" i="18" s="1"/>
  <c r="C3920" i="18"/>
  <c r="D3920" i="18" s="1"/>
  <c r="C1922" i="18"/>
  <c r="D1922" i="18" s="1"/>
  <c r="C4192" i="18"/>
  <c r="D4192" i="18" s="1"/>
  <c r="C1753" i="18"/>
  <c r="D1753" i="18" s="1"/>
  <c r="C702" i="18"/>
  <c r="D702" i="18" s="1"/>
  <c r="C1651" i="18"/>
  <c r="D1651" i="18" s="1"/>
  <c r="C3180" i="18"/>
  <c r="D3180" i="18" s="1"/>
  <c r="C1561" i="18"/>
  <c r="D1561" i="18" s="1"/>
  <c r="C2681" i="18"/>
  <c r="D2681" i="18" s="1"/>
  <c r="C1011" i="18"/>
  <c r="D1011" i="18" s="1"/>
  <c r="C2904" i="18"/>
  <c r="D2904" i="18" s="1"/>
  <c r="C90" i="10"/>
  <c r="E90" i="10" s="1"/>
  <c r="C326" i="18"/>
  <c r="D326" i="18" s="1"/>
  <c r="C3943" i="18"/>
  <c r="D3943" i="18" s="1"/>
  <c r="C2249" i="18"/>
  <c r="D2249" i="18" s="1"/>
  <c r="C1812" i="18"/>
  <c r="D1812" i="18" s="1"/>
  <c r="C2497" i="18"/>
  <c r="D2497" i="18" s="1"/>
  <c r="C1219" i="18"/>
  <c r="D1219" i="18" s="1"/>
  <c r="C2108" i="18"/>
  <c r="D2108" i="18" s="1"/>
  <c r="C1535" i="18"/>
  <c r="D1535" i="18" s="1"/>
  <c r="C2947" i="18"/>
  <c r="D2947" i="18" s="1"/>
  <c r="C3215" i="18"/>
  <c r="D3215" i="18" s="1"/>
  <c r="C868" i="18"/>
  <c r="D868" i="18" s="1"/>
  <c r="C3982" i="18"/>
  <c r="D3982" i="18" s="1"/>
  <c r="C1596" i="18"/>
  <c r="D1596" i="18" s="1"/>
  <c r="C3858" i="18"/>
  <c r="D3858" i="18" s="1"/>
  <c r="C1482" i="18"/>
  <c r="D1482" i="18" s="1"/>
  <c r="C1992" i="18"/>
  <c r="D1992" i="18" s="1"/>
  <c r="C1258" i="18"/>
  <c r="D1258" i="18" s="1"/>
  <c r="C1695" i="18"/>
  <c r="D1695" i="18" s="1"/>
  <c r="C2408" i="18"/>
  <c r="D2408" i="18" s="1"/>
  <c r="C328" i="18"/>
  <c r="D328" i="18" s="1"/>
  <c r="C4141" i="18"/>
  <c r="D4141" i="18" s="1"/>
  <c r="C985" i="18"/>
  <c r="D985" i="18" s="1"/>
  <c r="C3941" i="18"/>
  <c r="D3941" i="18" s="1"/>
  <c r="C2190" i="18"/>
  <c r="D2190" i="18" s="1"/>
  <c r="C1948" i="18"/>
  <c r="D1948" i="18" s="1"/>
  <c r="C887" i="18"/>
  <c r="D887" i="18" s="1"/>
  <c r="C2328" i="18"/>
  <c r="D2328" i="18" s="1"/>
  <c r="C1517" i="18"/>
  <c r="D1517" i="18" s="1"/>
  <c r="C1923" i="18"/>
  <c r="D1923" i="18" s="1"/>
  <c r="C2761" i="18"/>
  <c r="D2761" i="18" s="1"/>
  <c r="C2248" i="18"/>
  <c r="D2248" i="18" s="1"/>
  <c r="C2322" i="18"/>
  <c r="D2322" i="18" s="1"/>
  <c r="C1043" i="18"/>
  <c r="D1043" i="18" s="1"/>
  <c r="C2133" i="18"/>
  <c r="D2133" i="18" s="1"/>
  <c r="C1354" i="18"/>
  <c r="D1354" i="18" s="1"/>
  <c r="C3814" i="18"/>
  <c r="D3814" i="18" s="1"/>
  <c r="C3899" i="18"/>
  <c r="D3899" i="18" s="1"/>
  <c r="C1206" i="18"/>
  <c r="C676" i="18"/>
  <c r="D676" i="18" s="1"/>
  <c r="C2926" i="18"/>
  <c r="D2926" i="18" s="1"/>
  <c r="C662" i="18"/>
  <c r="D662" i="18" s="1"/>
  <c r="C2465" i="18"/>
  <c r="D2465" i="18" s="1"/>
  <c r="C2629" i="18"/>
  <c r="D2629" i="18" s="1"/>
  <c r="C1855" i="18"/>
  <c r="D1855" i="18" s="1"/>
  <c r="C2618" i="18"/>
  <c r="D2618" i="18" s="1"/>
  <c r="C1348" i="18"/>
  <c r="D1348" i="18" s="1"/>
  <c r="C3883" i="18"/>
  <c r="D3883" i="18" s="1"/>
  <c r="C2547" i="18"/>
  <c r="D2547" i="18" s="1"/>
  <c r="C668" i="18"/>
  <c r="D668" i="18" s="1"/>
  <c r="C2496" i="18"/>
  <c r="D2496" i="18" s="1"/>
  <c r="C1218" i="18"/>
  <c r="D1218" i="18" s="1"/>
  <c r="C2111" i="18"/>
  <c r="D2111" i="18" s="1"/>
  <c r="C1533" i="18"/>
  <c r="D1533" i="18" s="1"/>
  <c r="C2042" i="18"/>
  <c r="D2042" i="18" s="1"/>
  <c r="C1573" i="18"/>
  <c r="D1573" i="18" s="1"/>
  <c r="C2944" i="18"/>
  <c r="D2944" i="18" s="1"/>
  <c r="C1066" i="18"/>
  <c r="D1066" i="18" s="1"/>
  <c r="C3854" i="18"/>
  <c r="D3854" i="18" s="1"/>
  <c r="C1259" i="18"/>
  <c r="D1259" i="18" s="1"/>
  <c r="C1694" i="18"/>
  <c r="D1694" i="18" s="1"/>
  <c r="C2143" i="18"/>
  <c r="D2143" i="18" s="1"/>
  <c r="C331" i="18"/>
  <c r="D331" i="18" s="1"/>
  <c r="C3939" i="18"/>
  <c r="D3939" i="18" s="1"/>
  <c r="C1949" i="18"/>
  <c r="D1949" i="18" s="1"/>
  <c r="C885" i="18"/>
  <c r="D885" i="18" s="1"/>
  <c r="C2325" i="18"/>
  <c r="D2325" i="18" s="1"/>
  <c r="C1514" i="18"/>
  <c r="D1514" i="18" s="1"/>
  <c r="C1926" i="18"/>
  <c r="D1926" i="18" s="1"/>
  <c r="C2251" i="18"/>
  <c r="D2251" i="18" s="1"/>
  <c r="C1044" i="18"/>
  <c r="D1044" i="18" s="1"/>
  <c r="C3274" i="18"/>
  <c r="D3274" i="18" s="1"/>
  <c r="C2134" i="18"/>
  <c r="D2134" i="18" s="1"/>
  <c r="C1646" i="18"/>
  <c r="D1646" i="18" s="1"/>
  <c r="C1355" i="18"/>
  <c r="D1355" i="18" s="1"/>
  <c r="C3815" i="18"/>
  <c r="D3815" i="18" s="1"/>
  <c r="C3898" i="18"/>
  <c r="D3898" i="18" s="1"/>
  <c r="C1203" i="18"/>
  <c r="D1203" i="18" s="1"/>
  <c r="C674" i="18"/>
  <c r="D674" i="18" s="1"/>
  <c r="C3082" i="18"/>
  <c r="D3082" i="18" s="1"/>
  <c r="C2924" i="18"/>
  <c r="D2924" i="18" s="1"/>
  <c r="C2624" i="18"/>
  <c r="D2624" i="18" s="1"/>
  <c r="C1853" i="18"/>
  <c r="D1853" i="18" s="1"/>
  <c r="C2183" i="18"/>
  <c r="D2183" i="18" s="1"/>
  <c r="C2110" i="18"/>
  <c r="D2110" i="18" s="1"/>
  <c r="C1568" i="18"/>
  <c r="D1568" i="18" s="1"/>
  <c r="C2942" i="18"/>
  <c r="D2942" i="18" s="1"/>
  <c r="C3055" i="18"/>
  <c r="D3055" i="18" s="1"/>
  <c r="C2142" i="18"/>
  <c r="D2142" i="18" s="1"/>
  <c r="C327" i="18"/>
  <c r="D327" i="18" s="1"/>
  <c r="C3923" i="18"/>
  <c r="D3923" i="18" s="1"/>
  <c r="C4191" i="18"/>
  <c r="D4191" i="18" s="1"/>
  <c r="C3272" i="18"/>
  <c r="D3272" i="18" s="1"/>
  <c r="C1650" i="18"/>
  <c r="D1650" i="18" s="1"/>
  <c r="C1353" i="18"/>
  <c r="D1353" i="18" s="1"/>
  <c r="C3900" i="18"/>
  <c r="D3900" i="18" s="1"/>
  <c r="C2682" i="18"/>
  <c r="D2682" i="18" s="1"/>
  <c r="C2925" i="18"/>
  <c r="D2925" i="18" s="1"/>
  <c r="C1851" i="18"/>
  <c r="D1851" i="18" s="1"/>
  <c r="C1081" i="18"/>
  <c r="D1081" i="18" s="1"/>
  <c r="C829" i="18"/>
  <c r="D829" i="18" s="1"/>
  <c r="C2185" i="18"/>
  <c r="D2185" i="18" s="1"/>
  <c r="C3035" i="18"/>
  <c r="D3035" i="18" s="1"/>
  <c r="C3032" i="18"/>
  <c r="D3032" i="18" s="1"/>
  <c r="C3033" i="18"/>
  <c r="D3033" i="18" s="1"/>
  <c r="C489" i="10"/>
  <c r="E489" i="10" s="1"/>
  <c r="C3037" i="18"/>
  <c r="D3037" i="18" s="1"/>
  <c r="C3036" i="18"/>
  <c r="D3036" i="18" s="1"/>
  <c r="C3034" i="18"/>
  <c r="D3034" i="18" s="1"/>
  <c r="C3233" i="18"/>
  <c r="D3233" i="18" s="1"/>
  <c r="C3235" i="18"/>
  <c r="D3235" i="18" s="1"/>
  <c r="C3230" i="18"/>
  <c r="D3230" i="18" s="1"/>
  <c r="C3231" i="18"/>
  <c r="D3231" i="18" s="1"/>
  <c r="C3232" i="18"/>
  <c r="D3232" i="18" s="1"/>
  <c r="C3234" i="18"/>
  <c r="D3234" i="18" s="1"/>
  <c r="C452" i="10"/>
  <c r="E452" i="10" s="1"/>
  <c r="C4187" i="18"/>
  <c r="D4187" i="18" s="1"/>
  <c r="C4189" i="18"/>
  <c r="D4189" i="18" s="1"/>
  <c r="C4188" i="18"/>
  <c r="D4188" i="18" s="1"/>
  <c r="C4186" i="18"/>
  <c r="D4186" i="18" s="1"/>
  <c r="C310" i="10"/>
  <c r="E310" i="10" s="1"/>
  <c r="C4185" i="18"/>
  <c r="D4185" i="18" s="1"/>
  <c r="C4184" i="18"/>
  <c r="D4184" i="18" s="1"/>
  <c r="C137" i="10"/>
  <c r="E137" i="10" s="1"/>
  <c r="C1675" i="18"/>
  <c r="D1675" i="18" s="1"/>
  <c r="C1670" i="18"/>
  <c r="D1670" i="18" s="1"/>
  <c r="C1671" i="18"/>
  <c r="D1671" i="18" s="1"/>
  <c r="C1672" i="18"/>
  <c r="D1672" i="18" s="1"/>
  <c r="C1674" i="18"/>
  <c r="D1674" i="18" s="1"/>
  <c r="C1673" i="18"/>
  <c r="D1673" i="18" s="1"/>
  <c r="C2995" i="18"/>
  <c r="D2995" i="18" s="1"/>
  <c r="C2994" i="18"/>
  <c r="D2994" i="18" s="1"/>
  <c r="C2993" i="18"/>
  <c r="D2993" i="18" s="1"/>
  <c r="C2991" i="18"/>
  <c r="D2991" i="18" s="1"/>
  <c r="C48" i="10"/>
  <c r="E48" i="10" s="1"/>
  <c r="C2990" i="18"/>
  <c r="D2990" i="18" s="1"/>
  <c r="C2992" i="18"/>
  <c r="D2992" i="18" s="1"/>
  <c r="C156" i="10"/>
  <c r="E156" i="10" s="1"/>
  <c r="C1117" i="18"/>
  <c r="D1117" i="18" s="1"/>
  <c r="C1113" i="18"/>
  <c r="D1113" i="18" s="1"/>
  <c r="C1112" i="18"/>
  <c r="D1112" i="18" s="1"/>
  <c r="C1115" i="18"/>
  <c r="D1115" i="18" s="1"/>
  <c r="C1116" i="18"/>
  <c r="D1116" i="18" s="1"/>
  <c r="C1114" i="18"/>
  <c r="D1114" i="18" s="1"/>
  <c r="C2666" i="18"/>
  <c r="D2666" i="18" s="1"/>
  <c r="C2669" i="18"/>
  <c r="D2669" i="18" s="1"/>
  <c r="C2671" i="18"/>
  <c r="D2671" i="18" s="1"/>
  <c r="C2667" i="18"/>
  <c r="D2667" i="18" s="1"/>
  <c r="C2668" i="18"/>
  <c r="D2668" i="18" s="1"/>
  <c r="C2670" i="18"/>
  <c r="D2670" i="18" s="1"/>
  <c r="C488" i="10"/>
  <c r="E488" i="10" s="1"/>
  <c r="C1544" i="18"/>
  <c r="D1544" i="18" s="1"/>
  <c r="C1547" i="18"/>
  <c r="D1547" i="18" s="1"/>
  <c r="C1549" i="18"/>
  <c r="D1549" i="18" s="1"/>
  <c r="C1548" i="18"/>
  <c r="D1548" i="18" s="1"/>
  <c r="C1545" i="18"/>
  <c r="D1545" i="18" s="1"/>
  <c r="C1546" i="18"/>
  <c r="D1546" i="18" s="1"/>
  <c r="C3852" i="18"/>
  <c r="D3852" i="18" s="1"/>
  <c r="C3849" i="18"/>
  <c r="D3849" i="18" s="1"/>
  <c r="C3850" i="18"/>
  <c r="D3850" i="18" s="1"/>
  <c r="C3851" i="18"/>
  <c r="D3851" i="18" s="1"/>
  <c r="C3848" i="18"/>
  <c r="D3848" i="18" s="1"/>
  <c r="C3853" i="18"/>
  <c r="D3853" i="18" s="1"/>
  <c r="C4019" i="18"/>
  <c r="D4019" i="18" s="1"/>
  <c r="C4017" i="18"/>
  <c r="D4017" i="18" s="1"/>
  <c r="C4021" i="18"/>
  <c r="D4021" i="18" s="1"/>
  <c r="C4016" i="18"/>
  <c r="D4016" i="18" s="1"/>
  <c r="C4020" i="18"/>
  <c r="D4020" i="18" s="1"/>
  <c r="C4018" i="18"/>
  <c r="D4018" i="18" s="1"/>
  <c r="C2739" i="18"/>
  <c r="D2739" i="18" s="1"/>
  <c r="C2741" i="18"/>
  <c r="D2741" i="18" s="1"/>
  <c r="C2742" i="18"/>
  <c r="D2742" i="18" s="1"/>
  <c r="C2743" i="18"/>
  <c r="D2743" i="18" s="1"/>
  <c r="C2740" i="18"/>
  <c r="D2740" i="18" s="1"/>
  <c r="C2738" i="18"/>
  <c r="D2738" i="18" s="1"/>
  <c r="C3205" i="18"/>
  <c r="D3205" i="18" s="1"/>
  <c r="C3202" i="18"/>
  <c r="D3202" i="18" s="1"/>
  <c r="C3203" i="18"/>
  <c r="D3203" i="18" s="1"/>
  <c r="C3201" i="18"/>
  <c r="D3201" i="18" s="1"/>
  <c r="C3200" i="18"/>
  <c r="D3200" i="18" s="1"/>
  <c r="C3204" i="18"/>
  <c r="D3204" i="18" s="1"/>
  <c r="C3003" i="18"/>
  <c r="D3003" i="18" s="1"/>
  <c r="C3004" i="18"/>
  <c r="D3004" i="18" s="1"/>
  <c r="C3007" i="18"/>
  <c r="D3007" i="18" s="1"/>
  <c r="C3002" i="18"/>
  <c r="D3002" i="18" s="1"/>
  <c r="C3005" i="18"/>
  <c r="D3005" i="18" s="1"/>
  <c r="C3006" i="18"/>
  <c r="D3006" i="18" s="1"/>
  <c r="C1797" i="18"/>
  <c r="D1797" i="18" s="1"/>
  <c r="C1799" i="18"/>
  <c r="D1799" i="18" s="1"/>
  <c r="C1800" i="18"/>
  <c r="D1800" i="18" s="1"/>
  <c r="C1798" i="18"/>
  <c r="D1798" i="18" s="1"/>
  <c r="C1801" i="18"/>
  <c r="D1801" i="18" s="1"/>
  <c r="C1796" i="18"/>
  <c r="D1796" i="18" s="1"/>
  <c r="C2797" i="18"/>
  <c r="D2797" i="18" s="1"/>
  <c r="C2792" i="18"/>
  <c r="D2792" i="18" s="1"/>
  <c r="C2795" i="18"/>
  <c r="D2795" i="18" s="1"/>
  <c r="C2794" i="18"/>
  <c r="D2794" i="18" s="1"/>
  <c r="C2793" i="18"/>
  <c r="D2793" i="18" s="1"/>
  <c r="C2796" i="18"/>
  <c r="D2796" i="18" s="1"/>
  <c r="C628" i="18"/>
  <c r="D628" i="18" s="1"/>
  <c r="C629" i="18"/>
  <c r="D629" i="18" s="1"/>
  <c r="C630" i="18"/>
  <c r="D630" i="18" s="1"/>
  <c r="C631" i="18"/>
  <c r="D631" i="18" s="1"/>
  <c r="C626" i="18"/>
  <c r="D626" i="18" s="1"/>
  <c r="C627" i="18"/>
  <c r="D627" i="18" s="1"/>
  <c r="C2454" i="18"/>
  <c r="D2454" i="18" s="1"/>
  <c r="C2455" i="18"/>
  <c r="D2455" i="18" s="1"/>
  <c r="C2453" i="18"/>
  <c r="D2453" i="18" s="1"/>
  <c r="C2450" i="18"/>
  <c r="D2450" i="18" s="1"/>
  <c r="C2452" i="18"/>
  <c r="D2452" i="18" s="1"/>
  <c r="C2451" i="18"/>
  <c r="D2451" i="18" s="1"/>
  <c r="C766" i="18"/>
  <c r="D766" i="18" s="1"/>
  <c r="C769" i="18"/>
  <c r="D769" i="18" s="1"/>
  <c r="C768" i="18"/>
  <c r="D768" i="18" s="1"/>
  <c r="C767" i="18"/>
  <c r="D767" i="18" s="1"/>
  <c r="C764" i="18"/>
  <c r="D764" i="18" s="1"/>
  <c r="C765" i="18"/>
  <c r="D765" i="18" s="1"/>
  <c r="C3872" i="18"/>
  <c r="D3872" i="18" s="1"/>
  <c r="C3874" i="18"/>
  <c r="D3874" i="18" s="1"/>
  <c r="C3875" i="18"/>
  <c r="D3875" i="18" s="1"/>
  <c r="C3876" i="18"/>
  <c r="D3876" i="18" s="1"/>
  <c r="C3877" i="18"/>
  <c r="D3877" i="18" s="1"/>
  <c r="C3873" i="18"/>
  <c r="D3873" i="18" s="1"/>
  <c r="C3822" i="18"/>
  <c r="D3822" i="18" s="1"/>
  <c r="C3823" i="18"/>
  <c r="D3823" i="18" s="1"/>
  <c r="C3819" i="18"/>
  <c r="D3819" i="18" s="1"/>
  <c r="C3821" i="18"/>
  <c r="D3821" i="18" s="1"/>
  <c r="C3818" i="18"/>
  <c r="D3818" i="18" s="1"/>
  <c r="C3820" i="18"/>
  <c r="D3820" i="18" s="1"/>
  <c r="C592" i="18"/>
  <c r="D592" i="18" s="1"/>
  <c r="C593" i="18"/>
  <c r="D593" i="18" s="1"/>
  <c r="C591" i="18"/>
  <c r="D591" i="18" s="1"/>
  <c r="C595" i="18"/>
  <c r="D595" i="18" s="1"/>
  <c r="C594" i="18"/>
  <c r="D594" i="18" s="1"/>
  <c r="C590" i="18"/>
  <c r="D590" i="18" s="1"/>
  <c r="C206" i="10"/>
  <c r="E206" i="10" s="1"/>
  <c r="C3908" i="18"/>
  <c r="D3908" i="18" s="1"/>
  <c r="C3910" i="18"/>
  <c r="D3910" i="18" s="1"/>
  <c r="C3912" i="18"/>
  <c r="D3912" i="18" s="1"/>
  <c r="C3911" i="18"/>
  <c r="D3911" i="18" s="1"/>
  <c r="C3913" i="18"/>
  <c r="D3913" i="18" s="1"/>
  <c r="C3909" i="18"/>
  <c r="D3909" i="18" s="1"/>
  <c r="C13" i="10"/>
  <c r="E13" i="10" s="1"/>
  <c r="C2481" i="18"/>
  <c r="D2481" i="18" s="1"/>
  <c r="C2480" i="18"/>
  <c r="D2480" i="18" s="1"/>
  <c r="C2484" i="18"/>
  <c r="D2484" i="18" s="1"/>
  <c r="C2482" i="18"/>
  <c r="D2482" i="18" s="1"/>
  <c r="C2485" i="18"/>
  <c r="D2485" i="18" s="1"/>
  <c r="C2483" i="18"/>
  <c r="D2483" i="18" s="1"/>
  <c r="C3770" i="18"/>
  <c r="D3770" i="18" s="1"/>
  <c r="C3771" i="18"/>
  <c r="D3771" i="18" s="1"/>
  <c r="C3773" i="18"/>
  <c r="D3773" i="18" s="1"/>
  <c r="C3775" i="18"/>
  <c r="D3775" i="18" s="1"/>
  <c r="C1583" i="18"/>
  <c r="D1583" i="18" s="1"/>
  <c r="C1585" i="18"/>
  <c r="D1585" i="18" s="1"/>
  <c r="C1584" i="18"/>
  <c r="D1584" i="18" s="1"/>
  <c r="C1582" i="18"/>
  <c r="D1582" i="18" s="1"/>
  <c r="C1580" i="18"/>
  <c r="D1580" i="18" s="1"/>
  <c r="C1581" i="18"/>
  <c r="D1581" i="18" s="1"/>
  <c r="C109" i="10"/>
  <c r="E109" i="10" s="1"/>
  <c r="C1872" i="18"/>
  <c r="D1872" i="18" s="1"/>
  <c r="C1871" i="18"/>
  <c r="D1871" i="18" s="1"/>
  <c r="C1868" i="18"/>
  <c r="D1868" i="18" s="1"/>
  <c r="C1873" i="18"/>
  <c r="D1873" i="18" s="1"/>
  <c r="C1870" i="18"/>
  <c r="D1870" i="18" s="1"/>
  <c r="C1869" i="18"/>
  <c r="D1869" i="18" s="1"/>
  <c r="C1359" i="18"/>
  <c r="D1359" i="18" s="1"/>
  <c r="C1362" i="18"/>
  <c r="D1362" i="18" s="1"/>
  <c r="C1363" i="18"/>
  <c r="D1363" i="18" s="1"/>
  <c r="C1361" i="18"/>
  <c r="D1361" i="18" s="1"/>
  <c r="C1358" i="18"/>
  <c r="D1358" i="18" s="1"/>
  <c r="C1360" i="18"/>
  <c r="D1360" i="18" s="1"/>
  <c r="C4028" i="18"/>
  <c r="D4028" i="18" s="1"/>
  <c r="C4030" i="18"/>
  <c r="D4030" i="18" s="1"/>
  <c r="C4032" i="18"/>
  <c r="D4032" i="18" s="1"/>
  <c r="C4031" i="18"/>
  <c r="D4031" i="18" s="1"/>
  <c r="C4033" i="18"/>
  <c r="D4033" i="18" s="1"/>
  <c r="C4029" i="18"/>
  <c r="D4029" i="18" s="1"/>
  <c r="C4065" i="18"/>
  <c r="D4065" i="18" s="1"/>
  <c r="C4067" i="18"/>
  <c r="D4067" i="18" s="1"/>
  <c r="C4064" i="18"/>
  <c r="D4064" i="18" s="1"/>
  <c r="C4066" i="18"/>
  <c r="D4066" i="18" s="1"/>
  <c r="C4068" i="18"/>
  <c r="D4068" i="18" s="1"/>
  <c r="C4069" i="18"/>
  <c r="D4069" i="18" s="1"/>
  <c r="C3894" i="18"/>
  <c r="D3894" i="18" s="1"/>
  <c r="C3891" i="18"/>
  <c r="D3891" i="18" s="1"/>
  <c r="C3893" i="18"/>
  <c r="D3893" i="18" s="1"/>
  <c r="C3892" i="18"/>
  <c r="D3892" i="18" s="1"/>
  <c r="C3895" i="18"/>
  <c r="D3895" i="18" s="1"/>
  <c r="C3890" i="18"/>
  <c r="D3890" i="18" s="1"/>
  <c r="C573" i="18"/>
  <c r="D573" i="18" s="1"/>
  <c r="C621" i="18"/>
  <c r="D621" i="18" s="1"/>
  <c r="C620" i="18"/>
  <c r="D620" i="18" s="1"/>
  <c r="C622" i="18"/>
  <c r="D622" i="18" s="1"/>
  <c r="C623" i="18"/>
  <c r="C625" i="18"/>
  <c r="D625" i="18" s="1"/>
  <c r="C624" i="18"/>
  <c r="D624" i="18" s="1"/>
  <c r="C3011" i="18"/>
  <c r="D3011" i="18" s="1"/>
  <c r="C3009" i="18"/>
  <c r="D3009" i="18" s="1"/>
  <c r="C3010" i="18"/>
  <c r="D3010" i="18" s="1"/>
  <c r="C3013" i="18"/>
  <c r="D3013" i="18" s="1"/>
  <c r="C3012" i="18"/>
  <c r="D3012" i="18" s="1"/>
  <c r="C3008" i="18"/>
  <c r="D3008" i="18" s="1"/>
  <c r="C2368" i="18"/>
  <c r="D2368" i="18" s="1"/>
  <c r="C2371" i="18"/>
  <c r="D2371" i="18" s="1"/>
  <c r="C2366" i="18"/>
  <c r="D2366" i="18" s="1"/>
  <c r="C2369" i="18"/>
  <c r="D2369" i="18" s="1"/>
  <c r="C2367" i="18"/>
  <c r="D2367" i="18" s="1"/>
  <c r="C2370" i="18"/>
  <c r="D2370" i="18" s="1"/>
  <c r="C1727" i="18"/>
  <c r="D1727" i="18" s="1"/>
  <c r="C1729" i="18"/>
  <c r="D1729" i="18" s="1"/>
  <c r="C1726" i="18"/>
  <c r="D1726" i="18" s="1"/>
  <c r="C1728" i="18"/>
  <c r="D1728" i="18" s="1"/>
  <c r="C1724" i="18"/>
  <c r="D1724" i="18" s="1"/>
  <c r="C1725" i="18"/>
  <c r="D1725" i="18" s="1"/>
  <c r="C2917" i="18"/>
  <c r="D2917" i="18" s="1"/>
  <c r="C2915" i="18"/>
  <c r="D2915" i="18" s="1"/>
  <c r="C2913" i="18"/>
  <c r="D2913" i="18" s="1"/>
  <c r="C2916" i="18"/>
  <c r="D2916" i="18" s="1"/>
  <c r="C2914" i="18"/>
  <c r="D2914" i="18" s="1"/>
  <c r="C2912" i="18"/>
  <c r="D2912" i="18" s="1"/>
  <c r="C3727" i="18"/>
  <c r="D3727" i="18" s="1"/>
  <c r="C3722" i="18"/>
  <c r="D3722" i="18" s="1"/>
  <c r="C3724" i="18"/>
  <c r="D3724" i="18" s="1"/>
  <c r="C3726" i="18"/>
  <c r="D3726" i="18" s="1"/>
  <c r="C3725" i="18"/>
  <c r="D3725" i="18" s="1"/>
  <c r="C3723" i="18"/>
  <c r="D3723" i="18" s="1"/>
  <c r="C118" i="10"/>
  <c r="E118" i="10" s="1"/>
  <c r="C1186" i="18"/>
  <c r="D1186" i="18" s="1"/>
  <c r="C1185" i="18"/>
  <c r="D1185" i="18" s="1"/>
  <c r="C1188" i="18"/>
  <c r="D1188" i="18" s="1"/>
  <c r="C1184" i="18"/>
  <c r="D1184" i="18" s="1"/>
  <c r="C1187" i="18"/>
  <c r="D1187" i="18" s="1"/>
  <c r="C1189" i="18"/>
  <c r="D1189" i="18" s="1"/>
  <c r="C563" i="18"/>
  <c r="D563" i="18" s="1"/>
  <c r="C564" i="18"/>
  <c r="D564" i="18" s="1"/>
  <c r="C561" i="18"/>
  <c r="D561" i="18" s="1"/>
  <c r="C560" i="18"/>
  <c r="D560" i="18" s="1"/>
  <c r="C565" i="18"/>
  <c r="D565" i="18" s="1"/>
  <c r="C562" i="18"/>
  <c r="D562" i="18" s="1"/>
  <c r="C2935" i="18"/>
  <c r="D2935" i="18" s="1"/>
  <c r="C2932" i="18"/>
  <c r="D2932" i="18" s="1"/>
  <c r="C2931" i="18"/>
  <c r="D2931" i="18" s="1"/>
  <c r="C2934" i="18"/>
  <c r="D2934" i="18" s="1"/>
  <c r="C2933" i="18"/>
  <c r="D2933" i="18" s="1"/>
  <c r="C2930" i="18"/>
  <c r="D2930" i="18" s="1"/>
  <c r="C3831" i="18"/>
  <c r="D3831" i="18" s="1"/>
  <c r="C3830" i="18"/>
  <c r="D3830" i="18" s="1"/>
  <c r="C3833" i="18"/>
  <c r="D3833" i="18" s="1"/>
  <c r="C3834" i="18"/>
  <c r="D3834" i="18" s="1"/>
  <c r="C3835" i="18"/>
  <c r="D3835" i="18" s="1"/>
  <c r="C3832" i="18"/>
  <c r="D3832" i="18" s="1"/>
  <c r="C902" i="18"/>
  <c r="D902" i="18" s="1"/>
  <c r="C905" i="18"/>
  <c r="D905" i="18" s="1"/>
  <c r="C904" i="18"/>
  <c r="D904" i="18" s="1"/>
  <c r="C906" i="18"/>
  <c r="D906" i="18" s="1"/>
  <c r="C903" i="18"/>
  <c r="D903" i="18" s="1"/>
  <c r="C907" i="18"/>
  <c r="D907" i="18" s="1"/>
  <c r="C3671" i="18"/>
  <c r="D3671" i="18" s="1"/>
  <c r="C3670" i="18"/>
  <c r="D3670" i="18" s="1"/>
  <c r="C3673" i="18"/>
  <c r="D3673" i="18" s="1"/>
  <c r="C3668" i="18"/>
  <c r="D3668" i="18" s="1"/>
  <c r="C3672" i="18"/>
  <c r="D3672" i="18" s="1"/>
  <c r="C3669" i="18"/>
  <c r="D3669" i="18" s="1"/>
  <c r="C1961" i="18"/>
  <c r="D1961" i="18" s="1"/>
  <c r="C1958" i="18"/>
  <c r="D1958" i="18" s="1"/>
  <c r="C1959" i="18"/>
  <c r="D1959" i="18" s="1"/>
  <c r="C1962" i="18"/>
  <c r="D1962" i="18" s="1"/>
  <c r="C1963" i="18"/>
  <c r="D1963" i="18" s="1"/>
  <c r="C1960" i="18"/>
  <c r="D1960" i="18" s="1"/>
  <c r="C715" i="18"/>
  <c r="D715" i="18" s="1"/>
  <c r="C711" i="18"/>
  <c r="D711" i="18" s="1"/>
  <c r="C714" i="18"/>
  <c r="D714" i="18" s="1"/>
  <c r="C712" i="18"/>
  <c r="D712" i="18" s="1"/>
  <c r="C713" i="18"/>
  <c r="D713" i="18" s="1"/>
  <c r="C710" i="18"/>
  <c r="D710" i="18" s="1"/>
  <c r="C2033" i="18"/>
  <c r="D2033" i="18" s="1"/>
  <c r="C2031" i="18"/>
  <c r="D2031" i="18" s="1"/>
  <c r="C2030" i="18"/>
  <c r="D2030" i="18" s="1"/>
  <c r="C2035" i="18"/>
  <c r="D2035" i="18" s="1"/>
  <c r="C2032" i="18"/>
  <c r="D2032" i="18" s="1"/>
  <c r="C2034" i="18"/>
  <c r="D2034" i="18" s="1"/>
  <c r="C1071" i="18"/>
  <c r="D1071" i="18" s="1"/>
  <c r="C1075" i="18"/>
  <c r="D1075" i="18" s="1"/>
  <c r="C1072" i="18"/>
  <c r="D1072" i="18" s="1"/>
  <c r="C1070" i="18"/>
  <c r="D1070" i="18" s="1"/>
  <c r="C1073" i="18"/>
  <c r="D1073" i="18" s="1"/>
  <c r="C1074" i="18"/>
  <c r="D1074" i="18" s="1"/>
  <c r="C2764" i="18"/>
  <c r="D2764" i="18" s="1"/>
  <c r="C2762" i="18"/>
  <c r="D2762" i="18" s="1"/>
  <c r="C2766" i="18"/>
  <c r="D2766" i="18" s="1"/>
  <c r="C2765" i="18"/>
  <c r="D2765" i="18" s="1"/>
  <c r="C2767" i="18"/>
  <c r="D2767" i="18" s="1"/>
  <c r="C2763" i="18"/>
  <c r="D2763" i="18" s="1"/>
  <c r="C3457" i="18"/>
  <c r="D3457" i="18" s="1"/>
  <c r="C3454" i="18"/>
  <c r="D3454" i="18" s="1"/>
  <c r="C3453" i="18"/>
  <c r="D3453" i="18" s="1"/>
  <c r="C3455" i="18"/>
  <c r="D3455" i="18" s="1"/>
  <c r="C3452" i="18"/>
  <c r="D3452" i="18" s="1"/>
  <c r="C3456" i="18"/>
  <c r="D3456" i="18" s="1"/>
  <c r="C3808" i="18"/>
  <c r="D3808" i="18" s="1"/>
  <c r="C3806" i="18"/>
  <c r="D3806" i="18" s="1"/>
  <c r="C3811" i="18"/>
  <c r="D3811" i="18" s="1"/>
  <c r="C3809" i="18"/>
  <c r="D3809" i="18" s="1"/>
  <c r="C3810" i="18"/>
  <c r="D3810" i="18" s="1"/>
  <c r="C3807" i="18"/>
  <c r="D3807" i="18" s="1"/>
  <c r="C3918" i="18"/>
  <c r="D3918" i="18" s="1"/>
  <c r="C3915" i="18"/>
  <c r="D3915" i="18" s="1"/>
  <c r="C3916" i="18"/>
  <c r="D3916" i="18" s="1"/>
  <c r="C3919" i="18"/>
  <c r="D3919" i="18" s="1"/>
  <c r="C3914" i="18"/>
  <c r="D3914" i="18" s="1"/>
  <c r="C3917" i="18"/>
  <c r="D3917" i="18" s="1"/>
  <c r="C3298" i="18"/>
  <c r="D3298" i="18" s="1"/>
  <c r="C3299" i="18"/>
  <c r="D3299" i="18" s="1"/>
  <c r="C3300" i="18"/>
  <c r="D3300" i="18" s="1"/>
  <c r="C3296" i="18"/>
  <c r="D3296" i="18" s="1"/>
  <c r="C3297" i="18"/>
  <c r="D3297" i="18" s="1"/>
  <c r="C3301" i="18"/>
  <c r="D3301" i="18" s="1"/>
  <c r="C3061" i="18"/>
  <c r="D3061" i="18" s="1"/>
  <c r="C3058" i="18"/>
  <c r="D3058" i="18" s="1"/>
  <c r="C3060" i="18"/>
  <c r="D3060" i="18" s="1"/>
  <c r="C21" i="10"/>
  <c r="E21" i="10" s="1"/>
  <c r="C3057" i="18"/>
  <c r="D3057" i="18" s="1"/>
  <c r="C3056" i="18"/>
  <c r="D3056" i="18" s="1"/>
  <c r="C3059" i="18"/>
  <c r="D3059" i="18" s="1"/>
  <c r="C1706" i="18"/>
  <c r="D1706" i="18" s="1"/>
  <c r="C1710" i="18"/>
  <c r="D1710" i="18" s="1"/>
  <c r="C1442" i="18"/>
  <c r="D1442" i="18" s="1"/>
  <c r="C1445" i="18"/>
  <c r="D1445" i="18" s="1"/>
  <c r="C1444" i="18"/>
  <c r="D1444" i="18" s="1"/>
  <c r="C1447" i="18"/>
  <c r="D1447" i="18" s="1"/>
  <c r="C1443" i="18"/>
  <c r="D1443" i="18" s="1"/>
  <c r="C1446" i="18"/>
  <c r="D1446" i="18" s="1"/>
  <c r="C2395" i="18"/>
  <c r="D2395" i="18" s="1"/>
  <c r="C2392" i="18"/>
  <c r="D2392" i="18" s="1"/>
  <c r="C2394" i="18"/>
  <c r="D2394" i="18" s="1"/>
  <c r="C2391" i="18"/>
  <c r="D2391" i="18" s="1"/>
  <c r="C2390" i="18"/>
  <c r="D2390" i="18" s="1"/>
  <c r="C2393" i="18"/>
  <c r="D2393" i="18" s="1"/>
  <c r="C1819" i="18"/>
  <c r="D1819" i="18" s="1"/>
  <c r="C1818" i="18"/>
  <c r="D1818" i="18" s="1"/>
  <c r="C1814" i="18"/>
  <c r="D1814" i="18" s="1"/>
  <c r="C1815" i="18"/>
  <c r="D1815" i="18" s="1"/>
  <c r="C1816" i="18"/>
  <c r="D1816" i="18" s="1"/>
  <c r="C1817" i="18"/>
  <c r="D1817" i="18" s="1"/>
  <c r="C3559" i="18"/>
  <c r="D3559" i="18" s="1"/>
  <c r="C3555" i="18"/>
  <c r="D3555" i="18" s="1"/>
  <c r="C3557" i="18"/>
  <c r="D3557" i="18" s="1"/>
  <c r="C3554" i="18"/>
  <c r="D3554" i="18" s="1"/>
  <c r="C3558" i="18"/>
  <c r="D3558" i="18" s="1"/>
  <c r="C3556" i="18"/>
  <c r="D3556" i="18" s="1"/>
  <c r="C857" i="18"/>
  <c r="D857" i="18" s="1"/>
  <c r="C855" i="18"/>
  <c r="D855" i="18" s="1"/>
  <c r="C859" i="18"/>
  <c r="D859" i="18" s="1"/>
  <c r="C858" i="18"/>
  <c r="D858" i="18" s="1"/>
  <c r="C854" i="18"/>
  <c r="D854" i="18" s="1"/>
  <c r="C856" i="18"/>
  <c r="D856" i="18" s="1"/>
  <c r="C845" i="18"/>
  <c r="D845" i="18" s="1"/>
  <c r="C842" i="18"/>
  <c r="D842" i="18" s="1"/>
  <c r="C844" i="18"/>
  <c r="D844" i="18" s="1"/>
  <c r="C846" i="18"/>
  <c r="D846" i="18" s="1"/>
  <c r="C843" i="18"/>
  <c r="D843" i="18" s="1"/>
  <c r="C847" i="18"/>
  <c r="D847" i="18" s="1"/>
  <c r="C4090" i="18"/>
  <c r="D4090" i="18" s="1"/>
  <c r="C4088" i="18"/>
  <c r="D4088" i="18" s="1"/>
  <c r="C4091" i="18"/>
  <c r="D4091" i="18" s="1"/>
  <c r="C4092" i="18"/>
  <c r="D4092" i="18" s="1"/>
  <c r="C4089" i="18"/>
  <c r="D4089" i="18" s="1"/>
  <c r="C4093" i="18"/>
  <c r="D4093" i="18" s="1"/>
  <c r="C27" i="10"/>
  <c r="E27" i="10" s="1"/>
  <c r="C3531" i="18"/>
  <c r="D3531" i="18" s="1"/>
  <c r="C3532" i="18"/>
  <c r="D3532" i="18" s="1"/>
  <c r="C3533" i="18"/>
  <c r="D3533" i="18" s="1"/>
  <c r="C3530" i="18"/>
  <c r="D3530" i="18" s="1"/>
  <c r="C3534" i="18"/>
  <c r="D3534" i="18" s="1"/>
  <c r="C3535" i="18"/>
  <c r="D3535" i="18" s="1"/>
  <c r="C3752" i="18"/>
  <c r="D3752" i="18" s="1"/>
  <c r="C3754" i="18"/>
  <c r="D3754" i="18" s="1"/>
  <c r="C3756" i="18"/>
  <c r="D3756" i="18" s="1"/>
  <c r="C3753" i="18"/>
  <c r="D3753" i="18" s="1"/>
  <c r="C3755" i="18"/>
  <c r="D3755" i="18" s="1"/>
  <c r="C3757" i="18"/>
  <c r="D3757" i="18" s="1"/>
  <c r="C3474" i="18"/>
  <c r="D3474" i="18" s="1"/>
  <c r="C3475" i="18"/>
  <c r="D3475" i="18" s="1"/>
  <c r="C3470" i="18"/>
  <c r="D3470" i="18" s="1"/>
  <c r="C3472" i="18"/>
  <c r="D3472" i="18" s="1"/>
  <c r="C3471" i="18"/>
  <c r="D3471" i="18" s="1"/>
  <c r="C3473" i="18"/>
  <c r="D3473" i="18" s="1"/>
  <c r="C4099" i="18"/>
  <c r="D4099" i="18" s="1"/>
  <c r="C4094" i="18"/>
  <c r="D4094" i="18" s="1"/>
  <c r="C4097" i="18"/>
  <c r="D4097" i="18" s="1"/>
  <c r="C4095" i="18"/>
  <c r="D4095" i="18" s="1"/>
  <c r="C4096" i="18"/>
  <c r="D4096" i="18" s="1"/>
  <c r="C4098" i="18"/>
  <c r="D4098" i="18" s="1"/>
  <c r="C441" i="10"/>
  <c r="E441" i="10" s="1"/>
  <c r="C2977" i="18"/>
  <c r="D2977" i="18" s="1"/>
  <c r="C2975" i="18"/>
  <c r="D2975" i="18" s="1"/>
  <c r="C2973" i="18"/>
  <c r="D2973" i="18" s="1"/>
  <c r="C2976" i="18"/>
  <c r="D2976" i="18" s="1"/>
  <c r="C2974" i="18"/>
  <c r="D2974" i="18" s="1"/>
  <c r="C3952" i="18"/>
  <c r="D3952" i="18" s="1"/>
  <c r="C3950" i="18"/>
  <c r="D3950" i="18" s="1"/>
  <c r="C3954" i="18"/>
  <c r="D3954" i="18" s="1"/>
  <c r="C3953" i="18"/>
  <c r="D3953" i="18" s="1"/>
  <c r="C3951" i="18"/>
  <c r="D3951" i="18" s="1"/>
  <c r="C3955" i="18"/>
  <c r="D3955" i="18" s="1"/>
  <c r="C3305" i="18"/>
  <c r="D3305" i="18" s="1"/>
  <c r="C3303" i="18"/>
  <c r="D3303" i="18" s="1"/>
  <c r="C3304" i="18"/>
  <c r="D3304" i="18" s="1"/>
  <c r="C3302" i="18"/>
  <c r="D3302" i="18" s="1"/>
  <c r="C3307" i="18"/>
  <c r="D3307" i="18" s="1"/>
  <c r="C3306" i="18"/>
  <c r="D3306" i="18" s="1"/>
  <c r="C276" i="10"/>
  <c r="E276" i="10" s="1"/>
  <c r="C1616" i="18"/>
  <c r="D1616" i="18" s="1"/>
  <c r="C1617" i="18"/>
  <c r="D1617" i="18" s="1"/>
  <c r="C1621" i="18"/>
  <c r="D1621" i="18" s="1"/>
  <c r="C1620" i="18"/>
  <c r="D1620" i="18" s="1"/>
  <c r="C1618" i="18"/>
  <c r="D1618" i="18" s="1"/>
  <c r="C1619" i="18"/>
  <c r="D1619" i="18" s="1"/>
  <c r="C2695" i="18"/>
  <c r="D2695" i="18" s="1"/>
  <c r="C2694" i="18"/>
  <c r="D2694" i="18" s="1"/>
  <c r="C2692" i="18"/>
  <c r="D2692" i="18" s="1"/>
  <c r="C2691" i="18"/>
  <c r="D2691" i="18" s="1"/>
  <c r="C2693" i="18"/>
  <c r="D2693" i="18" s="1"/>
  <c r="C2690" i="18"/>
  <c r="D2690" i="18" s="1"/>
  <c r="C3362" i="18"/>
  <c r="D3362" i="18" s="1"/>
  <c r="C3364" i="18"/>
  <c r="D3364" i="18" s="1"/>
  <c r="C3367" i="18"/>
  <c r="D3367" i="18" s="1"/>
  <c r="C3363" i="18"/>
  <c r="D3363" i="18" s="1"/>
  <c r="C3365" i="18"/>
  <c r="D3365" i="18" s="1"/>
  <c r="C3366" i="18"/>
  <c r="D3366" i="18" s="1"/>
  <c r="C3446" i="18"/>
  <c r="D3446" i="18" s="1"/>
  <c r="C3450" i="18"/>
  <c r="D3450" i="18" s="1"/>
  <c r="C3449" i="18"/>
  <c r="D3449" i="18" s="1"/>
  <c r="C3448" i="18"/>
  <c r="D3448" i="18" s="1"/>
  <c r="C3451" i="18"/>
  <c r="D3451" i="18" s="1"/>
  <c r="C3447" i="18"/>
  <c r="D3447" i="18" s="1"/>
  <c r="C3714" i="18"/>
  <c r="D3714" i="18" s="1"/>
  <c r="C3712" i="18"/>
  <c r="D3712" i="18" s="1"/>
  <c r="C3713" i="18"/>
  <c r="D3713" i="18" s="1"/>
  <c r="C3711" i="18"/>
  <c r="D3711" i="18" s="1"/>
  <c r="C3715" i="18"/>
  <c r="D3715" i="18" s="1"/>
  <c r="C3710" i="18"/>
  <c r="D3710" i="18" s="1"/>
  <c r="C2444" i="18"/>
  <c r="D2444" i="18" s="1"/>
  <c r="C2449" i="18"/>
  <c r="D2449" i="18" s="1"/>
  <c r="C2448" i="18"/>
  <c r="D2448" i="18" s="1"/>
  <c r="C2445" i="18"/>
  <c r="D2445" i="18" s="1"/>
  <c r="C2447" i="18"/>
  <c r="D2447" i="18" s="1"/>
  <c r="C2446" i="18"/>
  <c r="D2446" i="18" s="1"/>
  <c r="C3221" i="18"/>
  <c r="D3221" i="18" s="1"/>
  <c r="C3223" i="18"/>
  <c r="D3223" i="18" s="1"/>
  <c r="C3218" i="18"/>
  <c r="D3218" i="18" s="1"/>
  <c r="C3222" i="18"/>
  <c r="D3222" i="18" s="1"/>
  <c r="C3220" i="18"/>
  <c r="D3220" i="18" s="1"/>
  <c r="C3219" i="18"/>
  <c r="D3219" i="18" s="1"/>
  <c r="C1004" i="18"/>
  <c r="D1004" i="18" s="1"/>
  <c r="C1008" i="18"/>
  <c r="D1008" i="18" s="1"/>
  <c r="C1007" i="18"/>
  <c r="D1007" i="18" s="1"/>
  <c r="C1005" i="18"/>
  <c r="D1005" i="18" s="1"/>
  <c r="C1009" i="18"/>
  <c r="D1009" i="18" s="1"/>
  <c r="C1006" i="18"/>
  <c r="D1006" i="18" s="1"/>
  <c r="C83" i="10"/>
  <c r="E83" i="10" s="1"/>
  <c r="C4012" i="18"/>
  <c r="D4012" i="18" s="1"/>
  <c r="C4010" i="18"/>
  <c r="D4010" i="18" s="1"/>
  <c r="C4014" i="18"/>
  <c r="D4014" i="18" s="1"/>
  <c r="C4013" i="18"/>
  <c r="D4013" i="18" s="1"/>
  <c r="C4015" i="18"/>
  <c r="D4015" i="18" s="1"/>
  <c r="C4011" i="18"/>
  <c r="D4011" i="18" s="1"/>
  <c r="C4023" i="18"/>
  <c r="D4023" i="18" s="1"/>
  <c r="C4024" i="18"/>
  <c r="D4024" i="18" s="1"/>
  <c r="C4022" i="18"/>
  <c r="D4022" i="18" s="1"/>
  <c r="C4026" i="18"/>
  <c r="D4026" i="18" s="1"/>
  <c r="C4025" i="18"/>
  <c r="D4025" i="18" s="1"/>
  <c r="C4027" i="18"/>
  <c r="D4027" i="18" s="1"/>
  <c r="C3195" i="18"/>
  <c r="D3195" i="18" s="1"/>
  <c r="C3194" i="18"/>
  <c r="D3194" i="18" s="1"/>
  <c r="C3197" i="18"/>
  <c r="D3197" i="18" s="1"/>
  <c r="C3196" i="18"/>
  <c r="D3196" i="18" s="1"/>
  <c r="C3198" i="18"/>
  <c r="D3198" i="18" s="1"/>
  <c r="C3199" i="18"/>
  <c r="D3199" i="18" s="1"/>
  <c r="C3778" i="18"/>
  <c r="D3778" i="18" s="1"/>
  <c r="C3780" i="18"/>
  <c r="D3780" i="18" s="1"/>
  <c r="C3776" i="18"/>
  <c r="D3776" i="18" s="1"/>
  <c r="C3779" i="18"/>
  <c r="D3779" i="18" s="1"/>
  <c r="C3781" i="18"/>
  <c r="D3781" i="18" s="1"/>
  <c r="C3777" i="18"/>
  <c r="D3777" i="18" s="1"/>
  <c r="C3862" i="18"/>
  <c r="D3862" i="18" s="1"/>
  <c r="C3863" i="18"/>
  <c r="D3863" i="18" s="1"/>
  <c r="C3860" i="18"/>
  <c r="D3860" i="18" s="1"/>
  <c r="C3864" i="18"/>
  <c r="D3864" i="18" s="1"/>
  <c r="C3861" i="18"/>
  <c r="D3861" i="18" s="1"/>
  <c r="C3865" i="18"/>
  <c r="D3865" i="18" s="1"/>
  <c r="C1742" i="18"/>
  <c r="D1742" i="18" s="1"/>
  <c r="C1743" i="18"/>
  <c r="D1743" i="18" s="1"/>
  <c r="C1744" i="18"/>
  <c r="D1744" i="18" s="1"/>
  <c r="C1746" i="18"/>
  <c r="D1746" i="18" s="1"/>
  <c r="C1747" i="18"/>
  <c r="D1747" i="18" s="1"/>
  <c r="C1745" i="18"/>
  <c r="D1745" i="18" s="1"/>
  <c r="C3997" i="18"/>
  <c r="D3997" i="18" s="1"/>
  <c r="C3994" i="18"/>
  <c r="D3994" i="18" s="1"/>
  <c r="C3993" i="18"/>
  <c r="D3993" i="18" s="1"/>
  <c r="C3995" i="18"/>
  <c r="D3995" i="18" s="1"/>
  <c r="C3996" i="18"/>
  <c r="D3996" i="18" s="1"/>
  <c r="C3992" i="18"/>
  <c r="D3992" i="18" s="1"/>
  <c r="C1301" i="18"/>
  <c r="D1301" i="18" s="1"/>
  <c r="C1298" i="18"/>
  <c r="D1298" i="18" s="1"/>
  <c r="C1299" i="18"/>
  <c r="D1299" i="18" s="1"/>
  <c r="C1300" i="18"/>
  <c r="D1300" i="18" s="1"/>
  <c r="C1302" i="18"/>
  <c r="D1302" i="18" s="1"/>
  <c r="C1303" i="18"/>
  <c r="D1303" i="18" s="1"/>
  <c r="C3730" i="18"/>
  <c r="D3730" i="18" s="1"/>
  <c r="C3732" i="18"/>
  <c r="D3732" i="18" s="1"/>
  <c r="C3729" i="18"/>
  <c r="D3729" i="18" s="1"/>
  <c r="C3728" i="18"/>
  <c r="D3728" i="18" s="1"/>
  <c r="C3731" i="18"/>
  <c r="D3731" i="18" s="1"/>
  <c r="C3733" i="18"/>
  <c r="D3733" i="18" s="1"/>
  <c r="C8" i="10"/>
  <c r="E8" i="10" s="1"/>
  <c r="C3585" i="18"/>
  <c r="D3585" i="18" s="1"/>
  <c r="C3589" i="18"/>
  <c r="D3589" i="18" s="1"/>
  <c r="C3584" i="18"/>
  <c r="D3584" i="18" s="1"/>
  <c r="C3588" i="18"/>
  <c r="D3588" i="18" s="1"/>
  <c r="C3586" i="18"/>
  <c r="D3586" i="18" s="1"/>
  <c r="C3587" i="18"/>
  <c r="D3587" i="18" s="1"/>
  <c r="C3591" i="18"/>
  <c r="D3591" i="18" s="1"/>
  <c r="C3592" i="18"/>
  <c r="D3592" i="18" s="1"/>
  <c r="C3590" i="18"/>
  <c r="D3590" i="18" s="1"/>
  <c r="C3593" i="18"/>
  <c r="D3593" i="18" s="1"/>
  <c r="C3594" i="18"/>
  <c r="D3594" i="18" s="1"/>
  <c r="C3595" i="18"/>
  <c r="D3595" i="18" s="1"/>
  <c r="C39" i="10"/>
  <c r="E39" i="10" s="1"/>
  <c r="C2972" i="18"/>
  <c r="D2972" i="18" s="1"/>
  <c r="C3397" i="18"/>
  <c r="D3397" i="18" s="1"/>
  <c r="C3395" i="18"/>
  <c r="D3395" i="18" s="1"/>
  <c r="C3392" i="18"/>
  <c r="D3392" i="18" s="1"/>
  <c r="C3393" i="18"/>
  <c r="D3393" i="18" s="1"/>
  <c r="C3396" i="18"/>
  <c r="D3396" i="18" s="1"/>
  <c r="C3394" i="18"/>
  <c r="D3394" i="18" s="1"/>
  <c r="C3974" i="18"/>
  <c r="D3974" i="18" s="1"/>
  <c r="C3978" i="18"/>
  <c r="D3978" i="18" s="1"/>
  <c r="C3975" i="18"/>
  <c r="D3975" i="18" s="1"/>
  <c r="C3976" i="18"/>
  <c r="D3976" i="18" s="1"/>
  <c r="C3979" i="18"/>
  <c r="D3979" i="18" s="1"/>
  <c r="C3977" i="18"/>
  <c r="D3977" i="18" s="1"/>
  <c r="C3933" i="18"/>
  <c r="D3933" i="18" s="1"/>
  <c r="C3937" i="18"/>
  <c r="D3937" i="18" s="1"/>
  <c r="C3935" i="18"/>
  <c r="D3935" i="18" s="1"/>
  <c r="C3934" i="18"/>
  <c r="D3934" i="18" s="1"/>
  <c r="C3932" i="18"/>
  <c r="D3932" i="18" s="1"/>
  <c r="C3936" i="18"/>
  <c r="D3936" i="18" s="1"/>
  <c r="C1511" i="18"/>
  <c r="D1511" i="18" s="1"/>
  <c r="C1509" i="18"/>
  <c r="D1509" i="18" s="1"/>
  <c r="C1508" i="18"/>
  <c r="D1508" i="18" s="1"/>
  <c r="C1513" i="18"/>
  <c r="D1513" i="18" s="1"/>
  <c r="C1510" i="18"/>
  <c r="D1510" i="18" s="1"/>
  <c r="C1512" i="18"/>
  <c r="D1512" i="18" s="1"/>
  <c r="C3826" i="18"/>
  <c r="D3826" i="18" s="1"/>
  <c r="C3829" i="18"/>
  <c r="D3829" i="18" s="1"/>
  <c r="C3828" i="18"/>
  <c r="D3828" i="18" s="1"/>
  <c r="C3824" i="18"/>
  <c r="D3824" i="18" s="1"/>
  <c r="C3827" i="18"/>
  <c r="D3827" i="18" s="1"/>
  <c r="C3825" i="18"/>
  <c r="D3825" i="18" s="1"/>
  <c r="C4122" i="18"/>
  <c r="D4122" i="18" s="1"/>
  <c r="C4120" i="18"/>
  <c r="D4120" i="18" s="1"/>
  <c r="C4119" i="18"/>
  <c r="D4119" i="18" s="1"/>
  <c r="C4121" i="18"/>
  <c r="D4121" i="18" s="1"/>
  <c r="C4118" i="18"/>
  <c r="D4118" i="18" s="1"/>
  <c r="C4123" i="18"/>
  <c r="D4123" i="18" s="1"/>
  <c r="C2544" i="18"/>
  <c r="D2544" i="18" s="1"/>
  <c r="C2542" i="18"/>
  <c r="D2542" i="18" s="1"/>
  <c r="C2540" i="18"/>
  <c r="D2540" i="18" s="1"/>
  <c r="C2545" i="18"/>
  <c r="D2545" i="18" s="1"/>
  <c r="C2543" i="18"/>
  <c r="D2543" i="18" s="1"/>
  <c r="C2541" i="18"/>
  <c r="D2541" i="18" s="1"/>
  <c r="C3409" i="18"/>
  <c r="D3409" i="18" s="1"/>
  <c r="C3404" i="18"/>
  <c r="D3404" i="18" s="1"/>
  <c r="C3405" i="18"/>
  <c r="D3405" i="18" s="1"/>
  <c r="C3408" i="18"/>
  <c r="D3408" i="18" s="1"/>
  <c r="C3407" i="18"/>
  <c r="D3407" i="18" s="1"/>
  <c r="C3406" i="18"/>
  <c r="D3406" i="18" s="1"/>
  <c r="C3125" i="18"/>
  <c r="D3125" i="18" s="1"/>
  <c r="C3123" i="18"/>
  <c r="D3123" i="18" s="1"/>
  <c r="C3127" i="18"/>
  <c r="D3127" i="18" s="1"/>
  <c r="C3122" i="18"/>
  <c r="D3122" i="18" s="1"/>
  <c r="C3126" i="18"/>
  <c r="D3126" i="18" s="1"/>
  <c r="C3124" i="18"/>
  <c r="D3124" i="18" s="1"/>
  <c r="C988" i="18"/>
  <c r="D988" i="18" s="1"/>
  <c r="C987" i="18"/>
  <c r="D987" i="18" s="1"/>
  <c r="C990" i="18"/>
  <c r="D990" i="18" s="1"/>
  <c r="C986" i="18"/>
  <c r="D986" i="18" s="1"/>
  <c r="C991" i="18"/>
  <c r="D991" i="18" s="1"/>
  <c r="C989" i="18"/>
  <c r="D989" i="18" s="1"/>
  <c r="C3078" i="18"/>
  <c r="D3078" i="18" s="1"/>
  <c r="C3076" i="18"/>
  <c r="D3076" i="18" s="1"/>
  <c r="C3079" i="18"/>
  <c r="D3079" i="18" s="1"/>
  <c r="C3074" i="18"/>
  <c r="D3074" i="18" s="1"/>
  <c r="C3075" i="18"/>
  <c r="D3075" i="18" s="1"/>
  <c r="C3077" i="18"/>
  <c r="D3077" i="18" s="1"/>
  <c r="C946" i="18"/>
  <c r="D946" i="18" s="1"/>
  <c r="C947" i="18"/>
  <c r="D947" i="18" s="1"/>
  <c r="C945" i="18"/>
  <c r="D945" i="18" s="1"/>
  <c r="C944" i="18"/>
  <c r="D944" i="18" s="1"/>
  <c r="C948" i="18"/>
  <c r="D948" i="18" s="1"/>
  <c r="C949" i="18"/>
  <c r="D949" i="18" s="1"/>
  <c r="C1243" i="18"/>
  <c r="D1243" i="18" s="1"/>
  <c r="C1241" i="18"/>
  <c r="D1241" i="18" s="1"/>
  <c r="C1240" i="18"/>
  <c r="D1240" i="18" s="1"/>
  <c r="C1239" i="18"/>
  <c r="D1239" i="18" s="1"/>
  <c r="C1242" i="18"/>
  <c r="D1242" i="18" s="1"/>
  <c r="C1238" i="18"/>
  <c r="D1238" i="18" s="1"/>
  <c r="C734" i="18"/>
  <c r="D734" i="18" s="1"/>
  <c r="C736" i="18"/>
  <c r="D736" i="18" s="1"/>
  <c r="C737" i="18"/>
  <c r="D737" i="18" s="1"/>
  <c r="C738" i="18"/>
  <c r="D738" i="18" s="1"/>
  <c r="C735" i="18"/>
  <c r="D735" i="18" s="1"/>
  <c r="C739" i="18"/>
  <c r="D739" i="18" s="1"/>
  <c r="C928" i="18"/>
  <c r="D928" i="18" s="1"/>
  <c r="C926" i="18"/>
  <c r="D926" i="18" s="1"/>
  <c r="C927" i="18"/>
  <c r="C931" i="18"/>
  <c r="D931" i="18" s="1"/>
  <c r="C929" i="18"/>
  <c r="D929" i="18" s="1"/>
  <c r="C930" i="18"/>
  <c r="D930" i="18" s="1"/>
  <c r="C689" i="18"/>
  <c r="D689" i="18" s="1"/>
  <c r="C686" i="18"/>
  <c r="D686" i="18" s="1"/>
  <c r="C687" i="18"/>
  <c r="D687" i="18" s="1"/>
  <c r="C688" i="18"/>
  <c r="D688" i="18" s="1"/>
  <c r="C691" i="18"/>
  <c r="D691" i="18" s="1"/>
  <c r="C690" i="18"/>
  <c r="D690" i="18" s="1"/>
  <c r="C241" i="10"/>
  <c r="E241" i="10" s="1"/>
  <c r="C2199" i="18"/>
  <c r="D2199" i="18" s="1"/>
  <c r="C2203" i="18"/>
  <c r="D2203" i="18" s="1"/>
  <c r="C2200" i="18"/>
  <c r="D2200" i="18" s="1"/>
  <c r="C2202" i="18"/>
  <c r="D2202" i="18" s="1"/>
  <c r="C2201" i="18"/>
  <c r="D2201" i="18" s="1"/>
  <c r="C2198" i="18"/>
  <c r="D2198" i="18" s="1"/>
  <c r="C3651" i="18"/>
  <c r="D3651" i="18" s="1"/>
  <c r="C3654" i="18"/>
  <c r="D3654" i="18" s="1"/>
  <c r="C3650" i="18"/>
  <c r="D3650" i="18" s="1"/>
  <c r="C3652" i="18"/>
  <c r="D3652" i="18" s="1"/>
  <c r="C3653" i="18"/>
  <c r="D3653" i="18" s="1"/>
  <c r="C3655" i="18"/>
  <c r="D3655" i="18" s="1"/>
  <c r="C88" i="10"/>
  <c r="E88" i="10" s="1"/>
  <c r="C575" i="18"/>
  <c r="D575" i="18" s="1"/>
  <c r="C3280" i="18"/>
  <c r="D3280" i="18" s="1"/>
  <c r="C3279" i="18"/>
  <c r="D3279" i="18" s="1"/>
  <c r="C3278" i="18"/>
  <c r="D3278" i="18" s="1"/>
  <c r="C3173" i="18"/>
  <c r="D3173" i="18" s="1"/>
  <c r="C3175" i="18"/>
  <c r="D3175" i="18" s="1"/>
  <c r="C3174" i="18"/>
  <c r="D3174" i="18" s="1"/>
  <c r="C3171" i="18"/>
  <c r="D3171" i="18" s="1"/>
  <c r="C3172" i="18"/>
  <c r="D3172" i="18" s="1"/>
  <c r="C3170" i="18"/>
  <c r="D3170" i="18" s="1"/>
  <c r="C3263" i="18"/>
  <c r="D3263" i="18" s="1"/>
  <c r="C3261" i="18"/>
  <c r="D3261" i="18" s="1"/>
  <c r="C3260" i="18"/>
  <c r="D3260" i="18" s="1"/>
  <c r="C3264" i="18"/>
  <c r="D3264" i="18" s="1"/>
  <c r="C3262" i="18"/>
  <c r="D3262" i="18" s="1"/>
  <c r="C3265" i="18"/>
  <c r="D3265" i="18" s="1"/>
  <c r="C4152" i="18"/>
  <c r="D4152" i="18" s="1"/>
  <c r="C4148" i="18"/>
  <c r="D4148" i="18" s="1"/>
  <c r="C4149" i="18"/>
  <c r="D4149" i="18" s="1"/>
  <c r="C4150" i="18"/>
  <c r="D4150" i="18" s="1"/>
  <c r="C4151" i="18"/>
  <c r="D4151" i="18" s="1"/>
  <c r="C4153" i="18"/>
  <c r="D4153" i="18" s="1"/>
  <c r="C2539" i="18"/>
  <c r="D2539" i="18" s="1"/>
  <c r="C325" i="10"/>
  <c r="E325" i="10" s="1"/>
  <c r="C2534" i="18"/>
  <c r="D2534" i="18" s="1"/>
  <c r="C2536" i="18"/>
  <c r="D2536" i="18" s="1"/>
  <c r="C2537" i="18"/>
  <c r="D2537" i="18" s="1"/>
  <c r="C2535" i="18"/>
  <c r="D2535" i="18" s="1"/>
  <c r="C2538" i="18"/>
  <c r="D2538" i="18" s="1"/>
  <c r="C3706" i="18"/>
  <c r="D3706" i="18" s="1"/>
  <c r="C3707" i="18"/>
  <c r="D3707" i="18" s="1"/>
  <c r="C3709" i="18"/>
  <c r="D3709" i="18" s="1"/>
  <c r="C3705" i="18"/>
  <c r="D3705" i="18" s="1"/>
  <c r="C3708" i="18"/>
  <c r="D3708" i="18" s="1"/>
  <c r="C3704" i="18"/>
  <c r="D3704" i="18" s="1"/>
  <c r="C3679" i="18"/>
  <c r="D3679" i="18" s="1"/>
  <c r="C3678" i="18"/>
  <c r="D3678" i="18" s="1"/>
  <c r="C3677" i="18"/>
  <c r="D3677" i="18" s="1"/>
  <c r="C3676" i="18"/>
  <c r="D3676" i="18" s="1"/>
  <c r="C3674" i="18"/>
  <c r="D3674" i="18" s="1"/>
  <c r="C3675" i="18"/>
  <c r="D3675" i="18" s="1"/>
  <c r="C3645" i="18"/>
  <c r="D3645" i="18" s="1"/>
  <c r="C3649" i="18"/>
  <c r="D3649" i="18" s="1"/>
  <c r="C3646" i="18"/>
  <c r="D3646" i="18" s="1"/>
  <c r="C3647" i="18"/>
  <c r="D3647" i="18" s="1"/>
  <c r="C3648" i="18"/>
  <c r="D3648" i="18" s="1"/>
  <c r="C3644" i="18"/>
  <c r="D3644" i="18" s="1"/>
  <c r="C803" i="18"/>
  <c r="D803" i="18" s="1"/>
  <c r="C805" i="18"/>
  <c r="D805" i="18" s="1"/>
  <c r="C801" i="18"/>
  <c r="D801" i="18" s="1"/>
  <c r="C802" i="18"/>
  <c r="C800" i="18"/>
  <c r="D800" i="18" s="1"/>
  <c r="C804" i="18"/>
  <c r="D804" i="18" s="1"/>
  <c r="C660" i="18"/>
  <c r="D660" i="18" s="1"/>
  <c r="C656" i="18"/>
  <c r="D656" i="18" s="1"/>
  <c r="C658" i="18"/>
  <c r="D658" i="18" s="1"/>
  <c r="C657" i="18"/>
  <c r="D657" i="18" s="1"/>
  <c r="C659" i="18"/>
  <c r="D659" i="18" s="1"/>
  <c r="C661" i="18"/>
  <c r="D661" i="18" s="1"/>
  <c r="C3319" i="18"/>
  <c r="D3319" i="18" s="1"/>
  <c r="C3318" i="18"/>
  <c r="D3318" i="18" s="1"/>
  <c r="C3315" i="18"/>
  <c r="D3315" i="18" s="1"/>
  <c r="C3317" i="18"/>
  <c r="D3317" i="18" s="1"/>
  <c r="C3316" i="18"/>
  <c r="D3316" i="18" s="1"/>
  <c r="C3314" i="18"/>
  <c r="D3314" i="18" s="1"/>
  <c r="C4055" i="18"/>
  <c r="D4055" i="18" s="1"/>
  <c r="C4057" i="18"/>
  <c r="D4057" i="18" s="1"/>
  <c r="C4052" i="18"/>
  <c r="D4052" i="18" s="1"/>
  <c r="C4053" i="18"/>
  <c r="D4053" i="18" s="1"/>
  <c r="C4056" i="18"/>
  <c r="D4056" i="18" s="1"/>
  <c r="C4054" i="18"/>
  <c r="D4054" i="18" s="1"/>
  <c r="C2119" i="18"/>
  <c r="D2119" i="18" s="1"/>
  <c r="C2114" i="18"/>
  <c r="D2114" i="18" s="1"/>
  <c r="C2117" i="18"/>
  <c r="D2117" i="18" s="1"/>
  <c r="C2116" i="18"/>
  <c r="D2116" i="18" s="1"/>
  <c r="C2118" i="18"/>
  <c r="D2118" i="18" s="1"/>
  <c r="C2115" i="18"/>
  <c r="D2115" i="18" s="1"/>
  <c r="C3491" i="18"/>
  <c r="D3491" i="18" s="1"/>
  <c r="C3489" i="18"/>
  <c r="D3489" i="18" s="1"/>
  <c r="C3488" i="18"/>
  <c r="D3488" i="18" s="1"/>
  <c r="C3490" i="18"/>
  <c r="D3490" i="18" s="1"/>
  <c r="C3492" i="18"/>
  <c r="D3492" i="18" s="1"/>
  <c r="C3493" i="18"/>
  <c r="D3493" i="18" s="1"/>
  <c r="C154" i="10"/>
  <c r="E154" i="10" s="1"/>
  <c r="C3759" i="18"/>
  <c r="D3759" i="18" s="1"/>
  <c r="C3762" i="18"/>
  <c r="D3762" i="18" s="1"/>
  <c r="C3758" i="18"/>
  <c r="D3758" i="18" s="1"/>
  <c r="C3760" i="18"/>
  <c r="D3760" i="18" s="1"/>
  <c r="C3763" i="18"/>
  <c r="D3763" i="18" s="1"/>
  <c r="C3761" i="18"/>
  <c r="D3761" i="18" s="1"/>
  <c r="C3871" i="18"/>
  <c r="D3871" i="18" s="1"/>
  <c r="C3866" i="18"/>
  <c r="D3866" i="18" s="1"/>
  <c r="C3870" i="18"/>
  <c r="D3870" i="18" s="1"/>
  <c r="C3869" i="18"/>
  <c r="D3869" i="18" s="1"/>
  <c r="C3867" i="18"/>
  <c r="D3867" i="18" s="1"/>
  <c r="C3868" i="18"/>
  <c r="D3868" i="18" s="1"/>
  <c r="C2839" i="18"/>
  <c r="D2839" i="18" s="1"/>
  <c r="C3774" i="18"/>
  <c r="D3774" i="18" s="1"/>
  <c r="C1139" i="18"/>
  <c r="D1139" i="18" s="1"/>
  <c r="C1140" i="18"/>
  <c r="D1140" i="18" s="1"/>
  <c r="C1137" i="18"/>
  <c r="D1137" i="18" s="1"/>
  <c r="C1141" i="18"/>
  <c r="D1141" i="18" s="1"/>
  <c r="C1136" i="18"/>
  <c r="D1136" i="18" s="1"/>
  <c r="C1138" i="18"/>
  <c r="D1138" i="18" s="1"/>
  <c r="C2881" i="18"/>
  <c r="D2881" i="18" s="1"/>
  <c r="C2877" i="18"/>
  <c r="D2877" i="18" s="1"/>
  <c r="C2878" i="18"/>
  <c r="D2878" i="18" s="1"/>
  <c r="C2880" i="18"/>
  <c r="D2880" i="18" s="1"/>
  <c r="C2879" i="18"/>
  <c r="D2879" i="18" s="1"/>
  <c r="C2876" i="18"/>
  <c r="D2876" i="18" s="1"/>
  <c r="C771" i="18"/>
  <c r="D771" i="18" s="1"/>
  <c r="C770" i="18"/>
  <c r="D770" i="18" s="1"/>
  <c r="C774" i="18"/>
  <c r="D774" i="18" s="1"/>
  <c r="C772" i="18"/>
  <c r="D772" i="18" s="1"/>
  <c r="C775" i="18"/>
  <c r="D775" i="18" s="1"/>
  <c r="C773" i="18"/>
  <c r="D773" i="18" s="1"/>
  <c r="C4086" i="18"/>
  <c r="D4086" i="18" s="1"/>
  <c r="C4083" i="18"/>
  <c r="D4083" i="18" s="1"/>
  <c r="C4082" i="18"/>
  <c r="D4082" i="18" s="1"/>
  <c r="C4087" i="18"/>
  <c r="D4087" i="18" s="1"/>
  <c r="C4084" i="18"/>
  <c r="D4084" i="18" s="1"/>
  <c r="C4085" i="18"/>
  <c r="D4085" i="18" s="1"/>
  <c r="C4202" i="18"/>
  <c r="D4202" i="18" s="1"/>
  <c r="C4206" i="18"/>
  <c r="D4206" i="18" s="1"/>
  <c r="C4203" i="18"/>
  <c r="D4203" i="18" s="1"/>
  <c r="C4205" i="18"/>
  <c r="D4205" i="18" s="1"/>
  <c r="C4207" i="18"/>
  <c r="D4207" i="18" s="1"/>
  <c r="C4204" i="18"/>
  <c r="D4204" i="18" s="1"/>
  <c r="C4128" i="18"/>
  <c r="D4128" i="18" s="1"/>
  <c r="C4129" i="18"/>
  <c r="D4129" i="18" s="1"/>
  <c r="C4124" i="18"/>
  <c r="D4124" i="18" s="1"/>
  <c r="C4127" i="18"/>
  <c r="D4127" i="18" s="1"/>
  <c r="C4125" i="18"/>
  <c r="D4125" i="18" s="1"/>
  <c r="C4126" i="18"/>
  <c r="D4126" i="18" s="1"/>
  <c r="C873" i="18"/>
  <c r="D873" i="18" s="1"/>
  <c r="C877" i="18"/>
  <c r="D877" i="18" s="1"/>
  <c r="C872" i="18"/>
  <c r="D872" i="18" s="1"/>
  <c r="C874" i="18"/>
  <c r="D874" i="18" s="1"/>
  <c r="C875" i="18"/>
  <c r="D875" i="18" s="1"/>
  <c r="C876" i="18"/>
  <c r="D876" i="18" s="1"/>
  <c r="C3326" i="18"/>
  <c r="D3326" i="18" s="1"/>
  <c r="C3327" i="18"/>
  <c r="D3327" i="18" s="1"/>
  <c r="C3331" i="18"/>
  <c r="D3331" i="18" s="1"/>
  <c r="C3328" i="18"/>
  <c r="D3328" i="18" s="1"/>
  <c r="C3330" i="18"/>
  <c r="D3330" i="18" s="1"/>
  <c r="C3329" i="18"/>
  <c r="D3329" i="18" s="1"/>
  <c r="C458" i="18"/>
  <c r="D458" i="18" s="1"/>
  <c r="C460" i="18"/>
  <c r="D460" i="18" s="1"/>
  <c r="C459" i="18"/>
  <c r="D459" i="18" s="1"/>
  <c r="C461" i="18"/>
  <c r="D461" i="18" s="1"/>
  <c r="C462" i="18"/>
  <c r="D462" i="18" s="1"/>
  <c r="C463" i="18"/>
  <c r="D463" i="18" s="1"/>
  <c r="C475" i="10"/>
  <c r="E475" i="10" s="1"/>
  <c r="C2572" i="18"/>
  <c r="D2572" i="18" s="1"/>
  <c r="C2571" i="18"/>
  <c r="D2571" i="18" s="1"/>
  <c r="C2573" i="18"/>
  <c r="D2573" i="18" s="1"/>
  <c r="C2575" i="18"/>
  <c r="D2575" i="18" s="1"/>
  <c r="C2574" i="18"/>
  <c r="D2574" i="18" s="1"/>
  <c r="C2570" i="18"/>
  <c r="D2570" i="18" s="1"/>
  <c r="C1050" i="18"/>
  <c r="D1050" i="18" s="1"/>
  <c r="C1046" i="18"/>
  <c r="D1046" i="18" s="1"/>
  <c r="C1051" i="18"/>
  <c r="D1051" i="18" s="1"/>
  <c r="C1048" i="18"/>
  <c r="D1048" i="18" s="1"/>
  <c r="C1047" i="18"/>
  <c r="D1047" i="18" s="1"/>
  <c r="C1049" i="18"/>
  <c r="D1049" i="18" s="1"/>
  <c r="C2959" i="18"/>
  <c r="D2959" i="18" s="1"/>
  <c r="C2954" i="18"/>
  <c r="D2954" i="18" s="1"/>
  <c r="C2956" i="18"/>
  <c r="D2956" i="18" s="1"/>
  <c r="C2958" i="18"/>
  <c r="D2958" i="18" s="1"/>
  <c r="C2957" i="18"/>
  <c r="D2957" i="18" s="1"/>
  <c r="C2955" i="18"/>
  <c r="D2955" i="18" s="1"/>
  <c r="C244" i="10"/>
  <c r="E244" i="10" s="1"/>
  <c r="C3552" i="18"/>
  <c r="D3552" i="18" s="1"/>
  <c r="C3548" i="18"/>
  <c r="D3548" i="18" s="1"/>
  <c r="C3553" i="18"/>
  <c r="D3553" i="18" s="1"/>
  <c r="C3549" i="18"/>
  <c r="D3549" i="18" s="1"/>
  <c r="C3550" i="18"/>
  <c r="D3550" i="18" s="1"/>
  <c r="C3551" i="18"/>
  <c r="D3551" i="18" s="1"/>
  <c r="C3527" i="18"/>
  <c r="D3527" i="18" s="1"/>
  <c r="C3528" i="18"/>
  <c r="D3528" i="18" s="1"/>
  <c r="C3529" i="18"/>
  <c r="D3529" i="18" s="1"/>
  <c r="C3524" i="18"/>
  <c r="D3524" i="18" s="1"/>
  <c r="C3525" i="18"/>
  <c r="D3525" i="18" s="1"/>
  <c r="C3526" i="18"/>
  <c r="D3526" i="18" s="1"/>
  <c r="C3991" i="18"/>
  <c r="D3991" i="18" s="1"/>
  <c r="C3988" i="18"/>
  <c r="D3988" i="18" s="1"/>
  <c r="C3989" i="18"/>
  <c r="D3989" i="18" s="1"/>
  <c r="C3987" i="18"/>
  <c r="D3987" i="18" s="1"/>
  <c r="C3986" i="18"/>
  <c r="D3986" i="18" s="1"/>
  <c r="C3990" i="18"/>
  <c r="D3990" i="18" s="1"/>
  <c r="C4134" i="18"/>
  <c r="D4134" i="18" s="1"/>
  <c r="C4135" i="18"/>
  <c r="D4135" i="18" s="1"/>
  <c r="C4132" i="18"/>
  <c r="D4132" i="18" s="1"/>
  <c r="C4131" i="18"/>
  <c r="D4131" i="18" s="1"/>
  <c r="C4133" i="18"/>
  <c r="D4133" i="18" s="1"/>
  <c r="C4130" i="18"/>
  <c r="D4130" i="18" s="1"/>
  <c r="C3356" i="18"/>
  <c r="D3356" i="18" s="1"/>
  <c r="C3361" i="18"/>
  <c r="D3361" i="18" s="1"/>
  <c r="C3359" i="18"/>
  <c r="D3359" i="18" s="1"/>
  <c r="C3358" i="18"/>
  <c r="D3358" i="18" s="1"/>
  <c r="C3360" i="18"/>
  <c r="D3360" i="18" s="1"/>
  <c r="C3357" i="18"/>
  <c r="D3357" i="18" s="1"/>
  <c r="C3616" i="18"/>
  <c r="D3616" i="18" s="1"/>
  <c r="C3614" i="18"/>
  <c r="D3614" i="18" s="1"/>
  <c r="C3619" i="18"/>
  <c r="D3619" i="18" s="1"/>
  <c r="C3618" i="18"/>
  <c r="D3618" i="18" s="1"/>
  <c r="C3617" i="18"/>
  <c r="D3617" i="18" s="1"/>
  <c r="C3615" i="18"/>
  <c r="D3615" i="18" s="1"/>
  <c r="C2277" i="18"/>
  <c r="D2277" i="18" s="1"/>
  <c r="C2281" i="18"/>
  <c r="D2281" i="18" s="1"/>
  <c r="C2276" i="18"/>
  <c r="D2276" i="18" s="1"/>
  <c r="C2279" i="18"/>
  <c r="D2279" i="18" s="1"/>
  <c r="C2280" i="18"/>
  <c r="D2280" i="18" s="1"/>
  <c r="C2278" i="18"/>
  <c r="D2278" i="18" s="1"/>
  <c r="C3902" i="18"/>
  <c r="D3902" i="18" s="1"/>
  <c r="C3907" i="18"/>
  <c r="D3907" i="18" s="1"/>
  <c r="C3906" i="18"/>
  <c r="D3906" i="18" s="1"/>
  <c r="C3905" i="18"/>
  <c r="D3905" i="18" s="1"/>
  <c r="C3904" i="18"/>
  <c r="D3904" i="18" s="1"/>
  <c r="C3903" i="18"/>
  <c r="D3903" i="18" s="1"/>
  <c r="C3380" i="18"/>
  <c r="D3380" i="18" s="1"/>
  <c r="C3382" i="18"/>
  <c r="D3382" i="18" s="1"/>
  <c r="C3383" i="18"/>
  <c r="D3383" i="18" s="1"/>
  <c r="C3381" i="18"/>
  <c r="D3381" i="18" s="1"/>
  <c r="C3385" i="18"/>
  <c r="D3385" i="18" s="1"/>
  <c r="C3384" i="18"/>
  <c r="D3384" i="18" s="1"/>
  <c r="C692" i="18"/>
  <c r="D692" i="18" s="1"/>
  <c r="C68" i="10"/>
  <c r="E68" i="10" s="1"/>
  <c r="C695" i="18"/>
  <c r="C693" i="18"/>
  <c r="D693" i="18" s="1"/>
  <c r="C697" i="18"/>
  <c r="D697" i="18" s="1"/>
  <c r="C694" i="18"/>
  <c r="D694" i="18" s="1"/>
  <c r="C696" i="18"/>
  <c r="D696" i="18" s="1"/>
  <c r="C3783" i="18"/>
  <c r="D3783" i="18" s="1"/>
  <c r="C3784" i="18"/>
  <c r="D3784" i="18" s="1"/>
  <c r="C3787" i="18"/>
  <c r="D3787" i="18" s="1"/>
  <c r="C3785" i="18"/>
  <c r="D3785" i="18" s="1"/>
  <c r="C3782" i="18"/>
  <c r="D3782" i="18" s="1"/>
  <c r="C3786" i="18"/>
  <c r="D3786" i="18" s="1"/>
  <c r="C2908" i="18"/>
  <c r="D2908" i="18" s="1"/>
  <c r="C2906" i="18"/>
  <c r="D2906" i="18" s="1"/>
  <c r="C2911" i="18"/>
  <c r="D2911" i="18" s="1"/>
  <c r="C2907" i="18"/>
  <c r="D2907" i="18" s="1"/>
  <c r="C2910" i="18"/>
  <c r="D2910" i="18" s="1"/>
  <c r="C2909" i="18"/>
  <c r="D2909" i="18" s="1"/>
  <c r="C642" i="18"/>
  <c r="D642" i="18" s="1"/>
  <c r="C643" i="18"/>
  <c r="D643" i="18" s="1"/>
  <c r="C641" i="18"/>
  <c r="D641" i="18" s="1"/>
  <c r="C640" i="18"/>
  <c r="D640" i="18" s="1"/>
  <c r="C639" i="18"/>
  <c r="D639" i="18" s="1"/>
  <c r="C638" i="18"/>
  <c r="D638" i="18" s="1"/>
  <c r="C787" i="18"/>
  <c r="D787" i="18" s="1"/>
  <c r="C786" i="18"/>
  <c r="D786" i="18" s="1"/>
  <c r="C782" i="18"/>
  <c r="D782" i="18" s="1"/>
  <c r="C784" i="18"/>
  <c r="D784" i="18" s="1"/>
  <c r="C785" i="18"/>
  <c r="D785" i="18" s="1"/>
  <c r="C783" i="18"/>
  <c r="D783" i="18" s="1"/>
  <c r="C2838" i="18"/>
  <c r="D2838" i="18" s="1"/>
  <c r="C2835" i="18"/>
  <c r="D2835" i="18" s="1"/>
  <c r="C2837" i="18"/>
  <c r="D2837" i="18" s="1"/>
  <c r="C840" i="18"/>
  <c r="D840" i="18" s="1"/>
  <c r="C841" i="18"/>
  <c r="D841" i="18" s="1"/>
  <c r="C839" i="18"/>
  <c r="D839" i="18" s="1"/>
  <c r="C838" i="18"/>
  <c r="D838" i="18" s="1"/>
  <c r="C837" i="18"/>
  <c r="D837" i="18" s="1"/>
  <c r="C836" i="18"/>
  <c r="D836" i="18" s="1"/>
  <c r="C2861" i="18"/>
  <c r="D2861" i="18" s="1"/>
  <c r="C2858" i="18"/>
  <c r="D2858" i="18" s="1"/>
  <c r="C2862" i="18"/>
  <c r="D2862" i="18" s="1"/>
  <c r="C2859" i="18"/>
  <c r="D2859" i="18" s="1"/>
  <c r="C2863" i="18"/>
  <c r="D2863" i="18" s="1"/>
  <c r="C2860" i="18"/>
  <c r="D2860" i="18" s="1"/>
  <c r="C4183" i="18"/>
  <c r="D4183" i="18" s="1"/>
  <c r="C4182" i="18"/>
  <c r="D4182" i="18" s="1"/>
  <c r="C4180" i="18"/>
  <c r="D4180" i="18" s="1"/>
  <c r="C4178" i="18"/>
  <c r="D4178" i="18" s="1"/>
  <c r="C4179" i="18"/>
  <c r="D4179" i="18" s="1"/>
  <c r="C4181" i="18"/>
  <c r="D4181" i="18" s="1"/>
  <c r="C3612" i="18"/>
  <c r="D3612" i="18" s="1"/>
  <c r="C3613" i="18"/>
  <c r="D3613" i="18" s="1"/>
  <c r="C3609" i="18"/>
  <c r="D3609" i="18" s="1"/>
  <c r="C3610" i="18"/>
  <c r="D3610" i="18" s="1"/>
  <c r="C3608" i="18"/>
  <c r="D3608" i="18" s="1"/>
  <c r="C3611" i="18"/>
  <c r="D3611" i="18" s="1"/>
  <c r="C3957" i="18"/>
  <c r="D3957" i="18" s="1"/>
  <c r="C3958" i="18"/>
  <c r="D3958" i="18" s="1"/>
  <c r="C3961" i="18"/>
  <c r="D3961" i="18" s="1"/>
  <c r="C3960" i="18"/>
  <c r="D3960" i="18" s="1"/>
  <c r="C3956" i="18"/>
  <c r="D3956" i="18" s="1"/>
  <c r="C3959" i="18"/>
  <c r="D3959" i="18" s="1"/>
  <c r="C534" i="18"/>
  <c r="D534" i="18" s="1"/>
  <c r="C533" i="18"/>
  <c r="D533" i="18" s="1"/>
  <c r="C532" i="18"/>
  <c r="D532" i="18" s="1"/>
  <c r="C2634" i="18"/>
  <c r="D2634" i="18" s="1"/>
  <c r="C2632" i="18"/>
  <c r="D2632" i="18" s="1"/>
  <c r="C2630" i="18"/>
  <c r="D2630" i="18" s="1"/>
  <c r="C2631" i="18"/>
  <c r="D2631" i="18" s="1"/>
  <c r="C2633" i="18"/>
  <c r="D2633" i="18" s="1"/>
  <c r="C2635" i="18"/>
  <c r="D2635" i="18" s="1"/>
  <c r="C2363" i="18"/>
  <c r="D2363" i="18" s="1"/>
  <c r="C2361" i="18"/>
  <c r="D2361" i="18" s="1"/>
  <c r="C2364" i="18"/>
  <c r="D2364" i="18" s="1"/>
  <c r="C2362" i="18"/>
  <c r="D2362" i="18" s="1"/>
  <c r="C2360" i="18"/>
  <c r="D2360" i="18" s="1"/>
  <c r="C2365" i="18"/>
  <c r="D2365" i="18" s="1"/>
  <c r="C3101" i="18"/>
  <c r="D3101" i="18" s="1"/>
  <c r="C3100" i="18"/>
  <c r="D3100" i="18" s="1"/>
  <c r="C3099" i="18"/>
  <c r="D3099" i="18" s="1"/>
  <c r="C3098" i="18"/>
  <c r="D3098" i="18" s="1"/>
  <c r="C3102" i="18"/>
  <c r="D3102" i="18" s="1"/>
  <c r="C3103" i="18"/>
  <c r="D3103" i="18" s="1"/>
  <c r="C4059" i="18"/>
  <c r="D4059" i="18" s="1"/>
  <c r="C4058" i="18"/>
  <c r="D4058" i="18" s="1"/>
  <c r="C4061" i="18"/>
  <c r="D4061" i="18" s="1"/>
  <c r="C4060" i="18"/>
  <c r="D4060" i="18" s="1"/>
  <c r="C4063" i="18"/>
  <c r="D4063" i="18" s="1"/>
  <c r="C4062" i="18"/>
  <c r="D4062" i="18" s="1"/>
  <c r="C3292" i="18"/>
  <c r="D3292" i="18" s="1"/>
  <c r="C3290" i="18"/>
  <c r="D3290" i="18" s="1"/>
  <c r="C3294" i="18"/>
  <c r="D3294" i="18" s="1"/>
  <c r="C3291" i="18"/>
  <c r="D3291" i="18" s="1"/>
  <c r="C3293" i="18"/>
  <c r="D3293" i="18" s="1"/>
  <c r="C3295" i="18"/>
  <c r="D3295" i="18" s="1"/>
  <c r="C3944" i="18"/>
  <c r="D3944" i="18" s="1"/>
  <c r="C3948" i="18"/>
  <c r="D3948" i="18" s="1"/>
  <c r="C3949" i="18"/>
  <c r="D3949" i="18" s="1"/>
  <c r="C3946" i="18"/>
  <c r="D3946" i="18" s="1"/>
  <c r="C3947" i="18"/>
  <c r="D3947" i="18" s="1"/>
  <c r="C3945" i="18"/>
  <c r="D3945" i="18" s="1"/>
  <c r="C1888" i="18"/>
  <c r="D1888" i="18" s="1"/>
  <c r="C1889" i="18"/>
  <c r="D1889" i="18" s="1"/>
  <c r="C1891" i="18"/>
  <c r="D1891" i="18" s="1"/>
  <c r="C1887" i="18"/>
  <c r="D1887" i="18" s="1"/>
  <c r="C1890" i="18"/>
  <c r="D1890" i="18" s="1"/>
  <c r="C1886" i="18"/>
  <c r="D1886" i="18" s="1"/>
  <c r="C2834" i="18"/>
  <c r="D2834" i="18" s="1"/>
  <c r="C3772" i="18"/>
  <c r="D3772" i="18" s="1"/>
  <c r="C911" i="18"/>
  <c r="D911" i="18" s="1"/>
  <c r="C908" i="18"/>
  <c r="D908" i="18" s="1"/>
  <c r="C910" i="18"/>
  <c r="D910" i="18" s="1"/>
  <c r="C909" i="18"/>
  <c r="D909" i="18" s="1"/>
  <c r="C912" i="18"/>
  <c r="D912" i="18" s="1"/>
  <c r="C421" i="10"/>
  <c r="E421" i="10" s="1"/>
  <c r="C913" i="18"/>
  <c r="D913" i="18" s="1"/>
  <c r="C881" i="18"/>
  <c r="D881" i="18" s="1"/>
  <c r="C1267" i="18"/>
  <c r="D1267" i="18" s="1"/>
  <c r="C2640" i="18"/>
  <c r="D2640" i="18" s="1"/>
  <c r="C2641" i="18"/>
  <c r="D2641" i="18" s="1"/>
  <c r="C2638" i="18"/>
  <c r="D2638" i="18" s="1"/>
  <c r="C2636" i="18"/>
  <c r="D2636" i="18" s="1"/>
  <c r="C2637" i="18"/>
  <c r="D2637" i="18" s="1"/>
  <c r="C2639" i="18"/>
  <c r="D2639" i="18" s="1"/>
  <c r="C3688" i="18"/>
  <c r="D3688" i="18" s="1"/>
  <c r="C3516" i="18"/>
  <c r="D3516" i="18" s="1"/>
  <c r="C2647" i="18"/>
  <c r="D2647" i="18" s="1"/>
  <c r="C2166" i="18"/>
  <c r="D2166" i="18" s="1"/>
  <c r="C4165" i="18"/>
  <c r="D4165" i="18" s="1"/>
  <c r="C4163" i="18"/>
  <c r="D4163" i="18" s="1"/>
  <c r="C4162" i="18"/>
  <c r="D4162" i="18" s="1"/>
  <c r="C4164" i="18"/>
  <c r="D4164" i="18" s="1"/>
  <c r="C4160" i="18"/>
  <c r="D4160" i="18" s="1"/>
  <c r="C4161" i="18"/>
  <c r="D4161" i="18" s="1"/>
  <c r="C2586" i="18"/>
  <c r="D2586" i="18" s="1"/>
  <c r="C632" i="18"/>
  <c r="D632" i="18" s="1"/>
  <c r="C1124" i="18"/>
  <c r="D1124" i="18" s="1"/>
  <c r="C1867" i="18"/>
  <c r="D1867" i="18" s="1"/>
  <c r="C1733" i="18"/>
  <c r="D1733" i="18" s="1"/>
  <c r="C716" i="18"/>
  <c r="D716" i="18" s="1"/>
  <c r="C2270" i="18"/>
  <c r="D2270" i="18" s="1"/>
  <c r="C3735" i="18"/>
  <c r="D3735" i="18" s="1"/>
  <c r="C3023" i="18"/>
  <c r="D3023" i="18" s="1"/>
  <c r="C2292" i="18"/>
  <c r="D2292" i="18" s="1"/>
  <c r="C2418" i="18"/>
  <c r="D2418" i="18" s="1"/>
  <c r="C1160" i="18"/>
  <c r="D1160" i="18" s="1"/>
  <c r="C2871" i="18"/>
  <c r="D2871" i="18" s="1"/>
  <c r="C58" i="10"/>
  <c r="E58" i="10" s="1"/>
  <c r="C2899" i="18"/>
  <c r="D2899" i="18" s="1"/>
  <c r="C2897" i="18"/>
  <c r="D2897" i="18" s="1"/>
  <c r="C2898" i="18"/>
  <c r="D2898" i="18" s="1"/>
  <c r="C2896" i="18"/>
  <c r="D2896" i="18" s="1"/>
  <c r="C2894" i="18"/>
  <c r="D2894" i="18" s="1"/>
  <c r="C2895" i="18"/>
  <c r="D2895" i="18" s="1"/>
  <c r="C2051" i="18"/>
  <c r="D2051" i="18" s="1"/>
  <c r="C2052" i="18"/>
  <c r="D2052" i="18" s="1"/>
  <c r="C2048" i="18"/>
  <c r="D2048" i="18" s="1"/>
  <c r="C2049" i="18"/>
  <c r="D2049" i="18" s="1"/>
  <c r="C2050" i="18"/>
  <c r="D2050" i="18" s="1"/>
  <c r="C2053" i="18"/>
  <c r="D2053" i="18" s="1"/>
  <c r="C3742" i="18"/>
  <c r="D3742" i="18" s="1"/>
  <c r="C1856" i="18"/>
  <c r="D1856" i="18" s="1"/>
  <c r="C2081" i="18"/>
  <c r="D2081" i="18" s="1"/>
  <c r="C883" i="18"/>
  <c r="D883" i="18" s="1"/>
  <c r="C1264" i="18"/>
  <c r="D1264" i="18" s="1"/>
  <c r="C1003" i="18"/>
  <c r="D1003" i="18" s="1"/>
  <c r="C3308" i="18"/>
  <c r="D3308" i="18" s="1"/>
  <c r="C918" i="18"/>
  <c r="D918" i="18" s="1"/>
  <c r="C1943" i="18"/>
  <c r="D1943" i="18" s="1"/>
  <c r="C1945" i="18"/>
  <c r="D1945" i="18" s="1"/>
  <c r="C1944" i="18"/>
  <c r="D1944" i="18" s="1"/>
  <c r="C1942" i="18"/>
  <c r="D1942" i="18" s="1"/>
  <c r="C1940" i="18"/>
  <c r="D1940" i="18" s="1"/>
  <c r="C1941" i="18"/>
  <c r="D1941" i="18" s="1"/>
  <c r="C1400" i="18"/>
  <c r="D1400" i="18" s="1"/>
  <c r="C3700" i="18"/>
  <c r="D3700" i="18" s="1"/>
  <c r="C1223" i="18"/>
  <c r="D1223" i="18" s="1"/>
  <c r="C3689" i="18"/>
  <c r="D3689" i="18" s="1"/>
  <c r="C42" i="10"/>
  <c r="E42" i="10" s="1"/>
  <c r="C1384" i="18"/>
  <c r="D1384" i="18" s="1"/>
  <c r="C2688" i="18"/>
  <c r="D2688" i="18" s="1"/>
  <c r="C3515" i="18"/>
  <c r="D3515" i="18" s="1"/>
  <c r="C706" i="18"/>
  <c r="D706" i="18" s="1"/>
  <c r="C3511" i="18"/>
  <c r="D3511" i="18" s="1"/>
  <c r="C2644" i="18"/>
  <c r="D2644" i="18" s="1"/>
  <c r="C1639" i="18"/>
  <c r="D1639" i="18" s="1"/>
  <c r="C3791" i="18"/>
  <c r="D3791" i="18" s="1"/>
  <c r="C2164" i="18"/>
  <c r="D2164" i="18" s="1"/>
  <c r="C2584" i="18"/>
  <c r="D2584" i="18" s="1"/>
  <c r="C634" i="18"/>
  <c r="D634" i="18" s="1"/>
  <c r="C1183" i="18"/>
  <c r="D1183" i="18" s="1"/>
  <c r="C1126" i="18"/>
  <c r="D1126" i="18" s="1"/>
  <c r="C1866" i="18"/>
  <c r="D1866" i="18" s="1"/>
  <c r="C1734" i="18"/>
  <c r="D1734" i="18" s="1"/>
  <c r="C717" i="18"/>
  <c r="D717" i="18" s="1"/>
  <c r="C3716" i="18"/>
  <c r="D3716" i="18" s="1"/>
  <c r="C1324" i="18"/>
  <c r="D1324" i="18" s="1"/>
  <c r="C795" i="18"/>
  <c r="D795" i="18" s="1"/>
  <c r="C2274" i="18"/>
  <c r="D2274" i="18" s="1"/>
  <c r="C972" i="18"/>
  <c r="D972" i="18" s="1"/>
  <c r="C973" i="18"/>
  <c r="D973" i="18" s="1"/>
  <c r="C968" i="18"/>
  <c r="D968" i="18" s="1"/>
  <c r="C971" i="18"/>
  <c r="D971" i="18" s="1"/>
  <c r="C969" i="18"/>
  <c r="D969" i="18" s="1"/>
  <c r="C970" i="18"/>
  <c r="D970" i="18" s="1"/>
  <c r="C3022" i="18"/>
  <c r="D3022" i="18" s="1"/>
  <c r="C1163" i="18"/>
  <c r="D1163" i="18" s="1"/>
  <c r="C1981" i="18"/>
  <c r="D1981" i="18" s="1"/>
  <c r="C1859" i="18"/>
  <c r="D1859" i="18" s="1"/>
  <c r="C2083" i="18"/>
  <c r="D2083" i="18" s="1"/>
  <c r="C880" i="18"/>
  <c r="D880" i="18" s="1"/>
  <c r="C1263" i="18"/>
  <c r="D1263" i="18" s="1"/>
  <c r="C916" i="18"/>
  <c r="D916" i="18" s="1"/>
  <c r="C1401" i="18"/>
  <c r="D1401" i="18" s="1"/>
  <c r="C3698" i="18"/>
  <c r="D3698" i="18" s="1"/>
  <c r="C1220" i="18"/>
  <c r="D1220" i="18" s="1"/>
  <c r="C3687" i="18"/>
  <c r="D3687" i="18" s="1"/>
  <c r="C3512" i="18"/>
  <c r="D3512" i="18" s="1"/>
  <c r="C1656" i="18"/>
  <c r="D1656" i="18" s="1"/>
  <c r="C1657" i="18"/>
  <c r="D1657" i="18" s="1"/>
  <c r="C1654" i="18"/>
  <c r="D1654" i="18" s="1"/>
  <c r="C1653" i="18"/>
  <c r="D1653" i="18" s="1"/>
  <c r="C1652" i="18"/>
  <c r="D1652" i="18" s="1"/>
  <c r="C1655" i="18"/>
  <c r="D1655" i="18" s="1"/>
  <c r="C2165" i="18"/>
  <c r="D2165" i="18" s="1"/>
  <c r="C2587" i="18"/>
  <c r="D2587" i="18" s="1"/>
  <c r="C637" i="18"/>
  <c r="D637" i="18" s="1"/>
  <c r="C1180" i="18"/>
  <c r="D1180" i="18" s="1"/>
  <c r="C1127" i="18"/>
  <c r="D1127" i="18" s="1"/>
  <c r="C1863" i="18"/>
  <c r="D1863" i="18" s="1"/>
  <c r="C1730" i="18"/>
  <c r="D1730" i="18" s="1"/>
  <c r="C718" i="18"/>
  <c r="D718" i="18" s="1"/>
  <c r="C3719" i="18"/>
  <c r="D3719" i="18" s="1"/>
  <c r="C1322" i="18"/>
  <c r="D1322" i="18" s="1"/>
  <c r="C798" i="18"/>
  <c r="D798" i="18" s="1"/>
  <c r="C2272" i="18"/>
  <c r="D2272" i="18" s="1"/>
  <c r="C3734" i="18"/>
  <c r="D3734" i="18" s="1"/>
  <c r="C3021" i="18"/>
  <c r="D3021" i="18" s="1"/>
  <c r="C1280" i="18"/>
  <c r="D1280" i="18" s="1"/>
  <c r="C1282" i="18"/>
  <c r="D1282" i="18" s="1"/>
  <c r="C1284" i="18"/>
  <c r="D1284" i="18" s="1"/>
  <c r="C1283" i="18"/>
  <c r="D1283" i="18" s="1"/>
  <c r="C1281" i="18"/>
  <c r="D1281" i="18" s="1"/>
  <c r="C1285" i="18"/>
  <c r="D1285" i="18" s="1"/>
  <c r="C2080" i="18"/>
  <c r="D2080" i="18" s="1"/>
  <c r="C879" i="18"/>
  <c r="D879" i="18" s="1"/>
  <c r="C1262" i="18"/>
  <c r="D1262" i="18" s="1"/>
  <c r="C3310" i="18"/>
  <c r="D3310" i="18" s="1"/>
  <c r="C919" i="18"/>
  <c r="D919" i="18" s="1"/>
  <c r="C951" i="18"/>
  <c r="D951" i="18" s="1"/>
  <c r="C1404" i="18"/>
  <c r="D1404" i="18" s="1"/>
  <c r="C3702" i="18"/>
  <c r="D3702" i="18" s="1"/>
  <c r="C1224" i="18"/>
  <c r="D1224" i="18" s="1"/>
  <c r="C3686" i="18"/>
  <c r="D3686" i="18" s="1"/>
  <c r="C2236" i="18"/>
  <c r="D2236" i="18" s="1"/>
  <c r="C3513" i="18"/>
  <c r="D3513" i="18" s="1"/>
  <c r="C2805" i="18"/>
  <c r="D2805" i="18" s="1"/>
  <c r="C2698" i="18"/>
  <c r="D2698" i="18" s="1"/>
  <c r="C2026" i="18"/>
  <c r="D2026" i="18" s="1"/>
  <c r="C2163" i="18"/>
  <c r="D2163" i="18" s="1"/>
  <c r="C2582" i="18"/>
  <c r="D2582" i="18" s="1"/>
  <c r="C635" i="18"/>
  <c r="D635" i="18" s="1"/>
  <c r="C2791" i="18"/>
  <c r="D2791" i="18" s="1"/>
  <c r="C1179" i="18"/>
  <c r="D1179" i="18" s="1"/>
  <c r="C1864" i="18"/>
  <c r="D1864" i="18" s="1"/>
  <c r="C1732" i="18"/>
  <c r="D1732" i="18" s="1"/>
  <c r="C720" i="18"/>
  <c r="D720" i="18" s="1"/>
  <c r="C2273" i="18"/>
  <c r="D2273" i="18" s="1"/>
  <c r="G70" i="5"/>
  <c r="G697" i="5"/>
  <c r="C400" i="10" s="1"/>
  <c r="E400" i="10" s="1"/>
  <c r="C1978" i="18"/>
  <c r="D1978" i="18" s="1"/>
  <c r="C3412" i="18"/>
  <c r="D3412" i="18" s="1"/>
  <c r="C1824" i="18"/>
  <c r="D1824" i="18" s="1"/>
  <c r="C1825" i="18"/>
  <c r="D1825" i="18" s="1"/>
  <c r="C1822" i="18"/>
  <c r="D1822" i="18" s="1"/>
  <c r="C1821" i="18"/>
  <c r="D1821" i="18" s="1"/>
  <c r="C1820" i="18"/>
  <c r="D1820" i="18" s="1"/>
  <c r="C1823" i="18"/>
  <c r="D1823" i="18" s="1"/>
  <c r="C882" i="18"/>
  <c r="D882" i="18" s="1"/>
  <c r="C3690" i="18"/>
  <c r="D3690" i="18" s="1"/>
  <c r="C2167" i="18"/>
  <c r="D2167" i="18" s="1"/>
  <c r="C636" i="18"/>
  <c r="D636" i="18" s="1"/>
  <c r="C3803" i="18"/>
  <c r="D3803" i="18" s="1"/>
  <c r="C3804" i="18"/>
  <c r="D3804" i="18" s="1"/>
  <c r="C3801" i="18"/>
  <c r="D3801" i="18" s="1"/>
  <c r="C3805" i="18"/>
  <c r="D3805" i="18" s="1"/>
  <c r="C3802" i="18"/>
  <c r="D3802" i="18" s="1"/>
  <c r="C3800" i="18"/>
  <c r="D3800" i="18" s="1"/>
  <c r="C1862" i="18"/>
  <c r="D1862" i="18" s="1"/>
  <c r="C721" i="18"/>
  <c r="D721" i="18" s="1"/>
  <c r="C2275" i="18"/>
  <c r="D2275" i="18" s="1"/>
  <c r="C1371" i="18"/>
  <c r="D1371" i="18" s="1"/>
  <c r="C1375" i="18"/>
  <c r="D1375" i="18" s="1"/>
  <c r="C1370" i="18"/>
  <c r="D1370" i="18" s="1"/>
  <c r="C1374" i="18"/>
  <c r="D1374" i="18" s="1"/>
  <c r="C1372" i="18"/>
  <c r="D1372" i="18" s="1"/>
  <c r="C1373" i="18"/>
  <c r="D1373" i="18" s="1"/>
  <c r="C362" i="10"/>
  <c r="E362" i="10" s="1"/>
  <c r="C1977" i="18"/>
  <c r="D1977" i="18" s="1"/>
  <c r="C733" i="18"/>
  <c r="D733" i="18" s="1"/>
  <c r="C731" i="18"/>
  <c r="D731" i="18" s="1"/>
  <c r="C264" i="10"/>
  <c r="E264" i="10" s="1"/>
  <c r="C729" i="18"/>
  <c r="D729" i="18" s="1"/>
  <c r="C730" i="18"/>
  <c r="D730" i="18" s="1"/>
  <c r="C728" i="18"/>
  <c r="D728" i="18" s="1"/>
  <c r="C732" i="18"/>
  <c r="D732" i="18" s="1"/>
  <c r="C1225" i="18"/>
  <c r="D1225" i="18" s="1"/>
  <c r="C3517" i="18"/>
  <c r="D3517" i="18" s="1"/>
  <c r="C3507" i="18"/>
  <c r="D3507" i="18" s="1"/>
  <c r="C2806" i="18"/>
  <c r="D2806" i="18" s="1"/>
  <c r="C2643" i="18"/>
  <c r="D2643" i="18" s="1"/>
  <c r="C2700" i="18"/>
  <c r="D2700" i="18" s="1"/>
  <c r="C2029" i="18"/>
  <c r="D2029" i="18" s="1"/>
  <c r="C2736" i="18"/>
  <c r="D2736" i="18" s="1"/>
  <c r="C2735" i="18"/>
  <c r="D2735" i="18" s="1"/>
  <c r="C2733" i="18"/>
  <c r="D2733" i="18" s="1"/>
  <c r="C2737" i="18"/>
  <c r="D2737" i="18" s="1"/>
  <c r="C2732" i="18"/>
  <c r="D2732" i="18" s="1"/>
  <c r="C2734" i="18"/>
  <c r="D2734" i="18" s="1"/>
  <c r="C745" i="18"/>
  <c r="D745" i="18" s="1"/>
  <c r="C743" i="18"/>
  <c r="D743" i="18" s="1"/>
  <c r="C742" i="18"/>
  <c r="D742" i="18" s="1"/>
  <c r="C740" i="18"/>
  <c r="D740" i="18" s="1"/>
  <c r="C741" i="18"/>
  <c r="D741" i="18" s="1"/>
  <c r="C744" i="18"/>
  <c r="D744" i="18" s="1"/>
  <c r="C999" i="18"/>
  <c r="D999" i="18" s="1"/>
  <c r="C2151" i="18"/>
  <c r="D2151" i="18" s="1"/>
  <c r="C955" i="18"/>
  <c r="D955" i="18" s="1"/>
  <c r="C3699" i="18"/>
  <c r="D3699" i="18" s="1"/>
  <c r="C1222" i="18"/>
  <c r="D1222" i="18" s="1"/>
  <c r="C3691" i="18"/>
  <c r="D3691" i="18" s="1"/>
  <c r="C2675" i="18"/>
  <c r="D2675" i="18" s="1"/>
  <c r="C3514" i="18"/>
  <c r="D3514" i="18" s="1"/>
  <c r="C2808" i="18"/>
  <c r="D2808" i="18" s="1"/>
  <c r="C2027" i="18"/>
  <c r="D2027" i="18" s="1"/>
  <c r="C3391" i="18"/>
  <c r="D3391" i="18" s="1"/>
  <c r="C3386" i="18"/>
  <c r="D3386" i="18" s="1"/>
  <c r="C3389" i="18"/>
  <c r="D3389" i="18" s="1"/>
  <c r="C3388" i="18"/>
  <c r="D3388" i="18" s="1"/>
  <c r="C3387" i="18"/>
  <c r="D3387" i="18" s="1"/>
  <c r="C3390" i="18"/>
  <c r="D3390" i="18" s="1"/>
  <c r="C369" i="10"/>
  <c r="E369" i="10" s="1"/>
  <c r="C3062" i="18"/>
  <c r="D3062" i="18" s="1"/>
  <c r="C3636" i="18"/>
  <c r="D3636" i="18" s="1"/>
  <c r="C3415" i="18"/>
  <c r="D3415" i="18" s="1"/>
  <c r="C3413" i="18"/>
  <c r="D3413" i="18" s="1"/>
  <c r="C482" i="10"/>
  <c r="E482" i="10" s="1"/>
  <c r="C1408" i="18"/>
  <c r="D1408" i="18" s="1"/>
  <c r="C1410" i="18"/>
  <c r="D1410" i="18" s="1"/>
  <c r="C1409" i="18"/>
  <c r="D1409" i="18" s="1"/>
  <c r="C1406" i="18"/>
  <c r="D1406" i="18" s="1"/>
  <c r="C2130" i="18"/>
  <c r="D2130" i="18" s="1"/>
  <c r="C1898" i="18"/>
  <c r="D1898" i="18" s="1"/>
  <c r="C2297" i="18"/>
  <c r="D2297" i="18" s="1"/>
  <c r="C3887" i="18"/>
  <c r="D3887" i="18" s="1"/>
  <c r="C252" i="10"/>
  <c r="E252" i="10" s="1"/>
  <c r="C3889" i="18"/>
  <c r="D3889" i="18" s="1"/>
  <c r="C3888" i="18"/>
  <c r="D3888" i="18" s="1"/>
  <c r="C3885" i="18"/>
  <c r="D3885" i="18" s="1"/>
  <c r="C3884" i="18"/>
  <c r="D3884" i="18" s="1"/>
  <c r="C3886" i="18"/>
  <c r="D3886" i="18" s="1"/>
  <c r="C759" i="18"/>
  <c r="D759" i="18" s="1"/>
  <c r="C2502" i="18"/>
  <c r="D2502" i="18" s="1"/>
  <c r="C4047" i="18"/>
  <c r="D4047" i="18" s="1"/>
  <c r="C4049" i="18"/>
  <c r="D4049" i="18" s="1"/>
  <c r="C4051" i="18"/>
  <c r="D4051" i="18" s="1"/>
  <c r="C4048" i="18"/>
  <c r="D4048" i="18" s="1"/>
  <c r="C4050" i="18"/>
  <c r="D4050" i="18" s="1"/>
  <c r="C4046" i="18"/>
  <c r="D4046" i="18" s="1"/>
  <c r="C2126" i="18"/>
  <c r="D2126" i="18" s="1"/>
  <c r="C1903" i="18"/>
  <c r="D1903" i="18" s="1"/>
  <c r="G65" i="5"/>
  <c r="C11" i="10" s="1"/>
  <c r="E11" i="10" s="1"/>
  <c r="G669" i="5"/>
  <c r="C229" i="10" s="1"/>
  <c r="E229" i="10" s="1"/>
  <c r="C762" i="18"/>
  <c r="D762" i="18" s="1"/>
  <c r="C2500" i="18"/>
  <c r="D2500" i="18" s="1"/>
  <c r="C1761" i="18"/>
  <c r="D1761" i="18" s="1"/>
  <c r="C1764" i="18"/>
  <c r="D1764" i="18" s="1"/>
  <c r="C1765" i="18"/>
  <c r="D1765" i="18" s="1"/>
  <c r="C1763" i="18"/>
  <c r="D1763" i="18" s="1"/>
  <c r="C1760" i="18"/>
  <c r="D1760" i="18" s="1"/>
  <c r="C1762" i="18"/>
  <c r="D1762" i="18" s="1"/>
  <c r="C1712" i="18"/>
  <c r="D1712" i="18" s="1"/>
  <c r="C4100" i="18"/>
  <c r="D4100" i="18" s="1"/>
  <c r="C4102" i="18"/>
  <c r="D4102" i="18" s="1"/>
  <c r="C4104" i="18"/>
  <c r="D4104" i="18" s="1"/>
  <c r="C4103" i="18"/>
  <c r="D4103" i="18" s="1"/>
  <c r="C4101" i="18"/>
  <c r="D4101" i="18" s="1"/>
  <c r="C4105" i="18"/>
  <c r="D4105" i="18" s="1"/>
  <c r="C1970" i="18"/>
  <c r="D1970" i="18" s="1"/>
  <c r="C3044" i="18"/>
  <c r="D3044" i="18" s="1"/>
  <c r="C757" i="18"/>
  <c r="D757" i="18" s="1"/>
  <c r="C2131" i="18"/>
  <c r="D2131" i="18" s="1"/>
  <c r="C1029" i="18"/>
  <c r="D1029" i="18" s="1"/>
  <c r="C1899" i="18"/>
  <c r="D1899" i="18" s="1"/>
  <c r="C853" i="18"/>
  <c r="D853" i="18" s="1"/>
  <c r="C1236" i="18"/>
  <c r="D1236" i="18" s="1"/>
  <c r="C1529" i="18"/>
  <c r="D1529" i="18" s="1"/>
  <c r="C1916" i="18"/>
  <c r="D1916" i="18" s="1"/>
  <c r="C3482" i="18"/>
  <c r="D3482" i="18" s="1"/>
  <c r="C1055" i="18"/>
  <c r="D1055" i="18" s="1"/>
  <c r="C761" i="18"/>
  <c r="D761" i="18" s="1"/>
  <c r="C2498" i="18"/>
  <c r="D2498" i="18" s="1"/>
  <c r="C3544" i="18"/>
  <c r="D3544" i="18" s="1"/>
  <c r="C2951" i="18"/>
  <c r="D2951" i="18" s="1"/>
  <c r="C1399" i="18"/>
  <c r="D1399" i="18" s="1"/>
  <c r="C2999" i="18"/>
  <c r="D2999" i="18" s="1"/>
  <c r="C1738" i="18"/>
  <c r="D1738" i="18" s="1"/>
  <c r="C72" i="10"/>
  <c r="E72" i="10" s="1"/>
  <c r="C2374" i="18"/>
  <c r="D2374" i="18" s="1"/>
  <c r="C2375" i="18"/>
  <c r="D2375" i="18" s="1"/>
  <c r="C3417" i="18"/>
  <c r="D3417" i="18" s="1"/>
  <c r="C3416" i="18"/>
  <c r="D3416" i="18" s="1"/>
  <c r="C3419" i="18"/>
  <c r="D3419" i="18" s="1"/>
  <c r="C3420" i="18"/>
  <c r="D3420" i="18" s="1"/>
  <c r="C3418" i="18"/>
  <c r="D3418" i="18" s="1"/>
  <c r="C3421" i="18"/>
  <c r="D3421" i="18" s="1"/>
  <c r="C1974" i="18"/>
  <c r="D1974" i="18" s="1"/>
  <c r="C2286" i="18"/>
  <c r="D2286" i="18" s="1"/>
  <c r="C3048" i="18"/>
  <c r="D3048" i="18" s="1"/>
  <c r="C754" i="18"/>
  <c r="D754" i="18" s="1"/>
  <c r="C2127" i="18"/>
  <c r="D2127" i="18" s="1"/>
  <c r="C1902" i="18"/>
  <c r="D1902" i="18" s="1"/>
  <c r="C1790" i="18"/>
  <c r="D1790" i="18" s="1"/>
  <c r="C852" i="18"/>
  <c r="D852" i="18" s="1"/>
  <c r="C1237" i="18"/>
  <c r="D1237" i="18" s="1"/>
  <c r="C2296" i="18"/>
  <c r="D2296" i="18" s="1"/>
  <c r="C1918" i="18"/>
  <c r="D1918" i="18" s="1"/>
  <c r="C3483" i="18"/>
  <c r="D3483" i="18" s="1"/>
  <c r="C763" i="18"/>
  <c r="D763" i="18" s="1"/>
  <c r="C810" i="18"/>
  <c r="D810" i="18" s="1"/>
  <c r="C808" i="18"/>
  <c r="D808" i="18" s="1"/>
  <c r="C2604" i="18"/>
  <c r="D2604" i="18" s="1"/>
  <c r="C2603" i="18"/>
  <c r="D2603" i="18" s="1"/>
  <c r="G60" i="5"/>
  <c r="C51" i="10" s="1"/>
  <c r="E51" i="10" s="1"/>
  <c r="G634" i="5"/>
  <c r="C331" i="10" s="1"/>
  <c r="E331" i="10" s="1"/>
  <c r="C1714" i="18"/>
  <c r="D1714" i="18" s="1"/>
  <c r="C3019" i="18"/>
  <c r="D3019" i="18" s="1"/>
  <c r="C2240" i="18"/>
  <c r="D2240" i="18" s="1"/>
  <c r="C19" i="10"/>
  <c r="E19" i="10" s="1"/>
  <c r="C2058" i="18"/>
  <c r="D2058" i="18" s="1"/>
  <c r="C1973" i="18"/>
  <c r="D1973" i="18" s="1"/>
  <c r="C2284" i="18"/>
  <c r="D2284" i="18" s="1"/>
  <c r="C3045" i="18"/>
  <c r="D3045" i="18" s="1"/>
  <c r="C753" i="18"/>
  <c r="D753" i="18" s="1"/>
  <c r="C1030" i="18"/>
  <c r="D1030" i="18" s="1"/>
  <c r="C1412" i="18"/>
  <c r="D1412" i="18" s="1"/>
  <c r="C2567" i="18"/>
  <c r="D2567" i="18" s="1"/>
  <c r="C3438" i="18"/>
  <c r="D3438" i="18" s="1"/>
  <c r="C1025" i="18"/>
  <c r="D1025" i="18" s="1"/>
  <c r="C1792" i="18"/>
  <c r="D1792" i="18" s="1"/>
  <c r="C848" i="18"/>
  <c r="D848" i="18" s="1"/>
  <c r="C1235" i="18"/>
  <c r="D1235" i="18" s="1"/>
  <c r="C1530" i="18"/>
  <c r="D1530" i="18" s="1"/>
  <c r="C1912" i="18"/>
  <c r="D1912" i="18" s="1"/>
  <c r="C2299" i="18"/>
  <c r="D2299" i="18" s="1"/>
  <c r="C1917" i="18"/>
  <c r="D1917" i="18" s="1"/>
  <c r="C2302" i="18"/>
  <c r="D2302" i="18" s="1"/>
  <c r="C2316" i="18"/>
  <c r="D2316" i="18" s="1"/>
  <c r="C1057" i="18"/>
  <c r="D1057" i="18" s="1"/>
  <c r="C1249" i="18"/>
  <c r="D1249" i="18" s="1"/>
  <c r="C2501" i="18"/>
  <c r="D2501" i="18" s="1"/>
  <c r="C3542" i="18"/>
  <c r="D3542" i="18" s="1"/>
  <c r="C2950" i="18"/>
  <c r="D2950" i="18" s="1"/>
  <c r="C1715" i="18"/>
  <c r="D1715" i="18" s="1"/>
  <c r="C3017" i="18"/>
  <c r="D3017" i="18" s="1"/>
  <c r="C2245" i="18"/>
  <c r="D2245" i="18" s="1"/>
  <c r="C2059" i="18"/>
  <c r="D2059" i="18" s="1"/>
  <c r="C1972" i="18"/>
  <c r="D1972" i="18" s="1"/>
  <c r="C2283" i="18"/>
  <c r="D2283" i="18" s="1"/>
  <c r="C3049" i="18"/>
  <c r="D3049" i="18" s="1"/>
  <c r="C755" i="18"/>
  <c r="D755" i="18" s="1"/>
  <c r="C2129" i="18"/>
  <c r="D2129" i="18" s="1"/>
  <c r="C1031" i="18"/>
  <c r="D1031" i="18" s="1"/>
  <c r="C1413" i="18"/>
  <c r="D1413" i="18" s="1"/>
  <c r="C2569" i="18"/>
  <c r="D2569" i="18" s="1"/>
  <c r="C1953" i="18"/>
  <c r="D1953" i="18" s="1"/>
  <c r="C336" i="18"/>
  <c r="D336" i="18" s="1"/>
  <c r="C1901" i="18"/>
  <c r="D1901" i="18" s="1"/>
  <c r="C3435" i="18"/>
  <c r="D3435" i="18" s="1"/>
  <c r="C1026" i="18"/>
  <c r="D1026" i="18" s="1"/>
  <c r="C1795" i="18"/>
  <c r="D1795" i="18" s="1"/>
  <c r="C1234" i="18"/>
  <c r="D1234" i="18" s="1"/>
  <c r="C2384" i="18"/>
  <c r="D2384" i="18" s="1"/>
  <c r="C1528" i="18"/>
  <c r="D1528" i="18" s="1"/>
  <c r="C1915" i="18"/>
  <c r="D1915" i="18" s="1"/>
  <c r="C2295" i="18"/>
  <c r="D2295" i="18" s="1"/>
  <c r="C1919" i="18"/>
  <c r="D1919" i="18" s="1"/>
  <c r="C1245" i="18"/>
  <c r="D1245" i="18" s="1"/>
  <c r="C760" i="18"/>
  <c r="D760" i="18" s="1"/>
  <c r="C2499" i="18"/>
  <c r="D2499" i="18" s="1"/>
  <c r="C3001" i="18"/>
  <c r="D3001" i="18" s="1"/>
  <c r="C3747" i="18"/>
  <c r="D3747" i="18" s="1"/>
  <c r="C3750" i="18"/>
  <c r="D3750" i="18" s="1"/>
  <c r="C3289" i="18"/>
  <c r="D3289" i="18" s="1"/>
  <c r="C3288" i="18"/>
  <c r="D3288" i="18" s="1"/>
  <c r="C3286" i="18"/>
  <c r="D3286" i="18" s="1"/>
  <c r="C3015" i="18"/>
  <c r="D3015" i="18" s="1"/>
  <c r="C2566" i="18"/>
  <c r="D2566" i="18" s="1"/>
  <c r="C3434" i="18"/>
  <c r="D3434" i="18" s="1"/>
  <c r="C2294" i="18"/>
  <c r="D2294" i="18" s="1"/>
  <c r="C305" i="10"/>
  <c r="E305" i="10" s="1"/>
  <c r="C2503" i="18"/>
  <c r="D2503" i="18" s="1"/>
  <c r="C806" i="18"/>
  <c r="D806" i="18" s="1"/>
  <c r="C2600" i="18"/>
  <c r="D2600" i="18" s="1"/>
  <c r="C346" i="10"/>
  <c r="E346" i="10" s="1"/>
  <c r="C899" i="18"/>
  <c r="D899" i="18" s="1"/>
  <c r="C1968" i="18"/>
  <c r="D1968" i="18" s="1"/>
  <c r="C1875" i="18"/>
  <c r="D1875" i="18" s="1"/>
  <c r="C1785" i="18"/>
  <c r="D1785" i="18" s="1"/>
  <c r="C2169" i="18"/>
  <c r="D2169" i="18" s="1"/>
  <c r="C2554" i="18"/>
  <c r="D2554" i="18" s="1"/>
  <c r="C2783" i="18"/>
  <c r="D2783" i="18" s="1"/>
  <c r="C3600" i="18"/>
  <c r="D3600" i="18" s="1"/>
  <c r="C3599" i="18"/>
  <c r="D3599" i="18" s="1"/>
  <c r="C3596" i="18"/>
  <c r="D3596" i="18" s="1"/>
  <c r="C3598" i="18"/>
  <c r="D3598" i="18" s="1"/>
  <c r="C3601" i="18"/>
  <c r="D3601" i="18" s="1"/>
  <c r="C77" i="10"/>
  <c r="E77" i="10" s="1"/>
  <c r="C3135" i="18"/>
  <c r="D3135" i="18" s="1"/>
  <c r="C3134" i="18"/>
  <c r="D3134" i="18" s="1"/>
  <c r="C3136" i="18"/>
  <c r="D3136" i="18" s="1"/>
  <c r="C3138" i="18"/>
  <c r="D3138" i="18" s="1"/>
  <c r="C3137" i="18"/>
  <c r="D3137" i="18" s="1"/>
  <c r="C3139" i="18"/>
  <c r="D3139" i="18" s="1"/>
  <c r="C1034" i="18"/>
  <c r="D1034" i="18" s="1"/>
  <c r="C596" i="18"/>
  <c r="D596" i="18" s="1"/>
  <c r="C2526" i="18"/>
  <c r="D2526" i="18" s="1"/>
  <c r="C4146" i="18"/>
  <c r="D4146" i="18" s="1"/>
  <c r="C896" i="18"/>
  <c r="D896" i="18" s="1"/>
  <c r="C1574" i="18"/>
  <c r="D1574" i="18" s="1"/>
  <c r="C3115" i="18"/>
  <c r="D3115" i="18" s="1"/>
  <c r="C3495" i="18"/>
  <c r="D3495" i="18" s="1"/>
  <c r="C1965" i="18"/>
  <c r="D1965" i="18" s="1"/>
  <c r="C1490" i="18"/>
  <c r="D1490" i="18" s="1"/>
  <c r="C1879" i="18"/>
  <c r="D1879" i="18" s="1"/>
  <c r="C3029" i="18"/>
  <c r="D3029" i="18" s="1"/>
  <c r="C1019" i="18"/>
  <c r="D1019" i="18" s="1"/>
  <c r="C1789" i="18"/>
  <c r="D1789" i="18" s="1"/>
  <c r="C2171" i="18"/>
  <c r="D2171" i="18" s="1"/>
  <c r="C2557" i="18"/>
  <c r="D2557" i="18" s="1"/>
  <c r="C3426" i="18"/>
  <c r="D3426" i="18" s="1"/>
  <c r="C3253" i="18"/>
  <c r="D3253" i="18" s="1"/>
  <c r="C2009" i="18"/>
  <c r="D2009" i="18" s="1"/>
  <c r="C2778" i="18"/>
  <c r="D2778" i="18" s="1"/>
  <c r="C3163" i="18"/>
  <c r="D3163" i="18" s="1"/>
  <c r="C1894" i="18"/>
  <c r="D1894" i="18" s="1"/>
  <c r="C2730" i="18"/>
  <c r="D2730" i="18" s="1"/>
  <c r="C1198" i="18"/>
  <c r="D1198" i="18" s="1"/>
  <c r="C3117" i="18"/>
  <c r="D3117" i="18" s="1"/>
  <c r="C1610" i="18"/>
  <c r="D1610" i="18" s="1"/>
  <c r="C3150" i="18"/>
  <c r="D3150" i="18" s="1"/>
  <c r="C724" i="18"/>
  <c r="D724" i="18" s="1"/>
  <c r="C2784" i="18"/>
  <c r="D2784" i="18" s="1"/>
  <c r="G81" i="5"/>
  <c r="C416" i="10" s="1"/>
  <c r="E416" i="10" s="1"/>
  <c r="C2810" i="18"/>
  <c r="D2810" i="18" s="1"/>
  <c r="C2852" i="18"/>
  <c r="D2852" i="18" s="1"/>
  <c r="C1036" i="18"/>
  <c r="D1036" i="18" s="1"/>
  <c r="C598" i="18"/>
  <c r="D598" i="18" s="1"/>
  <c r="C3378" i="18"/>
  <c r="D3378" i="18" s="1"/>
  <c r="C4145" i="18"/>
  <c r="D4145" i="18" s="1"/>
  <c r="C897" i="18"/>
  <c r="D897" i="18" s="1"/>
  <c r="C1579" i="18"/>
  <c r="D1579" i="18" s="1"/>
  <c r="C3111" i="18"/>
  <c r="D3111" i="18" s="1"/>
  <c r="C3497" i="18"/>
  <c r="D3497" i="18" s="1"/>
  <c r="C1969" i="18"/>
  <c r="D1969" i="18" s="1"/>
  <c r="C1492" i="18"/>
  <c r="D1492" i="18" s="1"/>
  <c r="C1876" i="18"/>
  <c r="D1876" i="18" s="1"/>
  <c r="C1021" i="18"/>
  <c r="D1021" i="18" s="1"/>
  <c r="C1784" i="18"/>
  <c r="D1784" i="18" s="1"/>
  <c r="C2552" i="18"/>
  <c r="D2552" i="18" s="1"/>
  <c r="C3041" i="18"/>
  <c r="D3041" i="18" s="1"/>
  <c r="C3423" i="18"/>
  <c r="D3423" i="18" s="1"/>
  <c r="C3093" i="18"/>
  <c r="D3093" i="18" s="1"/>
  <c r="C1330" i="18"/>
  <c r="D1330" i="18" s="1"/>
  <c r="C3249" i="18"/>
  <c r="D3249" i="18" s="1"/>
  <c r="C2776" i="18"/>
  <c r="D2776" i="18" s="1"/>
  <c r="C3158" i="18"/>
  <c r="D3158" i="18" s="1"/>
  <c r="C2226" i="18"/>
  <c r="D2226" i="18" s="1"/>
  <c r="C1897" i="18"/>
  <c r="D1897" i="18" s="1"/>
  <c r="C2729" i="18"/>
  <c r="D2729" i="18" s="1"/>
  <c r="C1200" i="18"/>
  <c r="D1200" i="18" s="1"/>
  <c r="C3120" i="18"/>
  <c r="D3120" i="18" s="1"/>
  <c r="C3148" i="18"/>
  <c r="D3148" i="18" s="1"/>
  <c r="C2782" i="18"/>
  <c r="D2782" i="18" s="1"/>
  <c r="C1624" i="18"/>
  <c r="D1624" i="18" s="1"/>
  <c r="C2015" i="18"/>
  <c r="D2015" i="18" s="1"/>
  <c r="C4110" i="18"/>
  <c r="D4110" i="18" s="1"/>
  <c r="C2019" i="18"/>
  <c r="D2019" i="18" s="1"/>
  <c r="C2404" i="18"/>
  <c r="D2404" i="18" s="1"/>
  <c r="C3140" i="18"/>
  <c r="D3140" i="18" s="1"/>
  <c r="C3145" i="18"/>
  <c r="D3145" i="18" s="1"/>
  <c r="C3144" i="18"/>
  <c r="D3144" i="18" s="1"/>
  <c r="C3143" i="18"/>
  <c r="D3143" i="18" s="1"/>
  <c r="C1878" i="18"/>
  <c r="D1878" i="18" s="1"/>
  <c r="C302" i="10"/>
  <c r="E302" i="10" s="1"/>
  <c r="C2813" i="18"/>
  <c r="D2813" i="18" s="1"/>
  <c r="C2811" i="18"/>
  <c r="D2811" i="18" s="1"/>
  <c r="C2073" i="18"/>
  <c r="D2073" i="18" s="1"/>
  <c r="C2072" i="18"/>
  <c r="D2072" i="18" s="1"/>
  <c r="C2077" i="18"/>
  <c r="D2077" i="18" s="1"/>
  <c r="C2075" i="18"/>
  <c r="D2075" i="18" s="1"/>
  <c r="C2074" i="18"/>
  <c r="D2074" i="18" s="1"/>
  <c r="C4117" i="18"/>
  <c r="D4117" i="18" s="1"/>
  <c r="C4116" i="18"/>
  <c r="D4116" i="18" s="1"/>
  <c r="C4112" i="18"/>
  <c r="D4112" i="18" s="1"/>
  <c r="C4114" i="18"/>
  <c r="D4114" i="18" s="1"/>
  <c r="C4113" i="18"/>
  <c r="D4113" i="18" s="1"/>
  <c r="C4115" i="18"/>
  <c r="D4115" i="18" s="1"/>
  <c r="C1877" i="18"/>
  <c r="D1877" i="18" s="1"/>
  <c r="C1328" i="18"/>
  <c r="D1328" i="18" s="1"/>
  <c r="C3121" i="18"/>
  <c r="D3121" i="18" s="1"/>
  <c r="C1627" i="18"/>
  <c r="D1627" i="18" s="1"/>
  <c r="C4109" i="18"/>
  <c r="D4109" i="18" s="1"/>
  <c r="C2018" i="18"/>
  <c r="D2018" i="18" s="1"/>
  <c r="C2406" i="18"/>
  <c r="D2406" i="18" s="1"/>
  <c r="C3564" i="18"/>
  <c r="D3564" i="18" s="1"/>
  <c r="C3561" i="18"/>
  <c r="D3561" i="18" s="1"/>
  <c r="C1158" i="18"/>
  <c r="D1158" i="18" s="1"/>
  <c r="C2441" i="18"/>
  <c r="D2441" i="18" s="1"/>
  <c r="C2442" i="18"/>
  <c r="D2442" i="18" s="1"/>
  <c r="C2443" i="18"/>
  <c r="D2443" i="18" s="1"/>
  <c r="C2440" i="18"/>
  <c r="D2440" i="18" s="1"/>
  <c r="C2438" i="18"/>
  <c r="D2438" i="18" s="1"/>
  <c r="C2853" i="18"/>
  <c r="D2853" i="18" s="1"/>
  <c r="C3375" i="18"/>
  <c r="D3375" i="18" s="1"/>
  <c r="C4142" i="18"/>
  <c r="D4142" i="18" s="1"/>
  <c r="C898" i="18"/>
  <c r="D898" i="18" s="1"/>
  <c r="C1964" i="18"/>
  <c r="D1964" i="18" s="1"/>
  <c r="C1493" i="18"/>
  <c r="D1493" i="18" s="1"/>
  <c r="C1787" i="18"/>
  <c r="D1787" i="18" s="1"/>
  <c r="C2168" i="18"/>
  <c r="D2168" i="18" s="1"/>
  <c r="C2556" i="18"/>
  <c r="D2556" i="18" s="1"/>
  <c r="C3042" i="18"/>
  <c r="D3042" i="18" s="1"/>
  <c r="C3427" i="18"/>
  <c r="D3427" i="18" s="1"/>
  <c r="C3092" i="18"/>
  <c r="D3092" i="18" s="1"/>
  <c r="C1332" i="18"/>
  <c r="D1332" i="18" s="1"/>
  <c r="C3159" i="18"/>
  <c r="D3159" i="18" s="1"/>
  <c r="C2227" i="18"/>
  <c r="D2227" i="18" s="1"/>
  <c r="C2785" i="18"/>
  <c r="D2785" i="18" s="1"/>
  <c r="C1625" i="18"/>
  <c r="D1625" i="18" s="1"/>
  <c r="C2021" i="18"/>
  <c r="D2021" i="18" s="1"/>
  <c r="C2984" i="18"/>
  <c r="D2984" i="18" s="1"/>
  <c r="C2986" i="18"/>
  <c r="D2986" i="18" s="1"/>
  <c r="C2987" i="18"/>
  <c r="D2987" i="18" s="1"/>
  <c r="C1254" i="18"/>
  <c r="D1254" i="18" s="1"/>
  <c r="C1252" i="18"/>
  <c r="D1252" i="18" s="1"/>
  <c r="C1250" i="18"/>
  <c r="D1250" i="18" s="1"/>
  <c r="C1251" i="18"/>
  <c r="D1251" i="18" s="1"/>
  <c r="C1253" i="18"/>
  <c r="D1253" i="18" s="1"/>
  <c r="C1255" i="18"/>
  <c r="D1255" i="18" s="1"/>
  <c r="C1331" i="18"/>
  <c r="D1331" i="18" s="1"/>
  <c r="C2781" i="18"/>
  <c r="D2781" i="18" s="1"/>
  <c r="C1622" i="18"/>
  <c r="D1622" i="18" s="1"/>
  <c r="G86" i="5"/>
  <c r="C61" i="10" s="1"/>
  <c r="E61" i="10" s="1"/>
  <c r="C79" i="10"/>
  <c r="E79" i="10" s="1"/>
  <c r="C1154" i="18"/>
  <c r="D1154" i="18" s="1"/>
  <c r="C1157" i="18"/>
  <c r="D1157" i="18" s="1"/>
  <c r="C131" i="10"/>
  <c r="E131" i="10" s="1"/>
  <c r="C1155" i="18"/>
  <c r="D1155" i="18" s="1"/>
  <c r="C3581" i="18"/>
  <c r="D3581" i="18" s="1"/>
  <c r="C3582" i="18"/>
  <c r="D3582" i="18" s="1"/>
  <c r="C3578" i="18"/>
  <c r="D3578" i="18" s="1"/>
  <c r="C3580" i="18"/>
  <c r="D3580" i="18" s="1"/>
  <c r="C3579" i="18"/>
  <c r="D3579" i="18" s="1"/>
  <c r="C1985" i="18"/>
  <c r="D1985" i="18" s="1"/>
  <c r="C1987" i="18"/>
  <c r="D1987" i="18" s="1"/>
  <c r="C1984" i="18"/>
  <c r="D1984" i="18" s="1"/>
  <c r="C1986" i="18"/>
  <c r="D1986" i="18" s="1"/>
  <c r="C1983" i="18"/>
  <c r="D1983" i="18" s="1"/>
  <c r="C1982" i="18"/>
  <c r="D1982" i="18" s="1"/>
  <c r="C1335" i="18"/>
  <c r="D1335" i="18" s="1"/>
  <c r="C1334" i="18"/>
  <c r="D1334" i="18" s="1"/>
  <c r="C1339" i="18"/>
  <c r="D1339" i="18" s="1"/>
  <c r="C1336" i="18"/>
  <c r="D1336" i="18" s="1"/>
  <c r="C1338" i="18"/>
  <c r="D1338" i="18" s="1"/>
  <c r="C1337" i="18"/>
  <c r="D1337" i="18" s="1"/>
  <c r="C2222" i="18"/>
  <c r="D2222" i="18" s="1"/>
  <c r="C2814" i="18"/>
  <c r="D2814" i="18" s="1"/>
  <c r="C3519" i="18"/>
  <c r="D3519" i="18" s="1"/>
  <c r="C3518" i="18"/>
  <c r="D3518" i="18" s="1"/>
  <c r="C3520" i="18"/>
  <c r="D3520" i="18" s="1"/>
  <c r="C3523" i="18"/>
  <c r="D3523" i="18" s="1"/>
  <c r="C3521" i="18"/>
  <c r="D3521" i="18" s="1"/>
  <c r="C3522" i="18"/>
  <c r="D3522" i="18" s="1"/>
  <c r="C683" i="18"/>
  <c r="C1552" i="18"/>
  <c r="D1552" i="18" s="1"/>
  <c r="C1609" i="18"/>
  <c r="D1609" i="18" s="1"/>
  <c r="C4035" i="18"/>
  <c r="D4035" i="18" s="1"/>
  <c r="C922" i="18"/>
  <c r="D922" i="18" s="1"/>
  <c r="C1689" i="18"/>
  <c r="D1689" i="18" s="1"/>
  <c r="C3228" i="18"/>
  <c r="D3228" i="18" s="1"/>
  <c r="C3107" i="18"/>
  <c r="D3107" i="18" s="1"/>
  <c r="C1588" i="18"/>
  <c r="D1588" i="18" s="1"/>
  <c r="C3399" i="18"/>
  <c r="D3399" i="18" s="1"/>
  <c r="C1496" i="18"/>
  <c r="D1496" i="18" s="1"/>
  <c r="C1884" i="18"/>
  <c r="D1884" i="18" s="1"/>
  <c r="C1277" i="18"/>
  <c r="D1277" i="18" s="1"/>
  <c r="C1171" i="18"/>
  <c r="D1171" i="18" s="1"/>
  <c r="C2144" i="18"/>
  <c r="D2144" i="18" s="1"/>
  <c r="C3659" i="18"/>
  <c r="D3659" i="18" s="1"/>
  <c r="C3683" i="18"/>
  <c r="D3683" i="18" s="1"/>
  <c r="C2830" i="18"/>
  <c r="D2830" i="18" s="1"/>
  <c r="C2487" i="18"/>
  <c r="D2487" i="18" s="1"/>
  <c r="C961" i="18"/>
  <c r="D961" i="18" s="1"/>
  <c r="C1601" i="18"/>
  <c r="D1601" i="18" s="1"/>
  <c r="C1418" i="18"/>
  <c r="D1418" i="18" s="1"/>
  <c r="C1806" i="18"/>
  <c r="D1806" i="18" s="1"/>
  <c r="C3341" i="18"/>
  <c r="D3341" i="18" s="1"/>
  <c r="C1811" i="18"/>
  <c r="D1811" i="18" s="1"/>
  <c r="C2577" i="18"/>
  <c r="D2577" i="18" s="1"/>
  <c r="C1722" i="18"/>
  <c r="D1722" i="18" s="1"/>
  <c r="C2107" i="18"/>
  <c r="D2107" i="18" s="1"/>
  <c r="C3258" i="18"/>
  <c r="D3258" i="18" s="1"/>
  <c r="C3642" i="18"/>
  <c r="D3642" i="18" s="1"/>
  <c r="C1340" i="18"/>
  <c r="D1340" i="18" s="1"/>
  <c r="C2109" i="18"/>
  <c r="D2109" i="18" s="1"/>
  <c r="C3345" i="18"/>
  <c r="D3345" i="18" s="1"/>
  <c r="C3348" i="18"/>
  <c r="D3348" i="18" s="1"/>
  <c r="C3344" i="18"/>
  <c r="D3344" i="18" s="1"/>
  <c r="C3347" i="18"/>
  <c r="D3347" i="18" s="1"/>
  <c r="C2755" i="18"/>
  <c r="D2755" i="18" s="1"/>
  <c r="C2752" i="18"/>
  <c r="D2752" i="18" s="1"/>
  <c r="C2754" i="18"/>
  <c r="D2754" i="18" s="1"/>
  <c r="C2750" i="18"/>
  <c r="D2750" i="18" s="1"/>
  <c r="C2753" i="18"/>
  <c r="D2753" i="18" s="1"/>
  <c r="C2310" i="18"/>
  <c r="D2310" i="18" s="1"/>
  <c r="C2308" i="18"/>
  <c r="D2308" i="18" s="1"/>
  <c r="C2309" i="18"/>
  <c r="D2309" i="18" s="1"/>
  <c r="C2307" i="18"/>
  <c r="D2307" i="18" s="1"/>
  <c r="C2311" i="18"/>
  <c r="D2311" i="18" s="1"/>
  <c r="C3459" i="18"/>
  <c r="D3459" i="18" s="1"/>
  <c r="C3462" i="18"/>
  <c r="D3462" i="18" s="1"/>
  <c r="C3461" i="18"/>
  <c r="D3461" i="18" s="1"/>
  <c r="C3458" i="18"/>
  <c r="D3458" i="18" s="1"/>
  <c r="C3463" i="18"/>
  <c r="D3463" i="18" s="1"/>
  <c r="C3460" i="18"/>
  <c r="D3460" i="18" s="1"/>
  <c r="C446" i="18"/>
  <c r="D446" i="18" s="1"/>
  <c r="C289" i="10"/>
  <c r="E289" i="10" s="1"/>
  <c r="C2472" i="18"/>
  <c r="D2472" i="18" s="1"/>
  <c r="C920" i="18"/>
  <c r="D920" i="18" s="1"/>
  <c r="C2475" i="18"/>
  <c r="D2475" i="18" s="1"/>
  <c r="C3104" i="18"/>
  <c r="D3104" i="18" s="1"/>
  <c r="C1590" i="18"/>
  <c r="D1590" i="18" s="1"/>
  <c r="C1499" i="18"/>
  <c r="D1499" i="18" s="1"/>
  <c r="C1885" i="18"/>
  <c r="D1885" i="18" s="1"/>
  <c r="C1275" i="18"/>
  <c r="D1275" i="18" s="1"/>
  <c r="C2145" i="18"/>
  <c r="D2145" i="18" s="1"/>
  <c r="C3370" i="18"/>
  <c r="D3370" i="18" s="1"/>
  <c r="C3658" i="18"/>
  <c r="D3658" i="18" s="1"/>
  <c r="C2831" i="18"/>
  <c r="D2831" i="18" s="1"/>
  <c r="C2486" i="18"/>
  <c r="D2486" i="18" s="1"/>
  <c r="C1421" i="18"/>
  <c r="D1421" i="18" s="1"/>
  <c r="C1803" i="18"/>
  <c r="D1803" i="18" s="1"/>
  <c r="C3342" i="18"/>
  <c r="D3342" i="18" s="1"/>
  <c r="C1813" i="18"/>
  <c r="D1813" i="18" s="1"/>
  <c r="C2579" i="18"/>
  <c r="D2579" i="18" s="1"/>
  <c r="C1723" i="18"/>
  <c r="D1723" i="18" s="1"/>
  <c r="C2103" i="18"/>
  <c r="D2103" i="18" s="1"/>
  <c r="C3255" i="18"/>
  <c r="D3255" i="18" s="1"/>
  <c r="C3640" i="18"/>
  <c r="D3640" i="18" s="1"/>
  <c r="C1341" i="18"/>
  <c r="D1341" i="18" s="1"/>
  <c r="C2194" i="18"/>
  <c r="D2194" i="18" s="1"/>
  <c r="C3631" i="18"/>
  <c r="D3631" i="18" s="1"/>
  <c r="C1604" i="18"/>
  <c r="D1604" i="18" s="1"/>
  <c r="C2473" i="18"/>
  <c r="D2473" i="18" s="1"/>
  <c r="C925" i="18"/>
  <c r="D925" i="18" s="1"/>
  <c r="C2479" i="18"/>
  <c r="D2479" i="18" s="1"/>
  <c r="C3105" i="18"/>
  <c r="D3105" i="18" s="1"/>
  <c r="C1587" i="18"/>
  <c r="D1587" i="18" s="1"/>
  <c r="C1501" i="18"/>
  <c r="D1501" i="18" s="1"/>
  <c r="C1883" i="18"/>
  <c r="D1883" i="18" s="1"/>
  <c r="C3373" i="18"/>
  <c r="D3373" i="18" s="1"/>
  <c r="C3660" i="18"/>
  <c r="D3660" i="18" s="1"/>
  <c r="C2828" i="18"/>
  <c r="D2828" i="18" s="1"/>
  <c r="C2488" i="18"/>
  <c r="D2488" i="18" s="1"/>
  <c r="C3343" i="18"/>
  <c r="D3343" i="18" s="1"/>
  <c r="C2580" i="18"/>
  <c r="D2580" i="18" s="1"/>
  <c r="C2102" i="18"/>
  <c r="D2102" i="18" s="1"/>
  <c r="C2193" i="18"/>
  <c r="D2193" i="18" s="1"/>
  <c r="C1296" i="18"/>
  <c r="D1296" i="18" s="1"/>
  <c r="C1292" i="18"/>
  <c r="D1292" i="18" s="1"/>
  <c r="C1293" i="18"/>
  <c r="D1293" i="18" s="1"/>
  <c r="C1294" i="18"/>
  <c r="D1294" i="18" s="1"/>
  <c r="C1295" i="18"/>
  <c r="D1295" i="18" s="1"/>
  <c r="C1297" i="18"/>
  <c r="D1297" i="18" s="1"/>
  <c r="C3626" i="18"/>
  <c r="D3626" i="18" s="1"/>
  <c r="C3627" i="18"/>
  <c r="D3627" i="18" s="1"/>
  <c r="C3629" i="18"/>
  <c r="D3629" i="18" s="1"/>
  <c r="C3630" i="18"/>
  <c r="D3630" i="18" s="1"/>
  <c r="C3963" i="18"/>
  <c r="D3963" i="18" s="1"/>
  <c r="C3962" i="18"/>
  <c r="D3962" i="18" s="1"/>
  <c r="C3965" i="18"/>
  <c r="D3965" i="18" s="1"/>
  <c r="C3967" i="18"/>
  <c r="D3967" i="18" s="1"/>
  <c r="C3964" i="18"/>
  <c r="D3964" i="18" s="1"/>
  <c r="C3966" i="18"/>
  <c r="D3966" i="18" s="1"/>
  <c r="C2470" i="18"/>
  <c r="D2470" i="18" s="1"/>
  <c r="C3224" i="18"/>
  <c r="D3224" i="18" s="1"/>
  <c r="C2474" i="18"/>
  <c r="D2474" i="18" s="1"/>
  <c r="C1274" i="18"/>
  <c r="D1274" i="18" s="1"/>
  <c r="C1170" i="18"/>
  <c r="D1170" i="18" s="1"/>
  <c r="C2147" i="18"/>
  <c r="D2147" i="18" s="1"/>
  <c r="C3371" i="18"/>
  <c r="D3371" i="18" s="1"/>
  <c r="C3254" i="18"/>
  <c r="D3254" i="18" s="1"/>
  <c r="C3639" i="18"/>
  <c r="D3639" i="18" s="1"/>
  <c r="C1342" i="18"/>
  <c r="D1342" i="18" s="1"/>
  <c r="C2197" i="18"/>
  <c r="D2197" i="18" s="1"/>
  <c r="C3927" i="18"/>
  <c r="D3927" i="18" s="1"/>
  <c r="C3926" i="18"/>
  <c r="D3926" i="18" s="1"/>
  <c r="C3928" i="18"/>
  <c r="D3928" i="18" s="1"/>
  <c r="C3931" i="18"/>
  <c r="D3931" i="18" s="1"/>
  <c r="C1881" i="18"/>
  <c r="D1881" i="18" s="1"/>
  <c r="C1276" i="18"/>
  <c r="D1276" i="18" s="1"/>
  <c r="C1167" i="18"/>
  <c r="D1167" i="18" s="1"/>
  <c r="C2148" i="18"/>
  <c r="D2148" i="18" s="1"/>
  <c r="C2829" i="18"/>
  <c r="D2829" i="18" s="1"/>
  <c r="C2576" i="18"/>
  <c r="D2576" i="18" s="1"/>
  <c r="C2105" i="18"/>
  <c r="D2105" i="18" s="1"/>
  <c r="C3256" i="18"/>
  <c r="D3256" i="18" s="1"/>
  <c r="C3641" i="18"/>
  <c r="D3641" i="18" s="1"/>
  <c r="C1344" i="18"/>
  <c r="D1344" i="18" s="1"/>
  <c r="C4072" i="18"/>
  <c r="D4072" i="18" s="1"/>
  <c r="C4073" i="18"/>
  <c r="D4073" i="18" s="1"/>
  <c r="C4070" i="18"/>
  <c r="D4070" i="18" s="1"/>
  <c r="C4071" i="18"/>
  <c r="D4071" i="18" s="1"/>
  <c r="C4075" i="18"/>
  <c r="D4075" i="18" s="1"/>
  <c r="C2149" i="18"/>
  <c r="D2149" i="18" s="1"/>
  <c r="C2578" i="18"/>
  <c r="D2578" i="18" s="1"/>
  <c r="C3622" i="18"/>
  <c r="D3622" i="18" s="1"/>
  <c r="C3334" i="18"/>
  <c r="D3334" i="18" s="1"/>
  <c r="C1537" i="18"/>
  <c r="D1537" i="18" s="1"/>
  <c r="C603" i="18"/>
  <c r="C2045" i="18"/>
  <c r="D2045" i="18" s="1"/>
  <c r="C1097" i="18"/>
  <c r="D1097" i="18" s="1"/>
  <c r="C1425" i="18"/>
  <c r="D1425" i="18" s="1"/>
  <c r="C1572" i="18"/>
  <c r="D1572" i="18" s="1"/>
  <c r="C3087" i="18"/>
  <c r="D3087" i="18" s="1"/>
  <c r="C2221" i="18"/>
  <c r="D2221" i="18" s="1"/>
  <c r="C2945" i="18"/>
  <c r="D2945" i="18" s="1"/>
  <c r="C1773" i="18"/>
  <c r="D1773" i="18" s="1"/>
  <c r="C3981" i="18"/>
  <c r="D3981" i="18" s="1"/>
  <c r="C975" i="18"/>
  <c r="D975" i="18" s="1"/>
  <c r="C1593" i="18"/>
  <c r="D1593" i="18" s="1"/>
  <c r="C548" i="18"/>
  <c r="D548" i="18" s="1"/>
  <c r="C1771" i="18"/>
  <c r="D1771" i="18" s="1"/>
  <c r="C1989" i="18"/>
  <c r="D1989" i="18" s="1"/>
  <c r="C3053" i="18"/>
  <c r="D3053" i="18" s="1"/>
  <c r="C1287" i="18"/>
  <c r="D1287" i="18" s="1"/>
  <c r="C1257" i="18"/>
  <c r="D1257" i="18" s="1"/>
  <c r="C2940" i="18"/>
  <c r="D2940" i="18" s="1"/>
  <c r="C1699" i="18"/>
  <c r="D1699" i="18" s="1"/>
  <c r="C2424" i="18"/>
  <c r="D2424" i="18" s="1"/>
  <c r="C367" i="10"/>
  <c r="E367" i="10" s="1"/>
  <c r="C1091" i="18"/>
  <c r="D1091" i="18" s="1"/>
  <c r="C3576" i="18"/>
  <c r="D3576" i="18" s="1"/>
  <c r="C2514" i="18"/>
  <c r="D2514" i="18" s="1"/>
  <c r="C3925" i="18"/>
  <c r="D3925" i="18" s="1"/>
  <c r="C2558" i="18"/>
  <c r="D2558" i="18" s="1"/>
  <c r="C1687" i="18"/>
  <c r="D1687" i="18" s="1"/>
  <c r="C3152" i="18"/>
  <c r="D3152" i="18" s="1"/>
  <c r="C3154" i="18"/>
  <c r="D3154" i="18" s="1"/>
  <c r="C3157" i="18"/>
  <c r="D3157" i="18" s="1"/>
  <c r="C1534" i="18"/>
  <c r="D1534" i="18" s="1"/>
  <c r="C2043" i="18"/>
  <c r="D2043" i="18" s="1"/>
  <c r="C1099" i="18"/>
  <c r="D1099" i="18" s="1"/>
  <c r="C1427" i="18"/>
  <c r="D1427" i="18" s="1"/>
  <c r="C1571" i="18"/>
  <c r="D1571" i="18" s="1"/>
  <c r="C3086" i="18"/>
  <c r="D3086" i="18" s="1"/>
  <c r="C1776" i="18"/>
  <c r="D1776" i="18" s="1"/>
  <c r="C3985" i="18"/>
  <c r="D3985" i="18" s="1"/>
  <c r="C978" i="18"/>
  <c r="D978" i="18" s="1"/>
  <c r="C1597" i="18"/>
  <c r="D1597" i="18" s="1"/>
  <c r="C553" i="18"/>
  <c r="D553" i="18" s="1"/>
  <c r="C1993" i="18"/>
  <c r="D1993" i="18" s="1"/>
  <c r="C3052" i="18"/>
  <c r="D3052" i="18" s="1"/>
  <c r="C1290" i="18"/>
  <c r="D1290" i="18" s="1"/>
  <c r="C1261" i="18"/>
  <c r="D1261" i="18" s="1"/>
  <c r="C2941" i="18"/>
  <c r="D2941" i="18" s="1"/>
  <c r="C2423" i="18"/>
  <c r="D2423" i="18" s="1"/>
  <c r="C1092" i="18"/>
  <c r="D1092" i="18" s="1"/>
  <c r="C3577" i="18"/>
  <c r="D3577" i="18" s="1"/>
  <c r="C860" i="18"/>
  <c r="D860" i="18" s="1"/>
  <c r="C984" i="18"/>
  <c r="D984" i="18" s="1"/>
  <c r="C1936" i="18"/>
  <c r="D1936" i="18" s="1"/>
  <c r="C2332" i="18"/>
  <c r="D2332" i="18" s="1"/>
  <c r="C2512" i="18"/>
  <c r="D2512" i="18" s="1"/>
  <c r="C2561" i="18"/>
  <c r="D2561" i="18" s="1"/>
  <c r="C1682" i="18"/>
  <c r="D1682" i="18" s="1"/>
  <c r="C1519" i="18"/>
  <c r="D1519" i="18" s="1"/>
  <c r="C4190" i="18"/>
  <c r="D4190" i="18" s="1"/>
  <c r="C1751" i="18"/>
  <c r="D1751" i="18" s="1"/>
  <c r="C2323" i="18"/>
  <c r="D2323" i="18" s="1"/>
  <c r="C701" i="18"/>
  <c r="D701" i="18" s="1"/>
  <c r="C1458" i="18"/>
  <c r="D1458" i="18" s="1"/>
  <c r="C1557" i="18"/>
  <c r="D1557" i="18" s="1"/>
  <c r="C3080" i="18"/>
  <c r="D3080" i="18" s="1"/>
  <c r="C2420" i="18"/>
  <c r="D2420" i="18" s="1"/>
  <c r="C1093" i="18"/>
  <c r="D1093" i="18" s="1"/>
  <c r="C3572" i="18"/>
  <c r="D3572" i="18" s="1"/>
  <c r="C2510" i="18"/>
  <c r="D2510" i="18" s="1"/>
  <c r="C1749" i="18"/>
  <c r="D1749" i="18" s="1"/>
  <c r="C2318" i="18"/>
  <c r="D2318" i="18" s="1"/>
  <c r="C1108" i="18"/>
  <c r="D1108" i="18" s="1"/>
  <c r="C1459" i="18"/>
  <c r="D1459" i="18" s="1"/>
  <c r="C3276" i="18"/>
  <c r="D3276" i="18" s="1"/>
  <c r="C3179" i="18"/>
  <c r="D3179" i="18" s="1"/>
  <c r="C4043" i="18"/>
  <c r="D4043" i="18" s="1"/>
  <c r="C1559" i="18"/>
  <c r="D1559" i="18" s="1"/>
  <c r="C1434" i="18"/>
  <c r="D1434" i="18" s="1"/>
  <c r="C602" i="18"/>
  <c r="D602" i="18" s="1"/>
  <c r="C2047" i="18"/>
  <c r="D2047" i="18" s="1"/>
  <c r="C1094" i="18"/>
  <c r="D1094" i="18" s="1"/>
  <c r="C1428" i="18"/>
  <c r="D1428" i="18" s="1"/>
  <c r="C1775" i="18"/>
  <c r="D1775" i="18" s="1"/>
  <c r="C3983" i="18"/>
  <c r="D3983" i="18" s="1"/>
  <c r="C979" i="18"/>
  <c r="D979" i="18" s="1"/>
  <c r="C1991" i="18"/>
  <c r="D1991" i="18" s="1"/>
  <c r="C3050" i="18"/>
  <c r="D3050" i="18" s="1"/>
  <c r="C448" i="10"/>
  <c r="E448" i="10" s="1"/>
  <c r="C2425" i="18"/>
  <c r="D2425" i="18" s="1"/>
  <c r="C1089" i="18"/>
  <c r="D1089" i="18" s="1"/>
  <c r="C3574" i="18"/>
  <c r="D3574" i="18" s="1"/>
  <c r="C865" i="18"/>
  <c r="D865" i="18" s="1"/>
  <c r="C980" i="18"/>
  <c r="D980" i="18" s="1"/>
  <c r="C1934" i="18"/>
  <c r="D1934" i="18" s="1"/>
  <c r="C2333" i="18"/>
  <c r="D2333" i="18" s="1"/>
  <c r="C2515" i="18"/>
  <c r="D2515" i="18" s="1"/>
  <c r="C1686" i="18"/>
  <c r="D1686" i="18" s="1"/>
  <c r="C1750" i="18"/>
  <c r="D1750" i="18" s="1"/>
  <c r="C2321" i="18"/>
  <c r="D2321" i="18" s="1"/>
  <c r="C1111" i="18"/>
  <c r="D1111" i="18" s="1"/>
  <c r="C1457" i="18"/>
  <c r="D1457" i="18" s="1"/>
  <c r="C3277" i="18"/>
  <c r="D3277" i="18" s="1"/>
  <c r="C312" i="10"/>
  <c r="E312" i="10" s="1"/>
  <c r="C3178" i="18"/>
  <c r="D3178" i="18" s="1"/>
  <c r="C4044" i="18"/>
  <c r="D4044" i="18" s="1"/>
  <c r="C3816" i="18"/>
  <c r="D3816" i="18" s="1"/>
  <c r="C1556" i="18"/>
  <c r="D1556" i="18" s="1"/>
  <c r="C1432" i="18"/>
  <c r="D1432" i="18" s="1"/>
  <c r="C1852" i="18"/>
  <c r="D1852" i="18" s="1"/>
  <c r="C1837" i="18"/>
  <c r="D1837" i="18" s="1"/>
  <c r="C1836" i="18"/>
  <c r="D1836" i="18" s="1"/>
  <c r="C1833" i="18"/>
  <c r="D1833" i="18" s="1"/>
  <c r="C606" i="18"/>
  <c r="D606" i="18" s="1"/>
  <c r="C2044" i="18"/>
  <c r="D2044" i="18" s="1"/>
  <c r="C1096" i="18"/>
  <c r="D1096" i="18" s="1"/>
  <c r="C1777" i="18"/>
  <c r="D1777" i="18" s="1"/>
  <c r="C550" i="18"/>
  <c r="D550" i="18" s="1"/>
  <c r="C1988" i="18"/>
  <c r="D1988" i="18" s="1"/>
  <c r="C2938" i="18"/>
  <c r="D2938" i="18" s="1"/>
  <c r="C2421" i="18"/>
  <c r="D2421" i="18" s="1"/>
  <c r="C1090" i="18"/>
  <c r="D1090" i="18" s="1"/>
  <c r="C3575" i="18"/>
  <c r="D3575" i="18" s="1"/>
  <c r="C2334" i="18"/>
  <c r="D2334" i="18" s="1"/>
  <c r="C2513" i="18"/>
  <c r="D2513" i="18" s="1"/>
  <c r="C2562" i="18"/>
  <c r="D2562" i="18" s="1"/>
  <c r="C1106" i="18"/>
  <c r="D1106" i="18" s="1"/>
  <c r="C1456" i="18"/>
  <c r="D1456" i="18" s="1"/>
  <c r="C3176" i="18"/>
  <c r="D3176" i="18" s="1"/>
  <c r="C4045" i="18"/>
  <c r="D4045" i="18" s="1"/>
  <c r="C1431" i="18"/>
  <c r="D1431" i="18" s="1"/>
  <c r="C552" i="18"/>
  <c r="D552" i="18" s="1"/>
  <c r="C2939" i="18"/>
  <c r="D2939" i="18" s="1"/>
  <c r="C2559" i="18"/>
  <c r="D2559" i="18" s="1"/>
  <c r="C1685" i="18"/>
  <c r="D1685" i="18" s="1"/>
  <c r="C1107" i="18"/>
  <c r="D1107" i="18" s="1"/>
  <c r="C1455" i="18"/>
  <c r="D1455" i="18" s="1"/>
  <c r="C4041" i="18"/>
  <c r="D4041" i="18" s="1"/>
  <c r="C1435" i="18"/>
  <c r="D1435" i="18" s="1"/>
  <c r="C2679" i="18"/>
  <c r="D2679" i="18" s="1"/>
  <c r="C3083" i="18"/>
  <c r="D3083" i="18" s="1"/>
  <c r="C1013" i="18"/>
  <c r="D1013" i="18" s="1"/>
  <c r="C2927" i="18"/>
  <c r="D2927" i="18" s="1"/>
  <c r="C2628" i="18"/>
  <c r="D2628" i="18" s="1"/>
  <c r="C1080" i="18"/>
  <c r="D1080" i="18" s="1"/>
  <c r="C1079" i="18"/>
  <c r="D1079" i="18" s="1"/>
  <c r="C1078" i="18"/>
  <c r="D1078" i="18" s="1"/>
  <c r="C3156" i="18"/>
  <c r="D3156" i="18" s="1"/>
  <c r="C2320" i="18"/>
  <c r="D2320" i="18" s="1"/>
  <c r="C4040" i="18"/>
  <c r="D4040" i="18" s="1"/>
  <c r="C1433" i="18"/>
  <c r="D1433" i="18" s="1"/>
  <c r="C2627" i="18"/>
  <c r="D2627" i="18" s="1"/>
  <c r="C2900" i="18"/>
  <c r="D2900" i="18" s="1"/>
  <c r="C2902" i="18"/>
  <c r="D2902" i="18" s="1"/>
  <c r="C3155" i="18"/>
  <c r="D3155" i="18" s="1"/>
  <c r="C2530" i="18"/>
  <c r="D2530" i="18" s="1"/>
  <c r="C2529" i="18"/>
  <c r="D2529" i="18" s="1"/>
  <c r="C2532" i="18"/>
  <c r="D2532" i="18" s="1"/>
  <c r="C2528" i="18"/>
  <c r="D2528" i="18" s="1"/>
  <c r="G69" i="5"/>
  <c r="C280" i="10" s="1"/>
  <c r="E280" i="10" s="1"/>
  <c r="C2268" i="18"/>
  <c r="D2268" i="18" s="1"/>
  <c r="C2267" i="18"/>
  <c r="D2267" i="18" s="1"/>
  <c r="C1346" i="18"/>
  <c r="D1346" i="18" s="1"/>
  <c r="C3879" i="18"/>
  <c r="D3879" i="18" s="1"/>
  <c r="C2265" i="18"/>
  <c r="D2265" i="18" s="1"/>
  <c r="C2664" i="18"/>
  <c r="D2664" i="18" s="1"/>
  <c r="C2551" i="18"/>
  <c r="D2551" i="18" s="1"/>
  <c r="C2180" i="18"/>
  <c r="D2180" i="18" s="1"/>
  <c r="C3881" i="18"/>
  <c r="D3881" i="18" s="1"/>
  <c r="C828" i="18"/>
  <c r="D828" i="18" s="1"/>
  <c r="C2661" i="18"/>
  <c r="D2661" i="18" s="1"/>
  <c r="C2550" i="18"/>
  <c r="D2550" i="18" s="1"/>
  <c r="C2181" i="18"/>
  <c r="D2181" i="18" s="1"/>
  <c r="C108" i="10"/>
  <c r="E108" i="10" s="1"/>
  <c r="C825" i="18"/>
  <c r="C238" i="10"/>
  <c r="E238" i="10" s="1"/>
  <c r="C521" i="18"/>
  <c r="D521" i="18" s="1"/>
  <c r="C518" i="18"/>
  <c r="D518" i="18" s="1"/>
  <c r="C523" i="18"/>
  <c r="D523" i="18" s="1"/>
  <c r="C520" i="18"/>
  <c r="D520" i="18" s="1"/>
  <c r="C519" i="18"/>
  <c r="D519" i="18" s="1"/>
  <c r="C522" i="18"/>
  <c r="D522" i="18" s="1"/>
  <c r="C488" i="18"/>
  <c r="D488" i="18" s="1"/>
  <c r="C490" i="18"/>
  <c r="D490" i="18" s="1"/>
  <c r="C489" i="18"/>
  <c r="D489" i="18" s="1"/>
  <c r="C492" i="18"/>
  <c r="D492" i="18" s="1"/>
  <c r="C491" i="18"/>
  <c r="D491" i="18" s="1"/>
  <c r="C493" i="18"/>
  <c r="D493" i="18" s="1"/>
  <c r="C384" i="18"/>
  <c r="D384" i="18" s="1"/>
  <c r="C382" i="18"/>
  <c r="C296" i="10"/>
  <c r="E296" i="10" s="1"/>
  <c r="C381" i="18"/>
  <c r="D381" i="18" s="1"/>
  <c r="C385" i="18"/>
  <c r="D385" i="18" s="1"/>
  <c r="C383" i="18"/>
  <c r="C37" i="10"/>
  <c r="E37" i="10" s="1"/>
  <c r="C414" i="18"/>
  <c r="D414" i="18" s="1"/>
  <c r="C410" i="18"/>
  <c r="D410" i="18" s="1"/>
  <c r="C412" i="18"/>
  <c r="C415" i="18"/>
  <c r="D415" i="18" s="1"/>
  <c r="C413" i="18"/>
  <c r="D413" i="18" s="1"/>
  <c r="C411" i="18"/>
  <c r="C464" i="18"/>
  <c r="D464" i="18" s="1"/>
  <c r="C468" i="18"/>
  <c r="D468" i="18" s="1"/>
  <c r="C465" i="18"/>
  <c r="D465" i="18" s="1"/>
  <c r="C467" i="18"/>
  <c r="D467" i="18" s="1"/>
  <c r="C469" i="18"/>
  <c r="C466" i="18"/>
  <c r="D466" i="18" s="1"/>
  <c r="C116" i="10"/>
  <c r="E116" i="10" s="1"/>
  <c r="C350" i="18"/>
  <c r="D350" i="18" s="1"/>
  <c r="C149" i="10"/>
  <c r="E149" i="10" s="1"/>
  <c r="C351" i="18"/>
  <c r="C352" i="18"/>
  <c r="C399" i="18"/>
  <c r="D399" i="18" s="1"/>
  <c r="C400" i="18"/>
  <c r="C64" i="10"/>
  <c r="E64" i="10" s="1"/>
  <c r="C403" i="18"/>
  <c r="C401" i="18"/>
  <c r="D401" i="18" s="1"/>
  <c r="C402" i="18"/>
  <c r="D402" i="18" s="1"/>
  <c r="C398" i="18"/>
  <c r="D398" i="18" s="1"/>
  <c r="C509" i="18"/>
  <c r="D509" i="18" s="1"/>
  <c r="C480" i="18"/>
  <c r="C426" i="18"/>
  <c r="D426" i="18" s="1"/>
  <c r="C423" i="18"/>
  <c r="D423" i="18" s="1"/>
  <c r="C427" i="18"/>
  <c r="D427" i="18" s="1"/>
  <c r="C424" i="18"/>
  <c r="D424" i="18" s="1"/>
  <c r="C425" i="18"/>
  <c r="D425" i="18" s="1"/>
  <c r="C422" i="18"/>
  <c r="D422" i="18" s="1"/>
  <c r="C378" i="10"/>
  <c r="E378" i="10" s="1"/>
  <c r="C495" i="18"/>
  <c r="D495" i="18" s="1"/>
  <c r="C424" i="10"/>
  <c r="E424" i="10" s="1"/>
  <c r="C184" i="10"/>
  <c r="E184" i="10" s="1"/>
  <c r="C529" i="18"/>
  <c r="D529" i="18" s="1"/>
  <c r="C484" i="18"/>
  <c r="C483" i="18"/>
  <c r="D483" i="18" s="1"/>
  <c r="C531" i="18"/>
  <c r="D531" i="18" s="1"/>
  <c r="C475" i="18"/>
  <c r="D475" i="18" s="1"/>
  <c r="C447" i="18"/>
  <c r="C126" i="10"/>
  <c r="E126" i="10" s="1"/>
  <c r="C530" i="18"/>
  <c r="D530" i="18" s="1"/>
  <c r="C473" i="18"/>
  <c r="D473" i="18" s="1"/>
  <c r="C449" i="18"/>
  <c r="D449" i="18" s="1"/>
  <c r="C498" i="18"/>
  <c r="D498" i="18" s="1"/>
  <c r="C535" i="18"/>
  <c r="C474" i="18"/>
  <c r="D474" i="18" s="1"/>
  <c r="C448" i="18"/>
  <c r="D448" i="18" s="1"/>
  <c r="C494" i="18"/>
  <c r="C362" i="18"/>
  <c r="C472" i="18"/>
  <c r="D472" i="18" s="1"/>
  <c r="C450" i="18"/>
  <c r="D450" i="18" s="1"/>
  <c r="C497" i="18"/>
  <c r="D497" i="18" s="1"/>
  <c r="C470" i="18"/>
  <c r="C451" i="18"/>
  <c r="D451" i="18" s="1"/>
  <c r="C499" i="18"/>
  <c r="C369" i="18"/>
  <c r="C370" i="18"/>
  <c r="C419" i="18"/>
  <c r="D419" i="18" s="1"/>
  <c r="C421" i="18"/>
  <c r="C417" i="18"/>
  <c r="D417" i="18" s="1"/>
  <c r="C15" i="18"/>
  <c r="C118" i="18"/>
  <c r="C214" i="10" l="1"/>
  <c r="E214" i="10" s="1"/>
  <c r="C478" i="18"/>
  <c r="D478" i="18" s="1"/>
  <c r="C481" i="18"/>
  <c r="C479" i="18"/>
  <c r="D479" i="18" s="1"/>
  <c r="C355" i="18"/>
  <c r="D355" i="18" s="1"/>
  <c r="C354" i="18"/>
  <c r="C115" i="10"/>
  <c r="E115" i="10" s="1"/>
  <c r="C209" i="10"/>
  <c r="E209" i="10" s="1"/>
  <c r="C476" i="18"/>
  <c r="D476" i="18" s="1"/>
  <c r="C353" i="18"/>
  <c r="C168" i="10"/>
  <c r="E168" i="10" s="1"/>
  <c r="C374" i="10"/>
  <c r="E374" i="10" s="1"/>
  <c r="C316" i="10"/>
  <c r="E316" i="10" s="1"/>
  <c r="C388" i="10"/>
  <c r="E388" i="10" s="1"/>
  <c r="C181" i="10"/>
  <c r="E181" i="10" s="1"/>
  <c r="C327" i="10"/>
  <c r="E327" i="10" s="1"/>
  <c r="C224" i="10"/>
  <c r="E224" i="10" s="1"/>
  <c r="C237" i="10"/>
  <c r="E237" i="10" s="1"/>
  <c r="C282" i="10"/>
  <c r="E282" i="10" s="1"/>
  <c r="C234" i="10"/>
  <c r="E234" i="10" s="1"/>
  <c r="C380" i="18"/>
  <c r="C326" i="10"/>
  <c r="E326" i="10" s="1"/>
  <c r="C403" i="10"/>
  <c r="E403" i="10" s="1"/>
  <c r="C442" i="18"/>
  <c r="D442" i="18" s="1"/>
  <c r="C440" i="18"/>
  <c r="D440" i="18" s="1"/>
  <c r="C445" i="18"/>
  <c r="D445" i="18" s="1"/>
  <c r="C444" i="18"/>
  <c r="D444" i="18" s="1"/>
  <c r="C443" i="18"/>
  <c r="D443" i="18" s="1"/>
  <c r="C441" i="18"/>
  <c r="D441" i="18" s="1"/>
  <c r="C397" i="10"/>
  <c r="E397" i="10" s="1"/>
  <c r="C343" i="18"/>
  <c r="D343" i="18" s="1"/>
  <c r="C339" i="18"/>
  <c r="D339" i="18" s="1"/>
  <c r="C342" i="18"/>
  <c r="D342" i="18" s="1"/>
  <c r="C341" i="18"/>
  <c r="D341" i="18" s="1"/>
  <c r="C340" i="18"/>
  <c r="D340" i="18" s="1"/>
  <c r="C291" i="18"/>
  <c r="D291" i="18" s="1"/>
  <c r="C294" i="18"/>
  <c r="D294" i="18" s="1"/>
  <c r="C290" i="18"/>
  <c r="D290" i="18" s="1"/>
  <c r="C292" i="18"/>
  <c r="D292" i="18" s="1"/>
  <c r="C293" i="18"/>
  <c r="D293" i="18" s="1"/>
  <c r="C295" i="18"/>
  <c r="D295" i="18" s="1"/>
  <c r="C517" i="18"/>
  <c r="D517" i="18" s="1"/>
  <c r="C514" i="18"/>
  <c r="D514" i="18" s="1"/>
  <c r="C513" i="18"/>
  <c r="D513" i="18" s="1"/>
  <c r="C515" i="18"/>
  <c r="D515" i="18" s="1"/>
  <c r="C512" i="18"/>
  <c r="D512" i="18" s="1"/>
  <c r="C516" i="18"/>
  <c r="D516" i="18" s="1"/>
  <c r="C59" i="18"/>
  <c r="D59" i="18" s="1"/>
  <c r="C58" i="18"/>
  <c r="D58" i="18" s="1"/>
  <c r="C61" i="18"/>
  <c r="D61" i="18" s="1"/>
  <c r="C56" i="18"/>
  <c r="D56" i="18" s="1"/>
  <c r="C78" i="18"/>
  <c r="D78" i="18" s="1"/>
  <c r="C74" i="18"/>
  <c r="D74" i="18" s="1"/>
  <c r="C75" i="18"/>
  <c r="D75" i="18" s="1"/>
  <c r="C76" i="18"/>
  <c r="D76" i="18" s="1"/>
  <c r="C79" i="18"/>
  <c r="D79" i="18" s="1"/>
  <c r="C77" i="18"/>
  <c r="D77" i="18" s="1"/>
  <c r="C265" i="10"/>
  <c r="E265" i="10" s="1"/>
  <c r="C426" i="10"/>
  <c r="E426" i="10" s="1"/>
  <c r="C510" i="18"/>
  <c r="D510" i="18" s="1"/>
  <c r="C508" i="18"/>
  <c r="D508" i="18" s="1"/>
  <c r="C143" i="10"/>
  <c r="E143" i="10" s="1"/>
  <c r="C506" i="18"/>
  <c r="D506" i="18" s="1"/>
  <c r="C511" i="18"/>
  <c r="D511" i="18" s="1"/>
  <c r="C167" i="10"/>
  <c r="E167" i="10" s="1"/>
  <c r="C119" i="10"/>
  <c r="E119" i="10" s="1"/>
  <c r="C507" i="18"/>
  <c r="D507" i="18" s="1"/>
  <c r="C297" i="10"/>
  <c r="E297" i="10" s="1"/>
  <c r="C287" i="10"/>
  <c r="E287" i="10" s="1"/>
  <c r="C306" i="10"/>
  <c r="E306" i="10" s="1"/>
  <c r="C385" i="10"/>
  <c r="E385" i="10" s="1"/>
  <c r="C345" i="10"/>
  <c r="E345" i="10" s="1"/>
  <c r="C33" i="10"/>
  <c r="E33" i="10" s="1"/>
  <c r="C18" i="10"/>
  <c r="E18" i="10" s="1"/>
  <c r="C185" i="10"/>
  <c r="E185" i="10" s="1"/>
  <c r="C320" i="10"/>
  <c r="E320" i="10" s="1"/>
  <c r="C460" i="10"/>
  <c r="E460" i="10" s="1"/>
  <c r="C142" i="10"/>
  <c r="E142" i="10" s="1"/>
  <c r="C251" i="10"/>
  <c r="E251" i="10" s="1"/>
  <c r="C444" i="10"/>
  <c r="E444" i="10" s="1"/>
  <c r="C211" i="10"/>
  <c r="E211" i="10" s="1"/>
  <c r="C456" i="10"/>
  <c r="E456" i="10" s="1"/>
  <c r="C23" i="10"/>
  <c r="E23" i="10" s="1"/>
  <c r="C394" i="10"/>
  <c r="E394" i="10" s="1"/>
  <c r="C141" i="10"/>
  <c r="E141" i="10" s="1"/>
  <c r="C235" i="10"/>
  <c r="E235" i="10" s="1"/>
  <c r="C454" i="10"/>
  <c r="E454" i="10" s="1"/>
  <c r="C379" i="10"/>
  <c r="E379" i="10" s="1"/>
  <c r="C283" i="10"/>
  <c r="E283" i="10" s="1"/>
  <c r="C59" i="10"/>
  <c r="E59" i="10" s="1"/>
  <c r="C420" i="10"/>
  <c r="E420" i="10" s="1"/>
  <c r="C67" i="10"/>
  <c r="E67" i="10" s="1"/>
  <c r="C98" i="10"/>
  <c r="E98" i="10" s="1"/>
  <c r="C484" i="10"/>
  <c r="E484" i="10" s="1"/>
  <c r="C423" i="10"/>
  <c r="E423" i="10" s="1"/>
  <c r="C309" i="10"/>
  <c r="E309" i="10" s="1"/>
  <c r="C486" i="10"/>
  <c r="E486" i="10" s="1"/>
  <c r="C453" i="10"/>
  <c r="E453" i="10" s="1"/>
  <c r="C32" i="10"/>
  <c r="E32" i="10" s="1"/>
  <c r="C477" i="18"/>
  <c r="D477" i="18" s="1"/>
  <c r="C25" i="10"/>
  <c r="E25" i="10" s="1"/>
  <c r="C474" i="10"/>
  <c r="E474" i="10" s="1"/>
  <c r="C208" i="10"/>
  <c r="E208" i="10" s="1"/>
  <c r="C414" i="10"/>
  <c r="E414" i="10" s="1"/>
  <c r="C401" i="10"/>
  <c r="E401" i="10" s="1"/>
  <c r="C340" i="10"/>
  <c r="E340" i="10" s="1"/>
  <c r="C478" i="10"/>
  <c r="E478" i="10" s="1"/>
  <c r="C323" i="10"/>
  <c r="E323" i="10" s="1"/>
  <c r="C258" i="10"/>
  <c r="E258" i="10" s="1"/>
  <c r="C172" i="10"/>
  <c r="E172" i="10" s="1"/>
  <c r="C22" i="10"/>
  <c r="E22" i="10" s="1"/>
  <c r="C240" i="10"/>
  <c r="E240" i="10" s="1"/>
  <c r="C437" i="10"/>
  <c r="E437" i="10" s="1"/>
  <c r="C30" i="10"/>
  <c r="E30" i="10" s="1"/>
  <c r="C87" i="10"/>
  <c r="E87" i="10" s="1"/>
  <c r="C274" i="10"/>
  <c r="E274" i="10" s="1"/>
  <c r="C435" i="10"/>
  <c r="E435" i="10" s="1"/>
  <c r="C273" i="10"/>
  <c r="E273" i="10" s="1"/>
  <c r="C466" i="10"/>
  <c r="E466" i="10" s="1"/>
  <c r="C203" i="10"/>
  <c r="E203" i="10" s="1"/>
  <c r="C80" i="10"/>
  <c r="E80" i="10" s="1"/>
  <c r="C174" i="10"/>
  <c r="E174" i="10" s="1"/>
  <c r="C60" i="10"/>
  <c r="E60" i="10" s="1"/>
  <c r="C440" i="10"/>
  <c r="E440" i="10" s="1"/>
  <c r="C104" i="10"/>
  <c r="E104" i="10" s="1"/>
  <c r="C491" i="10"/>
  <c r="E491" i="10" s="1"/>
  <c r="C399" i="10"/>
  <c r="E399" i="10" s="1"/>
  <c r="C70" i="10"/>
  <c r="E70" i="10" s="1"/>
  <c r="C40" i="10"/>
  <c r="E40" i="10" s="1"/>
  <c r="C439" i="10"/>
  <c r="E439" i="10" s="1"/>
  <c r="C175" i="10"/>
  <c r="E175" i="10" s="1"/>
  <c r="C277" i="10"/>
  <c r="E277" i="10" s="1"/>
  <c r="C376" i="10"/>
  <c r="E376" i="10" s="1"/>
  <c r="C343" i="10"/>
  <c r="E343" i="10" s="1"/>
  <c r="C220" i="10"/>
  <c r="E220" i="10" s="1"/>
  <c r="C348" i="10"/>
  <c r="E348" i="10" s="1"/>
  <c r="C357" i="10"/>
  <c r="E357" i="10" s="1"/>
  <c r="C28" i="10"/>
  <c r="E28" i="10" s="1"/>
  <c r="C3" i="10"/>
  <c r="E3" i="10" s="1"/>
  <c r="C243" i="10"/>
  <c r="E243" i="10" s="1"/>
  <c r="C336" i="10"/>
  <c r="E336" i="10" s="1"/>
  <c r="C65" i="10"/>
  <c r="E65" i="10" s="1"/>
  <c r="C94" i="10"/>
  <c r="E94" i="10" s="1"/>
  <c r="C431" i="10"/>
  <c r="E431" i="10" s="1"/>
  <c r="C195" i="10"/>
  <c r="E195" i="10" s="1"/>
  <c r="C89" i="10"/>
  <c r="E89" i="10" s="1"/>
  <c r="C436" i="10"/>
  <c r="E436" i="10" s="1"/>
  <c r="C464" i="10"/>
  <c r="E464" i="10" s="1"/>
  <c r="C300" i="10"/>
  <c r="E300" i="10" s="1"/>
  <c r="C105" i="10"/>
  <c r="E105" i="10" s="1"/>
  <c r="C449" i="10"/>
  <c r="E449" i="10" s="1"/>
  <c r="C442" i="10"/>
  <c r="E442" i="10" s="1"/>
  <c r="C263" i="10"/>
  <c r="E263" i="10" s="1"/>
  <c r="C425" i="10"/>
  <c r="E425" i="10" s="1"/>
  <c r="C324" i="10"/>
  <c r="E324" i="10" s="1"/>
  <c r="C225" i="10"/>
  <c r="E225" i="10" s="1"/>
  <c r="C145" i="10"/>
  <c r="E145" i="10" s="1"/>
  <c r="C226" i="10"/>
  <c r="E226" i="10" s="1"/>
  <c r="C477" i="10"/>
  <c r="E477" i="10" s="1"/>
  <c r="C334" i="10"/>
  <c r="E334" i="10" s="1"/>
  <c r="C26" i="10"/>
  <c r="E26" i="10" s="1"/>
  <c r="C410" i="10"/>
  <c r="E410" i="10" s="1"/>
  <c r="C349" i="10"/>
  <c r="E349" i="10" s="1"/>
  <c r="C163" i="10"/>
  <c r="E163" i="10" s="1"/>
  <c r="C483" i="10"/>
  <c r="E483" i="10" s="1"/>
  <c r="C165" i="10"/>
  <c r="E165" i="10" s="1"/>
  <c r="C207" i="10"/>
  <c r="E207" i="10" s="1"/>
  <c r="C16" i="10"/>
  <c r="E16" i="10" s="1"/>
  <c r="C162" i="10"/>
  <c r="E162" i="10" s="1"/>
  <c r="C335" i="10"/>
  <c r="E335" i="10" s="1"/>
  <c r="C160" i="10"/>
  <c r="E160" i="10" s="1"/>
  <c r="C389" i="10"/>
  <c r="E389" i="10" s="1"/>
  <c r="C498" i="10"/>
  <c r="E498" i="10" s="1"/>
  <c r="C402" i="10"/>
  <c r="E402" i="10" s="1"/>
  <c r="C292" i="10"/>
  <c r="E292" i="10" s="1"/>
  <c r="C319" i="10"/>
  <c r="E319" i="10" s="1"/>
  <c r="C200" i="10"/>
  <c r="E200" i="10" s="1"/>
  <c r="C196" i="10"/>
  <c r="E196" i="10" s="1"/>
  <c r="C169" i="10"/>
  <c r="E169" i="10" s="1"/>
  <c r="C197" i="10"/>
  <c r="E197" i="10" s="1"/>
  <c r="C182" i="10"/>
  <c r="E182" i="10" s="1"/>
  <c r="C205" i="10"/>
  <c r="E205" i="10" s="1"/>
  <c r="C254" i="10"/>
  <c r="E254" i="10" s="1"/>
  <c r="C412" i="10"/>
  <c r="E412" i="10" s="1"/>
  <c r="C354" i="10"/>
  <c r="E354" i="10" s="1"/>
  <c r="C311" i="10"/>
  <c r="E311" i="10" s="1"/>
  <c r="C481" i="10"/>
  <c r="E481" i="10" s="1"/>
  <c r="C321" i="10"/>
  <c r="E321" i="10" s="1"/>
  <c r="C55" i="10"/>
  <c r="E55" i="10" s="1"/>
  <c r="C471" i="10"/>
  <c r="E471" i="10" s="1"/>
  <c r="C128" i="10"/>
  <c r="E128" i="10" s="1"/>
  <c r="C71" i="10"/>
  <c r="E71" i="10" s="1"/>
  <c r="C117" i="10"/>
  <c r="E117" i="10" s="1"/>
  <c r="C301" i="10"/>
  <c r="E301" i="10" s="1"/>
  <c r="C186" i="10"/>
  <c r="E186" i="10" s="1"/>
  <c r="C4" i="10"/>
  <c r="E4" i="10" s="1"/>
  <c r="C298" i="10"/>
  <c r="E298" i="10" s="1"/>
  <c r="C136" i="10"/>
  <c r="E136" i="10" s="1"/>
  <c r="C144" i="10"/>
  <c r="E144" i="10" s="1"/>
  <c r="C490" i="10"/>
  <c r="E490" i="10" s="1"/>
  <c r="C255" i="10"/>
  <c r="E255" i="10" s="1"/>
  <c r="C242" i="10"/>
  <c r="E242" i="10" s="1"/>
  <c r="C123" i="10"/>
  <c r="E123" i="10" s="1"/>
  <c r="C396" i="10"/>
  <c r="E396" i="10" s="1"/>
  <c r="C281" i="10"/>
  <c r="E281" i="10" s="1"/>
  <c r="C360" i="10"/>
  <c r="E360" i="10" s="1"/>
  <c r="C239" i="10"/>
  <c r="E239" i="10" s="1"/>
  <c r="C487" i="10"/>
  <c r="E487" i="10" s="1"/>
  <c r="C5" i="10"/>
  <c r="E5" i="10" s="1"/>
  <c r="C493" i="10"/>
  <c r="E493" i="10" s="1"/>
  <c r="C24" i="10"/>
  <c r="E24" i="10" s="1"/>
  <c r="C249" i="10"/>
  <c r="E249" i="10" s="1"/>
  <c r="C53" i="10"/>
  <c r="E53" i="10" s="1"/>
  <c r="C352" i="10"/>
  <c r="E352" i="10" s="1"/>
  <c r="C386" i="10"/>
  <c r="E386" i="10" s="1"/>
  <c r="C405" i="10"/>
  <c r="E405" i="10" s="1"/>
  <c r="C97" i="10"/>
  <c r="E97" i="10" s="1"/>
  <c r="C215" i="10"/>
  <c r="E215" i="10" s="1"/>
  <c r="C212" i="10"/>
  <c r="E212" i="10" s="1"/>
  <c r="C479" i="10"/>
  <c r="E479" i="10" s="1"/>
  <c r="C218" i="10"/>
  <c r="E218" i="10" s="1"/>
  <c r="C259" i="10"/>
  <c r="E259" i="10" s="1"/>
  <c r="C294" i="10"/>
  <c r="E294" i="10" s="1"/>
  <c r="C467" i="10"/>
  <c r="E467" i="10" s="1"/>
  <c r="C66" i="10"/>
  <c r="E66" i="10" s="1"/>
  <c r="C373" i="10"/>
  <c r="E373" i="10" s="1"/>
  <c r="C499" i="10"/>
  <c r="E499" i="10" s="1"/>
  <c r="C54" i="10"/>
  <c r="E54" i="10" s="1"/>
  <c r="C465" i="10"/>
  <c r="E465" i="10" s="1"/>
  <c r="C293" i="10"/>
  <c r="E293" i="10" s="1"/>
  <c r="C288" i="10"/>
  <c r="E288" i="10" s="1"/>
  <c r="C202" i="10"/>
  <c r="E202" i="10" s="1"/>
  <c r="C110" i="10"/>
  <c r="E110" i="10" s="1"/>
  <c r="C213" i="10"/>
  <c r="E213" i="10" s="1"/>
  <c r="C52" i="10"/>
  <c r="E52" i="10" s="1"/>
  <c r="C407" i="18"/>
  <c r="D407" i="18" s="1"/>
  <c r="C148" i="10"/>
  <c r="E148" i="10" s="1"/>
  <c r="C387" i="10"/>
  <c r="E387" i="10" s="1"/>
  <c r="C46" i="10"/>
  <c r="E46" i="10" s="1"/>
  <c r="C134" i="10"/>
  <c r="E134" i="10" s="1"/>
  <c r="C12" i="10"/>
  <c r="E12" i="10" s="1"/>
  <c r="C368" i="10"/>
  <c r="E368" i="10" s="1"/>
  <c r="C492" i="10"/>
  <c r="E492" i="10" s="1"/>
  <c r="C57" i="10"/>
  <c r="E57" i="10" s="1"/>
  <c r="C372" i="10"/>
  <c r="E372" i="10" s="1"/>
  <c r="C361" i="10"/>
  <c r="E361" i="10" s="1"/>
  <c r="C342" i="10"/>
  <c r="E342" i="10" s="1"/>
  <c r="C364" i="10"/>
  <c r="E364" i="10" s="1"/>
  <c r="C198" i="10"/>
  <c r="E198" i="10" s="1"/>
  <c r="C76" i="10"/>
  <c r="E76" i="10" s="1"/>
  <c r="C384" i="10"/>
  <c r="E384" i="10" s="1"/>
  <c r="C284" i="10"/>
  <c r="E284" i="10" s="1"/>
  <c r="C256" i="10"/>
  <c r="E256" i="10" s="1"/>
  <c r="C393" i="10"/>
  <c r="E393" i="10" s="1"/>
  <c r="C86" i="10"/>
  <c r="E86" i="10" s="1"/>
  <c r="C161" i="10"/>
  <c r="E161" i="10" s="1"/>
  <c r="C359" i="10"/>
  <c r="E359" i="10" s="1"/>
  <c r="D447" i="18"/>
  <c r="D369" i="18"/>
  <c r="D383" i="18"/>
  <c r="D695" i="18"/>
  <c r="D927" i="18"/>
  <c r="D1206" i="18"/>
  <c r="D362" i="18"/>
  <c r="D484" i="18"/>
  <c r="D400" i="18"/>
  <c r="D411" i="18"/>
  <c r="C45" i="10"/>
  <c r="E45" i="10" s="1"/>
  <c r="D825" i="18"/>
  <c r="D380" i="18"/>
  <c r="D480" i="18"/>
  <c r="D421" i="18"/>
  <c r="D499" i="18"/>
  <c r="D494" i="18"/>
  <c r="D481" i="18"/>
  <c r="D354" i="18"/>
  <c r="C419" i="10"/>
  <c r="E419" i="10" s="1"/>
  <c r="D470" i="18"/>
  <c r="D351" i="18"/>
  <c r="D118" i="18"/>
  <c r="D352" i="18"/>
  <c r="D469" i="18"/>
  <c r="D412" i="18"/>
  <c r="D603" i="18"/>
  <c r="D623" i="18"/>
  <c r="D535" i="18"/>
  <c r="D353" i="18"/>
  <c r="C102" i="10"/>
  <c r="E102" i="10" s="1"/>
  <c r="D382" i="18"/>
  <c r="D15" i="18"/>
  <c r="D370" i="18"/>
  <c r="D403" i="18"/>
  <c r="D683" i="18"/>
  <c r="D802" i="18"/>
  <c r="C92" i="10"/>
  <c r="E92" i="10" s="1"/>
  <c r="C112" i="10"/>
  <c r="E112" i="10" s="1"/>
  <c r="C270" i="10"/>
  <c r="E270" i="10" s="1"/>
  <c r="C9" i="7"/>
  <c r="C144" i="7"/>
  <c r="C80" i="7"/>
  <c r="C16" i="7"/>
  <c r="C175" i="7"/>
  <c r="C111" i="7"/>
  <c r="C47" i="7"/>
  <c r="C81" i="7"/>
  <c r="C150" i="7"/>
  <c r="C86" i="7"/>
  <c r="C22" i="7"/>
  <c r="C189" i="7"/>
  <c r="C125" i="7"/>
  <c r="C61" i="7"/>
  <c r="C201" i="7"/>
  <c r="C164" i="7"/>
  <c r="C100" i="7"/>
  <c r="C36" i="7"/>
  <c r="C195" i="7"/>
  <c r="C131" i="7"/>
  <c r="C67" i="7"/>
  <c r="C3" i="7"/>
  <c r="C178" i="7"/>
  <c r="C114" i="7"/>
  <c r="C50" i="7"/>
  <c r="C200" i="7"/>
  <c r="C136" i="7"/>
  <c r="C72" i="7"/>
  <c r="C8" i="7"/>
  <c r="C167" i="7"/>
  <c r="C103" i="7"/>
  <c r="C39" i="7"/>
  <c r="C17" i="7"/>
  <c r="C142" i="7"/>
  <c r="C78" i="7"/>
  <c r="C14" i="7"/>
  <c r="C181" i="7"/>
  <c r="C117" i="7"/>
  <c r="C53" i="7"/>
  <c r="C145" i="7"/>
  <c r="C156" i="7"/>
  <c r="C92" i="7"/>
  <c r="C28" i="7"/>
  <c r="C187" i="7"/>
  <c r="C123" i="7"/>
  <c r="C59" i="7"/>
  <c r="C177" i="7"/>
  <c r="C170" i="7"/>
  <c r="C106" i="7"/>
  <c r="C42" i="7"/>
  <c r="C192" i="7"/>
  <c r="C128" i="7"/>
  <c r="C64" i="7"/>
  <c r="C169" i="7"/>
  <c r="C159" i="7"/>
  <c r="C95" i="7"/>
  <c r="C31" i="7"/>
  <c r="C198" i="7"/>
  <c r="C134" i="7"/>
  <c r="C70" i="7"/>
  <c r="C6" i="7"/>
  <c r="C173" i="7"/>
  <c r="C109" i="7"/>
  <c r="C45" i="7"/>
  <c r="C89" i="7"/>
  <c r="C148" i="7"/>
  <c r="C84" i="7"/>
  <c r="C20" i="7"/>
  <c r="C179" i="7"/>
  <c r="C115" i="7"/>
  <c r="C51" i="7"/>
  <c r="C121" i="7"/>
  <c r="C162" i="7"/>
  <c r="C98" i="7"/>
  <c r="C34" i="7"/>
  <c r="C184" i="7"/>
  <c r="C120" i="7"/>
  <c r="C56" i="7"/>
  <c r="C113" i="7"/>
  <c r="C151" i="7"/>
  <c r="C87" i="7"/>
  <c r="C23" i="7"/>
  <c r="C190" i="7"/>
  <c r="C126" i="7"/>
  <c r="C62" i="7"/>
  <c r="C193" i="7"/>
  <c r="C165" i="7"/>
  <c r="C101" i="7"/>
  <c r="C37" i="7"/>
  <c r="C49" i="7"/>
  <c r="C140" i="7"/>
  <c r="C76" i="7"/>
  <c r="C12" i="7"/>
  <c r="C171" i="7"/>
  <c r="C107" i="7"/>
  <c r="C43" i="7"/>
  <c r="C65" i="7"/>
  <c r="C154" i="7"/>
  <c r="C90" i="7"/>
  <c r="C26" i="7"/>
  <c r="C176" i="7"/>
  <c r="C112" i="7"/>
  <c r="C48" i="7"/>
  <c r="C25" i="7"/>
  <c r="C143" i="7"/>
  <c r="C79" i="7"/>
  <c r="C15" i="7"/>
  <c r="C182" i="7"/>
  <c r="C118" i="7"/>
  <c r="C54" i="7"/>
  <c r="C129" i="7"/>
  <c r="C157" i="7"/>
  <c r="C93" i="7"/>
  <c r="C29" i="7"/>
  <c r="C196" i="7"/>
  <c r="C132" i="7"/>
  <c r="C68" i="7"/>
  <c r="C4" i="7"/>
  <c r="C163" i="7"/>
  <c r="C99" i="7"/>
  <c r="C35" i="7"/>
  <c r="C57" i="7"/>
  <c r="C146" i="7"/>
  <c r="C82" i="7"/>
  <c r="C18" i="7"/>
  <c r="C84" i="10"/>
  <c r="E84" i="10" s="1"/>
  <c r="C168" i="7"/>
  <c r="C104" i="7"/>
  <c r="C40" i="7"/>
  <c r="C199" i="7"/>
  <c r="C135" i="7"/>
  <c r="C71" i="7"/>
  <c r="C7" i="7"/>
  <c r="C174" i="7"/>
  <c r="C110" i="7"/>
  <c r="C46" i="7"/>
  <c r="C73" i="7"/>
  <c r="C149" i="7"/>
  <c r="C85" i="7"/>
  <c r="C21" i="7"/>
  <c r="C188" i="7"/>
  <c r="C124" i="7"/>
  <c r="C60" i="7"/>
  <c r="C153" i="7"/>
  <c r="C155" i="7"/>
  <c r="C91" i="7"/>
  <c r="C27" i="7"/>
  <c r="C202" i="7"/>
  <c r="C138" i="7"/>
  <c r="C74" i="7"/>
  <c r="C10" i="7"/>
  <c r="C34" i="10"/>
  <c r="E34" i="10" s="1"/>
  <c r="C353" i="10"/>
  <c r="E353" i="10" s="1"/>
  <c r="C347" i="10"/>
  <c r="E347" i="10" s="1"/>
  <c r="C161" i="7"/>
  <c r="C160" i="7"/>
  <c r="C96" i="7"/>
  <c r="C32" i="7"/>
  <c r="C191" i="7"/>
  <c r="C127" i="7"/>
  <c r="C63" i="7"/>
  <c r="C185" i="7"/>
  <c r="C166" i="7"/>
  <c r="C102" i="7"/>
  <c r="C38" i="7"/>
  <c r="C33" i="7"/>
  <c r="C141" i="7"/>
  <c r="C77" i="7"/>
  <c r="C13" i="7"/>
  <c r="C180" i="7"/>
  <c r="C116" i="7"/>
  <c r="C52" i="7"/>
  <c r="C97" i="7"/>
  <c r="C147" i="7"/>
  <c r="C83" i="7"/>
  <c r="C19" i="7"/>
  <c r="C194" i="7"/>
  <c r="C130" i="7"/>
  <c r="C66" i="7"/>
  <c r="C2" i="7"/>
  <c r="C105" i="7"/>
  <c r="C152" i="7"/>
  <c r="C88" i="7"/>
  <c r="C24" i="7"/>
  <c r="C183" i="7"/>
  <c r="C119" i="7"/>
  <c r="C55" i="7"/>
  <c r="C137" i="7"/>
  <c r="C158" i="7"/>
  <c r="C94" i="7"/>
  <c r="C30" i="7"/>
  <c r="C197" i="7"/>
  <c r="C133" i="7"/>
  <c r="C69" i="7"/>
  <c r="C5" i="7"/>
  <c r="C172" i="7"/>
  <c r="C108" i="7"/>
  <c r="C44" i="7"/>
  <c r="C41" i="7"/>
  <c r="C139" i="7"/>
  <c r="C75" i="7"/>
  <c r="C11" i="7"/>
  <c r="C186" i="7"/>
  <c r="C122" i="7"/>
  <c r="C17" i="10"/>
  <c r="E17" i="10" s="1"/>
  <c r="C408" i="18"/>
  <c r="D408" i="18" s="1"/>
  <c r="C69" i="10"/>
  <c r="E69" i="10" s="1"/>
  <c r="C337" i="10"/>
  <c r="E337" i="10" s="1"/>
  <c r="C180" i="10"/>
  <c r="E180" i="10" s="1"/>
  <c r="C114" i="10"/>
  <c r="E114" i="10" s="1"/>
  <c r="C121" i="10"/>
  <c r="E121" i="10" s="1"/>
  <c r="C278" i="10"/>
  <c r="E278" i="10" s="1"/>
  <c r="C223" i="10"/>
  <c r="E223" i="10" s="1"/>
  <c r="C451" i="10"/>
  <c r="E451" i="10" s="1"/>
  <c r="C433" i="10"/>
  <c r="E433" i="10" s="1"/>
  <c r="C307" i="10"/>
  <c r="E307" i="10" s="1"/>
  <c r="C78" i="10"/>
  <c r="E78" i="10" s="1"/>
  <c r="C44" i="10"/>
  <c r="E44" i="10" s="1"/>
  <c r="C133" i="10"/>
  <c r="E133" i="10" s="1"/>
  <c r="C371" i="10"/>
  <c r="E371" i="10" s="1"/>
  <c r="C250" i="10"/>
  <c r="E250" i="10" s="1"/>
  <c r="C159" i="10"/>
  <c r="E159" i="10" s="1"/>
  <c r="C443" i="10"/>
  <c r="E443" i="10" s="1"/>
  <c r="C248" i="10"/>
  <c r="E248" i="10" s="1"/>
  <c r="C295" i="10"/>
  <c r="E295" i="10" s="1"/>
  <c r="C268" i="10"/>
  <c r="E268" i="10" s="1"/>
  <c r="C113" i="10"/>
  <c r="E113" i="10" s="1"/>
  <c r="C217" i="10"/>
  <c r="E217" i="10" s="1"/>
  <c r="C38" i="10"/>
  <c r="E38" i="10" s="1"/>
  <c r="C455" i="10"/>
  <c r="E455" i="10" s="1"/>
  <c r="C341" i="10"/>
  <c r="E341" i="10" s="1"/>
  <c r="C332" i="10"/>
  <c r="E332" i="10" s="1"/>
  <c r="C253" i="10"/>
  <c r="E253" i="10" s="1"/>
  <c r="C221" i="10"/>
  <c r="E221" i="10" s="1"/>
  <c r="C236" i="10"/>
  <c r="E236" i="10" s="1"/>
  <c r="C100" i="10"/>
  <c r="E100" i="10" s="1"/>
  <c r="C459" i="10"/>
  <c r="E459" i="10" s="1"/>
  <c r="C315" i="10"/>
  <c r="E315" i="10" s="1"/>
  <c r="C363" i="10"/>
  <c r="E363" i="10" s="1"/>
  <c r="C246" i="10"/>
  <c r="E246" i="10" s="1"/>
  <c r="C106" i="10"/>
  <c r="E106" i="10" s="1"/>
  <c r="C375" i="10"/>
  <c r="E375" i="10" s="1"/>
  <c r="C380" i="10"/>
  <c r="E380" i="10" s="1"/>
  <c r="C82" i="10"/>
  <c r="E82" i="10" s="1"/>
  <c r="C192" i="10"/>
  <c r="E192" i="10" s="1"/>
  <c r="C107" i="10"/>
  <c r="E107" i="10" s="1"/>
  <c r="C245" i="10"/>
  <c r="E245" i="10" s="1"/>
  <c r="C304" i="10"/>
  <c r="E304" i="10" s="1"/>
  <c r="C261" i="10"/>
  <c r="E261" i="10" s="1"/>
  <c r="C247" i="10"/>
  <c r="E247" i="10" s="1"/>
  <c r="C50" i="10"/>
  <c r="E50" i="10" s="1"/>
  <c r="C447" i="10"/>
  <c r="E447" i="10" s="1"/>
  <c r="C158" i="10"/>
  <c r="E158" i="10" s="1"/>
  <c r="C395" i="10"/>
  <c r="E395" i="10" s="1"/>
  <c r="C285" i="10"/>
  <c r="E285" i="10" s="1"/>
  <c r="C458" i="10"/>
  <c r="E458" i="10" s="1"/>
  <c r="C138" i="10"/>
  <c r="E138" i="10" s="1"/>
  <c r="C269" i="10"/>
  <c r="E269" i="10" s="1"/>
  <c r="C257" i="10"/>
  <c r="E257" i="10" s="1"/>
  <c r="C260" i="10"/>
  <c r="E260" i="10" s="1"/>
  <c r="C20" i="10"/>
  <c r="E20" i="10" s="1"/>
  <c r="C152" i="10"/>
  <c r="E152" i="10" s="1"/>
  <c r="C415" i="10"/>
  <c r="E415" i="10" s="1"/>
  <c r="C470" i="10"/>
  <c r="E470" i="10" s="1"/>
  <c r="C101" i="10"/>
  <c r="E101" i="10" s="1"/>
  <c r="C463" i="10"/>
  <c r="E463" i="10" s="1"/>
  <c r="C120" i="10"/>
  <c r="E120" i="10" s="1"/>
  <c r="C151" i="10"/>
  <c r="E151" i="10" s="1"/>
  <c r="C150" i="10"/>
  <c r="E150" i="10" s="1"/>
  <c r="C409" i="18"/>
  <c r="C317" i="10"/>
  <c r="E317" i="10" s="1"/>
  <c r="C63" i="10"/>
  <c r="E63" i="10" s="1"/>
  <c r="C132" i="10"/>
  <c r="E132" i="10" s="1"/>
  <c r="C153" i="10"/>
  <c r="E153" i="10" s="1"/>
  <c r="C216" i="10"/>
  <c r="E216" i="10" s="1"/>
  <c r="C7" i="10"/>
  <c r="C392" i="10"/>
  <c r="E392" i="10" s="1"/>
  <c r="C358" i="10"/>
  <c r="E358" i="10" s="1"/>
  <c r="C135" i="10"/>
  <c r="E135" i="10" s="1"/>
  <c r="C127" i="10"/>
  <c r="E127" i="10" s="1"/>
  <c r="C75" i="10"/>
  <c r="E75" i="10" s="1"/>
  <c r="C404" i="10"/>
  <c r="E404" i="10" s="1"/>
  <c r="C328" i="10"/>
  <c r="E328" i="10" s="1"/>
  <c r="C166" i="10"/>
  <c r="E166" i="10" s="1"/>
  <c r="C73" i="10"/>
  <c r="E73" i="10" s="1"/>
  <c r="C103" i="10"/>
  <c r="E103" i="10" s="1"/>
  <c r="C233" i="10"/>
  <c r="E233" i="10" s="1"/>
  <c r="C405" i="18"/>
  <c r="C406" i="10"/>
  <c r="E406" i="10" s="1"/>
  <c r="C227" i="10"/>
  <c r="E227" i="10" s="1"/>
  <c r="C434" i="10"/>
  <c r="E434" i="10" s="1"/>
  <c r="C314" i="10"/>
  <c r="E314" i="10" s="1"/>
  <c r="C313" i="10"/>
  <c r="E313" i="10" s="1"/>
  <c r="C183" i="10"/>
  <c r="E183" i="10" s="1"/>
  <c r="C49" i="10"/>
  <c r="E49" i="10" s="1"/>
  <c r="C344" i="10"/>
  <c r="E344" i="10" s="1"/>
  <c r="C99" i="10"/>
  <c r="E99" i="10" s="1"/>
  <c r="C262" i="10"/>
  <c r="E262" i="10" s="1"/>
  <c r="C204" i="10"/>
  <c r="E204" i="10" s="1"/>
  <c r="C391" i="10"/>
  <c r="E391" i="10" s="1"/>
  <c r="C210" i="10"/>
  <c r="E210" i="10" s="1"/>
  <c r="C370" i="10"/>
  <c r="E370" i="10" s="1"/>
  <c r="C14" i="10"/>
  <c r="E14" i="10" s="1"/>
  <c r="C427" i="10"/>
  <c r="E427" i="10" s="1"/>
  <c r="C350" i="10"/>
  <c r="E350" i="10" s="1"/>
  <c r="C428" i="10"/>
  <c r="E428" i="10" s="1"/>
  <c r="C111" i="10"/>
  <c r="E111" i="10" s="1"/>
  <c r="C191" i="10"/>
  <c r="E191" i="10" s="1"/>
  <c r="C355" i="10"/>
  <c r="E355" i="10" s="1"/>
  <c r="C390" i="10"/>
  <c r="E390" i="10" s="1"/>
  <c r="C157" i="10"/>
  <c r="E157" i="10" s="1"/>
  <c r="C190" i="10"/>
  <c r="E190" i="10" s="1"/>
  <c r="C93" i="10"/>
  <c r="C496" i="10"/>
  <c r="E496" i="10" s="1"/>
  <c r="C231" i="10"/>
  <c r="E231" i="10" s="1"/>
  <c r="C381" i="10"/>
  <c r="E381" i="10" s="1"/>
  <c r="C404" i="18"/>
  <c r="D404" i="18" s="1"/>
  <c r="C330" i="10"/>
  <c r="E330" i="10" s="1"/>
  <c r="C275" i="10"/>
  <c r="E275" i="10" s="1"/>
  <c r="C406" i="18"/>
  <c r="C338" i="10"/>
  <c r="E338" i="10" s="1"/>
  <c r="C291" i="10"/>
  <c r="E291" i="10" s="1"/>
  <c r="C445" i="10"/>
  <c r="E445" i="10" s="1"/>
  <c r="C308" i="10"/>
  <c r="E308" i="10" s="1"/>
  <c r="C398" i="10"/>
  <c r="E398" i="10" s="1"/>
  <c r="C480" i="10"/>
  <c r="E480" i="10" s="1"/>
  <c r="C62" i="10"/>
  <c r="E62" i="10" s="1"/>
  <c r="C272" i="10"/>
  <c r="E272" i="10" s="1"/>
  <c r="C494" i="10"/>
  <c r="E494" i="10" s="1"/>
  <c r="C230" i="10"/>
  <c r="E230" i="10" s="1"/>
  <c r="C35" i="10"/>
  <c r="E35" i="10" s="1"/>
  <c r="C85" i="10"/>
  <c r="E85" i="10" s="1"/>
  <c r="C74" i="10"/>
  <c r="E74" i="10" s="1"/>
  <c r="C219" i="10"/>
  <c r="E219" i="10" s="1"/>
  <c r="C417" i="10"/>
  <c r="E417" i="10" s="1"/>
  <c r="C351" i="10"/>
  <c r="E351" i="10" s="1"/>
  <c r="C497" i="10"/>
  <c r="E497" i="10" s="1"/>
  <c r="C3799" i="18"/>
  <c r="D3799" i="18" s="1"/>
  <c r="C3796" i="18"/>
  <c r="D3796" i="18" s="1"/>
  <c r="C3795" i="18"/>
  <c r="D3795" i="18" s="1"/>
  <c r="C3794" i="18"/>
  <c r="D3794" i="18" s="1"/>
  <c r="C3797" i="18"/>
  <c r="D3797" i="18" s="1"/>
  <c r="C3798" i="18"/>
  <c r="D3798" i="18" s="1"/>
  <c r="C188" i="10"/>
  <c r="E188" i="10" s="1"/>
  <c r="C286" i="10"/>
  <c r="E286" i="10" s="1"/>
  <c r="C4005" i="18"/>
  <c r="D4005" i="18" s="1"/>
  <c r="C4007" i="18"/>
  <c r="D4007" i="18" s="1"/>
  <c r="C4008" i="18"/>
  <c r="D4008" i="18" s="1"/>
  <c r="C4006" i="18"/>
  <c r="D4006" i="18" s="1"/>
  <c r="C4009" i="18"/>
  <c r="D4009" i="18" s="1"/>
  <c r="C4004" i="18"/>
  <c r="D4004" i="18" s="1"/>
  <c r="C476" i="10"/>
  <c r="E476" i="10" s="1"/>
  <c r="C422" i="10"/>
  <c r="E422" i="10" s="1"/>
  <c r="C31" i="10"/>
  <c r="E31" i="10" s="1"/>
  <c r="C4172" i="18"/>
  <c r="D4172" i="18" s="1"/>
  <c r="C407" i="10"/>
  <c r="E407" i="10" s="1"/>
  <c r="C4173" i="18"/>
  <c r="D4173" i="18" s="1"/>
  <c r="C4176" i="18"/>
  <c r="D4176" i="18" s="1"/>
  <c r="C4175" i="18"/>
  <c r="D4175" i="18" s="1"/>
  <c r="C4177" i="18"/>
  <c r="D4177" i="18" s="1"/>
  <c r="C4174" i="18"/>
  <c r="D4174" i="18" s="1"/>
  <c r="D406" i="18" l="1"/>
  <c r="D405" i="18"/>
  <c r="C50" i="13" s="1"/>
  <c r="D409" i="18"/>
  <c r="E93" i="10"/>
  <c r="E7" i="10"/>
  <c r="C440" i="19" l="1"/>
  <c r="D440" i="19" s="1"/>
  <c r="C437" i="19"/>
  <c r="D437" i="19" s="1"/>
  <c r="C436" i="19"/>
  <c r="D436" i="19" s="1"/>
  <c r="C439" i="19"/>
  <c r="D439" i="19" s="1"/>
  <c r="C435" i="19"/>
  <c r="D435" i="19" s="1"/>
  <c r="C438" i="19"/>
  <c r="D438" i="19" s="1"/>
  <c r="C442" i="19"/>
  <c r="D442" i="19" s="1"/>
  <c r="C441" i="19"/>
  <c r="D441" i="19" s="1"/>
  <c r="C434" i="19"/>
  <c r="C178" i="13"/>
  <c r="C161" i="13"/>
  <c r="C55" i="13"/>
  <c r="C122" i="13"/>
  <c r="C164" i="13"/>
  <c r="C145" i="13"/>
  <c r="C2" i="13"/>
  <c r="C44" i="13"/>
  <c r="C102" i="13"/>
  <c r="C160" i="13"/>
  <c r="C155" i="13"/>
  <c r="C81" i="13"/>
  <c r="C40" i="13"/>
  <c r="C99" i="13"/>
  <c r="C157" i="13"/>
  <c r="C97" i="13"/>
  <c r="C43" i="13"/>
  <c r="C101" i="13"/>
  <c r="C159" i="13"/>
  <c r="C129" i="13"/>
  <c r="C45" i="13"/>
  <c r="C103" i="13"/>
  <c r="C170" i="13"/>
  <c r="C113" i="13"/>
  <c r="C47" i="13"/>
  <c r="C3" i="13"/>
  <c r="C61" i="13"/>
  <c r="C119" i="13"/>
  <c r="C186" i="13"/>
  <c r="C5" i="13"/>
  <c r="C63" i="13"/>
  <c r="C66" i="13"/>
  <c r="C108" i="13"/>
  <c r="C166" i="13"/>
  <c r="C169" i="13"/>
  <c r="C121" i="13"/>
  <c r="C46" i="13"/>
  <c r="C104" i="13"/>
  <c r="C163" i="13"/>
  <c r="C137" i="13"/>
  <c r="C48" i="13"/>
  <c r="C107" i="13"/>
  <c r="C165" i="13"/>
  <c r="C153" i="13"/>
  <c r="C51" i="13"/>
  <c r="C109" i="13"/>
  <c r="C167" i="13"/>
  <c r="C185" i="13"/>
  <c r="C53" i="13"/>
  <c r="C111" i="13"/>
  <c r="C67" i="13"/>
  <c r="C125" i="13"/>
  <c r="C183" i="13"/>
  <c r="C11" i="13"/>
  <c r="C69" i="13"/>
  <c r="C127" i="13"/>
  <c r="C130" i="13"/>
  <c r="C172" i="13"/>
  <c r="C7" i="13"/>
  <c r="C10" i="13"/>
  <c r="C52" i="13"/>
  <c r="C110" i="13"/>
  <c r="C168" i="13"/>
  <c r="C177" i="13"/>
  <c r="C54" i="13"/>
  <c r="C112" i="13"/>
  <c r="C171" i="13"/>
  <c r="C193" i="13"/>
  <c r="C56" i="13"/>
  <c r="C115" i="13"/>
  <c r="C173" i="13"/>
  <c r="C201" i="13"/>
  <c r="C59" i="13"/>
  <c r="C117" i="13"/>
  <c r="C175" i="13"/>
  <c r="C131" i="13"/>
  <c r="C189" i="13"/>
  <c r="C16" i="13"/>
  <c r="C75" i="13"/>
  <c r="C133" i="13"/>
  <c r="C191" i="13"/>
  <c r="C194" i="13"/>
  <c r="C13" i="13"/>
  <c r="C71" i="13"/>
  <c r="C74" i="13"/>
  <c r="C116" i="13"/>
  <c r="C174" i="13"/>
  <c r="C18" i="13"/>
  <c r="C60" i="13"/>
  <c r="C118" i="13"/>
  <c r="C176" i="13"/>
  <c r="C4" i="13"/>
  <c r="C62" i="13"/>
  <c r="C120" i="13"/>
  <c r="C179" i="13"/>
  <c r="C6" i="13"/>
  <c r="C64" i="13"/>
  <c r="C123" i="13"/>
  <c r="C181" i="13"/>
  <c r="C8" i="13"/>
  <c r="C195" i="13"/>
  <c r="C22" i="13"/>
  <c r="C80" i="13"/>
  <c r="C139" i="13"/>
  <c r="C197" i="13"/>
  <c r="C24" i="13"/>
  <c r="C19" i="13"/>
  <c r="C155" i="19" s="1"/>
  <c r="C77" i="13"/>
  <c r="C135" i="13"/>
  <c r="C138" i="13"/>
  <c r="C180" i="13"/>
  <c r="C15" i="13"/>
  <c r="C82" i="13"/>
  <c r="C124" i="13"/>
  <c r="C182" i="13"/>
  <c r="C26" i="13"/>
  <c r="C68" i="13"/>
  <c r="C126" i="13"/>
  <c r="C184" i="13"/>
  <c r="C12" i="13"/>
  <c r="C70" i="13"/>
  <c r="C128" i="13"/>
  <c r="C187" i="13"/>
  <c r="C14" i="13"/>
  <c r="C72" i="13"/>
  <c r="C28" i="13"/>
  <c r="C86" i="13"/>
  <c r="C144" i="13"/>
  <c r="C49" i="13"/>
  <c r="C30" i="13"/>
  <c r="C88" i="13"/>
  <c r="C83" i="13"/>
  <c r="C141" i="13"/>
  <c r="C199" i="13"/>
  <c r="C202" i="13"/>
  <c r="C21" i="13"/>
  <c r="C79" i="13"/>
  <c r="C146" i="13"/>
  <c r="C188" i="13"/>
  <c r="C23" i="13"/>
  <c r="C198" i="19" s="1"/>
  <c r="D198" i="19" s="1"/>
  <c r="C90" i="13"/>
  <c r="C132" i="13"/>
  <c r="C190" i="13"/>
  <c r="C34" i="13"/>
  <c r="C76" i="13"/>
  <c r="C134" i="13"/>
  <c r="C192" i="13"/>
  <c r="C20" i="13"/>
  <c r="C78" i="13"/>
  <c r="C136" i="13"/>
  <c r="C92" i="13"/>
  <c r="C150" i="13"/>
  <c r="C9" i="13"/>
  <c r="C36" i="13"/>
  <c r="C94" i="13"/>
  <c r="C152" i="13"/>
  <c r="C147" i="13"/>
  <c r="C33" i="13"/>
  <c r="C32" i="13"/>
  <c r="C27" i="13"/>
  <c r="C85" i="13"/>
  <c r="C143" i="13"/>
  <c r="C57" i="13"/>
  <c r="C29" i="13"/>
  <c r="C87" i="13"/>
  <c r="C154" i="13"/>
  <c r="C1378" i="19" s="1"/>
  <c r="D1378" i="19" s="1"/>
  <c r="C196" i="13"/>
  <c r="C31" i="13"/>
  <c r="C98" i="13"/>
  <c r="C140" i="13"/>
  <c r="C198" i="13"/>
  <c r="C42" i="13"/>
  <c r="C84" i="13"/>
  <c r="C142" i="13"/>
  <c r="C200" i="13"/>
  <c r="C114" i="13"/>
  <c r="C156" i="13"/>
  <c r="C89" i="13"/>
  <c r="C58" i="13"/>
  <c r="C100" i="13"/>
  <c r="C158" i="13"/>
  <c r="C105" i="13"/>
  <c r="C65" i="13"/>
  <c r="C38" i="13"/>
  <c r="C96" i="13"/>
  <c r="C91" i="13"/>
  <c r="C149" i="13"/>
  <c r="C17" i="13"/>
  <c r="C35" i="13"/>
  <c r="C93" i="13"/>
  <c r="C151" i="13"/>
  <c r="C73" i="13"/>
  <c r="C37" i="13"/>
  <c r="C95" i="13"/>
  <c r="C162" i="13"/>
  <c r="C41" i="13"/>
  <c r="C39" i="13"/>
  <c r="C106" i="13"/>
  <c r="C148" i="13"/>
  <c r="C25" i="13"/>
  <c r="C533" i="19"/>
  <c r="C537" i="19"/>
  <c r="D537" i="19" s="1"/>
  <c r="C539" i="19"/>
  <c r="D539" i="19" s="1"/>
  <c r="C541" i="19"/>
  <c r="D541" i="19" s="1"/>
  <c r="C534" i="19"/>
  <c r="D534" i="19" s="1"/>
  <c r="C536" i="19"/>
  <c r="D536" i="19" s="1"/>
  <c r="C540" i="19"/>
  <c r="D540" i="19" s="1"/>
  <c r="C538" i="19"/>
  <c r="D538" i="19" s="1"/>
  <c r="C535" i="19"/>
  <c r="D535" i="19" s="1"/>
  <c r="C107" i="19"/>
  <c r="D107" i="19" s="1"/>
  <c r="C108" i="19"/>
  <c r="D108" i="19" s="1"/>
  <c r="C104" i="19"/>
  <c r="D104" i="19" s="1"/>
  <c r="C103" i="19"/>
  <c r="D103" i="19" s="1"/>
  <c r="C102" i="19"/>
  <c r="D102" i="19" s="1"/>
  <c r="C105" i="19"/>
  <c r="D105" i="19" s="1"/>
  <c r="C101" i="19"/>
  <c r="C106" i="19"/>
  <c r="D106" i="19" s="1"/>
  <c r="C109" i="19"/>
  <c r="D109" i="19" s="1"/>
  <c r="C24" i="6"/>
  <c r="C13" i="6"/>
  <c r="C8" i="6"/>
  <c r="C2" i="6"/>
  <c r="C4" i="6"/>
  <c r="C21" i="6"/>
  <c r="C7" i="6"/>
  <c r="C18" i="6"/>
  <c r="C12" i="6"/>
  <c r="C29" i="6"/>
  <c r="C15" i="6"/>
  <c r="C3" i="6"/>
  <c r="C20" i="6"/>
  <c r="C16" i="6"/>
  <c r="C9" i="6"/>
  <c r="C11" i="6"/>
  <c r="C28" i="6"/>
  <c r="C6" i="6"/>
  <c r="C17" i="6"/>
  <c r="C19" i="6"/>
  <c r="C31" i="6"/>
  <c r="C14" i="6"/>
  <c r="C25" i="6"/>
  <c r="C27" i="6"/>
  <c r="C32" i="6"/>
  <c r="C22" i="6"/>
  <c r="C10" i="6"/>
  <c r="C23" i="6"/>
  <c r="C5" i="6"/>
  <c r="C30" i="6"/>
  <c r="C26" i="6"/>
  <c r="C398" i="19"/>
  <c r="C404" i="19"/>
  <c r="D404" i="19" s="1"/>
  <c r="C402" i="19"/>
  <c r="D402" i="19" s="1"/>
  <c r="C400" i="19"/>
  <c r="D400" i="19" s="1"/>
  <c r="C405" i="19"/>
  <c r="D405" i="19" s="1"/>
  <c r="C403" i="19"/>
  <c r="D403" i="19" s="1"/>
  <c r="C399" i="19"/>
  <c r="D399" i="19" s="1"/>
  <c r="C401" i="19"/>
  <c r="D401" i="19" s="1"/>
  <c r="C406" i="19"/>
  <c r="D406" i="19" s="1"/>
  <c r="C593" i="19"/>
  <c r="D593" i="19" s="1"/>
  <c r="C592" i="19"/>
  <c r="D592" i="19" s="1"/>
  <c r="C590" i="19"/>
  <c r="D590" i="19" s="1"/>
  <c r="C587" i="19"/>
  <c r="C589" i="19"/>
  <c r="D589" i="19" s="1"/>
  <c r="C594" i="19"/>
  <c r="D594" i="19" s="1"/>
  <c r="C591" i="19"/>
  <c r="D591" i="19" s="1"/>
  <c r="C196" i="19" l="1"/>
  <c r="D196" i="19" s="1"/>
  <c r="C197" i="19"/>
  <c r="D197" i="19" s="1"/>
  <c r="C1376" i="19"/>
  <c r="D1376" i="19" s="1"/>
  <c r="C192" i="19"/>
  <c r="D192" i="19" s="1"/>
  <c r="C194" i="19"/>
  <c r="D194" i="19" s="1"/>
  <c r="C191" i="19"/>
  <c r="D191" i="19" s="1"/>
  <c r="C193" i="19"/>
  <c r="D193" i="19" s="1"/>
  <c r="C199" i="19"/>
  <c r="D199" i="19" s="1"/>
  <c r="C195" i="19"/>
  <c r="D195" i="19" s="1"/>
  <c r="C1374" i="19"/>
  <c r="D1374" i="19" s="1"/>
  <c r="C1370" i="19"/>
  <c r="D1370" i="19" s="1"/>
  <c r="C1372" i="19"/>
  <c r="D1372" i="19" s="1"/>
  <c r="C1371" i="19"/>
  <c r="D1371" i="19" s="1"/>
  <c r="C1373" i="19"/>
  <c r="D1373" i="19" s="1"/>
  <c r="C1375" i="19"/>
  <c r="D1375" i="19" s="1"/>
  <c r="C156" i="19"/>
  <c r="D156" i="19" s="1"/>
  <c r="C1377" i="19"/>
  <c r="D1377" i="19" s="1"/>
  <c r="D587" i="19"/>
  <c r="D398" i="19"/>
  <c r="D101" i="19"/>
  <c r="D533" i="19"/>
  <c r="D155" i="19"/>
  <c r="D434" i="19"/>
  <c r="C1317" i="19"/>
  <c r="D1317" i="19" s="1"/>
  <c r="C1319" i="19"/>
  <c r="D1319" i="19" s="1"/>
  <c r="C1318" i="19"/>
  <c r="D1318" i="19" s="1"/>
  <c r="C1324" i="19"/>
  <c r="D1324" i="19" s="1"/>
  <c r="C1316" i="19"/>
  <c r="D1316" i="19" s="1"/>
  <c r="C1322" i="19"/>
  <c r="D1322" i="19" s="1"/>
  <c r="C1323" i="19"/>
  <c r="D1323" i="19" s="1"/>
  <c r="C1321" i="19"/>
  <c r="D1321" i="19" s="1"/>
  <c r="C1320" i="19"/>
  <c r="D1320" i="19" s="1"/>
  <c r="C1344" i="19"/>
  <c r="D1344" i="19" s="1"/>
  <c r="C1345" i="19"/>
  <c r="D1345" i="19" s="1"/>
  <c r="C1346" i="19"/>
  <c r="D1346" i="19" s="1"/>
  <c r="C1347" i="19"/>
  <c r="D1347" i="19" s="1"/>
  <c r="C1348" i="19"/>
  <c r="D1348" i="19" s="1"/>
  <c r="C1350" i="19"/>
  <c r="D1350" i="19" s="1"/>
  <c r="C1349" i="19"/>
  <c r="D1349" i="19" s="1"/>
  <c r="C1351" i="19"/>
  <c r="D1351" i="19" s="1"/>
  <c r="C1343" i="19"/>
  <c r="D1343" i="19" s="1"/>
  <c r="C569" i="19"/>
  <c r="C575" i="19"/>
  <c r="D575" i="19" s="1"/>
  <c r="C577" i="19"/>
  <c r="D577" i="19" s="1"/>
  <c r="C576" i="19"/>
  <c r="D576" i="19" s="1"/>
  <c r="C574" i="19"/>
  <c r="D574" i="19" s="1"/>
  <c r="C572" i="19"/>
  <c r="D572" i="19" s="1"/>
  <c r="C571" i="19"/>
  <c r="D571" i="19" s="1"/>
  <c r="C573" i="19"/>
  <c r="D573" i="19" s="1"/>
  <c r="C570" i="19"/>
  <c r="D570" i="19" s="1"/>
  <c r="C1790" i="19"/>
  <c r="D1790" i="19" s="1"/>
  <c r="C1788" i="19"/>
  <c r="D1788" i="19" s="1"/>
  <c r="C1786" i="19"/>
  <c r="D1786" i="19" s="1"/>
  <c r="C1785" i="19"/>
  <c r="D1785" i="19" s="1"/>
  <c r="C1789" i="19"/>
  <c r="D1789" i="19" s="1"/>
  <c r="C1791" i="19"/>
  <c r="D1791" i="19" s="1"/>
  <c r="C1792" i="19"/>
  <c r="D1792" i="19" s="1"/>
  <c r="C1784" i="19"/>
  <c r="D1784" i="19" s="1"/>
  <c r="C1787" i="19"/>
  <c r="D1787" i="19" s="1"/>
  <c r="C1751" i="19"/>
  <c r="D1751" i="19" s="1"/>
  <c r="C1749" i="19"/>
  <c r="D1749" i="19" s="1"/>
  <c r="C1756" i="19"/>
  <c r="D1756" i="19" s="1"/>
  <c r="C1748" i="19"/>
  <c r="D1748" i="19" s="1"/>
  <c r="C1750" i="19"/>
  <c r="D1750" i="19" s="1"/>
  <c r="C1753" i="19"/>
  <c r="D1753" i="19" s="1"/>
  <c r="C1754" i="19"/>
  <c r="D1754" i="19" s="1"/>
  <c r="C1755" i="19"/>
  <c r="D1755" i="19" s="1"/>
  <c r="C1752" i="19"/>
  <c r="D1752" i="19" s="1"/>
  <c r="C273" i="19"/>
  <c r="D273" i="19" s="1"/>
  <c r="C274" i="19"/>
  <c r="D274" i="19" s="1"/>
  <c r="C275" i="19"/>
  <c r="D275" i="19" s="1"/>
  <c r="C280" i="19"/>
  <c r="D280" i="19" s="1"/>
  <c r="C276" i="19"/>
  <c r="D276" i="19" s="1"/>
  <c r="C272" i="19"/>
  <c r="C279" i="19"/>
  <c r="D279" i="19" s="1"/>
  <c r="C278" i="19"/>
  <c r="D278" i="19" s="1"/>
  <c r="C277" i="19"/>
  <c r="D277" i="19" s="1"/>
  <c r="C819" i="19"/>
  <c r="D819" i="19" s="1"/>
  <c r="C814" i="19"/>
  <c r="D814" i="19" s="1"/>
  <c r="C813" i="19"/>
  <c r="D813" i="19" s="1"/>
  <c r="C817" i="19"/>
  <c r="D817" i="19" s="1"/>
  <c r="C816" i="19"/>
  <c r="D816" i="19" s="1"/>
  <c r="C812" i="19"/>
  <c r="C820" i="19"/>
  <c r="D820" i="19" s="1"/>
  <c r="C815" i="19"/>
  <c r="D815" i="19" s="1"/>
  <c r="C818" i="19"/>
  <c r="D818" i="19" s="1"/>
  <c r="C1695" i="19"/>
  <c r="D1695" i="19" s="1"/>
  <c r="C1700" i="19"/>
  <c r="D1700" i="19" s="1"/>
  <c r="C1694" i="19"/>
  <c r="D1694" i="19" s="1"/>
  <c r="C1702" i="19"/>
  <c r="D1702" i="19" s="1"/>
  <c r="C1697" i="19"/>
  <c r="D1697" i="19" s="1"/>
  <c r="C1701" i="19"/>
  <c r="D1701" i="19" s="1"/>
  <c r="C1698" i="19"/>
  <c r="D1698" i="19" s="1"/>
  <c r="C1696" i="19"/>
  <c r="D1696" i="19" s="1"/>
  <c r="C1699" i="19"/>
  <c r="D1699" i="19" s="1"/>
  <c r="C1809" i="19"/>
  <c r="D1809" i="19" s="1"/>
  <c r="C1806" i="19"/>
  <c r="D1806" i="19" s="1"/>
  <c r="C1804" i="19"/>
  <c r="D1804" i="19" s="1"/>
  <c r="C1807" i="19"/>
  <c r="D1807" i="19" s="1"/>
  <c r="C1808" i="19"/>
  <c r="D1808" i="19" s="1"/>
  <c r="C1802" i="19"/>
  <c r="D1802" i="19" s="1"/>
  <c r="C1803" i="19"/>
  <c r="D1803" i="19" s="1"/>
  <c r="C1805" i="19"/>
  <c r="D1805" i="19" s="1"/>
  <c r="C1810" i="19"/>
  <c r="D1810" i="19" s="1"/>
  <c r="C762" i="19"/>
  <c r="D762" i="19" s="1"/>
  <c r="C758" i="19"/>
  <c r="C765" i="19"/>
  <c r="D765" i="19" s="1"/>
  <c r="C763" i="19"/>
  <c r="D763" i="19" s="1"/>
  <c r="C761" i="19"/>
  <c r="D761" i="19" s="1"/>
  <c r="C759" i="19"/>
  <c r="D759" i="19" s="1"/>
  <c r="C760" i="19"/>
  <c r="D760" i="19" s="1"/>
  <c r="C766" i="19"/>
  <c r="D766" i="19" s="1"/>
  <c r="C764" i="19"/>
  <c r="D764" i="19" s="1"/>
  <c r="C1642" i="19"/>
  <c r="D1642" i="19" s="1"/>
  <c r="C1647" i="19"/>
  <c r="D1647" i="19" s="1"/>
  <c r="C1641" i="19"/>
  <c r="D1641" i="19" s="1"/>
  <c r="C1640" i="19"/>
  <c r="D1640" i="19" s="1"/>
  <c r="C1648" i="19"/>
  <c r="D1648" i="19" s="1"/>
  <c r="C1643" i="19"/>
  <c r="D1643" i="19" s="1"/>
  <c r="C1644" i="19"/>
  <c r="D1644" i="19" s="1"/>
  <c r="C1646" i="19"/>
  <c r="D1646" i="19" s="1"/>
  <c r="C1645" i="19"/>
  <c r="D1645" i="19" s="1"/>
  <c r="C1610" i="19"/>
  <c r="D1610" i="19" s="1"/>
  <c r="C1609" i="19"/>
  <c r="D1609" i="19" s="1"/>
  <c r="C1604" i="19"/>
  <c r="D1604" i="19" s="1"/>
  <c r="C1606" i="19"/>
  <c r="D1606" i="19" s="1"/>
  <c r="C1607" i="19"/>
  <c r="D1607" i="19" s="1"/>
  <c r="C1612" i="19"/>
  <c r="D1612" i="19" s="1"/>
  <c r="C1605" i="19"/>
  <c r="D1605" i="19" s="1"/>
  <c r="C1608" i="19"/>
  <c r="D1608" i="19" s="1"/>
  <c r="C1611" i="19"/>
  <c r="D1611" i="19" s="1"/>
  <c r="C711" i="19"/>
  <c r="D711" i="19" s="1"/>
  <c r="C708" i="19"/>
  <c r="D708" i="19" s="1"/>
  <c r="C704" i="19"/>
  <c r="C712" i="19"/>
  <c r="D712" i="19" s="1"/>
  <c r="C709" i="19"/>
  <c r="D709" i="19" s="1"/>
  <c r="C710" i="19"/>
  <c r="D710" i="19" s="1"/>
  <c r="C707" i="19"/>
  <c r="D707" i="19" s="1"/>
  <c r="C705" i="19"/>
  <c r="D705" i="19" s="1"/>
  <c r="C706" i="19"/>
  <c r="D706" i="19" s="1"/>
  <c r="C1596" i="19"/>
  <c r="D1596" i="19" s="1"/>
  <c r="C1600" i="19"/>
  <c r="D1600" i="19" s="1"/>
  <c r="C1599" i="19"/>
  <c r="D1599" i="19" s="1"/>
  <c r="C1595" i="19"/>
  <c r="D1595" i="19" s="1"/>
  <c r="C1602" i="19"/>
  <c r="D1602" i="19" s="1"/>
  <c r="C1601" i="19"/>
  <c r="D1601" i="19" s="1"/>
  <c r="C1603" i="19"/>
  <c r="D1603" i="19" s="1"/>
  <c r="C1598" i="19"/>
  <c r="D1598" i="19" s="1"/>
  <c r="C1597" i="19"/>
  <c r="D1597" i="19" s="1"/>
  <c r="C1558" i="19"/>
  <c r="D1558" i="19" s="1"/>
  <c r="C1553" i="19"/>
  <c r="D1553" i="19" s="1"/>
  <c r="C1551" i="19"/>
  <c r="D1551" i="19" s="1"/>
  <c r="C1554" i="19"/>
  <c r="D1554" i="19" s="1"/>
  <c r="C1552" i="19"/>
  <c r="D1552" i="19" s="1"/>
  <c r="C1550" i="19"/>
  <c r="D1550" i="19" s="1"/>
  <c r="C1557" i="19"/>
  <c r="D1557" i="19" s="1"/>
  <c r="C1555" i="19"/>
  <c r="D1555" i="19" s="1"/>
  <c r="C1556" i="19"/>
  <c r="D1556" i="19" s="1"/>
  <c r="C665" i="19"/>
  <c r="D665" i="19" s="1"/>
  <c r="C667" i="19"/>
  <c r="D667" i="19" s="1"/>
  <c r="C661" i="19"/>
  <c r="D661" i="19" s="1"/>
  <c r="C666" i="19"/>
  <c r="D666" i="19" s="1"/>
  <c r="C664" i="19"/>
  <c r="D664" i="19" s="1"/>
  <c r="C663" i="19"/>
  <c r="D663" i="19" s="1"/>
  <c r="C660" i="19"/>
  <c r="D660" i="19" s="1"/>
  <c r="C659" i="19"/>
  <c r="C662" i="19"/>
  <c r="D662" i="19" s="1"/>
  <c r="C1545" i="19"/>
  <c r="D1545" i="19" s="1"/>
  <c r="C1542" i="19"/>
  <c r="D1542" i="19" s="1"/>
  <c r="C1547" i="19"/>
  <c r="D1547" i="19" s="1"/>
  <c r="C1541" i="19"/>
  <c r="D1541" i="19" s="1"/>
  <c r="C1548" i="19"/>
  <c r="D1548" i="19" s="1"/>
  <c r="C1543" i="19"/>
  <c r="D1543" i="19" s="1"/>
  <c r="C1544" i="19"/>
  <c r="D1544" i="19" s="1"/>
  <c r="C1549" i="19"/>
  <c r="D1549" i="19" s="1"/>
  <c r="C1546" i="19"/>
  <c r="D1546" i="19" s="1"/>
  <c r="C1501" i="19"/>
  <c r="D1501" i="19" s="1"/>
  <c r="C1498" i="19"/>
  <c r="D1498" i="19" s="1"/>
  <c r="C1503" i="19"/>
  <c r="D1503" i="19" s="1"/>
  <c r="C1502" i="19"/>
  <c r="D1502" i="19" s="1"/>
  <c r="C1499" i="19"/>
  <c r="D1499" i="19" s="1"/>
  <c r="C1496" i="19"/>
  <c r="D1496" i="19" s="1"/>
  <c r="C1504" i="19"/>
  <c r="D1504" i="19" s="1"/>
  <c r="C1497" i="19"/>
  <c r="D1497" i="19" s="1"/>
  <c r="C1500" i="19"/>
  <c r="D1500" i="19" s="1"/>
  <c r="C605" i="19"/>
  <c r="C607" i="19"/>
  <c r="D607" i="19" s="1"/>
  <c r="C612" i="19"/>
  <c r="D612" i="19" s="1"/>
  <c r="C611" i="19"/>
  <c r="D611" i="19" s="1"/>
  <c r="C606" i="19"/>
  <c r="D606" i="19" s="1"/>
  <c r="C613" i="19"/>
  <c r="D613" i="19" s="1"/>
  <c r="C610" i="19"/>
  <c r="D610" i="19" s="1"/>
  <c r="C609" i="19"/>
  <c r="D609" i="19" s="1"/>
  <c r="C608" i="19"/>
  <c r="D608" i="19" s="1"/>
  <c r="C1487" i="19"/>
  <c r="D1487" i="19" s="1"/>
  <c r="C1491" i="19"/>
  <c r="D1491" i="19" s="1"/>
  <c r="C1490" i="19"/>
  <c r="D1490" i="19" s="1"/>
  <c r="C1494" i="19"/>
  <c r="D1494" i="19" s="1"/>
  <c r="C1492" i="19"/>
  <c r="D1492" i="19" s="1"/>
  <c r="C1489" i="19"/>
  <c r="D1489" i="19" s="1"/>
  <c r="C1493" i="19"/>
  <c r="D1493" i="19" s="1"/>
  <c r="C1495" i="19"/>
  <c r="D1495" i="19" s="1"/>
  <c r="C1488" i="19"/>
  <c r="D1488" i="19" s="1"/>
  <c r="C1454" i="19"/>
  <c r="D1454" i="19" s="1"/>
  <c r="C1457" i="19"/>
  <c r="D1457" i="19" s="1"/>
  <c r="C1456" i="19"/>
  <c r="D1456" i="19" s="1"/>
  <c r="C1455" i="19"/>
  <c r="D1455" i="19" s="1"/>
  <c r="C1452" i="19"/>
  <c r="D1452" i="19" s="1"/>
  <c r="C1453" i="19"/>
  <c r="D1453" i="19" s="1"/>
  <c r="C1451" i="19"/>
  <c r="D1451" i="19" s="1"/>
  <c r="C1459" i="19"/>
  <c r="D1459" i="19" s="1"/>
  <c r="C1458" i="19"/>
  <c r="D1458" i="19" s="1"/>
  <c r="C552" i="19"/>
  <c r="D552" i="19" s="1"/>
  <c r="C558" i="19"/>
  <c r="D558" i="19" s="1"/>
  <c r="C554" i="19"/>
  <c r="D554" i="19" s="1"/>
  <c r="C551" i="19"/>
  <c r="C556" i="19"/>
  <c r="D556" i="19" s="1"/>
  <c r="C553" i="19"/>
  <c r="D553" i="19" s="1"/>
  <c r="C559" i="19"/>
  <c r="D559" i="19" s="1"/>
  <c r="C555" i="19"/>
  <c r="D555" i="19" s="1"/>
  <c r="C557" i="19"/>
  <c r="D557" i="19" s="1"/>
  <c r="C1517" i="19"/>
  <c r="D1517" i="19" s="1"/>
  <c r="C1516" i="19"/>
  <c r="D1516" i="19" s="1"/>
  <c r="C1521" i="19"/>
  <c r="D1521" i="19" s="1"/>
  <c r="C1515" i="19"/>
  <c r="D1515" i="19" s="1"/>
  <c r="C1522" i="19"/>
  <c r="D1522" i="19" s="1"/>
  <c r="C1518" i="19"/>
  <c r="D1518" i="19" s="1"/>
  <c r="C1514" i="19"/>
  <c r="D1514" i="19" s="1"/>
  <c r="C1520" i="19"/>
  <c r="D1520" i="19" s="1"/>
  <c r="C1519" i="19"/>
  <c r="D1519" i="19" s="1"/>
  <c r="C1398" i="19"/>
  <c r="D1398" i="19" s="1"/>
  <c r="C1401" i="19"/>
  <c r="D1401" i="19" s="1"/>
  <c r="C1403" i="19"/>
  <c r="D1403" i="19" s="1"/>
  <c r="C1404" i="19"/>
  <c r="D1404" i="19" s="1"/>
  <c r="C1397" i="19"/>
  <c r="D1397" i="19" s="1"/>
  <c r="C1399" i="19"/>
  <c r="D1399" i="19" s="1"/>
  <c r="C1400" i="19"/>
  <c r="D1400" i="19" s="1"/>
  <c r="C1405" i="19"/>
  <c r="D1405" i="19" s="1"/>
  <c r="C1402" i="19"/>
  <c r="D1402" i="19" s="1"/>
  <c r="C6" i="19"/>
  <c r="D6" i="19" s="1"/>
  <c r="C5" i="19"/>
  <c r="D5" i="19" s="1"/>
  <c r="C4" i="19"/>
  <c r="D4" i="19" s="1"/>
  <c r="C8" i="19"/>
  <c r="D8" i="19" s="1"/>
  <c r="C3" i="19"/>
  <c r="D3" i="19" s="1"/>
  <c r="C9" i="19"/>
  <c r="D9" i="19" s="1"/>
  <c r="C10" i="19"/>
  <c r="D10" i="19" s="1"/>
  <c r="C2" i="19"/>
  <c r="C7" i="19"/>
  <c r="D7" i="19" s="1"/>
  <c r="C938" i="19"/>
  <c r="D938" i="19" s="1"/>
  <c r="C942" i="19"/>
  <c r="D942" i="19" s="1"/>
  <c r="C945" i="19"/>
  <c r="D945" i="19" s="1"/>
  <c r="C944" i="19"/>
  <c r="D944" i="19" s="1"/>
  <c r="C946" i="19"/>
  <c r="D946" i="19" s="1"/>
  <c r="C941" i="19"/>
  <c r="D941" i="19" s="1"/>
  <c r="C943" i="19"/>
  <c r="D943" i="19" s="1"/>
  <c r="C939" i="19"/>
  <c r="D939" i="19" s="1"/>
  <c r="C940" i="19"/>
  <c r="D940" i="19" s="1"/>
  <c r="C821" i="19"/>
  <c r="C828" i="19"/>
  <c r="D828" i="19" s="1"/>
  <c r="C824" i="19"/>
  <c r="D824" i="19" s="1"/>
  <c r="C827" i="19"/>
  <c r="D827" i="19" s="1"/>
  <c r="C822" i="19"/>
  <c r="D822" i="19" s="1"/>
  <c r="C829" i="19"/>
  <c r="D829" i="19" s="1"/>
  <c r="C825" i="19"/>
  <c r="D825" i="19" s="1"/>
  <c r="C826" i="19"/>
  <c r="D826" i="19" s="1"/>
  <c r="C823" i="19"/>
  <c r="D823" i="19" s="1"/>
  <c r="C935" i="19"/>
  <c r="D935" i="19" s="1"/>
  <c r="C929" i="19"/>
  <c r="D929" i="19" s="1"/>
  <c r="C933" i="19"/>
  <c r="D933" i="19" s="1"/>
  <c r="C937" i="19"/>
  <c r="D937" i="19" s="1"/>
  <c r="C936" i="19"/>
  <c r="D936" i="19" s="1"/>
  <c r="C932" i="19"/>
  <c r="D932" i="19" s="1"/>
  <c r="C930" i="19"/>
  <c r="D930" i="19" s="1"/>
  <c r="C931" i="19"/>
  <c r="D931" i="19" s="1"/>
  <c r="C934" i="19"/>
  <c r="D934" i="19" s="1"/>
  <c r="C1269" i="19"/>
  <c r="D1269" i="19" s="1"/>
  <c r="C1266" i="19"/>
  <c r="D1266" i="19" s="1"/>
  <c r="C1263" i="19"/>
  <c r="D1263" i="19" s="1"/>
  <c r="C1265" i="19"/>
  <c r="D1265" i="19" s="1"/>
  <c r="C1264" i="19"/>
  <c r="D1264" i="19" s="1"/>
  <c r="C1270" i="19"/>
  <c r="D1270" i="19" s="1"/>
  <c r="C1262" i="19"/>
  <c r="D1262" i="19" s="1"/>
  <c r="C1268" i="19"/>
  <c r="D1268" i="19" s="1"/>
  <c r="C1267" i="19"/>
  <c r="D1267" i="19" s="1"/>
  <c r="C286" i="19"/>
  <c r="D286" i="19" s="1"/>
  <c r="C287" i="19"/>
  <c r="D287" i="19" s="1"/>
  <c r="C288" i="19"/>
  <c r="D288" i="19" s="1"/>
  <c r="C285" i="19"/>
  <c r="D285" i="19" s="1"/>
  <c r="C281" i="19"/>
  <c r="C289" i="19"/>
  <c r="D289" i="19" s="1"/>
  <c r="C283" i="19"/>
  <c r="D283" i="19" s="1"/>
  <c r="C284" i="19"/>
  <c r="D284" i="19" s="1"/>
  <c r="C282" i="19"/>
  <c r="D282" i="19" s="1"/>
  <c r="C1214" i="19"/>
  <c r="D1214" i="19" s="1"/>
  <c r="C1216" i="19"/>
  <c r="D1216" i="19" s="1"/>
  <c r="C1212" i="19"/>
  <c r="D1212" i="19" s="1"/>
  <c r="C1211" i="19"/>
  <c r="D1211" i="19" s="1"/>
  <c r="C1213" i="19"/>
  <c r="D1213" i="19" s="1"/>
  <c r="C1208" i="19"/>
  <c r="D1208" i="19" s="1"/>
  <c r="C1215" i="19"/>
  <c r="D1215" i="19" s="1"/>
  <c r="C1209" i="19"/>
  <c r="D1209" i="19" s="1"/>
  <c r="C1210" i="19"/>
  <c r="D1210" i="19" s="1"/>
  <c r="C1172" i="19"/>
  <c r="D1172" i="19" s="1"/>
  <c r="C1178" i="19"/>
  <c r="D1178" i="19" s="1"/>
  <c r="C1175" i="19"/>
  <c r="D1175" i="19" s="1"/>
  <c r="C1173" i="19"/>
  <c r="D1173" i="19" s="1"/>
  <c r="C1180" i="19"/>
  <c r="D1180" i="19" s="1"/>
  <c r="C1177" i="19"/>
  <c r="D1177" i="19" s="1"/>
  <c r="C1179" i="19"/>
  <c r="D1179" i="19" s="1"/>
  <c r="C1176" i="19"/>
  <c r="D1176" i="19" s="1"/>
  <c r="C1174" i="19"/>
  <c r="D1174" i="19" s="1"/>
  <c r="C1775" i="19"/>
  <c r="D1775" i="19" s="1"/>
  <c r="C1783" i="19"/>
  <c r="D1783" i="19" s="1"/>
  <c r="C1776" i="19"/>
  <c r="D1776" i="19" s="1"/>
  <c r="C1778" i="19"/>
  <c r="D1778" i="19" s="1"/>
  <c r="C1780" i="19"/>
  <c r="D1780" i="19" s="1"/>
  <c r="C1782" i="19"/>
  <c r="D1782" i="19" s="1"/>
  <c r="C1781" i="19"/>
  <c r="D1781" i="19" s="1"/>
  <c r="C1779" i="19"/>
  <c r="D1779" i="19" s="1"/>
  <c r="C1777" i="19"/>
  <c r="D1777" i="19" s="1"/>
  <c r="C242" i="19"/>
  <c r="D242" i="19" s="1"/>
  <c r="C243" i="19"/>
  <c r="D243" i="19" s="1"/>
  <c r="C237" i="19"/>
  <c r="D237" i="19" s="1"/>
  <c r="C239" i="19"/>
  <c r="D239" i="19" s="1"/>
  <c r="C241" i="19"/>
  <c r="D241" i="19" s="1"/>
  <c r="C240" i="19"/>
  <c r="D240" i="19" s="1"/>
  <c r="C244" i="19"/>
  <c r="D244" i="19" s="1"/>
  <c r="C236" i="19"/>
  <c r="C238" i="19"/>
  <c r="D238" i="19" s="1"/>
  <c r="C1118" i="19"/>
  <c r="D1118" i="19" s="1"/>
  <c r="C1120" i="19"/>
  <c r="D1120" i="19" s="1"/>
  <c r="C1124" i="19"/>
  <c r="D1124" i="19" s="1"/>
  <c r="C1122" i="19"/>
  <c r="D1122" i="19" s="1"/>
  <c r="C1125" i="19"/>
  <c r="D1125" i="19" s="1"/>
  <c r="C1126" i="19"/>
  <c r="D1126" i="19" s="1"/>
  <c r="C1119" i="19"/>
  <c r="D1119" i="19" s="1"/>
  <c r="C1123" i="19"/>
  <c r="D1123" i="19" s="1"/>
  <c r="C1121" i="19"/>
  <c r="D1121" i="19" s="1"/>
  <c r="C1228" i="19"/>
  <c r="D1228" i="19" s="1"/>
  <c r="C1226" i="19"/>
  <c r="D1226" i="19" s="1"/>
  <c r="C1230" i="19"/>
  <c r="D1230" i="19" s="1"/>
  <c r="C1232" i="19"/>
  <c r="D1232" i="19" s="1"/>
  <c r="C1233" i="19"/>
  <c r="D1233" i="19" s="1"/>
  <c r="C1229" i="19"/>
  <c r="D1229" i="19" s="1"/>
  <c r="C1227" i="19"/>
  <c r="D1227" i="19" s="1"/>
  <c r="C1234" i="19"/>
  <c r="D1234" i="19" s="1"/>
  <c r="C1231" i="19"/>
  <c r="D1231" i="19" s="1"/>
  <c r="C190" i="19"/>
  <c r="D190" i="19" s="1"/>
  <c r="C189" i="19"/>
  <c r="D189" i="19" s="1"/>
  <c r="C186" i="19"/>
  <c r="D186" i="19" s="1"/>
  <c r="C182" i="19"/>
  <c r="C188" i="19"/>
  <c r="D188" i="19" s="1"/>
  <c r="C183" i="19"/>
  <c r="D183" i="19" s="1"/>
  <c r="C184" i="19"/>
  <c r="D184" i="19" s="1"/>
  <c r="C185" i="19"/>
  <c r="D185" i="19" s="1"/>
  <c r="C187" i="19"/>
  <c r="D187" i="19" s="1"/>
  <c r="C1072" i="19"/>
  <c r="D1072" i="19" s="1"/>
  <c r="C1065" i="19"/>
  <c r="D1065" i="19" s="1"/>
  <c r="C1069" i="19"/>
  <c r="D1069" i="19" s="1"/>
  <c r="C1070" i="19"/>
  <c r="D1070" i="19" s="1"/>
  <c r="C1067" i="19"/>
  <c r="D1067" i="19" s="1"/>
  <c r="C1066" i="19"/>
  <c r="D1066" i="19" s="1"/>
  <c r="C1068" i="19"/>
  <c r="D1068" i="19" s="1"/>
  <c r="C1064" i="19"/>
  <c r="D1064" i="19" s="1"/>
  <c r="C1071" i="19"/>
  <c r="D1071" i="19" s="1"/>
  <c r="C1028" i="19"/>
  <c r="D1028" i="19" s="1"/>
  <c r="C1030" i="19"/>
  <c r="D1030" i="19" s="1"/>
  <c r="C1036" i="19"/>
  <c r="D1036" i="19" s="1"/>
  <c r="C1029" i="19"/>
  <c r="D1029" i="19" s="1"/>
  <c r="C1035" i="19"/>
  <c r="D1035" i="19" s="1"/>
  <c r="C1031" i="19"/>
  <c r="D1031" i="19" s="1"/>
  <c r="C1034" i="19"/>
  <c r="D1034" i="19" s="1"/>
  <c r="C1032" i="19"/>
  <c r="D1032" i="19" s="1"/>
  <c r="C1033" i="19"/>
  <c r="D1033" i="19" s="1"/>
  <c r="C131" i="19"/>
  <c r="D131" i="19" s="1"/>
  <c r="C135" i="19"/>
  <c r="D135" i="19" s="1"/>
  <c r="C136" i="19"/>
  <c r="D136" i="19" s="1"/>
  <c r="C128" i="19"/>
  <c r="C129" i="19"/>
  <c r="D129" i="19" s="1"/>
  <c r="C132" i="19"/>
  <c r="D132" i="19" s="1"/>
  <c r="C130" i="19"/>
  <c r="D130" i="19" s="1"/>
  <c r="C134" i="19"/>
  <c r="D134" i="19" s="1"/>
  <c r="C133" i="19"/>
  <c r="D133" i="19" s="1"/>
  <c r="C1023" i="19"/>
  <c r="D1023" i="19" s="1"/>
  <c r="C1025" i="19"/>
  <c r="D1025" i="19" s="1"/>
  <c r="C1021" i="19"/>
  <c r="D1021" i="19" s="1"/>
  <c r="C1022" i="19"/>
  <c r="D1022" i="19" s="1"/>
  <c r="C1024" i="19"/>
  <c r="D1024" i="19" s="1"/>
  <c r="C1019" i="19"/>
  <c r="D1019" i="19" s="1"/>
  <c r="C1027" i="19"/>
  <c r="D1027" i="19" s="1"/>
  <c r="C1020" i="19"/>
  <c r="D1020" i="19" s="1"/>
  <c r="C1026" i="19"/>
  <c r="D1026" i="19" s="1"/>
  <c r="C982" i="19"/>
  <c r="D982" i="19" s="1"/>
  <c r="C977" i="19"/>
  <c r="D977" i="19" s="1"/>
  <c r="C975" i="19"/>
  <c r="D975" i="19" s="1"/>
  <c r="C978" i="19"/>
  <c r="D978" i="19" s="1"/>
  <c r="C981" i="19"/>
  <c r="D981" i="19" s="1"/>
  <c r="C974" i="19"/>
  <c r="D974" i="19" s="1"/>
  <c r="C980" i="19"/>
  <c r="D980" i="19" s="1"/>
  <c r="C976" i="19"/>
  <c r="D976" i="19" s="1"/>
  <c r="C979" i="19"/>
  <c r="D979" i="19" s="1"/>
  <c r="C86" i="19"/>
  <c r="D86" i="19" s="1"/>
  <c r="C89" i="19"/>
  <c r="D89" i="19" s="1"/>
  <c r="C83" i="19"/>
  <c r="C88" i="19"/>
  <c r="D88" i="19" s="1"/>
  <c r="C90" i="19"/>
  <c r="D90" i="19" s="1"/>
  <c r="C85" i="19"/>
  <c r="D85" i="19" s="1"/>
  <c r="C91" i="19"/>
  <c r="D91" i="19" s="1"/>
  <c r="C87" i="19"/>
  <c r="D87" i="19" s="1"/>
  <c r="C84" i="19"/>
  <c r="D84" i="19" s="1"/>
  <c r="C972" i="19"/>
  <c r="D972" i="19" s="1"/>
  <c r="C969" i="19"/>
  <c r="D969" i="19" s="1"/>
  <c r="C968" i="19"/>
  <c r="D968" i="19" s="1"/>
  <c r="C965" i="19"/>
  <c r="D965" i="19" s="1"/>
  <c r="C973" i="19"/>
  <c r="D973" i="19" s="1"/>
  <c r="C971" i="19"/>
  <c r="D971" i="19" s="1"/>
  <c r="C966" i="19"/>
  <c r="D966" i="19" s="1"/>
  <c r="C967" i="19"/>
  <c r="D967" i="19" s="1"/>
  <c r="C970" i="19"/>
  <c r="D970" i="19" s="1"/>
  <c r="C927" i="19"/>
  <c r="D927" i="19" s="1"/>
  <c r="C926" i="19"/>
  <c r="D926" i="19" s="1"/>
  <c r="C922" i="19"/>
  <c r="D922" i="19" s="1"/>
  <c r="C924" i="19"/>
  <c r="D924" i="19" s="1"/>
  <c r="C923" i="19"/>
  <c r="D923" i="19" s="1"/>
  <c r="C921" i="19"/>
  <c r="D921" i="19" s="1"/>
  <c r="C928" i="19"/>
  <c r="D928" i="19" s="1"/>
  <c r="C925" i="19"/>
  <c r="D925" i="19" s="1"/>
  <c r="C920" i="19"/>
  <c r="D920" i="19" s="1"/>
  <c r="C31" i="19"/>
  <c r="D31" i="19" s="1"/>
  <c r="C34" i="19"/>
  <c r="D34" i="19" s="1"/>
  <c r="C32" i="19"/>
  <c r="D32" i="19" s="1"/>
  <c r="C35" i="19"/>
  <c r="D35" i="19" s="1"/>
  <c r="C30" i="19"/>
  <c r="D30" i="19" s="1"/>
  <c r="C29" i="19"/>
  <c r="C33" i="19"/>
  <c r="D33" i="19" s="1"/>
  <c r="C36" i="19"/>
  <c r="D36" i="19" s="1"/>
  <c r="C37" i="19"/>
  <c r="D37" i="19" s="1"/>
  <c r="C919" i="19"/>
  <c r="D919" i="19" s="1"/>
  <c r="C913" i="19"/>
  <c r="D913" i="19" s="1"/>
  <c r="C916" i="19"/>
  <c r="D916" i="19" s="1"/>
  <c r="C914" i="19"/>
  <c r="D914" i="19" s="1"/>
  <c r="C911" i="19"/>
  <c r="D911" i="19" s="1"/>
  <c r="C917" i="19"/>
  <c r="D917" i="19" s="1"/>
  <c r="C918" i="19"/>
  <c r="D918" i="19" s="1"/>
  <c r="C915" i="19"/>
  <c r="D915" i="19" s="1"/>
  <c r="C912" i="19"/>
  <c r="D912" i="19" s="1"/>
  <c r="C882" i="19"/>
  <c r="D882" i="19" s="1"/>
  <c r="C878" i="19"/>
  <c r="D878" i="19" s="1"/>
  <c r="C877" i="19"/>
  <c r="D877" i="19" s="1"/>
  <c r="C875" i="19"/>
  <c r="C876" i="19"/>
  <c r="D876" i="19" s="1"/>
  <c r="C881" i="19"/>
  <c r="D881" i="19" s="1"/>
  <c r="C883" i="19"/>
  <c r="D883" i="19" s="1"/>
  <c r="C880" i="19"/>
  <c r="D880" i="19" s="1"/>
  <c r="C879" i="19"/>
  <c r="D879" i="19" s="1"/>
  <c r="C1295" i="19"/>
  <c r="D1295" i="19" s="1"/>
  <c r="C1292" i="19"/>
  <c r="D1292" i="19" s="1"/>
  <c r="C1296" i="19"/>
  <c r="D1296" i="19" s="1"/>
  <c r="C1293" i="19"/>
  <c r="D1293" i="19" s="1"/>
  <c r="C1291" i="19"/>
  <c r="D1291" i="19" s="1"/>
  <c r="C1297" i="19"/>
  <c r="D1297" i="19" s="1"/>
  <c r="C1289" i="19"/>
  <c r="D1289" i="19" s="1"/>
  <c r="C1290" i="19"/>
  <c r="D1290" i="19" s="1"/>
  <c r="C1294" i="19"/>
  <c r="D1294" i="19" s="1"/>
  <c r="C343" i="19"/>
  <c r="D343" i="19" s="1"/>
  <c r="C337" i="19"/>
  <c r="D337" i="19" s="1"/>
  <c r="C338" i="19"/>
  <c r="D338" i="19" s="1"/>
  <c r="C335" i="19"/>
  <c r="C341" i="19"/>
  <c r="D341" i="19" s="1"/>
  <c r="C340" i="19"/>
  <c r="D340" i="19" s="1"/>
  <c r="C339" i="19"/>
  <c r="D339" i="19" s="1"/>
  <c r="C342" i="19"/>
  <c r="D342" i="19" s="1"/>
  <c r="C336" i="19"/>
  <c r="D336" i="19" s="1"/>
  <c r="C301" i="19"/>
  <c r="D301" i="19" s="1"/>
  <c r="C303" i="19"/>
  <c r="D303" i="19" s="1"/>
  <c r="C300" i="19"/>
  <c r="D300" i="19" s="1"/>
  <c r="C302" i="19"/>
  <c r="D302" i="19" s="1"/>
  <c r="C307" i="19"/>
  <c r="D307" i="19" s="1"/>
  <c r="C306" i="19"/>
  <c r="D306" i="19" s="1"/>
  <c r="C299" i="19"/>
  <c r="C305" i="19"/>
  <c r="D305" i="19" s="1"/>
  <c r="C304" i="19"/>
  <c r="D304" i="19" s="1"/>
  <c r="C1411" i="19"/>
  <c r="D1411" i="19" s="1"/>
  <c r="C1409" i="19"/>
  <c r="D1409" i="19" s="1"/>
  <c r="C1412" i="19"/>
  <c r="D1412" i="19" s="1"/>
  <c r="C1406" i="19"/>
  <c r="D1406" i="19" s="1"/>
  <c r="C1413" i="19"/>
  <c r="D1413" i="19" s="1"/>
  <c r="C1414" i="19"/>
  <c r="D1414" i="19" s="1"/>
  <c r="C1408" i="19"/>
  <c r="D1408" i="19" s="1"/>
  <c r="C1407" i="19"/>
  <c r="D1407" i="19" s="1"/>
  <c r="C1410" i="19"/>
  <c r="D1410" i="19" s="1"/>
  <c r="C746" i="19"/>
  <c r="D746" i="19" s="1"/>
  <c r="C744" i="19"/>
  <c r="D744" i="19" s="1"/>
  <c r="C745" i="19"/>
  <c r="D745" i="19" s="1"/>
  <c r="C747" i="19"/>
  <c r="D747" i="19" s="1"/>
  <c r="C742" i="19"/>
  <c r="D742" i="19" s="1"/>
  <c r="C743" i="19"/>
  <c r="D743" i="19" s="1"/>
  <c r="C741" i="19"/>
  <c r="D741" i="19" s="1"/>
  <c r="C748" i="19"/>
  <c r="D748" i="19" s="1"/>
  <c r="C740" i="19"/>
  <c r="C773" i="19"/>
  <c r="D773" i="19" s="1"/>
  <c r="C771" i="19"/>
  <c r="D771" i="19" s="1"/>
  <c r="C770" i="19"/>
  <c r="D770" i="19" s="1"/>
  <c r="C767" i="19"/>
  <c r="C768" i="19"/>
  <c r="D768" i="19" s="1"/>
  <c r="C774" i="19"/>
  <c r="D774" i="19" s="1"/>
  <c r="C772" i="19"/>
  <c r="D772" i="19" s="1"/>
  <c r="C769" i="19"/>
  <c r="D769" i="19" s="1"/>
  <c r="C775" i="19"/>
  <c r="D775" i="19" s="1"/>
  <c r="C1308" i="19"/>
  <c r="D1308" i="19" s="1"/>
  <c r="C1310" i="19"/>
  <c r="D1310" i="19" s="1"/>
  <c r="C1309" i="19"/>
  <c r="D1309" i="19" s="1"/>
  <c r="C1312" i="19"/>
  <c r="D1312" i="19" s="1"/>
  <c r="C1311" i="19"/>
  <c r="D1311" i="19" s="1"/>
  <c r="C1313" i="19"/>
  <c r="D1313" i="19" s="1"/>
  <c r="C1314" i="19"/>
  <c r="D1314" i="19" s="1"/>
  <c r="C1307" i="19"/>
  <c r="D1307" i="19" s="1"/>
  <c r="C1315" i="19"/>
  <c r="D1315" i="19" s="1"/>
  <c r="C689" i="19"/>
  <c r="D689" i="19" s="1"/>
  <c r="C686" i="19"/>
  <c r="C694" i="19"/>
  <c r="D694" i="19" s="1"/>
  <c r="C688" i="19"/>
  <c r="D688" i="19" s="1"/>
  <c r="C691" i="19"/>
  <c r="D691" i="19" s="1"/>
  <c r="C692" i="19"/>
  <c r="D692" i="19" s="1"/>
  <c r="C690" i="19"/>
  <c r="D690" i="19" s="1"/>
  <c r="C687" i="19"/>
  <c r="D687" i="19" s="1"/>
  <c r="C693" i="19"/>
  <c r="D693" i="19" s="1"/>
  <c r="C795" i="19"/>
  <c r="D795" i="19" s="1"/>
  <c r="C801" i="19"/>
  <c r="D801" i="19" s="1"/>
  <c r="C802" i="19"/>
  <c r="D802" i="19" s="1"/>
  <c r="C797" i="19"/>
  <c r="D797" i="19" s="1"/>
  <c r="C800" i="19"/>
  <c r="D800" i="19" s="1"/>
  <c r="C796" i="19"/>
  <c r="D796" i="19" s="1"/>
  <c r="C798" i="19"/>
  <c r="D798" i="19" s="1"/>
  <c r="C799" i="19"/>
  <c r="D799" i="19" s="1"/>
  <c r="C794" i="19"/>
  <c r="C1260" i="19"/>
  <c r="D1260" i="19" s="1"/>
  <c r="C1254" i="19"/>
  <c r="D1254" i="19" s="1"/>
  <c r="C1261" i="19"/>
  <c r="D1261" i="19" s="1"/>
  <c r="C1253" i="19"/>
  <c r="D1253" i="19" s="1"/>
  <c r="C1259" i="19"/>
  <c r="D1259" i="19" s="1"/>
  <c r="C1255" i="19"/>
  <c r="D1255" i="19" s="1"/>
  <c r="C1256" i="19"/>
  <c r="D1256" i="19" s="1"/>
  <c r="C1258" i="19"/>
  <c r="D1258" i="19" s="1"/>
  <c r="C1257" i="19"/>
  <c r="D1257" i="19" s="1"/>
  <c r="C636" i="19"/>
  <c r="D636" i="19" s="1"/>
  <c r="C634" i="19"/>
  <c r="D634" i="19" s="1"/>
  <c r="C635" i="19"/>
  <c r="D635" i="19" s="1"/>
  <c r="C632" i="19"/>
  <c r="C637" i="19"/>
  <c r="D637" i="19" s="1"/>
  <c r="C640" i="19"/>
  <c r="D640" i="19" s="1"/>
  <c r="C638" i="19"/>
  <c r="D638" i="19" s="1"/>
  <c r="C633" i="19"/>
  <c r="D633" i="19" s="1"/>
  <c r="C639" i="19"/>
  <c r="D639" i="19" s="1"/>
  <c r="C597" i="19"/>
  <c r="D597" i="19" s="1"/>
  <c r="C601" i="19"/>
  <c r="D601" i="19" s="1"/>
  <c r="C600" i="19"/>
  <c r="D600" i="19" s="1"/>
  <c r="C599" i="19"/>
  <c r="D599" i="19" s="1"/>
  <c r="C598" i="19"/>
  <c r="D598" i="19" s="1"/>
  <c r="C604" i="19"/>
  <c r="D604" i="19" s="1"/>
  <c r="C602" i="19"/>
  <c r="D602" i="19" s="1"/>
  <c r="C596" i="19"/>
  <c r="C603" i="19"/>
  <c r="D603" i="19" s="1"/>
  <c r="C1203" i="19"/>
  <c r="D1203" i="19" s="1"/>
  <c r="C1200" i="19"/>
  <c r="D1200" i="19" s="1"/>
  <c r="C1202" i="19"/>
  <c r="D1202" i="19" s="1"/>
  <c r="C1207" i="19"/>
  <c r="D1207" i="19" s="1"/>
  <c r="C1199" i="19"/>
  <c r="D1199" i="19" s="1"/>
  <c r="C1204" i="19"/>
  <c r="D1204" i="19" s="1"/>
  <c r="C1206" i="19"/>
  <c r="D1206" i="19" s="1"/>
  <c r="C1201" i="19"/>
  <c r="D1201" i="19" s="1"/>
  <c r="C1205" i="19"/>
  <c r="D1205" i="19" s="1"/>
  <c r="C1744" i="19"/>
  <c r="D1744" i="19" s="1"/>
  <c r="C1746" i="19"/>
  <c r="D1746" i="19" s="1"/>
  <c r="C1745" i="19"/>
  <c r="D1745" i="19" s="1"/>
  <c r="C1739" i="19"/>
  <c r="D1739" i="19" s="1"/>
  <c r="C1747" i="19"/>
  <c r="D1747" i="19" s="1"/>
  <c r="C1741" i="19"/>
  <c r="D1741" i="19" s="1"/>
  <c r="C1740" i="19"/>
  <c r="D1740" i="19" s="1"/>
  <c r="C1743" i="19"/>
  <c r="D1743" i="19" s="1"/>
  <c r="C1742" i="19"/>
  <c r="D1742" i="19" s="1"/>
  <c r="C543" i="19"/>
  <c r="D543" i="19" s="1"/>
  <c r="C550" i="19"/>
  <c r="D550" i="19" s="1"/>
  <c r="C547" i="19"/>
  <c r="D547" i="19" s="1"/>
  <c r="C548" i="19"/>
  <c r="D548" i="19" s="1"/>
  <c r="C549" i="19"/>
  <c r="D549" i="19" s="1"/>
  <c r="C542" i="19"/>
  <c r="C545" i="19"/>
  <c r="D545" i="19" s="1"/>
  <c r="C546" i="19"/>
  <c r="D546" i="19" s="1"/>
  <c r="C544" i="19"/>
  <c r="D544" i="19" s="1"/>
  <c r="C655" i="19"/>
  <c r="D655" i="19" s="1"/>
  <c r="C653" i="19"/>
  <c r="D653" i="19" s="1"/>
  <c r="C650" i="19"/>
  <c r="C658" i="19"/>
  <c r="D658" i="19" s="1"/>
  <c r="C654" i="19"/>
  <c r="D654" i="19" s="1"/>
  <c r="C651" i="19"/>
  <c r="D651" i="19" s="1"/>
  <c r="C652" i="19"/>
  <c r="D652" i="19" s="1"/>
  <c r="C656" i="19"/>
  <c r="D656" i="19" s="1"/>
  <c r="C657" i="19"/>
  <c r="D657" i="19" s="1"/>
  <c r="C1685" i="19"/>
  <c r="D1685" i="19" s="1"/>
  <c r="C1693" i="19"/>
  <c r="D1693" i="19" s="1"/>
  <c r="C1690" i="19"/>
  <c r="D1690" i="19" s="1"/>
  <c r="C1692" i="19"/>
  <c r="D1692" i="19" s="1"/>
  <c r="C1686" i="19"/>
  <c r="D1686" i="19" s="1"/>
  <c r="C1688" i="19"/>
  <c r="D1688" i="19" s="1"/>
  <c r="C1687" i="19"/>
  <c r="D1687" i="19" s="1"/>
  <c r="C1691" i="19"/>
  <c r="D1691" i="19" s="1"/>
  <c r="C1689" i="19"/>
  <c r="D1689" i="19" s="1"/>
  <c r="C494" i="19"/>
  <c r="D494" i="19" s="1"/>
  <c r="C492" i="19"/>
  <c r="D492" i="19" s="1"/>
  <c r="C491" i="19"/>
  <c r="D491" i="19" s="1"/>
  <c r="C493" i="19"/>
  <c r="D493" i="19" s="1"/>
  <c r="C495" i="19"/>
  <c r="D495" i="19" s="1"/>
  <c r="C490" i="19"/>
  <c r="D490" i="19" s="1"/>
  <c r="C496" i="19"/>
  <c r="D496" i="19" s="1"/>
  <c r="C488" i="19"/>
  <c r="C489" i="19"/>
  <c r="D489" i="19" s="1"/>
  <c r="C454" i="19"/>
  <c r="D454" i="19" s="1"/>
  <c r="C452" i="19"/>
  <c r="C453" i="19"/>
  <c r="D453" i="19" s="1"/>
  <c r="C459" i="19"/>
  <c r="D459" i="19" s="1"/>
  <c r="C460" i="19"/>
  <c r="D460" i="19" s="1"/>
  <c r="C455" i="19"/>
  <c r="D455" i="19" s="1"/>
  <c r="C458" i="19"/>
  <c r="D458" i="19" s="1"/>
  <c r="C456" i="19"/>
  <c r="D456" i="19" s="1"/>
  <c r="C457" i="19"/>
  <c r="D457" i="19" s="1"/>
  <c r="C1633" i="19"/>
  <c r="D1633" i="19" s="1"/>
  <c r="C1634" i="19"/>
  <c r="D1634" i="19" s="1"/>
  <c r="C1638" i="19"/>
  <c r="D1638" i="19" s="1"/>
  <c r="C1631" i="19"/>
  <c r="D1631" i="19" s="1"/>
  <c r="C1639" i="19"/>
  <c r="D1639" i="19" s="1"/>
  <c r="C1635" i="19"/>
  <c r="D1635" i="19" s="1"/>
  <c r="C1632" i="19"/>
  <c r="D1632" i="19" s="1"/>
  <c r="C1636" i="19"/>
  <c r="D1636" i="19" s="1"/>
  <c r="C1637" i="19"/>
  <c r="D1637" i="19" s="1"/>
  <c r="C451" i="19"/>
  <c r="D451" i="19" s="1"/>
  <c r="C448" i="19"/>
  <c r="D448" i="19" s="1"/>
  <c r="C444" i="19"/>
  <c r="D444" i="19" s="1"/>
  <c r="C449" i="19"/>
  <c r="D449" i="19" s="1"/>
  <c r="C447" i="19"/>
  <c r="D447" i="19" s="1"/>
  <c r="C450" i="19"/>
  <c r="D450" i="19" s="1"/>
  <c r="C443" i="19"/>
  <c r="C446" i="19"/>
  <c r="D446" i="19" s="1"/>
  <c r="C445" i="19"/>
  <c r="D445" i="19" s="1"/>
  <c r="C1663" i="19"/>
  <c r="D1663" i="19" s="1"/>
  <c r="C1664" i="19"/>
  <c r="D1664" i="19" s="1"/>
  <c r="C1662" i="19"/>
  <c r="D1662" i="19" s="1"/>
  <c r="C1658" i="19"/>
  <c r="D1658" i="19" s="1"/>
  <c r="C1660" i="19"/>
  <c r="D1660" i="19" s="1"/>
  <c r="C1661" i="19"/>
  <c r="D1661" i="19" s="1"/>
  <c r="C1665" i="19"/>
  <c r="D1665" i="19" s="1"/>
  <c r="C1659" i="19"/>
  <c r="D1659" i="19" s="1"/>
  <c r="C1666" i="19"/>
  <c r="D1666" i="19" s="1"/>
  <c r="C397" i="19"/>
  <c r="D397" i="19" s="1"/>
  <c r="C391" i="19"/>
  <c r="D391" i="19" s="1"/>
  <c r="C395" i="19"/>
  <c r="D395" i="19" s="1"/>
  <c r="C396" i="19"/>
  <c r="D396" i="19" s="1"/>
  <c r="C392" i="19"/>
  <c r="D392" i="19" s="1"/>
  <c r="C389" i="19"/>
  <c r="C393" i="19"/>
  <c r="D393" i="19" s="1"/>
  <c r="C394" i="19"/>
  <c r="D394" i="19" s="1"/>
  <c r="C390" i="19"/>
  <c r="D390" i="19" s="1"/>
  <c r="C346" i="19"/>
  <c r="D346" i="19" s="1"/>
  <c r="C344" i="19"/>
  <c r="C345" i="19"/>
  <c r="D345" i="19" s="1"/>
  <c r="C349" i="19"/>
  <c r="D349" i="19" s="1"/>
  <c r="C347" i="19"/>
  <c r="D347" i="19" s="1"/>
  <c r="C348" i="19"/>
  <c r="D348" i="19" s="1"/>
  <c r="C351" i="19"/>
  <c r="D351" i="19" s="1"/>
  <c r="C350" i="19"/>
  <c r="D350" i="19" s="1"/>
  <c r="C352" i="19"/>
  <c r="D352" i="19" s="1"/>
  <c r="C1464" i="19"/>
  <c r="D1464" i="19" s="1"/>
  <c r="C1463" i="19"/>
  <c r="D1463" i="19" s="1"/>
  <c r="C1461" i="19"/>
  <c r="D1461" i="19" s="1"/>
  <c r="C1460" i="19"/>
  <c r="D1460" i="19" s="1"/>
  <c r="C1462" i="19"/>
  <c r="D1462" i="19" s="1"/>
  <c r="C1465" i="19"/>
  <c r="D1465" i="19" s="1"/>
  <c r="C1468" i="19"/>
  <c r="D1468" i="19" s="1"/>
  <c r="C1466" i="19"/>
  <c r="D1466" i="19" s="1"/>
  <c r="C1467" i="19"/>
  <c r="D1467" i="19" s="1"/>
  <c r="C357" i="19"/>
  <c r="D357" i="19" s="1"/>
  <c r="C356" i="19"/>
  <c r="D356" i="19" s="1"/>
  <c r="C361" i="19"/>
  <c r="D361" i="19" s="1"/>
  <c r="C358" i="19"/>
  <c r="D358" i="19" s="1"/>
  <c r="C360" i="19"/>
  <c r="D360" i="19" s="1"/>
  <c r="C359" i="19"/>
  <c r="D359" i="19" s="1"/>
  <c r="C354" i="19"/>
  <c r="D354" i="19" s="1"/>
  <c r="C353" i="19"/>
  <c r="C355" i="19"/>
  <c r="D355" i="19" s="1"/>
  <c r="C142" i="19"/>
  <c r="D142" i="19" s="1"/>
  <c r="C145" i="19"/>
  <c r="D145" i="19" s="1"/>
  <c r="C139" i="19"/>
  <c r="D139" i="19" s="1"/>
  <c r="C140" i="19"/>
  <c r="D140" i="19" s="1"/>
  <c r="C137" i="19"/>
  <c r="C143" i="19"/>
  <c r="D143" i="19" s="1"/>
  <c r="C144" i="19"/>
  <c r="D144" i="19" s="1"/>
  <c r="C141" i="19"/>
  <c r="D141" i="19" s="1"/>
  <c r="C138" i="19"/>
  <c r="D138" i="19" s="1"/>
  <c r="C889" i="19"/>
  <c r="D889" i="19" s="1"/>
  <c r="C886" i="19"/>
  <c r="D886" i="19" s="1"/>
  <c r="C892" i="19"/>
  <c r="D892" i="19" s="1"/>
  <c r="C884" i="19"/>
  <c r="C885" i="19"/>
  <c r="D885" i="19" s="1"/>
  <c r="C891" i="19"/>
  <c r="D891" i="19" s="1"/>
  <c r="C890" i="19"/>
  <c r="D890" i="19" s="1"/>
  <c r="C887" i="19"/>
  <c r="D887" i="19" s="1"/>
  <c r="C888" i="19"/>
  <c r="D888" i="19" s="1"/>
  <c r="C370" i="19"/>
  <c r="D370" i="19" s="1"/>
  <c r="C362" i="19"/>
  <c r="C363" i="19"/>
  <c r="D363" i="19" s="1"/>
  <c r="C366" i="19"/>
  <c r="D366" i="19" s="1"/>
  <c r="C368" i="19"/>
  <c r="D368" i="19" s="1"/>
  <c r="C365" i="19"/>
  <c r="D365" i="19" s="1"/>
  <c r="C367" i="19"/>
  <c r="D367" i="19" s="1"/>
  <c r="C364" i="19"/>
  <c r="D364" i="19" s="1"/>
  <c r="C369" i="19"/>
  <c r="D369" i="19" s="1"/>
  <c r="C250" i="19"/>
  <c r="D250" i="19" s="1"/>
  <c r="C253" i="19"/>
  <c r="D253" i="19" s="1"/>
  <c r="C247" i="19"/>
  <c r="D247" i="19" s="1"/>
  <c r="C249" i="19"/>
  <c r="D249" i="19" s="1"/>
  <c r="C245" i="19"/>
  <c r="C246" i="19"/>
  <c r="D246" i="19" s="1"/>
  <c r="C248" i="19"/>
  <c r="D248" i="19" s="1"/>
  <c r="C251" i="19"/>
  <c r="D251" i="19" s="1"/>
  <c r="C252" i="19"/>
  <c r="D252" i="19" s="1"/>
  <c r="C1356" i="19"/>
  <c r="D1356" i="19" s="1"/>
  <c r="C1359" i="19"/>
  <c r="D1359" i="19" s="1"/>
  <c r="C1354" i="19"/>
  <c r="D1354" i="19" s="1"/>
  <c r="C1357" i="19"/>
  <c r="D1357" i="19" s="1"/>
  <c r="C1360" i="19"/>
  <c r="D1360" i="19" s="1"/>
  <c r="C1353" i="19"/>
  <c r="D1353" i="19" s="1"/>
  <c r="C1358" i="19"/>
  <c r="D1358" i="19" s="1"/>
  <c r="C1355" i="19"/>
  <c r="D1355" i="19" s="1"/>
  <c r="C1352" i="19"/>
  <c r="D1352" i="19" s="1"/>
  <c r="C164" i="19"/>
  <c r="C168" i="19"/>
  <c r="D168" i="19" s="1"/>
  <c r="C165" i="19"/>
  <c r="D165" i="19" s="1"/>
  <c r="C166" i="19"/>
  <c r="D166" i="19" s="1"/>
  <c r="C167" i="19"/>
  <c r="D167" i="19" s="1"/>
  <c r="C170" i="19"/>
  <c r="D170" i="19" s="1"/>
  <c r="C172" i="19"/>
  <c r="D172" i="19" s="1"/>
  <c r="C169" i="19"/>
  <c r="D169" i="19" s="1"/>
  <c r="C171" i="19"/>
  <c r="D171" i="19" s="1"/>
  <c r="C732" i="19"/>
  <c r="D732" i="19" s="1"/>
  <c r="C731" i="19"/>
  <c r="C737" i="19"/>
  <c r="D737" i="19" s="1"/>
  <c r="C733" i="19"/>
  <c r="D733" i="19" s="1"/>
  <c r="C735" i="19"/>
  <c r="D735" i="19" s="1"/>
  <c r="C739" i="19"/>
  <c r="D739" i="19" s="1"/>
  <c r="C734" i="19"/>
  <c r="D734" i="19" s="1"/>
  <c r="C738" i="19"/>
  <c r="D738" i="19" s="1"/>
  <c r="C736" i="19"/>
  <c r="D736" i="19" s="1"/>
  <c r="C117" i="19"/>
  <c r="D117" i="19" s="1"/>
  <c r="C111" i="19"/>
  <c r="D111" i="19" s="1"/>
  <c r="C115" i="19"/>
  <c r="D115" i="19" s="1"/>
  <c r="C110" i="19"/>
  <c r="C116" i="19"/>
  <c r="D116" i="19" s="1"/>
  <c r="C113" i="19"/>
  <c r="D113" i="19" s="1"/>
  <c r="C114" i="19"/>
  <c r="D114" i="19" s="1"/>
  <c r="C112" i="19"/>
  <c r="D112" i="19" s="1"/>
  <c r="C118" i="19"/>
  <c r="D118" i="19" s="1"/>
  <c r="C222" i="19"/>
  <c r="D222" i="19" s="1"/>
  <c r="C226" i="19"/>
  <c r="D226" i="19" s="1"/>
  <c r="C219" i="19"/>
  <c r="D219" i="19" s="1"/>
  <c r="C221" i="19"/>
  <c r="D221" i="19" s="1"/>
  <c r="C223" i="19"/>
  <c r="D223" i="19" s="1"/>
  <c r="C220" i="19"/>
  <c r="D220" i="19" s="1"/>
  <c r="C225" i="19"/>
  <c r="D225" i="19" s="1"/>
  <c r="C218" i="19"/>
  <c r="C224" i="19"/>
  <c r="D224" i="19" s="1"/>
  <c r="C682" i="19"/>
  <c r="D682" i="19" s="1"/>
  <c r="C683" i="19"/>
  <c r="D683" i="19" s="1"/>
  <c r="C684" i="19"/>
  <c r="D684" i="19" s="1"/>
  <c r="C679" i="19"/>
  <c r="D679" i="19" s="1"/>
  <c r="C680" i="19"/>
  <c r="D680" i="19" s="1"/>
  <c r="C681" i="19"/>
  <c r="D681" i="19" s="1"/>
  <c r="C678" i="19"/>
  <c r="D678" i="19" s="1"/>
  <c r="C677" i="19"/>
  <c r="C685" i="19"/>
  <c r="D685" i="19" s="1"/>
  <c r="C56" i="19"/>
  <c r="C60" i="19"/>
  <c r="D60" i="19" s="1"/>
  <c r="C61" i="19"/>
  <c r="D61" i="19" s="1"/>
  <c r="C64" i="19"/>
  <c r="D64" i="19" s="1"/>
  <c r="C62" i="19"/>
  <c r="D62" i="19" s="1"/>
  <c r="C59" i="19"/>
  <c r="D59" i="19" s="1"/>
  <c r="C58" i="19"/>
  <c r="D58" i="19" s="1"/>
  <c r="C63" i="19"/>
  <c r="D63" i="19" s="1"/>
  <c r="C57" i="19"/>
  <c r="D57" i="19" s="1"/>
  <c r="C22" i="19"/>
  <c r="D22" i="19" s="1"/>
  <c r="C23" i="19"/>
  <c r="D23" i="19" s="1"/>
  <c r="C24" i="19"/>
  <c r="D24" i="19" s="1"/>
  <c r="C26" i="19"/>
  <c r="D26" i="19" s="1"/>
  <c r="C27" i="19"/>
  <c r="D27" i="19" s="1"/>
  <c r="C28" i="19"/>
  <c r="D28" i="19" s="1"/>
  <c r="C25" i="19"/>
  <c r="D25" i="19" s="1"/>
  <c r="C20" i="19"/>
  <c r="C21" i="19"/>
  <c r="D21" i="19" s="1"/>
  <c r="C623" i="19"/>
  <c r="C627" i="19"/>
  <c r="D627" i="19" s="1"/>
  <c r="C624" i="19"/>
  <c r="D624" i="19" s="1"/>
  <c r="C625" i="19"/>
  <c r="D625" i="19" s="1"/>
  <c r="C629" i="19"/>
  <c r="D629" i="19" s="1"/>
  <c r="C631" i="19"/>
  <c r="D631" i="19" s="1"/>
  <c r="C626" i="19"/>
  <c r="D626" i="19" s="1"/>
  <c r="C628" i="19"/>
  <c r="D628" i="19" s="1"/>
  <c r="C630" i="19"/>
  <c r="D630" i="19" s="1"/>
  <c r="C1167" i="19"/>
  <c r="D1167" i="19" s="1"/>
  <c r="C1166" i="19"/>
  <c r="D1166" i="19" s="1"/>
  <c r="C1169" i="19"/>
  <c r="D1169" i="19" s="1"/>
  <c r="C1163" i="19"/>
  <c r="D1163" i="19" s="1"/>
  <c r="C1164" i="19"/>
  <c r="D1164" i="19" s="1"/>
  <c r="C1171" i="19"/>
  <c r="D1171" i="19" s="1"/>
  <c r="C1165" i="19"/>
  <c r="D1165" i="19" s="1"/>
  <c r="C1170" i="19"/>
  <c r="D1170" i="19" s="1"/>
  <c r="C1168" i="19"/>
  <c r="D1168" i="19" s="1"/>
  <c r="C1722" i="19"/>
  <c r="D1722" i="19" s="1"/>
  <c r="C1725" i="19"/>
  <c r="D1725" i="19" s="1"/>
  <c r="C1721" i="19"/>
  <c r="D1721" i="19" s="1"/>
  <c r="C1728" i="19"/>
  <c r="D1728" i="19" s="1"/>
  <c r="C1726" i="19"/>
  <c r="D1726" i="19" s="1"/>
  <c r="C1727" i="19"/>
  <c r="D1727" i="19" s="1"/>
  <c r="C1729" i="19"/>
  <c r="D1729" i="19" s="1"/>
  <c r="C1723" i="19"/>
  <c r="D1723" i="19" s="1"/>
  <c r="C1724" i="19"/>
  <c r="D1724" i="19" s="1"/>
  <c r="C78" i="19"/>
  <c r="D78" i="19" s="1"/>
  <c r="C76" i="19"/>
  <c r="D76" i="19" s="1"/>
  <c r="C80" i="19"/>
  <c r="D80" i="19" s="1"/>
  <c r="C82" i="19"/>
  <c r="D82" i="19" s="1"/>
  <c r="C81" i="19"/>
  <c r="D81" i="19" s="1"/>
  <c r="C75" i="19"/>
  <c r="D75" i="19" s="1"/>
  <c r="C79" i="19"/>
  <c r="D79" i="19" s="1"/>
  <c r="C77" i="19"/>
  <c r="D77" i="19" s="1"/>
  <c r="C74" i="19"/>
  <c r="C1115" i="19"/>
  <c r="D1115" i="19" s="1"/>
  <c r="C1114" i="19"/>
  <c r="D1114" i="19" s="1"/>
  <c r="C1117" i="19"/>
  <c r="D1117" i="19" s="1"/>
  <c r="C1110" i="19"/>
  <c r="D1110" i="19" s="1"/>
  <c r="C1112" i="19"/>
  <c r="D1112" i="19" s="1"/>
  <c r="C1111" i="19"/>
  <c r="D1111" i="19" s="1"/>
  <c r="C1109" i="19"/>
  <c r="D1109" i="19" s="1"/>
  <c r="C1113" i="19"/>
  <c r="D1113" i="19" s="1"/>
  <c r="C1116" i="19"/>
  <c r="D1116" i="19" s="1"/>
  <c r="C1366" i="19"/>
  <c r="D1366" i="19" s="1"/>
  <c r="C1363" i="19"/>
  <c r="D1363" i="19" s="1"/>
  <c r="C1362" i="19"/>
  <c r="D1362" i="19" s="1"/>
  <c r="C1369" i="19"/>
  <c r="D1369" i="19" s="1"/>
  <c r="C1364" i="19"/>
  <c r="D1364" i="19" s="1"/>
  <c r="C1361" i="19"/>
  <c r="D1361" i="19" s="1"/>
  <c r="C1368" i="19"/>
  <c r="D1368" i="19" s="1"/>
  <c r="C1365" i="19"/>
  <c r="D1365" i="19" s="1"/>
  <c r="C1367" i="19"/>
  <c r="D1367" i="19" s="1"/>
  <c r="C1074" i="19"/>
  <c r="D1074" i="19" s="1"/>
  <c r="C1080" i="19"/>
  <c r="D1080" i="19" s="1"/>
  <c r="C1079" i="19"/>
  <c r="D1079" i="19" s="1"/>
  <c r="C1077" i="19"/>
  <c r="D1077" i="19" s="1"/>
  <c r="C1078" i="19"/>
  <c r="D1078" i="19" s="1"/>
  <c r="C1076" i="19"/>
  <c r="D1076" i="19" s="1"/>
  <c r="C1075" i="19"/>
  <c r="D1075" i="19" s="1"/>
  <c r="C1073" i="19"/>
  <c r="D1073" i="19" s="1"/>
  <c r="C1081" i="19"/>
  <c r="D1081" i="19" s="1"/>
  <c r="C1062" i="19"/>
  <c r="D1062" i="19" s="1"/>
  <c r="C1058" i="19"/>
  <c r="D1058" i="19" s="1"/>
  <c r="C1055" i="19"/>
  <c r="D1055" i="19" s="1"/>
  <c r="C1063" i="19"/>
  <c r="D1063" i="19" s="1"/>
  <c r="C1060" i="19"/>
  <c r="D1060" i="19" s="1"/>
  <c r="C1059" i="19"/>
  <c r="D1059" i="19" s="1"/>
  <c r="C1061" i="19"/>
  <c r="D1061" i="19" s="1"/>
  <c r="C1057" i="19"/>
  <c r="D1057" i="19" s="1"/>
  <c r="C1056" i="19"/>
  <c r="D1056" i="19" s="1"/>
  <c r="C1153" i="19"/>
  <c r="D1153" i="19" s="1"/>
  <c r="C1152" i="19"/>
  <c r="D1152" i="19" s="1"/>
  <c r="C1151" i="19"/>
  <c r="D1151" i="19" s="1"/>
  <c r="C1148" i="19"/>
  <c r="D1148" i="19" s="1"/>
  <c r="C1146" i="19"/>
  <c r="D1146" i="19" s="1"/>
  <c r="C1150" i="19"/>
  <c r="D1150" i="19" s="1"/>
  <c r="C1147" i="19"/>
  <c r="D1147" i="19" s="1"/>
  <c r="C1145" i="19"/>
  <c r="D1145" i="19" s="1"/>
  <c r="C1149" i="19"/>
  <c r="D1149" i="19" s="1"/>
  <c r="C718" i="19"/>
  <c r="D718" i="19" s="1"/>
  <c r="C721" i="19"/>
  <c r="D721" i="19" s="1"/>
  <c r="C717" i="19"/>
  <c r="D717" i="19" s="1"/>
  <c r="C714" i="19"/>
  <c r="D714" i="19" s="1"/>
  <c r="C720" i="19"/>
  <c r="D720" i="19" s="1"/>
  <c r="C715" i="19"/>
  <c r="D715" i="19" s="1"/>
  <c r="C716" i="19"/>
  <c r="D716" i="19" s="1"/>
  <c r="C713" i="19"/>
  <c r="C719" i="19"/>
  <c r="D719" i="19" s="1"/>
  <c r="C1084" i="19"/>
  <c r="D1084" i="19" s="1"/>
  <c r="C1088" i="19"/>
  <c r="D1088" i="19" s="1"/>
  <c r="C1082" i="19"/>
  <c r="D1082" i="19" s="1"/>
  <c r="C1089" i="19"/>
  <c r="D1089" i="19" s="1"/>
  <c r="C1090" i="19"/>
  <c r="D1090" i="19" s="1"/>
  <c r="C1085" i="19"/>
  <c r="D1085" i="19" s="1"/>
  <c r="C1083" i="19"/>
  <c r="D1083" i="19" s="1"/>
  <c r="C1087" i="19"/>
  <c r="D1087" i="19" s="1"/>
  <c r="C1086" i="19"/>
  <c r="D1086" i="19" s="1"/>
  <c r="C1450" i="19"/>
  <c r="D1450" i="19" s="1"/>
  <c r="C1449" i="19"/>
  <c r="D1449" i="19" s="1"/>
  <c r="C1445" i="19"/>
  <c r="D1445" i="19" s="1"/>
  <c r="C1448" i="19"/>
  <c r="D1448" i="19" s="1"/>
  <c r="C1447" i="19"/>
  <c r="D1447" i="19" s="1"/>
  <c r="C1444" i="19"/>
  <c r="D1444" i="19" s="1"/>
  <c r="C1446" i="19"/>
  <c r="D1446" i="19" s="1"/>
  <c r="C1443" i="19"/>
  <c r="D1443" i="19" s="1"/>
  <c r="C1442" i="19"/>
  <c r="D1442" i="19" s="1"/>
  <c r="C1328" i="19"/>
  <c r="D1328" i="19" s="1"/>
  <c r="C1330" i="19"/>
  <c r="D1330" i="19" s="1"/>
  <c r="C1325" i="19"/>
  <c r="D1325" i="19" s="1"/>
  <c r="C1329" i="19"/>
  <c r="D1329" i="19" s="1"/>
  <c r="C1331" i="19"/>
  <c r="D1331" i="19" s="1"/>
  <c r="C1326" i="19"/>
  <c r="D1326" i="19" s="1"/>
  <c r="C1327" i="19"/>
  <c r="D1327" i="19" s="1"/>
  <c r="C1332" i="19"/>
  <c r="D1332" i="19" s="1"/>
  <c r="C1333" i="19"/>
  <c r="D1333" i="19" s="1"/>
  <c r="C514" i="19"/>
  <c r="D514" i="19" s="1"/>
  <c r="C507" i="19"/>
  <c r="D507" i="19" s="1"/>
  <c r="C508" i="19"/>
  <c r="D508" i="19" s="1"/>
  <c r="C511" i="19"/>
  <c r="D511" i="19" s="1"/>
  <c r="C510" i="19"/>
  <c r="D510" i="19" s="1"/>
  <c r="C513" i="19"/>
  <c r="D513" i="19" s="1"/>
  <c r="C509" i="19"/>
  <c r="D509" i="19" s="1"/>
  <c r="C512" i="19"/>
  <c r="D512" i="19" s="1"/>
  <c r="C506" i="19"/>
  <c r="C1769" i="19"/>
  <c r="D1769" i="19" s="1"/>
  <c r="C1768" i="19"/>
  <c r="D1768" i="19" s="1"/>
  <c r="C1773" i="19"/>
  <c r="D1773" i="19" s="1"/>
  <c r="C1772" i="19"/>
  <c r="D1772" i="19" s="1"/>
  <c r="C1767" i="19"/>
  <c r="D1767" i="19" s="1"/>
  <c r="C1770" i="19"/>
  <c r="D1770" i="19" s="1"/>
  <c r="C1771" i="19"/>
  <c r="D1771" i="19" s="1"/>
  <c r="C1766" i="19"/>
  <c r="D1766" i="19" s="1"/>
  <c r="C1774" i="19"/>
  <c r="D1774" i="19" s="1"/>
  <c r="C501" i="19"/>
  <c r="D501" i="19" s="1"/>
  <c r="C499" i="19"/>
  <c r="D499" i="19" s="1"/>
  <c r="C497" i="19"/>
  <c r="C505" i="19"/>
  <c r="D505" i="19" s="1"/>
  <c r="C498" i="19"/>
  <c r="D498" i="19" s="1"/>
  <c r="C500" i="19"/>
  <c r="D500" i="19" s="1"/>
  <c r="C504" i="19"/>
  <c r="D504" i="19" s="1"/>
  <c r="C502" i="19"/>
  <c r="D502" i="19" s="1"/>
  <c r="C503" i="19"/>
  <c r="D503" i="19" s="1"/>
  <c r="C832" i="19"/>
  <c r="D832" i="19" s="1"/>
  <c r="C834" i="19"/>
  <c r="D834" i="19" s="1"/>
  <c r="C835" i="19"/>
  <c r="D835" i="19" s="1"/>
  <c r="C836" i="19"/>
  <c r="D836" i="19" s="1"/>
  <c r="C837" i="19"/>
  <c r="D837" i="19" s="1"/>
  <c r="C838" i="19"/>
  <c r="D838" i="19" s="1"/>
  <c r="C833" i="19"/>
  <c r="D833" i="19" s="1"/>
  <c r="C830" i="19"/>
  <c r="C831" i="19"/>
  <c r="D831" i="19" s="1"/>
  <c r="C1718" i="19"/>
  <c r="D1718" i="19" s="1"/>
  <c r="C1716" i="19"/>
  <c r="D1716" i="19" s="1"/>
  <c r="C1719" i="19"/>
  <c r="D1719" i="19" s="1"/>
  <c r="C1715" i="19"/>
  <c r="D1715" i="19" s="1"/>
  <c r="C1717" i="19"/>
  <c r="D1717" i="19" s="1"/>
  <c r="C1714" i="19"/>
  <c r="D1714" i="19" s="1"/>
  <c r="C1712" i="19"/>
  <c r="D1712" i="19" s="1"/>
  <c r="C1720" i="19"/>
  <c r="D1720" i="19" s="1"/>
  <c r="C1713" i="19"/>
  <c r="D1713" i="19" s="1"/>
  <c r="C1677" i="19"/>
  <c r="D1677" i="19" s="1"/>
  <c r="C1681" i="19"/>
  <c r="D1681" i="19" s="1"/>
  <c r="C1679" i="19"/>
  <c r="D1679" i="19" s="1"/>
  <c r="C1680" i="19"/>
  <c r="D1680" i="19" s="1"/>
  <c r="C1682" i="19"/>
  <c r="D1682" i="19" s="1"/>
  <c r="C1683" i="19"/>
  <c r="D1683" i="19" s="1"/>
  <c r="C1676" i="19"/>
  <c r="D1676" i="19" s="1"/>
  <c r="C1678" i="19"/>
  <c r="D1678" i="19" s="1"/>
  <c r="C1684" i="19"/>
  <c r="D1684" i="19" s="1"/>
  <c r="C779" i="19"/>
  <c r="D779" i="19" s="1"/>
  <c r="C776" i="19"/>
  <c r="C784" i="19"/>
  <c r="D784" i="19" s="1"/>
  <c r="C778" i="19"/>
  <c r="D778" i="19" s="1"/>
  <c r="C781" i="19"/>
  <c r="D781" i="19" s="1"/>
  <c r="C782" i="19"/>
  <c r="D782" i="19" s="1"/>
  <c r="C780" i="19"/>
  <c r="D780" i="19" s="1"/>
  <c r="C777" i="19"/>
  <c r="D777" i="19" s="1"/>
  <c r="C783" i="19"/>
  <c r="D783" i="19" s="1"/>
  <c r="C1669" i="19"/>
  <c r="D1669" i="19" s="1"/>
  <c r="C1675" i="19"/>
  <c r="D1675" i="19" s="1"/>
  <c r="C1667" i="19"/>
  <c r="D1667" i="19" s="1"/>
  <c r="C1671" i="19"/>
  <c r="D1671" i="19" s="1"/>
  <c r="C1670" i="19"/>
  <c r="D1670" i="19" s="1"/>
  <c r="C1672" i="19"/>
  <c r="D1672" i="19" s="1"/>
  <c r="C1674" i="19"/>
  <c r="D1674" i="19" s="1"/>
  <c r="C1673" i="19"/>
  <c r="D1673" i="19" s="1"/>
  <c r="C1668" i="19"/>
  <c r="D1668" i="19" s="1"/>
  <c r="C1623" i="19"/>
  <c r="D1623" i="19" s="1"/>
  <c r="C1625" i="19"/>
  <c r="D1625" i="19" s="1"/>
  <c r="C1629" i="19"/>
  <c r="D1629" i="19" s="1"/>
  <c r="C1622" i="19"/>
  <c r="D1622" i="19" s="1"/>
  <c r="C1624" i="19"/>
  <c r="D1624" i="19" s="1"/>
  <c r="C1630" i="19"/>
  <c r="D1630" i="19" s="1"/>
  <c r="C1628" i="19"/>
  <c r="D1628" i="19" s="1"/>
  <c r="C1626" i="19"/>
  <c r="D1626" i="19" s="1"/>
  <c r="C1627" i="19"/>
  <c r="D1627" i="19" s="1"/>
  <c r="C157" i="19"/>
  <c r="D157" i="19" s="1"/>
  <c r="C161" i="19"/>
  <c r="D161" i="19" s="1"/>
  <c r="C163" i="19"/>
  <c r="D163" i="19" s="1"/>
  <c r="C160" i="19"/>
  <c r="D160" i="19" s="1"/>
  <c r="C158" i="19"/>
  <c r="D158" i="19" s="1"/>
  <c r="C159" i="19"/>
  <c r="D159" i="19" s="1"/>
  <c r="C162" i="19"/>
  <c r="D162" i="19" s="1"/>
  <c r="C1618" i="19"/>
  <c r="D1618" i="19" s="1"/>
  <c r="C1621" i="19"/>
  <c r="D1621" i="19" s="1"/>
  <c r="C1615" i="19"/>
  <c r="D1615" i="19" s="1"/>
  <c r="C1616" i="19"/>
  <c r="D1616" i="19" s="1"/>
  <c r="C1619" i="19"/>
  <c r="D1619" i="19" s="1"/>
  <c r="C1614" i="19"/>
  <c r="D1614" i="19" s="1"/>
  <c r="C1620" i="19"/>
  <c r="D1620" i="19" s="1"/>
  <c r="C1617" i="19"/>
  <c r="D1617" i="19" s="1"/>
  <c r="C1613" i="19"/>
  <c r="D1613" i="19" s="1"/>
  <c r="C1572" i="19"/>
  <c r="D1572" i="19" s="1"/>
  <c r="C1570" i="19"/>
  <c r="D1570" i="19" s="1"/>
  <c r="C1575" i="19"/>
  <c r="D1575" i="19" s="1"/>
  <c r="C1568" i="19"/>
  <c r="D1568" i="19" s="1"/>
  <c r="C1573" i="19"/>
  <c r="D1573" i="19" s="1"/>
  <c r="C1576" i="19"/>
  <c r="D1576" i="19" s="1"/>
  <c r="C1574" i="19"/>
  <c r="D1574" i="19" s="1"/>
  <c r="C1571" i="19"/>
  <c r="D1571" i="19" s="1"/>
  <c r="C1569" i="19"/>
  <c r="D1569" i="19" s="1"/>
  <c r="C1562" i="19"/>
  <c r="D1562" i="19" s="1"/>
  <c r="C1565" i="19"/>
  <c r="D1565" i="19" s="1"/>
  <c r="C1564" i="19"/>
  <c r="D1564" i="19" s="1"/>
  <c r="C1566" i="19"/>
  <c r="D1566" i="19" s="1"/>
  <c r="C1567" i="19"/>
  <c r="D1567" i="19" s="1"/>
  <c r="C1561" i="19"/>
  <c r="D1561" i="19" s="1"/>
  <c r="C1559" i="19"/>
  <c r="D1559" i="19" s="1"/>
  <c r="C1563" i="19"/>
  <c r="D1563" i="19" s="1"/>
  <c r="C1560" i="19"/>
  <c r="D1560" i="19" s="1"/>
  <c r="C1527" i="19"/>
  <c r="D1527" i="19" s="1"/>
  <c r="C1524" i="19"/>
  <c r="D1524" i="19" s="1"/>
  <c r="C1525" i="19"/>
  <c r="D1525" i="19" s="1"/>
  <c r="C1531" i="19"/>
  <c r="D1531" i="19" s="1"/>
  <c r="C1526" i="19"/>
  <c r="D1526" i="19" s="1"/>
  <c r="C1529" i="19"/>
  <c r="D1529" i="19" s="1"/>
  <c r="C1523" i="19"/>
  <c r="D1523" i="19" s="1"/>
  <c r="C1528" i="19"/>
  <c r="D1528" i="19" s="1"/>
  <c r="C1530" i="19"/>
  <c r="D1530" i="19" s="1"/>
  <c r="C53" i="19"/>
  <c r="D53" i="19" s="1"/>
  <c r="C48" i="19"/>
  <c r="D48" i="19" s="1"/>
  <c r="C51" i="19"/>
  <c r="D51" i="19" s="1"/>
  <c r="C50" i="19"/>
  <c r="D50" i="19" s="1"/>
  <c r="C49" i="19"/>
  <c r="D49" i="19" s="1"/>
  <c r="C47" i="19"/>
  <c r="C54" i="19"/>
  <c r="D54" i="19" s="1"/>
  <c r="C52" i="19"/>
  <c r="D52" i="19" s="1"/>
  <c r="C55" i="19"/>
  <c r="D55" i="19" s="1"/>
  <c r="C588" i="19"/>
  <c r="D588" i="19" s="1"/>
  <c r="C595" i="19"/>
  <c r="D595" i="19" s="1"/>
  <c r="C1470" i="19"/>
  <c r="D1470" i="19" s="1"/>
  <c r="C1476" i="19"/>
  <c r="D1476" i="19" s="1"/>
  <c r="C1471" i="19"/>
  <c r="D1471" i="19" s="1"/>
  <c r="C1474" i="19"/>
  <c r="D1474" i="19" s="1"/>
  <c r="C1472" i="19"/>
  <c r="D1472" i="19" s="1"/>
  <c r="C1475" i="19"/>
  <c r="D1475" i="19" s="1"/>
  <c r="C1473" i="19"/>
  <c r="D1473" i="19" s="1"/>
  <c r="C1469" i="19"/>
  <c r="D1469" i="19" s="1"/>
  <c r="C1477" i="19"/>
  <c r="D1477" i="19" s="1"/>
  <c r="C1508" i="19"/>
  <c r="D1508" i="19" s="1"/>
  <c r="C1509" i="19"/>
  <c r="D1509" i="19" s="1"/>
  <c r="C1505" i="19"/>
  <c r="D1505" i="19" s="1"/>
  <c r="C1506" i="19"/>
  <c r="D1506" i="19" s="1"/>
  <c r="C1507" i="19"/>
  <c r="D1507" i="19" s="1"/>
  <c r="C1512" i="19"/>
  <c r="D1512" i="19" s="1"/>
  <c r="C1510" i="19"/>
  <c r="D1510" i="19" s="1"/>
  <c r="C1513" i="19"/>
  <c r="D1513" i="19" s="1"/>
  <c r="C1511" i="19"/>
  <c r="D1511" i="19" s="1"/>
  <c r="C1420" i="19"/>
  <c r="D1420" i="19" s="1"/>
  <c r="C1417" i="19"/>
  <c r="D1417" i="19" s="1"/>
  <c r="C1416" i="19"/>
  <c r="D1416" i="19" s="1"/>
  <c r="C1423" i="19"/>
  <c r="D1423" i="19" s="1"/>
  <c r="C1422" i="19"/>
  <c r="D1422" i="19" s="1"/>
  <c r="C1419" i="19"/>
  <c r="D1419" i="19" s="1"/>
  <c r="C1421" i="19"/>
  <c r="D1421" i="19" s="1"/>
  <c r="C1415" i="19"/>
  <c r="D1415" i="19" s="1"/>
  <c r="C1418" i="19"/>
  <c r="D1418" i="19" s="1"/>
  <c r="C1381" i="19"/>
  <c r="D1381" i="19" s="1"/>
  <c r="C1384" i="19"/>
  <c r="D1384" i="19" s="1"/>
  <c r="C1387" i="19"/>
  <c r="D1387" i="19" s="1"/>
  <c r="C1379" i="19"/>
  <c r="D1379" i="19" s="1"/>
  <c r="C1386" i="19"/>
  <c r="D1386" i="19" s="1"/>
  <c r="C1382" i="19"/>
  <c r="D1382" i="19" s="1"/>
  <c r="C1383" i="19"/>
  <c r="D1383" i="19" s="1"/>
  <c r="C1380" i="19"/>
  <c r="D1380" i="19" s="1"/>
  <c r="C1385" i="19"/>
  <c r="D1385" i="19" s="1"/>
  <c r="C480" i="19"/>
  <c r="D480" i="19" s="1"/>
  <c r="C483" i="19"/>
  <c r="D483" i="19" s="1"/>
  <c r="C485" i="19"/>
  <c r="D485" i="19" s="1"/>
  <c r="C479" i="19"/>
  <c r="C487" i="19"/>
  <c r="D487" i="19" s="1"/>
  <c r="C484" i="19"/>
  <c r="D484" i="19" s="1"/>
  <c r="C481" i="19"/>
  <c r="D481" i="19" s="1"/>
  <c r="C486" i="19"/>
  <c r="D486" i="19" s="1"/>
  <c r="C482" i="19"/>
  <c r="D482" i="19" s="1"/>
  <c r="C843" i="19"/>
  <c r="D843" i="19" s="1"/>
  <c r="C840" i="19"/>
  <c r="D840" i="19" s="1"/>
  <c r="C839" i="19"/>
  <c r="C841" i="19"/>
  <c r="D841" i="19" s="1"/>
  <c r="C846" i="19"/>
  <c r="D846" i="19" s="1"/>
  <c r="C845" i="19"/>
  <c r="D845" i="19" s="1"/>
  <c r="C847" i="19"/>
  <c r="D847" i="19" s="1"/>
  <c r="C844" i="19"/>
  <c r="D844" i="19" s="1"/>
  <c r="C842" i="19"/>
  <c r="D842" i="19" s="1"/>
  <c r="C810" i="19"/>
  <c r="D810" i="19" s="1"/>
  <c r="C811" i="19"/>
  <c r="D811" i="19" s="1"/>
  <c r="C808" i="19"/>
  <c r="D808" i="19" s="1"/>
  <c r="C809" i="19"/>
  <c r="D809" i="19" s="1"/>
  <c r="C804" i="19"/>
  <c r="D804" i="19" s="1"/>
  <c r="C805" i="19"/>
  <c r="D805" i="19" s="1"/>
  <c r="C806" i="19"/>
  <c r="D806" i="19" s="1"/>
  <c r="C803" i="19"/>
  <c r="C807" i="19"/>
  <c r="D807" i="19" s="1"/>
  <c r="C789" i="19"/>
  <c r="D789" i="19" s="1"/>
  <c r="C787" i="19"/>
  <c r="D787" i="19" s="1"/>
  <c r="C788" i="19"/>
  <c r="D788" i="19" s="1"/>
  <c r="C790" i="19"/>
  <c r="D790" i="19" s="1"/>
  <c r="C786" i="19"/>
  <c r="D786" i="19" s="1"/>
  <c r="C792" i="19"/>
  <c r="D792" i="19" s="1"/>
  <c r="C793" i="19"/>
  <c r="D793" i="19" s="1"/>
  <c r="C791" i="19"/>
  <c r="D791" i="19" s="1"/>
  <c r="C785" i="19"/>
  <c r="C1250" i="19"/>
  <c r="D1250" i="19" s="1"/>
  <c r="C1249" i="19"/>
  <c r="D1249" i="19" s="1"/>
  <c r="C1246" i="19"/>
  <c r="D1246" i="19" s="1"/>
  <c r="C1245" i="19"/>
  <c r="D1245" i="19" s="1"/>
  <c r="C1252" i="19"/>
  <c r="D1252" i="19" s="1"/>
  <c r="C1251" i="19"/>
  <c r="D1251" i="19" s="1"/>
  <c r="C1244" i="19"/>
  <c r="D1244" i="19" s="1"/>
  <c r="C1248" i="19"/>
  <c r="D1248" i="19" s="1"/>
  <c r="C1247" i="19"/>
  <c r="D1247" i="19" s="1"/>
  <c r="C1278" i="19"/>
  <c r="D1278" i="19" s="1"/>
  <c r="C1273" i="19"/>
  <c r="D1273" i="19" s="1"/>
  <c r="C1276" i="19"/>
  <c r="D1276" i="19" s="1"/>
  <c r="C1275" i="19"/>
  <c r="D1275" i="19" s="1"/>
  <c r="C1274" i="19"/>
  <c r="D1274" i="19" s="1"/>
  <c r="C1279" i="19"/>
  <c r="D1279" i="19" s="1"/>
  <c r="C1271" i="19"/>
  <c r="D1271" i="19" s="1"/>
  <c r="C1277" i="19"/>
  <c r="D1277" i="19" s="1"/>
  <c r="C1272" i="19"/>
  <c r="D1272" i="19" s="1"/>
  <c r="C316" i="19"/>
  <c r="D316" i="19" s="1"/>
  <c r="C308" i="19"/>
  <c r="C314" i="19"/>
  <c r="D314" i="19" s="1"/>
  <c r="C309" i="19"/>
  <c r="D309" i="19" s="1"/>
  <c r="C312" i="19"/>
  <c r="D312" i="19" s="1"/>
  <c r="C313" i="19"/>
  <c r="D313" i="19" s="1"/>
  <c r="C315" i="19"/>
  <c r="D315" i="19" s="1"/>
  <c r="C310" i="19"/>
  <c r="D310" i="19" s="1"/>
  <c r="C311" i="19"/>
  <c r="D311" i="19" s="1"/>
  <c r="C1190" i="19"/>
  <c r="D1190" i="19" s="1"/>
  <c r="C1194" i="19"/>
  <c r="D1194" i="19" s="1"/>
  <c r="C1191" i="19"/>
  <c r="D1191" i="19" s="1"/>
  <c r="C1195" i="19"/>
  <c r="D1195" i="19" s="1"/>
  <c r="C1197" i="19"/>
  <c r="D1197" i="19" s="1"/>
  <c r="C1198" i="19"/>
  <c r="D1198" i="19" s="1"/>
  <c r="C1193" i="19"/>
  <c r="D1193" i="19" s="1"/>
  <c r="C1196" i="19"/>
  <c r="D1196" i="19" s="1"/>
  <c r="C1192" i="19"/>
  <c r="D1192" i="19" s="1"/>
  <c r="C1302" i="19"/>
  <c r="D1302" i="19" s="1"/>
  <c r="C1298" i="19"/>
  <c r="D1298" i="19" s="1"/>
  <c r="C1304" i="19"/>
  <c r="D1304" i="19" s="1"/>
  <c r="C1300" i="19"/>
  <c r="D1300" i="19" s="1"/>
  <c r="C1306" i="19"/>
  <c r="D1306" i="19" s="1"/>
  <c r="C1301" i="19"/>
  <c r="D1301" i="19" s="1"/>
  <c r="C1299" i="19"/>
  <c r="D1299" i="19" s="1"/>
  <c r="C1305" i="19"/>
  <c r="D1305" i="19" s="1"/>
  <c r="C1303" i="19"/>
  <c r="D1303" i="19" s="1"/>
  <c r="C262" i="19"/>
  <c r="D262" i="19" s="1"/>
  <c r="C257" i="19"/>
  <c r="D257" i="19" s="1"/>
  <c r="C259" i="19"/>
  <c r="D259" i="19" s="1"/>
  <c r="C256" i="19"/>
  <c r="D256" i="19" s="1"/>
  <c r="C254" i="19"/>
  <c r="C260" i="19"/>
  <c r="D260" i="19" s="1"/>
  <c r="C258" i="19"/>
  <c r="D258" i="19" s="1"/>
  <c r="C255" i="19"/>
  <c r="D255" i="19" s="1"/>
  <c r="C261" i="19"/>
  <c r="D261" i="19" s="1"/>
  <c r="C1142" i="19"/>
  <c r="D1142" i="19" s="1"/>
  <c r="C1137" i="19"/>
  <c r="D1137" i="19" s="1"/>
  <c r="C1136" i="19"/>
  <c r="D1136" i="19" s="1"/>
  <c r="C1141" i="19"/>
  <c r="D1141" i="19" s="1"/>
  <c r="C1144" i="19"/>
  <c r="D1144" i="19" s="1"/>
  <c r="C1140" i="19"/>
  <c r="D1140" i="19" s="1"/>
  <c r="C1139" i="19"/>
  <c r="D1139" i="19" s="1"/>
  <c r="C1143" i="19"/>
  <c r="D1143" i="19" s="1"/>
  <c r="C1138" i="19"/>
  <c r="D1138" i="19" s="1"/>
  <c r="C1107" i="19"/>
  <c r="D1107" i="19" s="1"/>
  <c r="C1106" i="19"/>
  <c r="D1106" i="19" s="1"/>
  <c r="C1105" i="19"/>
  <c r="D1105" i="19" s="1"/>
  <c r="C1100" i="19"/>
  <c r="D1100" i="19" s="1"/>
  <c r="C1103" i="19"/>
  <c r="D1103" i="19" s="1"/>
  <c r="C1104" i="19"/>
  <c r="D1104" i="19" s="1"/>
  <c r="C1108" i="19"/>
  <c r="D1108" i="19" s="1"/>
  <c r="C1101" i="19"/>
  <c r="D1101" i="19" s="1"/>
  <c r="C1102" i="19"/>
  <c r="D1102" i="19" s="1"/>
  <c r="C202" i="19"/>
  <c r="D202" i="19" s="1"/>
  <c r="C203" i="19"/>
  <c r="D203" i="19" s="1"/>
  <c r="C205" i="19"/>
  <c r="D205" i="19" s="1"/>
  <c r="C207" i="19"/>
  <c r="D207" i="19" s="1"/>
  <c r="C201" i="19"/>
  <c r="D201" i="19" s="1"/>
  <c r="C208" i="19"/>
  <c r="D208" i="19" s="1"/>
  <c r="C204" i="19"/>
  <c r="D204" i="19" s="1"/>
  <c r="C206" i="19"/>
  <c r="D206" i="19" s="1"/>
  <c r="C200" i="19"/>
  <c r="C1095" i="19"/>
  <c r="D1095" i="19" s="1"/>
  <c r="C1097" i="19"/>
  <c r="D1097" i="19" s="1"/>
  <c r="C1094" i="19"/>
  <c r="D1094" i="19" s="1"/>
  <c r="C1099" i="19"/>
  <c r="D1099" i="19" s="1"/>
  <c r="C1096" i="19"/>
  <c r="D1096" i="19" s="1"/>
  <c r="C1092" i="19"/>
  <c r="D1092" i="19" s="1"/>
  <c r="C1098" i="19"/>
  <c r="D1098" i="19" s="1"/>
  <c r="C1091" i="19"/>
  <c r="D1091" i="19" s="1"/>
  <c r="C1093" i="19"/>
  <c r="D1093" i="19" s="1"/>
  <c r="C1046" i="19"/>
  <c r="D1046" i="19" s="1"/>
  <c r="C1050" i="19"/>
  <c r="D1050" i="19" s="1"/>
  <c r="C1049" i="19"/>
  <c r="D1049" i="19" s="1"/>
  <c r="C1052" i="19"/>
  <c r="D1052" i="19" s="1"/>
  <c r="C1048" i="19"/>
  <c r="D1048" i="19" s="1"/>
  <c r="C1054" i="19"/>
  <c r="D1054" i="19" s="1"/>
  <c r="C1047" i="19"/>
  <c r="D1047" i="19" s="1"/>
  <c r="C1053" i="19"/>
  <c r="D1053" i="19" s="1"/>
  <c r="C1051" i="19"/>
  <c r="D1051" i="19" s="1"/>
  <c r="C1732" i="19"/>
  <c r="D1732" i="19" s="1"/>
  <c r="C1733" i="19"/>
  <c r="D1733" i="19" s="1"/>
  <c r="C1735" i="19"/>
  <c r="D1735" i="19" s="1"/>
  <c r="C1730" i="19"/>
  <c r="D1730" i="19" s="1"/>
  <c r="C1736" i="19"/>
  <c r="D1736" i="19" s="1"/>
  <c r="C1734" i="19"/>
  <c r="D1734" i="19" s="1"/>
  <c r="C1731" i="19"/>
  <c r="D1731" i="19" s="1"/>
  <c r="C1738" i="19"/>
  <c r="D1738" i="19" s="1"/>
  <c r="C1737" i="19"/>
  <c r="D1737" i="19" s="1"/>
  <c r="C1045" i="19"/>
  <c r="D1045" i="19" s="1"/>
  <c r="C1037" i="19"/>
  <c r="D1037" i="19" s="1"/>
  <c r="C1038" i="19"/>
  <c r="D1038" i="19" s="1"/>
  <c r="C1039" i="19"/>
  <c r="D1039" i="19" s="1"/>
  <c r="C1040" i="19"/>
  <c r="D1040" i="19" s="1"/>
  <c r="C1044" i="19"/>
  <c r="D1044" i="19" s="1"/>
  <c r="C1043" i="19"/>
  <c r="D1043" i="19" s="1"/>
  <c r="C1042" i="19"/>
  <c r="D1042" i="19" s="1"/>
  <c r="C1041" i="19"/>
  <c r="D1041" i="19" s="1"/>
  <c r="C994" i="19"/>
  <c r="D994" i="19" s="1"/>
  <c r="C1000" i="19"/>
  <c r="D1000" i="19" s="1"/>
  <c r="C999" i="19"/>
  <c r="D999" i="19" s="1"/>
  <c r="C998" i="19"/>
  <c r="D998" i="19" s="1"/>
  <c r="C997" i="19"/>
  <c r="D997" i="19" s="1"/>
  <c r="C996" i="19"/>
  <c r="D996" i="19" s="1"/>
  <c r="C995" i="19"/>
  <c r="D995" i="19" s="1"/>
  <c r="C992" i="19"/>
  <c r="D992" i="19" s="1"/>
  <c r="C993" i="19"/>
  <c r="D993" i="19" s="1"/>
  <c r="C1536" i="19"/>
  <c r="D1536" i="19" s="1"/>
  <c r="C1539" i="19"/>
  <c r="D1539" i="19" s="1"/>
  <c r="C1538" i="19"/>
  <c r="D1538" i="19" s="1"/>
  <c r="C1534" i="19"/>
  <c r="D1534" i="19" s="1"/>
  <c r="C1533" i="19"/>
  <c r="D1533" i="19" s="1"/>
  <c r="C1540" i="19"/>
  <c r="D1540" i="19" s="1"/>
  <c r="C1535" i="19"/>
  <c r="D1535" i="19" s="1"/>
  <c r="C1532" i="19"/>
  <c r="D1532" i="19" s="1"/>
  <c r="C1537" i="19"/>
  <c r="D1537" i="19" s="1"/>
  <c r="C985" i="19"/>
  <c r="D985" i="19" s="1"/>
  <c r="C991" i="19"/>
  <c r="D991" i="19" s="1"/>
  <c r="C986" i="19"/>
  <c r="D986" i="19" s="1"/>
  <c r="C989" i="19"/>
  <c r="D989" i="19" s="1"/>
  <c r="C987" i="19"/>
  <c r="D987" i="19" s="1"/>
  <c r="C988" i="19"/>
  <c r="D988" i="19" s="1"/>
  <c r="C990" i="19"/>
  <c r="D990" i="19" s="1"/>
  <c r="C984" i="19"/>
  <c r="D984" i="19" s="1"/>
  <c r="C983" i="19"/>
  <c r="D983" i="19" s="1"/>
  <c r="C954" i="19"/>
  <c r="D954" i="19" s="1"/>
  <c r="C947" i="19"/>
  <c r="D947" i="19" s="1"/>
  <c r="C955" i="19"/>
  <c r="D955" i="19" s="1"/>
  <c r="C951" i="19"/>
  <c r="D951" i="19" s="1"/>
  <c r="C953" i="19"/>
  <c r="D953" i="19" s="1"/>
  <c r="C952" i="19"/>
  <c r="D952" i="19" s="1"/>
  <c r="C949" i="19"/>
  <c r="D949" i="19" s="1"/>
  <c r="C948" i="19"/>
  <c r="D948" i="19" s="1"/>
  <c r="C950" i="19"/>
  <c r="D950" i="19" s="1"/>
  <c r="C1483" i="19"/>
  <c r="D1483" i="19" s="1"/>
  <c r="C1479" i="19"/>
  <c r="D1479" i="19" s="1"/>
  <c r="C1482" i="19"/>
  <c r="D1482" i="19" s="1"/>
  <c r="C1486" i="19"/>
  <c r="D1486" i="19" s="1"/>
  <c r="C1480" i="19"/>
  <c r="D1480" i="19" s="1"/>
  <c r="C1484" i="19"/>
  <c r="D1484" i="19" s="1"/>
  <c r="C1478" i="19"/>
  <c r="D1478" i="19" s="1"/>
  <c r="C1485" i="19"/>
  <c r="D1485" i="19" s="1"/>
  <c r="C1481" i="19"/>
  <c r="D1481" i="19" s="1"/>
  <c r="C18" i="19"/>
  <c r="D18" i="19" s="1"/>
  <c r="C16" i="19"/>
  <c r="D16" i="19" s="1"/>
  <c r="C14" i="19"/>
  <c r="D14" i="19" s="1"/>
  <c r="C12" i="19"/>
  <c r="D12" i="19" s="1"/>
  <c r="C19" i="19"/>
  <c r="D19" i="19" s="1"/>
  <c r="C13" i="19"/>
  <c r="D13" i="19" s="1"/>
  <c r="C11" i="19"/>
  <c r="C15" i="19"/>
  <c r="D15" i="19" s="1"/>
  <c r="C17" i="19"/>
  <c r="D17" i="19" s="1"/>
  <c r="C900" i="19"/>
  <c r="D900" i="19" s="1"/>
  <c r="C896" i="19"/>
  <c r="D896" i="19" s="1"/>
  <c r="C897" i="19"/>
  <c r="D897" i="19" s="1"/>
  <c r="C898" i="19"/>
  <c r="D898" i="19" s="1"/>
  <c r="C894" i="19"/>
  <c r="D894" i="19" s="1"/>
  <c r="C893" i="19"/>
  <c r="C901" i="19"/>
  <c r="D901" i="19" s="1"/>
  <c r="C895" i="19"/>
  <c r="D895" i="19" s="1"/>
  <c r="C899" i="19"/>
  <c r="D899" i="19" s="1"/>
  <c r="C1430" i="19"/>
  <c r="D1430" i="19" s="1"/>
  <c r="C1426" i="19"/>
  <c r="D1426" i="19" s="1"/>
  <c r="C1428" i="19"/>
  <c r="D1428" i="19" s="1"/>
  <c r="C1429" i="19"/>
  <c r="D1429" i="19" s="1"/>
  <c r="C1427" i="19"/>
  <c r="D1427" i="19" s="1"/>
  <c r="C1432" i="19"/>
  <c r="D1432" i="19" s="1"/>
  <c r="C1425" i="19"/>
  <c r="D1425" i="19" s="1"/>
  <c r="C1431" i="19"/>
  <c r="D1431" i="19" s="1"/>
  <c r="C1424" i="19"/>
  <c r="D1424" i="19" s="1"/>
  <c r="C1435" i="19"/>
  <c r="D1435" i="19" s="1"/>
  <c r="C1440" i="19"/>
  <c r="D1440" i="19" s="1"/>
  <c r="C1434" i="19"/>
  <c r="D1434" i="19" s="1"/>
  <c r="C1433" i="19"/>
  <c r="D1433" i="19" s="1"/>
  <c r="C1439" i="19"/>
  <c r="D1439" i="19" s="1"/>
  <c r="C1441" i="19"/>
  <c r="D1441" i="19" s="1"/>
  <c r="C1438" i="19"/>
  <c r="D1438" i="19" s="1"/>
  <c r="C1437" i="19"/>
  <c r="D1437" i="19" s="1"/>
  <c r="C1436" i="19"/>
  <c r="D1436" i="19" s="1"/>
  <c r="C319" i="19"/>
  <c r="D319" i="19" s="1"/>
  <c r="C325" i="19"/>
  <c r="D325" i="19" s="1"/>
  <c r="C323" i="19"/>
  <c r="D323" i="19" s="1"/>
  <c r="C324" i="19"/>
  <c r="D324" i="19" s="1"/>
  <c r="C320" i="19"/>
  <c r="D320" i="19" s="1"/>
  <c r="C318" i="19"/>
  <c r="D318" i="19" s="1"/>
  <c r="C322" i="19"/>
  <c r="D322" i="19" s="1"/>
  <c r="C317" i="19"/>
  <c r="C321" i="19"/>
  <c r="D321" i="19" s="1"/>
  <c r="C852" i="19"/>
  <c r="D852" i="19" s="1"/>
  <c r="C851" i="19"/>
  <c r="D851" i="19" s="1"/>
  <c r="C849" i="19"/>
  <c r="D849" i="19" s="1"/>
  <c r="C850" i="19"/>
  <c r="D850" i="19" s="1"/>
  <c r="C855" i="19"/>
  <c r="D855" i="19" s="1"/>
  <c r="C854" i="19"/>
  <c r="D854" i="19" s="1"/>
  <c r="C848" i="19"/>
  <c r="C856" i="19"/>
  <c r="D856" i="19" s="1"/>
  <c r="C853" i="19"/>
  <c r="D853" i="19" s="1"/>
  <c r="C1394" i="19"/>
  <c r="D1394" i="19" s="1"/>
  <c r="C1396" i="19"/>
  <c r="D1396" i="19" s="1"/>
  <c r="C1393" i="19"/>
  <c r="D1393" i="19" s="1"/>
  <c r="C1392" i="19"/>
  <c r="D1392" i="19" s="1"/>
  <c r="C1389" i="19"/>
  <c r="D1389" i="19" s="1"/>
  <c r="C1391" i="19"/>
  <c r="D1391" i="19" s="1"/>
  <c r="C1390" i="19"/>
  <c r="D1390" i="19" s="1"/>
  <c r="C1395" i="19"/>
  <c r="D1395" i="19" s="1"/>
  <c r="C1388" i="19"/>
  <c r="D1388" i="19" s="1"/>
  <c r="C874" i="19"/>
  <c r="D874" i="19" s="1"/>
  <c r="C866" i="19"/>
  <c r="C872" i="19"/>
  <c r="D872" i="19" s="1"/>
  <c r="C873" i="19"/>
  <c r="D873" i="19" s="1"/>
  <c r="C870" i="19"/>
  <c r="D870" i="19" s="1"/>
  <c r="C867" i="19"/>
  <c r="D867" i="19" s="1"/>
  <c r="C868" i="19"/>
  <c r="D868" i="19" s="1"/>
  <c r="C871" i="19"/>
  <c r="D871" i="19" s="1"/>
  <c r="C869" i="19"/>
  <c r="D869" i="19" s="1"/>
  <c r="C756" i="19"/>
  <c r="D756" i="19" s="1"/>
  <c r="C750" i="19"/>
  <c r="D750" i="19" s="1"/>
  <c r="C757" i="19"/>
  <c r="D757" i="19" s="1"/>
  <c r="C749" i="19"/>
  <c r="C754" i="19"/>
  <c r="D754" i="19" s="1"/>
  <c r="C753" i="19"/>
  <c r="D753" i="19" s="1"/>
  <c r="C755" i="19"/>
  <c r="D755" i="19" s="1"/>
  <c r="C751" i="19"/>
  <c r="D751" i="19" s="1"/>
  <c r="C752" i="19"/>
  <c r="D752" i="19" s="1"/>
  <c r="C69" i="19"/>
  <c r="D69" i="19" s="1"/>
  <c r="C66" i="19"/>
  <c r="D66" i="19" s="1"/>
  <c r="C68" i="19"/>
  <c r="D68" i="19" s="1"/>
  <c r="C70" i="19"/>
  <c r="D70" i="19" s="1"/>
  <c r="C71" i="19"/>
  <c r="D71" i="19" s="1"/>
  <c r="C65" i="19"/>
  <c r="C73" i="19"/>
  <c r="D73" i="19" s="1"/>
  <c r="C67" i="19"/>
  <c r="D67" i="19" s="1"/>
  <c r="C72" i="19"/>
  <c r="D72" i="19" s="1"/>
  <c r="C670" i="19"/>
  <c r="D670" i="19" s="1"/>
  <c r="C673" i="19"/>
  <c r="D673" i="19" s="1"/>
  <c r="C676" i="19"/>
  <c r="D676" i="19" s="1"/>
  <c r="C672" i="19"/>
  <c r="D672" i="19" s="1"/>
  <c r="C668" i="19"/>
  <c r="C671" i="19"/>
  <c r="D671" i="19" s="1"/>
  <c r="C675" i="19"/>
  <c r="D675" i="19" s="1"/>
  <c r="C669" i="19"/>
  <c r="D669" i="19" s="1"/>
  <c r="C674" i="19"/>
  <c r="D674" i="19" s="1"/>
  <c r="C698" i="19"/>
  <c r="D698" i="19" s="1"/>
  <c r="C701" i="19"/>
  <c r="D701" i="19" s="1"/>
  <c r="C699" i="19"/>
  <c r="D699" i="19" s="1"/>
  <c r="C697" i="19"/>
  <c r="D697" i="19" s="1"/>
  <c r="C700" i="19"/>
  <c r="D700" i="19" s="1"/>
  <c r="C702" i="19"/>
  <c r="D702" i="19" s="1"/>
  <c r="C703" i="19"/>
  <c r="D703" i="19" s="1"/>
  <c r="C696" i="19"/>
  <c r="D696" i="19" s="1"/>
  <c r="C695" i="19"/>
  <c r="C431" i="19"/>
  <c r="D431" i="19" s="1"/>
  <c r="C429" i="19"/>
  <c r="D429" i="19" s="1"/>
  <c r="C430" i="19"/>
  <c r="D430" i="19" s="1"/>
  <c r="C428" i="19"/>
  <c r="D428" i="19" s="1"/>
  <c r="C426" i="19"/>
  <c r="D426" i="19" s="1"/>
  <c r="C427" i="19"/>
  <c r="D427" i="19" s="1"/>
  <c r="C433" i="19"/>
  <c r="D433" i="19" s="1"/>
  <c r="C432" i="19"/>
  <c r="D432" i="19" s="1"/>
  <c r="C425" i="19"/>
  <c r="C615" i="19"/>
  <c r="D615" i="19" s="1"/>
  <c r="C618" i="19"/>
  <c r="D618" i="19" s="1"/>
  <c r="C621" i="19"/>
  <c r="D621" i="19" s="1"/>
  <c r="C622" i="19"/>
  <c r="D622" i="19" s="1"/>
  <c r="C614" i="19"/>
  <c r="C617" i="19"/>
  <c r="D617" i="19" s="1"/>
  <c r="C619" i="19"/>
  <c r="D619" i="19" s="1"/>
  <c r="C616" i="19"/>
  <c r="D616" i="19" s="1"/>
  <c r="C620" i="19"/>
  <c r="D620" i="19" s="1"/>
  <c r="C726" i="19"/>
  <c r="D726" i="19" s="1"/>
  <c r="C728" i="19"/>
  <c r="D728" i="19" s="1"/>
  <c r="C730" i="19"/>
  <c r="D730" i="19" s="1"/>
  <c r="C722" i="19"/>
  <c r="C729" i="19"/>
  <c r="D729" i="19" s="1"/>
  <c r="C725" i="19"/>
  <c r="D725" i="19" s="1"/>
  <c r="C723" i="19"/>
  <c r="D723" i="19" s="1"/>
  <c r="C727" i="19"/>
  <c r="D727" i="19" s="1"/>
  <c r="C724" i="19"/>
  <c r="D724" i="19" s="1"/>
  <c r="C1765" i="19"/>
  <c r="D1765" i="19" s="1"/>
  <c r="C1762" i="19"/>
  <c r="D1762" i="19" s="1"/>
  <c r="C1759" i="19"/>
  <c r="D1759" i="19" s="1"/>
  <c r="C1761" i="19"/>
  <c r="D1761" i="19" s="1"/>
  <c r="C1758" i="19"/>
  <c r="D1758" i="19" s="1"/>
  <c r="C1764" i="19"/>
  <c r="D1764" i="19" s="1"/>
  <c r="C1763" i="19"/>
  <c r="D1763" i="19" s="1"/>
  <c r="C1757" i="19"/>
  <c r="D1757" i="19" s="1"/>
  <c r="C1760" i="19"/>
  <c r="D1760" i="19" s="1"/>
  <c r="C560" i="19"/>
  <c r="C562" i="19"/>
  <c r="D562" i="19" s="1"/>
  <c r="C567" i="19"/>
  <c r="D567" i="19" s="1"/>
  <c r="C566" i="19"/>
  <c r="D566" i="19" s="1"/>
  <c r="C568" i="19"/>
  <c r="D568" i="19" s="1"/>
  <c r="C564" i="19"/>
  <c r="D564" i="19" s="1"/>
  <c r="C565" i="19"/>
  <c r="D565" i="19" s="1"/>
  <c r="C561" i="19"/>
  <c r="D561" i="19" s="1"/>
  <c r="C563" i="19"/>
  <c r="D563" i="19" s="1"/>
  <c r="C530" i="19"/>
  <c r="D530" i="19" s="1"/>
  <c r="C526" i="19"/>
  <c r="D526" i="19" s="1"/>
  <c r="C531" i="19"/>
  <c r="D531" i="19" s="1"/>
  <c r="C527" i="19"/>
  <c r="D527" i="19" s="1"/>
  <c r="C528" i="19"/>
  <c r="D528" i="19" s="1"/>
  <c r="C524" i="19"/>
  <c r="C532" i="19"/>
  <c r="D532" i="19" s="1"/>
  <c r="C529" i="19"/>
  <c r="D529" i="19" s="1"/>
  <c r="C525" i="19"/>
  <c r="D525" i="19" s="1"/>
  <c r="C1710" i="19"/>
  <c r="D1710" i="19" s="1"/>
  <c r="C1709" i="19"/>
  <c r="D1709" i="19" s="1"/>
  <c r="C1707" i="19"/>
  <c r="D1707" i="19" s="1"/>
  <c r="C1711" i="19"/>
  <c r="D1711" i="19" s="1"/>
  <c r="C1708" i="19"/>
  <c r="D1708" i="19" s="1"/>
  <c r="C1703" i="19"/>
  <c r="D1703" i="19" s="1"/>
  <c r="C1704" i="19"/>
  <c r="D1704" i="19" s="1"/>
  <c r="C1705" i="19"/>
  <c r="D1705" i="19" s="1"/>
  <c r="C1706" i="19"/>
  <c r="D1706" i="19" s="1"/>
  <c r="C520" i="19"/>
  <c r="D520" i="19" s="1"/>
  <c r="C518" i="19"/>
  <c r="D518" i="19" s="1"/>
  <c r="C516" i="19"/>
  <c r="D516" i="19" s="1"/>
  <c r="C515" i="19"/>
  <c r="C523" i="19"/>
  <c r="D523" i="19" s="1"/>
  <c r="C517" i="19"/>
  <c r="D517" i="19" s="1"/>
  <c r="C522" i="19"/>
  <c r="D522" i="19" s="1"/>
  <c r="C521" i="19"/>
  <c r="D521" i="19" s="1"/>
  <c r="C519" i="19"/>
  <c r="D519" i="19" s="1"/>
  <c r="C476" i="19"/>
  <c r="D476" i="19" s="1"/>
  <c r="C475" i="19"/>
  <c r="D475" i="19" s="1"/>
  <c r="C473" i="19"/>
  <c r="D473" i="19" s="1"/>
  <c r="C478" i="19"/>
  <c r="D478" i="19" s="1"/>
  <c r="C474" i="19"/>
  <c r="D474" i="19" s="1"/>
  <c r="C471" i="19"/>
  <c r="D471" i="19" s="1"/>
  <c r="C477" i="19"/>
  <c r="D477" i="19" s="1"/>
  <c r="C470" i="19"/>
  <c r="C472" i="19"/>
  <c r="D472" i="19" s="1"/>
  <c r="C1156" i="19"/>
  <c r="D1156" i="19" s="1"/>
  <c r="C1155" i="19"/>
  <c r="D1155" i="19" s="1"/>
  <c r="C1160" i="19"/>
  <c r="D1160" i="19" s="1"/>
  <c r="C1158" i="19"/>
  <c r="D1158" i="19" s="1"/>
  <c r="C1157" i="19"/>
  <c r="D1157" i="19" s="1"/>
  <c r="C1162" i="19"/>
  <c r="D1162" i="19" s="1"/>
  <c r="C1154" i="19"/>
  <c r="D1154" i="19" s="1"/>
  <c r="C1159" i="19"/>
  <c r="D1159" i="19" s="1"/>
  <c r="C1161" i="19"/>
  <c r="D1161" i="19" s="1"/>
  <c r="C468" i="19"/>
  <c r="D468" i="19" s="1"/>
  <c r="C462" i="19"/>
  <c r="D462" i="19" s="1"/>
  <c r="C469" i="19"/>
  <c r="D469" i="19" s="1"/>
  <c r="C461" i="19"/>
  <c r="C464" i="19"/>
  <c r="D464" i="19" s="1"/>
  <c r="C466" i="19"/>
  <c r="D466" i="19" s="1"/>
  <c r="C463" i="19"/>
  <c r="D463" i="19" s="1"/>
  <c r="C465" i="19"/>
  <c r="D465" i="19" s="1"/>
  <c r="C467" i="19"/>
  <c r="D467" i="19" s="1"/>
  <c r="C417" i="19"/>
  <c r="D417" i="19" s="1"/>
  <c r="C423" i="19"/>
  <c r="D423" i="19" s="1"/>
  <c r="C424" i="19"/>
  <c r="D424" i="19" s="1"/>
  <c r="C420" i="19"/>
  <c r="D420" i="19" s="1"/>
  <c r="C416" i="19"/>
  <c r="C418" i="19"/>
  <c r="D418" i="19" s="1"/>
  <c r="C419" i="19"/>
  <c r="D419" i="19" s="1"/>
  <c r="C422" i="19"/>
  <c r="D422" i="19" s="1"/>
  <c r="C421" i="19"/>
  <c r="D421" i="19" s="1"/>
  <c r="C956" i="19"/>
  <c r="D956" i="19" s="1"/>
  <c r="C957" i="19"/>
  <c r="D957" i="19" s="1"/>
  <c r="C962" i="19"/>
  <c r="D962" i="19" s="1"/>
  <c r="C961" i="19"/>
  <c r="D961" i="19" s="1"/>
  <c r="C958" i="19"/>
  <c r="D958" i="19" s="1"/>
  <c r="C960" i="19"/>
  <c r="D960" i="19" s="1"/>
  <c r="C964" i="19"/>
  <c r="D964" i="19" s="1"/>
  <c r="C959" i="19"/>
  <c r="D959" i="19" s="1"/>
  <c r="C963" i="19"/>
  <c r="D963" i="19" s="1"/>
  <c r="C413" i="19"/>
  <c r="D413" i="19" s="1"/>
  <c r="C408" i="19"/>
  <c r="D408" i="19" s="1"/>
  <c r="C409" i="19"/>
  <c r="D409" i="19" s="1"/>
  <c r="C407" i="19"/>
  <c r="C410" i="19"/>
  <c r="D410" i="19" s="1"/>
  <c r="C414" i="19"/>
  <c r="D414" i="19" s="1"/>
  <c r="C411" i="19"/>
  <c r="D411" i="19" s="1"/>
  <c r="C415" i="19"/>
  <c r="D415" i="19" s="1"/>
  <c r="C412" i="19"/>
  <c r="D412" i="19" s="1"/>
  <c r="C376" i="19"/>
  <c r="D376" i="19" s="1"/>
  <c r="C374" i="19"/>
  <c r="D374" i="19" s="1"/>
  <c r="C372" i="19"/>
  <c r="D372" i="19" s="1"/>
  <c r="C371" i="19"/>
  <c r="C377" i="19"/>
  <c r="D377" i="19" s="1"/>
  <c r="C375" i="19"/>
  <c r="D375" i="19" s="1"/>
  <c r="C378" i="19"/>
  <c r="D378" i="19" s="1"/>
  <c r="C379" i="19"/>
  <c r="D379" i="19" s="1"/>
  <c r="C373" i="19"/>
  <c r="D373" i="19" s="1"/>
  <c r="C903" i="19"/>
  <c r="D903" i="19" s="1"/>
  <c r="C910" i="19"/>
  <c r="D910" i="19" s="1"/>
  <c r="C908" i="19"/>
  <c r="D908" i="19" s="1"/>
  <c r="C906" i="19"/>
  <c r="D906" i="19" s="1"/>
  <c r="C902" i="19"/>
  <c r="C904" i="19"/>
  <c r="D904" i="19" s="1"/>
  <c r="C905" i="19"/>
  <c r="D905" i="19" s="1"/>
  <c r="C909" i="19"/>
  <c r="D909" i="19" s="1"/>
  <c r="C907" i="19"/>
  <c r="D907" i="19" s="1"/>
  <c r="C1592" i="19"/>
  <c r="D1592" i="19" s="1"/>
  <c r="C1587" i="19"/>
  <c r="D1587" i="19" s="1"/>
  <c r="C1590" i="19"/>
  <c r="D1590" i="19" s="1"/>
  <c r="C1594" i="19"/>
  <c r="D1594" i="19" s="1"/>
  <c r="C1589" i="19"/>
  <c r="D1589" i="19" s="1"/>
  <c r="C1591" i="19"/>
  <c r="D1591" i="19" s="1"/>
  <c r="C1593" i="19"/>
  <c r="D1593" i="19" s="1"/>
  <c r="C1588" i="19"/>
  <c r="D1588" i="19" s="1"/>
  <c r="C1586" i="19"/>
  <c r="D1586" i="19" s="1"/>
  <c r="C210" i="19"/>
  <c r="D210" i="19" s="1"/>
  <c r="C217" i="19"/>
  <c r="D217" i="19" s="1"/>
  <c r="C209" i="19"/>
  <c r="C215" i="19"/>
  <c r="D215" i="19" s="1"/>
  <c r="C212" i="19"/>
  <c r="D212" i="19" s="1"/>
  <c r="C213" i="19"/>
  <c r="D213" i="19" s="1"/>
  <c r="C211" i="19"/>
  <c r="D211" i="19" s="1"/>
  <c r="C216" i="19"/>
  <c r="D216" i="19" s="1"/>
  <c r="C214" i="19"/>
  <c r="D214" i="19" s="1"/>
  <c r="C646" i="19"/>
  <c r="D646" i="19" s="1"/>
  <c r="C643" i="19"/>
  <c r="D643" i="19" s="1"/>
  <c r="C645" i="19"/>
  <c r="D645" i="19" s="1"/>
  <c r="C644" i="19"/>
  <c r="D644" i="19" s="1"/>
  <c r="C641" i="19"/>
  <c r="C648" i="19"/>
  <c r="D648" i="19" s="1"/>
  <c r="C647" i="19"/>
  <c r="D647" i="19" s="1"/>
  <c r="C642" i="19"/>
  <c r="D642" i="19" s="1"/>
  <c r="C649" i="19"/>
  <c r="D649" i="19" s="1"/>
  <c r="C333" i="19"/>
  <c r="D333" i="19" s="1"/>
  <c r="C328" i="19"/>
  <c r="D328" i="19" s="1"/>
  <c r="C327" i="19"/>
  <c r="D327" i="19" s="1"/>
  <c r="C326" i="19"/>
  <c r="C331" i="19"/>
  <c r="D331" i="19" s="1"/>
  <c r="C332" i="19"/>
  <c r="D332" i="19" s="1"/>
  <c r="C330" i="19"/>
  <c r="D330" i="19" s="1"/>
  <c r="C334" i="19"/>
  <c r="D334" i="19" s="1"/>
  <c r="C329" i="19"/>
  <c r="D329" i="19" s="1"/>
  <c r="C1016" i="19"/>
  <c r="D1016" i="19" s="1"/>
  <c r="C1018" i="19"/>
  <c r="D1018" i="19" s="1"/>
  <c r="C1010" i="19"/>
  <c r="D1010" i="19" s="1"/>
  <c r="C1011" i="19"/>
  <c r="D1011" i="19" s="1"/>
  <c r="C1013" i="19"/>
  <c r="D1013" i="19" s="1"/>
  <c r="C1015" i="19"/>
  <c r="D1015" i="19" s="1"/>
  <c r="C1012" i="19"/>
  <c r="D1012" i="19" s="1"/>
  <c r="C1014" i="19"/>
  <c r="D1014" i="19" s="1"/>
  <c r="C1017" i="19"/>
  <c r="D1017" i="19" s="1"/>
  <c r="C271" i="19"/>
  <c r="D271" i="19" s="1"/>
  <c r="C269" i="19"/>
  <c r="D269" i="19" s="1"/>
  <c r="C264" i="19"/>
  <c r="D264" i="19" s="1"/>
  <c r="C268" i="19"/>
  <c r="D268" i="19" s="1"/>
  <c r="C266" i="19"/>
  <c r="D266" i="19" s="1"/>
  <c r="C267" i="19"/>
  <c r="D267" i="19" s="1"/>
  <c r="C265" i="19"/>
  <c r="D265" i="19" s="1"/>
  <c r="C270" i="19"/>
  <c r="D270" i="19" s="1"/>
  <c r="C263" i="19"/>
  <c r="C227" i="19"/>
  <c r="C232" i="19"/>
  <c r="D232" i="19" s="1"/>
  <c r="C233" i="19"/>
  <c r="D233" i="19" s="1"/>
  <c r="C234" i="19"/>
  <c r="D234" i="19" s="1"/>
  <c r="C231" i="19"/>
  <c r="D231" i="19" s="1"/>
  <c r="C229" i="19"/>
  <c r="D229" i="19" s="1"/>
  <c r="C230" i="19"/>
  <c r="D230" i="19" s="1"/>
  <c r="C228" i="19"/>
  <c r="D228" i="19" s="1"/>
  <c r="C235" i="19"/>
  <c r="D235" i="19" s="1"/>
  <c r="C1336" i="19"/>
  <c r="D1336" i="19" s="1"/>
  <c r="C1337" i="19"/>
  <c r="D1337" i="19" s="1"/>
  <c r="C1335" i="19"/>
  <c r="D1335" i="19" s="1"/>
  <c r="C1339" i="19"/>
  <c r="D1339" i="19" s="1"/>
  <c r="C1340" i="19"/>
  <c r="D1340" i="19" s="1"/>
  <c r="C1338" i="19"/>
  <c r="D1338" i="19" s="1"/>
  <c r="C1334" i="19"/>
  <c r="D1334" i="19" s="1"/>
  <c r="C1342" i="19"/>
  <c r="D1342" i="19" s="1"/>
  <c r="C1341" i="19"/>
  <c r="D1341" i="19" s="1"/>
  <c r="C294" i="19"/>
  <c r="D294" i="19" s="1"/>
  <c r="C296" i="19"/>
  <c r="D296" i="19" s="1"/>
  <c r="C295" i="19"/>
  <c r="D295" i="19" s="1"/>
  <c r="C292" i="19"/>
  <c r="D292" i="19" s="1"/>
  <c r="C291" i="19"/>
  <c r="D291" i="19" s="1"/>
  <c r="C297" i="19"/>
  <c r="D297" i="19" s="1"/>
  <c r="C298" i="19"/>
  <c r="D298" i="19" s="1"/>
  <c r="C293" i="19"/>
  <c r="D293" i="19" s="1"/>
  <c r="C290" i="19"/>
  <c r="C174" i="19"/>
  <c r="D174" i="19" s="1"/>
  <c r="C181" i="19"/>
  <c r="D181" i="19" s="1"/>
  <c r="C178" i="19"/>
  <c r="D178" i="19" s="1"/>
  <c r="C176" i="19"/>
  <c r="D176" i="19" s="1"/>
  <c r="C179" i="19"/>
  <c r="D179" i="19" s="1"/>
  <c r="C177" i="19"/>
  <c r="D177" i="19" s="1"/>
  <c r="C180" i="19"/>
  <c r="D180" i="19" s="1"/>
  <c r="C175" i="19"/>
  <c r="D175" i="19" s="1"/>
  <c r="C173" i="19"/>
  <c r="C1288" i="19"/>
  <c r="D1288" i="19" s="1"/>
  <c r="C1280" i="19"/>
  <c r="D1280" i="19" s="1"/>
  <c r="C1286" i="19"/>
  <c r="D1286" i="19" s="1"/>
  <c r="C1283" i="19"/>
  <c r="D1283" i="19" s="1"/>
  <c r="C1285" i="19"/>
  <c r="D1285" i="19" s="1"/>
  <c r="C1287" i="19"/>
  <c r="D1287" i="19" s="1"/>
  <c r="C1284" i="19"/>
  <c r="D1284" i="19" s="1"/>
  <c r="C1281" i="19"/>
  <c r="D1281" i="19" s="1"/>
  <c r="C1282" i="19"/>
  <c r="D1282" i="19" s="1"/>
  <c r="C100" i="19"/>
  <c r="D100" i="19" s="1"/>
  <c r="C94" i="19"/>
  <c r="D94" i="19" s="1"/>
  <c r="C95" i="19"/>
  <c r="D95" i="19" s="1"/>
  <c r="C96" i="19"/>
  <c r="D96" i="19" s="1"/>
  <c r="C93" i="19"/>
  <c r="D93" i="19" s="1"/>
  <c r="C97" i="19"/>
  <c r="D97" i="19" s="1"/>
  <c r="C98" i="19"/>
  <c r="D98" i="19" s="1"/>
  <c r="C99" i="19"/>
  <c r="D99" i="19" s="1"/>
  <c r="C92" i="19"/>
  <c r="C127" i="19"/>
  <c r="D127" i="19" s="1"/>
  <c r="C125" i="19"/>
  <c r="D125" i="19" s="1"/>
  <c r="C126" i="19"/>
  <c r="D126" i="19" s="1"/>
  <c r="C120" i="19"/>
  <c r="D120" i="19" s="1"/>
  <c r="C122" i="19"/>
  <c r="D122" i="19" s="1"/>
  <c r="C119" i="19"/>
  <c r="C121" i="19"/>
  <c r="D121" i="19" s="1"/>
  <c r="C123" i="19"/>
  <c r="D123" i="19" s="1"/>
  <c r="C124" i="19"/>
  <c r="D124" i="19" s="1"/>
  <c r="C1235" i="19"/>
  <c r="D1235" i="19" s="1"/>
  <c r="C1240" i="19"/>
  <c r="D1240" i="19" s="1"/>
  <c r="C1237" i="19"/>
  <c r="D1237" i="19" s="1"/>
  <c r="C1238" i="19"/>
  <c r="D1238" i="19" s="1"/>
  <c r="C1243" i="19"/>
  <c r="D1243" i="19" s="1"/>
  <c r="C1236" i="19"/>
  <c r="D1236" i="19" s="1"/>
  <c r="C1242" i="19"/>
  <c r="D1242" i="19" s="1"/>
  <c r="C1239" i="19"/>
  <c r="D1239" i="19" s="1"/>
  <c r="C1241" i="19"/>
  <c r="D1241" i="19" s="1"/>
  <c r="C42" i="19"/>
  <c r="D42" i="19" s="1"/>
  <c r="C43" i="19"/>
  <c r="D43" i="19" s="1"/>
  <c r="C40" i="19"/>
  <c r="D40" i="19" s="1"/>
  <c r="C39" i="19"/>
  <c r="D39" i="19" s="1"/>
  <c r="C44" i="19"/>
  <c r="D44" i="19" s="1"/>
  <c r="C46" i="19"/>
  <c r="D46" i="19" s="1"/>
  <c r="C45" i="19"/>
  <c r="D45" i="19" s="1"/>
  <c r="C41" i="19"/>
  <c r="D41" i="19" s="1"/>
  <c r="C38" i="19"/>
  <c r="C148" i="19"/>
  <c r="D148" i="19" s="1"/>
  <c r="C153" i="19"/>
  <c r="D153" i="19" s="1"/>
  <c r="C151" i="19"/>
  <c r="D151" i="19" s="1"/>
  <c r="C154" i="19"/>
  <c r="D154" i="19" s="1"/>
  <c r="C149" i="19"/>
  <c r="D149" i="19" s="1"/>
  <c r="C150" i="19"/>
  <c r="D150" i="19" s="1"/>
  <c r="C147" i="19"/>
  <c r="D147" i="19" s="1"/>
  <c r="C146" i="19"/>
  <c r="C152" i="19"/>
  <c r="D152" i="19" s="1"/>
  <c r="C1183" i="19"/>
  <c r="D1183" i="19" s="1"/>
  <c r="C1182" i="19"/>
  <c r="D1182" i="19" s="1"/>
  <c r="C1189" i="19"/>
  <c r="D1189" i="19" s="1"/>
  <c r="C1186" i="19"/>
  <c r="D1186" i="19" s="1"/>
  <c r="C1184" i="19"/>
  <c r="D1184" i="19" s="1"/>
  <c r="C1185" i="19"/>
  <c r="D1185" i="19" s="1"/>
  <c r="C1187" i="19"/>
  <c r="D1187" i="19" s="1"/>
  <c r="C1181" i="19"/>
  <c r="D1181" i="19" s="1"/>
  <c r="C1188" i="19"/>
  <c r="D1188" i="19" s="1"/>
  <c r="C1796" i="19"/>
  <c r="D1796" i="19" s="1"/>
  <c r="C1801" i="19"/>
  <c r="D1801" i="19" s="1"/>
  <c r="C1797" i="19"/>
  <c r="D1797" i="19" s="1"/>
  <c r="C1800" i="19"/>
  <c r="D1800" i="19" s="1"/>
  <c r="C1794" i="19"/>
  <c r="D1794" i="19" s="1"/>
  <c r="C1799" i="19"/>
  <c r="D1799" i="19" s="1"/>
  <c r="C1795" i="19"/>
  <c r="D1795" i="19" s="1"/>
  <c r="C1793" i="19"/>
  <c r="D1793" i="19" s="1"/>
  <c r="C1798" i="19"/>
  <c r="D1798" i="19" s="1"/>
  <c r="C1582" i="19"/>
  <c r="D1582" i="19" s="1"/>
  <c r="C1578" i="19"/>
  <c r="D1578" i="19" s="1"/>
  <c r="C1581" i="19"/>
  <c r="D1581" i="19" s="1"/>
  <c r="C1579" i="19"/>
  <c r="D1579" i="19" s="1"/>
  <c r="C1583" i="19"/>
  <c r="D1583" i="19" s="1"/>
  <c r="C1584" i="19"/>
  <c r="D1584" i="19" s="1"/>
  <c r="C1585" i="19"/>
  <c r="D1585" i="19" s="1"/>
  <c r="C1577" i="19"/>
  <c r="D1577" i="19" s="1"/>
  <c r="C1580" i="19"/>
  <c r="D1580" i="19" s="1"/>
  <c r="C1130" i="19"/>
  <c r="D1130" i="19" s="1"/>
  <c r="C1134" i="19"/>
  <c r="D1134" i="19" s="1"/>
  <c r="C1133" i="19"/>
  <c r="D1133" i="19" s="1"/>
  <c r="C1127" i="19"/>
  <c r="D1127" i="19" s="1"/>
  <c r="C1132" i="19"/>
  <c r="D1132" i="19" s="1"/>
  <c r="C1131" i="19"/>
  <c r="D1131" i="19" s="1"/>
  <c r="C1128" i="19"/>
  <c r="D1128" i="19" s="1"/>
  <c r="C1135" i="19"/>
  <c r="D1135" i="19" s="1"/>
  <c r="C1129" i="19"/>
  <c r="D1129" i="19" s="1"/>
  <c r="C1653" i="19"/>
  <c r="D1653" i="19" s="1"/>
  <c r="C1657" i="19"/>
  <c r="D1657" i="19" s="1"/>
  <c r="C1650" i="19"/>
  <c r="D1650" i="19" s="1"/>
  <c r="C1652" i="19"/>
  <c r="D1652" i="19" s="1"/>
  <c r="C1654" i="19"/>
  <c r="D1654" i="19" s="1"/>
  <c r="C1655" i="19"/>
  <c r="D1655" i="19" s="1"/>
  <c r="C1651" i="19"/>
  <c r="D1651" i="19" s="1"/>
  <c r="C1656" i="19"/>
  <c r="D1656" i="19" s="1"/>
  <c r="C1649" i="19"/>
  <c r="D1649" i="19" s="1"/>
  <c r="C1225" i="19"/>
  <c r="D1225" i="19" s="1"/>
  <c r="C1222" i="19"/>
  <c r="D1222" i="19" s="1"/>
  <c r="C1223" i="19"/>
  <c r="D1223" i="19" s="1"/>
  <c r="C1221" i="19"/>
  <c r="D1221" i="19" s="1"/>
  <c r="C1224" i="19"/>
  <c r="D1224" i="19" s="1"/>
  <c r="C1218" i="19"/>
  <c r="D1218" i="19" s="1"/>
  <c r="C1220" i="19"/>
  <c r="D1220" i="19" s="1"/>
  <c r="C1219" i="19"/>
  <c r="D1219" i="19" s="1"/>
  <c r="C1217" i="19"/>
  <c r="D1217" i="19" s="1"/>
  <c r="C582" i="19"/>
  <c r="D582" i="19" s="1"/>
  <c r="C583" i="19"/>
  <c r="D583" i="19" s="1"/>
  <c r="C586" i="19"/>
  <c r="D586" i="19" s="1"/>
  <c r="C579" i="19"/>
  <c r="D579" i="19" s="1"/>
  <c r="C578" i="19"/>
  <c r="C580" i="19"/>
  <c r="D580" i="19" s="1"/>
  <c r="C581" i="19"/>
  <c r="D581" i="19" s="1"/>
  <c r="C584" i="19"/>
  <c r="D584" i="19" s="1"/>
  <c r="C585" i="19"/>
  <c r="D585" i="19" s="1"/>
  <c r="C1004" i="19"/>
  <c r="D1004" i="19" s="1"/>
  <c r="C1001" i="19"/>
  <c r="D1001" i="19" s="1"/>
  <c r="C1003" i="19"/>
  <c r="D1003" i="19" s="1"/>
  <c r="C1008" i="19"/>
  <c r="D1008" i="19" s="1"/>
  <c r="C1007" i="19"/>
  <c r="D1007" i="19" s="1"/>
  <c r="C1002" i="19"/>
  <c r="D1002" i="19" s="1"/>
  <c r="C1006" i="19"/>
  <c r="D1006" i="19" s="1"/>
  <c r="C1005" i="19"/>
  <c r="D1005" i="19" s="1"/>
  <c r="C1009" i="19"/>
  <c r="D1009" i="19" s="1"/>
  <c r="C863" i="19"/>
  <c r="D863" i="19" s="1"/>
  <c r="C861" i="19"/>
  <c r="D861" i="19" s="1"/>
  <c r="C862" i="19"/>
  <c r="D862" i="19" s="1"/>
  <c r="C859" i="19"/>
  <c r="D859" i="19" s="1"/>
  <c r="C858" i="19"/>
  <c r="D858" i="19" s="1"/>
  <c r="C865" i="19"/>
  <c r="D865" i="19" s="1"/>
  <c r="C860" i="19"/>
  <c r="D860" i="19" s="1"/>
  <c r="C857" i="19"/>
  <c r="C864" i="19"/>
  <c r="D864" i="19" s="1"/>
  <c r="C385" i="19"/>
  <c r="D385" i="19" s="1"/>
  <c r="C384" i="19"/>
  <c r="D384" i="19" s="1"/>
  <c r="C387" i="19"/>
  <c r="D387" i="19" s="1"/>
  <c r="C382" i="19"/>
  <c r="D382" i="19" s="1"/>
  <c r="C380" i="19"/>
  <c r="C386" i="19"/>
  <c r="D386" i="19" s="1"/>
  <c r="C381" i="19"/>
  <c r="D381" i="19" s="1"/>
  <c r="C388" i="19"/>
  <c r="D388" i="19" s="1"/>
  <c r="C383" i="19"/>
  <c r="D383" i="19" s="1"/>
  <c r="D119" i="19" l="1"/>
  <c r="D173" i="19"/>
  <c r="D371" i="19"/>
  <c r="D785" i="19"/>
  <c r="D839" i="19"/>
  <c r="D479" i="19"/>
  <c r="D74" i="19"/>
  <c r="D218" i="19"/>
  <c r="D731" i="19"/>
  <c r="D245" i="19"/>
  <c r="D650" i="19"/>
  <c r="D281" i="19"/>
  <c r="D290" i="19"/>
  <c r="D407" i="19"/>
  <c r="D425" i="19"/>
  <c r="D353" i="19"/>
  <c r="D344" i="19"/>
  <c r="D488" i="19"/>
  <c r="D794" i="19"/>
  <c r="D686" i="19"/>
  <c r="D767" i="19"/>
  <c r="D299" i="19"/>
  <c r="D236" i="19"/>
  <c r="D551" i="19"/>
  <c r="D857" i="19"/>
  <c r="D416" i="19"/>
  <c r="D470" i="19"/>
  <c r="D695" i="19"/>
  <c r="D749" i="19"/>
  <c r="D848" i="19"/>
  <c r="D317" i="19"/>
  <c r="D803" i="19"/>
  <c r="D497" i="19"/>
  <c r="D164" i="19"/>
  <c r="D182" i="19"/>
  <c r="D2" i="19"/>
  <c r="D146" i="19"/>
  <c r="D38" i="19"/>
  <c r="D227" i="19"/>
  <c r="D326" i="19"/>
  <c r="D641" i="19"/>
  <c r="D713" i="19"/>
  <c r="D623" i="19"/>
  <c r="D884" i="19"/>
  <c r="D137" i="19"/>
  <c r="D659" i="19"/>
  <c r="D704" i="19"/>
  <c r="D380" i="19"/>
  <c r="D263" i="19"/>
  <c r="D461" i="19"/>
  <c r="D722" i="19"/>
  <c r="D614" i="19"/>
  <c r="D308" i="19"/>
  <c r="D830" i="19"/>
  <c r="D362" i="19"/>
  <c r="D632" i="19"/>
  <c r="D560" i="19"/>
  <c r="D866" i="19"/>
  <c r="D47" i="19"/>
  <c r="D20" i="19"/>
  <c r="D56" i="19"/>
  <c r="D110" i="19"/>
  <c r="D740" i="19"/>
  <c r="D335" i="19"/>
  <c r="D83" i="19"/>
  <c r="D92" i="19"/>
  <c r="D209" i="19"/>
  <c r="D902" i="19"/>
  <c r="D254" i="19"/>
  <c r="D506" i="19"/>
  <c r="D389" i="19"/>
  <c r="D452" i="19"/>
  <c r="D542" i="19"/>
  <c r="D812" i="19"/>
  <c r="D578" i="19"/>
  <c r="D515" i="19"/>
  <c r="D524" i="19"/>
  <c r="D668" i="19"/>
  <c r="D65" i="19"/>
  <c r="D893" i="19"/>
  <c r="D11" i="19"/>
  <c r="D200" i="19"/>
  <c r="D776" i="19"/>
  <c r="D677" i="19"/>
  <c r="D443" i="19"/>
  <c r="D596" i="19"/>
  <c r="D875" i="19"/>
  <c r="D29" i="19"/>
  <c r="D128" i="19"/>
  <c r="D821" i="19"/>
  <c r="D605" i="19"/>
  <c r="D758" i="19"/>
  <c r="D272" i="19"/>
  <c r="D569" i="19"/>
  <c r="C2" i="14" l="1"/>
  <c r="C10" i="14"/>
  <c r="C18" i="14"/>
  <c r="C26" i="14"/>
  <c r="C34" i="14"/>
  <c r="C42" i="14"/>
  <c r="C50" i="14"/>
  <c r="C58" i="14"/>
  <c r="C66" i="14"/>
  <c r="C74" i="14"/>
  <c r="C82" i="14"/>
  <c r="C90" i="14"/>
  <c r="C98" i="14"/>
  <c r="C91" i="14"/>
  <c r="C3" i="14"/>
  <c r="C11" i="14"/>
  <c r="C19" i="14"/>
  <c r="C27" i="14"/>
  <c r="C35" i="14"/>
  <c r="C43" i="14"/>
  <c r="C51" i="14"/>
  <c r="C59" i="14"/>
  <c r="C67" i="14"/>
  <c r="C75" i="14"/>
  <c r="C83" i="14"/>
  <c r="C4" i="14"/>
  <c r="C12" i="14"/>
  <c r="C20" i="14"/>
  <c r="C28" i="14"/>
  <c r="C36" i="14"/>
  <c r="C44" i="14"/>
  <c r="C52" i="14"/>
  <c r="C60" i="14"/>
  <c r="C68" i="14"/>
  <c r="C76" i="14"/>
  <c r="C84" i="14"/>
  <c r="C92" i="14"/>
  <c r="C100" i="14"/>
  <c r="C93" i="14"/>
  <c r="C5" i="14"/>
  <c r="C13" i="14"/>
  <c r="C21" i="14"/>
  <c r="C29" i="14"/>
  <c r="C37" i="14"/>
  <c r="C45" i="14"/>
  <c r="C53" i="14"/>
  <c r="C61" i="14"/>
  <c r="C69" i="14"/>
  <c r="C77" i="14"/>
  <c r="C85" i="14"/>
  <c r="C101" i="14"/>
  <c r="C6" i="14"/>
  <c r="C14" i="14"/>
  <c r="C22" i="14"/>
  <c r="C30" i="14"/>
  <c r="C38" i="14"/>
  <c r="C46" i="14"/>
  <c r="C54" i="14"/>
  <c r="C62" i="14"/>
  <c r="C70" i="14"/>
  <c r="C78" i="14"/>
  <c r="C86" i="14"/>
  <c r="C94" i="14"/>
  <c r="C102" i="14"/>
  <c r="C7" i="14"/>
  <c r="C15" i="14"/>
  <c r="C23" i="14"/>
  <c r="C31" i="14"/>
  <c r="C39" i="14"/>
  <c r="C47" i="14"/>
  <c r="C55" i="14"/>
  <c r="C63" i="14"/>
  <c r="C71" i="14"/>
  <c r="C79" i="14"/>
  <c r="C87" i="14"/>
  <c r="C95" i="14"/>
  <c r="C99" i="14"/>
  <c r="C8" i="14"/>
  <c r="C16" i="14"/>
  <c r="C24" i="14"/>
  <c r="C32" i="14"/>
  <c r="C40" i="14"/>
  <c r="C48" i="14"/>
  <c r="C56" i="14"/>
  <c r="C64" i="14"/>
  <c r="C72" i="14"/>
  <c r="C80" i="14"/>
  <c r="C88" i="14"/>
  <c r="C96" i="14"/>
  <c r="C9" i="14"/>
  <c r="C17" i="14"/>
  <c r="C25" i="14"/>
  <c r="C33" i="14"/>
  <c r="C41" i="14"/>
  <c r="C49" i="14"/>
  <c r="C57" i="14"/>
  <c r="C65" i="14"/>
  <c r="C73" i="14"/>
  <c r="C81" i="14"/>
  <c r="C89" i="14"/>
  <c r="C97" i="14"/>
</calcChain>
</file>

<file path=xl/connections.xml><?xml version="1.0" encoding="utf-8"?>
<connections xmlns="http://schemas.openxmlformats.org/spreadsheetml/2006/main">
  <connection id="1" keepAlive="1" name="Abfrage - dict_zuord_DQ_Meth" description="Verbindung mit der Abfrage 'dict_zuord_DQ_Meth' in der Arbeitsmappe." type="5" refreshedVersion="5" background="1" saveData="1">
    <dbPr connection="provider=Microsoft.Mashup.OleDb.1;data source=$EmbeddedMashup(a6c2aef3-f21f-42dc-bbef-20e80ba9c2a2)$;location=dict_zuord_DQ_Meth;extended properties=UEsDBBQAAgAIAFNmdE7pd6D4qwAAAPoAAAASABwAQ29uZmlnL1BhY2thZ2UueG1sIKIYACigFAAAAAAAAAAAAAAAAAAAAAAAAAAAAIWPQQ6CMBREr0K657eF1Aj5lIW6k8TExLglUKERiqFFuJsLj+QVNFGMO3czL28x87jdMZ3axruq3urOJIQDI54yRVdqUyVkcCd/SVKJu7w455XyXrKx8WTLhNTOXWJKx3GEMYSur2jAGKfHbLsvatXm5Cvr/7KvjXW5KRSReHiPkQGICAQPBQSMI50xZtrMmYOAMIgWwJD+YFwNjRt6JUvlrzdI54r080M+AVBLAwQUAAIACABTZnRO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2Z0Tr89RevQAQAARQUAABMAHABGb3JtdWxhcy9TZWN0aW9uMS5tIKIYACigFAAAAAAAAAAAAAAAAAAAAAAAAAAAAKVT3WrbMBS+D+QdhHbjgDEUxm5KL0oSRvfTkiVs0FKMYh0nIvJROJazbiFvs8fYXV9skpM0qp2lK/ONbX3S93OOTgmZVQbZePs+O+92up1yLggkkyqz6c/KkEwHo/Qz2Dm7YBpst8PcM6pAa3Arw4cMdNKviADtN0OLqTGLqLe+uxYFXPCA5asgx8TvN3d9g9btvo+3XG/4bVWKogDMH3/PyQK7nOYkZoDcCUzEVENyDaUF+cEojLbS8ZpfDTyn8njJN/FOStdC3m97C2/t4bHn/KhQJp8gtzeVBeo9+RrSd1BuxVlqn3zyNnxYCpT1d9/oqsDoRKKYHTPBaqv+20hvtPF/cDQ2ZFVt6BaUDivkkegFy/G6UZKY3ZAESi7LDFAqnG0CrSHaHMi1io2XQttQ7AsUZrVLW0ZHbLnaL1ZCp8JdrBWECd7D4y+Ufi+xyY/lgXNCAsvcULGldRh46raLXYqBsGJUCa2csk9yhfbd28Qf29cvzBmgpyKe/T1j03jrevW6HYUnmI9M16E3/zFcQYOPDdfrCr6frlMFbFzPFhZ2PmbWLTNtZioTuobVDI2rQerk5R7HqpgCNeHFvzfuVX17brBp6LmDF9rKz/8AUEsBAi0AFAACAAgAU2Z0Tul3oPirAAAA+gAAABIAAAAAAAAAAAAAAAAAAAAAAENvbmZpZy9QYWNrYWdlLnhtbFBLAQItABQAAgAIAFNmdE4PyumrpAAAAOkAAAATAAAAAAAAAAAAAAAAAPcAAABbQ29udGVudF9UeXBlc10ueG1sUEsBAi0AFAACAAgAU2Z0Tr89RevQAQAARQUAABMAAAAAAAAAAAAAAAAA6AEAAEZvcm11bGFzL1NlY3Rpb24xLm1QSwUGAAAAAAMAAwDCAAAABQQAAAAA" command="SELECT * FROM [dict_zuord_DQ_Meth]"/>
  </connection>
</connections>
</file>

<file path=xl/sharedStrings.xml><?xml version="1.0" encoding="utf-8"?>
<sst xmlns="http://schemas.openxmlformats.org/spreadsheetml/2006/main" count="419" uniqueCount="353">
  <si>
    <t>ID</t>
  </si>
  <si>
    <t>name</t>
  </si>
  <si>
    <t>investcost</t>
  </si>
  <si>
    <t>position</t>
  </si>
  <si>
    <t>weight</t>
  </si>
  <si>
    <t>Messgröße 1</t>
  </si>
  <si>
    <t>Messgröße 2</t>
  </si>
  <si>
    <t>Messgröße 3</t>
  </si>
  <si>
    <t>Messgröße 4</t>
  </si>
  <si>
    <t>Variable</t>
  </si>
  <si>
    <t>Methode</t>
  </si>
  <si>
    <t>Gütekriterium</t>
  </si>
  <si>
    <t>Person</t>
  </si>
  <si>
    <t>Position</t>
  </si>
  <si>
    <t>Messgröße 0</t>
  </si>
  <si>
    <t>unit_ID</t>
  </si>
  <si>
    <t>Hinzufügen:</t>
  </si>
  <si>
    <t>Variable:</t>
  </si>
  <si>
    <t>Gewicht:</t>
  </si>
  <si>
    <t>Bezeichnung:</t>
  </si>
  <si>
    <t>Methoden</t>
  </si>
  <si>
    <t>processcost_per_build</t>
  </si>
  <si>
    <t>unit_factor</t>
  </si>
  <si>
    <t>soll</t>
  </si>
  <si>
    <t>processcost_per_unit</t>
  </si>
  <si>
    <t>quality_function</t>
  </si>
  <si>
    <t>ID_Variables</t>
  </si>
  <si>
    <t>ID_Methods</t>
  </si>
  <si>
    <t>ID_DataQualities</t>
  </si>
  <si>
    <t>ID_Persons</t>
  </si>
  <si>
    <t>ignore_unit</t>
  </si>
  <si>
    <t>cost_per_bandwidth</t>
  </si>
  <si>
    <t>orig</t>
  </si>
  <si>
    <t>I</t>
  </si>
  <si>
    <t>H</t>
  </si>
  <si>
    <t>S</t>
  </si>
  <si>
    <t>V</t>
  </si>
  <si>
    <t>G</t>
  </si>
  <si>
    <t>J</t>
  </si>
  <si>
    <t>P</t>
  </si>
  <si>
    <t>ig</t>
  </si>
  <si>
    <t>ij</t>
  </si>
  <si>
    <t>jp</t>
  </si>
  <si>
    <t>jv</t>
  </si>
  <si>
    <t>i</t>
  </si>
  <si>
    <t>g</t>
  </si>
  <si>
    <t>j</t>
  </si>
  <si>
    <t>p</t>
  </si>
  <si>
    <t>v</t>
  </si>
  <si>
    <t>h</t>
  </si>
  <si>
    <t>s</t>
  </si>
  <si>
    <t>ignored_indizes</t>
  </si>
  <si>
    <t>val_variable_name</t>
  </si>
  <si>
    <t>kval_recorded</t>
  </si>
  <si>
    <t>kval_used</t>
  </si>
  <si>
    <t>Translator</t>
  </si>
  <si>
    <t>Formular</t>
  </si>
  <si>
    <t>gj</t>
  </si>
  <si>
    <t>betrieb_temp_min</t>
  </si>
  <si>
    <t>betrieb_temp_max</t>
  </si>
  <si>
    <t>ID_Transfers</t>
  </si>
  <si>
    <t>ID_Positions</t>
  </si>
  <si>
    <t>ID_Storages</t>
  </si>
  <si>
    <t>time_in_minutes</t>
  </si>
  <si>
    <t>jh</t>
  </si>
  <si>
    <t>hs</t>
  </si>
  <si>
    <t>kval_active</t>
  </si>
  <si>
    <t>table_Variables</t>
  </si>
  <si>
    <t>table_DataQualities</t>
  </si>
  <si>
    <t>table_Units</t>
  </si>
  <si>
    <t>table_Methods</t>
  </si>
  <si>
    <t>table_Persons</t>
  </si>
  <si>
    <t>table_Positions</t>
  </si>
  <si>
    <t>table_Transfers</t>
  </si>
  <si>
    <t>table_Storages</t>
  </si>
  <si>
    <t>dict_DQ_Meth_max</t>
  </si>
  <si>
    <t>dict_zul_Var_Meth</t>
  </si>
  <si>
    <t>dict_zuord_Var_DQ</t>
  </si>
  <si>
    <t>dict_zuord_Meth_Pos</t>
  </si>
  <si>
    <t>dict_zuord_Meth_Transfers</t>
  </si>
  <si>
    <t>lambda_tilde</t>
  </si>
  <si>
    <t>alpha_ub</t>
  </si>
  <si>
    <t>delta_ub</t>
  </si>
  <si>
    <t>beta_ub</t>
  </si>
  <si>
    <t>gamma_ub</t>
  </si>
  <si>
    <t>tau_ub</t>
  </si>
  <si>
    <t>weight_factor</t>
  </si>
  <si>
    <t>cost_per_hour</t>
  </si>
  <si>
    <t>max_time_in_minutes</t>
  </si>
  <si>
    <t>temp_lb</t>
  </si>
  <si>
    <t>temp_ub</t>
  </si>
  <si>
    <t>bandwidth_fix</t>
  </si>
  <si>
    <t>bandwidth_per_z</t>
  </si>
  <si>
    <t>bandwidth_ub</t>
  </si>
  <si>
    <t>px/mm</t>
  </si>
  <si>
    <t>Hz</t>
  </si>
  <si>
    <t>dpi</t>
  </si>
  <si>
    <t>bit</t>
  </si>
  <si>
    <t>mm²</t>
  </si>
  <si>
    <t>mm</t>
  </si>
  <si>
    <t>Auflösung px</t>
  </si>
  <si>
    <t>Auflösung dpi</t>
  </si>
  <si>
    <t>Durchflussmessgenauigkeit cm³/s</t>
  </si>
  <si>
    <t>Fläche mm²</t>
  </si>
  <si>
    <t>Länge mm</t>
  </si>
  <si>
    <t>Breite mm</t>
  </si>
  <si>
    <t>Farbtiefe bit</t>
  </si>
  <si>
    <t>Frequenz Hz</t>
  </si>
  <si>
    <t>unit_name</t>
  </si>
  <si>
    <t>Frequenz s</t>
  </si>
  <si>
    <t>Durchflussmessgenauigkeit m³/h</t>
  </si>
  <si>
    <t>Längenmessgenauigkeit mm</t>
  </si>
  <si>
    <t>Längenmessgenauigkeit µm</t>
  </si>
  <si>
    <t>Geschwindigkeitsmessgenauigkeit mm/s</t>
  </si>
  <si>
    <t>Leistungsmessgenauigkeit W</t>
  </si>
  <si>
    <t>Temperaturmessgenauigkeit °C</t>
  </si>
  <si>
    <t>ignore_unit_name</t>
  </si>
  <si>
    <t>kval_Unit</t>
  </si>
  <si>
    <t>ID_Units</t>
  </si>
  <si>
    <t>Einstellungen</t>
  </si>
  <si>
    <t>dict_zuord_DQ_Units</t>
  </si>
  <si>
    <t>gq</t>
  </si>
  <si>
    <t>upsilon_tilde</t>
  </si>
  <si>
    <t>Q</t>
  </si>
  <si>
    <t>q</t>
  </si>
  <si>
    <t>kbit_per_sec_base</t>
  </si>
  <si>
    <t>Q_bild</t>
  </si>
  <si>
    <t>table_Units_bild</t>
  </si>
  <si>
    <t>bits_base</t>
  </si>
  <si>
    <t>direction_normal</t>
  </si>
  <si>
    <t>direction_invers</t>
  </si>
  <si>
    <t>Bildgröße</t>
  </si>
  <si>
    <t>z_lb</t>
  </si>
  <si>
    <t>z_ub</t>
  </si>
  <si>
    <t>z_worst</t>
  </si>
  <si>
    <t>z_best</t>
  </si>
  <si>
    <t>z_J_worst</t>
  </si>
  <si>
    <t>z_J_best</t>
  </si>
  <si>
    <t>z_J_lb</t>
  </si>
  <si>
    <t>z_J_ub</t>
  </si>
  <si>
    <t>kappa_ub</t>
  </si>
  <si>
    <t>Vergleich_ub</t>
  </si>
  <si>
    <t>Vergeleich_lb</t>
  </si>
  <si>
    <t>dict_zuord_Transfers_Storages</t>
  </si>
  <si>
    <t>func_factor</t>
  </si>
  <si>
    <t>Messgröße 5</t>
  </si>
  <si>
    <t>Messgröße 6</t>
  </si>
  <si>
    <t>Messgröße 7</t>
  </si>
  <si>
    <t>Messgröße 8</t>
  </si>
  <si>
    <t>Messgröße 9</t>
  </si>
  <si>
    <t>Messgröße 10</t>
  </si>
  <si>
    <t>Messgröße 11</t>
  </si>
  <si>
    <t>Messgröße 12</t>
  </si>
  <si>
    <t>Messgröße 13</t>
  </si>
  <si>
    <t>Messgröße 14</t>
  </si>
  <si>
    <t>Messgröße 15</t>
  </si>
  <si>
    <t>Messgröße 16</t>
  </si>
  <si>
    <t>Messgröße 17</t>
  </si>
  <si>
    <t>Messgröße 18</t>
  </si>
  <si>
    <t>Messgröße 19</t>
  </si>
  <si>
    <t>Messgröße 20</t>
  </si>
  <si>
    <t>Messgröße 21</t>
  </si>
  <si>
    <t>Messgröße 22</t>
  </si>
  <si>
    <t>Messgröße 23</t>
  </si>
  <si>
    <t>Messgröße 24</t>
  </si>
  <si>
    <t>Messgröße 25</t>
  </si>
  <si>
    <t>Messgröße 26</t>
  </si>
  <si>
    <t>Messgröße 27</t>
  </si>
  <si>
    <t>Messgröße 28</t>
  </si>
  <si>
    <t>Messgröße 29</t>
  </si>
  <si>
    <t>Messgröße 30</t>
  </si>
  <si>
    <t>Messgröße 31</t>
  </si>
  <si>
    <t>Messgröße 32</t>
  </si>
  <si>
    <t>Messgröße 33</t>
  </si>
  <si>
    <t>Messgröße 34</t>
  </si>
  <si>
    <t>Messgröße 35</t>
  </si>
  <si>
    <t>Messgröße 36</t>
  </si>
  <si>
    <t>Messgröße 37</t>
  </si>
  <si>
    <t>Messgröße 38</t>
  </si>
  <si>
    <t>Messgröße 39</t>
  </si>
  <si>
    <t>Messgröße 40</t>
  </si>
  <si>
    <t>Messgröße 41</t>
  </si>
  <si>
    <t>Messgröße 42</t>
  </si>
  <si>
    <t>Messgröße 43</t>
  </si>
  <si>
    <t>Messgröße 44</t>
  </si>
  <si>
    <t>Messgröße 45</t>
  </si>
  <si>
    <t>Messgröße 46</t>
  </si>
  <si>
    <t>Messgröße 47</t>
  </si>
  <si>
    <t>Messgröße 48</t>
  </si>
  <si>
    <t>Messgröße 49</t>
  </si>
  <si>
    <t>Messgröße 50</t>
  </si>
  <si>
    <t>Messgröße 51</t>
  </si>
  <si>
    <t>Messgröße 52</t>
  </si>
  <si>
    <t>Messgröße 53</t>
  </si>
  <si>
    <t>Messgröße 54</t>
  </si>
  <si>
    <t>Messgröße 55</t>
  </si>
  <si>
    <t>Messgröße 56</t>
  </si>
  <si>
    <t>Messgröße 57</t>
  </si>
  <si>
    <t>Messgröße 58</t>
  </si>
  <si>
    <t>Messgröße 59</t>
  </si>
  <si>
    <t>Messgröße 60</t>
  </si>
  <si>
    <t>Messgröße 61</t>
  </si>
  <si>
    <t>Messgröße 62</t>
  </si>
  <si>
    <t>Messgröße 63</t>
  </si>
  <si>
    <t>Messgröße 64</t>
  </si>
  <si>
    <t>Messgröße 65</t>
  </si>
  <si>
    <t>Messgröße 66</t>
  </si>
  <si>
    <t>Messgröße 67</t>
  </si>
  <si>
    <t>Messgröße 68</t>
  </si>
  <si>
    <t>Messgröße 69</t>
  </si>
  <si>
    <t>Messgröße 70</t>
  </si>
  <si>
    <t>Messgröße 71</t>
  </si>
  <si>
    <t>Messgröße 72</t>
  </si>
  <si>
    <t>Messgröße 73</t>
  </si>
  <si>
    <t>Messgröße 74</t>
  </si>
  <si>
    <t>Messgröße 75</t>
  </si>
  <si>
    <t>Messgröße 76</t>
  </si>
  <si>
    <t>Messgröße 77</t>
  </si>
  <si>
    <t>Messgröße 78</t>
  </si>
  <si>
    <t>Messgröße 79</t>
  </si>
  <si>
    <t>Messgröße 80</t>
  </si>
  <si>
    <t>Messgröße 81</t>
  </si>
  <si>
    <t>Messgröße 82</t>
  </si>
  <si>
    <t>Messgröße 83</t>
  </si>
  <si>
    <t>Messgröße 84</t>
  </si>
  <si>
    <t>Messgröße 85</t>
  </si>
  <si>
    <t>Messgröße 86</t>
  </si>
  <si>
    <t>Messgröße 87</t>
  </si>
  <si>
    <t>Messgröße 88</t>
  </si>
  <si>
    <t>Messgröße 89</t>
  </si>
  <si>
    <t>Messgröße 90</t>
  </si>
  <si>
    <t>Messgröße 91</t>
  </si>
  <si>
    <t>Messgröße 92</t>
  </si>
  <si>
    <t>Messgröße 93</t>
  </si>
  <si>
    <t>Messgröße 94</t>
  </si>
  <si>
    <t>Messgröße 95</t>
  </si>
  <si>
    <t>Messgröße 96</t>
  </si>
  <si>
    <t>Messgröße 97</t>
  </si>
  <si>
    <t>Messgröße 98</t>
  </si>
  <si>
    <t>Messgröße 99</t>
  </si>
  <si>
    <t>Messgröße 100</t>
  </si>
  <si>
    <t>Messgröße 101</t>
  </si>
  <si>
    <t>Messgröße 102</t>
  </si>
  <si>
    <t>Messgröße 103</t>
  </si>
  <si>
    <t>Messgröße 104</t>
  </si>
  <si>
    <t>Messgröße 105</t>
  </si>
  <si>
    <t>Messgröße 106</t>
  </si>
  <si>
    <t>Messgröße 107</t>
  </si>
  <si>
    <t>Messgröße 108</t>
  </si>
  <si>
    <t>Messgröße 109</t>
  </si>
  <si>
    <t>Messgröße 110</t>
  </si>
  <si>
    <t>Messgröße 111</t>
  </si>
  <si>
    <t>Messgröße 112</t>
  </si>
  <si>
    <t>Messgröße 113</t>
  </si>
  <si>
    <t>Messgröße 114</t>
  </si>
  <si>
    <t>Messgröße 115</t>
  </si>
  <si>
    <t>Messgröße 116</t>
  </si>
  <si>
    <t>Messgröße 117</t>
  </si>
  <si>
    <t>Messgröße 118</t>
  </si>
  <si>
    <t>Messgröße 119</t>
  </si>
  <si>
    <t>Messgröße 120</t>
  </si>
  <si>
    <t>Messgröße 121</t>
  </si>
  <si>
    <t>Messgröße 122</t>
  </si>
  <si>
    <t>Messgröße 123</t>
  </si>
  <si>
    <t>Messgröße 124</t>
  </si>
  <si>
    <t>Messgröße 125</t>
  </si>
  <si>
    <t>Messgröße 126</t>
  </si>
  <si>
    <t>Messgröße 127</t>
  </si>
  <si>
    <t>Messgröße 128</t>
  </si>
  <si>
    <t>Messgröße 129</t>
  </si>
  <si>
    <t>Messgröße 130</t>
  </si>
  <si>
    <t>Messgröße 131</t>
  </si>
  <si>
    <t>Messgröße 132</t>
  </si>
  <si>
    <t>Messgröße 133</t>
  </si>
  <si>
    <t>Messgröße 134</t>
  </si>
  <si>
    <t>Messgröße 135</t>
  </si>
  <si>
    <t>Messgröße 136</t>
  </si>
  <si>
    <t>Messgröße 137</t>
  </si>
  <si>
    <t>Messgröße 138</t>
  </si>
  <si>
    <t>Messgröße 139</t>
  </si>
  <si>
    <t>Messgröße 140</t>
  </si>
  <si>
    <t>Messgröße 141</t>
  </si>
  <si>
    <t>Messgröße 142</t>
  </si>
  <si>
    <t>Messgröße 143</t>
  </si>
  <si>
    <t>Messgröße 144</t>
  </si>
  <si>
    <t>Messgröße 145</t>
  </si>
  <si>
    <t>Messgröße 146</t>
  </si>
  <si>
    <t>Messgröße 147</t>
  </si>
  <si>
    <t>Messgröße 148</t>
  </si>
  <si>
    <t>Messgröße 149</t>
  </si>
  <si>
    <t>Messgröße 150</t>
  </si>
  <si>
    <t>Messgröße 151</t>
  </si>
  <si>
    <t>Messgröße 152</t>
  </si>
  <si>
    <t>Messgröße 153</t>
  </si>
  <si>
    <t>Messgröße 154</t>
  </si>
  <si>
    <t>Messgröße 155</t>
  </si>
  <si>
    <t>Messgröße 156</t>
  </si>
  <si>
    <t>Messgröße 157</t>
  </si>
  <si>
    <t>Messgröße 158</t>
  </si>
  <si>
    <t>Messgröße 159</t>
  </si>
  <si>
    <t>Messgröße 160</t>
  </si>
  <si>
    <t>Messgröße 161</t>
  </si>
  <si>
    <t>Messgröße 162</t>
  </si>
  <si>
    <t>Messgröße 163</t>
  </si>
  <si>
    <t>Messgröße 164</t>
  </si>
  <si>
    <t>Messgröße 165</t>
  </si>
  <si>
    <t>Messgröße 166</t>
  </si>
  <si>
    <t>Messgröße 167</t>
  </si>
  <si>
    <t>Messgröße 168</t>
  </si>
  <si>
    <t>Messgröße 169</t>
  </si>
  <si>
    <t>Messgröße 170</t>
  </si>
  <si>
    <t>Messgröße 171</t>
  </si>
  <si>
    <t>Messgröße 172</t>
  </si>
  <si>
    <t>Messgröße 173</t>
  </si>
  <si>
    <t>Messgröße 174</t>
  </si>
  <si>
    <t>Messgröße 175</t>
  </si>
  <si>
    <t>Messgröße 176</t>
  </si>
  <si>
    <t>Messgröße 177</t>
  </si>
  <si>
    <t>Messgröße 178</t>
  </si>
  <si>
    <t>Messgröße 179</t>
  </si>
  <si>
    <t>Messgröße 180</t>
  </si>
  <si>
    <t>Messgröße 181</t>
  </si>
  <si>
    <t>Messgröße 182</t>
  </si>
  <si>
    <t>Messgröße 183</t>
  </si>
  <si>
    <t>Messgröße 184</t>
  </si>
  <si>
    <t>Messgröße 185</t>
  </si>
  <si>
    <t>Messgröße 186</t>
  </si>
  <si>
    <t>Messgröße 187</t>
  </si>
  <si>
    <t>Messgröße 188</t>
  </si>
  <si>
    <t>Messgröße 189</t>
  </si>
  <si>
    <t>Messgröße 190</t>
  </si>
  <si>
    <t>Messgröße 191</t>
  </si>
  <si>
    <t>Messgröße 192</t>
  </si>
  <si>
    <t>Messgröße 193</t>
  </si>
  <si>
    <t>Messgröße 194</t>
  </si>
  <si>
    <t>Messgröße 195</t>
  </si>
  <si>
    <t>Messgröße 196</t>
  </si>
  <si>
    <t>Messgröße 197</t>
  </si>
  <si>
    <t>Messgröße 198</t>
  </si>
  <si>
    <t>Messgröße 199</t>
  </si>
  <si>
    <t>Messgröße 200</t>
  </si>
  <si>
    <t>Durchflussmessgenauigkeit liter/s</t>
  </si>
  <si>
    <t>ignored_rand</t>
  </si>
  <si>
    <t>ignored_rank</t>
  </si>
  <si>
    <t>ignored_help_ascending</t>
  </si>
  <si>
    <t>ignored_help_VarsID</t>
  </si>
  <si>
    <t>Vergleich_lb</t>
  </si>
  <si>
    <t>dict_zuord_Meth_Per</t>
  </si>
  <si>
    <t>ignored_help</t>
  </si>
  <si>
    <t>Transfers</t>
  </si>
  <si>
    <t>Storages</t>
  </si>
  <si>
    <t>Persons</t>
  </si>
  <si>
    <t>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</si>
</sst>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NumberFormat="1"/>
    <xf numFmtId="0" fontId="2" fillId="0" borderId="0" xfId="1"/>
    <xf numFmtId="0" fontId="3" fillId="0" borderId="0" xfId="1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5" fillId="0" borderId="0" xfId="0" applyNumberFormat="1" applyFont="1"/>
    <xf numFmtId="0" fontId="0" fillId="0" borderId="0" xfId="0" applyNumberFormat="1" applyAlignment="1"/>
    <xf numFmtId="0" fontId="5" fillId="0" borderId="0" xfId="0" applyNumberFormat="1" applyFont="1" applyAlignment="1"/>
    <xf numFmtId="0" fontId="3" fillId="0" borderId="0" xfId="0" applyNumberFormat="1" applyFont="1" applyAlignment="1"/>
  </cellXfs>
  <cellStyles count="2">
    <cellStyle name="Link" xfId="1" builtinId="8"/>
    <cellStyle name="Standard" xfId="0" builtinId="0"/>
  </cellStyles>
  <dxfs count="7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color theme="0" tint="-0.34998626667073579"/>
      </font>
      <numFmt numFmtId="0" formatCode="General"/>
      <alignment horizontal="general" vertical="bottom" textRotation="0" wrapText="0" indent="0" justifyLastLine="0" shrinkToFit="0" readingOrder="0"/>
    </dxf>
    <dxf>
      <font>
        <color auto="1"/>
      </font>
      <numFmt numFmtId="0" formatCode="General"/>
      <alignment horizontal="general" vertical="bottom" textRotation="0" wrapText="0" indent="0" justifyLastLine="0" shrinkToFit="0" readingOrder="0"/>
    </dxf>
    <dxf>
      <font>
        <color auto="1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/>
        <u val="none"/>
        <color theme="0"/>
      </font>
      <fill>
        <patternFill>
          <bgColor rgb="FFC00000"/>
        </patternFill>
      </fill>
    </dxf>
    <dxf>
      <fill>
        <patternFill>
          <bgColor theme="5"/>
        </patternFill>
      </fill>
    </dxf>
    <dxf>
      <font>
        <b val="0"/>
        <i/>
        <color theme="0"/>
      </font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0" formatCode="General"/>
    </dxf>
    <dxf>
      <numFmt numFmtId="0" formatCode="General"/>
    </dxf>
    <dxf>
      <numFmt numFmtId="0" formatCode="General"/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77"/>
      <tableStyleElement type="headerRow" dxfId="76"/>
      <tableStyleElement type="firstRowStripe" dxfId="75"/>
    </tableStyle>
    <tableStyle name="TableStyleQueryResult" pivot="0" count="3">
      <tableStyleElement type="wholeTable" dxfId="74"/>
      <tableStyleElement type="headerRow" dxfId="73"/>
      <tableStyleElement type="firstRowStripe" dxfId="7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Drop" dropStyle="combo" dx="16" fmlaLink="$D$3" fmlaRange="$F$1:$F$8" noThreeD="1" sel="5" val="0"/>
</file>

<file path=xl/ctrlProps/ctrlProp2.xml><?xml version="1.0" encoding="utf-8"?>
<formControlPr xmlns="http://schemas.microsoft.com/office/spreadsheetml/2009/9/main" objectType="Drop" dropStyle="combo" dx="16" fmlaLink="$F$11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</xdr:row>
          <xdr:rowOff>0</xdr:rowOff>
        </xdr:from>
        <xdr:to>
          <xdr:col>2</xdr:col>
          <xdr:colOff>676275</xdr:colOff>
          <xdr:row>3</xdr:row>
          <xdr:rowOff>9525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10</xdr:row>
          <xdr:rowOff>38100</xdr:rowOff>
        </xdr:from>
        <xdr:to>
          <xdr:col>4</xdr:col>
          <xdr:colOff>371475</xdr:colOff>
          <xdr:row>11</xdr:row>
          <xdr:rowOff>47625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eDaten_1" connectionId="1" autoFormatId="0" applyNumberFormats="0" applyBorderFormats="0" applyFontFormats="1" applyPatternFormats="1" applyAlignmentFormats="0" applyWidthHeightFormats="0">
  <queryTableRefresh preserveSortFilterLayout="0" nextId="14" unboundColumnsRight="11">
    <queryTableFields count="13">
      <queryTableField id="1" name="ID_DataQualities" tableColumnId="1"/>
      <queryTableField id="2" name="ID_Methods" tableColumnId="2"/>
      <queryTableField id="13" dataBound="0" tableColumnId="3"/>
      <queryTableField id="12" dataBound="0" tableColumnId="4"/>
      <queryTableField id="11" dataBound="0" tableColumnId="5"/>
      <queryTableField id="10" dataBound="0" tableColumnId="6"/>
      <queryTableField id="9" dataBound="0" tableColumnId="7"/>
      <queryTableField id="8" dataBound="0" tableColumnId="8"/>
      <queryTableField id="7" dataBound="0" tableColumnId="9"/>
      <queryTableField id="6" dataBound="0" tableColumnId="10"/>
      <queryTableField id="5" dataBound="0" tableColumnId="11"/>
      <queryTableField id="4" dataBound="0" tableColumnId="12"/>
      <queryTableField id="3" dataBound="0" tableColumnId="13"/>
    </queryTableFields>
  </queryTableRefresh>
</queryTable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1" name="Translator" displayName="Translator" ref="A1:C22" totalsRowShown="0">
  <autoFilter ref="A1:C22"/>
  <tableColumns count="3">
    <tableColumn id="1" name="orig">
      <calculatedColumnFormula>IF(ROW(A1)&gt;COUNTA(x),"",HYPERLINK("#'"&amp;INDEX(x,ROW(A1))&amp;"'!A1",MID(INDEX(x,ROW(A1)),FIND("]",INDEX(x,ROW(A1)))+1,31)))</calculatedColumnFormula>
    </tableColumn>
    <tableColumn id="2" name="val_variable_name"/>
    <tableColumn id="3" name="ignored_indizes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" name="table_Variables" displayName="table_Variables" ref="A1:D202" totalsRowShown="0">
  <autoFilter ref="A1:D202">
    <filterColumn colId="0">
      <customFilters>
        <customFilter operator="lessThan" val="8"/>
      </customFilters>
    </filterColumn>
  </autoFilter>
  <tableColumns count="4">
    <tableColumn id="1" name="ID"/>
    <tableColumn id="2" name="name"/>
    <tableColumn id="3" name="weight"/>
    <tableColumn id="4" name="kval_recorded">
      <calculatedColumnFormula>COUNTIF(dict_zul_Var_Meth[ID_Variables], table_Variables[[#This Row],[ID]]) &gt; 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Variables"/>
    </ext>
  </extLst>
</table>
</file>

<file path=xl/tables/table3.xml><?xml version="1.0" encoding="utf-8"?>
<table xmlns="http://schemas.openxmlformats.org/spreadsheetml/2006/main" id="2" name="table_DataQualities" displayName="table_DataQualities" ref="A1:O403" totalsRowShown="0">
  <autoFilter ref="A1:O403"/>
  <sortState ref="A2:I23">
    <sortCondition ref="A1:A23"/>
  </sortState>
  <tableColumns count="15">
    <tableColumn id="1" name="ID"/>
    <tableColumn id="2" name="name" dataDxfId="69">
      <calculatedColumnFormula>CONCATENATE(VLOOKUP(INDEX(dict_zuord_Var_DQ[ID_Variables],MATCH(table_DataQualities[[#This Row],[ID]],dict_zuord_Var_DQ[ID_DataQualities],0)),table_Variables[],2,FALSE),"_",VLOOKUP(table_DataQualities[[#This Row],[unit_ID]],table_Units[],4,FALSE))</calculatedColumnFormula>
    </tableColumn>
    <tableColumn id="3" name="unit_ID"/>
    <tableColumn id="10" name="ignore_unit_name" dataDxfId="68">
      <calculatedColumnFormula>VLOOKUP(table_DataQualities[[#This Row],[unit_ID]],table_Units[#All],2)</calculatedColumnFormula>
    </tableColumn>
    <tableColumn id="8" name="soll"/>
    <tableColumn id="4" name="z_worst"/>
    <tableColumn id="5" name="z_best"/>
    <tableColumn id="12" name="z_lb" dataDxfId="67">
      <calculatedColumnFormula>IF(VLOOKUP(table_DataQualities[[#This Row],[unit_ID]],table_Units[],5)&gt;0,table_DataQualities[[#This Row],[z_worst]],IF(VLOOKUP(table_DataQualities[[#This Row],[unit_ID]],table_Units[],6)=1,table_DataQualities[[#This Row],[z_best]]))</calculatedColumnFormula>
    </tableColumn>
    <tableColumn id="13" name="z_ub" dataDxfId="66">
      <calculatedColumnFormula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calculatedColumnFormula>
    </tableColumn>
    <tableColumn id="6" name="processcost_per_unit"/>
    <tableColumn id="9" name="weight_factor"/>
    <tableColumn id="7" name="quality_function"/>
    <tableColumn id="11" name="kval_Unit" dataDxfId="65">
      <calculatedColumnFormula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calculatedColumnFormula>
    </tableColumn>
    <tableColumn id="14" name="kval_active" dataDxfId="64">
      <calculatedColumnFormula>VLOOKUP(table_DataQualities[[#This Row],[ID]],dict_zuord_Var_DQ!B:C,2,FALSE)</calculatedColumnFormula>
    </tableColumn>
    <tableColumn id="15" name="func_factor">
      <calculatedColumnFormula>RANDBETWEEN(12,50)/10</calculatedColumnFormula>
    </tableColumn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DataQualities"/>
    </ext>
  </extLst>
</table>
</file>

<file path=xl/tables/table4.xml><?xml version="1.0" encoding="utf-8"?>
<table xmlns="http://schemas.openxmlformats.org/spreadsheetml/2006/main" id="10" name="table_Units" displayName="table_Units" ref="A1:F18" totalsRowShown="0">
  <autoFilter ref="A1:F18"/>
  <tableColumns count="6">
    <tableColumn id="1" name="ID"/>
    <tableColumn id="2" name="name"/>
    <tableColumn id="3" name="unit_factor"/>
    <tableColumn id="4" name="unit_name"/>
    <tableColumn id="5" name="direction_normal" dataDxfId="63">
      <calculatedColumnFormula>IF(table_Units[[#This Row],[unit_factor]]&gt;0,1,0)</calculatedColumnFormula>
    </tableColumn>
    <tableColumn id="6" name="direction_invers" dataDxfId="62">
      <calculatedColumnFormula>IF(table_Units[[#This Row],[unit_factor]]&lt;0,1,0)</calculatedColumnFormula>
    </tableColumn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id="18" name="table_Units19" displayName="table_Units19" ref="A1:D37" totalsRowShown="0">
  <autoFilter ref="A1:D37">
    <filterColumn colId="0">
      <filters>
        <filter val="1000"/>
        <filter val="200"/>
        <filter val="201"/>
        <filter val="300"/>
        <filter val="400"/>
        <filter val="401"/>
        <filter val="402"/>
      </filters>
    </filterColumn>
  </autoFilter>
  <tableColumns count="4">
    <tableColumn id="1" name="ID" dataDxfId="61">
      <calculatedColumnFormula>IFERROR(table_Units[ID],"")</calculatedColumnFormula>
    </tableColumn>
    <tableColumn id="2" name="name">
      <calculatedColumnFormula>IFERROR(table_Units[name],"")</calculatedColumnFormula>
    </tableColumn>
    <tableColumn id="3" name="unit_factor">
      <calculatedColumnFormula>IFERROR(table_Units[unit_factor],"")</calculatedColumnFormula>
    </tableColumn>
    <tableColumn id="4" name="unit_name">
      <calculatedColumnFormula>IFERROR(table_Units[unit_name],"")</calculatedColumnFormula>
    </tableColumn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id="3" name="table_Methods" displayName="table_Methods" ref="A1:I702" totalsRowShown="0">
  <autoFilter ref="A1:I702"/>
  <tableColumns count="9">
    <tableColumn id="1" name="ID"/>
    <tableColumn id="2" name="name"/>
    <tableColumn id="3" name="investcost" dataDxfId="60">
      <calculatedColumnFormula>10^(RANDBETWEEN(-1,1))*RANDBETWEEN(1,100)*10</calculatedColumnFormula>
    </tableColumn>
    <tableColumn id="4" name="processcost_per_build"/>
    <tableColumn id="6" name="betrieb_temp_min"/>
    <tableColumn id="7" name="betrieb_temp_max"/>
    <tableColumn id="5" name="kval_active" dataDxfId="59">
      <calculatedColumnFormula>INDEX(dict_zul_Var_Meth[kval_active],MATCH(table_Methods[[#This Row],[ID]],dict_zul_Var_Meth[ID_Methods],0))</calculatedColumnFormula>
    </tableColumn>
    <tableColumn id="8" name="kbit_per_sec_base"/>
    <tableColumn id="9" name="bits_base"/>
  </tableColumns>
  <tableStyleInfo name="TableStyleMedium15" showFirstColumn="0" showLastColumn="0" showRowStripes="1" showColumnStripes="0"/>
  <extLst>
    <ext xmlns:x14="http://schemas.microsoft.com/office/spreadsheetml/2009/9/main" uri="{504A1905-F514-4f6f-8877-14C23A59335A}">
      <x14:table altText="Methods"/>
    </ext>
  </extLst>
</table>
</file>

<file path=xl/tables/table7.xml><?xml version="1.0" encoding="utf-8"?>
<table xmlns="http://schemas.openxmlformats.org/spreadsheetml/2006/main" id="4" name="table_Persons" displayName="table_Persons" ref="A1:E32" totalsRowShown="0">
  <autoFilter ref="A1:E32"/>
  <tableColumns count="5">
    <tableColumn id="1" name="ID"/>
    <tableColumn id="2" name="name">
      <calculatedColumnFormula>CONCATENATE("Person ",table_Persons[[#This Row],[ID]])</calculatedColumnFormula>
    </tableColumn>
    <tableColumn id="5" name="kval_active" dataDxfId="58">
      <calculatedColumnFormula>COUNTIF(dict_zuord_Meth_Per[ignored_help],table_Persons[[#This Row],[ID]])&gt;0</calculatedColumnFormula>
    </tableColumn>
    <tableColumn id="3" name="cost_per_hour"/>
    <tableColumn id="4" name="max_time_in_minutes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id="5" name="table_Positions" displayName="table_Positions" ref="A1:F202" totalsRowShown="0">
  <autoFilter ref="A1:F202"/>
  <tableColumns count="6">
    <tableColumn id="1" name="ID"/>
    <tableColumn id="2" name="position">
      <calculatedColumnFormula>CONCATENATE("Position ",table_Positions[[#This Row],[ID]])</calculatedColumnFormula>
    </tableColumn>
    <tableColumn id="6" name="kval_active" dataDxfId="57">
      <calculatedColumnFormula>COUNTIF(dict_zuord_Meth_Pos[ignored_help],table_Positions[[#This Row],[ID]])&gt;0</calculatedColumnFormula>
    </tableColumn>
    <tableColumn id="4" name="temp_lb" dataDxfId="56">
      <calculatedColumnFormula>20+RANDBETWEEN(0,10)*RANDBETWEEN(0,10)-RANDBETWEEN(0,20)</calculatedColumnFormula>
    </tableColumn>
    <tableColumn id="5" name="temp_ub" dataDxfId="55">
      <calculatedColumnFormula>table_Positions[[#This Row],[temp_lb]]+10+RANDBETWEEN(0,100)*RANDBETWEEN(0,10)-RANDBETWEEN(0,10)</calculatedColumnFormula>
    </tableColumn>
    <tableColumn id="3" name="kval_used">
      <calculatedColumnFormula>COUNTIF(dict_zuord_Meth_Pos[ID_Positions], table_Positions[[#This Row],[ID]]) &gt; 0</calculatedColumnFormula>
    </tableColumn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id="13" name="table_Transfers" displayName="table_Transfers" ref="A1:F202" totalsRowShown="0">
  <autoFilter ref="A1:F202"/>
  <tableColumns count="6">
    <tableColumn id="1" name="ID"/>
    <tableColumn id="2" name="name">
      <calculatedColumnFormula>CONCATENATE("Tranfer ",table_Transfers[[#This Row],[ID]])</calculatedColumnFormula>
    </tableColumn>
    <tableColumn id="6" name="kval_active" dataDxfId="54">
      <calculatedColumnFormula>COUNTIF(dict_zuord_Meth_Transfers[ignored_help],table_Transfers[[#This Row],[ID]])&gt;0</calculatedColumnFormula>
    </tableColumn>
    <tableColumn id="3" name="bandwidth_ub" dataDxfId="53">
      <calculatedColumnFormula>2^RANDBETWEEN(6,12)*100*RANDBETWEEN(10,100)</calculatedColumnFormula>
    </tableColumn>
    <tableColumn id="4" name="investcost" dataDxfId="52">
      <calculatedColumnFormula>IF(ROUND(table_Transfers[[#This Row],[bandwidth_ub]]/(10000*RANDBETWEEN(5,15))+RANDBETWEEN(1,50)-RANDBETWEEN(1,10),0)&lt;=0,10,ROUND(table_Transfers[[#This Row],[bandwidth_ub]]/(1000*RANDBETWEEN(5,15))+RANDBETWEEN(1,50)-RANDBETWEEN(1,10),0))</calculatedColumnFormula>
    </tableColumn>
    <tableColumn id="5" name="cost_per_bandwidth" dataDxfId="51">
      <calculatedColumnFormula>ROUND(1/table_Transfers[[#This Row],[investcost]]*RANDBETWEEN(10,100)/10,5)</calculatedColumnFormula>
    </tableColumn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id="16" name="table_Storages" displayName="table_Storages" ref="A1:F102" totalsRowShown="0">
  <autoFilter ref="A1:F102"/>
  <tableColumns count="6">
    <tableColumn id="1" name="ID"/>
    <tableColumn id="2" name="name" dataDxfId="50">
      <calculatedColumnFormula>CONCATENATE("Storage ",table_Storages[[#This Row],[ID]])</calculatedColumnFormula>
    </tableColumn>
    <tableColumn id="6" name="kval_active" dataDxfId="49">
      <calculatedColumnFormula>COUNTIF(dict_zuord_Transfers_Storages[ignored_help],table_Storages[[#This Row],[ID]])&gt;0</calculatedColumnFormula>
    </tableColumn>
    <tableColumn id="3" name="bandwidth_ub" dataDxfId="48">
      <calculatedColumnFormula>2^RANDBETWEEN(4,12)*1000*RANDBETWEEN(10,100)</calculatedColumnFormula>
    </tableColumn>
    <tableColumn id="4" name="investcost" dataDxfId="47">
      <calculatedColumnFormula>IF(ROUND(table_Transfers[[#This Row],[bandwidth_ub]]/(1000*RANDBETWEEN(5,15))+RANDBETWEEN(10,120)-RANDBETWEEN(1,10),0)&lt;=0,10,ROUND(table_Transfers[[#This Row],[bandwidth_ub]]/(1000*RANDBETWEEN(5,15))+RANDBETWEEN(1,50)-RANDBETWEEN(1,10),0))</calculatedColumnFormula>
    </tableColumn>
    <tableColumn id="5" name="cost_per_bandwidth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id="20" name="dict_DQ_Meth_max" displayName="dict_DQ_Meth_max" ref="A1:M1521" tableType="queryTable" totalsRowShown="0" headerRowDxfId="43" dataDxfId="42">
  <autoFilter ref="A1:M1521"/>
  <sortState ref="A2:M1521">
    <sortCondition ref="A1:A1521"/>
  </sortState>
  <tableColumns count="13">
    <tableColumn id="1" uniqueName="1" name="ID_DataQualities" queryTableFieldId="1" dataDxfId="41"/>
    <tableColumn id="2" uniqueName="2" name="ID_Methods" queryTableFieldId="2" dataDxfId="40"/>
    <tableColumn id="3" uniqueName="3" name="kval_active" queryTableFieldId="13" dataDxfId="39"/>
    <tableColumn id="4" uniqueName="4" name="z_J_worst" queryTableFieldId="12" dataDxfId="38"/>
    <tableColumn id="5" uniqueName="5" name="z_J_best" queryTableFieldId="11" dataDxfId="37"/>
    <tableColumn id="6" uniqueName="6" name="z_J_lb" queryTableFieldId="10" dataDxfId="36"/>
    <tableColumn id="7" uniqueName="7" name="z_J_ub" queryTableFieldId="9" dataDxfId="35"/>
    <tableColumn id="8" uniqueName="8" name="ignore_unit" queryTableFieldId="8" dataDxfId="34"/>
    <tableColumn id="9" uniqueName="9" name="processcost_per_unit" queryTableFieldId="7" dataDxfId="33"/>
    <tableColumn id="10" uniqueName="10" name="bandwidth_fix" queryTableFieldId="6" dataDxfId="32"/>
    <tableColumn id="11" uniqueName="11" name="bandwidth_per_z" queryTableFieldId="5" dataDxfId="31"/>
    <tableColumn id="12" uniqueName="12" name="Vergleich_lb" queryTableFieldId="4" dataDxfId="30"/>
    <tableColumn id="13" uniqueName="13" name="Vergleich_ub" queryTableFieldId="3" dataDxfId="29"/>
  </tableColumns>
  <tableStyleInfo name="TableStyleQueryResult" showFirstColumn="0" showLastColumn="0" showRowStripes="1" showColumnStripes="0"/>
</table>
</file>

<file path=xl/tables/table12.xml><?xml version="1.0" encoding="utf-8"?>
<table xmlns="http://schemas.openxmlformats.org/spreadsheetml/2006/main" id="6" name="dict_zul_Var_Meth" displayName="dict_zul_Var_Meth" ref="A1:E761" totalsRowShown="0">
  <autoFilter ref="A1:E761"/>
  <sortState ref="A2:E761">
    <sortCondition ref="A1:A761"/>
  </sortState>
  <tableColumns count="5">
    <tableColumn id="1" name="ID_Variables" dataDxfId="28">
      <calculatedColumnFormula>VLOOKUP(dict_zul_Var_Meth[[#This Row],[ignored_rank]],help_zuord_Var_Meth[],2)</calculatedColumnFormula>
    </tableColumn>
    <tableColumn id="2" name="ID_Methods"/>
    <tableColumn id="6" name="kval_active" dataDxfId="27">
      <calculatedColumnFormula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calculatedColumnFormula>
    </tableColumn>
    <tableColumn id="3" name="ignored_rand">
      <calculatedColumnFormula>RAND()</calculatedColumnFormula>
    </tableColumn>
    <tableColumn id="4" name="ignored_rank" dataDxfId="26">
      <calculatedColumnFormula>RANK(dict_zul_Var_Meth[[#This Row],[ignored_rand]],dict_zul_Var_Meth[ignored_rand])</calculatedColumnFormula>
    </tableColumn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id="19" name="help_zuord_Var_Meth" displayName="help_zuord_Var_Meth" ref="F1:G202" totalsRowShown="0">
  <autoFilter ref="F1:G202"/>
  <tableColumns count="2">
    <tableColumn id="1" name="ignored_help_ascending" dataDxfId="25">
      <calculatedColumnFormula>ROUNDUP(748/200*help_zuord_Var_Meth[[#This Row],[ignored_help_VarsID]],0)+RANDBETWEEN(0,1)-RANDBETWEEN(0,1)</calculatedColumnFormula>
    </tableColumn>
    <tableColumn id="2" name="ignored_help_VarsID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id="7" name="dict_zuord_Var_DQ" displayName="dict_zuord_Var_DQ" ref="A1:C403" totalsRowShown="0">
  <autoFilter ref="A1:C403"/>
  <sortState ref="A2:C23">
    <sortCondition ref="B1:B23"/>
  </sortState>
  <tableColumns count="3">
    <tableColumn id="1" name="ID_Variables">
      <calculatedColumnFormula>ROUNDDOWN(dict_zuord_Var_DQ[[#This Row],[ID_DataQualities]]/2,0)</calculatedColumnFormula>
    </tableColumn>
    <tableColumn id="2" name="ID_DataQualities"/>
    <tableColumn id="3" name="kval_active" dataDxfId="24">
      <calculatedColumnFormula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calculatedColumnFormula>
    </tableColumn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id="8" name="dict_zuord_Meth_Per" displayName="dict_zuord_Meth_Per" ref="A1:E500" totalsRowShown="0">
  <autoFilter ref="A1:E500"/>
  <sortState ref="A2:D500">
    <sortCondition ref="B1:B500"/>
  </sortState>
  <tableColumns count="5">
    <tableColumn id="1" name="ID_Methods">
      <calculatedColumnFormula>RANDBETWEEN(0,700)</calculatedColumnFormula>
    </tableColumn>
    <tableColumn id="2" name="ID_Persons">
      <calculatedColumnFormula>RANDBETWEEN(0,30)</calculatedColumnFormula>
    </tableColumn>
    <tableColumn id="4" name="kval_active" dataDxfId="23">
      <calculatedColumnFormula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calculatedColumnFormula>
    </tableColumn>
    <tableColumn id="3" name="time_in_minutes">
      <calculatedColumnFormula>RANDBETWEEN(0,30)</calculatedColumnFormula>
    </tableColumn>
    <tableColumn id="5" name="ignored_help" dataDxfId="22">
      <calculatedColumnFormula>IF(dict_zuord_Meth_Per[[#This Row],[kval_active]],dict_zuord_Meth_Per[[#This Row],[ID_Persons]],"")</calculatedColumnFormula>
    </tableColumn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id="9" name="dict_zuord_Meth_Pos" displayName="dict_zuord_Meth_Pos" ref="A1:D761" totalsRowShown="0">
  <autoFilter ref="A1:D761"/>
  <sortState ref="A2:C14">
    <sortCondition ref="A1:A14"/>
  </sortState>
  <tableColumns count="4">
    <tableColumn id="1" name="ID_Methods" dataDxfId="0">
      <calculatedColumnFormula>dict_zul_Var_Meth[ID_Methods]</calculatedColumnFormula>
    </tableColumn>
    <tableColumn id="2" name="ID_Positions" dataDxfId="1">
      <calculatedColumnFormula>dict_zul_Var_Meth[ID_Variables]</calculatedColumnFormula>
    </tableColumn>
    <tableColumn id="3" name="kval_active" dataDxfId="2">
      <calculatedColumnFormula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calculatedColumnFormula>
    </tableColumn>
    <tableColumn id="4" name="ignored_help" dataDxfId="21">
      <calculatedColumnFormula>IF(dict_zuord_Meth_Pos[[#This Row],[kval_active]],dict_zuord_Meth_Pos[[#This Row],[ID_Positions]],"")</calculatedColumnFormula>
    </tableColumn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id="14" name="dict_zuord_Meth_Transfers" displayName="dict_zuord_Meth_Transfers" ref="A1:D4207" totalsRowShown="0">
  <autoFilter ref="A1:D4207"/>
  <sortState ref="A2:C4207">
    <sortCondition ref="A1:A4207"/>
  </sortState>
  <tableColumns count="4">
    <tableColumn id="1" name="ID_Methods"/>
    <tableColumn id="2" name="ID_Transfers" dataDxfId="20">
      <calculatedColumnFormula>RANDBETWEEN(0,200)</calculatedColumnFormula>
    </tableColumn>
    <tableColumn id="3" name="kval_active" dataDxfId="19">
      <calculatedColumnFormula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calculatedColumnFormula>
    </tableColumn>
    <tableColumn id="4" name="ignored_help" dataDxfId="18">
      <calculatedColumnFormula>IF(dict_zuord_Meth_Transfers[[#This Row],[kval_active]],dict_zuord_Meth_Transfers[[#This Row],[ID_Transfers]],"")</calculatedColumnFormula>
    </tableColumn>
  </tableColumns>
  <tableStyleInfo name="TableStyleMedium15" showFirstColumn="0" showLastColumn="0" showRowStripes="1" showColumnStripes="0"/>
</table>
</file>

<file path=xl/tables/table18.xml><?xml version="1.0" encoding="utf-8"?>
<table xmlns="http://schemas.openxmlformats.org/spreadsheetml/2006/main" id="15" name="dict_zuord_Transfers_Storages" displayName="dict_zuord_Transfers_Storages" ref="A1:D1810" totalsRowShown="0">
  <autoFilter ref="A1:D1810"/>
  <sortState ref="A2:C1810">
    <sortCondition ref="A1:A1810"/>
  </sortState>
  <tableColumns count="4">
    <tableColumn id="1" name="ID_Transfers"/>
    <tableColumn id="2" name="ID_Storages" dataDxfId="17">
      <calculatedColumnFormula>RANDBETWEEN(0,100)</calculatedColumnFormula>
    </tableColumn>
    <tableColumn id="3" name="kval_active" dataDxfId="16">
      <calculatedColumnFormula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calculatedColumnFormula>
    </tableColumn>
    <tableColumn id="4" name="ignored_help" dataDxfId="15">
      <calculatedColumnFormula>IF(dict_zuord_Transfers_Storages[[#This Row],[kval_active]],dict_zuord_Transfers_Storages[[#This Row],[ID_Storages]],"")</calculatedColumnFormula>
    </tableColumn>
  </tableColumns>
  <tableStyleInfo name="TableStyleMedium15" showFirstColumn="0" showLastColumn="0" showRowStripes="1" showColumnStripes="0"/>
</table>
</file>

<file path=xl/tables/table19.xml><?xml version="1.0" encoding="utf-8"?>
<table xmlns="http://schemas.openxmlformats.org/spreadsheetml/2006/main" id="17" name="dict_zuord_DQ_Units" displayName="dict_zuord_DQ_Units" ref="A1:C1000" totalsRowShown="0">
  <autoFilter ref="A1:C1000"/>
  <tableColumns count="3">
    <tableColumn id="1" name="ID_DataQualities" dataDxfId="14">
      <calculatedColumnFormula>IFERROR(table_DataQualities[ID],"")</calculatedColumnFormula>
    </tableColumn>
    <tableColumn id="2" name="ID_Units" dataDxfId="13">
      <calculatedColumnFormula>IFERROR(table_DataQualities[unit_ID],"")</calculatedColumnFormula>
    </tableColumn>
    <tableColumn id="3" name="kval_active" dataDxfId="12">
      <calculatedColumnFormula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calculatedColumnFormula>
    </tableColumn>
  </tableColumns>
  <tableStyleInfo name="TableStyleMedium15" showFirstColumn="0" showLastColumn="0" showRowStripes="1" showColumnStripes="0"/>
</table>
</file>

<file path=xl/tables/table20.xml><?xml version="1.0" encoding="utf-8"?>
<table xmlns="http://schemas.openxmlformats.org/spreadsheetml/2006/main" id="12" name="dict_DQ_Meth_max_deprecated" displayName="dict_DQ_Meth_max_deprecated" ref="A1:M31" totalsRowShown="0">
  <autoFilter ref="A1:M31"/>
  <sortState ref="A42:M71">
    <sortCondition ref="B1:B71"/>
  </sortState>
  <tableColumns count="13">
    <tableColumn id="1" name="ID_DataQualities"/>
    <tableColumn id="2" name="ID_Methods"/>
    <tableColumn id="5" name="kval_active" dataDxfId="8">
      <calculatedColumnFormula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calculatedColumnFormula>
    </tableColumn>
    <tableColumn id="8" name="z_J_worst"/>
    <tableColumn id="3" name="z_J_best"/>
    <tableColumn id="7" name="z_J_lb" dataDxfId="7">
      <calculatedColumnFormula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calculatedColumnFormula>
    </tableColumn>
    <tableColumn id="11" name="z_J_ub" dataDxfId="6">
      <calculatedColumnFormula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calculatedColumnFormula>
    </tableColumn>
    <tableColumn id="4" name="ignore_unit" dataDxfId="5">
      <calculatedColumnFormula>VLOOKUP(VLOOKUP(dict_DQ_Meth_max_deprecated[[#This Row],[ID_DataQualities]],table_DataQualities[],3),table_Units[],2)</calculatedColumnFormula>
    </tableColumn>
    <tableColumn id="6" name="processcost_per_unit"/>
    <tableColumn id="9" name="bandwidth_fix"/>
    <tableColumn id="10" name="bandwidth_per_z"/>
    <tableColumn id="14" name="Vergeleich_lb" dataDxfId="4">
      <calculatedColumnFormula>VLOOKUP(dict_DQ_Meth_max_deprecated[[#This Row],[ID_DataQualities]],table_DataQualities!$A:$I,8,FALSE)</calculatedColumnFormula>
    </tableColumn>
    <tableColumn id="15" name="Vergleich_ub" dataDxfId="3">
      <calculatedColumnFormula>VLOOKUP($A2,table_DataQualities!$A:$I,9,FALSE)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F11"/>
  <sheetViews>
    <sheetView workbookViewId="0"/>
  </sheetViews>
  <sheetFormatPr baseColWidth="10" defaultRowHeight="14.25" x14ac:dyDescent="0.45"/>
  <cols>
    <col min="10" max="10" width="11.86328125" customWidth="1"/>
  </cols>
  <sheetData>
    <row r="1" spans="1:6" x14ac:dyDescent="0.45">
      <c r="F1" t="s">
        <v>9</v>
      </c>
    </row>
    <row r="2" spans="1:6" x14ac:dyDescent="0.45">
      <c r="F2" t="s">
        <v>10</v>
      </c>
    </row>
    <row r="3" spans="1:6" x14ac:dyDescent="0.45">
      <c r="A3" t="s">
        <v>16</v>
      </c>
      <c r="D3">
        <v>5</v>
      </c>
      <c r="F3" t="s">
        <v>11</v>
      </c>
    </row>
    <row r="4" spans="1:6" x14ac:dyDescent="0.45">
      <c r="F4" t="s">
        <v>12</v>
      </c>
    </row>
    <row r="5" spans="1:6" x14ac:dyDescent="0.45">
      <c r="F5" t="s">
        <v>13</v>
      </c>
    </row>
    <row r="9" spans="1:6" x14ac:dyDescent="0.45">
      <c r="A9" t="s">
        <v>17</v>
      </c>
      <c r="B9" t="s">
        <v>19</v>
      </c>
    </row>
    <row r="10" spans="1:6" x14ac:dyDescent="0.45">
      <c r="B10" t="s">
        <v>18</v>
      </c>
    </row>
    <row r="11" spans="1:6" x14ac:dyDescent="0.45">
      <c r="B11" t="s">
        <v>20</v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Drop Down 3">
              <controlPr defaultSize="0" autoLine="0" autoPict="0">
                <anchor moveWithCells="1">
                  <from>
                    <xdr:col>1</xdr:col>
                    <xdr:colOff>57150</xdr:colOff>
                    <xdr:row>2</xdr:row>
                    <xdr:rowOff>0</xdr:rowOff>
                  </from>
                  <to>
                    <xdr:col>2</xdr:col>
                    <xdr:colOff>676275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4" name="Drop Down 7">
              <controlPr defaultSize="0" autoLine="0" autoPict="0">
                <anchor moveWithCells="1">
                  <from>
                    <xdr:col>2</xdr:col>
                    <xdr:colOff>200025</xdr:colOff>
                    <xdr:row>10</xdr:row>
                    <xdr:rowOff>38100</xdr:rowOff>
                  </from>
                  <to>
                    <xdr:col>4</xdr:col>
                    <xdr:colOff>371475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A5"/>
  <sheetViews>
    <sheetView workbookViewId="0">
      <selection activeCell="B1" sqref="B1"/>
    </sheetView>
  </sheetViews>
  <sheetFormatPr baseColWidth="10" defaultRowHeight="14.25" x14ac:dyDescent="0.45"/>
  <sheetData>
    <row r="1" spans="1:1" x14ac:dyDescent="0.45">
      <c r="A1" t="s">
        <v>20</v>
      </c>
    </row>
    <row r="2" spans="1:1" x14ac:dyDescent="0.45">
      <c r="A2" t="s">
        <v>349</v>
      </c>
    </row>
    <row r="3" spans="1:1" x14ac:dyDescent="0.45">
      <c r="A3" t="s">
        <v>350</v>
      </c>
    </row>
    <row r="4" spans="1:1" x14ac:dyDescent="0.45">
      <c r="A4" t="s">
        <v>351</v>
      </c>
    </row>
    <row r="5" spans="1:1" x14ac:dyDescent="0.45">
      <c r="A5" t="s">
        <v>352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XFD26"/>
  <sheetViews>
    <sheetView workbookViewId="0"/>
  </sheetViews>
  <sheetFormatPr baseColWidth="10" defaultRowHeight="14.25" x14ac:dyDescent="0.45"/>
  <cols>
    <col min="1" max="1" width="26.1328125" customWidth="1"/>
    <col min="2" max="2" width="20.1328125" bestFit="1" customWidth="1"/>
    <col min="3" max="3" width="17.3984375" bestFit="1" customWidth="1"/>
  </cols>
  <sheetData>
    <row r="1" spans="1:16384" x14ac:dyDescent="0.45">
      <c r="A1" t="s">
        <v>32</v>
      </c>
      <c r="B1" t="s">
        <v>52</v>
      </c>
      <c r="C1" t="s">
        <v>51</v>
      </c>
    </row>
    <row r="2" spans="1:16384" x14ac:dyDescent="0.45">
      <c r="A2" t="s">
        <v>56</v>
      </c>
      <c r="B2" t="s">
        <v>56</v>
      </c>
    </row>
    <row r="3" spans="1:16384" s="6" customFormat="1" x14ac:dyDescent="0.45">
      <c r="A3" s="5" t="s">
        <v>119</v>
      </c>
      <c r="B3" s="5" t="s">
        <v>119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  <c r="AAA3" s="5"/>
      <c r="AAB3" s="5"/>
      <c r="AAC3" s="5"/>
      <c r="AAD3" s="5"/>
      <c r="AAE3" s="5"/>
      <c r="AAF3" s="5"/>
      <c r="AAG3" s="5"/>
      <c r="AAH3" s="5"/>
      <c r="AAI3" s="5"/>
      <c r="AAJ3" s="5"/>
      <c r="AAK3" s="5"/>
      <c r="AAL3" s="5"/>
      <c r="AAM3" s="5"/>
      <c r="AAN3" s="5"/>
      <c r="AAO3" s="5"/>
      <c r="AAP3" s="5"/>
      <c r="AAQ3" s="5"/>
      <c r="AAR3" s="5"/>
      <c r="AAS3" s="5"/>
      <c r="AAT3" s="5"/>
      <c r="AAU3" s="5"/>
      <c r="AAV3" s="5"/>
      <c r="AAW3" s="5"/>
      <c r="AAX3" s="5"/>
      <c r="AAY3" s="5"/>
      <c r="AAZ3" s="5"/>
      <c r="ABA3" s="5"/>
      <c r="ABB3" s="5"/>
      <c r="ABC3" s="5"/>
      <c r="ABD3" s="5"/>
      <c r="ABE3" s="5"/>
      <c r="ABF3" s="5"/>
      <c r="ABG3" s="5"/>
      <c r="ABH3" s="5"/>
      <c r="ABI3" s="5"/>
      <c r="ABJ3" s="5"/>
      <c r="ABK3" s="5"/>
      <c r="ABL3" s="5"/>
      <c r="ABM3" s="5"/>
      <c r="ABN3" s="5"/>
      <c r="ABO3" s="5"/>
      <c r="ABP3" s="5"/>
      <c r="ABQ3" s="5"/>
      <c r="ABR3" s="5"/>
      <c r="ABS3" s="5"/>
      <c r="ABT3" s="5"/>
      <c r="ABU3" s="5"/>
      <c r="ABV3" s="5"/>
      <c r="ABW3" s="5"/>
      <c r="ABX3" s="5"/>
      <c r="ABY3" s="5"/>
      <c r="ABZ3" s="5"/>
      <c r="ACA3" s="5"/>
      <c r="ACB3" s="5"/>
      <c r="ACC3" s="5"/>
      <c r="ACD3" s="5"/>
      <c r="ACE3" s="5"/>
      <c r="ACF3" s="5"/>
      <c r="ACG3" s="5"/>
      <c r="ACH3" s="5"/>
      <c r="ACI3" s="5"/>
      <c r="ACJ3" s="5"/>
      <c r="ACK3" s="5"/>
      <c r="ACL3" s="5"/>
      <c r="ACM3" s="5"/>
      <c r="ACN3" s="5"/>
      <c r="ACO3" s="5"/>
      <c r="ACP3" s="5"/>
      <c r="ACQ3" s="5"/>
      <c r="ACR3" s="5"/>
      <c r="ACS3" s="5"/>
      <c r="ACT3" s="5"/>
      <c r="ACU3" s="5"/>
      <c r="ACV3" s="5"/>
      <c r="ACW3" s="5"/>
      <c r="ACX3" s="5"/>
      <c r="ACY3" s="5"/>
      <c r="ACZ3" s="5"/>
      <c r="ADA3" s="5"/>
      <c r="ADB3" s="5"/>
      <c r="ADC3" s="5"/>
      <c r="ADD3" s="5"/>
      <c r="ADE3" s="5"/>
      <c r="ADF3" s="5"/>
      <c r="ADG3" s="5"/>
      <c r="ADH3" s="5"/>
      <c r="ADI3" s="5"/>
      <c r="ADJ3" s="5"/>
      <c r="ADK3" s="5"/>
      <c r="ADL3" s="5"/>
      <c r="ADM3" s="5"/>
      <c r="ADN3" s="5"/>
      <c r="ADO3" s="5"/>
      <c r="ADP3" s="5"/>
      <c r="ADQ3" s="5"/>
      <c r="ADR3" s="5"/>
      <c r="ADS3" s="5"/>
      <c r="ADT3" s="5"/>
      <c r="ADU3" s="5"/>
      <c r="ADV3" s="5"/>
      <c r="ADW3" s="5"/>
      <c r="ADX3" s="5"/>
      <c r="ADY3" s="5"/>
      <c r="ADZ3" s="5"/>
      <c r="AEA3" s="5"/>
      <c r="AEB3" s="5"/>
      <c r="AEC3" s="5"/>
      <c r="AED3" s="5"/>
      <c r="AEE3" s="5"/>
      <c r="AEF3" s="5"/>
      <c r="AEG3" s="5"/>
      <c r="AEH3" s="5"/>
      <c r="AEI3" s="5"/>
      <c r="AEJ3" s="5"/>
      <c r="AEK3" s="5"/>
      <c r="AEL3" s="5"/>
      <c r="AEM3" s="5"/>
      <c r="AEN3" s="5"/>
      <c r="AEO3" s="5"/>
      <c r="AEP3" s="5"/>
      <c r="AEQ3" s="5"/>
      <c r="AER3" s="5"/>
      <c r="AES3" s="5"/>
      <c r="AET3" s="5"/>
      <c r="AEU3" s="5"/>
      <c r="AEV3" s="5"/>
      <c r="AEW3" s="5"/>
      <c r="AEX3" s="5"/>
      <c r="AEY3" s="5"/>
      <c r="AEZ3" s="5"/>
      <c r="AFA3" s="5"/>
      <c r="AFB3" s="5"/>
      <c r="AFC3" s="5"/>
      <c r="AFD3" s="5"/>
      <c r="AFE3" s="5"/>
      <c r="AFF3" s="5"/>
      <c r="AFG3" s="5"/>
      <c r="AFH3" s="5"/>
      <c r="AFI3" s="5"/>
      <c r="AFJ3" s="5"/>
      <c r="AFK3" s="5"/>
      <c r="AFL3" s="5"/>
      <c r="AFM3" s="5"/>
      <c r="AFN3" s="5"/>
      <c r="AFO3" s="5"/>
      <c r="AFP3" s="5"/>
      <c r="AFQ3" s="5"/>
      <c r="AFR3" s="5"/>
      <c r="AFS3" s="5"/>
      <c r="AFT3" s="5"/>
      <c r="AFU3" s="5"/>
      <c r="AFV3" s="5"/>
      <c r="AFW3" s="5"/>
      <c r="AFX3" s="5"/>
      <c r="AFY3" s="5"/>
      <c r="AFZ3" s="5"/>
      <c r="AGA3" s="5"/>
      <c r="AGB3" s="5"/>
      <c r="AGC3" s="5"/>
      <c r="AGD3" s="5"/>
      <c r="AGE3" s="5"/>
      <c r="AGF3" s="5"/>
      <c r="AGG3" s="5"/>
      <c r="AGH3" s="5"/>
      <c r="AGI3" s="5"/>
      <c r="AGJ3" s="5"/>
      <c r="AGK3" s="5"/>
      <c r="AGL3" s="5"/>
      <c r="AGM3" s="5"/>
      <c r="AGN3" s="5"/>
      <c r="AGO3" s="5"/>
      <c r="AGP3" s="5"/>
      <c r="AGQ3" s="5"/>
      <c r="AGR3" s="5"/>
      <c r="AGS3" s="5"/>
      <c r="AGT3" s="5"/>
      <c r="AGU3" s="5"/>
      <c r="AGV3" s="5"/>
      <c r="AGW3" s="5"/>
      <c r="AGX3" s="5"/>
      <c r="AGY3" s="5"/>
      <c r="AGZ3" s="5"/>
      <c r="AHA3" s="5"/>
      <c r="AHB3" s="5"/>
      <c r="AHC3" s="5"/>
      <c r="AHD3" s="5"/>
      <c r="AHE3" s="5"/>
      <c r="AHF3" s="5"/>
      <c r="AHG3" s="5"/>
      <c r="AHH3" s="5"/>
      <c r="AHI3" s="5"/>
      <c r="AHJ3" s="5"/>
      <c r="AHK3" s="5"/>
      <c r="AHL3" s="5"/>
      <c r="AHM3" s="5"/>
      <c r="AHN3" s="5"/>
      <c r="AHO3" s="5"/>
      <c r="AHP3" s="5"/>
      <c r="AHQ3" s="5"/>
      <c r="AHR3" s="5"/>
      <c r="AHS3" s="5"/>
      <c r="AHT3" s="5"/>
      <c r="AHU3" s="5"/>
      <c r="AHV3" s="5"/>
      <c r="AHW3" s="5"/>
      <c r="AHX3" s="5"/>
      <c r="AHY3" s="5"/>
      <c r="AHZ3" s="5"/>
      <c r="AIA3" s="5"/>
      <c r="AIB3" s="5"/>
      <c r="AIC3" s="5"/>
      <c r="AID3" s="5"/>
      <c r="AIE3" s="5"/>
      <c r="AIF3" s="5"/>
      <c r="AIG3" s="5"/>
      <c r="AIH3" s="5"/>
      <c r="AII3" s="5"/>
      <c r="AIJ3" s="5"/>
      <c r="AIK3" s="5"/>
      <c r="AIL3" s="5"/>
      <c r="AIM3" s="5"/>
      <c r="AIN3" s="5"/>
      <c r="AIO3" s="5"/>
      <c r="AIP3" s="5"/>
      <c r="AIQ3" s="5"/>
      <c r="AIR3" s="5"/>
      <c r="AIS3" s="5"/>
      <c r="AIT3" s="5"/>
      <c r="AIU3" s="5"/>
      <c r="AIV3" s="5"/>
      <c r="AIW3" s="5"/>
      <c r="AIX3" s="5"/>
      <c r="AIY3" s="5"/>
      <c r="AIZ3" s="5"/>
      <c r="AJA3" s="5"/>
      <c r="AJB3" s="5"/>
      <c r="AJC3" s="5"/>
      <c r="AJD3" s="5"/>
      <c r="AJE3" s="5"/>
      <c r="AJF3" s="5"/>
      <c r="AJG3" s="5"/>
      <c r="AJH3" s="5"/>
      <c r="AJI3" s="5"/>
      <c r="AJJ3" s="5"/>
      <c r="AJK3" s="5"/>
      <c r="AJL3" s="5"/>
      <c r="AJM3" s="5"/>
      <c r="AJN3" s="5"/>
      <c r="AJO3" s="5"/>
      <c r="AJP3" s="5"/>
      <c r="AJQ3" s="5"/>
      <c r="AJR3" s="5"/>
      <c r="AJS3" s="5"/>
      <c r="AJT3" s="5"/>
      <c r="AJU3" s="5"/>
      <c r="AJV3" s="5"/>
      <c r="AJW3" s="5"/>
      <c r="AJX3" s="5"/>
      <c r="AJY3" s="5"/>
      <c r="AJZ3" s="5"/>
      <c r="AKA3" s="5"/>
      <c r="AKB3" s="5"/>
      <c r="AKC3" s="5"/>
      <c r="AKD3" s="5"/>
      <c r="AKE3" s="5"/>
      <c r="AKF3" s="5"/>
      <c r="AKG3" s="5"/>
      <c r="AKH3" s="5"/>
      <c r="AKI3" s="5"/>
      <c r="AKJ3" s="5"/>
      <c r="AKK3" s="5"/>
      <c r="AKL3" s="5"/>
      <c r="AKM3" s="5"/>
      <c r="AKN3" s="5"/>
      <c r="AKO3" s="5"/>
      <c r="AKP3" s="5"/>
      <c r="AKQ3" s="5"/>
      <c r="AKR3" s="5"/>
      <c r="AKS3" s="5"/>
      <c r="AKT3" s="5"/>
      <c r="AKU3" s="5"/>
      <c r="AKV3" s="5"/>
      <c r="AKW3" s="5"/>
      <c r="AKX3" s="5"/>
      <c r="AKY3" s="5"/>
      <c r="AKZ3" s="5"/>
      <c r="ALA3" s="5"/>
      <c r="ALB3" s="5"/>
      <c r="ALC3" s="5"/>
      <c r="ALD3" s="5"/>
      <c r="ALE3" s="5"/>
      <c r="ALF3" s="5"/>
      <c r="ALG3" s="5"/>
      <c r="ALH3" s="5"/>
      <c r="ALI3" s="5"/>
      <c r="ALJ3" s="5"/>
      <c r="ALK3" s="5"/>
      <c r="ALL3" s="5"/>
      <c r="ALM3" s="5"/>
      <c r="ALN3" s="5"/>
      <c r="ALO3" s="5"/>
      <c r="ALP3" s="5"/>
      <c r="ALQ3" s="5"/>
      <c r="ALR3" s="5"/>
      <c r="ALS3" s="5"/>
      <c r="ALT3" s="5"/>
      <c r="ALU3" s="5"/>
      <c r="ALV3" s="5"/>
      <c r="ALW3" s="5"/>
      <c r="ALX3" s="5"/>
      <c r="ALY3" s="5"/>
      <c r="ALZ3" s="5"/>
      <c r="AMA3" s="5"/>
      <c r="AMB3" s="5"/>
      <c r="AMC3" s="5"/>
      <c r="AMD3" s="5"/>
      <c r="AME3" s="5"/>
      <c r="AMF3" s="5"/>
      <c r="AMG3" s="5"/>
      <c r="AMH3" s="5"/>
      <c r="AMI3" s="5"/>
      <c r="AMJ3" s="5"/>
      <c r="AMK3" s="5"/>
      <c r="AML3" s="5"/>
      <c r="AMM3" s="5"/>
      <c r="AMN3" s="5"/>
      <c r="AMO3" s="5"/>
      <c r="AMP3" s="5"/>
      <c r="AMQ3" s="5"/>
      <c r="AMR3" s="5"/>
      <c r="AMS3" s="5"/>
      <c r="AMT3" s="5"/>
      <c r="AMU3" s="5"/>
      <c r="AMV3" s="5"/>
      <c r="AMW3" s="5"/>
      <c r="AMX3" s="5"/>
      <c r="AMY3" s="5"/>
      <c r="AMZ3" s="5"/>
      <c r="ANA3" s="5"/>
      <c r="ANB3" s="5"/>
      <c r="ANC3" s="5"/>
      <c r="AND3" s="5"/>
      <c r="ANE3" s="5"/>
      <c r="ANF3" s="5"/>
      <c r="ANG3" s="5"/>
      <c r="ANH3" s="5"/>
      <c r="ANI3" s="5"/>
      <c r="ANJ3" s="5"/>
      <c r="ANK3" s="5"/>
      <c r="ANL3" s="5"/>
      <c r="ANM3" s="5"/>
      <c r="ANN3" s="5"/>
      <c r="ANO3" s="5"/>
      <c r="ANP3" s="5"/>
      <c r="ANQ3" s="5"/>
      <c r="ANR3" s="5"/>
      <c r="ANS3" s="5"/>
      <c r="ANT3" s="5"/>
      <c r="ANU3" s="5"/>
      <c r="ANV3" s="5"/>
      <c r="ANW3" s="5"/>
      <c r="ANX3" s="5"/>
      <c r="ANY3" s="5"/>
      <c r="ANZ3" s="5"/>
      <c r="AOA3" s="5"/>
      <c r="AOB3" s="5"/>
      <c r="AOC3" s="5"/>
      <c r="AOD3" s="5"/>
      <c r="AOE3" s="5"/>
      <c r="AOF3" s="5"/>
      <c r="AOG3" s="5"/>
      <c r="AOH3" s="5"/>
      <c r="AOI3" s="5"/>
      <c r="AOJ3" s="5"/>
      <c r="AOK3" s="5"/>
      <c r="AOL3" s="5"/>
      <c r="AOM3" s="5"/>
      <c r="AON3" s="5"/>
      <c r="AOO3" s="5"/>
      <c r="AOP3" s="5"/>
      <c r="AOQ3" s="5"/>
      <c r="AOR3" s="5"/>
      <c r="AOS3" s="5"/>
      <c r="AOT3" s="5"/>
      <c r="AOU3" s="5"/>
      <c r="AOV3" s="5"/>
      <c r="AOW3" s="5"/>
      <c r="AOX3" s="5"/>
      <c r="AOY3" s="5"/>
      <c r="AOZ3" s="5"/>
      <c r="APA3" s="5"/>
      <c r="APB3" s="5"/>
      <c r="APC3" s="5"/>
      <c r="APD3" s="5"/>
      <c r="APE3" s="5"/>
      <c r="APF3" s="5"/>
      <c r="APG3" s="5"/>
      <c r="APH3" s="5"/>
      <c r="API3" s="5"/>
      <c r="APJ3" s="5"/>
      <c r="APK3" s="5"/>
      <c r="APL3" s="5"/>
      <c r="APM3" s="5"/>
      <c r="APN3" s="5"/>
      <c r="APO3" s="5"/>
      <c r="APP3" s="5"/>
      <c r="APQ3" s="5"/>
      <c r="APR3" s="5"/>
      <c r="APS3" s="5"/>
      <c r="APT3" s="5"/>
      <c r="APU3" s="5"/>
      <c r="APV3" s="5"/>
      <c r="APW3" s="5"/>
      <c r="APX3" s="5"/>
      <c r="APY3" s="5"/>
      <c r="APZ3" s="5"/>
      <c r="AQA3" s="5"/>
      <c r="AQB3" s="5"/>
      <c r="AQC3" s="5"/>
      <c r="AQD3" s="5"/>
      <c r="AQE3" s="5"/>
      <c r="AQF3" s="5"/>
      <c r="AQG3" s="5"/>
      <c r="AQH3" s="5"/>
      <c r="AQI3" s="5"/>
      <c r="AQJ3" s="5"/>
      <c r="AQK3" s="5"/>
      <c r="AQL3" s="5"/>
      <c r="AQM3" s="5"/>
      <c r="AQN3" s="5"/>
      <c r="AQO3" s="5"/>
      <c r="AQP3" s="5"/>
      <c r="AQQ3" s="5"/>
      <c r="AQR3" s="5"/>
      <c r="AQS3" s="5"/>
      <c r="AQT3" s="5"/>
      <c r="AQU3" s="5"/>
      <c r="AQV3" s="5"/>
      <c r="AQW3" s="5"/>
      <c r="AQX3" s="5"/>
      <c r="AQY3" s="5"/>
      <c r="AQZ3" s="5"/>
      <c r="ARA3" s="5"/>
      <c r="ARB3" s="5"/>
      <c r="ARC3" s="5"/>
      <c r="ARD3" s="5"/>
      <c r="ARE3" s="5"/>
      <c r="ARF3" s="5"/>
      <c r="ARG3" s="5"/>
      <c r="ARH3" s="5"/>
      <c r="ARI3" s="5"/>
      <c r="ARJ3" s="5"/>
      <c r="ARK3" s="5"/>
      <c r="ARL3" s="5"/>
      <c r="ARM3" s="5"/>
      <c r="ARN3" s="5"/>
      <c r="ARO3" s="5"/>
      <c r="ARP3" s="5"/>
      <c r="ARQ3" s="5"/>
      <c r="ARR3" s="5"/>
      <c r="ARS3" s="5"/>
      <c r="ART3" s="5"/>
      <c r="ARU3" s="5"/>
      <c r="ARV3" s="5"/>
      <c r="ARW3" s="5"/>
      <c r="ARX3" s="5"/>
      <c r="ARY3" s="5"/>
      <c r="ARZ3" s="5"/>
      <c r="ASA3" s="5"/>
      <c r="ASB3" s="5"/>
      <c r="ASC3" s="5"/>
      <c r="ASD3" s="5"/>
      <c r="ASE3" s="5"/>
      <c r="ASF3" s="5"/>
      <c r="ASG3" s="5"/>
      <c r="ASH3" s="5"/>
      <c r="ASI3" s="5"/>
      <c r="ASJ3" s="5"/>
      <c r="ASK3" s="5"/>
      <c r="ASL3" s="5"/>
      <c r="ASM3" s="5"/>
      <c r="ASN3" s="5"/>
      <c r="ASO3" s="5"/>
      <c r="ASP3" s="5"/>
      <c r="ASQ3" s="5"/>
      <c r="ASR3" s="5"/>
      <c r="ASS3" s="5"/>
      <c r="AST3" s="5"/>
      <c r="ASU3" s="5"/>
      <c r="ASV3" s="5"/>
      <c r="ASW3" s="5"/>
      <c r="ASX3" s="5"/>
      <c r="ASY3" s="5"/>
      <c r="ASZ3" s="5"/>
      <c r="ATA3" s="5"/>
      <c r="ATB3" s="5"/>
      <c r="ATC3" s="5"/>
      <c r="ATD3" s="5"/>
      <c r="ATE3" s="5"/>
      <c r="ATF3" s="5"/>
      <c r="ATG3" s="5"/>
      <c r="ATH3" s="5"/>
      <c r="ATI3" s="5"/>
      <c r="ATJ3" s="5"/>
      <c r="ATK3" s="5"/>
      <c r="ATL3" s="5"/>
      <c r="ATM3" s="5"/>
      <c r="ATN3" s="5"/>
      <c r="ATO3" s="5"/>
      <c r="ATP3" s="5"/>
      <c r="ATQ3" s="5"/>
      <c r="ATR3" s="5"/>
      <c r="ATS3" s="5"/>
      <c r="ATT3" s="5"/>
      <c r="ATU3" s="5"/>
      <c r="ATV3" s="5"/>
      <c r="ATW3" s="5"/>
      <c r="ATX3" s="5"/>
      <c r="ATY3" s="5"/>
      <c r="ATZ3" s="5"/>
      <c r="AUA3" s="5"/>
      <c r="AUB3" s="5"/>
      <c r="AUC3" s="5"/>
      <c r="AUD3" s="5"/>
      <c r="AUE3" s="5"/>
      <c r="AUF3" s="5"/>
      <c r="AUG3" s="5"/>
      <c r="AUH3" s="5"/>
      <c r="AUI3" s="5"/>
      <c r="AUJ3" s="5"/>
      <c r="AUK3" s="5"/>
      <c r="AUL3" s="5"/>
      <c r="AUM3" s="5"/>
      <c r="AUN3" s="5"/>
      <c r="AUO3" s="5"/>
      <c r="AUP3" s="5"/>
      <c r="AUQ3" s="5"/>
      <c r="AUR3" s="5"/>
      <c r="AUS3" s="5"/>
      <c r="AUT3" s="5"/>
      <c r="AUU3" s="5"/>
      <c r="AUV3" s="5"/>
      <c r="AUW3" s="5"/>
      <c r="AUX3" s="5"/>
      <c r="AUY3" s="5"/>
      <c r="AUZ3" s="5"/>
      <c r="AVA3" s="5"/>
      <c r="AVB3" s="5"/>
      <c r="AVC3" s="5"/>
      <c r="AVD3" s="5"/>
      <c r="AVE3" s="5"/>
      <c r="AVF3" s="5"/>
      <c r="AVG3" s="5"/>
      <c r="AVH3" s="5"/>
      <c r="AVI3" s="5"/>
      <c r="AVJ3" s="5"/>
      <c r="AVK3" s="5"/>
      <c r="AVL3" s="5"/>
      <c r="AVM3" s="5"/>
      <c r="AVN3" s="5"/>
      <c r="AVO3" s="5"/>
      <c r="AVP3" s="5"/>
      <c r="AVQ3" s="5"/>
      <c r="AVR3" s="5"/>
      <c r="AVS3" s="5"/>
      <c r="AVT3" s="5"/>
      <c r="AVU3" s="5"/>
      <c r="AVV3" s="5"/>
      <c r="AVW3" s="5"/>
      <c r="AVX3" s="5"/>
      <c r="AVY3" s="5"/>
      <c r="AVZ3" s="5"/>
      <c r="AWA3" s="5"/>
      <c r="AWB3" s="5"/>
      <c r="AWC3" s="5"/>
      <c r="AWD3" s="5"/>
      <c r="AWE3" s="5"/>
      <c r="AWF3" s="5"/>
      <c r="AWG3" s="5"/>
      <c r="AWH3" s="5"/>
      <c r="AWI3" s="5"/>
      <c r="AWJ3" s="5"/>
      <c r="AWK3" s="5"/>
      <c r="AWL3" s="5"/>
      <c r="AWM3" s="5"/>
      <c r="AWN3" s="5"/>
      <c r="AWO3" s="5"/>
      <c r="AWP3" s="5"/>
      <c r="AWQ3" s="5"/>
      <c r="AWR3" s="5"/>
      <c r="AWS3" s="5"/>
      <c r="AWT3" s="5"/>
      <c r="AWU3" s="5"/>
      <c r="AWV3" s="5"/>
      <c r="AWW3" s="5"/>
      <c r="AWX3" s="5"/>
      <c r="AWY3" s="5"/>
      <c r="AWZ3" s="5"/>
      <c r="AXA3" s="5"/>
      <c r="AXB3" s="5"/>
      <c r="AXC3" s="5"/>
      <c r="AXD3" s="5"/>
      <c r="AXE3" s="5"/>
      <c r="AXF3" s="5"/>
      <c r="AXG3" s="5"/>
      <c r="AXH3" s="5"/>
      <c r="AXI3" s="5"/>
      <c r="AXJ3" s="5"/>
      <c r="AXK3" s="5"/>
      <c r="AXL3" s="5"/>
      <c r="AXM3" s="5"/>
      <c r="AXN3" s="5"/>
      <c r="AXO3" s="5"/>
      <c r="AXP3" s="5"/>
      <c r="AXQ3" s="5"/>
      <c r="AXR3" s="5"/>
      <c r="AXS3" s="5"/>
      <c r="AXT3" s="5"/>
      <c r="AXU3" s="5"/>
      <c r="AXV3" s="5"/>
      <c r="AXW3" s="5"/>
      <c r="AXX3" s="5"/>
      <c r="AXY3" s="5"/>
      <c r="AXZ3" s="5"/>
      <c r="AYA3" s="5"/>
      <c r="AYB3" s="5"/>
      <c r="AYC3" s="5"/>
      <c r="AYD3" s="5"/>
      <c r="AYE3" s="5"/>
      <c r="AYF3" s="5"/>
      <c r="AYG3" s="5"/>
      <c r="AYH3" s="5"/>
      <c r="AYI3" s="5"/>
      <c r="AYJ3" s="5"/>
      <c r="AYK3" s="5"/>
      <c r="AYL3" s="5"/>
      <c r="AYM3" s="5"/>
      <c r="AYN3" s="5"/>
      <c r="AYO3" s="5"/>
      <c r="AYP3" s="5"/>
      <c r="AYQ3" s="5"/>
      <c r="AYR3" s="5"/>
      <c r="AYS3" s="5"/>
      <c r="AYT3" s="5"/>
      <c r="AYU3" s="5"/>
      <c r="AYV3" s="5"/>
      <c r="AYW3" s="5"/>
      <c r="AYX3" s="5"/>
      <c r="AYY3" s="5"/>
      <c r="AYZ3" s="5"/>
      <c r="AZA3" s="5"/>
      <c r="AZB3" s="5"/>
      <c r="AZC3" s="5"/>
      <c r="AZD3" s="5"/>
      <c r="AZE3" s="5"/>
      <c r="AZF3" s="5"/>
      <c r="AZG3" s="5"/>
      <c r="AZH3" s="5"/>
      <c r="AZI3" s="5"/>
      <c r="AZJ3" s="5"/>
      <c r="AZK3" s="5"/>
      <c r="AZL3" s="5"/>
      <c r="AZM3" s="5"/>
      <c r="AZN3" s="5"/>
      <c r="AZO3" s="5"/>
      <c r="AZP3" s="5"/>
      <c r="AZQ3" s="5"/>
      <c r="AZR3" s="5"/>
      <c r="AZS3" s="5"/>
      <c r="AZT3" s="5"/>
      <c r="AZU3" s="5"/>
      <c r="AZV3" s="5"/>
      <c r="AZW3" s="5"/>
      <c r="AZX3" s="5"/>
      <c r="AZY3" s="5"/>
      <c r="AZZ3" s="5"/>
      <c r="BAA3" s="5"/>
      <c r="BAB3" s="5"/>
      <c r="BAC3" s="5"/>
      <c r="BAD3" s="5"/>
      <c r="BAE3" s="5"/>
      <c r="BAF3" s="5"/>
      <c r="BAG3" s="5"/>
      <c r="BAH3" s="5"/>
      <c r="BAI3" s="5"/>
      <c r="BAJ3" s="5"/>
      <c r="BAK3" s="5"/>
      <c r="BAL3" s="5"/>
      <c r="BAM3" s="5"/>
      <c r="BAN3" s="5"/>
      <c r="BAO3" s="5"/>
      <c r="BAP3" s="5"/>
      <c r="BAQ3" s="5"/>
      <c r="BAR3" s="5"/>
      <c r="BAS3" s="5"/>
      <c r="BAT3" s="5"/>
      <c r="BAU3" s="5"/>
      <c r="BAV3" s="5"/>
      <c r="BAW3" s="5"/>
      <c r="BAX3" s="5"/>
      <c r="BAY3" s="5"/>
      <c r="BAZ3" s="5"/>
      <c r="BBA3" s="5"/>
      <c r="BBB3" s="5"/>
      <c r="BBC3" s="5"/>
      <c r="BBD3" s="5"/>
      <c r="BBE3" s="5"/>
      <c r="BBF3" s="5"/>
      <c r="BBG3" s="5"/>
      <c r="BBH3" s="5"/>
      <c r="BBI3" s="5"/>
      <c r="BBJ3" s="5"/>
      <c r="BBK3" s="5"/>
      <c r="BBL3" s="5"/>
      <c r="BBM3" s="5"/>
      <c r="BBN3" s="5"/>
      <c r="BBO3" s="5"/>
      <c r="BBP3" s="5"/>
      <c r="BBQ3" s="5"/>
      <c r="BBR3" s="5"/>
      <c r="BBS3" s="5"/>
      <c r="BBT3" s="5"/>
      <c r="BBU3" s="5"/>
      <c r="BBV3" s="5"/>
      <c r="BBW3" s="5"/>
      <c r="BBX3" s="5"/>
      <c r="BBY3" s="5"/>
      <c r="BBZ3" s="5"/>
      <c r="BCA3" s="5"/>
      <c r="BCB3" s="5"/>
      <c r="BCC3" s="5"/>
      <c r="BCD3" s="5"/>
      <c r="BCE3" s="5"/>
      <c r="BCF3" s="5"/>
      <c r="BCG3" s="5"/>
      <c r="BCH3" s="5"/>
      <c r="BCI3" s="5"/>
      <c r="BCJ3" s="5"/>
      <c r="BCK3" s="5"/>
      <c r="BCL3" s="5"/>
      <c r="BCM3" s="5"/>
      <c r="BCN3" s="5"/>
      <c r="BCO3" s="5"/>
      <c r="BCP3" s="5"/>
      <c r="BCQ3" s="5"/>
      <c r="BCR3" s="5"/>
      <c r="BCS3" s="5"/>
      <c r="BCT3" s="5"/>
      <c r="BCU3" s="5"/>
      <c r="BCV3" s="5"/>
      <c r="BCW3" s="5"/>
      <c r="BCX3" s="5"/>
      <c r="BCY3" s="5"/>
      <c r="BCZ3" s="5"/>
      <c r="BDA3" s="5"/>
      <c r="BDB3" s="5"/>
      <c r="BDC3" s="5"/>
      <c r="BDD3" s="5"/>
      <c r="BDE3" s="5"/>
      <c r="BDF3" s="5"/>
      <c r="BDG3" s="5"/>
      <c r="BDH3" s="5"/>
      <c r="BDI3" s="5"/>
      <c r="BDJ3" s="5"/>
      <c r="BDK3" s="5"/>
      <c r="BDL3" s="5"/>
      <c r="BDM3" s="5"/>
      <c r="BDN3" s="5"/>
      <c r="BDO3" s="5"/>
      <c r="BDP3" s="5"/>
      <c r="BDQ3" s="5"/>
      <c r="BDR3" s="5"/>
      <c r="BDS3" s="5"/>
      <c r="BDT3" s="5"/>
      <c r="BDU3" s="5"/>
      <c r="BDV3" s="5"/>
      <c r="BDW3" s="5"/>
      <c r="BDX3" s="5"/>
      <c r="BDY3" s="5"/>
      <c r="BDZ3" s="5"/>
      <c r="BEA3" s="5"/>
      <c r="BEB3" s="5"/>
      <c r="BEC3" s="5"/>
      <c r="BED3" s="5"/>
      <c r="BEE3" s="5"/>
      <c r="BEF3" s="5"/>
      <c r="BEG3" s="5"/>
      <c r="BEH3" s="5"/>
      <c r="BEI3" s="5"/>
      <c r="BEJ3" s="5"/>
      <c r="BEK3" s="5"/>
      <c r="BEL3" s="5"/>
      <c r="BEM3" s="5"/>
      <c r="BEN3" s="5"/>
      <c r="BEO3" s="5"/>
      <c r="BEP3" s="5"/>
      <c r="BEQ3" s="5"/>
      <c r="BER3" s="5"/>
      <c r="BES3" s="5"/>
      <c r="BET3" s="5"/>
      <c r="BEU3" s="5"/>
      <c r="BEV3" s="5"/>
      <c r="BEW3" s="5"/>
      <c r="BEX3" s="5"/>
      <c r="BEY3" s="5"/>
      <c r="BEZ3" s="5"/>
      <c r="BFA3" s="5"/>
      <c r="BFB3" s="5"/>
      <c r="BFC3" s="5"/>
      <c r="BFD3" s="5"/>
      <c r="BFE3" s="5"/>
      <c r="BFF3" s="5"/>
      <c r="BFG3" s="5"/>
      <c r="BFH3" s="5"/>
      <c r="BFI3" s="5"/>
      <c r="BFJ3" s="5"/>
      <c r="BFK3" s="5"/>
      <c r="BFL3" s="5"/>
      <c r="BFM3" s="5"/>
      <c r="BFN3" s="5"/>
      <c r="BFO3" s="5"/>
      <c r="BFP3" s="5"/>
      <c r="BFQ3" s="5"/>
      <c r="BFR3" s="5"/>
      <c r="BFS3" s="5"/>
      <c r="BFT3" s="5"/>
      <c r="BFU3" s="5"/>
      <c r="BFV3" s="5"/>
      <c r="BFW3" s="5"/>
      <c r="BFX3" s="5"/>
      <c r="BFY3" s="5"/>
      <c r="BFZ3" s="5"/>
      <c r="BGA3" s="5"/>
      <c r="BGB3" s="5"/>
      <c r="BGC3" s="5"/>
      <c r="BGD3" s="5"/>
      <c r="BGE3" s="5"/>
      <c r="BGF3" s="5"/>
      <c r="BGG3" s="5"/>
      <c r="BGH3" s="5"/>
      <c r="BGI3" s="5"/>
      <c r="BGJ3" s="5"/>
      <c r="BGK3" s="5"/>
      <c r="BGL3" s="5"/>
      <c r="BGM3" s="5"/>
      <c r="BGN3" s="5"/>
      <c r="BGO3" s="5"/>
      <c r="BGP3" s="5"/>
      <c r="BGQ3" s="5"/>
      <c r="BGR3" s="5"/>
      <c r="BGS3" s="5"/>
      <c r="BGT3" s="5"/>
      <c r="BGU3" s="5"/>
      <c r="BGV3" s="5"/>
      <c r="BGW3" s="5"/>
      <c r="BGX3" s="5"/>
      <c r="BGY3" s="5"/>
      <c r="BGZ3" s="5"/>
      <c r="BHA3" s="5"/>
      <c r="BHB3" s="5"/>
      <c r="BHC3" s="5"/>
      <c r="BHD3" s="5"/>
      <c r="BHE3" s="5"/>
      <c r="BHF3" s="5"/>
      <c r="BHG3" s="5"/>
      <c r="BHH3" s="5"/>
      <c r="BHI3" s="5"/>
      <c r="BHJ3" s="5"/>
      <c r="BHK3" s="5"/>
      <c r="BHL3" s="5"/>
      <c r="BHM3" s="5"/>
      <c r="BHN3" s="5"/>
      <c r="BHO3" s="5"/>
      <c r="BHP3" s="5"/>
      <c r="BHQ3" s="5"/>
      <c r="BHR3" s="5"/>
      <c r="BHS3" s="5"/>
      <c r="BHT3" s="5"/>
      <c r="BHU3" s="5"/>
      <c r="BHV3" s="5"/>
      <c r="BHW3" s="5"/>
      <c r="BHX3" s="5"/>
      <c r="BHY3" s="5"/>
      <c r="BHZ3" s="5"/>
      <c r="BIA3" s="5"/>
      <c r="BIB3" s="5"/>
      <c r="BIC3" s="5"/>
      <c r="BID3" s="5"/>
      <c r="BIE3" s="5"/>
      <c r="BIF3" s="5"/>
      <c r="BIG3" s="5"/>
      <c r="BIH3" s="5"/>
      <c r="BII3" s="5"/>
      <c r="BIJ3" s="5"/>
      <c r="BIK3" s="5"/>
      <c r="BIL3" s="5"/>
      <c r="BIM3" s="5"/>
      <c r="BIN3" s="5"/>
      <c r="BIO3" s="5"/>
      <c r="BIP3" s="5"/>
      <c r="BIQ3" s="5"/>
      <c r="BIR3" s="5"/>
      <c r="BIS3" s="5"/>
      <c r="BIT3" s="5"/>
      <c r="BIU3" s="5"/>
      <c r="BIV3" s="5"/>
      <c r="BIW3" s="5"/>
      <c r="BIX3" s="5"/>
      <c r="BIY3" s="5"/>
      <c r="BIZ3" s="5"/>
      <c r="BJA3" s="5"/>
      <c r="BJB3" s="5"/>
      <c r="BJC3" s="5"/>
      <c r="BJD3" s="5"/>
      <c r="BJE3" s="5"/>
      <c r="BJF3" s="5"/>
      <c r="BJG3" s="5"/>
      <c r="BJH3" s="5"/>
      <c r="BJI3" s="5"/>
      <c r="BJJ3" s="5"/>
      <c r="BJK3" s="5"/>
      <c r="BJL3" s="5"/>
      <c r="BJM3" s="5"/>
      <c r="BJN3" s="5"/>
      <c r="BJO3" s="5"/>
      <c r="BJP3" s="5"/>
      <c r="BJQ3" s="5"/>
      <c r="BJR3" s="5"/>
      <c r="BJS3" s="5"/>
      <c r="BJT3" s="5"/>
      <c r="BJU3" s="5"/>
      <c r="BJV3" s="5"/>
      <c r="BJW3" s="5"/>
      <c r="BJX3" s="5"/>
      <c r="BJY3" s="5"/>
      <c r="BJZ3" s="5"/>
      <c r="BKA3" s="5"/>
      <c r="BKB3" s="5"/>
      <c r="BKC3" s="5"/>
      <c r="BKD3" s="5"/>
      <c r="BKE3" s="5"/>
      <c r="BKF3" s="5"/>
      <c r="BKG3" s="5"/>
      <c r="BKH3" s="5"/>
      <c r="BKI3" s="5"/>
      <c r="BKJ3" s="5"/>
      <c r="BKK3" s="5"/>
      <c r="BKL3" s="5"/>
      <c r="BKM3" s="5"/>
      <c r="BKN3" s="5"/>
      <c r="BKO3" s="5"/>
      <c r="BKP3" s="5"/>
      <c r="BKQ3" s="5"/>
      <c r="BKR3" s="5"/>
      <c r="BKS3" s="5"/>
      <c r="BKT3" s="5"/>
      <c r="BKU3" s="5"/>
      <c r="BKV3" s="5"/>
      <c r="BKW3" s="5"/>
      <c r="BKX3" s="5"/>
      <c r="BKY3" s="5"/>
      <c r="BKZ3" s="5"/>
      <c r="BLA3" s="5"/>
      <c r="BLB3" s="5"/>
      <c r="BLC3" s="5"/>
      <c r="BLD3" s="5"/>
      <c r="BLE3" s="5"/>
      <c r="BLF3" s="5"/>
      <c r="BLG3" s="5"/>
      <c r="BLH3" s="5"/>
      <c r="BLI3" s="5"/>
      <c r="BLJ3" s="5"/>
      <c r="BLK3" s="5"/>
      <c r="BLL3" s="5"/>
      <c r="BLM3" s="5"/>
      <c r="BLN3" s="5"/>
      <c r="BLO3" s="5"/>
      <c r="BLP3" s="5"/>
      <c r="BLQ3" s="5"/>
      <c r="BLR3" s="5"/>
      <c r="BLS3" s="5"/>
      <c r="BLT3" s="5"/>
      <c r="BLU3" s="5"/>
      <c r="BLV3" s="5"/>
      <c r="BLW3" s="5"/>
      <c r="BLX3" s="5"/>
      <c r="BLY3" s="5"/>
      <c r="BLZ3" s="5"/>
      <c r="BMA3" s="5"/>
      <c r="BMB3" s="5"/>
      <c r="BMC3" s="5"/>
      <c r="BMD3" s="5"/>
      <c r="BME3" s="5"/>
      <c r="BMF3" s="5"/>
      <c r="BMG3" s="5"/>
      <c r="BMH3" s="5"/>
      <c r="BMI3" s="5"/>
      <c r="BMJ3" s="5"/>
      <c r="BMK3" s="5"/>
      <c r="BML3" s="5"/>
      <c r="BMM3" s="5"/>
      <c r="BMN3" s="5"/>
      <c r="BMO3" s="5"/>
      <c r="BMP3" s="5"/>
      <c r="BMQ3" s="5"/>
      <c r="BMR3" s="5"/>
      <c r="BMS3" s="5"/>
      <c r="BMT3" s="5"/>
      <c r="BMU3" s="5"/>
      <c r="BMV3" s="5"/>
      <c r="BMW3" s="5"/>
      <c r="BMX3" s="5"/>
      <c r="BMY3" s="5"/>
      <c r="BMZ3" s="5"/>
      <c r="BNA3" s="5"/>
      <c r="BNB3" s="5"/>
      <c r="BNC3" s="5"/>
      <c r="BND3" s="5"/>
      <c r="BNE3" s="5"/>
      <c r="BNF3" s="5"/>
      <c r="BNG3" s="5"/>
      <c r="BNH3" s="5"/>
      <c r="BNI3" s="5"/>
      <c r="BNJ3" s="5"/>
      <c r="BNK3" s="5"/>
      <c r="BNL3" s="5"/>
      <c r="BNM3" s="5"/>
      <c r="BNN3" s="5"/>
      <c r="BNO3" s="5"/>
      <c r="BNP3" s="5"/>
      <c r="BNQ3" s="5"/>
      <c r="BNR3" s="5"/>
      <c r="BNS3" s="5"/>
      <c r="BNT3" s="5"/>
      <c r="BNU3" s="5"/>
      <c r="BNV3" s="5"/>
      <c r="BNW3" s="5"/>
      <c r="BNX3" s="5"/>
      <c r="BNY3" s="5"/>
      <c r="BNZ3" s="5"/>
      <c r="BOA3" s="5"/>
      <c r="BOB3" s="5"/>
      <c r="BOC3" s="5"/>
      <c r="BOD3" s="5"/>
      <c r="BOE3" s="5"/>
      <c r="BOF3" s="5"/>
      <c r="BOG3" s="5"/>
      <c r="BOH3" s="5"/>
      <c r="BOI3" s="5"/>
      <c r="BOJ3" s="5"/>
      <c r="BOK3" s="5"/>
      <c r="BOL3" s="5"/>
      <c r="BOM3" s="5"/>
      <c r="BON3" s="5"/>
      <c r="BOO3" s="5"/>
      <c r="BOP3" s="5"/>
      <c r="BOQ3" s="5"/>
      <c r="BOR3" s="5"/>
      <c r="BOS3" s="5"/>
      <c r="BOT3" s="5"/>
      <c r="BOU3" s="5"/>
      <c r="BOV3" s="5"/>
      <c r="BOW3" s="5"/>
      <c r="BOX3" s="5"/>
      <c r="BOY3" s="5"/>
      <c r="BOZ3" s="5"/>
      <c r="BPA3" s="5"/>
      <c r="BPB3" s="5"/>
      <c r="BPC3" s="5"/>
      <c r="BPD3" s="5"/>
      <c r="BPE3" s="5"/>
      <c r="BPF3" s="5"/>
      <c r="BPG3" s="5"/>
      <c r="BPH3" s="5"/>
      <c r="BPI3" s="5"/>
      <c r="BPJ3" s="5"/>
      <c r="BPK3" s="5"/>
      <c r="BPL3" s="5"/>
      <c r="BPM3" s="5"/>
      <c r="BPN3" s="5"/>
      <c r="BPO3" s="5"/>
      <c r="BPP3" s="5"/>
      <c r="BPQ3" s="5"/>
      <c r="BPR3" s="5"/>
      <c r="BPS3" s="5"/>
      <c r="BPT3" s="5"/>
      <c r="BPU3" s="5"/>
      <c r="BPV3" s="5"/>
      <c r="BPW3" s="5"/>
      <c r="BPX3" s="5"/>
      <c r="BPY3" s="5"/>
      <c r="BPZ3" s="5"/>
      <c r="BQA3" s="5"/>
      <c r="BQB3" s="5"/>
      <c r="BQC3" s="5"/>
      <c r="BQD3" s="5"/>
      <c r="BQE3" s="5"/>
      <c r="BQF3" s="5"/>
      <c r="BQG3" s="5"/>
      <c r="BQH3" s="5"/>
      <c r="BQI3" s="5"/>
      <c r="BQJ3" s="5"/>
      <c r="BQK3" s="5"/>
      <c r="BQL3" s="5"/>
      <c r="BQM3" s="5"/>
      <c r="BQN3" s="5"/>
      <c r="BQO3" s="5"/>
      <c r="BQP3" s="5"/>
      <c r="BQQ3" s="5"/>
      <c r="BQR3" s="5"/>
      <c r="BQS3" s="5"/>
      <c r="BQT3" s="5"/>
      <c r="BQU3" s="5"/>
      <c r="BQV3" s="5"/>
      <c r="BQW3" s="5"/>
      <c r="BQX3" s="5"/>
      <c r="BQY3" s="5"/>
      <c r="BQZ3" s="5"/>
      <c r="BRA3" s="5"/>
      <c r="BRB3" s="5"/>
      <c r="BRC3" s="5"/>
      <c r="BRD3" s="5"/>
      <c r="BRE3" s="5"/>
      <c r="BRF3" s="5"/>
      <c r="BRG3" s="5"/>
      <c r="BRH3" s="5"/>
      <c r="BRI3" s="5"/>
      <c r="BRJ3" s="5"/>
      <c r="BRK3" s="5"/>
      <c r="BRL3" s="5"/>
      <c r="BRM3" s="5"/>
      <c r="BRN3" s="5"/>
      <c r="BRO3" s="5"/>
      <c r="BRP3" s="5"/>
      <c r="BRQ3" s="5"/>
      <c r="BRR3" s="5"/>
      <c r="BRS3" s="5"/>
      <c r="BRT3" s="5"/>
      <c r="BRU3" s="5"/>
      <c r="BRV3" s="5"/>
      <c r="BRW3" s="5"/>
      <c r="BRX3" s="5"/>
      <c r="BRY3" s="5"/>
      <c r="BRZ3" s="5"/>
      <c r="BSA3" s="5"/>
      <c r="BSB3" s="5"/>
      <c r="BSC3" s="5"/>
      <c r="BSD3" s="5"/>
      <c r="BSE3" s="5"/>
      <c r="BSF3" s="5"/>
      <c r="BSG3" s="5"/>
      <c r="BSH3" s="5"/>
      <c r="BSI3" s="5"/>
      <c r="BSJ3" s="5"/>
      <c r="BSK3" s="5"/>
      <c r="BSL3" s="5"/>
      <c r="BSM3" s="5"/>
      <c r="BSN3" s="5"/>
      <c r="BSO3" s="5"/>
      <c r="BSP3" s="5"/>
      <c r="BSQ3" s="5"/>
      <c r="BSR3" s="5"/>
      <c r="BSS3" s="5"/>
      <c r="BST3" s="5"/>
      <c r="BSU3" s="5"/>
      <c r="BSV3" s="5"/>
      <c r="BSW3" s="5"/>
      <c r="BSX3" s="5"/>
      <c r="BSY3" s="5"/>
      <c r="BSZ3" s="5"/>
      <c r="BTA3" s="5"/>
      <c r="BTB3" s="5"/>
      <c r="BTC3" s="5"/>
      <c r="BTD3" s="5"/>
      <c r="BTE3" s="5"/>
      <c r="BTF3" s="5"/>
      <c r="BTG3" s="5"/>
      <c r="BTH3" s="5"/>
      <c r="BTI3" s="5"/>
      <c r="BTJ3" s="5"/>
      <c r="BTK3" s="5"/>
      <c r="BTL3" s="5"/>
      <c r="BTM3" s="5"/>
      <c r="BTN3" s="5"/>
      <c r="BTO3" s="5"/>
      <c r="BTP3" s="5"/>
      <c r="BTQ3" s="5"/>
      <c r="BTR3" s="5"/>
      <c r="BTS3" s="5"/>
      <c r="BTT3" s="5"/>
      <c r="BTU3" s="5"/>
      <c r="BTV3" s="5"/>
      <c r="BTW3" s="5"/>
      <c r="BTX3" s="5"/>
      <c r="BTY3" s="5"/>
      <c r="BTZ3" s="5"/>
      <c r="BUA3" s="5"/>
      <c r="BUB3" s="5"/>
      <c r="BUC3" s="5"/>
      <c r="BUD3" s="5"/>
      <c r="BUE3" s="5"/>
      <c r="BUF3" s="5"/>
      <c r="BUG3" s="5"/>
      <c r="BUH3" s="5"/>
      <c r="BUI3" s="5"/>
      <c r="BUJ3" s="5"/>
      <c r="BUK3" s="5"/>
      <c r="BUL3" s="5"/>
      <c r="BUM3" s="5"/>
      <c r="BUN3" s="5"/>
      <c r="BUO3" s="5"/>
      <c r="BUP3" s="5"/>
      <c r="BUQ3" s="5"/>
      <c r="BUR3" s="5"/>
      <c r="BUS3" s="5"/>
      <c r="BUT3" s="5"/>
      <c r="BUU3" s="5"/>
      <c r="BUV3" s="5"/>
      <c r="BUW3" s="5"/>
      <c r="BUX3" s="5"/>
      <c r="BUY3" s="5"/>
      <c r="BUZ3" s="5"/>
      <c r="BVA3" s="5"/>
      <c r="BVB3" s="5"/>
      <c r="BVC3" s="5"/>
      <c r="BVD3" s="5"/>
      <c r="BVE3" s="5"/>
      <c r="BVF3" s="5"/>
      <c r="BVG3" s="5"/>
      <c r="BVH3" s="5"/>
      <c r="BVI3" s="5"/>
      <c r="BVJ3" s="5"/>
      <c r="BVK3" s="5"/>
      <c r="BVL3" s="5"/>
      <c r="BVM3" s="5"/>
      <c r="BVN3" s="5"/>
      <c r="BVO3" s="5"/>
      <c r="BVP3" s="5"/>
      <c r="BVQ3" s="5"/>
      <c r="BVR3" s="5"/>
      <c r="BVS3" s="5"/>
      <c r="BVT3" s="5"/>
      <c r="BVU3" s="5"/>
      <c r="BVV3" s="5"/>
      <c r="BVW3" s="5"/>
      <c r="BVX3" s="5"/>
      <c r="BVY3" s="5"/>
      <c r="BVZ3" s="5"/>
      <c r="BWA3" s="5"/>
      <c r="BWB3" s="5"/>
      <c r="BWC3" s="5"/>
      <c r="BWD3" s="5"/>
      <c r="BWE3" s="5"/>
      <c r="BWF3" s="5"/>
      <c r="BWG3" s="5"/>
      <c r="BWH3" s="5"/>
      <c r="BWI3" s="5"/>
      <c r="BWJ3" s="5"/>
      <c r="BWK3" s="5"/>
      <c r="BWL3" s="5"/>
      <c r="BWM3" s="5"/>
      <c r="BWN3" s="5"/>
      <c r="BWO3" s="5"/>
      <c r="BWP3" s="5"/>
      <c r="BWQ3" s="5"/>
      <c r="BWR3" s="5"/>
      <c r="BWS3" s="5"/>
      <c r="BWT3" s="5"/>
      <c r="BWU3" s="5"/>
      <c r="BWV3" s="5"/>
      <c r="BWW3" s="5"/>
      <c r="BWX3" s="5"/>
      <c r="BWY3" s="5"/>
      <c r="BWZ3" s="5"/>
      <c r="BXA3" s="5"/>
      <c r="BXB3" s="5"/>
      <c r="BXC3" s="5"/>
      <c r="BXD3" s="5"/>
      <c r="BXE3" s="5"/>
      <c r="BXF3" s="5"/>
      <c r="BXG3" s="5"/>
      <c r="BXH3" s="5"/>
      <c r="BXI3" s="5"/>
      <c r="BXJ3" s="5"/>
      <c r="BXK3" s="5"/>
      <c r="BXL3" s="5"/>
      <c r="BXM3" s="5"/>
      <c r="BXN3" s="5"/>
      <c r="BXO3" s="5"/>
      <c r="BXP3" s="5"/>
      <c r="BXQ3" s="5"/>
      <c r="BXR3" s="5"/>
      <c r="BXS3" s="5"/>
      <c r="BXT3" s="5"/>
      <c r="BXU3" s="5"/>
      <c r="BXV3" s="5"/>
      <c r="BXW3" s="5"/>
      <c r="BXX3" s="5"/>
      <c r="BXY3" s="5"/>
      <c r="BXZ3" s="5"/>
      <c r="BYA3" s="5"/>
      <c r="BYB3" s="5"/>
      <c r="BYC3" s="5"/>
      <c r="BYD3" s="5"/>
      <c r="BYE3" s="5"/>
      <c r="BYF3" s="5"/>
      <c r="BYG3" s="5"/>
      <c r="BYH3" s="5"/>
      <c r="BYI3" s="5"/>
      <c r="BYJ3" s="5"/>
      <c r="BYK3" s="5"/>
      <c r="BYL3" s="5"/>
      <c r="BYM3" s="5"/>
      <c r="BYN3" s="5"/>
      <c r="BYO3" s="5"/>
      <c r="BYP3" s="5"/>
      <c r="BYQ3" s="5"/>
      <c r="BYR3" s="5"/>
      <c r="BYS3" s="5"/>
      <c r="BYT3" s="5"/>
      <c r="BYU3" s="5"/>
      <c r="BYV3" s="5"/>
      <c r="BYW3" s="5"/>
      <c r="BYX3" s="5"/>
      <c r="BYY3" s="5"/>
      <c r="BYZ3" s="5"/>
      <c r="BZA3" s="5"/>
      <c r="BZB3" s="5"/>
      <c r="BZC3" s="5"/>
      <c r="BZD3" s="5"/>
      <c r="BZE3" s="5"/>
      <c r="BZF3" s="5"/>
      <c r="BZG3" s="5"/>
      <c r="BZH3" s="5"/>
      <c r="BZI3" s="5"/>
      <c r="BZJ3" s="5"/>
      <c r="BZK3" s="5"/>
      <c r="BZL3" s="5"/>
      <c r="BZM3" s="5"/>
      <c r="BZN3" s="5"/>
      <c r="BZO3" s="5"/>
      <c r="BZP3" s="5"/>
      <c r="BZQ3" s="5"/>
      <c r="BZR3" s="5"/>
      <c r="BZS3" s="5"/>
      <c r="BZT3" s="5"/>
      <c r="BZU3" s="5"/>
      <c r="BZV3" s="5"/>
      <c r="BZW3" s="5"/>
      <c r="BZX3" s="5"/>
      <c r="BZY3" s="5"/>
      <c r="BZZ3" s="5"/>
      <c r="CAA3" s="5"/>
      <c r="CAB3" s="5"/>
      <c r="CAC3" s="5"/>
      <c r="CAD3" s="5"/>
      <c r="CAE3" s="5"/>
      <c r="CAF3" s="5"/>
      <c r="CAG3" s="5"/>
      <c r="CAH3" s="5"/>
      <c r="CAI3" s="5"/>
      <c r="CAJ3" s="5"/>
      <c r="CAK3" s="5"/>
      <c r="CAL3" s="5"/>
      <c r="CAM3" s="5"/>
      <c r="CAN3" s="5"/>
      <c r="CAO3" s="5"/>
      <c r="CAP3" s="5"/>
      <c r="CAQ3" s="5"/>
      <c r="CAR3" s="5"/>
      <c r="CAS3" s="5"/>
      <c r="CAT3" s="5"/>
      <c r="CAU3" s="5"/>
      <c r="CAV3" s="5"/>
      <c r="CAW3" s="5"/>
      <c r="CAX3" s="5"/>
      <c r="CAY3" s="5"/>
      <c r="CAZ3" s="5"/>
      <c r="CBA3" s="5"/>
      <c r="CBB3" s="5"/>
      <c r="CBC3" s="5"/>
      <c r="CBD3" s="5"/>
      <c r="CBE3" s="5"/>
      <c r="CBF3" s="5"/>
      <c r="CBG3" s="5"/>
      <c r="CBH3" s="5"/>
      <c r="CBI3" s="5"/>
      <c r="CBJ3" s="5"/>
      <c r="CBK3" s="5"/>
      <c r="CBL3" s="5"/>
      <c r="CBM3" s="5"/>
      <c r="CBN3" s="5"/>
      <c r="CBO3" s="5"/>
      <c r="CBP3" s="5"/>
      <c r="CBQ3" s="5"/>
      <c r="CBR3" s="5"/>
      <c r="CBS3" s="5"/>
      <c r="CBT3" s="5"/>
      <c r="CBU3" s="5"/>
      <c r="CBV3" s="5"/>
      <c r="CBW3" s="5"/>
      <c r="CBX3" s="5"/>
      <c r="CBY3" s="5"/>
      <c r="CBZ3" s="5"/>
      <c r="CCA3" s="5"/>
      <c r="CCB3" s="5"/>
      <c r="CCC3" s="5"/>
      <c r="CCD3" s="5"/>
      <c r="CCE3" s="5"/>
      <c r="CCF3" s="5"/>
      <c r="CCG3" s="5"/>
      <c r="CCH3" s="5"/>
      <c r="CCI3" s="5"/>
      <c r="CCJ3" s="5"/>
      <c r="CCK3" s="5"/>
      <c r="CCL3" s="5"/>
      <c r="CCM3" s="5"/>
      <c r="CCN3" s="5"/>
      <c r="CCO3" s="5"/>
      <c r="CCP3" s="5"/>
      <c r="CCQ3" s="5"/>
      <c r="CCR3" s="5"/>
      <c r="CCS3" s="5"/>
      <c r="CCT3" s="5"/>
      <c r="CCU3" s="5"/>
      <c r="CCV3" s="5"/>
      <c r="CCW3" s="5"/>
      <c r="CCX3" s="5"/>
      <c r="CCY3" s="5"/>
      <c r="CCZ3" s="5"/>
      <c r="CDA3" s="5"/>
      <c r="CDB3" s="5"/>
      <c r="CDC3" s="5"/>
      <c r="CDD3" s="5"/>
      <c r="CDE3" s="5"/>
      <c r="CDF3" s="5"/>
      <c r="CDG3" s="5"/>
      <c r="CDH3" s="5"/>
      <c r="CDI3" s="5"/>
      <c r="CDJ3" s="5"/>
      <c r="CDK3" s="5"/>
      <c r="CDL3" s="5"/>
      <c r="CDM3" s="5"/>
      <c r="CDN3" s="5"/>
      <c r="CDO3" s="5"/>
      <c r="CDP3" s="5"/>
      <c r="CDQ3" s="5"/>
      <c r="CDR3" s="5"/>
      <c r="CDS3" s="5"/>
      <c r="CDT3" s="5"/>
      <c r="CDU3" s="5"/>
      <c r="CDV3" s="5"/>
      <c r="CDW3" s="5"/>
      <c r="CDX3" s="5"/>
      <c r="CDY3" s="5"/>
      <c r="CDZ3" s="5"/>
      <c r="CEA3" s="5"/>
      <c r="CEB3" s="5"/>
      <c r="CEC3" s="5"/>
      <c r="CED3" s="5"/>
      <c r="CEE3" s="5"/>
      <c r="CEF3" s="5"/>
      <c r="CEG3" s="5"/>
      <c r="CEH3" s="5"/>
      <c r="CEI3" s="5"/>
      <c r="CEJ3" s="5"/>
      <c r="CEK3" s="5"/>
      <c r="CEL3" s="5"/>
      <c r="CEM3" s="5"/>
      <c r="CEN3" s="5"/>
      <c r="CEO3" s="5"/>
      <c r="CEP3" s="5"/>
      <c r="CEQ3" s="5"/>
      <c r="CER3" s="5"/>
      <c r="CES3" s="5"/>
      <c r="CET3" s="5"/>
      <c r="CEU3" s="5"/>
      <c r="CEV3" s="5"/>
      <c r="CEW3" s="5"/>
      <c r="CEX3" s="5"/>
      <c r="CEY3" s="5"/>
      <c r="CEZ3" s="5"/>
      <c r="CFA3" s="5"/>
      <c r="CFB3" s="5"/>
      <c r="CFC3" s="5"/>
      <c r="CFD3" s="5"/>
      <c r="CFE3" s="5"/>
      <c r="CFF3" s="5"/>
      <c r="CFG3" s="5"/>
      <c r="CFH3" s="5"/>
      <c r="CFI3" s="5"/>
      <c r="CFJ3" s="5"/>
      <c r="CFK3" s="5"/>
      <c r="CFL3" s="5"/>
      <c r="CFM3" s="5"/>
      <c r="CFN3" s="5"/>
      <c r="CFO3" s="5"/>
      <c r="CFP3" s="5"/>
      <c r="CFQ3" s="5"/>
      <c r="CFR3" s="5"/>
      <c r="CFS3" s="5"/>
      <c r="CFT3" s="5"/>
      <c r="CFU3" s="5"/>
      <c r="CFV3" s="5"/>
      <c r="CFW3" s="5"/>
      <c r="CFX3" s="5"/>
      <c r="CFY3" s="5"/>
      <c r="CFZ3" s="5"/>
      <c r="CGA3" s="5"/>
      <c r="CGB3" s="5"/>
      <c r="CGC3" s="5"/>
      <c r="CGD3" s="5"/>
      <c r="CGE3" s="5"/>
      <c r="CGF3" s="5"/>
      <c r="CGG3" s="5"/>
      <c r="CGH3" s="5"/>
      <c r="CGI3" s="5"/>
      <c r="CGJ3" s="5"/>
      <c r="CGK3" s="5"/>
      <c r="CGL3" s="5"/>
      <c r="CGM3" s="5"/>
      <c r="CGN3" s="5"/>
      <c r="CGO3" s="5"/>
      <c r="CGP3" s="5"/>
      <c r="CGQ3" s="5"/>
      <c r="CGR3" s="5"/>
      <c r="CGS3" s="5"/>
      <c r="CGT3" s="5"/>
      <c r="CGU3" s="5"/>
      <c r="CGV3" s="5"/>
      <c r="CGW3" s="5"/>
      <c r="CGX3" s="5"/>
      <c r="CGY3" s="5"/>
      <c r="CGZ3" s="5"/>
      <c r="CHA3" s="5"/>
      <c r="CHB3" s="5"/>
      <c r="CHC3" s="5"/>
      <c r="CHD3" s="5"/>
      <c r="CHE3" s="5"/>
      <c r="CHF3" s="5"/>
      <c r="CHG3" s="5"/>
      <c r="CHH3" s="5"/>
      <c r="CHI3" s="5"/>
      <c r="CHJ3" s="5"/>
      <c r="CHK3" s="5"/>
      <c r="CHL3" s="5"/>
      <c r="CHM3" s="5"/>
      <c r="CHN3" s="5"/>
      <c r="CHO3" s="5"/>
      <c r="CHP3" s="5"/>
      <c r="CHQ3" s="5"/>
      <c r="CHR3" s="5"/>
      <c r="CHS3" s="5"/>
      <c r="CHT3" s="5"/>
      <c r="CHU3" s="5"/>
      <c r="CHV3" s="5"/>
      <c r="CHW3" s="5"/>
      <c r="CHX3" s="5"/>
      <c r="CHY3" s="5"/>
      <c r="CHZ3" s="5"/>
      <c r="CIA3" s="5"/>
      <c r="CIB3" s="5"/>
      <c r="CIC3" s="5"/>
      <c r="CID3" s="5"/>
      <c r="CIE3" s="5"/>
      <c r="CIF3" s="5"/>
      <c r="CIG3" s="5"/>
      <c r="CIH3" s="5"/>
      <c r="CII3" s="5"/>
      <c r="CIJ3" s="5"/>
      <c r="CIK3" s="5"/>
      <c r="CIL3" s="5"/>
      <c r="CIM3" s="5"/>
      <c r="CIN3" s="5"/>
      <c r="CIO3" s="5"/>
      <c r="CIP3" s="5"/>
      <c r="CIQ3" s="5"/>
      <c r="CIR3" s="5"/>
      <c r="CIS3" s="5"/>
      <c r="CIT3" s="5"/>
      <c r="CIU3" s="5"/>
      <c r="CIV3" s="5"/>
      <c r="CIW3" s="5"/>
      <c r="CIX3" s="5"/>
      <c r="CIY3" s="5"/>
      <c r="CIZ3" s="5"/>
      <c r="CJA3" s="5"/>
      <c r="CJB3" s="5"/>
      <c r="CJC3" s="5"/>
      <c r="CJD3" s="5"/>
      <c r="CJE3" s="5"/>
      <c r="CJF3" s="5"/>
      <c r="CJG3" s="5"/>
      <c r="CJH3" s="5"/>
      <c r="CJI3" s="5"/>
      <c r="CJJ3" s="5"/>
      <c r="CJK3" s="5"/>
      <c r="CJL3" s="5"/>
      <c r="CJM3" s="5"/>
      <c r="CJN3" s="5"/>
      <c r="CJO3" s="5"/>
      <c r="CJP3" s="5"/>
      <c r="CJQ3" s="5"/>
      <c r="CJR3" s="5"/>
      <c r="CJS3" s="5"/>
      <c r="CJT3" s="5"/>
      <c r="CJU3" s="5"/>
      <c r="CJV3" s="5"/>
      <c r="CJW3" s="5"/>
      <c r="CJX3" s="5"/>
      <c r="CJY3" s="5"/>
      <c r="CJZ3" s="5"/>
      <c r="CKA3" s="5"/>
      <c r="CKB3" s="5"/>
      <c r="CKC3" s="5"/>
      <c r="CKD3" s="5"/>
      <c r="CKE3" s="5"/>
      <c r="CKF3" s="5"/>
      <c r="CKG3" s="5"/>
      <c r="CKH3" s="5"/>
      <c r="CKI3" s="5"/>
      <c r="CKJ3" s="5"/>
      <c r="CKK3" s="5"/>
      <c r="CKL3" s="5"/>
      <c r="CKM3" s="5"/>
      <c r="CKN3" s="5"/>
      <c r="CKO3" s="5"/>
      <c r="CKP3" s="5"/>
      <c r="CKQ3" s="5"/>
      <c r="CKR3" s="5"/>
      <c r="CKS3" s="5"/>
      <c r="CKT3" s="5"/>
      <c r="CKU3" s="5"/>
      <c r="CKV3" s="5"/>
      <c r="CKW3" s="5"/>
      <c r="CKX3" s="5"/>
      <c r="CKY3" s="5"/>
      <c r="CKZ3" s="5"/>
      <c r="CLA3" s="5"/>
      <c r="CLB3" s="5"/>
      <c r="CLC3" s="5"/>
      <c r="CLD3" s="5"/>
      <c r="CLE3" s="5"/>
      <c r="CLF3" s="5"/>
      <c r="CLG3" s="5"/>
      <c r="CLH3" s="5"/>
      <c r="CLI3" s="5"/>
      <c r="CLJ3" s="5"/>
      <c r="CLK3" s="5"/>
      <c r="CLL3" s="5"/>
      <c r="CLM3" s="5"/>
      <c r="CLN3" s="5"/>
      <c r="CLO3" s="5"/>
      <c r="CLP3" s="5"/>
      <c r="CLQ3" s="5"/>
      <c r="CLR3" s="5"/>
      <c r="CLS3" s="5"/>
      <c r="CLT3" s="5"/>
      <c r="CLU3" s="5"/>
      <c r="CLV3" s="5"/>
      <c r="CLW3" s="5"/>
      <c r="CLX3" s="5"/>
      <c r="CLY3" s="5"/>
      <c r="CLZ3" s="5"/>
      <c r="CMA3" s="5"/>
      <c r="CMB3" s="5"/>
      <c r="CMC3" s="5"/>
      <c r="CMD3" s="5"/>
      <c r="CME3" s="5"/>
      <c r="CMF3" s="5"/>
      <c r="CMG3" s="5"/>
      <c r="CMH3" s="5"/>
      <c r="CMI3" s="5"/>
      <c r="CMJ3" s="5"/>
      <c r="CMK3" s="5"/>
      <c r="CML3" s="5"/>
      <c r="CMM3" s="5"/>
      <c r="CMN3" s="5"/>
      <c r="CMO3" s="5"/>
      <c r="CMP3" s="5"/>
      <c r="CMQ3" s="5"/>
      <c r="CMR3" s="5"/>
      <c r="CMS3" s="5"/>
      <c r="CMT3" s="5"/>
      <c r="CMU3" s="5"/>
      <c r="CMV3" s="5"/>
      <c r="CMW3" s="5"/>
      <c r="CMX3" s="5"/>
      <c r="CMY3" s="5"/>
      <c r="CMZ3" s="5"/>
      <c r="CNA3" s="5"/>
      <c r="CNB3" s="5"/>
      <c r="CNC3" s="5"/>
      <c r="CND3" s="5"/>
      <c r="CNE3" s="5"/>
      <c r="CNF3" s="5"/>
      <c r="CNG3" s="5"/>
      <c r="CNH3" s="5"/>
      <c r="CNI3" s="5"/>
      <c r="CNJ3" s="5"/>
      <c r="CNK3" s="5"/>
      <c r="CNL3" s="5"/>
      <c r="CNM3" s="5"/>
      <c r="CNN3" s="5"/>
      <c r="CNO3" s="5"/>
      <c r="CNP3" s="5"/>
      <c r="CNQ3" s="5"/>
      <c r="CNR3" s="5"/>
      <c r="CNS3" s="5"/>
      <c r="CNT3" s="5"/>
      <c r="CNU3" s="5"/>
      <c r="CNV3" s="5"/>
      <c r="CNW3" s="5"/>
      <c r="CNX3" s="5"/>
      <c r="CNY3" s="5"/>
      <c r="CNZ3" s="5"/>
      <c r="COA3" s="5"/>
      <c r="COB3" s="5"/>
      <c r="COC3" s="5"/>
      <c r="COD3" s="5"/>
      <c r="COE3" s="5"/>
      <c r="COF3" s="5"/>
      <c r="COG3" s="5"/>
      <c r="COH3" s="5"/>
      <c r="COI3" s="5"/>
      <c r="COJ3" s="5"/>
      <c r="COK3" s="5"/>
      <c r="COL3" s="5"/>
      <c r="COM3" s="5"/>
      <c r="CON3" s="5"/>
      <c r="COO3" s="5"/>
      <c r="COP3" s="5"/>
      <c r="COQ3" s="5"/>
      <c r="COR3" s="5"/>
      <c r="COS3" s="5"/>
      <c r="COT3" s="5"/>
      <c r="COU3" s="5"/>
      <c r="COV3" s="5"/>
      <c r="COW3" s="5"/>
      <c r="COX3" s="5"/>
      <c r="COY3" s="5"/>
      <c r="COZ3" s="5"/>
      <c r="CPA3" s="5"/>
      <c r="CPB3" s="5"/>
      <c r="CPC3" s="5"/>
      <c r="CPD3" s="5"/>
      <c r="CPE3" s="5"/>
      <c r="CPF3" s="5"/>
      <c r="CPG3" s="5"/>
      <c r="CPH3" s="5"/>
      <c r="CPI3" s="5"/>
      <c r="CPJ3" s="5"/>
      <c r="CPK3" s="5"/>
      <c r="CPL3" s="5"/>
      <c r="CPM3" s="5"/>
      <c r="CPN3" s="5"/>
      <c r="CPO3" s="5"/>
      <c r="CPP3" s="5"/>
      <c r="CPQ3" s="5"/>
      <c r="CPR3" s="5"/>
      <c r="CPS3" s="5"/>
      <c r="CPT3" s="5"/>
      <c r="CPU3" s="5"/>
      <c r="CPV3" s="5"/>
      <c r="CPW3" s="5"/>
      <c r="CPX3" s="5"/>
      <c r="CPY3" s="5"/>
      <c r="CPZ3" s="5"/>
      <c r="CQA3" s="5"/>
      <c r="CQB3" s="5"/>
      <c r="CQC3" s="5"/>
      <c r="CQD3" s="5"/>
      <c r="CQE3" s="5"/>
      <c r="CQF3" s="5"/>
      <c r="CQG3" s="5"/>
      <c r="CQH3" s="5"/>
      <c r="CQI3" s="5"/>
      <c r="CQJ3" s="5"/>
      <c r="CQK3" s="5"/>
      <c r="CQL3" s="5"/>
      <c r="CQM3" s="5"/>
      <c r="CQN3" s="5"/>
      <c r="CQO3" s="5"/>
      <c r="CQP3" s="5"/>
      <c r="CQQ3" s="5"/>
      <c r="CQR3" s="5"/>
      <c r="CQS3" s="5"/>
      <c r="CQT3" s="5"/>
      <c r="CQU3" s="5"/>
      <c r="CQV3" s="5"/>
      <c r="CQW3" s="5"/>
      <c r="CQX3" s="5"/>
      <c r="CQY3" s="5"/>
      <c r="CQZ3" s="5"/>
      <c r="CRA3" s="5"/>
      <c r="CRB3" s="5"/>
      <c r="CRC3" s="5"/>
      <c r="CRD3" s="5"/>
      <c r="CRE3" s="5"/>
      <c r="CRF3" s="5"/>
      <c r="CRG3" s="5"/>
      <c r="CRH3" s="5"/>
      <c r="CRI3" s="5"/>
      <c r="CRJ3" s="5"/>
      <c r="CRK3" s="5"/>
      <c r="CRL3" s="5"/>
      <c r="CRM3" s="5"/>
      <c r="CRN3" s="5"/>
      <c r="CRO3" s="5"/>
      <c r="CRP3" s="5"/>
      <c r="CRQ3" s="5"/>
      <c r="CRR3" s="5"/>
      <c r="CRS3" s="5"/>
      <c r="CRT3" s="5"/>
      <c r="CRU3" s="5"/>
      <c r="CRV3" s="5"/>
      <c r="CRW3" s="5"/>
      <c r="CRX3" s="5"/>
      <c r="CRY3" s="5"/>
      <c r="CRZ3" s="5"/>
      <c r="CSA3" s="5"/>
      <c r="CSB3" s="5"/>
      <c r="CSC3" s="5"/>
      <c r="CSD3" s="5"/>
      <c r="CSE3" s="5"/>
      <c r="CSF3" s="5"/>
      <c r="CSG3" s="5"/>
      <c r="CSH3" s="5"/>
      <c r="CSI3" s="5"/>
      <c r="CSJ3" s="5"/>
      <c r="CSK3" s="5"/>
      <c r="CSL3" s="5"/>
      <c r="CSM3" s="5"/>
      <c r="CSN3" s="5"/>
      <c r="CSO3" s="5"/>
      <c r="CSP3" s="5"/>
      <c r="CSQ3" s="5"/>
      <c r="CSR3" s="5"/>
      <c r="CSS3" s="5"/>
      <c r="CST3" s="5"/>
      <c r="CSU3" s="5"/>
      <c r="CSV3" s="5"/>
      <c r="CSW3" s="5"/>
      <c r="CSX3" s="5"/>
      <c r="CSY3" s="5"/>
      <c r="CSZ3" s="5"/>
      <c r="CTA3" s="5"/>
      <c r="CTB3" s="5"/>
      <c r="CTC3" s="5"/>
      <c r="CTD3" s="5"/>
      <c r="CTE3" s="5"/>
      <c r="CTF3" s="5"/>
      <c r="CTG3" s="5"/>
      <c r="CTH3" s="5"/>
      <c r="CTI3" s="5"/>
      <c r="CTJ3" s="5"/>
      <c r="CTK3" s="5"/>
      <c r="CTL3" s="5"/>
      <c r="CTM3" s="5"/>
      <c r="CTN3" s="5"/>
      <c r="CTO3" s="5"/>
      <c r="CTP3" s="5"/>
      <c r="CTQ3" s="5"/>
      <c r="CTR3" s="5"/>
      <c r="CTS3" s="5"/>
      <c r="CTT3" s="5"/>
      <c r="CTU3" s="5"/>
      <c r="CTV3" s="5"/>
      <c r="CTW3" s="5"/>
      <c r="CTX3" s="5"/>
      <c r="CTY3" s="5"/>
      <c r="CTZ3" s="5"/>
      <c r="CUA3" s="5"/>
      <c r="CUB3" s="5"/>
      <c r="CUC3" s="5"/>
      <c r="CUD3" s="5"/>
      <c r="CUE3" s="5"/>
      <c r="CUF3" s="5"/>
      <c r="CUG3" s="5"/>
      <c r="CUH3" s="5"/>
      <c r="CUI3" s="5"/>
      <c r="CUJ3" s="5"/>
      <c r="CUK3" s="5"/>
      <c r="CUL3" s="5"/>
      <c r="CUM3" s="5"/>
      <c r="CUN3" s="5"/>
      <c r="CUO3" s="5"/>
      <c r="CUP3" s="5"/>
      <c r="CUQ3" s="5"/>
      <c r="CUR3" s="5"/>
      <c r="CUS3" s="5"/>
      <c r="CUT3" s="5"/>
      <c r="CUU3" s="5"/>
      <c r="CUV3" s="5"/>
      <c r="CUW3" s="5"/>
      <c r="CUX3" s="5"/>
      <c r="CUY3" s="5"/>
      <c r="CUZ3" s="5"/>
      <c r="CVA3" s="5"/>
      <c r="CVB3" s="5"/>
      <c r="CVC3" s="5"/>
      <c r="CVD3" s="5"/>
      <c r="CVE3" s="5"/>
      <c r="CVF3" s="5"/>
      <c r="CVG3" s="5"/>
      <c r="CVH3" s="5"/>
      <c r="CVI3" s="5"/>
      <c r="CVJ3" s="5"/>
      <c r="CVK3" s="5"/>
      <c r="CVL3" s="5"/>
      <c r="CVM3" s="5"/>
      <c r="CVN3" s="5"/>
      <c r="CVO3" s="5"/>
      <c r="CVP3" s="5"/>
      <c r="CVQ3" s="5"/>
      <c r="CVR3" s="5"/>
      <c r="CVS3" s="5"/>
      <c r="CVT3" s="5"/>
      <c r="CVU3" s="5"/>
      <c r="CVV3" s="5"/>
      <c r="CVW3" s="5"/>
      <c r="CVX3" s="5"/>
      <c r="CVY3" s="5"/>
      <c r="CVZ3" s="5"/>
      <c r="CWA3" s="5"/>
      <c r="CWB3" s="5"/>
      <c r="CWC3" s="5"/>
      <c r="CWD3" s="5"/>
      <c r="CWE3" s="5"/>
      <c r="CWF3" s="5"/>
      <c r="CWG3" s="5"/>
      <c r="CWH3" s="5"/>
      <c r="CWI3" s="5"/>
      <c r="CWJ3" s="5"/>
      <c r="CWK3" s="5"/>
      <c r="CWL3" s="5"/>
      <c r="CWM3" s="5"/>
      <c r="CWN3" s="5"/>
      <c r="CWO3" s="5"/>
      <c r="CWP3" s="5"/>
      <c r="CWQ3" s="5"/>
      <c r="CWR3" s="5"/>
      <c r="CWS3" s="5"/>
      <c r="CWT3" s="5"/>
      <c r="CWU3" s="5"/>
      <c r="CWV3" s="5"/>
      <c r="CWW3" s="5"/>
      <c r="CWX3" s="5"/>
      <c r="CWY3" s="5"/>
      <c r="CWZ3" s="5"/>
      <c r="CXA3" s="5"/>
      <c r="CXB3" s="5"/>
      <c r="CXC3" s="5"/>
      <c r="CXD3" s="5"/>
      <c r="CXE3" s="5"/>
      <c r="CXF3" s="5"/>
      <c r="CXG3" s="5"/>
      <c r="CXH3" s="5"/>
      <c r="CXI3" s="5"/>
      <c r="CXJ3" s="5"/>
      <c r="CXK3" s="5"/>
      <c r="CXL3" s="5"/>
      <c r="CXM3" s="5"/>
      <c r="CXN3" s="5"/>
      <c r="CXO3" s="5"/>
      <c r="CXP3" s="5"/>
      <c r="CXQ3" s="5"/>
      <c r="CXR3" s="5"/>
      <c r="CXS3" s="5"/>
      <c r="CXT3" s="5"/>
      <c r="CXU3" s="5"/>
      <c r="CXV3" s="5"/>
      <c r="CXW3" s="5"/>
      <c r="CXX3" s="5"/>
      <c r="CXY3" s="5"/>
      <c r="CXZ3" s="5"/>
      <c r="CYA3" s="5"/>
      <c r="CYB3" s="5"/>
      <c r="CYC3" s="5"/>
      <c r="CYD3" s="5"/>
      <c r="CYE3" s="5"/>
      <c r="CYF3" s="5"/>
      <c r="CYG3" s="5"/>
      <c r="CYH3" s="5"/>
      <c r="CYI3" s="5"/>
      <c r="CYJ3" s="5"/>
      <c r="CYK3" s="5"/>
      <c r="CYL3" s="5"/>
      <c r="CYM3" s="5"/>
      <c r="CYN3" s="5"/>
      <c r="CYO3" s="5"/>
      <c r="CYP3" s="5"/>
      <c r="CYQ3" s="5"/>
      <c r="CYR3" s="5"/>
      <c r="CYS3" s="5"/>
      <c r="CYT3" s="5"/>
      <c r="CYU3" s="5"/>
      <c r="CYV3" s="5"/>
      <c r="CYW3" s="5"/>
      <c r="CYX3" s="5"/>
      <c r="CYY3" s="5"/>
      <c r="CYZ3" s="5"/>
      <c r="CZA3" s="5"/>
      <c r="CZB3" s="5"/>
      <c r="CZC3" s="5"/>
      <c r="CZD3" s="5"/>
      <c r="CZE3" s="5"/>
      <c r="CZF3" s="5"/>
      <c r="CZG3" s="5"/>
      <c r="CZH3" s="5"/>
      <c r="CZI3" s="5"/>
      <c r="CZJ3" s="5"/>
      <c r="CZK3" s="5"/>
      <c r="CZL3" s="5"/>
      <c r="CZM3" s="5"/>
      <c r="CZN3" s="5"/>
      <c r="CZO3" s="5"/>
      <c r="CZP3" s="5"/>
      <c r="CZQ3" s="5"/>
      <c r="CZR3" s="5"/>
      <c r="CZS3" s="5"/>
      <c r="CZT3" s="5"/>
      <c r="CZU3" s="5"/>
      <c r="CZV3" s="5"/>
      <c r="CZW3" s="5"/>
      <c r="CZX3" s="5"/>
      <c r="CZY3" s="5"/>
      <c r="CZZ3" s="5"/>
      <c r="DAA3" s="5"/>
      <c r="DAB3" s="5"/>
      <c r="DAC3" s="5"/>
      <c r="DAD3" s="5"/>
      <c r="DAE3" s="5"/>
      <c r="DAF3" s="5"/>
      <c r="DAG3" s="5"/>
      <c r="DAH3" s="5"/>
      <c r="DAI3" s="5"/>
      <c r="DAJ3" s="5"/>
      <c r="DAK3" s="5"/>
      <c r="DAL3" s="5"/>
      <c r="DAM3" s="5"/>
      <c r="DAN3" s="5"/>
      <c r="DAO3" s="5"/>
      <c r="DAP3" s="5"/>
      <c r="DAQ3" s="5"/>
      <c r="DAR3" s="5"/>
      <c r="DAS3" s="5"/>
      <c r="DAT3" s="5"/>
      <c r="DAU3" s="5"/>
      <c r="DAV3" s="5"/>
      <c r="DAW3" s="5"/>
      <c r="DAX3" s="5"/>
      <c r="DAY3" s="5"/>
      <c r="DAZ3" s="5"/>
      <c r="DBA3" s="5"/>
      <c r="DBB3" s="5"/>
      <c r="DBC3" s="5"/>
      <c r="DBD3" s="5"/>
      <c r="DBE3" s="5"/>
      <c r="DBF3" s="5"/>
      <c r="DBG3" s="5"/>
      <c r="DBH3" s="5"/>
      <c r="DBI3" s="5"/>
      <c r="DBJ3" s="5"/>
      <c r="DBK3" s="5"/>
      <c r="DBL3" s="5"/>
      <c r="DBM3" s="5"/>
      <c r="DBN3" s="5"/>
      <c r="DBO3" s="5"/>
      <c r="DBP3" s="5"/>
      <c r="DBQ3" s="5"/>
      <c r="DBR3" s="5"/>
      <c r="DBS3" s="5"/>
      <c r="DBT3" s="5"/>
      <c r="DBU3" s="5"/>
      <c r="DBV3" s="5"/>
      <c r="DBW3" s="5"/>
      <c r="DBX3" s="5"/>
      <c r="DBY3" s="5"/>
      <c r="DBZ3" s="5"/>
      <c r="DCA3" s="5"/>
      <c r="DCB3" s="5"/>
      <c r="DCC3" s="5"/>
      <c r="DCD3" s="5"/>
      <c r="DCE3" s="5"/>
      <c r="DCF3" s="5"/>
      <c r="DCG3" s="5"/>
      <c r="DCH3" s="5"/>
      <c r="DCI3" s="5"/>
      <c r="DCJ3" s="5"/>
      <c r="DCK3" s="5"/>
      <c r="DCL3" s="5"/>
      <c r="DCM3" s="5"/>
      <c r="DCN3" s="5"/>
      <c r="DCO3" s="5"/>
      <c r="DCP3" s="5"/>
      <c r="DCQ3" s="5"/>
      <c r="DCR3" s="5"/>
      <c r="DCS3" s="5"/>
      <c r="DCT3" s="5"/>
      <c r="DCU3" s="5"/>
      <c r="DCV3" s="5"/>
      <c r="DCW3" s="5"/>
      <c r="DCX3" s="5"/>
      <c r="DCY3" s="5"/>
      <c r="DCZ3" s="5"/>
      <c r="DDA3" s="5"/>
      <c r="DDB3" s="5"/>
      <c r="DDC3" s="5"/>
      <c r="DDD3" s="5"/>
      <c r="DDE3" s="5"/>
      <c r="DDF3" s="5"/>
      <c r="DDG3" s="5"/>
      <c r="DDH3" s="5"/>
      <c r="DDI3" s="5"/>
      <c r="DDJ3" s="5"/>
      <c r="DDK3" s="5"/>
      <c r="DDL3" s="5"/>
      <c r="DDM3" s="5"/>
      <c r="DDN3" s="5"/>
      <c r="DDO3" s="5"/>
      <c r="DDP3" s="5"/>
      <c r="DDQ3" s="5"/>
      <c r="DDR3" s="5"/>
      <c r="DDS3" s="5"/>
      <c r="DDT3" s="5"/>
      <c r="DDU3" s="5"/>
      <c r="DDV3" s="5"/>
      <c r="DDW3" s="5"/>
      <c r="DDX3" s="5"/>
      <c r="DDY3" s="5"/>
      <c r="DDZ3" s="5"/>
      <c r="DEA3" s="5"/>
      <c r="DEB3" s="5"/>
      <c r="DEC3" s="5"/>
      <c r="DED3" s="5"/>
      <c r="DEE3" s="5"/>
      <c r="DEF3" s="5"/>
      <c r="DEG3" s="5"/>
      <c r="DEH3" s="5"/>
      <c r="DEI3" s="5"/>
      <c r="DEJ3" s="5"/>
      <c r="DEK3" s="5"/>
      <c r="DEL3" s="5"/>
      <c r="DEM3" s="5"/>
      <c r="DEN3" s="5"/>
      <c r="DEO3" s="5"/>
      <c r="DEP3" s="5"/>
      <c r="DEQ3" s="5"/>
      <c r="DER3" s="5"/>
      <c r="DES3" s="5"/>
      <c r="DET3" s="5"/>
      <c r="DEU3" s="5"/>
      <c r="DEV3" s="5"/>
      <c r="DEW3" s="5"/>
      <c r="DEX3" s="5"/>
      <c r="DEY3" s="5"/>
      <c r="DEZ3" s="5"/>
      <c r="DFA3" s="5"/>
      <c r="DFB3" s="5"/>
      <c r="DFC3" s="5"/>
      <c r="DFD3" s="5"/>
      <c r="DFE3" s="5"/>
      <c r="DFF3" s="5"/>
      <c r="DFG3" s="5"/>
      <c r="DFH3" s="5"/>
      <c r="DFI3" s="5"/>
      <c r="DFJ3" s="5"/>
      <c r="DFK3" s="5"/>
      <c r="DFL3" s="5"/>
      <c r="DFM3" s="5"/>
      <c r="DFN3" s="5"/>
      <c r="DFO3" s="5"/>
      <c r="DFP3" s="5"/>
      <c r="DFQ3" s="5"/>
      <c r="DFR3" s="5"/>
      <c r="DFS3" s="5"/>
      <c r="DFT3" s="5"/>
      <c r="DFU3" s="5"/>
      <c r="DFV3" s="5"/>
      <c r="DFW3" s="5"/>
      <c r="DFX3" s="5"/>
      <c r="DFY3" s="5"/>
      <c r="DFZ3" s="5"/>
      <c r="DGA3" s="5"/>
      <c r="DGB3" s="5"/>
      <c r="DGC3" s="5"/>
      <c r="DGD3" s="5"/>
      <c r="DGE3" s="5"/>
      <c r="DGF3" s="5"/>
      <c r="DGG3" s="5"/>
      <c r="DGH3" s="5"/>
      <c r="DGI3" s="5"/>
      <c r="DGJ3" s="5"/>
      <c r="DGK3" s="5"/>
      <c r="DGL3" s="5"/>
      <c r="DGM3" s="5"/>
      <c r="DGN3" s="5"/>
      <c r="DGO3" s="5"/>
      <c r="DGP3" s="5"/>
      <c r="DGQ3" s="5"/>
      <c r="DGR3" s="5"/>
      <c r="DGS3" s="5"/>
      <c r="DGT3" s="5"/>
      <c r="DGU3" s="5"/>
      <c r="DGV3" s="5"/>
      <c r="DGW3" s="5"/>
      <c r="DGX3" s="5"/>
      <c r="DGY3" s="5"/>
      <c r="DGZ3" s="5"/>
      <c r="DHA3" s="5"/>
      <c r="DHB3" s="5"/>
      <c r="DHC3" s="5"/>
      <c r="DHD3" s="5"/>
      <c r="DHE3" s="5"/>
      <c r="DHF3" s="5"/>
      <c r="DHG3" s="5"/>
      <c r="DHH3" s="5"/>
      <c r="DHI3" s="5"/>
      <c r="DHJ3" s="5"/>
      <c r="DHK3" s="5"/>
      <c r="DHL3" s="5"/>
      <c r="DHM3" s="5"/>
      <c r="DHN3" s="5"/>
      <c r="DHO3" s="5"/>
      <c r="DHP3" s="5"/>
      <c r="DHQ3" s="5"/>
      <c r="DHR3" s="5"/>
      <c r="DHS3" s="5"/>
      <c r="DHT3" s="5"/>
      <c r="DHU3" s="5"/>
      <c r="DHV3" s="5"/>
      <c r="DHW3" s="5"/>
      <c r="DHX3" s="5"/>
      <c r="DHY3" s="5"/>
      <c r="DHZ3" s="5"/>
      <c r="DIA3" s="5"/>
      <c r="DIB3" s="5"/>
      <c r="DIC3" s="5"/>
      <c r="DID3" s="5"/>
      <c r="DIE3" s="5"/>
      <c r="DIF3" s="5"/>
      <c r="DIG3" s="5"/>
      <c r="DIH3" s="5"/>
      <c r="DII3" s="5"/>
      <c r="DIJ3" s="5"/>
      <c r="DIK3" s="5"/>
      <c r="DIL3" s="5"/>
      <c r="DIM3" s="5"/>
      <c r="DIN3" s="5"/>
      <c r="DIO3" s="5"/>
      <c r="DIP3" s="5"/>
      <c r="DIQ3" s="5"/>
      <c r="DIR3" s="5"/>
      <c r="DIS3" s="5"/>
      <c r="DIT3" s="5"/>
      <c r="DIU3" s="5"/>
      <c r="DIV3" s="5"/>
      <c r="DIW3" s="5"/>
      <c r="DIX3" s="5"/>
      <c r="DIY3" s="5"/>
      <c r="DIZ3" s="5"/>
      <c r="DJA3" s="5"/>
      <c r="DJB3" s="5"/>
      <c r="DJC3" s="5"/>
      <c r="DJD3" s="5"/>
      <c r="DJE3" s="5"/>
      <c r="DJF3" s="5"/>
      <c r="DJG3" s="5"/>
      <c r="DJH3" s="5"/>
      <c r="DJI3" s="5"/>
      <c r="DJJ3" s="5"/>
      <c r="DJK3" s="5"/>
      <c r="DJL3" s="5"/>
      <c r="DJM3" s="5"/>
      <c r="DJN3" s="5"/>
      <c r="DJO3" s="5"/>
      <c r="DJP3" s="5"/>
      <c r="DJQ3" s="5"/>
      <c r="DJR3" s="5"/>
      <c r="DJS3" s="5"/>
      <c r="DJT3" s="5"/>
      <c r="DJU3" s="5"/>
      <c r="DJV3" s="5"/>
      <c r="DJW3" s="5"/>
      <c r="DJX3" s="5"/>
      <c r="DJY3" s="5"/>
      <c r="DJZ3" s="5"/>
      <c r="DKA3" s="5"/>
      <c r="DKB3" s="5"/>
      <c r="DKC3" s="5"/>
      <c r="DKD3" s="5"/>
      <c r="DKE3" s="5"/>
      <c r="DKF3" s="5"/>
      <c r="DKG3" s="5"/>
      <c r="DKH3" s="5"/>
      <c r="DKI3" s="5"/>
      <c r="DKJ3" s="5"/>
      <c r="DKK3" s="5"/>
      <c r="DKL3" s="5"/>
      <c r="DKM3" s="5"/>
      <c r="DKN3" s="5"/>
      <c r="DKO3" s="5"/>
      <c r="DKP3" s="5"/>
      <c r="DKQ3" s="5"/>
      <c r="DKR3" s="5"/>
      <c r="DKS3" s="5"/>
      <c r="DKT3" s="5"/>
      <c r="DKU3" s="5"/>
      <c r="DKV3" s="5"/>
      <c r="DKW3" s="5"/>
      <c r="DKX3" s="5"/>
      <c r="DKY3" s="5"/>
      <c r="DKZ3" s="5"/>
      <c r="DLA3" s="5"/>
      <c r="DLB3" s="5"/>
      <c r="DLC3" s="5"/>
      <c r="DLD3" s="5"/>
      <c r="DLE3" s="5"/>
      <c r="DLF3" s="5"/>
      <c r="DLG3" s="5"/>
      <c r="DLH3" s="5"/>
      <c r="DLI3" s="5"/>
      <c r="DLJ3" s="5"/>
      <c r="DLK3" s="5"/>
      <c r="DLL3" s="5"/>
      <c r="DLM3" s="5"/>
      <c r="DLN3" s="5"/>
      <c r="DLO3" s="5"/>
      <c r="DLP3" s="5"/>
      <c r="DLQ3" s="5"/>
      <c r="DLR3" s="5"/>
      <c r="DLS3" s="5"/>
      <c r="DLT3" s="5"/>
      <c r="DLU3" s="5"/>
      <c r="DLV3" s="5"/>
      <c r="DLW3" s="5"/>
      <c r="DLX3" s="5"/>
      <c r="DLY3" s="5"/>
      <c r="DLZ3" s="5"/>
      <c r="DMA3" s="5"/>
      <c r="DMB3" s="5"/>
      <c r="DMC3" s="5"/>
      <c r="DMD3" s="5"/>
      <c r="DME3" s="5"/>
      <c r="DMF3" s="5"/>
      <c r="DMG3" s="5"/>
      <c r="DMH3" s="5"/>
      <c r="DMI3" s="5"/>
      <c r="DMJ3" s="5"/>
      <c r="DMK3" s="5"/>
      <c r="DML3" s="5"/>
      <c r="DMM3" s="5"/>
      <c r="DMN3" s="5"/>
      <c r="DMO3" s="5"/>
      <c r="DMP3" s="5"/>
      <c r="DMQ3" s="5"/>
      <c r="DMR3" s="5"/>
      <c r="DMS3" s="5"/>
      <c r="DMT3" s="5"/>
      <c r="DMU3" s="5"/>
      <c r="DMV3" s="5"/>
      <c r="DMW3" s="5"/>
      <c r="DMX3" s="5"/>
      <c r="DMY3" s="5"/>
      <c r="DMZ3" s="5"/>
      <c r="DNA3" s="5"/>
      <c r="DNB3" s="5"/>
      <c r="DNC3" s="5"/>
      <c r="DND3" s="5"/>
      <c r="DNE3" s="5"/>
      <c r="DNF3" s="5"/>
      <c r="DNG3" s="5"/>
      <c r="DNH3" s="5"/>
      <c r="DNI3" s="5"/>
      <c r="DNJ3" s="5"/>
      <c r="DNK3" s="5"/>
      <c r="DNL3" s="5"/>
      <c r="DNM3" s="5"/>
      <c r="DNN3" s="5"/>
      <c r="DNO3" s="5"/>
      <c r="DNP3" s="5"/>
      <c r="DNQ3" s="5"/>
      <c r="DNR3" s="5"/>
      <c r="DNS3" s="5"/>
      <c r="DNT3" s="5"/>
      <c r="DNU3" s="5"/>
      <c r="DNV3" s="5"/>
      <c r="DNW3" s="5"/>
      <c r="DNX3" s="5"/>
      <c r="DNY3" s="5"/>
      <c r="DNZ3" s="5"/>
      <c r="DOA3" s="5"/>
      <c r="DOB3" s="5"/>
      <c r="DOC3" s="5"/>
      <c r="DOD3" s="5"/>
      <c r="DOE3" s="5"/>
      <c r="DOF3" s="5"/>
      <c r="DOG3" s="5"/>
      <c r="DOH3" s="5"/>
      <c r="DOI3" s="5"/>
      <c r="DOJ3" s="5"/>
      <c r="DOK3" s="5"/>
      <c r="DOL3" s="5"/>
      <c r="DOM3" s="5"/>
      <c r="DON3" s="5"/>
      <c r="DOO3" s="5"/>
      <c r="DOP3" s="5"/>
      <c r="DOQ3" s="5"/>
      <c r="DOR3" s="5"/>
      <c r="DOS3" s="5"/>
      <c r="DOT3" s="5"/>
      <c r="DOU3" s="5"/>
      <c r="DOV3" s="5"/>
      <c r="DOW3" s="5"/>
      <c r="DOX3" s="5"/>
      <c r="DOY3" s="5"/>
      <c r="DOZ3" s="5"/>
      <c r="DPA3" s="5"/>
      <c r="DPB3" s="5"/>
      <c r="DPC3" s="5"/>
      <c r="DPD3" s="5"/>
      <c r="DPE3" s="5"/>
      <c r="DPF3" s="5"/>
      <c r="DPG3" s="5"/>
      <c r="DPH3" s="5"/>
      <c r="DPI3" s="5"/>
      <c r="DPJ3" s="5"/>
      <c r="DPK3" s="5"/>
      <c r="DPL3" s="5"/>
      <c r="DPM3" s="5"/>
      <c r="DPN3" s="5"/>
      <c r="DPO3" s="5"/>
      <c r="DPP3" s="5"/>
      <c r="DPQ3" s="5"/>
      <c r="DPR3" s="5"/>
      <c r="DPS3" s="5"/>
      <c r="DPT3" s="5"/>
      <c r="DPU3" s="5"/>
      <c r="DPV3" s="5"/>
      <c r="DPW3" s="5"/>
      <c r="DPX3" s="5"/>
      <c r="DPY3" s="5"/>
      <c r="DPZ3" s="5"/>
      <c r="DQA3" s="5"/>
      <c r="DQB3" s="5"/>
      <c r="DQC3" s="5"/>
      <c r="DQD3" s="5"/>
      <c r="DQE3" s="5"/>
      <c r="DQF3" s="5"/>
      <c r="DQG3" s="5"/>
      <c r="DQH3" s="5"/>
      <c r="DQI3" s="5"/>
      <c r="DQJ3" s="5"/>
      <c r="DQK3" s="5"/>
      <c r="DQL3" s="5"/>
      <c r="DQM3" s="5"/>
      <c r="DQN3" s="5"/>
      <c r="DQO3" s="5"/>
      <c r="DQP3" s="5"/>
      <c r="DQQ3" s="5"/>
      <c r="DQR3" s="5"/>
      <c r="DQS3" s="5"/>
      <c r="DQT3" s="5"/>
      <c r="DQU3" s="5"/>
      <c r="DQV3" s="5"/>
      <c r="DQW3" s="5"/>
      <c r="DQX3" s="5"/>
      <c r="DQY3" s="5"/>
      <c r="DQZ3" s="5"/>
      <c r="DRA3" s="5"/>
      <c r="DRB3" s="5"/>
      <c r="DRC3" s="5"/>
      <c r="DRD3" s="5"/>
      <c r="DRE3" s="5"/>
      <c r="DRF3" s="5"/>
      <c r="DRG3" s="5"/>
      <c r="DRH3" s="5"/>
      <c r="DRI3" s="5"/>
      <c r="DRJ3" s="5"/>
      <c r="DRK3" s="5"/>
      <c r="DRL3" s="5"/>
      <c r="DRM3" s="5"/>
      <c r="DRN3" s="5"/>
      <c r="DRO3" s="5"/>
      <c r="DRP3" s="5"/>
      <c r="DRQ3" s="5"/>
      <c r="DRR3" s="5"/>
      <c r="DRS3" s="5"/>
      <c r="DRT3" s="5"/>
      <c r="DRU3" s="5"/>
      <c r="DRV3" s="5"/>
      <c r="DRW3" s="5"/>
      <c r="DRX3" s="5"/>
      <c r="DRY3" s="5"/>
      <c r="DRZ3" s="5"/>
      <c r="DSA3" s="5"/>
      <c r="DSB3" s="5"/>
      <c r="DSC3" s="5"/>
      <c r="DSD3" s="5"/>
      <c r="DSE3" s="5"/>
      <c r="DSF3" s="5"/>
      <c r="DSG3" s="5"/>
      <c r="DSH3" s="5"/>
      <c r="DSI3" s="5"/>
      <c r="DSJ3" s="5"/>
      <c r="DSK3" s="5"/>
      <c r="DSL3" s="5"/>
      <c r="DSM3" s="5"/>
      <c r="DSN3" s="5"/>
      <c r="DSO3" s="5"/>
      <c r="DSP3" s="5"/>
      <c r="DSQ3" s="5"/>
      <c r="DSR3" s="5"/>
      <c r="DSS3" s="5"/>
      <c r="DST3" s="5"/>
      <c r="DSU3" s="5"/>
      <c r="DSV3" s="5"/>
      <c r="DSW3" s="5"/>
      <c r="DSX3" s="5"/>
      <c r="DSY3" s="5"/>
      <c r="DSZ3" s="5"/>
      <c r="DTA3" s="5"/>
      <c r="DTB3" s="5"/>
      <c r="DTC3" s="5"/>
      <c r="DTD3" s="5"/>
      <c r="DTE3" s="5"/>
      <c r="DTF3" s="5"/>
      <c r="DTG3" s="5"/>
      <c r="DTH3" s="5"/>
      <c r="DTI3" s="5"/>
      <c r="DTJ3" s="5"/>
      <c r="DTK3" s="5"/>
      <c r="DTL3" s="5"/>
      <c r="DTM3" s="5"/>
      <c r="DTN3" s="5"/>
      <c r="DTO3" s="5"/>
      <c r="DTP3" s="5"/>
      <c r="DTQ3" s="5"/>
      <c r="DTR3" s="5"/>
      <c r="DTS3" s="5"/>
      <c r="DTT3" s="5"/>
      <c r="DTU3" s="5"/>
      <c r="DTV3" s="5"/>
      <c r="DTW3" s="5"/>
      <c r="DTX3" s="5"/>
      <c r="DTY3" s="5"/>
      <c r="DTZ3" s="5"/>
      <c r="DUA3" s="5"/>
      <c r="DUB3" s="5"/>
      <c r="DUC3" s="5"/>
      <c r="DUD3" s="5"/>
      <c r="DUE3" s="5"/>
      <c r="DUF3" s="5"/>
      <c r="DUG3" s="5"/>
      <c r="DUH3" s="5"/>
      <c r="DUI3" s="5"/>
      <c r="DUJ3" s="5"/>
      <c r="DUK3" s="5"/>
      <c r="DUL3" s="5"/>
      <c r="DUM3" s="5"/>
      <c r="DUN3" s="5"/>
      <c r="DUO3" s="5"/>
      <c r="DUP3" s="5"/>
      <c r="DUQ3" s="5"/>
      <c r="DUR3" s="5"/>
      <c r="DUS3" s="5"/>
      <c r="DUT3" s="5"/>
      <c r="DUU3" s="5"/>
      <c r="DUV3" s="5"/>
      <c r="DUW3" s="5"/>
      <c r="DUX3" s="5"/>
      <c r="DUY3" s="5"/>
      <c r="DUZ3" s="5"/>
      <c r="DVA3" s="5"/>
      <c r="DVB3" s="5"/>
      <c r="DVC3" s="5"/>
      <c r="DVD3" s="5"/>
      <c r="DVE3" s="5"/>
      <c r="DVF3" s="5"/>
      <c r="DVG3" s="5"/>
      <c r="DVH3" s="5"/>
      <c r="DVI3" s="5"/>
      <c r="DVJ3" s="5"/>
      <c r="DVK3" s="5"/>
      <c r="DVL3" s="5"/>
      <c r="DVM3" s="5"/>
      <c r="DVN3" s="5"/>
      <c r="DVO3" s="5"/>
      <c r="DVP3" s="5"/>
      <c r="DVQ3" s="5"/>
      <c r="DVR3" s="5"/>
      <c r="DVS3" s="5"/>
      <c r="DVT3" s="5"/>
      <c r="DVU3" s="5"/>
      <c r="DVV3" s="5"/>
      <c r="DVW3" s="5"/>
      <c r="DVX3" s="5"/>
      <c r="DVY3" s="5"/>
      <c r="DVZ3" s="5"/>
      <c r="DWA3" s="5"/>
      <c r="DWB3" s="5"/>
      <c r="DWC3" s="5"/>
      <c r="DWD3" s="5"/>
      <c r="DWE3" s="5"/>
      <c r="DWF3" s="5"/>
      <c r="DWG3" s="5"/>
      <c r="DWH3" s="5"/>
      <c r="DWI3" s="5"/>
      <c r="DWJ3" s="5"/>
      <c r="DWK3" s="5"/>
      <c r="DWL3" s="5"/>
      <c r="DWM3" s="5"/>
      <c r="DWN3" s="5"/>
      <c r="DWO3" s="5"/>
      <c r="DWP3" s="5"/>
      <c r="DWQ3" s="5"/>
      <c r="DWR3" s="5"/>
      <c r="DWS3" s="5"/>
      <c r="DWT3" s="5"/>
      <c r="DWU3" s="5"/>
      <c r="DWV3" s="5"/>
      <c r="DWW3" s="5"/>
      <c r="DWX3" s="5"/>
      <c r="DWY3" s="5"/>
      <c r="DWZ3" s="5"/>
      <c r="DXA3" s="5"/>
      <c r="DXB3" s="5"/>
      <c r="DXC3" s="5"/>
      <c r="DXD3" s="5"/>
      <c r="DXE3" s="5"/>
      <c r="DXF3" s="5"/>
      <c r="DXG3" s="5"/>
      <c r="DXH3" s="5"/>
      <c r="DXI3" s="5"/>
      <c r="DXJ3" s="5"/>
      <c r="DXK3" s="5"/>
      <c r="DXL3" s="5"/>
      <c r="DXM3" s="5"/>
      <c r="DXN3" s="5"/>
      <c r="DXO3" s="5"/>
      <c r="DXP3" s="5"/>
      <c r="DXQ3" s="5"/>
      <c r="DXR3" s="5"/>
      <c r="DXS3" s="5"/>
      <c r="DXT3" s="5"/>
      <c r="DXU3" s="5"/>
      <c r="DXV3" s="5"/>
      <c r="DXW3" s="5"/>
      <c r="DXX3" s="5"/>
      <c r="DXY3" s="5"/>
      <c r="DXZ3" s="5"/>
      <c r="DYA3" s="5"/>
      <c r="DYB3" s="5"/>
      <c r="DYC3" s="5"/>
      <c r="DYD3" s="5"/>
      <c r="DYE3" s="5"/>
      <c r="DYF3" s="5"/>
      <c r="DYG3" s="5"/>
      <c r="DYH3" s="5"/>
      <c r="DYI3" s="5"/>
      <c r="DYJ3" s="5"/>
      <c r="DYK3" s="5"/>
      <c r="DYL3" s="5"/>
      <c r="DYM3" s="5"/>
      <c r="DYN3" s="5"/>
      <c r="DYO3" s="5"/>
      <c r="DYP3" s="5"/>
      <c r="DYQ3" s="5"/>
      <c r="DYR3" s="5"/>
      <c r="DYS3" s="5"/>
      <c r="DYT3" s="5"/>
      <c r="DYU3" s="5"/>
      <c r="DYV3" s="5"/>
      <c r="DYW3" s="5"/>
      <c r="DYX3" s="5"/>
      <c r="DYY3" s="5"/>
      <c r="DYZ3" s="5"/>
      <c r="DZA3" s="5"/>
      <c r="DZB3" s="5"/>
      <c r="DZC3" s="5"/>
      <c r="DZD3" s="5"/>
      <c r="DZE3" s="5"/>
      <c r="DZF3" s="5"/>
      <c r="DZG3" s="5"/>
      <c r="DZH3" s="5"/>
      <c r="DZI3" s="5"/>
      <c r="DZJ3" s="5"/>
      <c r="DZK3" s="5"/>
      <c r="DZL3" s="5"/>
      <c r="DZM3" s="5"/>
      <c r="DZN3" s="5"/>
      <c r="DZO3" s="5"/>
      <c r="DZP3" s="5"/>
      <c r="DZQ3" s="5"/>
      <c r="DZR3" s="5"/>
      <c r="DZS3" s="5"/>
      <c r="DZT3" s="5"/>
      <c r="DZU3" s="5"/>
      <c r="DZV3" s="5"/>
      <c r="DZW3" s="5"/>
      <c r="DZX3" s="5"/>
      <c r="DZY3" s="5"/>
      <c r="DZZ3" s="5"/>
      <c r="EAA3" s="5"/>
      <c r="EAB3" s="5"/>
      <c r="EAC3" s="5"/>
      <c r="EAD3" s="5"/>
      <c r="EAE3" s="5"/>
      <c r="EAF3" s="5"/>
      <c r="EAG3" s="5"/>
      <c r="EAH3" s="5"/>
      <c r="EAI3" s="5"/>
      <c r="EAJ3" s="5"/>
      <c r="EAK3" s="5"/>
      <c r="EAL3" s="5"/>
      <c r="EAM3" s="5"/>
      <c r="EAN3" s="5"/>
      <c r="EAO3" s="5"/>
      <c r="EAP3" s="5"/>
      <c r="EAQ3" s="5"/>
      <c r="EAR3" s="5"/>
      <c r="EAS3" s="5"/>
      <c r="EAT3" s="5"/>
      <c r="EAU3" s="5"/>
      <c r="EAV3" s="5"/>
      <c r="EAW3" s="5"/>
      <c r="EAX3" s="5"/>
      <c r="EAY3" s="5"/>
      <c r="EAZ3" s="5"/>
      <c r="EBA3" s="5"/>
      <c r="EBB3" s="5"/>
      <c r="EBC3" s="5"/>
      <c r="EBD3" s="5"/>
      <c r="EBE3" s="5"/>
      <c r="EBF3" s="5"/>
      <c r="EBG3" s="5"/>
      <c r="EBH3" s="5"/>
      <c r="EBI3" s="5"/>
      <c r="EBJ3" s="5"/>
      <c r="EBK3" s="5"/>
      <c r="EBL3" s="5"/>
      <c r="EBM3" s="5"/>
      <c r="EBN3" s="5"/>
      <c r="EBO3" s="5"/>
      <c r="EBP3" s="5"/>
      <c r="EBQ3" s="5"/>
      <c r="EBR3" s="5"/>
      <c r="EBS3" s="5"/>
      <c r="EBT3" s="5"/>
      <c r="EBU3" s="5"/>
      <c r="EBV3" s="5"/>
      <c r="EBW3" s="5"/>
      <c r="EBX3" s="5"/>
      <c r="EBY3" s="5"/>
      <c r="EBZ3" s="5"/>
      <c r="ECA3" s="5"/>
      <c r="ECB3" s="5"/>
      <c r="ECC3" s="5"/>
      <c r="ECD3" s="5"/>
      <c r="ECE3" s="5"/>
      <c r="ECF3" s="5"/>
      <c r="ECG3" s="5"/>
      <c r="ECH3" s="5"/>
      <c r="ECI3" s="5"/>
      <c r="ECJ3" s="5"/>
      <c r="ECK3" s="5"/>
      <c r="ECL3" s="5"/>
      <c r="ECM3" s="5"/>
      <c r="ECN3" s="5"/>
      <c r="ECO3" s="5"/>
      <c r="ECP3" s="5"/>
      <c r="ECQ3" s="5"/>
      <c r="ECR3" s="5"/>
      <c r="ECS3" s="5"/>
      <c r="ECT3" s="5"/>
      <c r="ECU3" s="5"/>
      <c r="ECV3" s="5"/>
      <c r="ECW3" s="5"/>
      <c r="ECX3" s="5"/>
      <c r="ECY3" s="5"/>
      <c r="ECZ3" s="5"/>
      <c r="EDA3" s="5"/>
      <c r="EDB3" s="5"/>
      <c r="EDC3" s="5"/>
      <c r="EDD3" s="5"/>
      <c r="EDE3" s="5"/>
      <c r="EDF3" s="5"/>
      <c r="EDG3" s="5"/>
      <c r="EDH3" s="5"/>
      <c r="EDI3" s="5"/>
      <c r="EDJ3" s="5"/>
      <c r="EDK3" s="5"/>
      <c r="EDL3" s="5"/>
      <c r="EDM3" s="5"/>
      <c r="EDN3" s="5"/>
      <c r="EDO3" s="5"/>
      <c r="EDP3" s="5"/>
      <c r="EDQ3" s="5"/>
      <c r="EDR3" s="5"/>
      <c r="EDS3" s="5"/>
      <c r="EDT3" s="5"/>
      <c r="EDU3" s="5"/>
      <c r="EDV3" s="5"/>
      <c r="EDW3" s="5"/>
      <c r="EDX3" s="5"/>
      <c r="EDY3" s="5"/>
      <c r="EDZ3" s="5"/>
      <c r="EEA3" s="5"/>
      <c r="EEB3" s="5"/>
      <c r="EEC3" s="5"/>
      <c r="EED3" s="5"/>
      <c r="EEE3" s="5"/>
      <c r="EEF3" s="5"/>
      <c r="EEG3" s="5"/>
      <c r="EEH3" s="5"/>
      <c r="EEI3" s="5"/>
      <c r="EEJ3" s="5"/>
      <c r="EEK3" s="5"/>
      <c r="EEL3" s="5"/>
      <c r="EEM3" s="5"/>
      <c r="EEN3" s="5"/>
      <c r="EEO3" s="5"/>
      <c r="EEP3" s="5"/>
      <c r="EEQ3" s="5"/>
      <c r="EER3" s="5"/>
      <c r="EES3" s="5"/>
      <c r="EET3" s="5"/>
      <c r="EEU3" s="5"/>
      <c r="EEV3" s="5"/>
      <c r="EEW3" s="5"/>
      <c r="EEX3" s="5"/>
      <c r="EEY3" s="5"/>
      <c r="EEZ3" s="5"/>
      <c r="EFA3" s="5"/>
      <c r="EFB3" s="5"/>
      <c r="EFC3" s="5"/>
      <c r="EFD3" s="5"/>
      <c r="EFE3" s="5"/>
      <c r="EFF3" s="5"/>
      <c r="EFG3" s="5"/>
      <c r="EFH3" s="5"/>
      <c r="EFI3" s="5"/>
      <c r="EFJ3" s="5"/>
      <c r="EFK3" s="5"/>
      <c r="EFL3" s="5"/>
      <c r="EFM3" s="5"/>
      <c r="EFN3" s="5"/>
      <c r="EFO3" s="5"/>
      <c r="EFP3" s="5"/>
      <c r="EFQ3" s="5"/>
      <c r="EFR3" s="5"/>
      <c r="EFS3" s="5"/>
      <c r="EFT3" s="5"/>
      <c r="EFU3" s="5"/>
      <c r="EFV3" s="5"/>
      <c r="EFW3" s="5"/>
      <c r="EFX3" s="5"/>
      <c r="EFY3" s="5"/>
      <c r="EFZ3" s="5"/>
      <c r="EGA3" s="5"/>
      <c r="EGB3" s="5"/>
      <c r="EGC3" s="5"/>
      <c r="EGD3" s="5"/>
      <c r="EGE3" s="5"/>
      <c r="EGF3" s="5"/>
      <c r="EGG3" s="5"/>
      <c r="EGH3" s="5"/>
      <c r="EGI3" s="5"/>
      <c r="EGJ3" s="5"/>
      <c r="EGK3" s="5"/>
      <c r="EGL3" s="5"/>
      <c r="EGM3" s="5"/>
      <c r="EGN3" s="5"/>
      <c r="EGO3" s="5"/>
      <c r="EGP3" s="5"/>
      <c r="EGQ3" s="5"/>
      <c r="EGR3" s="5"/>
      <c r="EGS3" s="5"/>
      <c r="EGT3" s="5"/>
      <c r="EGU3" s="5"/>
      <c r="EGV3" s="5"/>
      <c r="EGW3" s="5"/>
      <c r="EGX3" s="5"/>
      <c r="EGY3" s="5"/>
      <c r="EGZ3" s="5"/>
      <c r="EHA3" s="5"/>
      <c r="EHB3" s="5"/>
      <c r="EHC3" s="5"/>
      <c r="EHD3" s="5"/>
      <c r="EHE3" s="5"/>
      <c r="EHF3" s="5"/>
      <c r="EHG3" s="5"/>
      <c r="EHH3" s="5"/>
      <c r="EHI3" s="5"/>
      <c r="EHJ3" s="5"/>
      <c r="EHK3" s="5"/>
      <c r="EHL3" s="5"/>
      <c r="EHM3" s="5"/>
      <c r="EHN3" s="5"/>
      <c r="EHO3" s="5"/>
      <c r="EHP3" s="5"/>
      <c r="EHQ3" s="5"/>
      <c r="EHR3" s="5"/>
      <c r="EHS3" s="5"/>
      <c r="EHT3" s="5"/>
      <c r="EHU3" s="5"/>
      <c r="EHV3" s="5"/>
      <c r="EHW3" s="5"/>
      <c r="EHX3" s="5"/>
      <c r="EHY3" s="5"/>
      <c r="EHZ3" s="5"/>
      <c r="EIA3" s="5"/>
      <c r="EIB3" s="5"/>
      <c r="EIC3" s="5"/>
      <c r="EID3" s="5"/>
      <c r="EIE3" s="5"/>
      <c r="EIF3" s="5"/>
      <c r="EIG3" s="5"/>
      <c r="EIH3" s="5"/>
      <c r="EII3" s="5"/>
      <c r="EIJ3" s="5"/>
      <c r="EIK3" s="5"/>
      <c r="EIL3" s="5"/>
      <c r="EIM3" s="5"/>
      <c r="EIN3" s="5"/>
      <c r="EIO3" s="5"/>
      <c r="EIP3" s="5"/>
      <c r="EIQ3" s="5"/>
      <c r="EIR3" s="5"/>
      <c r="EIS3" s="5"/>
      <c r="EIT3" s="5"/>
      <c r="EIU3" s="5"/>
      <c r="EIV3" s="5"/>
      <c r="EIW3" s="5"/>
      <c r="EIX3" s="5"/>
      <c r="EIY3" s="5"/>
      <c r="EIZ3" s="5"/>
      <c r="EJA3" s="5"/>
      <c r="EJB3" s="5"/>
      <c r="EJC3" s="5"/>
      <c r="EJD3" s="5"/>
      <c r="EJE3" s="5"/>
      <c r="EJF3" s="5"/>
      <c r="EJG3" s="5"/>
      <c r="EJH3" s="5"/>
      <c r="EJI3" s="5"/>
      <c r="EJJ3" s="5"/>
      <c r="EJK3" s="5"/>
      <c r="EJL3" s="5"/>
      <c r="EJM3" s="5"/>
      <c r="EJN3" s="5"/>
      <c r="EJO3" s="5"/>
      <c r="EJP3" s="5"/>
      <c r="EJQ3" s="5"/>
      <c r="EJR3" s="5"/>
      <c r="EJS3" s="5"/>
      <c r="EJT3" s="5"/>
      <c r="EJU3" s="5"/>
      <c r="EJV3" s="5"/>
      <c r="EJW3" s="5"/>
      <c r="EJX3" s="5"/>
      <c r="EJY3" s="5"/>
      <c r="EJZ3" s="5"/>
      <c r="EKA3" s="5"/>
      <c r="EKB3" s="5"/>
      <c r="EKC3" s="5"/>
      <c r="EKD3" s="5"/>
      <c r="EKE3" s="5"/>
      <c r="EKF3" s="5"/>
      <c r="EKG3" s="5"/>
      <c r="EKH3" s="5"/>
      <c r="EKI3" s="5"/>
      <c r="EKJ3" s="5"/>
      <c r="EKK3" s="5"/>
      <c r="EKL3" s="5"/>
      <c r="EKM3" s="5"/>
      <c r="EKN3" s="5"/>
      <c r="EKO3" s="5"/>
      <c r="EKP3" s="5"/>
      <c r="EKQ3" s="5"/>
      <c r="EKR3" s="5"/>
      <c r="EKS3" s="5"/>
      <c r="EKT3" s="5"/>
      <c r="EKU3" s="5"/>
      <c r="EKV3" s="5"/>
      <c r="EKW3" s="5"/>
      <c r="EKX3" s="5"/>
      <c r="EKY3" s="5"/>
      <c r="EKZ3" s="5"/>
      <c r="ELA3" s="5"/>
      <c r="ELB3" s="5"/>
      <c r="ELC3" s="5"/>
      <c r="ELD3" s="5"/>
      <c r="ELE3" s="5"/>
      <c r="ELF3" s="5"/>
      <c r="ELG3" s="5"/>
      <c r="ELH3" s="5"/>
      <c r="ELI3" s="5"/>
      <c r="ELJ3" s="5"/>
      <c r="ELK3" s="5"/>
      <c r="ELL3" s="5"/>
      <c r="ELM3" s="5"/>
      <c r="ELN3" s="5"/>
      <c r="ELO3" s="5"/>
      <c r="ELP3" s="5"/>
      <c r="ELQ3" s="5"/>
      <c r="ELR3" s="5"/>
      <c r="ELS3" s="5"/>
      <c r="ELT3" s="5"/>
      <c r="ELU3" s="5"/>
      <c r="ELV3" s="5"/>
      <c r="ELW3" s="5"/>
      <c r="ELX3" s="5"/>
      <c r="ELY3" s="5"/>
      <c r="ELZ3" s="5"/>
      <c r="EMA3" s="5"/>
      <c r="EMB3" s="5"/>
      <c r="EMC3" s="5"/>
      <c r="EMD3" s="5"/>
      <c r="EME3" s="5"/>
      <c r="EMF3" s="5"/>
      <c r="EMG3" s="5"/>
      <c r="EMH3" s="5"/>
      <c r="EMI3" s="5"/>
      <c r="EMJ3" s="5"/>
      <c r="EMK3" s="5"/>
      <c r="EML3" s="5"/>
      <c r="EMM3" s="5"/>
      <c r="EMN3" s="5"/>
      <c r="EMO3" s="5"/>
      <c r="EMP3" s="5"/>
      <c r="EMQ3" s="5"/>
      <c r="EMR3" s="5"/>
      <c r="EMS3" s="5"/>
      <c r="EMT3" s="5"/>
      <c r="EMU3" s="5"/>
      <c r="EMV3" s="5"/>
      <c r="EMW3" s="5"/>
      <c r="EMX3" s="5"/>
      <c r="EMY3" s="5"/>
      <c r="EMZ3" s="5"/>
      <c r="ENA3" s="5"/>
      <c r="ENB3" s="5"/>
      <c r="ENC3" s="5"/>
      <c r="END3" s="5"/>
      <c r="ENE3" s="5"/>
      <c r="ENF3" s="5"/>
      <c r="ENG3" s="5"/>
      <c r="ENH3" s="5"/>
      <c r="ENI3" s="5"/>
      <c r="ENJ3" s="5"/>
      <c r="ENK3" s="5"/>
      <c r="ENL3" s="5"/>
      <c r="ENM3" s="5"/>
      <c r="ENN3" s="5"/>
      <c r="ENO3" s="5"/>
      <c r="ENP3" s="5"/>
      <c r="ENQ3" s="5"/>
      <c r="ENR3" s="5"/>
      <c r="ENS3" s="5"/>
      <c r="ENT3" s="5"/>
      <c r="ENU3" s="5"/>
      <c r="ENV3" s="5"/>
      <c r="ENW3" s="5"/>
      <c r="ENX3" s="5"/>
      <c r="ENY3" s="5"/>
      <c r="ENZ3" s="5"/>
      <c r="EOA3" s="5"/>
      <c r="EOB3" s="5"/>
      <c r="EOC3" s="5"/>
      <c r="EOD3" s="5"/>
      <c r="EOE3" s="5"/>
      <c r="EOF3" s="5"/>
      <c r="EOG3" s="5"/>
      <c r="EOH3" s="5"/>
      <c r="EOI3" s="5"/>
      <c r="EOJ3" s="5"/>
      <c r="EOK3" s="5"/>
      <c r="EOL3" s="5"/>
      <c r="EOM3" s="5"/>
      <c r="EON3" s="5"/>
      <c r="EOO3" s="5"/>
      <c r="EOP3" s="5"/>
      <c r="EOQ3" s="5"/>
      <c r="EOR3" s="5"/>
      <c r="EOS3" s="5"/>
      <c r="EOT3" s="5"/>
      <c r="EOU3" s="5"/>
      <c r="EOV3" s="5"/>
      <c r="EOW3" s="5"/>
      <c r="EOX3" s="5"/>
      <c r="EOY3" s="5"/>
      <c r="EOZ3" s="5"/>
      <c r="EPA3" s="5"/>
      <c r="EPB3" s="5"/>
      <c r="EPC3" s="5"/>
      <c r="EPD3" s="5"/>
      <c r="EPE3" s="5"/>
      <c r="EPF3" s="5"/>
      <c r="EPG3" s="5"/>
      <c r="EPH3" s="5"/>
      <c r="EPI3" s="5"/>
      <c r="EPJ3" s="5"/>
      <c r="EPK3" s="5"/>
      <c r="EPL3" s="5"/>
      <c r="EPM3" s="5"/>
      <c r="EPN3" s="5"/>
      <c r="EPO3" s="5"/>
      <c r="EPP3" s="5"/>
      <c r="EPQ3" s="5"/>
      <c r="EPR3" s="5"/>
      <c r="EPS3" s="5"/>
      <c r="EPT3" s="5"/>
      <c r="EPU3" s="5"/>
      <c r="EPV3" s="5"/>
      <c r="EPW3" s="5"/>
      <c r="EPX3" s="5"/>
      <c r="EPY3" s="5"/>
      <c r="EPZ3" s="5"/>
      <c r="EQA3" s="5"/>
      <c r="EQB3" s="5"/>
      <c r="EQC3" s="5"/>
      <c r="EQD3" s="5"/>
      <c r="EQE3" s="5"/>
      <c r="EQF3" s="5"/>
      <c r="EQG3" s="5"/>
      <c r="EQH3" s="5"/>
      <c r="EQI3" s="5"/>
      <c r="EQJ3" s="5"/>
      <c r="EQK3" s="5"/>
      <c r="EQL3" s="5"/>
      <c r="EQM3" s="5"/>
      <c r="EQN3" s="5"/>
      <c r="EQO3" s="5"/>
      <c r="EQP3" s="5"/>
      <c r="EQQ3" s="5"/>
      <c r="EQR3" s="5"/>
      <c r="EQS3" s="5"/>
      <c r="EQT3" s="5"/>
      <c r="EQU3" s="5"/>
      <c r="EQV3" s="5"/>
      <c r="EQW3" s="5"/>
      <c r="EQX3" s="5"/>
      <c r="EQY3" s="5"/>
      <c r="EQZ3" s="5"/>
      <c r="ERA3" s="5"/>
      <c r="ERB3" s="5"/>
      <c r="ERC3" s="5"/>
      <c r="ERD3" s="5"/>
      <c r="ERE3" s="5"/>
      <c r="ERF3" s="5"/>
      <c r="ERG3" s="5"/>
      <c r="ERH3" s="5"/>
      <c r="ERI3" s="5"/>
      <c r="ERJ3" s="5"/>
      <c r="ERK3" s="5"/>
      <c r="ERL3" s="5"/>
      <c r="ERM3" s="5"/>
      <c r="ERN3" s="5"/>
      <c r="ERO3" s="5"/>
      <c r="ERP3" s="5"/>
      <c r="ERQ3" s="5"/>
      <c r="ERR3" s="5"/>
      <c r="ERS3" s="5"/>
      <c r="ERT3" s="5"/>
      <c r="ERU3" s="5"/>
      <c r="ERV3" s="5"/>
      <c r="ERW3" s="5"/>
      <c r="ERX3" s="5"/>
      <c r="ERY3" s="5"/>
      <c r="ERZ3" s="5"/>
      <c r="ESA3" s="5"/>
      <c r="ESB3" s="5"/>
      <c r="ESC3" s="5"/>
      <c r="ESD3" s="5"/>
      <c r="ESE3" s="5"/>
      <c r="ESF3" s="5"/>
      <c r="ESG3" s="5"/>
      <c r="ESH3" s="5"/>
      <c r="ESI3" s="5"/>
      <c r="ESJ3" s="5"/>
      <c r="ESK3" s="5"/>
      <c r="ESL3" s="5"/>
      <c r="ESM3" s="5"/>
      <c r="ESN3" s="5"/>
      <c r="ESO3" s="5"/>
      <c r="ESP3" s="5"/>
      <c r="ESQ3" s="5"/>
      <c r="ESR3" s="5"/>
      <c r="ESS3" s="5"/>
      <c r="EST3" s="5"/>
      <c r="ESU3" s="5"/>
      <c r="ESV3" s="5"/>
      <c r="ESW3" s="5"/>
      <c r="ESX3" s="5"/>
      <c r="ESY3" s="5"/>
      <c r="ESZ3" s="5"/>
      <c r="ETA3" s="5"/>
      <c r="ETB3" s="5"/>
      <c r="ETC3" s="5"/>
      <c r="ETD3" s="5"/>
      <c r="ETE3" s="5"/>
      <c r="ETF3" s="5"/>
      <c r="ETG3" s="5"/>
      <c r="ETH3" s="5"/>
      <c r="ETI3" s="5"/>
      <c r="ETJ3" s="5"/>
      <c r="ETK3" s="5"/>
      <c r="ETL3" s="5"/>
      <c r="ETM3" s="5"/>
      <c r="ETN3" s="5"/>
      <c r="ETO3" s="5"/>
      <c r="ETP3" s="5"/>
      <c r="ETQ3" s="5"/>
      <c r="ETR3" s="5"/>
      <c r="ETS3" s="5"/>
      <c r="ETT3" s="5"/>
      <c r="ETU3" s="5"/>
      <c r="ETV3" s="5"/>
      <c r="ETW3" s="5"/>
      <c r="ETX3" s="5"/>
      <c r="ETY3" s="5"/>
      <c r="ETZ3" s="5"/>
      <c r="EUA3" s="5"/>
      <c r="EUB3" s="5"/>
      <c r="EUC3" s="5"/>
      <c r="EUD3" s="5"/>
      <c r="EUE3" s="5"/>
      <c r="EUF3" s="5"/>
      <c r="EUG3" s="5"/>
      <c r="EUH3" s="5"/>
      <c r="EUI3" s="5"/>
      <c r="EUJ3" s="5"/>
      <c r="EUK3" s="5"/>
      <c r="EUL3" s="5"/>
      <c r="EUM3" s="5"/>
      <c r="EUN3" s="5"/>
      <c r="EUO3" s="5"/>
      <c r="EUP3" s="5"/>
      <c r="EUQ3" s="5"/>
      <c r="EUR3" s="5"/>
      <c r="EUS3" s="5"/>
      <c r="EUT3" s="5"/>
      <c r="EUU3" s="5"/>
      <c r="EUV3" s="5"/>
      <c r="EUW3" s="5"/>
      <c r="EUX3" s="5"/>
      <c r="EUY3" s="5"/>
      <c r="EUZ3" s="5"/>
      <c r="EVA3" s="5"/>
      <c r="EVB3" s="5"/>
      <c r="EVC3" s="5"/>
      <c r="EVD3" s="5"/>
      <c r="EVE3" s="5"/>
      <c r="EVF3" s="5"/>
      <c r="EVG3" s="5"/>
      <c r="EVH3" s="5"/>
      <c r="EVI3" s="5"/>
      <c r="EVJ3" s="5"/>
      <c r="EVK3" s="5"/>
      <c r="EVL3" s="5"/>
      <c r="EVM3" s="5"/>
      <c r="EVN3" s="5"/>
      <c r="EVO3" s="5"/>
      <c r="EVP3" s="5"/>
      <c r="EVQ3" s="5"/>
      <c r="EVR3" s="5"/>
      <c r="EVS3" s="5"/>
      <c r="EVT3" s="5"/>
      <c r="EVU3" s="5"/>
      <c r="EVV3" s="5"/>
      <c r="EVW3" s="5"/>
      <c r="EVX3" s="5"/>
      <c r="EVY3" s="5"/>
      <c r="EVZ3" s="5"/>
      <c r="EWA3" s="5"/>
      <c r="EWB3" s="5"/>
      <c r="EWC3" s="5"/>
      <c r="EWD3" s="5"/>
      <c r="EWE3" s="5"/>
      <c r="EWF3" s="5"/>
      <c r="EWG3" s="5"/>
      <c r="EWH3" s="5"/>
      <c r="EWI3" s="5"/>
      <c r="EWJ3" s="5"/>
      <c r="EWK3" s="5"/>
      <c r="EWL3" s="5"/>
      <c r="EWM3" s="5"/>
      <c r="EWN3" s="5"/>
      <c r="EWO3" s="5"/>
      <c r="EWP3" s="5"/>
      <c r="EWQ3" s="5"/>
      <c r="EWR3" s="5"/>
      <c r="EWS3" s="5"/>
      <c r="EWT3" s="5"/>
      <c r="EWU3" s="5"/>
      <c r="EWV3" s="5"/>
      <c r="EWW3" s="5"/>
      <c r="EWX3" s="5"/>
      <c r="EWY3" s="5"/>
      <c r="EWZ3" s="5"/>
      <c r="EXA3" s="5"/>
      <c r="EXB3" s="5"/>
      <c r="EXC3" s="5"/>
      <c r="EXD3" s="5"/>
      <c r="EXE3" s="5"/>
      <c r="EXF3" s="5"/>
      <c r="EXG3" s="5"/>
      <c r="EXH3" s="5"/>
      <c r="EXI3" s="5"/>
      <c r="EXJ3" s="5"/>
      <c r="EXK3" s="5"/>
      <c r="EXL3" s="5"/>
      <c r="EXM3" s="5"/>
      <c r="EXN3" s="5"/>
      <c r="EXO3" s="5"/>
      <c r="EXP3" s="5"/>
      <c r="EXQ3" s="5"/>
      <c r="EXR3" s="5"/>
      <c r="EXS3" s="5"/>
      <c r="EXT3" s="5"/>
      <c r="EXU3" s="5"/>
      <c r="EXV3" s="5"/>
      <c r="EXW3" s="5"/>
      <c r="EXX3" s="5"/>
      <c r="EXY3" s="5"/>
      <c r="EXZ3" s="5"/>
      <c r="EYA3" s="5"/>
      <c r="EYB3" s="5"/>
      <c r="EYC3" s="5"/>
      <c r="EYD3" s="5"/>
      <c r="EYE3" s="5"/>
      <c r="EYF3" s="5"/>
      <c r="EYG3" s="5"/>
      <c r="EYH3" s="5"/>
      <c r="EYI3" s="5"/>
      <c r="EYJ3" s="5"/>
      <c r="EYK3" s="5"/>
      <c r="EYL3" s="5"/>
      <c r="EYM3" s="5"/>
      <c r="EYN3" s="5"/>
      <c r="EYO3" s="5"/>
      <c r="EYP3" s="5"/>
      <c r="EYQ3" s="5"/>
      <c r="EYR3" s="5"/>
      <c r="EYS3" s="5"/>
      <c r="EYT3" s="5"/>
      <c r="EYU3" s="5"/>
      <c r="EYV3" s="5"/>
      <c r="EYW3" s="5"/>
      <c r="EYX3" s="5"/>
      <c r="EYY3" s="5"/>
      <c r="EYZ3" s="5"/>
      <c r="EZA3" s="5"/>
      <c r="EZB3" s="5"/>
      <c r="EZC3" s="5"/>
      <c r="EZD3" s="5"/>
      <c r="EZE3" s="5"/>
      <c r="EZF3" s="5"/>
      <c r="EZG3" s="5"/>
      <c r="EZH3" s="5"/>
      <c r="EZI3" s="5"/>
      <c r="EZJ3" s="5"/>
      <c r="EZK3" s="5"/>
      <c r="EZL3" s="5"/>
      <c r="EZM3" s="5"/>
      <c r="EZN3" s="5"/>
      <c r="EZO3" s="5"/>
      <c r="EZP3" s="5"/>
      <c r="EZQ3" s="5"/>
      <c r="EZR3" s="5"/>
      <c r="EZS3" s="5"/>
      <c r="EZT3" s="5"/>
      <c r="EZU3" s="5"/>
      <c r="EZV3" s="5"/>
      <c r="EZW3" s="5"/>
      <c r="EZX3" s="5"/>
      <c r="EZY3" s="5"/>
      <c r="EZZ3" s="5"/>
      <c r="FAA3" s="5"/>
      <c r="FAB3" s="5"/>
      <c r="FAC3" s="5"/>
      <c r="FAD3" s="5"/>
      <c r="FAE3" s="5"/>
      <c r="FAF3" s="5"/>
      <c r="FAG3" s="5"/>
      <c r="FAH3" s="5"/>
      <c r="FAI3" s="5"/>
      <c r="FAJ3" s="5"/>
      <c r="FAK3" s="5"/>
      <c r="FAL3" s="5"/>
      <c r="FAM3" s="5"/>
      <c r="FAN3" s="5"/>
      <c r="FAO3" s="5"/>
      <c r="FAP3" s="5"/>
      <c r="FAQ3" s="5"/>
      <c r="FAR3" s="5"/>
      <c r="FAS3" s="5"/>
      <c r="FAT3" s="5"/>
      <c r="FAU3" s="5"/>
      <c r="FAV3" s="5"/>
      <c r="FAW3" s="5"/>
      <c r="FAX3" s="5"/>
      <c r="FAY3" s="5"/>
      <c r="FAZ3" s="5"/>
      <c r="FBA3" s="5"/>
      <c r="FBB3" s="5"/>
      <c r="FBC3" s="5"/>
      <c r="FBD3" s="5"/>
      <c r="FBE3" s="5"/>
      <c r="FBF3" s="5"/>
      <c r="FBG3" s="5"/>
      <c r="FBH3" s="5"/>
      <c r="FBI3" s="5"/>
      <c r="FBJ3" s="5"/>
      <c r="FBK3" s="5"/>
      <c r="FBL3" s="5"/>
      <c r="FBM3" s="5"/>
      <c r="FBN3" s="5"/>
      <c r="FBO3" s="5"/>
      <c r="FBP3" s="5"/>
      <c r="FBQ3" s="5"/>
      <c r="FBR3" s="5"/>
      <c r="FBS3" s="5"/>
      <c r="FBT3" s="5"/>
      <c r="FBU3" s="5"/>
      <c r="FBV3" s="5"/>
      <c r="FBW3" s="5"/>
      <c r="FBX3" s="5"/>
      <c r="FBY3" s="5"/>
      <c r="FBZ3" s="5"/>
      <c r="FCA3" s="5"/>
      <c r="FCB3" s="5"/>
      <c r="FCC3" s="5"/>
      <c r="FCD3" s="5"/>
      <c r="FCE3" s="5"/>
      <c r="FCF3" s="5"/>
      <c r="FCG3" s="5"/>
      <c r="FCH3" s="5"/>
      <c r="FCI3" s="5"/>
      <c r="FCJ3" s="5"/>
      <c r="FCK3" s="5"/>
      <c r="FCL3" s="5"/>
      <c r="FCM3" s="5"/>
      <c r="FCN3" s="5"/>
      <c r="FCO3" s="5"/>
      <c r="FCP3" s="5"/>
      <c r="FCQ3" s="5"/>
      <c r="FCR3" s="5"/>
      <c r="FCS3" s="5"/>
      <c r="FCT3" s="5"/>
      <c r="FCU3" s="5"/>
      <c r="FCV3" s="5"/>
      <c r="FCW3" s="5"/>
      <c r="FCX3" s="5"/>
      <c r="FCY3" s="5"/>
      <c r="FCZ3" s="5"/>
      <c r="FDA3" s="5"/>
      <c r="FDB3" s="5"/>
      <c r="FDC3" s="5"/>
      <c r="FDD3" s="5"/>
      <c r="FDE3" s="5"/>
      <c r="FDF3" s="5"/>
      <c r="FDG3" s="5"/>
      <c r="FDH3" s="5"/>
      <c r="FDI3" s="5"/>
      <c r="FDJ3" s="5"/>
      <c r="FDK3" s="5"/>
      <c r="FDL3" s="5"/>
      <c r="FDM3" s="5"/>
      <c r="FDN3" s="5"/>
      <c r="FDO3" s="5"/>
      <c r="FDP3" s="5"/>
      <c r="FDQ3" s="5"/>
      <c r="FDR3" s="5"/>
      <c r="FDS3" s="5"/>
      <c r="FDT3" s="5"/>
      <c r="FDU3" s="5"/>
      <c r="FDV3" s="5"/>
      <c r="FDW3" s="5"/>
      <c r="FDX3" s="5"/>
      <c r="FDY3" s="5"/>
      <c r="FDZ3" s="5"/>
      <c r="FEA3" s="5"/>
      <c r="FEB3" s="5"/>
      <c r="FEC3" s="5"/>
      <c r="FED3" s="5"/>
      <c r="FEE3" s="5"/>
      <c r="FEF3" s="5"/>
      <c r="FEG3" s="5"/>
      <c r="FEH3" s="5"/>
      <c r="FEI3" s="5"/>
      <c r="FEJ3" s="5"/>
      <c r="FEK3" s="5"/>
      <c r="FEL3" s="5"/>
      <c r="FEM3" s="5"/>
      <c r="FEN3" s="5"/>
      <c r="FEO3" s="5"/>
      <c r="FEP3" s="5"/>
      <c r="FEQ3" s="5"/>
      <c r="FER3" s="5"/>
      <c r="FES3" s="5"/>
      <c r="FET3" s="5"/>
      <c r="FEU3" s="5"/>
      <c r="FEV3" s="5"/>
      <c r="FEW3" s="5"/>
      <c r="FEX3" s="5"/>
      <c r="FEY3" s="5"/>
      <c r="FEZ3" s="5"/>
      <c r="FFA3" s="5"/>
      <c r="FFB3" s="5"/>
      <c r="FFC3" s="5"/>
      <c r="FFD3" s="5"/>
      <c r="FFE3" s="5"/>
      <c r="FFF3" s="5"/>
      <c r="FFG3" s="5"/>
      <c r="FFH3" s="5"/>
      <c r="FFI3" s="5"/>
      <c r="FFJ3" s="5"/>
      <c r="FFK3" s="5"/>
      <c r="FFL3" s="5"/>
      <c r="FFM3" s="5"/>
      <c r="FFN3" s="5"/>
      <c r="FFO3" s="5"/>
      <c r="FFP3" s="5"/>
      <c r="FFQ3" s="5"/>
      <c r="FFR3" s="5"/>
      <c r="FFS3" s="5"/>
      <c r="FFT3" s="5"/>
      <c r="FFU3" s="5"/>
      <c r="FFV3" s="5"/>
      <c r="FFW3" s="5"/>
      <c r="FFX3" s="5"/>
      <c r="FFY3" s="5"/>
      <c r="FFZ3" s="5"/>
      <c r="FGA3" s="5"/>
      <c r="FGB3" s="5"/>
      <c r="FGC3" s="5"/>
      <c r="FGD3" s="5"/>
      <c r="FGE3" s="5"/>
      <c r="FGF3" s="5"/>
      <c r="FGG3" s="5"/>
      <c r="FGH3" s="5"/>
      <c r="FGI3" s="5"/>
      <c r="FGJ3" s="5"/>
      <c r="FGK3" s="5"/>
      <c r="FGL3" s="5"/>
      <c r="FGM3" s="5"/>
      <c r="FGN3" s="5"/>
      <c r="FGO3" s="5"/>
      <c r="FGP3" s="5"/>
      <c r="FGQ3" s="5"/>
      <c r="FGR3" s="5"/>
      <c r="FGS3" s="5"/>
      <c r="FGT3" s="5"/>
      <c r="FGU3" s="5"/>
      <c r="FGV3" s="5"/>
      <c r="FGW3" s="5"/>
      <c r="FGX3" s="5"/>
      <c r="FGY3" s="5"/>
      <c r="FGZ3" s="5"/>
      <c r="FHA3" s="5"/>
      <c r="FHB3" s="5"/>
      <c r="FHC3" s="5"/>
      <c r="FHD3" s="5"/>
      <c r="FHE3" s="5"/>
      <c r="FHF3" s="5"/>
      <c r="FHG3" s="5"/>
      <c r="FHH3" s="5"/>
      <c r="FHI3" s="5"/>
      <c r="FHJ3" s="5"/>
      <c r="FHK3" s="5"/>
      <c r="FHL3" s="5"/>
      <c r="FHM3" s="5"/>
      <c r="FHN3" s="5"/>
      <c r="FHO3" s="5"/>
      <c r="FHP3" s="5"/>
      <c r="FHQ3" s="5"/>
      <c r="FHR3" s="5"/>
      <c r="FHS3" s="5"/>
      <c r="FHT3" s="5"/>
      <c r="FHU3" s="5"/>
      <c r="FHV3" s="5"/>
      <c r="FHW3" s="5"/>
      <c r="FHX3" s="5"/>
      <c r="FHY3" s="5"/>
      <c r="FHZ3" s="5"/>
      <c r="FIA3" s="5"/>
      <c r="FIB3" s="5"/>
      <c r="FIC3" s="5"/>
      <c r="FID3" s="5"/>
      <c r="FIE3" s="5"/>
      <c r="FIF3" s="5"/>
      <c r="FIG3" s="5"/>
      <c r="FIH3" s="5"/>
      <c r="FII3" s="5"/>
      <c r="FIJ3" s="5"/>
      <c r="FIK3" s="5"/>
      <c r="FIL3" s="5"/>
      <c r="FIM3" s="5"/>
      <c r="FIN3" s="5"/>
      <c r="FIO3" s="5"/>
      <c r="FIP3" s="5"/>
      <c r="FIQ3" s="5"/>
      <c r="FIR3" s="5"/>
      <c r="FIS3" s="5"/>
      <c r="FIT3" s="5"/>
      <c r="FIU3" s="5"/>
      <c r="FIV3" s="5"/>
      <c r="FIW3" s="5"/>
      <c r="FIX3" s="5"/>
      <c r="FIY3" s="5"/>
      <c r="FIZ3" s="5"/>
      <c r="FJA3" s="5"/>
      <c r="FJB3" s="5"/>
      <c r="FJC3" s="5"/>
      <c r="FJD3" s="5"/>
      <c r="FJE3" s="5"/>
      <c r="FJF3" s="5"/>
      <c r="FJG3" s="5"/>
      <c r="FJH3" s="5"/>
      <c r="FJI3" s="5"/>
      <c r="FJJ3" s="5"/>
      <c r="FJK3" s="5"/>
      <c r="FJL3" s="5"/>
      <c r="FJM3" s="5"/>
      <c r="FJN3" s="5"/>
      <c r="FJO3" s="5"/>
      <c r="FJP3" s="5"/>
      <c r="FJQ3" s="5"/>
      <c r="FJR3" s="5"/>
      <c r="FJS3" s="5"/>
      <c r="FJT3" s="5"/>
      <c r="FJU3" s="5"/>
      <c r="FJV3" s="5"/>
      <c r="FJW3" s="5"/>
      <c r="FJX3" s="5"/>
      <c r="FJY3" s="5"/>
      <c r="FJZ3" s="5"/>
      <c r="FKA3" s="5"/>
      <c r="FKB3" s="5"/>
      <c r="FKC3" s="5"/>
      <c r="FKD3" s="5"/>
      <c r="FKE3" s="5"/>
      <c r="FKF3" s="5"/>
      <c r="FKG3" s="5"/>
      <c r="FKH3" s="5"/>
      <c r="FKI3" s="5"/>
      <c r="FKJ3" s="5"/>
      <c r="FKK3" s="5"/>
      <c r="FKL3" s="5"/>
      <c r="FKM3" s="5"/>
      <c r="FKN3" s="5"/>
      <c r="FKO3" s="5"/>
      <c r="FKP3" s="5"/>
      <c r="FKQ3" s="5"/>
      <c r="FKR3" s="5"/>
      <c r="FKS3" s="5"/>
      <c r="FKT3" s="5"/>
      <c r="FKU3" s="5"/>
      <c r="FKV3" s="5"/>
      <c r="FKW3" s="5"/>
      <c r="FKX3" s="5"/>
      <c r="FKY3" s="5"/>
      <c r="FKZ3" s="5"/>
      <c r="FLA3" s="5"/>
      <c r="FLB3" s="5"/>
      <c r="FLC3" s="5"/>
      <c r="FLD3" s="5"/>
      <c r="FLE3" s="5"/>
      <c r="FLF3" s="5"/>
      <c r="FLG3" s="5"/>
      <c r="FLH3" s="5"/>
      <c r="FLI3" s="5"/>
      <c r="FLJ3" s="5"/>
      <c r="FLK3" s="5"/>
      <c r="FLL3" s="5"/>
      <c r="FLM3" s="5"/>
      <c r="FLN3" s="5"/>
      <c r="FLO3" s="5"/>
      <c r="FLP3" s="5"/>
      <c r="FLQ3" s="5"/>
      <c r="FLR3" s="5"/>
      <c r="FLS3" s="5"/>
      <c r="FLT3" s="5"/>
      <c r="FLU3" s="5"/>
      <c r="FLV3" s="5"/>
      <c r="FLW3" s="5"/>
      <c r="FLX3" s="5"/>
      <c r="FLY3" s="5"/>
      <c r="FLZ3" s="5"/>
      <c r="FMA3" s="5"/>
      <c r="FMB3" s="5"/>
      <c r="FMC3" s="5"/>
      <c r="FMD3" s="5"/>
      <c r="FME3" s="5"/>
      <c r="FMF3" s="5"/>
      <c r="FMG3" s="5"/>
      <c r="FMH3" s="5"/>
      <c r="FMI3" s="5"/>
      <c r="FMJ3" s="5"/>
      <c r="FMK3" s="5"/>
      <c r="FML3" s="5"/>
      <c r="FMM3" s="5"/>
      <c r="FMN3" s="5"/>
      <c r="FMO3" s="5"/>
      <c r="FMP3" s="5"/>
      <c r="FMQ3" s="5"/>
      <c r="FMR3" s="5"/>
      <c r="FMS3" s="5"/>
      <c r="FMT3" s="5"/>
      <c r="FMU3" s="5"/>
      <c r="FMV3" s="5"/>
      <c r="FMW3" s="5"/>
      <c r="FMX3" s="5"/>
      <c r="FMY3" s="5"/>
      <c r="FMZ3" s="5"/>
      <c r="FNA3" s="5"/>
      <c r="FNB3" s="5"/>
      <c r="FNC3" s="5"/>
      <c r="FND3" s="5"/>
      <c r="FNE3" s="5"/>
      <c r="FNF3" s="5"/>
      <c r="FNG3" s="5"/>
      <c r="FNH3" s="5"/>
      <c r="FNI3" s="5"/>
      <c r="FNJ3" s="5"/>
      <c r="FNK3" s="5"/>
      <c r="FNL3" s="5"/>
      <c r="FNM3" s="5"/>
      <c r="FNN3" s="5"/>
      <c r="FNO3" s="5"/>
      <c r="FNP3" s="5"/>
      <c r="FNQ3" s="5"/>
      <c r="FNR3" s="5"/>
      <c r="FNS3" s="5"/>
      <c r="FNT3" s="5"/>
      <c r="FNU3" s="5"/>
      <c r="FNV3" s="5"/>
      <c r="FNW3" s="5"/>
      <c r="FNX3" s="5"/>
      <c r="FNY3" s="5"/>
      <c r="FNZ3" s="5"/>
      <c r="FOA3" s="5"/>
      <c r="FOB3" s="5"/>
      <c r="FOC3" s="5"/>
      <c r="FOD3" s="5"/>
      <c r="FOE3" s="5"/>
      <c r="FOF3" s="5"/>
      <c r="FOG3" s="5"/>
      <c r="FOH3" s="5"/>
      <c r="FOI3" s="5"/>
      <c r="FOJ3" s="5"/>
      <c r="FOK3" s="5"/>
      <c r="FOL3" s="5"/>
      <c r="FOM3" s="5"/>
      <c r="FON3" s="5"/>
      <c r="FOO3" s="5"/>
      <c r="FOP3" s="5"/>
      <c r="FOQ3" s="5"/>
      <c r="FOR3" s="5"/>
      <c r="FOS3" s="5"/>
      <c r="FOT3" s="5"/>
      <c r="FOU3" s="5"/>
      <c r="FOV3" s="5"/>
      <c r="FOW3" s="5"/>
      <c r="FOX3" s="5"/>
      <c r="FOY3" s="5"/>
      <c r="FOZ3" s="5"/>
      <c r="FPA3" s="5"/>
      <c r="FPB3" s="5"/>
      <c r="FPC3" s="5"/>
      <c r="FPD3" s="5"/>
      <c r="FPE3" s="5"/>
      <c r="FPF3" s="5"/>
      <c r="FPG3" s="5"/>
      <c r="FPH3" s="5"/>
      <c r="FPI3" s="5"/>
      <c r="FPJ3" s="5"/>
      <c r="FPK3" s="5"/>
      <c r="FPL3" s="5"/>
      <c r="FPM3" s="5"/>
      <c r="FPN3" s="5"/>
      <c r="FPO3" s="5"/>
      <c r="FPP3" s="5"/>
      <c r="FPQ3" s="5"/>
      <c r="FPR3" s="5"/>
      <c r="FPS3" s="5"/>
      <c r="FPT3" s="5"/>
      <c r="FPU3" s="5"/>
      <c r="FPV3" s="5"/>
      <c r="FPW3" s="5"/>
      <c r="FPX3" s="5"/>
      <c r="FPY3" s="5"/>
      <c r="FPZ3" s="5"/>
      <c r="FQA3" s="5"/>
      <c r="FQB3" s="5"/>
      <c r="FQC3" s="5"/>
      <c r="FQD3" s="5"/>
      <c r="FQE3" s="5"/>
      <c r="FQF3" s="5"/>
      <c r="FQG3" s="5"/>
      <c r="FQH3" s="5"/>
      <c r="FQI3" s="5"/>
      <c r="FQJ3" s="5"/>
      <c r="FQK3" s="5"/>
      <c r="FQL3" s="5"/>
      <c r="FQM3" s="5"/>
      <c r="FQN3" s="5"/>
      <c r="FQO3" s="5"/>
      <c r="FQP3" s="5"/>
      <c r="FQQ3" s="5"/>
      <c r="FQR3" s="5"/>
      <c r="FQS3" s="5"/>
      <c r="FQT3" s="5"/>
      <c r="FQU3" s="5"/>
      <c r="FQV3" s="5"/>
      <c r="FQW3" s="5"/>
      <c r="FQX3" s="5"/>
      <c r="FQY3" s="5"/>
      <c r="FQZ3" s="5"/>
      <c r="FRA3" s="5"/>
      <c r="FRB3" s="5"/>
      <c r="FRC3" s="5"/>
      <c r="FRD3" s="5"/>
      <c r="FRE3" s="5"/>
      <c r="FRF3" s="5"/>
      <c r="FRG3" s="5"/>
      <c r="FRH3" s="5"/>
      <c r="FRI3" s="5"/>
      <c r="FRJ3" s="5"/>
      <c r="FRK3" s="5"/>
      <c r="FRL3" s="5"/>
      <c r="FRM3" s="5"/>
      <c r="FRN3" s="5"/>
      <c r="FRO3" s="5"/>
      <c r="FRP3" s="5"/>
      <c r="FRQ3" s="5"/>
      <c r="FRR3" s="5"/>
      <c r="FRS3" s="5"/>
      <c r="FRT3" s="5"/>
      <c r="FRU3" s="5"/>
      <c r="FRV3" s="5"/>
      <c r="FRW3" s="5"/>
      <c r="FRX3" s="5"/>
      <c r="FRY3" s="5"/>
      <c r="FRZ3" s="5"/>
      <c r="FSA3" s="5"/>
      <c r="FSB3" s="5"/>
      <c r="FSC3" s="5"/>
      <c r="FSD3" s="5"/>
      <c r="FSE3" s="5"/>
      <c r="FSF3" s="5"/>
      <c r="FSG3" s="5"/>
      <c r="FSH3" s="5"/>
      <c r="FSI3" s="5"/>
      <c r="FSJ3" s="5"/>
      <c r="FSK3" s="5"/>
      <c r="FSL3" s="5"/>
      <c r="FSM3" s="5"/>
      <c r="FSN3" s="5"/>
      <c r="FSO3" s="5"/>
      <c r="FSP3" s="5"/>
      <c r="FSQ3" s="5"/>
      <c r="FSR3" s="5"/>
      <c r="FSS3" s="5"/>
      <c r="FST3" s="5"/>
      <c r="FSU3" s="5"/>
      <c r="FSV3" s="5"/>
      <c r="FSW3" s="5"/>
      <c r="FSX3" s="5"/>
      <c r="FSY3" s="5"/>
      <c r="FSZ3" s="5"/>
      <c r="FTA3" s="5"/>
      <c r="FTB3" s="5"/>
      <c r="FTC3" s="5"/>
      <c r="FTD3" s="5"/>
      <c r="FTE3" s="5"/>
      <c r="FTF3" s="5"/>
      <c r="FTG3" s="5"/>
      <c r="FTH3" s="5"/>
      <c r="FTI3" s="5"/>
      <c r="FTJ3" s="5"/>
      <c r="FTK3" s="5"/>
      <c r="FTL3" s="5"/>
      <c r="FTM3" s="5"/>
      <c r="FTN3" s="5"/>
      <c r="FTO3" s="5"/>
      <c r="FTP3" s="5"/>
      <c r="FTQ3" s="5"/>
      <c r="FTR3" s="5"/>
      <c r="FTS3" s="5"/>
      <c r="FTT3" s="5"/>
      <c r="FTU3" s="5"/>
      <c r="FTV3" s="5"/>
      <c r="FTW3" s="5"/>
      <c r="FTX3" s="5"/>
      <c r="FTY3" s="5"/>
      <c r="FTZ3" s="5"/>
      <c r="FUA3" s="5"/>
      <c r="FUB3" s="5"/>
      <c r="FUC3" s="5"/>
      <c r="FUD3" s="5"/>
      <c r="FUE3" s="5"/>
      <c r="FUF3" s="5"/>
      <c r="FUG3" s="5"/>
      <c r="FUH3" s="5"/>
      <c r="FUI3" s="5"/>
      <c r="FUJ3" s="5"/>
      <c r="FUK3" s="5"/>
      <c r="FUL3" s="5"/>
      <c r="FUM3" s="5"/>
      <c r="FUN3" s="5"/>
      <c r="FUO3" s="5"/>
      <c r="FUP3" s="5"/>
      <c r="FUQ3" s="5"/>
      <c r="FUR3" s="5"/>
      <c r="FUS3" s="5"/>
      <c r="FUT3" s="5"/>
      <c r="FUU3" s="5"/>
      <c r="FUV3" s="5"/>
      <c r="FUW3" s="5"/>
      <c r="FUX3" s="5"/>
      <c r="FUY3" s="5"/>
      <c r="FUZ3" s="5"/>
      <c r="FVA3" s="5"/>
      <c r="FVB3" s="5"/>
      <c r="FVC3" s="5"/>
      <c r="FVD3" s="5"/>
      <c r="FVE3" s="5"/>
      <c r="FVF3" s="5"/>
      <c r="FVG3" s="5"/>
      <c r="FVH3" s="5"/>
      <c r="FVI3" s="5"/>
      <c r="FVJ3" s="5"/>
      <c r="FVK3" s="5"/>
      <c r="FVL3" s="5"/>
      <c r="FVM3" s="5"/>
      <c r="FVN3" s="5"/>
      <c r="FVO3" s="5"/>
      <c r="FVP3" s="5"/>
      <c r="FVQ3" s="5"/>
      <c r="FVR3" s="5"/>
      <c r="FVS3" s="5"/>
      <c r="FVT3" s="5"/>
      <c r="FVU3" s="5"/>
      <c r="FVV3" s="5"/>
      <c r="FVW3" s="5"/>
      <c r="FVX3" s="5"/>
      <c r="FVY3" s="5"/>
      <c r="FVZ3" s="5"/>
      <c r="FWA3" s="5"/>
      <c r="FWB3" s="5"/>
      <c r="FWC3" s="5"/>
      <c r="FWD3" s="5"/>
      <c r="FWE3" s="5"/>
      <c r="FWF3" s="5"/>
      <c r="FWG3" s="5"/>
      <c r="FWH3" s="5"/>
      <c r="FWI3" s="5"/>
      <c r="FWJ3" s="5"/>
      <c r="FWK3" s="5"/>
      <c r="FWL3" s="5"/>
      <c r="FWM3" s="5"/>
      <c r="FWN3" s="5"/>
      <c r="FWO3" s="5"/>
      <c r="FWP3" s="5"/>
      <c r="FWQ3" s="5"/>
      <c r="FWR3" s="5"/>
      <c r="FWS3" s="5"/>
      <c r="FWT3" s="5"/>
      <c r="FWU3" s="5"/>
      <c r="FWV3" s="5"/>
      <c r="FWW3" s="5"/>
      <c r="FWX3" s="5"/>
      <c r="FWY3" s="5"/>
      <c r="FWZ3" s="5"/>
      <c r="FXA3" s="5"/>
      <c r="FXB3" s="5"/>
      <c r="FXC3" s="5"/>
      <c r="FXD3" s="5"/>
      <c r="FXE3" s="5"/>
      <c r="FXF3" s="5"/>
      <c r="FXG3" s="5"/>
      <c r="FXH3" s="5"/>
      <c r="FXI3" s="5"/>
      <c r="FXJ3" s="5"/>
      <c r="FXK3" s="5"/>
      <c r="FXL3" s="5"/>
      <c r="FXM3" s="5"/>
      <c r="FXN3" s="5"/>
      <c r="FXO3" s="5"/>
      <c r="FXP3" s="5"/>
      <c r="FXQ3" s="5"/>
      <c r="FXR3" s="5"/>
      <c r="FXS3" s="5"/>
      <c r="FXT3" s="5"/>
      <c r="FXU3" s="5"/>
      <c r="FXV3" s="5"/>
      <c r="FXW3" s="5"/>
      <c r="FXX3" s="5"/>
      <c r="FXY3" s="5"/>
      <c r="FXZ3" s="5"/>
      <c r="FYA3" s="5"/>
      <c r="FYB3" s="5"/>
      <c r="FYC3" s="5"/>
      <c r="FYD3" s="5"/>
      <c r="FYE3" s="5"/>
      <c r="FYF3" s="5"/>
      <c r="FYG3" s="5"/>
      <c r="FYH3" s="5"/>
      <c r="FYI3" s="5"/>
      <c r="FYJ3" s="5"/>
      <c r="FYK3" s="5"/>
      <c r="FYL3" s="5"/>
      <c r="FYM3" s="5"/>
      <c r="FYN3" s="5"/>
      <c r="FYO3" s="5"/>
      <c r="FYP3" s="5"/>
      <c r="FYQ3" s="5"/>
      <c r="FYR3" s="5"/>
      <c r="FYS3" s="5"/>
      <c r="FYT3" s="5"/>
      <c r="FYU3" s="5"/>
      <c r="FYV3" s="5"/>
      <c r="FYW3" s="5"/>
      <c r="FYX3" s="5"/>
      <c r="FYY3" s="5"/>
      <c r="FYZ3" s="5"/>
      <c r="FZA3" s="5"/>
      <c r="FZB3" s="5"/>
      <c r="FZC3" s="5"/>
      <c r="FZD3" s="5"/>
      <c r="FZE3" s="5"/>
      <c r="FZF3" s="5"/>
      <c r="FZG3" s="5"/>
      <c r="FZH3" s="5"/>
      <c r="FZI3" s="5"/>
      <c r="FZJ3" s="5"/>
      <c r="FZK3" s="5"/>
      <c r="FZL3" s="5"/>
      <c r="FZM3" s="5"/>
      <c r="FZN3" s="5"/>
      <c r="FZO3" s="5"/>
      <c r="FZP3" s="5"/>
      <c r="FZQ3" s="5"/>
      <c r="FZR3" s="5"/>
      <c r="FZS3" s="5"/>
      <c r="FZT3" s="5"/>
      <c r="FZU3" s="5"/>
      <c r="FZV3" s="5"/>
      <c r="FZW3" s="5"/>
      <c r="FZX3" s="5"/>
      <c r="FZY3" s="5"/>
      <c r="FZZ3" s="5"/>
      <c r="GAA3" s="5"/>
      <c r="GAB3" s="5"/>
      <c r="GAC3" s="5"/>
      <c r="GAD3" s="5"/>
      <c r="GAE3" s="5"/>
      <c r="GAF3" s="5"/>
      <c r="GAG3" s="5"/>
      <c r="GAH3" s="5"/>
      <c r="GAI3" s="5"/>
      <c r="GAJ3" s="5"/>
      <c r="GAK3" s="5"/>
      <c r="GAL3" s="5"/>
      <c r="GAM3" s="5"/>
      <c r="GAN3" s="5"/>
      <c r="GAO3" s="5"/>
      <c r="GAP3" s="5"/>
      <c r="GAQ3" s="5"/>
      <c r="GAR3" s="5"/>
      <c r="GAS3" s="5"/>
      <c r="GAT3" s="5"/>
      <c r="GAU3" s="5"/>
      <c r="GAV3" s="5"/>
      <c r="GAW3" s="5"/>
      <c r="GAX3" s="5"/>
      <c r="GAY3" s="5"/>
      <c r="GAZ3" s="5"/>
      <c r="GBA3" s="5"/>
      <c r="GBB3" s="5"/>
      <c r="GBC3" s="5"/>
      <c r="GBD3" s="5"/>
      <c r="GBE3" s="5"/>
      <c r="GBF3" s="5"/>
      <c r="GBG3" s="5"/>
      <c r="GBH3" s="5"/>
      <c r="GBI3" s="5"/>
      <c r="GBJ3" s="5"/>
      <c r="GBK3" s="5"/>
      <c r="GBL3" s="5"/>
      <c r="GBM3" s="5"/>
      <c r="GBN3" s="5"/>
      <c r="GBO3" s="5"/>
      <c r="GBP3" s="5"/>
      <c r="GBQ3" s="5"/>
      <c r="GBR3" s="5"/>
      <c r="GBS3" s="5"/>
      <c r="GBT3" s="5"/>
      <c r="GBU3" s="5"/>
      <c r="GBV3" s="5"/>
      <c r="GBW3" s="5"/>
      <c r="GBX3" s="5"/>
      <c r="GBY3" s="5"/>
      <c r="GBZ3" s="5"/>
      <c r="GCA3" s="5"/>
      <c r="GCB3" s="5"/>
      <c r="GCC3" s="5"/>
      <c r="GCD3" s="5"/>
      <c r="GCE3" s="5"/>
      <c r="GCF3" s="5"/>
      <c r="GCG3" s="5"/>
      <c r="GCH3" s="5"/>
      <c r="GCI3" s="5"/>
      <c r="GCJ3" s="5"/>
      <c r="GCK3" s="5"/>
      <c r="GCL3" s="5"/>
      <c r="GCM3" s="5"/>
      <c r="GCN3" s="5"/>
      <c r="GCO3" s="5"/>
      <c r="GCP3" s="5"/>
      <c r="GCQ3" s="5"/>
      <c r="GCR3" s="5"/>
      <c r="GCS3" s="5"/>
      <c r="GCT3" s="5"/>
      <c r="GCU3" s="5"/>
      <c r="GCV3" s="5"/>
      <c r="GCW3" s="5"/>
      <c r="GCX3" s="5"/>
      <c r="GCY3" s="5"/>
      <c r="GCZ3" s="5"/>
      <c r="GDA3" s="5"/>
      <c r="GDB3" s="5"/>
      <c r="GDC3" s="5"/>
      <c r="GDD3" s="5"/>
      <c r="GDE3" s="5"/>
      <c r="GDF3" s="5"/>
      <c r="GDG3" s="5"/>
      <c r="GDH3" s="5"/>
      <c r="GDI3" s="5"/>
      <c r="GDJ3" s="5"/>
      <c r="GDK3" s="5"/>
      <c r="GDL3" s="5"/>
      <c r="GDM3" s="5"/>
      <c r="GDN3" s="5"/>
      <c r="GDO3" s="5"/>
      <c r="GDP3" s="5"/>
      <c r="GDQ3" s="5"/>
      <c r="GDR3" s="5"/>
      <c r="GDS3" s="5"/>
      <c r="GDT3" s="5"/>
      <c r="GDU3" s="5"/>
      <c r="GDV3" s="5"/>
      <c r="GDW3" s="5"/>
      <c r="GDX3" s="5"/>
      <c r="GDY3" s="5"/>
      <c r="GDZ3" s="5"/>
      <c r="GEA3" s="5"/>
      <c r="GEB3" s="5"/>
      <c r="GEC3" s="5"/>
      <c r="GED3" s="5"/>
      <c r="GEE3" s="5"/>
      <c r="GEF3" s="5"/>
      <c r="GEG3" s="5"/>
      <c r="GEH3" s="5"/>
      <c r="GEI3" s="5"/>
      <c r="GEJ3" s="5"/>
      <c r="GEK3" s="5"/>
      <c r="GEL3" s="5"/>
      <c r="GEM3" s="5"/>
      <c r="GEN3" s="5"/>
      <c r="GEO3" s="5"/>
      <c r="GEP3" s="5"/>
      <c r="GEQ3" s="5"/>
      <c r="GER3" s="5"/>
      <c r="GES3" s="5"/>
      <c r="GET3" s="5"/>
      <c r="GEU3" s="5"/>
      <c r="GEV3" s="5"/>
      <c r="GEW3" s="5"/>
      <c r="GEX3" s="5"/>
      <c r="GEY3" s="5"/>
      <c r="GEZ3" s="5"/>
      <c r="GFA3" s="5"/>
      <c r="GFB3" s="5"/>
      <c r="GFC3" s="5"/>
      <c r="GFD3" s="5"/>
      <c r="GFE3" s="5"/>
      <c r="GFF3" s="5"/>
      <c r="GFG3" s="5"/>
      <c r="GFH3" s="5"/>
      <c r="GFI3" s="5"/>
      <c r="GFJ3" s="5"/>
      <c r="GFK3" s="5"/>
      <c r="GFL3" s="5"/>
      <c r="GFM3" s="5"/>
      <c r="GFN3" s="5"/>
      <c r="GFO3" s="5"/>
      <c r="GFP3" s="5"/>
      <c r="GFQ3" s="5"/>
      <c r="GFR3" s="5"/>
      <c r="GFS3" s="5"/>
      <c r="GFT3" s="5"/>
      <c r="GFU3" s="5"/>
      <c r="GFV3" s="5"/>
      <c r="GFW3" s="5"/>
      <c r="GFX3" s="5"/>
      <c r="GFY3" s="5"/>
      <c r="GFZ3" s="5"/>
      <c r="GGA3" s="5"/>
      <c r="GGB3" s="5"/>
      <c r="GGC3" s="5"/>
      <c r="GGD3" s="5"/>
      <c r="GGE3" s="5"/>
      <c r="GGF3" s="5"/>
      <c r="GGG3" s="5"/>
      <c r="GGH3" s="5"/>
      <c r="GGI3" s="5"/>
      <c r="GGJ3" s="5"/>
      <c r="GGK3" s="5"/>
      <c r="GGL3" s="5"/>
      <c r="GGM3" s="5"/>
      <c r="GGN3" s="5"/>
      <c r="GGO3" s="5"/>
      <c r="GGP3" s="5"/>
      <c r="GGQ3" s="5"/>
      <c r="GGR3" s="5"/>
      <c r="GGS3" s="5"/>
      <c r="GGT3" s="5"/>
      <c r="GGU3" s="5"/>
      <c r="GGV3" s="5"/>
      <c r="GGW3" s="5"/>
      <c r="GGX3" s="5"/>
      <c r="GGY3" s="5"/>
      <c r="GGZ3" s="5"/>
      <c r="GHA3" s="5"/>
      <c r="GHB3" s="5"/>
      <c r="GHC3" s="5"/>
      <c r="GHD3" s="5"/>
      <c r="GHE3" s="5"/>
      <c r="GHF3" s="5"/>
      <c r="GHG3" s="5"/>
      <c r="GHH3" s="5"/>
      <c r="GHI3" s="5"/>
      <c r="GHJ3" s="5"/>
      <c r="GHK3" s="5"/>
      <c r="GHL3" s="5"/>
      <c r="GHM3" s="5"/>
      <c r="GHN3" s="5"/>
      <c r="GHO3" s="5"/>
      <c r="GHP3" s="5"/>
      <c r="GHQ3" s="5"/>
      <c r="GHR3" s="5"/>
      <c r="GHS3" s="5"/>
      <c r="GHT3" s="5"/>
      <c r="GHU3" s="5"/>
      <c r="GHV3" s="5"/>
      <c r="GHW3" s="5"/>
      <c r="GHX3" s="5"/>
      <c r="GHY3" s="5"/>
      <c r="GHZ3" s="5"/>
      <c r="GIA3" s="5"/>
      <c r="GIB3" s="5"/>
      <c r="GIC3" s="5"/>
      <c r="GID3" s="5"/>
      <c r="GIE3" s="5"/>
      <c r="GIF3" s="5"/>
      <c r="GIG3" s="5"/>
      <c r="GIH3" s="5"/>
      <c r="GII3" s="5"/>
      <c r="GIJ3" s="5"/>
      <c r="GIK3" s="5"/>
      <c r="GIL3" s="5"/>
      <c r="GIM3" s="5"/>
      <c r="GIN3" s="5"/>
      <c r="GIO3" s="5"/>
      <c r="GIP3" s="5"/>
      <c r="GIQ3" s="5"/>
      <c r="GIR3" s="5"/>
      <c r="GIS3" s="5"/>
      <c r="GIT3" s="5"/>
      <c r="GIU3" s="5"/>
      <c r="GIV3" s="5"/>
      <c r="GIW3" s="5"/>
      <c r="GIX3" s="5"/>
      <c r="GIY3" s="5"/>
      <c r="GIZ3" s="5"/>
      <c r="GJA3" s="5"/>
      <c r="GJB3" s="5"/>
      <c r="GJC3" s="5"/>
      <c r="GJD3" s="5"/>
      <c r="GJE3" s="5"/>
      <c r="GJF3" s="5"/>
      <c r="GJG3" s="5"/>
      <c r="GJH3" s="5"/>
      <c r="GJI3" s="5"/>
      <c r="GJJ3" s="5"/>
      <c r="GJK3" s="5"/>
      <c r="GJL3" s="5"/>
      <c r="GJM3" s="5"/>
      <c r="GJN3" s="5"/>
      <c r="GJO3" s="5"/>
      <c r="GJP3" s="5"/>
      <c r="GJQ3" s="5"/>
      <c r="GJR3" s="5"/>
      <c r="GJS3" s="5"/>
      <c r="GJT3" s="5"/>
      <c r="GJU3" s="5"/>
      <c r="GJV3" s="5"/>
      <c r="GJW3" s="5"/>
      <c r="GJX3" s="5"/>
      <c r="GJY3" s="5"/>
      <c r="GJZ3" s="5"/>
      <c r="GKA3" s="5"/>
      <c r="GKB3" s="5"/>
      <c r="GKC3" s="5"/>
      <c r="GKD3" s="5"/>
      <c r="GKE3" s="5"/>
      <c r="GKF3" s="5"/>
      <c r="GKG3" s="5"/>
      <c r="GKH3" s="5"/>
      <c r="GKI3" s="5"/>
      <c r="GKJ3" s="5"/>
      <c r="GKK3" s="5"/>
      <c r="GKL3" s="5"/>
      <c r="GKM3" s="5"/>
      <c r="GKN3" s="5"/>
      <c r="GKO3" s="5"/>
      <c r="GKP3" s="5"/>
      <c r="GKQ3" s="5"/>
      <c r="GKR3" s="5"/>
      <c r="GKS3" s="5"/>
      <c r="GKT3" s="5"/>
      <c r="GKU3" s="5"/>
      <c r="GKV3" s="5"/>
      <c r="GKW3" s="5"/>
      <c r="GKX3" s="5"/>
      <c r="GKY3" s="5"/>
      <c r="GKZ3" s="5"/>
      <c r="GLA3" s="5"/>
      <c r="GLB3" s="5"/>
      <c r="GLC3" s="5"/>
      <c r="GLD3" s="5"/>
      <c r="GLE3" s="5"/>
      <c r="GLF3" s="5"/>
      <c r="GLG3" s="5"/>
      <c r="GLH3" s="5"/>
      <c r="GLI3" s="5"/>
      <c r="GLJ3" s="5"/>
      <c r="GLK3" s="5"/>
      <c r="GLL3" s="5"/>
      <c r="GLM3" s="5"/>
      <c r="GLN3" s="5"/>
      <c r="GLO3" s="5"/>
      <c r="GLP3" s="5"/>
      <c r="GLQ3" s="5"/>
      <c r="GLR3" s="5"/>
      <c r="GLS3" s="5"/>
      <c r="GLT3" s="5"/>
      <c r="GLU3" s="5"/>
      <c r="GLV3" s="5"/>
      <c r="GLW3" s="5"/>
      <c r="GLX3" s="5"/>
      <c r="GLY3" s="5"/>
      <c r="GLZ3" s="5"/>
      <c r="GMA3" s="5"/>
      <c r="GMB3" s="5"/>
      <c r="GMC3" s="5"/>
      <c r="GMD3" s="5"/>
      <c r="GME3" s="5"/>
      <c r="GMF3" s="5"/>
      <c r="GMG3" s="5"/>
      <c r="GMH3" s="5"/>
      <c r="GMI3" s="5"/>
      <c r="GMJ3" s="5"/>
      <c r="GMK3" s="5"/>
      <c r="GML3" s="5"/>
      <c r="GMM3" s="5"/>
      <c r="GMN3" s="5"/>
      <c r="GMO3" s="5"/>
      <c r="GMP3" s="5"/>
      <c r="GMQ3" s="5"/>
      <c r="GMR3" s="5"/>
      <c r="GMS3" s="5"/>
      <c r="GMT3" s="5"/>
      <c r="GMU3" s="5"/>
      <c r="GMV3" s="5"/>
      <c r="GMW3" s="5"/>
      <c r="GMX3" s="5"/>
      <c r="GMY3" s="5"/>
      <c r="GMZ3" s="5"/>
      <c r="GNA3" s="5"/>
      <c r="GNB3" s="5"/>
      <c r="GNC3" s="5"/>
      <c r="GND3" s="5"/>
      <c r="GNE3" s="5"/>
      <c r="GNF3" s="5"/>
      <c r="GNG3" s="5"/>
      <c r="GNH3" s="5"/>
      <c r="GNI3" s="5"/>
      <c r="GNJ3" s="5"/>
      <c r="GNK3" s="5"/>
      <c r="GNL3" s="5"/>
      <c r="GNM3" s="5"/>
      <c r="GNN3" s="5"/>
      <c r="GNO3" s="5"/>
      <c r="GNP3" s="5"/>
      <c r="GNQ3" s="5"/>
      <c r="GNR3" s="5"/>
      <c r="GNS3" s="5"/>
      <c r="GNT3" s="5"/>
      <c r="GNU3" s="5"/>
      <c r="GNV3" s="5"/>
      <c r="GNW3" s="5"/>
      <c r="GNX3" s="5"/>
      <c r="GNY3" s="5"/>
      <c r="GNZ3" s="5"/>
      <c r="GOA3" s="5"/>
      <c r="GOB3" s="5"/>
      <c r="GOC3" s="5"/>
      <c r="GOD3" s="5"/>
      <c r="GOE3" s="5"/>
      <c r="GOF3" s="5"/>
      <c r="GOG3" s="5"/>
      <c r="GOH3" s="5"/>
      <c r="GOI3" s="5"/>
      <c r="GOJ3" s="5"/>
      <c r="GOK3" s="5"/>
      <c r="GOL3" s="5"/>
      <c r="GOM3" s="5"/>
      <c r="GON3" s="5"/>
      <c r="GOO3" s="5"/>
      <c r="GOP3" s="5"/>
      <c r="GOQ3" s="5"/>
      <c r="GOR3" s="5"/>
      <c r="GOS3" s="5"/>
      <c r="GOT3" s="5"/>
      <c r="GOU3" s="5"/>
      <c r="GOV3" s="5"/>
      <c r="GOW3" s="5"/>
      <c r="GOX3" s="5"/>
      <c r="GOY3" s="5"/>
      <c r="GOZ3" s="5"/>
      <c r="GPA3" s="5"/>
      <c r="GPB3" s="5"/>
      <c r="GPC3" s="5"/>
      <c r="GPD3" s="5"/>
      <c r="GPE3" s="5"/>
      <c r="GPF3" s="5"/>
      <c r="GPG3" s="5"/>
      <c r="GPH3" s="5"/>
      <c r="GPI3" s="5"/>
      <c r="GPJ3" s="5"/>
      <c r="GPK3" s="5"/>
      <c r="GPL3" s="5"/>
      <c r="GPM3" s="5"/>
      <c r="GPN3" s="5"/>
      <c r="GPO3" s="5"/>
      <c r="GPP3" s="5"/>
      <c r="GPQ3" s="5"/>
      <c r="GPR3" s="5"/>
      <c r="GPS3" s="5"/>
      <c r="GPT3" s="5"/>
      <c r="GPU3" s="5"/>
      <c r="GPV3" s="5"/>
      <c r="GPW3" s="5"/>
      <c r="GPX3" s="5"/>
      <c r="GPY3" s="5"/>
      <c r="GPZ3" s="5"/>
      <c r="GQA3" s="5"/>
      <c r="GQB3" s="5"/>
      <c r="GQC3" s="5"/>
      <c r="GQD3" s="5"/>
      <c r="GQE3" s="5"/>
      <c r="GQF3" s="5"/>
      <c r="GQG3" s="5"/>
      <c r="GQH3" s="5"/>
      <c r="GQI3" s="5"/>
      <c r="GQJ3" s="5"/>
      <c r="GQK3" s="5"/>
      <c r="GQL3" s="5"/>
      <c r="GQM3" s="5"/>
      <c r="GQN3" s="5"/>
      <c r="GQO3" s="5"/>
      <c r="GQP3" s="5"/>
      <c r="GQQ3" s="5"/>
      <c r="GQR3" s="5"/>
      <c r="GQS3" s="5"/>
      <c r="GQT3" s="5"/>
      <c r="GQU3" s="5"/>
      <c r="GQV3" s="5"/>
      <c r="GQW3" s="5"/>
      <c r="GQX3" s="5"/>
      <c r="GQY3" s="5"/>
      <c r="GQZ3" s="5"/>
      <c r="GRA3" s="5"/>
      <c r="GRB3" s="5"/>
      <c r="GRC3" s="5"/>
      <c r="GRD3" s="5"/>
      <c r="GRE3" s="5"/>
      <c r="GRF3" s="5"/>
      <c r="GRG3" s="5"/>
      <c r="GRH3" s="5"/>
      <c r="GRI3" s="5"/>
      <c r="GRJ3" s="5"/>
      <c r="GRK3" s="5"/>
      <c r="GRL3" s="5"/>
      <c r="GRM3" s="5"/>
      <c r="GRN3" s="5"/>
      <c r="GRO3" s="5"/>
      <c r="GRP3" s="5"/>
      <c r="GRQ3" s="5"/>
      <c r="GRR3" s="5"/>
      <c r="GRS3" s="5"/>
      <c r="GRT3" s="5"/>
      <c r="GRU3" s="5"/>
      <c r="GRV3" s="5"/>
      <c r="GRW3" s="5"/>
      <c r="GRX3" s="5"/>
      <c r="GRY3" s="5"/>
      <c r="GRZ3" s="5"/>
      <c r="GSA3" s="5"/>
      <c r="GSB3" s="5"/>
      <c r="GSC3" s="5"/>
      <c r="GSD3" s="5"/>
      <c r="GSE3" s="5"/>
      <c r="GSF3" s="5"/>
      <c r="GSG3" s="5"/>
      <c r="GSH3" s="5"/>
      <c r="GSI3" s="5"/>
      <c r="GSJ3" s="5"/>
      <c r="GSK3" s="5"/>
      <c r="GSL3" s="5"/>
      <c r="GSM3" s="5"/>
      <c r="GSN3" s="5"/>
      <c r="GSO3" s="5"/>
      <c r="GSP3" s="5"/>
      <c r="GSQ3" s="5"/>
      <c r="GSR3" s="5"/>
      <c r="GSS3" s="5"/>
      <c r="GST3" s="5"/>
      <c r="GSU3" s="5"/>
      <c r="GSV3" s="5"/>
      <c r="GSW3" s="5"/>
      <c r="GSX3" s="5"/>
      <c r="GSY3" s="5"/>
      <c r="GSZ3" s="5"/>
      <c r="GTA3" s="5"/>
      <c r="GTB3" s="5"/>
      <c r="GTC3" s="5"/>
      <c r="GTD3" s="5"/>
      <c r="GTE3" s="5"/>
      <c r="GTF3" s="5"/>
      <c r="GTG3" s="5"/>
      <c r="GTH3" s="5"/>
      <c r="GTI3" s="5"/>
      <c r="GTJ3" s="5"/>
      <c r="GTK3" s="5"/>
      <c r="GTL3" s="5"/>
      <c r="GTM3" s="5"/>
      <c r="GTN3" s="5"/>
      <c r="GTO3" s="5"/>
      <c r="GTP3" s="5"/>
      <c r="GTQ3" s="5"/>
      <c r="GTR3" s="5"/>
      <c r="GTS3" s="5"/>
      <c r="GTT3" s="5"/>
      <c r="GTU3" s="5"/>
      <c r="GTV3" s="5"/>
      <c r="GTW3" s="5"/>
      <c r="GTX3" s="5"/>
      <c r="GTY3" s="5"/>
      <c r="GTZ3" s="5"/>
      <c r="GUA3" s="5"/>
      <c r="GUB3" s="5"/>
      <c r="GUC3" s="5"/>
      <c r="GUD3" s="5"/>
      <c r="GUE3" s="5"/>
      <c r="GUF3" s="5"/>
      <c r="GUG3" s="5"/>
      <c r="GUH3" s="5"/>
      <c r="GUI3" s="5"/>
      <c r="GUJ3" s="5"/>
      <c r="GUK3" s="5"/>
      <c r="GUL3" s="5"/>
      <c r="GUM3" s="5"/>
      <c r="GUN3" s="5"/>
      <c r="GUO3" s="5"/>
      <c r="GUP3" s="5"/>
      <c r="GUQ3" s="5"/>
      <c r="GUR3" s="5"/>
      <c r="GUS3" s="5"/>
      <c r="GUT3" s="5"/>
      <c r="GUU3" s="5"/>
      <c r="GUV3" s="5"/>
      <c r="GUW3" s="5"/>
      <c r="GUX3" s="5"/>
      <c r="GUY3" s="5"/>
      <c r="GUZ3" s="5"/>
      <c r="GVA3" s="5"/>
      <c r="GVB3" s="5"/>
      <c r="GVC3" s="5"/>
      <c r="GVD3" s="5"/>
      <c r="GVE3" s="5"/>
      <c r="GVF3" s="5"/>
      <c r="GVG3" s="5"/>
      <c r="GVH3" s="5"/>
      <c r="GVI3" s="5"/>
      <c r="GVJ3" s="5"/>
      <c r="GVK3" s="5"/>
      <c r="GVL3" s="5"/>
      <c r="GVM3" s="5"/>
      <c r="GVN3" s="5"/>
      <c r="GVO3" s="5"/>
      <c r="GVP3" s="5"/>
      <c r="GVQ3" s="5"/>
      <c r="GVR3" s="5"/>
      <c r="GVS3" s="5"/>
      <c r="GVT3" s="5"/>
      <c r="GVU3" s="5"/>
      <c r="GVV3" s="5"/>
      <c r="GVW3" s="5"/>
      <c r="GVX3" s="5"/>
      <c r="GVY3" s="5"/>
      <c r="GVZ3" s="5"/>
      <c r="GWA3" s="5"/>
      <c r="GWB3" s="5"/>
      <c r="GWC3" s="5"/>
      <c r="GWD3" s="5"/>
      <c r="GWE3" s="5"/>
      <c r="GWF3" s="5"/>
      <c r="GWG3" s="5"/>
      <c r="GWH3" s="5"/>
      <c r="GWI3" s="5"/>
      <c r="GWJ3" s="5"/>
      <c r="GWK3" s="5"/>
      <c r="GWL3" s="5"/>
      <c r="GWM3" s="5"/>
      <c r="GWN3" s="5"/>
      <c r="GWO3" s="5"/>
      <c r="GWP3" s="5"/>
      <c r="GWQ3" s="5"/>
      <c r="GWR3" s="5"/>
      <c r="GWS3" s="5"/>
      <c r="GWT3" s="5"/>
      <c r="GWU3" s="5"/>
      <c r="GWV3" s="5"/>
      <c r="GWW3" s="5"/>
      <c r="GWX3" s="5"/>
      <c r="GWY3" s="5"/>
      <c r="GWZ3" s="5"/>
      <c r="GXA3" s="5"/>
      <c r="GXB3" s="5"/>
      <c r="GXC3" s="5"/>
      <c r="GXD3" s="5"/>
      <c r="GXE3" s="5"/>
      <c r="GXF3" s="5"/>
      <c r="GXG3" s="5"/>
      <c r="GXH3" s="5"/>
      <c r="GXI3" s="5"/>
      <c r="GXJ3" s="5"/>
      <c r="GXK3" s="5"/>
      <c r="GXL3" s="5"/>
      <c r="GXM3" s="5"/>
      <c r="GXN3" s="5"/>
      <c r="GXO3" s="5"/>
      <c r="GXP3" s="5"/>
      <c r="GXQ3" s="5"/>
      <c r="GXR3" s="5"/>
      <c r="GXS3" s="5"/>
      <c r="GXT3" s="5"/>
      <c r="GXU3" s="5"/>
      <c r="GXV3" s="5"/>
      <c r="GXW3" s="5"/>
      <c r="GXX3" s="5"/>
      <c r="GXY3" s="5"/>
      <c r="GXZ3" s="5"/>
      <c r="GYA3" s="5"/>
      <c r="GYB3" s="5"/>
      <c r="GYC3" s="5"/>
      <c r="GYD3" s="5"/>
      <c r="GYE3" s="5"/>
      <c r="GYF3" s="5"/>
      <c r="GYG3" s="5"/>
      <c r="GYH3" s="5"/>
      <c r="GYI3" s="5"/>
      <c r="GYJ3" s="5"/>
      <c r="GYK3" s="5"/>
      <c r="GYL3" s="5"/>
      <c r="GYM3" s="5"/>
      <c r="GYN3" s="5"/>
      <c r="GYO3" s="5"/>
      <c r="GYP3" s="5"/>
      <c r="GYQ3" s="5"/>
      <c r="GYR3" s="5"/>
      <c r="GYS3" s="5"/>
      <c r="GYT3" s="5"/>
      <c r="GYU3" s="5"/>
      <c r="GYV3" s="5"/>
      <c r="GYW3" s="5"/>
      <c r="GYX3" s="5"/>
      <c r="GYY3" s="5"/>
      <c r="GYZ3" s="5"/>
      <c r="GZA3" s="5"/>
      <c r="GZB3" s="5"/>
      <c r="GZC3" s="5"/>
      <c r="GZD3" s="5"/>
      <c r="GZE3" s="5"/>
      <c r="GZF3" s="5"/>
      <c r="GZG3" s="5"/>
      <c r="GZH3" s="5"/>
      <c r="GZI3" s="5"/>
      <c r="GZJ3" s="5"/>
      <c r="GZK3" s="5"/>
      <c r="GZL3" s="5"/>
      <c r="GZM3" s="5"/>
      <c r="GZN3" s="5"/>
      <c r="GZO3" s="5"/>
      <c r="GZP3" s="5"/>
      <c r="GZQ3" s="5"/>
      <c r="GZR3" s="5"/>
      <c r="GZS3" s="5"/>
      <c r="GZT3" s="5"/>
      <c r="GZU3" s="5"/>
      <c r="GZV3" s="5"/>
      <c r="GZW3" s="5"/>
      <c r="GZX3" s="5"/>
      <c r="GZY3" s="5"/>
      <c r="GZZ3" s="5"/>
      <c r="HAA3" s="5"/>
      <c r="HAB3" s="5"/>
      <c r="HAC3" s="5"/>
      <c r="HAD3" s="5"/>
      <c r="HAE3" s="5"/>
      <c r="HAF3" s="5"/>
      <c r="HAG3" s="5"/>
      <c r="HAH3" s="5"/>
      <c r="HAI3" s="5"/>
      <c r="HAJ3" s="5"/>
      <c r="HAK3" s="5"/>
      <c r="HAL3" s="5"/>
      <c r="HAM3" s="5"/>
      <c r="HAN3" s="5"/>
      <c r="HAO3" s="5"/>
      <c r="HAP3" s="5"/>
      <c r="HAQ3" s="5"/>
      <c r="HAR3" s="5"/>
      <c r="HAS3" s="5"/>
      <c r="HAT3" s="5"/>
      <c r="HAU3" s="5"/>
      <c r="HAV3" s="5"/>
      <c r="HAW3" s="5"/>
      <c r="HAX3" s="5"/>
      <c r="HAY3" s="5"/>
      <c r="HAZ3" s="5"/>
      <c r="HBA3" s="5"/>
      <c r="HBB3" s="5"/>
      <c r="HBC3" s="5"/>
      <c r="HBD3" s="5"/>
      <c r="HBE3" s="5"/>
      <c r="HBF3" s="5"/>
      <c r="HBG3" s="5"/>
      <c r="HBH3" s="5"/>
      <c r="HBI3" s="5"/>
      <c r="HBJ3" s="5"/>
      <c r="HBK3" s="5"/>
      <c r="HBL3" s="5"/>
      <c r="HBM3" s="5"/>
      <c r="HBN3" s="5"/>
      <c r="HBO3" s="5"/>
      <c r="HBP3" s="5"/>
      <c r="HBQ3" s="5"/>
      <c r="HBR3" s="5"/>
      <c r="HBS3" s="5"/>
      <c r="HBT3" s="5"/>
      <c r="HBU3" s="5"/>
      <c r="HBV3" s="5"/>
      <c r="HBW3" s="5"/>
      <c r="HBX3" s="5"/>
      <c r="HBY3" s="5"/>
      <c r="HBZ3" s="5"/>
      <c r="HCA3" s="5"/>
      <c r="HCB3" s="5"/>
      <c r="HCC3" s="5"/>
      <c r="HCD3" s="5"/>
      <c r="HCE3" s="5"/>
      <c r="HCF3" s="5"/>
      <c r="HCG3" s="5"/>
      <c r="HCH3" s="5"/>
      <c r="HCI3" s="5"/>
      <c r="HCJ3" s="5"/>
      <c r="HCK3" s="5"/>
      <c r="HCL3" s="5"/>
      <c r="HCM3" s="5"/>
      <c r="HCN3" s="5"/>
      <c r="HCO3" s="5"/>
      <c r="HCP3" s="5"/>
      <c r="HCQ3" s="5"/>
      <c r="HCR3" s="5"/>
      <c r="HCS3" s="5"/>
      <c r="HCT3" s="5"/>
      <c r="HCU3" s="5"/>
      <c r="HCV3" s="5"/>
      <c r="HCW3" s="5"/>
      <c r="HCX3" s="5"/>
      <c r="HCY3" s="5"/>
      <c r="HCZ3" s="5"/>
      <c r="HDA3" s="5"/>
      <c r="HDB3" s="5"/>
      <c r="HDC3" s="5"/>
      <c r="HDD3" s="5"/>
      <c r="HDE3" s="5"/>
      <c r="HDF3" s="5"/>
      <c r="HDG3" s="5"/>
      <c r="HDH3" s="5"/>
      <c r="HDI3" s="5"/>
      <c r="HDJ3" s="5"/>
      <c r="HDK3" s="5"/>
      <c r="HDL3" s="5"/>
      <c r="HDM3" s="5"/>
      <c r="HDN3" s="5"/>
      <c r="HDO3" s="5"/>
      <c r="HDP3" s="5"/>
      <c r="HDQ3" s="5"/>
      <c r="HDR3" s="5"/>
      <c r="HDS3" s="5"/>
      <c r="HDT3" s="5"/>
      <c r="HDU3" s="5"/>
      <c r="HDV3" s="5"/>
      <c r="HDW3" s="5"/>
      <c r="HDX3" s="5"/>
      <c r="HDY3" s="5"/>
      <c r="HDZ3" s="5"/>
      <c r="HEA3" s="5"/>
      <c r="HEB3" s="5"/>
      <c r="HEC3" s="5"/>
      <c r="HED3" s="5"/>
      <c r="HEE3" s="5"/>
      <c r="HEF3" s="5"/>
      <c r="HEG3" s="5"/>
      <c r="HEH3" s="5"/>
      <c r="HEI3" s="5"/>
      <c r="HEJ3" s="5"/>
      <c r="HEK3" s="5"/>
      <c r="HEL3" s="5"/>
      <c r="HEM3" s="5"/>
      <c r="HEN3" s="5"/>
      <c r="HEO3" s="5"/>
      <c r="HEP3" s="5"/>
      <c r="HEQ3" s="5"/>
      <c r="HER3" s="5"/>
      <c r="HES3" s="5"/>
      <c r="HET3" s="5"/>
      <c r="HEU3" s="5"/>
      <c r="HEV3" s="5"/>
      <c r="HEW3" s="5"/>
      <c r="HEX3" s="5"/>
      <c r="HEY3" s="5"/>
      <c r="HEZ3" s="5"/>
      <c r="HFA3" s="5"/>
      <c r="HFB3" s="5"/>
      <c r="HFC3" s="5"/>
      <c r="HFD3" s="5"/>
      <c r="HFE3" s="5"/>
      <c r="HFF3" s="5"/>
      <c r="HFG3" s="5"/>
      <c r="HFH3" s="5"/>
      <c r="HFI3" s="5"/>
      <c r="HFJ3" s="5"/>
      <c r="HFK3" s="5"/>
      <c r="HFL3" s="5"/>
      <c r="HFM3" s="5"/>
      <c r="HFN3" s="5"/>
      <c r="HFO3" s="5"/>
      <c r="HFP3" s="5"/>
      <c r="HFQ3" s="5"/>
      <c r="HFR3" s="5"/>
      <c r="HFS3" s="5"/>
      <c r="HFT3" s="5"/>
      <c r="HFU3" s="5"/>
      <c r="HFV3" s="5"/>
      <c r="HFW3" s="5"/>
      <c r="HFX3" s="5"/>
      <c r="HFY3" s="5"/>
      <c r="HFZ3" s="5"/>
      <c r="HGA3" s="5"/>
      <c r="HGB3" s="5"/>
      <c r="HGC3" s="5"/>
      <c r="HGD3" s="5"/>
      <c r="HGE3" s="5"/>
      <c r="HGF3" s="5"/>
      <c r="HGG3" s="5"/>
      <c r="HGH3" s="5"/>
      <c r="HGI3" s="5"/>
      <c r="HGJ3" s="5"/>
      <c r="HGK3" s="5"/>
      <c r="HGL3" s="5"/>
      <c r="HGM3" s="5"/>
      <c r="HGN3" s="5"/>
      <c r="HGO3" s="5"/>
      <c r="HGP3" s="5"/>
      <c r="HGQ3" s="5"/>
      <c r="HGR3" s="5"/>
      <c r="HGS3" s="5"/>
      <c r="HGT3" s="5"/>
      <c r="HGU3" s="5"/>
      <c r="HGV3" s="5"/>
      <c r="HGW3" s="5"/>
      <c r="HGX3" s="5"/>
      <c r="HGY3" s="5"/>
      <c r="HGZ3" s="5"/>
      <c r="HHA3" s="5"/>
      <c r="HHB3" s="5"/>
      <c r="HHC3" s="5"/>
      <c r="HHD3" s="5"/>
      <c r="HHE3" s="5"/>
      <c r="HHF3" s="5"/>
      <c r="HHG3" s="5"/>
      <c r="HHH3" s="5"/>
      <c r="HHI3" s="5"/>
      <c r="HHJ3" s="5"/>
      <c r="HHK3" s="5"/>
      <c r="HHL3" s="5"/>
      <c r="HHM3" s="5"/>
      <c r="HHN3" s="5"/>
      <c r="HHO3" s="5"/>
      <c r="HHP3" s="5"/>
      <c r="HHQ3" s="5"/>
      <c r="HHR3" s="5"/>
      <c r="HHS3" s="5"/>
      <c r="HHT3" s="5"/>
      <c r="HHU3" s="5"/>
      <c r="HHV3" s="5"/>
      <c r="HHW3" s="5"/>
      <c r="HHX3" s="5"/>
      <c r="HHY3" s="5"/>
      <c r="HHZ3" s="5"/>
      <c r="HIA3" s="5"/>
      <c r="HIB3" s="5"/>
      <c r="HIC3" s="5"/>
      <c r="HID3" s="5"/>
      <c r="HIE3" s="5"/>
      <c r="HIF3" s="5"/>
      <c r="HIG3" s="5"/>
      <c r="HIH3" s="5"/>
      <c r="HII3" s="5"/>
      <c r="HIJ3" s="5"/>
      <c r="HIK3" s="5"/>
      <c r="HIL3" s="5"/>
      <c r="HIM3" s="5"/>
      <c r="HIN3" s="5"/>
      <c r="HIO3" s="5"/>
      <c r="HIP3" s="5"/>
      <c r="HIQ3" s="5"/>
      <c r="HIR3" s="5"/>
      <c r="HIS3" s="5"/>
      <c r="HIT3" s="5"/>
      <c r="HIU3" s="5"/>
      <c r="HIV3" s="5"/>
      <c r="HIW3" s="5"/>
      <c r="HIX3" s="5"/>
      <c r="HIY3" s="5"/>
      <c r="HIZ3" s="5"/>
      <c r="HJA3" s="5"/>
      <c r="HJB3" s="5"/>
      <c r="HJC3" s="5"/>
      <c r="HJD3" s="5"/>
      <c r="HJE3" s="5"/>
      <c r="HJF3" s="5"/>
      <c r="HJG3" s="5"/>
      <c r="HJH3" s="5"/>
      <c r="HJI3" s="5"/>
      <c r="HJJ3" s="5"/>
      <c r="HJK3" s="5"/>
      <c r="HJL3" s="5"/>
      <c r="HJM3" s="5"/>
      <c r="HJN3" s="5"/>
      <c r="HJO3" s="5"/>
      <c r="HJP3" s="5"/>
      <c r="HJQ3" s="5"/>
      <c r="HJR3" s="5"/>
      <c r="HJS3" s="5"/>
      <c r="HJT3" s="5"/>
      <c r="HJU3" s="5"/>
      <c r="HJV3" s="5"/>
      <c r="HJW3" s="5"/>
      <c r="HJX3" s="5"/>
      <c r="HJY3" s="5"/>
      <c r="HJZ3" s="5"/>
      <c r="HKA3" s="5"/>
      <c r="HKB3" s="5"/>
      <c r="HKC3" s="5"/>
      <c r="HKD3" s="5"/>
      <c r="HKE3" s="5"/>
      <c r="HKF3" s="5"/>
      <c r="HKG3" s="5"/>
      <c r="HKH3" s="5"/>
      <c r="HKI3" s="5"/>
      <c r="HKJ3" s="5"/>
      <c r="HKK3" s="5"/>
      <c r="HKL3" s="5"/>
      <c r="HKM3" s="5"/>
      <c r="HKN3" s="5"/>
      <c r="HKO3" s="5"/>
      <c r="HKP3" s="5"/>
      <c r="HKQ3" s="5"/>
      <c r="HKR3" s="5"/>
      <c r="HKS3" s="5"/>
      <c r="HKT3" s="5"/>
      <c r="HKU3" s="5"/>
      <c r="HKV3" s="5"/>
      <c r="HKW3" s="5"/>
      <c r="HKX3" s="5"/>
      <c r="HKY3" s="5"/>
      <c r="HKZ3" s="5"/>
      <c r="HLA3" s="5"/>
      <c r="HLB3" s="5"/>
      <c r="HLC3" s="5"/>
      <c r="HLD3" s="5"/>
      <c r="HLE3" s="5"/>
      <c r="HLF3" s="5"/>
      <c r="HLG3" s="5"/>
      <c r="HLH3" s="5"/>
      <c r="HLI3" s="5"/>
      <c r="HLJ3" s="5"/>
      <c r="HLK3" s="5"/>
      <c r="HLL3" s="5"/>
      <c r="HLM3" s="5"/>
      <c r="HLN3" s="5"/>
      <c r="HLO3" s="5"/>
      <c r="HLP3" s="5"/>
      <c r="HLQ3" s="5"/>
      <c r="HLR3" s="5"/>
      <c r="HLS3" s="5"/>
      <c r="HLT3" s="5"/>
      <c r="HLU3" s="5"/>
      <c r="HLV3" s="5"/>
      <c r="HLW3" s="5"/>
      <c r="HLX3" s="5"/>
      <c r="HLY3" s="5"/>
      <c r="HLZ3" s="5"/>
      <c r="HMA3" s="5"/>
      <c r="HMB3" s="5"/>
      <c r="HMC3" s="5"/>
      <c r="HMD3" s="5"/>
      <c r="HME3" s="5"/>
      <c r="HMF3" s="5"/>
      <c r="HMG3" s="5"/>
      <c r="HMH3" s="5"/>
      <c r="HMI3" s="5"/>
      <c r="HMJ3" s="5"/>
      <c r="HMK3" s="5"/>
      <c r="HML3" s="5"/>
      <c r="HMM3" s="5"/>
      <c r="HMN3" s="5"/>
      <c r="HMO3" s="5"/>
      <c r="HMP3" s="5"/>
      <c r="HMQ3" s="5"/>
      <c r="HMR3" s="5"/>
      <c r="HMS3" s="5"/>
      <c r="HMT3" s="5"/>
      <c r="HMU3" s="5"/>
      <c r="HMV3" s="5"/>
      <c r="HMW3" s="5"/>
      <c r="HMX3" s="5"/>
      <c r="HMY3" s="5"/>
      <c r="HMZ3" s="5"/>
      <c r="HNA3" s="5"/>
      <c r="HNB3" s="5"/>
      <c r="HNC3" s="5"/>
      <c r="HND3" s="5"/>
      <c r="HNE3" s="5"/>
      <c r="HNF3" s="5"/>
      <c r="HNG3" s="5"/>
      <c r="HNH3" s="5"/>
      <c r="HNI3" s="5"/>
      <c r="HNJ3" s="5"/>
      <c r="HNK3" s="5"/>
      <c r="HNL3" s="5"/>
      <c r="HNM3" s="5"/>
      <c r="HNN3" s="5"/>
      <c r="HNO3" s="5"/>
      <c r="HNP3" s="5"/>
      <c r="HNQ3" s="5"/>
      <c r="HNR3" s="5"/>
      <c r="HNS3" s="5"/>
      <c r="HNT3" s="5"/>
      <c r="HNU3" s="5"/>
      <c r="HNV3" s="5"/>
      <c r="HNW3" s="5"/>
      <c r="HNX3" s="5"/>
      <c r="HNY3" s="5"/>
      <c r="HNZ3" s="5"/>
      <c r="HOA3" s="5"/>
      <c r="HOB3" s="5"/>
      <c r="HOC3" s="5"/>
      <c r="HOD3" s="5"/>
      <c r="HOE3" s="5"/>
      <c r="HOF3" s="5"/>
      <c r="HOG3" s="5"/>
      <c r="HOH3" s="5"/>
      <c r="HOI3" s="5"/>
      <c r="HOJ3" s="5"/>
      <c r="HOK3" s="5"/>
      <c r="HOL3" s="5"/>
      <c r="HOM3" s="5"/>
      <c r="HON3" s="5"/>
      <c r="HOO3" s="5"/>
      <c r="HOP3" s="5"/>
      <c r="HOQ3" s="5"/>
      <c r="HOR3" s="5"/>
      <c r="HOS3" s="5"/>
      <c r="HOT3" s="5"/>
      <c r="HOU3" s="5"/>
      <c r="HOV3" s="5"/>
      <c r="HOW3" s="5"/>
      <c r="HOX3" s="5"/>
      <c r="HOY3" s="5"/>
      <c r="HOZ3" s="5"/>
      <c r="HPA3" s="5"/>
      <c r="HPB3" s="5"/>
      <c r="HPC3" s="5"/>
      <c r="HPD3" s="5"/>
      <c r="HPE3" s="5"/>
      <c r="HPF3" s="5"/>
      <c r="HPG3" s="5"/>
      <c r="HPH3" s="5"/>
      <c r="HPI3" s="5"/>
      <c r="HPJ3" s="5"/>
      <c r="HPK3" s="5"/>
      <c r="HPL3" s="5"/>
      <c r="HPM3" s="5"/>
      <c r="HPN3" s="5"/>
      <c r="HPO3" s="5"/>
      <c r="HPP3" s="5"/>
      <c r="HPQ3" s="5"/>
      <c r="HPR3" s="5"/>
      <c r="HPS3" s="5"/>
      <c r="HPT3" s="5"/>
      <c r="HPU3" s="5"/>
      <c r="HPV3" s="5"/>
      <c r="HPW3" s="5"/>
      <c r="HPX3" s="5"/>
      <c r="HPY3" s="5"/>
      <c r="HPZ3" s="5"/>
      <c r="HQA3" s="5"/>
      <c r="HQB3" s="5"/>
      <c r="HQC3" s="5"/>
      <c r="HQD3" s="5"/>
      <c r="HQE3" s="5"/>
      <c r="HQF3" s="5"/>
      <c r="HQG3" s="5"/>
      <c r="HQH3" s="5"/>
      <c r="HQI3" s="5"/>
      <c r="HQJ3" s="5"/>
      <c r="HQK3" s="5"/>
      <c r="HQL3" s="5"/>
      <c r="HQM3" s="5"/>
      <c r="HQN3" s="5"/>
      <c r="HQO3" s="5"/>
      <c r="HQP3" s="5"/>
      <c r="HQQ3" s="5"/>
      <c r="HQR3" s="5"/>
      <c r="HQS3" s="5"/>
      <c r="HQT3" s="5"/>
      <c r="HQU3" s="5"/>
      <c r="HQV3" s="5"/>
      <c r="HQW3" s="5"/>
      <c r="HQX3" s="5"/>
      <c r="HQY3" s="5"/>
      <c r="HQZ3" s="5"/>
      <c r="HRA3" s="5"/>
      <c r="HRB3" s="5"/>
      <c r="HRC3" s="5"/>
      <c r="HRD3" s="5"/>
      <c r="HRE3" s="5"/>
      <c r="HRF3" s="5"/>
      <c r="HRG3" s="5"/>
      <c r="HRH3" s="5"/>
      <c r="HRI3" s="5"/>
      <c r="HRJ3" s="5"/>
      <c r="HRK3" s="5"/>
      <c r="HRL3" s="5"/>
      <c r="HRM3" s="5"/>
      <c r="HRN3" s="5"/>
      <c r="HRO3" s="5"/>
      <c r="HRP3" s="5"/>
      <c r="HRQ3" s="5"/>
      <c r="HRR3" s="5"/>
      <c r="HRS3" s="5"/>
      <c r="HRT3" s="5"/>
      <c r="HRU3" s="5"/>
      <c r="HRV3" s="5"/>
      <c r="HRW3" s="5"/>
      <c r="HRX3" s="5"/>
      <c r="HRY3" s="5"/>
      <c r="HRZ3" s="5"/>
      <c r="HSA3" s="5"/>
      <c r="HSB3" s="5"/>
      <c r="HSC3" s="5"/>
      <c r="HSD3" s="5"/>
      <c r="HSE3" s="5"/>
      <c r="HSF3" s="5"/>
      <c r="HSG3" s="5"/>
      <c r="HSH3" s="5"/>
      <c r="HSI3" s="5"/>
      <c r="HSJ3" s="5"/>
      <c r="HSK3" s="5"/>
      <c r="HSL3" s="5"/>
      <c r="HSM3" s="5"/>
      <c r="HSN3" s="5"/>
      <c r="HSO3" s="5"/>
      <c r="HSP3" s="5"/>
      <c r="HSQ3" s="5"/>
      <c r="HSR3" s="5"/>
      <c r="HSS3" s="5"/>
      <c r="HST3" s="5"/>
      <c r="HSU3" s="5"/>
      <c r="HSV3" s="5"/>
      <c r="HSW3" s="5"/>
      <c r="HSX3" s="5"/>
      <c r="HSY3" s="5"/>
      <c r="HSZ3" s="5"/>
      <c r="HTA3" s="5"/>
      <c r="HTB3" s="5"/>
      <c r="HTC3" s="5"/>
      <c r="HTD3" s="5"/>
      <c r="HTE3" s="5"/>
      <c r="HTF3" s="5"/>
      <c r="HTG3" s="5"/>
      <c r="HTH3" s="5"/>
      <c r="HTI3" s="5"/>
      <c r="HTJ3" s="5"/>
      <c r="HTK3" s="5"/>
      <c r="HTL3" s="5"/>
      <c r="HTM3" s="5"/>
      <c r="HTN3" s="5"/>
      <c r="HTO3" s="5"/>
      <c r="HTP3" s="5"/>
      <c r="HTQ3" s="5"/>
      <c r="HTR3" s="5"/>
      <c r="HTS3" s="5"/>
      <c r="HTT3" s="5"/>
      <c r="HTU3" s="5"/>
      <c r="HTV3" s="5"/>
      <c r="HTW3" s="5"/>
      <c r="HTX3" s="5"/>
      <c r="HTY3" s="5"/>
      <c r="HTZ3" s="5"/>
      <c r="HUA3" s="5"/>
      <c r="HUB3" s="5"/>
      <c r="HUC3" s="5"/>
      <c r="HUD3" s="5"/>
      <c r="HUE3" s="5"/>
      <c r="HUF3" s="5"/>
      <c r="HUG3" s="5"/>
      <c r="HUH3" s="5"/>
      <c r="HUI3" s="5"/>
      <c r="HUJ3" s="5"/>
      <c r="HUK3" s="5"/>
      <c r="HUL3" s="5"/>
      <c r="HUM3" s="5"/>
      <c r="HUN3" s="5"/>
      <c r="HUO3" s="5"/>
      <c r="HUP3" s="5"/>
      <c r="HUQ3" s="5"/>
      <c r="HUR3" s="5"/>
      <c r="HUS3" s="5"/>
      <c r="HUT3" s="5"/>
      <c r="HUU3" s="5"/>
      <c r="HUV3" s="5"/>
      <c r="HUW3" s="5"/>
      <c r="HUX3" s="5"/>
      <c r="HUY3" s="5"/>
      <c r="HUZ3" s="5"/>
      <c r="HVA3" s="5"/>
      <c r="HVB3" s="5"/>
      <c r="HVC3" s="5"/>
      <c r="HVD3" s="5"/>
      <c r="HVE3" s="5"/>
      <c r="HVF3" s="5"/>
      <c r="HVG3" s="5"/>
      <c r="HVH3" s="5"/>
      <c r="HVI3" s="5"/>
      <c r="HVJ3" s="5"/>
      <c r="HVK3" s="5"/>
      <c r="HVL3" s="5"/>
      <c r="HVM3" s="5"/>
      <c r="HVN3" s="5"/>
      <c r="HVO3" s="5"/>
      <c r="HVP3" s="5"/>
      <c r="HVQ3" s="5"/>
      <c r="HVR3" s="5"/>
      <c r="HVS3" s="5"/>
      <c r="HVT3" s="5"/>
      <c r="HVU3" s="5"/>
      <c r="HVV3" s="5"/>
      <c r="HVW3" s="5"/>
      <c r="HVX3" s="5"/>
      <c r="HVY3" s="5"/>
      <c r="HVZ3" s="5"/>
      <c r="HWA3" s="5"/>
      <c r="HWB3" s="5"/>
      <c r="HWC3" s="5"/>
      <c r="HWD3" s="5"/>
      <c r="HWE3" s="5"/>
      <c r="HWF3" s="5"/>
      <c r="HWG3" s="5"/>
      <c r="HWH3" s="5"/>
      <c r="HWI3" s="5"/>
      <c r="HWJ3" s="5"/>
      <c r="HWK3" s="5"/>
      <c r="HWL3" s="5"/>
      <c r="HWM3" s="5"/>
      <c r="HWN3" s="5"/>
      <c r="HWO3" s="5"/>
      <c r="HWP3" s="5"/>
      <c r="HWQ3" s="5"/>
      <c r="HWR3" s="5"/>
      <c r="HWS3" s="5"/>
      <c r="HWT3" s="5"/>
      <c r="HWU3" s="5"/>
      <c r="HWV3" s="5"/>
      <c r="HWW3" s="5"/>
      <c r="HWX3" s="5"/>
      <c r="HWY3" s="5"/>
      <c r="HWZ3" s="5"/>
      <c r="HXA3" s="5"/>
      <c r="HXB3" s="5"/>
      <c r="HXC3" s="5"/>
      <c r="HXD3" s="5"/>
      <c r="HXE3" s="5"/>
      <c r="HXF3" s="5"/>
      <c r="HXG3" s="5"/>
      <c r="HXH3" s="5"/>
      <c r="HXI3" s="5"/>
      <c r="HXJ3" s="5"/>
      <c r="HXK3" s="5"/>
      <c r="HXL3" s="5"/>
      <c r="HXM3" s="5"/>
      <c r="HXN3" s="5"/>
      <c r="HXO3" s="5"/>
      <c r="HXP3" s="5"/>
      <c r="HXQ3" s="5"/>
      <c r="HXR3" s="5"/>
      <c r="HXS3" s="5"/>
      <c r="HXT3" s="5"/>
      <c r="HXU3" s="5"/>
      <c r="HXV3" s="5"/>
      <c r="HXW3" s="5"/>
      <c r="HXX3" s="5"/>
      <c r="HXY3" s="5"/>
      <c r="HXZ3" s="5"/>
      <c r="HYA3" s="5"/>
      <c r="HYB3" s="5"/>
      <c r="HYC3" s="5"/>
      <c r="HYD3" s="5"/>
      <c r="HYE3" s="5"/>
      <c r="HYF3" s="5"/>
      <c r="HYG3" s="5"/>
      <c r="HYH3" s="5"/>
      <c r="HYI3" s="5"/>
      <c r="HYJ3" s="5"/>
      <c r="HYK3" s="5"/>
      <c r="HYL3" s="5"/>
      <c r="HYM3" s="5"/>
      <c r="HYN3" s="5"/>
      <c r="HYO3" s="5"/>
      <c r="HYP3" s="5"/>
      <c r="HYQ3" s="5"/>
      <c r="HYR3" s="5"/>
      <c r="HYS3" s="5"/>
      <c r="HYT3" s="5"/>
      <c r="HYU3" s="5"/>
      <c r="HYV3" s="5"/>
      <c r="HYW3" s="5"/>
      <c r="HYX3" s="5"/>
      <c r="HYY3" s="5"/>
      <c r="HYZ3" s="5"/>
      <c r="HZA3" s="5"/>
      <c r="HZB3" s="5"/>
      <c r="HZC3" s="5"/>
      <c r="HZD3" s="5"/>
      <c r="HZE3" s="5"/>
      <c r="HZF3" s="5"/>
      <c r="HZG3" s="5"/>
      <c r="HZH3" s="5"/>
      <c r="HZI3" s="5"/>
      <c r="HZJ3" s="5"/>
      <c r="HZK3" s="5"/>
      <c r="HZL3" s="5"/>
      <c r="HZM3" s="5"/>
      <c r="HZN3" s="5"/>
      <c r="HZO3" s="5"/>
      <c r="HZP3" s="5"/>
      <c r="HZQ3" s="5"/>
      <c r="HZR3" s="5"/>
      <c r="HZS3" s="5"/>
      <c r="HZT3" s="5"/>
      <c r="HZU3" s="5"/>
      <c r="HZV3" s="5"/>
      <c r="HZW3" s="5"/>
      <c r="HZX3" s="5"/>
      <c r="HZY3" s="5"/>
      <c r="HZZ3" s="5"/>
      <c r="IAA3" s="5"/>
      <c r="IAB3" s="5"/>
      <c r="IAC3" s="5"/>
      <c r="IAD3" s="5"/>
      <c r="IAE3" s="5"/>
      <c r="IAF3" s="5"/>
      <c r="IAG3" s="5"/>
      <c r="IAH3" s="5"/>
      <c r="IAI3" s="5"/>
      <c r="IAJ3" s="5"/>
      <c r="IAK3" s="5"/>
      <c r="IAL3" s="5"/>
      <c r="IAM3" s="5"/>
      <c r="IAN3" s="5"/>
      <c r="IAO3" s="5"/>
      <c r="IAP3" s="5"/>
      <c r="IAQ3" s="5"/>
      <c r="IAR3" s="5"/>
      <c r="IAS3" s="5"/>
      <c r="IAT3" s="5"/>
      <c r="IAU3" s="5"/>
      <c r="IAV3" s="5"/>
      <c r="IAW3" s="5"/>
      <c r="IAX3" s="5"/>
      <c r="IAY3" s="5"/>
      <c r="IAZ3" s="5"/>
      <c r="IBA3" s="5"/>
      <c r="IBB3" s="5"/>
      <c r="IBC3" s="5"/>
      <c r="IBD3" s="5"/>
      <c r="IBE3" s="5"/>
      <c r="IBF3" s="5"/>
      <c r="IBG3" s="5"/>
      <c r="IBH3" s="5"/>
      <c r="IBI3" s="5"/>
      <c r="IBJ3" s="5"/>
      <c r="IBK3" s="5"/>
      <c r="IBL3" s="5"/>
      <c r="IBM3" s="5"/>
      <c r="IBN3" s="5"/>
      <c r="IBO3" s="5"/>
      <c r="IBP3" s="5"/>
      <c r="IBQ3" s="5"/>
      <c r="IBR3" s="5"/>
      <c r="IBS3" s="5"/>
      <c r="IBT3" s="5"/>
      <c r="IBU3" s="5"/>
      <c r="IBV3" s="5"/>
      <c r="IBW3" s="5"/>
      <c r="IBX3" s="5"/>
      <c r="IBY3" s="5"/>
      <c r="IBZ3" s="5"/>
      <c r="ICA3" s="5"/>
      <c r="ICB3" s="5"/>
      <c r="ICC3" s="5"/>
      <c r="ICD3" s="5"/>
      <c r="ICE3" s="5"/>
      <c r="ICF3" s="5"/>
      <c r="ICG3" s="5"/>
      <c r="ICH3" s="5"/>
      <c r="ICI3" s="5"/>
      <c r="ICJ3" s="5"/>
      <c r="ICK3" s="5"/>
      <c r="ICL3" s="5"/>
      <c r="ICM3" s="5"/>
      <c r="ICN3" s="5"/>
      <c r="ICO3" s="5"/>
      <c r="ICP3" s="5"/>
      <c r="ICQ3" s="5"/>
      <c r="ICR3" s="5"/>
      <c r="ICS3" s="5"/>
      <c r="ICT3" s="5"/>
      <c r="ICU3" s="5"/>
      <c r="ICV3" s="5"/>
      <c r="ICW3" s="5"/>
      <c r="ICX3" s="5"/>
      <c r="ICY3" s="5"/>
      <c r="ICZ3" s="5"/>
      <c r="IDA3" s="5"/>
      <c r="IDB3" s="5"/>
      <c r="IDC3" s="5"/>
      <c r="IDD3" s="5"/>
      <c r="IDE3" s="5"/>
      <c r="IDF3" s="5"/>
      <c r="IDG3" s="5"/>
      <c r="IDH3" s="5"/>
      <c r="IDI3" s="5"/>
      <c r="IDJ3" s="5"/>
      <c r="IDK3" s="5"/>
      <c r="IDL3" s="5"/>
      <c r="IDM3" s="5"/>
      <c r="IDN3" s="5"/>
      <c r="IDO3" s="5"/>
      <c r="IDP3" s="5"/>
      <c r="IDQ3" s="5"/>
      <c r="IDR3" s="5"/>
      <c r="IDS3" s="5"/>
      <c r="IDT3" s="5"/>
      <c r="IDU3" s="5"/>
      <c r="IDV3" s="5"/>
      <c r="IDW3" s="5"/>
      <c r="IDX3" s="5"/>
      <c r="IDY3" s="5"/>
      <c r="IDZ3" s="5"/>
      <c r="IEA3" s="5"/>
      <c r="IEB3" s="5"/>
      <c r="IEC3" s="5"/>
      <c r="IED3" s="5"/>
      <c r="IEE3" s="5"/>
      <c r="IEF3" s="5"/>
      <c r="IEG3" s="5"/>
      <c r="IEH3" s="5"/>
      <c r="IEI3" s="5"/>
      <c r="IEJ3" s="5"/>
      <c r="IEK3" s="5"/>
      <c r="IEL3" s="5"/>
      <c r="IEM3" s="5"/>
      <c r="IEN3" s="5"/>
      <c r="IEO3" s="5"/>
      <c r="IEP3" s="5"/>
      <c r="IEQ3" s="5"/>
      <c r="IER3" s="5"/>
      <c r="IES3" s="5"/>
      <c r="IET3" s="5"/>
      <c r="IEU3" s="5"/>
      <c r="IEV3" s="5"/>
      <c r="IEW3" s="5"/>
      <c r="IEX3" s="5"/>
      <c r="IEY3" s="5"/>
      <c r="IEZ3" s="5"/>
      <c r="IFA3" s="5"/>
      <c r="IFB3" s="5"/>
      <c r="IFC3" s="5"/>
      <c r="IFD3" s="5"/>
      <c r="IFE3" s="5"/>
      <c r="IFF3" s="5"/>
      <c r="IFG3" s="5"/>
      <c r="IFH3" s="5"/>
      <c r="IFI3" s="5"/>
      <c r="IFJ3" s="5"/>
      <c r="IFK3" s="5"/>
      <c r="IFL3" s="5"/>
      <c r="IFM3" s="5"/>
      <c r="IFN3" s="5"/>
      <c r="IFO3" s="5"/>
      <c r="IFP3" s="5"/>
      <c r="IFQ3" s="5"/>
      <c r="IFR3" s="5"/>
      <c r="IFS3" s="5"/>
      <c r="IFT3" s="5"/>
      <c r="IFU3" s="5"/>
      <c r="IFV3" s="5"/>
      <c r="IFW3" s="5"/>
      <c r="IFX3" s="5"/>
      <c r="IFY3" s="5"/>
      <c r="IFZ3" s="5"/>
      <c r="IGA3" s="5"/>
      <c r="IGB3" s="5"/>
      <c r="IGC3" s="5"/>
      <c r="IGD3" s="5"/>
      <c r="IGE3" s="5"/>
      <c r="IGF3" s="5"/>
      <c r="IGG3" s="5"/>
      <c r="IGH3" s="5"/>
      <c r="IGI3" s="5"/>
      <c r="IGJ3" s="5"/>
      <c r="IGK3" s="5"/>
      <c r="IGL3" s="5"/>
      <c r="IGM3" s="5"/>
      <c r="IGN3" s="5"/>
      <c r="IGO3" s="5"/>
      <c r="IGP3" s="5"/>
      <c r="IGQ3" s="5"/>
      <c r="IGR3" s="5"/>
      <c r="IGS3" s="5"/>
      <c r="IGT3" s="5"/>
      <c r="IGU3" s="5"/>
      <c r="IGV3" s="5"/>
      <c r="IGW3" s="5"/>
      <c r="IGX3" s="5"/>
      <c r="IGY3" s="5"/>
      <c r="IGZ3" s="5"/>
      <c r="IHA3" s="5"/>
      <c r="IHB3" s="5"/>
      <c r="IHC3" s="5"/>
      <c r="IHD3" s="5"/>
      <c r="IHE3" s="5"/>
      <c r="IHF3" s="5"/>
      <c r="IHG3" s="5"/>
      <c r="IHH3" s="5"/>
      <c r="IHI3" s="5"/>
      <c r="IHJ3" s="5"/>
      <c r="IHK3" s="5"/>
      <c r="IHL3" s="5"/>
      <c r="IHM3" s="5"/>
      <c r="IHN3" s="5"/>
      <c r="IHO3" s="5"/>
      <c r="IHP3" s="5"/>
      <c r="IHQ3" s="5"/>
      <c r="IHR3" s="5"/>
      <c r="IHS3" s="5"/>
      <c r="IHT3" s="5"/>
      <c r="IHU3" s="5"/>
      <c r="IHV3" s="5"/>
      <c r="IHW3" s="5"/>
      <c r="IHX3" s="5"/>
      <c r="IHY3" s="5"/>
      <c r="IHZ3" s="5"/>
      <c r="IIA3" s="5"/>
      <c r="IIB3" s="5"/>
      <c r="IIC3" s="5"/>
      <c r="IID3" s="5"/>
      <c r="IIE3" s="5"/>
      <c r="IIF3" s="5"/>
      <c r="IIG3" s="5"/>
      <c r="IIH3" s="5"/>
      <c r="III3" s="5"/>
      <c r="IIJ3" s="5"/>
      <c r="IIK3" s="5"/>
      <c r="IIL3" s="5"/>
      <c r="IIM3" s="5"/>
      <c r="IIN3" s="5"/>
      <c r="IIO3" s="5"/>
      <c r="IIP3" s="5"/>
      <c r="IIQ3" s="5"/>
      <c r="IIR3" s="5"/>
      <c r="IIS3" s="5"/>
      <c r="IIT3" s="5"/>
      <c r="IIU3" s="5"/>
      <c r="IIV3" s="5"/>
      <c r="IIW3" s="5"/>
      <c r="IIX3" s="5"/>
      <c r="IIY3" s="5"/>
      <c r="IIZ3" s="5"/>
      <c r="IJA3" s="5"/>
      <c r="IJB3" s="5"/>
      <c r="IJC3" s="5"/>
      <c r="IJD3" s="5"/>
      <c r="IJE3" s="5"/>
      <c r="IJF3" s="5"/>
      <c r="IJG3" s="5"/>
      <c r="IJH3" s="5"/>
      <c r="IJI3" s="5"/>
      <c r="IJJ3" s="5"/>
      <c r="IJK3" s="5"/>
      <c r="IJL3" s="5"/>
      <c r="IJM3" s="5"/>
      <c r="IJN3" s="5"/>
      <c r="IJO3" s="5"/>
      <c r="IJP3" s="5"/>
      <c r="IJQ3" s="5"/>
      <c r="IJR3" s="5"/>
      <c r="IJS3" s="5"/>
      <c r="IJT3" s="5"/>
      <c r="IJU3" s="5"/>
      <c r="IJV3" s="5"/>
      <c r="IJW3" s="5"/>
      <c r="IJX3" s="5"/>
      <c r="IJY3" s="5"/>
      <c r="IJZ3" s="5"/>
      <c r="IKA3" s="5"/>
      <c r="IKB3" s="5"/>
      <c r="IKC3" s="5"/>
      <c r="IKD3" s="5"/>
      <c r="IKE3" s="5"/>
      <c r="IKF3" s="5"/>
      <c r="IKG3" s="5"/>
      <c r="IKH3" s="5"/>
      <c r="IKI3" s="5"/>
      <c r="IKJ3" s="5"/>
      <c r="IKK3" s="5"/>
      <c r="IKL3" s="5"/>
      <c r="IKM3" s="5"/>
      <c r="IKN3" s="5"/>
      <c r="IKO3" s="5"/>
      <c r="IKP3" s="5"/>
      <c r="IKQ3" s="5"/>
      <c r="IKR3" s="5"/>
      <c r="IKS3" s="5"/>
      <c r="IKT3" s="5"/>
      <c r="IKU3" s="5"/>
      <c r="IKV3" s="5"/>
      <c r="IKW3" s="5"/>
      <c r="IKX3" s="5"/>
      <c r="IKY3" s="5"/>
      <c r="IKZ3" s="5"/>
      <c r="ILA3" s="5"/>
      <c r="ILB3" s="5"/>
      <c r="ILC3" s="5"/>
      <c r="ILD3" s="5"/>
      <c r="ILE3" s="5"/>
      <c r="ILF3" s="5"/>
      <c r="ILG3" s="5"/>
      <c r="ILH3" s="5"/>
      <c r="ILI3" s="5"/>
      <c r="ILJ3" s="5"/>
      <c r="ILK3" s="5"/>
      <c r="ILL3" s="5"/>
      <c r="ILM3" s="5"/>
      <c r="ILN3" s="5"/>
      <c r="ILO3" s="5"/>
      <c r="ILP3" s="5"/>
      <c r="ILQ3" s="5"/>
      <c r="ILR3" s="5"/>
      <c r="ILS3" s="5"/>
      <c r="ILT3" s="5"/>
      <c r="ILU3" s="5"/>
      <c r="ILV3" s="5"/>
      <c r="ILW3" s="5"/>
      <c r="ILX3" s="5"/>
      <c r="ILY3" s="5"/>
      <c r="ILZ3" s="5"/>
      <c r="IMA3" s="5"/>
      <c r="IMB3" s="5"/>
      <c r="IMC3" s="5"/>
      <c r="IMD3" s="5"/>
      <c r="IME3" s="5"/>
      <c r="IMF3" s="5"/>
      <c r="IMG3" s="5"/>
      <c r="IMH3" s="5"/>
      <c r="IMI3" s="5"/>
      <c r="IMJ3" s="5"/>
      <c r="IMK3" s="5"/>
      <c r="IML3" s="5"/>
      <c r="IMM3" s="5"/>
      <c r="IMN3" s="5"/>
      <c r="IMO3" s="5"/>
      <c r="IMP3" s="5"/>
      <c r="IMQ3" s="5"/>
      <c r="IMR3" s="5"/>
      <c r="IMS3" s="5"/>
      <c r="IMT3" s="5"/>
      <c r="IMU3" s="5"/>
      <c r="IMV3" s="5"/>
      <c r="IMW3" s="5"/>
      <c r="IMX3" s="5"/>
      <c r="IMY3" s="5"/>
      <c r="IMZ3" s="5"/>
      <c r="INA3" s="5"/>
      <c r="INB3" s="5"/>
      <c r="INC3" s="5"/>
      <c r="IND3" s="5"/>
      <c r="INE3" s="5"/>
      <c r="INF3" s="5"/>
      <c r="ING3" s="5"/>
      <c r="INH3" s="5"/>
      <c r="INI3" s="5"/>
      <c r="INJ3" s="5"/>
      <c r="INK3" s="5"/>
      <c r="INL3" s="5"/>
      <c r="INM3" s="5"/>
      <c r="INN3" s="5"/>
      <c r="INO3" s="5"/>
      <c r="INP3" s="5"/>
      <c r="INQ3" s="5"/>
      <c r="INR3" s="5"/>
      <c r="INS3" s="5"/>
      <c r="INT3" s="5"/>
      <c r="INU3" s="5"/>
      <c r="INV3" s="5"/>
      <c r="INW3" s="5"/>
      <c r="INX3" s="5"/>
      <c r="INY3" s="5"/>
      <c r="INZ3" s="5"/>
      <c r="IOA3" s="5"/>
      <c r="IOB3" s="5"/>
      <c r="IOC3" s="5"/>
      <c r="IOD3" s="5"/>
      <c r="IOE3" s="5"/>
      <c r="IOF3" s="5"/>
      <c r="IOG3" s="5"/>
      <c r="IOH3" s="5"/>
      <c r="IOI3" s="5"/>
      <c r="IOJ3" s="5"/>
      <c r="IOK3" s="5"/>
      <c r="IOL3" s="5"/>
      <c r="IOM3" s="5"/>
      <c r="ION3" s="5"/>
      <c r="IOO3" s="5"/>
      <c r="IOP3" s="5"/>
      <c r="IOQ3" s="5"/>
      <c r="IOR3" s="5"/>
      <c r="IOS3" s="5"/>
      <c r="IOT3" s="5"/>
      <c r="IOU3" s="5"/>
      <c r="IOV3" s="5"/>
      <c r="IOW3" s="5"/>
      <c r="IOX3" s="5"/>
      <c r="IOY3" s="5"/>
      <c r="IOZ3" s="5"/>
      <c r="IPA3" s="5"/>
      <c r="IPB3" s="5"/>
      <c r="IPC3" s="5"/>
      <c r="IPD3" s="5"/>
      <c r="IPE3" s="5"/>
      <c r="IPF3" s="5"/>
      <c r="IPG3" s="5"/>
      <c r="IPH3" s="5"/>
      <c r="IPI3" s="5"/>
      <c r="IPJ3" s="5"/>
      <c r="IPK3" s="5"/>
      <c r="IPL3" s="5"/>
      <c r="IPM3" s="5"/>
      <c r="IPN3" s="5"/>
      <c r="IPO3" s="5"/>
      <c r="IPP3" s="5"/>
      <c r="IPQ3" s="5"/>
      <c r="IPR3" s="5"/>
      <c r="IPS3" s="5"/>
      <c r="IPT3" s="5"/>
      <c r="IPU3" s="5"/>
      <c r="IPV3" s="5"/>
      <c r="IPW3" s="5"/>
      <c r="IPX3" s="5"/>
      <c r="IPY3" s="5"/>
      <c r="IPZ3" s="5"/>
      <c r="IQA3" s="5"/>
      <c r="IQB3" s="5"/>
      <c r="IQC3" s="5"/>
      <c r="IQD3" s="5"/>
      <c r="IQE3" s="5"/>
      <c r="IQF3" s="5"/>
      <c r="IQG3" s="5"/>
      <c r="IQH3" s="5"/>
      <c r="IQI3" s="5"/>
      <c r="IQJ3" s="5"/>
      <c r="IQK3" s="5"/>
      <c r="IQL3" s="5"/>
      <c r="IQM3" s="5"/>
      <c r="IQN3" s="5"/>
      <c r="IQO3" s="5"/>
      <c r="IQP3" s="5"/>
      <c r="IQQ3" s="5"/>
      <c r="IQR3" s="5"/>
      <c r="IQS3" s="5"/>
      <c r="IQT3" s="5"/>
      <c r="IQU3" s="5"/>
      <c r="IQV3" s="5"/>
      <c r="IQW3" s="5"/>
      <c r="IQX3" s="5"/>
      <c r="IQY3" s="5"/>
      <c r="IQZ3" s="5"/>
      <c r="IRA3" s="5"/>
      <c r="IRB3" s="5"/>
      <c r="IRC3" s="5"/>
      <c r="IRD3" s="5"/>
      <c r="IRE3" s="5"/>
      <c r="IRF3" s="5"/>
      <c r="IRG3" s="5"/>
      <c r="IRH3" s="5"/>
      <c r="IRI3" s="5"/>
      <c r="IRJ3" s="5"/>
      <c r="IRK3" s="5"/>
      <c r="IRL3" s="5"/>
      <c r="IRM3" s="5"/>
      <c r="IRN3" s="5"/>
      <c r="IRO3" s="5"/>
      <c r="IRP3" s="5"/>
      <c r="IRQ3" s="5"/>
      <c r="IRR3" s="5"/>
      <c r="IRS3" s="5"/>
      <c r="IRT3" s="5"/>
      <c r="IRU3" s="5"/>
      <c r="IRV3" s="5"/>
      <c r="IRW3" s="5"/>
      <c r="IRX3" s="5"/>
      <c r="IRY3" s="5"/>
      <c r="IRZ3" s="5"/>
      <c r="ISA3" s="5"/>
      <c r="ISB3" s="5"/>
      <c r="ISC3" s="5"/>
      <c r="ISD3" s="5"/>
      <c r="ISE3" s="5"/>
      <c r="ISF3" s="5"/>
      <c r="ISG3" s="5"/>
      <c r="ISH3" s="5"/>
      <c r="ISI3" s="5"/>
      <c r="ISJ3" s="5"/>
      <c r="ISK3" s="5"/>
      <c r="ISL3" s="5"/>
      <c r="ISM3" s="5"/>
      <c r="ISN3" s="5"/>
      <c r="ISO3" s="5"/>
      <c r="ISP3" s="5"/>
      <c r="ISQ3" s="5"/>
      <c r="ISR3" s="5"/>
      <c r="ISS3" s="5"/>
      <c r="IST3" s="5"/>
      <c r="ISU3" s="5"/>
      <c r="ISV3" s="5"/>
      <c r="ISW3" s="5"/>
      <c r="ISX3" s="5"/>
      <c r="ISY3" s="5"/>
      <c r="ISZ3" s="5"/>
      <c r="ITA3" s="5"/>
      <c r="ITB3" s="5"/>
      <c r="ITC3" s="5"/>
      <c r="ITD3" s="5"/>
      <c r="ITE3" s="5"/>
      <c r="ITF3" s="5"/>
      <c r="ITG3" s="5"/>
      <c r="ITH3" s="5"/>
      <c r="ITI3" s="5"/>
      <c r="ITJ3" s="5"/>
      <c r="ITK3" s="5"/>
      <c r="ITL3" s="5"/>
      <c r="ITM3" s="5"/>
      <c r="ITN3" s="5"/>
      <c r="ITO3" s="5"/>
      <c r="ITP3" s="5"/>
      <c r="ITQ3" s="5"/>
      <c r="ITR3" s="5"/>
      <c r="ITS3" s="5"/>
      <c r="ITT3" s="5"/>
      <c r="ITU3" s="5"/>
      <c r="ITV3" s="5"/>
      <c r="ITW3" s="5"/>
      <c r="ITX3" s="5"/>
      <c r="ITY3" s="5"/>
      <c r="ITZ3" s="5"/>
      <c r="IUA3" s="5"/>
      <c r="IUB3" s="5"/>
      <c r="IUC3" s="5"/>
      <c r="IUD3" s="5"/>
      <c r="IUE3" s="5"/>
      <c r="IUF3" s="5"/>
      <c r="IUG3" s="5"/>
      <c r="IUH3" s="5"/>
      <c r="IUI3" s="5"/>
      <c r="IUJ3" s="5"/>
      <c r="IUK3" s="5"/>
      <c r="IUL3" s="5"/>
      <c r="IUM3" s="5"/>
      <c r="IUN3" s="5"/>
      <c r="IUO3" s="5"/>
      <c r="IUP3" s="5"/>
      <c r="IUQ3" s="5"/>
      <c r="IUR3" s="5"/>
      <c r="IUS3" s="5"/>
      <c r="IUT3" s="5"/>
      <c r="IUU3" s="5"/>
      <c r="IUV3" s="5"/>
      <c r="IUW3" s="5"/>
      <c r="IUX3" s="5"/>
      <c r="IUY3" s="5"/>
      <c r="IUZ3" s="5"/>
      <c r="IVA3" s="5"/>
      <c r="IVB3" s="5"/>
      <c r="IVC3" s="5"/>
      <c r="IVD3" s="5"/>
      <c r="IVE3" s="5"/>
      <c r="IVF3" s="5"/>
      <c r="IVG3" s="5"/>
      <c r="IVH3" s="5"/>
      <c r="IVI3" s="5"/>
      <c r="IVJ3" s="5"/>
      <c r="IVK3" s="5"/>
      <c r="IVL3" s="5"/>
      <c r="IVM3" s="5"/>
      <c r="IVN3" s="5"/>
      <c r="IVO3" s="5"/>
      <c r="IVP3" s="5"/>
      <c r="IVQ3" s="5"/>
      <c r="IVR3" s="5"/>
      <c r="IVS3" s="5"/>
      <c r="IVT3" s="5"/>
      <c r="IVU3" s="5"/>
      <c r="IVV3" s="5"/>
      <c r="IVW3" s="5"/>
      <c r="IVX3" s="5"/>
      <c r="IVY3" s="5"/>
      <c r="IVZ3" s="5"/>
      <c r="IWA3" s="5"/>
      <c r="IWB3" s="5"/>
      <c r="IWC3" s="5"/>
      <c r="IWD3" s="5"/>
      <c r="IWE3" s="5"/>
      <c r="IWF3" s="5"/>
      <c r="IWG3" s="5"/>
      <c r="IWH3" s="5"/>
      <c r="IWI3" s="5"/>
      <c r="IWJ3" s="5"/>
      <c r="IWK3" s="5"/>
      <c r="IWL3" s="5"/>
      <c r="IWM3" s="5"/>
      <c r="IWN3" s="5"/>
      <c r="IWO3" s="5"/>
      <c r="IWP3" s="5"/>
      <c r="IWQ3" s="5"/>
      <c r="IWR3" s="5"/>
      <c r="IWS3" s="5"/>
      <c r="IWT3" s="5"/>
      <c r="IWU3" s="5"/>
      <c r="IWV3" s="5"/>
      <c r="IWW3" s="5"/>
      <c r="IWX3" s="5"/>
      <c r="IWY3" s="5"/>
      <c r="IWZ3" s="5"/>
      <c r="IXA3" s="5"/>
      <c r="IXB3" s="5"/>
      <c r="IXC3" s="5"/>
      <c r="IXD3" s="5"/>
      <c r="IXE3" s="5"/>
      <c r="IXF3" s="5"/>
      <c r="IXG3" s="5"/>
      <c r="IXH3" s="5"/>
      <c r="IXI3" s="5"/>
      <c r="IXJ3" s="5"/>
      <c r="IXK3" s="5"/>
      <c r="IXL3" s="5"/>
      <c r="IXM3" s="5"/>
      <c r="IXN3" s="5"/>
      <c r="IXO3" s="5"/>
      <c r="IXP3" s="5"/>
      <c r="IXQ3" s="5"/>
      <c r="IXR3" s="5"/>
      <c r="IXS3" s="5"/>
      <c r="IXT3" s="5"/>
      <c r="IXU3" s="5"/>
      <c r="IXV3" s="5"/>
      <c r="IXW3" s="5"/>
      <c r="IXX3" s="5"/>
      <c r="IXY3" s="5"/>
      <c r="IXZ3" s="5"/>
      <c r="IYA3" s="5"/>
      <c r="IYB3" s="5"/>
      <c r="IYC3" s="5"/>
      <c r="IYD3" s="5"/>
      <c r="IYE3" s="5"/>
      <c r="IYF3" s="5"/>
      <c r="IYG3" s="5"/>
      <c r="IYH3" s="5"/>
      <c r="IYI3" s="5"/>
      <c r="IYJ3" s="5"/>
      <c r="IYK3" s="5"/>
      <c r="IYL3" s="5"/>
      <c r="IYM3" s="5"/>
      <c r="IYN3" s="5"/>
      <c r="IYO3" s="5"/>
      <c r="IYP3" s="5"/>
      <c r="IYQ3" s="5"/>
      <c r="IYR3" s="5"/>
      <c r="IYS3" s="5"/>
      <c r="IYT3" s="5"/>
      <c r="IYU3" s="5"/>
      <c r="IYV3" s="5"/>
      <c r="IYW3" s="5"/>
      <c r="IYX3" s="5"/>
      <c r="IYY3" s="5"/>
      <c r="IYZ3" s="5"/>
      <c r="IZA3" s="5"/>
      <c r="IZB3" s="5"/>
      <c r="IZC3" s="5"/>
      <c r="IZD3" s="5"/>
      <c r="IZE3" s="5"/>
      <c r="IZF3" s="5"/>
      <c r="IZG3" s="5"/>
      <c r="IZH3" s="5"/>
      <c r="IZI3" s="5"/>
      <c r="IZJ3" s="5"/>
      <c r="IZK3" s="5"/>
      <c r="IZL3" s="5"/>
      <c r="IZM3" s="5"/>
      <c r="IZN3" s="5"/>
      <c r="IZO3" s="5"/>
      <c r="IZP3" s="5"/>
      <c r="IZQ3" s="5"/>
      <c r="IZR3" s="5"/>
      <c r="IZS3" s="5"/>
      <c r="IZT3" s="5"/>
      <c r="IZU3" s="5"/>
      <c r="IZV3" s="5"/>
      <c r="IZW3" s="5"/>
      <c r="IZX3" s="5"/>
      <c r="IZY3" s="5"/>
      <c r="IZZ3" s="5"/>
      <c r="JAA3" s="5"/>
      <c r="JAB3" s="5"/>
      <c r="JAC3" s="5"/>
      <c r="JAD3" s="5"/>
      <c r="JAE3" s="5"/>
      <c r="JAF3" s="5"/>
      <c r="JAG3" s="5"/>
      <c r="JAH3" s="5"/>
      <c r="JAI3" s="5"/>
      <c r="JAJ3" s="5"/>
      <c r="JAK3" s="5"/>
      <c r="JAL3" s="5"/>
      <c r="JAM3" s="5"/>
      <c r="JAN3" s="5"/>
      <c r="JAO3" s="5"/>
      <c r="JAP3" s="5"/>
      <c r="JAQ3" s="5"/>
      <c r="JAR3" s="5"/>
      <c r="JAS3" s="5"/>
      <c r="JAT3" s="5"/>
      <c r="JAU3" s="5"/>
      <c r="JAV3" s="5"/>
      <c r="JAW3" s="5"/>
      <c r="JAX3" s="5"/>
      <c r="JAY3" s="5"/>
      <c r="JAZ3" s="5"/>
      <c r="JBA3" s="5"/>
      <c r="JBB3" s="5"/>
      <c r="JBC3" s="5"/>
      <c r="JBD3" s="5"/>
      <c r="JBE3" s="5"/>
      <c r="JBF3" s="5"/>
      <c r="JBG3" s="5"/>
      <c r="JBH3" s="5"/>
      <c r="JBI3" s="5"/>
      <c r="JBJ3" s="5"/>
      <c r="JBK3" s="5"/>
      <c r="JBL3" s="5"/>
      <c r="JBM3" s="5"/>
      <c r="JBN3" s="5"/>
      <c r="JBO3" s="5"/>
      <c r="JBP3" s="5"/>
      <c r="JBQ3" s="5"/>
      <c r="JBR3" s="5"/>
      <c r="JBS3" s="5"/>
      <c r="JBT3" s="5"/>
      <c r="JBU3" s="5"/>
      <c r="JBV3" s="5"/>
      <c r="JBW3" s="5"/>
      <c r="JBX3" s="5"/>
      <c r="JBY3" s="5"/>
      <c r="JBZ3" s="5"/>
      <c r="JCA3" s="5"/>
      <c r="JCB3" s="5"/>
      <c r="JCC3" s="5"/>
      <c r="JCD3" s="5"/>
      <c r="JCE3" s="5"/>
      <c r="JCF3" s="5"/>
      <c r="JCG3" s="5"/>
      <c r="JCH3" s="5"/>
      <c r="JCI3" s="5"/>
      <c r="JCJ3" s="5"/>
      <c r="JCK3" s="5"/>
      <c r="JCL3" s="5"/>
      <c r="JCM3" s="5"/>
      <c r="JCN3" s="5"/>
      <c r="JCO3" s="5"/>
      <c r="JCP3" s="5"/>
      <c r="JCQ3" s="5"/>
      <c r="JCR3" s="5"/>
      <c r="JCS3" s="5"/>
      <c r="JCT3" s="5"/>
      <c r="JCU3" s="5"/>
      <c r="JCV3" s="5"/>
      <c r="JCW3" s="5"/>
      <c r="JCX3" s="5"/>
      <c r="JCY3" s="5"/>
      <c r="JCZ3" s="5"/>
      <c r="JDA3" s="5"/>
      <c r="JDB3" s="5"/>
      <c r="JDC3" s="5"/>
      <c r="JDD3" s="5"/>
      <c r="JDE3" s="5"/>
      <c r="JDF3" s="5"/>
      <c r="JDG3" s="5"/>
      <c r="JDH3" s="5"/>
      <c r="JDI3" s="5"/>
      <c r="JDJ3" s="5"/>
      <c r="JDK3" s="5"/>
      <c r="JDL3" s="5"/>
      <c r="JDM3" s="5"/>
      <c r="JDN3" s="5"/>
      <c r="JDO3" s="5"/>
      <c r="JDP3" s="5"/>
      <c r="JDQ3" s="5"/>
      <c r="JDR3" s="5"/>
      <c r="JDS3" s="5"/>
      <c r="JDT3" s="5"/>
      <c r="JDU3" s="5"/>
      <c r="JDV3" s="5"/>
      <c r="JDW3" s="5"/>
      <c r="JDX3" s="5"/>
      <c r="JDY3" s="5"/>
      <c r="JDZ3" s="5"/>
      <c r="JEA3" s="5"/>
      <c r="JEB3" s="5"/>
      <c r="JEC3" s="5"/>
      <c r="JED3" s="5"/>
      <c r="JEE3" s="5"/>
      <c r="JEF3" s="5"/>
      <c r="JEG3" s="5"/>
      <c r="JEH3" s="5"/>
      <c r="JEI3" s="5"/>
      <c r="JEJ3" s="5"/>
      <c r="JEK3" s="5"/>
      <c r="JEL3" s="5"/>
      <c r="JEM3" s="5"/>
      <c r="JEN3" s="5"/>
      <c r="JEO3" s="5"/>
      <c r="JEP3" s="5"/>
      <c r="JEQ3" s="5"/>
      <c r="JER3" s="5"/>
      <c r="JES3" s="5"/>
      <c r="JET3" s="5"/>
      <c r="JEU3" s="5"/>
      <c r="JEV3" s="5"/>
      <c r="JEW3" s="5"/>
      <c r="JEX3" s="5"/>
      <c r="JEY3" s="5"/>
      <c r="JEZ3" s="5"/>
      <c r="JFA3" s="5"/>
      <c r="JFB3" s="5"/>
      <c r="JFC3" s="5"/>
      <c r="JFD3" s="5"/>
      <c r="JFE3" s="5"/>
      <c r="JFF3" s="5"/>
      <c r="JFG3" s="5"/>
      <c r="JFH3" s="5"/>
      <c r="JFI3" s="5"/>
      <c r="JFJ3" s="5"/>
      <c r="JFK3" s="5"/>
      <c r="JFL3" s="5"/>
      <c r="JFM3" s="5"/>
      <c r="JFN3" s="5"/>
      <c r="JFO3" s="5"/>
      <c r="JFP3" s="5"/>
      <c r="JFQ3" s="5"/>
      <c r="JFR3" s="5"/>
      <c r="JFS3" s="5"/>
      <c r="JFT3" s="5"/>
      <c r="JFU3" s="5"/>
      <c r="JFV3" s="5"/>
      <c r="JFW3" s="5"/>
      <c r="JFX3" s="5"/>
      <c r="JFY3" s="5"/>
      <c r="JFZ3" s="5"/>
      <c r="JGA3" s="5"/>
      <c r="JGB3" s="5"/>
      <c r="JGC3" s="5"/>
      <c r="JGD3" s="5"/>
      <c r="JGE3" s="5"/>
      <c r="JGF3" s="5"/>
      <c r="JGG3" s="5"/>
      <c r="JGH3" s="5"/>
      <c r="JGI3" s="5"/>
      <c r="JGJ3" s="5"/>
      <c r="JGK3" s="5"/>
      <c r="JGL3" s="5"/>
      <c r="JGM3" s="5"/>
      <c r="JGN3" s="5"/>
      <c r="JGO3" s="5"/>
      <c r="JGP3" s="5"/>
      <c r="JGQ3" s="5"/>
      <c r="JGR3" s="5"/>
      <c r="JGS3" s="5"/>
      <c r="JGT3" s="5"/>
      <c r="JGU3" s="5"/>
      <c r="JGV3" s="5"/>
      <c r="JGW3" s="5"/>
      <c r="JGX3" s="5"/>
      <c r="JGY3" s="5"/>
      <c r="JGZ3" s="5"/>
      <c r="JHA3" s="5"/>
      <c r="JHB3" s="5"/>
      <c r="JHC3" s="5"/>
      <c r="JHD3" s="5"/>
      <c r="JHE3" s="5"/>
      <c r="JHF3" s="5"/>
      <c r="JHG3" s="5"/>
      <c r="JHH3" s="5"/>
      <c r="JHI3" s="5"/>
      <c r="JHJ3" s="5"/>
      <c r="JHK3" s="5"/>
      <c r="JHL3" s="5"/>
      <c r="JHM3" s="5"/>
      <c r="JHN3" s="5"/>
      <c r="JHO3" s="5"/>
      <c r="JHP3" s="5"/>
      <c r="JHQ3" s="5"/>
      <c r="JHR3" s="5"/>
      <c r="JHS3" s="5"/>
      <c r="JHT3" s="5"/>
      <c r="JHU3" s="5"/>
      <c r="JHV3" s="5"/>
      <c r="JHW3" s="5"/>
      <c r="JHX3" s="5"/>
      <c r="JHY3" s="5"/>
      <c r="JHZ3" s="5"/>
      <c r="JIA3" s="5"/>
      <c r="JIB3" s="5"/>
      <c r="JIC3" s="5"/>
      <c r="JID3" s="5"/>
      <c r="JIE3" s="5"/>
      <c r="JIF3" s="5"/>
      <c r="JIG3" s="5"/>
      <c r="JIH3" s="5"/>
      <c r="JII3" s="5"/>
      <c r="JIJ3" s="5"/>
      <c r="JIK3" s="5"/>
      <c r="JIL3" s="5"/>
      <c r="JIM3" s="5"/>
      <c r="JIN3" s="5"/>
      <c r="JIO3" s="5"/>
      <c r="JIP3" s="5"/>
      <c r="JIQ3" s="5"/>
      <c r="JIR3" s="5"/>
      <c r="JIS3" s="5"/>
      <c r="JIT3" s="5"/>
      <c r="JIU3" s="5"/>
      <c r="JIV3" s="5"/>
      <c r="JIW3" s="5"/>
      <c r="JIX3" s="5"/>
      <c r="JIY3" s="5"/>
      <c r="JIZ3" s="5"/>
      <c r="JJA3" s="5"/>
      <c r="JJB3" s="5"/>
      <c r="JJC3" s="5"/>
      <c r="JJD3" s="5"/>
      <c r="JJE3" s="5"/>
      <c r="JJF3" s="5"/>
      <c r="JJG3" s="5"/>
      <c r="JJH3" s="5"/>
      <c r="JJI3" s="5"/>
      <c r="JJJ3" s="5"/>
      <c r="JJK3" s="5"/>
      <c r="JJL3" s="5"/>
      <c r="JJM3" s="5"/>
      <c r="JJN3" s="5"/>
      <c r="JJO3" s="5"/>
      <c r="JJP3" s="5"/>
      <c r="JJQ3" s="5"/>
      <c r="JJR3" s="5"/>
      <c r="JJS3" s="5"/>
      <c r="JJT3" s="5"/>
      <c r="JJU3" s="5"/>
      <c r="JJV3" s="5"/>
      <c r="JJW3" s="5"/>
      <c r="JJX3" s="5"/>
      <c r="JJY3" s="5"/>
      <c r="JJZ3" s="5"/>
      <c r="JKA3" s="5"/>
      <c r="JKB3" s="5"/>
      <c r="JKC3" s="5"/>
      <c r="JKD3" s="5"/>
      <c r="JKE3" s="5"/>
      <c r="JKF3" s="5"/>
      <c r="JKG3" s="5"/>
      <c r="JKH3" s="5"/>
      <c r="JKI3" s="5"/>
      <c r="JKJ3" s="5"/>
      <c r="JKK3" s="5"/>
      <c r="JKL3" s="5"/>
      <c r="JKM3" s="5"/>
      <c r="JKN3" s="5"/>
      <c r="JKO3" s="5"/>
      <c r="JKP3" s="5"/>
      <c r="JKQ3" s="5"/>
      <c r="JKR3" s="5"/>
      <c r="JKS3" s="5"/>
      <c r="JKT3" s="5"/>
      <c r="JKU3" s="5"/>
      <c r="JKV3" s="5"/>
      <c r="JKW3" s="5"/>
      <c r="JKX3" s="5"/>
      <c r="JKY3" s="5"/>
      <c r="JKZ3" s="5"/>
      <c r="JLA3" s="5"/>
      <c r="JLB3" s="5"/>
      <c r="JLC3" s="5"/>
      <c r="JLD3" s="5"/>
      <c r="JLE3" s="5"/>
      <c r="JLF3" s="5"/>
      <c r="JLG3" s="5"/>
      <c r="JLH3" s="5"/>
      <c r="JLI3" s="5"/>
      <c r="JLJ3" s="5"/>
      <c r="JLK3" s="5"/>
      <c r="JLL3" s="5"/>
      <c r="JLM3" s="5"/>
      <c r="JLN3" s="5"/>
      <c r="JLO3" s="5"/>
      <c r="JLP3" s="5"/>
      <c r="JLQ3" s="5"/>
      <c r="JLR3" s="5"/>
      <c r="JLS3" s="5"/>
      <c r="JLT3" s="5"/>
      <c r="JLU3" s="5"/>
      <c r="JLV3" s="5"/>
      <c r="JLW3" s="5"/>
      <c r="JLX3" s="5"/>
      <c r="JLY3" s="5"/>
      <c r="JLZ3" s="5"/>
      <c r="JMA3" s="5"/>
      <c r="JMB3" s="5"/>
      <c r="JMC3" s="5"/>
      <c r="JMD3" s="5"/>
      <c r="JME3" s="5"/>
      <c r="JMF3" s="5"/>
      <c r="JMG3" s="5"/>
      <c r="JMH3" s="5"/>
      <c r="JMI3" s="5"/>
      <c r="JMJ3" s="5"/>
      <c r="JMK3" s="5"/>
      <c r="JML3" s="5"/>
      <c r="JMM3" s="5"/>
      <c r="JMN3" s="5"/>
      <c r="JMO3" s="5"/>
      <c r="JMP3" s="5"/>
      <c r="JMQ3" s="5"/>
      <c r="JMR3" s="5"/>
      <c r="JMS3" s="5"/>
      <c r="JMT3" s="5"/>
      <c r="JMU3" s="5"/>
      <c r="JMV3" s="5"/>
      <c r="JMW3" s="5"/>
      <c r="JMX3" s="5"/>
      <c r="JMY3" s="5"/>
      <c r="JMZ3" s="5"/>
      <c r="JNA3" s="5"/>
      <c r="JNB3" s="5"/>
      <c r="JNC3" s="5"/>
      <c r="JND3" s="5"/>
      <c r="JNE3" s="5"/>
      <c r="JNF3" s="5"/>
      <c r="JNG3" s="5"/>
      <c r="JNH3" s="5"/>
      <c r="JNI3" s="5"/>
      <c r="JNJ3" s="5"/>
      <c r="JNK3" s="5"/>
      <c r="JNL3" s="5"/>
      <c r="JNM3" s="5"/>
      <c r="JNN3" s="5"/>
      <c r="JNO3" s="5"/>
      <c r="JNP3" s="5"/>
      <c r="JNQ3" s="5"/>
      <c r="JNR3" s="5"/>
      <c r="JNS3" s="5"/>
      <c r="JNT3" s="5"/>
      <c r="JNU3" s="5"/>
      <c r="JNV3" s="5"/>
      <c r="JNW3" s="5"/>
      <c r="JNX3" s="5"/>
      <c r="JNY3" s="5"/>
      <c r="JNZ3" s="5"/>
      <c r="JOA3" s="5"/>
      <c r="JOB3" s="5"/>
      <c r="JOC3" s="5"/>
      <c r="JOD3" s="5"/>
      <c r="JOE3" s="5"/>
      <c r="JOF3" s="5"/>
      <c r="JOG3" s="5"/>
      <c r="JOH3" s="5"/>
      <c r="JOI3" s="5"/>
      <c r="JOJ3" s="5"/>
      <c r="JOK3" s="5"/>
      <c r="JOL3" s="5"/>
      <c r="JOM3" s="5"/>
      <c r="JON3" s="5"/>
      <c r="JOO3" s="5"/>
      <c r="JOP3" s="5"/>
      <c r="JOQ3" s="5"/>
      <c r="JOR3" s="5"/>
      <c r="JOS3" s="5"/>
      <c r="JOT3" s="5"/>
      <c r="JOU3" s="5"/>
      <c r="JOV3" s="5"/>
      <c r="JOW3" s="5"/>
      <c r="JOX3" s="5"/>
      <c r="JOY3" s="5"/>
      <c r="JOZ3" s="5"/>
      <c r="JPA3" s="5"/>
      <c r="JPB3" s="5"/>
      <c r="JPC3" s="5"/>
      <c r="JPD3" s="5"/>
      <c r="JPE3" s="5"/>
      <c r="JPF3" s="5"/>
      <c r="JPG3" s="5"/>
      <c r="JPH3" s="5"/>
      <c r="JPI3" s="5"/>
      <c r="JPJ3" s="5"/>
      <c r="JPK3" s="5"/>
      <c r="JPL3" s="5"/>
      <c r="JPM3" s="5"/>
      <c r="JPN3" s="5"/>
      <c r="JPO3" s="5"/>
      <c r="JPP3" s="5"/>
      <c r="JPQ3" s="5"/>
      <c r="JPR3" s="5"/>
      <c r="JPS3" s="5"/>
      <c r="JPT3" s="5"/>
      <c r="JPU3" s="5"/>
      <c r="JPV3" s="5"/>
      <c r="JPW3" s="5"/>
      <c r="JPX3" s="5"/>
      <c r="JPY3" s="5"/>
      <c r="JPZ3" s="5"/>
      <c r="JQA3" s="5"/>
      <c r="JQB3" s="5"/>
      <c r="JQC3" s="5"/>
      <c r="JQD3" s="5"/>
      <c r="JQE3" s="5"/>
      <c r="JQF3" s="5"/>
      <c r="JQG3" s="5"/>
      <c r="JQH3" s="5"/>
      <c r="JQI3" s="5"/>
      <c r="JQJ3" s="5"/>
      <c r="JQK3" s="5"/>
      <c r="JQL3" s="5"/>
      <c r="JQM3" s="5"/>
      <c r="JQN3" s="5"/>
      <c r="JQO3" s="5"/>
      <c r="JQP3" s="5"/>
      <c r="JQQ3" s="5"/>
      <c r="JQR3" s="5"/>
      <c r="JQS3" s="5"/>
      <c r="JQT3" s="5"/>
      <c r="JQU3" s="5"/>
      <c r="JQV3" s="5"/>
      <c r="JQW3" s="5"/>
      <c r="JQX3" s="5"/>
      <c r="JQY3" s="5"/>
      <c r="JQZ3" s="5"/>
      <c r="JRA3" s="5"/>
      <c r="JRB3" s="5"/>
      <c r="JRC3" s="5"/>
      <c r="JRD3" s="5"/>
      <c r="JRE3" s="5"/>
      <c r="JRF3" s="5"/>
      <c r="JRG3" s="5"/>
      <c r="JRH3" s="5"/>
      <c r="JRI3" s="5"/>
      <c r="JRJ3" s="5"/>
      <c r="JRK3" s="5"/>
      <c r="JRL3" s="5"/>
      <c r="JRM3" s="5"/>
      <c r="JRN3" s="5"/>
      <c r="JRO3" s="5"/>
      <c r="JRP3" s="5"/>
      <c r="JRQ3" s="5"/>
      <c r="JRR3" s="5"/>
      <c r="JRS3" s="5"/>
      <c r="JRT3" s="5"/>
      <c r="JRU3" s="5"/>
      <c r="JRV3" s="5"/>
      <c r="JRW3" s="5"/>
      <c r="JRX3" s="5"/>
      <c r="JRY3" s="5"/>
      <c r="JRZ3" s="5"/>
      <c r="JSA3" s="5"/>
      <c r="JSB3" s="5"/>
      <c r="JSC3" s="5"/>
      <c r="JSD3" s="5"/>
      <c r="JSE3" s="5"/>
      <c r="JSF3" s="5"/>
      <c r="JSG3" s="5"/>
      <c r="JSH3" s="5"/>
      <c r="JSI3" s="5"/>
      <c r="JSJ3" s="5"/>
      <c r="JSK3" s="5"/>
      <c r="JSL3" s="5"/>
      <c r="JSM3" s="5"/>
      <c r="JSN3" s="5"/>
      <c r="JSO3" s="5"/>
      <c r="JSP3" s="5"/>
      <c r="JSQ3" s="5"/>
      <c r="JSR3" s="5"/>
      <c r="JSS3" s="5"/>
      <c r="JST3" s="5"/>
      <c r="JSU3" s="5"/>
      <c r="JSV3" s="5"/>
      <c r="JSW3" s="5"/>
      <c r="JSX3" s="5"/>
      <c r="JSY3" s="5"/>
      <c r="JSZ3" s="5"/>
      <c r="JTA3" s="5"/>
      <c r="JTB3" s="5"/>
      <c r="JTC3" s="5"/>
      <c r="JTD3" s="5"/>
      <c r="JTE3" s="5"/>
      <c r="JTF3" s="5"/>
      <c r="JTG3" s="5"/>
      <c r="JTH3" s="5"/>
      <c r="JTI3" s="5"/>
      <c r="JTJ3" s="5"/>
      <c r="JTK3" s="5"/>
      <c r="JTL3" s="5"/>
      <c r="JTM3" s="5"/>
      <c r="JTN3" s="5"/>
      <c r="JTO3" s="5"/>
      <c r="JTP3" s="5"/>
      <c r="JTQ3" s="5"/>
      <c r="JTR3" s="5"/>
      <c r="JTS3" s="5"/>
      <c r="JTT3" s="5"/>
      <c r="JTU3" s="5"/>
      <c r="JTV3" s="5"/>
      <c r="JTW3" s="5"/>
      <c r="JTX3" s="5"/>
      <c r="JTY3" s="5"/>
      <c r="JTZ3" s="5"/>
      <c r="JUA3" s="5"/>
      <c r="JUB3" s="5"/>
      <c r="JUC3" s="5"/>
      <c r="JUD3" s="5"/>
      <c r="JUE3" s="5"/>
      <c r="JUF3" s="5"/>
      <c r="JUG3" s="5"/>
      <c r="JUH3" s="5"/>
      <c r="JUI3" s="5"/>
      <c r="JUJ3" s="5"/>
      <c r="JUK3" s="5"/>
      <c r="JUL3" s="5"/>
      <c r="JUM3" s="5"/>
      <c r="JUN3" s="5"/>
      <c r="JUO3" s="5"/>
      <c r="JUP3" s="5"/>
      <c r="JUQ3" s="5"/>
      <c r="JUR3" s="5"/>
      <c r="JUS3" s="5"/>
      <c r="JUT3" s="5"/>
      <c r="JUU3" s="5"/>
      <c r="JUV3" s="5"/>
      <c r="JUW3" s="5"/>
      <c r="JUX3" s="5"/>
      <c r="JUY3" s="5"/>
      <c r="JUZ3" s="5"/>
      <c r="JVA3" s="5"/>
      <c r="JVB3" s="5"/>
      <c r="JVC3" s="5"/>
      <c r="JVD3" s="5"/>
      <c r="JVE3" s="5"/>
      <c r="JVF3" s="5"/>
      <c r="JVG3" s="5"/>
      <c r="JVH3" s="5"/>
      <c r="JVI3" s="5"/>
      <c r="JVJ3" s="5"/>
      <c r="JVK3" s="5"/>
      <c r="JVL3" s="5"/>
      <c r="JVM3" s="5"/>
      <c r="JVN3" s="5"/>
      <c r="JVO3" s="5"/>
      <c r="JVP3" s="5"/>
      <c r="JVQ3" s="5"/>
      <c r="JVR3" s="5"/>
      <c r="JVS3" s="5"/>
      <c r="JVT3" s="5"/>
      <c r="JVU3" s="5"/>
      <c r="JVV3" s="5"/>
      <c r="JVW3" s="5"/>
      <c r="JVX3" s="5"/>
      <c r="JVY3" s="5"/>
      <c r="JVZ3" s="5"/>
      <c r="JWA3" s="5"/>
      <c r="JWB3" s="5"/>
      <c r="JWC3" s="5"/>
      <c r="JWD3" s="5"/>
      <c r="JWE3" s="5"/>
      <c r="JWF3" s="5"/>
      <c r="JWG3" s="5"/>
      <c r="JWH3" s="5"/>
      <c r="JWI3" s="5"/>
      <c r="JWJ3" s="5"/>
      <c r="JWK3" s="5"/>
      <c r="JWL3" s="5"/>
      <c r="JWM3" s="5"/>
      <c r="JWN3" s="5"/>
      <c r="JWO3" s="5"/>
      <c r="JWP3" s="5"/>
      <c r="JWQ3" s="5"/>
      <c r="JWR3" s="5"/>
      <c r="JWS3" s="5"/>
      <c r="JWT3" s="5"/>
      <c r="JWU3" s="5"/>
      <c r="JWV3" s="5"/>
      <c r="JWW3" s="5"/>
      <c r="JWX3" s="5"/>
      <c r="JWY3" s="5"/>
      <c r="JWZ3" s="5"/>
      <c r="JXA3" s="5"/>
      <c r="JXB3" s="5"/>
      <c r="JXC3" s="5"/>
      <c r="JXD3" s="5"/>
      <c r="JXE3" s="5"/>
      <c r="JXF3" s="5"/>
      <c r="JXG3" s="5"/>
      <c r="JXH3" s="5"/>
      <c r="JXI3" s="5"/>
      <c r="JXJ3" s="5"/>
      <c r="JXK3" s="5"/>
      <c r="JXL3" s="5"/>
      <c r="JXM3" s="5"/>
      <c r="JXN3" s="5"/>
      <c r="JXO3" s="5"/>
      <c r="JXP3" s="5"/>
      <c r="JXQ3" s="5"/>
      <c r="JXR3" s="5"/>
      <c r="JXS3" s="5"/>
      <c r="JXT3" s="5"/>
      <c r="JXU3" s="5"/>
      <c r="JXV3" s="5"/>
      <c r="JXW3" s="5"/>
      <c r="JXX3" s="5"/>
      <c r="JXY3" s="5"/>
      <c r="JXZ3" s="5"/>
      <c r="JYA3" s="5"/>
      <c r="JYB3" s="5"/>
      <c r="JYC3" s="5"/>
      <c r="JYD3" s="5"/>
      <c r="JYE3" s="5"/>
      <c r="JYF3" s="5"/>
      <c r="JYG3" s="5"/>
      <c r="JYH3" s="5"/>
      <c r="JYI3" s="5"/>
      <c r="JYJ3" s="5"/>
      <c r="JYK3" s="5"/>
      <c r="JYL3" s="5"/>
      <c r="JYM3" s="5"/>
      <c r="JYN3" s="5"/>
      <c r="JYO3" s="5"/>
      <c r="JYP3" s="5"/>
      <c r="JYQ3" s="5"/>
      <c r="JYR3" s="5"/>
      <c r="JYS3" s="5"/>
      <c r="JYT3" s="5"/>
      <c r="JYU3" s="5"/>
      <c r="JYV3" s="5"/>
      <c r="JYW3" s="5"/>
      <c r="JYX3" s="5"/>
      <c r="JYY3" s="5"/>
      <c r="JYZ3" s="5"/>
      <c r="JZA3" s="5"/>
      <c r="JZB3" s="5"/>
      <c r="JZC3" s="5"/>
      <c r="JZD3" s="5"/>
      <c r="JZE3" s="5"/>
      <c r="JZF3" s="5"/>
      <c r="JZG3" s="5"/>
      <c r="JZH3" s="5"/>
      <c r="JZI3" s="5"/>
      <c r="JZJ3" s="5"/>
      <c r="JZK3" s="5"/>
      <c r="JZL3" s="5"/>
      <c r="JZM3" s="5"/>
      <c r="JZN3" s="5"/>
      <c r="JZO3" s="5"/>
      <c r="JZP3" s="5"/>
      <c r="JZQ3" s="5"/>
      <c r="JZR3" s="5"/>
      <c r="JZS3" s="5"/>
      <c r="JZT3" s="5"/>
      <c r="JZU3" s="5"/>
      <c r="JZV3" s="5"/>
      <c r="JZW3" s="5"/>
      <c r="JZX3" s="5"/>
      <c r="JZY3" s="5"/>
      <c r="JZZ3" s="5"/>
      <c r="KAA3" s="5"/>
      <c r="KAB3" s="5"/>
      <c r="KAC3" s="5"/>
      <c r="KAD3" s="5"/>
      <c r="KAE3" s="5"/>
      <c r="KAF3" s="5"/>
      <c r="KAG3" s="5"/>
      <c r="KAH3" s="5"/>
      <c r="KAI3" s="5"/>
      <c r="KAJ3" s="5"/>
      <c r="KAK3" s="5"/>
      <c r="KAL3" s="5"/>
      <c r="KAM3" s="5"/>
      <c r="KAN3" s="5"/>
      <c r="KAO3" s="5"/>
      <c r="KAP3" s="5"/>
      <c r="KAQ3" s="5"/>
      <c r="KAR3" s="5"/>
      <c r="KAS3" s="5"/>
      <c r="KAT3" s="5"/>
      <c r="KAU3" s="5"/>
      <c r="KAV3" s="5"/>
      <c r="KAW3" s="5"/>
      <c r="KAX3" s="5"/>
      <c r="KAY3" s="5"/>
      <c r="KAZ3" s="5"/>
      <c r="KBA3" s="5"/>
      <c r="KBB3" s="5"/>
      <c r="KBC3" s="5"/>
      <c r="KBD3" s="5"/>
      <c r="KBE3" s="5"/>
      <c r="KBF3" s="5"/>
      <c r="KBG3" s="5"/>
      <c r="KBH3" s="5"/>
      <c r="KBI3" s="5"/>
      <c r="KBJ3" s="5"/>
      <c r="KBK3" s="5"/>
      <c r="KBL3" s="5"/>
      <c r="KBM3" s="5"/>
      <c r="KBN3" s="5"/>
      <c r="KBO3" s="5"/>
      <c r="KBP3" s="5"/>
      <c r="KBQ3" s="5"/>
      <c r="KBR3" s="5"/>
      <c r="KBS3" s="5"/>
      <c r="KBT3" s="5"/>
      <c r="KBU3" s="5"/>
      <c r="KBV3" s="5"/>
      <c r="KBW3" s="5"/>
      <c r="KBX3" s="5"/>
      <c r="KBY3" s="5"/>
      <c r="KBZ3" s="5"/>
      <c r="KCA3" s="5"/>
      <c r="KCB3" s="5"/>
      <c r="KCC3" s="5"/>
      <c r="KCD3" s="5"/>
      <c r="KCE3" s="5"/>
      <c r="KCF3" s="5"/>
      <c r="KCG3" s="5"/>
      <c r="KCH3" s="5"/>
      <c r="KCI3" s="5"/>
      <c r="KCJ3" s="5"/>
      <c r="KCK3" s="5"/>
      <c r="KCL3" s="5"/>
      <c r="KCM3" s="5"/>
      <c r="KCN3" s="5"/>
      <c r="KCO3" s="5"/>
      <c r="KCP3" s="5"/>
      <c r="KCQ3" s="5"/>
      <c r="KCR3" s="5"/>
      <c r="KCS3" s="5"/>
      <c r="KCT3" s="5"/>
      <c r="KCU3" s="5"/>
      <c r="KCV3" s="5"/>
      <c r="KCW3" s="5"/>
      <c r="KCX3" s="5"/>
      <c r="KCY3" s="5"/>
      <c r="KCZ3" s="5"/>
      <c r="KDA3" s="5"/>
      <c r="KDB3" s="5"/>
      <c r="KDC3" s="5"/>
      <c r="KDD3" s="5"/>
      <c r="KDE3" s="5"/>
      <c r="KDF3" s="5"/>
      <c r="KDG3" s="5"/>
      <c r="KDH3" s="5"/>
      <c r="KDI3" s="5"/>
      <c r="KDJ3" s="5"/>
      <c r="KDK3" s="5"/>
      <c r="KDL3" s="5"/>
      <c r="KDM3" s="5"/>
      <c r="KDN3" s="5"/>
      <c r="KDO3" s="5"/>
      <c r="KDP3" s="5"/>
      <c r="KDQ3" s="5"/>
      <c r="KDR3" s="5"/>
      <c r="KDS3" s="5"/>
      <c r="KDT3" s="5"/>
      <c r="KDU3" s="5"/>
      <c r="KDV3" s="5"/>
      <c r="KDW3" s="5"/>
      <c r="KDX3" s="5"/>
      <c r="KDY3" s="5"/>
      <c r="KDZ3" s="5"/>
      <c r="KEA3" s="5"/>
      <c r="KEB3" s="5"/>
      <c r="KEC3" s="5"/>
      <c r="KED3" s="5"/>
      <c r="KEE3" s="5"/>
      <c r="KEF3" s="5"/>
      <c r="KEG3" s="5"/>
      <c r="KEH3" s="5"/>
      <c r="KEI3" s="5"/>
      <c r="KEJ3" s="5"/>
      <c r="KEK3" s="5"/>
      <c r="KEL3" s="5"/>
      <c r="KEM3" s="5"/>
      <c r="KEN3" s="5"/>
      <c r="KEO3" s="5"/>
      <c r="KEP3" s="5"/>
      <c r="KEQ3" s="5"/>
      <c r="KER3" s="5"/>
      <c r="KES3" s="5"/>
      <c r="KET3" s="5"/>
      <c r="KEU3" s="5"/>
      <c r="KEV3" s="5"/>
      <c r="KEW3" s="5"/>
      <c r="KEX3" s="5"/>
      <c r="KEY3" s="5"/>
      <c r="KEZ3" s="5"/>
      <c r="KFA3" s="5"/>
      <c r="KFB3" s="5"/>
      <c r="KFC3" s="5"/>
      <c r="KFD3" s="5"/>
      <c r="KFE3" s="5"/>
      <c r="KFF3" s="5"/>
      <c r="KFG3" s="5"/>
      <c r="KFH3" s="5"/>
      <c r="KFI3" s="5"/>
      <c r="KFJ3" s="5"/>
      <c r="KFK3" s="5"/>
      <c r="KFL3" s="5"/>
      <c r="KFM3" s="5"/>
      <c r="KFN3" s="5"/>
      <c r="KFO3" s="5"/>
      <c r="KFP3" s="5"/>
      <c r="KFQ3" s="5"/>
      <c r="KFR3" s="5"/>
      <c r="KFS3" s="5"/>
      <c r="KFT3" s="5"/>
      <c r="KFU3" s="5"/>
      <c r="KFV3" s="5"/>
      <c r="KFW3" s="5"/>
      <c r="KFX3" s="5"/>
      <c r="KFY3" s="5"/>
      <c r="KFZ3" s="5"/>
      <c r="KGA3" s="5"/>
      <c r="KGB3" s="5"/>
      <c r="KGC3" s="5"/>
      <c r="KGD3" s="5"/>
      <c r="KGE3" s="5"/>
      <c r="KGF3" s="5"/>
      <c r="KGG3" s="5"/>
      <c r="KGH3" s="5"/>
      <c r="KGI3" s="5"/>
      <c r="KGJ3" s="5"/>
      <c r="KGK3" s="5"/>
      <c r="KGL3" s="5"/>
      <c r="KGM3" s="5"/>
      <c r="KGN3" s="5"/>
      <c r="KGO3" s="5"/>
      <c r="KGP3" s="5"/>
      <c r="KGQ3" s="5"/>
      <c r="KGR3" s="5"/>
      <c r="KGS3" s="5"/>
      <c r="KGT3" s="5"/>
      <c r="KGU3" s="5"/>
      <c r="KGV3" s="5"/>
      <c r="KGW3" s="5"/>
      <c r="KGX3" s="5"/>
      <c r="KGY3" s="5"/>
      <c r="KGZ3" s="5"/>
      <c r="KHA3" s="5"/>
      <c r="KHB3" s="5"/>
      <c r="KHC3" s="5"/>
      <c r="KHD3" s="5"/>
      <c r="KHE3" s="5"/>
      <c r="KHF3" s="5"/>
      <c r="KHG3" s="5"/>
      <c r="KHH3" s="5"/>
      <c r="KHI3" s="5"/>
      <c r="KHJ3" s="5"/>
      <c r="KHK3" s="5"/>
      <c r="KHL3" s="5"/>
      <c r="KHM3" s="5"/>
      <c r="KHN3" s="5"/>
      <c r="KHO3" s="5"/>
      <c r="KHP3" s="5"/>
      <c r="KHQ3" s="5"/>
      <c r="KHR3" s="5"/>
      <c r="KHS3" s="5"/>
      <c r="KHT3" s="5"/>
      <c r="KHU3" s="5"/>
      <c r="KHV3" s="5"/>
      <c r="KHW3" s="5"/>
      <c r="KHX3" s="5"/>
      <c r="KHY3" s="5"/>
      <c r="KHZ3" s="5"/>
      <c r="KIA3" s="5"/>
      <c r="KIB3" s="5"/>
      <c r="KIC3" s="5"/>
      <c r="KID3" s="5"/>
      <c r="KIE3" s="5"/>
      <c r="KIF3" s="5"/>
      <c r="KIG3" s="5"/>
      <c r="KIH3" s="5"/>
      <c r="KII3" s="5"/>
      <c r="KIJ3" s="5"/>
      <c r="KIK3" s="5"/>
      <c r="KIL3" s="5"/>
      <c r="KIM3" s="5"/>
      <c r="KIN3" s="5"/>
      <c r="KIO3" s="5"/>
      <c r="KIP3" s="5"/>
      <c r="KIQ3" s="5"/>
      <c r="KIR3" s="5"/>
      <c r="KIS3" s="5"/>
      <c r="KIT3" s="5"/>
      <c r="KIU3" s="5"/>
      <c r="KIV3" s="5"/>
      <c r="KIW3" s="5"/>
      <c r="KIX3" s="5"/>
      <c r="KIY3" s="5"/>
      <c r="KIZ3" s="5"/>
      <c r="KJA3" s="5"/>
      <c r="KJB3" s="5"/>
      <c r="KJC3" s="5"/>
      <c r="KJD3" s="5"/>
      <c r="KJE3" s="5"/>
      <c r="KJF3" s="5"/>
      <c r="KJG3" s="5"/>
      <c r="KJH3" s="5"/>
      <c r="KJI3" s="5"/>
      <c r="KJJ3" s="5"/>
      <c r="KJK3" s="5"/>
      <c r="KJL3" s="5"/>
      <c r="KJM3" s="5"/>
      <c r="KJN3" s="5"/>
      <c r="KJO3" s="5"/>
      <c r="KJP3" s="5"/>
      <c r="KJQ3" s="5"/>
      <c r="KJR3" s="5"/>
      <c r="KJS3" s="5"/>
      <c r="KJT3" s="5"/>
      <c r="KJU3" s="5"/>
      <c r="KJV3" s="5"/>
      <c r="KJW3" s="5"/>
      <c r="KJX3" s="5"/>
      <c r="KJY3" s="5"/>
      <c r="KJZ3" s="5"/>
      <c r="KKA3" s="5"/>
      <c r="KKB3" s="5"/>
      <c r="KKC3" s="5"/>
      <c r="KKD3" s="5"/>
      <c r="KKE3" s="5"/>
      <c r="KKF3" s="5"/>
      <c r="KKG3" s="5"/>
      <c r="KKH3" s="5"/>
      <c r="KKI3" s="5"/>
      <c r="KKJ3" s="5"/>
      <c r="KKK3" s="5"/>
      <c r="KKL3" s="5"/>
      <c r="KKM3" s="5"/>
      <c r="KKN3" s="5"/>
      <c r="KKO3" s="5"/>
      <c r="KKP3" s="5"/>
      <c r="KKQ3" s="5"/>
      <c r="KKR3" s="5"/>
      <c r="KKS3" s="5"/>
      <c r="KKT3" s="5"/>
      <c r="KKU3" s="5"/>
      <c r="KKV3" s="5"/>
      <c r="KKW3" s="5"/>
      <c r="KKX3" s="5"/>
      <c r="KKY3" s="5"/>
      <c r="KKZ3" s="5"/>
      <c r="KLA3" s="5"/>
      <c r="KLB3" s="5"/>
      <c r="KLC3" s="5"/>
      <c r="KLD3" s="5"/>
      <c r="KLE3" s="5"/>
      <c r="KLF3" s="5"/>
      <c r="KLG3" s="5"/>
      <c r="KLH3" s="5"/>
      <c r="KLI3" s="5"/>
      <c r="KLJ3" s="5"/>
      <c r="KLK3" s="5"/>
      <c r="KLL3" s="5"/>
      <c r="KLM3" s="5"/>
      <c r="KLN3" s="5"/>
      <c r="KLO3" s="5"/>
      <c r="KLP3" s="5"/>
      <c r="KLQ3" s="5"/>
      <c r="KLR3" s="5"/>
      <c r="KLS3" s="5"/>
      <c r="KLT3" s="5"/>
      <c r="KLU3" s="5"/>
      <c r="KLV3" s="5"/>
      <c r="KLW3" s="5"/>
      <c r="KLX3" s="5"/>
      <c r="KLY3" s="5"/>
      <c r="KLZ3" s="5"/>
      <c r="KMA3" s="5"/>
      <c r="KMB3" s="5"/>
      <c r="KMC3" s="5"/>
      <c r="KMD3" s="5"/>
      <c r="KME3" s="5"/>
      <c r="KMF3" s="5"/>
      <c r="KMG3" s="5"/>
      <c r="KMH3" s="5"/>
      <c r="KMI3" s="5"/>
      <c r="KMJ3" s="5"/>
      <c r="KMK3" s="5"/>
      <c r="KML3" s="5"/>
      <c r="KMM3" s="5"/>
      <c r="KMN3" s="5"/>
      <c r="KMO3" s="5"/>
      <c r="KMP3" s="5"/>
      <c r="KMQ3" s="5"/>
      <c r="KMR3" s="5"/>
      <c r="KMS3" s="5"/>
      <c r="KMT3" s="5"/>
      <c r="KMU3" s="5"/>
      <c r="KMV3" s="5"/>
      <c r="KMW3" s="5"/>
      <c r="KMX3" s="5"/>
      <c r="KMY3" s="5"/>
      <c r="KMZ3" s="5"/>
      <c r="KNA3" s="5"/>
      <c r="KNB3" s="5"/>
      <c r="KNC3" s="5"/>
      <c r="KND3" s="5"/>
      <c r="KNE3" s="5"/>
      <c r="KNF3" s="5"/>
      <c r="KNG3" s="5"/>
      <c r="KNH3" s="5"/>
      <c r="KNI3" s="5"/>
      <c r="KNJ3" s="5"/>
      <c r="KNK3" s="5"/>
      <c r="KNL3" s="5"/>
      <c r="KNM3" s="5"/>
      <c r="KNN3" s="5"/>
      <c r="KNO3" s="5"/>
      <c r="KNP3" s="5"/>
      <c r="KNQ3" s="5"/>
      <c r="KNR3" s="5"/>
      <c r="KNS3" s="5"/>
      <c r="KNT3" s="5"/>
      <c r="KNU3" s="5"/>
      <c r="KNV3" s="5"/>
      <c r="KNW3" s="5"/>
      <c r="KNX3" s="5"/>
      <c r="KNY3" s="5"/>
      <c r="KNZ3" s="5"/>
      <c r="KOA3" s="5"/>
      <c r="KOB3" s="5"/>
      <c r="KOC3" s="5"/>
      <c r="KOD3" s="5"/>
      <c r="KOE3" s="5"/>
      <c r="KOF3" s="5"/>
      <c r="KOG3" s="5"/>
      <c r="KOH3" s="5"/>
      <c r="KOI3" s="5"/>
      <c r="KOJ3" s="5"/>
      <c r="KOK3" s="5"/>
      <c r="KOL3" s="5"/>
      <c r="KOM3" s="5"/>
      <c r="KON3" s="5"/>
      <c r="KOO3" s="5"/>
      <c r="KOP3" s="5"/>
      <c r="KOQ3" s="5"/>
      <c r="KOR3" s="5"/>
      <c r="KOS3" s="5"/>
      <c r="KOT3" s="5"/>
      <c r="KOU3" s="5"/>
      <c r="KOV3" s="5"/>
      <c r="KOW3" s="5"/>
      <c r="KOX3" s="5"/>
      <c r="KOY3" s="5"/>
      <c r="KOZ3" s="5"/>
      <c r="KPA3" s="5"/>
      <c r="KPB3" s="5"/>
      <c r="KPC3" s="5"/>
      <c r="KPD3" s="5"/>
      <c r="KPE3" s="5"/>
      <c r="KPF3" s="5"/>
      <c r="KPG3" s="5"/>
      <c r="KPH3" s="5"/>
      <c r="KPI3" s="5"/>
      <c r="KPJ3" s="5"/>
      <c r="KPK3" s="5"/>
      <c r="KPL3" s="5"/>
      <c r="KPM3" s="5"/>
      <c r="KPN3" s="5"/>
      <c r="KPO3" s="5"/>
      <c r="KPP3" s="5"/>
      <c r="KPQ3" s="5"/>
      <c r="KPR3" s="5"/>
      <c r="KPS3" s="5"/>
      <c r="KPT3" s="5"/>
      <c r="KPU3" s="5"/>
      <c r="KPV3" s="5"/>
      <c r="KPW3" s="5"/>
      <c r="KPX3" s="5"/>
      <c r="KPY3" s="5"/>
      <c r="KPZ3" s="5"/>
      <c r="KQA3" s="5"/>
      <c r="KQB3" s="5"/>
      <c r="KQC3" s="5"/>
      <c r="KQD3" s="5"/>
      <c r="KQE3" s="5"/>
      <c r="KQF3" s="5"/>
      <c r="KQG3" s="5"/>
      <c r="KQH3" s="5"/>
      <c r="KQI3" s="5"/>
      <c r="KQJ3" s="5"/>
      <c r="KQK3" s="5"/>
      <c r="KQL3" s="5"/>
      <c r="KQM3" s="5"/>
      <c r="KQN3" s="5"/>
      <c r="KQO3" s="5"/>
      <c r="KQP3" s="5"/>
      <c r="KQQ3" s="5"/>
      <c r="KQR3" s="5"/>
      <c r="KQS3" s="5"/>
      <c r="KQT3" s="5"/>
      <c r="KQU3" s="5"/>
      <c r="KQV3" s="5"/>
      <c r="KQW3" s="5"/>
      <c r="KQX3" s="5"/>
      <c r="KQY3" s="5"/>
      <c r="KQZ3" s="5"/>
      <c r="KRA3" s="5"/>
      <c r="KRB3" s="5"/>
      <c r="KRC3" s="5"/>
      <c r="KRD3" s="5"/>
      <c r="KRE3" s="5"/>
      <c r="KRF3" s="5"/>
      <c r="KRG3" s="5"/>
      <c r="KRH3" s="5"/>
      <c r="KRI3" s="5"/>
      <c r="KRJ3" s="5"/>
      <c r="KRK3" s="5"/>
      <c r="KRL3" s="5"/>
      <c r="KRM3" s="5"/>
      <c r="KRN3" s="5"/>
      <c r="KRO3" s="5"/>
      <c r="KRP3" s="5"/>
      <c r="KRQ3" s="5"/>
      <c r="KRR3" s="5"/>
      <c r="KRS3" s="5"/>
      <c r="KRT3" s="5"/>
      <c r="KRU3" s="5"/>
      <c r="KRV3" s="5"/>
      <c r="KRW3" s="5"/>
      <c r="KRX3" s="5"/>
      <c r="KRY3" s="5"/>
      <c r="KRZ3" s="5"/>
      <c r="KSA3" s="5"/>
      <c r="KSB3" s="5"/>
      <c r="KSC3" s="5"/>
      <c r="KSD3" s="5"/>
      <c r="KSE3" s="5"/>
      <c r="KSF3" s="5"/>
      <c r="KSG3" s="5"/>
      <c r="KSH3" s="5"/>
      <c r="KSI3" s="5"/>
      <c r="KSJ3" s="5"/>
      <c r="KSK3" s="5"/>
      <c r="KSL3" s="5"/>
      <c r="KSM3" s="5"/>
      <c r="KSN3" s="5"/>
      <c r="KSO3" s="5"/>
      <c r="KSP3" s="5"/>
      <c r="KSQ3" s="5"/>
      <c r="KSR3" s="5"/>
      <c r="KSS3" s="5"/>
      <c r="KST3" s="5"/>
      <c r="KSU3" s="5"/>
      <c r="KSV3" s="5"/>
      <c r="KSW3" s="5"/>
      <c r="KSX3" s="5"/>
      <c r="KSY3" s="5"/>
      <c r="KSZ3" s="5"/>
      <c r="KTA3" s="5"/>
      <c r="KTB3" s="5"/>
      <c r="KTC3" s="5"/>
      <c r="KTD3" s="5"/>
      <c r="KTE3" s="5"/>
      <c r="KTF3" s="5"/>
      <c r="KTG3" s="5"/>
      <c r="KTH3" s="5"/>
      <c r="KTI3" s="5"/>
      <c r="KTJ3" s="5"/>
      <c r="KTK3" s="5"/>
      <c r="KTL3" s="5"/>
      <c r="KTM3" s="5"/>
      <c r="KTN3" s="5"/>
      <c r="KTO3" s="5"/>
      <c r="KTP3" s="5"/>
      <c r="KTQ3" s="5"/>
      <c r="KTR3" s="5"/>
      <c r="KTS3" s="5"/>
      <c r="KTT3" s="5"/>
      <c r="KTU3" s="5"/>
      <c r="KTV3" s="5"/>
      <c r="KTW3" s="5"/>
      <c r="KTX3" s="5"/>
      <c r="KTY3" s="5"/>
      <c r="KTZ3" s="5"/>
      <c r="KUA3" s="5"/>
      <c r="KUB3" s="5"/>
      <c r="KUC3" s="5"/>
      <c r="KUD3" s="5"/>
      <c r="KUE3" s="5"/>
      <c r="KUF3" s="5"/>
      <c r="KUG3" s="5"/>
      <c r="KUH3" s="5"/>
      <c r="KUI3" s="5"/>
      <c r="KUJ3" s="5"/>
      <c r="KUK3" s="5"/>
      <c r="KUL3" s="5"/>
      <c r="KUM3" s="5"/>
      <c r="KUN3" s="5"/>
      <c r="KUO3" s="5"/>
      <c r="KUP3" s="5"/>
      <c r="KUQ3" s="5"/>
      <c r="KUR3" s="5"/>
      <c r="KUS3" s="5"/>
      <c r="KUT3" s="5"/>
      <c r="KUU3" s="5"/>
      <c r="KUV3" s="5"/>
      <c r="KUW3" s="5"/>
      <c r="KUX3" s="5"/>
      <c r="KUY3" s="5"/>
      <c r="KUZ3" s="5"/>
      <c r="KVA3" s="5"/>
      <c r="KVB3" s="5"/>
      <c r="KVC3" s="5"/>
      <c r="KVD3" s="5"/>
      <c r="KVE3" s="5"/>
      <c r="KVF3" s="5"/>
      <c r="KVG3" s="5"/>
      <c r="KVH3" s="5"/>
      <c r="KVI3" s="5"/>
      <c r="KVJ3" s="5"/>
      <c r="KVK3" s="5"/>
      <c r="KVL3" s="5"/>
      <c r="KVM3" s="5"/>
      <c r="KVN3" s="5"/>
      <c r="KVO3" s="5"/>
      <c r="KVP3" s="5"/>
      <c r="KVQ3" s="5"/>
      <c r="KVR3" s="5"/>
      <c r="KVS3" s="5"/>
      <c r="KVT3" s="5"/>
      <c r="KVU3" s="5"/>
      <c r="KVV3" s="5"/>
      <c r="KVW3" s="5"/>
      <c r="KVX3" s="5"/>
      <c r="KVY3" s="5"/>
      <c r="KVZ3" s="5"/>
      <c r="KWA3" s="5"/>
      <c r="KWB3" s="5"/>
      <c r="KWC3" s="5"/>
      <c r="KWD3" s="5"/>
      <c r="KWE3" s="5"/>
      <c r="KWF3" s="5"/>
      <c r="KWG3" s="5"/>
      <c r="KWH3" s="5"/>
      <c r="KWI3" s="5"/>
      <c r="KWJ3" s="5"/>
      <c r="KWK3" s="5"/>
      <c r="KWL3" s="5"/>
      <c r="KWM3" s="5"/>
      <c r="KWN3" s="5"/>
      <c r="KWO3" s="5"/>
      <c r="KWP3" s="5"/>
      <c r="KWQ3" s="5"/>
      <c r="KWR3" s="5"/>
      <c r="KWS3" s="5"/>
      <c r="KWT3" s="5"/>
      <c r="KWU3" s="5"/>
      <c r="KWV3" s="5"/>
      <c r="KWW3" s="5"/>
      <c r="KWX3" s="5"/>
      <c r="KWY3" s="5"/>
      <c r="KWZ3" s="5"/>
      <c r="KXA3" s="5"/>
      <c r="KXB3" s="5"/>
      <c r="KXC3" s="5"/>
      <c r="KXD3" s="5"/>
      <c r="KXE3" s="5"/>
      <c r="KXF3" s="5"/>
      <c r="KXG3" s="5"/>
      <c r="KXH3" s="5"/>
      <c r="KXI3" s="5"/>
      <c r="KXJ3" s="5"/>
      <c r="KXK3" s="5"/>
      <c r="KXL3" s="5"/>
      <c r="KXM3" s="5"/>
      <c r="KXN3" s="5"/>
      <c r="KXO3" s="5"/>
      <c r="KXP3" s="5"/>
      <c r="KXQ3" s="5"/>
      <c r="KXR3" s="5"/>
      <c r="KXS3" s="5"/>
      <c r="KXT3" s="5"/>
      <c r="KXU3" s="5"/>
      <c r="KXV3" s="5"/>
      <c r="KXW3" s="5"/>
      <c r="KXX3" s="5"/>
      <c r="KXY3" s="5"/>
      <c r="KXZ3" s="5"/>
      <c r="KYA3" s="5"/>
      <c r="KYB3" s="5"/>
      <c r="KYC3" s="5"/>
      <c r="KYD3" s="5"/>
      <c r="KYE3" s="5"/>
      <c r="KYF3" s="5"/>
      <c r="KYG3" s="5"/>
      <c r="KYH3" s="5"/>
      <c r="KYI3" s="5"/>
      <c r="KYJ3" s="5"/>
      <c r="KYK3" s="5"/>
      <c r="KYL3" s="5"/>
      <c r="KYM3" s="5"/>
      <c r="KYN3" s="5"/>
      <c r="KYO3" s="5"/>
      <c r="KYP3" s="5"/>
      <c r="KYQ3" s="5"/>
      <c r="KYR3" s="5"/>
      <c r="KYS3" s="5"/>
      <c r="KYT3" s="5"/>
      <c r="KYU3" s="5"/>
      <c r="KYV3" s="5"/>
      <c r="KYW3" s="5"/>
      <c r="KYX3" s="5"/>
      <c r="KYY3" s="5"/>
      <c r="KYZ3" s="5"/>
      <c r="KZA3" s="5"/>
      <c r="KZB3" s="5"/>
      <c r="KZC3" s="5"/>
      <c r="KZD3" s="5"/>
      <c r="KZE3" s="5"/>
      <c r="KZF3" s="5"/>
      <c r="KZG3" s="5"/>
      <c r="KZH3" s="5"/>
      <c r="KZI3" s="5"/>
      <c r="KZJ3" s="5"/>
      <c r="KZK3" s="5"/>
      <c r="KZL3" s="5"/>
      <c r="KZM3" s="5"/>
      <c r="KZN3" s="5"/>
      <c r="KZO3" s="5"/>
      <c r="KZP3" s="5"/>
      <c r="KZQ3" s="5"/>
      <c r="KZR3" s="5"/>
      <c r="KZS3" s="5"/>
      <c r="KZT3" s="5"/>
      <c r="KZU3" s="5"/>
      <c r="KZV3" s="5"/>
      <c r="KZW3" s="5"/>
      <c r="KZX3" s="5"/>
      <c r="KZY3" s="5"/>
      <c r="KZZ3" s="5"/>
      <c r="LAA3" s="5"/>
      <c r="LAB3" s="5"/>
      <c r="LAC3" s="5"/>
      <c r="LAD3" s="5"/>
      <c r="LAE3" s="5"/>
      <c r="LAF3" s="5"/>
      <c r="LAG3" s="5"/>
      <c r="LAH3" s="5"/>
      <c r="LAI3" s="5"/>
      <c r="LAJ3" s="5"/>
      <c r="LAK3" s="5"/>
      <c r="LAL3" s="5"/>
      <c r="LAM3" s="5"/>
      <c r="LAN3" s="5"/>
      <c r="LAO3" s="5"/>
      <c r="LAP3" s="5"/>
      <c r="LAQ3" s="5"/>
      <c r="LAR3" s="5"/>
      <c r="LAS3" s="5"/>
      <c r="LAT3" s="5"/>
      <c r="LAU3" s="5"/>
      <c r="LAV3" s="5"/>
      <c r="LAW3" s="5"/>
      <c r="LAX3" s="5"/>
      <c r="LAY3" s="5"/>
      <c r="LAZ3" s="5"/>
      <c r="LBA3" s="5"/>
      <c r="LBB3" s="5"/>
      <c r="LBC3" s="5"/>
      <c r="LBD3" s="5"/>
      <c r="LBE3" s="5"/>
      <c r="LBF3" s="5"/>
      <c r="LBG3" s="5"/>
      <c r="LBH3" s="5"/>
      <c r="LBI3" s="5"/>
      <c r="LBJ3" s="5"/>
      <c r="LBK3" s="5"/>
      <c r="LBL3" s="5"/>
      <c r="LBM3" s="5"/>
      <c r="LBN3" s="5"/>
      <c r="LBO3" s="5"/>
      <c r="LBP3" s="5"/>
      <c r="LBQ3" s="5"/>
      <c r="LBR3" s="5"/>
      <c r="LBS3" s="5"/>
      <c r="LBT3" s="5"/>
      <c r="LBU3" s="5"/>
      <c r="LBV3" s="5"/>
      <c r="LBW3" s="5"/>
      <c r="LBX3" s="5"/>
      <c r="LBY3" s="5"/>
      <c r="LBZ3" s="5"/>
      <c r="LCA3" s="5"/>
      <c r="LCB3" s="5"/>
      <c r="LCC3" s="5"/>
      <c r="LCD3" s="5"/>
      <c r="LCE3" s="5"/>
      <c r="LCF3" s="5"/>
      <c r="LCG3" s="5"/>
      <c r="LCH3" s="5"/>
      <c r="LCI3" s="5"/>
      <c r="LCJ3" s="5"/>
      <c r="LCK3" s="5"/>
      <c r="LCL3" s="5"/>
      <c r="LCM3" s="5"/>
      <c r="LCN3" s="5"/>
      <c r="LCO3" s="5"/>
      <c r="LCP3" s="5"/>
      <c r="LCQ3" s="5"/>
      <c r="LCR3" s="5"/>
      <c r="LCS3" s="5"/>
      <c r="LCT3" s="5"/>
      <c r="LCU3" s="5"/>
      <c r="LCV3" s="5"/>
      <c r="LCW3" s="5"/>
      <c r="LCX3" s="5"/>
      <c r="LCY3" s="5"/>
      <c r="LCZ3" s="5"/>
      <c r="LDA3" s="5"/>
      <c r="LDB3" s="5"/>
      <c r="LDC3" s="5"/>
      <c r="LDD3" s="5"/>
      <c r="LDE3" s="5"/>
      <c r="LDF3" s="5"/>
      <c r="LDG3" s="5"/>
      <c r="LDH3" s="5"/>
      <c r="LDI3" s="5"/>
      <c r="LDJ3" s="5"/>
      <c r="LDK3" s="5"/>
      <c r="LDL3" s="5"/>
      <c r="LDM3" s="5"/>
      <c r="LDN3" s="5"/>
      <c r="LDO3" s="5"/>
      <c r="LDP3" s="5"/>
      <c r="LDQ3" s="5"/>
      <c r="LDR3" s="5"/>
      <c r="LDS3" s="5"/>
      <c r="LDT3" s="5"/>
      <c r="LDU3" s="5"/>
      <c r="LDV3" s="5"/>
      <c r="LDW3" s="5"/>
      <c r="LDX3" s="5"/>
      <c r="LDY3" s="5"/>
      <c r="LDZ3" s="5"/>
      <c r="LEA3" s="5"/>
      <c r="LEB3" s="5"/>
      <c r="LEC3" s="5"/>
      <c r="LED3" s="5"/>
      <c r="LEE3" s="5"/>
      <c r="LEF3" s="5"/>
      <c r="LEG3" s="5"/>
      <c r="LEH3" s="5"/>
      <c r="LEI3" s="5"/>
      <c r="LEJ3" s="5"/>
      <c r="LEK3" s="5"/>
      <c r="LEL3" s="5"/>
      <c r="LEM3" s="5"/>
      <c r="LEN3" s="5"/>
      <c r="LEO3" s="5"/>
      <c r="LEP3" s="5"/>
      <c r="LEQ3" s="5"/>
      <c r="LER3" s="5"/>
      <c r="LES3" s="5"/>
      <c r="LET3" s="5"/>
      <c r="LEU3" s="5"/>
      <c r="LEV3" s="5"/>
      <c r="LEW3" s="5"/>
      <c r="LEX3" s="5"/>
      <c r="LEY3" s="5"/>
      <c r="LEZ3" s="5"/>
      <c r="LFA3" s="5"/>
      <c r="LFB3" s="5"/>
      <c r="LFC3" s="5"/>
      <c r="LFD3" s="5"/>
      <c r="LFE3" s="5"/>
      <c r="LFF3" s="5"/>
      <c r="LFG3" s="5"/>
      <c r="LFH3" s="5"/>
      <c r="LFI3" s="5"/>
      <c r="LFJ3" s="5"/>
      <c r="LFK3" s="5"/>
      <c r="LFL3" s="5"/>
      <c r="LFM3" s="5"/>
      <c r="LFN3" s="5"/>
      <c r="LFO3" s="5"/>
      <c r="LFP3" s="5"/>
      <c r="LFQ3" s="5"/>
      <c r="LFR3" s="5"/>
      <c r="LFS3" s="5"/>
      <c r="LFT3" s="5"/>
      <c r="LFU3" s="5"/>
      <c r="LFV3" s="5"/>
      <c r="LFW3" s="5"/>
      <c r="LFX3" s="5"/>
      <c r="LFY3" s="5"/>
      <c r="LFZ3" s="5"/>
      <c r="LGA3" s="5"/>
      <c r="LGB3" s="5"/>
      <c r="LGC3" s="5"/>
      <c r="LGD3" s="5"/>
      <c r="LGE3" s="5"/>
      <c r="LGF3" s="5"/>
      <c r="LGG3" s="5"/>
      <c r="LGH3" s="5"/>
      <c r="LGI3" s="5"/>
      <c r="LGJ3" s="5"/>
      <c r="LGK3" s="5"/>
      <c r="LGL3" s="5"/>
      <c r="LGM3" s="5"/>
      <c r="LGN3" s="5"/>
      <c r="LGO3" s="5"/>
      <c r="LGP3" s="5"/>
      <c r="LGQ3" s="5"/>
      <c r="LGR3" s="5"/>
      <c r="LGS3" s="5"/>
      <c r="LGT3" s="5"/>
      <c r="LGU3" s="5"/>
      <c r="LGV3" s="5"/>
      <c r="LGW3" s="5"/>
      <c r="LGX3" s="5"/>
      <c r="LGY3" s="5"/>
      <c r="LGZ3" s="5"/>
      <c r="LHA3" s="5"/>
      <c r="LHB3" s="5"/>
      <c r="LHC3" s="5"/>
      <c r="LHD3" s="5"/>
      <c r="LHE3" s="5"/>
      <c r="LHF3" s="5"/>
      <c r="LHG3" s="5"/>
      <c r="LHH3" s="5"/>
      <c r="LHI3" s="5"/>
      <c r="LHJ3" s="5"/>
      <c r="LHK3" s="5"/>
      <c r="LHL3" s="5"/>
      <c r="LHM3" s="5"/>
      <c r="LHN3" s="5"/>
      <c r="LHO3" s="5"/>
      <c r="LHP3" s="5"/>
      <c r="LHQ3" s="5"/>
      <c r="LHR3" s="5"/>
      <c r="LHS3" s="5"/>
      <c r="LHT3" s="5"/>
      <c r="LHU3" s="5"/>
      <c r="LHV3" s="5"/>
      <c r="LHW3" s="5"/>
      <c r="LHX3" s="5"/>
      <c r="LHY3" s="5"/>
      <c r="LHZ3" s="5"/>
      <c r="LIA3" s="5"/>
      <c r="LIB3" s="5"/>
      <c r="LIC3" s="5"/>
      <c r="LID3" s="5"/>
      <c r="LIE3" s="5"/>
      <c r="LIF3" s="5"/>
      <c r="LIG3" s="5"/>
      <c r="LIH3" s="5"/>
      <c r="LII3" s="5"/>
      <c r="LIJ3" s="5"/>
      <c r="LIK3" s="5"/>
      <c r="LIL3" s="5"/>
      <c r="LIM3" s="5"/>
      <c r="LIN3" s="5"/>
      <c r="LIO3" s="5"/>
      <c r="LIP3" s="5"/>
      <c r="LIQ3" s="5"/>
      <c r="LIR3" s="5"/>
      <c r="LIS3" s="5"/>
      <c r="LIT3" s="5"/>
      <c r="LIU3" s="5"/>
      <c r="LIV3" s="5"/>
      <c r="LIW3" s="5"/>
      <c r="LIX3" s="5"/>
      <c r="LIY3" s="5"/>
      <c r="LIZ3" s="5"/>
      <c r="LJA3" s="5"/>
      <c r="LJB3" s="5"/>
      <c r="LJC3" s="5"/>
      <c r="LJD3" s="5"/>
      <c r="LJE3" s="5"/>
      <c r="LJF3" s="5"/>
      <c r="LJG3" s="5"/>
      <c r="LJH3" s="5"/>
      <c r="LJI3" s="5"/>
      <c r="LJJ3" s="5"/>
      <c r="LJK3" s="5"/>
      <c r="LJL3" s="5"/>
      <c r="LJM3" s="5"/>
      <c r="LJN3" s="5"/>
      <c r="LJO3" s="5"/>
      <c r="LJP3" s="5"/>
      <c r="LJQ3" s="5"/>
      <c r="LJR3" s="5"/>
      <c r="LJS3" s="5"/>
      <c r="LJT3" s="5"/>
      <c r="LJU3" s="5"/>
      <c r="LJV3" s="5"/>
      <c r="LJW3" s="5"/>
      <c r="LJX3" s="5"/>
      <c r="LJY3" s="5"/>
      <c r="LJZ3" s="5"/>
      <c r="LKA3" s="5"/>
      <c r="LKB3" s="5"/>
      <c r="LKC3" s="5"/>
      <c r="LKD3" s="5"/>
      <c r="LKE3" s="5"/>
      <c r="LKF3" s="5"/>
      <c r="LKG3" s="5"/>
      <c r="LKH3" s="5"/>
      <c r="LKI3" s="5"/>
      <c r="LKJ3" s="5"/>
      <c r="LKK3" s="5"/>
      <c r="LKL3" s="5"/>
      <c r="LKM3" s="5"/>
      <c r="LKN3" s="5"/>
      <c r="LKO3" s="5"/>
      <c r="LKP3" s="5"/>
      <c r="LKQ3" s="5"/>
      <c r="LKR3" s="5"/>
      <c r="LKS3" s="5"/>
      <c r="LKT3" s="5"/>
      <c r="LKU3" s="5"/>
      <c r="LKV3" s="5"/>
      <c r="LKW3" s="5"/>
      <c r="LKX3" s="5"/>
      <c r="LKY3" s="5"/>
      <c r="LKZ3" s="5"/>
      <c r="LLA3" s="5"/>
      <c r="LLB3" s="5"/>
      <c r="LLC3" s="5"/>
      <c r="LLD3" s="5"/>
      <c r="LLE3" s="5"/>
      <c r="LLF3" s="5"/>
      <c r="LLG3" s="5"/>
      <c r="LLH3" s="5"/>
      <c r="LLI3" s="5"/>
      <c r="LLJ3" s="5"/>
      <c r="LLK3" s="5"/>
      <c r="LLL3" s="5"/>
      <c r="LLM3" s="5"/>
      <c r="LLN3" s="5"/>
      <c r="LLO3" s="5"/>
      <c r="LLP3" s="5"/>
      <c r="LLQ3" s="5"/>
      <c r="LLR3" s="5"/>
      <c r="LLS3" s="5"/>
      <c r="LLT3" s="5"/>
      <c r="LLU3" s="5"/>
      <c r="LLV3" s="5"/>
      <c r="LLW3" s="5"/>
      <c r="LLX3" s="5"/>
      <c r="LLY3" s="5"/>
      <c r="LLZ3" s="5"/>
      <c r="LMA3" s="5"/>
      <c r="LMB3" s="5"/>
      <c r="LMC3" s="5"/>
      <c r="LMD3" s="5"/>
      <c r="LME3" s="5"/>
      <c r="LMF3" s="5"/>
      <c r="LMG3" s="5"/>
      <c r="LMH3" s="5"/>
      <c r="LMI3" s="5"/>
      <c r="LMJ3" s="5"/>
      <c r="LMK3" s="5"/>
      <c r="LML3" s="5"/>
      <c r="LMM3" s="5"/>
      <c r="LMN3" s="5"/>
      <c r="LMO3" s="5"/>
      <c r="LMP3" s="5"/>
      <c r="LMQ3" s="5"/>
      <c r="LMR3" s="5"/>
      <c r="LMS3" s="5"/>
      <c r="LMT3" s="5"/>
      <c r="LMU3" s="5"/>
      <c r="LMV3" s="5"/>
      <c r="LMW3" s="5"/>
      <c r="LMX3" s="5"/>
      <c r="LMY3" s="5"/>
      <c r="LMZ3" s="5"/>
      <c r="LNA3" s="5"/>
      <c r="LNB3" s="5"/>
      <c r="LNC3" s="5"/>
      <c r="LND3" s="5"/>
      <c r="LNE3" s="5"/>
      <c r="LNF3" s="5"/>
      <c r="LNG3" s="5"/>
      <c r="LNH3" s="5"/>
      <c r="LNI3" s="5"/>
      <c r="LNJ3" s="5"/>
      <c r="LNK3" s="5"/>
      <c r="LNL3" s="5"/>
      <c r="LNM3" s="5"/>
      <c r="LNN3" s="5"/>
      <c r="LNO3" s="5"/>
      <c r="LNP3" s="5"/>
      <c r="LNQ3" s="5"/>
      <c r="LNR3" s="5"/>
      <c r="LNS3" s="5"/>
      <c r="LNT3" s="5"/>
      <c r="LNU3" s="5"/>
      <c r="LNV3" s="5"/>
      <c r="LNW3" s="5"/>
      <c r="LNX3" s="5"/>
      <c r="LNY3" s="5"/>
      <c r="LNZ3" s="5"/>
      <c r="LOA3" s="5"/>
      <c r="LOB3" s="5"/>
      <c r="LOC3" s="5"/>
      <c r="LOD3" s="5"/>
      <c r="LOE3" s="5"/>
      <c r="LOF3" s="5"/>
      <c r="LOG3" s="5"/>
      <c r="LOH3" s="5"/>
      <c r="LOI3" s="5"/>
      <c r="LOJ3" s="5"/>
      <c r="LOK3" s="5"/>
      <c r="LOL3" s="5"/>
      <c r="LOM3" s="5"/>
      <c r="LON3" s="5"/>
      <c r="LOO3" s="5"/>
      <c r="LOP3" s="5"/>
      <c r="LOQ3" s="5"/>
      <c r="LOR3" s="5"/>
      <c r="LOS3" s="5"/>
      <c r="LOT3" s="5"/>
      <c r="LOU3" s="5"/>
      <c r="LOV3" s="5"/>
      <c r="LOW3" s="5"/>
      <c r="LOX3" s="5"/>
      <c r="LOY3" s="5"/>
      <c r="LOZ3" s="5"/>
      <c r="LPA3" s="5"/>
      <c r="LPB3" s="5"/>
      <c r="LPC3" s="5"/>
      <c r="LPD3" s="5"/>
      <c r="LPE3" s="5"/>
      <c r="LPF3" s="5"/>
      <c r="LPG3" s="5"/>
      <c r="LPH3" s="5"/>
      <c r="LPI3" s="5"/>
      <c r="LPJ3" s="5"/>
      <c r="LPK3" s="5"/>
      <c r="LPL3" s="5"/>
      <c r="LPM3" s="5"/>
      <c r="LPN3" s="5"/>
      <c r="LPO3" s="5"/>
      <c r="LPP3" s="5"/>
      <c r="LPQ3" s="5"/>
      <c r="LPR3" s="5"/>
      <c r="LPS3" s="5"/>
      <c r="LPT3" s="5"/>
      <c r="LPU3" s="5"/>
      <c r="LPV3" s="5"/>
      <c r="LPW3" s="5"/>
      <c r="LPX3" s="5"/>
      <c r="LPY3" s="5"/>
      <c r="LPZ3" s="5"/>
      <c r="LQA3" s="5"/>
      <c r="LQB3" s="5"/>
      <c r="LQC3" s="5"/>
      <c r="LQD3" s="5"/>
      <c r="LQE3" s="5"/>
      <c r="LQF3" s="5"/>
      <c r="LQG3" s="5"/>
      <c r="LQH3" s="5"/>
      <c r="LQI3" s="5"/>
      <c r="LQJ3" s="5"/>
      <c r="LQK3" s="5"/>
      <c r="LQL3" s="5"/>
      <c r="LQM3" s="5"/>
      <c r="LQN3" s="5"/>
      <c r="LQO3" s="5"/>
      <c r="LQP3" s="5"/>
      <c r="LQQ3" s="5"/>
      <c r="LQR3" s="5"/>
      <c r="LQS3" s="5"/>
      <c r="LQT3" s="5"/>
      <c r="LQU3" s="5"/>
      <c r="LQV3" s="5"/>
      <c r="LQW3" s="5"/>
      <c r="LQX3" s="5"/>
      <c r="LQY3" s="5"/>
      <c r="LQZ3" s="5"/>
      <c r="LRA3" s="5"/>
      <c r="LRB3" s="5"/>
      <c r="LRC3" s="5"/>
      <c r="LRD3" s="5"/>
      <c r="LRE3" s="5"/>
      <c r="LRF3" s="5"/>
      <c r="LRG3" s="5"/>
      <c r="LRH3" s="5"/>
      <c r="LRI3" s="5"/>
      <c r="LRJ3" s="5"/>
      <c r="LRK3" s="5"/>
      <c r="LRL3" s="5"/>
      <c r="LRM3" s="5"/>
      <c r="LRN3" s="5"/>
      <c r="LRO3" s="5"/>
      <c r="LRP3" s="5"/>
      <c r="LRQ3" s="5"/>
      <c r="LRR3" s="5"/>
      <c r="LRS3" s="5"/>
      <c r="LRT3" s="5"/>
      <c r="LRU3" s="5"/>
      <c r="LRV3" s="5"/>
      <c r="LRW3" s="5"/>
      <c r="LRX3" s="5"/>
      <c r="LRY3" s="5"/>
      <c r="LRZ3" s="5"/>
      <c r="LSA3" s="5"/>
      <c r="LSB3" s="5"/>
      <c r="LSC3" s="5"/>
      <c r="LSD3" s="5"/>
      <c r="LSE3" s="5"/>
      <c r="LSF3" s="5"/>
      <c r="LSG3" s="5"/>
      <c r="LSH3" s="5"/>
      <c r="LSI3" s="5"/>
      <c r="LSJ3" s="5"/>
      <c r="LSK3" s="5"/>
      <c r="LSL3" s="5"/>
      <c r="LSM3" s="5"/>
      <c r="LSN3" s="5"/>
      <c r="LSO3" s="5"/>
      <c r="LSP3" s="5"/>
      <c r="LSQ3" s="5"/>
      <c r="LSR3" s="5"/>
      <c r="LSS3" s="5"/>
      <c r="LST3" s="5"/>
      <c r="LSU3" s="5"/>
      <c r="LSV3" s="5"/>
      <c r="LSW3" s="5"/>
      <c r="LSX3" s="5"/>
      <c r="LSY3" s="5"/>
      <c r="LSZ3" s="5"/>
      <c r="LTA3" s="5"/>
      <c r="LTB3" s="5"/>
      <c r="LTC3" s="5"/>
      <c r="LTD3" s="5"/>
      <c r="LTE3" s="5"/>
      <c r="LTF3" s="5"/>
      <c r="LTG3" s="5"/>
      <c r="LTH3" s="5"/>
      <c r="LTI3" s="5"/>
      <c r="LTJ3" s="5"/>
      <c r="LTK3" s="5"/>
      <c r="LTL3" s="5"/>
      <c r="LTM3" s="5"/>
      <c r="LTN3" s="5"/>
      <c r="LTO3" s="5"/>
      <c r="LTP3" s="5"/>
      <c r="LTQ3" s="5"/>
      <c r="LTR3" s="5"/>
      <c r="LTS3" s="5"/>
      <c r="LTT3" s="5"/>
      <c r="LTU3" s="5"/>
      <c r="LTV3" s="5"/>
      <c r="LTW3" s="5"/>
      <c r="LTX3" s="5"/>
      <c r="LTY3" s="5"/>
      <c r="LTZ3" s="5"/>
      <c r="LUA3" s="5"/>
      <c r="LUB3" s="5"/>
      <c r="LUC3" s="5"/>
      <c r="LUD3" s="5"/>
      <c r="LUE3" s="5"/>
      <c r="LUF3" s="5"/>
      <c r="LUG3" s="5"/>
      <c r="LUH3" s="5"/>
      <c r="LUI3" s="5"/>
      <c r="LUJ3" s="5"/>
      <c r="LUK3" s="5"/>
      <c r="LUL3" s="5"/>
      <c r="LUM3" s="5"/>
      <c r="LUN3" s="5"/>
      <c r="LUO3" s="5"/>
      <c r="LUP3" s="5"/>
      <c r="LUQ3" s="5"/>
      <c r="LUR3" s="5"/>
      <c r="LUS3" s="5"/>
      <c r="LUT3" s="5"/>
      <c r="LUU3" s="5"/>
      <c r="LUV3" s="5"/>
      <c r="LUW3" s="5"/>
      <c r="LUX3" s="5"/>
      <c r="LUY3" s="5"/>
      <c r="LUZ3" s="5"/>
      <c r="LVA3" s="5"/>
      <c r="LVB3" s="5"/>
      <c r="LVC3" s="5"/>
      <c r="LVD3" s="5"/>
      <c r="LVE3" s="5"/>
      <c r="LVF3" s="5"/>
      <c r="LVG3" s="5"/>
      <c r="LVH3" s="5"/>
      <c r="LVI3" s="5"/>
      <c r="LVJ3" s="5"/>
      <c r="LVK3" s="5"/>
      <c r="LVL3" s="5"/>
      <c r="LVM3" s="5"/>
      <c r="LVN3" s="5"/>
      <c r="LVO3" s="5"/>
      <c r="LVP3" s="5"/>
      <c r="LVQ3" s="5"/>
      <c r="LVR3" s="5"/>
      <c r="LVS3" s="5"/>
      <c r="LVT3" s="5"/>
      <c r="LVU3" s="5"/>
      <c r="LVV3" s="5"/>
      <c r="LVW3" s="5"/>
      <c r="LVX3" s="5"/>
      <c r="LVY3" s="5"/>
      <c r="LVZ3" s="5"/>
      <c r="LWA3" s="5"/>
      <c r="LWB3" s="5"/>
      <c r="LWC3" s="5"/>
      <c r="LWD3" s="5"/>
      <c r="LWE3" s="5"/>
      <c r="LWF3" s="5"/>
      <c r="LWG3" s="5"/>
      <c r="LWH3" s="5"/>
      <c r="LWI3" s="5"/>
      <c r="LWJ3" s="5"/>
      <c r="LWK3" s="5"/>
      <c r="LWL3" s="5"/>
      <c r="LWM3" s="5"/>
      <c r="LWN3" s="5"/>
      <c r="LWO3" s="5"/>
      <c r="LWP3" s="5"/>
      <c r="LWQ3" s="5"/>
      <c r="LWR3" s="5"/>
      <c r="LWS3" s="5"/>
      <c r="LWT3" s="5"/>
      <c r="LWU3" s="5"/>
      <c r="LWV3" s="5"/>
      <c r="LWW3" s="5"/>
      <c r="LWX3" s="5"/>
      <c r="LWY3" s="5"/>
      <c r="LWZ3" s="5"/>
      <c r="LXA3" s="5"/>
      <c r="LXB3" s="5"/>
      <c r="LXC3" s="5"/>
      <c r="LXD3" s="5"/>
      <c r="LXE3" s="5"/>
      <c r="LXF3" s="5"/>
      <c r="LXG3" s="5"/>
      <c r="LXH3" s="5"/>
      <c r="LXI3" s="5"/>
      <c r="LXJ3" s="5"/>
      <c r="LXK3" s="5"/>
      <c r="LXL3" s="5"/>
      <c r="LXM3" s="5"/>
      <c r="LXN3" s="5"/>
      <c r="LXO3" s="5"/>
      <c r="LXP3" s="5"/>
      <c r="LXQ3" s="5"/>
      <c r="LXR3" s="5"/>
      <c r="LXS3" s="5"/>
      <c r="LXT3" s="5"/>
      <c r="LXU3" s="5"/>
      <c r="LXV3" s="5"/>
      <c r="LXW3" s="5"/>
      <c r="LXX3" s="5"/>
      <c r="LXY3" s="5"/>
      <c r="LXZ3" s="5"/>
      <c r="LYA3" s="5"/>
      <c r="LYB3" s="5"/>
      <c r="LYC3" s="5"/>
      <c r="LYD3" s="5"/>
      <c r="LYE3" s="5"/>
      <c r="LYF3" s="5"/>
      <c r="LYG3" s="5"/>
      <c r="LYH3" s="5"/>
      <c r="LYI3" s="5"/>
      <c r="LYJ3" s="5"/>
      <c r="LYK3" s="5"/>
      <c r="LYL3" s="5"/>
      <c r="LYM3" s="5"/>
      <c r="LYN3" s="5"/>
      <c r="LYO3" s="5"/>
      <c r="LYP3" s="5"/>
      <c r="LYQ3" s="5"/>
      <c r="LYR3" s="5"/>
      <c r="LYS3" s="5"/>
      <c r="LYT3" s="5"/>
      <c r="LYU3" s="5"/>
      <c r="LYV3" s="5"/>
      <c r="LYW3" s="5"/>
      <c r="LYX3" s="5"/>
      <c r="LYY3" s="5"/>
      <c r="LYZ3" s="5"/>
      <c r="LZA3" s="5"/>
      <c r="LZB3" s="5"/>
      <c r="LZC3" s="5"/>
      <c r="LZD3" s="5"/>
      <c r="LZE3" s="5"/>
      <c r="LZF3" s="5"/>
      <c r="LZG3" s="5"/>
      <c r="LZH3" s="5"/>
      <c r="LZI3" s="5"/>
      <c r="LZJ3" s="5"/>
      <c r="LZK3" s="5"/>
      <c r="LZL3" s="5"/>
      <c r="LZM3" s="5"/>
      <c r="LZN3" s="5"/>
      <c r="LZO3" s="5"/>
      <c r="LZP3" s="5"/>
      <c r="LZQ3" s="5"/>
      <c r="LZR3" s="5"/>
      <c r="LZS3" s="5"/>
      <c r="LZT3" s="5"/>
      <c r="LZU3" s="5"/>
      <c r="LZV3" s="5"/>
      <c r="LZW3" s="5"/>
      <c r="LZX3" s="5"/>
      <c r="LZY3" s="5"/>
      <c r="LZZ3" s="5"/>
      <c r="MAA3" s="5"/>
      <c r="MAB3" s="5"/>
      <c r="MAC3" s="5"/>
      <c r="MAD3" s="5"/>
      <c r="MAE3" s="5"/>
      <c r="MAF3" s="5"/>
      <c r="MAG3" s="5"/>
      <c r="MAH3" s="5"/>
      <c r="MAI3" s="5"/>
      <c r="MAJ3" s="5"/>
      <c r="MAK3" s="5"/>
      <c r="MAL3" s="5"/>
      <c r="MAM3" s="5"/>
      <c r="MAN3" s="5"/>
      <c r="MAO3" s="5"/>
      <c r="MAP3" s="5"/>
      <c r="MAQ3" s="5"/>
      <c r="MAR3" s="5"/>
      <c r="MAS3" s="5"/>
      <c r="MAT3" s="5"/>
      <c r="MAU3" s="5"/>
      <c r="MAV3" s="5"/>
      <c r="MAW3" s="5"/>
      <c r="MAX3" s="5"/>
      <c r="MAY3" s="5"/>
      <c r="MAZ3" s="5"/>
      <c r="MBA3" s="5"/>
      <c r="MBB3" s="5"/>
      <c r="MBC3" s="5"/>
      <c r="MBD3" s="5"/>
      <c r="MBE3" s="5"/>
      <c r="MBF3" s="5"/>
      <c r="MBG3" s="5"/>
      <c r="MBH3" s="5"/>
      <c r="MBI3" s="5"/>
      <c r="MBJ3" s="5"/>
      <c r="MBK3" s="5"/>
      <c r="MBL3" s="5"/>
      <c r="MBM3" s="5"/>
      <c r="MBN3" s="5"/>
      <c r="MBO3" s="5"/>
      <c r="MBP3" s="5"/>
      <c r="MBQ3" s="5"/>
      <c r="MBR3" s="5"/>
      <c r="MBS3" s="5"/>
      <c r="MBT3" s="5"/>
      <c r="MBU3" s="5"/>
      <c r="MBV3" s="5"/>
      <c r="MBW3" s="5"/>
      <c r="MBX3" s="5"/>
      <c r="MBY3" s="5"/>
      <c r="MBZ3" s="5"/>
      <c r="MCA3" s="5"/>
      <c r="MCB3" s="5"/>
      <c r="MCC3" s="5"/>
      <c r="MCD3" s="5"/>
      <c r="MCE3" s="5"/>
      <c r="MCF3" s="5"/>
      <c r="MCG3" s="5"/>
      <c r="MCH3" s="5"/>
      <c r="MCI3" s="5"/>
      <c r="MCJ3" s="5"/>
      <c r="MCK3" s="5"/>
      <c r="MCL3" s="5"/>
      <c r="MCM3" s="5"/>
      <c r="MCN3" s="5"/>
      <c r="MCO3" s="5"/>
      <c r="MCP3" s="5"/>
      <c r="MCQ3" s="5"/>
      <c r="MCR3" s="5"/>
      <c r="MCS3" s="5"/>
      <c r="MCT3" s="5"/>
      <c r="MCU3" s="5"/>
      <c r="MCV3" s="5"/>
      <c r="MCW3" s="5"/>
      <c r="MCX3" s="5"/>
      <c r="MCY3" s="5"/>
      <c r="MCZ3" s="5"/>
      <c r="MDA3" s="5"/>
      <c r="MDB3" s="5"/>
      <c r="MDC3" s="5"/>
      <c r="MDD3" s="5"/>
      <c r="MDE3" s="5"/>
      <c r="MDF3" s="5"/>
      <c r="MDG3" s="5"/>
      <c r="MDH3" s="5"/>
      <c r="MDI3" s="5"/>
      <c r="MDJ3" s="5"/>
      <c r="MDK3" s="5"/>
      <c r="MDL3" s="5"/>
      <c r="MDM3" s="5"/>
      <c r="MDN3" s="5"/>
      <c r="MDO3" s="5"/>
      <c r="MDP3" s="5"/>
      <c r="MDQ3" s="5"/>
      <c r="MDR3" s="5"/>
      <c r="MDS3" s="5"/>
      <c r="MDT3" s="5"/>
      <c r="MDU3" s="5"/>
      <c r="MDV3" s="5"/>
      <c r="MDW3" s="5"/>
      <c r="MDX3" s="5"/>
      <c r="MDY3" s="5"/>
      <c r="MDZ3" s="5"/>
      <c r="MEA3" s="5"/>
      <c r="MEB3" s="5"/>
      <c r="MEC3" s="5"/>
      <c r="MED3" s="5"/>
      <c r="MEE3" s="5"/>
      <c r="MEF3" s="5"/>
      <c r="MEG3" s="5"/>
      <c r="MEH3" s="5"/>
      <c r="MEI3" s="5"/>
      <c r="MEJ3" s="5"/>
      <c r="MEK3" s="5"/>
      <c r="MEL3" s="5"/>
      <c r="MEM3" s="5"/>
      <c r="MEN3" s="5"/>
      <c r="MEO3" s="5"/>
      <c r="MEP3" s="5"/>
      <c r="MEQ3" s="5"/>
      <c r="MER3" s="5"/>
      <c r="MES3" s="5"/>
      <c r="MET3" s="5"/>
      <c r="MEU3" s="5"/>
      <c r="MEV3" s="5"/>
      <c r="MEW3" s="5"/>
      <c r="MEX3" s="5"/>
      <c r="MEY3" s="5"/>
      <c r="MEZ3" s="5"/>
      <c r="MFA3" s="5"/>
      <c r="MFB3" s="5"/>
      <c r="MFC3" s="5"/>
      <c r="MFD3" s="5"/>
      <c r="MFE3" s="5"/>
      <c r="MFF3" s="5"/>
      <c r="MFG3" s="5"/>
      <c r="MFH3" s="5"/>
      <c r="MFI3" s="5"/>
      <c r="MFJ3" s="5"/>
      <c r="MFK3" s="5"/>
      <c r="MFL3" s="5"/>
      <c r="MFM3" s="5"/>
      <c r="MFN3" s="5"/>
      <c r="MFO3" s="5"/>
      <c r="MFP3" s="5"/>
      <c r="MFQ3" s="5"/>
      <c r="MFR3" s="5"/>
      <c r="MFS3" s="5"/>
      <c r="MFT3" s="5"/>
      <c r="MFU3" s="5"/>
      <c r="MFV3" s="5"/>
      <c r="MFW3" s="5"/>
      <c r="MFX3" s="5"/>
      <c r="MFY3" s="5"/>
      <c r="MFZ3" s="5"/>
      <c r="MGA3" s="5"/>
      <c r="MGB3" s="5"/>
      <c r="MGC3" s="5"/>
      <c r="MGD3" s="5"/>
      <c r="MGE3" s="5"/>
      <c r="MGF3" s="5"/>
      <c r="MGG3" s="5"/>
      <c r="MGH3" s="5"/>
      <c r="MGI3" s="5"/>
      <c r="MGJ3" s="5"/>
      <c r="MGK3" s="5"/>
      <c r="MGL3" s="5"/>
      <c r="MGM3" s="5"/>
      <c r="MGN3" s="5"/>
      <c r="MGO3" s="5"/>
      <c r="MGP3" s="5"/>
      <c r="MGQ3" s="5"/>
      <c r="MGR3" s="5"/>
      <c r="MGS3" s="5"/>
      <c r="MGT3" s="5"/>
      <c r="MGU3" s="5"/>
      <c r="MGV3" s="5"/>
      <c r="MGW3" s="5"/>
      <c r="MGX3" s="5"/>
      <c r="MGY3" s="5"/>
      <c r="MGZ3" s="5"/>
      <c r="MHA3" s="5"/>
      <c r="MHB3" s="5"/>
      <c r="MHC3" s="5"/>
      <c r="MHD3" s="5"/>
      <c r="MHE3" s="5"/>
      <c r="MHF3" s="5"/>
      <c r="MHG3" s="5"/>
      <c r="MHH3" s="5"/>
      <c r="MHI3" s="5"/>
      <c r="MHJ3" s="5"/>
      <c r="MHK3" s="5"/>
      <c r="MHL3" s="5"/>
      <c r="MHM3" s="5"/>
      <c r="MHN3" s="5"/>
      <c r="MHO3" s="5"/>
      <c r="MHP3" s="5"/>
      <c r="MHQ3" s="5"/>
      <c r="MHR3" s="5"/>
      <c r="MHS3" s="5"/>
      <c r="MHT3" s="5"/>
      <c r="MHU3" s="5"/>
      <c r="MHV3" s="5"/>
      <c r="MHW3" s="5"/>
      <c r="MHX3" s="5"/>
      <c r="MHY3" s="5"/>
      <c r="MHZ3" s="5"/>
      <c r="MIA3" s="5"/>
      <c r="MIB3" s="5"/>
      <c r="MIC3" s="5"/>
      <c r="MID3" s="5"/>
      <c r="MIE3" s="5"/>
      <c r="MIF3" s="5"/>
      <c r="MIG3" s="5"/>
      <c r="MIH3" s="5"/>
      <c r="MII3" s="5"/>
      <c r="MIJ3" s="5"/>
      <c r="MIK3" s="5"/>
      <c r="MIL3" s="5"/>
      <c r="MIM3" s="5"/>
      <c r="MIN3" s="5"/>
      <c r="MIO3" s="5"/>
      <c r="MIP3" s="5"/>
      <c r="MIQ3" s="5"/>
      <c r="MIR3" s="5"/>
      <c r="MIS3" s="5"/>
      <c r="MIT3" s="5"/>
      <c r="MIU3" s="5"/>
      <c r="MIV3" s="5"/>
      <c r="MIW3" s="5"/>
      <c r="MIX3" s="5"/>
      <c r="MIY3" s="5"/>
      <c r="MIZ3" s="5"/>
      <c r="MJA3" s="5"/>
      <c r="MJB3" s="5"/>
      <c r="MJC3" s="5"/>
      <c r="MJD3" s="5"/>
      <c r="MJE3" s="5"/>
      <c r="MJF3" s="5"/>
      <c r="MJG3" s="5"/>
      <c r="MJH3" s="5"/>
      <c r="MJI3" s="5"/>
      <c r="MJJ3" s="5"/>
      <c r="MJK3" s="5"/>
      <c r="MJL3" s="5"/>
      <c r="MJM3" s="5"/>
      <c r="MJN3" s="5"/>
      <c r="MJO3" s="5"/>
      <c r="MJP3" s="5"/>
      <c r="MJQ3" s="5"/>
      <c r="MJR3" s="5"/>
      <c r="MJS3" s="5"/>
      <c r="MJT3" s="5"/>
      <c r="MJU3" s="5"/>
      <c r="MJV3" s="5"/>
      <c r="MJW3" s="5"/>
      <c r="MJX3" s="5"/>
      <c r="MJY3" s="5"/>
      <c r="MJZ3" s="5"/>
      <c r="MKA3" s="5"/>
      <c r="MKB3" s="5"/>
      <c r="MKC3" s="5"/>
      <c r="MKD3" s="5"/>
      <c r="MKE3" s="5"/>
      <c r="MKF3" s="5"/>
      <c r="MKG3" s="5"/>
      <c r="MKH3" s="5"/>
      <c r="MKI3" s="5"/>
      <c r="MKJ3" s="5"/>
      <c r="MKK3" s="5"/>
      <c r="MKL3" s="5"/>
      <c r="MKM3" s="5"/>
      <c r="MKN3" s="5"/>
      <c r="MKO3" s="5"/>
      <c r="MKP3" s="5"/>
      <c r="MKQ3" s="5"/>
      <c r="MKR3" s="5"/>
      <c r="MKS3" s="5"/>
      <c r="MKT3" s="5"/>
      <c r="MKU3" s="5"/>
      <c r="MKV3" s="5"/>
      <c r="MKW3" s="5"/>
      <c r="MKX3" s="5"/>
      <c r="MKY3" s="5"/>
      <c r="MKZ3" s="5"/>
      <c r="MLA3" s="5"/>
      <c r="MLB3" s="5"/>
      <c r="MLC3" s="5"/>
      <c r="MLD3" s="5"/>
      <c r="MLE3" s="5"/>
      <c r="MLF3" s="5"/>
      <c r="MLG3" s="5"/>
      <c r="MLH3" s="5"/>
      <c r="MLI3" s="5"/>
      <c r="MLJ3" s="5"/>
      <c r="MLK3" s="5"/>
      <c r="MLL3" s="5"/>
      <c r="MLM3" s="5"/>
      <c r="MLN3" s="5"/>
      <c r="MLO3" s="5"/>
      <c r="MLP3" s="5"/>
      <c r="MLQ3" s="5"/>
      <c r="MLR3" s="5"/>
      <c r="MLS3" s="5"/>
      <c r="MLT3" s="5"/>
      <c r="MLU3" s="5"/>
      <c r="MLV3" s="5"/>
      <c r="MLW3" s="5"/>
      <c r="MLX3" s="5"/>
      <c r="MLY3" s="5"/>
      <c r="MLZ3" s="5"/>
      <c r="MMA3" s="5"/>
      <c r="MMB3" s="5"/>
      <c r="MMC3" s="5"/>
      <c r="MMD3" s="5"/>
      <c r="MME3" s="5"/>
      <c r="MMF3" s="5"/>
      <c r="MMG3" s="5"/>
      <c r="MMH3" s="5"/>
      <c r="MMI3" s="5"/>
      <c r="MMJ3" s="5"/>
      <c r="MMK3" s="5"/>
      <c r="MML3" s="5"/>
      <c r="MMM3" s="5"/>
      <c r="MMN3" s="5"/>
      <c r="MMO3" s="5"/>
      <c r="MMP3" s="5"/>
      <c r="MMQ3" s="5"/>
      <c r="MMR3" s="5"/>
      <c r="MMS3" s="5"/>
      <c r="MMT3" s="5"/>
      <c r="MMU3" s="5"/>
      <c r="MMV3" s="5"/>
      <c r="MMW3" s="5"/>
      <c r="MMX3" s="5"/>
      <c r="MMY3" s="5"/>
      <c r="MMZ3" s="5"/>
      <c r="MNA3" s="5"/>
      <c r="MNB3" s="5"/>
      <c r="MNC3" s="5"/>
      <c r="MND3" s="5"/>
      <c r="MNE3" s="5"/>
      <c r="MNF3" s="5"/>
      <c r="MNG3" s="5"/>
      <c r="MNH3" s="5"/>
      <c r="MNI3" s="5"/>
      <c r="MNJ3" s="5"/>
      <c r="MNK3" s="5"/>
      <c r="MNL3" s="5"/>
      <c r="MNM3" s="5"/>
      <c r="MNN3" s="5"/>
      <c r="MNO3" s="5"/>
      <c r="MNP3" s="5"/>
      <c r="MNQ3" s="5"/>
      <c r="MNR3" s="5"/>
      <c r="MNS3" s="5"/>
      <c r="MNT3" s="5"/>
      <c r="MNU3" s="5"/>
      <c r="MNV3" s="5"/>
      <c r="MNW3" s="5"/>
      <c r="MNX3" s="5"/>
      <c r="MNY3" s="5"/>
      <c r="MNZ3" s="5"/>
      <c r="MOA3" s="5"/>
      <c r="MOB3" s="5"/>
      <c r="MOC3" s="5"/>
      <c r="MOD3" s="5"/>
      <c r="MOE3" s="5"/>
      <c r="MOF3" s="5"/>
      <c r="MOG3" s="5"/>
      <c r="MOH3" s="5"/>
      <c r="MOI3" s="5"/>
      <c r="MOJ3" s="5"/>
      <c r="MOK3" s="5"/>
      <c r="MOL3" s="5"/>
      <c r="MOM3" s="5"/>
      <c r="MON3" s="5"/>
      <c r="MOO3" s="5"/>
      <c r="MOP3" s="5"/>
      <c r="MOQ3" s="5"/>
      <c r="MOR3" s="5"/>
      <c r="MOS3" s="5"/>
      <c r="MOT3" s="5"/>
      <c r="MOU3" s="5"/>
      <c r="MOV3" s="5"/>
      <c r="MOW3" s="5"/>
      <c r="MOX3" s="5"/>
      <c r="MOY3" s="5"/>
      <c r="MOZ3" s="5"/>
      <c r="MPA3" s="5"/>
      <c r="MPB3" s="5"/>
      <c r="MPC3" s="5"/>
      <c r="MPD3" s="5"/>
      <c r="MPE3" s="5"/>
      <c r="MPF3" s="5"/>
      <c r="MPG3" s="5"/>
      <c r="MPH3" s="5"/>
      <c r="MPI3" s="5"/>
      <c r="MPJ3" s="5"/>
      <c r="MPK3" s="5"/>
      <c r="MPL3" s="5"/>
      <c r="MPM3" s="5"/>
      <c r="MPN3" s="5"/>
      <c r="MPO3" s="5"/>
      <c r="MPP3" s="5"/>
      <c r="MPQ3" s="5"/>
      <c r="MPR3" s="5"/>
      <c r="MPS3" s="5"/>
      <c r="MPT3" s="5"/>
      <c r="MPU3" s="5"/>
      <c r="MPV3" s="5"/>
      <c r="MPW3" s="5"/>
      <c r="MPX3" s="5"/>
      <c r="MPY3" s="5"/>
      <c r="MPZ3" s="5"/>
      <c r="MQA3" s="5"/>
      <c r="MQB3" s="5"/>
      <c r="MQC3" s="5"/>
      <c r="MQD3" s="5"/>
      <c r="MQE3" s="5"/>
      <c r="MQF3" s="5"/>
      <c r="MQG3" s="5"/>
      <c r="MQH3" s="5"/>
      <c r="MQI3" s="5"/>
      <c r="MQJ3" s="5"/>
      <c r="MQK3" s="5"/>
      <c r="MQL3" s="5"/>
      <c r="MQM3" s="5"/>
      <c r="MQN3" s="5"/>
      <c r="MQO3" s="5"/>
      <c r="MQP3" s="5"/>
      <c r="MQQ3" s="5"/>
      <c r="MQR3" s="5"/>
      <c r="MQS3" s="5"/>
      <c r="MQT3" s="5"/>
      <c r="MQU3" s="5"/>
      <c r="MQV3" s="5"/>
      <c r="MQW3" s="5"/>
      <c r="MQX3" s="5"/>
      <c r="MQY3" s="5"/>
      <c r="MQZ3" s="5"/>
      <c r="MRA3" s="5"/>
      <c r="MRB3" s="5"/>
      <c r="MRC3" s="5"/>
      <c r="MRD3" s="5"/>
      <c r="MRE3" s="5"/>
      <c r="MRF3" s="5"/>
      <c r="MRG3" s="5"/>
      <c r="MRH3" s="5"/>
      <c r="MRI3" s="5"/>
      <c r="MRJ3" s="5"/>
      <c r="MRK3" s="5"/>
      <c r="MRL3" s="5"/>
      <c r="MRM3" s="5"/>
      <c r="MRN3" s="5"/>
      <c r="MRO3" s="5"/>
      <c r="MRP3" s="5"/>
      <c r="MRQ3" s="5"/>
      <c r="MRR3" s="5"/>
      <c r="MRS3" s="5"/>
      <c r="MRT3" s="5"/>
      <c r="MRU3" s="5"/>
      <c r="MRV3" s="5"/>
      <c r="MRW3" s="5"/>
      <c r="MRX3" s="5"/>
      <c r="MRY3" s="5"/>
      <c r="MRZ3" s="5"/>
      <c r="MSA3" s="5"/>
      <c r="MSB3" s="5"/>
      <c r="MSC3" s="5"/>
      <c r="MSD3" s="5"/>
      <c r="MSE3" s="5"/>
      <c r="MSF3" s="5"/>
      <c r="MSG3" s="5"/>
      <c r="MSH3" s="5"/>
      <c r="MSI3" s="5"/>
      <c r="MSJ3" s="5"/>
      <c r="MSK3" s="5"/>
      <c r="MSL3" s="5"/>
      <c r="MSM3" s="5"/>
      <c r="MSN3" s="5"/>
      <c r="MSO3" s="5"/>
      <c r="MSP3" s="5"/>
      <c r="MSQ3" s="5"/>
      <c r="MSR3" s="5"/>
      <c r="MSS3" s="5"/>
      <c r="MST3" s="5"/>
      <c r="MSU3" s="5"/>
      <c r="MSV3" s="5"/>
      <c r="MSW3" s="5"/>
      <c r="MSX3" s="5"/>
      <c r="MSY3" s="5"/>
      <c r="MSZ3" s="5"/>
      <c r="MTA3" s="5"/>
      <c r="MTB3" s="5"/>
      <c r="MTC3" s="5"/>
      <c r="MTD3" s="5"/>
      <c r="MTE3" s="5"/>
      <c r="MTF3" s="5"/>
      <c r="MTG3" s="5"/>
      <c r="MTH3" s="5"/>
      <c r="MTI3" s="5"/>
      <c r="MTJ3" s="5"/>
      <c r="MTK3" s="5"/>
      <c r="MTL3" s="5"/>
      <c r="MTM3" s="5"/>
      <c r="MTN3" s="5"/>
      <c r="MTO3" s="5"/>
      <c r="MTP3" s="5"/>
      <c r="MTQ3" s="5"/>
      <c r="MTR3" s="5"/>
      <c r="MTS3" s="5"/>
      <c r="MTT3" s="5"/>
      <c r="MTU3" s="5"/>
      <c r="MTV3" s="5"/>
      <c r="MTW3" s="5"/>
      <c r="MTX3" s="5"/>
      <c r="MTY3" s="5"/>
      <c r="MTZ3" s="5"/>
      <c r="MUA3" s="5"/>
      <c r="MUB3" s="5"/>
      <c r="MUC3" s="5"/>
      <c r="MUD3" s="5"/>
      <c r="MUE3" s="5"/>
      <c r="MUF3" s="5"/>
      <c r="MUG3" s="5"/>
      <c r="MUH3" s="5"/>
      <c r="MUI3" s="5"/>
      <c r="MUJ3" s="5"/>
      <c r="MUK3" s="5"/>
      <c r="MUL3" s="5"/>
      <c r="MUM3" s="5"/>
      <c r="MUN3" s="5"/>
      <c r="MUO3" s="5"/>
      <c r="MUP3" s="5"/>
      <c r="MUQ3" s="5"/>
      <c r="MUR3" s="5"/>
      <c r="MUS3" s="5"/>
      <c r="MUT3" s="5"/>
      <c r="MUU3" s="5"/>
      <c r="MUV3" s="5"/>
      <c r="MUW3" s="5"/>
      <c r="MUX3" s="5"/>
      <c r="MUY3" s="5"/>
      <c r="MUZ3" s="5"/>
      <c r="MVA3" s="5"/>
      <c r="MVB3" s="5"/>
      <c r="MVC3" s="5"/>
      <c r="MVD3" s="5"/>
      <c r="MVE3" s="5"/>
      <c r="MVF3" s="5"/>
      <c r="MVG3" s="5"/>
      <c r="MVH3" s="5"/>
      <c r="MVI3" s="5"/>
      <c r="MVJ3" s="5"/>
      <c r="MVK3" s="5"/>
      <c r="MVL3" s="5"/>
      <c r="MVM3" s="5"/>
      <c r="MVN3" s="5"/>
      <c r="MVO3" s="5"/>
      <c r="MVP3" s="5"/>
      <c r="MVQ3" s="5"/>
      <c r="MVR3" s="5"/>
      <c r="MVS3" s="5"/>
      <c r="MVT3" s="5"/>
      <c r="MVU3" s="5"/>
      <c r="MVV3" s="5"/>
      <c r="MVW3" s="5"/>
      <c r="MVX3" s="5"/>
      <c r="MVY3" s="5"/>
      <c r="MVZ3" s="5"/>
      <c r="MWA3" s="5"/>
      <c r="MWB3" s="5"/>
      <c r="MWC3" s="5"/>
      <c r="MWD3" s="5"/>
      <c r="MWE3" s="5"/>
      <c r="MWF3" s="5"/>
      <c r="MWG3" s="5"/>
      <c r="MWH3" s="5"/>
      <c r="MWI3" s="5"/>
      <c r="MWJ3" s="5"/>
      <c r="MWK3" s="5"/>
      <c r="MWL3" s="5"/>
      <c r="MWM3" s="5"/>
      <c r="MWN3" s="5"/>
      <c r="MWO3" s="5"/>
      <c r="MWP3" s="5"/>
      <c r="MWQ3" s="5"/>
      <c r="MWR3" s="5"/>
      <c r="MWS3" s="5"/>
      <c r="MWT3" s="5"/>
      <c r="MWU3" s="5"/>
      <c r="MWV3" s="5"/>
      <c r="MWW3" s="5"/>
      <c r="MWX3" s="5"/>
      <c r="MWY3" s="5"/>
      <c r="MWZ3" s="5"/>
      <c r="MXA3" s="5"/>
      <c r="MXB3" s="5"/>
      <c r="MXC3" s="5"/>
      <c r="MXD3" s="5"/>
      <c r="MXE3" s="5"/>
      <c r="MXF3" s="5"/>
      <c r="MXG3" s="5"/>
      <c r="MXH3" s="5"/>
      <c r="MXI3" s="5"/>
      <c r="MXJ3" s="5"/>
      <c r="MXK3" s="5"/>
      <c r="MXL3" s="5"/>
      <c r="MXM3" s="5"/>
      <c r="MXN3" s="5"/>
      <c r="MXO3" s="5"/>
      <c r="MXP3" s="5"/>
      <c r="MXQ3" s="5"/>
      <c r="MXR3" s="5"/>
      <c r="MXS3" s="5"/>
      <c r="MXT3" s="5"/>
      <c r="MXU3" s="5"/>
      <c r="MXV3" s="5"/>
      <c r="MXW3" s="5"/>
      <c r="MXX3" s="5"/>
      <c r="MXY3" s="5"/>
      <c r="MXZ3" s="5"/>
      <c r="MYA3" s="5"/>
      <c r="MYB3" s="5"/>
      <c r="MYC3" s="5"/>
      <c r="MYD3" s="5"/>
      <c r="MYE3" s="5"/>
      <c r="MYF3" s="5"/>
      <c r="MYG3" s="5"/>
      <c r="MYH3" s="5"/>
      <c r="MYI3" s="5"/>
      <c r="MYJ3" s="5"/>
      <c r="MYK3" s="5"/>
      <c r="MYL3" s="5"/>
      <c r="MYM3" s="5"/>
      <c r="MYN3" s="5"/>
      <c r="MYO3" s="5"/>
      <c r="MYP3" s="5"/>
      <c r="MYQ3" s="5"/>
      <c r="MYR3" s="5"/>
      <c r="MYS3" s="5"/>
      <c r="MYT3" s="5"/>
      <c r="MYU3" s="5"/>
      <c r="MYV3" s="5"/>
      <c r="MYW3" s="5"/>
      <c r="MYX3" s="5"/>
      <c r="MYY3" s="5"/>
      <c r="MYZ3" s="5"/>
      <c r="MZA3" s="5"/>
      <c r="MZB3" s="5"/>
      <c r="MZC3" s="5"/>
      <c r="MZD3" s="5"/>
      <c r="MZE3" s="5"/>
      <c r="MZF3" s="5"/>
      <c r="MZG3" s="5"/>
      <c r="MZH3" s="5"/>
      <c r="MZI3" s="5"/>
      <c r="MZJ3" s="5"/>
      <c r="MZK3" s="5"/>
      <c r="MZL3" s="5"/>
      <c r="MZM3" s="5"/>
      <c r="MZN3" s="5"/>
      <c r="MZO3" s="5"/>
      <c r="MZP3" s="5"/>
      <c r="MZQ3" s="5"/>
      <c r="MZR3" s="5"/>
      <c r="MZS3" s="5"/>
      <c r="MZT3" s="5"/>
      <c r="MZU3" s="5"/>
      <c r="MZV3" s="5"/>
      <c r="MZW3" s="5"/>
      <c r="MZX3" s="5"/>
      <c r="MZY3" s="5"/>
      <c r="MZZ3" s="5"/>
      <c r="NAA3" s="5"/>
      <c r="NAB3" s="5"/>
      <c r="NAC3" s="5"/>
      <c r="NAD3" s="5"/>
      <c r="NAE3" s="5"/>
      <c r="NAF3" s="5"/>
      <c r="NAG3" s="5"/>
      <c r="NAH3" s="5"/>
      <c r="NAI3" s="5"/>
      <c r="NAJ3" s="5"/>
      <c r="NAK3" s="5"/>
      <c r="NAL3" s="5"/>
      <c r="NAM3" s="5"/>
      <c r="NAN3" s="5"/>
      <c r="NAO3" s="5"/>
      <c r="NAP3" s="5"/>
      <c r="NAQ3" s="5"/>
      <c r="NAR3" s="5"/>
      <c r="NAS3" s="5"/>
      <c r="NAT3" s="5"/>
      <c r="NAU3" s="5"/>
      <c r="NAV3" s="5"/>
      <c r="NAW3" s="5"/>
      <c r="NAX3" s="5"/>
      <c r="NAY3" s="5"/>
      <c r="NAZ3" s="5"/>
      <c r="NBA3" s="5"/>
      <c r="NBB3" s="5"/>
      <c r="NBC3" s="5"/>
      <c r="NBD3" s="5"/>
      <c r="NBE3" s="5"/>
      <c r="NBF3" s="5"/>
      <c r="NBG3" s="5"/>
      <c r="NBH3" s="5"/>
      <c r="NBI3" s="5"/>
      <c r="NBJ3" s="5"/>
      <c r="NBK3" s="5"/>
      <c r="NBL3" s="5"/>
      <c r="NBM3" s="5"/>
      <c r="NBN3" s="5"/>
      <c r="NBO3" s="5"/>
      <c r="NBP3" s="5"/>
      <c r="NBQ3" s="5"/>
      <c r="NBR3" s="5"/>
      <c r="NBS3" s="5"/>
      <c r="NBT3" s="5"/>
      <c r="NBU3" s="5"/>
      <c r="NBV3" s="5"/>
      <c r="NBW3" s="5"/>
      <c r="NBX3" s="5"/>
      <c r="NBY3" s="5"/>
      <c r="NBZ3" s="5"/>
      <c r="NCA3" s="5"/>
      <c r="NCB3" s="5"/>
      <c r="NCC3" s="5"/>
      <c r="NCD3" s="5"/>
      <c r="NCE3" s="5"/>
      <c r="NCF3" s="5"/>
      <c r="NCG3" s="5"/>
      <c r="NCH3" s="5"/>
      <c r="NCI3" s="5"/>
      <c r="NCJ3" s="5"/>
      <c r="NCK3" s="5"/>
      <c r="NCL3" s="5"/>
      <c r="NCM3" s="5"/>
      <c r="NCN3" s="5"/>
      <c r="NCO3" s="5"/>
      <c r="NCP3" s="5"/>
      <c r="NCQ3" s="5"/>
      <c r="NCR3" s="5"/>
      <c r="NCS3" s="5"/>
      <c r="NCT3" s="5"/>
      <c r="NCU3" s="5"/>
      <c r="NCV3" s="5"/>
      <c r="NCW3" s="5"/>
      <c r="NCX3" s="5"/>
      <c r="NCY3" s="5"/>
      <c r="NCZ3" s="5"/>
      <c r="NDA3" s="5"/>
      <c r="NDB3" s="5"/>
      <c r="NDC3" s="5"/>
      <c r="NDD3" s="5"/>
      <c r="NDE3" s="5"/>
      <c r="NDF3" s="5"/>
      <c r="NDG3" s="5"/>
      <c r="NDH3" s="5"/>
      <c r="NDI3" s="5"/>
      <c r="NDJ3" s="5"/>
      <c r="NDK3" s="5"/>
      <c r="NDL3" s="5"/>
      <c r="NDM3" s="5"/>
      <c r="NDN3" s="5"/>
      <c r="NDO3" s="5"/>
      <c r="NDP3" s="5"/>
      <c r="NDQ3" s="5"/>
      <c r="NDR3" s="5"/>
      <c r="NDS3" s="5"/>
      <c r="NDT3" s="5"/>
      <c r="NDU3" s="5"/>
      <c r="NDV3" s="5"/>
      <c r="NDW3" s="5"/>
      <c r="NDX3" s="5"/>
      <c r="NDY3" s="5"/>
      <c r="NDZ3" s="5"/>
      <c r="NEA3" s="5"/>
      <c r="NEB3" s="5"/>
      <c r="NEC3" s="5"/>
      <c r="NED3" s="5"/>
      <c r="NEE3" s="5"/>
      <c r="NEF3" s="5"/>
      <c r="NEG3" s="5"/>
      <c r="NEH3" s="5"/>
      <c r="NEI3" s="5"/>
      <c r="NEJ3" s="5"/>
      <c r="NEK3" s="5"/>
      <c r="NEL3" s="5"/>
      <c r="NEM3" s="5"/>
      <c r="NEN3" s="5"/>
      <c r="NEO3" s="5"/>
      <c r="NEP3" s="5"/>
      <c r="NEQ3" s="5"/>
      <c r="NER3" s="5"/>
      <c r="NES3" s="5"/>
      <c r="NET3" s="5"/>
      <c r="NEU3" s="5"/>
      <c r="NEV3" s="5"/>
      <c r="NEW3" s="5"/>
      <c r="NEX3" s="5"/>
      <c r="NEY3" s="5"/>
      <c r="NEZ3" s="5"/>
      <c r="NFA3" s="5"/>
      <c r="NFB3" s="5"/>
      <c r="NFC3" s="5"/>
      <c r="NFD3" s="5"/>
      <c r="NFE3" s="5"/>
      <c r="NFF3" s="5"/>
      <c r="NFG3" s="5"/>
      <c r="NFH3" s="5"/>
      <c r="NFI3" s="5"/>
      <c r="NFJ3" s="5"/>
      <c r="NFK3" s="5"/>
      <c r="NFL3" s="5"/>
      <c r="NFM3" s="5"/>
      <c r="NFN3" s="5"/>
      <c r="NFO3" s="5"/>
      <c r="NFP3" s="5"/>
      <c r="NFQ3" s="5"/>
      <c r="NFR3" s="5"/>
      <c r="NFS3" s="5"/>
      <c r="NFT3" s="5"/>
      <c r="NFU3" s="5"/>
      <c r="NFV3" s="5"/>
      <c r="NFW3" s="5"/>
      <c r="NFX3" s="5"/>
      <c r="NFY3" s="5"/>
      <c r="NFZ3" s="5"/>
      <c r="NGA3" s="5"/>
      <c r="NGB3" s="5"/>
      <c r="NGC3" s="5"/>
      <c r="NGD3" s="5"/>
      <c r="NGE3" s="5"/>
      <c r="NGF3" s="5"/>
      <c r="NGG3" s="5"/>
      <c r="NGH3" s="5"/>
      <c r="NGI3" s="5"/>
      <c r="NGJ3" s="5"/>
      <c r="NGK3" s="5"/>
      <c r="NGL3" s="5"/>
      <c r="NGM3" s="5"/>
      <c r="NGN3" s="5"/>
      <c r="NGO3" s="5"/>
      <c r="NGP3" s="5"/>
      <c r="NGQ3" s="5"/>
      <c r="NGR3" s="5"/>
      <c r="NGS3" s="5"/>
      <c r="NGT3" s="5"/>
      <c r="NGU3" s="5"/>
      <c r="NGV3" s="5"/>
      <c r="NGW3" s="5"/>
      <c r="NGX3" s="5"/>
      <c r="NGY3" s="5"/>
      <c r="NGZ3" s="5"/>
      <c r="NHA3" s="5"/>
      <c r="NHB3" s="5"/>
      <c r="NHC3" s="5"/>
      <c r="NHD3" s="5"/>
      <c r="NHE3" s="5"/>
      <c r="NHF3" s="5"/>
      <c r="NHG3" s="5"/>
      <c r="NHH3" s="5"/>
      <c r="NHI3" s="5"/>
      <c r="NHJ3" s="5"/>
      <c r="NHK3" s="5"/>
      <c r="NHL3" s="5"/>
      <c r="NHM3" s="5"/>
      <c r="NHN3" s="5"/>
      <c r="NHO3" s="5"/>
      <c r="NHP3" s="5"/>
      <c r="NHQ3" s="5"/>
      <c r="NHR3" s="5"/>
      <c r="NHS3" s="5"/>
      <c r="NHT3" s="5"/>
      <c r="NHU3" s="5"/>
      <c r="NHV3" s="5"/>
      <c r="NHW3" s="5"/>
      <c r="NHX3" s="5"/>
      <c r="NHY3" s="5"/>
      <c r="NHZ3" s="5"/>
      <c r="NIA3" s="5"/>
      <c r="NIB3" s="5"/>
      <c r="NIC3" s="5"/>
      <c r="NID3" s="5"/>
      <c r="NIE3" s="5"/>
      <c r="NIF3" s="5"/>
      <c r="NIG3" s="5"/>
      <c r="NIH3" s="5"/>
      <c r="NII3" s="5"/>
      <c r="NIJ3" s="5"/>
      <c r="NIK3" s="5"/>
      <c r="NIL3" s="5"/>
      <c r="NIM3" s="5"/>
      <c r="NIN3" s="5"/>
      <c r="NIO3" s="5"/>
      <c r="NIP3" s="5"/>
      <c r="NIQ3" s="5"/>
      <c r="NIR3" s="5"/>
      <c r="NIS3" s="5"/>
      <c r="NIT3" s="5"/>
      <c r="NIU3" s="5"/>
      <c r="NIV3" s="5"/>
      <c r="NIW3" s="5"/>
      <c r="NIX3" s="5"/>
      <c r="NIY3" s="5"/>
      <c r="NIZ3" s="5"/>
      <c r="NJA3" s="5"/>
      <c r="NJB3" s="5"/>
      <c r="NJC3" s="5"/>
      <c r="NJD3" s="5"/>
      <c r="NJE3" s="5"/>
      <c r="NJF3" s="5"/>
      <c r="NJG3" s="5"/>
      <c r="NJH3" s="5"/>
      <c r="NJI3" s="5"/>
      <c r="NJJ3" s="5"/>
      <c r="NJK3" s="5"/>
      <c r="NJL3" s="5"/>
      <c r="NJM3" s="5"/>
      <c r="NJN3" s="5"/>
      <c r="NJO3" s="5"/>
      <c r="NJP3" s="5"/>
      <c r="NJQ3" s="5"/>
      <c r="NJR3" s="5"/>
      <c r="NJS3" s="5"/>
      <c r="NJT3" s="5"/>
      <c r="NJU3" s="5"/>
      <c r="NJV3" s="5"/>
      <c r="NJW3" s="5"/>
      <c r="NJX3" s="5"/>
      <c r="NJY3" s="5"/>
      <c r="NJZ3" s="5"/>
      <c r="NKA3" s="5"/>
      <c r="NKB3" s="5"/>
      <c r="NKC3" s="5"/>
      <c r="NKD3" s="5"/>
      <c r="NKE3" s="5"/>
      <c r="NKF3" s="5"/>
      <c r="NKG3" s="5"/>
      <c r="NKH3" s="5"/>
      <c r="NKI3" s="5"/>
      <c r="NKJ3" s="5"/>
      <c r="NKK3" s="5"/>
      <c r="NKL3" s="5"/>
      <c r="NKM3" s="5"/>
      <c r="NKN3" s="5"/>
      <c r="NKO3" s="5"/>
      <c r="NKP3" s="5"/>
      <c r="NKQ3" s="5"/>
      <c r="NKR3" s="5"/>
      <c r="NKS3" s="5"/>
      <c r="NKT3" s="5"/>
      <c r="NKU3" s="5"/>
      <c r="NKV3" s="5"/>
      <c r="NKW3" s="5"/>
      <c r="NKX3" s="5"/>
      <c r="NKY3" s="5"/>
      <c r="NKZ3" s="5"/>
      <c r="NLA3" s="5"/>
      <c r="NLB3" s="5"/>
      <c r="NLC3" s="5"/>
      <c r="NLD3" s="5"/>
      <c r="NLE3" s="5"/>
      <c r="NLF3" s="5"/>
      <c r="NLG3" s="5"/>
      <c r="NLH3" s="5"/>
      <c r="NLI3" s="5"/>
      <c r="NLJ3" s="5"/>
      <c r="NLK3" s="5"/>
      <c r="NLL3" s="5"/>
      <c r="NLM3" s="5"/>
      <c r="NLN3" s="5"/>
      <c r="NLO3" s="5"/>
      <c r="NLP3" s="5"/>
      <c r="NLQ3" s="5"/>
      <c r="NLR3" s="5"/>
      <c r="NLS3" s="5"/>
      <c r="NLT3" s="5"/>
      <c r="NLU3" s="5"/>
      <c r="NLV3" s="5"/>
      <c r="NLW3" s="5"/>
      <c r="NLX3" s="5"/>
      <c r="NLY3" s="5"/>
      <c r="NLZ3" s="5"/>
      <c r="NMA3" s="5"/>
      <c r="NMB3" s="5"/>
      <c r="NMC3" s="5"/>
      <c r="NMD3" s="5"/>
      <c r="NME3" s="5"/>
      <c r="NMF3" s="5"/>
      <c r="NMG3" s="5"/>
      <c r="NMH3" s="5"/>
      <c r="NMI3" s="5"/>
      <c r="NMJ3" s="5"/>
      <c r="NMK3" s="5"/>
      <c r="NML3" s="5"/>
      <c r="NMM3" s="5"/>
      <c r="NMN3" s="5"/>
      <c r="NMO3" s="5"/>
      <c r="NMP3" s="5"/>
      <c r="NMQ3" s="5"/>
      <c r="NMR3" s="5"/>
      <c r="NMS3" s="5"/>
      <c r="NMT3" s="5"/>
      <c r="NMU3" s="5"/>
      <c r="NMV3" s="5"/>
      <c r="NMW3" s="5"/>
      <c r="NMX3" s="5"/>
      <c r="NMY3" s="5"/>
      <c r="NMZ3" s="5"/>
      <c r="NNA3" s="5"/>
      <c r="NNB3" s="5"/>
      <c r="NNC3" s="5"/>
      <c r="NND3" s="5"/>
      <c r="NNE3" s="5"/>
      <c r="NNF3" s="5"/>
      <c r="NNG3" s="5"/>
      <c r="NNH3" s="5"/>
      <c r="NNI3" s="5"/>
      <c r="NNJ3" s="5"/>
      <c r="NNK3" s="5"/>
      <c r="NNL3" s="5"/>
      <c r="NNM3" s="5"/>
      <c r="NNN3" s="5"/>
      <c r="NNO3" s="5"/>
      <c r="NNP3" s="5"/>
      <c r="NNQ3" s="5"/>
      <c r="NNR3" s="5"/>
      <c r="NNS3" s="5"/>
      <c r="NNT3" s="5"/>
      <c r="NNU3" s="5"/>
      <c r="NNV3" s="5"/>
      <c r="NNW3" s="5"/>
      <c r="NNX3" s="5"/>
      <c r="NNY3" s="5"/>
      <c r="NNZ3" s="5"/>
      <c r="NOA3" s="5"/>
      <c r="NOB3" s="5"/>
      <c r="NOC3" s="5"/>
      <c r="NOD3" s="5"/>
      <c r="NOE3" s="5"/>
      <c r="NOF3" s="5"/>
      <c r="NOG3" s="5"/>
      <c r="NOH3" s="5"/>
      <c r="NOI3" s="5"/>
      <c r="NOJ3" s="5"/>
      <c r="NOK3" s="5"/>
      <c r="NOL3" s="5"/>
      <c r="NOM3" s="5"/>
      <c r="NON3" s="5"/>
      <c r="NOO3" s="5"/>
      <c r="NOP3" s="5"/>
      <c r="NOQ3" s="5"/>
      <c r="NOR3" s="5"/>
      <c r="NOS3" s="5"/>
      <c r="NOT3" s="5"/>
      <c r="NOU3" s="5"/>
      <c r="NOV3" s="5"/>
      <c r="NOW3" s="5"/>
      <c r="NOX3" s="5"/>
      <c r="NOY3" s="5"/>
      <c r="NOZ3" s="5"/>
      <c r="NPA3" s="5"/>
      <c r="NPB3" s="5"/>
      <c r="NPC3" s="5"/>
      <c r="NPD3" s="5"/>
      <c r="NPE3" s="5"/>
      <c r="NPF3" s="5"/>
      <c r="NPG3" s="5"/>
      <c r="NPH3" s="5"/>
      <c r="NPI3" s="5"/>
      <c r="NPJ3" s="5"/>
      <c r="NPK3" s="5"/>
      <c r="NPL3" s="5"/>
      <c r="NPM3" s="5"/>
      <c r="NPN3" s="5"/>
      <c r="NPO3" s="5"/>
      <c r="NPP3" s="5"/>
      <c r="NPQ3" s="5"/>
      <c r="NPR3" s="5"/>
      <c r="NPS3" s="5"/>
      <c r="NPT3" s="5"/>
      <c r="NPU3" s="5"/>
      <c r="NPV3" s="5"/>
      <c r="NPW3" s="5"/>
      <c r="NPX3" s="5"/>
      <c r="NPY3" s="5"/>
      <c r="NPZ3" s="5"/>
      <c r="NQA3" s="5"/>
      <c r="NQB3" s="5"/>
      <c r="NQC3" s="5"/>
      <c r="NQD3" s="5"/>
      <c r="NQE3" s="5"/>
      <c r="NQF3" s="5"/>
      <c r="NQG3" s="5"/>
      <c r="NQH3" s="5"/>
      <c r="NQI3" s="5"/>
      <c r="NQJ3" s="5"/>
      <c r="NQK3" s="5"/>
      <c r="NQL3" s="5"/>
      <c r="NQM3" s="5"/>
      <c r="NQN3" s="5"/>
      <c r="NQO3" s="5"/>
      <c r="NQP3" s="5"/>
      <c r="NQQ3" s="5"/>
      <c r="NQR3" s="5"/>
      <c r="NQS3" s="5"/>
      <c r="NQT3" s="5"/>
      <c r="NQU3" s="5"/>
      <c r="NQV3" s="5"/>
      <c r="NQW3" s="5"/>
      <c r="NQX3" s="5"/>
      <c r="NQY3" s="5"/>
      <c r="NQZ3" s="5"/>
      <c r="NRA3" s="5"/>
      <c r="NRB3" s="5"/>
      <c r="NRC3" s="5"/>
      <c r="NRD3" s="5"/>
      <c r="NRE3" s="5"/>
      <c r="NRF3" s="5"/>
      <c r="NRG3" s="5"/>
      <c r="NRH3" s="5"/>
      <c r="NRI3" s="5"/>
      <c r="NRJ3" s="5"/>
      <c r="NRK3" s="5"/>
      <c r="NRL3" s="5"/>
      <c r="NRM3" s="5"/>
      <c r="NRN3" s="5"/>
      <c r="NRO3" s="5"/>
      <c r="NRP3" s="5"/>
      <c r="NRQ3" s="5"/>
      <c r="NRR3" s="5"/>
      <c r="NRS3" s="5"/>
      <c r="NRT3" s="5"/>
      <c r="NRU3" s="5"/>
      <c r="NRV3" s="5"/>
      <c r="NRW3" s="5"/>
      <c r="NRX3" s="5"/>
      <c r="NRY3" s="5"/>
      <c r="NRZ3" s="5"/>
      <c r="NSA3" s="5"/>
      <c r="NSB3" s="5"/>
      <c r="NSC3" s="5"/>
      <c r="NSD3" s="5"/>
      <c r="NSE3" s="5"/>
      <c r="NSF3" s="5"/>
      <c r="NSG3" s="5"/>
      <c r="NSH3" s="5"/>
      <c r="NSI3" s="5"/>
      <c r="NSJ3" s="5"/>
      <c r="NSK3" s="5"/>
      <c r="NSL3" s="5"/>
      <c r="NSM3" s="5"/>
      <c r="NSN3" s="5"/>
      <c r="NSO3" s="5"/>
      <c r="NSP3" s="5"/>
      <c r="NSQ3" s="5"/>
      <c r="NSR3" s="5"/>
      <c r="NSS3" s="5"/>
      <c r="NST3" s="5"/>
      <c r="NSU3" s="5"/>
      <c r="NSV3" s="5"/>
      <c r="NSW3" s="5"/>
      <c r="NSX3" s="5"/>
      <c r="NSY3" s="5"/>
      <c r="NSZ3" s="5"/>
      <c r="NTA3" s="5"/>
      <c r="NTB3" s="5"/>
      <c r="NTC3" s="5"/>
      <c r="NTD3" s="5"/>
      <c r="NTE3" s="5"/>
      <c r="NTF3" s="5"/>
      <c r="NTG3" s="5"/>
      <c r="NTH3" s="5"/>
      <c r="NTI3" s="5"/>
      <c r="NTJ3" s="5"/>
      <c r="NTK3" s="5"/>
      <c r="NTL3" s="5"/>
      <c r="NTM3" s="5"/>
      <c r="NTN3" s="5"/>
      <c r="NTO3" s="5"/>
      <c r="NTP3" s="5"/>
      <c r="NTQ3" s="5"/>
      <c r="NTR3" s="5"/>
      <c r="NTS3" s="5"/>
      <c r="NTT3" s="5"/>
      <c r="NTU3" s="5"/>
      <c r="NTV3" s="5"/>
      <c r="NTW3" s="5"/>
      <c r="NTX3" s="5"/>
      <c r="NTY3" s="5"/>
      <c r="NTZ3" s="5"/>
      <c r="NUA3" s="5"/>
      <c r="NUB3" s="5"/>
      <c r="NUC3" s="5"/>
      <c r="NUD3" s="5"/>
      <c r="NUE3" s="5"/>
      <c r="NUF3" s="5"/>
      <c r="NUG3" s="5"/>
      <c r="NUH3" s="5"/>
      <c r="NUI3" s="5"/>
      <c r="NUJ3" s="5"/>
      <c r="NUK3" s="5"/>
      <c r="NUL3" s="5"/>
      <c r="NUM3" s="5"/>
      <c r="NUN3" s="5"/>
      <c r="NUO3" s="5"/>
      <c r="NUP3" s="5"/>
      <c r="NUQ3" s="5"/>
      <c r="NUR3" s="5"/>
      <c r="NUS3" s="5"/>
      <c r="NUT3" s="5"/>
      <c r="NUU3" s="5"/>
      <c r="NUV3" s="5"/>
      <c r="NUW3" s="5"/>
      <c r="NUX3" s="5"/>
      <c r="NUY3" s="5"/>
      <c r="NUZ3" s="5"/>
      <c r="NVA3" s="5"/>
      <c r="NVB3" s="5"/>
      <c r="NVC3" s="5"/>
      <c r="NVD3" s="5"/>
      <c r="NVE3" s="5"/>
      <c r="NVF3" s="5"/>
      <c r="NVG3" s="5"/>
      <c r="NVH3" s="5"/>
      <c r="NVI3" s="5"/>
      <c r="NVJ3" s="5"/>
      <c r="NVK3" s="5"/>
      <c r="NVL3" s="5"/>
      <c r="NVM3" s="5"/>
      <c r="NVN3" s="5"/>
      <c r="NVO3" s="5"/>
      <c r="NVP3" s="5"/>
      <c r="NVQ3" s="5"/>
      <c r="NVR3" s="5"/>
      <c r="NVS3" s="5"/>
      <c r="NVT3" s="5"/>
      <c r="NVU3" s="5"/>
      <c r="NVV3" s="5"/>
      <c r="NVW3" s="5"/>
      <c r="NVX3" s="5"/>
      <c r="NVY3" s="5"/>
      <c r="NVZ3" s="5"/>
      <c r="NWA3" s="5"/>
      <c r="NWB3" s="5"/>
      <c r="NWC3" s="5"/>
      <c r="NWD3" s="5"/>
      <c r="NWE3" s="5"/>
      <c r="NWF3" s="5"/>
      <c r="NWG3" s="5"/>
      <c r="NWH3" s="5"/>
      <c r="NWI3" s="5"/>
      <c r="NWJ3" s="5"/>
      <c r="NWK3" s="5"/>
      <c r="NWL3" s="5"/>
      <c r="NWM3" s="5"/>
      <c r="NWN3" s="5"/>
      <c r="NWO3" s="5"/>
      <c r="NWP3" s="5"/>
      <c r="NWQ3" s="5"/>
      <c r="NWR3" s="5"/>
      <c r="NWS3" s="5"/>
      <c r="NWT3" s="5"/>
      <c r="NWU3" s="5"/>
      <c r="NWV3" s="5"/>
      <c r="NWW3" s="5"/>
      <c r="NWX3" s="5"/>
      <c r="NWY3" s="5"/>
      <c r="NWZ3" s="5"/>
      <c r="NXA3" s="5"/>
      <c r="NXB3" s="5"/>
      <c r="NXC3" s="5"/>
      <c r="NXD3" s="5"/>
      <c r="NXE3" s="5"/>
      <c r="NXF3" s="5"/>
      <c r="NXG3" s="5"/>
      <c r="NXH3" s="5"/>
      <c r="NXI3" s="5"/>
      <c r="NXJ3" s="5"/>
      <c r="NXK3" s="5"/>
      <c r="NXL3" s="5"/>
      <c r="NXM3" s="5"/>
      <c r="NXN3" s="5"/>
      <c r="NXO3" s="5"/>
      <c r="NXP3" s="5"/>
      <c r="NXQ3" s="5"/>
      <c r="NXR3" s="5"/>
      <c r="NXS3" s="5"/>
      <c r="NXT3" s="5"/>
      <c r="NXU3" s="5"/>
      <c r="NXV3" s="5"/>
      <c r="NXW3" s="5"/>
      <c r="NXX3" s="5"/>
      <c r="NXY3" s="5"/>
      <c r="NXZ3" s="5"/>
      <c r="NYA3" s="5"/>
      <c r="NYB3" s="5"/>
      <c r="NYC3" s="5"/>
      <c r="NYD3" s="5"/>
      <c r="NYE3" s="5"/>
      <c r="NYF3" s="5"/>
      <c r="NYG3" s="5"/>
      <c r="NYH3" s="5"/>
      <c r="NYI3" s="5"/>
      <c r="NYJ3" s="5"/>
      <c r="NYK3" s="5"/>
      <c r="NYL3" s="5"/>
      <c r="NYM3" s="5"/>
      <c r="NYN3" s="5"/>
      <c r="NYO3" s="5"/>
      <c r="NYP3" s="5"/>
      <c r="NYQ3" s="5"/>
      <c r="NYR3" s="5"/>
      <c r="NYS3" s="5"/>
      <c r="NYT3" s="5"/>
      <c r="NYU3" s="5"/>
      <c r="NYV3" s="5"/>
      <c r="NYW3" s="5"/>
      <c r="NYX3" s="5"/>
      <c r="NYY3" s="5"/>
      <c r="NYZ3" s="5"/>
      <c r="NZA3" s="5"/>
      <c r="NZB3" s="5"/>
      <c r="NZC3" s="5"/>
      <c r="NZD3" s="5"/>
      <c r="NZE3" s="5"/>
      <c r="NZF3" s="5"/>
      <c r="NZG3" s="5"/>
      <c r="NZH3" s="5"/>
      <c r="NZI3" s="5"/>
      <c r="NZJ3" s="5"/>
      <c r="NZK3" s="5"/>
      <c r="NZL3" s="5"/>
      <c r="NZM3" s="5"/>
      <c r="NZN3" s="5"/>
      <c r="NZO3" s="5"/>
      <c r="NZP3" s="5"/>
      <c r="NZQ3" s="5"/>
      <c r="NZR3" s="5"/>
      <c r="NZS3" s="5"/>
      <c r="NZT3" s="5"/>
      <c r="NZU3" s="5"/>
      <c r="NZV3" s="5"/>
      <c r="NZW3" s="5"/>
      <c r="NZX3" s="5"/>
      <c r="NZY3" s="5"/>
      <c r="NZZ3" s="5"/>
      <c r="OAA3" s="5"/>
      <c r="OAB3" s="5"/>
      <c r="OAC3" s="5"/>
      <c r="OAD3" s="5"/>
      <c r="OAE3" s="5"/>
      <c r="OAF3" s="5"/>
      <c r="OAG3" s="5"/>
      <c r="OAH3" s="5"/>
      <c r="OAI3" s="5"/>
      <c r="OAJ3" s="5"/>
      <c r="OAK3" s="5"/>
      <c r="OAL3" s="5"/>
      <c r="OAM3" s="5"/>
      <c r="OAN3" s="5"/>
      <c r="OAO3" s="5"/>
      <c r="OAP3" s="5"/>
      <c r="OAQ3" s="5"/>
      <c r="OAR3" s="5"/>
      <c r="OAS3" s="5"/>
      <c r="OAT3" s="5"/>
      <c r="OAU3" s="5"/>
      <c r="OAV3" s="5"/>
      <c r="OAW3" s="5"/>
      <c r="OAX3" s="5"/>
      <c r="OAY3" s="5"/>
      <c r="OAZ3" s="5"/>
      <c r="OBA3" s="5"/>
      <c r="OBB3" s="5"/>
      <c r="OBC3" s="5"/>
      <c r="OBD3" s="5"/>
      <c r="OBE3" s="5"/>
      <c r="OBF3" s="5"/>
      <c r="OBG3" s="5"/>
      <c r="OBH3" s="5"/>
      <c r="OBI3" s="5"/>
      <c r="OBJ3" s="5"/>
      <c r="OBK3" s="5"/>
      <c r="OBL3" s="5"/>
      <c r="OBM3" s="5"/>
      <c r="OBN3" s="5"/>
      <c r="OBO3" s="5"/>
      <c r="OBP3" s="5"/>
      <c r="OBQ3" s="5"/>
      <c r="OBR3" s="5"/>
      <c r="OBS3" s="5"/>
      <c r="OBT3" s="5"/>
      <c r="OBU3" s="5"/>
      <c r="OBV3" s="5"/>
      <c r="OBW3" s="5"/>
      <c r="OBX3" s="5"/>
      <c r="OBY3" s="5"/>
      <c r="OBZ3" s="5"/>
      <c r="OCA3" s="5"/>
      <c r="OCB3" s="5"/>
      <c r="OCC3" s="5"/>
      <c r="OCD3" s="5"/>
      <c r="OCE3" s="5"/>
      <c r="OCF3" s="5"/>
      <c r="OCG3" s="5"/>
      <c r="OCH3" s="5"/>
      <c r="OCI3" s="5"/>
      <c r="OCJ3" s="5"/>
      <c r="OCK3" s="5"/>
      <c r="OCL3" s="5"/>
      <c r="OCM3" s="5"/>
      <c r="OCN3" s="5"/>
      <c r="OCO3" s="5"/>
      <c r="OCP3" s="5"/>
      <c r="OCQ3" s="5"/>
      <c r="OCR3" s="5"/>
      <c r="OCS3" s="5"/>
      <c r="OCT3" s="5"/>
      <c r="OCU3" s="5"/>
      <c r="OCV3" s="5"/>
      <c r="OCW3" s="5"/>
      <c r="OCX3" s="5"/>
      <c r="OCY3" s="5"/>
      <c r="OCZ3" s="5"/>
      <c r="ODA3" s="5"/>
      <c r="ODB3" s="5"/>
      <c r="ODC3" s="5"/>
      <c r="ODD3" s="5"/>
      <c r="ODE3" s="5"/>
      <c r="ODF3" s="5"/>
      <c r="ODG3" s="5"/>
      <c r="ODH3" s="5"/>
      <c r="ODI3" s="5"/>
      <c r="ODJ3" s="5"/>
      <c r="ODK3" s="5"/>
      <c r="ODL3" s="5"/>
      <c r="ODM3" s="5"/>
      <c r="ODN3" s="5"/>
      <c r="ODO3" s="5"/>
      <c r="ODP3" s="5"/>
      <c r="ODQ3" s="5"/>
      <c r="ODR3" s="5"/>
      <c r="ODS3" s="5"/>
      <c r="ODT3" s="5"/>
      <c r="ODU3" s="5"/>
      <c r="ODV3" s="5"/>
      <c r="ODW3" s="5"/>
      <c r="ODX3" s="5"/>
      <c r="ODY3" s="5"/>
      <c r="ODZ3" s="5"/>
      <c r="OEA3" s="5"/>
      <c r="OEB3" s="5"/>
      <c r="OEC3" s="5"/>
      <c r="OED3" s="5"/>
      <c r="OEE3" s="5"/>
      <c r="OEF3" s="5"/>
      <c r="OEG3" s="5"/>
      <c r="OEH3" s="5"/>
      <c r="OEI3" s="5"/>
      <c r="OEJ3" s="5"/>
      <c r="OEK3" s="5"/>
      <c r="OEL3" s="5"/>
      <c r="OEM3" s="5"/>
      <c r="OEN3" s="5"/>
      <c r="OEO3" s="5"/>
      <c r="OEP3" s="5"/>
      <c r="OEQ3" s="5"/>
      <c r="OER3" s="5"/>
      <c r="OES3" s="5"/>
      <c r="OET3" s="5"/>
      <c r="OEU3" s="5"/>
      <c r="OEV3" s="5"/>
      <c r="OEW3" s="5"/>
      <c r="OEX3" s="5"/>
      <c r="OEY3" s="5"/>
      <c r="OEZ3" s="5"/>
      <c r="OFA3" s="5"/>
      <c r="OFB3" s="5"/>
      <c r="OFC3" s="5"/>
      <c r="OFD3" s="5"/>
      <c r="OFE3" s="5"/>
      <c r="OFF3" s="5"/>
      <c r="OFG3" s="5"/>
      <c r="OFH3" s="5"/>
      <c r="OFI3" s="5"/>
      <c r="OFJ3" s="5"/>
      <c r="OFK3" s="5"/>
      <c r="OFL3" s="5"/>
      <c r="OFM3" s="5"/>
      <c r="OFN3" s="5"/>
      <c r="OFO3" s="5"/>
      <c r="OFP3" s="5"/>
      <c r="OFQ3" s="5"/>
      <c r="OFR3" s="5"/>
      <c r="OFS3" s="5"/>
      <c r="OFT3" s="5"/>
      <c r="OFU3" s="5"/>
      <c r="OFV3" s="5"/>
      <c r="OFW3" s="5"/>
      <c r="OFX3" s="5"/>
      <c r="OFY3" s="5"/>
      <c r="OFZ3" s="5"/>
      <c r="OGA3" s="5"/>
      <c r="OGB3" s="5"/>
      <c r="OGC3" s="5"/>
      <c r="OGD3" s="5"/>
      <c r="OGE3" s="5"/>
      <c r="OGF3" s="5"/>
      <c r="OGG3" s="5"/>
      <c r="OGH3" s="5"/>
      <c r="OGI3" s="5"/>
      <c r="OGJ3" s="5"/>
      <c r="OGK3" s="5"/>
      <c r="OGL3" s="5"/>
      <c r="OGM3" s="5"/>
      <c r="OGN3" s="5"/>
      <c r="OGO3" s="5"/>
      <c r="OGP3" s="5"/>
      <c r="OGQ3" s="5"/>
      <c r="OGR3" s="5"/>
      <c r="OGS3" s="5"/>
      <c r="OGT3" s="5"/>
      <c r="OGU3" s="5"/>
      <c r="OGV3" s="5"/>
      <c r="OGW3" s="5"/>
      <c r="OGX3" s="5"/>
      <c r="OGY3" s="5"/>
      <c r="OGZ3" s="5"/>
      <c r="OHA3" s="5"/>
      <c r="OHB3" s="5"/>
      <c r="OHC3" s="5"/>
      <c r="OHD3" s="5"/>
      <c r="OHE3" s="5"/>
      <c r="OHF3" s="5"/>
      <c r="OHG3" s="5"/>
      <c r="OHH3" s="5"/>
      <c r="OHI3" s="5"/>
      <c r="OHJ3" s="5"/>
      <c r="OHK3" s="5"/>
      <c r="OHL3" s="5"/>
      <c r="OHM3" s="5"/>
      <c r="OHN3" s="5"/>
      <c r="OHO3" s="5"/>
      <c r="OHP3" s="5"/>
      <c r="OHQ3" s="5"/>
      <c r="OHR3" s="5"/>
      <c r="OHS3" s="5"/>
      <c r="OHT3" s="5"/>
      <c r="OHU3" s="5"/>
      <c r="OHV3" s="5"/>
      <c r="OHW3" s="5"/>
      <c r="OHX3" s="5"/>
      <c r="OHY3" s="5"/>
      <c r="OHZ3" s="5"/>
      <c r="OIA3" s="5"/>
      <c r="OIB3" s="5"/>
      <c r="OIC3" s="5"/>
      <c r="OID3" s="5"/>
      <c r="OIE3" s="5"/>
      <c r="OIF3" s="5"/>
      <c r="OIG3" s="5"/>
      <c r="OIH3" s="5"/>
      <c r="OII3" s="5"/>
      <c r="OIJ3" s="5"/>
      <c r="OIK3" s="5"/>
      <c r="OIL3" s="5"/>
      <c r="OIM3" s="5"/>
      <c r="OIN3" s="5"/>
      <c r="OIO3" s="5"/>
      <c r="OIP3" s="5"/>
      <c r="OIQ3" s="5"/>
      <c r="OIR3" s="5"/>
      <c r="OIS3" s="5"/>
      <c r="OIT3" s="5"/>
      <c r="OIU3" s="5"/>
      <c r="OIV3" s="5"/>
      <c r="OIW3" s="5"/>
      <c r="OIX3" s="5"/>
      <c r="OIY3" s="5"/>
      <c r="OIZ3" s="5"/>
      <c r="OJA3" s="5"/>
      <c r="OJB3" s="5"/>
      <c r="OJC3" s="5"/>
      <c r="OJD3" s="5"/>
      <c r="OJE3" s="5"/>
      <c r="OJF3" s="5"/>
      <c r="OJG3" s="5"/>
      <c r="OJH3" s="5"/>
      <c r="OJI3" s="5"/>
      <c r="OJJ3" s="5"/>
      <c r="OJK3" s="5"/>
      <c r="OJL3" s="5"/>
      <c r="OJM3" s="5"/>
      <c r="OJN3" s="5"/>
      <c r="OJO3" s="5"/>
      <c r="OJP3" s="5"/>
      <c r="OJQ3" s="5"/>
      <c r="OJR3" s="5"/>
      <c r="OJS3" s="5"/>
      <c r="OJT3" s="5"/>
      <c r="OJU3" s="5"/>
      <c r="OJV3" s="5"/>
      <c r="OJW3" s="5"/>
      <c r="OJX3" s="5"/>
      <c r="OJY3" s="5"/>
      <c r="OJZ3" s="5"/>
      <c r="OKA3" s="5"/>
      <c r="OKB3" s="5"/>
      <c r="OKC3" s="5"/>
      <c r="OKD3" s="5"/>
      <c r="OKE3" s="5"/>
      <c r="OKF3" s="5"/>
      <c r="OKG3" s="5"/>
      <c r="OKH3" s="5"/>
      <c r="OKI3" s="5"/>
      <c r="OKJ3" s="5"/>
      <c r="OKK3" s="5"/>
      <c r="OKL3" s="5"/>
      <c r="OKM3" s="5"/>
      <c r="OKN3" s="5"/>
      <c r="OKO3" s="5"/>
      <c r="OKP3" s="5"/>
      <c r="OKQ3" s="5"/>
      <c r="OKR3" s="5"/>
      <c r="OKS3" s="5"/>
      <c r="OKT3" s="5"/>
      <c r="OKU3" s="5"/>
      <c r="OKV3" s="5"/>
      <c r="OKW3" s="5"/>
      <c r="OKX3" s="5"/>
      <c r="OKY3" s="5"/>
      <c r="OKZ3" s="5"/>
      <c r="OLA3" s="5"/>
      <c r="OLB3" s="5"/>
      <c r="OLC3" s="5"/>
      <c r="OLD3" s="5"/>
      <c r="OLE3" s="5"/>
      <c r="OLF3" s="5"/>
      <c r="OLG3" s="5"/>
      <c r="OLH3" s="5"/>
      <c r="OLI3" s="5"/>
      <c r="OLJ3" s="5"/>
      <c r="OLK3" s="5"/>
      <c r="OLL3" s="5"/>
      <c r="OLM3" s="5"/>
      <c r="OLN3" s="5"/>
      <c r="OLO3" s="5"/>
      <c r="OLP3" s="5"/>
      <c r="OLQ3" s="5"/>
      <c r="OLR3" s="5"/>
      <c r="OLS3" s="5"/>
      <c r="OLT3" s="5"/>
      <c r="OLU3" s="5"/>
      <c r="OLV3" s="5"/>
      <c r="OLW3" s="5"/>
      <c r="OLX3" s="5"/>
      <c r="OLY3" s="5"/>
      <c r="OLZ3" s="5"/>
      <c r="OMA3" s="5"/>
      <c r="OMB3" s="5"/>
      <c r="OMC3" s="5"/>
      <c r="OMD3" s="5"/>
      <c r="OME3" s="5"/>
      <c r="OMF3" s="5"/>
      <c r="OMG3" s="5"/>
      <c r="OMH3" s="5"/>
      <c r="OMI3" s="5"/>
      <c r="OMJ3" s="5"/>
      <c r="OMK3" s="5"/>
      <c r="OML3" s="5"/>
      <c r="OMM3" s="5"/>
      <c r="OMN3" s="5"/>
      <c r="OMO3" s="5"/>
      <c r="OMP3" s="5"/>
      <c r="OMQ3" s="5"/>
      <c r="OMR3" s="5"/>
      <c r="OMS3" s="5"/>
      <c r="OMT3" s="5"/>
      <c r="OMU3" s="5"/>
      <c r="OMV3" s="5"/>
      <c r="OMW3" s="5"/>
      <c r="OMX3" s="5"/>
      <c r="OMY3" s="5"/>
      <c r="OMZ3" s="5"/>
      <c r="ONA3" s="5"/>
      <c r="ONB3" s="5"/>
      <c r="ONC3" s="5"/>
      <c r="OND3" s="5"/>
      <c r="ONE3" s="5"/>
      <c r="ONF3" s="5"/>
      <c r="ONG3" s="5"/>
      <c r="ONH3" s="5"/>
      <c r="ONI3" s="5"/>
      <c r="ONJ3" s="5"/>
      <c r="ONK3" s="5"/>
      <c r="ONL3" s="5"/>
      <c r="ONM3" s="5"/>
      <c r="ONN3" s="5"/>
      <c r="ONO3" s="5"/>
      <c r="ONP3" s="5"/>
      <c r="ONQ3" s="5"/>
      <c r="ONR3" s="5"/>
      <c r="ONS3" s="5"/>
      <c r="ONT3" s="5"/>
      <c r="ONU3" s="5"/>
      <c r="ONV3" s="5"/>
      <c r="ONW3" s="5"/>
      <c r="ONX3" s="5"/>
      <c r="ONY3" s="5"/>
      <c r="ONZ3" s="5"/>
      <c r="OOA3" s="5"/>
      <c r="OOB3" s="5"/>
      <c r="OOC3" s="5"/>
      <c r="OOD3" s="5"/>
      <c r="OOE3" s="5"/>
      <c r="OOF3" s="5"/>
      <c r="OOG3" s="5"/>
      <c r="OOH3" s="5"/>
      <c r="OOI3" s="5"/>
      <c r="OOJ3" s="5"/>
      <c r="OOK3" s="5"/>
      <c r="OOL3" s="5"/>
      <c r="OOM3" s="5"/>
      <c r="OON3" s="5"/>
      <c r="OOO3" s="5"/>
      <c r="OOP3" s="5"/>
      <c r="OOQ3" s="5"/>
      <c r="OOR3" s="5"/>
      <c r="OOS3" s="5"/>
      <c r="OOT3" s="5"/>
      <c r="OOU3" s="5"/>
      <c r="OOV3" s="5"/>
      <c r="OOW3" s="5"/>
      <c r="OOX3" s="5"/>
      <c r="OOY3" s="5"/>
      <c r="OOZ3" s="5"/>
      <c r="OPA3" s="5"/>
      <c r="OPB3" s="5"/>
      <c r="OPC3" s="5"/>
      <c r="OPD3" s="5"/>
      <c r="OPE3" s="5"/>
      <c r="OPF3" s="5"/>
      <c r="OPG3" s="5"/>
      <c r="OPH3" s="5"/>
      <c r="OPI3" s="5"/>
      <c r="OPJ3" s="5"/>
      <c r="OPK3" s="5"/>
      <c r="OPL3" s="5"/>
      <c r="OPM3" s="5"/>
      <c r="OPN3" s="5"/>
      <c r="OPO3" s="5"/>
      <c r="OPP3" s="5"/>
      <c r="OPQ3" s="5"/>
      <c r="OPR3" s="5"/>
      <c r="OPS3" s="5"/>
      <c r="OPT3" s="5"/>
      <c r="OPU3" s="5"/>
      <c r="OPV3" s="5"/>
      <c r="OPW3" s="5"/>
      <c r="OPX3" s="5"/>
      <c r="OPY3" s="5"/>
      <c r="OPZ3" s="5"/>
      <c r="OQA3" s="5"/>
      <c r="OQB3" s="5"/>
      <c r="OQC3" s="5"/>
      <c r="OQD3" s="5"/>
      <c r="OQE3" s="5"/>
      <c r="OQF3" s="5"/>
      <c r="OQG3" s="5"/>
      <c r="OQH3" s="5"/>
      <c r="OQI3" s="5"/>
      <c r="OQJ3" s="5"/>
      <c r="OQK3" s="5"/>
      <c r="OQL3" s="5"/>
      <c r="OQM3" s="5"/>
      <c r="OQN3" s="5"/>
      <c r="OQO3" s="5"/>
      <c r="OQP3" s="5"/>
      <c r="OQQ3" s="5"/>
      <c r="OQR3" s="5"/>
      <c r="OQS3" s="5"/>
      <c r="OQT3" s="5"/>
      <c r="OQU3" s="5"/>
      <c r="OQV3" s="5"/>
      <c r="OQW3" s="5"/>
      <c r="OQX3" s="5"/>
      <c r="OQY3" s="5"/>
      <c r="OQZ3" s="5"/>
      <c r="ORA3" s="5"/>
      <c r="ORB3" s="5"/>
      <c r="ORC3" s="5"/>
      <c r="ORD3" s="5"/>
      <c r="ORE3" s="5"/>
      <c r="ORF3" s="5"/>
      <c r="ORG3" s="5"/>
      <c r="ORH3" s="5"/>
      <c r="ORI3" s="5"/>
      <c r="ORJ3" s="5"/>
      <c r="ORK3" s="5"/>
      <c r="ORL3" s="5"/>
      <c r="ORM3" s="5"/>
      <c r="ORN3" s="5"/>
      <c r="ORO3" s="5"/>
      <c r="ORP3" s="5"/>
      <c r="ORQ3" s="5"/>
      <c r="ORR3" s="5"/>
      <c r="ORS3" s="5"/>
      <c r="ORT3" s="5"/>
      <c r="ORU3" s="5"/>
      <c r="ORV3" s="5"/>
      <c r="ORW3" s="5"/>
      <c r="ORX3" s="5"/>
      <c r="ORY3" s="5"/>
      <c r="ORZ3" s="5"/>
      <c r="OSA3" s="5"/>
      <c r="OSB3" s="5"/>
      <c r="OSC3" s="5"/>
      <c r="OSD3" s="5"/>
      <c r="OSE3" s="5"/>
      <c r="OSF3" s="5"/>
      <c r="OSG3" s="5"/>
      <c r="OSH3" s="5"/>
      <c r="OSI3" s="5"/>
      <c r="OSJ3" s="5"/>
      <c r="OSK3" s="5"/>
      <c r="OSL3" s="5"/>
      <c r="OSM3" s="5"/>
      <c r="OSN3" s="5"/>
      <c r="OSO3" s="5"/>
      <c r="OSP3" s="5"/>
      <c r="OSQ3" s="5"/>
      <c r="OSR3" s="5"/>
      <c r="OSS3" s="5"/>
      <c r="OST3" s="5"/>
      <c r="OSU3" s="5"/>
      <c r="OSV3" s="5"/>
      <c r="OSW3" s="5"/>
      <c r="OSX3" s="5"/>
      <c r="OSY3" s="5"/>
      <c r="OSZ3" s="5"/>
      <c r="OTA3" s="5"/>
      <c r="OTB3" s="5"/>
      <c r="OTC3" s="5"/>
      <c r="OTD3" s="5"/>
      <c r="OTE3" s="5"/>
      <c r="OTF3" s="5"/>
      <c r="OTG3" s="5"/>
      <c r="OTH3" s="5"/>
      <c r="OTI3" s="5"/>
      <c r="OTJ3" s="5"/>
      <c r="OTK3" s="5"/>
      <c r="OTL3" s="5"/>
      <c r="OTM3" s="5"/>
      <c r="OTN3" s="5"/>
      <c r="OTO3" s="5"/>
      <c r="OTP3" s="5"/>
      <c r="OTQ3" s="5"/>
      <c r="OTR3" s="5"/>
      <c r="OTS3" s="5"/>
      <c r="OTT3" s="5"/>
      <c r="OTU3" s="5"/>
      <c r="OTV3" s="5"/>
      <c r="OTW3" s="5"/>
      <c r="OTX3" s="5"/>
      <c r="OTY3" s="5"/>
      <c r="OTZ3" s="5"/>
      <c r="OUA3" s="5"/>
      <c r="OUB3" s="5"/>
      <c r="OUC3" s="5"/>
      <c r="OUD3" s="5"/>
      <c r="OUE3" s="5"/>
      <c r="OUF3" s="5"/>
      <c r="OUG3" s="5"/>
      <c r="OUH3" s="5"/>
      <c r="OUI3" s="5"/>
      <c r="OUJ3" s="5"/>
      <c r="OUK3" s="5"/>
      <c r="OUL3" s="5"/>
      <c r="OUM3" s="5"/>
      <c r="OUN3" s="5"/>
      <c r="OUO3" s="5"/>
      <c r="OUP3" s="5"/>
      <c r="OUQ3" s="5"/>
      <c r="OUR3" s="5"/>
      <c r="OUS3" s="5"/>
      <c r="OUT3" s="5"/>
      <c r="OUU3" s="5"/>
      <c r="OUV3" s="5"/>
      <c r="OUW3" s="5"/>
      <c r="OUX3" s="5"/>
      <c r="OUY3" s="5"/>
      <c r="OUZ3" s="5"/>
      <c r="OVA3" s="5"/>
      <c r="OVB3" s="5"/>
      <c r="OVC3" s="5"/>
      <c r="OVD3" s="5"/>
      <c r="OVE3" s="5"/>
      <c r="OVF3" s="5"/>
      <c r="OVG3" s="5"/>
      <c r="OVH3" s="5"/>
      <c r="OVI3" s="5"/>
      <c r="OVJ3" s="5"/>
      <c r="OVK3" s="5"/>
      <c r="OVL3" s="5"/>
      <c r="OVM3" s="5"/>
      <c r="OVN3" s="5"/>
      <c r="OVO3" s="5"/>
      <c r="OVP3" s="5"/>
      <c r="OVQ3" s="5"/>
      <c r="OVR3" s="5"/>
      <c r="OVS3" s="5"/>
      <c r="OVT3" s="5"/>
      <c r="OVU3" s="5"/>
      <c r="OVV3" s="5"/>
      <c r="OVW3" s="5"/>
      <c r="OVX3" s="5"/>
      <c r="OVY3" s="5"/>
      <c r="OVZ3" s="5"/>
      <c r="OWA3" s="5"/>
      <c r="OWB3" s="5"/>
      <c r="OWC3" s="5"/>
      <c r="OWD3" s="5"/>
      <c r="OWE3" s="5"/>
      <c r="OWF3" s="5"/>
      <c r="OWG3" s="5"/>
      <c r="OWH3" s="5"/>
      <c r="OWI3" s="5"/>
      <c r="OWJ3" s="5"/>
      <c r="OWK3" s="5"/>
      <c r="OWL3" s="5"/>
      <c r="OWM3" s="5"/>
      <c r="OWN3" s="5"/>
      <c r="OWO3" s="5"/>
      <c r="OWP3" s="5"/>
      <c r="OWQ3" s="5"/>
      <c r="OWR3" s="5"/>
      <c r="OWS3" s="5"/>
      <c r="OWT3" s="5"/>
      <c r="OWU3" s="5"/>
      <c r="OWV3" s="5"/>
      <c r="OWW3" s="5"/>
      <c r="OWX3" s="5"/>
      <c r="OWY3" s="5"/>
      <c r="OWZ3" s="5"/>
      <c r="OXA3" s="5"/>
      <c r="OXB3" s="5"/>
      <c r="OXC3" s="5"/>
      <c r="OXD3" s="5"/>
      <c r="OXE3" s="5"/>
      <c r="OXF3" s="5"/>
      <c r="OXG3" s="5"/>
      <c r="OXH3" s="5"/>
      <c r="OXI3" s="5"/>
      <c r="OXJ3" s="5"/>
      <c r="OXK3" s="5"/>
      <c r="OXL3" s="5"/>
      <c r="OXM3" s="5"/>
      <c r="OXN3" s="5"/>
      <c r="OXO3" s="5"/>
      <c r="OXP3" s="5"/>
      <c r="OXQ3" s="5"/>
      <c r="OXR3" s="5"/>
      <c r="OXS3" s="5"/>
      <c r="OXT3" s="5"/>
      <c r="OXU3" s="5"/>
      <c r="OXV3" s="5"/>
      <c r="OXW3" s="5"/>
      <c r="OXX3" s="5"/>
      <c r="OXY3" s="5"/>
      <c r="OXZ3" s="5"/>
      <c r="OYA3" s="5"/>
      <c r="OYB3" s="5"/>
      <c r="OYC3" s="5"/>
      <c r="OYD3" s="5"/>
      <c r="OYE3" s="5"/>
      <c r="OYF3" s="5"/>
      <c r="OYG3" s="5"/>
      <c r="OYH3" s="5"/>
      <c r="OYI3" s="5"/>
      <c r="OYJ3" s="5"/>
      <c r="OYK3" s="5"/>
      <c r="OYL3" s="5"/>
      <c r="OYM3" s="5"/>
      <c r="OYN3" s="5"/>
      <c r="OYO3" s="5"/>
      <c r="OYP3" s="5"/>
      <c r="OYQ3" s="5"/>
      <c r="OYR3" s="5"/>
      <c r="OYS3" s="5"/>
      <c r="OYT3" s="5"/>
      <c r="OYU3" s="5"/>
      <c r="OYV3" s="5"/>
      <c r="OYW3" s="5"/>
      <c r="OYX3" s="5"/>
      <c r="OYY3" s="5"/>
      <c r="OYZ3" s="5"/>
      <c r="OZA3" s="5"/>
      <c r="OZB3" s="5"/>
      <c r="OZC3" s="5"/>
      <c r="OZD3" s="5"/>
      <c r="OZE3" s="5"/>
      <c r="OZF3" s="5"/>
      <c r="OZG3" s="5"/>
      <c r="OZH3" s="5"/>
      <c r="OZI3" s="5"/>
      <c r="OZJ3" s="5"/>
      <c r="OZK3" s="5"/>
      <c r="OZL3" s="5"/>
      <c r="OZM3" s="5"/>
      <c r="OZN3" s="5"/>
      <c r="OZO3" s="5"/>
      <c r="OZP3" s="5"/>
      <c r="OZQ3" s="5"/>
      <c r="OZR3" s="5"/>
      <c r="OZS3" s="5"/>
      <c r="OZT3" s="5"/>
      <c r="OZU3" s="5"/>
      <c r="OZV3" s="5"/>
      <c r="OZW3" s="5"/>
      <c r="OZX3" s="5"/>
      <c r="OZY3" s="5"/>
      <c r="OZZ3" s="5"/>
      <c r="PAA3" s="5"/>
      <c r="PAB3" s="5"/>
      <c r="PAC3" s="5"/>
      <c r="PAD3" s="5"/>
      <c r="PAE3" s="5"/>
      <c r="PAF3" s="5"/>
      <c r="PAG3" s="5"/>
      <c r="PAH3" s="5"/>
      <c r="PAI3" s="5"/>
      <c r="PAJ3" s="5"/>
      <c r="PAK3" s="5"/>
      <c r="PAL3" s="5"/>
      <c r="PAM3" s="5"/>
      <c r="PAN3" s="5"/>
      <c r="PAO3" s="5"/>
      <c r="PAP3" s="5"/>
      <c r="PAQ3" s="5"/>
      <c r="PAR3" s="5"/>
      <c r="PAS3" s="5"/>
      <c r="PAT3" s="5"/>
      <c r="PAU3" s="5"/>
      <c r="PAV3" s="5"/>
      <c r="PAW3" s="5"/>
      <c r="PAX3" s="5"/>
      <c r="PAY3" s="5"/>
      <c r="PAZ3" s="5"/>
      <c r="PBA3" s="5"/>
      <c r="PBB3" s="5"/>
      <c r="PBC3" s="5"/>
      <c r="PBD3" s="5"/>
      <c r="PBE3" s="5"/>
      <c r="PBF3" s="5"/>
      <c r="PBG3" s="5"/>
      <c r="PBH3" s="5"/>
      <c r="PBI3" s="5"/>
      <c r="PBJ3" s="5"/>
      <c r="PBK3" s="5"/>
      <c r="PBL3" s="5"/>
      <c r="PBM3" s="5"/>
      <c r="PBN3" s="5"/>
      <c r="PBO3" s="5"/>
      <c r="PBP3" s="5"/>
      <c r="PBQ3" s="5"/>
      <c r="PBR3" s="5"/>
      <c r="PBS3" s="5"/>
      <c r="PBT3" s="5"/>
      <c r="PBU3" s="5"/>
      <c r="PBV3" s="5"/>
      <c r="PBW3" s="5"/>
      <c r="PBX3" s="5"/>
      <c r="PBY3" s="5"/>
      <c r="PBZ3" s="5"/>
      <c r="PCA3" s="5"/>
      <c r="PCB3" s="5"/>
      <c r="PCC3" s="5"/>
      <c r="PCD3" s="5"/>
      <c r="PCE3" s="5"/>
      <c r="PCF3" s="5"/>
      <c r="PCG3" s="5"/>
      <c r="PCH3" s="5"/>
      <c r="PCI3" s="5"/>
      <c r="PCJ3" s="5"/>
      <c r="PCK3" s="5"/>
      <c r="PCL3" s="5"/>
      <c r="PCM3" s="5"/>
      <c r="PCN3" s="5"/>
      <c r="PCO3" s="5"/>
      <c r="PCP3" s="5"/>
      <c r="PCQ3" s="5"/>
      <c r="PCR3" s="5"/>
      <c r="PCS3" s="5"/>
      <c r="PCT3" s="5"/>
      <c r="PCU3" s="5"/>
      <c r="PCV3" s="5"/>
      <c r="PCW3" s="5"/>
      <c r="PCX3" s="5"/>
      <c r="PCY3" s="5"/>
      <c r="PCZ3" s="5"/>
      <c r="PDA3" s="5"/>
      <c r="PDB3" s="5"/>
      <c r="PDC3" s="5"/>
      <c r="PDD3" s="5"/>
      <c r="PDE3" s="5"/>
      <c r="PDF3" s="5"/>
      <c r="PDG3" s="5"/>
      <c r="PDH3" s="5"/>
      <c r="PDI3" s="5"/>
      <c r="PDJ3" s="5"/>
      <c r="PDK3" s="5"/>
      <c r="PDL3" s="5"/>
      <c r="PDM3" s="5"/>
      <c r="PDN3" s="5"/>
      <c r="PDO3" s="5"/>
      <c r="PDP3" s="5"/>
      <c r="PDQ3" s="5"/>
      <c r="PDR3" s="5"/>
      <c r="PDS3" s="5"/>
      <c r="PDT3" s="5"/>
      <c r="PDU3" s="5"/>
      <c r="PDV3" s="5"/>
      <c r="PDW3" s="5"/>
      <c r="PDX3" s="5"/>
      <c r="PDY3" s="5"/>
      <c r="PDZ3" s="5"/>
      <c r="PEA3" s="5"/>
      <c r="PEB3" s="5"/>
      <c r="PEC3" s="5"/>
      <c r="PED3" s="5"/>
      <c r="PEE3" s="5"/>
      <c r="PEF3" s="5"/>
      <c r="PEG3" s="5"/>
      <c r="PEH3" s="5"/>
      <c r="PEI3" s="5"/>
      <c r="PEJ3" s="5"/>
      <c r="PEK3" s="5"/>
      <c r="PEL3" s="5"/>
      <c r="PEM3" s="5"/>
      <c r="PEN3" s="5"/>
      <c r="PEO3" s="5"/>
      <c r="PEP3" s="5"/>
      <c r="PEQ3" s="5"/>
      <c r="PER3" s="5"/>
      <c r="PES3" s="5"/>
      <c r="PET3" s="5"/>
      <c r="PEU3" s="5"/>
      <c r="PEV3" s="5"/>
      <c r="PEW3" s="5"/>
      <c r="PEX3" s="5"/>
      <c r="PEY3" s="5"/>
      <c r="PEZ3" s="5"/>
      <c r="PFA3" s="5"/>
      <c r="PFB3" s="5"/>
      <c r="PFC3" s="5"/>
      <c r="PFD3" s="5"/>
      <c r="PFE3" s="5"/>
      <c r="PFF3" s="5"/>
      <c r="PFG3" s="5"/>
      <c r="PFH3" s="5"/>
      <c r="PFI3" s="5"/>
      <c r="PFJ3" s="5"/>
      <c r="PFK3" s="5"/>
      <c r="PFL3" s="5"/>
      <c r="PFM3" s="5"/>
      <c r="PFN3" s="5"/>
      <c r="PFO3" s="5"/>
      <c r="PFP3" s="5"/>
      <c r="PFQ3" s="5"/>
      <c r="PFR3" s="5"/>
      <c r="PFS3" s="5"/>
      <c r="PFT3" s="5"/>
      <c r="PFU3" s="5"/>
      <c r="PFV3" s="5"/>
      <c r="PFW3" s="5"/>
      <c r="PFX3" s="5"/>
      <c r="PFY3" s="5"/>
      <c r="PFZ3" s="5"/>
      <c r="PGA3" s="5"/>
      <c r="PGB3" s="5"/>
      <c r="PGC3" s="5"/>
      <c r="PGD3" s="5"/>
      <c r="PGE3" s="5"/>
      <c r="PGF3" s="5"/>
      <c r="PGG3" s="5"/>
      <c r="PGH3" s="5"/>
      <c r="PGI3" s="5"/>
      <c r="PGJ3" s="5"/>
      <c r="PGK3" s="5"/>
      <c r="PGL3" s="5"/>
      <c r="PGM3" s="5"/>
      <c r="PGN3" s="5"/>
      <c r="PGO3" s="5"/>
      <c r="PGP3" s="5"/>
      <c r="PGQ3" s="5"/>
      <c r="PGR3" s="5"/>
      <c r="PGS3" s="5"/>
      <c r="PGT3" s="5"/>
      <c r="PGU3" s="5"/>
      <c r="PGV3" s="5"/>
      <c r="PGW3" s="5"/>
      <c r="PGX3" s="5"/>
      <c r="PGY3" s="5"/>
      <c r="PGZ3" s="5"/>
      <c r="PHA3" s="5"/>
      <c r="PHB3" s="5"/>
      <c r="PHC3" s="5"/>
      <c r="PHD3" s="5"/>
      <c r="PHE3" s="5"/>
      <c r="PHF3" s="5"/>
      <c r="PHG3" s="5"/>
      <c r="PHH3" s="5"/>
      <c r="PHI3" s="5"/>
      <c r="PHJ3" s="5"/>
      <c r="PHK3" s="5"/>
      <c r="PHL3" s="5"/>
      <c r="PHM3" s="5"/>
      <c r="PHN3" s="5"/>
      <c r="PHO3" s="5"/>
      <c r="PHP3" s="5"/>
      <c r="PHQ3" s="5"/>
      <c r="PHR3" s="5"/>
      <c r="PHS3" s="5"/>
      <c r="PHT3" s="5"/>
      <c r="PHU3" s="5"/>
      <c r="PHV3" s="5"/>
      <c r="PHW3" s="5"/>
      <c r="PHX3" s="5"/>
      <c r="PHY3" s="5"/>
      <c r="PHZ3" s="5"/>
      <c r="PIA3" s="5"/>
      <c r="PIB3" s="5"/>
      <c r="PIC3" s="5"/>
      <c r="PID3" s="5"/>
      <c r="PIE3" s="5"/>
      <c r="PIF3" s="5"/>
      <c r="PIG3" s="5"/>
      <c r="PIH3" s="5"/>
      <c r="PII3" s="5"/>
      <c r="PIJ3" s="5"/>
      <c r="PIK3" s="5"/>
      <c r="PIL3" s="5"/>
      <c r="PIM3" s="5"/>
      <c r="PIN3" s="5"/>
      <c r="PIO3" s="5"/>
      <c r="PIP3" s="5"/>
      <c r="PIQ3" s="5"/>
      <c r="PIR3" s="5"/>
      <c r="PIS3" s="5"/>
      <c r="PIT3" s="5"/>
      <c r="PIU3" s="5"/>
      <c r="PIV3" s="5"/>
      <c r="PIW3" s="5"/>
      <c r="PIX3" s="5"/>
      <c r="PIY3" s="5"/>
      <c r="PIZ3" s="5"/>
      <c r="PJA3" s="5"/>
      <c r="PJB3" s="5"/>
      <c r="PJC3" s="5"/>
      <c r="PJD3" s="5"/>
      <c r="PJE3" s="5"/>
      <c r="PJF3" s="5"/>
      <c r="PJG3" s="5"/>
      <c r="PJH3" s="5"/>
      <c r="PJI3" s="5"/>
      <c r="PJJ3" s="5"/>
      <c r="PJK3" s="5"/>
      <c r="PJL3" s="5"/>
      <c r="PJM3" s="5"/>
      <c r="PJN3" s="5"/>
      <c r="PJO3" s="5"/>
      <c r="PJP3" s="5"/>
      <c r="PJQ3" s="5"/>
      <c r="PJR3" s="5"/>
      <c r="PJS3" s="5"/>
      <c r="PJT3" s="5"/>
      <c r="PJU3" s="5"/>
      <c r="PJV3" s="5"/>
      <c r="PJW3" s="5"/>
      <c r="PJX3" s="5"/>
      <c r="PJY3" s="5"/>
      <c r="PJZ3" s="5"/>
      <c r="PKA3" s="5"/>
      <c r="PKB3" s="5"/>
      <c r="PKC3" s="5"/>
      <c r="PKD3" s="5"/>
      <c r="PKE3" s="5"/>
      <c r="PKF3" s="5"/>
      <c r="PKG3" s="5"/>
      <c r="PKH3" s="5"/>
      <c r="PKI3" s="5"/>
      <c r="PKJ3" s="5"/>
      <c r="PKK3" s="5"/>
      <c r="PKL3" s="5"/>
      <c r="PKM3" s="5"/>
      <c r="PKN3" s="5"/>
      <c r="PKO3" s="5"/>
      <c r="PKP3" s="5"/>
      <c r="PKQ3" s="5"/>
      <c r="PKR3" s="5"/>
      <c r="PKS3" s="5"/>
      <c r="PKT3" s="5"/>
      <c r="PKU3" s="5"/>
      <c r="PKV3" s="5"/>
      <c r="PKW3" s="5"/>
      <c r="PKX3" s="5"/>
      <c r="PKY3" s="5"/>
      <c r="PKZ3" s="5"/>
      <c r="PLA3" s="5"/>
      <c r="PLB3" s="5"/>
      <c r="PLC3" s="5"/>
      <c r="PLD3" s="5"/>
      <c r="PLE3" s="5"/>
      <c r="PLF3" s="5"/>
      <c r="PLG3" s="5"/>
      <c r="PLH3" s="5"/>
      <c r="PLI3" s="5"/>
      <c r="PLJ3" s="5"/>
      <c r="PLK3" s="5"/>
      <c r="PLL3" s="5"/>
      <c r="PLM3" s="5"/>
      <c r="PLN3" s="5"/>
      <c r="PLO3" s="5"/>
      <c r="PLP3" s="5"/>
      <c r="PLQ3" s="5"/>
      <c r="PLR3" s="5"/>
      <c r="PLS3" s="5"/>
      <c r="PLT3" s="5"/>
      <c r="PLU3" s="5"/>
      <c r="PLV3" s="5"/>
      <c r="PLW3" s="5"/>
      <c r="PLX3" s="5"/>
      <c r="PLY3" s="5"/>
      <c r="PLZ3" s="5"/>
      <c r="PMA3" s="5"/>
      <c r="PMB3" s="5"/>
      <c r="PMC3" s="5"/>
      <c r="PMD3" s="5"/>
      <c r="PME3" s="5"/>
      <c r="PMF3" s="5"/>
      <c r="PMG3" s="5"/>
      <c r="PMH3" s="5"/>
      <c r="PMI3" s="5"/>
      <c r="PMJ3" s="5"/>
      <c r="PMK3" s="5"/>
      <c r="PML3" s="5"/>
      <c r="PMM3" s="5"/>
      <c r="PMN3" s="5"/>
      <c r="PMO3" s="5"/>
      <c r="PMP3" s="5"/>
      <c r="PMQ3" s="5"/>
      <c r="PMR3" s="5"/>
      <c r="PMS3" s="5"/>
      <c r="PMT3" s="5"/>
      <c r="PMU3" s="5"/>
      <c r="PMV3" s="5"/>
      <c r="PMW3" s="5"/>
      <c r="PMX3" s="5"/>
      <c r="PMY3" s="5"/>
      <c r="PMZ3" s="5"/>
      <c r="PNA3" s="5"/>
      <c r="PNB3" s="5"/>
      <c r="PNC3" s="5"/>
      <c r="PND3" s="5"/>
      <c r="PNE3" s="5"/>
      <c r="PNF3" s="5"/>
      <c r="PNG3" s="5"/>
      <c r="PNH3" s="5"/>
      <c r="PNI3" s="5"/>
      <c r="PNJ3" s="5"/>
      <c r="PNK3" s="5"/>
      <c r="PNL3" s="5"/>
      <c r="PNM3" s="5"/>
      <c r="PNN3" s="5"/>
      <c r="PNO3" s="5"/>
      <c r="PNP3" s="5"/>
      <c r="PNQ3" s="5"/>
      <c r="PNR3" s="5"/>
      <c r="PNS3" s="5"/>
      <c r="PNT3" s="5"/>
      <c r="PNU3" s="5"/>
      <c r="PNV3" s="5"/>
      <c r="PNW3" s="5"/>
      <c r="PNX3" s="5"/>
      <c r="PNY3" s="5"/>
      <c r="PNZ3" s="5"/>
      <c r="POA3" s="5"/>
      <c r="POB3" s="5"/>
      <c r="POC3" s="5"/>
      <c r="POD3" s="5"/>
      <c r="POE3" s="5"/>
      <c r="POF3" s="5"/>
      <c r="POG3" s="5"/>
      <c r="POH3" s="5"/>
      <c r="POI3" s="5"/>
      <c r="POJ3" s="5"/>
      <c r="POK3" s="5"/>
      <c r="POL3" s="5"/>
      <c r="POM3" s="5"/>
      <c r="PON3" s="5"/>
      <c r="POO3" s="5"/>
      <c r="POP3" s="5"/>
      <c r="POQ3" s="5"/>
      <c r="POR3" s="5"/>
      <c r="POS3" s="5"/>
      <c r="POT3" s="5"/>
      <c r="POU3" s="5"/>
      <c r="POV3" s="5"/>
      <c r="POW3" s="5"/>
      <c r="POX3" s="5"/>
      <c r="POY3" s="5"/>
      <c r="POZ3" s="5"/>
      <c r="PPA3" s="5"/>
      <c r="PPB3" s="5"/>
      <c r="PPC3" s="5"/>
      <c r="PPD3" s="5"/>
      <c r="PPE3" s="5"/>
      <c r="PPF3" s="5"/>
      <c r="PPG3" s="5"/>
      <c r="PPH3" s="5"/>
      <c r="PPI3" s="5"/>
      <c r="PPJ3" s="5"/>
      <c r="PPK3" s="5"/>
      <c r="PPL3" s="5"/>
      <c r="PPM3" s="5"/>
      <c r="PPN3" s="5"/>
      <c r="PPO3" s="5"/>
      <c r="PPP3" s="5"/>
      <c r="PPQ3" s="5"/>
      <c r="PPR3" s="5"/>
      <c r="PPS3" s="5"/>
      <c r="PPT3" s="5"/>
      <c r="PPU3" s="5"/>
      <c r="PPV3" s="5"/>
      <c r="PPW3" s="5"/>
      <c r="PPX3" s="5"/>
      <c r="PPY3" s="5"/>
      <c r="PPZ3" s="5"/>
      <c r="PQA3" s="5"/>
      <c r="PQB3" s="5"/>
      <c r="PQC3" s="5"/>
      <c r="PQD3" s="5"/>
      <c r="PQE3" s="5"/>
      <c r="PQF3" s="5"/>
      <c r="PQG3" s="5"/>
      <c r="PQH3" s="5"/>
      <c r="PQI3" s="5"/>
      <c r="PQJ3" s="5"/>
      <c r="PQK3" s="5"/>
      <c r="PQL3" s="5"/>
      <c r="PQM3" s="5"/>
      <c r="PQN3" s="5"/>
      <c r="PQO3" s="5"/>
      <c r="PQP3" s="5"/>
      <c r="PQQ3" s="5"/>
      <c r="PQR3" s="5"/>
      <c r="PQS3" s="5"/>
      <c r="PQT3" s="5"/>
      <c r="PQU3" s="5"/>
      <c r="PQV3" s="5"/>
      <c r="PQW3" s="5"/>
      <c r="PQX3" s="5"/>
      <c r="PQY3" s="5"/>
      <c r="PQZ3" s="5"/>
      <c r="PRA3" s="5"/>
      <c r="PRB3" s="5"/>
      <c r="PRC3" s="5"/>
      <c r="PRD3" s="5"/>
      <c r="PRE3" s="5"/>
      <c r="PRF3" s="5"/>
      <c r="PRG3" s="5"/>
      <c r="PRH3" s="5"/>
      <c r="PRI3" s="5"/>
      <c r="PRJ3" s="5"/>
      <c r="PRK3" s="5"/>
      <c r="PRL3" s="5"/>
      <c r="PRM3" s="5"/>
      <c r="PRN3" s="5"/>
      <c r="PRO3" s="5"/>
      <c r="PRP3" s="5"/>
      <c r="PRQ3" s="5"/>
      <c r="PRR3" s="5"/>
      <c r="PRS3" s="5"/>
      <c r="PRT3" s="5"/>
      <c r="PRU3" s="5"/>
      <c r="PRV3" s="5"/>
      <c r="PRW3" s="5"/>
      <c r="PRX3" s="5"/>
      <c r="PRY3" s="5"/>
      <c r="PRZ3" s="5"/>
      <c r="PSA3" s="5"/>
      <c r="PSB3" s="5"/>
      <c r="PSC3" s="5"/>
      <c r="PSD3" s="5"/>
      <c r="PSE3" s="5"/>
      <c r="PSF3" s="5"/>
      <c r="PSG3" s="5"/>
      <c r="PSH3" s="5"/>
      <c r="PSI3" s="5"/>
      <c r="PSJ3" s="5"/>
      <c r="PSK3" s="5"/>
      <c r="PSL3" s="5"/>
      <c r="PSM3" s="5"/>
      <c r="PSN3" s="5"/>
      <c r="PSO3" s="5"/>
      <c r="PSP3" s="5"/>
      <c r="PSQ3" s="5"/>
      <c r="PSR3" s="5"/>
      <c r="PSS3" s="5"/>
      <c r="PST3" s="5"/>
      <c r="PSU3" s="5"/>
      <c r="PSV3" s="5"/>
      <c r="PSW3" s="5"/>
      <c r="PSX3" s="5"/>
      <c r="PSY3" s="5"/>
      <c r="PSZ3" s="5"/>
      <c r="PTA3" s="5"/>
      <c r="PTB3" s="5"/>
      <c r="PTC3" s="5"/>
      <c r="PTD3" s="5"/>
      <c r="PTE3" s="5"/>
      <c r="PTF3" s="5"/>
      <c r="PTG3" s="5"/>
      <c r="PTH3" s="5"/>
      <c r="PTI3" s="5"/>
      <c r="PTJ3" s="5"/>
      <c r="PTK3" s="5"/>
      <c r="PTL3" s="5"/>
      <c r="PTM3" s="5"/>
      <c r="PTN3" s="5"/>
      <c r="PTO3" s="5"/>
      <c r="PTP3" s="5"/>
      <c r="PTQ3" s="5"/>
      <c r="PTR3" s="5"/>
      <c r="PTS3" s="5"/>
      <c r="PTT3" s="5"/>
      <c r="PTU3" s="5"/>
      <c r="PTV3" s="5"/>
      <c r="PTW3" s="5"/>
      <c r="PTX3" s="5"/>
      <c r="PTY3" s="5"/>
      <c r="PTZ3" s="5"/>
      <c r="PUA3" s="5"/>
      <c r="PUB3" s="5"/>
      <c r="PUC3" s="5"/>
      <c r="PUD3" s="5"/>
      <c r="PUE3" s="5"/>
      <c r="PUF3" s="5"/>
      <c r="PUG3" s="5"/>
      <c r="PUH3" s="5"/>
      <c r="PUI3" s="5"/>
      <c r="PUJ3" s="5"/>
      <c r="PUK3" s="5"/>
      <c r="PUL3" s="5"/>
      <c r="PUM3" s="5"/>
      <c r="PUN3" s="5"/>
      <c r="PUO3" s="5"/>
      <c r="PUP3" s="5"/>
      <c r="PUQ3" s="5"/>
      <c r="PUR3" s="5"/>
      <c r="PUS3" s="5"/>
      <c r="PUT3" s="5"/>
      <c r="PUU3" s="5"/>
      <c r="PUV3" s="5"/>
      <c r="PUW3" s="5"/>
      <c r="PUX3" s="5"/>
      <c r="PUY3" s="5"/>
      <c r="PUZ3" s="5"/>
      <c r="PVA3" s="5"/>
      <c r="PVB3" s="5"/>
      <c r="PVC3" s="5"/>
      <c r="PVD3" s="5"/>
      <c r="PVE3" s="5"/>
      <c r="PVF3" s="5"/>
      <c r="PVG3" s="5"/>
      <c r="PVH3" s="5"/>
      <c r="PVI3" s="5"/>
      <c r="PVJ3" s="5"/>
      <c r="PVK3" s="5"/>
      <c r="PVL3" s="5"/>
      <c r="PVM3" s="5"/>
      <c r="PVN3" s="5"/>
      <c r="PVO3" s="5"/>
      <c r="PVP3" s="5"/>
      <c r="PVQ3" s="5"/>
      <c r="PVR3" s="5"/>
      <c r="PVS3" s="5"/>
      <c r="PVT3" s="5"/>
      <c r="PVU3" s="5"/>
      <c r="PVV3" s="5"/>
      <c r="PVW3" s="5"/>
      <c r="PVX3" s="5"/>
      <c r="PVY3" s="5"/>
      <c r="PVZ3" s="5"/>
      <c r="PWA3" s="5"/>
      <c r="PWB3" s="5"/>
      <c r="PWC3" s="5"/>
      <c r="PWD3" s="5"/>
      <c r="PWE3" s="5"/>
      <c r="PWF3" s="5"/>
      <c r="PWG3" s="5"/>
      <c r="PWH3" s="5"/>
      <c r="PWI3" s="5"/>
      <c r="PWJ3" s="5"/>
      <c r="PWK3" s="5"/>
      <c r="PWL3" s="5"/>
      <c r="PWM3" s="5"/>
      <c r="PWN3" s="5"/>
      <c r="PWO3" s="5"/>
      <c r="PWP3" s="5"/>
      <c r="PWQ3" s="5"/>
      <c r="PWR3" s="5"/>
      <c r="PWS3" s="5"/>
      <c r="PWT3" s="5"/>
      <c r="PWU3" s="5"/>
      <c r="PWV3" s="5"/>
      <c r="PWW3" s="5"/>
      <c r="PWX3" s="5"/>
      <c r="PWY3" s="5"/>
      <c r="PWZ3" s="5"/>
      <c r="PXA3" s="5"/>
      <c r="PXB3" s="5"/>
      <c r="PXC3" s="5"/>
      <c r="PXD3" s="5"/>
      <c r="PXE3" s="5"/>
      <c r="PXF3" s="5"/>
      <c r="PXG3" s="5"/>
      <c r="PXH3" s="5"/>
      <c r="PXI3" s="5"/>
      <c r="PXJ3" s="5"/>
      <c r="PXK3" s="5"/>
      <c r="PXL3" s="5"/>
      <c r="PXM3" s="5"/>
      <c r="PXN3" s="5"/>
      <c r="PXO3" s="5"/>
      <c r="PXP3" s="5"/>
      <c r="PXQ3" s="5"/>
      <c r="PXR3" s="5"/>
      <c r="PXS3" s="5"/>
      <c r="PXT3" s="5"/>
      <c r="PXU3" s="5"/>
      <c r="PXV3" s="5"/>
      <c r="PXW3" s="5"/>
      <c r="PXX3" s="5"/>
      <c r="PXY3" s="5"/>
      <c r="PXZ3" s="5"/>
      <c r="PYA3" s="5"/>
      <c r="PYB3" s="5"/>
      <c r="PYC3" s="5"/>
      <c r="PYD3" s="5"/>
      <c r="PYE3" s="5"/>
      <c r="PYF3" s="5"/>
      <c r="PYG3" s="5"/>
      <c r="PYH3" s="5"/>
      <c r="PYI3" s="5"/>
      <c r="PYJ3" s="5"/>
      <c r="PYK3" s="5"/>
      <c r="PYL3" s="5"/>
      <c r="PYM3" s="5"/>
      <c r="PYN3" s="5"/>
      <c r="PYO3" s="5"/>
      <c r="PYP3" s="5"/>
      <c r="PYQ3" s="5"/>
      <c r="PYR3" s="5"/>
      <c r="PYS3" s="5"/>
      <c r="PYT3" s="5"/>
      <c r="PYU3" s="5"/>
      <c r="PYV3" s="5"/>
      <c r="PYW3" s="5"/>
      <c r="PYX3" s="5"/>
      <c r="PYY3" s="5"/>
      <c r="PYZ3" s="5"/>
      <c r="PZA3" s="5"/>
      <c r="PZB3" s="5"/>
      <c r="PZC3" s="5"/>
      <c r="PZD3" s="5"/>
      <c r="PZE3" s="5"/>
      <c r="PZF3" s="5"/>
      <c r="PZG3" s="5"/>
      <c r="PZH3" s="5"/>
      <c r="PZI3" s="5"/>
      <c r="PZJ3" s="5"/>
      <c r="PZK3" s="5"/>
      <c r="PZL3" s="5"/>
      <c r="PZM3" s="5"/>
      <c r="PZN3" s="5"/>
      <c r="PZO3" s="5"/>
      <c r="PZP3" s="5"/>
      <c r="PZQ3" s="5"/>
      <c r="PZR3" s="5"/>
      <c r="PZS3" s="5"/>
      <c r="PZT3" s="5"/>
      <c r="PZU3" s="5"/>
      <c r="PZV3" s="5"/>
      <c r="PZW3" s="5"/>
      <c r="PZX3" s="5"/>
      <c r="PZY3" s="5"/>
      <c r="PZZ3" s="5"/>
      <c r="QAA3" s="5"/>
      <c r="QAB3" s="5"/>
      <c r="QAC3" s="5"/>
      <c r="QAD3" s="5"/>
      <c r="QAE3" s="5"/>
      <c r="QAF3" s="5"/>
      <c r="QAG3" s="5"/>
      <c r="QAH3" s="5"/>
      <c r="QAI3" s="5"/>
      <c r="QAJ3" s="5"/>
      <c r="QAK3" s="5"/>
      <c r="QAL3" s="5"/>
      <c r="QAM3" s="5"/>
      <c r="QAN3" s="5"/>
      <c r="QAO3" s="5"/>
      <c r="QAP3" s="5"/>
      <c r="QAQ3" s="5"/>
      <c r="QAR3" s="5"/>
      <c r="QAS3" s="5"/>
      <c r="QAT3" s="5"/>
      <c r="QAU3" s="5"/>
      <c r="QAV3" s="5"/>
      <c r="QAW3" s="5"/>
      <c r="QAX3" s="5"/>
      <c r="QAY3" s="5"/>
      <c r="QAZ3" s="5"/>
      <c r="QBA3" s="5"/>
      <c r="QBB3" s="5"/>
      <c r="QBC3" s="5"/>
      <c r="QBD3" s="5"/>
      <c r="QBE3" s="5"/>
      <c r="QBF3" s="5"/>
      <c r="QBG3" s="5"/>
      <c r="QBH3" s="5"/>
      <c r="QBI3" s="5"/>
      <c r="QBJ3" s="5"/>
      <c r="QBK3" s="5"/>
      <c r="QBL3" s="5"/>
      <c r="QBM3" s="5"/>
      <c r="QBN3" s="5"/>
      <c r="QBO3" s="5"/>
      <c r="QBP3" s="5"/>
      <c r="QBQ3" s="5"/>
      <c r="QBR3" s="5"/>
      <c r="QBS3" s="5"/>
      <c r="QBT3" s="5"/>
      <c r="QBU3" s="5"/>
      <c r="QBV3" s="5"/>
      <c r="QBW3" s="5"/>
      <c r="QBX3" s="5"/>
      <c r="QBY3" s="5"/>
      <c r="QBZ3" s="5"/>
      <c r="QCA3" s="5"/>
      <c r="QCB3" s="5"/>
      <c r="QCC3" s="5"/>
      <c r="QCD3" s="5"/>
      <c r="QCE3" s="5"/>
      <c r="QCF3" s="5"/>
      <c r="QCG3" s="5"/>
      <c r="QCH3" s="5"/>
      <c r="QCI3" s="5"/>
      <c r="QCJ3" s="5"/>
      <c r="QCK3" s="5"/>
      <c r="QCL3" s="5"/>
      <c r="QCM3" s="5"/>
      <c r="QCN3" s="5"/>
      <c r="QCO3" s="5"/>
      <c r="QCP3" s="5"/>
      <c r="QCQ3" s="5"/>
      <c r="QCR3" s="5"/>
      <c r="QCS3" s="5"/>
      <c r="QCT3" s="5"/>
      <c r="QCU3" s="5"/>
      <c r="QCV3" s="5"/>
      <c r="QCW3" s="5"/>
      <c r="QCX3" s="5"/>
      <c r="QCY3" s="5"/>
      <c r="QCZ3" s="5"/>
      <c r="QDA3" s="5"/>
      <c r="QDB3" s="5"/>
      <c r="QDC3" s="5"/>
      <c r="QDD3" s="5"/>
      <c r="QDE3" s="5"/>
      <c r="QDF3" s="5"/>
      <c r="QDG3" s="5"/>
      <c r="QDH3" s="5"/>
      <c r="QDI3" s="5"/>
      <c r="QDJ3" s="5"/>
      <c r="QDK3" s="5"/>
      <c r="QDL3" s="5"/>
      <c r="QDM3" s="5"/>
      <c r="QDN3" s="5"/>
      <c r="QDO3" s="5"/>
      <c r="QDP3" s="5"/>
      <c r="QDQ3" s="5"/>
      <c r="QDR3" s="5"/>
      <c r="QDS3" s="5"/>
      <c r="QDT3" s="5"/>
      <c r="QDU3" s="5"/>
      <c r="QDV3" s="5"/>
      <c r="QDW3" s="5"/>
      <c r="QDX3" s="5"/>
      <c r="QDY3" s="5"/>
      <c r="QDZ3" s="5"/>
      <c r="QEA3" s="5"/>
      <c r="QEB3" s="5"/>
      <c r="QEC3" s="5"/>
      <c r="QED3" s="5"/>
      <c r="QEE3" s="5"/>
      <c r="QEF3" s="5"/>
      <c r="QEG3" s="5"/>
      <c r="QEH3" s="5"/>
      <c r="QEI3" s="5"/>
      <c r="QEJ3" s="5"/>
      <c r="QEK3" s="5"/>
      <c r="QEL3" s="5"/>
      <c r="QEM3" s="5"/>
      <c r="QEN3" s="5"/>
      <c r="QEO3" s="5"/>
      <c r="QEP3" s="5"/>
      <c r="QEQ3" s="5"/>
      <c r="QER3" s="5"/>
      <c r="QES3" s="5"/>
      <c r="QET3" s="5"/>
      <c r="QEU3" s="5"/>
      <c r="QEV3" s="5"/>
      <c r="QEW3" s="5"/>
      <c r="QEX3" s="5"/>
      <c r="QEY3" s="5"/>
      <c r="QEZ3" s="5"/>
      <c r="QFA3" s="5"/>
      <c r="QFB3" s="5"/>
      <c r="QFC3" s="5"/>
      <c r="QFD3" s="5"/>
      <c r="QFE3" s="5"/>
      <c r="QFF3" s="5"/>
      <c r="QFG3" s="5"/>
      <c r="QFH3" s="5"/>
      <c r="QFI3" s="5"/>
      <c r="QFJ3" s="5"/>
      <c r="QFK3" s="5"/>
      <c r="QFL3" s="5"/>
      <c r="QFM3" s="5"/>
      <c r="QFN3" s="5"/>
      <c r="QFO3" s="5"/>
      <c r="QFP3" s="5"/>
      <c r="QFQ3" s="5"/>
      <c r="QFR3" s="5"/>
      <c r="QFS3" s="5"/>
      <c r="QFT3" s="5"/>
      <c r="QFU3" s="5"/>
      <c r="QFV3" s="5"/>
      <c r="QFW3" s="5"/>
      <c r="QFX3" s="5"/>
      <c r="QFY3" s="5"/>
      <c r="QFZ3" s="5"/>
      <c r="QGA3" s="5"/>
      <c r="QGB3" s="5"/>
      <c r="QGC3" s="5"/>
      <c r="QGD3" s="5"/>
      <c r="QGE3" s="5"/>
      <c r="QGF3" s="5"/>
      <c r="QGG3" s="5"/>
      <c r="QGH3" s="5"/>
      <c r="QGI3" s="5"/>
      <c r="QGJ3" s="5"/>
      <c r="QGK3" s="5"/>
      <c r="QGL3" s="5"/>
      <c r="QGM3" s="5"/>
      <c r="QGN3" s="5"/>
      <c r="QGO3" s="5"/>
      <c r="QGP3" s="5"/>
      <c r="QGQ3" s="5"/>
      <c r="QGR3" s="5"/>
      <c r="QGS3" s="5"/>
      <c r="QGT3" s="5"/>
      <c r="QGU3" s="5"/>
      <c r="QGV3" s="5"/>
      <c r="QGW3" s="5"/>
      <c r="QGX3" s="5"/>
      <c r="QGY3" s="5"/>
      <c r="QGZ3" s="5"/>
      <c r="QHA3" s="5"/>
      <c r="QHB3" s="5"/>
      <c r="QHC3" s="5"/>
      <c r="QHD3" s="5"/>
      <c r="QHE3" s="5"/>
      <c r="QHF3" s="5"/>
      <c r="QHG3" s="5"/>
      <c r="QHH3" s="5"/>
      <c r="QHI3" s="5"/>
      <c r="QHJ3" s="5"/>
      <c r="QHK3" s="5"/>
      <c r="QHL3" s="5"/>
      <c r="QHM3" s="5"/>
      <c r="QHN3" s="5"/>
      <c r="QHO3" s="5"/>
      <c r="QHP3" s="5"/>
      <c r="QHQ3" s="5"/>
      <c r="QHR3" s="5"/>
      <c r="QHS3" s="5"/>
      <c r="QHT3" s="5"/>
      <c r="QHU3" s="5"/>
      <c r="QHV3" s="5"/>
      <c r="QHW3" s="5"/>
      <c r="QHX3" s="5"/>
      <c r="QHY3" s="5"/>
      <c r="QHZ3" s="5"/>
      <c r="QIA3" s="5"/>
      <c r="QIB3" s="5"/>
      <c r="QIC3" s="5"/>
      <c r="QID3" s="5"/>
      <c r="QIE3" s="5"/>
      <c r="QIF3" s="5"/>
      <c r="QIG3" s="5"/>
      <c r="QIH3" s="5"/>
      <c r="QII3" s="5"/>
      <c r="QIJ3" s="5"/>
      <c r="QIK3" s="5"/>
      <c r="QIL3" s="5"/>
      <c r="QIM3" s="5"/>
      <c r="QIN3" s="5"/>
      <c r="QIO3" s="5"/>
      <c r="QIP3" s="5"/>
      <c r="QIQ3" s="5"/>
      <c r="QIR3" s="5"/>
      <c r="QIS3" s="5"/>
      <c r="QIT3" s="5"/>
      <c r="QIU3" s="5"/>
      <c r="QIV3" s="5"/>
      <c r="QIW3" s="5"/>
      <c r="QIX3" s="5"/>
      <c r="QIY3" s="5"/>
      <c r="QIZ3" s="5"/>
      <c r="QJA3" s="5"/>
      <c r="QJB3" s="5"/>
      <c r="QJC3" s="5"/>
      <c r="QJD3" s="5"/>
      <c r="QJE3" s="5"/>
      <c r="QJF3" s="5"/>
      <c r="QJG3" s="5"/>
      <c r="QJH3" s="5"/>
      <c r="QJI3" s="5"/>
      <c r="QJJ3" s="5"/>
      <c r="QJK3" s="5"/>
      <c r="QJL3" s="5"/>
      <c r="QJM3" s="5"/>
      <c r="QJN3" s="5"/>
      <c r="QJO3" s="5"/>
      <c r="QJP3" s="5"/>
      <c r="QJQ3" s="5"/>
      <c r="QJR3" s="5"/>
      <c r="QJS3" s="5"/>
      <c r="QJT3" s="5"/>
      <c r="QJU3" s="5"/>
      <c r="QJV3" s="5"/>
      <c r="QJW3" s="5"/>
      <c r="QJX3" s="5"/>
      <c r="QJY3" s="5"/>
      <c r="QJZ3" s="5"/>
      <c r="QKA3" s="5"/>
      <c r="QKB3" s="5"/>
      <c r="QKC3" s="5"/>
      <c r="QKD3" s="5"/>
      <c r="QKE3" s="5"/>
      <c r="QKF3" s="5"/>
      <c r="QKG3" s="5"/>
      <c r="QKH3" s="5"/>
      <c r="QKI3" s="5"/>
      <c r="QKJ3" s="5"/>
      <c r="QKK3" s="5"/>
      <c r="QKL3" s="5"/>
      <c r="QKM3" s="5"/>
      <c r="QKN3" s="5"/>
      <c r="QKO3" s="5"/>
      <c r="QKP3" s="5"/>
      <c r="QKQ3" s="5"/>
      <c r="QKR3" s="5"/>
      <c r="QKS3" s="5"/>
      <c r="QKT3" s="5"/>
      <c r="QKU3" s="5"/>
      <c r="QKV3" s="5"/>
      <c r="QKW3" s="5"/>
      <c r="QKX3" s="5"/>
      <c r="QKY3" s="5"/>
      <c r="QKZ3" s="5"/>
      <c r="QLA3" s="5"/>
      <c r="QLB3" s="5"/>
      <c r="QLC3" s="5"/>
      <c r="QLD3" s="5"/>
      <c r="QLE3" s="5"/>
      <c r="QLF3" s="5"/>
      <c r="QLG3" s="5"/>
      <c r="QLH3" s="5"/>
      <c r="QLI3" s="5"/>
      <c r="QLJ3" s="5"/>
      <c r="QLK3" s="5"/>
      <c r="QLL3" s="5"/>
      <c r="QLM3" s="5"/>
      <c r="QLN3" s="5"/>
      <c r="QLO3" s="5"/>
      <c r="QLP3" s="5"/>
      <c r="QLQ3" s="5"/>
      <c r="QLR3" s="5"/>
      <c r="QLS3" s="5"/>
      <c r="QLT3" s="5"/>
      <c r="QLU3" s="5"/>
      <c r="QLV3" s="5"/>
      <c r="QLW3" s="5"/>
      <c r="QLX3" s="5"/>
      <c r="QLY3" s="5"/>
      <c r="QLZ3" s="5"/>
      <c r="QMA3" s="5"/>
      <c r="QMB3" s="5"/>
      <c r="QMC3" s="5"/>
      <c r="QMD3" s="5"/>
      <c r="QME3" s="5"/>
      <c r="QMF3" s="5"/>
      <c r="QMG3" s="5"/>
      <c r="QMH3" s="5"/>
      <c r="QMI3" s="5"/>
      <c r="QMJ3" s="5"/>
      <c r="QMK3" s="5"/>
      <c r="QML3" s="5"/>
      <c r="QMM3" s="5"/>
      <c r="QMN3" s="5"/>
      <c r="QMO3" s="5"/>
      <c r="QMP3" s="5"/>
      <c r="QMQ3" s="5"/>
      <c r="QMR3" s="5"/>
      <c r="QMS3" s="5"/>
      <c r="QMT3" s="5"/>
      <c r="QMU3" s="5"/>
      <c r="QMV3" s="5"/>
      <c r="QMW3" s="5"/>
      <c r="QMX3" s="5"/>
      <c r="QMY3" s="5"/>
      <c r="QMZ3" s="5"/>
      <c r="QNA3" s="5"/>
      <c r="QNB3" s="5"/>
      <c r="QNC3" s="5"/>
      <c r="QND3" s="5"/>
      <c r="QNE3" s="5"/>
      <c r="QNF3" s="5"/>
      <c r="QNG3" s="5"/>
      <c r="QNH3" s="5"/>
      <c r="QNI3" s="5"/>
      <c r="QNJ3" s="5"/>
      <c r="QNK3" s="5"/>
      <c r="QNL3" s="5"/>
      <c r="QNM3" s="5"/>
      <c r="QNN3" s="5"/>
      <c r="QNO3" s="5"/>
      <c r="QNP3" s="5"/>
      <c r="QNQ3" s="5"/>
      <c r="QNR3" s="5"/>
      <c r="QNS3" s="5"/>
      <c r="QNT3" s="5"/>
      <c r="QNU3" s="5"/>
      <c r="QNV3" s="5"/>
      <c r="QNW3" s="5"/>
      <c r="QNX3" s="5"/>
      <c r="QNY3" s="5"/>
      <c r="QNZ3" s="5"/>
      <c r="QOA3" s="5"/>
      <c r="QOB3" s="5"/>
      <c r="QOC3" s="5"/>
      <c r="QOD3" s="5"/>
      <c r="QOE3" s="5"/>
      <c r="QOF3" s="5"/>
      <c r="QOG3" s="5"/>
      <c r="QOH3" s="5"/>
      <c r="QOI3" s="5"/>
      <c r="QOJ3" s="5"/>
      <c r="QOK3" s="5"/>
      <c r="QOL3" s="5"/>
      <c r="QOM3" s="5"/>
      <c r="QON3" s="5"/>
      <c r="QOO3" s="5"/>
      <c r="QOP3" s="5"/>
      <c r="QOQ3" s="5"/>
      <c r="QOR3" s="5"/>
      <c r="QOS3" s="5"/>
      <c r="QOT3" s="5"/>
      <c r="QOU3" s="5"/>
      <c r="QOV3" s="5"/>
      <c r="QOW3" s="5"/>
      <c r="QOX3" s="5"/>
      <c r="QOY3" s="5"/>
      <c r="QOZ3" s="5"/>
      <c r="QPA3" s="5"/>
      <c r="QPB3" s="5"/>
      <c r="QPC3" s="5"/>
      <c r="QPD3" s="5"/>
      <c r="QPE3" s="5"/>
      <c r="QPF3" s="5"/>
      <c r="QPG3" s="5"/>
      <c r="QPH3" s="5"/>
      <c r="QPI3" s="5"/>
      <c r="QPJ3" s="5"/>
      <c r="QPK3" s="5"/>
      <c r="QPL3" s="5"/>
      <c r="QPM3" s="5"/>
      <c r="QPN3" s="5"/>
      <c r="QPO3" s="5"/>
      <c r="QPP3" s="5"/>
      <c r="QPQ3" s="5"/>
      <c r="QPR3" s="5"/>
      <c r="QPS3" s="5"/>
      <c r="QPT3" s="5"/>
      <c r="QPU3" s="5"/>
      <c r="QPV3" s="5"/>
      <c r="QPW3" s="5"/>
      <c r="QPX3" s="5"/>
      <c r="QPY3" s="5"/>
      <c r="QPZ3" s="5"/>
      <c r="QQA3" s="5"/>
      <c r="QQB3" s="5"/>
      <c r="QQC3" s="5"/>
      <c r="QQD3" s="5"/>
      <c r="QQE3" s="5"/>
      <c r="QQF3" s="5"/>
      <c r="QQG3" s="5"/>
      <c r="QQH3" s="5"/>
      <c r="QQI3" s="5"/>
      <c r="QQJ3" s="5"/>
      <c r="QQK3" s="5"/>
      <c r="QQL3" s="5"/>
      <c r="QQM3" s="5"/>
      <c r="QQN3" s="5"/>
      <c r="QQO3" s="5"/>
      <c r="QQP3" s="5"/>
      <c r="QQQ3" s="5"/>
      <c r="QQR3" s="5"/>
      <c r="QQS3" s="5"/>
      <c r="QQT3" s="5"/>
      <c r="QQU3" s="5"/>
      <c r="QQV3" s="5"/>
      <c r="QQW3" s="5"/>
      <c r="QQX3" s="5"/>
      <c r="QQY3" s="5"/>
      <c r="QQZ3" s="5"/>
      <c r="QRA3" s="5"/>
      <c r="QRB3" s="5"/>
      <c r="QRC3" s="5"/>
      <c r="QRD3" s="5"/>
      <c r="QRE3" s="5"/>
      <c r="QRF3" s="5"/>
      <c r="QRG3" s="5"/>
      <c r="QRH3" s="5"/>
      <c r="QRI3" s="5"/>
      <c r="QRJ3" s="5"/>
      <c r="QRK3" s="5"/>
      <c r="QRL3" s="5"/>
      <c r="QRM3" s="5"/>
      <c r="QRN3" s="5"/>
      <c r="QRO3" s="5"/>
      <c r="QRP3" s="5"/>
      <c r="QRQ3" s="5"/>
      <c r="QRR3" s="5"/>
      <c r="QRS3" s="5"/>
      <c r="QRT3" s="5"/>
      <c r="QRU3" s="5"/>
      <c r="QRV3" s="5"/>
      <c r="QRW3" s="5"/>
      <c r="QRX3" s="5"/>
      <c r="QRY3" s="5"/>
      <c r="QRZ3" s="5"/>
      <c r="QSA3" s="5"/>
      <c r="QSB3" s="5"/>
      <c r="QSC3" s="5"/>
      <c r="QSD3" s="5"/>
      <c r="QSE3" s="5"/>
      <c r="QSF3" s="5"/>
      <c r="QSG3" s="5"/>
      <c r="QSH3" s="5"/>
      <c r="QSI3" s="5"/>
      <c r="QSJ3" s="5"/>
      <c r="QSK3" s="5"/>
      <c r="QSL3" s="5"/>
      <c r="QSM3" s="5"/>
      <c r="QSN3" s="5"/>
      <c r="QSO3" s="5"/>
      <c r="QSP3" s="5"/>
      <c r="QSQ3" s="5"/>
      <c r="QSR3" s="5"/>
      <c r="QSS3" s="5"/>
      <c r="QST3" s="5"/>
      <c r="QSU3" s="5"/>
      <c r="QSV3" s="5"/>
      <c r="QSW3" s="5"/>
      <c r="QSX3" s="5"/>
      <c r="QSY3" s="5"/>
      <c r="QSZ3" s="5"/>
      <c r="QTA3" s="5"/>
      <c r="QTB3" s="5"/>
      <c r="QTC3" s="5"/>
      <c r="QTD3" s="5"/>
      <c r="QTE3" s="5"/>
      <c r="QTF3" s="5"/>
      <c r="QTG3" s="5"/>
      <c r="QTH3" s="5"/>
      <c r="QTI3" s="5"/>
      <c r="QTJ3" s="5"/>
      <c r="QTK3" s="5"/>
      <c r="QTL3" s="5"/>
      <c r="QTM3" s="5"/>
      <c r="QTN3" s="5"/>
      <c r="QTO3" s="5"/>
      <c r="QTP3" s="5"/>
      <c r="QTQ3" s="5"/>
      <c r="QTR3" s="5"/>
      <c r="QTS3" s="5"/>
      <c r="QTT3" s="5"/>
      <c r="QTU3" s="5"/>
      <c r="QTV3" s="5"/>
      <c r="QTW3" s="5"/>
      <c r="QTX3" s="5"/>
      <c r="QTY3" s="5"/>
      <c r="QTZ3" s="5"/>
      <c r="QUA3" s="5"/>
      <c r="QUB3" s="5"/>
      <c r="QUC3" s="5"/>
      <c r="QUD3" s="5"/>
      <c r="QUE3" s="5"/>
      <c r="QUF3" s="5"/>
      <c r="QUG3" s="5"/>
      <c r="QUH3" s="5"/>
      <c r="QUI3" s="5"/>
      <c r="QUJ3" s="5"/>
      <c r="QUK3" s="5"/>
      <c r="QUL3" s="5"/>
      <c r="QUM3" s="5"/>
      <c r="QUN3" s="5"/>
      <c r="QUO3" s="5"/>
      <c r="QUP3" s="5"/>
      <c r="QUQ3" s="5"/>
      <c r="QUR3" s="5"/>
      <c r="QUS3" s="5"/>
      <c r="QUT3" s="5"/>
      <c r="QUU3" s="5"/>
      <c r="QUV3" s="5"/>
      <c r="QUW3" s="5"/>
      <c r="QUX3" s="5"/>
      <c r="QUY3" s="5"/>
      <c r="QUZ3" s="5"/>
      <c r="QVA3" s="5"/>
      <c r="QVB3" s="5"/>
      <c r="QVC3" s="5"/>
      <c r="QVD3" s="5"/>
      <c r="QVE3" s="5"/>
      <c r="QVF3" s="5"/>
      <c r="QVG3" s="5"/>
      <c r="QVH3" s="5"/>
      <c r="QVI3" s="5"/>
      <c r="QVJ3" s="5"/>
      <c r="QVK3" s="5"/>
      <c r="QVL3" s="5"/>
      <c r="QVM3" s="5"/>
      <c r="QVN3" s="5"/>
      <c r="QVO3" s="5"/>
      <c r="QVP3" s="5"/>
      <c r="QVQ3" s="5"/>
      <c r="QVR3" s="5"/>
      <c r="QVS3" s="5"/>
      <c r="QVT3" s="5"/>
      <c r="QVU3" s="5"/>
      <c r="QVV3" s="5"/>
      <c r="QVW3" s="5"/>
      <c r="QVX3" s="5"/>
      <c r="QVY3" s="5"/>
      <c r="QVZ3" s="5"/>
      <c r="QWA3" s="5"/>
      <c r="QWB3" s="5"/>
      <c r="QWC3" s="5"/>
      <c r="QWD3" s="5"/>
      <c r="QWE3" s="5"/>
      <c r="QWF3" s="5"/>
      <c r="QWG3" s="5"/>
      <c r="QWH3" s="5"/>
      <c r="QWI3" s="5"/>
      <c r="QWJ3" s="5"/>
      <c r="QWK3" s="5"/>
      <c r="QWL3" s="5"/>
      <c r="QWM3" s="5"/>
      <c r="QWN3" s="5"/>
      <c r="QWO3" s="5"/>
      <c r="QWP3" s="5"/>
      <c r="QWQ3" s="5"/>
      <c r="QWR3" s="5"/>
      <c r="QWS3" s="5"/>
      <c r="QWT3" s="5"/>
      <c r="QWU3" s="5"/>
      <c r="QWV3" s="5"/>
      <c r="QWW3" s="5"/>
      <c r="QWX3" s="5"/>
      <c r="QWY3" s="5"/>
      <c r="QWZ3" s="5"/>
      <c r="QXA3" s="5"/>
      <c r="QXB3" s="5"/>
      <c r="QXC3" s="5"/>
      <c r="QXD3" s="5"/>
      <c r="QXE3" s="5"/>
      <c r="QXF3" s="5"/>
      <c r="QXG3" s="5"/>
      <c r="QXH3" s="5"/>
      <c r="QXI3" s="5"/>
      <c r="QXJ3" s="5"/>
      <c r="QXK3" s="5"/>
      <c r="QXL3" s="5"/>
      <c r="QXM3" s="5"/>
      <c r="QXN3" s="5"/>
      <c r="QXO3" s="5"/>
      <c r="QXP3" s="5"/>
      <c r="QXQ3" s="5"/>
      <c r="QXR3" s="5"/>
      <c r="QXS3" s="5"/>
      <c r="QXT3" s="5"/>
      <c r="QXU3" s="5"/>
      <c r="QXV3" s="5"/>
      <c r="QXW3" s="5"/>
      <c r="QXX3" s="5"/>
      <c r="QXY3" s="5"/>
      <c r="QXZ3" s="5"/>
      <c r="QYA3" s="5"/>
      <c r="QYB3" s="5"/>
      <c r="QYC3" s="5"/>
      <c r="QYD3" s="5"/>
      <c r="QYE3" s="5"/>
      <c r="QYF3" s="5"/>
      <c r="QYG3" s="5"/>
      <c r="QYH3" s="5"/>
      <c r="QYI3" s="5"/>
      <c r="QYJ3" s="5"/>
      <c r="QYK3" s="5"/>
      <c r="QYL3" s="5"/>
      <c r="QYM3" s="5"/>
      <c r="QYN3" s="5"/>
      <c r="QYO3" s="5"/>
      <c r="QYP3" s="5"/>
      <c r="QYQ3" s="5"/>
      <c r="QYR3" s="5"/>
      <c r="QYS3" s="5"/>
      <c r="QYT3" s="5"/>
      <c r="QYU3" s="5"/>
      <c r="QYV3" s="5"/>
      <c r="QYW3" s="5"/>
      <c r="QYX3" s="5"/>
      <c r="QYY3" s="5"/>
      <c r="QYZ3" s="5"/>
      <c r="QZA3" s="5"/>
      <c r="QZB3" s="5"/>
      <c r="QZC3" s="5"/>
      <c r="QZD3" s="5"/>
      <c r="QZE3" s="5"/>
      <c r="QZF3" s="5"/>
      <c r="QZG3" s="5"/>
      <c r="QZH3" s="5"/>
      <c r="QZI3" s="5"/>
      <c r="QZJ3" s="5"/>
      <c r="QZK3" s="5"/>
      <c r="QZL3" s="5"/>
      <c r="QZM3" s="5"/>
      <c r="QZN3" s="5"/>
      <c r="QZO3" s="5"/>
      <c r="QZP3" s="5"/>
      <c r="QZQ3" s="5"/>
      <c r="QZR3" s="5"/>
      <c r="QZS3" s="5"/>
      <c r="QZT3" s="5"/>
      <c r="QZU3" s="5"/>
      <c r="QZV3" s="5"/>
      <c r="QZW3" s="5"/>
      <c r="QZX3" s="5"/>
      <c r="QZY3" s="5"/>
      <c r="QZZ3" s="5"/>
      <c r="RAA3" s="5"/>
      <c r="RAB3" s="5"/>
      <c r="RAC3" s="5"/>
      <c r="RAD3" s="5"/>
      <c r="RAE3" s="5"/>
      <c r="RAF3" s="5"/>
      <c r="RAG3" s="5"/>
      <c r="RAH3" s="5"/>
      <c r="RAI3" s="5"/>
      <c r="RAJ3" s="5"/>
      <c r="RAK3" s="5"/>
      <c r="RAL3" s="5"/>
      <c r="RAM3" s="5"/>
      <c r="RAN3" s="5"/>
      <c r="RAO3" s="5"/>
      <c r="RAP3" s="5"/>
      <c r="RAQ3" s="5"/>
      <c r="RAR3" s="5"/>
      <c r="RAS3" s="5"/>
      <c r="RAT3" s="5"/>
      <c r="RAU3" s="5"/>
      <c r="RAV3" s="5"/>
      <c r="RAW3" s="5"/>
      <c r="RAX3" s="5"/>
      <c r="RAY3" s="5"/>
      <c r="RAZ3" s="5"/>
      <c r="RBA3" s="5"/>
      <c r="RBB3" s="5"/>
      <c r="RBC3" s="5"/>
      <c r="RBD3" s="5"/>
      <c r="RBE3" s="5"/>
      <c r="RBF3" s="5"/>
      <c r="RBG3" s="5"/>
      <c r="RBH3" s="5"/>
      <c r="RBI3" s="5"/>
      <c r="RBJ3" s="5"/>
      <c r="RBK3" s="5"/>
      <c r="RBL3" s="5"/>
      <c r="RBM3" s="5"/>
      <c r="RBN3" s="5"/>
      <c r="RBO3" s="5"/>
      <c r="RBP3" s="5"/>
      <c r="RBQ3" s="5"/>
      <c r="RBR3" s="5"/>
      <c r="RBS3" s="5"/>
      <c r="RBT3" s="5"/>
      <c r="RBU3" s="5"/>
      <c r="RBV3" s="5"/>
      <c r="RBW3" s="5"/>
      <c r="RBX3" s="5"/>
      <c r="RBY3" s="5"/>
      <c r="RBZ3" s="5"/>
      <c r="RCA3" s="5"/>
      <c r="RCB3" s="5"/>
      <c r="RCC3" s="5"/>
      <c r="RCD3" s="5"/>
      <c r="RCE3" s="5"/>
      <c r="RCF3" s="5"/>
      <c r="RCG3" s="5"/>
      <c r="RCH3" s="5"/>
      <c r="RCI3" s="5"/>
      <c r="RCJ3" s="5"/>
      <c r="RCK3" s="5"/>
      <c r="RCL3" s="5"/>
      <c r="RCM3" s="5"/>
      <c r="RCN3" s="5"/>
      <c r="RCO3" s="5"/>
      <c r="RCP3" s="5"/>
      <c r="RCQ3" s="5"/>
      <c r="RCR3" s="5"/>
      <c r="RCS3" s="5"/>
      <c r="RCT3" s="5"/>
      <c r="RCU3" s="5"/>
      <c r="RCV3" s="5"/>
      <c r="RCW3" s="5"/>
      <c r="RCX3" s="5"/>
      <c r="RCY3" s="5"/>
      <c r="RCZ3" s="5"/>
      <c r="RDA3" s="5"/>
      <c r="RDB3" s="5"/>
      <c r="RDC3" s="5"/>
      <c r="RDD3" s="5"/>
      <c r="RDE3" s="5"/>
      <c r="RDF3" s="5"/>
      <c r="RDG3" s="5"/>
      <c r="RDH3" s="5"/>
      <c r="RDI3" s="5"/>
      <c r="RDJ3" s="5"/>
      <c r="RDK3" s="5"/>
      <c r="RDL3" s="5"/>
      <c r="RDM3" s="5"/>
      <c r="RDN3" s="5"/>
      <c r="RDO3" s="5"/>
      <c r="RDP3" s="5"/>
      <c r="RDQ3" s="5"/>
      <c r="RDR3" s="5"/>
      <c r="RDS3" s="5"/>
      <c r="RDT3" s="5"/>
      <c r="RDU3" s="5"/>
      <c r="RDV3" s="5"/>
      <c r="RDW3" s="5"/>
      <c r="RDX3" s="5"/>
      <c r="RDY3" s="5"/>
      <c r="RDZ3" s="5"/>
      <c r="REA3" s="5"/>
      <c r="REB3" s="5"/>
      <c r="REC3" s="5"/>
      <c r="RED3" s="5"/>
      <c r="REE3" s="5"/>
      <c r="REF3" s="5"/>
      <c r="REG3" s="5"/>
      <c r="REH3" s="5"/>
      <c r="REI3" s="5"/>
      <c r="REJ3" s="5"/>
      <c r="REK3" s="5"/>
      <c r="REL3" s="5"/>
      <c r="REM3" s="5"/>
      <c r="REN3" s="5"/>
      <c r="REO3" s="5"/>
      <c r="REP3" s="5"/>
      <c r="REQ3" s="5"/>
      <c r="RER3" s="5"/>
      <c r="RES3" s="5"/>
      <c r="RET3" s="5"/>
      <c r="REU3" s="5"/>
      <c r="REV3" s="5"/>
      <c r="REW3" s="5"/>
      <c r="REX3" s="5"/>
      <c r="REY3" s="5"/>
      <c r="REZ3" s="5"/>
      <c r="RFA3" s="5"/>
      <c r="RFB3" s="5"/>
      <c r="RFC3" s="5"/>
      <c r="RFD3" s="5"/>
      <c r="RFE3" s="5"/>
      <c r="RFF3" s="5"/>
      <c r="RFG3" s="5"/>
      <c r="RFH3" s="5"/>
      <c r="RFI3" s="5"/>
      <c r="RFJ3" s="5"/>
      <c r="RFK3" s="5"/>
      <c r="RFL3" s="5"/>
      <c r="RFM3" s="5"/>
      <c r="RFN3" s="5"/>
      <c r="RFO3" s="5"/>
      <c r="RFP3" s="5"/>
      <c r="RFQ3" s="5"/>
      <c r="RFR3" s="5"/>
      <c r="RFS3" s="5"/>
      <c r="RFT3" s="5"/>
      <c r="RFU3" s="5"/>
      <c r="RFV3" s="5"/>
      <c r="RFW3" s="5"/>
      <c r="RFX3" s="5"/>
      <c r="RFY3" s="5"/>
      <c r="RFZ3" s="5"/>
      <c r="RGA3" s="5"/>
      <c r="RGB3" s="5"/>
      <c r="RGC3" s="5"/>
      <c r="RGD3" s="5"/>
      <c r="RGE3" s="5"/>
      <c r="RGF3" s="5"/>
      <c r="RGG3" s="5"/>
      <c r="RGH3" s="5"/>
      <c r="RGI3" s="5"/>
      <c r="RGJ3" s="5"/>
      <c r="RGK3" s="5"/>
      <c r="RGL3" s="5"/>
      <c r="RGM3" s="5"/>
      <c r="RGN3" s="5"/>
      <c r="RGO3" s="5"/>
      <c r="RGP3" s="5"/>
      <c r="RGQ3" s="5"/>
      <c r="RGR3" s="5"/>
      <c r="RGS3" s="5"/>
      <c r="RGT3" s="5"/>
      <c r="RGU3" s="5"/>
      <c r="RGV3" s="5"/>
      <c r="RGW3" s="5"/>
      <c r="RGX3" s="5"/>
      <c r="RGY3" s="5"/>
      <c r="RGZ3" s="5"/>
      <c r="RHA3" s="5"/>
      <c r="RHB3" s="5"/>
      <c r="RHC3" s="5"/>
      <c r="RHD3" s="5"/>
      <c r="RHE3" s="5"/>
      <c r="RHF3" s="5"/>
      <c r="RHG3" s="5"/>
      <c r="RHH3" s="5"/>
      <c r="RHI3" s="5"/>
      <c r="RHJ3" s="5"/>
      <c r="RHK3" s="5"/>
      <c r="RHL3" s="5"/>
      <c r="RHM3" s="5"/>
      <c r="RHN3" s="5"/>
      <c r="RHO3" s="5"/>
      <c r="RHP3" s="5"/>
      <c r="RHQ3" s="5"/>
      <c r="RHR3" s="5"/>
      <c r="RHS3" s="5"/>
      <c r="RHT3" s="5"/>
      <c r="RHU3" s="5"/>
      <c r="RHV3" s="5"/>
      <c r="RHW3" s="5"/>
      <c r="RHX3" s="5"/>
      <c r="RHY3" s="5"/>
      <c r="RHZ3" s="5"/>
      <c r="RIA3" s="5"/>
      <c r="RIB3" s="5"/>
      <c r="RIC3" s="5"/>
      <c r="RID3" s="5"/>
      <c r="RIE3" s="5"/>
      <c r="RIF3" s="5"/>
      <c r="RIG3" s="5"/>
      <c r="RIH3" s="5"/>
      <c r="RII3" s="5"/>
      <c r="RIJ3" s="5"/>
      <c r="RIK3" s="5"/>
      <c r="RIL3" s="5"/>
      <c r="RIM3" s="5"/>
      <c r="RIN3" s="5"/>
      <c r="RIO3" s="5"/>
      <c r="RIP3" s="5"/>
      <c r="RIQ3" s="5"/>
      <c r="RIR3" s="5"/>
      <c r="RIS3" s="5"/>
      <c r="RIT3" s="5"/>
      <c r="RIU3" s="5"/>
      <c r="RIV3" s="5"/>
      <c r="RIW3" s="5"/>
      <c r="RIX3" s="5"/>
      <c r="RIY3" s="5"/>
      <c r="RIZ3" s="5"/>
      <c r="RJA3" s="5"/>
      <c r="RJB3" s="5"/>
      <c r="RJC3" s="5"/>
      <c r="RJD3" s="5"/>
      <c r="RJE3" s="5"/>
      <c r="RJF3" s="5"/>
      <c r="RJG3" s="5"/>
      <c r="RJH3" s="5"/>
      <c r="RJI3" s="5"/>
      <c r="RJJ3" s="5"/>
      <c r="RJK3" s="5"/>
      <c r="RJL3" s="5"/>
      <c r="RJM3" s="5"/>
      <c r="RJN3" s="5"/>
      <c r="RJO3" s="5"/>
      <c r="RJP3" s="5"/>
      <c r="RJQ3" s="5"/>
      <c r="RJR3" s="5"/>
      <c r="RJS3" s="5"/>
      <c r="RJT3" s="5"/>
      <c r="RJU3" s="5"/>
      <c r="RJV3" s="5"/>
      <c r="RJW3" s="5"/>
      <c r="RJX3" s="5"/>
      <c r="RJY3" s="5"/>
      <c r="RJZ3" s="5"/>
      <c r="RKA3" s="5"/>
      <c r="RKB3" s="5"/>
      <c r="RKC3" s="5"/>
      <c r="RKD3" s="5"/>
      <c r="RKE3" s="5"/>
      <c r="RKF3" s="5"/>
      <c r="RKG3" s="5"/>
      <c r="RKH3" s="5"/>
      <c r="RKI3" s="5"/>
      <c r="RKJ3" s="5"/>
      <c r="RKK3" s="5"/>
      <c r="RKL3" s="5"/>
      <c r="RKM3" s="5"/>
      <c r="RKN3" s="5"/>
      <c r="RKO3" s="5"/>
      <c r="RKP3" s="5"/>
      <c r="RKQ3" s="5"/>
      <c r="RKR3" s="5"/>
      <c r="RKS3" s="5"/>
      <c r="RKT3" s="5"/>
      <c r="RKU3" s="5"/>
      <c r="RKV3" s="5"/>
      <c r="RKW3" s="5"/>
      <c r="RKX3" s="5"/>
      <c r="RKY3" s="5"/>
      <c r="RKZ3" s="5"/>
      <c r="RLA3" s="5"/>
      <c r="RLB3" s="5"/>
      <c r="RLC3" s="5"/>
      <c r="RLD3" s="5"/>
      <c r="RLE3" s="5"/>
      <c r="RLF3" s="5"/>
      <c r="RLG3" s="5"/>
      <c r="RLH3" s="5"/>
      <c r="RLI3" s="5"/>
      <c r="RLJ3" s="5"/>
      <c r="RLK3" s="5"/>
      <c r="RLL3" s="5"/>
      <c r="RLM3" s="5"/>
      <c r="RLN3" s="5"/>
      <c r="RLO3" s="5"/>
      <c r="RLP3" s="5"/>
      <c r="RLQ3" s="5"/>
      <c r="RLR3" s="5"/>
      <c r="RLS3" s="5"/>
      <c r="RLT3" s="5"/>
      <c r="RLU3" s="5"/>
      <c r="RLV3" s="5"/>
      <c r="RLW3" s="5"/>
      <c r="RLX3" s="5"/>
      <c r="RLY3" s="5"/>
      <c r="RLZ3" s="5"/>
      <c r="RMA3" s="5"/>
      <c r="RMB3" s="5"/>
      <c r="RMC3" s="5"/>
      <c r="RMD3" s="5"/>
      <c r="RME3" s="5"/>
      <c r="RMF3" s="5"/>
      <c r="RMG3" s="5"/>
      <c r="RMH3" s="5"/>
      <c r="RMI3" s="5"/>
      <c r="RMJ3" s="5"/>
      <c r="RMK3" s="5"/>
      <c r="RML3" s="5"/>
      <c r="RMM3" s="5"/>
      <c r="RMN3" s="5"/>
      <c r="RMO3" s="5"/>
      <c r="RMP3" s="5"/>
      <c r="RMQ3" s="5"/>
      <c r="RMR3" s="5"/>
      <c r="RMS3" s="5"/>
      <c r="RMT3" s="5"/>
      <c r="RMU3" s="5"/>
      <c r="RMV3" s="5"/>
      <c r="RMW3" s="5"/>
      <c r="RMX3" s="5"/>
      <c r="RMY3" s="5"/>
      <c r="RMZ3" s="5"/>
      <c r="RNA3" s="5"/>
      <c r="RNB3" s="5"/>
      <c r="RNC3" s="5"/>
      <c r="RND3" s="5"/>
      <c r="RNE3" s="5"/>
      <c r="RNF3" s="5"/>
      <c r="RNG3" s="5"/>
      <c r="RNH3" s="5"/>
      <c r="RNI3" s="5"/>
      <c r="RNJ3" s="5"/>
      <c r="RNK3" s="5"/>
      <c r="RNL3" s="5"/>
      <c r="RNM3" s="5"/>
      <c r="RNN3" s="5"/>
      <c r="RNO3" s="5"/>
      <c r="RNP3" s="5"/>
      <c r="RNQ3" s="5"/>
      <c r="RNR3" s="5"/>
      <c r="RNS3" s="5"/>
      <c r="RNT3" s="5"/>
      <c r="RNU3" s="5"/>
      <c r="RNV3" s="5"/>
      <c r="RNW3" s="5"/>
      <c r="RNX3" s="5"/>
      <c r="RNY3" s="5"/>
      <c r="RNZ3" s="5"/>
      <c r="ROA3" s="5"/>
      <c r="ROB3" s="5"/>
      <c r="ROC3" s="5"/>
      <c r="ROD3" s="5"/>
      <c r="ROE3" s="5"/>
      <c r="ROF3" s="5"/>
      <c r="ROG3" s="5"/>
      <c r="ROH3" s="5"/>
      <c r="ROI3" s="5"/>
      <c r="ROJ3" s="5"/>
      <c r="ROK3" s="5"/>
      <c r="ROL3" s="5"/>
      <c r="ROM3" s="5"/>
      <c r="RON3" s="5"/>
      <c r="ROO3" s="5"/>
      <c r="ROP3" s="5"/>
      <c r="ROQ3" s="5"/>
      <c r="ROR3" s="5"/>
      <c r="ROS3" s="5"/>
      <c r="ROT3" s="5"/>
      <c r="ROU3" s="5"/>
      <c r="ROV3" s="5"/>
      <c r="ROW3" s="5"/>
      <c r="ROX3" s="5"/>
      <c r="ROY3" s="5"/>
      <c r="ROZ3" s="5"/>
      <c r="RPA3" s="5"/>
      <c r="RPB3" s="5"/>
      <c r="RPC3" s="5"/>
      <c r="RPD3" s="5"/>
      <c r="RPE3" s="5"/>
      <c r="RPF3" s="5"/>
      <c r="RPG3" s="5"/>
      <c r="RPH3" s="5"/>
      <c r="RPI3" s="5"/>
      <c r="RPJ3" s="5"/>
      <c r="RPK3" s="5"/>
      <c r="RPL3" s="5"/>
      <c r="RPM3" s="5"/>
      <c r="RPN3" s="5"/>
      <c r="RPO3" s="5"/>
      <c r="RPP3" s="5"/>
      <c r="RPQ3" s="5"/>
      <c r="RPR3" s="5"/>
      <c r="RPS3" s="5"/>
      <c r="RPT3" s="5"/>
      <c r="RPU3" s="5"/>
      <c r="RPV3" s="5"/>
      <c r="RPW3" s="5"/>
      <c r="RPX3" s="5"/>
      <c r="RPY3" s="5"/>
      <c r="RPZ3" s="5"/>
      <c r="RQA3" s="5"/>
      <c r="RQB3" s="5"/>
      <c r="RQC3" s="5"/>
      <c r="RQD3" s="5"/>
      <c r="RQE3" s="5"/>
      <c r="RQF3" s="5"/>
      <c r="RQG3" s="5"/>
      <c r="RQH3" s="5"/>
      <c r="RQI3" s="5"/>
      <c r="RQJ3" s="5"/>
      <c r="RQK3" s="5"/>
      <c r="RQL3" s="5"/>
      <c r="RQM3" s="5"/>
      <c r="RQN3" s="5"/>
      <c r="RQO3" s="5"/>
      <c r="RQP3" s="5"/>
      <c r="RQQ3" s="5"/>
      <c r="RQR3" s="5"/>
      <c r="RQS3" s="5"/>
      <c r="RQT3" s="5"/>
      <c r="RQU3" s="5"/>
      <c r="RQV3" s="5"/>
      <c r="RQW3" s="5"/>
      <c r="RQX3" s="5"/>
      <c r="RQY3" s="5"/>
      <c r="RQZ3" s="5"/>
      <c r="RRA3" s="5"/>
      <c r="RRB3" s="5"/>
      <c r="RRC3" s="5"/>
      <c r="RRD3" s="5"/>
      <c r="RRE3" s="5"/>
      <c r="RRF3" s="5"/>
      <c r="RRG3" s="5"/>
      <c r="RRH3" s="5"/>
      <c r="RRI3" s="5"/>
      <c r="RRJ3" s="5"/>
      <c r="RRK3" s="5"/>
      <c r="RRL3" s="5"/>
      <c r="RRM3" s="5"/>
      <c r="RRN3" s="5"/>
      <c r="RRO3" s="5"/>
      <c r="RRP3" s="5"/>
      <c r="RRQ3" s="5"/>
      <c r="RRR3" s="5"/>
      <c r="RRS3" s="5"/>
      <c r="RRT3" s="5"/>
      <c r="RRU3" s="5"/>
      <c r="RRV3" s="5"/>
      <c r="RRW3" s="5"/>
      <c r="RRX3" s="5"/>
      <c r="RRY3" s="5"/>
      <c r="RRZ3" s="5"/>
      <c r="RSA3" s="5"/>
      <c r="RSB3" s="5"/>
      <c r="RSC3" s="5"/>
      <c r="RSD3" s="5"/>
      <c r="RSE3" s="5"/>
      <c r="RSF3" s="5"/>
      <c r="RSG3" s="5"/>
      <c r="RSH3" s="5"/>
      <c r="RSI3" s="5"/>
      <c r="RSJ3" s="5"/>
      <c r="RSK3" s="5"/>
      <c r="RSL3" s="5"/>
      <c r="RSM3" s="5"/>
      <c r="RSN3" s="5"/>
      <c r="RSO3" s="5"/>
      <c r="RSP3" s="5"/>
      <c r="RSQ3" s="5"/>
      <c r="RSR3" s="5"/>
      <c r="RSS3" s="5"/>
      <c r="RST3" s="5"/>
      <c r="RSU3" s="5"/>
      <c r="RSV3" s="5"/>
      <c r="RSW3" s="5"/>
      <c r="RSX3" s="5"/>
      <c r="RSY3" s="5"/>
      <c r="RSZ3" s="5"/>
      <c r="RTA3" s="5"/>
      <c r="RTB3" s="5"/>
      <c r="RTC3" s="5"/>
      <c r="RTD3" s="5"/>
      <c r="RTE3" s="5"/>
      <c r="RTF3" s="5"/>
      <c r="RTG3" s="5"/>
      <c r="RTH3" s="5"/>
      <c r="RTI3" s="5"/>
      <c r="RTJ3" s="5"/>
      <c r="RTK3" s="5"/>
      <c r="RTL3" s="5"/>
      <c r="RTM3" s="5"/>
      <c r="RTN3" s="5"/>
      <c r="RTO3" s="5"/>
      <c r="RTP3" s="5"/>
      <c r="RTQ3" s="5"/>
      <c r="RTR3" s="5"/>
      <c r="RTS3" s="5"/>
      <c r="RTT3" s="5"/>
      <c r="RTU3" s="5"/>
      <c r="RTV3" s="5"/>
      <c r="RTW3" s="5"/>
      <c r="RTX3" s="5"/>
      <c r="RTY3" s="5"/>
      <c r="RTZ3" s="5"/>
      <c r="RUA3" s="5"/>
      <c r="RUB3" s="5"/>
      <c r="RUC3" s="5"/>
      <c r="RUD3" s="5"/>
      <c r="RUE3" s="5"/>
      <c r="RUF3" s="5"/>
      <c r="RUG3" s="5"/>
      <c r="RUH3" s="5"/>
      <c r="RUI3" s="5"/>
      <c r="RUJ3" s="5"/>
      <c r="RUK3" s="5"/>
      <c r="RUL3" s="5"/>
      <c r="RUM3" s="5"/>
      <c r="RUN3" s="5"/>
      <c r="RUO3" s="5"/>
      <c r="RUP3" s="5"/>
      <c r="RUQ3" s="5"/>
      <c r="RUR3" s="5"/>
      <c r="RUS3" s="5"/>
      <c r="RUT3" s="5"/>
      <c r="RUU3" s="5"/>
      <c r="RUV3" s="5"/>
      <c r="RUW3" s="5"/>
      <c r="RUX3" s="5"/>
      <c r="RUY3" s="5"/>
      <c r="RUZ3" s="5"/>
      <c r="RVA3" s="5"/>
      <c r="RVB3" s="5"/>
      <c r="RVC3" s="5"/>
      <c r="RVD3" s="5"/>
      <c r="RVE3" s="5"/>
      <c r="RVF3" s="5"/>
      <c r="RVG3" s="5"/>
      <c r="RVH3" s="5"/>
      <c r="RVI3" s="5"/>
      <c r="RVJ3" s="5"/>
      <c r="RVK3" s="5"/>
      <c r="RVL3" s="5"/>
      <c r="RVM3" s="5"/>
      <c r="RVN3" s="5"/>
      <c r="RVO3" s="5"/>
      <c r="RVP3" s="5"/>
      <c r="RVQ3" s="5"/>
      <c r="RVR3" s="5"/>
      <c r="RVS3" s="5"/>
      <c r="RVT3" s="5"/>
      <c r="RVU3" s="5"/>
      <c r="RVV3" s="5"/>
      <c r="RVW3" s="5"/>
      <c r="RVX3" s="5"/>
      <c r="RVY3" s="5"/>
      <c r="RVZ3" s="5"/>
      <c r="RWA3" s="5"/>
      <c r="RWB3" s="5"/>
      <c r="RWC3" s="5"/>
      <c r="RWD3" s="5"/>
      <c r="RWE3" s="5"/>
      <c r="RWF3" s="5"/>
      <c r="RWG3" s="5"/>
      <c r="RWH3" s="5"/>
      <c r="RWI3" s="5"/>
      <c r="RWJ3" s="5"/>
      <c r="RWK3" s="5"/>
      <c r="RWL3" s="5"/>
      <c r="RWM3" s="5"/>
      <c r="RWN3" s="5"/>
      <c r="RWO3" s="5"/>
      <c r="RWP3" s="5"/>
      <c r="RWQ3" s="5"/>
      <c r="RWR3" s="5"/>
      <c r="RWS3" s="5"/>
      <c r="RWT3" s="5"/>
      <c r="RWU3" s="5"/>
      <c r="RWV3" s="5"/>
      <c r="RWW3" s="5"/>
      <c r="RWX3" s="5"/>
      <c r="RWY3" s="5"/>
      <c r="RWZ3" s="5"/>
      <c r="RXA3" s="5"/>
      <c r="RXB3" s="5"/>
      <c r="RXC3" s="5"/>
      <c r="RXD3" s="5"/>
      <c r="RXE3" s="5"/>
      <c r="RXF3" s="5"/>
      <c r="RXG3" s="5"/>
      <c r="RXH3" s="5"/>
      <c r="RXI3" s="5"/>
      <c r="RXJ3" s="5"/>
      <c r="RXK3" s="5"/>
      <c r="RXL3" s="5"/>
      <c r="RXM3" s="5"/>
      <c r="RXN3" s="5"/>
      <c r="RXO3" s="5"/>
      <c r="RXP3" s="5"/>
      <c r="RXQ3" s="5"/>
      <c r="RXR3" s="5"/>
      <c r="RXS3" s="5"/>
      <c r="RXT3" s="5"/>
      <c r="RXU3" s="5"/>
      <c r="RXV3" s="5"/>
      <c r="RXW3" s="5"/>
      <c r="RXX3" s="5"/>
      <c r="RXY3" s="5"/>
      <c r="RXZ3" s="5"/>
      <c r="RYA3" s="5"/>
      <c r="RYB3" s="5"/>
      <c r="RYC3" s="5"/>
      <c r="RYD3" s="5"/>
      <c r="RYE3" s="5"/>
      <c r="RYF3" s="5"/>
      <c r="RYG3" s="5"/>
      <c r="RYH3" s="5"/>
      <c r="RYI3" s="5"/>
      <c r="RYJ3" s="5"/>
      <c r="RYK3" s="5"/>
      <c r="RYL3" s="5"/>
      <c r="RYM3" s="5"/>
      <c r="RYN3" s="5"/>
      <c r="RYO3" s="5"/>
      <c r="RYP3" s="5"/>
      <c r="RYQ3" s="5"/>
      <c r="RYR3" s="5"/>
      <c r="RYS3" s="5"/>
      <c r="RYT3" s="5"/>
      <c r="RYU3" s="5"/>
      <c r="RYV3" s="5"/>
      <c r="RYW3" s="5"/>
      <c r="RYX3" s="5"/>
      <c r="RYY3" s="5"/>
      <c r="RYZ3" s="5"/>
      <c r="RZA3" s="5"/>
      <c r="RZB3" s="5"/>
      <c r="RZC3" s="5"/>
      <c r="RZD3" s="5"/>
      <c r="RZE3" s="5"/>
      <c r="RZF3" s="5"/>
      <c r="RZG3" s="5"/>
      <c r="RZH3" s="5"/>
      <c r="RZI3" s="5"/>
      <c r="RZJ3" s="5"/>
      <c r="RZK3" s="5"/>
      <c r="RZL3" s="5"/>
      <c r="RZM3" s="5"/>
      <c r="RZN3" s="5"/>
      <c r="RZO3" s="5"/>
      <c r="RZP3" s="5"/>
      <c r="RZQ3" s="5"/>
      <c r="RZR3" s="5"/>
      <c r="RZS3" s="5"/>
      <c r="RZT3" s="5"/>
      <c r="RZU3" s="5"/>
      <c r="RZV3" s="5"/>
      <c r="RZW3" s="5"/>
      <c r="RZX3" s="5"/>
      <c r="RZY3" s="5"/>
      <c r="RZZ3" s="5"/>
      <c r="SAA3" s="5"/>
      <c r="SAB3" s="5"/>
      <c r="SAC3" s="5"/>
      <c r="SAD3" s="5"/>
      <c r="SAE3" s="5"/>
      <c r="SAF3" s="5"/>
      <c r="SAG3" s="5"/>
      <c r="SAH3" s="5"/>
      <c r="SAI3" s="5"/>
      <c r="SAJ3" s="5"/>
      <c r="SAK3" s="5"/>
      <c r="SAL3" s="5"/>
      <c r="SAM3" s="5"/>
      <c r="SAN3" s="5"/>
      <c r="SAO3" s="5"/>
      <c r="SAP3" s="5"/>
      <c r="SAQ3" s="5"/>
      <c r="SAR3" s="5"/>
      <c r="SAS3" s="5"/>
      <c r="SAT3" s="5"/>
      <c r="SAU3" s="5"/>
      <c r="SAV3" s="5"/>
      <c r="SAW3" s="5"/>
      <c r="SAX3" s="5"/>
      <c r="SAY3" s="5"/>
      <c r="SAZ3" s="5"/>
      <c r="SBA3" s="5"/>
      <c r="SBB3" s="5"/>
      <c r="SBC3" s="5"/>
      <c r="SBD3" s="5"/>
      <c r="SBE3" s="5"/>
      <c r="SBF3" s="5"/>
      <c r="SBG3" s="5"/>
      <c r="SBH3" s="5"/>
      <c r="SBI3" s="5"/>
      <c r="SBJ3" s="5"/>
      <c r="SBK3" s="5"/>
      <c r="SBL3" s="5"/>
      <c r="SBM3" s="5"/>
      <c r="SBN3" s="5"/>
      <c r="SBO3" s="5"/>
      <c r="SBP3" s="5"/>
      <c r="SBQ3" s="5"/>
      <c r="SBR3" s="5"/>
      <c r="SBS3" s="5"/>
      <c r="SBT3" s="5"/>
      <c r="SBU3" s="5"/>
      <c r="SBV3" s="5"/>
      <c r="SBW3" s="5"/>
      <c r="SBX3" s="5"/>
      <c r="SBY3" s="5"/>
      <c r="SBZ3" s="5"/>
      <c r="SCA3" s="5"/>
      <c r="SCB3" s="5"/>
      <c r="SCC3" s="5"/>
      <c r="SCD3" s="5"/>
      <c r="SCE3" s="5"/>
      <c r="SCF3" s="5"/>
      <c r="SCG3" s="5"/>
      <c r="SCH3" s="5"/>
      <c r="SCI3" s="5"/>
      <c r="SCJ3" s="5"/>
      <c r="SCK3" s="5"/>
      <c r="SCL3" s="5"/>
      <c r="SCM3" s="5"/>
      <c r="SCN3" s="5"/>
      <c r="SCO3" s="5"/>
      <c r="SCP3" s="5"/>
      <c r="SCQ3" s="5"/>
      <c r="SCR3" s="5"/>
      <c r="SCS3" s="5"/>
      <c r="SCT3" s="5"/>
      <c r="SCU3" s="5"/>
      <c r="SCV3" s="5"/>
      <c r="SCW3" s="5"/>
      <c r="SCX3" s="5"/>
      <c r="SCY3" s="5"/>
      <c r="SCZ3" s="5"/>
      <c r="SDA3" s="5"/>
      <c r="SDB3" s="5"/>
      <c r="SDC3" s="5"/>
      <c r="SDD3" s="5"/>
      <c r="SDE3" s="5"/>
      <c r="SDF3" s="5"/>
      <c r="SDG3" s="5"/>
      <c r="SDH3" s="5"/>
      <c r="SDI3" s="5"/>
      <c r="SDJ3" s="5"/>
      <c r="SDK3" s="5"/>
      <c r="SDL3" s="5"/>
      <c r="SDM3" s="5"/>
      <c r="SDN3" s="5"/>
      <c r="SDO3" s="5"/>
      <c r="SDP3" s="5"/>
      <c r="SDQ3" s="5"/>
      <c r="SDR3" s="5"/>
      <c r="SDS3" s="5"/>
      <c r="SDT3" s="5"/>
      <c r="SDU3" s="5"/>
      <c r="SDV3" s="5"/>
      <c r="SDW3" s="5"/>
      <c r="SDX3" s="5"/>
      <c r="SDY3" s="5"/>
      <c r="SDZ3" s="5"/>
      <c r="SEA3" s="5"/>
      <c r="SEB3" s="5"/>
      <c r="SEC3" s="5"/>
      <c r="SED3" s="5"/>
      <c r="SEE3" s="5"/>
      <c r="SEF3" s="5"/>
      <c r="SEG3" s="5"/>
      <c r="SEH3" s="5"/>
      <c r="SEI3" s="5"/>
      <c r="SEJ3" s="5"/>
      <c r="SEK3" s="5"/>
      <c r="SEL3" s="5"/>
      <c r="SEM3" s="5"/>
      <c r="SEN3" s="5"/>
      <c r="SEO3" s="5"/>
      <c r="SEP3" s="5"/>
      <c r="SEQ3" s="5"/>
      <c r="SER3" s="5"/>
      <c r="SES3" s="5"/>
      <c r="SET3" s="5"/>
      <c r="SEU3" s="5"/>
      <c r="SEV3" s="5"/>
      <c r="SEW3" s="5"/>
      <c r="SEX3" s="5"/>
      <c r="SEY3" s="5"/>
      <c r="SEZ3" s="5"/>
      <c r="SFA3" s="5"/>
      <c r="SFB3" s="5"/>
      <c r="SFC3" s="5"/>
      <c r="SFD3" s="5"/>
      <c r="SFE3" s="5"/>
      <c r="SFF3" s="5"/>
      <c r="SFG3" s="5"/>
      <c r="SFH3" s="5"/>
      <c r="SFI3" s="5"/>
      <c r="SFJ3" s="5"/>
      <c r="SFK3" s="5"/>
      <c r="SFL3" s="5"/>
      <c r="SFM3" s="5"/>
      <c r="SFN3" s="5"/>
      <c r="SFO3" s="5"/>
      <c r="SFP3" s="5"/>
      <c r="SFQ3" s="5"/>
      <c r="SFR3" s="5"/>
      <c r="SFS3" s="5"/>
      <c r="SFT3" s="5"/>
      <c r="SFU3" s="5"/>
      <c r="SFV3" s="5"/>
      <c r="SFW3" s="5"/>
      <c r="SFX3" s="5"/>
      <c r="SFY3" s="5"/>
      <c r="SFZ3" s="5"/>
      <c r="SGA3" s="5"/>
      <c r="SGB3" s="5"/>
      <c r="SGC3" s="5"/>
      <c r="SGD3" s="5"/>
      <c r="SGE3" s="5"/>
      <c r="SGF3" s="5"/>
      <c r="SGG3" s="5"/>
      <c r="SGH3" s="5"/>
      <c r="SGI3" s="5"/>
      <c r="SGJ3" s="5"/>
      <c r="SGK3" s="5"/>
      <c r="SGL3" s="5"/>
      <c r="SGM3" s="5"/>
      <c r="SGN3" s="5"/>
      <c r="SGO3" s="5"/>
      <c r="SGP3" s="5"/>
      <c r="SGQ3" s="5"/>
      <c r="SGR3" s="5"/>
      <c r="SGS3" s="5"/>
      <c r="SGT3" s="5"/>
      <c r="SGU3" s="5"/>
      <c r="SGV3" s="5"/>
      <c r="SGW3" s="5"/>
      <c r="SGX3" s="5"/>
      <c r="SGY3" s="5"/>
      <c r="SGZ3" s="5"/>
      <c r="SHA3" s="5"/>
      <c r="SHB3" s="5"/>
      <c r="SHC3" s="5"/>
      <c r="SHD3" s="5"/>
      <c r="SHE3" s="5"/>
      <c r="SHF3" s="5"/>
      <c r="SHG3" s="5"/>
      <c r="SHH3" s="5"/>
      <c r="SHI3" s="5"/>
      <c r="SHJ3" s="5"/>
      <c r="SHK3" s="5"/>
      <c r="SHL3" s="5"/>
      <c r="SHM3" s="5"/>
      <c r="SHN3" s="5"/>
      <c r="SHO3" s="5"/>
      <c r="SHP3" s="5"/>
      <c r="SHQ3" s="5"/>
      <c r="SHR3" s="5"/>
      <c r="SHS3" s="5"/>
      <c r="SHT3" s="5"/>
      <c r="SHU3" s="5"/>
      <c r="SHV3" s="5"/>
      <c r="SHW3" s="5"/>
      <c r="SHX3" s="5"/>
      <c r="SHY3" s="5"/>
      <c r="SHZ3" s="5"/>
      <c r="SIA3" s="5"/>
      <c r="SIB3" s="5"/>
      <c r="SIC3" s="5"/>
      <c r="SID3" s="5"/>
      <c r="SIE3" s="5"/>
      <c r="SIF3" s="5"/>
      <c r="SIG3" s="5"/>
      <c r="SIH3" s="5"/>
      <c r="SII3" s="5"/>
      <c r="SIJ3" s="5"/>
      <c r="SIK3" s="5"/>
      <c r="SIL3" s="5"/>
      <c r="SIM3" s="5"/>
      <c r="SIN3" s="5"/>
      <c r="SIO3" s="5"/>
      <c r="SIP3" s="5"/>
      <c r="SIQ3" s="5"/>
      <c r="SIR3" s="5"/>
      <c r="SIS3" s="5"/>
      <c r="SIT3" s="5"/>
      <c r="SIU3" s="5"/>
      <c r="SIV3" s="5"/>
      <c r="SIW3" s="5"/>
      <c r="SIX3" s="5"/>
      <c r="SIY3" s="5"/>
      <c r="SIZ3" s="5"/>
      <c r="SJA3" s="5"/>
      <c r="SJB3" s="5"/>
      <c r="SJC3" s="5"/>
      <c r="SJD3" s="5"/>
      <c r="SJE3" s="5"/>
      <c r="SJF3" s="5"/>
      <c r="SJG3" s="5"/>
      <c r="SJH3" s="5"/>
      <c r="SJI3" s="5"/>
      <c r="SJJ3" s="5"/>
      <c r="SJK3" s="5"/>
      <c r="SJL3" s="5"/>
      <c r="SJM3" s="5"/>
      <c r="SJN3" s="5"/>
      <c r="SJO3" s="5"/>
      <c r="SJP3" s="5"/>
      <c r="SJQ3" s="5"/>
      <c r="SJR3" s="5"/>
      <c r="SJS3" s="5"/>
      <c r="SJT3" s="5"/>
      <c r="SJU3" s="5"/>
      <c r="SJV3" s="5"/>
      <c r="SJW3" s="5"/>
      <c r="SJX3" s="5"/>
      <c r="SJY3" s="5"/>
      <c r="SJZ3" s="5"/>
      <c r="SKA3" s="5"/>
      <c r="SKB3" s="5"/>
      <c r="SKC3" s="5"/>
      <c r="SKD3" s="5"/>
      <c r="SKE3" s="5"/>
      <c r="SKF3" s="5"/>
      <c r="SKG3" s="5"/>
      <c r="SKH3" s="5"/>
      <c r="SKI3" s="5"/>
      <c r="SKJ3" s="5"/>
      <c r="SKK3" s="5"/>
      <c r="SKL3" s="5"/>
      <c r="SKM3" s="5"/>
      <c r="SKN3" s="5"/>
      <c r="SKO3" s="5"/>
      <c r="SKP3" s="5"/>
      <c r="SKQ3" s="5"/>
      <c r="SKR3" s="5"/>
      <c r="SKS3" s="5"/>
      <c r="SKT3" s="5"/>
      <c r="SKU3" s="5"/>
      <c r="SKV3" s="5"/>
      <c r="SKW3" s="5"/>
      <c r="SKX3" s="5"/>
      <c r="SKY3" s="5"/>
      <c r="SKZ3" s="5"/>
      <c r="SLA3" s="5"/>
      <c r="SLB3" s="5"/>
      <c r="SLC3" s="5"/>
      <c r="SLD3" s="5"/>
      <c r="SLE3" s="5"/>
      <c r="SLF3" s="5"/>
      <c r="SLG3" s="5"/>
      <c r="SLH3" s="5"/>
      <c r="SLI3" s="5"/>
      <c r="SLJ3" s="5"/>
      <c r="SLK3" s="5"/>
      <c r="SLL3" s="5"/>
      <c r="SLM3" s="5"/>
      <c r="SLN3" s="5"/>
      <c r="SLO3" s="5"/>
      <c r="SLP3" s="5"/>
      <c r="SLQ3" s="5"/>
      <c r="SLR3" s="5"/>
      <c r="SLS3" s="5"/>
      <c r="SLT3" s="5"/>
      <c r="SLU3" s="5"/>
      <c r="SLV3" s="5"/>
      <c r="SLW3" s="5"/>
      <c r="SLX3" s="5"/>
      <c r="SLY3" s="5"/>
      <c r="SLZ3" s="5"/>
      <c r="SMA3" s="5"/>
      <c r="SMB3" s="5"/>
      <c r="SMC3" s="5"/>
      <c r="SMD3" s="5"/>
      <c r="SME3" s="5"/>
      <c r="SMF3" s="5"/>
      <c r="SMG3" s="5"/>
      <c r="SMH3" s="5"/>
      <c r="SMI3" s="5"/>
      <c r="SMJ3" s="5"/>
      <c r="SMK3" s="5"/>
      <c r="SML3" s="5"/>
      <c r="SMM3" s="5"/>
      <c r="SMN3" s="5"/>
      <c r="SMO3" s="5"/>
      <c r="SMP3" s="5"/>
      <c r="SMQ3" s="5"/>
      <c r="SMR3" s="5"/>
      <c r="SMS3" s="5"/>
      <c r="SMT3" s="5"/>
      <c r="SMU3" s="5"/>
      <c r="SMV3" s="5"/>
      <c r="SMW3" s="5"/>
      <c r="SMX3" s="5"/>
      <c r="SMY3" s="5"/>
      <c r="SMZ3" s="5"/>
      <c r="SNA3" s="5"/>
      <c r="SNB3" s="5"/>
      <c r="SNC3" s="5"/>
      <c r="SND3" s="5"/>
      <c r="SNE3" s="5"/>
      <c r="SNF3" s="5"/>
      <c r="SNG3" s="5"/>
      <c r="SNH3" s="5"/>
      <c r="SNI3" s="5"/>
      <c r="SNJ3" s="5"/>
      <c r="SNK3" s="5"/>
      <c r="SNL3" s="5"/>
      <c r="SNM3" s="5"/>
      <c r="SNN3" s="5"/>
      <c r="SNO3" s="5"/>
      <c r="SNP3" s="5"/>
      <c r="SNQ3" s="5"/>
      <c r="SNR3" s="5"/>
      <c r="SNS3" s="5"/>
      <c r="SNT3" s="5"/>
      <c r="SNU3" s="5"/>
      <c r="SNV3" s="5"/>
      <c r="SNW3" s="5"/>
      <c r="SNX3" s="5"/>
      <c r="SNY3" s="5"/>
      <c r="SNZ3" s="5"/>
      <c r="SOA3" s="5"/>
      <c r="SOB3" s="5"/>
      <c r="SOC3" s="5"/>
      <c r="SOD3" s="5"/>
      <c r="SOE3" s="5"/>
      <c r="SOF3" s="5"/>
      <c r="SOG3" s="5"/>
      <c r="SOH3" s="5"/>
      <c r="SOI3" s="5"/>
      <c r="SOJ3" s="5"/>
      <c r="SOK3" s="5"/>
      <c r="SOL3" s="5"/>
      <c r="SOM3" s="5"/>
      <c r="SON3" s="5"/>
      <c r="SOO3" s="5"/>
      <c r="SOP3" s="5"/>
      <c r="SOQ3" s="5"/>
      <c r="SOR3" s="5"/>
      <c r="SOS3" s="5"/>
      <c r="SOT3" s="5"/>
      <c r="SOU3" s="5"/>
      <c r="SOV3" s="5"/>
      <c r="SOW3" s="5"/>
      <c r="SOX3" s="5"/>
      <c r="SOY3" s="5"/>
      <c r="SOZ3" s="5"/>
      <c r="SPA3" s="5"/>
      <c r="SPB3" s="5"/>
      <c r="SPC3" s="5"/>
      <c r="SPD3" s="5"/>
      <c r="SPE3" s="5"/>
      <c r="SPF3" s="5"/>
      <c r="SPG3" s="5"/>
      <c r="SPH3" s="5"/>
      <c r="SPI3" s="5"/>
      <c r="SPJ3" s="5"/>
      <c r="SPK3" s="5"/>
      <c r="SPL3" s="5"/>
      <c r="SPM3" s="5"/>
      <c r="SPN3" s="5"/>
      <c r="SPO3" s="5"/>
      <c r="SPP3" s="5"/>
      <c r="SPQ3" s="5"/>
      <c r="SPR3" s="5"/>
      <c r="SPS3" s="5"/>
      <c r="SPT3" s="5"/>
      <c r="SPU3" s="5"/>
      <c r="SPV3" s="5"/>
      <c r="SPW3" s="5"/>
      <c r="SPX3" s="5"/>
      <c r="SPY3" s="5"/>
      <c r="SPZ3" s="5"/>
      <c r="SQA3" s="5"/>
      <c r="SQB3" s="5"/>
      <c r="SQC3" s="5"/>
      <c r="SQD3" s="5"/>
      <c r="SQE3" s="5"/>
      <c r="SQF3" s="5"/>
      <c r="SQG3" s="5"/>
      <c r="SQH3" s="5"/>
      <c r="SQI3" s="5"/>
      <c r="SQJ3" s="5"/>
      <c r="SQK3" s="5"/>
      <c r="SQL3" s="5"/>
      <c r="SQM3" s="5"/>
      <c r="SQN3" s="5"/>
      <c r="SQO3" s="5"/>
      <c r="SQP3" s="5"/>
      <c r="SQQ3" s="5"/>
      <c r="SQR3" s="5"/>
      <c r="SQS3" s="5"/>
      <c r="SQT3" s="5"/>
      <c r="SQU3" s="5"/>
      <c r="SQV3" s="5"/>
      <c r="SQW3" s="5"/>
      <c r="SQX3" s="5"/>
      <c r="SQY3" s="5"/>
      <c r="SQZ3" s="5"/>
      <c r="SRA3" s="5"/>
      <c r="SRB3" s="5"/>
      <c r="SRC3" s="5"/>
      <c r="SRD3" s="5"/>
      <c r="SRE3" s="5"/>
      <c r="SRF3" s="5"/>
      <c r="SRG3" s="5"/>
      <c r="SRH3" s="5"/>
      <c r="SRI3" s="5"/>
      <c r="SRJ3" s="5"/>
      <c r="SRK3" s="5"/>
      <c r="SRL3" s="5"/>
      <c r="SRM3" s="5"/>
      <c r="SRN3" s="5"/>
      <c r="SRO3" s="5"/>
      <c r="SRP3" s="5"/>
      <c r="SRQ3" s="5"/>
      <c r="SRR3" s="5"/>
      <c r="SRS3" s="5"/>
      <c r="SRT3" s="5"/>
      <c r="SRU3" s="5"/>
      <c r="SRV3" s="5"/>
      <c r="SRW3" s="5"/>
      <c r="SRX3" s="5"/>
      <c r="SRY3" s="5"/>
      <c r="SRZ3" s="5"/>
      <c r="SSA3" s="5"/>
      <c r="SSB3" s="5"/>
      <c r="SSC3" s="5"/>
      <c r="SSD3" s="5"/>
      <c r="SSE3" s="5"/>
      <c r="SSF3" s="5"/>
      <c r="SSG3" s="5"/>
      <c r="SSH3" s="5"/>
      <c r="SSI3" s="5"/>
      <c r="SSJ3" s="5"/>
      <c r="SSK3" s="5"/>
      <c r="SSL3" s="5"/>
      <c r="SSM3" s="5"/>
      <c r="SSN3" s="5"/>
      <c r="SSO3" s="5"/>
      <c r="SSP3" s="5"/>
      <c r="SSQ3" s="5"/>
      <c r="SSR3" s="5"/>
      <c r="SSS3" s="5"/>
      <c r="SST3" s="5"/>
      <c r="SSU3" s="5"/>
      <c r="SSV3" s="5"/>
      <c r="SSW3" s="5"/>
      <c r="SSX3" s="5"/>
      <c r="SSY3" s="5"/>
      <c r="SSZ3" s="5"/>
      <c r="STA3" s="5"/>
      <c r="STB3" s="5"/>
      <c r="STC3" s="5"/>
      <c r="STD3" s="5"/>
      <c r="STE3" s="5"/>
      <c r="STF3" s="5"/>
      <c r="STG3" s="5"/>
      <c r="STH3" s="5"/>
      <c r="STI3" s="5"/>
      <c r="STJ3" s="5"/>
      <c r="STK3" s="5"/>
      <c r="STL3" s="5"/>
      <c r="STM3" s="5"/>
      <c r="STN3" s="5"/>
      <c r="STO3" s="5"/>
      <c r="STP3" s="5"/>
      <c r="STQ3" s="5"/>
      <c r="STR3" s="5"/>
      <c r="STS3" s="5"/>
      <c r="STT3" s="5"/>
      <c r="STU3" s="5"/>
      <c r="STV3" s="5"/>
      <c r="STW3" s="5"/>
      <c r="STX3" s="5"/>
      <c r="STY3" s="5"/>
      <c r="STZ3" s="5"/>
      <c r="SUA3" s="5"/>
      <c r="SUB3" s="5"/>
      <c r="SUC3" s="5"/>
      <c r="SUD3" s="5"/>
      <c r="SUE3" s="5"/>
      <c r="SUF3" s="5"/>
      <c r="SUG3" s="5"/>
      <c r="SUH3" s="5"/>
      <c r="SUI3" s="5"/>
      <c r="SUJ3" s="5"/>
      <c r="SUK3" s="5"/>
      <c r="SUL3" s="5"/>
      <c r="SUM3" s="5"/>
      <c r="SUN3" s="5"/>
      <c r="SUO3" s="5"/>
      <c r="SUP3" s="5"/>
      <c r="SUQ3" s="5"/>
      <c r="SUR3" s="5"/>
      <c r="SUS3" s="5"/>
      <c r="SUT3" s="5"/>
      <c r="SUU3" s="5"/>
      <c r="SUV3" s="5"/>
      <c r="SUW3" s="5"/>
      <c r="SUX3" s="5"/>
      <c r="SUY3" s="5"/>
      <c r="SUZ3" s="5"/>
      <c r="SVA3" s="5"/>
      <c r="SVB3" s="5"/>
      <c r="SVC3" s="5"/>
      <c r="SVD3" s="5"/>
      <c r="SVE3" s="5"/>
      <c r="SVF3" s="5"/>
      <c r="SVG3" s="5"/>
      <c r="SVH3" s="5"/>
      <c r="SVI3" s="5"/>
      <c r="SVJ3" s="5"/>
      <c r="SVK3" s="5"/>
      <c r="SVL3" s="5"/>
      <c r="SVM3" s="5"/>
      <c r="SVN3" s="5"/>
      <c r="SVO3" s="5"/>
      <c r="SVP3" s="5"/>
      <c r="SVQ3" s="5"/>
      <c r="SVR3" s="5"/>
      <c r="SVS3" s="5"/>
      <c r="SVT3" s="5"/>
      <c r="SVU3" s="5"/>
      <c r="SVV3" s="5"/>
      <c r="SVW3" s="5"/>
      <c r="SVX3" s="5"/>
      <c r="SVY3" s="5"/>
      <c r="SVZ3" s="5"/>
      <c r="SWA3" s="5"/>
      <c r="SWB3" s="5"/>
      <c r="SWC3" s="5"/>
      <c r="SWD3" s="5"/>
      <c r="SWE3" s="5"/>
      <c r="SWF3" s="5"/>
      <c r="SWG3" s="5"/>
      <c r="SWH3" s="5"/>
      <c r="SWI3" s="5"/>
      <c r="SWJ3" s="5"/>
      <c r="SWK3" s="5"/>
      <c r="SWL3" s="5"/>
      <c r="SWM3" s="5"/>
      <c r="SWN3" s="5"/>
      <c r="SWO3" s="5"/>
      <c r="SWP3" s="5"/>
      <c r="SWQ3" s="5"/>
      <c r="SWR3" s="5"/>
      <c r="SWS3" s="5"/>
      <c r="SWT3" s="5"/>
      <c r="SWU3" s="5"/>
      <c r="SWV3" s="5"/>
      <c r="SWW3" s="5"/>
      <c r="SWX3" s="5"/>
      <c r="SWY3" s="5"/>
      <c r="SWZ3" s="5"/>
      <c r="SXA3" s="5"/>
      <c r="SXB3" s="5"/>
      <c r="SXC3" s="5"/>
      <c r="SXD3" s="5"/>
      <c r="SXE3" s="5"/>
      <c r="SXF3" s="5"/>
      <c r="SXG3" s="5"/>
      <c r="SXH3" s="5"/>
      <c r="SXI3" s="5"/>
      <c r="SXJ3" s="5"/>
      <c r="SXK3" s="5"/>
      <c r="SXL3" s="5"/>
      <c r="SXM3" s="5"/>
      <c r="SXN3" s="5"/>
      <c r="SXO3" s="5"/>
      <c r="SXP3" s="5"/>
      <c r="SXQ3" s="5"/>
      <c r="SXR3" s="5"/>
      <c r="SXS3" s="5"/>
      <c r="SXT3" s="5"/>
      <c r="SXU3" s="5"/>
      <c r="SXV3" s="5"/>
      <c r="SXW3" s="5"/>
      <c r="SXX3" s="5"/>
      <c r="SXY3" s="5"/>
      <c r="SXZ3" s="5"/>
      <c r="SYA3" s="5"/>
      <c r="SYB3" s="5"/>
      <c r="SYC3" s="5"/>
      <c r="SYD3" s="5"/>
      <c r="SYE3" s="5"/>
      <c r="SYF3" s="5"/>
      <c r="SYG3" s="5"/>
      <c r="SYH3" s="5"/>
      <c r="SYI3" s="5"/>
      <c r="SYJ3" s="5"/>
      <c r="SYK3" s="5"/>
      <c r="SYL3" s="5"/>
      <c r="SYM3" s="5"/>
      <c r="SYN3" s="5"/>
      <c r="SYO3" s="5"/>
      <c r="SYP3" s="5"/>
      <c r="SYQ3" s="5"/>
      <c r="SYR3" s="5"/>
      <c r="SYS3" s="5"/>
      <c r="SYT3" s="5"/>
      <c r="SYU3" s="5"/>
      <c r="SYV3" s="5"/>
      <c r="SYW3" s="5"/>
      <c r="SYX3" s="5"/>
      <c r="SYY3" s="5"/>
      <c r="SYZ3" s="5"/>
      <c r="SZA3" s="5"/>
      <c r="SZB3" s="5"/>
      <c r="SZC3" s="5"/>
      <c r="SZD3" s="5"/>
      <c r="SZE3" s="5"/>
      <c r="SZF3" s="5"/>
      <c r="SZG3" s="5"/>
      <c r="SZH3" s="5"/>
      <c r="SZI3" s="5"/>
      <c r="SZJ3" s="5"/>
      <c r="SZK3" s="5"/>
      <c r="SZL3" s="5"/>
      <c r="SZM3" s="5"/>
      <c r="SZN3" s="5"/>
      <c r="SZO3" s="5"/>
      <c r="SZP3" s="5"/>
      <c r="SZQ3" s="5"/>
      <c r="SZR3" s="5"/>
      <c r="SZS3" s="5"/>
      <c r="SZT3" s="5"/>
      <c r="SZU3" s="5"/>
      <c r="SZV3" s="5"/>
      <c r="SZW3" s="5"/>
      <c r="SZX3" s="5"/>
      <c r="SZY3" s="5"/>
      <c r="SZZ3" s="5"/>
      <c r="TAA3" s="5"/>
      <c r="TAB3" s="5"/>
      <c r="TAC3" s="5"/>
      <c r="TAD3" s="5"/>
      <c r="TAE3" s="5"/>
      <c r="TAF3" s="5"/>
      <c r="TAG3" s="5"/>
      <c r="TAH3" s="5"/>
      <c r="TAI3" s="5"/>
      <c r="TAJ3" s="5"/>
      <c r="TAK3" s="5"/>
      <c r="TAL3" s="5"/>
      <c r="TAM3" s="5"/>
      <c r="TAN3" s="5"/>
      <c r="TAO3" s="5"/>
      <c r="TAP3" s="5"/>
      <c r="TAQ3" s="5"/>
      <c r="TAR3" s="5"/>
      <c r="TAS3" s="5"/>
      <c r="TAT3" s="5"/>
      <c r="TAU3" s="5"/>
      <c r="TAV3" s="5"/>
      <c r="TAW3" s="5"/>
      <c r="TAX3" s="5"/>
      <c r="TAY3" s="5"/>
      <c r="TAZ3" s="5"/>
      <c r="TBA3" s="5"/>
      <c r="TBB3" s="5"/>
      <c r="TBC3" s="5"/>
      <c r="TBD3" s="5"/>
      <c r="TBE3" s="5"/>
      <c r="TBF3" s="5"/>
      <c r="TBG3" s="5"/>
      <c r="TBH3" s="5"/>
      <c r="TBI3" s="5"/>
      <c r="TBJ3" s="5"/>
      <c r="TBK3" s="5"/>
      <c r="TBL3" s="5"/>
      <c r="TBM3" s="5"/>
      <c r="TBN3" s="5"/>
      <c r="TBO3" s="5"/>
      <c r="TBP3" s="5"/>
      <c r="TBQ3" s="5"/>
      <c r="TBR3" s="5"/>
      <c r="TBS3" s="5"/>
      <c r="TBT3" s="5"/>
      <c r="TBU3" s="5"/>
      <c r="TBV3" s="5"/>
      <c r="TBW3" s="5"/>
      <c r="TBX3" s="5"/>
      <c r="TBY3" s="5"/>
      <c r="TBZ3" s="5"/>
      <c r="TCA3" s="5"/>
      <c r="TCB3" s="5"/>
      <c r="TCC3" s="5"/>
      <c r="TCD3" s="5"/>
      <c r="TCE3" s="5"/>
      <c r="TCF3" s="5"/>
      <c r="TCG3" s="5"/>
      <c r="TCH3" s="5"/>
      <c r="TCI3" s="5"/>
      <c r="TCJ3" s="5"/>
      <c r="TCK3" s="5"/>
      <c r="TCL3" s="5"/>
      <c r="TCM3" s="5"/>
      <c r="TCN3" s="5"/>
      <c r="TCO3" s="5"/>
      <c r="TCP3" s="5"/>
      <c r="TCQ3" s="5"/>
      <c r="TCR3" s="5"/>
      <c r="TCS3" s="5"/>
      <c r="TCT3" s="5"/>
      <c r="TCU3" s="5"/>
      <c r="TCV3" s="5"/>
      <c r="TCW3" s="5"/>
      <c r="TCX3" s="5"/>
      <c r="TCY3" s="5"/>
      <c r="TCZ3" s="5"/>
      <c r="TDA3" s="5"/>
      <c r="TDB3" s="5"/>
      <c r="TDC3" s="5"/>
      <c r="TDD3" s="5"/>
      <c r="TDE3" s="5"/>
      <c r="TDF3" s="5"/>
      <c r="TDG3" s="5"/>
      <c r="TDH3" s="5"/>
      <c r="TDI3" s="5"/>
      <c r="TDJ3" s="5"/>
      <c r="TDK3" s="5"/>
      <c r="TDL3" s="5"/>
      <c r="TDM3" s="5"/>
      <c r="TDN3" s="5"/>
      <c r="TDO3" s="5"/>
      <c r="TDP3" s="5"/>
      <c r="TDQ3" s="5"/>
      <c r="TDR3" s="5"/>
      <c r="TDS3" s="5"/>
      <c r="TDT3" s="5"/>
      <c r="TDU3" s="5"/>
      <c r="TDV3" s="5"/>
      <c r="TDW3" s="5"/>
      <c r="TDX3" s="5"/>
      <c r="TDY3" s="5"/>
      <c r="TDZ3" s="5"/>
      <c r="TEA3" s="5"/>
      <c r="TEB3" s="5"/>
      <c r="TEC3" s="5"/>
      <c r="TED3" s="5"/>
      <c r="TEE3" s="5"/>
      <c r="TEF3" s="5"/>
      <c r="TEG3" s="5"/>
      <c r="TEH3" s="5"/>
      <c r="TEI3" s="5"/>
      <c r="TEJ3" s="5"/>
      <c r="TEK3" s="5"/>
      <c r="TEL3" s="5"/>
      <c r="TEM3" s="5"/>
      <c r="TEN3" s="5"/>
      <c r="TEO3" s="5"/>
      <c r="TEP3" s="5"/>
      <c r="TEQ3" s="5"/>
      <c r="TER3" s="5"/>
      <c r="TES3" s="5"/>
      <c r="TET3" s="5"/>
      <c r="TEU3" s="5"/>
      <c r="TEV3" s="5"/>
      <c r="TEW3" s="5"/>
      <c r="TEX3" s="5"/>
      <c r="TEY3" s="5"/>
      <c r="TEZ3" s="5"/>
      <c r="TFA3" s="5"/>
      <c r="TFB3" s="5"/>
      <c r="TFC3" s="5"/>
      <c r="TFD3" s="5"/>
      <c r="TFE3" s="5"/>
      <c r="TFF3" s="5"/>
      <c r="TFG3" s="5"/>
      <c r="TFH3" s="5"/>
      <c r="TFI3" s="5"/>
      <c r="TFJ3" s="5"/>
      <c r="TFK3" s="5"/>
      <c r="TFL3" s="5"/>
      <c r="TFM3" s="5"/>
      <c r="TFN3" s="5"/>
      <c r="TFO3" s="5"/>
      <c r="TFP3" s="5"/>
      <c r="TFQ3" s="5"/>
      <c r="TFR3" s="5"/>
      <c r="TFS3" s="5"/>
      <c r="TFT3" s="5"/>
      <c r="TFU3" s="5"/>
      <c r="TFV3" s="5"/>
      <c r="TFW3" s="5"/>
      <c r="TFX3" s="5"/>
      <c r="TFY3" s="5"/>
      <c r="TFZ3" s="5"/>
      <c r="TGA3" s="5"/>
      <c r="TGB3" s="5"/>
      <c r="TGC3" s="5"/>
      <c r="TGD3" s="5"/>
      <c r="TGE3" s="5"/>
      <c r="TGF3" s="5"/>
      <c r="TGG3" s="5"/>
      <c r="TGH3" s="5"/>
      <c r="TGI3" s="5"/>
      <c r="TGJ3" s="5"/>
      <c r="TGK3" s="5"/>
      <c r="TGL3" s="5"/>
      <c r="TGM3" s="5"/>
      <c r="TGN3" s="5"/>
      <c r="TGO3" s="5"/>
      <c r="TGP3" s="5"/>
      <c r="TGQ3" s="5"/>
      <c r="TGR3" s="5"/>
      <c r="TGS3" s="5"/>
      <c r="TGT3" s="5"/>
      <c r="TGU3" s="5"/>
      <c r="TGV3" s="5"/>
      <c r="TGW3" s="5"/>
      <c r="TGX3" s="5"/>
      <c r="TGY3" s="5"/>
      <c r="TGZ3" s="5"/>
      <c r="THA3" s="5"/>
      <c r="THB3" s="5"/>
      <c r="THC3" s="5"/>
      <c r="THD3" s="5"/>
      <c r="THE3" s="5"/>
      <c r="THF3" s="5"/>
      <c r="THG3" s="5"/>
      <c r="THH3" s="5"/>
      <c r="THI3" s="5"/>
      <c r="THJ3" s="5"/>
      <c r="THK3" s="5"/>
      <c r="THL3" s="5"/>
      <c r="THM3" s="5"/>
      <c r="THN3" s="5"/>
      <c r="THO3" s="5"/>
      <c r="THP3" s="5"/>
      <c r="THQ3" s="5"/>
      <c r="THR3" s="5"/>
      <c r="THS3" s="5"/>
      <c r="THT3" s="5"/>
      <c r="THU3" s="5"/>
      <c r="THV3" s="5"/>
      <c r="THW3" s="5"/>
      <c r="THX3" s="5"/>
      <c r="THY3" s="5"/>
      <c r="THZ3" s="5"/>
      <c r="TIA3" s="5"/>
      <c r="TIB3" s="5"/>
      <c r="TIC3" s="5"/>
      <c r="TID3" s="5"/>
      <c r="TIE3" s="5"/>
      <c r="TIF3" s="5"/>
      <c r="TIG3" s="5"/>
      <c r="TIH3" s="5"/>
      <c r="TII3" s="5"/>
      <c r="TIJ3" s="5"/>
      <c r="TIK3" s="5"/>
      <c r="TIL3" s="5"/>
      <c r="TIM3" s="5"/>
      <c r="TIN3" s="5"/>
      <c r="TIO3" s="5"/>
      <c r="TIP3" s="5"/>
      <c r="TIQ3" s="5"/>
      <c r="TIR3" s="5"/>
      <c r="TIS3" s="5"/>
      <c r="TIT3" s="5"/>
      <c r="TIU3" s="5"/>
      <c r="TIV3" s="5"/>
      <c r="TIW3" s="5"/>
      <c r="TIX3" s="5"/>
      <c r="TIY3" s="5"/>
      <c r="TIZ3" s="5"/>
      <c r="TJA3" s="5"/>
      <c r="TJB3" s="5"/>
      <c r="TJC3" s="5"/>
      <c r="TJD3" s="5"/>
      <c r="TJE3" s="5"/>
      <c r="TJF3" s="5"/>
      <c r="TJG3" s="5"/>
      <c r="TJH3" s="5"/>
      <c r="TJI3" s="5"/>
      <c r="TJJ3" s="5"/>
      <c r="TJK3" s="5"/>
      <c r="TJL3" s="5"/>
      <c r="TJM3" s="5"/>
      <c r="TJN3" s="5"/>
      <c r="TJO3" s="5"/>
      <c r="TJP3" s="5"/>
      <c r="TJQ3" s="5"/>
      <c r="TJR3" s="5"/>
      <c r="TJS3" s="5"/>
      <c r="TJT3" s="5"/>
      <c r="TJU3" s="5"/>
      <c r="TJV3" s="5"/>
      <c r="TJW3" s="5"/>
      <c r="TJX3" s="5"/>
      <c r="TJY3" s="5"/>
      <c r="TJZ3" s="5"/>
      <c r="TKA3" s="5"/>
      <c r="TKB3" s="5"/>
      <c r="TKC3" s="5"/>
      <c r="TKD3" s="5"/>
      <c r="TKE3" s="5"/>
      <c r="TKF3" s="5"/>
      <c r="TKG3" s="5"/>
      <c r="TKH3" s="5"/>
      <c r="TKI3" s="5"/>
      <c r="TKJ3" s="5"/>
      <c r="TKK3" s="5"/>
      <c r="TKL3" s="5"/>
      <c r="TKM3" s="5"/>
      <c r="TKN3" s="5"/>
      <c r="TKO3" s="5"/>
      <c r="TKP3" s="5"/>
      <c r="TKQ3" s="5"/>
      <c r="TKR3" s="5"/>
      <c r="TKS3" s="5"/>
      <c r="TKT3" s="5"/>
      <c r="TKU3" s="5"/>
      <c r="TKV3" s="5"/>
      <c r="TKW3" s="5"/>
      <c r="TKX3" s="5"/>
      <c r="TKY3" s="5"/>
      <c r="TKZ3" s="5"/>
      <c r="TLA3" s="5"/>
      <c r="TLB3" s="5"/>
      <c r="TLC3" s="5"/>
      <c r="TLD3" s="5"/>
      <c r="TLE3" s="5"/>
      <c r="TLF3" s="5"/>
      <c r="TLG3" s="5"/>
      <c r="TLH3" s="5"/>
      <c r="TLI3" s="5"/>
      <c r="TLJ3" s="5"/>
      <c r="TLK3" s="5"/>
      <c r="TLL3" s="5"/>
      <c r="TLM3" s="5"/>
      <c r="TLN3" s="5"/>
      <c r="TLO3" s="5"/>
      <c r="TLP3" s="5"/>
      <c r="TLQ3" s="5"/>
      <c r="TLR3" s="5"/>
      <c r="TLS3" s="5"/>
      <c r="TLT3" s="5"/>
      <c r="TLU3" s="5"/>
      <c r="TLV3" s="5"/>
      <c r="TLW3" s="5"/>
      <c r="TLX3" s="5"/>
      <c r="TLY3" s="5"/>
      <c r="TLZ3" s="5"/>
      <c r="TMA3" s="5"/>
      <c r="TMB3" s="5"/>
      <c r="TMC3" s="5"/>
      <c r="TMD3" s="5"/>
      <c r="TME3" s="5"/>
      <c r="TMF3" s="5"/>
      <c r="TMG3" s="5"/>
      <c r="TMH3" s="5"/>
      <c r="TMI3" s="5"/>
      <c r="TMJ3" s="5"/>
      <c r="TMK3" s="5"/>
      <c r="TML3" s="5"/>
      <c r="TMM3" s="5"/>
      <c r="TMN3" s="5"/>
      <c r="TMO3" s="5"/>
      <c r="TMP3" s="5"/>
      <c r="TMQ3" s="5"/>
      <c r="TMR3" s="5"/>
      <c r="TMS3" s="5"/>
      <c r="TMT3" s="5"/>
      <c r="TMU3" s="5"/>
      <c r="TMV3" s="5"/>
      <c r="TMW3" s="5"/>
      <c r="TMX3" s="5"/>
      <c r="TMY3" s="5"/>
      <c r="TMZ3" s="5"/>
      <c r="TNA3" s="5"/>
      <c r="TNB3" s="5"/>
      <c r="TNC3" s="5"/>
      <c r="TND3" s="5"/>
      <c r="TNE3" s="5"/>
      <c r="TNF3" s="5"/>
      <c r="TNG3" s="5"/>
      <c r="TNH3" s="5"/>
      <c r="TNI3" s="5"/>
      <c r="TNJ3" s="5"/>
      <c r="TNK3" s="5"/>
      <c r="TNL3" s="5"/>
      <c r="TNM3" s="5"/>
      <c r="TNN3" s="5"/>
      <c r="TNO3" s="5"/>
      <c r="TNP3" s="5"/>
      <c r="TNQ3" s="5"/>
      <c r="TNR3" s="5"/>
      <c r="TNS3" s="5"/>
      <c r="TNT3" s="5"/>
      <c r="TNU3" s="5"/>
      <c r="TNV3" s="5"/>
      <c r="TNW3" s="5"/>
      <c r="TNX3" s="5"/>
      <c r="TNY3" s="5"/>
      <c r="TNZ3" s="5"/>
      <c r="TOA3" s="5"/>
      <c r="TOB3" s="5"/>
      <c r="TOC3" s="5"/>
      <c r="TOD3" s="5"/>
      <c r="TOE3" s="5"/>
      <c r="TOF3" s="5"/>
      <c r="TOG3" s="5"/>
      <c r="TOH3" s="5"/>
      <c r="TOI3" s="5"/>
      <c r="TOJ3" s="5"/>
      <c r="TOK3" s="5"/>
      <c r="TOL3" s="5"/>
      <c r="TOM3" s="5"/>
      <c r="TON3" s="5"/>
      <c r="TOO3" s="5"/>
      <c r="TOP3" s="5"/>
      <c r="TOQ3" s="5"/>
      <c r="TOR3" s="5"/>
      <c r="TOS3" s="5"/>
      <c r="TOT3" s="5"/>
      <c r="TOU3" s="5"/>
      <c r="TOV3" s="5"/>
      <c r="TOW3" s="5"/>
      <c r="TOX3" s="5"/>
      <c r="TOY3" s="5"/>
      <c r="TOZ3" s="5"/>
      <c r="TPA3" s="5"/>
      <c r="TPB3" s="5"/>
      <c r="TPC3" s="5"/>
      <c r="TPD3" s="5"/>
      <c r="TPE3" s="5"/>
      <c r="TPF3" s="5"/>
      <c r="TPG3" s="5"/>
      <c r="TPH3" s="5"/>
      <c r="TPI3" s="5"/>
      <c r="TPJ3" s="5"/>
      <c r="TPK3" s="5"/>
      <c r="TPL3" s="5"/>
      <c r="TPM3" s="5"/>
      <c r="TPN3" s="5"/>
      <c r="TPO3" s="5"/>
      <c r="TPP3" s="5"/>
      <c r="TPQ3" s="5"/>
      <c r="TPR3" s="5"/>
      <c r="TPS3" s="5"/>
      <c r="TPT3" s="5"/>
      <c r="TPU3" s="5"/>
      <c r="TPV3" s="5"/>
      <c r="TPW3" s="5"/>
      <c r="TPX3" s="5"/>
      <c r="TPY3" s="5"/>
      <c r="TPZ3" s="5"/>
      <c r="TQA3" s="5"/>
      <c r="TQB3" s="5"/>
      <c r="TQC3" s="5"/>
      <c r="TQD3" s="5"/>
      <c r="TQE3" s="5"/>
      <c r="TQF3" s="5"/>
      <c r="TQG3" s="5"/>
      <c r="TQH3" s="5"/>
      <c r="TQI3" s="5"/>
      <c r="TQJ3" s="5"/>
      <c r="TQK3" s="5"/>
      <c r="TQL3" s="5"/>
      <c r="TQM3" s="5"/>
      <c r="TQN3" s="5"/>
      <c r="TQO3" s="5"/>
      <c r="TQP3" s="5"/>
      <c r="TQQ3" s="5"/>
      <c r="TQR3" s="5"/>
      <c r="TQS3" s="5"/>
      <c r="TQT3" s="5"/>
      <c r="TQU3" s="5"/>
      <c r="TQV3" s="5"/>
      <c r="TQW3" s="5"/>
      <c r="TQX3" s="5"/>
      <c r="TQY3" s="5"/>
      <c r="TQZ3" s="5"/>
      <c r="TRA3" s="5"/>
      <c r="TRB3" s="5"/>
      <c r="TRC3" s="5"/>
      <c r="TRD3" s="5"/>
      <c r="TRE3" s="5"/>
      <c r="TRF3" s="5"/>
      <c r="TRG3" s="5"/>
      <c r="TRH3" s="5"/>
      <c r="TRI3" s="5"/>
      <c r="TRJ3" s="5"/>
      <c r="TRK3" s="5"/>
      <c r="TRL3" s="5"/>
      <c r="TRM3" s="5"/>
      <c r="TRN3" s="5"/>
      <c r="TRO3" s="5"/>
      <c r="TRP3" s="5"/>
      <c r="TRQ3" s="5"/>
      <c r="TRR3" s="5"/>
      <c r="TRS3" s="5"/>
      <c r="TRT3" s="5"/>
      <c r="TRU3" s="5"/>
      <c r="TRV3" s="5"/>
      <c r="TRW3" s="5"/>
      <c r="TRX3" s="5"/>
      <c r="TRY3" s="5"/>
      <c r="TRZ3" s="5"/>
      <c r="TSA3" s="5"/>
      <c r="TSB3" s="5"/>
      <c r="TSC3" s="5"/>
      <c r="TSD3" s="5"/>
      <c r="TSE3" s="5"/>
      <c r="TSF3" s="5"/>
      <c r="TSG3" s="5"/>
      <c r="TSH3" s="5"/>
      <c r="TSI3" s="5"/>
      <c r="TSJ3" s="5"/>
      <c r="TSK3" s="5"/>
      <c r="TSL3" s="5"/>
      <c r="TSM3" s="5"/>
      <c r="TSN3" s="5"/>
      <c r="TSO3" s="5"/>
      <c r="TSP3" s="5"/>
      <c r="TSQ3" s="5"/>
      <c r="TSR3" s="5"/>
      <c r="TSS3" s="5"/>
      <c r="TST3" s="5"/>
      <c r="TSU3" s="5"/>
      <c r="TSV3" s="5"/>
      <c r="TSW3" s="5"/>
      <c r="TSX3" s="5"/>
      <c r="TSY3" s="5"/>
      <c r="TSZ3" s="5"/>
      <c r="TTA3" s="5"/>
      <c r="TTB3" s="5"/>
      <c r="TTC3" s="5"/>
      <c r="TTD3" s="5"/>
      <c r="TTE3" s="5"/>
      <c r="TTF3" s="5"/>
      <c r="TTG3" s="5"/>
      <c r="TTH3" s="5"/>
      <c r="TTI3" s="5"/>
      <c r="TTJ3" s="5"/>
      <c r="TTK3" s="5"/>
      <c r="TTL3" s="5"/>
      <c r="TTM3" s="5"/>
      <c r="TTN3" s="5"/>
      <c r="TTO3" s="5"/>
      <c r="TTP3" s="5"/>
      <c r="TTQ3" s="5"/>
      <c r="TTR3" s="5"/>
      <c r="TTS3" s="5"/>
      <c r="TTT3" s="5"/>
      <c r="TTU3" s="5"/>
      <c r="TTV3" s="5"/>
      <c r="TTW3" s="5"/>
      <c r="TTX3" s="5"/>
      <c r="TTY3" s="5"/>
      <c r="TTZ3" s="5"/>
      <c r="TUA3" s="5"/>
      <c r="TUB3" s="5"/>
      <c r="TUC3" s="5"/>
      <c r="TUD3" s="5"/>
      <c r="TUE3" s="5"/>
      <c r="TUF3" s="5"/>
      <c r="TUG3" s="5"/>
      <c r="TUH3" s="5"/>
      <c r="TUI3" s="5"/>
      <c r="TUJ3" s="5"/>
      <c r="TUK3" s="5"/>
      <c r="TUL3" s="5"/>
      <c r="TUM3" s="5"/>
      <c r="TUN3" s="5"/>
      <c r="TUO3" s="5"/>
      <c r="TUP3" s="5"/>
      <c r="TUQ3" s="5"/>
      <c r="TUR3" s="5"/>
      <c r="TUS3" s="5"/>
      <c r="TUT3" s="5"/>
      <c r="TUU3" s="5"/>
      <c r="TUV3" s="5"/>
      <c r="TUW3" s="5"/>
      <c r="TUX3" s="5"/>
      <c r="TUY3" s="5"/>
      <c r="TUZ3" s="5"/>
      <c r="TVA3" s="5"/>
      <c r="TVB3" s="5"/>
      <c r="TVC3" s="5"/>
      <c r="TVD3" s="5"/>
      <c r="TVE3" s="5"/>
      <c r="TVF3" s="5"/>
      <c r="TVG3" s="5"/>
      <c r="TVH3" s="5"/>
      <c r="TVI3" s="5"/>
      <c r="TVJ3" s="5"/>
      <c r="TVK3" s="5"/>
      <c r="TVL3" s="5"/>
      <c r="TVM3" s="5"/>
      <c r="TVN3" s="5"/>
      <c r="TVO3" s="5"/>
      <c r="TVP3" s="5"/>
      <c r="TVQ3" s="5"/>
      <c r="TVR3" s="5"/>
      <c r="TVS3" s="5"/>
      <c r="TVT3" s="5"/>
      <c r="TVU3" s="5"/>
      <c r="TVV3" s="5"/>
      <c r="TVW3" s="5"/>
      <c r="TVX3" s="5"/>
      <c r="TVY3" s="5"/>
      <c r="TVZ3" s="5"/>
      <c r="TWA3" s="5"/>
      <c r="TWB3" s="5"/>
      <c r="TWC3" s="5"/>
      <c r="TWD3" s="5"/>
      <c r="TWE3" s="5"/>
      <c r="TWF3" s="5"/>
      <c r="TWG3" s="5"/>
      <c r="TWH3" s="5"/>
      <c r="TWI3" s="5"/>
      <c r="TWJ3" s="5"/>
      <c r="TWK3" s="5"/>
      <c r="TWL3" s="5"/>
      <c r="TWM3" s="5"/>
      <c r="TWN3" s="5"/>
      <c r="TWO3" s="5"/>
      <c r="TWP3" s="5"/>
      <c r="TWQ3" s="5"/>
      <c r="TWR3" s="5"/>
      <c r="TWS3" s="5"/>
      <c r="TWT3" s="5"/>
      <c r="TWU3" s="5"/>
      <c r="TWV3" s="5"/>
      <c r="TWW3" s="5"/>
      <c r="TWX3" s="5"/>
      <c r="TWY3" s="5"/>
      <c r="TWZ3" s="5"/>
      <c r="TXA3" s="5"/>
      <c r="TXB3" s="5"/>
      <c r="TXC3" s="5"/>
      <c r="TXD3" s="5"/>
      <c r="TXE3" s="5"/>
      <c r="TXF3" s="5"/>
      <c r="TXG3" s="5"/>
      <c r="TXH3" s="5"/>
      <c r="TXI3" s="5"/>
      <c r="TXJ3" s="5"/>
      <c r="TXK3" s="5"/>
      <c r="TXL3" s="5"/>
      <c r="TXM3" s="5"/>
      <c r="TXN3" s="5"/>
      <c r="TXO3" s="5"/>
      <c r="TXP3" s="5"/>
      <c r="TXQ3" s="5"/>
      <c r="TXR3" s="5"/>
      <c r="TXS3" s="5"/>
      <c r="TXT3" s="5"/>
      <c r="TXU3" s="5"/>
      <c r="TXV3" s="5"/>
      <c r="TXW3" s="5"/>
      <c r="TXX3" s="5"/>
      <c r="TXY3" s="5"/>
      <c r="TXZ3" s="5"/>
      <c r="TYA3" s="5"/>
      <c r="TYB3" s="5"/>
      <c r="TYC3" s="5"/>
      <c r="TYD3" s="5"/>
      <c r="TYE3" s="5"/>
      <c r="TYF3" s="5"/>
      <c r="TYG3" s="5"/>
      <c r="TYH3" s="5"/>
      <c r="TYI3" s="5"/>
      <c r="TYJ3" s="5"/>
      <c r="TYK3" s="5"/>
      <c r="TYL3" s="5"/>
      <c r="TYM3" s="5"/>
      <c r="TYN3" s="5"/>
      <c r="TYO3" s="5"/>
      <c r="TYP3" s="5"/>
      <c r="TYQ3" s="5"/>
      <c r="TYR3" s="5"/>
      <c r="TYS3" s="5"/>
      <c r="TYT3" s="5"/>
      <c r="TYU3" s="5"/>
      <c r="TYV3" s="5"/>
      <c r="TYW3" s="5"/>
      <c r="TYX3" s="5"/>
      <c r="TYY3" s="5"/>
      <c r="TYZ3" s="5"/>
      <c r="TZA3" s="5"/>
      <c r="TZB3" s="5"/>
      <c r="TZC3" s="5"/>
      <c r="TZD3" s="5"/>
      <c r="TZE3" s="5"/>
      <c r="TZF3" s="5"/>
      <c r="TZG3" s="5"/>
      <c r="TZH3" s="5"/>
      <c r="TZI3" s="5"/>
      <c r="TZJ3" s="5"/>
      <c r="TZK3" s="5"/>
      <c r="TZL3" s="5"/>
      <c r="TZM3" s="5"/>
      <c r="TZN3" s="5"/>
      <c r="TZO3" s="5"/>
      <c r="TZP3" s="5"/>
      <c r="TZQ3" s="5"/>
      <c r="TZR3" s="5"/>
      <c r="TZS3" s="5"/>
      <c r="TZT3" s="5"/>
      <c r="TZU3" s="5"/>
      <c r="TZV3" s="5"/>
      <c r="TZW3" s="5"/>
      <c r="TZX3" s="5"/>
      <c r="TZY3" s="5"/>
      <c r="TZZ3" s="5"/>
      <c r="UAA3" s="5"/>
      <c r="UAB3" s="5"/>
      <c r="UAC3" s="5"/>
      <c r="UAD3" s="5"/>
      <c r="UAE3" s="5"/>
      <c r="UAF3" s="5"/>
      <c r="UAG3" s="5"/>
      <c r="UAH3" s="5"/>
      <c r="UAI3" s="5"/>
      <c r="UAJ3" s="5"/>
      <c r="UAK3" s="5"/>
      <c r="UAL3" s="5"/>
      <c r="UAM3" s="5"/>
      <c r="UAN3" s="5"/>
      <c r="UAO3" s="5"/>
      <c r="UAP3" s="5"/>
      <c r="UAQ3" s="5"/>
      <c r="UAR3" s="5"/>
      <c r="UAS3" s="5"/>
      <c r="UAT3" s="5"/>
      <c r="UAU3" s="5"/>
      <c r="UAV3" s="5"/>
      <c r="UAW3" s="5"/>
      <c r="UAX3" s="5"/>
      <c r="UAY3" s="5"/>
      <c r="UAZ3" s="5"/>
      <c r="UBA3" s="5"/>
      <c r="UBB3" s="5"/>
      <c r="UBC3" s="5"/>
      <c r="UBD3" s="5"/>
      <c r="UBE3" s="5"/>
      <c r="UBF3" s="5"/>
      <c r="UBG3" s="5"/>
      <c r="UBH3" s="5"/>
      <c r="UBI3" s="5"/>
      <c r="UBJ3" s="5"/>
      <c r="UBK3" s="5"/>
      <c r="UBL3" s="5"/>
      <c r="UBM3" s="5"/>
      <c r="UBN3" s="5"/>
      <c r="UBO3" s="5"/>
      <c r="UBP3" s="5"/>
      <c r="UBQ3" s="5"/>
      <c r="UBR3" s="5"/>
      <c r="UBS3" s="5"/>
      <c r="UBT3" s="5"/>
      <c r="UBU3" s="5"/>
      <c r="UBV3" s="5"/>
      <c r="UBW3" s="5"/>
      <c r="UBX3" s="5"/>
      <c r="UBY3" s="5"/>
      <c r="UBZ3" s="5"/>
      <c r="UCA3" s="5"/>
      <c r="UCB3" s="5"/>
      <c r="UCC3" s="5"/>
      <c r="UCD3" s="5"/>
      <c r="UCE3" s="5"/>
      <c r="UCF3" s="5"/>
      <c r="UCG3" s="5"/>
      <c r="UCH3" s="5"/>
      <c r="UCI3" s="5"/>
      <c r="UCJ3" s="5"/>
      <c r="UCK3" s="5"/>
      <c r="UCL3" s="5"/>
      <c r="UCM3" s="5"/>
      <c r="UCN3" s="5"/>
      <c r="UCO3" s="5"/>
      <c r="UCP3" s="5"/>
      <c r="UCQ3" s="5"/>
      <c r="UCR3" s="5"/>
      <c r="UCS3" s="5"/>
      <c r="UCT3" s="5"/>
      <c r="UCU3" s="5"/>
      <c r="UCV3" s="5"/>
      <c r="UCW3" s="5"/>
      <c r="UCX3" s="5"/>
      <c r="UCY3" s="5"/>
      <c r="UCZ3" s="5"/>
      <c r="UDA3" s="5"/>
      <c r="UDB3" s="5"/>
      <c r="UDC3" s="5"/>
      <c r="UDD3" s="5"/>
      <c r="UDE3" s="5"/>
      <c r="UDF3" s="5"/>
      <c r="UDG3" s="5"/>
      <c r="UDH3" s="5"/>
      <c r="UDI3" s="5"/>
      <c r="UDJ3" s="5"/>
      <c r="UDK3" s="5"/>
      <c r="UDL3" s="5"/>
      <c r="UDM3" s="5"/>
      <c r="UDN3" s="5"/>
      <c r="UDO3" s="5"/>
      <c r="UDP3" s="5"/>
      <c r="UDQ3" s="5"/>
      <c r="UDR3" s="5"/>
      <c r="UDS3" s="5"/>
      <c r="UDT3" s="5"/>
      <c r="UDU3" s="5"/>
      <c r="UDV3" s="5"/>
      <c r="UDW3" s="5"/>
      <c r="UDX3" s="5"/>
      <c r="UDY3" s="5"/>
      <c r="UDZ3" s="5"/>
      <c r="UEA3" s="5"/>
      <c r="UEB3" s="5"/>
      <c r="UEC3" s="5"/>
      <c r="UED3" s="5"/>
      <c r="UEE3" s="5"/>
      <c r="UEF3" s="5"/>
      <c r="UEG3" s="5"/>
      <c r="UEH3" s="5"/>
      <c r="UEI3" s="5"/>
      <c r="UEJ3" s="5"/>
      <c r="UEK3" s="5"/>
      <c r="UEL3" s="5"/>
      <c r="UEM3" s="5"/>
      <c r="UEN3" s="5"/>
      <c r="UEO3" s="5"/>
      <c r="UEP3" s="5"/>
      <c r="UEQ3" s="5"/>
      <c r="UER3" s="5"/>
      <c r="UES3" s="5"/>
      <c r="UET3" s="5"/>
      <c r="UEU3" s="5"/>
      <c r="UEV3" s="5"/>
      <c r="UEW3" s="5"/>
      <c r="UEX3" s="5"/>
      <c r="UEY3" s="5"/>
      <c r="UEZ3" s="5"/>
      <c r="UFA3" s="5"/>
      <c r="UFB3" s="5"/>
      <c r="UFC3" s="5"/>
      <c r="UFD3" s="5"/>
      <c r="UFE3" s="5"/>
      <c r="UFF3" s="5"/>
      <c r="UFG3" s="5"/>
      <c r="UFH3" s="5"/>
      <c r="UFI3" s="5"/>
      <c r="UFJ3" s="5"/>
      <c r="UFK3" s="5"/>
      <c r="UFL3" s="5"/>
      <c r="UFM3" s="5"/>
      <c r="UFN3" s="5"/>
      <c r="UFO3" s="5"/>
      <c r="UFP3" s="5"/>
      <c r="UFQ3" s="5"/>
      <c r="UFR3" s="5"/>
      <c r="UFS3" s="5"/>
      <c r="UFT3" s="5"/>
      <c r="UFU3" s="5"/>
      <c r="UFV3" s="5"/>
      <c r="UFW3" s="5"/>
      <c r="UFX3" s="5"/>
      <c r="UFY3" s="5"/>
      <c r="UFZ3" s="5"/>
      <c r="UGA3" s="5"/>
      <c r="UGB3" s="5"/>
      <c r="UGC3" s="5"/>
      <c r="UGD3" s="5"/>
      <c r="UGE3" s="5"/>
      <c r="UGF3" s="5"/>
      <c r="UGG3" s="5"/>
      <c r="UGH3" s="5"/>
      <c r="UGI3" s="5"/>
      <c r="UGJ3" s="5"/>
      <c r="UGK3" s="5"/>
      <c r="UGL3" s="5"/>
      <c r="UGM3" s="5"/>
      <c r="UGN3" s="5"/>
      <c r="UGO3" s="5"/>
      <c r="UGP3" s="5"/>
      <c r="UGQ3" s="5"/>
      <c r="UGR3" s="5"/>
      <c r="UGS3" s="5"/>
      <c r="UGT3" s="5"/>
      <c r="UGU3" s="5"/>
      <c r="UGV3" s="5"/>
      <c r="UGW3" s="5"/>
      <c r="UGX3" s="5"/>
      <c r="UGY3" s="5"/>
      <c r="UGZ3" s="5"/>
      <c r="UHA3" s="5"/>
      <c r="UHB3" s="5"/>
      <c r="UHC3" s="5"/>
      <c r="UHD3" s="5"/>
      <c r="UHE3" s="5"/>
      <c r="UHF3" s="5"/>
      <c r="UHG3" s="5"/>
      <c r="UHH3" s="5"/>
      <c r="UHI3" s="5"/>
      <c r="UHJ3" s="5"/>
      <c r="UHK3" s="5"/>
      <c r="UHL3" s="5"/>
      <c r="UHM3" s="5"/>
      <c r="UHN3" s="5"/>
      <c r="UHO3" s="5"/>
      <c r="UHP3" s="5"/>
      <c r="UHQ3" s="5"/>
      <c r="UHR3" s="5"/>
      <c r="UHS3" s="5"/>
      <c r="UHT3" s="5"/>
      <c r="UHU3" s="5"/>
      <c r="UHV3" s="5"/>
      <c r="UHW3" s="5"/>
      <c r="UHX3" s="5"/>
      <c r="UHY3" s="5"/>
      <c r="UHZ3" s="5"/>
      <c r="UIA3" s="5"/>
      <c r="UIB3" s="5"/>
      <c r="UIC3" s="5"/>
      <c r="UID3" s="5"/>
      <c r="UIE3" s="5"/>
      <c r="UIF3" s="5"/>
      <c r="UIG3" s="5"/>
      <c r="UIH3" s="5"/>
      <c r="UII3" s="5"/>
      <c r="UIJ3" s="5"/>
      <c r="UIK3" s="5"/>
      <c r="UIL3" s="5"/>
      <c r="UIM3" s="5"/>
      <c r="UIN3" s="5"/>
      <c r="UIO3" s="5"/>
      <c r="UIP3" s="5"/>
      <c r="UIQ3" s="5"/>
      <c r="UIR3" s="5"/>
      <c r="UIS3" s="5"/>
      <c r="UIT3" s="5"/>
      <c r="UIU3" s="5"/>
      <c r="UIV3" s="5"/>
      <c r="UIW3" s="5"/>
      <c r="UIX3" s="5"/>
      <c r="UIY3" s="5"/>
      <c r="UIZ3" s="5"/>
      <c r="UJA3" s="5"/>
      <c r="UJB3" s="5"/>
      <c r="UJC3" s="5"/>
      <c r="UJD3" s="5"/>
      <c r="UJE3" s="5"/>
      <c r="UJF3" s="5"/>
      <c r="UJG3" s="5"/>
      <c r="UJH3" s="5"/>
      <c r="UJI3" s="5"/>
      <c r="UJJ3" s="5"/>
      <c r="UJK3" s="5"/>
      <c r="UJL3" s="5"/>
      <c r="UJM3" s="5"/>
      <c r="UJN3" s="5"/>
      <c r="UJO3" s="5"/>
      <c r="UJP3" s="5"/>
      <c r="UJQ3" s="5"/>
      <c r="UJR3" s="5"/>
      <c r="UJS3" s="5"/>
      <c r="UJT3" s="5"/>
      <c r="UJU3" s="5"/>
      <c r="UJV3" s="5"/>
      <c r="UJW3" s="5"/>
      <c r="UJX3" s="5"/>
      <c r="UJY3" s="5"/>
      <c r="UJZ3" s="5"/>
      <c r="UKA3" s="5"/>
      <c r="UKB3" s="5"/>
      <c r="UKC3" s="5"/>
      <c r="UKD3" s="5"/>
      <c r="UKE3" s="5"/>
      <c r="UKF3" s="5"/>
      <c r="UKG3" s="5"/>
      <c r="UKH3" s="5"/>
      <c r="UKI3" s="5"/>
      <c r="UKJ3" s="5"/>
      <c r="UKK3" s="5"/>
      <c r="UKL3" s="5"/>
      <c r="UKM3" s="5"/>
      <c r="UKN3" s="5"/>
      <c r="UKO3" s="5"/>
      <c r="UKP3" s="5"/>
      <c r="UKQ3" s="5"/>
      <c r="UKR3" s="5"/>
      <c r="UKS3" s="5"/>
      <c r="UKT3" s="5"/>
      <c r="UKU3" s="5"/>
      <c r="UKV3" s="5"/>
      <c r="UKW3" s="5"/>
      <c r="UKX3" s="5"/>
      <c r="UKY3" s="5"/>
      <c r="UKZ3" s="5"/>
      <c r="ULA3" s="5"/>
      <c r="ULB3" s="5"/>
      <c r="ULC3" s="5"/>
      <c r="ULD3" s="5"/>
      <c r="ULE3" s="5"/>
      <c r="ULF3" s="5"/>
      <c r="ULG3" s="5"/>
      <c r="ULH3" s="5"/>
      <c r="ULI3" s="5"/>
      <c r="ULJ3" s="5"/>
      <c r="ULK3" s="5"/>
      <c r="ULL3" s="5"/>
      <c r="ULM3" s="5"/>
      <c r="ULN3" s="5"/>
      <c r="ULO3" s="5"/>
      <c r="ULP3" s="5"/>
      <c r="ULQ3" s="5"/>
      <c r="ULR3" s="5"/>
      <c r="ULS3" s="5"/>
      <c r="ULT3" s="5"/>
      <c r="ULU3" s="5"/>
      <c r="ULV3" s="5"/>
      <c r="ULW3" s="5"/>
      <c r="ULX3" s="5"/>
      <c r="ULY3" s="5"/>
      <c r="ULZ3" s="5"/>
      <c r="UMA3" s="5"/>
      <c r="UMB3" s="5"/>
      <c r="UMC3" s="5"/>
      <c r="UMD3" s="5"/>
      <c r="UME3" s="5"/>
      <c r="UMF3" s="5"/>
      <c r="UMG3" s="5"/>
      <c r="UMH3" s="5"/>
      <c r="UMI3" s="5"/>
      <c r="UMJ3" s="5"/>
      <c r="UMK3" s="5"/>
      <c r="UML3" s="5"/>
      <c r="UMM3" s="5"/>
      <c r="UMN3" s="5"/>
      <c r="UMO3" s="5"/>
      <c r="UMP3" s="5"/>
      <c r="UMQ3" s="5"/>
      <c r="UMR3" s="5"/>
      <c r="UMS3" s="5"/>
      <c r="UMT3" s="5"/>
      <c r="UMU3" s="5"/>
      <c r="UMV3" s="5"/>
      <c r="UMW3" s="5"/>
      <c r="UMX3" s="5"/>
      <c r="UMY3" s="5"/>
      <c r="UMZ3" s="5"/>
      <c r="UNA3" s="5"/>
      <c r="UNB3" s="5"/>
      <c r="UNC3" s="5"/>
      <c r="UND3" s="5"/>
      <c r="UNE3" s="5"/>
      <c r="UNF3" s="5"/>
      <c r="UNG3" s="5"/>
      <c r="UNH3" s="5"/>
      <c r="UNI3" s="5"/>
      <c r="UNJ3" s="5"/>
      <c r="UNK3" s="5"/>
      <c r="UNL3" s="5"/>
      <c r="UNM3" s="5"/>
      <c r="UNN3" s="5"/>
      <c r="UNO3" s="5"/>
      <c r="UNP3" s="5"/>
      <c r="UNQ3" s="5"/>
      <c r="UNR3" s="5"/>
      <c r="UNS3" s="5"/>
      <c r="UNT3" s="5"/>
      <c r="UNU3" s="5"/>
      <c r="UNV3" s="5"/>
      <c r="UNW3" s="5"/>
      <c r="UNX3" s="5"/>
      <c r="UNY3" s="5"/>
      <c r="UNZ3" s="5"/>
      <c r="UOA3" s="5"/>
      <c r="UOB3" s="5"/>
      <c r="UOC3" s="5"/>
      <c r="UOD3" s="5"/>
      <c r="UOE3" s="5"/>
      <c r="UOF3" s="5"/>
      <c r="UOG3" s="5"/>
      <c r="UOH3" s="5"/>
      <c r="UOI3" s="5"/>
      <c r="UOJ3" s="5"/>
      <c r="UOK3" s="5"/>
      <c r="UOL3" s="5"/>
      <c r="UOM3" s="5"/>
      <c r="UON3" s="5"/>
      <c r="UOO3" s="5"/>
      <c r="UOP3" s="5"/>
      <c r="UOQ3" s="5"/>
      <c r="UOR3" s="5"/>
      <c r="UOS3" s="5"/>
      <c r="UOT3" s="5"/>
      <c r="UOU3" s="5"/>
      <c r="UOV3" s="5"/>
      <c r="UOW3" s="5"/>
      <c r="UOX3" s="5"/>
      <c r="UOY3" s="5"/>
      <c r="UOZ3" s="5"/>
      <c r="UPA3" s="5"/>
      <c r="UPB3" s="5"/>
      <c r="UPC3" s="5"/>
      <c r="UPD3" s="5"/>
      <c r="UPE3" s="5"/>
      <c r="UPF3" s="5"/>
      <c r="UPG3" s="5"/>
      <c r="UPH3" s="5"/>
      <c r="UPI3" s="5"/>
      <c r="UPJ3" s="5"/>
      <c r="UPK3" s="5"/>
      <c r="UPL3" s="5"/>
      <c r="UPM3" s="5"/>
      <c r="UPN3" s="5"/>
      <c r="UPO3" s="5"/>
      <c r="UPP3" s="5"/>
      <c r="UPQ3" s="5"/>
      <c r="UPR3" s="5"/>
      <c r="UPS3" s="5"/>
      <c r="UPT3" s="5"/>
      <c r="UPU3" s="5"/>
      <c r="UPV3" s="5"/>
      <c r="UPW3" s="5"/>
      <c r="UPX3" s="5"/>
      <c r="UPY3" s="5"/>
      <c r="UPZ3" s="5"/>
      <c r="UQA3" s="5"/>
      <c r="UQB3" s="5"/>
      <c r="UQC3" s="5"/>
      <c r="UQD3" s="5"/>
      <c r="UQE3" s="5"/>
      <c r="UQF3" s="5"/>
      <c r="UQG3" s="5"/>
      <c r="UQH3" s="5"/>
      <c r="UQI3" s="5"/>
      <c r="UQJ3" s="5"/>
      <c r="UQK3" s="5"/>
      <c r="UQL3" s="5"/>
      <c r="UQM3" s="5"/>
      <c r="UQN3" s="5"/>
      <c r="UQO3" s="5"/>
      <c r="UQP3" s="5"/>
      <c r="UQQ3" s="5"/>
      <c r="UQR3" s="5"/>
      <c r="UQS3" s="5"/>
      <c r="UQT3" s="5"/>
      <c r="UQU3" s="5"/>
      <c r="UQV3" s="5"/>
      <c r="UQW3" s="5"/>
      <c r="UQX3" s="5"/>
      <c r="UQY3" s="5"/>
      <c r="UQZ3" s="5"/>
      <c r="URA3" s="5"/>
      <c r="URB3" s="5"/>
      <c r="URC3" s="5"/>
      <c r="URD3" s="5"/>
      <c r="URE3" s="5"/>
      <c r="URF3" s="5"/>
      <c r="URG3" s="5"/>
      <c r="URH3" s="5"/>
      <c r="URI3" s="5"/>
      <c r="URJ3" s="5"/>
      <c r="URK3" s="5"/>
      <c r="URL3" s="5"/>
      <c r="URM3" s="5"/>
      <c r="URN3" s="5"/>
      <c r="URO3" s="5"/>
      <c r="URP3" s="5"/>
      <c r="URQ3" s="5"/>
      <c r="URR3" s="5"/>
      <c r="URS3" s="5"/>
      <c r="URT3" s="5"/>
      <c r="URU3" s="5"/>
      <c r="URV3" s="5"/>
      <c r="URW3" s="5"/>
      <c r="URX3" s="5"/>
      <c r="URY3" s="5"/>
      <c r="URZ3" s="5"/>
      <c r="USA3" s="5"/>
      <c r="USB3" s="5"/>
      <c r="USC3" s="5"/>
      <c r="USD3" s="5"/>
      <c r="USE3" s="5"/>
      <c r="USF3" s="5"/>
      <c r="USG3" s="5"/>
      <c r="USH3" s="5"/>
      <c r="USI3" s="5"/>
      <c r="USJ3" s="5"/>
      <c r="USK3" s="5"/>
      <c r="USL3" s="5"/>
      <c r="USM3" s="5"/>
      <c r="USN3" s="5"/>
      <c r="USO3" s="5"/>
      <c r="USP3" s="5"/>
      <c r="USQ3" s="5"/>
      <c r="USR3" s="5"/>
      <c r="USS3" s="5"/>
      <c r="UST3" s="5"/>
      <c r="USU3" s="5"/>
      <c r="USV3" s="5"/>
      <c r="USW3" s="5"/>
      <c r="USX3" s="5"/>
      <c r="USY3" s="5"/>
      <c r="USZ3" s="5"/>
      <c r="UTA3" s="5"/>
      <c r="UTB3" s="5"/>
      <c r="UTC3" s="5"/>
      <c r="UTD3" s="5"/>
      <c r="UTE3" s="5"/>
      <c r="UTF3" s="5"/>
      <c r="UTG3" s="5"/>
      <c r="UTH3" s="5"/>
      <c r="UTI3" s="5"/>
      <c r="UTJ3" s="5"/>
      <c r="UTK3" s="5"/>
      <c r="UTL3" s="5"/>
      <c r="UTM3" s="5"/>
      <c r="UTN3" s="5"/>
      <c r="UTO3" s="5"/>
      <c r="UTP3" s="5"/>
      <c r="UTQ3" s="5"/>
      <c r="UTR3" s="5"/>
      <c r="UTS3" s="5"/>
      <c r="UTT3" s="5"/>
      <c r="UTU3" s="5"/>
      <c r="UTV3" s="5"/>
      <c r="UTW3" s="5"/>
      <c r="UTX3" s="5"/>
      <c r="UTY3" s="5"/>
      <c r="UTZ3" s="5"/>
      <c r="UUA3" s="5"/>
      <c r="UUB3" s="5"/>
      <c r="UUC3" s="5"/>
      <c r="UUD3" s="5"/>
      <c r="UUE3" s="5"/>
      <c r="UUF3" s="5"/>
      <c r="UUG3" s="5"/>
      <c r="UUH3" s="5"/>
      <c r="UUI3" s="5"/>
      <c r="UUJ3" s="5"/>
      <c r="UUK3" s="5"/>
      <c r="UUL3" s="5"/>
      <c r="UUM3" s="5"/>
      <c r="UUN3" s="5"/>
      <c r="UUO3" s="5"/>
      <c r="UUP3" s="5"/>
      <c r="UUQ3" s="5"/>
      <c r="UUR3" s="5"/>
      <c r="UUS3" s="5"/>
      <c r="UUT3" s="5"/>
      <c r="UUU3" s="5"/>
      <c r="UUV3" s="5"/>
      <c r="UUW3" s="5"/>
      <c r="UUX3" s="5"/>
      <c r="UUY3" s="5"/>
      <c r="UUZ3" s="5"/>
      <c r="UVA3" s="5"/>
      <c r="UVB3" s="5"/>
      <c r="UVC3" s="5"/>
      <c r="UVD3" s="5"/>
      <c r="UVE3" s="5"/>
      <c r="UVF3" s="5"/>
      <c r="UVG3" s="5"/>
      <c r="UVH3" s="5"/>
      <c r="UVI3" s="5"/>
      <c r="UVJ3" s="5"/>
      <c r="UVK3" s="5"/>
      <c r="UVL3" s="5"/>
      <c r="UVM3" s="5"/>
      <c r="UVN3" s="5"/>
      <c r="UVO3" s="5"/>
      <c r="UVP3" s="5"/>
      <c r="UVQ3" s="5"/>
      <c r="UVR3" s="5"/>
      <c r="UVS3" s="5"/>
      <c r="UVT3" s="5"/>
      <c r="UVU3" s="5"/>
      <c r="UVV3" s="5"/>
      <c r="UVW3" s="5"/>
      <c r="UVX3" s="5"/>
      <c r="UVY3" s="5"/>
      <c r="UVZ3" s="5"/>
      <c r="UWA3" s="5"/>
      <c r="UWB3" s="5"/>
      <c r="UWC3" s="5"/>
      <c r="UWD3" s="5"/>
      <c r="UWE3" s="5"/>
      <c r="UWF3" s="5"/>
      <c r="UWG3" s="5"/>
      <c r="UWH3" s="5"/>
      <c r="UWI3" s="5"/>
      <c r="UWJ3" s="5"/>
      <c r="UWK3" s="5"/>
      <c r="UWL3" s="5"/>
      <c r="UWM3" s="5"/>
      <c r="UWN3" s="5"/>
      <c r="UWO3" s="5"/>
      <c r="UWP3" s="5"/>
      <c r="UWQ3" s="5"/>
      <c r="UWR3" s="5"/>
      <c r="UWS3" s="5"/>
      <c r="UWT3" s="5"/>
      <c r="UWU3" s="5"/>
      <c r="UWV3" s="5"/>
      <c r="UWW3" s="5"/>
      <c r="UWX3" s="5"/>
      <c r="UWY3" s="5"/>
      <c r="UWZ3" s="5"/>
      <c r="UXA3" s="5"/>
      <c r="UXB3" s="5"/>
      <c r="UXC3" s="5"/>
      <c r="UXD3" s="5"/>
      <c r="UXE3" s="5"/>
      <c r="UXF3" s="5"/>
      <c r="UXG3" s="5"/>
      <c r="UXH3" s="5"/>
      <c r="UXI3" s="5"/>
      <c r="UXJ3" s="5"/>
      <c r="UXK3" s="5"/>
      <c r="UXL3" s="5"/>
      <c r="UXM3" s="5"/>
      <c r="UXN3" s="5"/>
      <c r="UXO3" s="5"/>
      <c r="UXP3" s="5"/>
      <c r="UXQ3" s="5"/>
      <c r="UXR3" s="5"/>
      <c r="UXS3" s="5"/>
      <c r="UXT3" s="5"/>
      <c r="UXU3" s="5"/>
      <c r="UXV3" s="5"/>
      <c r="UXW3" s="5"/>
      <c r="UXX3" s="5"/>
      <c r="UXY3" s="5"/>
      <c r="UXZ3" s="5"/>
      <c r="UYA3" s="5"/>
      <c r="UYB3" s="5"/>
      <c r="UYC3" s="5"/>
      <c r="UYD3" s="5"/>
      <c r="UYE3" s="5"/>
      <c r="UYF3" s="5"/>
      <c r="UYG3" s="5"/>
      <c r="UYH3" s="5"/>
      <c r="UYI3" s="5"/>
      <c r="UYJ3" s="5"/>
      <c r="UYK3" s="5"/>
      <c r="UYL3" s="5"/>
      <c r="UYM3" s="5"/>
      <c r="UYN3" s="5"/>
      <c r="UYO3" s="5"/>
      <c r="UYP3" s="5"/>
      <c r="UYQ3" s="5"/>
      <c r="UYR3" s="5"/>
      <c r="UYS3" s="5"/>
      <c r="UYT3" s="5"/>
      <c r="UYU3" s="5"/>
      <c r="UYV3" s="5"/>
      <c r="UYW3" s="5"/>
      <c r="UYX3" s="5"/>
      <c r="UYY3" s="5"/>
      <c r="UYZ3" s="5"/>
      <c r="UZA3" s="5"/>
      <c r="UZB3" s="5"/>
      <c r="UZC3" s="5"/>
      <c r="UZD3" s="5"/>
      <c r="UZE3" s="5"/>
      <c r="UZF3" s="5"/>
      <c r="UZG3" s="5"/>
      <c r="UZH3" s="5"/>
      <c r="UZI3" s="5"/>
      <c r="UZJ3" s="5"/>
      <c r="UZK3" s="5"/>
      <c r="UZL3" s="5"/>
      <c r="UZM3" s="5"/>
      <c r="UZN3" s="5"/>
      <c r="UZO3" s="5"/>
      <c r="UZP3" s="5"/>
      <c r="UZQ3" s="5"/>
      <c r="UZR3" s="5"/>
      <c r="UZS3" s="5"/>
      <c r="UZT3" s="5"/>
      <c r="UZU3" s="5"/>
      <c r="UZV3" s="5"/>
      <c r="UZW3" s="5"/>
      <c r="UZX3" s="5"/>
      <c r="UZY3" s="5"/>
      <c r="UZZ3" s="5"/>
      <c r="VAA3" s="5"/>
      <c r="VAB3" s="5"/>
      <c r="VAC3" s="5"/>
      <c r="VAD3" s="5"/>
      <c r="VAE3" s="5"/>
      <c r="VAF3" s="5"/>
      <c r="VAG3" s="5"/>
      <c r="VAH3" s="5"/>
      <c r="VAI3" s="5"/>
      <c r="VAJ3" s="5"/>
      <c r="VAK3" s="5"/>
      <c r="VAL3" s="5"/>
      <c r="VAM3" s="5"/>
      <c r="VAN3" s="5"/>
      <c r="VAO3" s="5"/>
      <c r="VAP3" s="5"/>
      <c r="VAQ3" s="5"/>
      <c r="VAR3" s="5"/>
      <c r="VAS3" s="5"/>
      <c r="VAT3" s="5"/>
      <c r="VAU3" s="5"/>
      <c r="VAV3" s="5"/>
      <c r="VAW3" s="5"/>
      <c r="VAX3" s="5"/>
      <c r="VAY3" s="5"/>
      <c r="VAZ3" s="5"/>
      <c r="VBA3" s="5"/>
      <c r="VBB3" s="5"/>
      <c r="VBC3" s="5"/>
      <c r="VBD3" s="5"/>
      <c r="VBE3" s="5"/>
      <c r="VBF3" s="5"/>
      <c r="VBG3" s="5"/>
      <c r="VBH3" s="5"/>
      <c r="VBI3" s="5"/>
      <c r="VBJ3" s="5"/>
      <c r="VBK3" s="5"/>
      <c r="VBL3" s="5"/>
      <c r="VBM3" s="5"/>
      <c r="VBN3" s="5"/>
      <c r="VBO3" s="5"/>
      <c r="VBP3" s="5"/>
      <c r="VBQ3" s="5"/>
      <c r="VBR3" s="5"/>
      <c r="VBS3" s="5"/>
      <c r="VBT3" s="5"/>
      <c r="VBU3" s="5"/>
      <c r="VBV3" s="5"/>
      <c r="VBW3" s="5"/>
      <c r="VBX3" s="5"/>
      <c r="VBY3" s="5"/>
      <c r="VBZ3" s="5"/>
      <c r="VCA3" s="5"/>
      <c r="VCB3" s="5"/>
      <c r="VCC3" s="5"/>
      <c r="VCD3" s="5"/>
      <c r="VCE3" s="5"/>
      <c r="VCF3" s="5"/>
      <c r="VCG3" s="5"/>
      <c r="VCH3" s="5"/>
      <c r="VCI3" s="5"/>
      <c r="VCJ3" s="5"/>
      <c r="VCK3" s="5"/>
      <c r="VCL3" s="5"/>
      <c r="VCM3" s="5"/>
      <c r="VCN3" s="5"/>
      <c r="VCO3" s="5"/>
      <c r="VCP3" s="5"/>
      <c r="VCQ3" s="5"/>
      <c r="VCR3" s="5"/>
      <c r="VCS3" s="5"/>
      <c r="VCT3" s="5"/>
      <c r="VCU3" s="5"/>
      <c r="VCV3" s="5"/>
      <c r="VCW3" s="5"/>
      <c r="VCX3" s="5"/>
      <c r="VCY3" s="5"/>
      <c r="VCZ3" s="5"/>
      <c r="VDA3" s="5"/>
      <c r="VDB3" s="5"/>
      <c r="VDC3" s="5"/>
      <c r="VDD3" s="5"/>
      <c r="VDE3" s="5"/>
      <c r="VDF3" s="5"/>
      <c r="VDG3" s="5"/>
      <c r="VDH3" s="5"/>
      <c r="VDI3" s="5"/>
      <c r="VDJ3" s="5"/>
      <c r="VDK3" s="5"/>
      <c r="VDL3" s="5"/>
      <c r="VDM3" s="5"/>
      <c r="VDN3" s="5"/>
      <c r="VDO3" s="5"/>
      <c r="VDP3" s="5"/>
      <c r="VDQ3" s="5"/>
      <c r="VDR3" s="5"/>
      <c r="VDS3" s="5"/>
      <c r="VDT3" s="5"/>
      <c r="VDU3" s="5"/>
      <c r="VDV3" s="5"/>
      <c r="VDW3" s="5"/>
      <c r="VDX3" s="5"/>
      <c r="VDY3" s="5"/>
      <c r="VDZ3" s="5"/>
      <c r="VEA3" s="5"/>
      <c r="VEB3" s="5"/>
      <c r="VEC3" s="5"/>
      <c r="VED3" s="5"/>
      <c r="VEE3" s="5"/>
      <c r="VEF3" s="5"/>
      <c r="VEG3" s="5"/>
      <c r="VEH3" s="5"/>
      <c r="VEI3" s="5"/>
      <c r="VEJ3" s="5"/>
      <c r="VEK3" s="5"/>
      <c r="VEL3" s="5"/>
      <c r="VEM3" s="5"/>
      <c r="VEN3" s="5"/>
      <c r="VEO3" s="5"/>
      <c r="VEP3" s="5"/>
      <c r="VEQ3" s="5"/>
      <c r="VER3" s="5"/>
      <c r="VES3" s="5"/>
      <c r="VET3" s="5"/>
      <c r="VEU3" s="5"/>
      <c r="VEV3" s="5"/>
      <c r="VEW3" s="5"/>
      <c r="VEX3" s="5"/>
      <c r="VEY3" s="5"/>
      <c r="VEZ3" s="5"/>
      <c r="VFA3" s="5"/>
      <c r="VFB3" s="5"/>
      <c r="VFC3" s="5"/>
      <c r="VFD3" s="5"/>
      <c r="VFE3" s="5"/>
      <c r="VFF3" s="5"/>
      <c r="VFG3" s="5"/>
      <c r="VFH3" s="5"/>
      <c r="VFI3" s="5"/>
      <c r="VFJ3" s="5"/>
      <c r="VFK3" s="5"/>
      <c r="VFL3" s="5"/>
      <c r="VFM3" s="5"/>
      <c r="VFN3" s="5"/>
      <c r="VFO3" s="5"/>
      <c r="VFP3" s="5"/>
      <c r="VFQ3" s="5"/>
      <c r="VFR3" s="5"/>
      <c r="VFS3" s="5"/>
      <c r="VFT3" s="5"/>
      <c r="VFU3" s="5"/>
      <c r="VFV3" s="5"/>
      <c r="VFW3" s="5"/>
      <c r="VFX3" s="5"/>
      <c r="VFY3" s="5"/>
      <c r="VFZ3" s="5"/>
      <c r="VGA3" s="5"/>
      <c r="VGB3" s="5"/>
      <c r="VGC3" s="5"/>
      <c r="VGD3" s="5"/>
      <c r="VGE3" s="5"/>
      <c r="VGF3" s="5"/>
      <c r="VGG3" s="5"/>
      <c r="VGH3" s="5"/>
      <c r="VGI3" s="5"/>
      <c r="VGJ3" s="5"/>
      <c r="VGK3" s="5"/>
      <c r="VGL3" s="5"/>
      <c r="VGM3" s="5"/>
      <c r="VGN3" s="5"/>
      <c r="VGO3" s="5"/>
      <c r="VGP3" s="5"/>
      <c r="VGQ3" s="5"/>
      <c r="VGR3" s="5"/>
      <c r="VGS3" s="5"/>
      <c r="VGT3" s="5"/>
      <c r="VGU3" s="5"/>
      <c r="VGV3" s="5"/>
      <c r="VGW3" s="5"/>
      <c r="VGX3" s="5"/>
      <c r="VGY3" s="5"/>
      <c r="VGZ3" s="5"/>
      <c r="VHA3" s="5"/>
      <c r="VHB3" s="5"/>
      <c r="VHC3" s="5"/>
      <c r="VHD3" s="5"/>
      <c r="VHE3" s="5"/>
      <c r="VHF3" s="5"/>
      <c r="VHG3" s="5"/>
      <c r="VHH3" s="5"/>
      <c r="VHI3" s="5"/>
      <c r="VHJ3" s="5"/>
      <c r="VHK3" s="5"/>
      <c r="VHL3" s="5"/>
      <c r="VHM3" s="5"/>
      <c r="VHN3" s="5"/>
      <c r="VHO3" s="5"/>
      <c r="VHP3" s="5"/>
      <c r="VHQ3" s="5"/>
      <c r="VHR3" s="5"/>
      <c r="VHS3" s="5"/>
      <c r="VHT3" s="5"/>
      <c r="VHU3" s="5"/>
      <c r="VHV3" s="5"/>
      <c r="VHW3" s="5"/>
      <c r="VHX3" s="5"/>
      <c r="VHY3" s="5"/>
      <c r="VHZ3" s="5"/>
      <c r="VIA3" s="5"/>
      <c r="VIB3" s="5"/>
      <c r="VIC3" s="5"/>
      <c r="VID3" s="5"/>
      <c r="VIE3" s="5"/>
      <c r="VIF3" s="5"/>
      <c r="VIG3" s="5"/>
      <c r="VIH3" s="5"/>
      <c r="VII3" s="5"/>
      <c r="VIJ3" s="5"/>
      <c r="VIK3" s="5"/>
      <c r="VIL3" s="5"/>
      <c r="VIM3" s="5"/>
      <c r="VIN3" s="5"/>
      <c r="VIO3" s="5"/>
      <c r="VIP3" s="5"/>
      <c r="VIQ3" s="5"/>
      <c r="VIR3" s="5"/>
      <c r="VIS3" s="5"/>
      <c r="VIT3" s="5"/>
      <c r="VIU3" s="5"/>
      <c r="VIV3" s="5"/>
      <c r="VIW3" s="5"/>
      <c r="VIX3" s="5"/>
      <c r="VIY3" s="5"/>
      <c r="VIZ3" s="5"/>
      <c r="VJA3" s="5"/>
      <c r="VJB3" s="5"/>
      <c r="VJC3" s="5"/>
      <c r="VJD3" s="5"/>
      <c r="VJE3" s="5"/>
      <c r="VJF3" s="5"/>
      <c r="VJG3" s="5"/>
      <c r="VJH3" s="5"/>
      <c r="VJI3" s="5"/>
      <c r="VJJ3" s="5"/>
      <c r="VJK3" s="5"/>
      <c r="VJL3" s="5"/>
      <c r="VJM3" s="5"/>
      <c r="VJN3" s="5"/>
      <c r="VJO3" s="5"/>
      <c r="VJP3" s="5"/>
      <c r="VJQ3" s="5"/>
      <c r="VJR3" s="5"/>
      <c r="VJS3" s="5"/>
      <c r="VJT3" s="5"/>
      <c r="VJU3" s="5"/>
      <c r="VJV3" s="5"/>
      <c r="VJW3" s="5"/>
      <c r="VJX3" s="5"/>
      <c r="VJY3" s="5"/>
      <c r="VJZ3" s="5"/>
      <c r="VKA3" s="5"/>
      <c r="VKB3" s="5"/>
      <c r="VKC3" s="5"/>
      <c r="VKD3" s="5"/>
      <c r="VKE3" s="5"/>
      <c r="VKF3" s="5"/>
      <c r="VKG3" s="5"/>
      <c r="VKH3" s="5"/>
      <c r="VKI3" s="5"/>
      <c r="VKJ3" s="5"/>
      <c r="VKK3" s="5"/>
      <c r="VKL3" s="5"/>
      <c r="VKM3" s="5"/>
      <c r="VKN3" s="5"/>
      <c r="VKO3" s="5"/>
      <c r="VKP3" s="5"/>
      <c r="VKQ3" s="5"/>
      <c r="VKR3" s="5"/>
      <c r="VKS3" s="5"/>
      <c r="VKT3" s="5"/>
      <c r="VKU3" s="5"/>
      <c r="VKV3" s="5"/>
      <c r="VKW3" s="5"/>
      <c r="VKX3" s="5"/>
      <c r="VKY3" s="5"/>
      <c r="VKZ3" s="5"/>
      <c r="VLA3" s="5"/>
      <c r="VLB3" s="5"/>
      <c r="VLC3" s="5"/>
      <c r="VLD3" s="5"/>
      <c r="VLE3" s="5"/>
      <c r="VLF3" s="5"/>
      <c r="VLG3" s="5"/>
      <c r="VLH3" s="5"/>
      <c r="VLI3" s="5"/>
      <c r="VLJ3" s="5"/>
      <c r="VLK3" s="5"/>
      <c r="VLL3" s="5"/>
      <c r="VLM3" s="5"/>
      <c r="VLN3" s="5"/>
      <c r="VLO3" s="5"/>
      <c r="VLP3" s="5"/>
      <c r="VLQ3" s="5"/>
      <c r="VLR3" s="5"/>
      <c r="VLS3" s="5"/>
      <c r="VLT3" s="5"/>
      <c r="VLU3" s="5"/>
      <c r="VLV3" s="5"/>
      <c r="VLW3" s="5"/>
      <c r="VLX3" s="5"/>
      <c r="VLY3" s="5"/>
      <c r="VLZ3" s="5"/>
      <c r="VMA3" s="5"/>
      <c r="VMB3" s="5"/>
      <c r="VMC3" s="5"/>
      <c r="VMD3" s="5"/>
      <c r="VME3" s="5"/>
      <c r="VMF3" s="5"/>
      <c r="VMG3" s="5"/>
      <c r="VMH3" s="5"/>
      <c r="VMI3" s="5"/>
      <c r="VMJ3" s="5"/>
      <c r="VMK3" s="5"/>
      <c r="VML3" s="5"/>
      <c r="VMM3" s="5"/>
      <c r="VMN3" s="5"/>
      <c r="VMO3" s="5"/>
      <c r="VMP3" s="5"/>
      <c r="VMQ3" s="5"/>
      <c r="VMR3" s="5"/>
      <c r="VMS3" s="5"/>
      <c r="VMT3" s="5"/>
      <c r="VMU3" s="5"/>
      <c r="VMV3" s="5"/>
      <c r="VMW3" s="5"/>
      <c r="VMX3" s="5"/>
      <c r="VMY3" s="5"/>
      <c r="VMZ3" s="5"/>
      <c r="VNA3" s="5"/>
      <c r="VNB3" s="5"/>
      <c r="VNC3" s="5"/>
      <c r="VND3" s="5"/>
      <c r="VNE3" s="5"/>
      <c r="VNF3" s="5"/>
      <c r="VNG3" s="5"/>
      <c r="VNH3" s="5"/>
      <c r="VNI3" s="5"/>
      <c r="VNJ3" s="5"/>
      <c r="VNK3" s="5"/>
      <c r="VNL3" s="5"/>
      <c r="VNM3" s="5"/>
      <c r="VNN3" s="5"/>
      <c r="VNO3" s="5"/>
      <c r="VNP3" s="5"/>
      <c r="VNQ3" s="5"/>
      <c r="VNR3" s="5"/>
      <c r="VNS3" s="5"/>
      <c r="VNT3" s="5"/>
      <c r="VNU3" s="5"/>
      <c r="VNV3" s="5"/>
      <c r="VNW3" s="5"/>
      <c r="VNX3" s="5"/>
      <c r="VNY3" s="5"/>
      <c r="VNZ3" s="5"/>
      <c r="VOA3" s="5"/>
      <c r="VOB3" s="5"/>
      <c r="VOC3" s="5"/>
      <c r="VOD3" s="5"/>
      <c r="VOE3" s="5"/>
      <c r="VOF3" s="5"/>
      <c r="VOG3" s="5"/>
      <c r="VOH3" s="5"/>
      <c r="VOI3" s="5"/>
      <c r="VOJ3" s="5"/>
      <c r="VOK3" s="5"/>
      <c r="VOL3" s="5"/>
      <c r="VOM3" s="5"/>
      <c r="VON3" s="5"/>
      <c r="VOO3" s="5"/>
      <c r="VOP3" s="5"/>
      <c r="VOQ3" s="5"/>
      <c r="VOR3" s="5"/>
      <c r="VOS3" s="5"/>
      <c r="VOT3" s="5"/>
      <c r="VOU3" s="5"/>
      <c r="VOV3" s="5"/>
      <c r="VOW3" s="5"/>
      <c r="VOX3" s="5"/>
      <c r="VOY3" s="5"/>
      <c r="VOZ3" s="5"/>
      <c r="VPA3" s="5"/>
      <c r="VPB3" s="5"/>
      <c r="VPC3" s="5"/>
      <c r="VPD3" s="5"/>
      <c r="VPE3" s="5"/>
      <c r="VPF3" s="5"/>
      <c r="VPG3" s="5"/>
      <c r="VPH3" s="5"/>
      <c r="VPI3" s="5"/>
      <c r="VPJ3" s="5"/>
      <c r="VPK3" s="5"/>
      <c r="VPL3" s="5"/>
      <c r="VPM3" s="5"/>
      <c r="VPN3" s="5"/>
      <c r="VPO3" s="5"/>
      <c r="VPP3" s="5"/>
      <c r="VPQ3" s="5"/>
      <c r="VPR3" s="5"/>
      <c r="VPS3" s="5"/>
      <c r="VPT3" s="5"/>
      <c r="VPU3" s="5"/>
      <c r="VPV3" s="5"/>
      <c r="VPW3" s="5"/>
      <c r="VPX3" s="5"/>
      <c r="VPY3" s="5"/>
      <c r="VPZ3" s="5"/>
      <c r="VQA3" s="5"/>
      <c r="VQB3" s="5"/>
      <c r="VQC3" s="5"/>
      <c r="VQD3" s="5"/>
      <c r="VQE3" s="5"/>
      <c r="VQF3" s="5"/>
      <c r="VQG3" s="5"/>
      <c r="VQH3" s="5"/>
      <c r="VQI3" s="5"/>
      <c r="VQJ3" s="5"/>
      <c r="VQK3" s="5"/>
      <c r="VQL3" s="5"/>
      <c r="VQM3" s="5"/>
      <c r="VQN3" s="5"/>
      <c r="VQO3" s="5"/>
      <c r="VQP3" s="5"/>
      <c r="VQQ3" s="5"/>
      <c r="VQR3" s="5"/>
      <c r="VQS3" s="5"/>
      <c r="VQT3" s="5"/>
      <c r="VQU3" s="5"/>
      <c r="VQV3" s="5"/>
      <c r="VQW3" s="5"/>
      <c r="VQX3" s="5"/>
      <c r="VQY3" s="5"/>
      <c r="VQZ3" s="5"/>
      <c r="VRA3" s="5"/>
      <c r="VRB3" s="5"/>
      <c r="VRC3" s="5"/>
      <c r="VRD3" s="5"/>
      <c r="VRE3" s="5"/>
      <c r="VRF3" s="5"/>
      <c r="VRG3" s="5"/>
      <c r="VRH3" s="5"/>
      <c r="VRI3" s="5"/>
      <c r="VRJ3" s="5"/>
      <c r="VRK3" s="5"/>
      <c r="VRL3" s="5"/>
      <c r="VRM3" s="5"/>
      <c r="VRN3" s="5"/>
      <c r="VRO3" s="5"/>
      <c r="VRP3" s="5"/>
      <c r="VRQ3" s="5"/>
      <c r="VRR3" s="5"/>
      <c r="VRS3" s="5"/>
      <c r="VRT3" s="5"/>
      <c r="VRU3" s="5"/>
      <c r="VRV3" s="5"/>
      <c r="VRW3" s="5"/>
      <c r="VRX3" s="5"/>
      <c r="VRY3" s="5"/>
      <c r="VRZ3" s="5"/>
      <c r="VSA3" s="5"/>
      <c r="VSB3" s="5"/>
      <c r="VSC3" s="5"/>
      <c r="VSD3" s="5"/>
      <c r="VSE3" s="5"/>
      <c r="VSF3" s="5"/>
      <c r="VSG3" s="5"/>
      <c r="VSH3" s="5"/>
      <c r="VSI3" s="5"/>
      <c r="VSJ3" s="5"/>
      <c r="VSK3" s="5"/>
      <c r="VSL3" s="5"/>
      <c r="VSM3" s="5"/>
      <c r="VSN3" s="5"/>
      <c r="VSO3" s="5"/>
      <c r="VSP3" s="5"/>
      <c r="VSQ3" s="5"/>
      <c r="VSR3" s="5"/>
      <c r="VSS3" s="5"/>
      <c r="VST3" s="5"/>
      <c r="VSU3" s="5"/>
      <c r="VSV3" s="5"/>
      <c r="VSW3" s="5"/>
      <c r="VSX3" s="5"/>
      <c r="VSY3" s="5"/>
      <c r="VSZ3" s="5"/>
      <c r="VTA3" s="5"/>
      <c r="VTB3" s="5"/>
      <c r="VTC3" s="5"/>
      <c r="VTD3" s="5"/>
      <c r="VTE3" s="5"/>
      <c r="VTF3" s="5"/>
      <c r="VTG3" s="5"/>
      <c r="VTH3" s="5"/>
      <c r="VTI3" s="5"/>
      <c r="VTJ3" s="5"/>
      <c r="VTK3" s="5"/>
      <c r="VTL3" s="5"/>
      <c r="VTM3" s="5"/>
      <c r="VTN3" s="5"/>
      <c r="VTO3" s="5"/>
      <c r="VTP3" s="5"/>
      <c r="VTQ3" s="5"/>
      <c r="VTR3" s="5"/>
      <c r="VTS3" s="5"/>
      <c r="VTT3" s="5"/>
      <c r="VTU3" s="5"/>
      <c r="VTV3" s="5"/>
      <c r="VTW3" s="5"/>
      <c r="VTX3" s="5"/>
      <c r="VTY3" s="5"/>
      <c r="VTZ3" s="5"/>
      <c r="VUA3" s="5"/>
      <c r="VUB3" s="5"/>
      <c r="VUC3" s="5"/>
      <c r="VUD3" s="5"/>
      <c r="VUE3" s="5"/>
      <c r="VUF3" s="5"/>
      <c r="VUG3" s="5"/>
      <c r="VUH3" s="5"/>
      <c r="VUI3" s="5"/>
      <c r="VUJ3" s="5"/>
      <c r="VUK3" s="5"/>
      <c r="VUL3" s="5"/>
      <c r="VUM3" s="5"/>
      <c r="VUN3" s="5"/>
      <c r="VUO3" s="5"/>
      <c r="VUP3" s="5"/>
      <c r="VUQ3" s="5"/>
      <c r="VUR3" s="5"/>
      <c r="VUS3" s="5"/>
      <c r="VUT3" s="5"/>
      <c r="VUU3" s="5"/>
      <c r="VUV3" s="5"/>
      <c r="VUW3" s="5"/>
      <c r="VUX3" s="5"/>
      <c r="VUY3" s="5"/>
      <c r="VUZ3" s="5"/>
      <c r="VVA3" s="5"/>
      <c r="VVB3" s="5"/>
      <c r="VVC3" s="5"/>
      <c r="VVD3" s="5"/>
      <c r="VVE3" s="5"/>
      <c r="VVF3" s="5"/>
      <c r="VVG3" s="5"/>
      <c r="VVH3" s="5"/>
      <c r="VVI3" s="5"/>
      <c r="VVJ3" s="5"/>
      <c r="VVK3" s="5"/>
      <c r="VVL3" s="5"/>
      <c r="VVM3" s="5"/>
      <c r="VVN3" s="5"/>
      <c r="VVO3" s="5"/>
      <c r="VVP3" s="5"/>
      <c r="VVQ3" s="5"/>
      <c r="VVR3" s="5"/>
      <c r="VVS3" s="5"/>
      <c r="VVT3" s="5"/>
      <c r="VVU3" s="5"/>
      <c r="VVV3" s="5"/>
      <c r="VVW3" s="5"/>
      <c r="VVX3" s="5"/>
      <c r="VVY3" s="5"/>
      <c r="VVZ3" s="5"/>
      <c r="VWA3" s="5"/>
      <c r="VWB3" s="5"/>
      <c r="VWC3" s="5"/>
      <c r="VWD3" s="5"/>
      <c r="VWE3" s="5"/>
      <c r="VWF3" s="5"/>
      <c r="VWG3" s="5"/>
      <c r="VWH3" s="5"/>
      <c r="VWI3" s="5"/>
      <c r="VWJ3" s="5"/>
      <c r="VWK3" s="5"/>
      <c r="VWL3" s="5"/>
      <c r="VWM3" s="5"/>
      <c r="VWN3" s="5"/>
      <c r="VWO3" s="5"/>
      <c r="VWP3" s="5"/>
      <c r="VWQ3" s="5"/>
      <c r="VWR3" s="5"/>
      <c r="VWS3" s="5"/>
      <c r="VWT3" s="5"/>
      <c r="VWU3" s="5"/>
      <c r="VWV3" s="5"/>
      <c r="VWW3" s="5"/>
      <c r="VWX3" s="5"/>
      <c r="VWY3" s="5"/>
      <c r="VWZ3" s="5"/>
      <c r="VXA3" s="5"/>
      <c r="VXB3" s="5"/>
      <c r="VXC3" s="5"/>
      <c r="VXD3" s="5"/>
      <c r="VXE3" s="5"/>
      <c r="VXF3" s="5"/>
      <c r="VXG3" s="5"/>
      <c r="VXH3" s="5"/>
      <c r="VXI3" s="5"/>
      <c r="VXJ3" s="5"/>
      <c r="VXK3" s="5"/>
      <c r="VXL3" s="5"/>
      <c r="VXM3" s="5"/>
      <c r="VXN3" s="5"/>
      <c r="VXO3" s="5"/>
      <c r="VXP3" s="5"/>
      <c r="VXQ3" s="5"/>
      <c r="VXR3" s="5"/>
      <c r="VXS3" s="5"/>
      <c r="VXT3" s="5"/>
      <c r="VXU3" s="5"/>
      <c r="VXV3" s="5"/>
      <c r="VXW3" s="5"/>
      <c r="VXX3" s="5"/>
      <c r="VXY3" s="5"/>
      <c r="VXZ3" s="5"/>
      <c r="VYA3" s="5"/>
      <c r="VYB3" s="5"/>
      <c r="VYC3" s="5"/>
      <c r="VYD3" s="5"/>
      <c r="VYE3" s="5"/>
      <c r="VYF3" s="5"/>
      <c r="VYG3" s="5"/>
      <c r="VYH3" s="5"/>
      <c r="VYI3" s="5"/>
      <c r="VYJ3" s="5"/>
      <c r="VYK3" s="5"/>
      <c r="VYL3" s="5"/>
      <c r="VYM3" s="5"/>
      <c r="VYN3" s="5"/>
      <c r="VYO3" s="5"/>
      <c r="VYP3" s="5"/>
      <c r="VYQ3" s="5"/>
      <c r="VYR3" s="5"/>
      <c r="VYS3" s="5"/>
      <c r="VYT3" s="5"/>
      <c r="VYU3" s="5"/>
      <c r="VYV3" s="5"/>
      <c r="VYW3" s="5"/>
      <c r="VYX3" s="5"/>
      <c r="VYY3" s="5"/>
      <c r="VYZ3" s="5"/>
      <c r="VZA3" s="5"/>
      <c r="VZB3" s="5"/>
      <c r="VZC3" s="5"/>
      <c r="VZD3" s="5"/>
      <c r="VZE3" s="5"/>
      <c r="VZF3" s="5"/>
      <c r="VZG3" s="5"/>
      <c r="VZH3" s="5"/>
      <c r="VZI3" s="5"/>
      <c r="VZJ3" s="5"/>
      <c r="VZK3" s="5"/>
      <c r="VZL3" s="5"/>
      <c r="VZM3" s="5"/>
      <c r="VZN3" s="5"/>
      <c r="VZO3" s="5"/>
      <c r="VZP3" s="5"/>
      <c r="VZQ3" s="5"/>
      <c r="VZR3" s="5"/>
      <c r="VZS3" s="5"/>
      <c r="VZT3" s="5"/>
      <c r="VZU3" s="5"/>
      <c r="VZV3" s="5"/>
      <c r="VZW3" s="5"/>
      <c r="VZX3" s="5"/>
      <c r="VZY3" s="5"/>
      <c r="VZZ3" s="5"/>
      <c r="WAA3" s="5"/>
      <c r="WAB3" s="5"/>
      <c r="WAC3" s="5"/>
      <c r="WAD3" s="5"/>
      <c r="WAE3" s="5"/>
      <c r="WAF3" s="5"/>
      <c r="WAG3" s="5"/>
      <c r="WAH3" s="5"/>
      <c r="WAI3" s="5"/>
      <c r="WAJ3" s="5"/>
      <c r="WAK3" s="5"/>
      <c r="WAL3" s="5"/>
      <c r="WAM3" s="5"/>
      <c r="WAN3" s="5"/>
      <c r="WAO3" s="5"/>
      <c r="WAP3" s="5"/>
      <c r="WAQ3" s="5"/>
      <c r="WAR3" s="5"/>
      <c r="WAS3" s="5"/>
      <c r="WAT3" s="5"/>
      <c r="WAU3" s="5"/>
      <c r="WAV3" s="5"/>
      <c r="WAW3" s="5"/>
      <c r="WAX3" s="5"/>
      <c r="WAY3" s="5"/>
      <c r="WAZ3" s="5"/>
      <c r="WBA3" s="5"/>
      <c r="WBB3" s="5"/>
      <c r="WBC3" s="5"/>
      <c r="WBD3" s="5"/>
      <c r="WBE3" s="5"/>
      <c r="WBF3" s="5"/>
      <c r="WBG3" s="5"/>
      <c r="WBH3" s="5"/>
      <c r="WBI3" s="5"/>
      <c r="WBJ3" s="5"/>
      <c r="WBK3" s="5"/>
      <c r="WBL3" s="5"/>
      <c r="WBM3" s="5"/>
      <c r="WBN3" s="5"/>
      <c r="WBO3" s="5"/>
      <c r="WBP3" s="5"/>
      <c r="WBQ3" s="5"/>
      <c r="WBR3" s="5"/>
      <c r="WBS3" s="5"/>
      <c r="WBT3" s="5"/>
      <c r="WBU3" s="5"/>
      <c r="WBV3" s="5"/>
      <c r="WBW3" s="5"/>
      <c r="WBX3" s="5"/>
      <c r="WBY3" s="5"/>
      <c r="WBZ3" s="5"/>
      <c r="WCA3" s="5"/>
      <c r="WCB3" s="5"/>
      <c r="WCC3" s="5"/>
      <c r="WCD3" s="5"/>
      <c r="WCE3" s="5"/>
      <c r="WCF3" s="5"/>
      <c r="WCG3" s="5"/>
      <c r="WCH3" s="5"/>
      <c r="WCI3" s="5"/>
      <c r="WCJ3" s="5"/>
      <c r="WCK3" s="5"/>
      <c r="WCL3" s="5"/>
      <c r="WCM3" s="5"/>
      <c r="WCN3" s="5"/>
      <c r="WCO3" s="5"/>
      <c r="WCP3" s="5"/>
      <c r="WCQ3" s="5"/>
      <c r="WCR3" s="5"/>
      <c r="WCS3" s="5"/>
      <c r="WCT3" s="5"/>
      <c r="WCU3" s="5"/>
      <c r="WCV3" s="5"/>
      <c r="WCW3" s="5"/>
      <c r="WCX3" s="5"/>
      <c r="WCY3" s="5"/>
      <c r="WCZ3" s="5"/>
      <c r="WDA3" s="5"/>
      <c r="WDB3" s="5"/>
      <c r="WDC3" s="5"/>
      <c r="WDD3" s="5"/>
      <c r="WDE3" s="5"/>
      <c r="WDF3" s="5"/>
      <c r="WDG3" s="5"/>
      <c r="WDH3" s="5"/>
      <c r="WDI3" s="5"/>
      <c r="WDJ3" s="5"/>
      <c r="WDK3" s="5"/>
      <c r="WDL3" s="5"/>
      <c r="WDM3" s="5"/>
      <c r="WDN3" s="5"/>
      <c r="WDO3" s="5"/>
      <c r="WDP3" s="5"/>
      <c r="WDQ3" s="5"/>
      <c r="WDR3" s="5"/>
      <c r="WDS3" s="5"/>
      <c r="WDT3" s="5"/>
      <c r="WDU3" s="5"/>
      <c r="WDV3" s="5"/>
      <c r="WDW3" s="5"/>
      <c r="WDX3" s="5"/>
      <c r="WDY3" s="5"/>
      <c r="WDZ3" s="5"/>
      <c r="WEA3" s="5"/>
      <c r="WEB3" s="5"/>
      <c r="WEC3" s="5"/>
      <c r="WED3" s="5"/>
      <c r="WEE3" s="5"/>
      <c r="WEF3" s="5"/>
      <c r="WEG3" s="5"/>
      <c r="WEH3" s="5"/>
      <c r="WEI3" s="5"/>
      <c r="WEJ3" s="5"/>
      <c r="WEK3" s="5"/>
      <c r="WEL3" s="5"/>
      <c r="WEM3" s="5"/>
      <c r="WEN3" s="5"/>
      <c r="WEO3" s="5"/>
      <c r="WEP3" s="5"/>
      <c r="WEQ3" s="5"/>
      <c r="WER3" s="5"/>
      <c r="WES3" s="5"/>
      <c r="WET3" s="5"/>
      <c r="WEU3" s="5"/>
      <c r="WEV3" s="5"/>
      <c r="WEW3" s="5"/>
      <c r="WEX3" s="5"/>
      <c r="WEY3" s="5"/>
      <c r="WEZ3" s="5"/>
      <c r="WFA3" s="5"/>
      <c r="WFB3" s="5"/>
      <c r="WFC3" s="5"/>
      <c r="WFD3" s="5"/>
      <c r="WFE3" s="5"/>
      <c r="WFF3" s="5"/>
      <c r="WFG3" s="5"/>
      <c r="WFH3" s="5"/>
      <c r="WFI3" s="5"/>
      <c r="WFJ3" s="5"/>
      <c r="WFK3" s="5"/>
      <c r="WFL3" s="5"/>
      <c r="WFM3" s="5"/>
      <c r="WFN3" s="5"/>
      <c r="WFO3" s="5"/>
      <c r="WFP3" s="5"/>
      <c r="WFQ3" s="5"/>
      <c r="WFR3" s="5"/>
      <c r="WFS3" s="5"/>
      <c r="WFT3" s="5"/>
      <c r="WFU3" s="5"/>
      <c r="WFV3" s="5"/>
      <c r="WFW3" s="5"/>
      <c r="WFX3" s="5"/>
      <c r="WFY3" s="5"/>
      <c r="WFZ3" s="5"/>
      <c r="WGA3" s="5"/>
      <c r="WGB3" s="5"/>
      <c r="WGC3" s="5"/>
      <c r="WGD3" s="5"/>
      <c r="WGE3" s="5"/>
      <c r="WGF3" s="5"/>
      <c r="WGG3" s="5"/>
      <c r="WGH3" s="5"/>
      <c r="WGI3" s="5"/>
      <c r="WGJ3" s="5"/>
      <c r="WGK3" s="5"/>
      <c r="WGL3" s="5"/>
      <c r="WGM3" s="5"/>
      <c r="WGN3" s="5"/>
      <c r="WGO3" s="5"/>
      <c r="WGP3" s="5"/>
      <c r="WGQ3" s="5"/>
      <c r="WGR3" s="5"/>
      <c r="WGS3" s="5"/>
      <c r="WGT3" s="5"/>
      <c r="WGU3" s="5"/>
      <c r="WGV3" s="5"/>
      <c r="WGW3" s="5"/>
      <c r="WGX3" s="5"/>
      <c r="WGY3" s="5"/>
      <c r="WGZ3" s="5"/>
      <c r="WHA3" s="5"/>
      <c r="WHB3" s="5"/>
      <c r="WHC3" s="5"/>
      <c r="WHD3" s="5"/>
      <c r="WHE3" s="5"/>
      <c r="WHF3" s="5"/>
      <c r="WHG3" s="5"/>
      <c r="WHH3" s="5"/>
      <c r="WHI3" s="5"/>
      <c r="WHJ3" s="5"/>
      <c r="WHK3" s="5"/>
      <c r="WHL3" s="5"/>
      <c r="WHM3" s="5"/>
      <c r="WHN3" s="5"/>
      <c r="WHO3" s="5"/>
      <c r="WHP3" s="5"/>
      <c r="WHQ3" s="5"/>
      <c r="WHR3" s="5"/>
      <c r="WHS3" s="5"/>
      <c r="WHT3" s="5"/>
      <c r="WHU3" s="5"/>
      <c r="WHV3" s="5"/>
      <c r="WHW3" s="5"/>
      <c r="WHX3" s="5"/>
      <c r="WHY3" s="5"/>
      <c r="WHZ3" s="5"/>
      <c r="WIA3" s="5"/>
      <c r="WIB3" s="5"/>
      <c r="WIC3" s="5"/>
      <c r="WID3" s="5"/>
      <c r="WIE3" s="5"/>
      <c r="WIF3" s="5"/>
      <c r="WIG3" s="5"/>
      <c r="WIH3" s="5"/>
      <c r="WII3" s="5"/>
      <c r="WIJ3" s="5"/>
      <c r="WIK3" s="5"/>
      <c r="WIL3" s="5"/>
      <c r="WIM3" s="5"/>
      <c r="WIN3" s="5"/>
      <c r="WIO3" s="5"/>
      <c r="WIP3" s="5"/>
      <c r="WIQ3" s="5"/>
      <c r="WIR3" s="5"/>
      <c r="WIS3" s="5"/>
      <c r="WIT3" s="5"/>
      <c r="WIU3" s="5"/>
      <c r="WIV3" s="5"/>
      <c r="WIW3" s="5"/>
      <c r="WIX3" s="5"/>
      <c r="WIY3" s="5"/>
      <c r="WIZ3" s="5"/>
      <c r="WJA3" s="5"/>
      <c r="WJB3" s="5"/>
      <c r="WJC3" s="5"/>
      <c r="WJD3" s="5"/>
      <c r="WJE3" s="5"/>
      <c r="WJF3" s="5"/>
      <c r="WJG3" s="5"/>
      <c r="WJH3" s="5"/>
      <c r="WJI3" s="5"/>
      <c r="WJJ3" s="5"/>
      <c r="WJK3" s="5"/>
      <c r="WJL3" s="5"/>
      <c r="WJM3" s="5"/>
      <c r="WJN3" s="5"/>
      <c r="WJO3" s="5"/>
      <c r="WJP3" s="5"/>
      <c r="WJQ3" s="5"/>
      <c r="WJR3" s="5"/>
      <c r="WJS3" s="5"/>
      <c r="WJT3" s="5"/>
      <c r="WJU3" s="5"/>
      <c r="WJV3" s="5"/>
      <c r="WJW3" s="5"/>
      <c r="WJX3" s="5"/>
      <c r="WJY3" s="5"/>
      <c r="WJZ3" s="5"/>
      <c r="WKA3" s="5"/>
      <c r="WKB3" s="5"/>
      <c r="WKC3" s="5"/>
      <c r="WKD3" s="5"/>
      <c r="WKE3" s="5"/>
      <c r="WKF3" s="5"/>
      <c r="WKG3" s="5"/>
      <c r="WKH3" s="5"/>
      <c r="WKI3" s="5"/>
      <c r="WKJ3" s="5"/>
      <c r="WKK3" s="5"/>
      <c r="WKL3" s="5"/>
      <c r="WKM3" s="5"/>
      <c r="WKN3" s="5"/>
      <c r="WKO3" s="5"/>
      <c r="WKP3" s="5"/>
      <c r="WKQ3" s="5"/>
      <c r="WKR3" s="5"/>
      <c r="WKS3" s="5"/>
      <c r="WKT3" s="5"/>
      <c r="WKU3" s="5"/>
      <c r="WKV3" s="5"/>
      <c r="WKW3" s="5"/>
      <c r="WKX3" s="5"/>
      <c r="WKY3" s="5"/>
      <c r="WKZ3" s="5"/>
      <c r="WLA3" s="5"/>
      <c r="WLB3" s="5"/>
      <c r="WLC3" s="5"/>
      <c r="WLD3" s="5"/>
      <c r="WLE3" s="5"/>
      <c r="WLF3" s="5"/>
      <c r="WLG3" s="5"/>
      <c r="WLH3" s="5"/>
      <c r="WLI3" s="5"/>
      <c r="WLJ3" s="5"/>
      <c r="WLK3" s="5"/>
      <c r="WLL3" s="5"/>
      <c r="WLM3" s="5"/>
      <c r="WLN3" s="5"/>
      <c r="WLO3" s="5"/>
      <c r="WLP3" s="5"/>
      <c r="WLQ3" s="5"/>
      <c r="WLR3" s="5"/>
      <c r="WLS3" s="5"/>
      <c r="WLT3" s="5"/>
      <c r="WLU3" s="5"/>
      <c r="WLV3" s="5"/>
      <c r="WLW3" s="5"/>
      <c r="WLX3" s="5"/>
      <c r="WLY3" s="5"/>
      <c r="WLZ3" s="5"/>
      <c r="WMA3" s="5"/>
      <c r="WMB3" s="5"/>
      <c r="WMC3" s="5"/>
      <c r="WMD3" s="5"/>
      <c r="WME3" s="5"/>
      <c r="WMF3" s="5"/>
      <c r="WMG3" s="5"/>
      <c r="WMH3" s="5"/>
      <c r="WMI3" s="5"/>
      <c r="WMJ3" s="5"/>
      <c r="WMK3" s="5"/>
      <c r="WML3" s="5"/>
      <c r="WMM3" s="5"/>
      <c r="WMN3" s="5"/>
      <c r="WMO3" s="5"/>
      <c r="WMP3" s="5"/>
      <c r="WMQ3" s="5"/>
      <c r="WMR3" s="5"/>
      <c r="WMS3" s="5"/>
      <c r="WMT3" s="5"/>
      <c r="WMU3" s="5"/>
      <c r="WMV3" s="5"/>
      <c r="WMW3" s="5"/>
      <c r="WMX3" s="5"/>
      <c r="WMY3" s="5"/>
      <c r="WMZ3" s="5"/>
      <c r="WNA3" s="5"/>
      <c r="WNB3" s="5"/>
      <c r="WNC3" s="5"/>
      <c r="WND3" s="5"/>
      <c r="WNE3" s="5"/>
      <c r="WNF3" s="5"/>
      <c r="WNG3" s="5"/>
      <c r="WNH3" s="5"/>
      <c r="WNI3" s="5"/>
      <c r="WNJ3" s="5"/>
      <c r="WNK3" s="5"/>
      <c r="WNL3" s="5"/>
      <c r="WNM3" s="5"/>
      <c r="WNN3" s="5"/>
      <c r="WNO3" s="5"/>
      <c r="WNP3" s="5"/>
      <c r="WNQ3" s="5"/>
      <c r="WNR3" s="5"/>
      <c r="WNS3" s="5"/>
      <c r="WNT3" s="5"/>
      <c r="WNU3" s="5"/>
      <c r="WNV3" s="5"/>
      <c r="WNW3" s="5"/>
      <c r="WNX3" s="5"/>
      <c r="WNY3" s="5"/>
      <c r="WNZ3" s="5"/>
      <c r="WOA3" s="5"/>
      <c r="WOB3" s="5"/>
      <c r="WOC3" s="5"/>
      <c r="WOD3" s="5"/>
      <c r="WOE3" s="5"/>
      <c r="WOF3" s="5"/>
      <c r="WOG3" s="5"/>
      <c r="WOH3" s="5"/>
      <c r="WOI3" s="5"/>
      <c r="WOJ3" s="5"/>
      <c r="WOK3" s="5"/>
      <c r="WOL3" s="5"/>
      <c r="WOM3" s="5"/>
      <c r="WON3" s="5"/>
      <c r="WOO3" s="5"/>
      <c r="WOP3" s="5"/>
      <c r="WOQ3" s="5"/>
      <c r="WOR3" s="5"/>
      <c r="WOS3" s="5"/>
      <c r="WOT3" s="5"/>
      <c r="WOU3" s="5"/>
      <c r="WOV3" s="5"/>
      <c r="WOW3" s="5"/>
      <c r="WOX3" s="5"/>
      <c r="WOY3" s="5"/>
      <c r="WOZ3" s="5"/>
      <c r="WPA3" s="5"/>
      <c r="WPB3" s="5"/>
      <c r="WPC3" s="5"/>
      <c r="WPD3" s="5"/>
      <c r="WPE3" s="5"/>
      <c r="WPF3" s="5"/>
      <c r="WPG3" s="5"/>
      <c r="WPH3" s="5"/>
      <c r="WPI3" s="5"/>
      <c r="WPJ3" s="5"/>
      <c r="WPK3" s="5"/>
      <c r="WPL3" s="5"/>
      <c r="WPM3" s="5"/>
      <c r="WPN3" s="5"/>
      <c r="WPO3" s="5"/>
      <c r="WPP3" s="5"/>
      <c r="WPQ3" s="5"/>
      <c r="WPR3" s="5"/>
      <c r="WPS3" s="5"/>
      <c r="WPT3" s="5"/>
      <c r="WPU3" s="5"/>
      <c r="WPV3" s="5"/>
      <c r="WPW3" s="5"/>
      <c r="WPX3" s="5"/>
      <c r="WPY3" s="5"/>
      <c r="WPZ3" s="5"/>
      <c r="WQA3" s="5"/>
      <c r="WQB3" s="5"/>
      <c r="WQC3" s="5"/>
      <c r="WQD3" s="5"/>
      <c r="WQE3" s="5"/>
      <c r="WQF3" s="5"/>
      <c r="WQG3" s="5"/>
      <c r="WQH3" s="5"/>
      <c r="WQI3" s="5"/>
      <c r="WQJ3" s="5"/>
      <c r="WQK3" s="5"/>
      <c r="WQL3" s="5"/>
      <c r="WQM3" s="5"/>
      <c r="WQN3" s="5"/>
      <c r="WQO3" s="5"/>
      <c r="WQP3" s="5"/>
      <c r="WQQ3" s="5"/>
      <c r="WQR3" s="5"/>
      <c r="WQS3" s="5"/>
      <c r="WQT3" s="5"/>
      <c r="WQU3" s="5"/>
      <c r="WQV3" s="5"/>
      <c r="WQW3" s="5"/>
      <c r="WQX3" s="5"/>
      <c r="WQY3" s="5"/>
      <c r="WQZ3" s="5"/>
      <c r="WRA3" s="5"/>
      <c r="WRB3" s="5"/>
      <c r="WRC3" s="5"/>
      <c r="WRD3" s="5"/>
      <c r="WRE3" s="5"/>
      <c r="WRF3" s="5"/>
      <c r="WRG3" s="5"/>
      <c r="WRH3" s="5"/>
      <c r="WRI3" s="5"/>
      <c r="WRJ3" s="5"/>
      <c r="WRK3" s="5"/>
      <c r="WRL3" s="5"/>
      <c r="WRM3" s="5"/>
      <c r="WRN3" s="5"/>
      <c r="WRO3" s="5"/>
      <c r="WRP3" s="5"/>
      <c r="WRQ3" s="5"/>
      <c r="WRR3" s="5"/>
      <c r="WRS3" s="5"/>
      <c r="WRT3" s="5"/>
      <c r="WRU3" s="5"/>
      <c r="WRV3" s="5"/>
      <c r="WRW3" s="5"/>
      <c r="WRX3" s="5"/>
      <c r="WRY3" s="5"/>
      <c r="WRZ3" s="5"/>
      <c r="WSA3" s="5"/>
      <c r="WSB3" s="5"/>
      <c r="WSC3" s="5"/>
      <c r="WSD3" s="5"/>
      <c r="WSE3" s="5"/>
      <c r="WSF3" s="5"/>
      <c r="WSG3" s="5"/>
      <c r="WSH3" s="5"/>
      <c r="WSI3" s="5"/>
      <c r="WSJ3" s="5"/>
      <c r="WSK3" s="5"/>
      <c r="WSL3" s="5"/>
      <c r="WSM3" s="5"/>
      <c r="WSN3" s="5"/>
      <c r="WSO3" s="5"/>
      <c r="WSP3" s="5"/>
      <c r="WSQ3" s="5"/>
      <c r="WSR3" s="5"/>
      <c r="WSS3" s="5"/>
      <c r="WST3" s="5"/>
      <c r="WSU3" s="5"/>
      <c r="WSV3" s="5"/>
      <c r="WSW3" s="5"/>
      <c r="WSX3" s="5"/>
      <c r="WSY3" s="5"/>
      <c r="WSZ3" s="5"/>
      <c r="WTA3" s="5"/>
      <c r="WTB3" s="5"/>
      <c r="WTC3" s="5"/>
      <c r="WTD3" s="5"/>
      <c r="WTE3" s="5"/>
      <c r="WTF3" s="5"/>
      <c r="WTG3" s="5"/>
      <c r="WTH3" s="5"/>
      <c r="WTI3" s="5"/>
      <c r="WTJ3" s="5"/>
      <c r="WTK3" s="5"/>
      <c r="WTL3" s="5"/>
      <c r="WTM3" s="5"/>
      <c r="WTN3" s="5"/>
      <c r="WTO3" s="5"/>
      <c r="WTP3" s="5"/>
      <c r="WTQ3" s="5"/>
      <c r="WTR3" s="5"/>
      <c r="WTS3" s="5"/>
      <c r="WTT3" s="5"/>
      <c r="WTU3" s="5"/>
      <c r="WTV3" s="5"/>
      <c r="WTW3" s="5"/>
      <c r="WTX3" s="5"/>
      <c r="WTY3" s="5"/>
      <c r="WTZ3" s="5"/>
      <c r="WUA3" s="5"/>
      <c r="WUB3" s="5"/>
      <c r="WUC3" s="5"/>
      <c r="WUD3" s="5"/>
      <c r="WUE3" s="5"/>
      <c r="WUF3" s="5"/>
      <c r="WUG3" s="5"/>
      <c r="WUH3" s="5"/>
      <c r="WUI3" s="5"/>
      <c r="WUJ3" s="5"/>
      <c r="WUK3" s="5"/>
      <c r="WUL3" s="5"/>
      <c r="WUM3" s="5"/>
      <c r="WUN3" s="5"/>
      <c r="WUO3" s="5"/>
      <c r="WUP3" s="5"/>
      <c r="WUQ3" s="5"/>
      <c r="WUR3" s="5"/>
      <c r="WUS3" s="5"/>
      <c r="WUT3" s="5"/>
      <c r="WUU3" s="5"/>
      <c r="WUV3" s="5"/>
      <c r="WUW3" s="5"/>
      <c r="WUX3" s="5"/>
      <c r="WUY3" s="5"/>
      <c r="WUZ3" s="5"/>
      <c r="WVA3" s="5"/>
      <c r="WVB3" s="5"/>
      <c r="WVC3" s="5"/>
      <c r="WVD3" s="5"/>
      <c r="WVE3" s="5"/>
      <c r="WVF3" s="5"/>
      <c r="WVG3" s="5"/>
      <c r="WVH3" s="5"/>
      <c r="WVI3" s="5"/>
      <c r="WVJ3" s="5"/>
      <c r="WVK3" s="5"/>
      <c r="WVL3" s="5"/>
      <c r="WVM3" s="5"/>
      <c r="WVN3" s="5"/>
      <c r="WVO3" s="5"/>
      <c r="WVP3" s="5"/>
      <c r="WVQ3" s="5"/>
      <c r="WVR3" s="5"/>
      <c r="WVS3" s="5"/>
      <c r="WVT3" s="5"/>
      <c r="WVU3" s="5"/>
      <c r="WVV3" s="5"/>
      <c r="WVW3" s="5"/>
      <c r="WVX3" s="5"/>
      <c r="WVY3" s="5"/>
      <c r="WVZ3" s="5"/>
      <c r="WWA3" s="5"/>
      <c r="WWB3" s="5"/>
      <c r="WWC3" s="5"/>
      <c r="WWD3" s="5"/>
      <c r="WWE3" s="5"/>
      <c r="WWF3" s="5"/>
      <c r="WWG3" s="5"/>
      <c r="WWH3" s="5"/>
      <c r="WWI3" s="5"/>
      <c r="WWJ3" s="5"/>
      <c r="WWK3" s="5"/>
      <c r="WWL3" s="5"/>
      <c r="WWM3" s="5"/>
      <c r="WWN3" s="5"/>
      <c r="WWO3" s="5"/>
      <c r="WWP3" s="5"/>
      <c r="WWQ3" s="5"/>
      <c r="WWR3" s="5"/>
      <c r="WWS3" s="5"/>
      <c r="WWT3" s="5"/>
      <c r="WWU3" s="5"/>
      <c r="WWV3" s="5"/>
      <c r="WWW3" s="5"/>
      <c r="WWX3" s="5"/>
      <c r="WWY3" s="5"/>
      <c r="WWZ3" s="5"/>
      <c r="WXA3" s="5"/>
      <c r="WXB3" s="5"/>
      <c r="WXC3" s="5"/>
      <c r="WXD3" s="5"/>
      <c r="WXE3" s="5"/>
      <c r="WXF3" s="5"/>
      <c r="WXG3" s="5"/>
      <c r="WXH3" s="5"/>
      <c r="WXI3" s="5"/>
      <c r="WXJ3" s="5"/>
      <c r="WXK3" s="5"/>
      <c r="WXL3" s="5"/>
      <c r="WXM3" s="5"/>
      <c r="WXN3" s="5"/>
      <c r="WXO3" s="5"/>
      <c r="WXP3" s="5"/>
      <c r="WXQ3" s="5"/>
      <c r="WXR3" s="5"/>
      <c r="WXS3" s="5"/>
      <c r="WXT3" s="5"/>
      <c r="WXU3" s="5"/>
      <c r="WXV3" s="5"/>
      <c r="WXW3" s="5"/>
      <c r="WXX3" s="5"/>
      <c r="WXY3" s="5"/>
      <c r="WXZ3" s="5"/>
      <c r="WYA3" s="5"/>
      <c r="WYB3" s="5"/>
      <c r="WYC3" s="5"/>
      <c r="WYD3" s="5"/>
      <c r="WYE3" s="5"/>
      <c r="WYF3" s="5"/>
      <c r="WYG3" s="5"/>
      <c r="WYH3" s="5"/>
      <c r="WYI3" s="5"/>
      <c r="WYJ3" s="5"/>
      <c r="WYK3" s="5"/>
      <c r="WYL3" s="5"/>
      <c r="WYM3" s="5"/>
      <c r="WYN3" s="5"/>
      <c r="WYO3" s="5"/>
      <c r="WYP3" s="5"/>
      <c r="WYQ3" s="5"/>
      <c r="WYR3" s="5"/>
      <c r="WYS3" s="5"/>
      <c r="WYT3" s="5"/>
      <c r="WYU3" s="5"/>
      <c r="WYV3" s="5"/>
      <c r="WYW3" s="5"/>
      <c r="WYX3" s="5"/>
      <c r="WYY3" s="5"/>
      <c r="WYZ3" s="5"/>
      <c r="WZA3" s="5"/>
      <c r="WZB3" s="5"/>
      <c r="WZC3" s="5"/>
      <c r="WZD3" s="5"/>
      <c r="WZE3" s="5"/>
      <c r="WZF3" s="5"/>
      <c r="WZG3" s="5"/>
      <c r="WZH3" s="5"/>
      <c r="WZI3" s="5"/>
      <c r="WZJ3" s="5"/>
      <c r="WZK3" s="5"/>
      <c r="WZL3" s="5"/>
      <c r="WZM3" s="5"/>
      <c r="WZN3" s="5"/>
      <c r="WZO3" s="5"/>
      <c r="WZP3" s="5"/>
      <c r="WZQ3" s="5"/>
      <c r="WZR3" s="5"/>
      <c r="WZS3" s="5"/>
      <c r="WZT3" s="5"/>
      <c r="WZU3" s="5"/>
      <c r="WZV3" s="5"/>
      <c r="WZW3" s="5"/>
      <c r="WZX3" s="5"/>
      <c r="WZY3" s="5"/>
      <c r="WZZ3" s="5"/>
      <c r="XAA3" s="5"/>
      <c r="XAB3" s="5"/>
      <c r="XAC3" s="5"/>
      <c r="XAD3" s="5"/>
      <c r="XAE3" s="5"/>
      <c r="XAF3" s="5"/>
      <c r="XAG3" s="5"/>
      <c r="XAH3" s="5"/>
      <c r="XAI3" s="5"/>
      <c r="XAJ3" s="5"/>
      <c r="XAK3" s="5"/>
      <c r="XAL3" s="5"/>
      <c r="XAM3" s="5"/>
      <c r="XAN3" s="5"/>
      <c r="XAO3" s="5"/>
      <c r="XAP3" s="5"/>
      <c r="XAQ3" s="5"/>
      <c r="XAR3" s="5"/>
      <c r="XAS3" s="5"/>
      <c r="XAT3" s="5"/>
      <c r="XAU3" s="5"/>
      <c r="XAV3" s="5"/>
      <c r="XAW3" s="5"/>
      <c r="XAX3" s="5"/>
      <c r="XAY3" s="5"/>
      <c r="XAZ3" s="5"/>
      <c r="XBA3" s="5"/>
      <c r="XBB3" s="5"/>
      <c r="XBC3" s="5"/>
      <c r="XBD3" s="5"/>
      <c r="XBE3" s="5"/>
      <c r="XBF3" s="5"/>
      <c r="XBG3" s="5"/>
      <c r="XBH3" s="5"/>
      <c r="XBI3" s="5"/>
      <c r="XBJ3" s="5"/>
      <c r="XBK3" s="5"/>
      <c r="XBL3" s="5"/>
      <c r="XBM3" s="5"/>
      <c r="XBN3" s="5"/>
      <c r="XBO3" s="5"/>
      <c r="XBP3" s="5"/>
      <c r="XBQ3" s="5"/>
      <c r="XBR3" s="5"/>
      <c r="XBS3" s="5"/>
      <c r="XBT3" s="5"/>
      <c r="XBU3" s="5"/>
      <c r="XBV3" s="5"/>
      <c r="XBW3" s="5"/>
      <c r="XBX3" s="5"/>
      <c r="XBY3" s="5"/>
      <c r="XBZ3" s="5"/>
      <c r="XCA3" s="5"/>
      <c r="XCB3" s="5"/>
      <c r="XCC3" s="5"/>
      <c r="XCD3" s="5"/>
      <c r="XCE3" s="5"/>
      <c r="XCF3" s="5"/>
      <c r="XCG3" s="5"/>
      <c r="XCH3" s="5"/>
      <c r="XCI3" s="5"/>
      <c r="XCJ3" s="5"/>
      <c r="XCK3" s="5"/>
      <c r="XCL3" s="5"/>
      <c r="XCM3" s="5"/>
      <c r="XCN3" s="5"/>
      <c r="XCO3" s="5"/>
      <c r="XCP3" s="5"/>
      <c r="XCQ3" s="5"/>
      <c r="XCR3" s="5"/>
      <c r="XCS3" s="5"/>
      <c r="XCT3" s="5"/>
      <c r="XCU3" s="5"/>
      <c r="XCV3" s="5"/>
      <c r="XCW3" s="5"/>
      <c r="XCX3" s="5"/>
      <c r="XCY3" s="5"/>
      <c r="XCZ3" s="5"/>
      <c r="XDA3" s="5"/>
      <c r="XDB3" s="5"/>
      <c r="XDC3" s="5"/>
      <c r="XDD3" s="5"/>
      <c r="XDE3" s="5"/>
      <c r="XDF3" s="5"/>
      <c r="XDG3" s="5"/>
      <c r="XDH3" s="5"/>
      <c r="XDI3" s="5"/>
      <c r="XDJ3" s="5"/>
      <c r="XDK3" s="5"/>
      <c r="XDL3" s="5"/>
      <c r="XDM3" s="5"/>
      <c r="XDN3" s="5"/>
      <c r="XDO3" s="5"/>
      <c r="XDP3" s="5"/>
      <c r="XDQ3" s="5"/>
      <c r="XDR3" s="5"/>
      <c r="XDS3" s="5"/>
      <c r="XDT3" s="5"/>
      <c r="XDU3" s="5"/>
      <c r="XDV3" s="5"/>
      <c r="XDW3" s="5"/>
      <c r="XDX3" s="5"/>
      <c r="XDY3" s="5"/>
      <c r="XDZ3" s="5"/>
      <c r="XEA3" s="5"/>
      <c r="XEB3" s="5"/>
      <c r="XEC3" s="5"/>
      <c r="XED3" s="5"/>
      <c r="XEE3" s="5"/>
      <c r="XEF3" s="5"/>
      <c r="XEG3" s="5"/>
      <c r="XEH3" s="5"/>
      <c r="XEI3" s="5"/>
      <c r="XEJ3" s="5"/>
      <c r="XEK3" s="5"/>
      <c r="XEL3" s="5"/>
      <c r="XEM3" s="5"/>
      <c r="XEN3" s="5"/>
      <c r="XEO3" s="5"/>
      <c r="XEP3" s="5"/>
      <c r="XEQ3" s="5"/>
      <c r="XER3" s="5"/>
      <c r="XES3" s="5"/>
      <c r="XET3" s="5"/>
      <c r="XEU3" s="5"/>
      <c r="XEV3" s="5"/>
      <c r="XEW3" s="5"/>
      <c r="XEX3" s="5"/>
      <c r="XEY3" s="5"/>
      <c r="XEZ3" s="5"/>
      <c r="XFA3" s="5"/>
      <c r="XFB3" s="5"/>
      <c r="XFC3" s="5"/>
      <c r="XFD3" s="5"/>
    </row>
    <row r="4" spans="1:16384" x14ac:dyDescent="0.45">
      <c r="A4" t="s">
        <v>55</v>
      </c>
      <c r="B4" t="s">
        <v>55</v>
      </c>
    </row>
    <row r="5" spans="1:16384" x14ac:dyDescent="0.45">
      <c r="A5" t="s">
        <v>67</v>
      </c>
      <c r="B5" t="s">
        <v>33</v>
      </c>
      <c r="C5" t="s">
        <v>44</v>
      </c>
    </row>
    <row r="6" spans="1:16384" x14ac:dyDescent="0.45">
      <c r="A6" t="s">
        <v>68</v>
      </c>
      <c r="B6" t="s">
        <v>37</v>
      </c>
      <c r="C6" t="s">
        <v>45</v>
      </c>
    </row>
    <row r="7" spans="1:16384" x14ac:dyDescent="0.45">
      <c r="A7" t="s">
        <v>69</v>
      </c>
      <c r="B7" t="s">
        <v>123</v>
      </c>
      <c r="C7" t="s">
        <v>124</v>
      </c>
    </row>
    <row r="8" spans="1:16384" x14ac:dyDescent="0.45">
      <c r="A8" t="s">
        <v>70</v>
      </c>
      <c r="B8" t="s">
        <v>38</v>
      </c>
      <c r="C8" t="s">
        <v>46</v>
      </c>
    </row>
    <row r="9" spans="1:16384" x14ac:dyDescent="0.45">
      <c r="A9" t="s">
        <v>71</v>
      </c>
      <c r="B9" t="s">
        <v>39</v>
      </c>
      <c r="C9" t="s">
        <v>47</v>
      </c>
    </row>
    <row r="10" spans="1:16384" x14ac:dyDescent="0.45">
      <c r="A10" t="s">
        <v>72</v>
      </c>
      <c r="B10" t="s">
        <v>36</v>
      </c>
      <c r="C10" t="s">
        <v>48</v>
      </c>
    </row>
    <row r="11" spans="1:16384" x14ac:dyDescent="0.45">
      <c r="A11" t="s">
        <v>73</v>
      </c>
      <c r="B11" t="s">
        <v>34</v>
      </c>
      <c r="C11" t="s">
        <v>49</v>
      </c>
    </row>
    <row r="12" spans="1:16384" x14ac:dyDescent="0.45">
      <c r="A12" t="s">
        <v>74</v>
      </c>
      <c r="B12" t="s">
        <v>35</v>
      </c>
      <c r="C12" t="s">
        <v>50</v>
      </c>
    </row>
    <row r="13" spans="1:16384" x14ac:dyDescent="0.45">
      <c r="A13" t="s">
        <v>75</v>
      </c>
      <c r="B13" t="s">
        <v>140</v>
      </c>
      <c r="C13" t="s">
        <v>57</v>
      </c>
    </row>
    <row r="14" spans="1:16384" x14ac:dyDescent="0.45">
      <c r="A14" t="s">
        <v>76</v>
      </c>
      <c r="B14" t="s">
        <v>81</v>
      </c>
      <c r="C14" t="s">
        <v>41</v>
      </c>
    </row>
    <row r="15" spans="1:16384" x14ac:dyDescent="0.45">
      <c r="A15" t="s">
        <v>77</v>
      </c>
      <c r="B15" t="s">
        <v>80</v>
      </c>
      <c r="C15" t="s">
        <v>40</v>
      </c>
    </row>
    <row r="16" spans="1:16384" x14ac:dyDescent="0.45">
      <c r="A16" t="s">
        <v>347</v>
      </c>
      <c r="B16" t="s">
        <v>85</v>
      </c>
      <c r="C16" t="s">
        <v>42</v>
      </c>
    </row>
    <row r="17" spans="1:3" x14ac:dyDescent="0.45">
      <c r="A17" t="s">
        <v>78</v>
      </c>
      <c r="B17" t="s">
        <v>82</v>
      </c>
      <c r="C17" t="s">
        <v>43</v>
      </c>
    </row>
    <row r="18" spans="1:3" x14ac:dyDescent="0.45">
      <c r="A18" t="s">
        <v>79</v>
      </c>
      <c r="B18" t="s">
        <v>83</v>
      </c>
      <c r="C18" t="s">
        <v>64</v>
      </c>
    </row>
    <row r="19" spans="1:3" x14ac:dyDescent="0.45">
      <c r="A19" t="s">
        <v>143</v>
      </c>
      <c r="B19" t="s">
        <v>84</v>
      </c>
      <c r="C19" t="s">
        <v>65</v>
      </c>
    </row>
    <row r="20" spans="1:3" x14ac:dyDescent="0.45">
      <c r="A20" s="5" t="s">
        <v>120</v>
      </c>
      <c r="B20" t="s">
        <v>122</v>
      </c>
      <c r="C20" t="s">
        <v>121</v>
      </c>
    </row>
    <row r="21" spans="1:3" x14ac:dyDescent="0.45">
      <c r="A21" s="5" t="s">
        <v>127</v>
      </c>
      <c r="B21" t="s">
        <v>126</v>
      </c>
      <c r="C21" t="s">
        <v>124</v>
      </c>
    </row>
    <row r="22" spans="1:3" x14ac:dyDescent="0.45">
      <c r="A22" s="4"/>
    </row>
    <row r="23" spans="1:3" x14ac:dyDescent="0.45">
      <c r="A23" s="4"/>
    </row>
    <row r="24" spans="1:3" x14ac:dyDescent="0.45">
      <c r="A24" s="4"/>
    </row>
    <row r="25" spans="1:3" x14ac:dyDescent="0.45">
      <c r="A25" s="4"/>
    </row>
    <row r="26" spans="1:3" x14ac:dyDescent="0.45">
      <c r="A26" s="4"/>
    </row>
  </sheetData>
  <pageMargins left="0.7" right="0.7" top="0.78740157499999996" bottom="0.78740157499999996" header="0.3" footer="0.3"/>
  <pageSetup paperSize="9" orientation="portrait" r:id="rId1"/>
  <ignoredErrors>
    <ignoredError sqref="A4:A15 A2 A17:A18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0000"/>
  </sheetPr>
  <dimension ref="A1:D202"/>
  <sheetViews>
    <sheetView workbookViewId="0">
      <selection activeCell="P205" sqref="P205"/>
    </sheetView>
  </sheetViews>
  <sheetFormatPr baseColWidth="10" defaultRowHeight="14.25" x14ac:dyDescent="0.45"/>
  <cols>
    <col min="1" max="1" width="5.1328125" bestFit="1" customWidth="1"/>
    <col min="2" max="2" width="22.3984375" customWidth="1"/>
    <col min="3" max="3" width="9.3984375" bestFit="1" customWidth="1"/>
    <col min="4" max="4" width="11.59765625" bestFit="1" customWidth="1"/>
  </cols>
  <sheetData>
    <row r="1" spans="1:4" x14ac:dyDescent="0.45">
      <c r="A1" t="s">
        <v>0</v>
      </c>
      <c r="B1" t="s">
        <v>1</v>
      </c>
      <c r="C1" t="s">
        <v>4</v>
      </c>
      <c r="D1" s="1" t="s">
        <v>53</v>
      </c>
    </row>
    <row r="2" spans="1:4" x14ac:dyDescent="0.45">
      <c r="A2">
        <v>0</v>
      </c>
      <c r="B2" t="s">
        <v>14</v>
      </c>
      <c r="C2">
        <v>0.84199999999999997</v>
      </c>
      <c r="D2" t="b">
        <f ca="1">COUNTIF(dict_zul_Var_Meth[ID_Variables], table_Variables[[#This Row],[ID]]) &gt; 0</f>
        <v>1</v>
      </c>
    </row>
    <row r="3" spans="1:4" x14ac:dyDescent="0.45">
      <c r="A3">
        <v>1</v>
      </c>
      <c r="B3" t="s">
        <v>5</v>
      </c>
      <c r="C3">
        <v>0.32900000000000001</v>
      </c>
      <c r="D3" t="b">
        <f ca="1">COUNTIF(dict_zul_Var_Meth[ID_Variables], table_Variables[[#This Row],[ID]]) &gt; 0</f>
        <v>1</v>
      </c>
    </row>
    <row r="4" spans="1:4" x14ac:dyDescent="0.45">
      <c r="A4">
        <v>2</v>
      </c>
      <c r="B4" t="s">
        <v>6</v>
      </c>
      <c r="C4">
        <v>0.75600000000000001</v>
      </c>
      <c r="D4" t="b">
        <f ca="1">COUNTIF(dict_zul_Var_Meth[ID_Variables], table_Variables[[#This Row],[ID]]) &gt; 0</f>
        <v>1</v>
      </c>
    </row>
    <row r="5" spans="1:4" x14ac:dyDescent="0.45">
      <c r="A5">
        <v>3</v>
      </c>
      <c r="B5" t="s">
        <v>7</v>
      </c>
      <c r="C5">
        <v>0.107</v>
      </c>
      <c r="D5" t="b">
        <f ca="1">COUNTIF(dict_zul_Var_Meth[ID_Variables], table_Variables[[#This Row],[ID]]) &gt; 0</f>
        <v>1</v>
      </c>
    </row>
    <row r="6" spans="1:4" x14ac:dyDescent="0.45">
      <c r="A6">
        <v>4</v>
      </c>
      <c r="B6" t="s">
        <v>8</v>
      </c>
      <c r="C6">
        <v>0.22600000000000001</v>
      </c>
      <c r="D6" t="b">
        <f ca="1">COUNTIF(dict_zul_Var_Meth[ID_Variables], table_Variables[[#This Row],[ID]]) &gt; 0</f>
        <v>1</v>
      </c>
    </row>
    <row r="7" spans="1:4" x14ac:dyDescent="0.45">
      <c r="A7">
        <v>5</v>
      </c>
      <c r="B7" t="s">
        <v>145</v>
      </c>
      <c r="C7">
        <v>0.48599999999999999</v>
      </c>
      <c r="D7" t="b">
        <f ca="1">COUNTIF(dict_zul_Var_Meth[ID_Variables], table_Variables[[#This Row],[ID]]) &gt; 0</f>
        <v>1</v>
      </c>
    </row>
    <row r="8" spans="1:4" x14ac:dyDescent="0.45">
      <c r="A8">
        <v>6</v>
      </c>
      <c r="B8" t="s">
        <v>146</v>
      </c>
      <c r="C8">
        <v>0.33300000000000002</v>
      </c>
      <c r="D8" t="b">
        <f ca="1">COUNTIF(dict_zul_Var_Meth[ID_Variables], table_Variables[[#This Row],[ID]]) &gt; 0</f>
        <v>1</v>
      </c>
    </row>
    <row r="9" spans="1:4" x14ac:dyDescent="0.45">
      <c r="A9">
        <v>7</v>
      </c>
      <c r="B9" t="s">
        <v>147</v>
      </c>
      <c r="C9">
        <v>0.435</v>
      </c>
      <c r="D9" t="b">
        <f ca="1">COUNTIF(dict_zul_Var_Meth[ID_Variables], table_Variables[[#This Row],[ID]]) &gt; 0</f>
        <v>1</v>
      </c>
    </row>
    <row r="10" spans="1:4" hidden="1" x14ac:dyDescent="0.45">
      <c r="A10">
        <v>8</v>
      </c>
      <c r="B10" t="s">
        <v>148</v>
      </c>
      <c r="C10">
        <v>0.443</v>
      </c>
      <c r="D10" t="b">
        <f ca="1">COUNTIF(dict_zul_Var_Meth[ID_Variables], table_Variables[[#This Row],[ID]]) &gt; 0</f>
        <v>1</v>
      </c>
    </row>
    <row r="11" spans="1:4" hidden="1" x14ac:dyDescent="0.45">
      <c r="A11">
        <v>9</v>
      </c>
      <c r="B11" t="s">
        <v>149</v>
      </c>
      <c r="C11">
        <v>0.76300000000000001</v>
      </c>
      <c r="D11" t="b">
        <f ca="1">COUNTIF(dict_zul_Var_Meth[ID_Variables], table_Variables[[#This Row],[ID]]) &gt; 0</f>
        <v>1</v>
      </c>
    </row>
    <row r="12" spans="1:4" hidden="1" x14ac:dyDescent="0.45">
      <c r="A12">
        <v>10</v>
      </c>
      <c r="B12" t="s">
        <v>150</v>
      </c>
      <c r="C12">
        <v>0.17599999999999999</v>
      </c>
      <c r="D12" t="b">
        <f ca="1">COUNTIF(dict_zul_Var_Meth[ID_Variables], table_Variables[[#This Row],[ID]]) &gt; 0</f>
        <v>1</v>
      </c>
    </row>
    <row r="13" spans="1:4" hidden="1" x14ac:dyDescent="0.45">
      <c r="A13">
        <v>11</v>
      </c>
      <c r="B13" t="s">
        <v>151</v>
      </c>
      <c r="C13">
        <v>0.68400000000000005</v>
      </c>
      <c r="D13" t="b">
        <f ca="1">COUNTIF(dict_zul_Var_Meth[ID_Variables], table_Variables[[#This Row],[ID]]) &gt; 0</f>
        <v>1</v>
      </c>
    </row>
    <row r="14" spans="1:4" hidden="1" x14ac:dyDescent="0.45">
      <c r="A14">
        <v>12</v>
      </c>
      <c r="B14" t="s">
        <v>152</v>
      </c>
      <c r="C14">
        <v>0.158</v>
      </c>
      <c r="D14" t="b">
        <f ca="1">COUNTIF(dict_zul_Var_Meth[ID_Variables], table_Variables[[#This Row],[ID]]) &gt; 0</f>
        <v>1</v>
      </c>
    </row>
    <row r="15" spans="1:4" hidden="1" x14ac:dyDescent="0.45">
      <c r="A15">
        <v>13</v>
      </c>
      <c r="B15" t="s">
        <v>153</v>
      </c>
      <c r="C15">
        <v>0.19400000000000001</v>
      </c>
      <c r="D15" t="b">
        <f ca="1">COUNTIF(dict_zul_Var_Meth[ID_Variables], table_Variables[[#This Row],[ID]]) &gt; 0</f>
        <v>1</v>
      </c>
    </row>
    <row r="16" spans="1:4" hidden="1" x14ac:dyDescent="0.45">
      <c r="A16">
        <v>14</v>
      </c>
      <c r="B16" t="s">
        <v>154</v>
      </c>
      <c r="C16">
        <v>4.1000000000000002E-2</v>
      </c>
      <c r="D16" t="b">
        <f ca="1">COUNTIF(dict_zul_Var_Meth[ID_Variables], table_Variables[[#This Row],[ID]]) &gt; 0</f>
        <v>1</v>
      </c>
    </row>
    <row r="17" spans="1:4" hidden="1" x14ac:dyDescent="0.45">
      <c r="A17">
        <v>15</v>
      </c>
      <c r="B17" t="s">
        <v>155</v>
      </c>
      <c r="C17">
        <v>0.71</v>
      </c>
      <c r="D17" t="b">
        <f ca="1">COUNTIF(dict_zul_Var_Meth[ID_Variables], table_Variables[[#This Row],[ID]]) &gt; 0</f>
        <v>1</v>
      </c>
    </row>
    <row r="18" spans="1:4" hidden="1" x14ac:dyDescent="0.45">
      <c r="A18">
        <v>16</v>
      </c>
      <c r="B18" t="s">
        <v>156</v>
      </c>
      <c r="C18">
        <v>0.36799999999999999</v>
      </c>
      <c r="D18" t="b">
        <f ca="1">COUNTIF(dict_zul_Var_Meth[ID_Variables], table_Variables[[#This Row],[ID]]) &gt; 0</f>
        <v>1</v>
      </c>
    </row>
    <row r="19" spans="1:4" hidden="1" x14ac:dyDescent="0.45">
      <c r="A19">
        <v>17</v>
      </c>
      <c r="B19" t="s">
        <v>157</v>
      </c>
      <c r="C19">
        <v>0.98</v>
      </c>
      <c r="D19" t="b">
        <f ca="1">COUNTIF(dict_zul_Var_Meth[ID_Variables], table_Variables[[#This Row],[ID]]) &gt; 0</f>
        <v>1</v>
      </c>
    </row>
    <row r="20" spans="1:4" hidden="1" x14ac:dyDescent="0.45">
      <c r="A20">
        <v>18</v>
      </c>
      <c r="B20" t="s">
        <v>158</v>
      </c>
      <c r="C20">
        <v>0.30299999999999999</v>
      </c>
      <c r="D20" t="b">
        <f ca="1">COUNTIF(dict_zul_Var_Meth[ID_Variables], table_Variables[[#This Row],[ID]]) &gt; 0</f>
        <v>1</v>
      </c>
    </row>
    <row r="21" spans="1:4" hidden="1" x14ac:dyDescent="0.45">
      <c r="A21">
        <v>19</v>
      </c>
      <c r="B21" t="s">
        <v>159</v>
      </c>
      <c r="C21">
        <v>0.72399999999999998</v>
      </c>
      <c r="D21" t="b">
        <f ca="1">COUNTIF(dict_zul_Var_Meth[ID_Variables], table_Variables[[#This Row],[ID]]) &gt; 0</f>
        <v>1</v>
      </c>
    </row>
    <row r="22" spans="1:4" hidden="1" x14ac:dyDescent="0.45">
      <c r="A22">
        <v>20</v>
      </c>
      <c r="B22" t="s">
        <v>160</v>
      </c>
      <c r="C22">
        <v>0.13500000000000001</v>
      </c>
      <c r="D22" t="b">
        <f ca="1">COUNTIF(dict_zul_Var_Meth[ID_Variables], table_Variables[[#This Row],[ID]]) &gt; 0</f>
        <v>1</v>
      </c>
    </row>
    <row r="23" spans="1:4" hidden="1" x14ac:dyDescent="0.45">
      <c r="A23">
        <v>21</v>
      </c>
      <c r="B23" t="s">
        <v>161</v>
      </c>
      <c r="C23">
        <v>0.70899999999999996</v>
      </c>
      <c r="D23" t="b">
        <f ca="1">COUNTIF(dict_zul_Var_Meth[ID_Variables], table_Variables[[#This Row],[ID]]) &gt; 0</f>
        <v>1</v>
      </c>
    </row>
    <row r="24" spans="1:4" hidden="1" x14ac:dyDescent="0.45">
      <c r="A24">
        <v>22</v>
      </c>
      <c r="B24" t="s">
        <v>162</v>
      </c>
      <c r="C24">
        <v>0.95299999999999996</v>
      </c>
      <c r="D24" t="b">
        <f ca="1">COUNTIF(dict_zul_Var_Meth[ID_Variables], table_Variables[[#This Row],[ID]]) &gt; 0</f>
        <v>1</v>
      </c>
    </row>
    <row r="25" spans="1:4" hidden="1" x14ac:dyDescent="0.45">
      <c r="A25">
        <v>23</v>
      </c>
      <c r="B25" t="s">
        <v>163</v>
      </c>
      <c r="C25">
        <v>0.64500000000000002</v>
      </c>
      <c r="D25" t="b">
        <f ca="1">COUNTIF(dict_zul_Var_Meth[ID_Variables], table_Variables[[#This Row],[ID]]) &gt; 0</f>
        <v>1</v>
      </c>
    </row>
    <row r="26" spans="1:4" hidden="1" x14ac:dyDescent="0.45">
      <c r="A26">
        <v>24</v>
      </c>
      <c r="B26" t="s">
        <v>164</v>
      </c>
      <c r="C26">
        <v>0.17299999999999999</v>
      </c>
      <c r="D26" t="b">
        <f ca="1">COUNTIF(dict_zul_Var_Meth[ID_Variables], table_Variables[[#This Row],[ID]]) &gt; 0</f>
        <v>1</v>
      </c>
    </row>
    <row r="27" spans="1:4" hidden="1" x14ac:dyDescent="0.45">
      <c r="A27">
        <v>25</v>
      </c>
      <c r="B27" t="s">
        <v>165</v>
      </c>
      <c r="C27">
        <v>0.60299999999999998</v>
      </c>
      <c r="D27" t="b">
        <f ca="1">COUNTIF(dict_zul_Var_Meth[ID_Variables], table_Variables[[#This Row],[ID]]) &gt; 0</f>
        <v>1</v>
      </c>
    </row>
    <row r="28" spans="1:4" hidden="1" x14ac:dyDescent="0.45">
      <c r="A28">
        <v>26</v>
      </c>
      <c r="B28" t="s">
        <v>166</v>
      </c>
      <c r="C28">
        <v>0.84499999999999997</v>
      </c>
      <c r="D28" t="b">
        <f ca="1">COUNTIF(dict_zul_Var_Meth[ID_Variables], table_Variables[[#This Row],[ID]]) &gt; 0</f>
        <v>1</v>
      </c>
    </row>
    <row r="29" spans="1:4" hidden="1" x14ac:dyDescent="0.45">
      <c r="A29">
        <v>27</v>
      </c>
      <c r="B29" t="s">
        <v>167</v>
      </c>
      <c r="C29">
        <v>0.32200000000000001</v>
      </c>
      <c r="D29" t="b">
        <f ca="1">COUNTIF(dict_zul_Var_Meth[ID_Variables], table_Variables[[#This Row],[ID]]) &gt; 0</f>
        <v>1</v>
      </c>
    </row>
    <row r="30" spans="1:4" hidden="1" x14ac:dyDescent="0.45">
      <c r="A30">
        <v>28</v>
      </c>
      <c r="B30" t="s">
        <v>168</v>
      </c>
      <c r="C30">
        <v>0.87</v>
      </c>
      <c r="D30" t="b">
        <f ca="1">COUNTIF(dict_zul_Var_Meth[ID_Variables], table_Variables[[#This Row],[ID]]) &gt; 0</f>
        <v>1</v>
      </c>
    </row>
    <row r="31" spans="1:4" hidden="1" x14ac:dyDescent="0.45">
      <c r="A31">
        <v>29</v>
      </c>
      <c r="B31" t="s">
        <v>169</v>
      </c>
      <c r="C31">
        <v>0.86</v>
      </c>
      <c r="D31" t="b">
        <f ca="1">COUNTIF(dict_zul_Var_Meth[ID_Variables], table_Variables[[#This Row],[ID]]) &gt; 0</f>
        <v>1</v>
      </c>
    </row>
    <row r="32" spans="1:4" hidden="1" x14ac:dyDescent="0.45">
      <c r="A32">
        <v>30</v>
      </c>
      <c r="B32" t="s">
        <v>170</v>
      </c>
      <c r="C32">
        <v>0.66700000000000004</v>
      </c>
      <c r="D32" t="b">
        <f ca="1">COUNTIF(dict_zul_Var_Meth[ID_Variables], table_Variables[[#This Row],[ID]]) &gt; 0</f>
        <v>1</v>
      </c>
    </row>
    <row r="33" spans="1:4" hidden="1" x14ac:dyDescent="0.45">
      <c r="A33">
        <v>31</v>
      </c>
      <c r="B33" t="s">
        <v>171</v>
      </c>
      <c r="C33">
        <v>0.29099999999999998</v>
      </c>
      <c r="D33" t="b">
        <f ca="1">COUNTIF(dict_zul_Var_Meth[ID_Variables], table_Variables[[#This Row],[ID]]) &gt; 0</f>
        <v>1</v>
      </c>
    </row>
    <row r="34" spans="1:4" hidden="1" x14ac:dyDescent="0.45">
      <c r="A34">
        <v>32</v>
      </c>
      <c r="B34" t="s">
        <v>172</v>
      </c>
      <c r="C34">
        <v>0.63400000000000001</v>
      </c>
      <c r="D34" t="b">
        <f ca="1">COUNTIF(dict_zul_Var_Meth[ID_Variables], table_Variables[[#This Row],[ID]]) &gt; 0</f>
        <v>1</v>
      </c>
    </row>
    <row r="35" spans="1:4" hidden="1" x14ac:dyDescent="0.45">
      <c r="A35">
        <v>33</v>
      </c>
      <c r="B35" t="s">
        <v>173</v>
      </c>
      <c r="C35">
        <v>0.23699999999999999</v>
      </c>
      <c r="D35" t="b">
        <f ca="1">COUNTIF(dict_zul_Var_Meth[ID_Variables], table_Variables[[#This Row],[ID]]) &gt; 0</f>
        <v>1</v>
      </c>
    </row>
    <row r="36" spans="1:4" hidden="1" x14ac:dyDescent="0.45">
      <c r="A36">
        <v>34</v>
      </c>
      <c r="B36" t="s">
        <v>174</v>
      </c>
      <c r="C36">
        <v>0.39600000000000002</v>
      </c>
      <c r="D36" t="b">
        <f ca="1">COUNTIF(dict_zul_Var_Meth[ID_Variables], table_Variables[[#This Row],[ID]]) &gt; 0</f>
        <v>1</v>
      </c>
    </row>
    <row r="37" spans="1:4" hidden="1" x14ac:dyDescent="0.45">
      <c r="A37">
        <v>35</v>
      </c>
      <c r="B37" t="s">
        <v>175</v>
      </c>
      <c r="C37">
        <v>0.81899999999999995</v>
      </c>
      <c r="D37" t="b">
        <f ca="1">COUNTIF(dict_zul_Var_Meth[ID_Variables], table_Variables[[#This Row],[ID]]) &gt; 0</f>
        <v>1</v>
      </c>
    </row>
    <row r="38" spans="1:4" hidden="1" x14ac:dyDescent="0.45">
      <c r="A38">
        <v>36</v>
      </c>
      <c r="B38" t="s">
        <v>176</v>
      </c>
      <c r="C38">
        <v>5.2999999999999999E-2</v>
      </c>
      <c r="D38" t="b">
        <f ca="1">COUNTIF(dict_zul_Var_Meth[ID_Variables], table_Variables[[#This Row],[ID]]) &gt; 0</f>
        <v>1</v>
      </c>
    </row>
    <row r="39" spans="1:4" hidden="1" x14ac:dyDescent="0.45">
      <c r="A39">
        <v>37</v>
      </c>
      <c r="B39" t="s">
        <v>177</v>
      </c>
      <c r="C39">
        <v>0.68300000000000005</v>
      </c>
      <c r="D39" t="b">
        <f ca="1">COUNTIF(dict_zul_Var_Meth[ID_Variables], table_Variables[[#This Row],[ID]]) &gt; 0</f>
        <v>1</v>
      </c>
    </row>
    <row r="40" spans="1:4" hidden="1" x14ac:dyDescent="0.45">
      <c r="A40">
        <v>38</v>
      </c>
      <c r="B40" t="s">
        <v>178</v>
      </c>
      <c r="C40">
        <v>0.13200000000000001</v>
      </c>
      <c r="D40" t="b">
        <f ca="1">COUNTIF(dict_zul_Var_Meth[ID_Variables], table_Variables[[#This Row],[ID]]) &gt; 0</f>
        <v>1</v>
      </c>
    </row>
    <row r="41" spans="1:4" hidden="1" x14ac:dyDescent="0.45">
      <c r="A41">
        <v>39</v>
      </c>
      <c r="B41" t="s">
        <v>179</v>
      </c>
      <c r="C41">
        <v>5.0999999999999997E-2</v>
      </c>
      <c r="D41" t="b">
        <f ca="1">COUNTIF(dict_zul_Var_Meth[ID_Variables], table_Variables[[#This Row],[ID]]) &gt; 0</f>
        <v>1</v>
      </c>
    </row>
    <row r="42" spans="1:4" hidden="1" x14ac:dyDescent="0.45">
      <c r="A42">
        <v>40</v>
      </c>
      <c r="B42" t="s">
        <v>180</v>
      </c>
      <c r="C42">
        <v>0.88200000000000001</v>
      </c>
      <c r="D42" t="b">
        <f ca="1">COUNTIF(dict_zul_Var_Meth[ID_Variables], table_Variables[[#This Row],[ID]]) &gt; 0</f>
        <v>1</v>
      </c>
    </row>
    <row r="43" spans="1:4" hidden="1" x14ac:dyDescent="0.45">
      <c r="A43">
        <v>41</v>
      </c>
      <c r="B43" t="s">
        <v>181</v>
      </c>
      <c r="C43">
        <v>0.28899999999999998</v>
      </c>
      <c r="D43" t="b">
        <f ca="1">COUNTIF(dict_zul_Var_Meth[ID_Variables], table_Variables[[#This Row],[ID]]) &gt; 0</f>
        <v>1</v>
      </c>
    </row>
    <row r="44" spans="1:4" hidden="1" x14ac:dyDescent="0.45">
      <c r="A44">
        <v>42</v>
      </c>
      <c r="B44" t="s">
        <v>182</v>
      </c>
      <c r="C44">
        <v>0.214</v>
      </c>
      <c r="D44" t="b">
        <f ca="1">COUNTIF(dict_zul_Var_Meth[ID_Variables], table_Variables[[#This Row],[ID]]) &gt; 0</f>
        <v>1</v>
      </c>
    </row>
    <row r="45" spans="1:4" hidden="1" x14ac:dyDescent="0.45">
      <c r="A45">
        <v>43</v>
      </c>
      <c r="B45" t="s">
        <v>183</v>
      </c>
      <c r="C45">
        <v>4.3999999999999997E-2</v>
      </c>
      <c r="D45" t="b">
        <f ca="1">COUNTIF(dict_zul_Var_Meth[ID_Variables], table_Variables[[#This Row],[ID]]) &gt; 0</f>
        <v>1</v>
      </c>
    </row>
    <row r="46" spans="1:4" hidden="1" x14ac:dyDescent="0.45">
      <c r="A46">
        <v>44</v>
      </c>
      <c r="B46" t="s">
        <v>184</v>
      </c>
      <c r="C46">
        <v>0.28000000000000003</v>
      </c>
      <c r="D46" t="b">
        <f ca="1">COUNTIF(dict_zul_Var_Meth[ID_Variables], table_Variables[[#This Row],[ID]]) &gt; 0</f>
        <v>1</v>
      </c>
    </row>
    <row r="47" spans="1:4" hidden="1" x14ac:dyDescent="0.45">
      <c r="A47">
        <v>45</v>
      </c>
      <c r="B47" t="s">
        <v>185</v>
      </c>
      <c r="C47">
        <v>0.104</v>
      </c>
      <c r="D47" t="b">
        <f ca="1">COUNTIF(dict_zul_Var_Meth[ID_Variables], table_Variables[[#This Row],[ID]]) &gt; 0</f>
        <v>1</v>
      </c>
    </row>
    <row r="48" spans="1:4" hidden="1" x14ac:dyDescent="0.45">
      <c r="A48">
        <v>46</v>
      </c>
      <c r="B48" t="s">
        <v>186</v>
      </c>
      <c r="C48">
        <v>0.19700000000000001</v>
      </c>
      <c r="D48" t="b">
        <f ca="1">COUNTIF(dict_zul_Var_Meth[ID_Variables], table_Variables[[#This Row],[ID]]) &gt; 0</f>
        <v>1</v>
      </c>
    </row>
    <row r="49" spans="1:4" hidden="1" x14ac:dyDescent="0.45">
      <c r="A49">
        <v>47</v>
      </c>
      <c r="B49" t="s">
        <v>187</v>
      </c>
      <c r="C49">
        <v>0.67500000000000004</v>
      </c>
      <c r="D49" t="b">
        <f ca="1">COUNTIF(dict_zul_Var_Meth[ID_Variables], table_Variables[[#This Row],[ID]]) &gt; 0</f>
        <v>1</v>
      </c>
    </row>
    <row r="50" spans="1:4" hidden="1" x14ac:dyDescent="0.45">
      <c r="A50">
        <v>48</v>
      </c>
      <c r="B50" t="s">
        <v>188</v>
      </c>
      <c r="C50">
        <v>4.1000000000000002E-2</v>
      </c>
      <c r="D50" t="b">
        <f ca="1">COUNTIF(dict_zul_Var_Meth[ID_Variables], table_Variables[[#This Row],[ID]]) &gt; 0</f>
        <v>1</v>
      </c>
    </row>
    <row r="51" spans="1:4" hidden="1" x14ac:dyDescent="0.45">
      <c r="A51">
        <v>49</v>
      </c>
      <c r="B51" t="s">
        <v>189</v>
      </c>
      <c r="C51">
        <v>0.92600000000000005</v>
      </c>
      <c r="D51" t="b">
        <f ca="1">COUNTIF(dict_zul_Var_Meth[ID_Variables], table_Variables[[#This Row],[ID]]) &gt; 0</f>
        <v>1</v>
      </c>
    </row>
    <row r="52" spans="1:4" hidden="1" x14ac:dyDescent="0.45">
      <c r="A52">
        <v>50</v>
      </c>
      <c r="B52" t="s">
        <v>190</v>
      </c>
      <c r="C52">
        <v>0.83599999999999997</v>
      </c>
      <c r="D52" t="b">
        <f ca="1">COUNTIF(dict_zul_Var_Meth[ID_Variables], table_Variables[[#This Row],[ID]]) &gt; 0</f>
        <v>1</v>
      </c>
    </row>
    <row r="53" spans="1:4" hidden="1" x14ac:dyDescent="0.45">
      <c r="A53">
        <v>51</v>
      </c>
      <c r="B53" t="s">
        <v>191</v>
      </c>
      <c r="C53">
        <v>0.16600000000000001</v>
      </c>
      <c r="D53" t="b">
        <f ca="1">COUNTIF(dict_zul_Var_Meth[ID_Variables], table_Variables[[#This Row],[ID]]) &gt; 0</f>
        <v>1</v>
      </c>
    </row>
    <row r="54" spans="1:4" hidden="1" x14ac:dyDescent="0.45">
      <c r="A54">
        <v>52</v>
      </c>
      <c r="B54" t="s">
        <v>192</v>
      </c>
      <c r="C54">
        <v>0.59199999999999997</v>
      </c>
      <c r="D54" t="b">
        <f ca="1">COUNTIF(dict_zul_Var_Meth[ID_Variables], table_Variables[[#This Row],[ID]]) &gt; 0</f>
        <v>1</v>
      </c>
    </row>
    <row r="55" spans="1:4" hidden="1" x14ac:dyDescent="0.45">
      <c r="A55">
        <v>53</v>
      </c>
      <c r="B55" t="s">
        <v>193</v>
      </c>
      <c r="C55">
        <v>0.29299999999999998</v>
      </c>
      <c r="D55" t="b">
        <f ca="1">COUNTIF(dict_zul_Var_Meth[ID_Variables], table_Variables[[#This Row],[ID]]) &gt; 0</f>
        <v>1</v>
      </c>
    </row>
    <row r="56" spans="1:4" hidden="1" x14ac:dyDescent="0.45">
      <c r="A56">
        <v>54</v>
      </c>
      <c r="B56" t="s">
        <v>194</v>
      </c>
      <c r="C56">
        <v>0.95799999999999996</v>
      </c>
      <c r="D56" t="b">
        <f ca="1">COUNTIF(dict_zul_Var_Meth[ID_Variables], table_Variables[[#This Row],[ID]]) &gt; 0</f>
        <v>1</v>
      </c>
    </row>
    <row r="57" spans="1:4" hidden="1" x14ac:dyDescent="0.45">
      <c r="A57">
        <v>55</v>
      </c>
      <c r="B57" t="s">
        <v>195</v>
      </c>
      <c r="C57">
        <v>0.27500000000000002</v>
      </c>
      <c r="D57" t="b">
        <f ca="1">COUNTIF(dict_zul_Var_Meth[ID_Variables], table_Variables[[#This Row],[ID]]) &gt; 0</f>
        <v>1</v>
      </c>
    </row>
    <row r="58" spans="1:4" hidden="1" x14ac:dyDescent="0.45">
      <c r="A58">
        <v>56</v>
      </c>
      <c r="B58" t="s">
        <v>196</v>
      </c>
      <c r="C58">
        <v>0.34499999999999997</v>
      </c>
      <c r="D58" t="b">
        <f ca="1">COUNTIF(dict_zul_Var_Meth[ID_Variables], table_Variables[[#This Row],[ID]]) &gt; 0</f>
        <v>1</v>
      </c>
    </row>
    <row r="59" spans="1:4" hidden="1" x14ac:dyDescent="0.45">
      <c r="A59">
        <v>57</v>
      </c>
      <c r="B59" t="s">
        <v>197</v>
      </c>
      <c r="C59">
        <v>0.91600000000000004</v>
      </c>
      <c r="D59" t="b">
        <f ca="1">COUNTIF(dict_zul_Var_Meth[ID_Variables], table_Variables[[#This Row],[ID]]) &gt; 0</f>
        <v>1</v>
      </c>
    </row>
    <row r="60" spans="1:4" hidden="1" x14ac:dyDescent="0.45">
      <c r="A60">
        <v>58</v>
      </c>
      <c r="B60" t="s">
        <v>198</v>
      </c>
      <c r="C60">
        <v>0.11899999999999999</v>
      </c>
      <c r="D60" t="b">
        <f ca="1">COUNTIF(dict_zul_Var_Meth[ID_Variables], table_Variables[[#This Row],[ID]]) &gt; 0</f>
        <v>1</v>
      </c>
    </row>
    <row r="61" spans="1:4" hidden="1" x14ac:dyDescent="0.45">
      <c r="A61">
        <v>59</v>
      </c>
      <c r="B61" t="s">
        <v>199</v>
      </c>
      <c r="C61">
        <v>0.77800000000000002</v>
      </c>
      <c r="D61" t="b">
        <f ca="1">COUNTIF(dict_zul_Var_Meth[ID_Variables], table_Variables[[#This Row],[ID]]) &gt; 0</f>
        <v>1</v>
      </c>
    </row>
    <row r="62" spans="1:4" hidden="1" x14ac:dyDescent="0.45">
      <c r="A62">
        <v>60</v>
      </c>
      <c r="B62" t="s">
        <v>200</v>
      </c>
      <c r="C62">
        <v>0.63600000000000001</v>
      </c>
      <c r="D62" t="b">
        <f ca="1">COUNTIF(dict_zul_Var_Meth[ID_Variables], table_Variables[[#This Row],[ID]]) &gt; 0</f>
        <v>1</v>
      </c>
    </row>
    <row r="63" spans="1:4" hidden="1" x14ac:dyDescent="0.45">
      <c r="A63">
        <v>61</v>
      </c>
      <c r="B63" t="s">
        <v>201</v>
      </c>
      <c r="C63">
        <v>0.97599999999999998</v>
      </c>
      <c r="D63" t="b">
        <f ca="1">COUNTIF(dict_zul_Var_Meth[ID_Variables], table_Variables[[#This Row],[ID]]) &gt; 0</f>
        <v>1</v>
      </c>
    </row>
    <row r="64" spans="1:4" hidden="1" x14ac:dyDescent="0.45">
      <c r="A64">
        <v>62</v>
      </c>
      <c r="B64" t="s">
        <v>202</v>
      </c>
      <c r="C64">
        <v>0.88400000000000001</v>
      </c>
      <c r="D64" t="b">
        <f ca="1">COUNTIF(dict_zul_Var_Meth[ID_Variables], table_Variables[[#This Row],[ID]]) &gt; 0</f>
        <v>1</v>
      </c>
    </row>
    <row r="65" spans="1:4" hidden="1" x14ac:dyDescent="0.45">
      <c r="A65">
        <v>63</v>
      </c>
      <c r="B65" t="s">
        <v>203</v>
      </c>
      <c r="C65">
        <v>0.19700000000000001</v>
      </c>
      <c r="D65" t="b">
        <f ca="1">COUNTIF(dict_zul_Var_Meth[ID_Variables], table_Variables[[#This Row],[ID]]) &gt; 0</f>
        <v>1</v>
      </c>
    </row>
    <row r="66" spans="1:4" hidden="1" x14ac:dyDescent="0.45">
      <c r="A66">
        <v>64</v>
      </c>
      <c r="B66" t="s">
        <v>204</v>
      </c>
      <c r="C66">
        <v>0.75</v>
      </c>
      <c r="D66" t="b">
        <f ca="1">COUNTIF(dict_zul_Var_Meth[ID_Variables], table_Variables[[#This Row],[ID]]) &gt; 0</f>
        <v>1</v>
      </c>
    </row>
    <row r="67" spans="1:4" hidden="1" x14ac:dyDescent="0.45">
      <c r="A67">
        <v>65</v>
      </c>
      <c r="B67" t="s">
        <v>205</v>
      </c>
      <c r="C67">
        <v>0.89500000000000002</v>
      </c>
      <c r="D67" t="b">
        <f ca="1">COUNTIF(dict_zul_Var_Meth[ID_Variables], table_Variables[[#This Row],[ID]]) &gt; 0</f>
        <v>1</v>
      </c>
    </row>
    <row r="68" spans="1:4" hidden="1" x14ac:dyDescent="0.45">
      <c r="A68">
        <v>66</v>
      </c>
      <c r="B68" t="s">
        <v>206</v>
      </c>
      <c r="C68">
        <v>0.78500000000000003</v>
      </c>
      <c r="D68" t="b">
        <f ca="1">COUNTIF(dict_zul_Var_Meth[ID_Variables], table_Variables[[#This Row],[ID]]) &gt; 0</f>
        <v>1</v>
      </c>
    </row>
    <row r="69" spans="1:4" hidden="1" x14ac:dyDescent="0.45">
      <c r="A69">
        <v>67</v>
      </c>
      <c r="B69" t="s">
        <v>207</v>
      </c>
      <c r="C69">
        <v>0.626</v>
      </c>
      <c r="D69" t="b">
        <f ca="1">COUNTIF(dict_zul_Var_Meth[ID_Variables], table_Variables[[#This Row],[ID]]) &gt; 0</f>
        <v>1</v>
      </c>
    </row>
    <row r="70" spans="1:4" hidden="1" x14ac:dyDescent="0.45">
      <c r="A70">
        <v>68</v>
      </c>
      <c r="B70" t="s">
        <v>208</v>
      </c>
      <c r="C70">
        <v>0.378</v>
      </c>
      <c r="D70" t="b">
        <f ca="1">COUNTIF(dict_zul_Var_Meth[ID_Variables], table_Variables[[#This Row],[ID]]) &gt; 0</f>
        <v>1</v>
      </c>
    </row>
    <row r="71" spans="1:4" hidden="1" x14ac:dyDescent="0.45">
      <c r="A71">
        <v>69</v>
      </c>
      <c r="B71" t="s">
        <v>209</v>
      </c>
      <c r="C71">
        <v>0.29599999999999999</v>
      </c>
      <c r="D71" t="b">
        <f ca="1">COUNTIF(dict_zul_Var_Meth[ID_Variables], table_Variables[[#This Row],[ID]]) &gt; 0</f>
        <v>1</v>
      </c>
    </row>
    <row r="72" spans="1:4" hidden="1" x14ac:dyDescent="0.45">
      <c r="A72">
        <v>70</v>
      </c>
      <c r="B72" t="s">
        <v>210</v>
      </c>
      <c r="C72">
        <v>0.68500000000000005</v>
      </c>
      <c r="D72" t="b">
        <f ca="1">COUNTIF(dict_zul_Var_Meth[ID_Variables], table_Variables[[#This Row],[ID]]) &gt; 0</f>
        <v>1</v>
      </c>
    </row>
    <row r="73" spans="1:4" hidden="1" x14ac:dyDescent="0.45">
      <c r="A73">
        <v>71</v>
      </c>
      <c r="B73" t="s">
        <v>211</v>
      </c>
      <c r="C73">
        <v>0.38400000000000001</v>
      </c>
      <c r="D73" t="b">
        <f ca="1">COUNTIF(dict_zul_Var_Meth[ID_Variables], table_Variables[[#This Row],[ID]]) &gt; 0</f>
        <v>1</v>
      </c>
    </row>
    <row r="74" spans="1:4" hidden="1" x14ac:dyDescent="0.45">
      <c r="A74">
        <v>72</v>
      </c>
      <c r="B74" t="s">
        <v>212</v>
      </c>
      <c r="C74">
        <v>0.996</v>
      </c>
      <c r="D74" t="b">
        <f ca="1">COUNTIF(dict_zul_Var_Meth[ID_Variables], table_Variables[[#This Row],[ID]]) &gt; 0</f>
        <v>1</v>
      </c>
    </row>
    <row r="75" spans="1:4" hidden="1" x14ac:dyDescent="0.45">
      <c r="A75">
        <v>73</v>
      </c>
      <c r="B75" t="s">
        <v>213</v>
      </c>
      <c r="C75">
        <v>0.79600000000000004</v>
      </c>
      <c r="D75" t="b">
        <f ca="1">COUNTIF(dict_zul_Var_Meth[ID_Variables], table_Variables[[#This Row],[ID]]) &gt; 0</f>
        <v>1</v>
      </c>
    </row>
    <row r="76" spans="1:4" hidden="1" x14ac:dyDescent="0.45">
      <c r="A76">
        <v>74</v>
      </c>
      <c r="B76" t="s">
        <v>214</v>
      </c>
      <c r="C76">
        <v>0.93100000000000005</v>
      </c>
      <c r="D76" t="b">
        <f ca="1">COUNTIF(dict_zul_Var_Meth[ID_Variables], table_Variables[[#This Row],[ID]]) &gt; 0</f>
        <v>1</v>
      </c>
    </row>
    <row r="77" spans="1:4" hidden="1" x14ac:dyDescent="0.45">
      <c r="A77">
        <v>75</v>
      </c>
      <c r="B77" t="s">
        <v>215</v>
      </c>
      <c r="C77">
        <v>0.27500000000000002</v>
      </c>
      <c r="D77" t="b">
        <f ca="1">COUNTIF(dict_zul_Var_Meth[ID_Variables], table_Variables[[#This Row],[ID]]) &gt; 0</f>
        <v>1</v>
      </c>
    </row>
    <row r="78" spans="1:4" hidden="1" x14ac:dyDescent="0.45">
      <c r="A78">
        <v>76</v>
      </c>
      <c r="B78" t="s">
        <v>216</v>
      </c>
      <c r="C78">
        <v>0.38500000000000001</v>
      </c>
      <c r="D78" t="b">
        <f ca="1">COUNTIF(dict_zul_Var_Meth[ID_Variables], table_Variables[[#This Row],[ID]]) &gt; 0</f>
        <v>1</v>
      </c>
    </row>
    <row r="79" spans="1:4" hidden="1" x14ac:dyDescent="0.45">
      <c r="A79">
        <v>77</v>
      </c>
      <c r="B79" t="s">
        <v>217</v>
      </c>
      <c r="C79">
        <v>0.17599999999999999</v>
      </c>
      <c r="D79" t="b">
        <f ca="1">COUNTIF(dict_zul_Var_Meth[ID_Variables], table_Variables[[#This Row],[ID]]) &gt; 0</f>
        <v>1</v>
      </c>
    </row>
    <row r="80" spans="1:4" hidden="1" x14ac:dyDescent="0.45">
      <c r="A80">
        <v>78</v>
      </c>
      <c r="B80" t="s">
        <v>218</v>
      </c>
      <c r="C80">
        <v>0.53400000000000003</v>
      </c>
      <c r="D80" t="b">
        <f ca="1">COUNTIF(dict_zul_Var_Meth[ID_Variables], table_Variables[[#This Row],[ID]]) &gt; 0</f>
        <v>1</v>
      </c>
    </row>
    <row r="81" spans="1:4" hidden="1" x14ac:dyDescent="0.45">
      <c r="A81">
        <v>79</v>
      </c>
      <c r="B81" t="s">
        <v>219</v>
      </c>
      <c r="C81">
        <v>0.67400000000000004</v>
      </c>
      <c r="D81" t="b">
        <f ca="1">COUNTIF(dict_zul_Var_Meth[ID_Variables], table_Variables[[#This Row],[ID]]) &gt; 0</f>
        <v>1</v>
      </c>
    </row>
    <row r="82" spans="1:4" hidden="1" x14ac:dyDescent="0.45">
      <c r="A82">
        <v>80</v>
      </c>
      <c r="B82" t="s">
        <v>220</v>
      </c>
      <c r="C82">
        <v>0.69599999999999995</v>
      </c>
      <c r="D82" t="b">
        <f ca="1">COUNTIF(dict_zul_Var_Meth[ID_Variables], table_Variables[[#This Row],[ID]]) &gt; 0</f>
        <v>1</v>
      </c>
    </row>
    <row r="83" spans="1:4" hidden="1" x14ac:dyDescent="0.45">
      <c r="A83">
        <v>81</v>
      </c>
      <c r="B83" t="s">
        <v>221</v>
      </c>
      <c r="C83">
        <v>4.2999999999999997E-2</v>
      </c>
      <c r="D83" t="b">
        <f ca="1">COUNTIF(dict_zul_Var_Meth[ID_Variables], table_Variables[[#This Row],[ID]]) &gt; 0</f>
        <v>1</v>
      </c>
    </row>
    <row r="84" spans="1:4" hidden="1" x14ac:dyDescent="0.45">
      <c r="A84">
        <v>82</v>
      </c>
      <c r="B84" t="s">
        <v>222</v>
      </c>
      <c r="C84">
        <v>0.443</v>
      </c>
      <c r="D84" t="b">
        <f ca="1">COUNTIF(dict_zul_Var_Meth[ID_Variables], table_Variables[[#This Row],[ID]]) &gt; 0</f>
        <v>1</v>
      </c>
    </row>
    <row r="85" spans="1:4" hidden="1" x14ac:dyDescent="0.45">
      <c r="A85">
        <v>83</v>
      </c>
      <c r="B85" t="s">
        <v>223</v>
      </c>
      <c r="C85">
        <v>0.53900000000000003</v>
      </c>
      <c r="D85" t="b">
        <f ca="1">COUNTIF(dict_zul_Var_Meth[ID_Variables], table_Variables[[#This Row],[ID]]) &gt; 0</f>
        <v>1</v>
      </c>
    </row>
    <row r="86" spans="1:4" hidden="1" x14ac:dyDescent="0.45">
      <c r="A86">
        <v>84</v>
      </c>
      <c r="B86" t="s">
        <v>224</v>
      </c>
      <c r="C86">
        <v>0.52100000000000002</v>
      </c>
      <c r="D86" t="b">
        <f ca="1">COUNTIF(dict_zul_Var_Meth[ID_Variables], table_Variables[[#This Row],[ID]]) &gt; 0</f>
        <v>1</v>
      </c>
    </row>
    <row r="87" spans="1:4" hidden="1" x14ac:dyDescent="0.45">
      <c r="A87">
        <v>85</v>
      </c>
      <c r="B87" t="s">
        <v>225</v>
      </c>
      <c r="C87">
        <v>0.622</v>
      </c>
      <c r="D87" t="b">
        <f ca="1">COUNTIF(dict_zul_Var_Meth[ID_Variables], table_Variables[[#This Row],[ID]]) &gt; 0</f>
        <v>1</v>
      </c>
    </row>
    <row r="88" spans="1:4" hidden="1" x14ac:dyDescent="0.45">
      <c r="A88">
        <v>86</v>
      </c>
      <c r="B88" t="s">
        <v>226</v>
      </c>
      <c r="C88">
        <v>0.46200000000000002</v>
      </c>
      <c r="D88" t="b">
        <f ca="1">COUNTIF(dict_zul_Var_Meth[ID_Variables], table_Variables[[#This Row],[ID]]) &gt; 0</f>
        <v>1</v>
      </c>
    </row>
    <row r="89" spans="1:4" hidden="1" x14ac:dyDescent="0.45">
      <c r="A89">
        <v>87</v>
      </c>
      <c r="B89" t="s">
        <v>227</v>
      </c>
      <c r="C89">
        <v>0.64300000000000002</v>
      </c>
      <c r="D89" t="b">
        <f ca="1">COUNTIF(dict_zul_Var_Meth[ID_Variables], table_Variables[[#This Row],[ID]]) &gt; 0</f>
        <v>1</v>
      </c>
    </row>
    <row r="90" spans="1:4" hidden="1" x14ac:dyDescent="0.45">
      <c r="A90">
        <v>88</v>
      </c>
      <c r="B90" t="s">
        <v>228</v>
      </c>
      <c r="C90">
        <v>0.47899999999999998</v>
      </c>
      <c r="D90" t="b">
        <f ca="1">COUNTIF(dict_zul_Var_Meth[ID_Variables], table_Variables[[#This Row],[ID]]) &gt; 0</f>
        <v>1</v>
      </c>
    </row>
    <row r="91" spans="1:4" hidden="1" x14ac:dyDescent="0.45">
      <c r="A91">
        <v>89</v>
      </c>
      <c r="B91" t="s">
        <v>229</v>
      </c>
      <c r="C91">
        <v>0.65</v>
      </c>
      <c r="D91" t="b">
        <f ca="1">COUNTIF(dict_zul_Var_Meth[ID_Variables], table_Variables[[#This Row],[ID]]) &gt; 0</f>
        <v>1</v>
      </c>
    </row>
    <row r="92" spans="1:4" hidden="1" x14ac:dyDescent="0.45">
      <c r="A92">
        <v>90</v>
      </c>
      <c r="B92" t="s">
        <v>230</v>
      </c>
      <c r="C92">
        <v>0.43</v>
      </c>
      <c r="D92" t="b">
        <f ca="1">COUNTIF(dict_zul_Var_Meth[ID_Variables], table_Variables[[#This Row],[ID]]) &gt; 0</f>
        <v>1</v>
      </c>
    </row>
    <row r="93" spans="1:4" hidden="1" x14ac:dyDescent="0.45">
      <c r="A93">
        <v>91</v>
      </c>
      <c r="B93" t="s">
        <v>231</v>
      </c>
      <c r="C93">
        <v>0.63500000000000001</v>
      </c>
      <c r="D93" t="b">
        <f ca="1">COUNTIF(dict_zul_Var_Meth[ID_Variables], table_Variables[[#This Row],[ID]]) &gt; 0</f>
        <v>1</v>
      </c>
    </row>
    <row r="94" spans="1:4" hidden="1" x14ac:dyDescent="0.45">
      <c r="A94">
        <v>92</v>
      </c>
      <c r="B94" t="s">
        <v>232</v>
      </c>
      <c r="C94">
        <v>0.217</v>
      </c>
      <c r="D94" t="b">
        <f ca="1">COUNTIF(dict_zul_Var_Meth[ID_Variables], table_Variables[[#This Row],[ID]]) &gt; 0</f>
        <v>1</v>
      </c>
    </row>
    <row r="95" spans="1:4" hidden="1" x14ac:dyDescent="0.45">
      <c r="A95">
        <v>93</v>
      </c>
      <c r="B95" t="s">
        <v>233</v>
      </c>
      <c r="C95">
        <v>0.96799999999999997</v>
      </c>
      <c r="D95" t="b">
        <f ca="1">COUNTIF(dict_zul_Var_Meth[ID_Variables], table_Variables[[#This Row],[ID]]) &gt; 0</f>
        <v>1</v>
      </c>
    </row>
    <row r="96" spans="1:4" hidden="1" x14ac:dyDescent="0.45">
      <c r="A96">
        <v>94</v>
      </c>
      <c r="B96" t="s">
        <v>234</v>
      </c>
      <c r="C96">
        <v>0.39800000000000002</v>
      </c>
      <c r="D96" t="b">
        <f ca="1">COUNTIF(dict_zul_Var_Meth[ID_Variables], table_Variables[[#This Row],[ID]]) &gt; 0</f>
        <v>1</v>
      </c>
    </row>
    <row r="97" spans="1:4" hidden="1" x14ac:dyDescent="0.45">
      <c r="A97">
        <v>95</v>
      </c>
      <c r="B97" t="s">
        <v>235</v>
      </c>
      <c r="C97">
        <v>0.49399999999999999</v>
      </c>
      <c r="D97" t="b">
        <f ca="1">COUNTIF(dict_zul_Var_Meth[ID_Variables], table_Variables[[#This Row],[ID]]) &gt; 0</f>
        <v>1</v>
      </c>
    </row>
    <row r="98" spans="1:4" hidden="1" x14ac:dyDescent="0.45">
      <c r="A98">
        <v>96</v>
      </c>
      <c r="B98" t="s">
        <v>236</v>
      </c>
      <c r="C98">
        <v>0.26</v>
      </c>
      <c r="D98" t="b">
        <f ca="1">COUNTIF(dict_zul_Var_Meth[ID_Variables], table_Variables[[#This Row],[ID]]) &gt; 0</f>
        <v>1</v>
      </c>
    </row>
    <row r="99" spans="1:4" hidden="1" x14ac:dyDescent="0.45">
      <c r="A99">
        <v>97</v>
      </c>
      <c r="B99" t="s">
        <v>237</v>
      </c>
      <c r="C99">
        <v>0.79600000000000004</v>
      </c>
      <c r="D99" t="b">
        <f ca="1">COUNTIF(dict_zul_Var_Meth[ID_Variables], table_Variables[[#This Row],[ID]]) &gt; 0</f>
        <v>1</v>
      </c>
    </row>
    <row r="100" spans="1:4" hidden="1" x14ac:dyDescent="0.45">
      <c r="A100">
        <v>98</v>
      </c>
      <c r="B100" t="s">
        <v>238</v>
      </c>
      <c r="C100">
        <v>7.2999999999999995E-2</v>
      </c>
      <c r="D100" t="b">
        <f ca="1">COUNTIF(dict_zul_Var_Meth[ID_Variables], table_Variables[[#This Row],[ID]]) &gt; 0</f>
        <v>1</v>
      </c>
    </row>
    <row r="101" spans="1:4" hidden="1" x14ac:dyDescent="0.45">
      <c r="A101">
        <v>99</v>
      </c>
      <c r="B101" t="s">
        <v>239</v>
      </c>
      <c r="C101">
        <v>0.57199999999999995</v>
      </c>
      <c r="D101" t="b">
        <f ca="1">COUNTIF(dict_zul_Var_Meth[ID_Variables], table_Variables[[#This Row],[ID]]) &gt; 0</f>
        <v>1</v>
      </c>
    </row>
    <row r="102" spans="1:4" hidden="1" x14ac:dyDescent="0.45">
      <c r="A102">
        <v>100</v>
      </c>
      <c r="B102" t="s">
        <v>240</v>
      </c>
      <c r="C102">
        <v>0.80300000000000005</v>
      </c>
      <c r="D102" t="b">
        <f ca="1">COUNTIF(dict_zul_Var_Meth[ID_Variables], table_Variables[[#This Row],[ID]]) &gt; 0</f>
        <v>1</v>
      </c>
    </row>
    <row r="103" spans="1:4" hidden="1" x14ac:dyDescent="0.45">
      <c r="A103">
        <v>101</v>
      </c>
      <c r="B103" t="s">
        <v>241</v>
      </c>
      <c r="C103">
        <v>0.61</v>
      </c>
      <c r="D103" t="b">
        <f ca="1">COUNTIF(dict_zul_Var_Meth[ID_Variables], table_Variables[[#This Row],[ID]]) &gt; 0</f>
        <v>1</v>
      </c>
    </row>
    <row r="104" spans="1:4" hidden="1" x14ac:dyDescent="0.45">
      <c r="A104">
        <v>102</v>
      </c>
      <c r="B104" t="s">
        <v>242</v>
      </c>
      <c r="C104">
        <v>0.70599999999999996</v>
      </c>
      <c r="D104" t="b">
        <f ca="1">COUNTIF(dict_zul_Var_Meth[ID_Variables], table_Variables[[#This Row],[ID]]) &gt; 0</f>
        <v>1</v>
      </c>
    </row>
    <row r="105" spans="1:4" hidden="1" x14ac:dyDescent="0.45">
      <c r="A105">
        <v>103</v>
      </c>
      <c r="B105" t="s">
        <v>243</v>
      </c>
      <c r="C105">
        <v>0.83799999999999997</v>
      </c>
      <c r="D105" t="b">
        <f ca="1">COUNTIF(dict_zul_Var_Meth[ID_Variables], table_Variables[[#This Row],[ID]]) &gt; 0</f>
        <v>1</v>
      </c>
    </row>
    <row r="106" spans="1:4" hidden="1" x14ac:dyDescent="0.45">
      <c r="A106">
        <v>104</v>
      </c>
      <c r="B106" t="s">
        <v>244</v>
      </c>
      <c r="C106">
        <v>0.108</v>
      </c>
      <c r="D106" t="b">
        <f ca="1">COUNTIF(dict_zul_Var_Meth[ID_Variables], table_Variables[[#This Row],[ID]]) &gt; 0</f>
        <v>1</v>
      </c>
    </row>
    <row r="107" spans="1:4" hidden="1" x14ac:dyDescent="0.45">
      <c r="A107">
        <v>105</v>
      </c>
      <c r="B107" t="s">
        <v>245</v>
      </c>
      <c r="C107">
        <v>0.84099999999999997</v>
      </c>
      <c r="D107" t="b">
        <f ca="1">COUNTIF(dict_zul_Var_Meth[ID_Variables], table_Variables[[#This Row],[ID]]) &gt; 0</f>
        <v>1</v>
      </c>
    </row>
    <row r="108" spans="1:4" hidden="1" x14ac:dyDescent="0.45">
      <c r="A108">
        <v>106</v>
      </c>
      <c r="B108" t="s">
        <v>246</v>
      </c>
      <c r="C108">
        <v>0.94099999999999995</v>
      </c>
      <c r="D108" t="b">
        <f ca="1">COUNTIF(dict_zul_Var_Meth[ID_Variables], table_Variables[[#This Row],[ID]]) &gt; 0</f>
        <v>1</v>
      </c>
    </row>
    <row r="109" spans="1:4" hidden="1" x14ac:dyDescent="0.45">
      <c r="A109">
        <v>107</v>
      </c>
      <c r="B109" t="s">
        <v>247</v>
      </c>
      <c r="C109">
        <v>0.84699999999999998</v>
      </c>
      <c r="D109" t="b">
        <f ca="1">COUNTIF(dict_zul_Var_Meth[ID_Variables], table_Variables[[#This Row],[ID]]) &gt; 0</f>
        <v>1</v>
      </c>
    </row>
    <row r="110" spans="1:4" hidden="1" x14ac:dyDescent="0.45">
      <c r="A110">
        <v>108</v>
      </c>
      <c r="B110" t="s">
        <v>248</v>
      </c>
      <c r="C110">
        <v>6.0999999999999999E-2</v>
      </c>
      <c r="D110" t="b">
        <f ca="1">COUNTIF(dict_zul_Var_Meth[ID_Variables], table_Variables[[#This Row],[ID]]) &gt; 0</f>
        <v>1</v>
      </c>
    </row>
    <row r="111" spans="1:4" hidden="1" x14ac:dyDescent="0.45">
      <c r="A111">
        <v>109</v>
      </c>
      <c r="B111" t="s">
        <v>249</v>
      </c>
      <c r="C111">
        <v>0.221</v>
      </c>
      <c r="D111" t="b">
        <f ca="1">COUNTIF(dict_zul_Var_Meth[ID_Variables], table_Variables[[#This Row],[ID]]) &gt; 0</f>
        <v>1</v>
      </c>
    </row>
    <row r="112" spans="1:4" hidden="1" x14ac:dyDescent="0.45">
      <c r="A112">
        <v>110</v>
      </c>
      <c r="B112" t="s">
        <v>250</v>
      </c>
      <c r="C112">
        <v>0.79800000000000004</v>
      </c>
      <c r="D112" t="b">
        <f ca="1">COUNTIF(dict_zul_Var_Meth[ID_Variables], table_Variables[[#This Row],[ID]]) &gt; 0</f>
        <v>1</v>
      </c>
    </row>
    <row r="113" spans="1:4" hidden="1" x14ac:dyDescent="0.45">
      <c r="A113">
        <v>111</v>
      </c>
      <c r="B113" t="s">
        <v>251</v>
      </c>
      <c r="C113">
        <v>0.23100000000000001</v>
      </c>
      <c r="D113" t="b">
        <f ca="1">COUNTIF(dict_zul_Var_Meth[ID_Variables], table_Variables[[#This Row],[ID]]) &gt; 0</f>
        <v>1</v>
      </c>
    </row>
    <row r="114" spans="1:4" hidden="1" x14ac:dyDescent="0.45">
      <c r="A114">
        <v>112</v>
      </c>
      <c r="B114" t="s">
        <v>252</v>
      </c>
      <c r="C114">
        <v>0.54500000000000004</v>
      </c>
      <c r="D114" t="b">
        <f ca="1">COUNTIF(dict_zul_Var_Meth[ID_Variables], table_Variables[[#This Row],[ID]]) &gt; 0</f>
        <v>1</v>
      </c>
    </row>
    <row r="115" spans="1:4" hidden="1" x14ac:dyDescent="0.45">
      <c r="A115">
        <v>113</v>
      </c>
      <c r="B115" t="s">
        <v>253</v>
      </c>
      <c r="C115">
        <v>0.34300000000000003</v>
      </c>
      <c r="D115" t="b">
        <f ca="1">COUNTIF(dict_zul_Var_Meth[ID_Variables], table_Variables[[#This Row],[ID]]) &gt; 0</f>
        <v>1</v>
      </c>
    </row>
    <row r="116" spans="1:4" hidden="1" x14ac:dyDescent="0.45">
      <c r="A116">
        <v>114</v>
      </c>
      <c r="B116" t="s">
        <v>254</v>
      </c>
      <c r="C116">
        <v>0.23400000000000001</v>
      </c>
      <c r="D116" t="b">
        <f ca="1">COUNTIF(dict_zul_Var_Meth[ID_Variables], table_Variables[[#This Row],[ID]]) &gt; 0</f>
        <v>1</v>
      </c>
    </row>
    <row r="117" spans="1:4" hidden="1" x14ac:dyDescent="0.45">
      <c r="A117">
        <v>115</v>
      </c>
      <c r="B117" t="s">
        <v>255</v>
      </c>
      <c r="C117">
        <v>0.11600000000000001</v>
      </c>
      <c r="D117" t="b">
        <f ca="1">COUNTIF(dict_zul_Var_Meth[ID_Variables], table_Variables[[#This Row],[ID]]) &gt; 0</f>
        <v>1</v>
      </c>
    </row>
    <row r="118" spans="1:4" hidden="1" x14ac:dyDescent="0.45">
      <c r="A118">
        <v>116</v>
      </c>
      <c r="B118" t="s">
        <v>256</v>
      </c>
      <c r="C118">
        <v>0.67900000000000005</v>
      </c>
      <c r="D118" t="b">
        <f ca="1">COUNTIF(dict_zul_Var_Meth[ID_Variables], table_Variables[[#This Row],[ID]]) &gt; 0</f>
        <v>1</v>
      </c>
    </row>
    <row r="119" spans="1:4" hidden="1" x14ac:dyDescent="0.45">
      <c r="A119">
        <v>117</v>
      </c>
      <c r="B119" t="s">
        <v>257</v>
      </c>
      <c r="C119">
        <v>0.94499999999999995</v>
      </c>
      <c r="D119" t="b">
        <f ca="1">COUNTIF(dict_zul_Var_Meth[ID_Variables], table_Variables[[#This Row],[ID]]) &gt; 0</f>
        <v>1</v>
      </c>
    </row>
    <row r="120" spans="1:4" hidden="1" x14ac:dyDescent="0.45">
      <c r="A120">
        <v>118</v>
      </c>
      <c r="B120" t="s">
        <v>258</v>
      </c>
      <c r="C120">
        <v>0.45</v>
      </c>
      <c r="D120" t="b">
        <f ca="1">COUNTIF(dict_zul_Var_Meth[ID_Variables], table_Variables[[#This Row],[ID]]) &gt; 0</f>
        <v>1</v>
      </c>
    </row>
    <row r="121" spans="1:4" hidden="1" x14ac:dyDescent="0.45">
      <c r="A121">
        <v>119</v>
      </c>
      <c r="B121" t="s">
        <v>259</v>
      </c>
      <c r="C121">
        <v>0.74</v>
      </c>
      <c r="D121" t="b">
        <f ca="1">COUNTIF(dict_zul_Var_Meth[ID_Variables], table_Variables[[#This Row],[ID]]) &gt; 0</f>
        <v>1</v>
      </c>
    </row>
    <row r="122" spans="1:4" hidden="1" x14ac:dyDescent="0.45">
      <c r="A122">
        <v>120</v>
      </c>
      <c r="B122" t="s">
        <v>260</v>
      </c>
      <c r="C122">
        <v>2.1000000000000001E-2</v>
      </c>
      <c r="D122" t="b">
        <f ca="1">COUNTIF(dict_zul_Var_Meth[ID_Variables], table_Variables[[#This Row],[ID]]) &gt; 0</f>
        <v>1</v>
      </c>
    </row>
    <row r="123" spans="1:4" hidden="1" x14ac:dyDescent="0.45">
      <c r="A123">
        <v>121</v>
      </c>
      <c r="B123" t="s">
        <v>261</v>
      </c>
      <c r="C123">
        <v>6.7000000000000004E-2</v>
      </c>
      <c r="D123" t="b">
        <f ca="1">COUNTIF(dict_zul_Var_Meth[ID_Variables], table_Variables[[#This Row],[ID]]) &gt; 0</f>
        <v>1</v>
      </c>
    </row>
    <row r="124" spans="1:4" hidden="1" x14ac:dyDescent="0.45">
      <c r="A124">
        <v>122</v>
      </c>
      <c r="B124" t="s">
        <v>262</v>
      </c>
      <c r="C124">
        <v>0.9</v>
      </c>
      <c r="D124" t="b">
        <f ca="1">COUNTIF(dict_zul_Var_Meth[ID_Variables], table_Variables[[#This Row],[ID]]) &gt; 0</f>
        <v>1</v>
      </c>
    </row>
    <row r="125" spans="1:4" hidden="1" x14ac:dyDescent="0.45">
      <c r="A125">
        <v>123</v>
      </c>
      <c r="B125" t="s">
        <v>263</v>
      </c>
      <c r="C125">
        <v>0.54200000000000004</v>
      </c>
      <c r="D125" t="b">
        <f ca="1">COUNTIF(dict_zul_Var_Meth[ID_Variables], table_Variables[[#This Row],[ID]]) &gt; 0</f>
        <v>1</v>
      </c>
    </row>
    <row r="126" spans="1:4" hidden="1" x14ac:dyDescent="0.45">
      <c r="A126">
        <v>124</v>
      </c>
      <c r="B126" t="s">
        <v>264</v>
      </c>
      <c r="C126">
        <v>0.187</v>
      </c>
      <c r="D126" t="b">
        <f ca="1">COUNTIF(dict_zul_Var_Meth[ID_Variables], table_Variables[[#This Row],[ID]]) &gt; 0</f>
        <v>1</v>
      </c>
    </row>
    <row r="127" spans="1:4" hidden="1" x14ac:dyDescent="0.45">
      <c r="A127">
        <v>125</v>
      </c>
      <c r="B127" t="s">
        <v>265</v>
      </c>
      <c r="C127">
        <v>0.20499999999999999</v>
      </c>
      <c r="D127" t="b">
        <f ca="1">COUNTIF(dict_zul_Var_Meth[ID_Variables], table_Variables[[#This Row],[ID]]) &gt; 0</f>
        <v>1</v>
      </c>
    </row>
    <row r="128" spans="1:4" hidden="1" x14ac:dyDescent="0.45">
      <c r="A128">
        <v>126</v>
      </c>
      <c r="B128" t="s">
        <v>266</v>
      </c>
      <c r="C128">
        <v>0.98899999999999999</v>
      </c>
      <c r="D128" t="b">
        <f ca="1">COUNTIF(dict_zul_Var_Meth[ID_Variables], table_Variables[[#This Row],[ID]]) &gt; 0</f>
        <v>1</v>
      </c>
    </row>
    <row r="129" spans="1:4" hidden="1" x14ac:dyDescent="0.45">
      <c r="A129">
        <v>127</v>
      </c>
      <c r="B129" t="s">
        <v>267</v>
      </c>
      <c r="C129">
        <v>0.72399999999999998</v>
      </c>
      <c r="D129" t="b">
        <f ca="1">COUNTIF(dict_zul_Var_Meth[ID_Variables], table_Variables[[#This Row],[ID]]) &gt; 0</f>
        <v>1</v>
      </c>
    </row>
    <row r="130" spans="1:4" hidden="1" x14ac:dyDescent="0.45">
      <c r="A130">
        <v>128</v>
      </c>
      <c r="B130" t="s">
        <v>268</v>
      </c>
      <c r="C130">
        <v>0.442</v>
      </c>
      <c r="D130" t="b">
        <f ca="1">COUNTIF(dict_zul_Var_Meth[ID_Variables], table_Variables[[#This Row],[ID]]) &gt; 0</f>
        <v>1</v>
      </c>
    </row>
    <row r="131" spans="1:4" hidden="1" x14ac:dyDescent="0.45">
      <c r="A131">
        <v>129</v>
      </c>
      <c r="B131" t="s">
        <v>269</v>
      </c>
      <c r="C131">
        <v>0.68300000000000005</v>
      </c>
      <c r="D131" t="b">
        <f ca="1">COUNTIF(dict_zul_Var_Meth[ID_Variables], table_Variables[[#This Row],[ID]]) &gt; 0</f>
        <v>1</v>
      </c>
    </row>
    <row r="132" spans="1:4" hidden="1" x14ac:dyDescent="0.45">
      <c r="A132">
        <v>130</v>
      </c>
      <c r="B132" t="s">
        <v>270</v>
      </c>
      <c r="C132">
        <v>0.16500000000000001</v>
      </c>
      <c r="D132" t="b">
        <f ca="1">COUNTIF(dict_zul_Var_Meth[ID_Variables], table_Variables[[#This Row],[ID]]) &gt; 0</f>
        <v>1</v>
      </c>
    </row>
    <row r="133" spans="1:4" hidden="1" x14ac:dyDescent="0.45">
      <c r="A133">
        <v>131</v>
      </c>
      <c r="B133" t="s">
        <v>271</v>
      </c>
      <c r="C133">
        <v>0.61499999999999999</v>
      </c>
      <c r="D133" t="b">
        <f ca="1">COUNTIF(dict_zul_Var_Meth[ID_Variables], table_Variables[[#This Row],[ID]]) &gt; 0</f>
        <v>1</v>
      </c>
    </row>
    <row r="134" spans="1:4" hidden="1" x14ac:dyDescent="0.45">
      <c r="A134">
        <v>132</v>
      </c>
      <c r="B134" t="s">
        <v>272</v>
      </c>
      <c r="C134">
        <v>0.373</v>
      </c>
      <c r="D134" t="b">
        <f ca="1">COUNTIF(dict_zul_Var_Meth[ID_Variables], table_Variables[[#This Row],[ID]]) &gt; 0</f>
        <v>1</v>
      </c>
    </row>
    <row r="135" spans="1:4" hidden="1" x14ac:dyDescent="0.45">
      <c r="A135">
        <v>133</v>
      </c>
      <c r="B135" t="s">
        <v>273</v>
      </c>
      <c r="C135">
        <v>0.67200000000000004</v>
      </c>
      <c r="D135" t="b">
        <f ca="1">COUNTIF(dict_zul_Var_Meth[ID_Variables], table_Variables[[#This Row],[ID]]) &gt; 0</f>
        <v>1</v>
      </c>
    </row>
    <row r="136" spans="1:4" hidden="1" x14ac:dyDescent="0.45">
      <c r="A136">
        <v>134</v>
      </c>
      <c r="B136" t="s">
        <v>274</v>
      </c>
      <c r="C136">
        <v>0.83399999999999996</v>
      </c>
      <c r="D136" t="b">
        <f ca="1">COUNTIF(dict_zul_Var_Meth[ID_Variables], table_Variables[[#This Row],[ID]]) &gt; 0</f>
        <v>1</v>
      </c>
    </row>
    <row r="137" spans="1:4" hidden="1" x14ac:dyDescent="0.45">
      <c r="A137">
        <v>135</v>
      </c>
      <c r="B137" t="s">
        <v>275</v>
      </c>
      <c r="C137">
        <v>0.82099999999999995</v>
      </c>
      <c r="D137" t="b">
        <f ca="1">COUNTIF(dict_zul_Var_Meth[ID_Variables], table_Variables[[#This Row],[ID]]) &gt; 0</f>
        <v>1</v>
      </c>
    </row>
    <row r="138" spans="1:4" hidden="1" x14ac:dyDescent="0.45">
      <c r="A138">
        <v>136</v>
      </c>
      <c r="B138" t="s">
        <v>276</v>
      </c>
      <c r="C138">
        <v>0.23</v>
      </c>
      <c r="D138" t="b">
        <f ca="1">COUNTIF(dict_zul_Var_Meth[ID_Variables], table_Variables[[#This Row],[ID]]) &gt; 0</f>
        <v>1</v>
      </c>
    </row>
    <row r="139" spans="1:4" hidden="1" x14ac:dyDescent="0.45">
      <c r="A139">
        <v>137</v>
      </c>
      <c r="B139" t="s">
        <v>277</v>
      </c>
      <c r="C139">
        <v>0.106</v>
      </c>
      <c r="D139" t="b">
        <f ca="1">COUNTIF(dict_zul_Var_Meth[ID_Variables], table_Variables[[#This Row],[ID]]) &gt; 0</f>
        <v>1</v>
      </c>
    </row>
    <row r="140" spans="1:4" hidden="1" x14ac:dyDescent="0.45">
      <c r="A140">
        <v>138</v>
      </c>
      <c r="B140" t="s">
        <v>278</v>
      </c>
      <c r="C140">
        <v>0.29899999999999999</v>
      </c>
      <c r="D140" t="b">
        <f ca="1">COUNTIF(dict_zul_Var_Meth[ID_Variables], table_Variables[[#This Row],[ID]]) &gt; 0</f>
        <v>1</v>
      </c>
    </row>
    <row r="141" spans="1:4" hidden="1" x14ac:dyDescent="0.45">
      <c r="A141">
        <v>139</v>
      </c>
      <c r="B141" t="s">
        <v>279</v>
      </c>
      <c r="C141">
        <v>0.54300000000000004</v>
      </c>
      <c r="D141" t="b">
        <f ca="1">COUNTIF(dict_zul_Var_Meth[ID_Variables], table_Variables[[#This Row],[ID]]) &gt; 0</f>
        <v>1</v>
      </c>
    </row>
    <row r="142" spans="1:4" hidden="1" x14ac:dyDescent="0.45">
      <c r="A142">
        <v>140</v>
      </c>
      <c r="B142" t="s">
        <v>280</v>
      </c>
      <c r="C142">
        <v>0.125</v>
      </c>
      <c r="D142" t="b">
        <f ca="1">COUNTIF(dict_zul_Var_Meth[ID_Variables], table_Variables[[#This Row],[ID]]) &gt; 0</f>
        <v>1</v>
      </c>
    </row>
    <row r="143" spans="1:4" hidden="1" x14ac:dyDescent="0.45">
      <c r="A143">
        <v>141</v>
      </c>
      <c r="B143" t="s">
        <v>281</v>
      </c>
      <c r="C143">
        <v>0.90600000000000003</v>
      </c>
      <c r="D143" t="b">
        <f ca="1">COUNTIF(dict_zul_Var_Meth[ID_Variables], table_Variables[[#This Row],[ID]]) &gt; 0</f>
        <v>1</v>
      </c>
    </row>
    <row r="144" spans="1:4" hidden="1" x14ac:dyDescent="0.45">
      <c r="A144">
        <v>142</v>
      </c>
      <c r="B144" t="s">
        <v>282</v>
      </c>
      <c r="C144">
        <v>0.247</v>
      </c>
      <c r="D144" t="b">
        <f ca="1">COUNTIF(dict_zul_Var_Meth[ID_Variables], table_Variables[[#This Row],[ID]]) &gt; 0</f>
        <v>1</v>
      </c>
    </row>
    <row r="145" spans="1:4" hidden="1" x14ac:dyDescent="0.45">
      <c r="A145">
        <v>143</v>
      </c>
      <c r="B145" t="s">
        <v>283</v>
      </c>
      <c r="C145">
        <v>0.24</v>
      </c>
      <c r="D145" t="b">
        <f ca="1">COUNTIF(dict_zul_Var_Meth[ID_Variables], table_Variables[[#This Row],[ID]]) &gt; 0</f>
        <v>1</v>
      </c>
    </row>
    <row r="146" spans="1:4" hidden="1" x14ac:dyDescent="0.45">
      <c r="A146">
        <v>144</v>
      </c>
      <c r="B146" t="s">
        <v>284</v>
      </c>
      <c r="C146">
        <v>0.41499999999999998</v>
      </c>
      <c r="D146" t="b">
        <f ca="1">COUNTIF(dict_zul_Var_Meth[ID_Variables], table_Variables[[#This Row],[ID]]) &gt; 0</f>
        <v>1</v>
      </c>
    </row>
    <row r="147" spans="1:4" hidden="1" x14ac:dyDescent="0.45">
      <c r="A147">
        <v>145</v>
      </c>
      <c r="B147" t="s">
        <v>285</v>
      </c>
      <c r="C147">
        <v>0.20699999999999999</v>
      </c>
      <c r="D147" t="b">
        <f ca="1">COUNTIF(dict_zul_Var_Meth[ID_Variables], table_Variables[[#This Row],[ID]]) &gt; 0</f>
        <v>1</v>
      </c>
    </row>
    <row r="148" spans="1:4" hidden="1" x14ac:dyDescent="0.45">
      <c r="A148">
        <v>146</v>
      </c>
      <c r="B148" t="s">
        <v>286</v>
      </c>
      <c r="C148">
        <v>0.11799999999999999</v>
      </c>
      <c r="D148" t="b">
        <f ca="1">COUNTIF(dict_zul_Var_Meth[ID_Variables], table_Variables[[#This Row],[ID]]) &gt; 0</f>
        <v>1</v>
      </c>
    </row>
    <row r="149" spans="1:4" hidden="1" x14ac:dyDescent="0.45">
      <c r="A149">
        <v>147</v>
      </c>
      <c r="B149" t="s">
        <v>287</v>
      </c>
      <c r="C149">
        <v>0.26200000000000001</v>
      </c>
      <c r="D149" t="b">
        <f ca="1">COUNTIF(dict_zul_Var_Meth[ID_Variables], table_Variables[[#This Row],[ID]]) &gt; 0</f>
        <v>1</v>
      </c>
    </row>
    <row r="150" spans="1:4" hidden="1" x14ac:dyDescent="0.45">
      <c r="A150">
        <v>148</v>
      </c>
      <c r="B150" t="s">
        <v>288</v>
      </c>
      <c r="C150">
        <v>0.438</v>
      </c>
      <c r="D150" t="b">
        <f ca="1">COUNTIF(dict_zul_Var_Meth[ID_Variables], table_Variables[[#This Row],[ID]]) &gt; 0</f>
        <v>1</v>
      </c>
    </row>
    <row r="151" spans="1:4" hidden="1" x14ac:dyDescent="0.45">
      <c r="A151">
        <v>149</v>
      </c>
      <c r="B151" t="s">
        <v>289</v>
      </c>
      <c r="C151">
        <v>0.80700000000000005</v>
      </c>
      <c r="D151" t="b">
        <f ca="1">COUNTIF(dict_zul_Var_Meth[ID_Variables], table_Variables[[#This Row],[ID]]) &gt; 0</f>
        <v>1</v>
      </c>
    </row>
    <row r="152" spans="1:4" hidden="1" x14ac:dyDescent="0.45">
      <c r="A152">
        <v>150</v>
      </c>
      <c r="B152" t="s">
        <v>290</v>
      </c>
      <c r="C152">
        <v>3.5000000000000003E-2</v>
      </c>
      <c r="D152" t="b">
        <f ca="1">COUNTIF(dict_zul_Var_Meth[ID_Variables], table_Variables[[#This Row],[ID]]) &gt; 0</f>
        <v>1</v>
      </c>
    </row>
    <row r="153" spans="1:4" hidden="1" x14ac:dyDescent="0.45">
      <c r="A153">
        <v>151</v>
      </c>
      <c r="B153" t="s">
        <v>291</v>
      </c>
      <c r="C153">
        <v>0.68400000000000005</v>
      </c>
      <c r="D153" t="b">
        <f ca="1">COUNTIF(dict_zul_Var_Meth[ID_Variables], table_Variables[[#This Row],[ID]]) &gt; 0</f>
        <v>1</v>
      </c>
    </row>
    <row r="154" spans="1:4" hidden="1" x14ac:dyDescent="0.45">
      <c r="A154">
        <v>152</v>
      </c>
      <c r="B154" t="s">
        <v>292</v>
      </c>
      <c r="C154">
        <v>0.93799999999999994</v>
      </c>
      <c r="D154" t="b">
        <f ca="1">COUNTIF(dict_zul_Var_Meth[ID_Variables], table_Variables[[#This Row],[ID]]) &gt; 0</f>
        <v>1</v>
      </c>
    </row>
    <row r="155" spans="1:4" hidden="1" x14ac:dyDescent="0.45">
      <c r="A155">
        <v>153</v>
      </c>
      <c r="B155" t="s">
        <v>293</v>
      </c>
      <c r="C155">
        <v>0.46300000000000002</v>
      </c>
      <c r="D155" t="b">
        <f ca="1">COUNTIF(dict_zul_Var_Meth[ID_Variables], table_Variables[[#This Row],[ID]]) &gt; 0</f>
        <v>1</v>
      </c>
    </row>
    <row r="156" spans="1:4" hidden="1" x14ac:dyDescent="0.45">
      <c r="A156">
        <v>154</v>
      </c>
      <c r="B156" t="s">
        <v>294</v>
      </c>
      <c r="C156">
        <v>7.5999999999999998E-2</v>
      </c>
      <c r="D156" t="b">
        <f ca="1">COUNTIF(dict_zul_Var_Meth[ID_Variables], table_Variables[[#This Row],[ID]]) &gt; 0</f>
        <v>1</v>
      </c>
    </row>
    <row r="157" spans="1:4" hidden="1" x14ac:dyDescent="0.45">
      <c r="A157">
        <v>155</v>
      </c>
      <c r="B157" t="s">
        <v>295</v>
      </c>
      <c r="C157">
        <v>0.10299999999999999</v>
      </c>
      <c r="D157" t="b">
        <f ca="1">COUNTIF(dict_zul_Var_Meth[ID_Variables], table_Variables[[#This Row],[ID]]) &gt; 0</f>
        <v>1</v>
      </c>
    </row>
    <row r="158" spans="1:4" hidden="1" x14ac:dyDescent="0.45">
      <c r="A158">
        <v>156</v>
      </c>
      <c r="B158" t="s">
        <v>296</v>
      </c>
      <c r="C158">
        <v>0.52100000000000002</v>
      </c>
      <c r="D158" t="b">
        <f ca="1">COUNTIF(dict_zul_Var_Meth[ID_Variables], table_Variables[[#This Row],[ID]]) &gt; 0</f>
        <v>1</v>
      </c>
    </row>
    <row r="159" spans="1:4" hidden="1" x14ac:dyDescent="0.45">
      <c r="A159">
        <v>157</v>
      </c>
      <c r="B159" t="s">
        <v>297</v>
      </c>
      <c r="C159">
        <v>0.75900000000000001</v>
      </c>
      <c r="D159" t="b">
        <f ca="1">COUNTIF(dict_zul_Var_Meth[ID_Variables], table_Variables[[#This Row],[ID]]) &gt; 0</f>
        <v>1</v>
      </c>
    </row>
    <row r="160" spans="1:4" hidden="1" x14ac:dyDescent="0.45">
      <c r="A160">
        <v>158</v>
      </c>
      <c r="B160" t="s">
        <v>298</v>
      </c>
      <c r="C160">
        <v>0.442</v>
      </c>
      <c r="D160" t="b">
        <f ca="1">COUNTIF(dict_zul_Var_Meth[ID_Variables], table_Variables[[#This Row],[ID]]) &gt; 0</f>
        <v>1</v>
      </c>
    </row>
    <row r="161" spans="1:4" hidden="1" x14ac:dyDescent="0.45">
      <c r="A161">
        <v>159</v>
      </c>
      <c r="B161" t="s">
        <v>299</v>
      </c>
      <c r="C161">
        <v>0.61299999999999999</v>
      </c>
      <c r="D161" t="b">
        <f ca="1">COUNTIF(dict_zul_Var_Meth[ID_Variables], table_Variables[[#This Row],[ID]]) &gt; 0</f>
        <v>1</v>
      </c>
    </row>
    <row r="162" spans="1:4" hidden="1" x14ac:dyDescent="0.45">
      <c r="A162">
        <v>160</v>
      </c>
      <c r="B162" t="s">
        <v>300</v>
      </c>
      <c r="C162">
        <v>0.436</v>
      </c>
      <c r="D162" t="b">
        <f ca="1">COUNTIF(dict_zul_Var_Meth[ID_Variables], table_Variables[[#This Row],[ID]]) &gt; 0</f>
        <v>1</v>
      </c>
    </row>
    <row r="163" spans="1:4" hidden="1" x14ac:dyDescent="0.45">
      <c r="A163">
        <v>161</v>
      </c>
      <c r="B163" t="s">
        <v>301</v>
      </c>
      <c r="C163">
        <v>0.63200000000000001</v>
      </c>
      <c r="D163" t="b">
        <f ca="1">COUNTIF(dict_zul_Var_Meth[ID_Variables], table_Variables[[#This Row],[ID]]) &gt; 0</f>
        <v>1</v>
      </c>
    </row>
    <row r="164" spans="1:4" hidden="1" x14ac:dyDescent="0.45">
      <c r="A164">
        <v>162</v>
      </c>
      <c r="B164" t="s">
        <v>302</v>
      </c>
      <c r="C164">
        <v>0.109</v>
      </c>
      <c r="D164" t="b">
        <f ca="1">COUNTIF(dict_zul_Var_Meth[ID_Variables], table_Variables[[#This Row],[ID]]) &gt; 0</f>
        <v>1</v>
      </c>
    </row>
    <row r="165" spans="1:4" hidden="1" x14ac:dyDescent="0.45">
      <c r="A165">
        <v>163</v>
      </c>
      <c r="B165" t="s">
        <v>303</v>
      </c>
      <c r="C165">
        <v>3.3000000000000002E-2</v>
      </c>
      <c r="D165" t="b">
        <f ca="1">COUNTIF(dict_zul_Var_Meth[ID_Variables], table_Variables[[#This Row],[ID]]) &gt; 0</f>
        <v>1</v>
      </c>
    </row>
    <row r="166" spans="1:4" hidden="1" x14ac:dyDescent="0.45">
      <c r="A166">
        <v>164</v>
      </c>
      <c r="B166" t="s">
        <v>304</v>
      </c>
      <c r="C166">
        <v>0.69299999999999995</v>
      </c>
      <c r="D166" t="b">
        <f ca="1">COUNTIF(dict_zul_Var_Meth[ID_Variables], table_Variables[[#This Row],[ID]]) &gt; 0</f>
        <v>1</v>
      </c>
    </row>
    <row r="167" spans="1:4" hidden="1" x14ac:dyDescent="0.45">
      <c r="A167">
        <v>165</v>
      </c>
      <c r="B167" t="s">
        <v>305</v>
      </c>
      <c r="C167">
        <v>0.57699999999999996</v>
      </c>
      <c r="D167" t="b">
        <f ca="1">COUNTIF(dict_zul_Var_Meth[ID_Variables], table_Variables[[#This Row],[ID]]) &gt; 0</f>
        <v>1</v>
      </c>
    </row>
    <row r="168" spans="1:4" hidden="1" x14ac:dyDescent="0.45">
      <c r="A168">
        <v>166</v>
      </c>
      <c r="B168" t="s">
        <v>306</v>
      </c>
      <c r="C168">
        <v>0.879</v>
      </c>
      <c r="D168" t="b">
        <f ca="1">COUNTIF(dict_zul_Var_Meth[ID_Variables], table_Variables[[#This Row],[ID]]) &gt; 0</f>
        <v>1</v>
      </c>
    </row>
    <row r="169" spans="1:4" hidden="1" x14ac:dyDescent="0.45">
      <c r="A169">
        <v>167</v>
      </c>
      <c r="B169" t="s">
        <v>307</v>
      </c>
      <c r="C169">
        <v>0.83199999999999996</v>
      </c>
      <c r="D169" t="b">
        <f ca="1">COUNTIF(dict_zul_Var_Meth[ID_Variables], table_Variables[[#This Row],[ID]]) &gt; 0</f>
        <v>1</v>
      </c>
    </row>
    <row r="170" spans="1:4" hidden="1" x14ac:dyDescent="0.45">
      <c r="A170">
        <v>168</v>
      </c>
      <c r="B170" t="s">
        <v>308</v>
      </c>
      <c r="C170">
        <v>0.94299999999999995</v>
      </c>
      <c r="D170" t="b">
        <f ca="1">COUNTIF(dict_zul_Var_Meth[ID_Variables], table_Variables[[#This Row],[ID]]) &gt; 0</f>
        <v>1</v>
      </c>
    </row>
    <row r="171" spans="1:4" hidden="1" x14ac:dyDescent="0.45">
      <c r="A171">
        <v>169</v>
      </c>
      <c r="B171" t="s">
        <v>309</v>
      </c>
      <c r="C171">
        <v>0.78200000000000003</v>
      </c>
      <c r="D171" t="b">
        <f ca="1">COUNTIF(dict_zul_Var_Meth[ID_Variables], table_Variables[[#This Row],[ID]]) &gt; 0</f>
        <v>1</v>
      </c>
    </row>
    <row r="172" spans="1:4" hidden="1" x14ac:dyDescent="0.45">
      <c r="A172">
        <v>170</v>
      </c>
      <c r="B172" t="s">
        <v>310</v>
      </c>
      <c r="C172">
        <v>0.245</v>
      </c>
      <c r="D172" t="b">
        <f ca="1">COUNTIF(dict_zul_Var_Meth[ID_Variables], table_Variables[[#This Row],[ID]]) &gt; 0</f>
        <v>1</v>
      </c>
    </row>
    <row r="173" spans="1:4" hidden="1" x14ac:dyDescent="0.45">
      <c r="A173">
        <v>171</v>
      </c>
      <c r="B173" t="s">
        <v>311</v>
      </c>
      <c r="C173">
        <v>0.65300000000000002</v>
      </c>
      <c r="D173" t="b">
        <f ca="1">COUNTIF(dict_zul_Var_Meth[ID_Variables], table_Variables[[#This Row],[ID]]) &gt; 0</f>
        <v>1</v>
      </c>
    </row>
    <row r="174" spans="1:4" hidden="1" x14ac:dyDescent="0.45">
      <c r="A174">
        <v>172</v>
      </c>
      <c r="B174" t="s">
        <v>312</v>
      </c>
      <c r="C174">
        <v>0.61</v>
      </c>
      <c r="D174" t="b">
        <f ca="1">COUNTIF(dict_zul_Var_Meth[ID_Variables], table_Variables[[#This Row],[ID]]) &gt; 0</f>
        <v>1</v>
      </c>
    </row>
    <row r="175" spans="1:4" hidden="1" x14ac:dyDescent="0.45">
      <c r="A175">
        <v>173</v>
      </c>
      <c r="B175" t="s">
        <v>313</v>
      </c>
      <c r="C175">
        <v>0.85499999999999998</v>
      </c>
      <c r="D175" t="b">
        <f ca="1">COUNTIF(dict_zul_Var_Meth[ID_Variables], table_Variables[[#This Row],[ID]]) &gt; 0</f>
        <v>1</v>
      </c>
    </row>
    <row r="176" spans="1:4" hidden="1" x14ac:dyDescent="0.45">
      <c r="A176">
        <v>174</v>
      </c>
      <c r="B176" t="s">
        <v>314</v>
      </c>
      <c r="C176">
        <v>0.17599999999999999</v>
      </c>
      <c r="D176" t="b">
        <f ca="1">COUNTIF(dict_zul_Var_Meth[ID_Variables], table_Variables[[#This Row],[ID]]) &gt; 0</f>
        <v>1</v>
      </c>
    </row>
    <row r="177" spans="1:4" hidden="1" x14ac:dyDescent="0.45">
      <c r="A177">
        <v>175</v>
      </c>
      <c r="B177" t="s">
        <v>315</v>
      </c>
      <c r="C177">
        <v>0.93799999999999994</v>
      </c>
      <c r="D177" t="b">
        <f ca="1">COUNTIF(dict_zul_Var_Meth[ID_Variables], table_Variables[[#This Row],[ID]]) &gt; 0</f>
        <v>1</v>
      </c>
    </row>
    <row r="178" spans="1:4" hidden="1" x14ac:dyDescent="0.45">
      <c r="A178">
        <v>176</v>
      </c>
      <c r="B178" t="s">
        <v>316</v>
      </c>
      <c r="C178">
        <v>0.436</v>
      </c>
      <c r="D178" t="b">
        <f ca="1">COUNTIF(dict_zul_Var_Meth[ID_Variables], table_Variables[[#This Row],[ID]]) &gt; 0</f>
        <v>1</v>
      </c>
    </row>
    <row r="179" spans="1:4" hidden="1" x14ac:dyDescent="0.45">
      <c r="A179">
        <v>177</v>
      </c>
      <c r="B179" t="s">
        <v>317</v>
      </c>
      <c r="C179">
        <v>1.7000000000000001E-2</v>
      </c>
      <c r="D179" t="b">
        <f ca="1">COUNTIF(dict_zul_Var_Meth[ID_Variables], table_Variables[[#This Row],[ID]]) &gt; 0</f>
        <v>1</v>
      </c>
    </row>
    <row r="180" spans="1:4" hidden="1" x14ac:dyDescent="0.45">
      <c r="A180">
        <v>178</v>
      </c>
      <c r="B180" t="s">
        <v>318</v>
      </c>
      <c r="C180">
        <v>8.3000000000000004E-2</v>
      </c>
      <c r="D180" t="b">
        <f ca="1">COUNTIF(dict_zul_Var_Meth[ID_Variables], table_Variables[[#This Row],[ID]]) &gt; 0</f>
        <v>1</v>
      </c>
    </row>
    <row r="181" spans="1:4" hidden="1" x14ac:dyDescent="0.45">
      <c r="A181">
        <v>179</v>
      </c>
      <c r="B181" t="s">
        <v>319</v>
      </c>
      <c r="C181">
        <v>0.27900000000000003</v>
      </c>
      <c r="D181" t="b">
        <f ca="1">COUNTIF(dict_zul_Var_Meth[ID_Variables], table_Variables[[#This Row],[ID]]) &gt; 0</f>
        <v>1</v>
      </c>
    </row>
    <row r="182" spans="1:4" hidden="1" x14ac:dyDescent="0.45">
      <c r="A182">
        <v>180</v>
      </c>
      <c r="B182" t="s">
        <v>320</v>
      </c>
      <c r="C182">
        <v>0.94199999999999995</v>
      </c>
      <c r="D182" t="b">
        <f ca="1">COUNTIF(dict_zul_Var_Meth[ID_Variables], table_Variables[[#This Row],[ID]]) &gt; 0</f>
        <v>1</v>
      </c>
    </row>
    <row r="183" spans="1:4" hidden="1" x14ac:dyDescent="0.45">
      <c r="A183">
        <v>181</v>
      </c>
      <c r="B183" t="s">
        <v>321</v>
      </c>
      <c r="C183">
        <v>0.20300000000000001</v>
      </c>
      <c r="D183" t="b">
        <f ca="1">COUNTIF(dict_zul_Var_Meth[ID_Variables], table_Variables[[#This Row],[ID]]) &gt; 0</f>
        <v>1</v>
      </c>
    </row>
    <row r="184" spans="1:4" hidden="1" x14ac:dyDescent="0.45">
      <c r="A184">
        <v>182</v>
      </c>
      <c r="B184" t="s">
        <v>322</v>
      </c>
      <c r="C184">
        <v>0.66800000000000004</v>
      </c>
      <c r="D184" t="b">
        <f ca="1">COUNTIF(dict_zul_Var_Meth[ID_Variables], table_Variables[[#This Row],[ID]]) &gt; 0</f>
        <v>1</v>
      </c>
    </row>
    <row r="185" spans="1:4" hidden="1" x14ac:dyDescent="0.45">
      <c r="A185">
        <v>183</v>
      </c>
      <c r="B185" t="s">
        <v>323</v>
      </c>
      <c r="C185">
        <v>0.52600000000000002</v>
      </c>
      <c r="D185" t="b">
        <f ca="1">COUNTIF(dict_zul_Var_Meth[ID_Variables], table_Variables[[#This Row],[ID]]) &gt; 0</f>
        <v>1</v>
      </c>
    </row>
    <row r="186" spans="1:4" hidden="1" x14ac:dyDescent="0.45">
      <c r="A186">
        <v>184</v>
      </c>
      <c r="B186" t="s">
        <v>324</v>
      </c>
      <c r="C186">
        <v>0.91</v>
      </c>
      <c r="D186" t="b">
        <f ca="1">COUNTIF(dict_zul_Var_Meth[ID_Variables], table_Variables[[#This Row],[ID]]) &gt; 0</f>
        <v>1</v>
      </c>
    </row>
    <row r="187" spans="1:4" hidden="1" x14ac:dyDescent="0.45">
      <c r="A187">
        <v>185</v>
      </c>
      <c r="B187" t="s">
        <v>325</v>
      </c>
      <c r="C187">
        <v>0.67500000000000004</v>
      </c>
      <c r="D187" t="b">
        <f ca="1">COUNTIF(dict_zul_Var_Meth[ID_Variables], table_Variables[[#This Row],[ID]]) &gt; 0</f>
        <v>1</v>
      </c>
    </row>
    <row r="188" spans="1:4" hidden="1" x14ac:dyDescent="0.45">
      <c r="A188">
        <v>186</v>
      </c>
      <c r="B188" t="s">
        <v>326</v>
      </c>
      <c r="C188">
        <v>0.51800000000000002</v>
      </c>
      <c r="D188" t="b">
        <f ca="1">COUNTIF(dict_zul_Var_Meth[ID_Variables], table_Variables[[#This Row],[ID]]) &gt; 0</f>
        <v>1</v>
      </c>
    </row>
    <row r="189" spans="1:4" hidden="1" x14ac:dyDescent="0.45">
      <c r="A189">
        <v>187</v>
      </c>
      <c r="B189" t="s">
        <v>327</v>
      </c>
      <c r="C189">
        <v>0.82099999999999995</v>
      </c>
      <c r="D189" t="b">
        <f ca="1">COUNTIF(dict_zul_Var_Meth[ID_Variables], table_Variables[[#This Row],[ID]]) &gt; 0</f>
        <v>1</v>
      </c>
    </row>
    <row r="190" spans="1:4" hidden="1" x14ac:dyDescent="0.45">
      <c r="A190">
        <v>188</v>
      </c>
      <c r="B190" t="s">
        <v>328</v>
      </c>
      <c r="C190">
        <v>0.379</v>
      </c>
      <c r="D190" t="b">
        <f ca="1">COUNTIF(dict_zul_Var_Meth[ID_Variables], table_Variables[[#This Row],[ID]]) &gt; 0</f>
        <v>1</v>
      </c>
    </row>
    <row r="191" spans="1:4" hidden="1" x14ac:dyDescent="0.45">
      <c r="A191">
        <v>189</v>
      </c>
      <c r="B191" t="s">
        <v>329</v>
      </c>
      <c r="C191">
        <v>3.1E-2</v>
      </c>
      <c r="D191" t="b">
        <f ca="1">COUNTIF(dict_zul_Var_Meth[ID_Variables], table_Variables[[#This Row],[ID]]) &gt; 0</f>
        <v>1</v>
      </c>
    </row>
    <row r="192" spans="1:4" hidden="1" x14ac:dyDescent="0.45">
      <c r="A192">
        <v>190</v>
      </c>
      <c r="B192" t="s">
        <v>330</v>
      </c>
      <c r="C192">
        <v>0.05</v>
      </c>
      <c r="D192" t="b">
        <f ca="1">COUNTIF(dict_zul_Var_Meth[ID_Variables], table_Variables[[#This Row],[ID]]) &gt; 0</f>
        <v>1</v>
      </c>
    </row>
    <row r="193" spans="1:4" hidden="1" x14ac:dyDescent="0.45">
      <c r="A193">
        <v>191</v>
      </c>
      <c r="B193" t="s">
        <v>331</v>
      </c>
      <c r="C193">
        <v>0.254</v>
      </c>
      <c r="D193" t="b">
        <f ca="1">COUNTIF(dict_zul_Var_Meth[ID_Variables], table_Variables[[#This Row],[ID]]) &gt; 0</f>
        <v>1</v>
      </c>
    </row>
    <row r="194" spans="1:4" hidden="1" x14ac:dyDescent="0.45">
      <c r="A194">
        <v>192</v>
      </c>
      <c r="B194" t="s">
        <v>332</v>
      </c>
      <c r="C194">
        <v>9.8000000000000004E-2</v>
      </c>
      <c r="D194" t="b">
        <f ca="1">COUNTIF(dict_zul_Var_Meth[ID_Variables], table_Variables[[#This Row],[ID]]) &gt; 0</f>
        <v>1</v>
      </c>
    </row>
    <row r="195" spans="1:4" hidden="1" x14ac:dyDescent="0.45">
      <c r="A195">
        <v>193</v>
      </c>
      <c r="B195" t="s">
        <v>333</v>
      </c>
      <c r="C195">
        <v>0.313</v>
      </c>
      <c r="D195" t="b">
        <f ca="1">COUNTIF(dict_zul_Var_Meth[ID_Variables], table_Variables[[#This Row],[ID]]) &gt; 0</f>
        <v>1</v>
      </c>
    </row>
    <row r="196" spans="1:4" hidden="1" x14ac:dyDescent="0.45">
      <c r="A196">
        <v>194</v>
      </c>
      <c r="B196" t="s">
        <v>334</v>
      </c>
      <c r="C196">
        <v>0.41099999999999998</v>
      </c>
      <c r="D196" t="b">
        <f ca="1">COUNTIF(dict_zul_Var_Meth[ID_Variables], table_Variables[[#This Row],[ID]]) &gt; 0</f>
        <v>1</v>
      </c>
    </row>
    <row r="197" spans="1:4" hidden="1" x14ac:dyDescent="0.45">
      <c r="A197">
        <v>195</v>
      </c>
      <c r="B197" t="s">
        <v>335</v>
      </c>
      <c r="C197">
        <v>0.55600000000000005</v>
      </c>
      <c r="D197" t="b">
        <f ca="1">COUNTIF(dict_zul_Var_Meth[ID_Variables], table_Variables[[#This Row],[ID]]) &gt; 0</f>
        <v>1</v>
      </c>
    </row>
    <row r="198" spans="1:4" hidden="1" x14ac:dyDescent="0.45">
      <c r="A198">
        <v>196</v>
      </c>
      <c r="B198" t="s">
        <v>336</v>
      </c>
      <c r="C198">
        <v>0.16</v>
      </c>
      <c r="D198" t="b">
        <f ca="1">COUNTIF(dict_zul_Var_Meth[ID_Variables], table_Variables[[#This Row],[ID]]) &gt; 0</f>
        <v>1</v>
      </c>
    </row>
    <row r="199" spans="1:4" hidden="1" x14ac:dyDescent="0.45">
      <c r="A199">
        <v>197</v>
      </c>
      <c r="B199" t="s">
        <v>337</v>
      </c>
      <c r="C199">
        <v>2.7E-2</v>
      </c>
      <c r="D199" t="b">
        <f ca="1">COUNTIF(dict_zul_Var_Meth[ID_Variables], table_Variables[[#This Row],[ID]]) &gt; 0</f>
        <v>1</v>
      </c>
    </row>
    <row r="200" spans="1:4" hidden="1" x14ac:dyDescent="0.45">
      <c r="A200">
        <v>198</v>
      </c>
      <c r="B200" t="s">
        <v>338</v>
      </c>
      <c r="C200">
        <v>0.84899999999999998</v>
      </c>
      <c r="D200" t="b">
        <f ca="1">COUNTIF(dict_zul_Var_Meth[ID_Variables], table_Variables[[#This Row],[ID]]) &gt; 0</f>
        <v>1</v>
      </c>
    </row>
    <row r="201" spans="1:4" hidden="1" x14ac:dyDescent="0.45">
      <c r="A201">
        <v>199</v>
      </c>
      <c r="B201" t="s">
        <v>339</v>
      </c>
      <c r="C201">
        <v>1.849</v>
      </c>
      <c r="D201" t="b">
        <f ca="1">COUNTIF(dict_zul_Var_Meth[ID_Variables], table_Variables[[#This Row],[ID]]) &gt; 0</f>
        <v>1</v>
      </c>
    </row>
    <row r="202" spans="1:4" hidden="1" x14ac:dyDescent="0.45">
      <c r="A202">
        <v>200</v>
      </c>
      <c r="B202" t="s">
        <v>340</v>
      </c>
      <c r="C202">
        <v>2.8490000000000002</v>
      </c>
      <c r="D202" t="b">
        <f ca="1">COUNTIF(dict_zul_Var_Meth[ID_Variables], table_Variables[[#This Row],[ID]]) &gt; 0</f>
        <v>1</v>
      </c>
    </row>
  </sheetData>
  <pageMargins left="0.7" right="0.7" top="0.78740157499999996" bottom="0.78740157499999996" header="0.3" footer="0.3"/>
  <pageSetup paperSize="9" scale="91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rgb="FFFFC000"/>
  </sheetPr>
  <dimension ref="A1:O403"/>
  <sheetViews>
    <sheetView topLeftCell="A391" workbookViewId="0">
      <selection activeCell="C416" sqref="C416"/>
    </sheetView>
  </sheetViews>
  <sheetFormatPr baseColWidth="10" defaultRowHeight="14.25" x14ac:dyDescent="0.45"/>
  <cols>
    <col min="1" max="1" width="5.1328125" bestFit="1" customWidth="1"/>
    <col min="2" max="2" width="57.06640625" customWidth="1"/>
    <col min="3" max="3" width="9.73046875" bestFit="1" customWidth="1"/>
    <col min="4" max="4" width="17.86328125" bestFit="1" customWidth="1"/>
    <col min="5" max="5" width="9.73046875" customWidth="1"/>
    <col min="6" max="6" width="9.265625" bestFit="1" customWidth="1"/>
    <col min="7" max="7" width="8.86328125" bestFit="1" customWidth="1"/>
    <col min="8" max="9" width="8.86328125" style="8" customWidth="1"/>
    <col min="10" max="10" width="20.3984375" bestFit="1" customWidth="1"/>
    <col min="11" max="11" width="14.1328125" bestFit="1" customWidth="1"/>
    <col min="12" max="12" width="16.265625" bestFit="1" customWidth="1"/>
  </cols>
  <sheetData>
    <row r="1" spans="1:15" x14ac:dyDescent="0.45">
      <c r="A1" t="s">
        <v>0</v>
      </c>
      <c r="B1" t="s">
        <v>1</v>
      </c>
      <c r="C1" t="s">
        <v>15</v>
      </c>
      <c r="D1" t="s">
        <v>116</v>
      </c>
      <c r="E1" s="1" t="s">
        <v>23</v>
      </c>
      <c r="F1" t="s">
        <v>134</v>
      </c>
      <c r="G1" t="s">
        <v>135</v>
      </c>
      <c r="H1" s="7" t="s">
        <v>132</v>
      </c>
      <c r="I1" s="7" t="s">
        <v>133</v>
      </c>
      <c r="J1" t="s">
        <v>24</v>
      </c>
      <c r="K1" t="s">
        <v>86</v>
      </c>
      <c r="L1" t="s">
        <v>25</v>
      </c>
      <c r="M1" t="s">
        <v>117</v>
      </c>
      <c r="N1" t="s">
        <v>66</v>
      </c>
      <c r="O1" t="s">
        <v>144</v>
      </c>
    </row>
    <row r="2" spans="1:15" x14ac:dyDescent="0.45">
      <c r="A2">
        <v>0</v>
      </c>
      <c r="B2" s="3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0_Frequenz Hz</v>
      </c>
      <c r="C2">
        <v>100</v>
      </c>
      <c r="D2" s="3" t="str">
        <f>VLOOKUP(table_DataQualities[[#This Row],[unit_ID]],table_Units[#All],2)</f>
        <v>Hz</v>
      </c>
      <c r="F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0.65400000000000003</v>
      </c>
      <c r="G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7347.4</v>
      </c>
      <c r="H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0.65400000000000003</v>
      </c>
      <c r="I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7347.4</v>
      </c>
      <c r="K2">
        <f t="shared" ref="K2:K13" ca="1" si="0">ROUND(RAND(),2)</f>
        <v>0.99</v>
      </c>
      <c r="M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" s="3" t="b">
        <f ca="1">VLOOKUP(table_DataQualities[[#This Row],[ID]],dict_zuord_Var_DQ!B:C,2,FALSE)</f>
        <v>1</v>
      </c>
      <c r="O2">
        <f ca="1">RANDBETWEEN(12,50)/10</f>
        <v>3.3</v>
      </c>
    </row>
    <row r="3" spans="1:15" x14ac:dyDescent="0.45">
      <c r="A3">
        <v>1</v>
      </c>
      <c r="B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0_Bildgröße</v>
      </c>
      <c r="C3">
        <f ca="1">RANDBETWEEN(5,10)*100</f>
        <v>1000</v>
      </c>
      <c r="D3" s="3" t="str">
        <f ca="1">VLOOKUP(table_DataQualities[[#This Row],[unit_ID]],table_Units[#All],2)</f>
        <v>bit</v>
      </c>
      <c r="F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9295</v>
      </c>
      <c r="H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</v>
      </c>
      <c r="I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9295</v>
      </c>
      <c r="K3">
        <f t="shared" ca="1" si="0"/>
        <v>0.97</v>
      </c>
      <c r="M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" s="3" t="b">
        <f ca="1">VLOOKUP(table_DataQualities[[#This Row],[ID]],dict_zuord_Var_DQ!B:C,2,FALSE)</f>
        <v>1</v>
      </c>
      <c r="O3">
        <f t="shared" ref="O3:O66" ca="1" si="1">RANDBETWEEN(12,50)/10</f>
        <v>1.4</v>
      </c>
    </row>
    <row r="4" spans="1:15" x14ac:dyDescent="0.45">
      <c r="A4">
        <v>2</v>
      </c>
      <c r="B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1_Frequenz Hz</v>
      </c>
      <c r="C4">
        <v>100</v>
      </c>
      <c r="D4" s="3" t="str">
        <f>VLOOKUP(table_DataQualities[[#This Row],[unit_ID]],table_Units[#All],2)</f>
        <v>Hz</v>
      </c>
      <c r="F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0.439</v>
      </c>
      <c r="G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1614.3</v>
      </c>
      <c r="H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0.439</v>
      </c>
      <c r="I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1614.3</v>
      </c>
      <c r="K4">
        <f t="shared" ca="1" si="0"/>
        <v>0.14000000000000001</v>
      </c>
      <c r="M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" s="3" t="b">
        <f ca="1">VLOOKUP(table_DataQualities[[#This Row],[ID]],dict_zuord_Var_DQ!B:C,2,FALSE)</f>
        <v>1</v>
      </c>
      <c r="O4">
        <f t="shared" ca="1" si="1"/>
        <v>2.2000000000000002</v>
      </c>
    </row>
    <row r="5" spans="1:15" x14ac:dyDescent="0.45">
      <c r="A5">
        <v>3</v>
      </c>
      <c r="B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1_Durchflussmessgenauigkeit cm³/s</v>
      </c>
      <c r="C5">
        <f t="shared" ref="C5" ca="1" si="2">RANDBETWEEN(5,10)*100</f>
        <v>800</v>
      </c>
      <c r="D5" s="3" t="str">
        <f ca="1">VLOOKUP(table_DataQualities[[#This Row],[unit_ID]],table_Units[#All],2)</f>
        <v>+/- cm³/s</v>
      </c>
      <c r="F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0.35099999999999998</v>
      </c>
      <c r="G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4.4999999999999997E-3</v>
      </c>
      <c r="H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4.4999999999999997E-3</v>
      </c>
      <c r="I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0.35099999999999998</v>
      </c>
      <c r="K5">
        <f t="shared" ca="1" si="0"/>
        <v>0.78</v>
      </c>
      <c r="M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" s="3" t="b">
        <f ca="1">VLOOKUP(table_DataQualities[[#This Row],[ID]],dict_zuord_Var_DQ!B:C,2,FALSE)</f>
        <v>1</v>
      </c>
      <c r="O5">
        <f t="shared" ca="1" si="1"/>
        <v>4.8</v>
      </c>
    </row>
    <row r="6" spans="1:15" x14ac:dyDescent="0.45">
      <c r="A6">
        <v>4</v>
      </c>
      <c r="B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2_Frequenz Hz</v>
      </c>
      <c r="C6">
        <v>100</v>
      </c>
      <c r="D6" s="3" t="str">
        <f>VLOOKUP(table_DataQualities[[#This Row],[unit_ID]],table_Units[#All],2)</f>
        <v>Hz</v>
      </c>
      <c r="F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0.78500000000000003</v>
      </c>
      <c r="G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8777.7999999999993</v>
      </c>
      <c r="H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0.78500000000000003</v>
      </c>
      <c r="I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8777.7999999999993</v>
      </c>
      <c r="K6">
        <f t="shared" ca="1" si="0"/>
        <v>0.05</v>
      </c>
      <c r="M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" s="3" t="b">
        <f ca="1">VLOOKUP(table_DataQualities[[#This Row],[ID]],dict_zuord_Var_DQ!B:C,2,FALSE)</f>
        <v>1</v>
      </c>
      <c r="O6">
        <f t="shared" ca="1" si="1"/>
        <v>1.9</v>
      </c>
    </row>
    <row r="7" spans="1:15" x14ac:dyDescent="0.45">
      <c r="A7">
        <v>5</v>
      </c>
      <c r="B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2_Längenmessgenauigkeit mm</v>
      </c>
      <c r="C7">
        <f t="shared" ref="C7" ca="1" si="3">RANDBETWEEN(5,10)*100</f>
        <v>900</v>
      </c>
      <c r="D7" s="3" t="str">
        <f ca="1">VLOOKUP(table_DataQualities[[#This Row],[unit_ID]],table_Units[#All],2)</f>
        <v>+/- mm</v>
      </c>
      <c r="F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2.4500000000000002</v>
      </c>
      <c r="G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8.5999999999999993E-2</v>
      </c>
      <c r="H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8.5999999999999993E-2</v>
      </c>
      <c r="I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2.4500000000000002</v>
      </c>
      <c r="K7">
        <f t="shared" ca="1" si="0"/>
        <v>0.16</v>
      </c>
      <c r="M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" s="3" t="b">
        <f ca="1">VLOOKUP(table_DataQualities[[#This Row],[ID]],dict_zuord_Var_DQ!B:C,2,FALSE)</f>
        <v>1</v>
      </c>
      <c r="O7">
        <f t="shared" ca="1" si="1"/>
        <v>3.3</v>
      </c>
    </row>
    <row r="8" spans="1:15" x14ac:dyDescent="0.45">
      <c r="A8">
        <v>6</v>
      </c>
      <c r="B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3_Frequenz Hz</v>
      </c>
      <c r="C8">
        <v>100</v>
      </c>
      <c r="D8" s="3" t="str">
        <f>VLOOKUP(table_DataQualities[[#This Row],[unit_ID]],table_Units[#All],2)</f>
        <v>Hz</v>
      </c>
      <c r="F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0.97699999999999998</v>
      </c>
      <c r="G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4716.2</v>
      </c>
      <c r="H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0.97699999999999998</v>
      </c>
      <c r="I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4716.2</v>
      </c>
      <c r="K8">
        <f t="shared" ca="1" si="0"/>
        <v>0.61</v>
      </c>
      <c r="M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" s="3" t="b">
        <f ca="1">VLOOKUP(table_DataQualities[[#This Row],[ID]],dict_zuord_Var_DQ!B:C,2,FALSE)</f>
        <v>1</v>
      </c>
      <c r="O8">
        <f t="shared" ca="1" si="1"/>
        <v>4.0999999999999996</v>
      </c>
    </row>
    <row r="9" spans="1:15" x14ac:dyDescent="0.45">
      <c r="A9">
        <v>7</v>
      </c>
      <c r="B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3_Geschwindigkeitsmessgenauigkeit mm/s</v>
      </c>
      <c r="C9">
        <f ca="1">RANDBETWEEN(5,10)*100</f>
        <v>700</v>
      </c>
      <c r="D9" s="3" t="str">
        <f ca="1">VLOOKUP(table_DataQualities[[#This Row],[unit_ID]],table_Units[#All],2)</f>
        <v>+/- mm/s</v>
      </c>
      <c r="F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1.9</v>
      </c>
      <c r="G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0.03</v>
      </c>
      <c r="H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0.03</v>
      </c>
      <c r="I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1.9</v>
      </c>
      <c r="K9">
        <f t="shared" ca="1" si="0"/>
        <v>0.35</v>
      </c>
      <c r="M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" s="3" t="b">
        <f ca="1">VLOOKUP(table_DataQualities[[#This Row],[ID]],dict_zuord_Var_DQ!B:C,2,FALSE)</f>
        <v>1</v>
      </c>
      <c r="O9">
        <f t="shared" ca="1" si="1"/>
        <v>4.7</v>
      </c>
    </row>
    <row r="10" spans="1:15" x14ac:dyDescent="0.45">
      <c r="A10">
        <v>8</v>
      </c>
      <c r="B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4_Frequenz Hz</v>
      </c>
      <c r="C10">
        <v>100</v>
      </c>
      <c r="D10" s="3" t="str">
        <f>VLOOKUP(table_DataQualities[[#This Row],[unit_ID]],table_Units[#All],2)</f>
        <v>Hz</v>
      </c>
      <c r="F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0.105</v>
      </c>
      <c r="G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4955.3999999999996</v>
      </c>
      <c r="H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0.105</v>
      </c>
      <c r="I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4955.3999999999996</v>
      </c>
      <c r="K10">
        <f t="shared" ca="1" si="0"/>
        <v>0.14000000000000001</v>
      </c>
      <c r="M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" s="3" t="b">
        <f ca="1">VLOOKUP(table_DataQualities[[#This Row],[ID]],dict_zuord_Var_DQ!B:C,2,FALSE)</f>
        <v>1</v>
      </c>
      <c r="O10">
        <f t="shared" ca="1" si="1"/>
        <v>2.8</v>
      </c>
    </row>
    <row r="11" spans="1:15" x14ac:dyDescent="0.45">
      <c r="A11">
        <v>9</v>
      </c>
      <c r="B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4_Leistungsmessgenauigkeit W</v>
      </c>
      <c r="C11">
        <f t="shared" ref="C11" ca="1" si="4">RANDBETWEEN(5,10)*100</f>
        <v>600</v>
      </c>
      <c r="D11" s="3" t="str">
        <f ca="1">VLOOKUP(table_DataQualities[[#This Row],[unit_ID]],table_Units[#All],2)</f>
        <v>+/- W</v>
      </c>
      <c r="F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1.59</v>
      </c>
      <c r="G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5.3999999999999999E-2</v>
      </c>
      <c r="H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5.3999999999999999E-2</v>
      </c>
      <c r="I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1.59</v>
      </c>
      <c r="K11">
        <f t="shared" ca="1" si="0"/>
        <v>0.82</v>
      </c>
      <c r="M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" s="3" t="b">
        <f ca="1">VLOOKUP(table_DataQualities[[#This Row],[ID]],dict_zuord_Var_DQ!B:C,2,FALSE)</f>
        <v>1</v>
      </c>
      <c r="O11">
        <f t="shared" ca="1" si="1"/>
        <v>3.5</v>
      </c>
    </row>
    <row r="12" spans="1:15" x14ac:dyDescent="0.45">
      <c r="A12">
        <v>10</v>
      </c>
      <c r="B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5_Frequenz Hz</v>
      </c>
      <c r="C12">
        <v>100</v>
      </c>
      <c r="D12" s="3" t="str">
        <f>VLOOKUP(table_DataQualities[[#This Row],[unit_ID]],table_Units[#All],2)</f>
        <v>Hz</v>
      </c>
      <c r="F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0.42799999999999999</v>
      </c>
      <c r="G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4034.6</v>
      </c>
      <c r="H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0.42799999999999999</v>
      </c>
      <c r="I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4034.6</v>
      </c>
      <c r="K12">
        <f t="shared" ca="1" si="0"/>
        <v>0.11</v>
      </c>
      <c r="M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" s="3" t="b">
        <f ca="1">VLOOKUP(table_DataQualities[[#This Row],[ID]],dict_zuord_Var_DQ!B:C,2,FALSE)</f>
        <v>1</v>
      </c>
      <c r="O12">
        <f t="shared" ca="1" si="1"/>
        <v>1.4</v>
      </c>
    </row>
    <row r="13" spans="1:15" x14ac:dyDescent="0.45">
      <c r="A13">
        <v>11</v>
      </c>
      <c r="B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5_Bildgröße</v>
      </c>
      <c r="C13">
        <f t="shared" ref="C13" ca="1" si="5">RANDBETWEEN(5,10)*100</f>
        <v>1000</v>
      </c>
      <c r="D13" s="3" t="str">
        <f ca="1">VLOOKUP(table_DataQualities[[#This Row],[unit_ID]],table_Units[#All],2)</f>
        <v>bit</v>
      </c>
      <c r="F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4671</v>
      </c>
      <c r="H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4671</v>
      </c>
      <c r="K13">
        <f t="shared" ca="1" si="0"/>
        <v>0.15</v>
      </c>
      <c r="M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" s="3" t="b">
        <f ca="1">VLOOKUP(table_DataQualities[[#This Row],[ID]],dict_zuord_Var_DQ!B:C,2,FALSE)</f>
        <v>1</v>
      </c>
      <c r="O13">
        <f t="shared" ca="1" si="1"/>
        <v>4.5999999999999996</v>
      </c>
    </row>
    <row r="14" spans="1:15" x14ac:dyDescent="0.45">
      <c r="A14">
        <v>12</v>
      </c>
      <c r="B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6_Frequenz Hz</v>
      </c>
      <c r="C14">
        <v>100</v>
      </c>
      <c r="D14" s="3" t="str">
        <f>VLOOKUP(table_DataQualities[[#This Row],[unit_ID]],table_Units[#All],2)</f>
        <v>Hz</v>
      </c>
      <c r="F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0.216</v>
      </c>
      <c r="G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7738.5</v>
      </c>
      <c r="H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0.216</v>
      </c>
      <c r="I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7738.5</v>
      </c>
      <c r="K14">
        <f ca="1">ROUND(RAND(),2)</f>
        <v>0.36</v>
      </c>
      <c r="M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" s="3" t="b">
        <f ca="1">VLOOKUP(table_DataQualities[[#This Row],[ID]],dict_zuord_Var_DQ!B:C,2,FALSE)</f>
        <v>1</v>
      </c>
      <c r="O14">
        <f t="shared" ca="1" si="1"/>
        <v>4.5</v>
      </c>
    </row>
    <row r="15" spans="1:15" x14ac:dyDescent="0.45">
      <c r="A15">
        <v>13</v>
      </c>
      <c r="B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6_Längenmessgenauigkeit mm</v>
      </c>
      <c r="C15">
        <f ca="1">RANDBETWEEN(5,10)*100</f>
        <v>900</v>
      </c>
      <c r="D15" s="3" t="str">
        <f ca="1">VLOOKUP(table_DataQualities[[#This Row],[unit_ID]],table_Units[#All],2)</f>
        <v>+/- mm</v>
      </c>
      <c r="F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1.9E-2</v>
      </c>
      <c r="H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1.9E-2</v>
      </c>
      <c r="I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15">
        <f t="shared" ref="K15:K78" ca="1" si="6">ROUND(RAND(),2)</f>
        <v>0.81</v>
      </c>
      <c r="M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" s="3" t="b">
        <f ca="1">VLOOKUP(table_DataQualities[[#This Row],[ID]],dict_zuord_Var_DQ!B:C,2,FALSE)</f>
        <v>1</v>
      </c>
      <c r="O15">
        <f t="shared" ca="1" si="1"/>
        <v>1.7</v>
      </c>
    </row>
    <row r="16" spans="1:15" x14ac:dyDescent="0.45">
      <c r="A16">
        <v>14</v>
      </c>
      <c r="B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7_Frequenz Hz</v>
      </c>
      <c r="C16">
        <v>100</v>
      </c>
      <c r="D16" s="3" t="str">
        <f>VLOOKUP(table_DataQualities[[#This Row],[unit_ID]],table_Units[#All],2)</f>
        <v>Hz</v>
      </c>
      <c r="F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1.0999999999999999E-2</v>
      </c>
      <c r="G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7470.4</v>
      </c>
      <c r="H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1.0999999999999999E-2</v>
      </c>
      <c r="I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7470.4</v>
      </c>
      <c r="K16">
        <f t="shared" ca="1" si="6"/>
        <v>0.67</v>
      </c>
      <c r="M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" s="3" t="b">
        <f ca="1">VLOOKUP(table_DataQualities[[#This Row],[ID]],dict_zuord_Var_DQ!B:C,2,FALSE)</f>
        <v>1</v>
      </c>
      <c r="O16">
        <f t="shared" ca="1" si="1"/>
        <v>4.5999999999999996</v>
      </c>
    </row>
    <row r="17" spans="1:15" x14ac:dyDescent="0.45">
      <c r="A17">
        <v>15</v>
      </c>
      <c r="B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7_Temperaturmessgenauigkeit °C</v>
      </c>
      <c r="C17">
        <f t="shared" ref="C17:C27" ca="1" si="7">RANDBETWEEN(5,10)*100</f>
        <v>500</v>
      </c>
      <c r="D17" s="3" t="str">
        <f ca="1">VLOOKUP(table_DataQualities[[#This Row],[unit_ID]],table_Units[#All],2)</f>
        <v>+/- °C</v>
      </c>
      <c r="F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17">
        <f t="shared" ca="1" si="6"/>
        <v>0.6</v>
      </c>
      <c r="M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" s="3" t="b">
        <f ca="1">VLOOKUP(table_DataQualities[[#This Row],[ID]],dict_zuord_Var_DQ!B:C,2,FALSE)</f>
        <v>1</v>
      </c>
      <c r="O17">
        <f t="shared" ca="1" si="1"/>
        <v>1.4</v>
      </c>
    </row>
    <row r="18" spans="1:15" x14ac:dyDescent="0.45">
      <c r="A18">
        <v>16</v>
      </c>
      <c r="B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8_Frequenz Hz</v>
      </c>
      <c r="C18">
        <v>100</v>
      </c>
      <c r="D18" s="3" t="str">
        <f>VLOOKUP(table_DataQualities[[#This Row],[unit_ID]],table_Units[#All],2)</f>
        <v>Hz</v>
      </c>
      <c r="F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0.91100000000000003</v>
      </c>
      <c r="G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3092.7</v>
      </c>
      <c r="H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0.91100000000000003</v>
      </c>
      <c r="I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3092.7</v>
      </c>
      <c r="K18">
        <f t="shared" ca="1" si="6"/>
        <v>1</v>
      </c>
      <c r="M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" s="3" t="b">
        <f ca="1">VLOOKUP(table_DataQualities[[#This Row],[ID]],dict_zuord_Var_DQ!B:C,2,FALSE)</f>
        <v>0</v>
      </c>
      <c r="O18">
        <f t="shared" ca="1" si="1"/>
        <v>3.3</v>
      </c>
    </row>
    <row r="19" spans="1:15" x14ac:dyDescent="0.45">
      <c r="A19">
        <v>17</v>
      </c>
      <c r="B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8_Durchflussmessgenauigkeit cm³/s</v>
      </c>
      <c r="C19">
        <f t="shared" ref="C19" ca="1" si="8">RANDBETWEEN(5,10)*100</f>
        <v>800</v>
      </c>
      <c r="D19" s="3" t="str">
        <f ca="1">VLOOKUP(table_DataQualities[[#This Row],[unit_ID]],table_Units[#All],2)</f>
        <v>+/- cm³/s</v>
      </c>
      <c r="F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0.88300000000000001</v>
      </c>
      <c r="G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6.0000000000000001E-3</v>
      </c>
      <c r="H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6.0000000000000001E-3</v>
      </c>
      <c r="I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0.88300000000000001</v>
      </c>
      <c r="K19">
        <f t="shared" ca="1" si="6"/>
        <v>0.28000000000000003</v>
      </c>
      <c r="M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" s="3" t="b">
        <f ca="1">VLOOKUP(table_DataQualities[[#This Row],[ID]],dict_zuord_Var_DQ!B:C,2,FALSE)</f>
        <v>0</v>
      </c>
      <c r="O19">
        <f t="shared" ca="1" si="1"/>
        <v>3.3</v>
      </c>
    </row>
    <row r="20" spans="1:15" x14ac:dyDescent="0.45">
      <c r="A20">
        <v>18</v>
      </c>
      <c r="B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9_Frequenz Hz</v>
      </c>
      <c r="C20">
        <v>100</v>
      </c>
      <c r="D20" s="3" t="str">
        <f>VLOOKUP(table_DataQualities[[#This Row],[unit_ID]],table_Units[#All],2)</f>
        <v>Hz</v>
      </c>
      <c r="F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0.28199999999999997</v>
      </c>
      <c r="G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4725.5</v>
      </c>
      <c r="H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0.28199999999999997</v>
      </c>
      <c r="I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4725.5</v>
      </c>
      <c r="K20">
        <f t="shared" ca="1" si="6"/>
        <v>0.75</v>
      </c>
      <c r="M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" s="3" t="b">
        <f ca="1">VLOOKUP(table_DataQualities[[#This Row],[ID]],dict_zuord_Var_DQ!B:C,2,FALSE)</f>
        <v>0</v>
      </c>
      <c r="O20">
        <f t="shared" ca="1" si="1"/>
        <v>2.4</v>
      </c>
    </row>
    <row r="21" spans="1:15" x14ac:dyDescent="0.45">
      <c r="A21">
        <v>19</v>
      </c>
      <c r="B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9_Durchflussmessgenauigkeit cm³/s</v>
      </c>
      <c r="C21">
        <f t="shared" ca="1" si="7"/>
        <v>800</v>
      </c>
      <c r="D21" s="3" t="str">
        <f ca="1">VLOOKUP(table_DataQualities[[#This Row],[unit_ID]],table_Units[#All],2)</f>
        <v>+/- cm³/s</v>
      </c>
      <c r="F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0.73299999999999998</v>
      </c>
      <c r="G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5.1000000000000004E-3</v>
      </c>
      <c r="H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5.1000000000000004E-3</v>
      </c>
      <c r="I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0.73299999999999998</v>
      </c>
      <c r="K21">
        <f t="shared" ca="1" si="6"/>
        <v>0.36</v>
      </c>
      <c r="M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" s="3" t="b">
        <f ca="1">VLOOKUP(table_DataQualities[[#This Row],[ID]],dict_zuord_Var_DQ!B:C,2,FALSE)</f>
        <v>0</v>
      </c>
      <c r="O21">
        <f t="shared" ca="1" si="1"/>
        <v>1.2</v>
      </c>
    </row>
    <row r="22" spans="1:15" x14ac:dyDescent="0.45">
      <c r="A22">
        <v>20</v>
      </c>
      <c r="B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10_Frequenz Hz</v>
      </c>
      <c r="C22">
        <v>100</v>
      </c>
      <c r="D22" s="3" t="str">
        <f>VLOOKUP(table_DataQualities[[#This Row],[unit_ID]],table_Units[#All],2)</f>
        <v>Hz</v>
      </c>
      <c r="F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0.29799999999999999</v>
      </c>
      <c r="G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5014.7</v>
      </c>
      <c r="H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0.29799999999999999</v>
      </c>
      <c r="I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5014.7</v>
      </c>
      <c r="K22">
        <f t="shared" ca="1" si="6"/>
        <v>0.37</v>
      </c>
      <c r="M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" s="3" t="b">
        <f ca="1">VLOOKUP(table_DataQualities[[#This Row],[ID]],dict_zuord_Var_DQ!B:C,2,FALSE)</f>
        <v>0</v>
      </c>
      <c r="O22">
        <f t="shared" ca="1" si="1"/>
        <v>4.2</v>
      </c>
    </row>
    <row r="23" spans="1:15" x14ac:dyDescent="0.45">
      <c r="A23">
        <v>21</v>
      </c>
      <c r="B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10_Leistungsmessgenauigkeit W</v>
      </c>
      <c r="C23">
        <f t="shared" ref="C23" ca="1" si="9">RANDBETWEEN(5,10)*100</f>
        <v>600</v>
      </c>
      <c r="D23" s="3" t="str">
        <f ca="1">VLOOKUP(table_DataQualities[[#This Row],[unit_ID]],table_Units[#All],2)</f>
        <v>+/- W</v>
      </c>
      <c r="F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2.42</v>
      </c>
      <c r="G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6.5000000000000002E-2</v>
      </c>
      <c r="H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6.5000000000000002E-2</v>
      </c>
      <c r="I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2.42</v>
      </c>
      <c r="K23">
        <f t="shared" ca="1" si="6"/>
        <v>0.16</v>
      </c>
      <c r="M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" s="3" t="b">
        <f ca="1">VLOOKUP(table_DataQualities[[#This Row],[ID]],dict_zuord_Var_DQ!B:C,2,FALSE)</f>
        <v>0</v>
      </c>
      <c r="O23">
        <f t="shared" ca="1" si="1"/>
        <v>3.8</v>
      </c>
    </row>
    <row r="24" spans="1:15" x14ac:dyDescent="0.45">
      <c r="A24">
        <v>22</v>
      </c>
      <c r="B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11_Frequenz Hz</v>
      </c>
      <c r="C24">
        <v>100</v>
      </c>
      <c r="D24" s="3" t="str">
        <f>VLOOKUP(table_DataQualities[[#This Row],[unit_ID]],table_Units[#All],2)</f>
        <v>Hz</v>
      </c>
      <c r="F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</v>
      </c>
      <c r="G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3538.2</v>
      </c>
      <c r="H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</v>
      </c>
      <c r="I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3538.2</v>
      </c>
      <c r="K24">
        <f t="shared" ca="1" si="6"/>
        <v>0.09</v>
      </c>
      <c r="M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" s="3" t="b">
        <f ca="1">VLOOKUP(table_DataQualities[[#This Row],[ID]],dict_zuord_Var_DQ!B:C,2,FALSE)</f>
        <v>0</v>
      </c>
      <c r="O24">
        <f t="shared" ca="1" si="1"/>
        <v>3.5</v>
      </c>
    </row>
    <row r="25" spans="1:15" x14ac:dyDescent="0.45">
      <c r="A25">
        <v>23</v>
      </c>
      <c r="B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11_Leistungsmessgenauigkeit W</v>
      </c>
      <c r="C25">
        <f t="shared" ca="1" si="7"/>
        <v>600</v>
      </c>
      <c r="D25" s="3" t="str">
        <f ca="1">VLOOKUP(table_DataQualities[[#This Row],[unit_ID]],table_Units[#All],2)</f>
        <v>+/- W</v>
      </c>
      <c r="F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7.03</v>
      </c>
      <c r="G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5.0000000000000001E-3</v>
      </c>
      <c r="H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5.0000000000000001E-3</v>
      </c>
      <c r="I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7.03</v>
      </c>
      <c r="K25">
        <f t="shared" ca="1" si="6"/>
        <v>0.59</v>
      </c>
      <c r="M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" s="3" t="b">
        <f ca="1">VLOOKUP(table_DataQualities[[#This Row],[ID]],dict_zuord_Var_DQ!B:C,2,FALSE)</f>
        <v>0</v>
      </c>
      <c r="O25">
        <f t="shared" ca="1" si="1"/>
        <v>1.4</v>
      </c>
    </row>
    <row r="26" spans="1:15" x14ac:dyDescent="0.45">
      <c r="A26">
        <v>24</v>
      </c>
      <c r="B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12_Frequenz Hz</v>
      </c>
      <c r="C26">
        <v>100</v>
      </c>
      <c r="D26" s="3" t="str">
        <f>VLOOKUP(table_DataQualities[[#This Row],[unit_ID]],table_Units[#All],2)</f>
        <v>Hz</v>
      </c>
      <c r="F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0.17299999999999999</v>
      </c>
      <c r="G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9116.7999999999993</v>
      </c>
      <c r="H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0.17299999999999999</v>
      </c>
      <c r="I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9116.7999999999993</v>
      </c>
      <c r="K26">
        <f t="shared" ca="1" si="6"/>
        <v>0.46</v>
      </c>
      <c r="M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" s="3" t="b">
        <f ca="1">VLOOKUP(table_DataQualities[[#This Row],[ID]],dict_zuord_Var_DQ!B:C,2,FALSE)</f>
        <v>0</v>
      </c>
      <c r="O26">
        <f t="shared" ca="1" si="1"/>
        <v>1.3</v>
      </c>
    </row>
    <row r="27" spans="1:15" x14ac:dyDescent="0.45">
      <c r="A27">
        <v>25</v>
      </c>
      <c r="B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12_Längenmessgenauigkeit mm</v>
      </c>
      <c r="C27">
        <f t="shared" ca="1" si="7"/>
        <v>900</v>
      </c>
      <c r="D27" s="3" t="str">
        <f ca="1">VLOOKUP(table_DataQualities[[#This Row],[unit_ID]],table_Units[#All],2)</f>
        <v>+/- mm</v>
      </c>
      <c r="F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1.58</v>
      </c>
      <c r="G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9.6000000000000002E-2</v>
      </c>
      <c r="H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9.6000000000000002E-2</v>
      </c>
      <c r="I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1.58</v>
      </c>
      <c r="K27">
        <f t="shared" ca="1" si="6"/>
        <v>0.04</v>
      </c>
      <c r="M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" s="3" t="b">
        <f ca="1">VLOOKUP(table_DataQualities[[#This Row],[ID]],dict_zuord_Var_DQ!B:C,2,FALSE)</f>
        <v>0</v>
      </c>
      <c r="O27">
        <f t="shared" ca="1" si="1"/>
        <v>3.6</v>
      </c>
    </row>
    <row r="28" spans="1:15" x14ac:dyDescent="0.45">
      <c r="A28">
        <v>26</v>
      </c>
      <c r="B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13_Frequenz Hz</v>
      </c>
      <c r="C28">
        <v>100</v>
      </c>
      <c r="D28" s="3" t="str">
        <f>VLOOKUP(table_DataQualities[[#This Row],[unit_ID]],table_Units[#All],2)</f>
        <v>Hz</v>
      </c>
      <c r="F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0.76500000000000001</v>
      </c>
      <c r="G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6020.6</v>
      </c>
      <c r="H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0.76500000000000001</v>
      </c>
      <c r="I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6020.6</v>
      </c>
      <c r="K28">
        <f t="shared" ca="1" si="6"/>
        <v>0.19</v>
      </c>
      <c r="M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" s="3" t="b">
        <f ca="1">VLOOKUP(table_DataQualities[[#This Row],[ID]],dict_zuord_Var_DQ!B:C,2,FALSE)</f>
        <v>0</v>
      </c>
      <c r="O28">
        <f t="shared" ca="1" si="1"/>
        <v>3</v>
      </c>
    </row>
    <row r="29" spans="1:15" x14ac:dyDescent="0.45">
      <c r="A29">
        <v>27</v>
      </c>
      <c r="B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13_Geschwindigkeitsmessgenauigkeit mm/s</v>
      </c>
      <c r="C29">
        <f ca="1">RANDBETWEEN(5,10)*100</f>
        <v>700</v>
      </c>
      <c r="D29" s="3" t="str">
        <f ca="1">VLOOKUP(table_DataQualities[[#This Row],[unit_ID]],table_Units[#All],2)</f>
        <v>+/- mm/s</v>
      </c>
      <c r="F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7.9</v>
      </c>
      <c r="G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0.13</v>
      </c>
      <c r="H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0.13</v>
      </c>
      <c r="I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7.9</v>
      </c>
      <c r="K29">
        <f t="shared" ca="1" si="6"/>
        <v>0.66</v>
      </c>
      <c r="M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" s="3" t="b">
        <f ca="1">VLOOKUP(table_DataQualities[[#This Row],[ID]],dict_zuord_Var_DQ!B:C,2,FALSE)</f>
        <v>0</v>
      </c>
      <c r="O29">
        <f t="shared" ca="1" si="1"/>
        <v>3.3</v>
      </c>
    </row>
    <row r="30" spans="1:15" x14ac:dyDescent="0.45">
      <c r="A30">
        <v>28</v>
      </c>
      <c r="B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14_Frequenz Hz</v>
      </c>
      <c r="C30">
        <v>100</v>
      </c>
      <c r="D30" s="3" t="str">
        <f>VLOOKUP(table_DataQualities[[#This Row],[unit_ID]],table_Units[#All],2)</f>
        <v>Hz</v>
      </c>
      <c r="F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</v>
      </c>
      <c r="G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5812.8</v>
      </c>
      <c r="H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</v>
      </c>
      <c r="I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5812.8</v>
      </c>
      <c r="K30">
        <f t="shared" ca="1" si="6"/>
        <v>0.66</v>
      </c>
      <c r="M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" s="3" t="b">
        <f ca="1">VLOOKUP(table_DataQualities[[#This Row],[ID]],dict_zuord_Var_DQ!B:C,2,FALSE)</f>
        <v>0</v>
      </c>
      <c r="O30">
        <f t="shared" ca="1" si="1"/>
        <v>5</v>
      </c>
    </row>
    <row r="31" spans="1:15" x14ac:dyDescent="0.45">
      <c r="A31">
        <v>29</v>
      </c>
      <c r="B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14_Längenmessgenauigkeit mm</v>
      </c>
      <c r="C31">
        <f t="shared" ref="C31:C41" ca="1" si="10">RANDBETWEEN(5,10)*100</f>
        <v>900</v>
      </c>
      <c r="D31" s="3" t="str">
        <f ca="1">VLOOKUP(table_DataQualities[[#This Row],[unit_ID]],table_Units[#All],2)</f>
        <v>+/- mm</v>
      </c>
      <c r="F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1.82</v>
      </c>
      <c r="G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0.03</v>
      </c>
      <c r="H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0.03</v>
      </c>
      <c r="I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1.82</v>
      </c>
      <c r="K31">
        <f t="shared" ca="1" si="6"/>
        <v>0.45</v>
      </c>
      <c r="M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" s="3" t="b">
        <f ca="1">VLOOKUP(table_DataQualities[[#This Row],[ID]],dict_zuord_Var_DQ!B:C,2,FALSE)</f>
        <v>0</v>
      </c>
      <c r="O31">
        <f t="shared" ca="1" si="1"/>
        <v>4.4000000000000004</v>
      </c>
    </row>
    <row r="32" spans="1:15" x14ac:dyDescent="0.45">
      <c r="A32">
        <v>30</v>
      </c>
      <c r="B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15_Frequenz Hz</v>
      </c>
      <c r="C32">
        <v>100</v>
      </c>
      <c r="D32" s="3" t="str">
        <f>VLOOKUP(table_DataQualities[[#This Row],[unit_ID]],table_Units[#All],2)</f>
        <v>Hz</v>
      </c>
      <c r="F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0.96499999999999997</v>
      </c>
      <c r="G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1236</v>
      </c>
      <c r="H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0.96499999999999997</v>
      </c>
      <c r="I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1236</v>
      </c>
      <c r="K32">
        <f t="shared" ca="1" si="6"/>
        <v>0.88</v>
      </c>
      <c r="M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" s="3" t="b">
        <f ca="1">VLOOKUP(table_DataQualities[[#This Row],[ID]],dict_zuord_Var_DQ!B:C,2,FALSE)</f>
        <v>0</v>
      </c>
      <c r="O32">
        <f t="shared" ca="1" si="1"/>
        <v>4.5</v>
      </c>
    </row>
    <row r="33" spans="1:15" x14ac:dyDescent="0.45">
      <c r="A33">
        <v>31</v>
      </c>
      <c r="B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15_Geschwindigkeitsmessgenauigkeit mm/s</v>
      </c>
      <c r="C33">
        <f t="shared" ref="C33" ca="1" si="11">RANDBETWEEN(5,10)*100</f>
        <v>700</v>
      </c>
      <c r="D33" s="3" t="str">
        <f ca="1">VLOOKUP(table_DataQualities[[#This Row],[unit_ID]],table_Units[#All],2)</f>
        <v>+/- mm/s</v>
      </c>
      <c r="F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9.5</v>
      </c>
      <c r="G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0.13</v>
      </c>
      <c r="H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0.13</v>
      </c>
      <c r="I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9.5</v>
      </c>
      <c r="K33">
        <f t="shared" ca="1" si="6"/>
        <v>0.83</v>
      </c>
      <c r="M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" s="3" t="b">
        <f ca="1">VLOOKUP(table_DataQualities[[#This Row],[ID]],dict_zuord_Var_DQ!B:C,2,FALSE)</f>
        <v>0</v>
      </c>
      <c r="O33">
        <f t="shared" ca="1" si="1"/>
        <v>1.7</v>
      </c>
    </row>
    <row r="34" spans="1:15" x14ac:dyDescent="0.45">
      <c r="A34">
        <v>32</v>
      </c>
      <c r="B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16_Frequenz Hz</v>
      </c>
      <c r="C34">
        <v>100</v>
      </c>
      <c r="D34" s="3" t="str">
        <f>VLOOKUP(table_DataQualities[[#This Row],[unit_ID]],table_Units[#All],2)</f>
        <v>Hz</v>
      </c>
      <c r="F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0.81699999999999995</v>
      </c>
      <c r="G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1102.2</v>
      </c>
      <c r="H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0.81699999999999995</v>
      </c>
      <c r="I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1102.2</v>
      </c>
      <c r="K34">
        <f t="shared" ca="1" si="6"/>
        <v>0.19</v>
      </c>
      <c r="M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" s="3" t="b">
        <f ca="1">VLOOKUP(table_DataQualities[[#This Row],[ID]],dict_zuord_Var_DQ!B:C,2,FALSE)</f>
        <v>0</v>
      </c>
      <c r="O34">
        <f t="shared" ca="1" si="1"/>
        <v>1.2</v>
      </c>
    </row>
    <row r="35" spans="1:15" x14ac:dyDescent="0.45">
      <c r="A35">
        <v>33</v>
      </c>
      <c r="B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16_Geschwindigkeitsmessgenauigkeit mm/s</v>
      </c>
      <c r="C35">
        <f t="shared" ca="1" si="10"/>
        <v>700</v>
      </c>
      <c r="D35" s="3" t="str">
        <f ca="1">VLOOKUP(table_DataQualities[[#This Row],[unit_ID]],table_Units[#All],2)</f>
        <v>+/- mm/s</v>
      </c>
      <c r="F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0.34</v>
      </c>
      <c r="H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</v>
      </c>
      <c r="I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35">
        <f t="shared" ca="1" si="6"/>
        <v>0.28999999999999998</v>
      </c>
      <c r="M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" s="3" t="b">
        <f ca="1">VLOOKUP(table_DataQualities[[#This Row],[ID]],dict_zuord_Var_DQ!B:C,2,FALSE)</f>
        <v>0</v>
      </c>
      <c r="O35">
        <f t="shared" ca="1" si="1"/>
        <v>5</v>
      </c>
    </row>
    <row r="36" spans="1:15" x14ac:dyDescent="0.45">
      <c r="A36">
        <v>34</v>
      </c>
      <c r="B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17_Frequenz Hz</v>
      </c>
      <c r="C36">
        <v>100</v>
      </c>
      <c r="D36" s="3" t="str">
        <f>VLOOKUP(table_DataQualities[[#This Row],[unit_ID]],table_Units[#All],2)</f>
        <v>Hz</v>
      </c>
      <c r="F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0.879</v>
      </c>
      <c r="G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5072</v>
      </c>
      <c r="H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0.879</v>
      </c>
      <c r="I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5072</v>
      </c>
      <c r="K36">
        <f t="shared" ca="1" si="6"/>
        <v>0.02</v>
      </c>
      <c r="M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" s="3" t="b">
        <f ca="1">VLOOKUP(table_DataQualities[[#This Row],[ID]],dict_zuord_Var_DQ!B:C,2,FALSE)</f>
        <v>0</v>
      </c>
      <c r="O36">
        <f t="shared" ca="1" si="1"/>
        <v>1.7</v>
      </c>
    </row>
    <row r="37" spans="1:15" x14ac:dyDescent="0.45">
      <c r="A37">
        <v>35</v>
      </c>
      <c r="B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17_Geschwindigkeitsmessgenauigkeit mm/s</v>
      </c>
      <c r="C37">
        <f t="shared" ref="C37" ca="1" si="12">RANDBETWEEN(5,10)*100</f>
        <v>700</v>
      </c>
      <c r="D37" s="3" t="str">
        <f ca="1">VLOOKUP(table_DataQualities[[#This Row],[unit_ID]],table_Units[#All],2)</f>
        <v>+/- mm/s</v>
      </c>
      <c r="F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4.0999999999999996</v>
      </c>
      <c r="G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4.0999999999999996</v>
      </c>
      <c r="K37">
        <f t="shared" ca="1" si="6"/>
        <v>0.72</v>
      </c>
      <c r="M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" s="3" t="b">
        <f ca="1">VLOOKUP(table_DataQualities[[#This Row],[ID]],dict_zuord_Var_DQ!B:C,2,FALSE)</f>
        <v>0</v>
      </c>
      <c r="O37">
        <f t="shared" ca="1" si="1"/>
        <v>2.9</v>
      </c>
    </row>
    <row r="38" spans="1:15" x14ac:dyDescent="0.45">
      <c r="A38">
        <v>36</v>
      </c>
      <c r="B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18_Frequenz Hz</v>
      </c>
      <c r="C38">
        <v>100</v>
      </c>
      <c r="D38" s="3" t="str">
        <f>VLOOKUP(table_DataQualities[[#This Row],[unit_ID]],table_Units[#All],2)</f>
        <v>Hz</v>
      </c>
      <c r="F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0.83899999999999997</v>
      </c>
      <c r="G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9077.9</v>
      </c>
      <c r="H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0.83899999999999997</v>
      </c>
      <c r="I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9077.9</v>
      </c>
      <c r="K38">
        <f t="shared" ca="1" si="6"/>
        <v>0.76</v>
      </c>
      <c r="M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" s="3" t="b">
        <f ca="1">VLOOKUP(table_DataQualities[[#This Row],[ID]],dict_zuord_Var_DQ!B:C,2,FALSE)</f>
        <v>0</v>
      </c>
      <c r="O38">
        <f t="shared" ca="1" si="1"/>
        <v>3</v>
      </c>
    </row>
    <row r="39" spans="1:15" x14ac:dyDescent="0.45">
      <c r="A39">
        <v>37</v>
      </c>
      <c r="B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18_Leistungsmessgenauigkeit W</v>
      </c>
      <c r="C39">
        <f t="shared" ca="1" si="10"/>
        <v>600</v>
      </c>
      <c r="D39" s="3" t="str">
        <f ca="1">VLOOKUP(table_DataQualities[[#This Row],[unit_ID]],table_Units[#All],2)</f>
        <v>+/- W</v>
      </c>
      <c r="F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8.5299999999999994</v>
      </c>
      <c r="G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6.8000000000000005E-2</v>
      </c>
      <c r="H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6.8000000000000005E-2</v>
      </c>
      <c r="I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8.5299999999999994</v>
      </c>
      <c r="K39">
        <f t="shared" ca="1" si="6"/>
        <v>0.91</v>
      </c>
      <c r="M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" s="3" t="b">
        <f ca="1">VLOOKUP(table_DataQualities[[#This Row],[ID]],dict_zuord_Var_DQ!B:C,2,FALSE)</f>
        <v>0</v>
      </c>
      <c r="O39">
        <f t="shared" ca="1" si="1"/>
        <v>2.6</v>
      </c>
    </row>
    <row r="40" spans="1:15" x14ac:dyDescent="0.45">
      <c r="A40">
        <v>38</v>
      </c>
      <c r="B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19_Frequenz Hz</v>
      </c>
      <c r="C40">
        <v>100</v>
      </c>
      <c r="D40" s="3" t="str">
        <f>VLOOKUP(table_DataQualities[[#This Row],[unit_ID]],table_Units[#All],2)</f>
        <v>Hz</v>
      </c>
      <c r="F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0.64800000000000002</v>
      </c>
      <c r="G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6893.4</v>
      </c>
      <c r="H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0.64800000000000002</v>
      </c>
      <c r="I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6893.4</v>
      </c>
      <c r="K40">
        <f t="shared" ca="1" si="6"/>
        <v>0.56000000000000005</v>
      </c>
      <c r="M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" s="3" t="b">
        <f ca="1">VLOOKUP(table_DataQualities[[#This Row],[ID]],dict_zuord_Var_DQ!B:C,2,FALSE)</f>
        <v>0</v>
      </c>
      <c r="O40">
        <f t="shared" ca="1" si="1"/>
        <v>4.4000000000000004</v>
      </c>
    </row>
    <row r="41" spans="1:15" x14ac:dyDescent="0.45">
      <c r="A41">
        <v>39</v>
      </c>
      <c r="B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19_Temperaturmessgenauigkeit °C</v>
      </c>
      <c r="C41">
        <f t="shared" ca="1" si="10"/>
        <v>500</v>
      </c>
      <c r="D41" s="3" t="str">
        <f ca="1">VLOOKUP(table_DataQualities[[#This Row],[unit_ID]],table_Units[#All],2)</f>
        <v>+/- °C</v>
      </c>
      <c r="F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41">
        <f t="shared" ca="1" si="6"/>
        <v>0.97</v>
      </c>
      <c r="M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1" s="3" t="b">
        <f ca="1">VLOOKUP(table_DataQualities[[#This Row],[ID]],dict_zuord_Var_DQ!B:C,2,FALSE)</f>
        <v>0</v>
      </c>
      <c r="O41">
        <f t="shared" ca="1" si="1"/>
        <v>2.7</v>
      </c>
    </row>
    <row r="42" spans="1:15" x14ac:dyDescent="0.45">
      <c r="A42">
        <v>40</v>
      </c>
      <c r="B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20_Frequenz Hz</v>
      </c>
      <c r="C42">
        <v>100</v>
      </c>
      <c r="D42" s="3" t="str">
        <f>VLOOKUP(table_DataQualities[[#This Row],[unit_ID]],table_Units[#All],2)</f>
        <v>Hz</v>
      </c>
      <c r="F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8.7999999999999995E-2</v>
      </c>
      <c r="G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3735.4</v>
      </c>
      <c r="H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8.7999999999999995E-2</v>
      </c>
      <c r="I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3735.4</v>
      </c>
      <c r="K42">
        <f t="shared" ca="1" si="6"/>
        <v>0.37</v>
      </c>
      <c r="M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2" s="3" t="b">
        <f ca="1">VLOOKUP(table_DataQualities[[#This Row],[ID]],dict_zuord_Var_DQ!B:C,2,FALSE)</f>
        <v>0</v>
      </c>
      <c r="O42">
        <f t="shared" ca="1" si="1"/>
        <v>4.5999999999999996</v>
      </c>
    </row>
    <row r="43" spans="1:15" x14ac:dyDescent="0.45">
      <c r="A43">
        <v>41</v>
      </c>
      <c r="B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20_Durchflussmessgenauigkeit cm³/s</v>
      </c>
      <c r="C43">
        <f ca="1">RANDBETWEEN(5,10)*100</f>
        <v>800</v>
      </c>
      <c r="D43" s="3" t="str">
        <f ca="1">VLOOKUP(table_DataQualities[[#This Row],[unit_ID]],table_Units[#All],2)</f>
        <v>+/- cm³/s</v>
      </c>
      <c r="F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7.2999999999999995E-2</v>
      </c>
      <c r="G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4.7999999999999996E-3</v>
      </c>
      <c r="H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4.7999999999999996E-3</v>
      </c>
      <c r="I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7.2999999999999995E-2</v>
      </c>
      <c r="K43">
        <f t="shared" ca="1" si="6"/>
        <v>0.92</v>
      </c>
      <c r="M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3" s="3" t="b">
        <f ca="1">VLOOKUP(table_DataQualities[[#This Row],[ID]],dict_zuord_Var_DQ!B:C,2,FALSE)</f>
        <v>0</v>
      </c>
      <c r="O43">
        <f t="shared" ca="1" si="1"/>
        <v>3.4</v>
      </c>
    </row>
    <row r="44" spans="1:15" x14ac:dyDescent="0.45">
      <c r="A44">
        <v>42</v>
      </c>
      <c r="B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21_Frequenz Hz</v>
      </c>
      <c r="C44">
        <v>100</v>
      </c>
      <c r="D44" s="3" t="str">
        <f>VLOOKUP(table_DataQualities[[#This Row],[unit_ID]],table_Units[#All],2)</f>
        <v>Hz</v>
      </c>
      <c r="F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</v>
      </c>
      <c r="G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2384.6</v>
      </c>
      <c r="H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</v>
      </c>
      <c r="I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2384.6</v>
      </c>
      <c r="K44">
        <f t="shared" ca="1" si="6"/>
        <v>0.81</v>
      </c>
      <c r="M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4" s="3" t="b">
        <f ca="1">VLOOKUP(table_DataQualities[[#This Row],[ID]],dict_zuord_Var_DQ!B:C,2,FALSE)</f>
        <v>0</v>
      </c>
      <c r="O44">
        <f t="shared" ca="1" si="1"/>
        <v>2.7</v>
      </c>
    </row>
    <row r="45" spans="1:15" x14ac:dyDescent="0.45">
      <c r="A45">
        <v>43</v>
      </c>
      <c r="B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21_Längenmessgenauigkeit mm</v>
      </c>
      <c r="C45">
        <f t="shared" ref="C45:C55" ca="1" si="13">RANDBETWEEN(5,10)*100</f>
        <v>900</v>
      </c>
      <c r="D45" s="3" t="str">
        <f ca="1">VLOOKUP(table_DataQualities[[#This Row],[unit_ID]],table_Units[#All],2)</f>
        <v>+/- mm</v>
      </c>
      <c r="F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3.61</v>
      </c>
      <c r="G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6.3E-2</v>
      </c>
      <c r="H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6.3E-2</v>
      </c>
      <c r="I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3.61</v>
      </c>
      <c r="K45">
        <f t="shared" ca="1" si="6"/>
        <v>0.71</v>
      </c>
      <c r="M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5" s="3" t="b">
        <f ca="1">VLOOKUP(table_DataQualities[[#This Row],[ID]],dict_zuord_Var_DQ!B:C,2,FALSE)</f>
        <v>0</v>
      </c>
      <c r="O45">
        <f t="shared" ca="1" si="1"/>
        <v>4.9000000000000004</v>
      </c>
    </row>
    <row r="46" spans="1:15" x14ac:dyDescent="0.45">
      <c r="A46">
        <v>44</v>
      </c>
      <c r="B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22_Frequenz Hz</v>
      </c>
      <c r="C46">
        <v>100</v>
      </c>
      <c r="D46" s="3" t="str">
        <f>VLOOKUP(table_DataQualities[[#This Row],[unit_ID]],table_Units[#All],2)</f>
        <v>Hz</v>
      </c>
      <c r="F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0.64700000000000002</v>
      </c>
      <c r="G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3894.3</v>
      </c>
      <c r="H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0.64700000000000002</v>
      </c>
      <c r="I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3894.3</v>
      </c>
      <c r="K46">
        <f t="shared" ca="1" si="6"/>
        <v>0.98</v>
      </c>
      <c r="M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6" s="3" t="b">
        <f ca="1">VLOOKUP(table_DataQualities[[#This Row],[ID]],dict_zuord_Var_DQ!B:C,2,FALSE)</f>
        <v>0</v>
      </c>
      <c r="O46">
        <f t="shared" ca="1" si="1"/>
        <v>2.7</v>
      </c>
    </row>
    <row r="47" spans="1:15" x14ac:dyDescent="0.45">
      <c r="A47">
        <v>45</v>
      </c>
      <c r="B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22_Geschwindigkeitsmessgenauigkeit mm/s</v>
      </c>
      <c r="C47">
        <f t="shared" ref="C47" ca="1" si="14">RANDBETWEEN(5,10)*100</f>
        <v>700</v>
      </c>
      <c r="D47" s="3" t="str">
        <f ca="1">VLOOKUP(table_DataQualities[[#This Row],[unit_ID]],table_Units[#All],2)</f>
        <v>+/- mm/s</v>
      </c>
      <c r="F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4.3</v>
      </c>
      <c r="G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0.93</v>
      </c>
      <c r="H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</v>
      </c>
      <c r="I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4.3</v>
      </c>
      <c r="K47">
        <f t="shared" ca="1" si="6"/>
        <v>0.98</v>
      </c>
      <c r="M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7" s="3" t="b">
        <f ca="1">VLOOKUP(table_DataQualities[[#This Row],[ID]],dict_zuord_Var_DQ!B:C,2,FALSE)</f>
        <v>0</v>
      </c>
      <c r="O47">
        <f t="shared" ca="1" si="1"/>
        <v>2.9</v>
      </c>
    </row>
    <row r="48" spans="1:15" x14ac:dyDescent="0.45">
      <c r="A48">
        <v>46</v>
      </c>
      <c r="B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23_Frequenz Hz</v>
      </c>
      <c r="C48">
        <v>100</v>
      </c>
      <c r="D48" s="3" t="str">
        <f>VLOOKUP(table_DataQualities[[#This Row],[unit_ID]],table_Units[#All],2)</f>
        <v>Hz</v>
      </c>
      <c r="F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8.6999999999999994E-2</v>
      </c>
      <c r="G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2174.9</v>
      </c>
      <c r="H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8.6999999999999994E-2</v>
      </c>
      <c r="I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2174.9</v>
      </c>
      <c r="K48">
        <f t="shared" ca="1" si="6"/>
        <v>0.37</v>
      </c>
      <c r="M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8" s="3" t="b">
        <f ca="1">VLOOKUP(table_DataQualities[[#This Row],[ID]],dict_zuord_Var_DQ!B:C,2,FALSE)</f>
        <v>0</v>
      </c>
      <c r="O48">
        <f t="shared" ca="1" si="1"/>
        <v>4.8</v>
      </c>
    </row>
    <row r="49" spans="1:15" x14ac:dyDescent="0.45">
      <c r="A49">
        <v>47</v>
      </c>
      <c r="B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23_Leistungsmessgenauigkeit W</v>
      </c>
      <c r="C49">
        <f t="shared" ca="1" si="13"/>
        <v>600</v>
      </c>
      <c r="D49" s="3" t="str">
        <f ca="1">VLOOKUP(table_DataQualities[[#This Row],[unit_ID]],table_Units[#All],2)</f>
        <v>+/- W</v>
      </c>
      <c r="F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0.01</v>
      </c>
      <c r="H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49">
        <f t="shared" ca="1" si="6"/>
        <v>0.48</v>
      </c>
      <c r="M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9" s="3" t="b">
        <f ca="1">VLOOKUP(table_DataQualities[[#This Row],[ID]],dict_zuord_Var_DQ!B:C,2,FALSE)</f>
        <v>0</v>
      </c>
      <c r="O49">
        <f t="shared" ca="1" si="1"/>
        <v>3</v>
      </c>
    </row>
    <row r="50" spans="1:15" x14ac:dyDescent="0.45">
      <c r="A50">
        <v>48</v>
      </c>
      <c r="B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24_Frequenz Hz</v>
      </c>
      <c r="C50">
        <v>100</v>
      </c>
      <c r="D50" s="3" t="str">
        <f>VLOOKUP(table_DataQualities[[#This Row],[unit_ID]],table_Units[#All],2)</f>
        <v>Hz</v>
      </c>
      <c r="F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0.39800000000000002</v>
      </c>
      <c r="G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6582.9</v>
      </c>
      <c r="H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0.39800000000000002</v>
      </c>
      <c r="I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6582.9</v>
      </c>
      <c r="K50">
        <f t="shared" ca="1" si="6"/>
        <v>0.35</v>
      </c>
      <c r="M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0" s="3" t="b">
        <f ca="1">VLOOKUP(table_DataQualities[[#This Row],[ID]],dict_zuord_Var_DQ!B:C,2,FALSE)</f>
        <v>0</v>
      </c>
      <c r="O50">
        <f t="shared" ca="1" si="1"/>
        <v>2.1</v>
      </c>
    </row>
    <row r="51" spans="1:15" x14ac:dyDescent="0.45">
      <c r="A51">
        <v>49</v>
      </c>
      <c r="B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24_Durchflussmessgenauigkeit cm³/s</v>
      </c>
      <c r="C51">
        <f t="shared" ref="C51" ca="1" si="15">RANDBETWEEN(5,10)*100</f>
        <v>800</v>
      </c>
      <c r="D51" s="3" t="str">
        <f ca="1">VLOOKUP(table_DataQualities[[#This Row],[unit_ID]],table_Units[#All],2)</f>
        <v>+/- cm³/s</v>
      </c>
      <c r="F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</v>
      </c>
      <c r="G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3.5000000000000001E-3</v>
      </c>
      <c r="H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3.5000000000000001E-3</v>
      </c>
      <c r="I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0.34</v>
      </c>
      <c r="K51">
        <f t="shared" ca="1" si="6"/>
        <v>0.87</v>
      </c>
      <c r="M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1" s="3" t="b">
        <f ca="1">VLOOKUP(table_DataQualities[[#This Row],[ID]],dict_zuord_Var_DQ!B:C,2,FALSE)</f>
        <v>0</v>
      </c>
      <c r="O51">
        <f t="shared" ca="1" si="1"/>
        <v>3.6</v>
      </c>
    </row>
    <row r="52" spans="1:15" x14ac:dyDescent="0.45">
      <c r="A52">
        <v>50</v>
      </c>
      <c r="B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25_Frequenz Hz</v>
      </c>
      <c r="C52">
        <v>100</v>
      </c>
      <c r="D52" s="3" t="str">
        <f>VLOOKUP(table_DataQualities[[#This Row],[unit_ID]],table_Units[#All],2)</f>
        <v>Hz</v>
      </c>
      <c r="F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0.92300000000000004</v>
      </c>
      <c r="G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8053.2</v>
      </c>
      <c r="H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0.92300000000000004</v>
      </c>
      <c r="I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8053.2</v>
      </c>
      <c r="K52">
        <f t="shared" ca="1" si="6"/>
        <v>0.34</v>
      </c>
      <c r="M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2" s="3" t="b">
        <f ca="1">VLOOKUP(table_DataQualities[[#This Row],[ID]],dict_zuord_Var_DQ!B:C,2,FALSE)</f>
        <v>0</v>
      </c>
      <c r="O52">
        <f t="shared" ca="1" si="1"/>
        <v>4.9000000000000004</v>
      </c>
    </row>
    <row r="53" spans="1:15" x14ac:dyDescent="0.45">
      <c r="A53">
        <v>51</v>
      </c>
      <c r="B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25_Längenmessgenauigkeit mm</v>
      </c>
      <c r="C53">
        <f t="shared" ca="1" si="13"/>
        <v>900</v>
      </c>
      <c r="D53" s="3" t="str">
        <f ca="1">VLOOKUP(table_DataQualities[[#This Row],[unit_ID]],table_Units[#All],2)</f>
        <v>+/- mm</v>
      </c>
      <c r="F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5.69</v>
      </c>
      <c r="G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9.6000000000000002E-2</v>
      </c>
      <c r="H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9.6000000000000002E-2</v>
      </c>
      <c r="I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5.69</v>
      </c>
      <c r="K53">
        <f t="shared" ca="1" si="6"/>
        <v>0.05</v>
      </c>
      <c r="M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3" s="3" t="b">
        <f ca="1">VLOOKUP(table_DataQualities[[#This Row],[ID]],dict_zuord_Var_DQ!B:C,2,FALSE)</f>
        <v>0</v>
      </c>
      <c r="O53">
        <f t="shared" ca="1" si="1"/>
        <v>1.3</v>
      </c>
    </row>
    <row r="54" spans="1:15" x14ac:dyDescent="0.45">
      <c r="A54">
        <v>52</v>
      </c>
      <c r="B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26_Frequenz Hz</v>
      </c>
      <c r="C54">
        <v>100</v>
      </c>
      <c r="D54" s="3" t="str">
        <f>VLOOKUP(table_DataQualities[[#This Row],[unit_ID]],table_Units[#All],2)</f>
        <v>Hz</v>
      </c>
      <c r="F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0.70299999999999996</v>
      </c>
      <c r="G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9655.7000000000007</v>
      </c>
      <c r="H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0.70299999999999996</v>
      </c>
      <c r="I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9655.7000000000007</v>
      </c>
      <c r="K54">
        <f t="shared" ca="1" si="6"/>
        <v>0.91</v>
      </c>
      <c r="M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4" s="3" t="b">
        <f ca="1">VLOOKUP(table_DataQualities[[#This Row],[ID]],dict_zuord_Var_DQ!B:C,2,FALSE)</f>
        <v>0</v>
      </c>
      <c r="O54">
        <f t="shared" ca="1" si="1"/>
        <v>4.4000000000000004</v>
      </c>
    </row>
    <row r="55" spans="1:15" x14ac:dyDescent="0.45">
      <c r="A55">
        <v>53</v>
      </c>
      <c r="B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26_Bildgröße</v>
      </c>
      <c r="C55">
        <f t="shared" ca="1" si="13"/>
        <v>1000</v>
      </c>
      <c r="D55" s="3" t="str">
        <f ca="1">VLOOKUP(table_DataQualities[[#This Row],[unit_ID]],table_Units[#All],2)</f>
        <v>bit</v>
      </c>
      <c r="F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7534</v>
      </c>
      <c r="H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</v>
      </c>
      <c r="I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7534</v>
      </c>
      <c r="K55">
        <f t="shared" ca="1" si="6"/>
        <v>0.36</v>
      </c>
      <c r="M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5" s="3" t="b">
        <f ca="1">VLOOKUP(table_DataQualities[[#This Row],[ID]],dict_zuord_Var_DQ!B:C,2,FALSE)</f>
        <v>0</v>
      </c>
      <c r="O55">
        <f t="shared" ca="1" si="1"/>
        <v>2</v>
      </c>
    </row>
    <row r="56" spans="1:15" x14ac:dyDescent="0.45">
      <c r="A56">
        <v>54</v>
      </c>
      <c r="B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27_Frequenz Hz</v>
      </c>
      <c r="C56">
        <v>100</v>
      </c>
      <c r="D56" s="3" t="str">
        <f>VLOOKUP(table_DataQualities[[#This Row],[unit_ID]],table_Units[#All],2)</f>
        <v>Hz</v>
      </c>
      <c r="F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0.20399999999999999</v>
      </c>
      <c r="G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3604.1</v>
      </c>
      <c r="H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0.20399999999999999</v>
      </c>
      <c r="I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3604.1</v>
      </c>
      <c r="K56">
        <f t="shared" ca="1" si="6"/>
        <v>0.54</v>
      </c>
      <c r="M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6" s="3" t="b">
        <f ca="1">VLOOKUP(table_DataQualities[[#This Row],[ID]],dict_zuord_Var_DQ!B:C,2,FALSE)</f>
        <v>0</v>
      </c>
      <c r="O56">
        <f t="shared" ca="1" si="1"/>
        <v>4.8</v>
      </c>
    </row>
    <row r="57" spans="1:15" x14ac:dyDescent="0.45">
      <c r="A57">
        <v>55</v>
      </c>
      <c r="B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27_Durchflussmessgenauigkeit cm³/s</v>
      </c>
      <c r="C57">
        <f ca="1">RANDBETWEEN(5,10)*100</f>
        <v>800</v>
      </c>
      <c r="D57" s="3" t="str">
        <f ca="1">VLOOKUP(table_DataQualities[[#This Row],[unit_ID]],table_Units[#All],2)</f>
        <v>+/- cm³/s</v>
      </c>
      <c r="F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0.18099999999999999</v>
      </c>
      <c r="G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4.7000000000000002E-3</v>
      </c>
      <c r="H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4.7000000000000002E-3</v>
      </c>
      <c r="I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0.18099999999999999</v>
      </c>
      <c r="K57">
        <f t="shared" ca="1" si="6"/>
        <v>0.99</v>
      </c>
      <c r="M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7" s="3" t="b">
        <f ca="1">VLOOKUP(table_DataQualities[[#This Row],[ID]],dict_zuord_Var_DQ!B:C,2,FALSE)</f>
        <v>0</v>
      </c>
      <c r="O57">
        <f t="shared" ca="1" si="1"/>
        <v>4.3</v>
      </c>
    </row>
    <row r="58" spans="1:15" x14ac:dyDescent="0.45">
      <c r="A58">
        <v>56</v>
      </c>
      <c r="B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28_Frequenz Hz</v>
      </c>
      <c r="C58">
        <v>100</v>
      </c>
      <c r="D58" s="3" t="str">
        <f>VLOOKUP(table_DataQualities[[#This Row],[unit_ID]],table_Units[#All],2)</f>
        <v>Hz</v>
      </c>
      <c r="F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0.46700000000000003</v>
      </c>
      <c r="G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7692</v>
      </c>
      <c r="H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0.46700000000000003</v>
      </c>
      <c r="I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7692</v>
      </c>
      <c r="K58">
        <f t="shared" ca="1" si="6"/>
        <v>0.36</v>
      </c>
      <c r="M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8" s="3" t="b">
        <f ca="1">VLOOKUP(table_DataQualities[[#This Row],[ID]],dict_zuord_Var_DQ!B:C,2,FALSE)</f>
        <v>0</v>
      </c>
      <c r="O58">
        <f t="shared" ca="1" si="1"/>
        <v>5</v>
      </c>
    </row>
    <row r="59" spans="1:15" x14ac:dyDescent="0.45">
      <c r="A59">
        <v>57</v>
      </c>
      <c r="B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28_Bildgröße</v>
      </c>
      <c r="C59">
        <f t="shared" ref="C59:C69" ca="1" si="16">RANDBETWEEN(5,10)*100</f>
        <v>1000</v>
      </c>
      <c r="D59" s="3" t="str">
        <f ca="1">VLOOKUP(table_DataQualities[[#This Row],[unit_ID]],table_Units[#All],2)</f>
        <v>bit</v>
      </c>
      <c r="F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1918</v>
      </c>
      <c r="H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</v>
      </c>
      <c r="I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1918</v>
      </c>
      <c r="K59">
        <f t="shared" ca="1" si="6"/>
        <v>0.97</v>
      </c>
      <c r="M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59" s="3" t="b">
        <f ca="1">VLOOKUP(table_DataQualities[[#This Row],[ID]],dict_zuord_Var_DQ!B:C,2,FALSE)</f>
        <v>0</v>
      </c>
      <c r="O59">
        <f t="shared" ca="1" si="1"/>
        <v>4.0999999999999996</v>
      </c>
    </row>
    <row r="60" spans="1:15" x14ac:dyDescent="0.45">
      <c r="A60">
        <v>58</v>
      </c>
      <c r="B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29_Frequenz Hz</v>
      </c>
      <c r="C60">
        <v>100</v>
      </c>
      <c r="D60" s="3" t="str">
        <f>VLOOKUP(table_DataQualities[[#This Row],[unit_ID]],table_Units[#All],2)</f>
        <v>Hz</v>
      </c>
      <c r="F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0.155</v>
      </c>
      <c r="G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7518.5</v>
      </c>
      <c r="H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0.155</v>
      </c>
      <c r="I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7518.5</v>
      </c>
      <c r="K60">
        <f t="shared" ca="1" si="6"/>
        <v>0.15</v>
      </c>
      <c r="M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0" s="3" t="b">
        <f ca="1">VLOOKUP(table_DataQualities[[#This Row],[ID]],dict_zuord_Var_DQ!B:C,2,FALSE)</f>
        <v>0</v>
      </c>
      <c r="O60">
        <f t="shared" ca="1" si="1"/>
        <v>4.2</v>
      </c>
    </row>
    <row r="61" spans="1:15" x14ac:dyDescent="0.45">
      <c r="A61">
        <v>59</v>
      </c>
      <c r="B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29_Bildgröße</v>
      </c>
      <c r="C61">
        <f t="shared" ref="C61" ca="1" si="17">RANDBETWEEN(5,10)*100</f>
        <v>1000</v>
      </c>
      <c r="D61" s="3" t="str">
        <f ca="1">VLOOKUP(table_DataQualities[[#This Row],[unit_ID]],table_Units[#All],2)</f>
        <v>bit</v>
      </c>
      <c r="F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60</v>
      </c>
      <c r="G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1555</v>
      </c>
      <c r="H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60</v>
      </c>
      <c r="I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1555</v>
      </c>
      <c r="K61">
        <f t="shared" ca="1" si="6"/>
        <v>0.4</v>
      </c>
      <c r="M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1" s="3" t="b">
        <f ca="1">VLOOKUP(table_DataQualities[[#This Row],[ID]],dict_zuord_Var_DQ!B:C,2,FALSE)</f>
        <v>0</v>
      </c>
      <c r="O61">
        <f t="shared" ca="1" si="1"/>
        <v>1.3</v>
      </c>
    </row>
    <row r="62" spans="1:15" x14ac:dyDescent="0.45">
      <c r="A62">
        <v>60</v>
      </c>
      <c r="B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30_Frequenz Hz</v>
      </c>
      <c r="C62">
        <v>100</v>
      </c>
      <c r="D62" s="3" t="str">
        <f>VLOOKUP(table_DataQualities[[#This Row],[unit_ID]],table_Units[#All],2)</f>
        <v>Hz</v>
      </c>
      <c r="F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0.26500000000000001</v>
      </c>
      <c r="G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1939.6</v>
      </c>
      <c r="H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0.26500000000000001</v>
      </c>
      <c r="I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1939.6</v>
      </c>
      <c r="K62">
        <f t="shared" ca="1" si="6"/>
        <v>0.8</v>
      </c>
      <c r="M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2" s="3" t="b">
        <f ca="1">VLOOKUP(table_DataQualities[[#This Row],[ID]],dict_zuord_Var_DQ!B:C,2,FALSE)</f>
        <v>0</v>
      </c>
      <c r="O62">
        <f t="shared" ca="1" si="1"/>
        <v>2.7</v>
      </c>
    </row>
    <row r="63" spans="1:15" x14ac:dyDescent="0.45">
      <c r="A63">
        <v>61</v>
      </c>
      <c r="B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30_Längenmessgenauigkeit mm</v>
      </c>
      <c r="C63">
        <f t="shared" ca="1" si="16"/>
        <v>900</v>
      </c>
      <c r="D63" s="3" t="str">
        <f ca="1">VLOOKUP(table_DataQualities[[#This Row],[unit_ID]],table_Units[#All],2)</f>
        <v>+/- mm</v>
      </c>
      <c r="F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1.45</v>
      </c>
      <c r="G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7.0000000000000007E-2</v>
      </c>
      <c r="H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7.0000000000000007E-2</v>
      </c>
      <c r="I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1.45</v>
      </c>
      <c r="K63">
        <f t="shared" ca="1" si="6"/>
        <v>0.41</v>
      </c>
      <c r="M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3" s="3" t="b">
        <f ca="1">VLOOKUP(table_DataQualities[[#This Row],[ID]],dict_zuord_Var_DQ!B:C,2,FALSE)</f>
        <v>0</v>
      </c>
      <c r="O63">
        <f t="shared" ca="1" si="1"/>
        <v>4.8</v>
      </c>
    </row>
    <row r="64" spans="1:15" x14ac:dyDescent="0.45">
      <c r="A64">
        <v>62</v>
      </c>
      <c r="B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31_Frequenz Hz</v>
      </c>
      <c r="C64">
        <v>100</v>
      </c>
      <c r="D64" s="3" t="str">
        <f>VLOOKUP(table_DataQualities[[#This Row],[unit_ID]],table_Units[#All],2)</f>
        <v>Hz</v>
      </c>
      <c r="F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0.82199999999999995</v>
      </c>
      <c r="G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4842.8</v>
      </c>
      <c r="H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0.82199999999999995</v>
      </c>
      <c r="I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4842.8</v>
      </c>
      <c r="K64">
        <f t="shared" ca="1" si="6"/>
        <v>0.9</v>
      </c>
      <c r="M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4" s="3" t="b">
        <f ca="1">VLOOKUP(table_DataQualities[[#This Row],[ID]],dict_zuord_Var_DQ!B:C,2,FALSE)</f>
        <v>0</v>
      </c>
      <c r="O64">
        <f t="shared" ca="1" si="1"/>
        <v>3.5</v>
      </c>
    </row>
    <row r="65" spans="1:15" x14ac:dyDescent="0.45">
      <c r="A65">
        <v>63</v>
      </c>
      <c r="B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31_Geschwindigkeitsmessgenauigkeit mm/s</v>
      </c>
      <c r="C65">
        <f t="shared" ref="C65" ca="1" si="18">RANDBETWEEN(5,10)*100</f>
        <v>700</v>
      </c>
      <c r="D65" s="3" t="str">
        <f ca="1">VLOOKUP(table_DataQualities[[#This Row],[unit_ID]],table_Units[#All],2)</f>
        <v>+/- mm/s</v>
      </c>
      <c r="F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8.6999999999999993</v>
      </c>
      <c r="G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0.96</v>
      </c>
      <c r="H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</v>
      </c>
      <c r="I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8.6999999999999993</v>
      </c>
      <c r="K65">
        <f t="shared" ca="1" si="6"/>
        <v>0.86</v>
      </c>
      <c r="M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5" s="3" t="b">
        <f ca="1">VLOOKUP(table_DataQualities[[#This Row],[ID]],dict_zuord_Var_DQ!B:C,2,FALSE)</f>
        <v>0</v>
      </c>
      <c r="O65">
        <f t="shared" ca="1" si="1"/>
        <v>3.2</v>
      </c>
    </row>
    <row r="66" spans="1:15" x14ac:dyDescent="0.45">
      <c r="A66">
        <v>64</v>
      </c>
      <c r="B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32_Frequenz Hz</v>
      </c>
      <c r="C66">
        <v>100</v>
      </c>
      <c r="D66" s="3" t="str">
        <f>VLOOKUP(table_DataQualities[[#This Row],[unit_ID]],table_Units[#All],2)</f>
        <v>Hz</v>
      </c>
      <c r="F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0.68500000000000005</v>
      </c>
      <c r="G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2869.5</v>
      </c>
      <c r="H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0.68500000000000005</v>
      </c>
      <c r="I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2869.5</v>
      </c>
      <c r="K66">
        <f t="shared" ca="1" si="6"/>
        <v>0.89</v>
      </c>
      <c r="M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6" s="3" t="b">
        <f ca="1">VLOOKUP(table_DataQualities[[#This Row],[ID]],dict_zuord_Var_DQ!B:C,2,FALSE)</f>
        <v>0</v>
      </c>
      <c r="O66">
        <f t="shared" ca="1" si="1"/>
        <v>2.4</v>
      </c>
    </row>
    <row r="67" spans="1:15" x14ac:dyDescent="0.45">
      <c r="A67">
        <v>65</v>
      </c>
      <c r="B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32_Durchflussmessgenauigkeit cm³/s</v>
      </c>
      <c r="C67">
        <f t="shared" ca="1" si="16"/>
        <v>800</v>
      </c>
      <c r="D67" s="3" t="str">
        <f ca="1">VLOOKUP(table_DataQualities[[#This Row],[unit_ID]],table_Units[#All],2)</f>
        <v>+/- cm³/s</v>
      </c>
      <c r="F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0.59399999999999997</v>
      </c>
      <c r="G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6.0000000000000001E-3</v>
      </c>
      <c r="H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6.0000000000000001E-3</v>
      </c>
      <c r="I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0.59399999999999997</v>
      </c>
      <c r="K67">
        <f t="shared" ca="1" si="6"/>
        <v>0.66</v>
      </c>
      <c r="M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7" s="3" t="b">
        <f ca="1">VLOOKUP(table_DataQualities[[#This Row],[ID]],dict_zuord_Var_DQ!B:C,2,FALSE)</f>
        <v>0</v>
      </c>
      <c r="O67">
        <f t="shared" ref="O67:O130" ca="1" si="19">RANDBETWEEN(12,50)/10</f>
        <v>2.4</v>
      </c>
    </row>
    <row r="68" spans="1:15" x14ac:dyDescent="0.45">
      <c r="A68">
        <v>66</v>
      </c>
      <c r="B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33_Frequenz Hz</v>
      </c>
      <c r="C68">
        <v>100</v>
      </c>
      <c r="D68" s="3" t="str">
        <f>VLOOKUP(table_DataQualities[[#This Row],[unit_ID]],table_Units[#All],2)</f>
        <v>Hz</v>
      </c>
      <c r="F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0.997</v>
      </c>
      <c r="G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1225.3</v>
      </c>
      <c r="H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0.997</v>
      </c>
      <c r="I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1225.3</v>
      </c>
      <c r="K68">
        <f t="shared" ca="1" si="6"/>
        <v>0.47</v>
      </c>
      <c r="M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8" s="3" t="b">
        <f ca="1">VLOOKUP(table_DataQualities[[#This Row],[ID]],dict_zuord_Var_DQ!B:C,2,FALSE)</f>
        <v>0</v>
      </c>
      <c r="O68">
        <f t="shared" ca="1" si="19"/>
        <v>1.6</v>
      </c>
    </row>
    <row r="69" spans="1:15" x14ac:dyDescent="0.45">
      <c r="A69">
        <v>67</v>
      </c>
      <c r="B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33_Längenmessgenauigkeit mm</v>
      </c>
      <c r="C69">
        <f t="shared" ca="1" si="16"/>
        <v>900</v>
      </c>
      <c r="D69" s="3" t="str">
        <f ca="1">VLOOKUP(table_DataQualities[[#This Row],[unit_ID]],table_Units[#All],2)</f>
        <v>+/- mm</v>
      </c>
      <c r="F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6.01</v>
      </c>
      <c r="G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3.5999999999999997E-2</v>
      </c>
      <c r="H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3.5999999999999997E-2</v>
      </c>
      <c r="I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6.01</v>
      </c>
      <c r="K69">
        <f t="shared" ca="1" si="6"/>
        <v>0.55000000000000004</v>
      </c>
      <c r="M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69" s="3" t="b">
        <f ca="1">VLOOKUP(table_DataQualities[[#This Row],[ID]],dict_zuord_Var_DQ!B:C,2,FALSE)</f>
        <v>0</v>
      </c>
      <c r="O69">
        <f t="shared" ca="1" si="19"/>
        <v>1.5</v>
      </c>
    </row>
    <row r="70" spans="1:15" x14ac:dyDescent="0.45">
      <c r="A70">
        <v>68</v>
      </c>
      <c r="B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34_Frequenz Hz</v>
      </c>
      <c r="C70">
        <v>100</v>
      </c>
      <c r="D70" s="3" t="str">
        <f>VLOOKUP(table_DataQualities[[#This Row],[unit_ID]],table_Units[#All],2)</f>
        <v>Hz</v>
      </c>
      <c r="F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0.68700000000000006</v>
      </c>
      <c r="G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6664.1</v>
      </c>
      <c r="H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0.68700000000000006</v>
      </c>
      <c r="I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6664.1</v>
      </c>
      <c r="K70">
        <f t="shared" ca="1" si="6"/>
        <v>0.35</v>
      </c>
      <c r="M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0" s="3" t="b">
        <f ca="1">VLOOKUP(table_DataQualities[[#This Row],[ID]],dict_zuord_Var_DQ!B:C,2,FALSE)</f>
        <v>0</v>
      </c>
      <c r="O70">
        <f t="shared" ca="1" si="19"/>
        <v>1.6</v>
      </c>
    </row>
    <row r="71" spans="1:15" x14ac:dyDescent="0.45">
      <c r="A71">
        <v>69</v>
      </c>
      <c r="B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34_Temperaturmessgenauigkeit °C</v>
      </c>
      <c r="C71">
        <f ca="1">RANDBETWEEN(5,10)*100</f>
        <v>500</v>
      </c>
      <c r="D71" s="3" t="str">
        <f ca="1">VLOOKUP(table_DataQualities[[#This Row],[unit_ID]],table_Units[#All],2)</f>
        <v>+/- °C</v>
      </c>
      <c r="F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71">
        <f t="shared" ca="1" si="6"/>
        <v>0.95</v>
      </c>
      <c r="M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1" s="3" t="b">
        <f ca="1">VLOOKUP(table_DataQualities[[#This Row],[ID]],dict_zuord_Var_DQ!B:C,2,FALSE)</f>
        <v>0</v>
      </c>
      <c r="O71">
        <f t="shared" ca="1" si="19"/>
        <v>3.8</v>
      </c>
    </row>
    <row r="72" spans="1:15" x14ac:dyDescent="0.45">
      <c r="A72">
        <v>70</v>
      </c>
      <c r="B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35_Frequenz Hz</v>
      </c>
      <c r="C72">
        <v>100</v>
      </c>
      <c r="D72" s="3" t="str">
        <f>VLOOKUP(table_DataQualities[[#This Row],[unit_ID]],table_Units[#All],2)</f>
        <v>Hz</v>
      </c>
      <c r="F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0.88300000000000001</v>
      </c>
      <c r="G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3929.2</v>
      </c>
      <c r="H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0.88300000000000001</v>
      </c>
      <c r="I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3929.2</v>
      </c>
      <c r="K72">
        <f t="shared" ca="1" si="6"/>
        <v>0.3</v>
      </c>
      <c r="M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2" s="3" t="b">
        <f ca="1">VLOOKUP(table_DataQualities[[#This Row],[ID]],dict_zuord_Var_DQ!B:C,2,FALSE)</f>
        <v>0</v>
      </c>
      <c r="O72">
        <f t="shared" ca="1" si="19"/>
        <v>1.5</v>
      </c>
    </row>
    <row r="73" spans="1:15" x14ac:dyDescent="0.45">
      <c r="A73">
        <v>71</v>
      </c>
      <c r="B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35_Längenmessgenauigkeit mm</v>
      </c>
      <c r="C73">
        <f t="shared" ref="C73:C83" ca="1" si="20">RANDBETWEEN(5,10)*100</f>
        <v>900</v>
      </c>
      <c r="D73" s="3" t="str">
        <f ca="1">VLOOKUP(table_DataQualities[[#This Row],[unit_ID]],table_Units[#All],2)</f>
        <v>+/- mm</v>
      </c>
      <c r="F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7.78</v>
      </c>
      <c r="G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0.01</v>
      </c>
      <c r="H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7.78</v>
      </c>
      <c r="K73">
        <f t="shared" ca="1" si="6"/>
        <v>0.55000000000000004</v>
      </c>
      <c r="M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3" s="3" t="b">
        <f ca="1">VLOOKUP(table_DataQualities[[#This Row],[ID]],dict_zuord_Var_DQ!B:C,2,FALSE)</f>
        <v>0</v>
      </c>
      <c r="O73">
        <f t="shared" ca="1" si="19"/>
        <v>2.8</v>
      </c>
    </row>
    <row r="74" spans="1:15" x14ac:dyDescent="0.45">
      <c r="A74">
        <v>72</v>
      </c>
      <c r="B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36_Frequenz Hz</v>
      </c>
      <c r="C74">
        <v>100</v>
      </c>
      <c r="D74" s="3" t="str">
        <f>VLOOKUP(table_DataQualities[[#This Row],[unit_ID]],table_Units[#All],2)</f>
        <v>Hz</v>
      </c>
      <c r="F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0.39100000000000001</v>
      </c>
      <c r="G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1029.5999999999999</v>
      </c>
      <c r="H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0.39100000000000001</v>
      </c>
      <c r="I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1029.5999999999999</v>
      </c>
      <c r="K74">
        <f t="shared" ca="1" si="6"/>
        <v>0.9</v>
      </c>
      <c r="M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4" s="3" t="b">
        <f ca="1">VLOOKUP(table_DataQualities[[#This Row],[ID]],dict_zuord_Var_DQ!B:C,2,FALSE)</f>
        <v>0</v>
      </c>
      <c r="O74">
        <f t="shared" ca="1" si="19"/>
        <v>2.9</v>
      </c>
    </row>
    <row r="75" spans="1:15" x14ac:dyDescent="0.45">
      <c r="A75">
        <v>73</v>
      </c>
      <c r="B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36_Geschwindigkeitsmessgenauigkeit mm/s</v>
      </c>
      <c r="C75">
        <f t="shared" ref="C75" ca="1" si="21">RANDBETWEEN(5,10)*100</f>
        <v>700</v>
      </c>
      <c r="D75" s="3" t="str">
        <f ca="1">VLOOKUP(table_DataQualities[[#This Row],[unit_ID]],table_Units[#All],2)</f>
        <v>+/- mm/s</v>
      </c>
      <c r="F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5.8</v>
      </c>
      <c r="G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0.65</v>
      </c>
      <c r="H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</v>
      </c>
      <c r="I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5.8</v>
      </c>
      <c r="K75">
        <f t="shared" ca="1" si="6"/>
        <v>0.15</v>
      </c>
      <c r="M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5" s="3" t="b">
        <f ca="1">VLOOKUP(table_DataQualities[[#This Row],[ID]],dict_zuord_Var_DQ!B:C,2,FALSE)</f>
        <v>0</v>
      </c>
      <c r="O75">
        <f t="shared" ca="1" si="19"/>
        <v>1.2</v>
      </c>
    </row>
    <row r="76" spans="1:15" x14ac:dyDescent="0.45">
      <c r="A76">
        <v>74</v>
      </c>
      <c r="B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37_Frequenz Hz</v>
      </c>
      <c r="C76">
        <v>100</v>
      </c>
      <c r="D76" s="3" t="str">
        <f>VLOOKUP(table_DataQualities[[#This Row],[unit_ID]],table_Units[#All],2)</f>
        <v>Hz</v>
      </c>
      <c r="F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0.56299999999999994</v>
      </c>
      <c r="G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2703.6</v>
      </c>
      <c r="H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0.56299999999999994</v>
      </c>
      <c r="I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2703.6</v>
      </c>
      <c r="K76">
        <f t="shared" ca="1" si="6"/>
        <v>0.78</v>
      </c>
      <c r="M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6" s="3" t="b">
        <f ca="1">VLOOKUP(table_DataQualities[[#This Row],[ID]],dict_zuord_Var_DQ!B:C,2,FALSE)</f>
        <v>0</v>
      </c>
      <c r="O76">
        <f t="shared" ca="1" si="19"/>
        <v>1.8</v>
      </c>
    </row>
    <row r="77" spans="1:15" x14ac:dyDescent="0.45">
      <c r="A77">
        <v>75</v>
      </c>
      <c r="B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37_Durchflussmessgenauigkeit cm³/s</v>
      </c>
      <c r="C77">
        <f t="shared" ca="1" si="20"/>
        <v>800</v>
      </c>
      <c r="D77" s="3" t="str">
        <f ca="1">VLOOKUP(table_DataQualities[[#This Row],[unit_ID]],table_Units[#All],2)</f>
        <v>+/- cm³/s</v>
      </c>
      <c r="F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0.97599999999999998</v>
      </c>
      <c r="G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1.8E-3</v>
      </c>
      <c r="H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1.8E-3</v>
      </c>
      <c r="I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0.97599999999999998</v>
      </c>
      <c r="K77">
        <f t="shared" ca="1" si="6"/>
        <v>0.01</v>
      </c>
      <c r="M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7" s="3" t="b">
        <f ca="1">VLOOKUP(table_DataQualities[[#This Row],[ID]],dict_zuord_Var_DQ!B:C,2,FALSE)</f>
        <v>0</v>
      </c>
      <c r="O77">
        <f t="shared" ca="1" si="19"/>
        <v>4.9000000000000004</v>
      </c>
    </row>
    <row r="78" spans="1:15" x14ac:dyDescent="0.45">
      <c r="A78">
        <v>76</v>
      </c>
      <c r="B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38_Frequenz Hz</v>
      </c>
      <c r="C78">
        <v>100</v>
      </c>
      <c r="D78" s="3" t="str">
        <f>VLOOKUP(table_DataQualities[[#This Row],[unit_ID]],table_Units[#All],2)</f>
        <v>Hz</v>
      </c>
      <c r="F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0.67400000000000004</v>
      </c>
      <c r="G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4337.3999999999996</v>
      </c>
      <c r="H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0.67400000000000004</v>
      </c>
      <c r="I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4337.3999999999996</v>
      </c>
      <c r="K78">
        <f t="shared" ca="1" si="6"/>
        <v>0.94</v>
      </c>
      <c r="M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8" s="3" t="b">
        <f ca="1">VLOOKUP(table_DataQualities[[#This Row],[ID]],dict_zuord_Var_DQ!B:C,2,FALSE)</f>
        <v>0</v>
      </c>
      <c r="O78">
        <f t="shared" ca="1" si="19"/>
        <v>3.7</v>
      </c>
    </row>
    <row r="79" spans="1:15" x14ac:dyDescent="0.45">
      <c r="A79">
        <v>77</v>
      </c>
      <c r="B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38_Längenmessgenauigkeit mm</v>
      </c>
      <c r="C79">
        <f t="shared" ref="C79" ca="1" si="22">RANDBETWEEN(5,10)*100</f>
        <v>900</v>
      </c>
      <c r="D79" s="3" t="str">
        <f ca="1">VLOOKUP(table_DataQualities[[#This Row],[unit_ID]],table_Units[#All],2)</f>
        <v>+/- mm</v>
      </c>
      <c r="F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4.25</v>
      </c>
      <c r="G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5.6000000000000001E-2</v>
      </c>
      <c r="H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5.6000000000000001E-2</v>
      </c>
      <c r="I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4.25</v>
      </c>
      <c r="K79">
        <f t="shared" ref="K79:K142" ca="1" si="23">ROUND(RAND(),2)</f>
        <v>0.75</v>
      </c>
      <c r="M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79" s="3" t="b">
        <f ca="1">VLOOKUP(table_DataQualities[[#This Row],[ID]],dict_zuord_Var_DQ!B:C,2,FALSE)</f>
        <v>0</v>
      </c>
      <c r="O79">
        <f t="shared" ca="1" si="19"/>
        <v>3.2</v>
      </c>
    </row>
    <row r="80" spans="1:15" x14ac:dyDescent="0.45">
      <c r="A80">
        <v>78</v>
      </c>
      <c r="B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39_Frequenz Hz</v>
      </c>
      <c r="C80">
        <v>100</v>
      </c>
      <c r="D80" s="3" t="str">
        <f>VLOOKUP(table_DataQualities[[#This Row],[unit_ID]],table_Units[#All],2)</f>
        <v>Hz</v>
      </c>
      <c r="F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5.8999999999999997E-2</v>
      </c>
      <c r="G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3036</v>
      </c>
      <c r="H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5.8999999999999997E-2</v>
      </c>
      <c r="I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3036</v>
      </c>
      <c r="K80">
        <f t="shared" ca="1" si="23"/>
        <v>0.04</v>
      </c>
      <c r="M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0" s="3" t="b">
        <f ca="1">VLOOKUP(table_DataQualities[[#This Row],[ID]],dict_zuord_Var_DQ!B:C,2,FALSE)</f>
        <v>0</v>
      </c>
      <c r="O80">
        <f t="shared" ca="1" si="19"/>
        <v>2.5</v>
      </c>
    </row>
    <row r="81" spans="1:15" x14ac:dyDescent="0.45">
      <c r="A81">
        <v>79</v>
      </c>
      <c r="B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39_Geschwindigkeitsmessgenauigkeit mm/s</v>
      </c>
      <c r="C81">
        <f t="shared" ca="1" si="20"/>
        <v>700</v>
      </c>
      <c r="D81" s="3" t="str">
        <f ca="1">VLOOKUP(table_DataQualities[[#This Row],[unit_ID]],table_Units[#All],2)</f>
        <v>+/- mm/s</v>
      </c>
      <c r="F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6.4</v>
      </c>
      <c r="G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0.54</v>
      </c>
      <c r="H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</v>
      </c>
      <c r="I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6.4</v>
      </c>
      <c r="K81">
        <f t="shared" ca="1" si="23"/>
        <v>0.9</v>
      </c>
      <c r="M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1" s="3" t="b">
        <f ca="1">VLOOKUP(table_DataQualities[[#This Row],[ID]],dict_zuord_Var_DQ!B:C,2,FALSE)</f>
        <v>0</v>
      </c>
      <c r="O81">
        <f t="shared" ca="1" si="19"/>
        <v>2.8</v>
      </c>
    </row>
    <row r="82" spans="1:15" x14ac:dyDescent="0.45">
      <c r="A82">
        <v>80</v>
      </c>
      <c r="B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40_Frequenz Hz</v>
      </c>
      <c r="C82">
        <v>100</v>
      </c>
      <c r="D82" s="3" t="str">
        <f>VLOOKUP(table_DataQualities[[#This Row],[unit_ID]],table_Units[#All],2)</f>
        <v>Hz</v>
      </c>
      <c r="F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0.83299999999999996</v>
      </c>
      <c r="G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8249.2000000000007</v>
      </c>
      <c r="H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0.83299999999999996</v>
      </c>
      <c r="I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8249.2000000000007</v>
      </c>
      <c r="K82">
        <f t="shared" ca="1" si="23"/>
        <v>0.36</v>
      </c>
      <c r="M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2" s="3" t="b">
        <f ca="1">VLOOKUP(table_DataQualities[[#This Row],[ID]],dict_zuord_Var_DQ!B:C,2,FALSE)</f>
        <v>0</v>
      </c>
      <c r="O82">
        <f t="shared" ca="1" si="19"/>
        <v>4.2</v>
      </c>
    </row>
    <row r="83" spans="1:15" x14ac:dyDescent="0.45">
      <c r="A83">
        <v>81</v>
      </c>
      <c r="B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40_Durchflussmessgenauigkeit cm³/s</v>
      </c>
      <c r="C83">
        <f t="shared" ca="1" si="20"/>
        <v>800</v>
      </c>
      <c r="D83" s="3" t="str">
        <f ca="1">VLOOKUP(table_DataQualities[[#This Row],[unit_ID]],table_Units[#All],2)</f>
        <v>+/- cm³/s</v>
      </c>
      <c r="F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0.245</v>
      </c>
      <c r="G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8.3000000000000001E-3</v>
      </c>
      <c r="H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8.3000000000000001E-3</v>
      </c>
      <c r="I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0.245</v>
      </c>
      <c r="K83">
        <f t="shared" ca="1" si="23"/>
        <v>0.99</v>
      </c>
      <c r="M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3" s="3" t="b">
        <f ca="1">VLOOKUP(table_DataQualities[[#This Row],[ID]],dict_zuord_Var_DQ!B:C,2,FALSE)</f>
        <v>0</v>
      </c>
      <c r="O83">
        <f t="shared" ca="1" si="19"/>
        <v>2.2000000000000002</v>
      </c>
    </row>
    <row r="84" spans="1:15" x14ac:dyDescent="0.45">
      <c r="A84">
        <v>82</v>
      </c>
      <c r="B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41_Frequenz Hz</v>
      </c>
      <c r="C84">
        <v>100</v>
      </c>
      <c r="D84" s="3" t="str">
        <f>VLOOKUP(table_DataQualities[[#This Row],[unit_ID]],table_Units[#All],2)</f>
        <v>Hz</v>
      </c>
      <c r="F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0.66</v>
      </c>
      <c r="G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4453.1000000000004</v>
      </c>
      <c r="H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0.66</v>
      </c>
      <c r="I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4453.1000000000004</v>
      </c>
      <c r="K84">
        <f t="shared" ca="1" si="23"/>
        <v>0.63</v>
      </c>
      <c r="M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4" s="3" t="b">
        <f ca="1">VLOOKUP(table_DataQualities[[#This Row],[ID]],dict_zuord_Var_DQ!B:C,2,FALSE)</f>
        <v>0</v>
      </c>
      <c r="O84">
        <f t="shared" ca="1" si="19"/>
        <v>4</v>
      </c>
    </row>
    <row r="85" spans="1:15" x14ac:dyDescent="0.45">
      <c r="A85">
        <v>83</v>
      </c>
      <c r="B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41_Durchflussmessgenauigkeit cm³/s</v>
      </c>
      <c r="C85">
        <f ca="1">RANDBETWEEN(5,10)*100</f>
        <v>800</v>
      </c>
      <c r="D85" s="3" t="str">
        <f ca="1">VLOOKUP(table_DataQualities[[#This Row],[unit_ID]],table_Units[#All],2)</f>
        <v>+/- cm³/s</v>
      </c>
      <c r="F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5.3999999999999999E-2</v>
      </c>
      <c r="G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2.8E-3</v>
      </c>
      <c r="H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2.8E-3</v>
      </c>
      <c r="I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5.3999999999999999E-2</v>
      </c>
      <c r="K85">
        <f t="shared" ca="1" si="23"/>
        <v>0.91</v>
      </c>
      <c r="M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5" s="3" t="b">
        <f ca="1">VLOOKUP(table_DataQualities[[#This Row],[ID]],dict_zuord_Var_DQ!B:C,2,FALSE)</f>
        <v>0</v>
      </c>
      <c r="O85">
        <f t="shared" ca="1" si="19"/>
        <v>1.7</v>
      </c>
    </row>
    <row r="86" spans="1:15" x14ac:dyDescent="0.45">
      <c r="A86">
        <v>84</v>
      </c>
      <c r="B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42_Frequenz Hz</v>
      </c>
      <c r="C86">
        <v>100</v>
      </c>
      <c r="D86" s="3" t="str">
        <f>VLOOKUP(table_DataQualities[[#This Row],[unit_ID]],table_Units[#All],2)</f>
        <v>Hz</v>
      </c>
      <c r="F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0.36799999999999999</v>
      </c>
      <c r="G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6809.3</v>
      </c>
      <c r="H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0.36799999999999999</v>
      </c>
      <c r="I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6809.3</v>
      </c>
      <c r="K86">
        <f t="shared" ca="1" si="23"/>
        <v>0.75</v>
      </c>
      <c r="M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6" s="3" t="b">
        <f ca="1">VLOOKUP(table_DataQualities[[#This Row],[ID]],dict_zuord_Var_DQ!B:C,2,FALSE)</f>
        <v>0</v>
      </c>
      <c r="O86">
        <f t="shared" ca="1" si="19"/>
        <v>3.2</v>
      </c>
    </row>
    <row r="87" spans="1:15" x14ac:dyDescent="0.45">
      <c r="A87">
        <v>85</v>
      </c>
      <c r="B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42_Durchflussmessgenauigkeit cm³/s</v>
      </c>
      <c r="C87">
        <f t="shared" ref="C87:C97" ca="1" si="24">RANDBETWEEN(5,10)*100</f>
        <v>800</v>
      </c>
      <c r="D87" s="3" t="str">
        <f ca="1">VLOOKUP(table_DataQualities[[#This Row],[unit_ID]],table_Units[#All],2)</f>
        <v>+/- cm³/s</v>
      </c>
      <c r="F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0.151</v>
      </c>
      <c r="G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5.9999999999999995E-4</v>
      </c>
      <c r="H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5.9999999999999995E-4</v>
      </c>
      <c r="I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0.151</v>
      </c>
      <c r="K87">
        <f t="shared" ca="1" si="23"/>
        <v>7.0000000000000007E-2</v>
      </c>
      <c r="M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7" s="3" t="b">
        <f ca="1">VLOOKUP(table_DataQualities[[#This Row],[ID]],dict_zuord_Var_DQ!B:C,2,FALSE)</f>
        <v>0</v>
      </c>
      <c r="O87">
        <f t="shared" ca="1" si="19"/>
        <v>4</v>
      </c>
    </row>
    <row r="88" spans="1:15" x14ac:dyDescent="0.45">
      <c r="A88">
        <v>86</v>
      </c>
      <c r="B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43_Frequenz Hz</v>
      </c>
      <c r="C88">
        <v>100</v>
      </c>
      <c r="D88" s="3" t="str">
        <f>VLOOKUP(table_DataQualities[[#This Row],[unit_ID]],table_Units[#All],2)</f>
        <v>Hz</v>
      </c>
      <c r="F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</v>
      </c>
      <c r="G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4789.2</v>
      </c>
      <c r="H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</v>
      </c>
      <c r="I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4789.2</v>
      </c>
      <c r="K88">
        <f t="shared" ca="1" si="23"/>
        <v>0.8</v>
      </c>
      <c r="M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8" s="3" t="b">
        <f ca="1">VLOOKUP(table_DataQualities[[#This Row],[ID]],dict_zuord_Var_DQ!B:C,2,FALSE)</f>
        <v>0</v>
      </c>
      <c r="O88">
        <f t="shared" ca="1" si="19"/>
        <v>2</v>
      </c>
    </row>
    <row r="89" spans="1:15" x14ac:dyDescent="0.45">
      <c r="A89">
        <v>87</v>
      </c>
      <c r="B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43_Temperaturmessgenauigkeit °C</v>
      </c>
      <c r="C89">
        <f t="shared" ref="C89" ca="1" si="25">RANDBETWEEN(5,10)*100</f>
        <v>500</v>
      </c>
      <c r="D89" s="3" t="str">
        <f ca="1">VLOOKUP(table_DataQualities[[#This Row],[unit_ID]],table_Units[#All],2)</f>
        <v>+/- °C</v>
      </c>
      <c r="F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89">
        <f t="shared" ca="1" si="23"/>
        <v>0.69</v>
      </c>
      <c r="M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89" s="3" t="b">
        <f ca="1">VLOOKUP(table_DataQualities[[#This Row],[ID]],dict_zuord_Var_DQ!B:C,2,FALSE)</f>
        <v>0</v>
      </c>
      <c r="O89">
        <f t="shared" ca="1" si="19"/>
        <v>4.7</v>
      </c>
    </row>
    <row r="90" spans="1:15" x14ac:dyDescent="0.45">
      <c r="A90">
        <v>88</v>
      </c>
      <c r="B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44_Frequenz Hz</v>
      </c>
      <c r="C90">
        <v>100</v>
      </c>
      <c r="D90" s="3" t="str">
        <f>VLOOKUP(table_DataQualities[[#This Row],[unit_ID]],table_Units[#All],2)</f>
        <v>Hz</v>
      </c>
      <c r="F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0.10199999999999999</v>
      </c>
      <c r="G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8962.9</v>
      </c>
      <c r="H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0.10199999999999999</v>
      </c>
      <c r="I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8962.9</v>
      </c>
      <c r="K90">
        <f t="shared" ca="1" si="23"/>
        <v>0.31</v>
      </c>
      <c r="M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0" s="3" t="b">
        <f ca="1">VLOOKUP(table_DataQualities[[#This Row],[ID]],dict_zuord_Var_DQ!B:C,2,FALSE)</f>
        <v>0</v>
      </c>
      <c r="O90">
        <f t="shared" ca="1" si="19"/>
        <v>1.3</v>
      </c>
    </row>
    <row r="91" spans="1:15" x14ac:dyDescent="0.45">
      <c r="A91">
        <v>89</v>
      </c>
      <c r="B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44_Längenmessgenauigkeit mm</v>
      </c>
      <c r="C91">
        <f t="shared" ca="1" si="24"/>
        <v>900</v>
      </c>
      <c r="D91" s="3" t="str">
        <f ca="1">VLOOKUP(table_DataQualities[[#This Row],[unit_ID]],table_Units[#All],2)</f>
        <v>+/- mm</v>
      </c>
      <c r="F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9.39</v>
      </c>
      <c r="G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6.9000000000000006E-2</v>
      </c>
      <c r="H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6.9000000000000006E-2</v>
      </c>
      <c r="I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9.39</v>
      </c>
      <c r="K91">
        <f t="shared" ca="1" si="23"/>
        <v>0.8</v>
      </c>
      <c r="M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1" s="3" t="b">
        <f ca="1">VLOOKUP(table_DataQualities[[#This Row],[ID]],dict_zuord_Var_DQ!B:C,2,FALSE)</f>
        <v>0</v>
      </c>
      <c r="O91">
        <f t="shared" ca="1" si="19"/>
        <v>2.2999999999999998</v>
      </c>
    </row>
    <row r="92" spans="1:15" x14ac:dyDescent="0.45">
      <c r="A92">
        <v>90</v>
      </c>
      <c r="B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45_Frequenz Hz</v>
      </c>
      <c r="C92">
        <v>100</v>
      </c>
      <c r="D92" s="3" t="str">
        <f>VLOOKUP(table_DataQualities[[#This Row],[unit_ID]],table_Units[#All],2)</f>
        <v>Hz</v>
      </c>
      <c r="F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0.96299999999999997</v>
      </c>
      <c r="G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5305.5</v>
      </c>
      <c r="H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0.96299999999999997</v>
      </c>
      <c r="I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5305.5</v>
      </c>
      <c r="K92">
        <f t="shared" ca="1" si="23"/>
        <v>0.03</v>
      </c>
      <c r="M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2" s="3" t="b">
        <f ca="1">VLOOKUP(table_DataQualities[[#This Row],[ID]],dict_zuord_Var_DQ!B:C,2,FALSE)</f>
        <v>0</v>
      </c>
      <c r="O92">
        <f t="shared" ca="1" si="19"/>
        <v>3.9</v>
      </c>
    </row>
    <row r="93" spans="1:15" x14ac:dyDescent="0.45">
      <c r="A93">
        <v>91</v>
      </c>
      <c r="B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45_Bildgröße</v>
      </c>
      <c r="C93">
        <f t="shared" ref="C93" ca="1" si="26">RANDBETWEEN(5,10)*100</f>
        <v>1000</v>
      </c>
      <c r="D93" s="3" t="str">
        <f ca="1">VLOOKUP(table_DataQualities[[#This Row],[unit_ID]],table_Units[#All],2)</f>
        <v>bit</v>
      </c>
      <c r="F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94</v>
      </c>
      <c r="G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2264</v>
      </c>
      <c r="H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94</v>
      </c>
      <c r="I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2264</v>
      </c>
      <c r="K93">
        <f t="shared" ca="1" si="23"/>
        <v>0.78</v>
      </c>
      <c r="M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3" s="3" t="b">
        <f ca="1">VLOOKUP(table_DataQualities[[#This Row],[ID]],dict_zuord_Var_DQ!B:C,2,FALSE)</f>
        <v>0</v>
      </c>
      <c r="O93">
        <f t="shared" ca="1" si="19"/>
        <v>2.2999999999999998</v>
      </c>
    </row>
    <row r="94" spans="1:15" x14ac:dyDescent="0.45">
      <c r="A94">
        <v>92</v>
      </c>
      <c r="B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46_Frequenz Hz</v>
      </c>
      <c r="C94">
        <v>100</v>
      </c>
      <c r="D94" s="3" t="str">
        <f>VLOOKUP(table_DataQualities[[#This Row],[unit_ID]],table_Units[#All],2)</f>
        <v>Hz</v>
      </c>
      <c r="F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0.34100000000000003</v>
      </c>
      <c r="G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1038.5999999999999</v>
      </c>
      <c r="H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0.34100000000000003</v>
      </c>
      <c r="I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1038.5999999999999</v>
      </c>
      <c r="K94">
        <f t="shared" ca="1" si="23"/>
        <v>0.55000000000000004</v>
      </c>
      <c r="M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4" s="3" t="b">
        <f ca="1">VLOOKUP(table_DataQualities[[#This Row],[ID]],dict_zuord_Var_DQ!B:C,2,FALSE)</f>
        <v>0</v>
      </c>
      <c r="O94">
        <f t="shared" ca="1" si="19"/>
        <v>3.6</v>
      </c>
    </row>
    <row r="95" spans="1:15" x14ac:dyDescent="0.45">
      <c r="A95">
        <v>93</v>
      </c>
      <c r="B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46_Längenmessgenauigkeit mm</v>
      </c>
      <c r="C95">
        <f t="shared" ca="1" si="24"/>
        <v>900</v>
      </c>
      <c r="D95" s="3" t="str">
        <f ca="1">VLOOKUP(table_DataQualities[[#This Row],[unit_ID]],table_Units[#All],2)</f>
        <v>+/- mm</v>
      </c>
      <c r="F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8.36</v>
      </c>
      <c r="G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1.9E-2</v>
      </c>
      <c r="H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1.9E-2</v>
      </c>
      <c r="I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8.36</v>
      </c>
      <c r="K95">
        <f t="shared" ca="1" si="23"/>
        <v>0.13</v>
      </c>
      <c r="M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5" s="3" t="b">
        <f ca="1">VLOOKUP(table_DataQualities[[#This Row],[ID]],dict_zuord_Var_DQ!B:C,2,FALSE)</f>
        <v>0</v>
      </c>
      <c r="O95">
        <f t="shared" ca="1" si="19"/>
        <v>4.0999999999999996</v>
      </c>
    </row>
    <row r="96" spans="1:15" x14ac:dyDescent="0.45">
      <c r="A96">
        <v>94</v>
      </c>
      <c r="B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47_Frequenz Hz</v>
      </c>
      <c r="C96">
        <v>100</v>
      </c>
      <c r="D96" s="3" t="str">
        <f>VLOOKUP(table_DataQualities[[#This Row],[unit_ID]],table_Units[#All],2)</f>
        <v>Hz</v>
      </c>
      <c r="F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0.47199999999999998</v>
      </c>
      <c r="G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9716.7000000000007</v>
      </c>
      <c r="H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0.47199999999999998</v>
      </c>
      <c r="I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9716.7000000000007</v>
      </c>
      <c r="K96">
        <f t="shared" ca="1" si="23"/>
        <v>0.35</v>
      </c>
      <c r="M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6" s="3" t="b">
        <f ca="1">VLOOKUP(table_DataQualities[[#This Row],[ID]],dict_zuord_Var_DQ!B:C,2,FALSE)</f>
        <v>0</v>
      </c>
      <c r="O96">
        <f t="shared" ca="1" si="19"/>
        <v>2.8</v>
      </c>
    </row>
    <row r="97" spans="1:15" x14ac:dyDescent="0.45">
      <c r="A97">
        <v>95</v>
      </c>
      <c r="B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47_Längenmessgenauigkeit mm</v>
      </c>
      <c r="C97">
        <f t="shared" ca="1" si="24"/>
        <v>900</v>
      </c>
      <c r="D97" s="3" t="str">
        <f ca="1">VLOOKUP(table_DataQualities[[#This Row],[unit_ID]],table_Units[#All],2)</f>
        <v>+/- mm</v>
      </c>
      <c r="F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</v>
      </c>
      <c r="G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7.1999999999999995E-2</v>
      </c>
      <c r="H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7.1999999999999995E-2</v>
      </c>
      <c r="I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0.44</v>
      </c>
      <c r="K97">
        <f t="shared" ca="1" si="23"/>
        <v>0.72</v>
      </c>
      <c r="M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7" s="3" t="b">
        <f ca="1">VLOOKUP(table_DataQualities[[#This Row],[ID]],dict_zuord_Var_DQ!B:C,2,FALSE)</f>
        <v>0</v>
      </c>
      <c r="O97">
        <f t="shared" ca="1" si="19"/>
        <v>4.9000000000000004</v>
      </c>
    </row>
    <row r="98" spans="1:15" x14ac:dyDescent="0.45">
      <c r="A98">
        <v>96</v>
      </c>
      <c r="B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48_Frequenz Hz</v>
      </c>
      <c r="C98">
        <v>100</v>
      </c>
      <c r="D98" s="3" t="str">
        <f>VLOOKUP(table_DataQualities[[#This Row],[unit_ID]],table_Units[#All],2)</f>
        <v>Hz</v>
      </c>
      <c r="F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2.7E-2</v>
      </c>
      <c r="G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5948.6</v>
      </c>
      <c r="H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2.7E-2</v>
      </c>
      <c r="I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5948.6</v>
      </c>
      <c r="K98">
        <f t="shared" ca="1" si="23"/>
        <v>0.38</v>
      </c>
      <c r="M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8" s="3" t="b">
        <f ca="1">VLOOKUP(table_DataQualities[[#This Row],[ID]],dict_zuord_Var_DQ!B:C,2,FALSE)</f>
        <v>0</v>
      </c>
      <c r="O98">
        <f t="shared" ca="1" si="19"/>
        <v>4.4000000000000004</v>
      </c>
    </row>
    <row r="99" spans="1:15" x14ac:dyDescent="0.45">
      <c r="A99">
        <v>97</v>
      </c>
      <c r="B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48_Durchflussmessgenauigkeit cm³/s</v>
      </c>
      <c r="C99">
        <f ca="1">RANDBETWEEN(5,10)*100</f>
        <v>800</v>
      </c>
      <c r="D99" s="3" t="str">
        <f ca="1">VLOOKUP(table_DataQualities[[#This Row],[unit_ID]],table_Units[#All],2)</f>
        <v>+/- cm³/s</v>
      </c>
      <c r="F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4.9000000000000002E-2</v>
      </c>
      <c r="G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8.8999999999999999E-3</v>
      </c>
      <c r="H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8.8999999999999999E-3</v>
      </c>
      <c r="I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4.9000000000000002E-2</v>
      </c>
      <c r="K99">
        <f t="shared" ca="1" si="23"/>
        <v>0.08</v>
      </c>
      <c r="M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99" s="3" t="b">
        <f ca="1">VLOOKUP(table_DataQualities[[#This Row],[ID]],dict_zuord_Var_DQ!B:C,2,FALSE)</f>
        <v>0</v>
      </c>
      <c r="O99">
        <f t="shared" ca="1" si="19"/>
        <v>3.9</v>
      </c>
    </row>
    <row r="100" spans="1:15" x14ac:dyDescent="0.45">
      <c r="A100">
        <v>98</v>
      </c>
      <c r="B1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49_Frequenz Hz</v>
      </c>
      <c r="C100">
        <v>100</v>
      </c>
      <c r="D100" s="3" t="str">
        <f>VLOOKUP(table_DataQualities[[#This Row],[unit_ID]],table_Units[#All],2)</f>
        <v>Hz</v>
      </c>
      <c r="F1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0.44400000000000001</v>
      </c>
      <c r="G1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3378.7</v>
      </c>
      <c r="H1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0.44400000000000001</v>
      </c>
      <c r="I1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3378.7</v>
      </c>
      <c r="K100">
        <f t="shared" ca="1" si="23"/>
        <v>0.51</v>
      </c>
      <c r="M1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0" s="3" t="b">
        <f ca="1">VLOOKUP(table_DataQualities[[#This Row],[ID]],dict_zuord_Var_DQ!B:C,2,FALSE)</f>
        <v>0</v>
      </c>
      <c r="O100">
        <f t="shared" ca="1" si="19"/>
        <v>1.6</v>
      </c>
    </row>
    <row r="101" spans="1:15" x14ac:dyDescent="0.45">
      <c r="A101">
        <v>99</v>
      </c>
      <c r="B1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49_Leistungsmessgenauigkeit W</v>
      </c>
      <c r="C101">
        <f t="shared" ref="C101:C111" ca="1" si="27">RANDBETWEEN(5,10)*100</f>
        <v>600</v>
      </c>
      <c r="D101" s="3" t="str">
        <f ca="1">VLOOKUP(table_DataQualities[[#This Row],[unit_ID]],table_Units[#All],2)</f>
        <v>+/- W</v>
      </c>
      <c r="F1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</v>
      </c>
      <c r="G1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8.3000000000000004E-2</v>
      </c>
      <c r="H1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8.3000000000000004E-2</v>
      </c>
      <c r="I1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0.63</v>
      </c>
      <c r="K101">
        <f t="shared" ca="1" si="23"/>
        <v>0.08</v>
      </c>
      <c r="M1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1" s="3" t="b">
        <f ca="1">VLOOKUP(table_DataQualities[[#This Row],[ID]],dict_zuord_Var_DQ!B:C,2,FALSE)</f>
        <v>0</v>
      </c>
      <c r="O101">
        <f t="shared" ca="1" si="19"/>
        <v>4.7</v>
      </c>
    </row>
    <row r="102" spans="1:15" x14ac:dyDescent="0.45">
      <c r="A102">
        <v>100</v>
      </c>
      <c r="B1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50_Frequenz Hz</v>
      </c>
      <c r="C102">
        <v>100</v>
      </c>
      <c r="D102" s="3" t="str">
        <f>VLOOKUP(table_DataQualities[[#This Row],[unit_ID]],table_Units[#All],2)</f>
        <v>Hz</v>
      </c>
      <c r="F1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0.66200000000000003</v>
      </c>
      <c r="G1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885.3</v>
      </c>
      <c r="H1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0.66200000000000003</v>
      </c>
      <c r="I1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885.3</v>
      </c>
      <c r="K102">
        <f t="shared" ca="1" si="23"/>
        <v>0.41</v>
      </c>
      <c r="M1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2" s="3" t="b">
        <f ca="1">VLOOKUP(table_DataQualities[[#This Row],[ID]],dict_zuord_Var_DQ!B:C,2,FALSE)</f>
        <v>0</v>
      </c>
      <c r="O102">
        <f t="shared" ca="1" si="19"/>
        <v>3.3</v>
      </c>
    </row>
    <row r="103" spans="1:15" x14ac:dyDescent="0.45">
      <c r="A103">
        <v>101</v>
      </c>
      <c r="B1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50_Leistungsmessgenauigkeit W</v>
      </c>
      <c r="C103">
        <f t="shared" ref="C103" ca="1" si="28">RANDBETWEEN(5,10)*100</f>
        <v>600</v>
      </c>
      <c r="D103" s="3" t="str">
        <f ca="1">VLOOKUP(table_DataQualities[[#This Row],[unit_ID]],table_Units[#All],2)</f>
        <v>+/- W</v>
      </c>
      <c r="F1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6.25</v>
      </c>
      <c r="G1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6.9000000000000006E-2</v>
      </c>
      <c r="H1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6.9000000000000006E-2</v>
      </c>
      <c r="I1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6.25</v>
      </c>
      <c r="K103">
        <f t="shared" ca="1" si="23"/>
        <v>0.64</v>
      </c>
      <c r="M1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3" s="3" t="b">
        <f ca="1">VLOOKUP(table_DataQualities[[#This Row],[ID]],dict_zuord_Var_DQ!B:C,2,FALSE)</f>
        <v>0</v>
      </c>
      <c r="O103">
        <f t="shared" ca="1" si="19"/>
        <v>3.8</v>
      </c>
    </row>
    <row r="104" spans="1:15" x14ac:dyDescent="0.45">
      <c r="A104">
        <v>102</v>
      </c>
      <c r="B1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51_Frequenz Hz</v>
      </c>
      <c r="C104">
        <v>100</v>
      </c>
      <c r="D104" s="3" t="str">
        <f>VLOOKUP(table_DataQualities[[#This Row],[unit_ID]],table_Units[#All],2)</f>
        <v>Hz</v>
      </c>
      <c r="F1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0.71199999999999997</v>
      </c>
      <c r="G1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7031.5</v>
      </c>
      <c r="H1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0.71199999999999997</v>
      </c>
      <c r="I1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7031.5</v>
      </c>
      <c r="K104">
        <f t="shared" ca="1" si="23"/>
        <v>0.13</v>
      </c>
      <c r="M1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4" s="3" t="b">
        <f ca="1">VLOOKUP(table_DataQualities[[#This Row],[ID]],dict_zuord_Var_DQ!B:C,2,FALSE)</f>
        <v>0</v>
      </c>
      <c r="O104">
        <f t="shared" ca="1" si="19"/>
        <v>3.9</v>
      </c>
    </row>
    <row r="105" spans="1:15" x14ac:dyDescent="0.45">
      <c r="A105">
        <v>103</v>
      </c>
      <c r="B1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51_Temperaturmessgenauigkeit °C</v>
      </c>
      <c r="C105">
        <f t="shared" ca="1" si="27"/>
        <v>500</v>
      </c>
      <c r="D105" s="3" t="str">
        <f ca="1">VLOOKUP(table_DataQualities[[#This Row],[unit_ID]],table_Units[#All],2)</f>
        <v>+/- °C</v>
      </c>
      <c r="F1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1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1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1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105">
        <f t="shared" ca="1" si="23"/>
        <v>0.76</v>
      </c>
      <c r="M1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5" s="3" t="b">
        <f ca="1">VLOOKUP(table_DataQualities[[#This Row],[ID]],dict_zuord_Var_DQ!B:C,2,FALSE)</f>
        <v>0</v>
      </c>
      <c r="O105">
        <f t="shared" ca="1" si="19"/>
        <v>4.7</v>
      </c>
    </row>
    <row r="106" spans="1:15" x14ac:dyDescent="0.45">
      <c r="A106">
        <v>104</v>
      </c>
      <c r="B1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52_Frequenz Hz</v>
      </c>
      <c r="C106">
        <v>100</v>
      </c>
      <c r="D106" s="3" t="str">
        <f>VLOOKUP(table_DataQualities[[#This Row],[unit_ID]],table_Units[#All],2)</f>
        <v>Hz</v>
      </c>
      <c r="F1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1.4E-2</v>
      </c>
      <c r="G1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7901.2</v>
      </c>
      <c r="H1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1.4E-2</v>
      </c>
      <c r="I1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7901.2</v>
      </c>
      <c r="K106">
        <f t="shared" ca="1" si="23"/>
        <v>0.89</v>
      </c>
      <c r="M1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6" s="3" t="b">
        <f ca="1">VLOOKUP(table_DataQualities[[#This Row],[ID]],dict_zuord_Var_DQ!B:C,2,FALSE)</f>
        <v>0</v>
      </c>
      <c r="O106">
        <f t="shared" ca="1" si="19"/>
        <v>3.8</v>
      </c>
    </row>
    <row r="107" spans="1:15" x14ac:dyDescent="0.45">
      <c r="A107">
        <v>105</v>
      </c>
      <c r="B1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52_Leistungsmessgenauigkeit W</v>
      </c>
      <c r="C107">
        <f t="shared" ref="C107" ca="1" si="29">RANDBETWEEN(5,10)*100</f>
        <v>600</v>
      </c>
      <c r="D107" s="3" t="str">
        <f ca="1">VLOOKUP(table_DataQualities[[#This Row],[unit_ID]],table_Units[#All],2)</f>
        <v>+/- W</v>
      </c>
      <c r="F1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8.2200000000000006</v>
      </c>
      <c r="G1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0.09</v>
      </c>
      <c r="H1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0.09</v>
      </c>
      <c r="I1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8.2200000000000006</v>
      </c>
      <c r="K107">
        <f t="shared" ca="1" si="23"/>
        <v>0.98</v>
      </c>
      <c r="M1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7" s="3" t="b">
        <f ca="1">VLOOKUP(table_DataQualities[[#This Row],[ID]],dict_zuord_Var_DQ!B:C,2,FALSE)</f>
        <v>0</v>
      </c>
      <c r="O107">
        <f t="shared" ca="1" si="19"/>
        <v>3.3</v>
      </c>
    </row>
    <row r="108" spans="1:15" x14ac:dyDescent="0.45">
      <c r="A108">
        <v>106</v>
      </c>
      <c r="B1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53_Frequenz Hz</v>
      </c>
      <c r="C108">
        <v>100</v>
      </c>
      <c r="D108" s="3" t="str">
        <f>VLOOKUP(table_DataQualities[[#This Row],[unit_ID]],table_Units[#All],2)</f>
        <v>Hz</v>
      </c>
      <c r="F1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0.217</v>
      </c>
      <c r="G1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7895.6</v>
      </c>
      <c r="H1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0.217</v>
      </c>
      <c r="I1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7895.6</v>
      </c>
      <c r="K108">
        <f t="shared" ca="1" si="23"/>
        <v>0.79</v>
      </c>
      <c r="M1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8" s="3" t="b">
        <f ca="1">VLOOKUP(table_DataQualities[[#This Row],[ID]],dict_zuord_Var_DQ!B:C,2,FALSE)</f>
        <v>0</v>
      </c>
      <c r="O108">
        <f t="shared" ca="1" si="19"/>
        <v>3.6</v>
      </c>
    </row>
    <row r="109" spans="1:15" x14ac:dyDescent="0.45">
      <c r="A109">
        <v>107</v>
      </c>
      <c r="B1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53_Durchflussmessgenauigkeit cm³/s</v>
      </c>
      <c r="C109">
        <f t="shared" ca="1" si="27"/>
        <v>800</v>
      </c>
      <c r="D109" s="3" t="str">
        <f ca="1">VLOOKUP(table_DataQualities[[#This Row],[unit_ID]],table_Units[#All],2)</f>
        <v>+/- cm³/s</v>
      </c>
      <c r="F1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0.66100000000000003</v>
      </c>
      <c r="G1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9.4999999999999998E-3</v>
      </c>
      <c r="H1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9.4999999999999998E-3</v>
      </c>
      <c r="I1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0.66100000000000003</v>
      </c>
      <c r="K109">
        <f t="shared" ca="1" si="23"/>
        <v>0.98</v>
      </c>
      <c r="M1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09" s="3" t="b">
        <f ca="1">VLOOKUP(table_DataQualities[[#This Row],[ID]],dict_zuord_Var_DQ!B:C,2,FALSE)</f>
        <v>0</v>
      </c>
      <c r="O109">
        <f t="shared" ca="1" si="19"/>
        <v>1.8</v>
      </c>
    </row>
    <row r="110" spans="1:15" x14ac:dyDescent="0.45">
      <c r="A110">
        <v>108</v>
      </c>
      <c r="B1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54_Frequenz Hz</v>
      </c>
      <c r="C110">
        <v>100</v>
      </c>
      <c r="D110" s="3" t="str">
        <f>VLOOKUP(table_DataQualities[[#This Row],[unit_ID]],table_Units[#All],2)</f>
        <v>Hz</v>
      </c>
      <c r="F1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</v>
      </c>
      <c r="G1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962.4</v>
      </c>
      <c r="H1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0.93</v>
      </c>
      <c r="I1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962.4</v>
      </c>
      <c r="K110">
        <f t="shared" ca="1" si="23"/>
        <v>0.06</v>
      </c>
      <c r="M1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0" s="3" t="b">
        <f ca="1">VLOOKUP(table_DataQualities[[#This Row],[ID]],dict_zuord_Var_DQ!B:C,2,FALSE)</f>
        <v>0</v>
      </c>
      <c r="O110">
        <f t="shared" ca="1" si="19"/>
        <v>3</v>
      </c>
    </row>
    <row r="111" spans="1:15" x14ac:dyDescent="0.45">
      <c r="A111">
        <v>109</v>
      </c>
      <c r="B1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54_Bildgröße</v>
      </c>
      <c r="C111">
        <f t="shared" ca="1" si="27"/>
        <v>1000</v>
      </c>
      <c r="D111" s="3" t="str">
        <f ca="1">VLOOKUP(table_DataQualities[[#This Row],[unit_ID]],table_Units[#All],2)</f>
        <v>bit</v>
      </c>
      <c r="F1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72</v>
      </c>
      <c r="G1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6503</v>
      </c>
      <c r="H1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72</v>
      </c>
      <c r="I1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6503</v>
      </c>
      <c r="K111">
        <f t="shared" ca="1" si="23"/>
        <v>0.47</v>
      </c>
      <c r="M1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1" s="3" t="b">
        <f ca="1">VLOOKUP(table_DataQualities[[#This Row],[ID]],dict_zuord_Var_DQ!B:C,2,FALSE)</f>
        <v>0</v>
      </c>
      <c r="O111">
        <f t="shared" ca="1" si="19"/>
        <v>3.3</v>
      </c>
    </row>
    <row r="112" spans="1:15" x14ac:dyDescent="0.45">
      <c r="A112">
        <v>110</v>
      </c>
      <c r="B1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55_Frequenz Hz</v>
      </c>
      <c r="C112">
        <v>100</v>
      </c>
      <c r="D112" s="3" t="str">
        <f>VLOOKUP(table_DataQualities[[#This Row],[unit_ID]],table_Units[#All],2)</f>
        <v>Hz</v>
      </c>
      <c r="F1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0.76800000000000002</v>
      </c>
      <c r="G1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9665.1</v>
      </c>
      <c r="H1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0.76800000000000002</v>
      </c>
      <c r="I1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9665.1</v>
      </c>
      <c r="K112">
        <f t="shared" ca="1" si="23"/>
        <v>0.11</v>
      </c>
      <c r="M1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2" s="3" t="b">
        <f ca="1">VLOOKUP(table_DataQualities[[#This Row],[ID]],dict_zuord_Var_DQ!B:C,2,FALSE)</f>
        <v>0</v>
      </c>
      <c r="O112">
        <f t="shared" ca="1" si="19"/>
        <v>3.5</v>
      </c>
    </row>
    <row r="113" spans="1:15" x14ac:dyDescent="0.45">
      <c r="A113">
        <v>111</v>
      </c>
      <c r="B1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55_Leistungsmessgenauigkeit W</v>
      </c>
      <c r="C113">
        <f ca="1">RANDBETWEEN(5,10)*100</f>
        <v>600</v>
      </c>
      <c r="D113" s="3" t="str">
        <f ca="1">VLOOKUP(table_DataQualities[[#This Row],[unit_ID]],table_Units[#All],2)</f>
        <v>+/- W</v>
      </c>
      <c r="F1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</v>
      </c>
      <c r="G1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0.06</v>
      </c>
      <c r="H1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0.06</v>
      </c>
      <c r="I1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0.76</v>
      </c>
      <c r="K113">
        <f t="shared" ca="1" si="23"/>
        <v>0.24</v>
      </c>
      <c r="M1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3" s="3" t="b">
        <f ca="1">VLOOKUP(table_DataQualities[[#This Row],[ID]],dict_zuord_Var_DQ!B:C,2,FALSE)</f>
        <v>0</v>
      </c>
      <c r="O113">
        <f t="shared" ca="1" si="19"/>
        <v>2.2000000000000002</v>
      </c>
    </row>
    <row r="114" spans="1:15" x14ac:dyDescent="0.45">
      <c r="A114">
        <v>112</v>
      </c>
      <c r="B1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56_Frequenz Hz</v>
      </c>
      <c r="C114">
        <v>100</v>
      </c>
      <c r="D114" s="3" t="str">
        <f>VLOOKUP(table_DataQualities[[#This Row],[unit_ID]],table_Units[#All],2)</f>
        <v>Hz</v>
      </c>
      <c r="F1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</v>
      </c>
      <c r="G1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8966</v>
      </c>
      <c r="H1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</v>
      </c>
      <c r="I1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8966</v>
      </c>
      <c r="K114">
        <f t="shared" ca="1" si="23"/>
        <v>0.63</v>
      </c>
      <c r="M1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4" s="3" t="b">
        <f ca="1">VLOOKUP(table_DataQualities[[#This Row],[ID]],dict_zuord_Var_DQ!B:C,2,FALSE)</f>
        <v>0</v>
      </c>
      <c r="O114">
        <f t="shared" ca="1" si="19"/>
        <v>3.8</v>
      </c>
    </row>
    <row r="115" spans="1:15" x14ac:dyDescent="0.45">
      <c r="A115">
        <v>113</v>
      </c>
      <c r="B1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56_Durchflussmessgenauigkeit cm³/s</v>
      </c>
      <c r="C115">
        <f t="shared" ref="C115:C125" ca="1" si="30">RANDBETWEEN(5,10)*100</f>
        <v>800</v>
      </c>
      <c r="D115" s="3" t="str">
        <f ca="1">VLOOKUP(table_DataQualities[[#This Row],[unit_ID]],table_Units[#All],2)</f>
        <v>+/- cm³/s</v>
      </c>
      <c r="F1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0.86799999999999999</v>
      </c>
      <c r="G1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4.3E-3</v>
      </c>
      <c r="H1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4.3E-3</v>
      </c>
      <c r="I1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0.86799999999999999</v>
      </c>
      <c r="K115">
        <f t="shared" ca="1" si="23"/>
        <v>0.47</v>
      </c>
      <c r="M1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5" s="3" t="b">
        <f ca="1">VLOOKUP(table_DataQualities[[#This Row],[ID]],dict_zuord_Var_DQ!B:C,2,FALSE)</f>
        <v>0</v>
      </c>
      <c r="O115">
        <f t="shared" ca="1" si="19"/>
        <v>1.2</v>
      </c>
    </row>
    <row r="116" spans="1:15" x14ac:dyDescent="0.45">
      <c r="A116">
        <v>114</v>
      </c>
      <c r="B1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57_Frequenz Hz</v>
      </c>
      <c r="C116">
        <v>100</v>
      </c>
      <c r="D116" s="3" t="str">
        <f>VLOOKUP(table_DataQualities[[#This Row],[unit_ID]],table_Units[#All],2)</f>
        <v>Hz</v>
      </c>
      <c r="F1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0.63100000000000001</v>
      </c>
      <c r="G1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2530.9</v>
      </c>
      <c r="H1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0.63100000000000001</v>
      </c>
      <c r="I1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2530.9</v>
      </c>
      <c r="K116">
        <f t="shared" ca="1" si="23"/>
        <v>0.28000000000000003</v>
      </c>
      <c r="M1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6" s="3" t="b">
        <f ca="1">VLOOKUP(table_DataQualities[[#This Row],[ID]],dict_zuord_Var_DQ!B:C,2,FALSE)</f>
        <v>0</v>
      </c>
      <c r="O116">
        <f t="shared" ca="1" si="19"/>
        <v>3.8</v>
      </c>
    </row>
    <row r="117" spans="1:15" x14ac:dyDescent="0.45">
      <c r="A117">
        <v>115</v>
      </c>
      <c r="B1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57_Geschwindigkeitsmessgenauigkeit mm/s</v>
      </c>
      <c r="C117">
        <f t="shared" ref="C117" ca="1" si="31">RANDBETWEEN(5,10)*100</f>
        <v>700</v>
      </c>
      <c r="D117" s="3" t="str">
        <f ca="1">VLOOKUP(table_DataQualities[[#This Row],[unit_ID]],table_Units[#All],2)</f>
        <v>+/- mm/s</v>
      </c>
      <c r="F1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2.2999999999999998</v>
      </c>
      <c r="G1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0.51</v>
      </c>
      <c r="H1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</v>
      </c>
      <c r="I1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2.2999999999999998</v>
      </c>
      <c r="K117">
        <f t="shared" ca="1" si="23"/>
        <v>0.73</v>
      </c>
      <c r="M1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7" s="3" t="b">
        <f ca="1">VLOOKUP(table_DataQualities[[#This Row],[ID]],dict_zuord_Var_DQ!B:C,2,FALSE)</f>
        <v>0</v>
      </c>
      <c r="O117">
        <f t="shared" ca="1" si="19"/>
        <v>2.6</v>
      </c>
    </row>
    <row r="118" spans="1:15" x14ac:dyDescent="0.45">
      <c r="A118">
        <v>116</v>
      </c>
      <c r="B1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58_Frequenz Hz</v>
      </c>
      <c r="C118">
        <v>100</v>
      </c>
      <c r="D118" s="3" t="str">
        <f>VLOOKUP(table_DataQualities[[#This Row],[unit_ID]],table_Units[#All],2)</f>
        <v>Hz</v>
      </c>
      <c r="F1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0.92800000000000005</v>
      </c>
      <c r="G1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8368.5</v>
      </c>
      <c r="H1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0.92800000000000005</v>
      </c>
      <c r="I1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8368.5</v>
      </c>
      <c r="K118">
        <f t="shared" ca="1" si="23"/>
        <v>0.88</v>
      </c>
      <c r="M1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8" s="3" t="b">
        <f ca="1">VLOOKUP(table_DataQualities[[#This Row],[ID]],dict_zuord_Var_DQ!B:C,2,FALSE)</f>
        <v>0</v>
      </c>
      <c r="O118">
        <f t="shared" ca="1" si="19"/>
        <v>2.4</v>
      </c>
    </row>
    <row r="119" spans="1:15" x14ac:dyDescent="0.45">
      <c r="A119">
        <v>117</v>
      </c>
      <c r="B1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58_Leistungsmessgenauigkeit W</v>
      </c>
      <c r="C119">
        <f t="shared" ca="1" si="30"/>
        <v>600</v>
      </c>
      <c r="D119" s="3" t="str">
        <f ca="1">VLOOKUP(table_DataQualities[[#This Row],[unit_ID]],table_Units[#All],2)</f>
        <v>+/- W</v>
      </c>
      <c r="F1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</v>
      </c>
      <c r="G1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7.9000000000000001E-2</v>
      </c>
      <c r="H1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7.9000000000000001E-2</v>
      </c>
      <c r="I1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0.59</v>
      </c>
      <c r="K119">
        <f t="shared" ca="1" si="23"/>
        <v>0.31</v>
      </c>
      <c r="M1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19" s="3" t="b">
        <f ca="1">VLOOKUP(table_DataQualities[[#This Row],[ID]],dict_zuord_Var_DQ!B:C,2,FALSE)</f>
        <v>0</v>
      </c>
      <c r="O119">
        <f t="shared" ca="1" si="19"/>
        <v>4.5</v>
      </c>
    </row>
    <row r="120" spans="1:15" x14ac:dyDescent="0.45">
      <c r="A120">
        <v>118</v>
      </c>
      <c r="B1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59_Frequenz Hz</v>
      </c>
      <c r="C120">
        <v>100</v>
      </c>
      <c r="D120" s="3" t="str">
        <f>VLOOKUP(table_DataQualities[[#This Row],[unit_ID]],table_Units[#All],2)</f>
        <v>Hz</v>
      </c>
      <c r="F1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0.58599999999999997</v>
      </c>
      <c r="G1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254</v>
      </c>
      <c r="H1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0.58599999999999997</v>
      </c>
      <c r="I1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254</v>
      </c>
      <c r="K120">
        <f t="shared" ca="1" si="23"/>
        <v>0.89</v>
      </c>
      <c r="M1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0" s="3" t="b">
        <f ca="1">VLOOKUP(table_DataQualities[[#This Row],[ID]],dict_zuord_Var_DQ!B:C,2,FALSE)</f>
        <v>0</v>
      </c>
      <c r="O120">
        <f t="shared" ca="1" si="19"/>
        <v>2.6</v>
      </c>
    </row>
    <row r="121" spans="1:15" x14ac:dyDescent="0.45">
      <c r="A121">
        <v>119</v>
      </c>
      <c r="B1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59_Durchflussmessgenauigkeit cm³/s</v>
      </c>
      <c r="C121">
        <f t="shared" ref="C121" ca="1" si="32">RANDBETWEEN(5,10)*100</f>
        <v>800</v>
      </c>
      <c r="D121" s="3" t="str">
        <f ca="1">VLOOKUP(table_DataQualities[[#This Row],[unit_ID]],table_Units[#All],2)</f>
        <v>+/- cm³/s</v>
      </c>
      <c r="F1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0.59699999999999998</v>
      </c>
      <c r="G1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9.9000000000000008E-3</v>
      </c>
      <c r="H1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9.9000000000000008E-3</v>
      </c>
      <c r="I1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0.59699999999999998</v>
      </c>
      <c r="K121">
        <f t="shared" ca="1" si="23"/>
        <v>0.24</v>
      </c>
      <c r="M1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1" s="3" t="b">
        <f ca="1">VLOOKUP(table_DataQualities[[#This Row],[ID]],dict_zuord_Var_DQ!B:C,2,FALSE)</f>
        <v>0</v>
      </c>
      <c r="O121">
        <f t="shared" ca="1" si="19"/>
        <v>1.7</v>
      </c>
    </row>
    <row r="122" spans="1:15" x14ac:dyDescent="0.45">
      <c r="A122">
        <v>120</v>
      </c>
      <c r="B1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60_Frequenz Hz</v>
      </c>
      <c r="C122">
        <v>100</v>
      </c>
      <c r="D122" s="3" t="str">
        <f>VLOOKUP(table_DataQualities[[#This Row],[unit_ID]],table_Units[#All],2)</f>
        <v>Hz</v>
      </c>
      <c r="F1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0.85699999999999998</v>
      </c>
      <c r="G1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2680.1</v>
      </c>
      <c r="H1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0.85699999999999998</v>
      </c>
      <c r="I1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2680.1</v>
      </c>
      <c r="K122">
        <f t="shared" ca="1" si="23"/>
        <v>0.18</v>
      </c>
      <c r="M1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2" s="3" t="b">
        <f ca="1">VLOOKUP(table_DataQualities[[#This Row],[ID]],dict_zuord_Var_DQ!B:C,2,FALSE)</f>
        <v>0</v>
      </c>
      <c r="O122">
        <f t="shared" ca="1" si="19"/>
        <v>2.5</v>
      </c>
    </row>
    <row r="123" spans="1:15" x14ac:dyDescent="0.45">
      <c r="A123">
        <v>121</v>
      </c>
      <c r="B1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60_Längenmessgenauigkeit mm</v>
      </c>
      <c r="C123">
        <f t="shared" ca="1" si="30"/>
        <v>900</v>
      </c>
      <c r="D123" s="3" t="str">
        <f ca="1">VLOOKUP(table_DataQualities[[#This Row],[unit_ID]],table_Units[#All],2)</f>
        <v>+/- mm</v>
      </c>
      <c r="F1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7.5</v>
      </c>
      <c r="G1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2.1999999999999999E-2</v>
      </c>
      <c r="H1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2.1999999999999999E-2</v>
      </c>
      <c r="I1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7.5</v>
      </c>
      <c r="K123">
        <f t="shared" ca="1" si="23"/>
        <v>0.33</v>
      </c>
      <c r="M1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3" s="3" t="b">
        <f ca="1">VLOOKUP(table_DataQualities[[#This Row],[ID]],dict_zuord_Var_DQ!B:C,2,FALSE)</f>
        <v>0</v>
      </c>
      <c r="O123">
        <f t="shared" ca="1" si="19"/>
        <v>4</v>
      </c>
    </row>
    <row r="124" spans="1:15" x14ac:dyDescent="0.45">
      <c r="A124">
        <v>122</v>
      </c>
      <c r="B1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61_Frequenz Hz</v>
      </c>
      <c r="C124">
        <v>100</v>
      </c>
      <c r="D124" s="3" t="str">
        <f>VLOOKUP(table_DataQualities[[#This Row],[unit_ID]],table_Units[#All],2)</f>
        <v>Hz</v>
      </c>
      <c r="F1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0.59099999999999997</v>
      </c>
      <c r="G1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2803.8</v>
      </c>
      <c r="H1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0.59099999999999997</v>
      </c>
      <c r="I1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2803.8</v>
      </c>
      <c r="K124">
        <f t="shared" ca="1" si="23"/>
        <v>0.39</v>
      </c>
      <c r="M1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4" s="3" t="b">
        <f ca="1">VLOOKUP(table_DataQualities[[#This Row],[ID]],dict_zuord_Var_DQ!B:C,2,FALSE)</f>
        <v>0</v>
      </c>
      <c r="O124">
        <f t="shared" ca="1" si="19"/>
        <v>4.5999999999999996</v>
      </c>
    </row>
    <row r="125" spans="1:15" x14ac:dyDescent="0.45">
      <c r="A125">
        <v>123</v>
      </c>
      <c r="B1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61_Längenmessgenauigkeit mm</v>
      </c>
      <c r="C125">
        <f t="shared" ca="1" si="30"/>
        <v>900</v>
      </c>
      <c r="D125" s="3" t="str">
        <f ca="1">VLOOKUP(table_DataQualities[[#This Row],[unit_ID]],table_Units[#All],2)</f>
        <v>+/- mm</v>
      </c>
      <c r="F1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</v>
      </c>
      <c r="G1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6.8000000000000005E-2</v>
      </c>
      <c r="H1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6.8000000000000005E-2</v>
      </c>
      <c r="I1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0.77</v>
      </c>
      <c r="K125">
        <f t="shared" ca="1" si="23"/>
        <v>0.51</v>
      </c>
      <c r="M1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5" s="3" t="b">
        <f ca="1">VLOOKUP(table_DataQualities[[#This Row],[ID]],dict_zuord_Var_DQ!B:C,2,FALSE)</f>
        <v>0</v>
      </c>
      <c r="O125">
        <f t="shared" ca="1" si="19"/>
        <v>1.4</v>
      </c>
    </row>
    <row r="126" spans="1:15" x14ac:dyDescent="0.45">
      <c r="A126">
        <v>124</v>
      </c>
      <c r="B1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62_Frequenz Hz</v>
      </c>
      <c r="C126">
        <v>100</v>
      </c>
      <c r="D126" s="3" t="str">
        <f>VLOOKUP(table_DataQualities[[#This Row],[unit_ID]],table_Units[#All],2)</f>
        <v>Hz</v>
      </c>
      <c r="F1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0.90700000000000003</v>
      </c>
      <c r="G1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5993.8</v>
      </c>
      <c r="H1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0.90700000000000003</v>
      </c>
      <c r="I1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5993.8</v>
      </c>
      <c r="K126">
        <f t="shared" ca="1" si="23"/>
        <v>0.72</v>
      </c>
      <c r="M1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6" s="3" t="b">
        <f ca="1">VLOOKUP(table_DataQualities[[#This Row],[ID]],dict_zuord_Var_DQ!B:C,2,FALSE)</f>
        <v>0</v>
      </c>
      <c r="O126">
        <f t="shared" ca="1" si="19"/>
        <v>1.5</v>
      </c>
    </row>
    <row r="127" spans="1:15" x14ac:dyDescent="0.45">
      <c r="A127">
        <v>125</v>
      </c>
      <c r="B1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62_Leistungsmessgenauigkeit W</v>
      </c>
      <c r="C127">
        <f ca="1">RANDBETWEEN(5,10)*100</f>
        <v>600</v>
      </c>
      <c r="D127" s="3" t="str">
        <f ca="1">VLOOKUP(table_DataQualities[[#This Row],[unit_ID]],table_Units[#All],2)</f>
        <v>+/- W</v>
      </c>
      <c r="F1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9.56</v>
      </c>
      <c r="G1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0.09</v>
      </c>
      <c r="H1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0.09</v>
      </c>
      <c r="I1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9.56</v>
      </c>
      <c r="K127">
        <f t="shared" ca="1" si="23"/>
        <v>0.56999999999999995</v>
      </c>
      <c r="M1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7" s="3" t="b">
        <f ca="1">VLOOKUP(table_DataQualities[[#This Row],[ID]],dict_zuord_Var_DQ!B:C,2,FALSE)</f>
        <v>0</v>
      </c>
      <c r="O127">
        <f t="shared" ca="1" si="19"/>
        <v>1.5</v>
      </c>
    </row>
    <row r="128" spans="1:15" x14ac:dyDescent="0.45">
      <c r="A128">
        <v>126</v>
      </c>
      <c r="B1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63_Frequenz Hz</v>
      </c>
      <c r="C128">
        <v>100</v>
      </c>
      <c r="D128" s="3" t="str">
        <f>VLOOKUP(table_DataQualities[[#This Row],[unit_ID]],table_Units[#All],2)</f>
        <v>Hz</v>
      </c>
      <c r="F1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0.82299999999999995</v>
      </c>
      <c r="G1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498.1</v>
      </c>
      <c r="H1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0.82299999999999995</v>
      </c>
      <c r="I1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498.1</v>
      </c>
      <c r="K128">
        <f t="shared" ca="1" si="23"/>
        <v>0.42</v>
      </c>
      <c r="M1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8" s="3" t="b">
        <f ca="1">VLOOKUP(table_DataQualities[[#This Row],[ID]],dict_zuord_Var_DQ!B:C,2,FALSE)</f>
        <v>0</v>
      </c>
      <c r="O128">
        <f t="shared" ca="1" si="19"/>
        <v>1.8</v>
      </c>
    </row>
    <row r="129" spans="1:15" x14ac:dyDescent="0.45">
      <c r="A129">
        <v>127</v>
      </c>
      <c r="B1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63_Temperaturmessgenauigkeit °C</v>
      </c>
      <c r="C129">
        <f t="shared" ref="C129:C139" ca="1" si="33">RANDBETWEEN(5,10)*100</f>
        <v>500</v>
      </c>
      <c r="D129" s="3" t="str">
        <f ca="1">VLOOKUP(table_DataQualities[[#This Row],[unit_ID]],table_Units[#All],2)</f>
        <v>+/- °C</v>
      </c>
      <c r="F1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1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1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1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129">
        <f t="shared" ca="1" si="23"/>
        <v>0.73</v>
      </c>
      <c r="M1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29" s="3" t="b">
        <f ca="1">VLOOKUP(table_DataQualities[[#This Row],[ID]],dict_zuord_Var_DQ!B:C,2,FALSE)</f>
        <v>0</v>
      </c>
      <c r="O129">
        <f t="shared" ca="1" si="19"/>
        <v>4.3</v>
      </c>
    </row>
    <row r="130" spans="1:15" x14ac:dyDescent="0.45">
      <c r="A130">
        <v>128</v>
      </c>
      <c r="B1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64_Frequenz Hz</v>
      </c>
      <c r="C130">
        <v>100</v>
      </c>
      <c r="D130" s="3" t="str">
        <f>VLOOKUP(table_DataQualities[[#This Row],[unit_ID]],table_Units[#All],2)</f>
        <v>Hz</v>
      </c>
      <c r="F1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5.2999999999999999E-2</v>
      </c>
      <c r="G1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1283.9000000000001</v>
      </c>
      <c r="H1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5.2999999999999999E-2</v>
      </c>
      <c r="I1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1283.9000000000001</v>
      </c>
      <c r="K130">
        <f t="shared" ca="1" si="23"/>
        <v>0.17</v>
      </c>
      <c r="M1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0" s="3" t="b">
        <f ca="1">VLOOKUP(table_DataQualities[[#This Row],[ID]],dict_zuord_Var_DQ!B:C,2,FALSE)</f>
        <v>0</v>
      </c>
      <c r="O130">
        <f t="shared" ca="1" si="19"/>
        <v>1.5</v>
      </c>
    </row>
    <row r="131" spans="1:15" x14ac:dyDescent="0.45">
      <c r="A131">
        <v>129</v>
      </c>
      <c r="B1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64_Längenmessgenauigkeit mm</v>
      </c>
      <c r="C131">
        <f t="shared" ref="C131" ca="1" si="34">RANDBETWEEN(5,10)*100</f>
        <v>900</v>
      </c>
      <c r="D131" s="3" t="str">
        <f ca="1">VLOOKUP(table_DataQualities[[#This Row],[unit_ID]],table_Units[#All],2)</f>
        <v>+/- mm</v>
      </c>
      <c r="F1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1.25</v>
      </c>
      <c r="G1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8.9999999999999993E-3</v>
      </c>
      <c r="H1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8.9999999999999993E-3</v>
      </c>
      <c r="I1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1.25</v>
      </c>
      <c r="K131">
        <f t="shared" ca="1" si="23"/>
        <v>0.24</v>
      </c>
      <c r="M1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1" s="3" t="b">
        <f ca="1">VLOOKUP(table_DataQualities[[#This Row],[ID]],dict_zuord_Var_DQ!B:C,2,FALSE)</f>
        <v>0</v>
      </c>
      <c r="O131">
        <f t="shared" ref="O131:O194" ca="1" si="35">RANDBETWEEN(12,50)/10</f>
        <v>1.6</v>
      </c>
    </row>
    <row r="132" spans="1:15" x14ac:dyDescent="0.45">
      <c r="A132">
        <v>130</v>
      </c>
      <c r="B1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65_Frequenz Hz</v>
      </c>
      <c r="C132">
        <v>100</v>
      </c>
      <c r="D132" s="3" t="str">
        <f>VLOOKUP(table_DataQualities[[#This Row],[unit_ID]],table_Units[#All],2)</f>
        <v>Hz</v>
      </c>
      <c r="F1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0.85699999999999998</v>
      </c>
      <c r="G1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1599.7</v>
      </c>
      <c r="H1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0.85699999999999998</v>
      </c>
      <c r="I1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1599.7</v>
      </c>
      <c r="K132">
        <f t="shared" ca="1" si="23"/>
        <v>0.03</v>
      </c>
      <c r="M1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2" s="3" t="b">
        <f ca="1">VLOOKUP(table_DataQualities[[#This Row],[ID]],dict_zuord_Var_DQ!B:C,2,FALSE)</f>
        <v>0</v>
      </c>
      <c r="O132">
        <f t="shared" ca="1" si="35"/>
        <v>2.2999999999999998</v>
      </c>
    </row>
    <row r="133" spans="1:15" x14ac:dyDescent="0.45">
      <c r="A133">
        <v>131</v>
      </c>
      <c r="B1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65_Durchflussmessgenauigkeit cm³/s</v>
      </c>
      <c r="C133">
        <f t="shared" ca="1" si="33"/>
        <v>800</v>
      </c>
      <c r="D133" s="3" t="str">
        <f ca="1">VLOOKUP(table_DataQualities[[#This Row],[unit_ID]],table_Units[#All],2)</f>
        <v>+/- cm³/s</v>
      </c>
      <c r="F1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</v>
      </c>
      <c r="G1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6.6E-3</v>
      </c>
      <c r="H1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6.6E-3</v>
      </c>
      <c r="I1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0.88</v>
      </c>
      <c r="K133">
        <f t="shared" ca="1" si="23"/>
        <v>0.03</v>
      </c>
      <c r="M1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3" s="3" t="b">
        <f ca="1">VLOOKUP(table_DataQualities[[#This Row],[ID]],dict_zuord_Var_DQ!B:C,2,FALSE)</f>
        <v>0</v>
      </c>
      <c r="O133">
        <f t="shared" ca="1" si="35"/>
        <v>3.3</v>
      </c>
    </row>
    <row r="134" spans="1:15" x14ac:dyDescent="0.45">
      <c r="A134">
        <v>132</v>
      </c>
      <c r="B1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66_Frequenz Hz</v>
      </c>
      <c r="C134">
        <v>100</v>
      </c>
      <c r="D134" s="3" t="str">
        <f>VLOOKUP(table_DataQualities[[#This Row],[unit_ID]],table_Units[#All],2)</f>
        <v>Hz</v>
      </c>
      <c r="F1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0.36599999999999999</v>
      </c>
      <c r="G1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416.1</v>
      </c>
      <c r="H1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0.36599999999999999</v>
      </c>
      <c r="I1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416.1</v>
      </c>
      <c r="K134">
        <f t="shared" ca="1" si="23"/>
        <v>0.43</v>
      </c>
      <c r="M1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4" s="3" t="b">
        <f ca="1">VLOOKUP(table_DataQualities[[#This Row],[ID]],dict_zuord_Var_DQ!B:C,2,FALSE)</f>
        <v>0</v>
      </c>
      <c r="O134">
        <f t="shared" ca="1" si="35"/>
        <v>3.5</v>
      </c>
    </row>
    <row r="135" spans="1:15" x14ac:dyDescent="0.45">
      <c r="A135">
        <v>133</v>
      </c>
      <c r="B1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66_Leistungsmessgenauigkeit W</v>
      </c>
      <c r="C135">
        <f t="shared" ref="C135" ca="1" si="36">RANDBETWEEN(5,10)*100</f>
        <v>600</v>
      </c>
      <c r="D135" s="3" t="str">
        <f ca="1">VLOOKUP(table_DataQualities[[#This Row],[unit_ID]],table_Units[#All],2)</f>
        <v>+/- W</v>
      </c>
      <c r="F1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5.04</v>
      </c>
      <c r="G1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0.02</v>
      </c>
      <c r="H1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0.02</v>
      </c>
      <c r="I1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5.04</v>
      </c>
      <c r="K135">
        <f t="shared" ca="1" si="23"/>
        <v>0.35</v>
      </c>
      <c r="M1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5" s="3" t="b">
        <f ca="1">VLOOKUP(table_DataQualities[[#This Row],[ID]],dict_zuord_Var_DQ!B:C,2,FALSE)</f>
        <v>0</v>
      </c>
      <c r="O135">
        <f t="shared" ca="1" si="35"/>
        <v>2.5</v>
      </c>
    </row>
    <row r="136" spans="1:15" x14ac:dyDescent="0.45">
      <c r="A136">
        <v>134</v>
      </c>
      <c r="B1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67_Frequenz Hz</v>
      </c>
      <c r="C136">
        <v>100</v>
      </c>
      <c r="D136" s="3" t="str">
        <f>VLOOKUP(table_DataQualities[[#This Row],[unit_ID]],table_Units[#All],2)</f>
        <v>Hz</v>
      </c>
      <c r="F1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0.58799999999999997</v>
      </c>
      <c r="G1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7179.6</v>
      </c>
      <c r="H1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0.58799999999999997</v>
      </c>
      <c r="I1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7179.6</v>
      </c>
      <c r="K136">
        <f t="shared" ca="1" si="23"/>
        <v>0.63</v>
      </c>
      <c r="M1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6" s="3" t="b">
        <f ca="1">VLOOKUP(table_DataQualities[[#This Row],[ID]],dict_zuord_Var_DQ!B:C,2,FALSE)</f>
        <v>0</v>
      </c>
      <c r="O136">
        <f t="shared" ca="1" si="35"/>
        <v>2.8</v>
      </c>
    </row>
    <row r="137" spans="1:15" x14ac:dyDescent="0.45">
      <c r="A137">
        <v>135</v>
      </c>
      <c r="B1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67_Längenmessgenauigkeit mm</v>
      </c>
      <c r="C137">
        <f t="shared" ca="1" si="33"/>
        <v>900</v>
      </c>
      <c r="D137" s="3" t="str">
        <f ca="1">VLOOKUP(table_DataQualities[[#This Row],[unit_ID]],table_Units[#All],2)</f>
        <v>+/- mm</v>
      </c>
      <c r="F1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2.82</v>
      </c>
      <c r="G1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2.8000000000000001E-2</v>
      </c>
      <c r="H1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2.8000000000000001E-2</v>
      </c>
      <c r="I1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2.82</v>
      </c>
      <c r="K137">
        <f t="shared" ca="1" si="23"/>
        <v>0.87</v>
      </c>
      <c r="M1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7" s="3" t="b">
        <f ca="1">VLOOKUP(table_DataQualities[[#This Row],[ID]],dict_zuord_Var_DQ!B:C,2,FALSE)</f>
        <v>0</v>
      </c>
      <c r="O137">
        <f t="shared" ca="1" si="35"/>
        <v>4.3</v>
      </c>
    </row>
    <row r="138" spans="1:15" x14ac:dyDescent="0.45">
      <c r="A138">
        <v>136</v>
      </c>
      <c r="B1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68_Frequenz Hz</v>
      </c>
      <c r="C138">
        <v>100</v>
      </c>
      <c r="D138" s="3" t="str">
        <f>VLOOKUP(table_DataQualities[[#This Row],[unit_ID]],table_Units[#All],2)</f>
        <v>Hz</v>
      </c>
      <c r="F1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0.70099999999999996</v>
      </c>
      <c r="G1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2628.3</v>
      </c>
      <c r="H1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0.70099999999999996</v>
      </c>
      <c r="I1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2628.3</v>
      </c>
      <c r="K138">
        <f t="shared" ca="1" si="23"/>
        <v>0.1</v>
      </c>
      <c r="M1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8" s="3" t="b">
        <f ca="1">VLOOKUP(table_DataQualities[[#This Row],[ID]],dict_zuord_Var_DQ!B:C,2,FALSE)</f>
        <v>0</v>
      </c>
      <c r="O138">
        <f t="shared" ca="1" si="35"/>
        <v>1.3</v>
      </c>
    </row>
    <row r="139" spans="1:15" x14ac:dyDescent="0.45">
      <c r="A139">
        <v>137</v>
      </c>
      <c r="B1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68_Temperaturmessgenauigkeit °C</v>
      </c>
      <c r="C139">
        <f t="shared" ca="1" si="33"/>
        <v>500</v>
      </c>
      <c r="D139" s="3" t="str">
        <f ca="1">VLOOKUP(table_DataQualities[[#This Row],[unit_ID]],table_Units[#All],2)</f>
        <v>+/- °C</v>
      </c>
      <c r="F1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1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1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1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139">
        <f t="shared" ca="1" si="23"/>
        <v>0.44</v>
      </c>
      <c r="M1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39" s="3" t="b">
        <f ca="1">VLOOKUP(table_DataQualities[[#This Row],[ID]],dict_zuord_Var_DQ!B:C,2,FALSE)</f>
        <v>0</v>
      </c>
      <c r="O139">
        <f t="shared" ca="1" si="35"/>
        <v>1.8</v>
      </c>
    </row>
    <row r="140" spans="1:15" x14ac:dyDescent="0.45">
      <c r="A140">
        <v>138</v>
      </c>
      <c r="B1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69_Frequenz Hz</v>
      </c>
      <c r="C140">
        <v>100</v>
      </c>
      <c r="D140" s="3" t="str">
        <f>VLOOKUP(table_DataQualities[[#This Row],[unit_ID]],table_Units[#All],2)</f>
        <v>Hz</v>
      </c>
      <c r="F1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0.27600000000000002</v>
      </c>
      <c r="G1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9795.5</v>
      </c>
      <c r="H1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0.27600000000000002</v>
      </c>
      <c r="I1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9795.5</v>
      </c>
      <c r="K140">
        <f t="shared" ca="1" si="23"/>
        <v>0.82</v>
      </c>
      <c r="M1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0" s="3" t="b">
        <f ca="1">VLOOKUP(table_DataQualities[[#This Row],[ID]],dict_zuord_Var_DQ!B:C,2,FALSE)</f>
        <v>0</v>
      </c>
      <c r="O140">
        <f t="shared" ca="1" si="35"/>
        <v>2.8</v>
      </c>
    </row>
    <row r="141" spans="1:15" x14ac:dyDescent="0.45">
      <c r="A141">
        <v>139</v>
      </c>
      <c r="B1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69_Temperaturmessgenauigkeit °C</v>
      </c>
      <c r="C141">
        <f ca="1">RANDBETWEEN(5,10)*100</f>
        <v>500</v>
      </c>
      <c r="D141" s="3" t="str">
        <f ca="1">VLOOKUP(table_DataQualities[[#This Row],[unit_ID]],table_Units[#All],2)</f>
        <v>+/- °C</v>
      </c>
      <c r="F1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1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1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1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141">
        <f t="shared" ca="1" si="23"/>
        <v>0.54</v>
      </c>
      <c r="M1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1" s="3" t="b">
        <f ca="1">VLOOKUP(table_DataQualities[[#This Row],[ID]],dict_zuord_Var_DQ!B:C,2,FALSE)</f>
        <v>0</v>
      </c>
      <c r="O141">
        <f t="shared" ca="1" si="35"/>
        <v>1.4</v>
      </c>
    </row>
    <row r="142" spans="1:15" x14ac:dyDescent="0.45">
      <c r="A142">
        <v>140</v>
      </c>
      <c r="B1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70_Frequenz Hz</v>
      </c>
      <c r="C142">
        <v>100</v>
      </c>
      <c r="D142" s="3" t="str">
        <f>VLOOKUP(table_DataQualities[[#This Row],[unit_ID]],table_Units[#All],2)</f>
        <v>Hz</v>
      </c>
      <c r="F1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0.77500000000000002</v>
      </c>
      <c r="G1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7219.2</v>
      </c>
      <c r="H1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0.77500000000000002</v>
      </c>
      <c r="I1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7219.2</v>
      </c>
      <c r="K142">
        <f t="shared" ca="1" si="23"/>
        <v>0.28999999999999998</v>
      </c>
      <c r="M1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2" s="3" t="b">
        <f ca="1">VLOOKUP(table_DataQualities[[#This Row],[ID]],dict_zuord_Var_DQ!B:C,2,FALSE)</f>
        <v>0</v>
      </c>
      <c r="O142">
        <f t="shared" ca="1" si="35"/>
        <v>2.5</v>
      </c>
    </row>
    <row r="143" spans="1:15" x14ac:dyDescent="0.45">
      <c r="A143">
        <v>141</v>
      </c>
      <c r="B1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70_Bildgröße</v>
      </c>
      <c r="C143">
        <f t="shared" ref="C143:C153" ca="1" si="37">RANDBETWEEN(5,10)*100</f>
        <v>1000</v>
      </c>
      <c r="D143" s="3" t="str">
        <f ca="1">VLOOKUP(table_DataQualities[[#This Row],[unit_ID]],table_Units[#All],2)</f>
        <v>bit</v>
      </c>
      <c r="F1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74</v>
      </c>
      <c r="G1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3757</v>
      </c>
      <c r="H1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74</v>
      </c>
      <c r="I1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3757</v>
      </c>
      <c r="K143">
        <f t="shared" ref="K143:K206" ca="1" si="38">ROUND(RAND(),2)</f>
        <v>0.51</v>
      </c>
      <c r="M1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3" s="3" t="b">
        <f ca="1">VLOOKUP(table_DataQualities[[#This Row],[ID]],dict_zuord_Var_DQ!B:C,2,FALSE)</f>
        <v>0</v>
      </c>
      <c r="O143">
        <f t="shared" ca="1" si="35"/>
        <v>3</v>
      </c>
    </row>
    <row r="144" spans="1:15" x14ac:dyDescent="0.45">
      <c r="A144">
        <v>142</v>
      </c>
      <c r="B1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71_Frequenz Hz</v>
      </c>
      <c r="C144">
        <v>100</v>
      </c>
      <c r="D144" s="3" t="str">
        <f>VLOOKUP(table_DataQualities[[#This Row],[unit_ID]],table_Units[#All],2)</f>
        <v>Hz</v>
      </c>
      <c r="F1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0.74299999999999999</v>
      </c>
      <c r="G1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5404.6</v>
      </c>
      <c r="H1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0.74299999999999999</v>
      </c>
      <c r="I1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5404.6</v>
      </c>
      <c r="K144">
        <f t="shared" ca="1" si="38"/>
        <v>0.56999999999999995</v>
      </c>
      <c r="M1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4" s="3" t="b">
        <f ca="1">VLOOKUP(table_DataQualities[[#This Row],[ID]],dict_zuord_Var_DQ!B:C,2,FALSE)</f>
        <v>0</v>
      </c>
      <c r="O144">
        <f t="shared" ca="1" si="35"/>
        <v>5</v>
      </c>
    </row>
    <row r="145" spans="1:15" x14ac:dyDescent="0.45">
      <c r="A145">
        <v>143</v>
      </c>
      <c r="B1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71_Temperaturmessgenauigkeit °C</v>
      </c>
      <c r="C145">
        <f t="shared" ref="C145" ca="1" si="39">RANDBETWEEN(5,10)*100</f>
        <v>500</v>
      </c>
      <c r="D145" s="3" t="str">
        <f ca="1">VLOOKUP(table_DataQualities[[#This Row],[unit_ID]],table_Units[#All],2)</f>
        <v>+/- °C</v>
      </c>
      <c r="F1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1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1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1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145">
        <f t="shared" ca="1" si="38"/>
        <v>0.25</v>
      </c>
      <c r="M1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5" s="3" t="b">
        <f ca="1">VLOOKUP(table_DataQualities[[#This Row],[ID]],dict_zuord_Var_DQ!B:C,2,FALSE)</f>
        <v>0</v>
      </c>
      <c r="O145">
        <f t="shared" ca="1" si="35"/>
        <v>4.5999999999999996</v>
      </c>
    </row>
    <row r="146" spans="1:15" x14ac:dyDescent="0.45">
      <c r="A146">
        <v>144</v>
      </c>
      <c r="B1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72_Frequenz Hz</v>
      </c>
      <c r="C146">
        <v>100</v>
      </c>
      <c r="D146" s="3" t="str">
        <f>VLOOKUP(table_DataQualities[[#This Row],[unit_ID]],table_Units[#All],2)</f>
        <v>Hz</v>
      </c>
      <c r="F1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0.188</v>
      </c>
      <c r="G1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5423.6</v>
      </c>
      <c r="H1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0.188</v>
      </c>
      <c r="I1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5423.6</v>
      </c>
      <c r="K146">
        <f t="shared" ca="1" si="38"/>
        <v>0.51</v>
      </c>
      <c r="M1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6" s="3" t="b">
        <f ca="1">VLOOKUP(table_DataQualities[[#This Row],[ID]],dict_zuord_Var_DQ!B:C,2,FALSE)</f>
        <v>0</v>
      </c>
      <c r="O146">
        <f t="shared" ca="1" si="35"/>
        <v>3.9</v>
      </c>
    </row>
    <row r="147" spans="1:15" x14ac:dyDescent="0.45">
      <c r="A147">
        <v>145</v>
      </c>
      <c r="B1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72_Bildgröße</v>
      </c>
      <c r="C147">
        <f t="shared" ca="1" si="37"/>
        <v>1000</v>
      </c>
      <c r="D147" s="3" t="str">
        <f ca="1">VLOOKUP(table_DataQualities[[#This Row],[unit_ID]],table_Units[#All],2)</f>
        <v>bit</v>
      </c>
      <c r="F1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42</v>
      </c>
      <c r="G1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9152</v>
      </c>
      <c r="H1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42</v>
      </c>
      <c r="I1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9152</v>
      </c>
      <c r="K147">
        <f t="shared" ca="1" si="38"/>
        <v>0.77</v>
      </c>
      <c r="M1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7" s="3" t="b">
        <f ca="1">VLOOKUP(table_DataQualities[[#This Row],[ID]],dict_zuord_Var_DQ!B:C,2,FALSE)</f>
        <v>0</v>
      </c>
      <c r="O147">
        <f t="shared" ca="1" si="35"/>
        <v>2.6</v>
      </c>
    </row>
    <row r="148" spans="1:15" x14ac:dyDescent="0.45">
      <c r="A148">
        <v>146</v>
      </c>
      <c r="B1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73_Frequenz Hz</v>
      </c>
      <c r="C148">
        <v>100</v>
      </c>
      <c r="D148" s="3" t="str">
        <f>VLOOKUP(table_DataQualities[[#This Row],[unit_ID]],table_Units[#All],2)</f>
        <v>Hz</v>
      </c>
      <c r="F1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0.47599999999999998</v>
      </c>
      <c r="G1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5114</v>
      </c>
      <c r="H1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0.47599999999999998</v>
      </c>
      <c r="I1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5114</v>
      </c>
      <c r="K148">
        <f t="shared" ca="1" si="38"/>
        <v>0.68</v>
      </c>
      <c r="M1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8" s="3" t="b">
        <f ca="1">VLOOKUP(table_DataQualities[[#This Row],[ID]],dict_zuord_Var_DQ!B:C,2,FALSE)</f>
        <v>0</v>
      </c>
      <c r="O148">
        <f t="shared" ca="1" si="35"/>
        <v>4.0999999999999996</v>
      </c>
    </row>
    <row r="149" spans="1:15" x14ac:dyDescent="0.45">
      <c r="A149">
        <v>147</v>
      </c>
      <c r="B1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73_Bildgröße</v>
      </c>
      <c r="C149">
        <f t="shared" ref="C149" ca="1" si="40">RANDBETWEEN(5,10)*100</f>
        <v>1000</v>
      </c>
      <c r="D149" s="3" t="str">
        <f ca="1">VLOOKUP(table_DataQualities[[#This Row],[unit_ID]],table_Units[#All],2)</f>
        <v>bit</v>
      </c>
      <c r="F1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91</v>
      </c>
      <c r="G1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2703</v>
      </c>
      <c r="H1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91</v>
      </c>
      <c r="I1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2703</v>
      </c>
      <c r="K149">
        <f t="shared" ca="1" si="38"/>
        <v>0.47</v>
      </c>
      <c r="M1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49" s="3" t="b">
        <f ca="1">VLOOKUP(table_DataQualities[[#This Row],[ID]],dict_zuord_Var_DQ!B:C,2,FALSE)</f>
        <v>0</v>
      </c>
      <c r="O149">
        <f t="shared" ca="1" si="35"/>
        <v>3.5</v>
      </c>
    </row>
    <row r="150" spans="1:15" x14ac:dyDescent="0.45">
      <c r="A150">
        <v>148</v>
      </c>
      <c r="B1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74_Frequenz Hz</v>
      </c>
      <c r="C150">
        <v>100</v>
      </c>
      <c r="D150" s="3" t="str">
        <f>VLOOKUP(table_DataQualities[[#This Row],[unit_ID]],table_Units[#All],2)</f>
        <v>Hz</v>
      </c>
      <c r="F1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1.2999999999999999E-2</v>
      </c>
      <c r="G1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1712.3</v>
      </c>
      <c r="H1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1.2999999999999999E-2</v>
      </c>
      <c r="I1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1712.3</v>
      </c>
      <c r="K150">
        <f t="shared" ca="1" si="38"/>
        <v>0.73</v>
      </c>
      <c r="M1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0" s="3" t="b">
        <f ca="1">VLOOKUP(table_DataQualities[[#This Row],[ID]],dict_zuord_Var_DQ!B:C,2,FALSE)</f>
        <v>0</v>
      </c>
      <c r="O150">
        <f t="shared" ca="1" si="35"/>
        <v>5</v>
      </c>
    </row>
    <row r="151" spans="1:15" x14ac:dyDescent="0.45">
      <c r="A151">
        <v>149</v>
      </c>
      <c r="B1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74_Leistungsmessgenauigkeit W</v>
      </c>
      <c r="C151">
        <f t="shared" ca="1" si="37"/>
        <v>600</v>
      </c>
      <c r="D151" s="3" t="str">
        <f ca="1">VLOOKUP(table_DataQualities[[#This Row],[unit_ID]],table_Units[#All],2)</f>
        <v>+/- W</v>
      </c>
      <c r="F1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2.59</v>
      </c>
      <c r="G1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7.0000000000000001E-3</v>
      </c>
      <c r="H1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7.0000000000000001E-3</v>
      </c>
      <c r="I1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2.59</v>
      </c>
      <c r="K151">
        <f t="shared" ca="1" si="38"/>
        <v>0.21</v>
      </c>
      <c r="M1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1" s="3" t="b">
        <f ca="1">VLOOKUP(table_DataQualities[[#This Row],[ID]],dict_zuord_Var_DQ!B:C,2,FALSE)</f>
        <v>0</v>
      </c>
      <c r="O151">
        <f t="shared" ca="1" si="35"/>
        <v>2.8</v>
      </c>
    </row>
    <row r="152" spans="1:15" x14ac:dyDescent="0.45">
      <c r="A152">
        <v>150</v>
      </c>
      <c r="B1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75_Frequenz Hz</v>
      </c>
      <c r="C152">
        <v>100</v>
      </c>
      <c r="D152" s="3" t="str">
        <f>VLOOKUP(table_DataQualities[[#This Row],[unit_ID]],table_Units[#All],2)</f>
        <v>Hz</v>
      </c>
      <c r="F1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0.39800000000000002</v>
      </c>
      <c r="G1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1430.9</v>
      </c>
      <c r="H1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0.39800000000000002</v>
      </c>
      <c r="I1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1430.9</v>
      </c>
      <c r="K152">
        <f t="shared" ca="1" si="38"/>
        <v>0.44</v>
      </c>
      <c r="M1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2" s="3" t="b">
        <f ca="1">VLOOKUP(table_DataQualities[[#This Row],[ID]],dict_zuord_Var_DQ!B:C,2,FALSE)</f>
        <v>0</v>
      </c>
      <c r="O152">
        <f t="shared" ca="1" si="35"/>
        <v>2.2000000000000002</v>
      </c>
    </row>
    <row r="153" spans="1:15" x14ac:dyDescent="0.45">
      <c r="A153">
        <v>151</v>
      </c>
      <c r="B1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75_Längenmessgenauigkeit mm</v>
      </c>
      <c r="C153">
        <f t="shared" ca="1" si="37"/>
        <v>900</v>
      </c>
      <c r="D153" s="3" t="str">
        <f ca="1">VLOOKUP(table_DataQualities[[#This Row],[unit_ID]],table_Units[#All],2)</f>
        <v>+/- mm</v>
      </c>
      <c r="F1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5.32</v>
      </c>
      <c r="G1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3.1E-2</v>
      </c>
      <c r="H1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3.1E-2</v>
      </c>
      <c r="I1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5.32</v>
      </c>
      <c r="K153">
        <f t="shared" ca="1" si="38"/>
        <v>0.72</v>
      </c>
      <c r="M1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3" s="3" t="b">
        <f ca="1">VLOOKUP(table_DataQualities[[#This Row],[ID]],dict_zuord_Var_DQ!B:C,2,FALSE)</f>
        <v>0</v>
      </c>
      <c r="O153">
        <f t="shared" ca="1" si="35"/>
        <v>2.7</v>
      </c>
    </row>
    <row r="154" spans="1:15" x14ac:dyDescent="0.45">
      <c r="A154">
        <v>152</v>
      </c>
      <c r="B1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76_Frequenz Hz</v>
      </c>
      <c r="C154">
        <v>100</v>
      </c>
      <c r="D154" s="3" t="str">
        <f>VLOOKUP(table_DataQualities[[#This Row],[unit_ID]],table_Units[#All],2)</f>
        <v>Hz</v>
      </c>
      <c r="F1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0.74099999999999999</v>
      </c>
      <c r="G1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2279</v>
      </c>
      <c r="H1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0.74099999999999999</v>
      </c>
      <c r="I1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2279</v>
      </c>
      <c r="K154">
        <f t="shared" ca="1" si="38"/>
        <v>0.56999999999999995</v>
      </c>
      <c r="M1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4" s="3" t="b">
        <f ca="1">VLOOKUP(table_DataQualities[[#This Row],[ID]],dict_zuord_Var_DQ!B:C,2,FALSE)</f>
        <v>0</v>
      </c>
      <c r="O154">
        <f t="shared" ca="1" si="35"/>
        <v>4.9000000000000004</v>
      </c>
    </row>
    <row r="155" spans="1:15" x14ac:dyDescent="0.45">
      <c r="A155">
        <v>153</v>
      </c>
      <c r="B1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76_Durchflussmessgenauigkeit cm³/s</v>
      </c>
      <c r="C155">
        <f ca="1">RANDBETWEEN(5,10)*100</f>
        <v>800</v>
      </c>
      <c r="D155" s="3" t="str">
        <f ca="1">VLOOKUP(table_DataQualities[[#This Row],[unit_ID]],table_Units[#All],2)</f>
        <v>+/- cm³/s</v>
      </c>
      <c r="F1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0.879</v>
      </c>
      <c r="G1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9.2999999999999992E-3</v>
      </c>
      <c r="H1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9.2999999999999992E-3</v>
      </c>
      <c r="I1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0.879</v>
      </c>
      <c r="K155">
        <f t="shared" ca="1" si="38"/>
        <v>0.06</v>
      </c>
      <c r="M1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5" s="3" t="b">
        <f ca="1">VLOOKUP(table_DataQualities[[#This Row],[ID]],dict_zuord_Var_DQ!B:C,2,FALSE)</f>
        <v>0</v>
      </c>
      <c r="O155">
        <f t="shared" ca="1" si="35"/>
        <v>1.2</v>
      </c>
    </row>
    <row r="156" spans="1:15" x14ac:dyDescent="0.45">
      <c r="A156">
        <v>154</v>
      </c>
      <c r="B1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77_Frequenz Hz</v>
      </c>
      <c r="C156">
        <v>100</v>
      </c>
      <c r="D156" s="3" t="str">
        <f>VLOOKUP(table_DataQualities[[#This Row],[unit_ID]],table_Units[#All],2)</f>
        <v>Hz</v>
      </c>
      <c r="F1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</v>
      </c>
      <c r="G1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3315.8</v>
      </c>
      <c r="H1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</v>
      </c>
      <c r="I1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3315.8</v>
      </c>
      <c r="K156">
        <f t="shared" ca="1" si="38"/>
        <v>0.28999999999999998</v>
      </c>
      <c r="M1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6" s="3" t="b">
        <f ca="1">VLOOKUP(table_DataQualities[[#This Row],[ID]],dict_zuord_Var_DQ!B:C,2,FALSE)</f>
        <v>0</v>
      </c>
      <c r="O156">
        <f t="shared" ca="1" si="35"/>
        <v>2.1</v>
      </c>
    </row>
    <row r="157" spans="1:15" x14ac:dyDescent="0.45">
      <c r="A157">
        <v>155</v>
      </c>
      <c r="B1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77_Leistungsmessgenauigkeit W</v>
      </c>
      <c r="C157">
        <f t="shared" ref="C157:C167" ca="1" si="41">RANDBETWEEN(5,10)*100</f>
        <v>600</v>
      </c>
      <c r="D157" s="3" t="str">
        <f ca="1">VLOOKUP(table_DataQualities[[#This Row],[unit_ID]],table_Units[#All],2)</f>
        <v>+/- W</v>
      </c>
      <c r="F1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1.87</v>
      </c>
      <c r="G1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8.3000000000000004E-2</v>
      </c>
      <c r="H1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8.3000000000000004E-2</v>
      </c>
      <c r="I1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1.87</v>
      </c>
      <c r="K157">
        <f t="shared" ca="1" si="38"/>
        <v>0.91</v>
      </c>
      <c r="M1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7" s="3" t="b">
        <f ca="1">VLOOKUP(table_DataQualities[[#This Row],[ID]],dict_zuord_Var_DQ!B:C,2,FALSE)</f>
        <v>0</v>
      </c>
      <c r="O157">
        <f t="shared" ca="1" si="35"/>
        <v>4.4000000000000004</v>
      </c>
    </row>
    <row r="158" spans="1:15" x14ac:dyDescent="0.45">
      <c r="A158">
        <v>156</v>
      </c>
      <c r="B1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78_Frequenz Hz</v>
      </c>
      <c r="C158">
        <v>100</v>
      </c>
      <c r="D158" s="3" t="str">
        <f>VLOOKUP(table_DataQualities[[#This Row],[unit_ID]],table_Units[#All],2)</f>
        <v>Hz</v>
      </c>
      <c r="F1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0.45700000000000002</v>
      </c>
      <c r="G1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6681</v>
      </c>
      <c r="H1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0.45700000000000002</v>
      </c>
      <c r="I1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6681</v>
      </c>
      <c r="K158">
        <f t="shared" ca="1" si="38"/>
        <v>0.8</v>
      </c>
      <c r="M1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8" s="3" t="b">
        <f ca="1">VLOOKUP(table_DataQualities[[#This Row],[ID]],dict_zuord_Var_DQ!B:C,2,FALSE)</f>
        <v>0</v>
      </c>
      <c r="O158">
        <f t="shared" ca="1" si="35"/>
        <v>2</v>
      </c>
    </row>
    <row r="159" spans="1:15" x14ac:dyDescent="0.45">
      <c r="A159">
        <v>157</v>
      </c>
      <c r="B1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78_Leistungsmessgenauigkeit W</v>
      </c>
      <c r="C159">
        <f t="shared" ref="C159" ca="1" si="42">RANDBETWEEN(5,10)*100</f>
        <v>600</v>
      </c>
      <c r="D159" s="3" t="str">
        <f ca="1">VLOOKUP(table_DataQualities[[#This Row],[unit_ID]],table_Units[#All],2)</f>
        <v>+/- W</v>
      </c>
      <c r="F1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</v>
      </c>
      <c r="G1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2.1000000000000001E-2</v>
      </c>
      <c r="H1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2.1000000000000001E-2</v>
      </c>
      <c r="I1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</v>
      </c>
      <c r="K159">
        <f t="shared" ca="1" si="38"/>
        <v>0.15</v>
      </c>
      <c r="M1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59" s="3" t="b">
        <f ca="1">VLOOKUP(table_DataQualities[[#This Row],[ID]],dict_zuord_Var_DQ!B:C,2,FALSE)</f>
        <v>0</v>
      </c>
      <c r="O159">
        <f t="shared" ca="1" si="35"/>
        <v>4.5999999999999996</v>
      </c>
    </row>
    <row r="160" spans="1:15" x14ac:dyDescent="0.45">
      <c r="A160">
        <v>158</v>
      </c>
      <c r="B1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79_Frequenz Hz</v>
      </c>
      <c r="C160">
        <v>100</v>
      </c>
      <c r="D160" s="3" t="str">
        <f>VLOOKUP(table_DataQualities[[#This Row],[unit_ID]],table_Units[#All],2)</f>
        <v>Hz</v>
      </c>
      <c r="F1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0.34699999999999998</v>
      </c>
      <c r="G1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1550.4</v>
      </c>
      <c r="H1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0.34699999999999998</v>
      </c>
      <c r="I1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1550.4</v>
      </c>
      <c r="K160">
        <f t="shared" ca="1" si="38"/>
        <v>0.51</v>
      </c>
      <c r="M1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0" s="3" t="b">
        <f ca="1">VLOOKUP(table_DataQualities[[#This Row],[ID]],dict_zuord_Var_DQ!B:C,2,FALSE)</f>
        <v>0</v>
      </c>
      <c r="O160">
        <f t="shared" ca="1" si="35"/>
        <v>3</v>
      </c>
    </row>
    <row r="161" spans="1:15" x14ac:dyDescent="0.45">
      <c r="A161">
        <v>159</v>
      </c>
      <c r="B1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79_Leistungsmessgenauigkeit W</v>
      </c>
      <c r="C161">
        <f t="shared" ca="1" si="41"/>
        <v>600</v>
      </c>
      <c r="D161" s="3" t="str">
        <f ca="1">VLOOKUP(table_DataQualities[[#This Row],[unit_ID]],table_Units[#All],2)</f>
        <v>+/- W</v>
      </c>
      <c r="F1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1.19</v>
      </c>
      <c r="G1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3.1E-2</v>
      </c>
      <c r="H1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3.1E-2</v>
      </c>
      <c r="I1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1.19</v>
      </c>
      <c r="K161">
        <f t="shared" ca="1" si="38"/>
        <v>0.88</v>
      </c>
      <c r="M1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1" s="3" t="b">
        <f ca="1">VLOOKUP(table_DataQualities[[#This Row],[ID]],dict_zuord_Var_DQ!B:C,2,FALSE)</f>
        <v>0</v>
      </c>
      <c r="O161">
        <f t="shared" ca="1" si="35"/>
        <v>4.2</v>
      </c>
    </row>
    <row r="162" spans="1:15" x14ac:dyDescent="0.45">
      <c r="A162">
        <v>160</v>
      </c>
      <c r="B1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80_Frequenz Hz</v>
      </c>
      <c r="C162">
        <v>100</v>
      </c>
      <c r="D162" s="3" t="str">
        <f>VLOOKUP(table_DataQualities[[#This Row],[unit_ID]],table_Units[#All],2)</f>
        <v>Hz</v>
      </c>
      <c r="F1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7.6999999999999999E-2</v>
      </c>
      <c r="G1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6060.9</v>
      </c>
      <c r="H1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7.6999999999999999E-2</v>
      </c>
      <c r="I1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6060.9</v>
      </c>
      <c r="K162">
        <f t="shared" ca="1" si="38"/>
        <v>0.28999999999999998</v>
      </c>
      <c r="M1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2" s="3" t="b">
        <f ca="1">VLOOKUP(table_DataQualities[[#This Row],[ID]],dict_zuord_Var_DQ!B:C,2,FALSE)</f>
        <v>0</v>
      </c>
      <c r="O162">
        <f t="shared" ca="1" si="35"/>
        <v>1.7</v>
      </c>
    </row>
    <row r="163" spans="1:15" x14ac:dyDescent="0.45">
      <c r="A163">
        <v>161</v>
      </c>
      <c r="B1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80_Leistungsmessgenauigkeit W</v>
      </c>
      <c r="C163">
        <f t="shared" ref="C163" ca="1" si="43">RANDBETWEEN(5,10)*100</f>
        <v>600</v>
      </c>
      <c r="D163" s="3" t="str">
        <f ca="1">VLOOKUP(table_DataQualities[[#This Row],[unit_ID]],table_Units[#All],2)</f>
        <v>+/- W</v>
      </c>
      <c r="F1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5.0599999999999996</v>
      </c>
      <c r="G1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8.5000000000000006E-2</v>
      </c>
      <c r="H1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8.5000000000000006E-2</v>
      </c>
      <c r="I1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5.0599999999999996</v>
      </c>
      <c r="K163">
        <f t="shared" ca="1" si="38"/>
        <v>0.66</v>
      </c>
      <c r="M1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3" s="3" t="b">
        <f ca="1">VLOOKUP(table_DataQualities[[#This Row],[ID]],dict_zuord_Var_DQ!B:C,2,FALSE)</f>
        <v>0</v>
      </c>
      <c r="O163">
        <f t="shared" ca="1" si="35"/>
        <v>4</v>
      </c>
    </row>
    <row r="164" spans="1:15" x14ac:dyDescent="0.45">
      <c r="A164">
        <v>162</v>
      </c>
      <c r="B1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81_Frequenz Hz</v>
      </c>
      <c r="C164">
        <v>100</v>
      </c>
      <c r="D164" s="3" t="str">
        <f>VLOOKUP(table_DataQualities[[#This Row],[unit_ID]],table_Units[#All],2)</f>
        <v>Hz</v>
      </c>
      <c r="F1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8.8999999999999996E-2</v>
      </c>
      <c r="G1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4697.2</v>
      </c>
      <c r="H1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8.8999999999999996E-2</v>
      </c>
      <c r="I1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4697.2</v>
      </c>
      <c r="K164">
        <f t="shared" ca="1" si="38"/>
        <v>0.55000000000000004</v>
      </c>
      <c r="M1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4" s="3" t="b">
        <f ca="1">VLOOKUP(table_DataQualities[[#This Row],[ID]],dict_zuord_Var_DQ!B:C,2,FALSE)</f>
        <v>0</v>
      </c>
      <c r="O164">
        <f t="shared" ca="1" si="35"/>
        <v>4.7</v>
      </c>
    </row>
    <row r="165" spans="1:15" x14ac:dyDescent="0.45">
      <c r="A165">
        <v>163</v>
      </c>
      <c r="B1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81_Temperaturmessgenauigkeit °C</v>
      </c>
      <c r="C165">
        <f t="shared" ca="1" si="41"/>
        <v>500</v>
      </c>
      <c r="D165" s="3" t="str">
        <f ca="1">VLOOKUP(table_DataQualities[[#This Row],[unit_ID]],table_Units[#All],2)</f>
        <v>+/- °C</v>
      </c>
      <c r="F1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1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1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1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165">
        <f t="shared" ca="1" si="38"/>
        <v>0.33</v>
      </c>
      <c r="M1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5" s="3" t="b">
        <f ca="1">VLOOKUP(table_DataQualities[[#This Row],[ID]],dict_zuord_Var_DQ!B:C,2,FALSE)</f>
        <v>0</v>
      </c>
      <c r="O165">
        <f t="shared" ca="1" si="35"/>
        <v>4.4000000000000004</v>
      </c>
    </row>
    <row r="166" spans="1:15" x14ac:dyDescent="0.45">
      <c r="A166">
        <v>164</v>
      </c>
      <c r="B1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82_Frequenz Hz</v>
      </c>
      <c r="C166">
        <v>100</v>
      </c>
      <c r="D166" s="3" t="str">
        <f>VLOOKUP(table_DataQualities[[#This Row],[unit_ID]],table_Units[#All],2)</f>
        <v>Hz</v>
      </c>
      <c r="F1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0.32200000000000001</v>
      </c>
      <c r="G1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6938.1</v>
      </c>
      <c r="H1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0.32200000000000001</v>
      </c>
      <c r="I1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6938.1</v>
      </c>
      <c r="K166">
        <f t="shared" ca="1" si="38"/>
        <v>0.08</v>
      </c>
      <c r="M1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6" s="3" t="b">
        <f ca="1">VLOOKUP(table_DataQualities[[#This Row],[ID]],dict_zuord_Var_DQ!B:C,2,FALSE)</f>
        <v>0</v>
      </c>
      <c r="O166">
        <f t="shared" ca="1" si="35"/>
        <v>3.3</v>
      </c>
    </row>
    <row r="167" spans="1:15" x14ac:dyDescent="0.45">
      <c r="A167">
        <v>165</v>
      </c>
      <c r="B1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82_Geschwindigkeitsmessgenauigkeit mm/s</v>
      </c>
      <c r="C167">
        <f t="shared" ca="1" si="41"/>
        <v>700</v>
      </c>
      <c r="D167" s="3" t="str">
        <f ca="1">VLOOKUP(table_DataQualities[[#This Row],[unit_ID]],table_Units[#All],2)</f>
        <v>+/- mm/s</v>
      </c>
      <c r="F1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1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0.24</v>
      </c>
      <c r="H1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</v>
      </c>
      <c r="I1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167">
        <f t="shared" ca="1" si="38"/>
        <v>0.87</v>
      </c>
      <c r="M1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7" s="3" t="b">
        <f ca="1">VLOOKUP(table_DataQualities[[#This Row],[ID]],dict_zuord_Var_DQ!B:C,2,FALSE)</f>
        <v>0</v>
      </c>
      <c r="O167">
        <f t="shared" ca="1" si="35"/>
        <v>2.7</v>
      </c>
    </row>
    <row r="168" spans="1:15" x14ac:dyDescent="0.45">
      <c r="A168">
        <v>166</v>
      </c>
      <c r="B1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83_Frequenz Hz</v>
      </c>
      <c r="C168">
        <v>100</v>
      </c>
      <c r="D168" s="3" t="str">
        <f>VLOOKUP(table_DataQualities[[#This Row],[unit_ID]],table_Units[#All],2)</f>
        <v>Hz</v>
      </c>
      <c r="F1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</v>
      </c>
      <c r="G1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9517.2000000000007</v>
      </c>
      <c r="H1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</v>
      </c>
      <c r="I1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9517.2000000000007</v>
      </c>
      <c r="K168">
        <f t="shared" ca="1" si="38"/>
        <v>0.31</v>
      </c>
      <c r="M1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8" s="3" t="b">
        <f ca="1">VLOOKUP(table_DataQualities[[#This Row],[ID]],dict_zuord_Var_DQ!B:C,2,FALSE)</f>
        <v>0</v>
      </c>
      <c r="O168">
        <f t="shared" ca="1" si="35"/>
        <v>2.5</v>
      </c>
    </row>
    <row r="169" spans="1:15" x14ac:dyDescent="0.45">
      <c r="A169">
        <v>167</v>
      </c>
      <c r="B1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83_Temperaturmessgenauigkeit °C</v>
      </c>
      <c r="C169">
        <f ca="1">RANDBETWEEN(5,10)*100</f>
        <v>500</v>
      </c>
      <c r="D169" s="3" t="str">
        <f ca="1">VLOOKUP(table_DataQualities[[#This Row],[unit_ID]],table_Units[#All],2)</f>
        <v>+/- °C</v>
      </c>
      <c r="F1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1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1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1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169">
        <f t="shared" ca="1" si="38"/>
        <v>0.22</v>
      </c>
      <c r="M1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69" s="3" t="b">
        <f ca="1">VLOOKUP(table_DataQualities[[#This Row],[ID]],dict_zuord_Var_DQ!B:C,2,FALSE)</f>
        <v>0</v>
      </c>
      <c r="O169">
        <f t="shared" ca="1" si="35"/>
        <v>2.2999999999999998</v>
      </c>
    </row>
    <row r="170" spans="1:15" x14ac:dyDescent="0.45">
      <c r="A170">
        <v>168</v>
      </c>
      <c r="B1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84_Frequenz Hz</v>
      </c>
      <c r="C170">
        <v>100</v>
      </c>
      <c r="D170" s="3" t="str">
        <f>VLOOKUP(table_DataQualities[[#This Row],[unit_ID]],table_Units[#All],2)</f>
        <v>Hz</v>
      </c>
      <c r="F1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0.81599999999999995</v>
      </c>
      <c r="G1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630.1</v>
      </c>
      <c r="H1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0.81599999999999995</v>
      </c>
      <c r="I1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630.1</v>
      </c>
      <c r="K170">
        <f t="shared" ca="1" si="38"/>
        <v>0.92</v>
      </c>
      <c r="M1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0" s="3" t="b">
        <f ca="1">VLOOKUP(table_DataQualities[[#This Row],[ID]],dict_zuord_Var_DQ!B:C,2,FALSE)</f>
        <v>0</v>
      </c>
      <c r="O170">
        <f t="shared" ca="1" si="35"/>
        <v>3.9</v>
      </c>
    </row>
    <row r="171" spans="1:15" x14ac:dyDescent="0.45">
      <c r="A171">
        <v>169</v>
      </c>
      <c r="B1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84_Geschwindigkeitsmessgenauigkeit mm/s</v>
      </c>
      <c r="C171">
        <f t="shared" ref="C171:C181" ca="1" si="44">RANDBETWEEN(5,10)*100</f>
        <v>700</v>
      </c>
      <c r="D171" s="3" t="str">
        <f ca="1">VLOOKUP(table_DataQualities[[#This Row],[unit_ID]],table_Units[#All],2)</f>
        <v>+/- mm/s</v>
      </c>
      <c r="F1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1.1000000000000001</v>
      </c>
      <c r="G1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0.15</v>
      </c>
      <c r="H1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</v>
      </c>
      <c r="I1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1.1000000000000001</v>
      </c>
      <c r="K171">
        <f t="shared" ca="1" si="38"/>
        <v>0.59</v>
      </c>
      <c r="M1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1" s="3" t="b">
        <f ca="1">VLOOKUP(table_DataQualities[[#This Row],[ID]],dict_zuord_Var_DQ!B:C,2,FALSE)</f>
        <v>0</v>
      </c>
      <c r="O171">
        <f t="shared" ca="1" si="35"/>
        <v>4.0999999999999996</v>
      </c>
    </row>
    <row r="172" spans="1:15" x14ac:dyDescent="0.45">
      <c r="A172">
        <v>170</v>
      </c>
      <c r="B1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85_Frequenz Hz</v>
      </c>
      <c r="C172">
        <v>100</v>
      </c>
      <c r="D172" s="3" t="str">
        <f>VLOOKUP(table_DataQualities[[#This Row],[unit_ID]],table_Units[#All],2)</f>
        <v>Hz</v>
      </c>
      <c r="F1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0.56499999999999995</v>
      </c>
      <c r="G1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4152</v>
      </c>
      <c r="H1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0.56499999999999995</v>
      </c>
      <c r="I1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4152</v>
      </c>
      <c r="K172">
        <f t="shared" ca="1" si="38"/>
        <v>0.62</v>
      </c>
      <c r="M1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2" s="3" t="b">
        <f ca="1">VLOOKUP(table_DataQualities[[#This Row],[ID]],dict_zuord_Var_DQ!B:C,2,FALSE)</f>
        <v>0</v>
      </c>
      <c r="O172">
        <f t="shared" ca="1" si="35"/>
        <v>4.7</v>
      </c>
    </row>
    <row r="173" spans="1:15" x14ac:dyDescent="0.45">
      <c r="A173">
        <v>171</v>
      </c>
      <c r="B1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85_Längenmessgenauigkeit mm</v>
      </c>
      <c r="C173">
        <f t="shared" ref="C173" ca="1" si="45">RANDBETWEEN(5,10)*100</f>
        <v>900</v>
      </c>
      <c r="D173" s="3" t="str">
        <f ca="1">VLOOKUP(table_DataQualities[[#This Row],[unit_ID]],table_Units[#All],2)</f>
        <v>+/- mm</v>
      </c>
      <c r="F1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1.98</v>
      </c>
      <c r="G1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8.6999999999999994E-2</v>
      </c>
      <c r="H1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8.6999999999999994E-2</v>
      </c>
      <c r="I1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1.98</v>
      </c>
      <c r="K173">
        <f t="shared" ca="1" si="38"/>
        <v>0.34</v>
      </c>
      <c r="M1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3" s="3" t="b">
        <f ca="1">VLOOKUP(table_DataQualities[[#This Row],[ID]],dict_zuord_Var_DQ!B:C,2,FALSE)</f>
        <v>0</v>
      </c>
      <c r="O173">
        <f t="shared" ca="1" si="35"/>
        <v>4.5</v>
      </c>
    </row>
    <row r="174" spans="1:15" x14ac:dyDescent="0.45">
      <c r="A174">
        <v>172</v>
      </c>
      <c r="B1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86_Frequenz Hz</v>
      </c>
      <c r="C174">
        <v>100</v>
      </c>
      <c r="D174" s="3" t="str">
        <f>VLOOKUP(table_DataQualities[[#This Row],[unit_ID]],table_Units[#All],2)</f>
        <v>Hz</v>
      </c>
      <c r="F1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0.157</v>
      </c>
      <c r="G1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5697.4</v>
      </c>
      <c r="H1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0.157</v>
      </c>
      <c r="I1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5697.4</v>
      </c>
      <c r="K174">
        <f t="shared" ca="1" si="38"/>
        <v>0.83</v>
      </c>
      <c r="M1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4" s="3" t="b">
        <f ca="1">VLOOKUP(table_DataQualities[[#This Row],[ID]],dict_zuord_Var_DQ!B:C,2,FALSE)</f>
        <v>0</v>
      </c>
      <c r="O174">
        <f t="shared" ca="1" si="35"/>
        <v>4.8</v>
      </c>
    </row>
    <row r="175" spans="1:15" x14ac:dyDescent="0.45">
      <c r="A175">
        <v>173</v>
      </c>
      <c r="B1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86_Bildgröße</v>
      </c>
      <c r="C175">
        <f t="shared" ca="1" si="44"/>
        <v>1000</v>
      </c>
      <c r="D175" s="3" t="str">
        <f ca="1">VLOOKUP(table_DataQualities[[#This Row],[unit_ID]],table_Units[#All],2)</f>
        <v>bit</v>
      </c>
      <c r="F1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81</v>
      </c>
      <c r="G1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3225</v>
      </c>
      <c r="H1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81</v>
      </c>
      <c r="I1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3225</v>
      </c>
      <c r="K175">
        <f t="shared" ca="1" si="38"/>
        <v>0.83</v>
      </c>
      <c r="M1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5" s="3" t="b">
        <f ca="1">VLOOKUP(table_DataQualities[[#This Row],[ID]],dict_zuord_Var_DQ!B:C,2,FALSE)</f>
        <v>0</v>
      </c>
      <c r="O175">
        <f t="shared" ca="1" si="35"/>
        <v>3.9</v>
      </c>
    </row>
    <row r="176" spans="1:15" x14ac:dyDescent="0.45">
      <c r="A176">
        <v>174</v>
      </c>
      <c r="B1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87_Frequenz Hz</v>
      </c>
      <c r="C176">
        <v>100</v>
      </c>
      <c r="D176" s="3" t="str">
        <f>VLOOKUP(table_DataQualities[[#This Row],[unit_ID]],table_Units[#All],2)</f>
        <v>Hz</v>
      </c>
      <c r="F1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0.28599999999999998</v>
      </c>
      <c r="G1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707.2</v>
      </c>
      <c r="H1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0.28599999999999998</v>
      </c>
      <c r="I1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707.2</v>
      </c>
      <c r="K176">
        <f t="shared" ca="1" si="38"/>
        <v>0.94</v>
      </c>
      <c r="M1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6" s="3" t="b">
        <f ca="1">VLOOKUP(table_DataQualities[[#This Row],[ID]],dict_zuord_Var_DQ!B:C,2,FALSE)</f>
        <v>0</v>
      </c>
      <c r="O176">
        <f t="shared" ca="1" si="35"/>
        <v>3.9</v>
      </c>
    </row>
    <row r="177" spans="1:15" x14ac:dyDescent="0.45">
      <c r="A177">
        <v>175</v>
      </c>
      <c r="B1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87_Bildgröße</v>
      </c>
      <c r="C177">
        <f t="shared" ref="C177" ca="1" si="46">RANDBETWEEN(5,10)*100</f>
        <v>1000</v>
      </c>
      <c r="D177" s="3" t="str">
        <f ca="1">VLOOKUP(table_DataQualities[[#This Row],[unit_ID]],table_Units[#All],2)</f>
        <v>bit</v>
      </c>
      <c r="F1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45</v>
      </c>
      <c r="G1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1627</v>
      </c>
      <c r="H1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45</v>
      </c>
      <c r="I1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1627</v>
      </c>
      <c r="K177">
        <f t="shared" ca="1" si="38"/>
        <v>0.18</v>
      </c>
      <c r="M1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7" s="3" t="b">
        <f ca="1">VLOOKUP(table_DataQualities[[#This Row],[ID]],dict_zuord_Var_DQ!B:C,2,FALSE)</f>
        <v>0</v>
      </c>
      <c r="O177">
        <f t="shared" ca="1" si="35"/>
        <v>3.2</v>
      </c>
    </row>
    <row r="178" spans="1:15" x14ac:dyDescent="0.45">
      <c r="A178">
        <v>176</v>
      </c>
      <c r="B1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88_Frequenz Hz</v>
      </c>
      <c r="C178">
        <v>100</v>
      </c>
      <c r="D178" s="3" t="str">
        <f>VLOOKUP(table_DataQualities[[#This Row],[unit_ID]],table_Units[#All],2)</f>
        <v>Hz</v>
      </c>
      <c r="F1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0.51800000000000002</v>
      </c>
      <c r="G1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1546.4</v>
      </c>
      <c r="H1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0.51800000000000002</v>
      </c>
      <c r="I1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1546.4</v>
      </c>
      <c r="K178">
        <f t="shared" ca="1" si="38"/>
        <v>0.46</v>
      </c>
      <c r="M1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8" s="3" t="b">
        <f ca="1">VLOOKUP(table_DataQualities[[#This Row],[ID]],dict_zuord_Var_DQ!B:C,2,FALSE)</f>
        <v>0</v>
      </c>
      <c r="O178">
        <f t="shared" ca="1" si="35"/>
        <v>1.5</v>
      </c>
    </row>
    <row r="179" spans="1:15" x14ac:dyDescent="0.45">
      <c r="A179">
        <v>177</v>
      </c>
      <c r="B1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88_Bildgröße</v>
      </c>
      <c r="C179">
        <f t="shared" ca="1" si="44"/>
        <v>1000</v>
      </c>
      <c r="D179" s="3" t="str">
        <f ca="1">VLOOKUP(table_DataQualities[[#This Row],[unit_ID]],table_Units[#All],2)</f>
        <v>bit</v>
      </c>
      <c r="F1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92</v>
      </c>
      <c r="G1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7341</v>
      </c>
      <c r="H1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92</v>
      </c>
      <c r="I1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7341</v>
      </c>
      <c r="K179">
        <f t="shared" ca="1" si="38"/>
        <v>0.93</v>
      </c>
      <c r="M1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79" s="3" t="b">
        <f ca="1">VLOOKUP(table_DataQualities[[#This Row],[ID]],dict_zuord_Var_DQ!B:C,2,FALSE)</f>
        <v>0</v>
      </c>
      <c r="O179">
        <f t="shared" ca="1" si="35"/>
        <v>1.7</v>
      </c>
    </row>
    <row r="180" spans="1:15" x14ac:dyDescent="0.45">
      <c r="A180">
        <v>178</v>
      </c>
      <c r="B1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89_Frequenz Hz</v>
      </c>
      <c r="C180">
        <v>100</v>
      </c>
      <c r="D180" s="3" t="str">
        <f>VLOOKUP(table_DataQualities[[#This Row],[unit_ID]],table_Units[#All],2)</f>
        <v>Hz</v>
      </c>
      <c r="F1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0.83899999999999997</v>
      </c>
      <c r="G1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7206.4</v>
      </c>
      <c r="H1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0.83899999999999997</v>
      </c>
      <c r="I1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7206.4</v>
      </c>
      <c r="K180">
        <f t="shared" ca="1" si="38"/>
        <v>0.88</v>
      </c>
      <c r="M1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0" s="3" t="b">
        <f ca="1">VLOOKUP(table_DataQualities[[#This Row],[ID]],dict_zuord_Var_DQ!B:C,2,FALSE)</f>
        <v>0</v>
      </c>
      <c r="O180">
        <f t="shared" ca="1" si="35"/>
        <v>3</v>
      </c>
    </row>
    <row r="181" spans="1:15" x14ac:dyDescent="0.45">
      <c r="A181">
        <v>179</v>
      </c>
      <c r="B1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89_Leistungsmessgenauigkeit W</v>
      </c>
      <c r="C181">
        <f t="shared" ca="1" si="44"/>
        <v>600</v>
      </c>
      <c r="D181" s="3" t="str">
        <f ca="1">VLOOKUP(table_DataQualities[[#This Row],[unit_ID]],table_Units[#All],2)</f>
        <v>+/- W</v>
      </c>
      <c r="F1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7.34</v>
      </c>
      <c r="G1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8.8999999999999996E-2</v>
      </c>
      <c r="H1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8.8999999999999996E-2</v>
      </c>
      <c r="I1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7.34</v>
      </c>
      <c r="K181">
        <f t="shared" ca="1" si="38"/>
        <v>0.51</v>
      </c>
      <c r="M1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1" s="3" t="b">
        <f ca="1">VLOOKUP(table_DataQualities[[#This Row],[ID]],dict_zuord_Var_DQ!B:C,2,FALSE)</f>
        <v>0</v>
      </c>
      <c r="O181">
        <f t="shared" ca="1" si="35"/>
        <v>4.5</v>
      </c>
    </row>
    <row r="182" spans="1:15" x14ac:dyDescent="0.45">
      <c r="A182">
        <v>180</v>
      </c>
      <c r="B1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90_Frequenz Hz</v>
      </c>
      <c r="C182">
        <v>100</v>
      </c>
      <c r="D182" s="3" t="str">
        <f>VLOOKUP(table_DataQualities[[#This Row],[unit_ID]],table_Units[#All],2)</f>
        <v>Hz</v>
      </c>
      <c r="F1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0.14000000000000001</v>
      </c>
      <c r="G1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6226.9</v>
      </c>
      <c r="H1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0.14000000000000001</v>
      </c>
      <c r="I1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6226.9</v>
      </c>
      <c r="K182">
        <f t="shared" ca="1" si="38"/>
        <v>0.47</v>
      </c>
      <c r="M1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2" s="3" t="b">
        <f ca="1">VLOOKUP(table_DataQualities[[#This Row],[ID]],dict_zuord_Var_DQ!B:C,2,FALSE)</f>
        <v>0</v>
      </c>
      <c r="O182">
        <f t="shared" ca="1" si="35"/>
        <v>2.7</v>
      </c>
    </row>
    <row r="183" spans="1:15" x14ac:dyDescent="0.45">
      <c r="A183">
        <v>181</v>
      </c>
      <c r="B1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90_Leistungsmessgenauigkeit W</v>
      </c>
      <c r="C183">
        <f ca="1">RANDBETWEEN(5,10)*100</f>
        <v>600</v>
      </c>
      <c r="D183" s="3" t="str">
        <f ca="1">VLOOKUP(table_DataQualities[[#This Row],[unit_ID]],table_Units[#All],2)</f>
        <v>+/- W</v>
      </c>
      <c r="F1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9.0399999999999991</v>
      </c>
      <c r="G1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1E-3</v>
      </c>
      <c r="H1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1E-3</v>
      </c>
      <c r="I1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9.0399999999999991</v>
      </c>
      <c r="K183">
        <f t="shared" ca="1" si="38"/>
        <v>0.5</v>
      </c>
      <c r="M1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3" s="3" t="b">
        <f ca="1">VLOOKUP(table_DataQualities[[#This Row],[ID]],dict_zuord_Var_DQ!B:C,2,FALSE)</f>
        <v>0</v>
      </c>
      <c r="O183">
        <f t="shared" ca="1" si="35"/>
        <v>3.3</v>
      </c>
    </row>
    <row r="184" spans="1:15" x14ac:dyDescent="0.45">
      <c r="A184">
        <v>182</v>
      </c>
      <c r="B1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91_Frequenz Hz</v>
      </c>
      <c r="C184">
        <v>100</v>
      </c>
      <c r="D184" s="3" t="str">
        <f>VLOOKUP(table_DataQualities[[#This Row],[unit_ID]],table_Units[#All],2)</f>
        <v>Hz</v>
      </c>
      <c r="F1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0.58099999999999996</v>
      </c>
      <c r="G1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2356</v>
      </c>
      <c r="H1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0.58099999999999996</v>
      </c>
      <c r="I1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2356</v>
      </c>
      <c r="K184">
        <f t="shared" ca="1" si="38"/>
        <v>0.68</v>
      </c>
      <c r="M1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4" s="3" t="b">
        <f ca="1">VLOOKUP(table_DataQualities[[#This Row],[ID]],dict_zuord_Var_DQ!B:C,2,FALSE)</f>
        <v>0</v>
      </c>
      <c r="O184">
        <f t="shared" ca="1" si="35"/>
        <v>2.4</v>
      </c>
    </row>
    <row r="185" spans="1:15" x14ac:dyDescent="0.45">
      <c r="A185">
        <v>183</v>
      </c>
      <c r="B1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91_Längenmessgenauigkeit mm</v>
      </c>
      <c r="C185">
        <f t="shared" ref="C185:C195" ca="1" si="47">RANDBETWEEN(5,10)*100</f>
        <v>900</v>
      </c>
      <c r="D185" s="3" t="str">
        <f ca="1">VLOOKUP(table_DataQualities[[#This Row],[unit_ID]],table_Units[#All],2)</f>
        <v>+/- mm</v>
      </c>
      <c r="F1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9.86</v>
      </c>
      <c r="G1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7.8E-2</v>
      </c>
      <c r="H1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7.8E-2</v>
      </c>
      <c r="I1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9.86</v>
      </c>
      <c r="K185">
        <f t="shared" ca="1" si="38"/>
        <v>0.56999999999999995</v>
      </c>
      <c r="M1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5" s="3" t="b">
        <f ca="1">VLOOKUP(table_DataQualities[[#This Row],[ID]],dict_zuord_Var_DQ!B:C,2,FALSE)</f>
        <v>0</v>
      </c>
      <c r="O185">
        <f t="shared" ca="1" si="35"/>
        <v>4.5999999999999996</v>
      </c>
    </row>
    <row r="186" spans="1:15" x14ac:dyDescent="0.45">
      <c r="A186">
        <v>184</v>
      </c>
      <c r="B1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92_Frequenz Hz</v>
      </c>
      <c r="C186">
        <v>100</v>
      </c>
      <c r="D186" s="3" t="str">
        <f>VLOOKUP(table_DataQualities[[#This Row],[unit_ID]],table_Units[#All],2)</f>
        <v>Hz</v>
      </c>
      <c r="F1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0.51300000000000001</v>
      </c>
      <c r="G1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1983.6</v>
      </c>
      <c r="H1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0.51300000000000001</v>
      </c>
      <c r="I1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1983.6</v>
      </c>
      <c r="K186">
        <f t="shared" ca="1" si="38"/>
        <v>0.25</v>
      </c>
      <c r="M1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6" s="3" t="b">
        <f ca="1">VLOOKUP(table_DataQualities[[#This Row],[ID]],dict_zuord_Var_DQ!B:C,2,FALSE)</f>
        <v>0</v>
      </c>
      <c r="O186">
        <f t="shared" ca="1" si="35"/>
        <v>1.7</v>
      </c>
    </row>
    <row r="187" spans="1:15" x14ac:dyDescent="0.45">
      <c r="A187">
        <v>185</v>
      </c>
      <c r="B1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92_Längenmessgenauigkeit mm</v>
      </c>
      <c r="C187">
        <f t="shared" ref="C187" ca="1" si="48">RANDBETWEEN(5,10)*100</f>
        <v>900</v>
      </c>
      <c r="D187" s="3" t="str">
        <f ca="1">VLOOKUP(table_DataQualities[[#This Row],[unit_ID]],table_Units[#All],2)</f>
        <v>+/- mm</v>
      </c>
      <c r="F1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6.13</v>
      </c>
      <c r="G1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5.3999999999999999E-2</v>
      </c>
      <c r="H1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5.3999999999999999E-2</v>
      </c>
      <c r="I1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6.13</v>
      </c>
      <c r="K187">
        <f t="shared" ca="1" si="38"/>
        <v>0.99</v>
      </c>
      <c r="M1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7" s="3" t="b">
        <f ca="1">VLOOKUP(table_DataQualities[[#This Row],[ID]],dict_zuord_Var_DQ!B:C,2,FALSE)</f>
        <v>0</v>
      </c>
      <c r="O187">
        <f t="shared" ca="1" si="35"/>
        <v>1.3</v>
      </c>
    </row>
    <row r="188" spans="1:15" x14ac:dyDescent="0.45">
      <c r="A188">
        <v>186</v>
      </c>
      <c r="B1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93_Frequenz Hz</v>
      </c>
      <c r="C188">
        <v>100</v>
      </c>
      <c r="D188" s="3" t="str">
        <f>VLOOKUP(table_DataQualities[[#This Row],[unit_ID]],table_Units[#All],2)</f>
        <v>Hz</v>
      </c>
      <c r="F1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0.77500000000000002</v>
      </c>
      <c r="G1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2441.3000000000002</v>
      </c>
      <c r="H1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0.77500000000000002</v>
      </c>
      <c r="I1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2441.3000000000002</v>
      </c>
      <c r="K188">
        <f t="shared" ca="1" si="38"/>
        <v>0.01</v>
      </c>
      <c r="M1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8" s="3" t="b">
        <f ca="1">VLOOKUP(table_DataQualities[[#This Row],[ID]],dict_zuord_Var_DQ!B:C,2,FALSE)</f>
        <v>0</v>
      </c>
      <c r="O188">
        <f t="shared" ca="1" si="35"/>
        <v>4.2</v>
      </c>
    </row>
    <row r="189" spans="1:15" x14ac:dyDescent="0.45">
      <c r="A189">
        <v>187</v>
      </c>
      <c r="B1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93_Längenmessgenauigkeit mm</v>
      </c>
      <c r="C189">
        <f t="shared" ca="1" si="47"/>
        <v>900</v>
      </c>
      <c r="D189" s="3" t="str">
        <f ca="1">VLOOKUP(table_DataQualities[[#This Row],[unit_ID]],table_Units[#All],2)</f>
        <v>+/- mm</v>
      </c>
      <c r="F1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3.02</v>
      </c>
      <c r="G1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3.2000000000000001E-2</v>
      </c>
      <c r="H1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3.2000000000000001E-2</v>
      </c>
      <c r="I1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3.02</v>
      </c>
      <c r="K189">
        <f t="shared" ca="1" si="38"/>
        <v>0</v>
      </c>
      <c r="M1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89" s="3" t="b">
        <f ca="1">VLOOKUP(table_DataQualities[[#This Row],[ID]],dict_zuord_Var_DQ!B:C,2,FALSE)</f>
        <v>0</v>
      </c>
      <c r="O189">
        <f t="shared" ca="1" si="35"/>
        <v>1.6</v>
      </c>
    </row>
    <row r="190" spans="1:15" x14ac:dyDescent="0.45">
      <c r="A190">
        <v>188</v>
      </c>
      <c r="B1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94_Frequenz Hz</v>
      </c>
      <c r="C190">
        <v>100</v>
      </c>
      <c r="D190" s="3" t="str">
        <f>VLOOKUP(table_DataQualities[[#This Row],[unit_ID]],table_Units[#All],2)</f>
        <v>Hz</v>
      </c>
      <c r="F1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0.67900000000000005</v>
      </c>
      <c r="G1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1873.4</v>
      </c>
      <c r="H1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0.67900000000000005</v>
      </c>
      <c r="I1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1873.4</v>
      </c>
      <c r="K190">
        <f t="shared" ca="1" si="38"/>
        <v>0.12</v>
      </c>
      <c r="M1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0" s="3" t="b">
        <f ca="1">VLOOKUP(table_DataQualities[[#This Row],[ID]],dict_zuord_Var_DQ!B:C,2,FALSE)</f>
        <v>0</v>
      </c>
      <c r="O190">
        <f t="shared" ca="1" si="35"/>
        <v>2.7</v>
      </c>
    </row>
    <row r="191" spans="1:15" x14ac:dyDescent="0.45">
      <c r="A191">
        <v>189</v>
      </c>
      <c r="B1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94_Geschwindigkeitsmessgenauigkeit mm/s</v>
      </c>
      <c r="C191">
        <f t="shared" ref="C191" ca="1" si="49">RANDBETWEEN(5,10)*100</f>
        <v>700</v>
      </c>
      <c r="D191" s="3" t="str">
        <f ca="1">VLOOKUP(table_DataQualities[[#This Row],[unit_ID]],table_Units[#All],2)</f>
        <v>+/- mm/s</v>
      </c>
      <c r="F1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3.8</v>
      </c>
      <c r="G1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1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1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3.8</v>
      </c>
      <c r="K191">
        <f t="shared" ca="1" si="38"/>
        <v>0.63</v>
      </c>
      <c r="M1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1" s="3" t="b">
        <f ca="1">VLOOKUP(table_DataQualities[[#This Row],[ID]],dict_zuord_Var_DQ!B:C,2,FALSE)</f>
        <v>0</v>
      </c>
      <c r="O191">
        <f t="shared" ca="1" si="35"/>
        <v>3.1</v>
      </c>
    </row>
    <row r="192" spans="1:15" x14ac:dyDescent="0.45">
      <c r="A192">
        <v>190</v>
      </c>
      <c r="B1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95_Frequenz Hz</v>
      </c>
      <c r="C192">
        <v>100</v>
      </c>
      <c r="D192" s="3" t="str">
        <f>VLOOKUP(table_DataQualities[[#This Row],[unit_ID]],table_Units[#All],2)</f>
        <v>Hz</v>
      </c>
      <c r="F1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0.24199999999999999</v>
      </c>
      <c r="G1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9710.1</v>
      </c>
      <c r="H1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0.24199999999999999</v>
      </c>
      <c r="I1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9710.1</v>
      </c>
      <c r="K192">
        <f t="shared" ca="1" si="38"/>
        <v>0.47</v>
      </c>
      <c r="M1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2" s="3" t="b">
        <f ca="1">VLOOKUP(table_DataQualities[[#This Row],[ID]],dict_zuord_Var_DQ!B:C,2,FALSE)</f>
        <v>0</v>
      </c>
      <c r="O192">
        <f t="shared" ca="1" si="35"/>
        <v>4</v>
      </c>
    </row>
    <row r="193" spans="1:15" x14ac:dyDescent="0.45">
      <c r="A193">
        <v>191</v>
      </c>
      <c r="B1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95_Geschwindigkeitsmessgenauigkeit mm/s</v>
      </c>
      <c r="C193">
        <f t="shared" ca="1" si="47"/>
        <v>700</v>
      </c>
      <c r="D193" s="3" t="str">
        <f ca="1">VLOOKUP(table_DataQualities[[#This Row],[unit_ID]],table_Units[#All],2)</f>
        <v>+/- mm/s</v>
      </c>
      <c r="F1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5.9</v>
      </c>
      <c r="G1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0.27</v>
      </c>
      <c r="H1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0.27</v>
      </c>
      <c r="I1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5.9</v>
      </c>
      <c r="K193">
        <f t="shared" ca="1" si="38"/>
        <v>0.5</v>
      </c>
      <c r="M1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3" s="3" t="b">
        <f ca="1">VLOOKUP(table_DataQualities[[#This Row],[ID]],dict_zuord_Var_DQ!B:C,2,FALSE)</f>
        <v>0</v>
      </c>
      <c r="O193">
        <f t="shared" ca="1" si="35"/>
        <v>2.2999999999999998</v>
      </c>
    </row>
    <row r="194" spans="1:15" x14ac:dyDescent="0.45">
      <c r="A194">
        <v>192</v>
      </c>
      <c r="B1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96_Frequenz Hz</v>
      </c>
      <c r="C194">
        <v>100</v>
      </c>
      <c r="D194" s="3" t="str">
        <f>VLOOKUP(table_DataQualities[[#This Row],[unit_ID]],table_Units[#All],2)</f>
        <v>Hz</v>
      </c>
      <c r="F1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0.25</v>
      </c>
      <c r="G1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5452.2</v>
      </c>
      <c r="H1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0.25</v>
      </c>
      <c r="I1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5452.2</v>
      </c>
      <c r="K194">
        <f t="shared" ca="1" si="38"/>
        <v>0.53</v>
      </c>
      <c r="M1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4" s="3" t="b">
        <f ca="1">VLOOKUP(table_DataQualities[[#This Row],[ID]],dict_zuord_Var_DQ!B:C,2,FALSE)</f>
        <v>0</v>
      </c>
      <c r="O194">
        <f t="shared" ca="1" si="35"/>
        <v>3.5</v>
      </c>
    </row>
    <row r="195" spans="1:15" x14ac:dyDescent="0.45">
      <c r="A195">
        <v>193</v>
      </c>
      <c r="B1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96_Geschwindigkeitsmessgenauigkeit mm/s</v>
      </c>
      <c r="C195">
        <f t="shared" ca="1" si="47"/>
        <v>700</v>
      </c>
      <c r="D195" s="3" t="str">
        <f ca="1">VLOOKUP(table_DataQualities[[#This Row],[unit_ID]],table_Units[#All],2)</f>
        <v>+/- mm/s</v>
      </c>
      <c r="F1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4.7</v>
      </c>
      <c r="G1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0.31</v>
      </c>
      <c r="H1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</v>
      </c>
      <c r="I1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4.7</v>
      </c>
      <c r="K195">
        <f t="shared" ca="1" si="38"/>
        <v>0.83</v>
      </c>
      <c r="M1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5" s="3" t="b">
        <f ca="1">VLOOKUP(table_DataQualities[[#This Row],[ID]],dict_zuord_Var_DQ!B:C,2,FALSE)</f>
        <v>0</v>
      </c>
      <c r="O195">
        <f t="shared" ref="O195:O258" ca="1" si="50">RANDBETWEEN(12,50)/10</f>
        <v>1.2</v>
      </c>
    </row>
    <row r="196" spans="1:15" x14ac:dyDescent="0.45">
      <c r="A196">
        <v>194</v>
      </c>
      <c r="B1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97_Frequenz Hz</v>
      </c>
      <c r="C196">
        <v>100</v>
      </c>
      <c r="D196" s="3" t="str">
        <f>VLOOKUP(table_DataQualities[[#This Row],[unit_ID]],table_Units[#All],2)</f>
        <v>Hz</v>
      </c>
      <c r="F1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0.58899999999999997</v>
      </c>
      <c r="G1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4616.2</v>
      </c>
      <c r="H1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0.58899999999999997</v>
      </c>
      <c r="I1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4616.2</v>
      </c>
      <c r="K196">
        <f t="shared" ca="1" si="38"/>
        <v>0.69</v>
      </c>
      <c r="M1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6" s="3" t="b">
        <f ca="1">VLOOKUP(table_DataQualities[[#This Row],[ID]],dict_zuord_Var_DQ!B:C,2,FALSE)</f>
        <v>0</v>
      </c>
      <c r="O196">
        <f t="shared" ca="1" si="50"/>
        <v>4</v>
      </c>
    </row>
    <row r="197" spans="1:15" x14ac:dyDescent="0.45">
      <c r="A197">
        <v>195</v>
      </c>
      <c r="B1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97_Leistungsmessgenauigkeit W</v>
      </c>
      <c r="C197">
        <f ca="1">RANDBETWEEN(5,10)*100</f>
        <v>600</v>
      </c>
      <c r="D197" s="3" t="str">
        <f ca="1">VLOOKUP(table_DataQualities[[#This Row],[unit_ID]],table_Units[#All],2)</f>
        <v>+/- W</v>
      </c>
      <c r="F1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5.21</v>
      </c>
      <c r="G1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4.3999999999999997E-2</v>
      </c>
      <c r="H1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4.3999999999999997E-2</v>
      </c>
      <c r="I1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5.21</v>
      </c>
      <c r="K197">
        <f t="shared" ca="1" si="38"/>
        <v>0.89</v>
      </c>
      <c r="M1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7" s="3" t="b">
        <f ca="1">VLOOKUP(table_DataQualities[[#This Row],[ID]],dict_zuord_Var_DQ!B:C,2,FALSE)</f>
        <v>0</v>
      </c>
      <c r="O197">
        <f t="shared" ca="1" si="50"/>
        <v>2.7</v>
      </c>
    </row>
    <row r="198" spans="1:15" x14ac:dyDescent="0.45">
      <c r="A198">
        <v>196</v>
      </c>
      <c r="B1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98_Frequenz Hz</v>
      </c>
      <c r="C198">
        <v>100</v>
      </c>
      <c r="D198" s="3" t="str">
        <f>VLOOKUP(table_DataQualities[[#This Row],[unit_ID]],table_Units[#All],2)</f>
        <v>Hz</v>
      </c>
      <c r="F1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0.49099999999999999</v>
      </c>
      <c r="G1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7088.5</v>
      </c>
      <c r="H1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0.49099999999999999</v>
      </c>
      <c r="I1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7088.5</v>
      </c>
      <c r="K198">
        <f t="shared" ca="1" si="38"/>
        <v>0.72</v>
      </c>
      <c r="M1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8" s="3" t="b">
        <f ca="1">VLOOKUP(table_DataQualities[[#This Row],[ID]],dict_zuord_Var_DQ!B:C,2,FALSE)</f>
        <v>0</v>
      </c>
      <c r="O198">
        <f t="shared" ca="1" si="50"/>
        <v>1.8</v>
      </c>
    </row>
    <row r="199" spans="1:15" x14ac:dyDescent="0.45">
      <c r="A199">
        <v>197</v>
      </c>
      <c r="B1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98_Bildgröße</v>
      </c>
      <c r="C199">
        <f t="shared" ref="C199:C209" ca="1" si="51">RANDBETWEEN(5,10)*100</f>
        <v>1000</v>
      </c>
      <c r="D199" s="3" t="str">
        <f ca="1">VLOOKUP(table_DataQualities[[#This Row],[unit_ID]],table_Units[#All],2)</f>
        <v>bit</v>
      </c>
      <c r="F1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86</v>
      </c>
      <c r="G1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3871</v>
      </c>
      <c r="H1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86</v>
      </c>
      <c r="I1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3871</v>
      </c>
      <c r="K199">
        <f t="shared" ca="1" si="38"/>
        <v>0.28000000000000003</v>
      </c>
      <c r="M1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199" s="3" t="b">
        <f ca="1">VLOOKUP(table_DataQualities[[#This Row],[ID]],dict_zuord_Var_DQ!B:C,2,FALSE)</f>
        <v>0</v>
      </c>
      <c r="O199">
        <f t="shared" ca="1" si="50"/>
        <v>1.3</v>
      </c>
    </row>
    <row r="200" spans="1:15" x14ac:dyDescent="0.45">
      <c r="A200">
        <v>198</v>
      </c>
      <c r="B2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99_Frequenz Hz</v>
      </c>
      <c r="C200">
        <v>100</v>
      </c>
      <c r="D200" s="3" t="str">
        <f>VLOOKUP(table_DataQualities[[#This Row],[unit_ID]],table_Units[#All],2)</f>
        <v>Hz</v>
      </c>
      <c r="F2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0.55400000000000005</v>
      </c>
      <c r="G2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5939.9</v>
      </c>
      <c r="H2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0.55400000000000005</v>
      </c>
      <c r="I2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5939.9</v>
      </c>
      <c r="K200">
        <f t="shared" ca="1" si="38"/>
        <v>0.85</v>
      </c>
      <c r="M2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0" s="3" t="b">
        <f ca="1">VLOOKUP(table_DataQualities[[#This Row],[ID]],dict_zuord_Var_DQ!B:C,2,FALSE)</f>
        <v>0</v>
      </c>
      <c r="O200">
        <f t="shared" ca="1" si="50"/>
        <v>4</v>
      </c>
    </row>
    <row r="201" spans="1:15" x14ac:dyDescent="0.45">
      <c r="A201">
        <v>199</v>
      </c>
      <c r="B2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99_Temperaturmessgenauigkeit °C</v>
      </c>
      <c r="C201">
        <f t="shared" ref="C201" ca="1" si="52">RANDBETWEEN(5,10)*100</f>
        <v>500</v>
      </c>
      <c r="D201" s="3" t="str">
        <f ca="1">VLOOKUP(table_DataQualities[[#This Row],[unit_ID]],table_Units[#All],2)</f>
        <v>+/- °C</v>
      </c>
      <c r="F2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2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2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2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201">
        <f t="shared" ca="1" si="38"/>
        <v>0.02</v>
      </c>
      <c r="M2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1" s="3" t="b">
        <f ca="1">VLOOKUP(table_DataQualities[[#This Row],[ID]],dict_zuord_Var_DQ!B:C,2,FALSE)</f>
        <v>0</v>
      </c>
      <c r="O201">
        <f t="shared" ca="1" si="50"/>
        <v>1.9</v>
      </c>
    </row>
    <row r="202" spans="1:15" x14ac:dyDescent="0.45">
      <c r="A202">
        <v>200</v>
      </c>
      <c r="B2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100_Frequenz Hz</v>
      </c>
      <c r="C202">
        <v>100</v>
      </c>
      <c r="D202" s="3" t="str">
        <f>VLOOKUP(table_DataQualities[[#This Row],[unit_ID]],table_Units[#All],2)</f>
        <v>Hz</v>
      </c>
      <c r="F2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</v>
      </c>
      <c r="G2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1526.9</v>
      </c>
      <c r="H2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</v>
      </c>
      <c r="I2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1526.9</v>
      </c>
      <c r="K202">
        <f t="shared" ca="1" si="38"/>
        <v>0.17</v>
      </c>
      <c r="M2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2" s="3" t="b">
        <f ca="1">VLOOKUP(table_DataQualities[[#This Row],[ID]],dict_zuord_Var_DQ!B:C,2,FALSE)</f>
        <v>0</v>
      </c>
      <c r="O202">
        <f t="shared" ca="1" si="50"/>
        <v>2.2999999999999998</v>
      </c>
    </row>
    <row r="203" spans="1:15" x14ac:dyDescent="0.45">
      <c r="A203">
        <v>201</v>
      </c>
      <c r="B2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100_Durchflussmessgenauigkeit cm³/s</v>
      </c>
      <c r="C203">
        <f t="shared" ca="1" si="51"/>
        <v>800</v>
      </c>
      <c r="D203" s="3" t="str">
        <f ca="1">VLOOKUP(table_DataQualities[[#This Row],[unit_ID]],table_Units[#All],2)</f>
        <v>+/- cm³/s</v>
      </c>
      <c r="F2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7.4999999999999997E-2</v>
      </c>
      <c r="G2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6.7999999999999996E-3</v>
      </c>
      <c r="H2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6.7999999999999996E-3</v>
      </c>
      <c r="I2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7.4999999999999997E-2</v>
      </c>
      <c r="K203">
        <f t="shared" ca="1" si="38"/>
        <v>0.78</v>
      </c>
      <c r="M2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3" s="3" t="b">
        <f ca="1">VLOOKUP(table_DataQualities[[#This Row],[ID]],dict_zuord_Var_DQ!B:C,2,FALSE)</f>
        <v>0</v>
      </c>
      <c r="O203">
        <f t="shared" ca="1" si="50"/>
        <v>4.3</v>
      </c>
    </row>
    <row r="204" spans="1:15" x14ac:dyDescent="0.45">
      <c r="A204">
        <v>202</v>
      </c>
      <c r="B2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101_Frequenz Hz</v>
      </c>
      <c r="C204">
        <v>100</v>
      </c>
      <c r="D204" s="3" t="str">
        <f>VLOOKUP(table_DataQualities[[#This Row],[unit_ID]],table_Units[#All],2)</f>
        <v>Hz</v>
      </c>
      <c r="F2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0.40200000000000002</v>
      </c>
      <c r="G2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8655.7000000000007</v>
      </c>
      <c r="H2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0.40200000000000002</v>
      </c>
      <c r="I2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8655.7000000000007</v>
      </c>
      <c r="K204">
        <f t="shared" ca="1" si="38"/>
        <v>0.16</v>
      </c>
      <c r="M2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4" s="3" t="b">
        <f ca="1">VLOOKUP(table_DataQualities[[#This Row],[ID]],dict_zuord_Var_DQ!B:C,2,FALSE)</f>
        <v>0</v>
      </c>
      <c r="O204">
        <f t="shared" ca="1" si="50"/>
        <v>4.4000000000000004</v>
      </c>
    </row>
    <row r="205" spans="1:15" x14ac:dyDescent="0.45">
      <c r="A205">
        <v>203</v>
      </c>
      <c r="B2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101_Bildgröße</v>
      </c>
      <c r="C205">
        <f t="shared" ref="C205" ca="1" si="53">RANDBETWEEN(5,10)*100</f>
        <v>1000</v>
      </c>
      <c r="D205" s="3" t="str">
        <f ca="1">VLOOKUP(table_DataQualities[[#This Row],[unit_ID]],table_Units[#All],2)</f>
        <v>bit</v>
      </c>
      <c r="F2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37</v>
      </c>
      <c r="G2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4696</v>
      </c>
      <c r="H2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37</v>
      </c>
      <c r="I2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4696</v>
      </c>
      <c r="K205">
        <f t="shared" ca="1" si="38"/>
        <v>0.69</v>
      </c>
      <c r="M2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5" s="3" t="b">
        <f ca="1">VLOOKUP(table_DataQualities[[#This Row],[ID]],dict_zuord_Var_DQ!B:C,2,FALSE)</f>
        <v>0</v>
      </c>
      <c r="O205">
        <f t="shared" ca="1" si="50"/>
        <v>2.8</v>
      </c>
    </row>
    <row r="206" spans="1:15" x14ac:dyDescent="0.45">
      <c r="A206">
        <v>204</v>
      </c>
      <c r="B2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102_Frequenz Hz</v>
      </c>
      <c r="C206">
        <v>100</v>
      </c>
      <c r="D206" s="3" t="str">
        <f>VLOOKUP(table_DataQualities[[#This Row],[unit_ID]],table_Units[#All],2)</f>
        <v>Hz</v>
      </c>
      <c r="F2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0.98</v>
      </c>
      <c r="G2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5799</v>
      </c>
      <c r="H2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0.98</v>
      </c>
      <c r="I2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5799</v>
      </c>
      <c r="K206">
        <f t="shared" ca="1" si="38"/>
        <v>0.56000000000000005</v>
      </c>
      <c r="M2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6" s="3" t="b">
        <f ca="1">VLOOKUP(table_DataQualities[[#This Row],[ID]],dict_zuord_Var_DQ!B:C,2,FALSE)</f>
        <v>0</v>
      </c>
      <c r="O206">
        <f t="shared" ca="1" si="50"/>
        <v>1.6</v>
      </c>
    </row>
    <row r="207" spans="1:15" x14ac:dyDescent="0.45">
      <c r="A207">
        <v>205</v>
      </c>
      <c r="B2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102_Durchflussmessgenauigkeit cm³/s</v>
      </c>
      <c r="C207">
        <f t="shared" ca="1" si="51"/>
        <v>800</v>
      </c>
      <c r="D207" s="3" t="str">
        <f ca="1">VLOOKUP(table_DataQualities[[#This Row],[unit_ID]],table_Units[#All],2)</f>
        <v>+/- cm³/s</v>
      </c>
      <c r="F2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0.155</v>
      </c>
      <c r="G2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2.0999999999999999E-3</v>
      </c>
      <c r="H2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2.0999999999999999E-3</v>
      </c>
      <c r="I2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0.155</v>
      </c>
      <c r="K207">
        <f t="shared" ref="K207:K270" ca="1" si="54">ROUND(RAND(),2)</f>
        <v>0.32</v>
      </c>
      <c r="M2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7" s="3" t="b">
        <f ca="1">VLOOKUP(table_DataQualities[[#This Row],[ID]],dict_zuord_Var_DQ!B:C,2,FALSE)</f>
        <v>0</v>
      </c>
      <c r="O207">
        <f t="shared" ca="1" si="50"/>
        <v>3.8</v>
      </c>
    </row>
    <row r="208" spans="1:15" x14ac:dyDescent="0.45">
      <c r="A208">
        <v>206</v>
      </c>
      <c r="B2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103_Frequenz Hz</v>
      </c>
      <c r="C208">
        <v>100</v>
      </c>
      <c r="D208" s="3" t="str">
        <f>VLOOKUP(table_DataQualities[[#This Row],[unit_ID]],table_Units[#All],2)</f>
        <v>Hz</v>
      </c>
      <c r="F2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0.65200000000000002</v>
      </c>
      <c r="G2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9445.2000000000007</v>
      </c>
      <c r="H2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0.65200000000000002</v>
      </c>
      <c r="I2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9445.2000000000007</v>
      </c>
      <c r="K208">
        <f t="shared" ca="1" si="54"/>
        <v>0.84</v>
      </c>
      <c r="M2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8" s="3" t="b">
        <f ca="1">VLOOKUP(table_DataQualities[[#This Row],[ID]],dict_zuord_Var_DQ!B:C,2,FALSE)</f>
        <v>0</v>
      </c>
      <c r="O208">
        <f t="shared" ca="1" si="50"/>
        <v>1.2</v>
      </c>
    </row>
    <row r="209" spans="1:15" x14ac:dyDescent="0.45">
      <c r="A209">
        <v>207</v>
      </c>
      <c r="B2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103_Geschwindigkeitsmessgenauigkeit mm/s</v>
      </c>
      <c r="C209">
        <f t="shared" ca="1" si="51"/>
        <v>700</v>
      </c>
      <c r="D209" s="3" t="str">
        <f ca="1">VLOOKUP(table_DataQualities[[#This Row],[unit_ID]],table_Units[#All],2)</f>
        <v>+/- mm/s</v>
      </c>
      <c r="F2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6.5</v>
      </c>
      <c r="G2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0.83</v>
      </c>
      <c r="H2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</v>
      </c>
      <c r="I2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6.5</v>
      </c>
      <c r="K209">
        <f t="shared" ca="1" si="54"/>
        <v>0.99</v>
      </c>
      <c r="M2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09" s="3" t="b">
        <f ca="1">VLOOKUP(table_DataQualities[[#This Row],[ID]],dict_zuord_Var_DQ!B:C,2,FALSE)</f>
        <v>0</v>
      </c>
      <c r="O209">
        <f t="shared" ca="1" si="50"/>
        <v>3.5</v>
      </c>
    </row>
    <row r="210" spans="1:15" x14ac:dyDescent="0.45">
      <c r="A210">
        <v>208</v>
      </c>
      <c r="B2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104_Frequenz Hz</v>
      </c>
      <c r="C210">
        <v>100</v>
      </c>
      <c r="D210" s="3" t="str">
        <f>VLOOKUP(table_DataQualities[[#This Row],[unit_ID]],table_Units[#All],2)</f>
        <v>Hz</v>
      </c>
      <c r="F2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0.51600000000000001</v>
      </c>
      <c r="G2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5239.3</v>
      </c>
      <c r="H2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0.51600000000000001</v>
      </c>
      <c r="I2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5239.3</v>
      </c>
      <c r="K210">
        <f t="shared" ca="1" si="54"/>
        <v>0.82</v>
      </c>
      <c r="M2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0" s="3" t="b">
        <f ca="1">VLOOKUP(table_DataQualities[[#This Row],[ID]],dict_zuord_Var_DQ!B:C,2,FALSE)</f>
        <v>0</v>
      </c>
      <c r="O210">
        <f t="shared" ca="1" si="50"/>
        <v>2.7</v>
      </c>
    </row>
    <row r="211" spans="1:15" x14ac:dyDescent="0.45">
      <c r="A211">
        <v>209</v>
      </c>
      <c r="B2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104_Geschwindigkeitsmessgenauigkeit mm/s</v>
      </c>
      <c r="C211">
        <f ca="1">RANDBETWEEN(5,10)*100</f>
        <v>700</v>
      </c>
      <c r="D211" s="3" t="str">
        <f ca="1">VLOOKUP(table_DataQualities[[#This Row],[unit_ID]],table_Units[#All],2)</f>
        <v>+/- mm/s</v>
      </c>
      <c r="F2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4.0999999999999996</v>
      </c>
      <c r="G2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0.51</v>
      </c>
      <c r="H2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0.51</v>
      </c>
      <c r="I2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4.0999999999999996</v>
      </c>
      <c r="K211">
        <f t="shared" ca="1" si="54"/>
        <v>0.64</v>
      </c>
      <c r="M2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1" s="3" t="b">
        <f ca="1">VLOOKUP(table_DataQualities[[#This Row],[ID]],dict_zuord_Var_DQ!B:C,2,FALSE)</f>
        <v>0</v>
      </c>
      <c r="O211">
        <f t="shared" ca="1" si="50"/>
        <v>1.3</v>
      </c>
    </row>
    <row r="212" spans="1:15" x14ac:dyDescent="0.45">
      <c r="A212">
        <v>210</v>
      </c>
      <c r="B2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105_Frequenz Hz</v>
      </c>
      <c r="C212">
        <v>100</v>
      </c>
      <c r="D212" s="3" t="str">
        <f>VLOOKUP(table_DataQualities[[#This Row],[unit_ID]],table_Units[#All],2)</f>
        <v>Hz</v>
      </c>
      <c r="F2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5.0999999999999997E-2</v>
      </c>
      <c r="G2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8659.7000000000007</v>
      </c>
      <c r="H2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5.0999999999999997E-2</v>
      </c>
      <c r="I2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8659.7000000000007</v>
      </c>
      <c r="K212">
        <f t="shared" ca="1" si="54"/>
        <v>0.19</v>
      </c>
      <c r="M2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2" s="3" t="b">
        <f ca="1">VLOOKUP(table_DataQualities[[#This Row],[ID]],dict_zuord_Var_DQ!B:C,2,FALSE)</f>
        <v>0</v>
      </c>
      <c r="O212">
        <f t="shared" ca="1" si="50"/>
        <v>3.8</v>
      </c>
    </row>
    <row r="213" spans="1:15" x14ac:dyDescent="0.45">
      <c r="A213">
        <v>211</v>
      </c>
      <c r="B2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105_Bildgröße</v>
      </c>
      <c r="C213">
        <f t="shared" ref="C213:C223" ca="1" si="55">RANDBETWEEN(5,10)*100</f>
        <v>1000</v>
      </c>
      <c r="D213" s="3" t="str">
        <f ca="1">VLOOKUP(table_DataQualities[[#This Row],[unit_ID]],table_Units[#All],2)</f>
        <v>bit</v>
      </c>
      <c r="F2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60</v>
      </c>
      <c r="G2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8947</v>
      </c>
      <c r="H2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60</v>
      </c>
      <c r="I2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8947</v>
      </c>
      <c r="K213">
        <f t="shared" ca="1" si="54"/>
        <v>0.57999999999999996</v>
      </c>
      <c r="M2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3" s="3" t="b">
        <f ca="1">VLOOKUP(table_DataQualities[[#This Row],[ID]],dict_zuord_Var_DQ!B:C,2,FALSE)</f>
        <v>0</v>
      </c>
      <c r="O213">
        <f t="shared" ca="1" si="50"/>
        <v>2.2000000000000002</v>
      </c>
    </row>
    <row r="214" spans="1:15" x14ac:dyDescent="0.45">
      <c r="A214">
        <v>212</v>
      </c>
      <c r="B2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106_Frequenz Hz</v>
      </c>
      <c r="C214">
        <v>100</v>
      </c>
      <c r="D214" s="3" t="str">
        <f>VLOOKUP(table_DataQualities[[#This Row],[unit_ID]],table_Units[#All],2)</f>
        <v>Hz</v>
      </c>
      <c r="F2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0.36299999999999999</v>
      </c>
      <c r="G2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9696.1</v>
      </c>
      <c r="H2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0.36299999999999999</v>
      </c>
      <c r="I2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9696.1</v>
      </c>
      <c r="K214">
        <f t="shared" ca="1" si="54"/>
        <v>0.79</v>
      </c>
      <c r="M2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4" s="3" t="b">
        <f ca="1">VLOOKUP(table_DataQualities[[#This Row],[ID]],dict_zuord_Var_DQ!B:C,2,FALSE)</f>
        <v>0</v>
      </c>
      <c r="O214">
        <f t="shared" ca="1" si="50"/>
        <v>1.9</v>
      </c>
    </row>
    <row r="215" spans="1:15" x14ac:dyDescent="0.45">
      <c r="A215">
        <v>213</v>
      </c>
      <c r="B2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106_Temperaturmessgenauigkeit °C</v>
      </c>
      <c r="C215">
        <f t="shared" ref="C215" ca="1" si="56">RANDBETWEEN(5,10)*100</f>
        <v>500</v>
      </c>
      <c r="D215" s="3" t="str">
        <f ca="1">VLOOKUP(table_DataQualities[[#This Row],[unit_ID]],table_Units[#All],2)</f>
        <v>+/- °C</v>
      </c>
      <c r="F2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2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2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2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215">
        <f t="shared" ca="1" si="54"/>
        <v>0.59</v>
      </c>
      <c r="M2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5" s="3" t="b">
        <f ca="1">VLOOKUP(table_DataQualities[[#This Row],[ID]],dict_zuord_Var_DQ!B:C,2,FALSE)</f>
        <v>0</v>
      </c>
      <c r="O215">
        <f t="shared" ca="1" si="50"/>
        <v>1.3</v>
      </c>
    </row>
    <row r="216" spans="1:15" x14ac:dyDescent="0.45">
      <c r="A216">
        <v>214</v>
      </c>
      <c r="B2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107_Frequenz Hz</v>
      </c>
      <c r="C216">
        <v>100</v>
      </c>
      <c r="D216" s="3" t="str">
        <f>VLOOKUP(table_DataQualities[[#This Row],[unit_ID]],table_Units[#All],2)</f>
        <v>Hz</v>
      </c>
      <c r="F2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0.45100000000000001</v>
      </c>
      <c r="G2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2098</v>
      </c>
      <c r="H2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0.45100000000000001</v>
      </c>
      <c r="I2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2098</v>
      </c>
      <c r="K216">
        <f t="shared" ca="1" si="54"/>
        <v>0.13</v>
      </c>
      <c r="M2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6" s="3" t="b">
        <f ca="1">VLOOKUP(table_DataQualities[[#This Row],[ID]],dict_zuord_Var_DQ!B:C,2,FALSE)</f>
        <v>0</v>
      </c>
      <c r="O216">
        <f t="shared" ca="1" si="50"/>
        <v>4.7</v>
      </c>
    </row>
    <row r="217" spans="1:15" x14ac:dyDescent="0.45">
      <c r="A217">
        <v>215</v>
      </c>
      <c r="B2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107_Bildgröße</v>
      </c>
      <c r="C217">
        <f t="shared" ca="1" si="55"/>
        <v>1000</v>
      </c>
      <c r="D217" s="3" t="str">
        <f ca="1">VLOOKUP(table_DataQualities[[#This Row],[unit_ID]],table_Units[#All],2)</f>
        <v>bit</v>
      </c>
      <c r="F2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36</v>
      </c>
      <c r="G2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5444</v>
      </c>
      <c r="H2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36</v>
      </c>
      <c r="I2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5444</v>
      </c>
      <c r="K217">
        <f t="shared" ca="1" si="54"/>
        <v>0.49</v>
      </c>
      <c r="M2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7" s="3" t="b">
        <f ca="1">VLOOKUP(table_DataQualities[[#This Row],[ID]],dict_zuord_Var_DQ!B:C,2,FALSE)</f>
        <v>0</v>
      </c>
      <c r="O217">
        <f t="shared" ca="1" si="50"/>
        <v>4.2</v>
      </c>
    </row>
    <row r="218" spans="1:15" x14ac:dyDescent="0.45">
      <c r="A218">
        <v>216</v>
      </c>
      <c r="B2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108_Frequenz Hz</v>
      </c>
      <c r="C218">
        <v>100</v>
      </c>
      <c r="D218" s="3" t="str">
        <f>VLOOKUP(table_DataQualities[[#This Row],[unit_ID]],table_Units[#All],2)</f>
        <v>Hz</v>
      </c>
      <c r="F2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0.23499999999999999</v>
      </c>
      <c r="G2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536.79999999999995</v>
      </c>
      <c r="H2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0.23499999999999999</v>
      </c>
      <c r="I2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536.79999999999995</v>
      </c>
      <c r="K218">
        <f t="shared" ca="1" si="54"/>
        <v>0.7</v>
      </c>
      <c r="M2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8" s="3" t="b">
        <f ca="1">VLOOKUP(table_DataQualities[[#This Row],[ID]],dict_zuord_Var_DQ!B:C,2,FALSE)</f>
        <v>0</v>
      </c>
      <c r="O218">
        <f t="shared" ca="1" si="50"/>
        <v>3.5</v>
      </c>
    </row>
    <row r="219" spans="1:15" x14ac:dyDescent="0.45">
      <c r="A219">
        <v>217</v>
      </c>
      <c r="B2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108_Bildgröße</v>
      </c>
      <c r="C219">
        <f t="shared" ref="C219" ca="1" si="57">RANDBETWEEN(5,10)*100</f>
        <v>1000</v>
      </c>
      <c r="D219" s="3" t="str">
        <f ca="1">VLOOKUP(table_DataQualities[[#This Row],[unit_ID]],table_Units[#All],2)</f>
        <v>bit</v>
      </c>
      <c r="F2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14</v>
      </c>
      <c r="G2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5323</v>
      </c>
      <c r="H2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14</v>
      </c>
      <c r="I2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5323</v>
      </c>
      <c r="K219">
        <f t="shared" ca="1" si="54"/>
        <v>0.21</v>
      </c>
      <c r="M2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19" s="3" t="b">
        <f ca="1">VLOOKUP(table_DataQualities[[#This Row],[ID]],dict_zuord_Var_DQ!B:C,2,FALSE)</f>
        <v>0</v>
      </c>
      <c r="O219">
        <f t="shared" ca="1" si="50"/>
        <v>2.4</v>
      </c>
    </row>
    <row r="220" spans="1:15" x14ac:dyDescent="0.45">
      <c r="A220">
        <v>218</v>
      </c>
      <c r="B2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109_Frequenz Hz</v>
      </c>
      <c r="C220">
        <v>100</v>
      </c>
      <c r="D220" s="3" t="str">
        <f>VLOOKUP(table_DataQualities[[#This Row],[unit_ID]],table_Units[#All],2)</f>
        <v>Hz</v>
      </c>
      <c r="F2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0.24</v>
      </c>
      <c r="G2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1148.9000000000001</v>
      </c>
      <c r="H2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0.24</v>
      </c>
      <c r="I2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1148.9000000000001</v>
      </c>
      <c r="K220">
        <f t="shared" ca="1" si="54"/>
        <v>0.62</v>
      </c>
      <c r="M2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0" s="3" t="b">
        <f ca="1">VLOOKUP(table_DataQualities[[#This Row],[ID]],dict_zuord_Var_DQ!B:C,2,FALSE)</f>
        <v>0</v>
      </c>
      <c r="O220">
        <f t="shared" ca="1" si="50"/>
        <v>4</v>
      </c>
    </row>
    <row r="221" spans="1:15" x14ac:dyDescent="0.45">
      <c r="A221">
        <v>219</v>
      </c>
      <c r="B2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109_Temperaturmessgenauigkeit °C</v>
      </c>
      <c r="C221">
        <f t="shared" ca="1" si="55"/>
        <v>500</v>
      </c>
      <c r="D221" s="3" t="str">
        <f ca="1">VLOOKUP(table_DataQualities[[#This Row],[unit_ID]],table_Units[#All],2)</f>
        <v>+/- °C</v>
      </c>
      <c r="F2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</v>
      </c>
      <c r="G2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2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2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</v>
      </c>
      <c r="K221">
        <f t="shared" ca="1" si="54"/>
        <v>0.47</v>
      </c>
      <c r="M2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1" s="3" t="b">
        <f ca="1">VLOOKUP(table_DataQualities[[#This Row],[ID]],dict_zuord_Var_DQ!B:C,2,FALSE)</f>
        <v>0</v>
      </c>
      <c r="O221">
        <f t="shared" ca="1" si="50"/>
        <v>3.6</v>
      </c>
    </row>
    <row r="222" spans="1:15" x14ac:dyDescent="0.45">
      <c r="A222">
        <v>220</v>
      </c>
      <c r="B2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110_Frequenz Hz</v>
      </c>
      <c r="C222">
        <v>100</v>
      </c>
      <c r="D222" s="3" t="str">
        <f>VLOOKUP(table_DataQualities[[#This Row],[unit_ID]],table_Units[#All],2)</f>
        <v>Hz</v>
      </c>
      <c r="F2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0.16200000000000001</v>
      </c>
      <c r="G2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611.79999999999995</v>
      </c>
      <c r="H2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0.16200000000000001</v>
      </c>
      <c r="I2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611.79999999999995</v>
      </c>
      <c r="K222">
        <f t="shared" ca="1" si="54"/>
        <v>0.93</v>
      </c>
      <c r="M2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2" s="3" t="b">
        <f ca="1">VLOOKUP(table_DataQualities[[#This Row],[ID]],dict_zuord_Var_DQ!B:C,2,FALSE)</f>
        <v>0</v>
      </c>
      <c r="O222">
        <f t="shared" ca="1" si="50"/>
        <v>3.1</v>
      </c>
    </row>
    <row r="223" spans="1:15" x14ac:dyDescent="0.45">
      <c r="A223">
        <v>221</v>
      </c>
      <c r="B2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110_Bildgröße</v>
      </c>
      <c r="C223">
        <f t="shared" ca="1" si="55"/>
        <v>1000</v>
      </c>
      <c r="D223" s="3" t="str">
        <f ca="1">VLOOKUP(table_DataQualities[[#This Row],[unit_ID]],table_Units[#All],2)</f>
        <v>bit</v>
      </c>
      <c r="F2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80</v>
      </c>
      <c r="G2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9812</v>
      </c>
      <c r="H2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80</v>
      </c>
      <c r="I2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9812</v>
      </c>
      <c r="K223">
        <f t="shared" ca="1" si="54"/>
        <v>0.76</v>
      </c>
      <c r="M2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3" s="3" t="b">
        <f ca="1">VLOOKUP(table_DataQualities[[#This Row],[ID]],dict_zuord_Var_DQ!B:C,2,FALSE)</f>
        <v>0</v>
      </c>
      <c r="O223">
        <f t="shared" ca="1" si="50"/>
        <v>2.2999999999999998</v>
      </c>
    </row>
    <row r="224" spans="1:15" x14ac:dyDescent="0.45">
      <c r="A224">
        <v>222</v>
      </c>
      <c r="B2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111_Frequenz Hz</v>
      </c>
      <c r="C224">
        <v>100</v>
      </c>
      <c r="D224" s="3" t="str">
        <f>VLOOKUP(table_DataQualities[[#This Row],[unit_ID]],table_Units[#All],2)</f>
        <v>Hz</v>
      </c>
      <c r="F2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0.19800000000000001</v>
      </c>
      <c r="G2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5369.4</v>
      </c>
      <c r="H2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0.19800000000000001</v>
      </c>
      <c r="I2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5369.4</v>
      </c>
      <c r="K224">
        <f t="shared" ca="1" si="54"/>
        <v>0.39</v>
      </c>
      <c r="M2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4" s="3" t="b">
        <f ca="1">VLOOKUP(table_DataQualities[[#This Row],[ID]],dict_zuord_Var_DQ!B:C,2,FALSE)</f>
        <v>0</v>
      </c>
      <c r="O224">
        <f t="shared" ca="1" si="50"/>
        <v>2.7</v>
      </c>
    </row>
    <row r="225" spans="1:15" x14ac:dyDescent="0.45">
      <c r="A225">
        <v>223</v>
      </c>
      <c r="B2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111_Leistungsmessgenauigkeit W</v>
      </c>
      <c r="C225">
        <f ca="1">RANDBETWEEN(5,10)*100</f>
        <v>600</v>
      </c>
      <c r="D225" s="3" t="str">
        <f ca="1">VLOOKUP(table_DataQualities[[#This Row],[unit_ID]],table_Units[#All],2)</f>
        <v>+/- W</v>
      </c>
      <c r="F2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5.54</v>
      </c>
      <c r="G2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4.5999999999999999E-2</v>
      </c>
      <c r="H2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4.5999999999999999E-2</v>
      </c>
      <c r="I2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5.54</v>
      </c>
      <c r="K225">
        <f t="shared" ca="1" si="54"/>
        <v>0.01</v>
      </c>
      <c r="M2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5" s="3" t="b">
        <f ca="1">VLOOKUP(table_DataQualities[[#This Row],[ID]],dict_zuord_Var_DQ!B:C,2,FALSE)</f>
        <v>0</v>
      </c>
      <c r="O225">
        <f t="shared" ca="1" si="50"/>
        <v>4.9000000000000004</v>
      </c>
    </row>
    <row r="226" spans="1:15" x14ac:dyDescent="0.45">
      <c r="A226">
        <v>224</v>
      </c>
      <c r="B2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112_Frequenz Hz</v>
      </c>
      <c r="C226">
        <v>100</v>
      </c>
      <c r="D226" s="3" t="str">
        <f>VLOOKUP(table_DataQualities[[#This Row],[unit_ID]],table_Units[#All],2)</f>
        <v>Hz</v>
      </c>
      <c r="F2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0.32200000000000001</v>
      </c>
      <c r="G2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8065.5</v>
      </c>
      <c r="H2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0.32200000000000001</v>
      </c>
      <c r="I2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8065.5</v>
      </c>
      <c r="K226">
        <f t="shared" ca="1" si="54"/>
        <v>0.24</v>
      </c>
      <c r="M2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6" s="3" t="b">
        <f ca="1">VLOOKUP(table_DataQualities[[#This Row],[ID]],dict_zuord_Var_DQ!B:C,2,FALSE)</f>
        <v>0</v>
      </c>
      <c r="O226">
        <f t="shared" ca="1" si="50"/>
        <v>3.7</v>
      </c>
    </row>
    <row r="227" spans="1:15" x14ac:dyDescent="0.45">
      <c r="A227">
        <v>225</v>
      </c>
      <c r="B2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112_Durchflussmessgenauigkeit cm³/s</v>
      </c>
      <c r="C227">
        <f t="shared" ref="C227:C237" ca="1" si="58">RANDBETWEEN(5,10)*100</f>
        <v>800</v>
      </c>
      <c r="D227" s="3" t="str">
        <f ca="1">VLOOKUP(table_DataQualities[[#This Row],[unit_ID]],table_Units[#All],2)</f>
        <v>+/- cm³/s</v>
      </c>
      <c r="F2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9.1999999999999998E-2</v>
      </c>
      <c r="G2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2.8999999999999998E-3</v>
      </c>
      <c r="H2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2.8999999999999998E-3</v>
      </c>
      <c r="I2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9.1999999999999998E-2</v>
      </c>
      <c r="K227">
        <f t="shared" ca="1" si="54"/>
        <v>0.59</v>
      </c>
      <c r="M2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7" s="3" t="b">
        <f ca="1">VLOOKUP(table_DataQualities[[#This Row],[ID]],dict_zuord_Var_DQ!B:C,2,FALSE)</f>
        <v>0</v>
      </c>
      <c r="O227">
        <f t="shared" ca="1" si="50"/>
        <v>2.6</v>
      </c>
    </row>
    <row r="228" spans="1:15" x14ac:dyDescent="0.45">
      <c r="A228">
        <v>226</v>
      </c>
      <c r="B2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113_Frequenz Hz</v>
      </c>
      <c r="C228">
        <v>100</v>
      </c>
      <c r="D228" s="3" t="str">
        <f>VLOOKUP(table_DataQualities[[#This Row],[unit_ID]],table_Units[#All],2)</f>
        <v>Hz</v>
      </c>
      <c r="F2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0.73099999999999998</v>
      </c>
      <c r="G2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7733.5</v>
      </c>
      <c r="H2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0.73099999999999998</v>
      </c>
      <c r="I2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7733.5</v>
      </c>
      <c r="K228">
        <f t="shared" ca="1" si="54"/>
        <v>0.97</v>
      </c>
      <c r="M2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8" s="3" t="b">
        <f ca="1">VLOOKUP(table_DataQualities[[#This Row],[ID]],dict_zuord_Var_DQ!B:C,2,FALSE)</f>
        <v>0</v>
      </c>
      <c r="O228">
        <f t="shared" ca="1" si="50"/>
        <v>3.3</v>
      </c>
    </row>
    <row r="229" spans="1:15" x14ac:dyDescent="0.45">
      <c r="A229">
        <v>227</v>
      </c>
      <c r="B2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113_Durchflussmessgenauigkeit cm³/s</v>
      </c>
      <c r="C229">
        <f t="shared" ref="C229" ca="1" si="59">RANDBETWEEN(5,10)*100</f>
        <v>800</v>
      </c>
      <c r="D229" s="3" t="str">
        <f ca="1">VLOOKUP(table_DataQualities[[#This Row],[unit_ID]],table_Units[#All],2)</f>
        <v>+/- cm³/s</v>
      </c>
      <c r="F2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0.29699999999999999</v>
      </c>
      <c r="G2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1.8E-3</v>
      </c>
      <c r="H2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1.8E-3</v>
      </c>
      <c r="I2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0.29699999999999999</v>
      </c>
      <c r="K229">
        <f t="shared" ca="1" si="54"/>
        <v>0.8</v>
      </c>
      <c r="M2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29" s="3" t="b">
        <f ca="1">VLOOKUP(table_DataQualities[[#This Row],[ID]],dict_zuord_Var_DQ!B:C,2,FALSE)</f>
        <v>0</v>
      </c>
      <c r="O229">
        <f t="shared" ca="1" si="50"/>
        <v>2.5</v>
      </c>
    </row>
    <row r="230" spans="1:15" x14ac:dyDescent="0.45">
      <c r="A230">
        <v>228</v>
      </c>
      <c r="B2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114_Frequenz Hz</v>
      </c>
      <c r="C230">
        <v>100</v>
      </c>
      <c r="D230" s="3" t="str">
        <f>VLOOKUP(table_DataQualities[[#This Row],[unit_ID]],table_Units[#All],2)</f>
        <v>Hz</v>
      </c>
      <c r="F2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0.11700000000000001</v>
      </c>
      <c r="G2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2512.6</v>
      </c>
      <c r="H2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0.11700000000000001</v>
      </c>
      <c r="I2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2512.6</v>
      </c>
      <c r="K230">
        <f t="shared" ca="1" si="54"/>
        <v>0.53</v>
      </c>
      <c r="M2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0" s="3" t="b">
        <f ca="1">VLOOKUP(table_DataQualities[[#This Row],[ID]],dict_zuord_Var_DQ!B:C,2,FALSE)</f>
        <v>0</v>
      </c>
      <c r="O230">
        <f t="shared" ca="1" si="50"/>
        <v>4.5</v>
      </c>
    </row>
    <row r="231" spans="1:15" x14ac:dyDescent="0.45">
      <c r="A231">
        <v>229</v>
      </c>
      <c r="B2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114_Leistungsmessgenauigkeit W</v>
      </c>
      <c r="C231">
        <f t="shared" ca="1" si="58"/>
        <v>600</v>
      </c>
      <c r="D231" s="3" t="str">
        <f ca="1">VLOOKUP(table_DataQualities[[#This Row],[unit_ID]],table_Units[#All],2)</f>
        <v>+/- W</v>
      </c>
      <c r="F2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3.32</v>
      </c>
      <c r="G2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5.0000000000000001E-3</v>
      </c>
      <c r="H2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5.0000000000000001E-3</v>
      </c>
      <c r="I2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3.32</v>
      </c>
      <c r="K231">
        <f t="shared" ca="1" si="54"/>
        <v>0.52</v>
      </c>
      <c r="M2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1" s="3" t="b">
        <f ca="1">VLOOKUP(table_DataQualities[[#This Row],[ID]],dict_zuord_Var_DQ!B:C,2,FALSE)</f>
        <v>0</v>
      </c>
      <c r="O231">
        <f t="shared" ca="1" si="50"/>
        <v>3.8</v>
      </c>
    </row>
    <row r="232" spans="1:15" x14ac:dyDescent="0.45">
      <c r="A232">
        <v>230</v>
      </c>
      <c r="B2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115_Frequenz Hz</v>
      </c>
      <c r="C232">
        <v>100</v>
      </c>
      <c r="D232" s="3" t="str">
        <f>VLOOKUP(table_DataQualities[[#This Row],[unit_ID]],table_Units[#All],2)</f>
        <v>Hz</v>
      </c>
      <c r="F2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0.95799999999999996</v>
      </c>
      <c r="G2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1425.1</v>
      </c>
      <c r="H2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0.95799999999999996</v>
      </c>
      <c r="I2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1425.1</v>
      </c>
      <c r="K232">
        <f t="shared" ca="1" si="54"/>
        <v>0.45</v>
      </c>
      <c r="M2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2" s="3" t="b">
        <f ca="1">VLOOKUP(table_DataQualities[[#This Row],[ID]],dict_zuord_Var_DQ!B:C,2,FALSE)</f>
        <v>0</v>
      </c>
      <c r="O232">
        <f t="shared" ca="1" si="50"/>
        <v>1.2</v>
      </c>
    </row>
    <row r="233" spans="1:15" x14ac:dyDescent="0.45">
      <c r="A233">
        <v>231</v>
      </c>
      <c r="B2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115_Temperaturmessgenauigkeit °C</v>
      </c>
      <c r="C233">
        <f t="shared" ref="C233" ca="1" si="60">RANDBETWEEN(5,10)*100</f>
        <v>500</v>
      </c>
      <c r="D233" s="3" t="str">
        <f ca="1">VLOOKUP(table_DataQualities[[#This Row],[unit_ID]],table_Units[#All],2)</f>
        <v>+/- °C</v>
      </c>
      <c r="F2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2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</v>
      </c>
      <c r="H2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</v>
      </c>
      <c r="I2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233">
        <f t="shared" ca="1" si="54"/>
        <v>0.88</v>
      </c>
      <c r="M2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3" s="3" t="b">
        <f ca="1">VLOOKUP(table_DataQualities[[#This Row],[ID]],dict_zuord_Var_DQ!B:C,2,FALSE)</f>
        <v>0</v>
      </c>
      <c r="O233">
        <f t="shared" ca="1" si="50"/>
        <v>2.2000000000000002</v>
      </c>
    </row>
    <row r="234" spans="1:15" x14ac:dyDescent="0.45">
      <c r="A234">
        <v>232</v>
      </c>
      <c r="B2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116_Frequenz Hz</v>
      </c>
      <c r="C234">
        <v>100</v>
      </c>
      <c r="D234" s="3" t="str">
        <f>VLOOKUP(table_DataQualities[[#This Row],[unit_ID]],table_Units[#All],2)</f>
        <v>Hz</v>
      </c>
      <c r="F2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0.83699999999999997</v>
      </c>
      <c r="G2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6591.2</v>
      </c>
      <c r="H2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0.83699999999999997</v>
      </c>
      <c r="I2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6591.2</v>
      </c>
      <c r="K234">
        <f t="shared" ca="1" si="54"/>
        <v>0.65</v>
      </c>
      <c r="M2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4" s="3" t="b">
        <f ca="1">VLOOKUP(table_DataQualities[[#This Row],[ID]],dict_zuord_Var_DQ!B:C,2,FALSE)</f>
        <v>0</v>
      </c>
      <c r="O234">
        <f t="shared" ca="1" si="50"/>
        <v>5</v>
      </c>
    </row>
    <row r="235" spans="1:15" x14ac:dyDescent="0.45">
      <c r="A235">
        <v>233</v>
      </c>
      <c r="B2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116_Temperaturmessgenauigkeit °C</v>
      </c>
      <c r="C235">
        <f t="shared" ca="1" si="58"/>
        <v>500</v>
      </c>
      <c r="D235" s="3" t="str">
        <f ca="1">VLOOKUP(table_DataQualities[[#This Row],[unit_ID]],table_Units[#All],2)</f>
        <v>+/- °C</v>
      </c>
      <c r="F2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2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2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2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235">
        <f t="shared" ca="1" si="54"/>
        <v>0.5</v>
      </c>
      <c r="M2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5" s="3" t="b">
        <f ca="1">VLOOKUP(table_DataQualities[[#This Row],[ID]],dict_zuord_Var_DQ!B:C,2,FALSE)</f>
        <v>0</v>
      </c>
      <c r="O235">
        <f t="shared" ca="1" si="50"/>
        <v>1.6</v>
      </c>
    </row>
    <row r="236" spans="1:15" x14ac:dyDescent="0.45">
      <c r="A236">
        <v>234</v>
      </c>
      <c r="B2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117_Frequenz Hz</v>
      </c>
      <c r="C236">
        <v>100</v>
      </c>
      <c r="D236" s="3" t="str">
        <f>VLOOKUP(table_DataQualities[[#This Row],[unit_ID]],table_Units[#All],2)</f>
        <v>Hz</v>
      </c>
      <c r="F2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0.95899999999999996</v>
      </c>
      <c r="G2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1027.9000000000001</v>
      </c>
      <c r="H2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0.95899999999999996</v>
      </c>
      <c r="I2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1027.9000000000001</v>
      </c>
      <c r="K236">
        <f t="shared" ca="1" si="54"/>
        <v>0.55000000000000004</v>
      </c>
      <c r="M2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6" s="3" t="b">
        <f ca="1">VLOOKUP(table_DataQualities[[#This Row],[ID]],dict_zuord_Var_DQ!B:C,2,FALSE)</f>
        <v>0</v>
      </c>
      <c r="O236">
        <f t="shared" ca="1" si="50"/>
        <v>3.3</v>
      </c>
    </row>
    <row r="237" spans="1:15" x14ac:dyDescent="0.45">
      <c r="A237">
        <v>235</v>
      </c>
      <c r="B2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117_Durchflussmessgenauigkeit cm³/s</v>
      </c>
      <c r="C237">
        <f t="shared" ca="1" si="58"/>
        <v>800</v>
      </c>
      <c r="D237" s="3" t="str">
        <f ca="1">VLOOKUP(table_DataQualities[[#This Row],[unit_ID]],table_Units[#All],2)</f>
        <v>+/- cm³/s</v>
      </c>
      <c r="F2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0.23899999999999999</v>
      </c>
      <c r="G2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8.2000000000000007E-3</v>
      </c>
      <c r="H2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8.2000000000000007E-3</v>
      </c>
      <c r="I2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0.23899999999999999</v>
      </c>
      <c r="K237">
        <f t="shared" ca="1" si="54"/>
        <v>0.32</v>
      </c>
      <c r="M2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7" s="3" t="b">
        <f ca="1">VLOOKUP(table_DataQualities[[#This Row],[ID]],dict_zuord_Var_DQ!B:C,2,FALSE)</f>
        <v>0</v>
      </c>
      <c r="O237">
        <f t="shared" ca="1" si="50"/>
        <v>2.8</v>
      </c>
    </row>
    <row r="238" spans="1:15" x14ac:dyDescent="0.45">
      <c r="A238">
        <v>236</v>
      </c>
      <c r="B2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118_Frequenz Hz</v>
      </c>
      <c r="C238">
        <v>100</v>
      </c>
      <c r="D238" s="3" t="str">
        <f>VLOOKUP(table_DataQualities[[#This Row],[unit_ID]],table_Units[#All],2)</f>
        <v>Hz</v>
      </c>
      <c r="F2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0.104</v>
      </c>
      <c r="G2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6721.3</v>
      </c>
      <c r="H2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0.104</v>
      </c>
      <c r="I2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6721.3</v>
      </c>
      <c r="K238">
        <f t="shared" ca="1" si="54"/>
        <v>0.88</v>
      </c>
      <c r="M2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8" s="3" t="b">
        <f ca="1">VLOOKUP(table_DataQualities[[#This Row],[ID]],dict_zuord_Var_DQ!B:C,2,FALSE)</f>
        <v>0</v>
      </c>
      <c r="O238">
        <f t="shared" ca="1" si="50"/>
        <v>3.8</v>
      </c>
    </row>
    <row r="239" spans="1:15" x14ac:dyDescent="0.45">
      <c r="A239">
        <v>237</v>
      </c>
      <c r="B2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118_Längenmessgenauigkeit mm</v>
      </c>
      <c r="C239">
        <f ca="1">RANDBETWEEN(5,10)*100</f>
        <v>900</v>
      </c>
      <c r="D239" s="3" t="str">
        <f ca="1">VLOOKUP(table_DataQualities[[#This Row],[unit_ID]],table_Units[#All],2)</f>
        <v>+/- mm</v>
      </c>
      <c r="F2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2.39</v>
      </c>
      <c r="G2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4.7E-2</v>
      </c>
      <c r="H2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4.7E-2</v>
      </c>
      <c r="I2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2.39</v>
      </c>
      <c r="K239">
        <f t="shared" ca="1" si="54"/>
        <v>0.44</v>
      </c>
      <c r="M2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39" s="3" t="b">
        <f ca="1">VLOOKUP(table_DataQualities[[#This Row],[ID]],dict_zuord_Var_DQ!B:C,2,FALSE)</f>
        <v>0</v>
      </c>
      <c r="O239">
        <f t="shared" ca="1" si="50"/>
        <v>4.4000000000000004</v>
      </c>
    </row>
    <row r="240" spans="1:15" x14ac:dyDescent="0.45">
      <c r="A240">
        <v>238</v>
      </c>
      <c r="B2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119_Frequenz Hz</v>
      </c>
      <c r="C240">
        <v>100</v>
      </c>
      <c r="D240" s="3" t="str">
        <f>VLOOKUP(table_DataQualities[[#This Row],[unit_ID]],table_Units[#All],2)</f>
        <v>Hz</v>
      </c>
      <c r="F2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0.183</v>
      </c>
      <c r="G2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2756.8</v>
      </c>
      <c r="H2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0.183</v>
      </c>
      <c r="I2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2756.8</v>
      </c>
      <c r="K240">
        <f t="shared" ca="1" si="54"/>
        <v>0.61</v>
      </c>
      <c r="M2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0" s="3" t="b">
        <f ca="1">VLOOKUP(table_DataQualities[[#This Row],[ID]],dict_zuord_Var_DQ!B:C,2,FALSE)</f>
        <v>0</v>
      </c>
      <c r="O240">
        <f t="shared" ca="1" si="50"/>
        <v>3.7</v>
      </c>
    </row>
    <row r="241" spans="1:15" x14ac:dyDescent="0.45">
      <c r="A241">
        <v>239</v>
      </c>
      <c r="B2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119_Geschwindigkeitsmessgenauigkeit mm/s</v>
      </c>
      <c r="C241">
        <f t="shared" ref="C241:C251" ca="1" si="61">RANDBETWEEN(5,10)*100</f>
        <v>700</v>
      </c>
      <c r="D241" s="3" t="str">
        <f ca="1">VLOOKUP(table_DataQualities[[#This Row],[unit_ID]],table_Units[#All],2)</f>
        <v>+/- mm/s</v>
      </c>
      <c r="F2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9.3000000000000007</v>
      </c>
      <c r="G2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0.78</v>
      </c>
      <c r="H2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</v>
      </c>
      <c r="I2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9.3000000000000007</v>
      </c>
      <c r="K241">
        <f t="shared" ca="1" si="54"/>
        <v>0.43</v>
      </c>
      <c r="M2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1" s="3" t="b">
        <f ca="1">VLOOKUP(table_DataQualities[[#This Row],[ID]],dict_zuord_Var_DQ!B:C,2,FALSE)</f>
        <v>0</v>
      </c>
      <c r="O241">
        <f t="shared" ca="1" si="50"/>
        <v>1.4</v>
      </c>
    </row>
    <row r="242" spans="1:15" x14ac:dyDescent="0.45">
      <c r="A242">
        <v>240</v>
      </c>
      <c r="B2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120_Frequenz Hz</v>
      </c>
      <c r="C242">
        <v>100</v>
      </c>
      <c r="D242" s="3" t="str">
        <f>VLOOKUP(table_DataQualities[[#This Row],[unit_ID]],table_Units[#All],2)</f>
        <v>Hz</v>
      </c>
      <c r="F2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0.19600000000000001</v>
      </c>
      <c r="G2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995.6</v>
      </c>
      <c r="H2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0.19600000000000001</v>
      </c>
      <c r="I2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995.6</v>
      </c>
      <c r="K242">
        <f t="shared" ca="1" si="54"/>
        <v>0.24</v>
      </c>
      <c r="M2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2" s="3" t="b">
        <f ca="1">VLOOKUP(table_DataQualities[[#This Row],[ID]],dict_zuord_Var_DQ!B:C,2,FALSE)</f>
        <v>0</v>
      </c>
      <c r="O242">
        <f t="shared" ca="1" si="50"/>
        <v>4.3</v>
      </c>
    </row>
    <row r="243" spans="1:15" x14ac:dyDescent="0.45">
      <c r="A243">
        <v>241</v>
      </c>
      <c r="B2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120_Bildgröße</v>
      </c>
      <c r="C243">
        <f t="shared" ref="C243" ca="1" si="62">RANDBETWEEN(5,10)*100</f>
        <v>1000</v>
      </c>
      <c r="D243" s="3" t="str">
        <f ca="1">VLOOKUP(table_DataQualities[[#This Row],[unit_ID]],table_Units[#All],2)</f>
        <v>bit</v>
      </c>
      <c r="F2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98</v>
      </c>
      <c r="G2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1405</v>
      </c>
      <c r="H2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98</v>
      </c>
      <c r="I2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1405</v>
      </c>
      <c r="K243">
        <f t="shared" ca="1" si="54"/>
        <v>0.89</v>
      </c>
      <c r="M2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3" s="3" t="b">
        <f ca="1">VLOOKUP(table_DataQualities[[#This Row],[ID]],dict_zuord_Var_DQ!B:C,2,FALSE)</f>
        <v>0</v>
      </c>
      <c r="O243">
        <f t="shared" ca="1" si="50"/>
        <v>1.2</v>
      </c>
    </row>
    <row r="244" spans="1:15" x14ac:dyDescent="0.45">
      <c r="A244">
        <v>242</v>
      </c>
      <c r="B2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121_Frequenz Hz</v>
      </c>
      <c r="C244">
        <v>100</v>
      </c>
      <c r="D244" s="3" t="str">
        <f>VLOOKUP(table_DataQualities[[#This Row],[unit_ID]],table_Units[#All],2)</f>
        <v>Hz</v>
      </c>
      <c r="F2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1.9E-2</v>
      </c>
      <c r="G2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9504.9</v>
      </c>
      <c r="H2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1.9E-2</v>
      </c>
      <c r="I2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9504.9</v>
      </c>
      <c r="K244">
        <f t="shared" ca="1" si="54"/>
        <v>0.37</v>
      </c>
      <c r="M2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4" s="3" t="b">
        <f ca="1">VLOOKUP(table_DataQualities[[#This Row],[ID]],dict_zuord_Var_DQ!B:C,2,FALSE)</f>
        <v>0</v>
      </c>
      <c r="O244">
        <f t="shared" ca="1" si="50"/>
        <v>4.3</v>
      </c>
    </row>
    <row r="245" spans="1:15" x14ac:dyDescent="0.45">
      <c r="A245">
        <v>243</v>
      </c>
      <c r="B2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121_Bildgröße</v>
      </c>
      <c r="C245">
        <f t="shared" ca="1" si="61"/>
        <v>1000</v>
      </c>
      <c r="D245" s="3" t="str">
        <f ca="1">VLOOKUP(table_DataQualities[[#This Row],[unit_ID]],table_Units[#All],2)</f>
        <v>bit</v>
      </c>
      <c r="F2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20</v>
      </c>
      <c r="G2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7300</v>
      </c>
      <c r="H2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20</v>
      </c>
      <c r="I2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7300</v>
      </c>
      <c r="K245">
        <f t="shared" ca="1" si="54"/>
        <v>0.85</v>
      </c>
      <c r="M2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5" s="3" t="b">
        <f ca="1">VLOOKUP(table_DataQualities[[#This Row],[ID]],dict_zuord_Var_DQ!B:C,2,FALSE)</f>
        <v>0</v>
      </c>
      <c r="O245">
        <f t="shared" ca="1" si="50"/>
        <v>3.1</v>
      </c>
    </row>
    <row r="246" spans="1:15" x14ac:dyDescent="0.45">
      <c r="A246">
        <v>244</v>
      </c>
      <c r="B2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122_Frequenz Hz</v>
      </c>
      <c r="C246">
        <v>100</v>
      </c>
      <c r="D246" s="3" t="str">
        <f>VLOOKUP(table_DataQualities[[#This Row],[unit_ID]],table_Units[#All],2)</f>
        <v>Hz</v>
      </c>
      <c r="F2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0.71799999999999997</v>
      </c>
      <c r="G2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1680</v>
      </c>
      <c r="H2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0.71799999999999997</v>
      </c>
      <c r="I2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1680</v>
      </c>
      <c r="K246">
        <f t="shared" ca="1" si="54"/>
        <v>0.94</v>
      </c>
      <c r="M2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6" s="3" t="b">
        <f ca="1">VLOOKUP(table_DataQualities[[#This Row],[ID]],dict_zuord_Var_DQ!B:C,2,FALSE)</f>
        <v>0</v>
      </c>
      <c r="O246">
        <f t="shared" ca="1" si="50"/>
        <v>4.5999999999999996</v>
      </c>
    </row>
    <row r="247" spans="1:15" x14ac:dyDescent="0.45">
      <c r="A247">
        <v>245</v>
      </c>
      <c r="B2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122_Längenmessgenauigkeit mm</v>
      </c>
      <c r="C247">
        <f t="shared" ref="C247" ca="1" si="63">RANDBETWEEN(5,10)*100</f>
        <v>900</v>
      </c>
      <c r="D247" s="3" t="str">
        <f ca="1">VLOOKUP(table_DataQualities[[#This Row],[unit_ID]],table_Units[#All],2)</f>
        <v>+/- mm</v>
      </c>
      <c r="F2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2.4700000000000002</v>
      </c>
      <c r="G2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5.6000000000000001E-2</v>
      </c>
      <c r="H2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5.6000000000000001E-2</v>
      </c>
      <c r="I2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2.4700000000000002</v>
      </c>
      <c r="K247">
        <f t="shared" ca="1" si="54"/>
        <v>0.65</v>
      </c>
      <c r="M2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7" s="3" t="b">
        <f ca="1">VLOOKUP(table_DataQualities[[#This Row],[ID]],dict_zuord_Var_DQ!B:C,2,FALSE)</f>
        <v>0</v>
      </c>
      <c r="O247">
        <f t="shared" ca="1" si="50"/>
        <v>3.2</v>
      </c>
    </row>
    <row r="248" spans="1:15" x14ac:dyDescent="0.45">
      <c r="A248">
        <v>246</v>
      </c>
      <c r="B2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123_Frequenz Hz</v>
      </c>
      <c r="C248">
        <v>100</v>
      </c>
      <c r="D248" s="3" t="str">
        <f>VLOOKUP(table_DataQualities[[#This Row],[unit_ID]],table_Units[#All],2)</f>
        <v>Hz</v>
      </c>
      <c r="F2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0.56399999999999995</v>
      </c>
      <c r="G2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7341</v>
      </c>
      <c r="H2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0.56399999999999995</v>
      </c>
      <c r="I2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7341</v>
      </c>
      <c r="K248">
        <f t="shared" ca="1" si="54"/>
        <v>0.68</v>
      </c>
      <c r="M2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8" s="3" t="b">
        <f ca="1">VLOOKUP(table_DataQualities[[#This Row],[ID]],dict_zuord_Var_DQ!B:C,2,FALSE)</f>
        <v>0</v>
      </c>
      <c r="O248">
        <f t="shared" ca="1" si="50"/>
        <v>3.1</v>
      </c>
    </row>
    <row r="249" spans="1:15" x14ac:dyDescent="0.45">
      <c r="A249">
        <v>247</v>
      </c>
      <c r="B2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123_Durchflussmessgenauigkeit cm³/s</v>
      </c>
      <c r="C249">
        <f t="shared" ca="1" si="61"/>
        <v>800</v>
      </c>
      <c r="D249" s="3" t="str">
        <f ca="1">VLOOKUP(table_DataQualities[[#This Row],[unit_ID]],table_Units[#All],2)</f>
        <v>+/- cm³/s</v>
      </c>
      <c r="F2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0.16600000000000001</v>
      </c>
      <c r="G2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3.3E-3</v>
      </c>
      <c r="H2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3.3E-3</v>
      </c>
      <c r="I2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0.16600000000000001</v>
      </c>
      <c r="K249">
        <f t="shared" ca="1" si="54"/>
        <v>0.82</v>
      </c>
      <c r="M2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49" s="3" t="b">
        <f ca="1">VLOOKUP(table_DataQualities[[#This Row],[ID]],dict_zuord_Var_DQ!B:C,2,FALSE)</f>
        <v>0</v>
      </c>
      <c r="O249">
        <f t="shared" ca="1" si="50"/>
        <v>2.2999999999999998</v>
      </c>
    </row>
    <row r="250" spans="1:15" x14ac:dyDescent="0.45">
      <c r="A250">
        <v>248</v>
      </c>
      <c r="B2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124_Frequenz Hz</v>
      </c>
      <c r="C250">
        <v>100</v>
      </c>
      <c r="D250" s="3" t="str">
        <f>VLOOKUP(table_DataQualities[[#This Row],[unit_ID]],table_Units[#All],2)</f>
        <v>Hz</v>
      </c>
      <c r="F2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0.34899999999999998</v>
      </c>
      <c r="G2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1552.1</v>
      </c>
      <c r="H2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0.34899999999999998</v>
      </c>
      <c r="I2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1552.1</v>
      </c>
      <c r="K250">
        <f t="shared" ca="1" si="54"/>
        <v>0.54</v>
      </c>
      <c r="M2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0" s="3" t="b">
        <f ca="1">VLOOKUP(table_DataQualities[[#This Row],[ID]],dict_zuord_Var_DQ!B:C,2,FALSE)</f>
        <v>0</v>
      </c>
      <c r="O250">
        <f t="shared" ca="1" si="50"/>
        <v>4.0999999999999996</v>
      </c>
    </row>
    <row r="251" spans="1:15" x14ac:dyDescent="0.45">
      <c r="A251">
        <v>249</v>
      </c>
      <c r="B2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124_Durchflussmessgenauigkeit cm³/s</v>
      </c>
      <c r="C251">
        <f t="shared" ca="1" si="61"/>
        <v>800</v>
      </c>
      <c r="D251" s="3" t="str">
        <f ca="1">VLOOKUP(table_DataQualities[[#This Row],[unit_ID]],table_Units[#All],2)</f>
        <v>+/- cm³/s</v>
      </c>
      <c r="F2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0.93500000000000005</v>
      </c>
      <c r="G2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4.7999999999999996E-3</v>
      </c>
      <c r="H2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4.7999999999999996E-3</v>
      </c>
      <c r="I2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0.93500000000000005</v>
      </c>
      <c r="K251">
        <f t="shared" ca="1" si="54"/>
        <v>0.78</v>
      </c>
      <c r="M2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1" s="3" t="b">
        <f ca="1">VLOOKUP(table_DataQualities[[#This Row],[ID]],dict_zuord_Var_DQ!B:C,2,FALSE)</f>
        <v>0</v>
      </c>
      <c r="O251">
        <f t="shared" ca="1" si="50"/>
        <v>1.6</v>
      </c>
    </row>
    <row r="252" spans="1:15" x14ac:dyDescent="0.45">
      <c r="A252">
        <v>250</v>
      </c>
      <c r="B2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125_Frequenz Hz</v>
      </c>
      <c r="C252">
        <v>100</v>
      </c>
      <c r="D252" s="3" t="str">
        <f>VLOOKUP(table_DataQualities[[#This Row],[unit_ID]],table_Units[#All],2)</f>
        <v>Hz</v>
      </c>
      <c r="F2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0.83899999999999997</v>
      </c>
      <c r="G2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3547.5</v>
      </c>
      <c r="H2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0.83899999999999997</v>
      </c>
      <c r="I2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3547.5</v>
      </c>
      <c r="K252">
        <f t="shared" ca="1" si="54"/>
        <v>0.03</v>
      </c>
      <c r="M2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2" s="3" t="b">
        <f ca="1">VLOOKUP(table_DataQualities[[#This Row],[ID]],dict_zuord_Var_DQ!B:C,2,FALSE)</f>
        <v>0</v>
      </c>
      <c r="O252">
        <f t="shared" ca="1" si="50"/>
        <v>4.8</v>
      </c>
    </row>
    <row r="253" spans="1:15" x14ac:dyDescent="0.45">
      <c r="A253">
        <v>251</v>
      </c>
      <c r="B2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125_Leistungsmessgenauigkeit W</v>
      </c>
      <c r="C253">
        <f ca="1">RANDBETWEEN(5,10)*100</f>
        <v>600</v>
      </c>
      <c r="D253" s="3" t="str">
        <f ca="1">VLOOKUP(table_DataQualities[[#This Row],[unit_ID]],table_Units[#All],2)</f>
        <v>+/- W</v>
      </c>
      <c r="F2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7.54</v>
      </c>
      <c r="G2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1.4999999999999999E-2</v>
      </c>
      <c r="H2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1.4999999999999999E-2</v>
      </c>
      <c r="I2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7.54</v>
      </c>
      <c r="K253">
        <f t="shared" ca="1" si="54"/>
        <v>0.17</v>
      </c>
      <c r="M2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3" s="3" t="b">
        <f ca="1">VLOOKUP(table_DataQualities[[#This Row],[ID]],dict_zuord_Var_DQ!B:C,2,FALSE)</f>
        <v>0</v>
      </c>
      <c r="O253">
        <f t="shared" ca="1" si="50"/>
        <v>4.8</v>
      </c>
    </row>
    <row r="254" spans="1:15" x14ac:dyDescent="0.45">
      <c r="A254">
        <v>252</v>
      </c>
      <c r="B2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126_Frequenz Hz</v>
      </c>
      <c r="C254">
        <v>100</v>
      </c>
      <c r="D254" s="3" t="str">
        <f>VLOOKUP(table_DataQualities[[#This Row],[unit_ID]],table_Units[#All],2)</f>
        <v>Hz</v>
      </c>
      <c r="F2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5.8000000000000003E-2</v>
      </c>
      <c r="G2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8946.9</v>
      </c>
      <c r="H2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5.8000000000000003E-2</v>
      </c>
      <c r="I2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8946.9</v>
      </c>
      <c r="K254">
        <f t="shared" ca="1" si="54"/>
        <v>0.03</v>
      </c>
      <c r="M2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4" s="3" t="b">
        <f ca="1">VLOOKUP(table_DataQualities[[#This Row],[ID]],dict_zuord_Var_DQ!B:C,2,FALSE)</f>
        <v>0</v>
      </c>
      <c r="O254">
        <f t="shared" ca="1" si="50"/>
        <v>4.0999999999999996</v>
      </c>
    </row>
    <row r="255" spans="1:15" x14ac:dyDescent="0.45">
      <c r="A255">
        <v>253</v>
      </c>
      <c r="B2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126_Durchflussmessgenauigkeit cm³/s</v>
      </c>
      <c r="C255">
        <f t="shared" ref="C255:C265" ca="1" si="64">RANDBETWEEN(5,10)*100</f>
        <v>800</v>
      </c>
      <c r="D255" s="3" t="str">
        <f ca="1">VLOOKUP(table_DataQualities[[#This Row],[unit_ID]],table_Units[#All],2)</f>
        <v>+/- cm³/s</v>
      </c>
      <c r="F2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0.97499999999999998</v>
      </c>
      <c r="G2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9.5999999999999992E-3</v>
      </c>
      <c r="H2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9.5999999999999992E-3</v>
      </c>
      <c r="I2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0.97499999999999998</v>
      </c>
      <c r="K255">
        <f t="shared" ca="1" si="54"/>
        <v>0.04</v>
      </c>
      <c r="M2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5" s="3" t="b">
        <f ca="1">VLOOKUP(table_DataQualities[[#This Row],[ID]],dict_zuord_Var_DQ!B:C,2,FALSE)</f>
        <v>0</v>
      </c>
      <c r="O255">
        <f t="shared" ca="1" si="50"/>
        <v>4.7</v>
      </c>
    </row>
    <row r="256" spans="1:15" x14ac:dyDescent="0.45">
      <c r="A256">
        <v>254</v>
      </c>
      <c r="B2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127_Frequenz Hz</v>
      </c>
      <c r="C256">
        <v>100</v>
      </c>
      <c r="D256" s="3" t="str">
        <f>VLOOKUP(table_DataQualities[[#This Row],[unit_ID]],table_Units[#All],2)</f>
        <v>Hz</v>
      </c>
      <c r="F2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0.53800000000000003</v>
      </c>
      <c r="G2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7135.2</v>
      </c>
      <c r="H2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0.53800000000000003</v>
      </c>
      <c r="I2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7135.2</v>
      </c>
      <c r="K256">
        <f t="shared" ca="1" si="54"/>
        <v>0.13</v>
      </c>
      <c r="M2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6" s="3" t="b">
        <f ca="1">VLOOKUP(table_DataQualities[[#This Row],[ID]],dict_zuord_Var_DQ!B:C,2,FALSE)</f>
        <v>0</v>
      </c>
      <c r="O256">
        <f t="shared" ca="1" si="50"/>
        <v>5</v>
      </c>
    </row>
    <row r="257" spans="1:15" x14ac:dyDescent="0.45">
      <c r="A257">
        <v>255</v>
      </c>
      <c r="B2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127_Leistungsmessgenauigkeit W</v>
      </c>
      <c r="C257">
        <f t="shared" ref="C257" ca="1" si="65">RANDBETWEEN(5,10)*100</f>
        <v>600</v>
      </c>
      <c r="D257" s="3" t="str">
        <f ca="1">VLOOKUP(table_DataQualities[[#This Row],[unit_ID]],table_Units[#All],2)</f>
        <v>+/- W</v>
      </c>
      <c r="F2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6.65</v>
      </c>
      <c r="G2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1.7000000000000001E-2</v>
      </c>
      <c r="H2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1.7000000000000001E-2</v>
      </c>
      <c r="I2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6.65</v>
      </c>
      <c r="K257">
        <f t="shared" ca="1" si="54"/>
        <v>0.63</v>
      </c>
      <c r="M2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7" s="3" t="b">
        <f ca="1">VLOOKUP(table_DataQualities[[#This Row],[ID]],dict_zuord_Var_DQ!B:C,2,FALSE)</f>
        <v>0</v>
      </c>
      <c r="O257">
        <f t="shared" ca="1" si="50"/>
        <v>4.4000000000000004</v>
      </c>
    </row>
    <row r="258" spans="1:15" x14ac:dyDescent="0.45">
      <c r="A258">
        <v>256</v>
      </c>
      <c r="B2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128_Frequenz Hz</v>
      </c>
      <c r="C258">
        <v>100</v>
      </c>
      <c r="D258" s="3" t="str">
        <f>VLOOKUP(table_DataQualities[[#This Row],[unit_ID]],table_Units[#All],2)</f>
        <v>Hz</v>
      </c>
      <c r="F2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0.223</v>
      </c>
      <c r="G2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6273.6</v>
      </c>
      <c r="H2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0.223</v>
      </c>
      <c r="I2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6273.6</v>
      </c>
      <c r="K258">
        <f t="shared" ca="1" si="54"/>
        <v>0.79</v>
      </c>
      <c r="M2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8" s="3" t="b">
        <f ca="1">VLOOKUP(table_DataQualities[[#This Row],[ID]],dict_zuord_Var_DQ!B:C,2,FALSE)</f>
        <v>0</v>
      </c>
      <c r="O258">
        <f t="shared" ca="1" si="50"/>
        <v>3.7</v>
      </c>
    </row>
    <row r="259" spans="1:15" x14ac:dyDescent="0.45">
      <c r="A259">
        <v>257</v>
      </c>
      <c r="B2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128_Durchflussmessgenauigkeit cm³/s</v>
      </c>
      <c r="C259">
        <f t="shared" ca="1" si="64"/>
        <v>800</v>
      </c>
      <c r="D259" s="3" t="str">
        <f ca="1">VLOOKUP(table_DataQualities[[#This Row],[unit_ID]],table_Units[#All],2)</f>
        <v>+/- cm³/s</v>
      </c>
      <c r="F2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0.14199999999999999</v>
      </c>
      <c r="G2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1.5E-3</v>
      </c>
      <c r="H2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1.5E-3</v>
      </c>
      <c r="I2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0.14199999999999999</v>
      </c>
      <c r="K259">
        <f t="shared" ca="1" si="54"/>
        <v>0.73</v>
      </c>
      <c r="M2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59" s="3" t="b">
        <f ca="1">VLOOKUP(table_DataQualities[[#This Row],[ID]],dict_zuord_Var_DQ!B:C,2,FALSE)</f>
        <v>0</v>
      </c>
      <c r="O259">
        <f t="shared" ref="O259:O322" ca="1" si="66">RANDBETWEEN(12,50)/10</f>
        <v>4.0999999999999996</v>
      </c>
    </row>
    <row r="260" spans="1:15" x14ac:dyDescent="0.45">
      <c r="A260">
        <v>258</v>
      </c>
      <c r="B2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129_Frequenz Hz</v>
      </c>
      <c r="C260">
        <v>100</v>
      </c>
      <c r="D260" s="3" t="str">
        <f>VLOOKUP(table_DataQualities[[#This Row],[unit_ID]],table_Units[#All],2)</f>
        <v>Hz</v>
      </c>
      <c r="F2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0.79100000000000004</v>
      </c>
      <c r="G2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4847</v>
      </c>
      <c r="H2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0.79100000000000004</v>
      </c>
      <c r="I2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4847</v>
      </c>
      <c r="K260">
        <f t="shared" ca="1" si="54"/>
        <v>0.85</v>
      </c>
      <c r="M2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0" s="3" t="b">
        <f ca="1">VLOOKUP(table_DataQualities[[#This Row],[ID]],dict_zuord_Var_DQ!B:C,2,FALSE)</f>
        <v>0</v>
      </c>
      <c r="O260">
        <f t="shared" ca="1" si="66"/>
        <v>3.1</v>
      </c>
    </row>
    <row r="261" spans="1:15" x14ac:dyDescent="0.45">
      <c r="A261">
        <v>259</v>
      </c>
      <c r="B2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129_Leistungsmessgenauigkeit W</v>
      </c>
      <c r="C261">
        <f t="shared" ref="C261" ca="1" si="67">RANDBETWEEN(5,10)*100</f>
        <v>600</v>
      </c>
      <c r="D261" s="3" t="str">
        <f ca="1">VLOOKUP(table_DataQualities[[#This Row],[unit_ID]],table_Units[#All],2)</f>
        <v>+/- W</v>
      </c>
      <c r="F2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4.58</v>
      </c>
      <c r="G2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4.3999999999999997E-2</v>
      </c>
      <c r="H2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4.3999999999999997E-2</v>
      </c>
      <c r="I2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4.58</v>
      </c>
      <c r="K261">
        <f t="shared" ca="1" si="54"/>
        <v>0.95</v>
      </c>
      <c r="M2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1" s="3" t="b">
        <f ca="1">VLOOKUP(table_DataQualities[[#This Row],[ID]],dict_zuord_Var_DQ!B:C,2,FALSE)</f>
        <v>0</v>
      </c>
      <c r="O261">
        <f t="shared" ca="1" si="66"/>
        <v>3.6</v>
      </c>
    </row>
    <row r="262" spans="1:15" x14ac:dyDescent="0.45">
      <c r="A262">
        <v>260</v>
      </c>
      <c r="B2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130_Frequenz Hz</v>
      </c>
      <c r="C262">
        <v>100</v>
      </c>
      <c r="D262" s="3" t="str">
        <f>VLOOKUP(table_DataQualities[[#This Row],[unit_ID]],table_Units[#All],2)</f>
        <v>Hz</v>
      </c>
      <c r="F2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0.55100000000000005</v>
      </c>
      <c r="G2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4333.5</v>
      </c>
      <c r="H2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0.55100000000000005</v>
      </c>
      <c r="I2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4333.5</v>
      </c>
      <c r="K262">
        <f t="shared" ca="1" si="54"/>
        <v>0.66</v>
      </c>
      <c r="M2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2" s="3" t="b">
        <f ca="1">VLOOKUP(table_DataQualities[[#This Row],[ID]],dict_zuord_Var_DQ!B:C,2,FALSE)</f>
        <v>0</v>
      </c>
      <c r="O262">
        <f t="shared" ca="1" si="66"/>
        <v>3.4</v>
      </c>
    </row>
    <row r="263" spans="1:15" x14ac:dyDescent="0.45">
      <c r="A263">
        <v>261</v>
      </c>
      <c r="B2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130_Geschwindigkeitsmessgenauigkeit mm/s</v>
      </c>
      <c r="C263">
        <f t="shared" ca="1" si="64"/>
        <v>700</v>
      </c>
      <c r="D263" s="3" t="str">
        <f ca="1">VLOOKUP(table_DataQualities[[#This Row],[unit_ID]],table_Units[#All],2)</f>
        <v>+/- mm/s</v>
      </c>
      <c r="F2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2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2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2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263">
        <f t="shared" ca="1" si="54"/>
        <v>0.71</v>
      </c>
      <c r="M2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3" s="3" t="b">
        <f ca="1">VLOOKUP(table_DataQualities[[#This Row],[ID]],dict_zuord_Var_DQ!B:C,2,FALSE)</f>
        <v>0</v>
      </c>
      <c r="O263">
        <f t="shared" ca="1" si="66"/>
        <v>5</v>
      </c>
    </row>
    <row r="264" spans="1:15" x14ac:dyDescent="0.45">
      <c r="A264">
        <v>262</v>
      </c>
      <c r="B2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131_Frequenz Hz</v>
      </c>
      <c r="C264">
        <v>100</v>
      </c>
      <c r="D264" s="3" t="str">
        <f>VLOOKUP(table_DataQualities[[#This Row],[unit_ID]],table_Units[#All],2)</f>
        <v>Hz</v>
      </c>
      <c r="F2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0.216</v>
      </c>
      <c r="G2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7135.8</v>
      </c>
      <c r="H2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0.216</v>
      </c>
      <c r="I2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7135.8</v>
      </c>
      <c r="K264">
        <f t="shared" ca="1" si="54"/>
        <v>0.14000000000000001</v>
      </c>
      <c r="M2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4" s="3" t="b">
        <f ca="1">VLOOKUP(table_DataQualities[[#This Row],[ID]],dict_zuord_Var_DQ!B:C,2,FALSE)</f>
        <v>0</v>
      </c>
      <c r="O264">
        <f t="shared" ca="1" si="66"/>
        <v>2.9</v>
      </c>
    </row>
    <row r="265" spans="1:15" x14ac:dyDescent="0.45">
      <c r="A265">
        <v>263</v>
      </c>
      <c r="B2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131_Durchflussmessgenauigkeit cm³/s</v>
      </c>
      <c r="C265">
        <f t="shared" ca="1" si="64"/>
        <v>800</v>
      </c>
      <c r="D265" s="3" t="str">
        <f ca="1">VLOOKUP(table_DataQualities[[#This Row],[unit_ID]],table_Units[#All],2)</f>
        <v>+/- cm³/s</v>
      </c>
      <c r="F2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0.71899999999999997</v>
      </c>
      <c r="G2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5.1000000000000004E-3</v>
      </c>
      <c r="H2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5.1000000000000004E-3</v>
      </c>
      <c r="I2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0.71899999999999997</v>
      </c>
      <c r="K265">
        <f t="shared" ca="1" si="54"/>
        <v>0.78</v>
      </c>
      <c r="M2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5" s="3" t="b">
        <f ca="1">VLOOKUP(table_DataQualities[[#This Row],[ID]],dict_zuord_Var_DQ!B:C,2,FALSE)</f>
        <v>0</v>
      </c>
      <c r="O265">
        <f t="shared" ca="1" si="66"/>
        <v>4.2</v>
      </c>
    </row>
    <row r="266" spans="1:15" x14ac:dyDescent="0.45">
      <c r="A266">
        <v>264</v>
      </c>
      <c r="B2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132_Frequenz Hz</v>
      </c>
      <c r="C266">
        <v>100</v>
      </c>
      <c r="D266" s="3" t="str">
        <f>VLOOKUP(table_DataQualities[[#This Row],[unit_ID]],table_Units[#All],2)</f>
        <v>Hz</v>
      </c>
      <c r="F2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0.74299999999999999</v>
      </c>
      <c r="G2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5813.9</v>
      </c>
      <c r="H2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0.74299999999999999</v>
      </c>
      <c r="I2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5813.9</v>
      </c>
      <c r="K266">
        <f t="shared" ca="1" si="54"/>
        <v>0.32</v>
      </c>
      <c r="M2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6" s="3" t="b">
        <f ca="1">VLOOKUP(table_DataQualities[[#This Row],[ID]],dict_zuord_Var_DQ!B:C,2,FALSE)</f>
        <v>0</v>
      </c>
      <c r="O266">
        <f t="shared" ca="1" si="66"/>
        <v>3.8</v>
      </c>
    </row>
    <row r="267" spans="1:15" x14ac:dyDescent="0.45">
      <c r="A267">
        <v>265</v>
      </c>
      <c r="B2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132_Bildgröße</v>
      </c>
      <c r="C267">
        <f ca="1">RANDBETWEEN(5,10)*100</f>
        <v>1000</v>
      </c>
      <c r="D267" s="3" t="str">
        <f ca="1">VLOOKUP(table_DataQualities[[#This Row],[unit_ID]],table_Units[#All],2)</f>
        <v>bit</v>
      </c>
      <c r="F2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12</v>
      </c>
      <c r="G2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7795</v>
      </c>
      <c r="H2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12</v>
      </c>
      <c r="I2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7795</v>
      </c>
      <c r="K267">
        <f t="shared" ca="1" si="54"/>
        <v>0.63</v>
      </c>
      <c r="M2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7" s="3" t="b">
        <f ca="1">VLOOKUP(table_DataQualities[[#This Row],[ID]],dict_zuord_Var_DQ!B:C,2,FALSE)</f>
        <v>0</v>
      </c>
      <c r="O267">
        <f t="shared" ca="1" si="66"/>
        <v>4.0999999999999996</v>
      </c>
    </row>
    <row r="268" spans="1:15" x14ac:dyDescent="0.45">
      <c r="A268">
        <v>266</v>
      </c>
      <c r="B2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133_Frequenz Hz</v>
      </c>
      <c r="C268">
        <v>100</v>
      </c>
      <c r="D268" s="3" t="str">
        <f>VLOOKUP(table_DataQualities[[#This Row],[unit_ID]],table_Units[#All],2)</f>
        <v>Hz</v>
      </c>
      <c r="F2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0.47699999999999998</v>
      </c>
      <c r="G2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295.3</v>
      </c>
      <c r="H2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0.47699999999999998</v>
      </c>
      <c r="I2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295.3</v>
      </c>
      <c r="K268">
        <f t="shared" ca="1" si="54"/>
        <v>0.21</v>
      </c>
      <c r="M2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8" s="3" t="b">
        <f ca="1">VLOOKUP(table_DataQualities[[#This Row],[ID]],dict_zuord_Var_DQ!B:C,2,FALSE)</f>
        <v>0</v>
      </c>
      <c r="O268">
        <f t="shared" ca="1" si="66"/>
        <v>3.8</v>
      </c>
    </row>
    <row r="269" spans="1:15" x14ac:dyDescent="0.45">
      <c r="A269">
        <v>267</v>
      </c>
      <c r="B2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133_Geschwindigkeitsmessgenauigkeit mm/s</v>
      </c>
      <c r="C269">
        <f t="shared" ref="C269:C277" ca="1" si="68">RANDBETWEEN(5,10)*100</f>
        <v>700</v>
      </c>
      <c r="D269" s="3" t="str">
        <f ca="1">VLOOKUP(table_DataQualities[[#This Row],[unit_ID]],table_Units[#All],2)</f>
        <v>+/- mm/s</v>
      </c>
      <c r="F2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5.0999999999999996</v>
      </c>
      <c r="G2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0.08</v>
      </c>
      <c r="H2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0.08</v>
      </c>
      <c r="I2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5.0999999999999996</v>
      </c>
      <c r="K269">
        <f t="shared" ca="1" si="54"/>
        <v>0.03</v>
      </c>
      <c r="M2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69" s="3" t="b">
        <f ca="1">VLOOKUP(table_DataQualities[[#This Row],[ID]],dict_zuord_Var_DQ!B:C,2,FALSE)</f>
        <v>0</v>
      </c>
      <c r="O269">
        <f t="shared" ca="1" si="66"/>
        <v>4</v>
      </c>
    </row>
    <row r="270" spans="1:15" x14ac:dyDescent="0.45">
      <c r="A270">
        <v>268</v>
      </c>
      <c r="B2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134_Frequenz Hz</v>
      </c>
      <c r="C270">
        <v>100</v>
      </c>
      <c r="D270" s="3" t="str">
        <f>VLOOKUP(table_DataQualities[[#This Row],[unit_ID]],table_Units[#All],2)</f>
        <v>Hz</v>
      </c>
      <c r="F2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0.68500000000000005</v>
      </c>
      <c r="G2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9877.2000000000007</v>
      </c>
      <c r="H2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0.68500000000000005</v>
      </c>
      <c r="I2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9877.2000000000007</v>
      </c>
      <c r="K270">
        <f t="shared" ca="1" si="54"/>
        <v>0.79</v>
      </c>
      <c r="M2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0" s="3" t="b">
        <f ca="1">VLOOKUP(table_DataQualities[[#This Row],[ID]],dict_zuord_Var_DQ!B:C,2,FALSE)</f>
        <v>0</v>
      </c>
      <c r="O270">
        <f t="shared" ca="1" si="66"/>
        <v>4.7</v>
      </c>
    </row>
    <row r="271" spans="1:15" x14ac:dyDescent="0.45">
      <c r="A271">
        <v>269</v>
      </c>
      <c r="B2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134_Temperaturmessgenauigkeit °C</v>
      </c>
      <c r="C271">
        <f t="shared" ref="C271" ca="1" si="69">RANDBETWEEN(5,10)*100</f>
        <v>500</v>
      </c>
      <c r="D271" s="3" t="str">
        <f ca="1">VLOOKUP(table_DataQualities[[#This Row],[unit_ID]],table_Units[#All],2)</f>
        <v>+/- °C</v>
      </c>
      <c r="F2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2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2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2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271">
        <f t="shared" ref="K271:K334" ca="1" si="70">ROUND(RAND(),2)</f>
        <v>0.3</v>
      </c>
      <c r="M2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1" s="3" t="b">
        <f ca="1">VLOOKUP(table_DataQualities[[#This Row],[ID]],dict_zuord_Var_DQ!B:C,2,FALSE)</f>
        <v>0</v>
      </c>
      <c r="O271">
        <f t="shared" ca="1" si="66"/>
        <v>3.2</v>
      </c>
    </row>
    <row r="272" spans="1:15" x14ac:dyDescent="0.45">
      <c r="A272">
        <v>270</v>
      </c>
      <c r="B2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135_Frequenz Hz</v>
      </c>
      <c r="C272">
        <v>100</v>
      </c>
      <c r="D272" s="3" t="str">
        <f>VLOOKUP(table_DataQualities[[#This Row],[unit_ID]],table_Units[#All],2)</f>
        <v>Hz</v>
      </c>
      <c r="F2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0.70699999999999996</v>
      </c>
      <c r="G2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945.7</v>
      </c>
      <c r="H2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0.70699999999999996</v>
      </c>
      <c r="I2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945.7</v>
      </c>
      <c r="K272">
        <f t="shared" ca="1" si="70"/>
        <v>0.31</v>
      </c>
      <c r="M2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2" s="3" t="b">
        <f ca="1">VLOOKUP(table_DataQualities[[#This Row],[ID]],dict_zuord_Var_DQ!B:C,2,FALSE)</f>
        <v>0</v>
      </c>
      <c r="O272">
        <f t="shared" ca="1" si="66"/>
        <v>2.4</v>
      </c>
    </row>
    <row r="273" spans="1:15" x14ac:dyDescent="0.45">
      <c r="A273">
        <v>271</v>
      </c>
      <c r="B2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135_Leistungsmessgenauigkeit W</v>
      </c>
      <c r="C273">
        <f t="shared" ca="1" si="68"/>
        <v>600</v>
      </c>
      <c r="D273" s="3" t="str">
        <f ca="1">VLOOKUP(table_DataQualities[[#This Row],[unit_ID]],table_Units[#All],2)</f>
        <v>+/- W</v>
      </c>
      <c r="F2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4.91</v>
      </c>
      <c r="G2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7.9000000000000001E-2</v>
      </c>
      <c r="H2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7.9000000000000001E-2</v>
      </c>
      <c r="I2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4.91</v>
      </c>
      <c r="K273">
        <f t="shared" ca="1" si="70"/>
        <v>0.08</v>
      </c>
      <c r="M2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3" s="3" t="b">
        <f ca="1">VLOOKUP(table_DataQualities[[#This Row],[ID]],dict_zuord_Var_DQ!B:C,2,FALSE)</f>
        <v>0</v>
      </c>
      <c r="O273">
        <f t="shared" ca="1" si="66"/>
        <v>3.8</v>
      </c>
    </row>
    <row r="274" spans="1:15" x14ac:dyDescent="0.45">
      <c r="A274">
        <v>272</v>
      </c>
      <c r="B2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136_Frequenz Hz</v>
      </c>
      <c r="C274">
        <v>100</v>
      </c>
      <c r="D274" s="3" t="str">
        <f>VLOOKUP(table_DataQualities[[#This Row],[unit_ID]],table_Units[#All],2)</f>
        <v>Hz</v>
      </c>
      <c r="F2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0.54100000000000004</v>
      </c>
      <c r="G2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3955.4</v>
      </c>
      <c r="H2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0.54100000000000004</v>
      </c>
      <c r="I2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3955.4</v>
      </c>
      <c r="K274">
        <f t="shared" ca="1" si="70"/>
        <v>0.62</v>
      </c>
      <c r="M2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4" s="3" t="b">
        <f ca="1">VLOOKUP(table_DataQualities[[#This Row],[ID]],dict_zuord_Var_DQ!B:C,2,FALSE)</f>
        <v>0</v>
      </c>
      <c r="O274">
        <f t="shared" ca="1" si="66"/>
        <v>4.0999999999999996</v>
      </c>
    </row>
    <row r="275" spans="1:15" x14ac:dyDescent="0.45">
      <c r="A275">
        <v>273</v>
      </c>
      <c r="B2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136_Geschwindigkeitsmessgenauigkeit mm/s</v>
      </c>
      <c r="C275">
        <f t="shared" ref="C275" ca="1" si="71">RANDBETWEEN(5,10)*100</f>
        <v>700</v>
      </c>
      <c r="D275" s="3" t="str">
        <f ca="1">VLOOKUP(table_DataQualities[[#This Row],[unit_ID]],table_Units[#All],2)</f>
        <v>+/- mm/s</v>
      </c>
      <c r="F2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3.8</v>
      </c>
      <c r="G2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0.28000000000000003</v>
      </c>
      <c r="H2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0.28000000000000003</v>
      </c>
      <c r="I2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3.8</v>
      </c>
      <c r="K275">
        <f t="shared" ca="1" si="70"/>
        <v>0.7</v>
      </c>
      <c r="M2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5" s="3" t="b">
        <f ca="1">VLOOKUP(table_DataQualities[[#This Row],[ID]],dict_zuord_Var_DQ!B:C,2,FALSE)</f>
        <v>0</v>
      </c>
      <c r="O275">
        <f t="shared" ca="1" si="66"/>
        <v>2.2999999999999998</v>
      </c>
    </row>
    <row r="276" spans="1:15" x14ac:dyDescent="0.45">
      <c r="A276">
        <v>274</v>
      </c>
      <c r="B2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137_Frequenz Hz</v>
      </c>
      <c r="C276">
        <v>100</v>
      </c>
      <c r="D276" s="3" t="str">
        <f>VLOOKUP(table_DataQualities[[#This Row],[unit_ID]],table_Units[#All],2)</f>
        <v>Hz</v>
      </c>
      <c r="F2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0.999</v>
      </c>
      <c r="G2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7107</v>
      </c>
      <c r="H2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0.999</v>
      </c>
      <c r="I2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7107</v>
      </c>
      <c r="K276">
        <f t="shared" ca="1" si="70"/>
        <v>0.3</v>
      </c>
      <c r="M2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6" s="3" t="b">
        <f ca="1">VLOOKUP(table_DataQualities[[#This Row],[ID]],dict_zuord_Var_DQ!B:C,2,FALSE)</f>
        <v>0</v>
      </c>
      <c r="O276">
        <f t="shared" ca="1" si="66"/>
        <v>1.5</v>
      </c>
    </row>
    <row r="277" spans="1:15" x14ac:dyDescent="0.45">
      <c r="A277">
        <v>275</v>
      </c>
      <c r="B2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137_Bildgröße</v>
      </c>
      <c r="C277">
        <f t="shared" ca="1" si="68"/>
        <v>1000</v>
      </c>
      <c r="D277" s="3" t="str">
        <f ca="1">VLOOKUP(table_DataQualities[[#This Row],[unit_ID]],table_Units[#All],2)</f>
        <v>bit</v>
      </c>
      <c r="F2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30</v>
      </c>
      <c r="G2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3273</v>
      </c>
      <c r="H2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30</v>
      </c>
      <c r="I2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3273</v>
      </c>
      <c r="K277">
        <f t="shared" ca="1" si="70"/>
        <v>0.5</v>
      </c>
      <c r="M2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7" s="3" t="b">
        <f ca="1">VLOOKUP(table_DataQualities[[#This Row],[ID]],dict_zuord_Var_DQ!B:C,2,FALSE)</f>
        <v>0</v>
      </c>
      <c r="O277">
        <f t="shared" ca="1" si="66"/>
        <v>1.2</v>
      </c>
    </row>
    <row r="278" spans="1:15" x14ac:dyDescent="0.45">
      <c r="A278">
        <v>276</v>
      </c>
      <c r="B2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138_Frequenz Hz</v>
      </c>
      <c r="C278">
        <v>100</v>
      </c>
      <c r="D278" s="3" t="str">
        <f>VLOOKUP(table_DataQualities[[#This Row],[unit_ID]],table_Units[#All],2)</f>
        <v>Hz</v>
      </c>
      <c r="F2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0.55000000000000004</v>
      </c>
      <c r="G2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1929.5</v>
      </c>
      <c r="H2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0.55000000000000004</v>
      </c>
      <c r="I2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1929.5</v>
      </c>
      <c r="K278">
        <f t="shared" ca="1" si="70"/>
        <v>0.48</v>
      </c>
      <c r="M2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8" s="3" t="b">
        <f ca="1">VLOOKUP(table_DataQualities[[#This Row],[ID]],dict_zuord_Var_DQ!B:C,2,FALSE)</f>
        <v>0</v>
      </c>
      <c r="O278">
        <f t="shared" ca="1" si="66"/>
        <v>2.5</v>
      </c>
    </row>
    <row r="279" spans="1:15" x14ac:dyDescent="0.45">
      <c r="A279">
        <v>277</v>
      </c>
      <c r="B2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138_Temperaturmessgenauigkeit °C</v>
      </c>
      <c r="C279">
        <f t="shared" ref="C279:C285" ca="1" si="72">RANDBETWEEN(5,10)*100</f>
        <v>500</v>
      </c>
      <c r="D279" s="3" t="str">
        <f ca="1">VLOOKUP(table_DataQualities[[#This Row],[unit_ID]],table_Units[#All],2)</f>
        <v>+/- °C</v>
      </c>
      <c r="F2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10</v>
      </c>
      <c r="G2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0.6</v>
      </c>
      <c r="H2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</v>
      </c>
      <c r="I2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</v>
      </c>
      <c r="K279">
        <f t="shared" ca="1" si="70"/>
        <v>0.98</v>
      </c>
      <c r="M2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79" s="3" t="b">
        <f ca="1">VLOOKUP(table_DataQualities[[#This Row],[ID]],dict_zuord_Var_DQ!B:C,2,FALSE)</f>
        <v>0</v>
      </c>
      <c r="O279">
        <f t="shared" ca="1" si="66"/>
        <v>3.2</v>
      </c>
    </row>
    <row r="280" spans="1:15" x14ac:dyDescent="0.45">
      <c r="A280">
        <v>278</v>
      </c>
      <c r="B2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139_Frequenz Hz</v>
      </c>
      <c r="C280">
        <v>100</v>
      </c>
      <c r="D280" s="3" t="str">
        <f>VLOOKUP(table_DataQualities[[#This Row],[unit_ID]],table_Units[#All],2)</f>
        <v>Hz</v>
      </c>
      <c r="F2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</v>
      </c>
      <c r="G2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7030.7</v>
      </c>
      <c r="H2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</v>
      </c>
      <c r="I2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7030.7</v>
      </c>
      <c r="K280">
        <f t="shared" ca="1" si="70"/>
        <v>0.57999999999999996</v>
      </c>
      <c r="M2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0" s="3" t="b">
        <f ca="1">VLOOKUP(table_DataQualities[[#This Row],[ID]],dict_zuord_Var_DQ!B:C,2,FALSE)</f>
        <v>0</v>
      </c>
      <c r="O280">
        <f t="shared" ca="1" si="66"/>
        <v>2.2999999999999998</v>
      </c>
    </row>
    <row r="281" spans="1:15" x14ac:dyDescent="0.45">
      <c r="A281">
        <v>279</v>
      </c>
      <c r="B2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139_Temperaturmessgenauigkeit °C</v>
      </c>
      <c r="C281">
        <f t="shared" ref="C281:C283" ca="1" si="73">RANDBETWEEN(5,10)*100</f>
        <v>500</v>
      </c>
      <c r="D281" s="3" t="str">
        <f ca="1">VLOOKUP(table_DataQualities[[#This Row],[unit_ID]],table_Units[#All],2)</f>
        <v>+/- °C</v>
      </c>
      <c r="F2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2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2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2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281">
        <f t="shared" ca="1" si="70"/>
        <v>0.71</v>
      </c>
      <c r="M2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1" s="3" t="b">
        <f ca="1">VLOOKUP(table_DataQualities[[#This Row],[ID]],dict_zuord_Var_DQ!B:C,2,FALSE)</f>
        <v>0</v>
      </c>
      <c r="O281">
        <f t="shared" ca="1" si="66"/>
        <v>2</v>
      </c>
    </row>
    <row r="282" spans="1:15" x14ac:dyDescent="0.45">
      <c r="A282">
        <v>280</v>
      </c>
      <c r="B2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140_Frequenz Hz</v>
      </c>
      <c r="C282">
        <v>100</v>
      </c>
      <c r="D282" s="3" t="str">
        <f>VLOOKUP(table_DataQualities[[#This Row],[unit_ID]],table_Units[#All],2)</f>
        <v>Hz</v>
      </c>
      <c r="F2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0.78</v>
      </c>
      <c r="G2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9238.5</v>
      </c>
      <c r="H2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0.78</v>
      </c>
      <c r="I2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9238.5</v>
      </c>
      <c r="K282">
        <f t="shared" ca="1" si="70"/>
        <v>0</v>
      </c>
      <c r="M2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2" s="3" t="b">
        <f ca="1">VLOOKUP(table_DataQualities[[#This Row],[ID]],dict_zuord_Var_DQ!B:C,2,FALSE)</f>
        <v>0</v>
      </c>
      <c r="O282">
        <f t="shared" ca="1" si="66"/>
        <v>2.6</v>
      </c>
    </row>
    <row r="283" spans="1:15" x14ac:dyDescent="0.45">
      <c r="A283">
        <v>281</v>
      </c>
      <c r="B2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140_Leistungsmessgenauigkeit W</v>
      </c>
      <c r="C283">
        <f t="shared" ca="1" si="73"/>
        <v>600</v>
      </c>
      <c r="D283" s="3" t="str">
        <f ca="1">VLOOKUP(table_DataQualities[[#This Row],[unit_ID]],table_Units[#All],2)</f>
        <v>+/- W</v>
      </c>
      <c r="F2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9.9700000000000006</v>
      </c>
      <c r="G2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0.01</v>
      </c>
      <c r="H2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2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9.9700000000000006</v>
      </c>
      <c r="K283">
        <f t="shared" ca="1" si="70"/>
        <v>0.06</v>
      </c>
      <c r="M2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3" s="3" t="b">
        <f ca="1">VLOOKUP(table_DataQualities[[#This Row],[ID]],dict_zuord_Var_DQ!B:C,2,FALSE)</f>
        <v>0</v>
      </c>
      <c r="O283">
        <f t="shared" ca="1" si="66"/>
        <v>4.9000000000000004</v>
      </c>
    </row>
    <row r="284" spans="1:15" x14ac:dyDescent="0.45">
      <c r="A284">
        <v>282</v>
      </c>
      <c r="B2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141_Frequenz Hz</v>
      </c>
      <c r="C284">
        <v>100</v>
      </c>
      <c r="D284" s="3" t="str">
        <f>VLOOKUP(table_DataQualities[[#This Row],[unit_ID]],table_Units[#All],2)</f>
        <v>Hz</v>
      </c>
      <c r="F2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0.193</v>
      </c>
      <c r="G2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2993.1</v>
      </c>
      <c r="H2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0.193</v>
      </c>
      <c r="I2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2993.1</v>
      </c>
      <c r="K284">
        <f t="shared" ca="1" si="70"/>
        <v>0.88</v>
      </c>
      <c r="M2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4" s="3" t="b">
        <f ca="1">VLOOKUP(table_DataQualities[[#This Row],[ID]],dict_zuord_Var_DQ!B:C,2,FALSE)</f>
        <v>0</v>
      </c>
      <c r="O284">
        <f t="shared" ca="1" si="66"/>
        <v>2.1</v>
      </c>
    </row>
    <row r="285" spans="1:15" x14ac:dyDescent="0.45">
      <c r="A285">
        <v>283</v>
      </c>
      <c r="B2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141_Durchflussmessgenauigkeit cm³/s</v>
      </c>
      <c r="C285">
        <f t="shared" ca="1" si="72"/>
        <v>800</v>
      </c>
      <c r="D285" s="3" t="str">
        <f ca="1">VLOOKUP(table_DataQualities[[#This Row],[unit_ID]],table_Units[#All],2)</f>
        <v>+/- cm³/s</v>
      </c>
      <c r="F2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0.39800000000000002</v>
      </c>
      <c r="G2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1.2999999999999999E-3</v>
      </c>
      <c r="H2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1.2999999999999999E-3</v>
      </c>
      <c r="I2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0.39800000000000002</v>
      </c>
      <c r="K285">
        <f t="shared" ca="1" si="70"/>
        <v>0.56999999999999995</v>
      </c>
      <c r="M2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5" s="3" t="b">
        <f ca="1">VLOOKUP(table_DataQualities[[#This Row],[ID]],dict_zuord_Var_DQ!B:C,2,FALSE)</f>
        <v>0</v>
      </c>
      <c r="O285">
        <f t="shared" ca="1" si="66"/>
        <v>4.5</v>
      </c>
    </row>
    <row r="286" spans="1:15" x14ac:dyDescent="0.45">
      <c r="A286">
        <v>284</v>
      </c>
      <c r="B2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142_Frequenz Hz</v>
      </c>
      <c r="C286">
        <v>100</v>
      </c>
      <c r="D286" s="3" t="str">
        <f>VLOOKUP(table_DataQualities[[#This Row],[unit_ID]],table_Units[#All],2)</f>
        <v>Hz</v>
      </c>
      <c r="F2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0.54500000000000004</v>
      </c>
      <c r="G2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7026.4</v>
      </c>
      <c r="H2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0.54500000000000004</v>
      </c>
      <c r="I2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7026.4</v>
      </c>
      <c r="K286">
        <f t="shared" ca="1" si="70"/>
        <v>0.92</v>
      </c>
      <c r="M2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6" s="3" t="b">
        <f ca="1">VLOOKUP(table_DataQualities[[#This Row],[ID]],dict_zuord_Var_DQ!B:C,2,FALSE)</f>
        <v>0</v>
      </c>
      <c r="O286">
        <f t="shared" ca="1" si="66"/>
        <v>4.3</v>
      </c>
    </row>
    <row r="287" spans="1:15" x14ac:dyDescent="0.45">
      <c r="A287">
        <v>285</v>
      </c>
      <c r="B2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142_Leistungsmessgenauigkeit W</v>
      </c>
      <c r="C287">
        <f ca="1">RANDBETWEEN(5,10)*100</f>
        <v>600</v>
      </c>
      <c r="D287" s="3" t="str">
        <f ca="1">VLOOKUP(table_DataQualities[[#This Row],[unit_ID]],table_Units[#All],2)</f>
        <v>+/- W</v>
      </c>
      <c r="F2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5.3</v>
      </c>
      <c r="G2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7.1999999999999995E-2</v>
      </c>
      <c r="H2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7.1999999999999995E-2</v>
      </c>
      <c r="I2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5.3</v>
      </c>
      <c r="K287">
        <f t="shared" ca="1" si="70"/>
        <v>0.59</v>
      </c>
      <c r="M2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7" s="3" t="b">
        <f ca="1">VLOOKUP(table_DataQualities[[#This Row],[ID]],dict_zuord_Var_DQ!B:C,2,FALSE)</f>
        <v>0</v>
      </c>
      <c r="O287">
        <f t="shared" ca="1" si="66"/>
        <v>3.4</v>
      </c>
    </row>
    <row r="288" spans="1:15" x14ac:dyDescent="0.45">
      <c r="A288">
        <v>286</v>
      </c>
      <c r="B2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143_Frequenz Hz</v>
      </c>
      <c r="C288">
        <v>100</v>
      </c>
      <c r="D288" s="3" t="str">
        <f>VLOOKUP(table_DataQualities[[#This Row],[unit_ID]],table_Units[#All],2)</f>
        <v>Hz</v>
      </c>
      <c r="F2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0.155</v>
      </c>
      <c r="G2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8894.5</v>
      </c>
      <c r="H2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0.155</v>
      </c>
      <c r="I2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8894.5</v>
      </c>
      <c r="K288">
        <f t="shared" ca="1" si="70"/>
        <v>0.27</v>
      </c>
      <c r="M2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8" s="3" t="b">
        <f ca="1">VLOOKUP(table_DataQualities[[#This Row],[ID]],dict_zuord_Var_DQ!B:C,2,FALSE)</f>
        <v>0</v>
      </c>
      <c r="O288">
        <f t="shared" ca="1" si="66"/>
        <v>4.8</v>
      </c>
    </row>
    <row r="289" spans="1:15" x14ac:dyDescent="0.45">
      <c r="A289">
        <v>287</v>
      </c>
      <c r="B2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143_Temperaturmessgenauigkeit °C</v>
      </c>
      <c r="C289">
        <f t="shared" ref="C289:C299" ca="1" si="74">RANDBETWEEN(5,10)*100</f>
        <v>500</v>
      </c>
      <c r="D289" s="3" t="str">
        <f ca="1">VLOOKUP(table_DataQualities[[#This Row],[unit_ID]],table_Units[#All],2)</f>
        <v>+/- °C</v>
      </c>
      <c r="F2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2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2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2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289">
        <f t="shared" ca="1" si="70"/>
        <v>0.32</v>
      </c>
      <c r="M2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89" s="3" t="b">
        <f ca="1">VLOOKUP(table_DataQualities[[#This Row],[ID]],dict_zuord_Var_DQ!B:C,2,FALSE)</f>
        <v>0</v>
      </c>
      <c r="O289">
        <f t="shared" ca="1" si="66"/>
        <v>3.7</v>
      </c>
    </row>
    <row r="290" spans="1:15" x14ac:dyDescent="0.45">
      <c r="A290">
        <v>288</v>
      </c>
      <c r="B2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144_Frequenz Hz</v>
      </c>
      <c r="C290">
        <v>100</v>
      </c>
      <c r="D290" s="3" t="str">
        <f>VLOOKUP(table_DataQualities[[#This Row],[unit_ID]],table_Units[#All],2)</f>
        <v>Hz</v>
      </c>
      <c r="F2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0.55000000000000004</v>
      </c>
      <c r="G2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4978.5</v>
      </c>
      <c r="H2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0.55000000000000004</v>
      </c>
      <c r="I2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4978.5</v>
      </c>
      <c r="K290">
        <f t="shared" ca="1" si="70"/>
        <v>0.14000000000000001</v>
      </c>
      <c r="M2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0" s="3" t="b">
        <f ca="1">VLOOKUP(table_DataQualities[[#This Row],[ID]],dict_zuord_Var_DQ!B:C,2,FALSE)</f>
        <v>0</v>
      </c>
      <c r="O290">
        <f t="shared" ca="1" si="66"/>
        <v>1.5</v>
      </c>
    </row>
    <row r="291" spans="1:15" x14ac:dyDescent="0.45">
      <c r="A291">
        <v>289</v>
      </c>
      <c r="B2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144_Temperaturmessgenauigkeit °C</v>
      </c>
      <c r="C291">
        <f t="shared" ref="C291" ca="1" si="75">RANDBETWEEN(5,10)*100</f>
        <v>500</v>
      </c>
      <c r="D291" s="3" t="str">
        <f ca="1">VLOOKUP(table_DataQualities[[#This Row],[unit_ID]],table_Units[#All],2)</f>
        <v>+/- °C</v>
      </c>
      <c r="F2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</v>
      </c>
      <c r="G2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2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2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</v>
      </c>
      <c r="K291">
        <f t="shared" ca="1" si="70"/>
        <v>0.8</v>
      </c>
      <c r="M2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1" s="3" t="b">
        <f ca="1">VLOOKUP(table_DataQualities[[#This Row],[ID]],dict_zuord_Var_DQ!B:C,2,FALSE)</f>
        <v>0</v>
      </c>
      <c r="O291">
        <f t="shared" ca="1" si="66"/>
        <v>2.6</v>
      </c>
    </row>
    <row r="292" spans="1:15" x14ac:dyDescent="0.45">
      <c r="A292">
        <v>290</v>
      </c>
      <c r="B2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145_Frequenz Hz</v>
      </c>
      <c r="C292">
        <v>100</v>
      </c>
      <c r="D292" s="3" t="str">
        <f>VLOOKUP(table_DataQualities[[#This Row],[unit_ID]],table_Units[#All],2)</f>
        <v>Hz</v>
      </c>
      <c r="F2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0.61299999999999999</v>
      </c>
      <c r="G2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8555.6</v>
      </c>
      <c r="H2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0.61299999999999999</v>
      </c>
      <c r="I2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8555.6</v>
      </c>
      <c r="K292">
        <f t="shared" ca="1" si="70"/>
        <v>0.61</v>
      </c>
      <c r="M2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2" s="3" t="b">
        <f ca="1">VLOOKUP(table_DataQualities[[#This Row],[ID]],dict_zuord_Var_DQ!B:C,2,FALSE)</f>
        <v>0</v>
      </c>
      <c r="O292">
        <f t="shared" ca="1" si="66"/>
        <v>4.5999999999999996</v>
      </c>
    </row>
    <row r="293" spans="1:15" x14ac:dyDescent="0.45">
      <c r="A293">
        <v>291</v>
      </c>
      <c r="B2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145_Längenmessgenauigkeit mm</v>
      </c>
      <c r="C293">
        <f t="shared" ca="1" si="74"/>
        <v>900</v>
      </c>
      <c r="D293" s="3" t="str">
        <f ca="1">VLOOKUP(table_DataQualities[[#This Row],[unit_ID]],table_Units[#All],2)</f>
        <v>+/- mm</v>
      </c>
      <c r="F2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4.17</v>
      </c>
      <c r="G2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3.5999999999999997E-2</v>
      </c>
      <c r="H2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3.5999999999999997E-2</v>
      </c>
      <c r="I2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4.17</v>
      </c>
      <c r="K293">
        <f t="shared" ca="1" si="70"/>
        <v>0.57999999999999996</v>
      </c>
      <c r="M2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3" s="3" t="b">
        <f ca="1">VLOOKUP(table_DataQualities[[#This Row],[ID]],dict_zuord_Var_DQ!B:C,2,FALSE)</f>
        <v>0</v>
      </c>
      <c r="O293">
        <f t="shared" ca="1" si="66"/>
        <v>3.5</v>
      </c>
    </row>
    <row r="294" spans="1:15" x14ac:dyDescent="0.45">
      <c r="A294">
        <v>292</v>
      </c>
      <c r="B2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146_Frequenz Hz</v>
      </c>
      <c r="C294">
        <v>100</v>
      </c>
      <c r="D294" s="3" t="str">
        <f>VLOOKUP(table_DataQualities[[#This Row],[unit_ID]],table_Units[#All],2)</f>
        <v>Hz</v>
      </c>
      <c r="F2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4.2000000000000003E-2</v>
      </c>
      <c r="G2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9397.9</v>
      </c>
      <c r="H2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4.2000000000000003E-2</v>
      </c>
      <c r="I2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9397.9</v>
      </c>
      <c r="K294">
        <f t="shared" ca="1" si="70"/>
        <v>0.72</v>
      </c>
      <c r="M2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4" s="3" t="b">
        <f ca="1">VLOOKUP(table_DataQualities[[#This Row],[ID]],dict_zuord_Var_DQ!B:C,2,FALSE)</f>
        <v>0</v>
      </c>
      <c r="O294">
        <f t="shared" ca="1" si="66"/>
        <v>3</v>
      </c>
    </row>
    <row r="295" spans="1:15" x14ac:dyDescent="0.45">
      <c r="A295">
        <v>293</v>
      </c>
      <c r="B2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146_Leistungsmessgenauigkeit W</v>
      </c>
      <c r="C295">
        <f t="shared" ref="C295" ca="1" si="76">RANDBETWEEN(5,10)*100</f>
        <v>600</v>
      </c>
      <c r="D295" s="3" t="str">
        <f ca="1">VLOOKUP(table_DataQualities[[#This Row],[unit_ID]],table_Units[#All],2)</f>
        <v>+/- W</v>
      </c>
      <c r="F2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5.0999999999999996</v>
      </c>
      <c r="G2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7.2999999999999995E-2</v>
      </c>
      <c r="H2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7.2999999999999995E-2</v>
      </c>
      <c r="I2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5.0999999999999996</v>
      </c>
      <c r="K295">
        <f t="shared" ca="1" si="70"/>
        <v>0.38</v>
      </c>
      <c r="M2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5" s="3" t="b">
        <f ca="1">VLOOKUP(table_DataQualities[[#This Row],[ID]],dict_zuord_Var_DQ!B:C,2,FALSE)</f>
        <v>0</v>
      </c>
      <c r="O295">
        <f t="shared" ca="1" si="66"/>
        <v>2.7</v>
      </c>
    </row>
    <row r="296" spans="1:15" x14ac:dyDescent="0.45">
      <c r="A296">
        <v>294</v>
      </c>
      <c r="B2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147_Frequenz Hz</v>
      </c>
      <c r="C296">
        <v>100</v>
      </c>
      <c r="D296" s="3" t="str">
        <f>VLOOKUP(table_DataQualities[[#This Row],[unit_ID]],table_Units[#All],2)</f>
        <v>Hz</v>
      </c>
      <c r="F2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0.316</v>
      </c>
      <c r="G2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1464.6</v>
      </c>
      <c r="H2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0.316</v>
      </c>
      <c r="I2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1464.6</v>
      </c>
      <c r="K296">
        <f t="shared" ca="1" si="70"/>
        <v>0.15</v>
      </c>
      <c r="M2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6" s="3" t="b">
        <f ca="1">VLOOKUP(table_DataQualities[[#This Row],[ID]],dict_zuord_Var_DQ!B:C,2,FALSE)</f>
        <v>0</v>
      </c>
      <c r="O296">
        <f t="shared" ca="1" si="66"/>
        <v>4.0999999999999996</v>
      </c>
    </row>
    <row r="297" spans="1:15" x14ac:dyDescent="0.45">
      <c r="A297">
        <v>295</v>
      </c>
      <c r="B2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147_Temperaturmessgenauigkeit °C</v>
      </c>
      <c r="C297">
        <f t="shared" ca="1" si="74"/>
        <v>500</v>
      </c>
      <c r="D297" s="3" t="str">
        <f ca="1">VLOOKUP(table_DataQualities[[#This Row],[unit_ID]],table_Units[#All],2)</f>
        <v>+/- °C</v>
      </c>
      <c r="F2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2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2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2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297">
        <f t="shared" ca="1" si="70"/>
        <v>0.38</v>
      </c>
      <c r="M2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7" s="3" t="b">
        <f ca="1">VLOOKUP(table_DataQualities[[#This Row],[ID]],dict_zuord_Var_DQ!B:C,2,FALSE)</f>
        <v>0</v>
      </c>
      <c r="O297">
        <f t="shared" ca="1" si="66"/>
        <v>4.9000000000000004</v>
      </c>
    </row>
    <row r="298" spans="1:15" x14ac:dyDescent="0.45">
      <c r="A298">
        <v>296</v>
      </c>
      <c r="B2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148_Frequenz Hz</v>
      </c>
      <c r="C298">
        <v>100</v>
      </c>
      <c r="D298" s="3" t="str">
        <f>VLOOKUP(table_DataQualities[[#This Row],[unit_ID]],table_Units[#All],2)</f>
        <v>Hz</v>
      </c>
      <c r="F2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0.32</v>
      </c>
      <c r="G2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4963.5</v>
      </c>
      <c r="H2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0.32</v>
      </c>
      <c r="I2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4963.5</v>
      </c>
      <c r="K298">
        <f t="shared" ca="1" si="70"/>
        <v>0.08</v>
      </c>
      <c r="M2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8" s="3" t="b">
        <f ca="1">VLOOKUP(table_DataQualities[[#This Row],[ID]],dict_zuord_Var_DQ!B:C,2,FALSE)</f>
        <v>0</v>
      </c>
      <c r="O298">
        <f t="shared" ca="1" si="66"/>
        <v>4.5</v>
      </c>
    </row>
    <row r="299" spans="1:15" x14ac:dyDescent="0.45">
      <c r="A299">
        <v>297</v>
      </c>
      <c r="B2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148_Temperaturmessgenauigkeit °C</v>
      </c>
      <c r="C299">
        <f t="shared" ca="1" si="74"/>
        <v>500</v>
      </c>
      <c r="D299" s="3" t="str">
        <f ca="1">VLOOKUP(table_DataQualities[[#This Row],[unit_ID]],table_Units[#All],2)</f>
        <v>+/- °C</v>
      </c>
      <c r="F2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2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2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2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299">
        <f t="shared" ca="1" si="70"/>
        <v>0.15</v>
      </c>
      <c r="M2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299" s="3" t="b">
        <f ca="1">VLOOKUP(table_DataQualities[[#This Row],[ID]],dict_zuord_Var_DQ!B:C,2,FALSE)</f>
        <v>0</v>
      </c>
      <c r="O299">
        <f t="shared" ca="1" si="66"/>
        <v>1.7</v>
      </c>
    </row>
    <row r="300" spans="1:15" x14ac:dyDescent="0.45">
      <c r="A300">
        <v>298</v>
      </c>
      <c r="B3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149_Frequenz Hz</v>
      </c>
      <c r="C300">
        <v>100</v>
      </c>
      <c r="D300" s="3" t="str">
        <f>VLOOKUP(table_DataQualities[[#This Row],[unit_ID]],table_Units[#All],2)</f>
        <v>Hz</v>
      </c>
      <c r="F3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0.47099999999999997</v>
      </c>
      <c r="G3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4315.3</v>
      </c>
      <c r="H3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0.47099999999999997</v>
      </c>
      <c r="I3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4315.3</v>
      </c>
      <c r="K300">
        <f t="shared" ca="1" si="70"/>
        <v>0.6</v>
      </c>
      <c r="M3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0" s="3" t="b">
        <f ca="1">VLOOKUP(table_DataQualities[[#This Row],[ID]],dict_zuord_Var_DQ!B:C,2,FALSE)</f>
        <v>0</v>
      </c>
      <c r="O300">
        <f t="shared" ca="1" si="66"/>
        <v>2</v>
      </c>
    </row>
    <row r="301" spans="1:15" x14ac:dyDescent="0.45">
      <c r="A301">
        <v>299</v>
      </c>
      <c r="B3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149_Bildgröße</v>
      </c>
      <c r="C301">
        <f ca="1">RANDBETWEEN(5,10)*100</f>
        <v>1000</v>
      </c>
      <c r="D301" s="3" t="str">
        <f ca="1">VLOOKUP(table_DataQualities[[#This Row],[unit_ID]],table_Units[#All],2)</f>
        <v>bit</v>
      </c>
      <c r="F3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87</v>
      </c>
      <c r="G3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4107</v>
      </c>
      <c r="H3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87</v>
      </c>
      <c r="I3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4107</v>
      </c>
      <c r="K301">
        <f t="shared" ca="1" si="70"/>
        <v>0.24</v>
      </c>
      <c r="M3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1" s="3" t="b">
        <f ca="1">VLOOKUP(table_DataQualities[[#This Row],[ID]],dict_zuord_Var_DQ!B:C,2,FALSE)</f>
        <v>0</v>
      </c>
      <c r="O301">
        <f t="shared" ca="1" si="66"/>
        <v>3.3</v>
      </c>
    </row>
    <row r="302" spans="1:15" x14ac:dyDescent="0.45">
      <c r="A302">
        <v>300</v>
      </c>
      <c r="B3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150_Frequenz Hz</v>
      </c>
      <c r="C302">
        <v>100</v>
      </c>
      <c r="D302" s="3" t="str">
        <f>VLOOKUP(table_DataQualities[[#This Row],[unit_ID]],table_Units[#All],2)</f>
        <v>Hz</v>
      </c>
      <c r="F3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0.89900000000000002</v>
      </c>
      <c r="G3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4405.2</v>
      </c>
      <c r="H3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0.89900000000000002</v>
      </c>
      <c r="I3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4405.2</v>
      </c>
      <c r="K302">
        <f t="shared" ca="1" si="70"/>
        <v>0.68</v>
      </c>
      <c r="M3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2" s="3" t="b">
        <f ca="1">VLOOKUP(table_DataQualities[[#This Row],[ID]],dict_zuord_Var_DQ!B:C,2,FALSE)</f>
        <v>0</v>
      </c>
      <c r="O302">
        <f t="shared" ca="1" si="66"/>
        <v>2.5</v>
      </c>
    </row>
    <row r="303" spans="1:15" x14ac:dyDescent="0.45">
      <c r="A303">
        <v>301</v>
      </c>
      <c r="B3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150_Temperaturmessgenauigkeit °C</v>
      </c>
      <c r="C303">
        <f t="shared" ref="C303:C313" ca="1" si="77">RANDBETWEEN(5,10)*100</f>
        <v>500</v>
      </c>
      <c r="D303" s="3" t="str">
        <f ca="1">VLOOKUP(table_DataQualities[[#This Row],[unit_ID]],table_Units[#All],2)</f>
        <v>+/- °C</v>
      </c>
      <c r="F3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3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</v>
      </c>
      <c r="H3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</v>
      </c>
      <c r="I3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303">
        <f t="shared" ca="1" si="70"/>
        <v>0.28999999999999998</v>
      </c>
      <c r="M3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3" s="3" t="b">
        <f ca="1">VLOOKUP(table_DataQualities[[#This Row],[ID]],dict_zuord_Var_DQ!B:C,2,FALSE)</f>
        <v>0</v>
      </c>
      <c r="O303">
        <f t="shared" ca="1" si="66"/>
        <v>2.2999999999999998</v>
      </c>
    </row>
    <row r="304" spans="1:15" x14ac:dyDescent="0.45">
      <c r="A304">
        <v>302</v>
      </c>
      <c r="B30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151_Frequenz Hz</v>
      </c>
      <c r="C304">
        <v>100</v>
      </c>
      <c r="D304" s="3" t="str">
        <f>VLOOKUP(table_DataQualities[[#This Row],[unit_ID]],table_Units[#All],2)</f>
        <v>Hz</v>
      </c>
      <c r="F30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0.73699999999999999</v>
      </c>
      <c r="G30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3799.6</v>
      </c>
      <c r="H30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0.73699999999999999</v>
      </c>
      <c r="I30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3799.6</v>
      </c>
      <c r="K304">
        <f t="shared" ca="1" si="70"/>
        <v>0.93</v>
      </c>
      <c r="M30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4" s="3" t="b">
        <f ca="1">VLOOKUP(table_DataQualities[[#This Row],[ID]],dict_zuord_Var_DQ!B:C,2,FALSE)</f>
        <v>0</v>
      </c>
      <c r="O304">
        <f t="shared" ca="1" si="66"/>
        <v>2.1</v>
      </c>
    </row>
    <row r="305" spans="1:15" x14ac:dyDescent="0.45">
      <c r="A305">
        <v>303</v>
      </c>
      <c r="B30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151_Durchflussmessgenauigkeit cm³/s</v>
      </c>
      <c r="C305">
        <f t="shared" ref="C305" ca="1" si="78">RANDBETWEEN(5,10)*100</f>
        <v>800</v>
      </c>
      <c r="D305" s="3" t="str">
        <f ca="1">VLOOKUP(table_DataQualities[[#This Row],[unit_ID]],table_Units[#All],2)</f>
        <v>+/- cm³/s</v>
      </c>
      <c r="F30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0.38300000000000001</v>
      </c>
      <c r="G30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1.6999999999999999E-3</v>
      </c>
      <c r="H305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1.6999999999999999E-3</v>
      </c>
      <c r="I30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0.38300000000000001</v>
      </c>
      <c r="K305">
        <f t="shared" ca="1" si="70"/>
        <v>0.32</v>
      </c>
      <c r="M30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5" s="3" t="b">
        <f ca="1">VLOOKUP(table_DataQualities[[#This Row],[ID]],dict_zuord_Var_DQ!B:C,2,FALSE)</f>
        <v>0</v>
      </c>
      <c r="O305">
        <f t="shared" ca="1" si="66"/>
        <v>1.5</v>
      </c>
    </row>
    <row r="306" spans="1:15" x14ac:dyDescent="0.45">
      <c r="A306">
        <v>304</v>
      </c>
      <c r="B30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152_Frequenz Hz</v>
      </c>
      <c r="C306">
        <v>100</v>
      </c>
      <c r="D306" s="3" t="str">
        <f>VLOOKUP(table_DataQualities[[#This Row],[unit_ID]],table_Units[#All],2)</f>
        <v>Hz</v>
      </c>
      <c r="F30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8.3000000000000004E-2</v>
      </c>
      <c r="G30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5433.8</v>
      </c>
      <c r="H306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8.3000000000000004E-2</v>
      </c>
      <c r="I30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5433.8</v>
      </c>
      <c r="K306">
        <f t="shared" ca="1" si="70"/>
        <v>0.67</v>
      </c>
      <c r="M30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6" s="3" t="b">
        <f ca="1">VLOOKUP(table_DataQualities[[#This Row],[ID]],dict_zuord_Var_DQ!B:C,2,FALSE)</f>
        <v>0</v>
      </c>
      <c r="O306">
        <f t="shared" ca="1" si="66"/>
        <v>4.5</v>
      </c>
    </row>
    <row r="307" spans="1:15" x14ac:dyDescent="0.45">
      <c r="A307">
        <v>305</v>
      </c>
      <c r="B30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152_Temperaturmessgenauigkeit °C</v>
      </c>
      <c r="C307">
        <f t="shared" ca="1" si="77"/>
        <v>500</v>
      </c>
      <c r="D307" s="3" t="str">
        <f ca="1">VLOOKUP(table_DataQualities[[#This Row],[unit_ID]],table_Units[#All],2)</f>
        <v>+/- °C</v>
      </c>
      <c r="F30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30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30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30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307">
        <f t="shared" ca="1" si="70"/>
        <v>0.18</v>
      </c>
      <c r="M30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7" s="3" t="b">
        <f ca="1">VLOOKUP(table_DataQualities[[#This Row],[ID]],dict_zuord_Var_DQ!B:C,2,FALSE)</f>
        <v>0</v>
      </c>
      <c r="O307">
        <f t="shared" ca="1" si="66"/>
        <v>2.8</v>
      </c>
    </row>
    <row r="308" spans="1:15" x14ac:dyDescent="0.45">
      <c r="A308">
        <v>306</v>
      </c>
      <c r="B30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153_Frequenz Hz</v>
      </c>
      <c r="C308">
        <v>100</v>
      </c>
      <c r="D308" s="3" t="str">
        <f>VLOOKUP(table_DataQualities[[#This Row],[unit_ID]],table_Units[#All],2)</f>
        <v>Hz</v>
      </c>
      <c r="F30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</v>
      </c>
      <c r="G30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2958.1</v>
      </c>
      <c r="H30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</v>
      </c>
      <c r="I30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2958.1</v>
      </c>
      <c r="K308">
        <f t="shared" ca="1" si="70"/>
        <v>0.28999999999999998</v>
      </c>
      <c r="M30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8" s="3" t="b">
        <f ca="1">VLOOKUP(table_DataQualities[[#This Row],[ID]],dict_zuord_Var_DQ!B:C,2,FALSE)</f>
        <v>0</v>
      </c>
      <c r="O308">
        <f t="shared" ca="1" si="66"/>
        <v>3.3</v>
      </c>
    </row>
    <row r="309" spans="1:15" x14ac:dyDescent="0.45">
      <c r="A309">
        <v>307</v>
      </c>
      <c r="B30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153_Temperaturmessgenauigkeit °C</v>
      </c>
      <c r="C309">
        <f t="shared" ref="C309" ca="1" si="79">RANDBETWEEN(5,10)*100</f>
        <v>500</v>
      </c>
      <c r="D309" s="3" t="str">
        <f ca="1">VLOOKUP(table_DataQualities[[#This Row],[unit_ID]],table_Units[#All],2)</f>
        <v>+/- °C</v>
      </c>
      <c r="F30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</v>
      </c>
      <c r="G30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30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30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</v>
      </c>
      <c r="K309">
        <f t="shared" ca="1" si="70"/>
        <v>0.01</v>
      </c>
      <c r="M30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09" s="3" t="b">
        <f ca="1">VLOOKUP(table_DataQualities[[#This Row],[ID]],dict_zuord_Var_DQ!B:C,2,FALSE)</f>
        <v>0</v>
      </c>
      <c r="O309">
        <f t="shared" ca="1" si="66"/>
        <v>3.1</v>
      </c>
    </row>
    <row r="310" spans="1:15" x14ac:dyDescent="0.45">
      <c r="A310">
        <v>308</v>
      </c>
      <c r="B31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154_Frequenz Hz</v>
      </c>
      <c r="C310">
        <v>100</v>
      </c>
      <c r="D310" s="3" t="str">
        <f>VLOOKUP(table_DataQualities[[#This Row],[unit_ID]],table_Units[#All],2)</f>
        <v>Hz</v>
      </c>
      <c r="F31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0.14899999999999999</v>
      </c>
      <c r="G31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9259.6</v>
      </c>
      <c r="H31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0.14899999999999999</v>
      </c>
      <c r="I31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9259.6</v>
      </c>
      <c r="K310">
        <f t="shared" ca="1" si="70"/>
        <v>0.7</v>
      </c>
      <c r="M31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0" s="3" t="b">
        <f ca="1">VLOOKUP(table_DataQualities[[#This Row],[ID]],dict_zuord_Var_DQ!B:C,2,FALSE)</f>
        <v>0</v>
      </c>
      <c r="O310">
        <f t="shared" ca="1" si="66"/>
        <v>3.2</v>
      </c>
    </row>
    <row r="311" spans="1:15" x14ac:dyDescent="0.45">
      <c r="A311">
        <v>309</v>
      </c>
      <c r="B31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154_Bildgröße</v>
      </c>
      <c r="C311">
        <f t="shared" ca="1" si="77"/>
        <v>1000</v>
      </c>
      <c r="D311" s="3" t="str">
        <f ca="1">VLOOKUP(table_DataQualities[[#This Row],[unit_ID]],table_Units[#All],2)</f>
        <v>bit</v>
      </c>
      <c r="F31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53</v>
      </c>
      <c r="G31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9596</v>
      </c>
      <c r="H311" s="9">
        <f ca="1">IF(VLOOKUP(table_DataQualities[[#This Row],[unit_ID]],table_Units[],5)&gt;0,table_DataQualities[[#This Row],[z_worst]],IF(VLOOKUP(table_DataQualities[[#This Row],[unit_ID]],table_Units[],6)=1,table_DataQualities[[#This Row],[z_best]]))</f>
        <v>53</v>
      </c>
      <c r="I31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9596</v>
      </c>
      <c r="K311">
        <f t="shared" ca="1" si="70"/>
        <v>0.36</v>
      </c>
      <c r="M31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1" s="3" t="b">
        <f ca="1">VLOOKUP(table_DataQualities[[#This Row],[ID]],dict_zuord_Var_DQ!B:C,2,FALSE)</f>
        <v>0</v>
      </c>
      <c r="O311">
        <f t="shared" ca="1" si="66"/>
        <v>1.6</v>
      </c>
    </row>
    <row r="312" spans="1:15" x14ac:dyDescent="0.45">
      <c r="A312">
        <v>310</v>
      </c>
      <c r="B31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155_Frequenz Hz</v>
      </c>
      <c r="C312">
        <v>100</v>
      </c>
      <c r="D312" s="3" t="str">
        <f>VLOOKUP(table_DataQualities[[#This Row],[unit_ID]],table_Units[#All],2)</f>
        <v>Hz</v>
      </c>
      <c r="F31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0.63200000000000001</v>
      </c>
      <c r="G31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7578.2</v>
      </c>
      <c r="H31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0.63200000000000001</v>
      </c>
      <c r="I31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7578.2</v>
      </c>
      <c r="K312">
        <f t="shared" ca="1" si="70"/>
        <v>0.97</v>
      </c>
      <c r="M31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2" s="3" t="b">
        <f ca="1">VLOOKUP(table_DataQualities[[#This Row],[ID]],dict_zuord_Var_DQ!B:C,2,FALSE)</f>
        <v>0</v>
      </c>
      <c r="O312">
        <f t="shared" ca="1" si="66"/>
        <v>3.1</v>
      </c>
    </row>
    <row r="313" spans="1:15" x14ac:dyDescent="0.45">
      <c r="A313">
        <v>311</v>
      </c>
      <c r="B31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155_Leistungsmessgenauigkeit W</v>
      </c>
      <c r="C313">
        <f t="shared" ca="1" si="77"/>
        <v>600</v>
      </c>
      <c r="D313" s="3" t="str">
        <f ca="1">VLOOKUP(table_DataQualities[[#This Row],[unit_ID]],table_Units[#All],2)</f>
        <v>+/- W</v>
      </c>
      <c r="F31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3.52</v>
      </c>
      <c r="G31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</v>
      </c>
      <c r="H31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</v>
      </c>
      <c r="I31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3.52</v>
      </c>
      <c r="K313">
        <f t="shared" ca="1" si="70"/>
        <v>0</v>
      </c>
      <c r="M31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3" s="3" t="b">
        <f ca="1">VLOOKUP(table_DataQualities[[#This Row],[ID]],dict_zuord_Var_DQ!B:C,2,FALSE)</f>
        <v>0</v>
      </c>
      <c r="O313">
        <f t="shared" ca="1" si="66"/>
        <v>4.0999999999999996</v>
      </c>
    </row>
    <row r="314" spans="1:15" x14ac:dyDescent="0.45">
      <c r="A314">
        <v>312</v>
      </c>
      <c r="B31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156_Frequenz Hz</v>
      </c>
      <c r="C314">
        <v>100</v>
      </c>
      <c r="D314" s="3" t="str">
        <f>VLOOKUP(table_DataQualities[[#This Row],[unit_ID]],table_Units[#All],2)</f>
        <v>Hz</v>
      </c>
      <c r="F31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0.30099999999999999</v>
      </c>
      <c r="G31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2921.2</v>
      </c>
      <c r="H31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0.30099999999999999</v>
      </c>
      <c r="I31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2921.2</v>
      </c>
      <c r="K314">
        <f t="shared" ca="1" si="70"/>
        <v>0.98</v>
      </c>
      <c r="M31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4" s="3" t="b">
        <f ca="1">VLOOKUP(table_DataQualities[[#This Row],[ID]],dict_zuord_Var_DQ!B:C,2,FALSE)</f>
        <v>0</v>
      </c>
      <c r="O314">
        <f t="shared" ca="1" si="66"/>
        <v>4</v>
      </c>
    </row>
    <row r="315" spans="1:15" x14ac:dyDescent="0.45">
      <c r="A315">
        <v>313</v>
      </c>
      <c r="B31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156_Durchflussmessgenauigkeit cm³/s</v>
      </c>
      <c r="C315">
        <f ca="1">RANDBETWEEN(5,10)*100</f>
        <v>800</v>
      </c>
      <c r="D315" s="3" t="str">
        <f ca="1">VLOOKUP(table_DataQualities[[#This Row],[unit_ID]],table_Units[#All],2)</f>
        <v>+/- cm³/s</v>
      </c>
      <c r="F31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0.82699999999999996</v>
      </c>
      <c r="G31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7.0000000000000001E-3</v>
      </c>
      <c r="H31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7.0000000000000001E-3</v>
      </c>
      <c r="I31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0.82699999999999996</v>
      </c>
      <c r="K315">
        <f t="shared" ca="1" si="70"/>
        <v>0.41</v>
      </c>
      <c r="M31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5" s="3" t="b">
        <f ca="1">VLOOKUP(table_DataQualities[[#This Row],[ID]],dict_zuord_Var_DQ!B:C,2,FALSE)</f>
        <v>0</v>
      </c>
      <c r="O315">
        <f t="shared" ca="1" si="66"/>
        <v>2.4</v>
      </c>
    </row>
    <row r="316" spans="1:15" x14ac:dyDescent="0.45">
      <c r="A316">
        <v>314</v>
      </c>
      <c r="B31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157_Frequenz Hz</v>
      </c>
      <c r="C316">
        <v>100</v>
      </c>
      <c r="D316" s="3" t="str">
        <f>VLOOKUP(table_DataQualities[[#This Row],[unit_ID]],table_Units[#All],2)</f>
        <v>Hz</v>
      </c>
      <c r="F31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0.82699999999999996</v>
      </c>
      <c r="G31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5657.8</v>
      </c>
      <c r="H31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0.82699999999999996</v>
      </c>
      <c r="I31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5657.8</v>
      </c>
      <c r="K316">
        <f t="shared" ca="1" si="70"/>
        <v>0.08</v>
      </c>
      <c r="M31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6" s="3" t="b">
        <f ca="1">VLOOKUP(table_DataQualities[[#This Row],[ID]],dict_zuord_Var_DQ!B:C,2,FALSE)</f>
        <v>0</v>
      </c>
      <c r="O316">
        <f t="shared" ca="1" si="66"/>
        <v>2.2999999999999998</v>
      </c>
    </row>
    <row r="317" spans="1:15" x14ac:dyDescent="0.45">
      <c r="A317">
        <v>315</v>
      </c>
      <c r="B31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157_Längenmessgenauigkeit mm</v>
      </c>
      <c r="C317">
        <f t="shared" ref="C317:C327" ca="1" si="80">RANDBETWEEN(5,10)*100</f>
        <v>900</v>
      </c>
      <c r="D317" s="3" t="str">
        <f ca="1">VLOOKUP(table_DataQualities[[#This Row],[unit_ID]],table_Units[#All],2)</f>
        <v>+/- mm</v>
      </c>
      <c r="F31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7.59</v>
      </c>
      <c r="G31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2E-3</v>
      </c>
      <c r="H31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2E-3</v>
      </c>
      <c r="I31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7.59</v>
      </c>
      <c r="K317">
        <f t="shared" ca="1" si="70"/>
        <v>0.36</v>
      </c>
      <c r="M31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7" s="3" t="b">
        <f ca="1">VLOOKUP(table_DataQualities[[#This Row],[ID]],dict_zuord_Var_DQ!B:C,2,FALSE)</f>
        <v>0</v>
      </c>
      <c r="O317">
        <f t="shared" ca="1" si="66"/>
        <v>5</v>
      </c>
    </row>
    <row r="318" spans="1:15" x14ac:dyDescent="0.45">
      <c r="A318">
        <v>316</v>
      </c>
      <c r="B31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158_Frequenz Hz</v>
      </c>
      <c r="C318">
        <v>100</v>
      </c>
      <c r="D318" s="3" t="str">
        <f>VLOOKUP(table_DataQualities[[#This Row],[unit_ID]],table_Units[#All],2)</f>
        <v>Hz</v>
      </c>
      <c r="F31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0.40500000000000003</v>
      </c>
      <c r="G31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9490</v>
      </c>
      <c r="H31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0.40500000000000003</v>
      </c>
      <c r="I31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9490</v>
      </c>
      <c r="K318">
        <f t="shared" ca="1" si="70"/>
        <v>0.44</v>
      </c>
      <c r="M31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8" s="3" t="b">
        <f ca="1">VLOOKUP(table_DataQualities[[#This Row],[ID]],dict_zuord_Var_DQ!B:C,2,FALSE)</f>
        <v>0</v>
      </c>
      <c r="O318">
        <f t="shared" ca="1" si="66"/>
        <v>2.4</v>
      </c>
    </row>
    <row r="319" spans="1:15" x14ac:dyDescent="0.45">
      <c r="A319">
        <v>317</v>
      </c>
      <c r="B31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158_Geschwindigkeitsmessgenauigkeit mm/s</v>
      </c>
      <c r="C319">
        <f t="shared" ref="C319" ca="1" si="81">RANDBETWEEN(5,10)*100</f>
        <v>700</v>
      </c>
      <c r="D319" s="3" t="str">
        <f ca="1">VLOOKUP(table_DataQualities[[#This Row],[unit_ID]],table_Units[#All],2)</f>
        <v>+/- mm/s</v>
      </c>
      <c r="F31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</v>
      </c>
      <c r="G31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0.21</v>
      </c>
      <c r="H31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</v>
      </c>
      <c r="I31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</v>
      </c>
      <c r="K319">
        <f t="shared" ca="1" si="70"/>
        <v>0.99</v>
      </c>
      <c r="M31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19" s="3" t="b">
        <f ca="1">VLOOKUP(table_DataQualities[[#This Row],[ID]],dict_zuord_Var_DQ!B:C,2,FALSE)</f>
        <v>0</v>
      </c>
      <c r="O319">
        <f t="shared" ca="1" si="66"/>
        <v>4.0999999999999996</v>
      </c>
    </row>
    <row r="320" spans="1:15" x14ac:dyDescent="0.45">
      <c r="A320">
        <v>318</v>
      </c>
      <c r="B32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159_Frequenz Hz</v>
      </c>
      <c r="C320">
        <v>100</v>
      </c>
      <c r="D320" s="3" t="str">
        <f>VLOOKUP(table_DataQualities[[#This Row],[unit_ID]],table_Units[#All],2)</f>
        <v>Hz</v>
      </c>
      <c r="F32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0.67100000000000004</v>
      </c>
      <c r="G32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9392.5</v>
      </c>
      <c r="H32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0.67100000000000004</v>
      </c>
      <c r="I32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9392.5</v>
      </c>
      <c r="K320">
        <f t="shared" ca="1" si="70"/>
        <v>0.1</v>
      </c>
      <c r="M32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0" s="3" t="b">
        <f ca="1">VLOOKUP(table_DataQualities[[#This Row],[ID]],dict_zuord_Var_DQ!B:C,2,FALSE)</f>
        <v>0</v>
      </c>
      <c r="O320">
        <f t="shared" ca="1" si="66"/>
        <v>2.2000000000000002</v>
      </c>
    </row>
    <row r="321" spans="1:15" x14ac:dyDescent="0.45">
      <c r="A321">
        <v>319</v>
      </c>
      <c r="B32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159_Geschwindigkeitsmessgenauigkeit mm/s</v>
      </c>
      <c r="C321">
        <f t="shared" ca="1" si="80"/>
        <v>700</v>
      </c>
      <c r="D321" s="3" t="str">
        <f ca="1">VLOOKUP(table_DataQualities[[#This Row],[unit_ID]],table_Units[#All],2)</f>
        <v>+/- mm/s</v>
      </c>
      <c r="F32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3.9</v>
      </c>
      <c r="G32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0.5</v>
      </c>
      <c r="H32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</v>
      </c>
      <c r="I32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3.9</v>
      </c>
      <c r="K321">
        <f t="shared" ca="1" si="70"/>
        <v>0.75</v>
      </c>
      <c r="M32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1" s="3" t="b">
        <f ca="1">VLOOKUP(table_DataQualities[[#This Row],[ID]],dict_zuord_Var_DQ!B:C,2,FALSE)</f>
        <v>0</v>
      </c>
      <c r="O321">
        <f t="shared" ca="1" si="66"/>
        <v>4.2</v>
      </c>
    </row>
    <row r="322" spans="1:15" x14ac:dyDescent="0.45">
      <c r="A322">
        <v>320</v>
      </c>
      <c r="B32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160_Frequenz Hz</v>
      </c>
      <c r="C322">
        <v>100</v>
      </c>
      <c r="D322" s="3" t="str">
        <f>VLOOKUP(table_DataQualities[[#This Row],[unit_ID]],table_Units[#All],2)</f>
        <v>Hz</v>
      </c>
      <c r="F32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0.45800000000000002</v>
      </c>
      <c r="G32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3716.5</v>
      </c>
      <c r="H32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0.45800000000000002</v>
      </c>
      <c r="I32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3716.5</v>
      </c>
      <c r="K322">
        <f t="shared" ca="1" si="70"/>
        <v>1</v>
      </c>
      <c r="M32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2" s="3" t="b">
        <f ca="1">VLOOKUP(table_DataQualities[[#This Row],[ID]],dict_zuord_Var_DQ!B:C,2,FALSE)</f>
        <v>0</v>
      </c>
      <c r="O322">
        <f t="shared" ca="1" si="66"/>
        <v>1.5</v>
      </c>
    </row>
    <row r="323" spans="1:15" x14ac:dyDescent="0.45">
      <c r="A323">
        <v>321</v>
      </c>
      <c r="B32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160_Temperaturmessgenauigkeit °C</v>
      </c>
      <c r="C323">
        <f t="shared" ref="C323" ca="1" si="82">RANDBETWEEN(5,10)*100</f>
        <v>500</v>
      </c>
      <c r="D323" s="3" t="str">
        <f ca="1">VLOOKUP(table_DataQualities[[#This Row],[unit_ID]],table_Units[#All],2)</f>
        <v>+/- °C</v>
      </c>
      <c r="F32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32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32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32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323">
        <f t="shared" ca="1" si="70"/>
        <v>0.25</v>
      </c>
      <c r="M32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3" s="3" t="b">
        <f ca="1">VLOOKUP(table_DataQualities[[#This Row],[ID]],dict_zuord_Var_DQ!B:C,2,FALSE)</f>
        <v>0</v>
      </c>
      <c r="O323">
        <f t="shared" ref="O323:O386" ca="1" si="83">RANDBETWEEN(12,50)/10</f>
        <v>3.1</v>
      </c>
    </row>
    <row r="324" spans="1:15" x14ac:dyDescent="0.45">
      <c r="A324">
        <v>322</v>
      </c>
      <c r="B32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161_Frequenz Hz</v>
      </c>
      <c r="C324">
        <v>100</v>
      </c>
      <c r="D324" s="3" t="str">
        <f>VLOOKUP(table_DataQualities[[#This Row],[unit_ID]],table_Units[#All],2)</f>
        <v>Hz</v>
      </c>
      <c r="F32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0.74199999999999999</v>
      </c>
      <c r="G32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2631.7</v>
      </c>
      <c r="H32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0.74199999999999999</v>
      </c>
      <c r="I32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2631.7</v>
      </c>
      <c r="K324">
        <f t="shared" ca="1" si="70"/>
        <v>0.55000000000000004</v>
      </c>
      <c r="M32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4" s="3" t="b">
        <f ca="1">VLOOKUP(table_DataQualities[[#This Row],[ID]],dict_zuord_Var_DQ!B:C,2,FALSE)</f>
        <v>0</v>
      </c>
      <c r="O324">
        <f t="shared" ca="1" si="83"/>
        <v>1.6</v>
      </c>
    </row>
    <row r="325" spans="1:15" x14ac:dyDescent="0.45">
      <c r="A325">
        <v>323</v>
      </c>
      <c r="B32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161_Temperaturmessgenauigkeit °C</v>
      </c>
      <c r="C325">
        <f t="shared" ca="1" si="80"/>
        <v>500</v>
      </c>
      <c r="D325" s="3" t="str">
        <f ca="1">VLOOKUP(table_DataQualities[[#This Row],[unit_ID]],table_Units[#All],2)</f>
        <v>+/- °C</v>
      </c>
      <c r="F32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32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32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32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325">
        <f t="shared" ca="1" si="70"/>
        <v>0.12</v>
      </c>
      <c r="M32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5" s="3" t="b">
        <f ca="1">VLOOKUP(table_DataQualities[[#This Row],[ID]],dict_zuord_Var_DQ!B:C,2,FALSE)</f>
        <v>0</v>
      </c>
      <c r="O325">
        <f t="shared" ca="1" si="83"/>
        <v>1.5</v>
      </c>
    </row>
    <row r="326" spans="1:15" x14ac:dyDescent="0.45">
      <c r="A326">
        <v>324</v>
      </c>
      <c r="B32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162_Frequenz Hz</v>
      </c>
      <c r="C326">
        <v>100</v>
      </c>
      <c r="D326" s="3" t="str">
        <f>VLOOKUP(table_DataQualities[[#This Row],[unit_ID]],table_Units[#All],2)</f>
        <v>Hz</v>
      </c>
      <c r="F32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0.435</v>
      </c>
      <c r="G32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7519.6</v>
      </c>
      <c r="H32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0.435</v>
      </c>
      <c r="I32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7519.6</v>
      </c>
      <c r="K326">
        <f t="shared" ca="1" si="70"/>
        <v>0.57999999999999996</v>
      </c>
      <c r="M32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6" s="3" t="b">
        <f ca="1">VLOOKUP(table_DataQualities[[#This Row],[ID]],dict_zuord_Var_DQ!B:C,2,FALSE)</f>
        <v>0</v>
      </c>
      <c r="O326">
        <f t="shared" ca="1" si="83"/>
        <v>2.5</v>
      </c>
    </row>
    <row r="327" spans="1:15" x14ac:dyDescent="0.45">
      <c r="A327">
        <v>325</v>
      </c>
      <c r="B32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162_Geschwindigkeitsmessgenauigkeit mm/s</v>
      </c>
      <c r="C327">
        <f t="shared" ca="1" si="80"/>
        <v>700</v>
      </c>
      <c r="D327" s="3" t="str">
        <f ca="1">VLOOKUP(table_DataQualities[[#This Row],[unit_ID]],table_Units[#All],2)</f>
        <v>+/- mm/s</v>
      </c>
      <c r="F32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7.5</v>
      </c>
      <c r="G32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0.74</v>
      </c>
      <c r="H32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0.74</v>
      </c>
      <c r="I32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7.5</v>
      </c>
      <c r="K327">
        <f t="shared" ca="1" si="70"/>
        <v>0.97</v>
      </c>
      <c r="M32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7" s="3" t="b">
        <f ca="1">VLOOKUP(table_DataQualities[[#This Row],[ID]],dict_zuord_Var_DQ!B:C,2,FALSE)</f>
        <v>0</v>
      </c>
      <c r="O327">
        <f t="shared" ca="1" si="83"/>
        <v>1.6</v>
      </c>
    </row>
    <row r="328" spans="1:15" x14ac:dyDescent="0.45">
      <c r="A328">
        <v>326</v>
      </c>
      <c r="B32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163_Frequenz Hz</v>
      </c>
      <c r="C328">
        <v>100</v>
      </c>
      <c r="D328" s="3" t="str">
        <f>VLOOKUP(table_DataQualities[[#This Row],[unit_ID]],table_Units[#All],2)</f>
        <v>Hz</v>
      </c>
      <c r="F32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1.2E-2</v>
      </c>
      <c r="G32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437.7</v>
      </c>
      <c r="H328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1.2E-2</v>
      </c>
      <c r="I32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437.7</v>
      </c>
      <c r="K328">
        <f t="shared" ca="1" si="70"/>
        <v>0.59</v>
      </c>
      <c r="M32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8" s="3" t="b">
        <f ca="1">VLOOKUP(table_DataQualities[[#This Row],[ID]],dict_zuord_Var_DQ!B:C,2,FALSE)</f>
        <v>0</v>
      </c>
      <c r="O328">
        <f t="shared" ca="1" si="83"/>
        <v>3.7</v>
      </c>
    </row>
    <row r="329" spans="1:15" x14ac:dyDescent="0.45">
      <c r="A329">
        <v>327</v>
      </c>
      <c r="B32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163_Längenmessgenauigkeit mm</v>
      </c>
      <c r="C329">
        <f ca="1">RANDBETWEEN(5,10)*100</f>
        <v>900</v>
      </c>
      <c r="D329" s="3" t="str">
        <f ca="1">VLOOKUP(table_DataQualities[[#This Row],[unit_ID]],table_Units[#All],2)</f>
        <v>+/- mm</v>
      </c>
      <c r="F32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1.51</v>
      </c>
      <c r="G32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7.4999999999999997E-2</v>
      </c>
      <c r="H32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7.4999999999999997E-2</v>
      </c>
      <c r="I32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1.51</v>
      </c>
      <c r="K329">
        <f t="shared" ca="1" si="70"/>
        <v>0.83</v>
      </c>
      <c r="M32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29" s="3" t="b">
        <f ca="1">VLOOKUP(table_DataQualities[[#This Row],[ID]],dict_zuord_Var_DQ!B:C,2,FALSE)</f>
        <v>0</v>
      </c>
      <c r="O329">
        <f t="shared" ca="1" si="83"/>
        <v>2.6</v>
      </c>
    </row>
    <row r="330" spans="1:15" x14ac:dyDescent="0.45">
      <c r="A330">
        <v>328</v>
      </c>
      <c r="B33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164_Frequenz Hz</v>
      </c>
      <c r="C330">
        <v>100</v>
      </c>
      <c r="D330" s="3" t="str">
        <f>VLOOKUP(table_DataQualities[[#This Row],[unit_ID]],table_Units[#All],2)</f>
        <v>Hz</v>
      </c>
      <c r="F33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0.58599999999999997</v>
      </c>
      <c r="G33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6374.7</v>
      </c>
      <c r="H33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0.58599999999999997</v>
      </c>
      <c r="I33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6374.7</v>
      </c>
      <c r="K330">
        <f t="shared" ca="1" si="70"/>
        <v>0.53</v>
      </c>
      <c r="M33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0" s="3" t="b">
        <f ca="1">VLOOKUP(table_DataQualities[[#This Row],[ID]],dict_zuord_Var_DQ!B:C,2,FALSE)</f>
        <v>0</v>
      </c>
      <c r="O330">
        <f t="shared" ca="1" si="83"/>
        <v>2</v>
      </c>
    </row>
    <row r="331" spans="1:15" x14ac:dyDescent="0.45">
      <c r="A331">
        <v>329</v>
      </c>
      <c r="B33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164_Geschwindigkeitsmessgenauigkeit mm/s</v>
      </c>
      <c r="C331">
        <f t="shared" ref="C331:C341" ca="1" si="84">RANDBETWEEN(5,10)*100</f>
        <v>700</v>
      </c>
      <c r="D331" s="3" t="str">
        <f ca="1">VLOOKUP(table_DataQualities[[#This Row],[unit_ID]],table_Units[#All],2)</f>
        <v>+/- mm/s</v>
      </c>
      <c r="F33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1.3</v>
      </c>
      <c r="G33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0.96</v>
      </c>
      <c r="H33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0.96</v>
      </c>
      <c r="I33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1.3</v>
      </c>
      <c r="K331">
        <f t="shared" ca="1" si="70"/>
        <v>0.79</v>
      </c>
      <c r="M33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1" s="3" t="b">
        <f ca="1">VLOOKUP(table_DataQualities[[#This Row],[ID]],dict_zuord_Var_DQ!B:C,2,FALSE)</f>
        <v>0</v>
      </c>
      <c r="O331">
        <f t="shared" ca="1" si="83"/>
        <v>2.8</v>
      </c>
    </row>
    <row r="332" spans="1:15" x14ac:dyDescent="0.45">
      <c r="A332">
        <v>330</v>
      </c>
      <c r="B33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165_Frequenz Hz</v>
      </c>
      <c r="C332">
        <v>100</v>
      </c>
      <c r="D332" s="3" t="str">
        <f>VLOOKUP(table_DataQualities[[#This Row],[unit_ID]],table_Units[#All],2)</f>
        <v>Hz</v>
      </c>
      <c r="F33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0.95499999999999996</v>
      </c>
      <c r="G33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2056.1</v>
      </c>
      <c r="H33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0.95499999999999996</v>
      </c>
      <c r="I33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2056.1</v>
      </c>
      <c r="K332">
        <f t="shared" ca="1" si="70"/>
        <v>0.79</v>
      </c>
      <c r="M33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2" s="3" t="b">
        <f ca="1">VLOOKUP(table_DataQualities[[#This Row],[ID]],dict_zuord_Var_DQ!B:C,2,FALSE)</f>
        <v>0</v>
      </c>
      <c r="O332">
        <f t="shared" ca="1" si="83"/>
        <v>4.3</v>
      </c>
    </row>
    <row r="333" spans="1:15" x14ac:dyDescent="0.45">
      <c r="A333">
        <v>331</v>
      </c>
      <c r="B33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165_Leistungsmessgenauigkeit W</v>
      </c>
      <c r="C333">
        <f t="shared" ref="C333" ca="1" si="85">RANDBETWEEN(5,10)*100</f>
        <v>600</v>
      </c>
      <c r="D333" s="3" t="str">
        <f ca="1">VLOOKUP(table_DataQualities[[#This Row],[unit_ID]],table_Units[#All],2)</f>
        <v>+/- W</v>
      </c>
      <c r="F33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1.17</v>
      </c>
      <c r="G33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5.1999999999999998E-2</v>
      </c>
      <c r="H33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5.1999999999999998E-2</v>
      </c>
      <c r="I33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1.17</v>
      </c>
      <c r="K333">
        <f t="shared" ca="1" si="70"/>
        <v>0.11</v>
      </c>
      <c r="M33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3" s="3" t="b">
        <f ca="1">VLOOKUP(table_DataQualities[[#This Row],[ID]],dict_zuord_Var_DQ!B:C,2,FALSE)</f>
        <v>0</v>
      </c>
      <c r="O333">
        <f t="shared" ca="1" si="83"/>
        <v>2</v>
      </c>
    </row>
    <row r="334" spans="1:15" x14ac:dyDescent="0.45">
      <c r="A334">
        <v>332</v>
      </c>
      <c r="B33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166_Frequenz Hz</v>
      </c>
      <c r="C334">
        <v>100</v>
      </c>
      <c r="D334" s="3" t="str">
        <f>VLOOKUP(table_DataQualities[[#This Row],[unit_ID]],table_Units[#All],2)</f>
        <v>Hz</v>
      </c>
      <c r="F33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0.17799999999999999</v>
      </c>
      <c r="G33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9778.5</v>
      </c>
      <c r="H33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0.17799999999999999</v>
      </c>
      <c r="I33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9778.5</v>
      </c>
      <c r="K334">
        <f t="shared" ca="1" si="70"/>
        <v>0.63</v>
      </c>
      <c r="M33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4" s="3" t="b">
        <f ca="1">VLOOKUP(table_DataQualities[[#This Row],[ID]],dict_zuord_Var_DQ!B:C,2,FALSE)</f>
        <v>0</v>
      </c>
      <c r="O334">
        <f t="shared" ca="1" si="83"/>
        <v>5</v>
      </c>
    </row>
    <row r="335" spans="1:15" x14ac:dyDescent="0.45">
      <c r="A335">
        <v>333</v>
      </c>
      <c r="B33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166_Geschwindigkeitsmessgenauigkeit mm/s</v>
      </c>
      <c r="C335">
        <f t="shared" ca="1" si="84"/>
        <v>700</v>
      </c>
      <c r="D335" s="3" t="str">
        <f ca="1">VLOOKUP(table_DataQualities[[#This Row],[unit_ID]],table_Units[#All],2)</f>
        <v>+/- mm/s</v>
      </c>
      <c r="F33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6.5</v>
      </c>
      <c r="G33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0.9</v>
      </c>
      <c r="H33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</v>
      </c>
      <c r="I33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6.5</v>
      </c>
      <c r="K335">
        <f t="shared" ref="K335:K398" ca="1" si="86">ROUND(RAND(),2)</f>
        <v>0.83</v>
      </c>
      <c r="M33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5" s="3" t="b">
        <f ca="1">VLOOKUP(table_DataQualities[[#This Row],[ID]],dict_zuord_Var_DQ!B:C,2,FALSE)</f>
        <v>0</v>
      </c>
      <c r="O335">
        <f t="shared" ca="1" si="83"/>
        <v>4.4000000000000004</v>
      </c>
    </row>
    <row r="336" spans="1:15" x14ac:dyDescent="0.45">
      <c r="A336">
        <v>334</v>
      </c>
      <c r="B33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167_Frequenz Hz</v>
      </c>
      <c r="C336">
        <v>100</v>
      </c>
      <c r="D336" s="3" t="str">
        <f>VLOOKUP(table_DataQualities[[#This Row],[unit_ID]],table_Units[#All],2)</f>
        <v>Hz</v>
      </c>
      <c r="F33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0.37</v>
      </c>
      <c r="G33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3335.1</v>
      </c>
      <c r="H33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0.37</v>
      </c>
      <c r="I33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3335.1</v>
      </c>
      <c r="K336">
        <f t="shared" ca="1" si="86"/>
        <v>0.9</v>
      </c>
      <c r="M33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6" s="3" t="b">
        <f ca="1">VLOOKUP(table_DataQualities[[#This Row],[ID]],dict_zuord_Var_DQ!B:C,2,FALSE)</f>
        <v>0</v>
      </c>
      <c r="O336">
        <f t="shared" ca="1" si="83"/>
        <v>4.5999999999999996</v>
      </c>
    </row>
    <row r="337" spans="1:15" x14ac:dyDescent="0.45">
      <c r="A337">
        <v>335</v>
      </c>
      <c r="B33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167_Durchflussmessgenauigkeit cm³/s</v>
      </c>
      <c r="C337">
        <f t="shared" ref="C337" ca="1" si="87">RANDBETWEEN(5,10)*100</f>
        <v>800</v>
      </c>
      <c r="D337" s="3" t="str">
        <f ca="1">VLOOKUP(table_DataQualities[[#This Row],[unit_ID]],table_Units[#All],2)</f>
        <v>+/- cm³/s</v>
      </c>
      <c r="F33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2.4E-2</v>
      </c>
      <c r="G33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4.5999999999999999E-3</v>
      </c>
      <c r="H337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4.5999999999999999E-3</v>
      </c>
      <c r="I33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2.4E-2</v>
      </c>
      <c r="K337">
        <f t="shared" ca="1" si="86"/>
        <v>0.37</v>
      </c>
      <c r="M33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7" s="3" t="b">
        <f ca="1">VLOOKUP(table_DataQualities[[#This Row],[ID]],dict_zuord_Var_DQ!B:C,2,FALSE)</f>
        <v>0</v>
      </c>
      <c r="O337">
        <f t="shared" ca="1" si="83"/>
        <v>4.2</v>
      </c>
    </row>
    <row r="338" spans="1:15" x14ac:dyDescent="0.45">
      <c r="A338">
        <v>336</v>
      </c>
      <c r="B33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168_Frequenz Hz</v>
      </c>
      <c r="C338">
        <v>100</v>
      </c>
      <c r="D338" s="3" t="str">
        <f>VLOOKUP(table_DataQualities[[#This Row],[unit_ID]],table_Units[#All],2)</f>
        <v>Hz</v>
      </c>
      <c r="F33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0.625</v>
      </c>
      <c r="G33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4453.6000000000004</v>
      </c>
      <c r="H33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0.625</v>
      </c>
      <c r="I33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4453.6000000000004</v>
      </c>
      <c r="K338">
        <f t="shared" ca="1" si="86"/>
        <v>0.87</v>
      </c>
      <c r="M33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8" s="3" t="b">
        <f ca="1">VLOOKUP(table_DataQualities[[#This Row],[ID]],dict_zuord_Var_DQ!B:C,2,FALSE)</f>
        <v>0</v>
      </c>
      <c r="O338">
        <f t="shared" ca="1" si="83"/>
        <v>4</v>
      </c>
    </row>
    <row r="339" spans="1:15" x14ac:dyDescent="0.45">
      <c r="A339">
        <v>337</v>
      </c>
      <c r="B33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168_Längenmessgenauigkeit mm</v>
      </c>
      <c r="C339">
        <f t="shared" ca="1" si="84"/>
        <v>900</v>
      </c>
      <c r="D339" s="3" t="str">
        <f ca="1">VLOOKUP(table_DataQualities[[#This Row],[unit_ID]],table_Units[#All],2)</f>
        <v>+/- mm</v>
      </c>
      <c r="F33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3.44</v>
      </c>
      <c r="G33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8.0000000000000002E-3</v>
      </c>
      <c r="H33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8.0000000000000002E-3</v>
      </c>
      <c r="I33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3.44</v>
      </c>
      <c r="K339">
        <f t="shared" ca="1" si="86"/>
        <v>0.99</v>
      </c>
      <c r="M33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39" s="3" t="b">
        <f ca="1">VLOOKUP(table_DataQualities[[#This Row],[ID]],dict_zuord_Var_DQ!B:C,2,FALSE)</f>
        <v>0</v>
      </c>
      <c r="O339">
        <f t="shared" ca="1" si="83"/>
        <v>1.7</v>
      </c>
    </row>
    <row r="340" spans="1:15" x14ac:dyDescent="0.45">
      <c r="A340">
        <v>338</v>
      </c>
      <c r="B34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169_Frequenz Hz</v>
      </c>
      <c r="C340">
        <v>100</v>
      </c>
      <c r="D340" s="3" t="str">
        <f>VLOOKUP(table_DataQualities[[#This Row],[unit_ID]],table_Units[#All],2)</f>
        <v>Hz</v>
      </c>
      <c r="F34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0.71199999999999997</v>
      </c>
      <c r="G34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491.7</v>
      </c>
      <c r="H34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0.71199999999999997</v>
      </c>
      <c r="I34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491.7</v>
      </c>
      <c r="K340">
        <f t="shared" ca="1" si="86"/>
        <v>7.0000000000000007E-2</v>
      </c>
      <c r="M34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0" s="3" t="b">
        <f ca="1">VLOOKUP(table_DataQualities[[#This Row],[ID]],dict_zuord_Var_DQ!B:C,2,FALSE)</f>
        <v>0</v>
      </c>
      <c r="O340">
        <f t="shared" ca="1" si="83"/>
        <v>3.6</v>
      </c>
    </row>
    <row r="341" spans="1:15" x14ac:dyDescent="0.45">
      <c r="A341">
        <v>339</v>
      </c>
      <c r="B34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169_Leistungsmessgenauigkeit W</v>
      </c>
      <c r="C341">
        <f t="shared" ca="1" si="84"/>
        <v>600</v>
      </c>
      <c r="D341" s="3" t="str">
        <f ca="1">VLOOKUP(table_DataQualities[[#This Row],[unit_ID]],table_Units[#All],2)</f>
        <v>+/- W</v>
      </c>
      <c r="F34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</v>
      </c>
      <c r="G34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6.7000000000000004E-2</v>
      </c>
      <c r="H34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6.7000000000000004E-2</v>
      </c>
      <c r="I34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0.99</v>
      </c>
      <c r="K341">
        <f t="shared" ca="1" si="86"/>
        <v>0.17</v>
      </c>
      <c r="M34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1" s="3" t="b">
        <f ca="1">VLOOKUP(table_DataQualities[[#This Row],[ID]],dict_zuord_Var_DQ!B:C,2,FALSE)</f>
        <v>0</v>
      </c>
      <c r="O341">
        <f t="shared" ca="1" si="83"/>
        <v>2.5</v>
      </c>
    </row>
    <row r="342" spans="1:15" x14ac:dyDescent="0.45">
      <c r="A342">
        <v>340</v>
      </c>
      <c r="B34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170_Frequenz Hz</v>
      </c>
      <c r="C342">
        <v>100</v>
      </c>
      <c r="D342" s="3" t="str">
        <f>VLOOKUP(table_DataQualities[[#This Row],[unit_ID]],table_Units[#All],2)</f>
        <v>Hz</v>
      </c>
      <c r="F34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0.82399999999999995</v>
      </c>
      <c r="G34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8186.6</v>
      </c>
      <c r="H34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0.82399999999999995</v>
      </c>
      <c r="I34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8186.6</v>
      </c>
      <c r="K342">
        <f t="shared" ca="1" si="86"/>
        <v>0.13</v>
      </c>
      <c r="M34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2" s="3" t="b">
        <f ca="1">VLOOKUP(table_DataQualities[[#This Row],[ID]],dict_zuord_Var_DQ!B:C,2,FALSE)</f>
        <v>0</v>
      </c>
      <c r="O342">
        <f t="shared" ca="1" si="83"/>
        <v>2.2999999999999998</v>
      </c>
    </row>
    <row r="343" spans="1:15" x14ac:dyDescent="0.45">
      <c r="A343">
        <v>341</v>
      </c>
      <c r="B34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170_Geschwindigkeitsmessgenauigkeit mm/s</v>
      </c>
      <c r="C343">
        <f ca="1">RANDBETWEEN(5,10)*100</f>
        <v>700</v>
      </c>
      <c r="D343" s="3" t="str">
        <f ca="1">VLOOKUP(table_DataQualities[[#This Row],[unit_ID]],table_Units[#All],2)</f>
        <v>+/- mm/s</v>
      </c>
      <c r="F34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1.8</v>
      </c>
      <c r="G34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0.26</v>
      </c>
      <c r="H34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0.26</v>
      </c>
      <c r="I34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1.8</v>
      </c>
      <c r="K343">
        <f t="shared" ca="1" si="86"/>
        <v>0.82</v>
      </c>
      <c r="M34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3" s="3" t="b">
        <f ca="1">VLOOKUP(table_DataQualities[[#This Row],[ID]],dict_zuord_Var_DQ!B:C,2,FALSE)</f>
        <v>0</v>
      </c>
      <c r="O343">
        <f t="shared" ca="1" si="83"/>
        <v>1.9</v>
      </c>
    </row>
    <row r="344" spans="1:15" x14ac:dyDescent="0.45">
      <c r="A344">
        <v>342</v>
      </c>
      <c r="B34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171_Frequenz Hz</v>
      </c>
      <c r="C344">
        <v>100</v>
      </c>
      <c r="D344" s="3" t="str">
        <f>VLOOKUP(table_DataQualities[[#This Row],[unit_ID]],table_Units[#All],2)</f>
        <v>Hz</v>
      </c>
      <c r="F34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0.14799999999999999</v>
      </c>
      <c r="G34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8775.2000000000007</v>
      </c>
      <c r="H34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0.14799999999999999</v>
      </c>
      <c r="I34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8775.2000000000007</v>
      </c>
      <c r="K344">
        <f t="shared" ca="1" si="86"/>
        <v>0.75</v>
      </c>
      <c r="M34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4" s="3" t="b">
        <f ca="1">VLOOKUP(table_DataQualities[[#This Row],[ID]],dict_zuord_Var_DQ!B:C,2,FALSE)</f>
        <v>0</v>
      </c>
      <c r="O344">
        <f t="shared" ca="1" si="83"/>
        <v>3.5</v>
      </c>
    </row>
    <row r="345" spans="1:15" x14ac:dyDescent="0.45">
      <c r="A345">
        <v>343</v>
      </c>
      <c r="B34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171_Leistungsmessgenauigkeit W</v>
      </c>
      <c r="C345">
        <f t="shared" ref="C345:C355" ca="1" si="88">RANDBETWEEN(5,10)*100</f>
        <v>600</v>
      </c>
      <c r="D345" s="3" t="str">
        <f ca="1">VLOOKUP(table_DataQualities[[#This Row],[unit_ID]],table_Units[#All],2)</f>
        <v>+/- W</v>
      </c>
      <c r="F34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6.54</v>
      </c>
      <c r="G34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6.9000000000000006E-2</v>
      </c>
      <c r="H345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6.9000000000000006E-2</v>
      </c>
      <c r="I34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6.54</v>
      </c>
      <c r="K345">
        <f t="shared" ca="1" si="86"/>
        <v>0.94</v>
      </c>
      <c r="M34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5" s="3" t="b">
        <f ca="1">VLOOKUP(table_DataQualities[[#This Row],[ID]],dict_zuord_Var_DQ!B:C,2,FALSE)</f>
        <v>0</v>
      </c>
      <c r="O345">
        <f t="shared" ca="1" si="83"/>
        <v>5</v>
      </c>
    </row>
    <row r="346" spans="1:15" x14ac:dyDescent="0.45">
      <c r="A346">
        <v>344</v>
      </c>
      <c r="B34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172_Frequenz Hz</v>
      </c>
      <c r="C346">
        <v>100</v>
      </c>
      <c r="D346" s="3" t="str">
        <f>VLOOKUP(table_DataQualities[[#This Row],[unit_ID]],table_Units[#All],2)</f>
        <v>Hz</v>
      </c>
      <c r="F34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0.63200000000000001</v>
      </c>
      <c r="G34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8154.5</v>
      </c>
      <c r="H34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0.63200000000000001</v>
      </c>
      <c r="I34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8154.5</v>
      </c>
      <c r="K346">
        <f t="shared" ca="1" si="86"/>
        <v>0.65</v>
      </c>
      <c r="M34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6" s="3" t="b">
        <f ca="1">VLOOKUP(table_DataQualities[[#This Row],[ID]],dict_zuord_Var_DQ!B:C,2,FALSE)</f>
        <v>0</v>
      </c>
      <c r="O346">
        <f t="shared" ca="1" si="83"/>
        <v>3.5</v>
      </c>
    </row>
    <row r="347" spans="1:15" x14ac:dyDescent="0.45">
      <c r="A347">
        <v>345</v>
      </c>
      <c r="B34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172_Temperaturmessgenauigkeit °C</v>
      </c>
      <c r="C347">
        <f t="shared" ref="C347" ca="1" si="89">RANDBETWEEN(5,10)*100</f>
        <v>500</v>
      </c>
      <c r="D347" s="3" t="str">
        <f ca="1">VLOOKUP(table_DataQualities[[#This Row],[unit_ID]],table_Units[#All],2)</f>
        <v>+/- °C</v>
      </c>
      <c r="F34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</v>
      </c>
      <c r="G34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</v>
      </c>
      <c r="H34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</v>
      </c>
      <c r="I34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</v>
      </c>
      <c r="K347">
        <f t="shared" ca="1" si="86"/>
        <v>0.47</v>
      </c>
      <c r="M34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7" s="3" t="b">
        <f ca="1">VLOOKUP(table_DataQualities[[#This Row],[ID]],dict_zuord_Var_DQ!B:C,2,FALSE)</f>
        <v>0</v>
      </c>
      <c r="O347">
        <f t="shared" ca="1" si="83"/>
        <v>4.9000000000000004</v>
      </c>
    </row>
    <row r="348" spans="1:15" x14ac:dyDescent="0.45">
      <c r="A348">
        <v>346</v>
      </c>
      <c r="B34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173_Frequenz Hz</v>
      </c>
      <c r="C348">
        <v>100</v>
      </c>
      <c r="D348" s="3" t="str">
        <f>VLOOKUP(table_DataQualities[[#This Row],[unit_ID]],table_Units[#All],2)</f>
        <v>Hz</v>
      </c>
      <c r="F34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0.627</v>
      </c>
      <c r="G34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4822.8</v>
      </c>
      <c r="H34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0.627</v>
      </c>
      <c r="I34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4822.8</v>
      </c>
      <c r="K348">
        <f t="shared" ca="1" si="86"/>
        <v>0.88</v>
      </c>
      <c r="M34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8" s="3" t="b">
        <f ca="1">VLOOKUP(table_DataQualities[[#This Row],[ID]],dict_zuord_Var_DQ!B:C,2,FALSE)</f>
        <v>0</v>
      </c>
      <c r="O348">
        <f t="shared" ca="1" si="83"/>
        <v>1.9</v>
      </c>
    </row>
    <row r="349" spans="1:15" x14ac:dyDescent="0.45">
      <c r="A349">
        <v>347</v>
      </c>
      <c r="B34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173_Geschwindigkeitsmessgenauigkeit mm/s</v>
      </c>
      <c r="C349">
        <f t="shared" ca="1" si="88"/>
        <v>700</v>
      </c>
      <c r="D349" s="3" t="str">
        <f ca="1">VLOOKUP(table_DataQualities[[#This Row],[unit_ID]],table_Units[#All],2)</f>
        <v>+/- mm/s</v>
      </c>
      <c r="F34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7.4</v>
      </c>
      <c r="G34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0.85</v>
      </c>
      <c r="H34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</v>
      </c>
      <c r="I34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7.4</v>
      </c>
      <c r="K349">
        <f t="shared" ca="1" si="86"/>
        <v>0.93</v>
      </c>
      <c r="M34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49" s="3" t="b">
        <f ca="1">VLOOKUP(table_DataQualities[[#This Row],[ID]],dict_zuord_Var_DQ!B:C,2,FALSE)</f>
        <v>0</v>
      </c>
      <c r="O349">
        <f t="shared" ca="1" si="83"/>
        <v>1.4</v>
      </c>
    </row>
    <row r="350" spans="1:15" x14ac:dyDescent="0.45">
      <c r="A350">
        <v>348</v>
      </c>
      <c r="B35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174_Frequenz Hz</v>
      </c>
      <c r="C350">
        <v>100</v>
      </c>
      <c r="D350" s="3" t="str">
        <f>VLOOKUP(table_DataQualities[[#This Row],[unit_ID]],table_Units[#All],2)</f>
        <v>Hz</v>
      </c>
      <c r="F35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0.73899999999999999</v>
      </c>
      <c r="G35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1372.4</v>
      </c>
      <c r="H35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0.73899999999999999</v>
      </c>
      <c r="I35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1372.4</v>
      </c>
      <c r="K350">
        <f t="shared" ca="1" si="86"/>
        <v>0.76</v>
      </c>
      <c r="M35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0" s="3" t="b">
        <f ca="1">VLOOKUP(table_DataQualities[[#This Row],[ID]],dict_zuord_Var_DQ!B:C,2,FALSE)</f>
        <v>0</v>
      </c>
      <c r="O350">
        <f t="shared" ca="1" si="83"/>
        <v>1.5</v>
      </c>
    </row>
    <row r="351" spans="1:15" x14ac:dyDescent="0.45">
      <c r="A351">
        <v>349</v>
      </c>
      <c r="B35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174_Durchflussmessgenauigkeit cm³/s</v>
      </c>
      <c r="C351">
        <f t="shared" ref="C351" ca="1" si="90">RANDBETWEEN(5,10)*100</f>
        <v>800</v>
      </c>
      <c r="D351" s="3" t="str">
        <f ca="1">VLOOKUP(table_DataQualities[[#This Row],[unit_ID]],table_Units[#All],2)</f>
        <v>+/- cm³/s</v>
      </c>
      <c r="F35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0.46</v>
      </c>
      <c r="G35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6.0000000000000001E-3</v>
      </c>
      <c r="H351" s="9">
        <f ca="1">IF(VLOOKUP(table_DataQualities[[#This Row],[unit_ID]],table_Units[],5)&gt;0,table_DataQualities[[#This Row],[z_worst]],IF(VLOOKUP(table_DataQualities[[#This Row],[unit_ID]],table_Units[],6)=1,table_DataQualities[[#This Row],[z_best]]))</f>
        <v>6.0000000000000001E-3</v>
      </c>
      <c r="I35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0.46</v>
      </c>
      <c r="K351">
        <f t="shared" ca="1" si="86"/>
        <v>0.55000000000000004</v>
      </c>
      <c r="M35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1" s="3" t="b">
        <f ca="1">VLOOKUP(table_DataQualities[[#This Row],[ID]],dict_zuord_Var_DQ!B:C,2,FALSE)</f>
        <v>0</v>
      </c>
      <c r="O351">
        <f t="shared" ca="1" si="83"/>
        <v>1.4</v>
      </c>
    </row>
    <row r="352" spans="1:15" x14ac:dyDescent="0.45">
      <c r="A352">
        <v>350</v>
      </c>
      <c r="B35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175_Frequenz Hz</v>
      </c>
      <c r="C352">
        <v>100</v>
      </c>
      <c r="D352" s="3" t="str">
        <f>VLOOKUP(table_DataQualities[[#This Row],[unit_ID]],table_Units[#All],2)</f>
        <v>Hz</v>
      </c>
      <c r="F35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0.73199999999999998</v>
      </c>
      <c r="G35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3823.4</v>
      </c>
      <c r="H35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0.73199999999999998</v>
      </c>
      <c r="I35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3823.4</v>
      </c>
      <c r="K352">
        <f t="shared" ca="1" si="86"/>
        <v>0.59</v>
      </c>
      <c r="M35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2" s="3" t="b">
        <f ca="1">VLOOKUP(table_DataQualities[[#This Row],[ID]],dict_zuord_Var_DQ!B:C,2,FALSE)</f>
        <v>0</v>
      </c>
      <c r="O352">
        <f t="shared" ca="1" si="83"/>
        <v>4.7</v>
      </c>
    </row>
    <row r="353" spans="1:15" x14ac:dyDescent="0.45">
      <c r="A353">
        <v>351</v>
      </c>
      <c r="B35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175_Leistungsmessgenauigkeit W</v>
      </c>
      <c r="C353">
        <f t="shared" ca="1" si="88"/>
        <v>600</v>
      </c>
      <c r="D353" s="3" t="str">
        <f ca="1">VLOOKUP(table_DataQualities[[#This Row],[unit_ID]],table_Units[#All],2)</f>
        <v>+/- W</v>
      </c>
      <c r="F35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9.75</v>
      </c>
      <c r="G35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2.1000000000000001E-2</v>
      </c>
      <c r="H353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2.1000000000000001E-2</v>
      </c>
      <c r="I35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9.75</v>
      </c>
      <c r="K353">
        <f t="shared" ca="1" si="86"/>
        <v>0.9</v>
      </c>
      <c r="M35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3" s="3" t="b">
        <f ca="1">VLOOKUP(table_DataQualities[[#This Row],[ID]],dict_zuord_Var_DQ!B:C,2,FALSE)</f>
        <v>0</v>
      </c>
      <c r="O353">
        <f t="shared" ca="1" si="83"/>
        <v>2.9</v>
      </c>
    </row>
    <row r="354" spans="1:15" x14ac:dyDescent="0.45">
      <c r="A354">
        <v>352</v>
      </c>
      <c r="B35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176_Frequenz Hz</v>
      </c>
      <c r="C354">
        <v>100</v>
      </c>
      <c r="D354" s="3" t="str">
        <f>VLOOKUP(table_DataQualities[[#This Row],[unit_ID]],table_Units[#All],2)</f>
        <v>Hz</v>
      </c>
      <c r="F35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0.152</v>
      </c>
      <c r="G35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1654.5</v>
      </c>
      <c r="H35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0.152</v>
      </c>
      <c r="I35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1654.5</v>
      </c>
      <c r="K354">
        <f t="shared" ca="1" si="86"/>
        <v>0.21</v>
      </c>
      <c r="M35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4" s="3" t="b">
        <f ca="1">VLOOKUP(table_DataQualities[[#This Row],[ID]],dict_zuord_Var_DQ!B:C,2,FALSE)</f>
        <v>0</v>
      </c>
      <c r="O354">
        <f t="shared" ca="1" si="83"/>
        <v>3.9</v>
      </c>
    </row>
    <row r="355" spans="1:15" x14ac:dyDescent="0.45">
      <c r="A355">
        <v>353</v>
      </c>
      <c r="B35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176_Durchflussmessgenauigkeit cm³/s</v>
      </c>
      <c r="C355">
        <f t="shared" ca="1" si="88"/>
        <v>800</v>
      </c>
      <c r="D355" s="3" t="str">
        <f ca="1">VLOOKUP(table_DataQualities[[#This Row],[unit_ID]],table_Units[#All],2)</f>
        <v>+/- cm³/s</v>
      </c>
      <c r="F35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0.86599999999999999</v>
      </c>
      <c r="G35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8.8999999999999999E-3</v>
      </c>
      <c r="H355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8.8999999999999999E-3</v>
      </c>
      <c r="I35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0.86599999999999999</v>
      </c>
      <c r="K355">
        <f t="shared" ca="1" si="86"/>
        <v>0.89</v>
      </c>
      <c r="M35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5" s="3" t="b">
        <f ca="1">VLOOKUP(table_DataQualities[[#This Row],[ID]],dict_zuord_Var_DQ!B:C,2,FALSE)</f>
        <v>0</v>
      </c>
      <c r="O355">
        <f t="shared" ca="1" si="83"/>
        <v>1.8</v>
      </c>
    </row>
    <row r="356" spans="1:15" x14ac:dyDescent="0.45">
      <c r="A356">
        <v>354</v>
      </c>
      <c r="B35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177_Frequenz Hz</v>
      </c>
      <c r="C356">
        <v>100</v>
      </c>
      <c r="D356" s="3" t="str">
        <f>VLOOKUP(table_DataQualities[[#This Row],[unit_ID]],table_Units[#All],2)</f>
        <v>Hz</v>
      </c>
      <c r="F35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0.82899999999999996</v>
      </c>
      <c r="G35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726.4</v>
      </c>
      <c r="H35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0.82899999999999996</v>
      </c>
      <c r="I35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726.4</v>
      </c>
      <c r="K356">
        <f t="shared" ca="1" si="86"/>
        <v>0.92</v>
      </c>
      <c r="M35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6" s="3" t="b">
        <f ca="1">VLOOKUP(table_DataQualities[[#This Row],[ID]],dict_zuord_Var_DQ!B:C,2,FALSE)</f>
        <v>0</v>
      </c>
      <c r="O356">
        <f t="shared" ca="1" si="83"/>
        <v>1.4</v>
      </c>
    </row>
    <row r="357" spans="1:15" x14ac:dyDescent="0.45">
      <c r="A357">
        <v>355</v>
      </c>
      <c r="B35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177_Längenmessgenauigkeit mm</v>
      </c>
      <c r="C357">
        <f ca="1">RANDBETWEEN(5,10)*100</f>
        <v>900</v>
      </c>
      <c r="D357" s="3" t="str">
        <f ca="1">VLOOKUP(table_DataQualities[[#This Row],[unit_ID]],table_Units[#All],2)</f>
        <v>+/- mm</v>
      </c>
      <c r="F35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</v>
      </c>
      <c r="G35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2.1000000000000001E-2</v>
      </c>
      <c r="H357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2.1000000000000001E-2</v>
      </c>
      <c r="I35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0.42</v>
      </c>
      <c r="K357">
        <f t="shared" ca="1" si="86"/>
        <v>0.72</v>
      </c>
      <c r="M35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7" s="3" t="b">
        <f ca="1">VLOOKUP(table_DataQualities[[#This Row],[ID]],dict_zuord_Var_DQ!B:C,2,FALSE)</f>
        <v>0</v>
      </c>
      <c r="O357">
        <f t="shared" ca="1" si="83"/>
        <v>2</v>
      </c>
    </row>
    <row r="358" spans="1:15" x14ac:dyDescent="0.45">
      <c r="A358">
        <v>356</v>
      </c>
      <c r="B35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178_Frequenz Hz</v>
      </c>
      <c r="C358">
        <v>100</v>
      </c>
      <c r="D358" s="3" t="str">
        <f>VLOOKUP(table_DataQualities[[#This Row],[unit_ID]],table_Units[#All],2)</f>
        <v>Hz</v>
      </c>
      <c r="F35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0.52100000000000002</v>
      </c>
      <c r="G35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6264.5</v>
      </c>
      <c r="H35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0.52100000000000002</v>
      </c>
      <c r="I35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6264.5</v>
      </c>
      <c r="K358">
        <f t="shared" ca="1" si="86"/>
        <v>0.38</v>
      </c>
      <c r="M35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8" s="3" t="b">
        <f ca="1">VLOOKUP(table_DataQualities[[#This Row],[ID]],dict_zuord_Var_DQ!B:C,2,FALSE)</f>
        <v>0</v>
      </c>
      <c r="O358">
        <f t="shared" ca="1" si="83"/>
        <v>3.9</v>
      </c>
    </row>
    <row r="359" spans="1:15" x14ac:dyDescent="0.45">
      <c r="A359">
        <v>357</v>
      </c>
      <c r="B35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178_Durchflussmessgenauigkeit cm³/s</v>
      </c>
      <c r="C359">
        <f t="shared" ref="C359:C369" ca="1" si="91">RANDBETWEEN(5,10)*100</f>
        <v>800</v>
      </c>
      <c r="D359" s="3" t="str">
        <f ca="1">VLOOKUP(table_DataQualities[[#This Row],[unit_ID]],table_Units[#All],2)</f>
        <v>+/- cm³/s</v>
      </c>
      <c r="F35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0.621</v>
      </c>
      <c r="G35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0.01</v>
      </c>
      <c r="H35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0.01</v>
      </c>
      <c r="I35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0.621</v>
      </c>
      <c r="K359">
        <f t="shared" ca="1" si="86"/>
        <v>0.56000000000000005</v>
      </c>
      <c r="M35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59" s="3" t="b">
        <f ca="1">VLOOKUP(table_DataQualities[[#This Row],[ID]],dict_zuord_Var_DQ!B:C,2,FALSE)</f>
        <v>0</v>
      </c>
      <c r="O359">
        <f t="shared" ca="1" si="83"/>
        <v>4.3</v>
      </c>
    </row>
    <row r="360" spans="1:15" x14ac:dyDescent="0.45">
      <c r="A360">
        <v>358</v>
      </c>
      <c r="B36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179_Frequenz Hz</v>
      </c>
      <c r="C360">
        <v>100</v>
      </c>
      <c r="D360" s="3" t="str">
        <f>VLOOKUP(table_DataQualities[[#This Row],[unit_ID]],table_Units[#All],2)</f>
        <v>Hz</v>
      </c>
      <c r="F36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0.65300000000000002</v>
      </c>
      <c r="G36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8554.7000000000007</v>
      </c>
      <c r="H36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0.65300000000000002</v>
      </c>
      <c r="I36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8554.7000000000007</v>
      </c>
      <c r="K360">
        <f t="shared" ca="1" si="86"/>
        <v>0.91</v>
      </c>
      <c r="M36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0" s="3" t="b">
        <f ca="1">VLOOKUP(table_DataQualities[[#This Row],[ID]],dict_zuord_Var_DQ!B:C,2,FALSE)</f>
        <v>0</v>
      </c>
      <c r="O360">
        <f t="shared" ca="1" si="83"/>
        <v>4.4000000000000004</v>
      </c>
    </row>
    <row r="361" spans="1:15" x14ac:dyDescent="0.45">
      <c r="A361">
        <v>359</v>
      </c>
      <c r="B36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179_Durchflussmessgenauigkeit cm³/s</v>
      </c>
      <c r="C361">
        <f t="shared" ref="C361" ca="1" si="92">RANDBETWEEN(5,10)*100</f>
        <v>800</v>
      </c>
      <c r="D361" s="3" t="str">
        <f ca="1">VLOOKUP(table_DataQualities[[#This Row],[unit_ID]],table_Units[#All],2)</f>
        <v>+/- cm³/s</v>
      </c>
      <c r="F36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0.17599999999999999</v>
      </c>
      <c r="G36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2.5000000000000001E-3</v>
      </c>
      <c r="H361" s="9">
        <f ca="1">IF(VLOOKUP(table_DataQualities[[#This Row],[unit_ID]],table_Units[],5)&gt;0,table_DataQualities[[#This Row],[z_worst]],IF(VLOOKUP(table_DataQualities[[#This Row],[unit_ID]],table_Units[],6)=1,table_DataQualities[[#This Row],[z_best]]))</f>
        <v>2.5000000000000001E-3</v>
      </c>
      <c r="I36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0.17599999999999999</v>
      </c>
      <c r="K361">
        <f t="shared" ca="1" si="86"/>
        <v>0.4</v>
      </c>
      <c r="M36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1" s="3" t="b">
        <f ca="1">VLOOKUP(table_DataQualities[[#This Row],[ID]],dict_zuord_Var_DQ!B:C,2,FALSE)</f>
        <v>0</v>
      </c>
      <c r="O361">
        <f t="shared" ca="1" si="83"/>
        <v>1.7</v>
      </c>
    </row>
    <row r="362" spans="1:15" x14ac:dyDescent="0.45">
      <c r="A362">
        <v>360</v>
      </c>
      <c r="B36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180_Frequenz Hz</v>
      </c>
      <c r="C362">
        <v>100</v>
      </c>
      <c r="D362" s="3" t="str">
        <f>VLOOKUP(table_DataQualities[[#This Row],[unit_ID]],table_Units[#All],2)</f>
        <v>Hz</v>
      </c>
      <c r="F36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0.998</v>
      </c>
      <c r="G36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1733.2</v>
      </c>
      <c r="H36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0.998</v>
      </c>
      <c r="I36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1733.2</v>
      </c>
      <c r="K362">
        <f t="shared" ca="1" si="86"/>
        <v>0.04</v>
      </c>
      <c r="M36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2" s="3" t="b">
        <f ca="1">VLOOKUP(table_DataQualities[[#This Row],[ID]],dict_zuord_Var_DQ!B:C,2,FALSE)</f>
        <v>0</v>
      </c>
      <c r="O362">
        <f t="shared" ca="1" si="83"/>
        <v>1.7</v>
      </c>
    </row>
    <row r="363" spans="1:15" x14ac:dyDescent="0.45">
      <c r="A363">
        <v>361</v>
      </c>
      <c r="B36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180_Durchflussmessgenauigkeit cm³/s</v>
      </c>
      <c r="C363">
        <f t="shared" ca="1" si="91"/>
        <v>800</v>
      </c>
      <c r="D363" s="3" t="str">
        <f ca="1">VLOOKUP(table_DataQualities[[#This Row],[unit_ID]],table_Units[#All],2)</f>
        <v>+/- cm³/s</v>
      </c>
      <c r="F36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0.22900000000000001</v>
      </c>
      <c r="G36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5.4000000000000003E-3</v>
      </c>
      <c r="H363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5.4000000000000003E-3</v>
      </c>
      <c r="I36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0.22900000000000001</v>
      </c>
      <c r="K363">
        <f t="shared" ca="1" si="86"/>
        <v>0.64</v>
      </c>
      <c r="M36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3" s="3" t="b">
        <f ca="1">VLOOKUP(table_DataQualities[[#This Row],[ID]],dict_zuord_Var_DQ!B:C,2,FALSE)</f>
        <v>0</v>
      </c>
      <c r="O363">
        <f t="shared" ca="1" si="83"/>
        <v>1.5</v>
      </c>
    </row>
    <row r="364" spans="1:15" x14ac:dyDescent="0.45">
      <c r="A364">
        <v>362</v>
      </c>
      <c r="B36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181_Frequenz Hz</v>
      </c>
      <c r="C364">
        <v>100</v>
      </c>
      <c r="D364" s="3" t="str">
        <f>VLOOKUP(table_DataQualities[[#This Row],[unit_ID]],table_Units[#All],2)</f>
        <v>Hz</v>
      </c>
      <c r="F36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0.52900000000000003</v>
      </c>
      <c r="G36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6550.6</v>
      </c>
      <c r="H36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0.52900000000000003</v>
      </c>
      <c r="I36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6550.6</v>
      </c>
      <c r="K364">
        <f t="shared" ca="1" si="86"/>
        <v>0.77</v>
      </c>
      <c r="M36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4" s="3" t="b">
        <f ca="1">VLOOKUP(table_DataQualities[[#This Row],[ID]],dict_zuord_Var_DQ!B:C,2,FALSE)</f>
        <v>0</v>
      </c>
      <c r="O364">
        <f t="shared" ca="1" si="83"/>
        <v>3</v>
      </c>
    </row>
    <row r="365" spans="1:15" x14ac:dyDescent="0.45">
      <c r="A365">
        <v>363</v>
      </c>
      <c r="B36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181_Leistungsmessgenauigkeit W</v>
      </c>
      <c r="C365">
        <f t="shared" ref="C365" ca="1" si="93">RANDBETWEEN(5,10)*100</f>
        <v>600</v>
      </c>
      <c r="D365" s="3" t="str">
        <f ca="1">VLOOKUP(table_DataQualities[[#This Row],[unit_ID]],table_Units[#All],2)</f>
        <v>+/- W</v>
      </c>
      <c r="F36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8.91</v>
      </c>
      <c r="G36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4.4999999999999998E-2</v>
      </c>
      <c r="H36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4.4999999999999998E-2</v>
      </c>
      <c r="I36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8.91</v>
      </c>
      <c r="K365">
        <f t="shared" ca="1" si="86"/>
        <v>0.22</v>
      </c>
      <c r="M36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5" s="3" t="b">
        <f ca="1">VLOOKUP(table_DataQualities[[#This Row],[ID]],dict_zuord_Var_DQ!B:C,2,FALSE)</f>
        <v>0</v>
      </c>
      <c r="O365">
        <f t="shared" ca="1" si="83"/>
        <v>1.7</v>
      </c>
    </row>
    <row r="366" spans="1:15" x14ac:dyDescent="0.45">
      <c r="A366">
        <v>364</v>
      </c>
      <c r="B36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182_Frequenz Hz</v>
      </c>
      <c r="C366">
        <v>100</v>
      </c>
      <c r="D366" s="3" t="str">
        <f>VLOOKUP(table_DataQualities[[#This Row],[unit_ID]],table_Units[#All],2)</f>
        <v>Hz</v>
      </c>
      <c r="F36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0.85399999999999998</v>
      </c>
      <c r="G36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5199.3</v>
      </c>
      <c r="H36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0.85399999999999998</v>
      </c>
      <c r="I36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5199.3</v>
      </c>
      <c r="K366">
        <f t="shared" ca="1" si="86"/>
        <v>0.2</v>
      </c>
      <c r="M36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6" s="3" t="b">
        <f ca="1">VLOOKUP(table_DataQualities[[#This Row],[ID]],dict_zuord_Var_DQ!B:C,2,FALSE)</f>
        <v>0</v>
      </c>
      <c r="O366">
        <f t="shared" ca="1" si="83"/>
        <v>3.6</v>
      </c>
    </row>
    <row r="367" spans="1:15" x14ac:dyDescent="0.45">
      <c r="A367">
        <v>365</v>
      </c>
      <c r="B36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182_Temperaturmessgenauigkeit °C</v>
      </c>
      <c r="C367">
        <f t="shared" ca="1" si="91"/>
        <v>500</v>
      </c>
      <c r="D367" s="3" t="str">
        <f ca="1">VLOOKUP(table_DataQualities[[#This Row],[unit_ID]],table_Units[#All],2)</f>
        <v>+/- °C</v>
      </c>
      <c r="F36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36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36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36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367">
        <f t="shared" ca="1" si="86"/>
        <v>0.41</v>
      </c>
      <c r="M36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7" s="3" t="b">
        <f ca="1">VLOOKUP(table_DataQualities[[#This Row],[ID]],dict_zuord_Var_DQ!B:C,2,FALSE)</f>
        <v>0</v>
      </c>
      <c r="O367">
        <f t="shared" ca="1" si="83"/>
        <v>4.9000000000000004</v>
      </c>
    </row>
    <row r="368" spans="1:15" x14ac:dyDescent="0.45">
      <c r="A368">
        <v>366</v>
      </c>
      <c r="B36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183_Frequenz Hz</v>
      </c>
      <c r="C368">
        <v>100</v>
      </c>
      <c r="D368" s="3" t="str">
        <f>VLOOKUP(table_DataQualities[[#This Row],[unit_ID]],table_Units[#All],2)</f>
        <v>Hz</v>
      </c>
      <c r="F36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0.496</v>
      </c>
      <c r="G36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6886.1</v>
      </c>
      <c r="H36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0.496</v>
      </c>
      <c r="I36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6886.1</v>
      </c>
      <c r="K368">
        <f t="shared" ca="1" si="86"/>
        <v>0.8</v>
      </c>
      <c r="M36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8" s="3" t="b">
        <f ca="1">VLOOKUP(table_DataQualities[[#This Row],[ID]],dict_zuord_Var_DQ!B:C,2,FALSE)</f>
        <v>0</v>
      </c>
      <c r="O368">
        <f t="shared" ca="1" si="83"/>
        <v>3.6</v>
      </c>
    </row>
    <row r="369" spans="1:15" x14ac:dyDescent="0.45">
      <c r="A369">
        <v>367</v>
      </c>
      <c r="B36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183_Geschwindigkeitsmessgenauigkeit mm/s</v>
      </c>
      <c r="C369">
        <f t="shared" ca="1" si="91"/>
        <v>700</v>
      </c>
      <c r="D369" s="3" t="str">
        <f ca="1">VLOOKUP(table_DataQualities[[#This Row],[unit_ID]],table_Units[#All],2)</f>
        <v>+/- mm/s</v>
      </c>
      <c r="F36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2.2000000000000002</v>
      </c>
      <c r="G36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0.13</v>
      </c>
      <c r="H369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0.13</v>
      </c>
      <c r="I36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2.2000000000000002</v>
      </c>
      <c r="K369">
        <f t="shared" ca="1" si="86"/>
        <v>0.66</v>
      </c>
      <c r="M36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69" s="3" t="b">
        <f ca="1">VLOOKUP(table_DataQualities[[#This Row],[ID]],dict_zuord_Var_DQ!B:C,2,FALSE)</f>
        <v>0</v>
      </c>
      <c r="O369">
        <f t="shared" ca="1" si="83"/>
        <v>4.0999999999999996</v>
      </c>
    </row>
    <row r="370" spans="1:15" x14ac:dyDescent="0.45">
      <c r="A370">
        <v>368</v>
      </c>
      <c r="B37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184_Frequenz Hz</v>
      </c>
      <c r="C370">
        <v>100</v>
      </c>
      <c r="D370" s="3" t="str">
        <f>VLOOKUP(table_DataQualities[[#This Row],[unit_ID]],table_Units[#All],2)</f>
        <v>Hz</v>
      </c>
      <c r="F37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0.88900000000000001</v>
      </c>
      <c r="G37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7729.2</v>
      </c>
      <c r="H37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0.88900000000000001</v>
      </c>
      <c r="I37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7729.2</v>
      </c>
      <c r="K370">
        <f t="shared" ca="1" si="86"/>
        <v>0.3</v>
      </c>
      <c r="M37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0" s="3" t="b">
        <f ca="1">VLOOKUP(table_DataQualities[[#This Row],[ID]],dict_zuord_Var_DQ!B:C,2,FALSE)</f>
        <v>0</v>
      </c>
      <c r="O370">
        <f t="shared" ca="1" si="83"/>
        <v>4.2</v>
      </c>
    </row>
    <row r="371" spans="1:15" x14ac:dyDescent="0.45">
      <c r="A371">
        <v>369</v>
      </c>
      <c r="B37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184_Leistungsmessgenauigkeit W</v>
      </c>
      <c r="C371">
        <f ca="1">RANDBETWEEN(5,10)*100</f>
        <v>600</v>
      </c>
      <c r="D371" s="3" t="str">
        <f ca="1">VLOOKUP(table_DataQualities[[#This Row],[unit_ID]],table_Units[#All],2)</f>
        <v>+/- W</v>
      </c>
      <c r="F37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5.37</v>
      </c>
      <c r="G37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7.3999999999999996E-2</v>
      </c>
      <c r="H371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7.3999999999999996E-2</v>
      </c>
      <c r="I37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5.37</v>
      </c>
      <c r="K371">
        <f t="shared" ca="1" si="86"/>
        <v>0.25</v>
      </c>
      <c r="M37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1" s="3" t="b">
        <f ca="1">VLOOKUP(table_DataQualities[[#This Row],[ID]],dict_zuord_Var_DQ!B:C,2,FALSE)</f>
        <v>0</v>
      </c>
      <c r="O371">
        <f t="shared" ca="1" si="83"/>
        <v>2.6</v>
      </c>
    </row>
    <row r="372" spans="1:15" x14ac:dyDescent="0.45">
      <c r="A372">
        <v>370</v>
      </c>
      <c r="B37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185_Frequenz Hz</v>
      </c>
      <c r="C372">
        <v>100</v>
      </c>
      <c r="D372" s="3" t="str">
        <f>VLOOKUP(table_DataQualities[[#This Row],[unit_ID]],table_Units[#All],2)</f>
        <v>Hz</v>
      </c>
      <c r="F37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5.6000000000000001E-2</v>
      </c>
      <c r="G37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2790.8</v>
      </c>
      <c r="H372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5.6000000000000001E-2</v>
      </c>
      <c r="I37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2790.8</v>
      </c>
      <c r="K372">
        <f t="shared" ca="1" si="86"/>
        <v>0.19</v>
      </c>
      <c r="M37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2" s="3" t="b">
        <f ca="1">VLOOKUP(table_DataQualities[[#This Row],[ID]],dict_zuord_Var_DQ!B:C,2,FALSE)</f>
        <v>0</v>
      </c>
      <c r="O372">
        <f t="shared" ca="1" si="83"/>
        <v>4.7</v>
      </c>
    </row>
    <row r="373" spans="1:15" x14ac:dyDescent="0.45">
      <c r="A373">
        <v>371</v>
      </c>
      <c r="B37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185_Temperaturmessgenauigkeit °C</v>
      </c>
      <c r="C373">
        <f t="shared" ref="C373:C383" ca="1" si="94">RANDBETWEEN(5,10)*100</f>
        <v>500</v>
      </c>
      <c r="D373" s="3" t="str">
        <f ca="1">VLOOKUP(table_DataQualities[[#This Row],[unit_ID]],table_Units[#All],2)</f>
        <v>+/- °C</v>
      </c>
      <c r="F37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7</v>
      </c>
      <c r="G37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0.3</v>
      </c>
      <c r="H373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</v>
      </c>
      <c r="I37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7</v>
      </c>
      <c r="K373">
        <f t="shared" ca="1" si="86"/>
        <v>0.9</v>
      </c>
      <c r="M37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3" s="3" t="b">
        <f ca="1">VLOOKUP(table_DataQualities[[#This Row],[ID]],dict_zuord_Var_DQ!B:C,2,FALSE)</f>
        <v>0</v>
      </c>
      <c r="O373">
        <f t="shared" ca="1" si="83"/>
        <v>3.9</v>
      </c>
    </row>
    <row r="374" spans="1:15" x14ac:dyDescent="0.45">
      <c r="A374">
        <v>372</v>
      </c>
      <c r="B37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186_Frequenz Hz</v>
      </c>
      <c r="C374">
        <v>100</v>
      </c>
      <c r="D374" s="3" t="str">
        <f>VLOOKUP(table_DataQualities[[#This Row],[unit_ID]],table_Units[#All],2)</f>
        <v>Hz</v>
      </c>
      <c r="F37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4.8000000000000001E-2</v>
      </c>
      <c r="G37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1005.1</v>
      </c>
      <c r="H374" s="9">
        <f ca="1">IF(VLOOKUP(table_DataQualities[[#This Row],[unit_ID]],table_Units[],5)&gt;0,table_DataQualities[[#This Row],[z_worst]],IF(VLOOKUP(table_DataQualities[[#This Row],[unit_ID]],table_Units[],6)=1,table_DataQualities[[#This Row],[z_best]]))</f>
        <v>4.8000000000000001E-2</v>
      </c>
      <c r="I37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1005.1</v>
      </c>
      <c r="K374">
        <f t="shared" ca="1" si="86"/>
        <v>0.64</v>
      </c>
      <c r="M37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4" s="3" t="b">
        <f ca="1">VLOOKUP(table_DataQualities[[#This Row],[ID]],dict_zuord_Var_DQ!B:C,2,FALSE)</f>
        <v>0</v>
      </c>
      <c r="O374">
        <f t="shared" ca="1" si="83"/>
        <v>5</v>
      </c>
    </row>
    <row r="375" spans="1:15" x14ac:dyDescent="0.45">
      <c r="A375">
        <v>373</v>
      </c>
      <c r="B37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186_Längenmessgenauigkeit mm</v>
      </c>
      <c r="C375">
        <f t="shared" ref="C375" ca="1" si="95">RANDBETWEEN(5,10)*100</f>
        <v>900</v>
      </c>
      <c r="D375" s="3" t="str">
        <f ca="1">VLOOKUP(table_DataQualities[[#This Row],[unit_ID]],table_Units[#All],2)</f>
        <v>+/- mm</v>
      </c>
      <c r="F37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4.17</v>
      </c>
      <c r="G37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7.9000000000000001E-2</v>
      </c>
      <c r="H375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7.9000000000000001E-2</v>
      </c>
      <c r="I37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4.17</v>
      </c>
      <c r="K375">
        <f t="shared" ca="1" si="86"/>
        <v>0.71</v>
      </c>
      <c r="M37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5" s="3" t="b">
        <f ca="1">VLOOKUP(table_DataQualities[[#This Row],[ID]],dict_zuord_Var_DQ!B:C,2,FALSE)</f>
        <v>0</v>
      </c>
      <c r="O375">
        <f t="shared" ca="1" si="83"/>
        <v>3.7</v>
      </c>
    </row>
    <row r="376" spans="1:15" x14ac:dyDescent="0.45">
      <c r="A376">
        <v>374</v>
      </c>
      <c r="B37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187_Frequenz Hz</v>
      </c>
      <c r="C376">
        <v>100</v>
      </c>
      <c r="D376" s="3" t="str">
        <f>VLOOKUP(table_DataQualities[[#This Row],[unit_ID]],table_Units[#All],2)</f>
        <v>Hz</v>
      </c>
      <c r="F37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0.45500000000000002</v>
      </c>
      <c r="G37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5081.6000000000004</v>
      </c>
      <c r="H37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0.45500000000000002</v>
      </c>
      <c r="I37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5081.6000000000004</v>
      </c>
      <c r="K376">
        <f t="shared" ca="1" si="86"/>
        <v>0.23</v>
      </c>
      <c r="M37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6" s="3" t="b">
        <f ca="1">VLOOKUP(table_DataQualities[[#This Row],[ID]],dict_zuord_Var_DQ!B:C,2,FALSE)</f>
        <v>0</v>
      </c>
      <c r="O376">
        <f t="shared" ca="1" si="83"/>
        <v>2.7</v>
      </c>
    </row>
    <row r="377" spans="1:15" x14ac:dyDescent="0.45">
      <c r="A377">
        <v>375</v>
      </c>
      <c r="B37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187_Temperaturmessgenauigkeit °C</v>
      </c>
      <c r="C377">
        <f t="shared" ca="1" si="94"/>
        <v>500</v>
      </c>
      <c r="D377" s="3" t="str">
        <f ca="1">VLOOKUP(table_DataQualities[[#This Row],[unit_ID]],table_Units[#All],2)</f>
        <v>+/- °C</v>
      </c>
      <c r="F37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</v>
      </c>
      <c r="G37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0.2</v>
      </c>
      <c r="H377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</v>
      </c>
      <c r="I37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</v>
      </c>
      <c r="K377">
        <f t="shared" ca="1" si="86"/>
        <v>0.66</v>
      </c>
      <c r="M37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7" s="3" t="b">
        <f ca="1">VLOOKUP(table_DataQualities[[#This Row],[ID]],dict_zuord_Var_DQ!B:C,2,FALSE)</f>
        <v>0</v>
      </c>
      <c r="O377">
        <f t="shared" ca="1" si="83"/>
        <v>3.7</v>
      </c>
    </row>
    <row r="378" spans="1:15" x14ac:dyDescent="0.45">
      <c r="A378">
        <v>376</v>
      </c>
      <c r="B37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188_Frequenz Hz</v>
      </c>
      <c r="C378">
        <v>100</v>
      </c>
      <c r="D378" s="3" t="str">
        <f>VLOOKUP(table_DataQualities[[#This Row],[unit_ID]],table_Units[#All],2)</f>
        <v>Hz</v>
      </c>
      <c r="F37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0.76400000000000001</v>
      </c>
      <c r="G37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4285.2</v>
      </c>
      <c r="H37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0.76400000000000001</v>
      </c>
      <c r="I37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4285.2</v>
      </c>
      <c r="K378">
        <f t="shared" ca="1" si="86"/>
        <v>0.41</v>
      </c>
      <c r="M37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8" s="3" t="b">
        <f ca="1">VLOOKUP(table_DataQualities[[#This Row],[ID]],dict_zuord_Var_DQ!B:C,2,FALSE)</f>
        <v>0</v>
      </c>
      <c r="O378">
        <f t="shared" ca="1" si="83"/>
        <v>2</v>
      </c>
    </row>
    <row r="379" spans="1:15" x14ac:dyDescent="0.45">
      <c r="A379">
        <v>377</v>
      </c>
      <c r="B37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188_Leistungsmessgenauigkeit W</v>
      </c>
      <c r="C379">
        <f t="shared" ref="C379" ca="1" si="96">RANDBETWEEN(5,10)*100</f>
        <v>600</v>
      </c>
      <c r="D379" s="3" t="str">
        <f ca="1">VLOOKUP(table_DataQualities[[#This Row],[unit_ID]],table_Units[#All],2)</f>
        <v>+/- W</v>
      </c>
      <c r="F37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2</v>
      </c>
      <c r="G37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8.0000000000000002E-3</v>
      </c>
      <c r="H379" s="9">
        <f ca="1">IF(VLOOKUP(table_DataQualities[[#This Row],[unit_ID]],table_Units[],5)&gt;0,table_DataQualities[[#This Row],[z_worst]],IF(VLOOKUP(table_DataQualities[[#This Row],[unit_ID]],table_Units[],6)=1,table_DataQualities[[#This Row],[z_best]]))</f>
        <v>8.0000000000000002E-3</v>
      </c>
      <c r="I37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</v>
      </c>
      <c r="K379">
        <f t="shared" ca="1" si="86"/>
        <v>0.72</v>
      </c>
      <c r="M37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79" s="3" t="b">
        <f ca="1">VLOOKUP(table_DataQualities[[#This Row],[ID]],dict_zuord_Var_DQ!B:C,2,FALSE)</f>
        <v>0</v>
      </c>
      <c r="O379">
        <f t="shared" ca="1" si="83"/>
        <v>4</v>
      </c>
    </row>
    <row r="380" spans="1:15" x14ac:dyDescent="0.45">
      <c r="A380">
        <v>378</v>
      </c>
      <c r="B38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189_Frequenz Hz</v>
      </c>
      <c r="C380">
        <v>100</v>
      </c>
      <c r="D380" s="3" t="str">
        <f>VLOOKUP(table_DataQualities[[#This Row],[unit_ID]],table_Units[#All],2)</f>
        <v>Hz</v>
      </c>
      <c r="F38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0.42899999999999999</v>
      </c>
      <c r="G38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8656.2999999999993</v>
      </c>
      <c r="H38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0.42899999999999999</v>
      </c>
      <c r="I38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8656.2999999999993</v>
      </c>
      <c r="K380">
        <f t="shared" ca="1" si="86"/>
        <v>0.38</v>
      </c>
      <c r="M38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0" s="3" t="b">
        <f ca="1">VLOOKUP(table_DataQualities[[#This Row],[ID]],dict_zuord_Var_DQ!B:C,2,FALSE)</f>
        <v>0</v>
      </c>
      <c r="O380">
        <f t="shared" ca="1" si="83"/>
        <v>3.5</v>
      </c>
    </row>
    <row r="381" spans="1:15" x14ac:dyDescent="0.45">
      <c r="A381">
        <v>379</v>
      </c>
      <c r="B38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189_Geschwindigkeitsmessgenauigkeit mm/s</v>
      </c>
      <c r="C381">
        <f t="shared" ca="1" si="94"/>
        <v>700</v>
      </c>
      <c r="D381" s="3" t="str">
        <f ca="1">VLOOKUP(table_DataQualities[[#This Row],[unit_ID]],table_Units[#All],2)</f>
        <v>+/- mm/s</v>
      </c>
      <c r="F38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8.8000000000000007</v>
      </c>
      <c r="G38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0.46</v>
      </c>
      <c r="H381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0.46</v>
      </c>
      <c r="I38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8.8000000000000007</v>
      </c>
      <c r="K381">
        <f t="shared" ca="1" si="86"/>
        <v>0.44</v>
      </c>
      <c r="M38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1" s="3" t="b">
        <f ca="1">VLOOKUP(table_DataQualities[[#This Row],[ID]],dict_zuord_Var_DQ!B:C,2,FALSE)</f>
        <v>0</v>
      </c>
      <c r="O381">
        <f t="shared" ca="1" si="83"/>
        <v>3.5</v>
      </c>
    </row>
    <row r="382" spans="1:15" x14ac:dyDescent="0.45">
      <c r="A382">
        <v>380</v>
      </c>
      <c r="B38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190_Frequenz Hz</v>
      </c>
      <c r="C382">
        <v>100</v>
      </c>
      <c r="D382" s="3" t="str">
        <f>VLOOKUP(table_DataQualities[[#This Row],[unit_ID]],table_Units[#All],2)</f>
        <v>Hz</v>
      </c>
      <c r="F38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0.215</v>
      </c>
      <c r="G38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8535.4</v>
      </c>
      <c r="H382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0.215</v>
      </c>
      <c r="I38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8535.4</v>
      </c>
      <c r="K382">
        <f t="shared" ca="1" si="86"/>
        <v>0.23</v>
      </c>
      <c r="M38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2" s="3" t="b">
        <f ca="1">VLOOKUP(table_DataQualities[[#This Row],[ID]],dict_zuord_Var_DQ!B:C,2,FALSE)</f>
        <v>0</v>
      </c>
      <c r="O382">
        <f t="shared" ca="1" si="83"/>
        <v>2.1</v>
      </c>
    </row>
    <row r="383" spans="1:15" x14ac:dyDescent="0.45">
      <c r="A383">
        <v>381</v>
      </c>
      <c r="B38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190_Leistungsmessgenauigkeit W</v>
      </c>
      <c r="C383">
        <f t="shared" ca="1" si="94"/>
        <v>600</v>
      </c>
      <c r="D383" s="3" t="str">
        <f ca="1">VLOOKUP(table_DataQualities[[#This Row],[unit_ID]],table_Units[#All],2)</f>
        <v>+/- W</v>
      </c>
      <c r="F38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6.1</v>
      </c>
      <c r="G38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3.1E-2</v>
      </c>
      <c r="H38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3.1E-2</v>
      </c>
      <c r="I38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6.1</v>
      </c>
      <c r="K383">
        <f t="shared" ca="1" si="86"/>
        <v>0.84</v>
      </c>
      <c r="M38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3" s="3" t="b">
        <f ca="1">VLOOKUP(table_DataQualities[[#This Row],[ID]],dict_zuord_Var_DQ!B:C,2,FALSE)</f>
        <v>0</v>
      </c>
      <c r="O383">
        <f t="shared" ca="1" si="83"/>
        <v>3.3</v>
      </c>
    </row>
    <row r="384" spans="1:15" x14ac:dyDescent="0.45">
      <c r="A384">
        <v>382</v>
      </c>
      <c r="B38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191_Frequenz Hz</v>
      </c>
      <c r="C384">
        <v>100</v>
      </c>
      <c r="D384" s="3" t="str">
        <f>VLOOKUP(table_DataQualities[[#This Row],[unit_ID]],table_Units[#All],2)</f>
        <v>Hz</v>
      </c>
      <c r="F38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0.13800000000000001</v>
      </c>
      <c r="G38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9255</v>
      </c>
      <c r="H384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0.13800000000000001</v>
      </c>
      <c r="I38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9255</v>
      </c>
      <c r="K384">
        <f t="shared" ca="1" si="86"/>
        <v>0.46</v>
      </c>
      <c r="M38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4" s="3" t="b">
        <f ca="1">VLOOKUP(table_DataQualities[[#This Row],[ID]],dict_zuord_Var_DQ!B:C,2,FALSE)</f>
        <v>0</v>
      </c>
      <c r="O384">
        <f t="shared" ca="1" si="83"/>
        <v>4.5999999999999996</v>
      </c>
    </row>
    <row r="385" spans="1:15" x14ac:dyDescent="0.45">
      <c r="A385">
        <v>383</v>
      </c>
      <c r="B38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191_Temperaturmessgenauigkeit °C</v>
      </c>
      <c r="C385">
        <f ca="1">RANDBETWEEN(5,10)*100</f>
        <v>500</v>
      </c>
      <c r="D385" s="3" t="str">
        <f ca="1">VLOOKUP(table_DataQualities[[#This Row],[unit_ID]],table_Units[#All],2)</f>
        <v>+/- °C</v>
      </c>
      <c r="F38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</v>
      </c>
      <c r="G38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0.7</v>
      </c>
      <c r="H385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</v>
      </c>
      <c r="I38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</v>
      </c>
      <c r="K385">
        <f t="shared" ca="1" si="86"/>
        <v>0.75</v>
      </c>
      <c r="M38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5" s="3" t="b">
        <f ca="1">VLOOKUP(table_DataQualities[[#This Row],[ID]],dict_zuord_Var_DQ!B:C,2,FALSE)</f>
        <v>0</v>
      </c>
      <c r="O385">
        <f t="shared" ca="1" si="83"/>
        <v>3.3</v>
      </c>
    </row>
    <row r="386" spans="1:15" x14ac:dyDescent="0.45">
      <c r="A386">
        <v>384</v>
      </c>
      <c r="B38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192_Frequenz Hz</v>
      </c>
      <c r="C386">
        <v>100</v>
      </c>
      <c r="D386" s="3" t="str">
        <f>VLOOKUP(table_DataQualities[[#This Row],[unit_ID]],table_Units[#All],2)</f>
        <v>Hz</v>
      </c>
      <c r="F38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0.50600000000000001</v>
      </c>
      <c r="G38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5649.8</v>
      </c>
      <c r="H386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0.50600000000000001</v>
      </c>
      <c r="I38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5649.8</v>
      </c>
      <c r="K386">
        <f t="shared" ca="1" si="86"/>
        <v>0.68</v>
      </c>
      <c r="M38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6" s="3" t="b">
        <f ca="1">VLOOKUP(table_DataQualities[[#This Row],[ID]],dict_zuord_Var_DQ!B:C,2,FALSE)</f>
        <v>0</v>
      </c>
      <c r="O386">
        <f t="shared" ca="1" si="83"/>
        <v>2</v>
      </c>
    </row>
    <row r="387" spans="1:15" x14ac:dyDescent="0.45">
      <c r="A387">
        <v>385</v>
      </c>
      <c r="B38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192_Durchflussmessgenauigkeit cm³/s</v>
      </c>
      <c r="C387">
        <f t="shared" ref="C387:C397" ca="1" si="97">RANDBETWEEN(5,10)*100</f>
        <v>800</v>
      </c>
      <c r="D387" s="3" t="str">
        <f ca="1">VLOOKUP(table_DataQualities[[#This Row],[unit_ID]],table_Units[#All],2)</f>
        <v>+/- cm³/s</v>
      </c>
      <c r="F38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0.39300000000000002</v>
      </c>
      <c r="G38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3.5000000000000001E-3</v>
      </c>
      <c r="H387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3.5000000000000001E-3</v>
      </c>
      <c r="I38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0.39300000000000002</v>
      </c>
      <c r="K387">
        <f t="shared" ca="1" si="86"/>
        <v>0.43</v>
      </c>
      <c r="M38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7" s="3" t="b">
        <f ca="1">VLOOKUP(table_DataQualities[[#This Row],[ID]],dict_zuord_Var_DQ!B:C,2,FALSE)</f>
        <v>0</v>
      </c>
      <c r="O387">
        <f t="shared" ref="O387:O403" ca="1" si="98">RANDBETWEEN(12,50)/10</f>
        <v>2.1</v>
      </c>
    </row>
    <row r="388" spans="1:15" x14ac:dyDescent="0.45">
      <c r="A388">
        <v>386</v>
      </c>
      <c r="B38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193_Frequenz Hz</v>
      </c>
      <c r="C388">
        <v>100</v>
      </c>
      <c r="D388" s="3" t="str">
        <f>VLOOKUP(table_DataQualities[[#This Row],[unit_ID]],table_Units[#All],2)</f>
        <v>Hz</v>
      </c>
      <c r="F38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0.28100000000000003</v>
      </c>
      <c r="G38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6334.9</v>
      </c>
      <c r="H38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0.28100000000000003</v>
      </c>
      <c r="I38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6334.9</v>
      </c>
      <c r="K388">
        <f t="shared" ca="1" si="86"/>
        <v>0.78</v>
      </c>
      <c r="M38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8" s="3" t="b">
        <f ca="1">VLOOKUP(table_DataQualities[[#This Row],[ID]],dict_zuord_Var_DQ!B:C,2,FALSE)</f>
        <v>0</v>
      </c>
      <c r="O388">
        <f t="shared" ca="1" si="98"/>
        <v>5</v>
      </c>
    </row>
    <row r="389" spans="1:15" x14ac:dyDescent="0.45">
      <c r="A389">
        <v>387</v>
      </c>
      <c r="B38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193_Durchflussmessgenauigkeit cm³/s</v>
      </c>
      <c r="C389">
        <f t="shared" ref="C389" ca="1" si="99">RANDBETWEEN(5,10)*100</f>
        <v>800</v>
      </c>
      <c r="D389" s="3" t="str">
        <f ca="1">VLOOKUP(table_DataQualities[[#This Row],[unit_ID]],table_Units[#All],2)</f>
        <v>+/- cm³/s</v>
      </c>
      <c r="F38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9.1999999999999998E-2</v>
      </c>
      <c r="G38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7.9000000000000008E-3</v>
      </c>
      <c r="H389" s="9">
        <f ca="1">IF(VLOOKUP(table_DataQualities[[#This Row],[unit_ID]],table_Units[],5)&gt;0,table_DataQualities[[#This Row],[z_worst]],IF(VLOOKUP(table_DataQualities[[#This Row],[unit_ID]],table_Units[],6)=1,table_DataQualities[[#This Row],[z_best]]))</f>
        <v>7.9000000000000008E-3</v>
      </c>
      <c r="I38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9.1999999999999998E-2</v>
      </c>
      <c r="K389">
        <f t="shared" ca="1" si="86"/>
        <v>0.6</v>
      </c>
      <c r="M38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89" s="3" t="b">
        <f ca="1">VLOOKUP(table_DataQualities[[#This Row],[ID]],dict_zuord_Var_DQ!B:C,2,FALSE)</f>
        <v>0</v>
      </c>
      <c r="O389">
        <f t="shared" ca="1" si="98"/>
        <v>4.8</v>
      </c>
    </row>
    <row r="390" spans="1:15" x14ac:dyDescent="0.45">
      <c r="A390">
        <v>388</v>
      </c>
      <c r="B39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194_Frequenz Hz</v>
      </c>
      <c r="C390">
        <v>100</v>
      </c>
      <c r="D390" s="3" t="str">
        <f>VLOOKUP(table_DataQualities[[#This Row],[unit_ID]],table_Units[#All],2)</f>
        <v>Hz</v>
      </c>
      <c r="F39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0.54200000000000004</v>
      </c>
      <c r="G39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9035.1</v>
      </c>
      <c r="H39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0.54200000000000004</v>
      </c>
      <c r="I39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9035.1</v>
      </c>
      <c r="K390">
        <f t="shared" ca="1" si="86"/>
        <v>0.93</v>
      </c>
      <c r="M39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0" s="3" t="b">
        <f ca="1">VLOOKUP(table_DataQualities[[#This Row],[ID]],dict_zuord_Var_DQ!B:C,2,FALSE)</f>
        <v>0</v>
      </c>
      <c r="O390">
        <f t="shared" ca="1" si="98"/>
        <v>4.9000000000000004</v>
      </c>
    </row>
    <row r="391" spans="1:15" x14ac:dyDescent="0.45">
      <c r="A391">
        <v>389</v>
      </c>
      <c r="B39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194_Bildgröße</v>
      </c>
      <c r="C391">
        <f t="shared" ca="1" si="97"/>
        <v>1000</v>
      </c>
      <c r="D391" s="3" t="str">
        <f ca="1">VLOOKUP(table_DataQualities[[#This Row],[unit_ID]],table_Units[#All],2)</f>
        <v>bit</v>
      </c>
      <c r="F39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95</v>
      </c>
      <c r="G39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1957</v>
      </c>
      <c r="H391" s="9">
        <f ca="1">IF(VLOOKUP(table_DataQualities[[#This Row],[unit_ID]],table_Units[],5)&gt;0,table_DataQualities[[#This Row],[z_worst]],IF(VLOOKUP(table_DataQualities[[#This Row],[unit_ID]],table_Units[],6)=1,table_DataQualities[[#This Row],[z_best]]))</f>
        <v>95</v>
      </c>
      <c r="I39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1957</v>
      </c>
      <c r="K391">
        <f t="shared" ca="1" si="86"/>
        <v>0.02</v>
      </c>
      <c r="M39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1" s="3" t="b">
        <f ca="1">VLOOKUP(table_DataQualities[[#This Row],[ID]],dict_zuord_Var_DQ!B:C,2,FALSE)</f>
        <v>0</v>
      </c>
      <c r="O391">
        <f t="shared" ca="1" si="98"/>
        <v>3.4</v>
      </c>
    </row>
    <row r="392" spans="1:15" x14ac:dyDescent="0.45">
      <c r="A392">
        <v>390</v>
      </c>
      <c r="B39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195_Frequenz Hz</v>
      </c>
      <c r="C392">
        <v>100</v>
      </c>
      <c r="D392" s="3" t="str">
        <f>VLOOKUP(table_DataQualities[[#This Row],[unit_ID]],table_Units[#All],2)</f>
        <v>Hz</v>
      </c>
      <c r="F39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3.7999999999999999E-2</v>
      </c>
      <c r="G39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1618.8</v>
      </c>
      <c r="H392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3.7999999999999999E-2</v>
      </c>
      <c r="I39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1618.8</v>
      </c>
      <c r="K392">
        <f t="shared" ca="1" si="86"/>
        <v>0.77</v>
      </c>
      <c r="M39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2" s="3" t="b">
        <f ca="1">VLOOKUP(table_DataQualities[[#This Row],[ID]],dict_zuord_Var_DQ!B:C,2,FALSE)</f>
        <v>0</v>
      </c>
      <c r="O392">
        <f t="shared" ca="1" si="98"/>
        <v>1.9</v>
      </c>
    </row>
    <row r="393" spans="1:15" x14ac:dyDescent="0.45">
      <c r="A393">
        <v>391</v>
      </c>
      <c r="B39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195_Leistungsmessgenauigkeit W</v>
      </c>
      <c r="C393">
        <f t="shared" ref="C393" ca="1" si="100">RANDBETWEEN(5,10)*100</f>
        <v>600</v>
      </c>
      <c r="D393" s="3" t="str">
        <f ca="1">VLOOKUP(table_DataQualities[[#This Row],[unit_ID]],table_Units[#All],2)</f>
        <v>+/- W</v>
      </c>
      <c r="F39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8.42</v>
      </c>
      <c r="G39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1.2999999999999999E-2</v>
      </c>
      <c r="H393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1.2999999999999999E-2</v>
      </c>
      <c r="I39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8.42</v>
      </c>
      <c r="K393">
        <f t="shared" ca="1" si="86"/>
        <v>0.23</v>
      </c>
      <c r="M39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3" s="3" t="b">
        <f ca="1">VLOOKUP(table_DataQualities[[#This Row],[ID]],dict_zuord_Var_DQ!B:C,2,FALSE)</f>
        <v>0</v>
      </c>
      <c r="O393">
        <f t="shared" ca="1" si="98"/>
        <v>5</v>
      </c>
    </row>
    <row r="394" spans="1:15" x14ac:dyDescent="0.45">
      <c r="A394">
        <v>392</v>
      </c>
      <c r="B394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196_Frequenz Hz</v>
      </c>
      <c r="C394">
        <v>100</v>
      </c>
      <c r="D394" s="3" t="str">
        <f>VLOOKUP(table_DataQualities[[#This Row],[unit_ID]],table_Units[#All],2)</f>
        <v>Hz</v>
      </c>
      <c r="F394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1.2E-2</v>
      </c>
      <c r="G394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3116.4</v>
      </c>
      <c r="H394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1.2E-2</v>
      </c>
      <c r="I394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3116.4</v>
      </c>
      <c r="K394">
        <f t="shared" ca="1" si="86"/>
        <v>0.63</v>
      </c>
      <c r="M394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4" s="3" t="b">
        <f ca="1">VLOOKUP(table_DataQualities[[#This Row],[ID]],dict_zuord_Var_DQ!B:C,2,FALSE)</f>
        <v>0</v>
      </c>
      <c r="O394">
        <f t="shared" ca="1" si="98"/>
        <v>1.4</v>
      </c>
    </row>
    <row r="395" spans="1:15" x14ac:dyDescent="0.45">
      <c r="A395">
        <v>393</v>
      </c>
      <c r="B395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196_Bildgröße</v>
      </c>
      <c r="C395">
        <f t="shared" ca="1" si="97"/>
        <v>1000</v>
      </c>
      <c r="D395" s="3" t="str">
        <f ca="1">VLOOKUP(table_DataQualities[[#This Row],[unit_ID]],table_Units[#All],2)</f>
        <v>bit</v>
      </c>
      <c r="F395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47</v>
      </c>
      <c r="G395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6287</v>
      </c>
      <c r="H395" s="9">
        <f ca="1">IF(VLOOKUP(table_DataQualities[[#This Row],[unit_ID]],table_Units[],5)&gt;0,table_DataQualities[[#This Row],[z_worst]],IF(VLOOKUP(table_DataQualities[[#This Row],[unit_ID]],table_Units[],6)=1,table_DataQualities[[#This Row],[z_best]]))</f>
        <v>47</v>
      </c>
      <c r="I395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6287</v>
      </c>
      <c r="K395">
        <f t="shared" ca="1" si="86"/>
        <v>0.34</v>
      </c>
      <c r="M395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5" s="3" t="b">
        <f ca="1">VLOOKUP(table_DataQualities[[#This Row],[ID]],dict_zuord_Var_DQ!B:C,2,FALSE)</f>
        <v>0</v>
      </c>
      <c r="O395">
        <f t="shared" ca="1" si="98"/>
        <v>4.5999999999999996</v>
      </c>
    </row>
    <row r="396" spans="1:15" x14ac:dyDescent="0.45">
      <c r="A396">
        <v>394</v>
      </c>
      <c r="B396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197_Frequenz Hz</v>
      </c>
      <c r="C396">
        <v>100</v>
      </c>
      <c r="D396" s="3" t="str">
        <f>VLOOKUP(table_DataQualities[[#This Row],[unit_ID]],table_Units[#All],2)</f>
        <v>Hz</v>
      </c>
      <c r="F396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1.4999999999999999E-2</v>
      </c>
      <c r="G396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3866.3</v>
      </c>
      <c r="H396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1.4999999999999999E-2</v>
      </c>
      <c r="I396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3866.3</v>
      </c>
      <c r="K396">
        <f t="shared" ca="1" si="86"/>
        <v>0.45</v>
      </c>
      <c r="M396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6" s="3" t="b">
        <f ca="1">VLOOKUP(table_DataQualities[[#This Row],[ID]],dict_zuord_Var_DQ!B:C,2,FALSE)</f>
        <v>0</v>
      </c>
      <c r="O396">
        <f t="shared" ca="1" si="98"/>
        <v>2.5</v>
      </c>
    </row>
    <row r="397" spans="1:15" x14ac:dyDescent="0.45">
      <c r="A397">
        <v>395</v>
      </c>
      <c r="B397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197_Bildgröße</v>
      </c>
      <c r="C397">
        <f t="shared" ca="1" si="97"/>
        <v>1000</v>
      </c>
      <c r="D397" s="3" t="str">
        <f ca="1">VLOOKUP(table_DataQualities[[#This Row],[unit_ID]],table_Units[#All],2)</f>
        <v>bit</v>
      </c>
      <c r="F397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68</v>
      </c>
      <c r="G397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1370</v>
      </c>
      <c r="H397" s="9">
        <f ca="1">IF(VLOOKUP(table_DataQualities[[#This Row],[unit_ID]],table_Units[],5)&gt;0,table_DataQualities[[#This Row],[z_worst]],IF(VLOOKUP(table_DataQualities[[#This Row],[unit_ID]],table_Units[],6)=1,table_DataQualities[[#This Row],[z_best]]))</f>
        <v>68</v>
      </c>
      <c r="I397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1370</v>
      </c>
      <c r="K397">
        <f t="shared" ca="1" si="86"/>
        <v>0.91</v>
      </c>
      <c r="M397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7" s="3" t="b">
        <f ca="1">VLOOKUP(table_DataQualities[[#This Row],[ID]],dict_zuord_Var_DQ!B:C,2,FALSE)</f>
        <v>0</v>
      </c>
      <c r="O397">
        <f t="shared" ca="1" si="98"/>
        <v>4.0999999999999996</v>
      </c>
    </row>
    <row r="398" spans="1:15" x14ac:dyDescent="0.45">
      <c r="A398">
        <v>396</v>
      </c>
      <c r="B398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198_Frequenz Hz</v>
      </c>
      <c r="C398">
        <v>100</v>
      </c>
      <c r="D398" s="3" t="str">
        <f>VLOOKUP(table_DataQualities[[#This Row],[unit_ID]],table_Units[#All],2)</f>
        <v>Hz</v>
      </c>
      <c r="F398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0.33900000000000002</v>
      </c>
      <c r="G398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2407.8000000000002</v>
      </c>
      <c r="H398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0.33900000000000002</v>
      </c>
      <c r="I398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2407.8000000000002</v>
      </c>
      <c r="K398">
        <f t="shared" ca="1" si="86"/>
        <v>0.51</v>
      </c>
      <c r="M398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8" s="3" t="b">
        <f ca="1">VLOOKUP(table_DataQualities[[#This Row],[ID]],dict_zuord_Var_DQ!B:C,2,FALSE)</f>
        <v>0</v>
      </c>
      <c r="O398">
        <f t="shared" ca="1" si="98"/>
        <v>1.2</v>
      </c>
    </row>
    <row r="399" spans="1:15" x14ac:dyDescent="0.45">
      <c r="A399">
        <v>397</v>
      </c>
      <c r="B399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198_Durchflussmessgenauigkeit cm³/s</v>
      </c>
      <c r="C399">
        <f ca="1">RANDBETWEEN(5,10)*100</f>
        <v>800</v>
      </c>
      <c r="D399" s="3" t="str">
        <f ca="1">VLOOKUP(table_DataQualities[[#This Row],[unit_ID]],table_Units[#All],2)</f>
        <v>+/- cm³/s</v>
      </c>
      <c r="F399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0.90500000000000003</v>
      </c>
      <c r="G399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1.6000000000000001E-3</v>
      </c>
      <c r="H399" s="9">
        <f ca="1">IF(VLOOKUP(table_DataQualities[[#This Row],[unit_ID]],table_Units[],5)&gt;0,table_DataQualities[[#This Row],[z_worst]],IF(VLOOKUP(table_DataQualities[[#This Row],[unit_ID]],table_Units[],6)=1,table_DataQualities[[#This Row],[z_best]]))</f>
        <v>1.6000000000000001E-3</v>
      </c>
      <c r="I399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0.90500000000000003</v>
      </c>
      <c r="K399">
        <f t="shared" ref="K399:K403" ca="1" si="101">ROUND(RAND(),2)</f>
        <v>0.28999999999999998</v>
      </c>
      <c r="M399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399" s="3" t="b">
        <f ca="1">VLOOKUP(table_DataQualities[[#This Row],[ID]],dict_zuord_Var_DQ!B:C,2,FALSE)</f>
        <v>0</v>
      </c>
      <c r="O399">
        <f t="shared" ca="1" si="98"/>
        <v>2.7</v>
      </c>
    </row>
    <row r="400" spans="1:15" x14ac:dyDescent="0.45">
      <c r="A400">
        <v>398</v>
      </c>
      <c r="B400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199_Frequenz Hz</v>
      </c>
      <c r="C400">
        <v>100</v>
      </c>
      <c r="D400" s="3" t="str">
        <f>VLOOKUP(table_DataQualities[[#This Row],[unit_ID]],table_Units[#All],2)</f>
        <v>Hz</v>
      </c>
      <c r="F400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0.75</v>
      </c>
      <c r="G400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3781.3</v>
      </c>
      <c r="H400" s="9">
        <f ca="1">IF(VLOOKUP(table_DataQualities[[#This Row],[unit_ID]],table_Units[],5)&gt;0,table_DataQualities[[#This Row],[z_worst]],IF(VLOOKUP(table_DataQualities[[#This Row],[unit_ID]],table_Units[],6)=1,table_DataQualities[[#This Row],[z_best]]))</f>
        <v>0.75</v>
      </c>
      <c r="I400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3781.3</v>
      </c>
      <c r="K400">
        <f t="shared" ca="1" si="101"/>
        <v>0.3</v>
      </c>
      <c r="M400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0" s="3" t="b">
        <f ca="1">VLOOKUP(table_DataQualities[[#This Row],[ID]],dict_zuord_Var_DQ!B:C,2,FALSE)</f>
        <v>0</v>
      </c>
      <c r="O400">
        <f t="shared" ca="1" si="98"/>
        <v>1.7</v>
      </c>
    </row>
    <row r="401" spans="1:15" x14ac:dyDescent="0.45">
      <c r="A401">
        <v>399</v>
      </c>
      <c r="B401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199_Durchflussmessgenauigkeit cm³/s</v>
      </c>
      <c r="C401">
        <f t="shared" ref="C401" ca="1" si="102">RANDBETWEEN(5,10)*100</f>
        <v>800</v>
      </c>
      <c r="D401" s="3" t="str">
        <f ca="1">VLOOKUP(table_DataQualities[[#This Row],[unit_ID]],table_Units[#All],2)</f>
        <v>+/- cm³/s</v>
      </c>
      <c r="F401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0.16800000000000001</v>
      </c>
      <c r="G401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3.5000000000000001E-3</v>
      </c>
      <c r="H401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3.5000000000000001E-3</v>
      </c>
      <c r="I401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0.16800000000000001</v>
      </c>
      <c r="K401">
        <f t="shared" ca="1" si="101"/>
        <v>0.85</v>
      </c>
      <c r="M401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1" s="3" t="b">
        <f ca="1">VLOOKUP(table_DataQualities[[#This Row],[ID]],dict_zuord_Var_DQ!B:C,2,FALSE)</f>
        <v>0</v>
      </c>
      <c r="O401">
        <f t="shared" ca="1" si="98"/>
        <v>2.6</v>
      </c>
    </row>
    <row r="402" spans="1:15" x14ac:dyDescent="0.45">
      <c r="A402">
        <v>400</v>
      </c>
      <c r="B402" t="str">
        <f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200_Frequenz Hz</v>
      </c>
      <c r="C402">
        <v>100</v>
      </c>
      <c r="D402" s="3" t="str">
        <f>VLOOKUP(table_DataQualities[[#This Row],[unit_ID]],table_Units[#All],2)</f>
        <v>Hz</v>
      </c>
      <c r="F402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5.8000000000000003E-2</v>
      </c>
      <c r="G402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642.4</v>
      </c>
      <c r="H402" s="9">
        <f ca="1">IF(VLOOKUP(table_DataQualities[[#This Row],[unit_ID]],table_Units[],5)&gt;0,table_DataQualities[[#This Row],[z_worst]],IF(VLOOKUP(table_DataQualities[[#This Row],[unit_ID]],table_Units[],6)=1,table_DataQualities[[#This Row],[z_best]]))</f>
        <v>5.8000000000000003E-2</v>
      </c>
      <c r="I402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642.4</v>
      </c>
      <c r="K402">
        <f t="shared" ca="1" si="101"/>
        <v>0.97</v>
      </c>
      <c r="M402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2" s="3" t="b">
        <f ca="1">VLOOKUP(table_DataQualities[[#This Row],[ID]],dict_zuord_Var_DQ!B:C,2,FALSE)</f>
        <v>0</v>
      </c>
      <c r="O402">
        <f t="shared" ca="1" si="98"/>
        <v>4.9000000000000004</v>
      </c>
    </row>
    <row r="403" spans="1:15" x14ac:dyDescent="0.45">
      <c r="A403">
        <v>401</v>
      </c>
      <c r="B403" t="str">
        <f ca="1">CONCATENATE(VLOOKUP(INDEX(dict_zuord_Var_DQ[ID_Variables],MATCH(table_DataQualities[[#This Row],[ID]],dict_zuord_Var_DQ[ID_DataQualities],0)),table_Variables[],2,FALSE),"_",VLOOKUP(table_DataQualities[[#This Row],[unit_ID]],table_Units[],4,FALSE))</f>
        <v>Messgröße 200_Leistungsmessgenauigkeit W</v>
      </c>
      <c r="C403">
        <f t="shared" ref="C403" ca="1" si="103">RANDBETWEEN(5,10)*100</f>
        <v>600</v>
      </c>
      <c r="D403" s="3" t="str">
        <f ca="1">VLOOKUP(table_DataQualities[[#This Row],[unit_ID]],table_Units[#All],2)</f>
        <v>+/- W</v>
      </c>
      <c r="F403">
        <f ca="1">IF(table_DataQualities[[#This Row],[unit_ID]]=100,RANDBETWEEN(10,1000)/1000,IF(table_DataQualities[[#This Row],[unit_ID]]=500,RANDBETWEEN(1,10),IF(table_DataQualities[[#This Row],[unit_ID]]=600,RANDBETWEEN(10,1000)/100,IF(table_DataQualities[[#This Row],[unit_ID]]=700,RANDBETWEEN(10,100)/10,IF(table_DataQualities[[#This Row],[unit_ID]]=800,RANDBETWEEN(1,1000)/1000,IF(table_DataQualities[[#This Row],[unit_ID]]=900,RANDBETWEEN(10,1000)/100,IF(table_DataQualities[[#This Row],[unit_ID]]=1000,RANDBETWEEN(1,100),"FEHLER")))))))</f>
        <v>6.42</v>
      </c>
      <c r="G403">
        <f ca="1">IF(table_DataQualities[[#This Row],[unit_ID]]=100,RANDBETWEEN(1000,100000)/10,IF(table_DataQualities[[#This Row],[unit_ID]]=500,RANDBETWEEN(1,10)/10,IF(table_DataQualities[[#This Row],[unit_ID]]=600,RANDBETWEEN(1,100)/1000,IF(table_DataQualities[[#This Row],[unit_ID]]=700,RANDBETWEEN(1,100)/100,IF(table_DataQualities[[#This Row],[unit_ID]]=800,RANDBETWEEN(1,100)/10000,IF(table_DataQualities[[#This Row],[unit_ID]]=900,RANDBETWEEN(1,100)/1000,IF(table_DataQualities[[#This Row],[unit_ID]]=1000,RANDBETWEEN(1000,10000),"FEHLER")))))))</f>
        <v>3.6999999999999998E-2</v>
      </c>
      <c r="H403" s="9">
        <f ca="1">IF(VLOOKUP(table_DataQualities[[#This Row],[unit_ID]],table_Units[],5)&gt;0,table_DataQualities[[#This Row],[z_worst]],IF(VLOOKUP(table_DataQualities[[#This Row],[unit_ID]],table_Units[],6)=1,table_DataQualities[[#This Row],[z_best]]))</f>
        <v>3.6999999999999998E-2</v>
      </c>
      <c r="I403" s="9">
        <f ca="1">IF(IF(VLOOKUP(table_DataQualities[[#This Row],[unit_ID]],table_Units[],5)&gt;0,table_DataQualities[[#This Row],[z_best]],IF(VLOOKUP(table_DataQualities[[#This Row],[unit_ID]],table_Units[],6)=1,table_DataQualities[[#This Row],[z_worst]]))&lt;table_DataQualities[[#This Row],[z_lb]],table_DataQualities[[#This Row],[z_lb]],IF(VLOOKUP(table_DataQualities[[#This Row],[unit_ID]],table_Units[],5)&gt;0,table_DataQualities[[#This Row],[z_best]],IF(VLOOKUP(table_DataQualities[[#This Row],[unit_ID]],table_Units[],6)=1,table_DataQualities[[#This Row],[z_worst]])))</f>
        <v>6.42</v>
      </c>
      <c r="K403">
        <f t="shared" ca="1" si="101"/>
        <v>0.49</v>
      </c>
      <c r="M403" s="3" t="b">
        <f ca="1">IF(MIN(SUMPRODUCT(SUBTOTAL(103,OFFSET(table_DataQualities[ID],ROW(table_DataQualities[ID])-MIN(ROW(table_DataQualities[ID])),,1))*(table_DataQualities[ID]=table_DataQualities[[#This Row],[ID]])),SUMPRODUCT(SUBTOTAL(103,OFFSET(table_Units[ID],ROW(table_Units[ID])-MIN(ROW(table_Units[ID])),,1))*(table_Units[ID]=table_DataQualities[[#This Row],[unit_ID]])))&gt;0,TRUE,FALSE)</f>
        <v>1</v>
      </c>
      <c r="N403" s="3" t="b">
        <f ca="1">VLOOKUP(table_DataQualities[[#This Row],[ID]],dict_zuord_Var_DQ!B:C,2,FALSE)</f>
        <v>0</v>
      </c>
      <c r="O403">
        <f t="shared" ca="1" si="98"/>
        <v>2.9</v>
      </c>
    </row>
  </sheetData>
  <conditionalFormatting sqref="I1:I1048576">
    <cfRule type="cellIs" dxfId="71" priority="2" operator="lessThan">
      <formula>$H1</formula>
    </cfRule>
  </conditionalFormatting>
  <conditionalFormatting sqref="H1:H1048576">
    <cfRule type="cellIs" dxfId="70" priority="1" operator="lessThanOrEqual">
      <formula>0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F18"/>
  <sheetViews>
    <sheetView workbookViewId="0"/>
  </sheetViews>
  <sheetFormatPr baseColWidth="10" defaultRowHeight="14.25" x14ac:dyDescent="0.45"/>
  <cols>
    <col min="1" max="1" width="5.1328125" bestFit="1" customWidth="1"/>
    <col min="2" max="2" width="11.59765625" customWidth="1"/>
    <col min="3" max="3" width="13" bestFit="1" customWidth="1"/>
    <col min="4" max="4" width="32.1328125" bestFit="1" customWidth="1"/>
    <col min="5" max="5" width="17" bestFit="1" customWidth="1"/>
    <col min="6" max="6" width="16" bestFit="1" customWidth="1"/>
  </cols>
  <sheetData>
    <row r="1" spans="1:6" x14ac:dyDescent="0.45">
      <c r="A1" t="s">
        <v>0</v>
      </c>
      <c r="B1" t="s">
        <v>1</v>
      </c>
      <c r="C1" t="s">
        <v>22</v>
      </c>
      <c r="D1" t="s">
        <v>108</v>
      </c>
      <c r="E1" t="s">
        <v>129</v>
      </c>
      <c r="F1" t="s">
        <v>130</v>
      </c>
    </row>
    <row r="2" spans="1:6" x14ac:dyDescent="0.45">
      <c r="A2">
        <v>100</v>
      </c>
      <c r="B2" t="s">
        <v>95</v>
      </c>
      <c r="C2">
        <v>1</v>
      </c>
      <c r="D2" t="s">
        <v>107</v>
      </c>
      <c r="E2">
        <f>IF(table_Units[[#This Row],[unit_factor]]&gt;0,1,0)</f>
        <v>1</v>
      </c>
      <c r="F2">
        <f>IF(table_Units[[#This Row],[unit_factor]]&lt;0,1,0)</f>
        <v>0</v>
      </c>
    </row>
    <row r="3" spans="1:6" x14ac:dyDescent="0.45">
      <c r="A3">
        <v>101</v>
      </c>
      <c r="B3" t="s">
        <v>50</v>
      </c>
      <c r="C3">
        <v>-1</v>
      </c>
      <c r="D3" t="s">
        <v>109</v>
      </c>
      <c r="E3">
        <f>IF(table_Units[[#This Row],[unit_factor]]&gt;0,1,0)</f>
        <v>0</v>
      </c>
      <c r="F3">
        <f>IF(table_Units[[#This Row],[unit_factor]]&lt;0,1,0)</f>
        <v>1</v>
      </c>
    </row>
    <row r="4" spans="1:6" x14ac:dyDescent="0.45">
      <c r="A4">
        <v>200</v>
      </c>
      <c r="B4" t="s">
        <v>94</v>
      </c>
      <c r="C4">
        <v>1</v>
      </c>
      <c r="D4" t="s">
        <v>100</v>
      </c>
      <c r="E4">
        <f>IF(table_Units[[#This Row],[unit_factor]]&gt;0,1,0)</f>
        <v>1</v>
      </c>
      <c r="F4">
        <f>IF(table_Units[[#This Row],[unit_factor]]&lt;0,1,0)</f>
        <v>0</v>
      </c>
    </row>
    <row r="5" spans="1:6" x14ac:dyDescent="0.45">
      <c r="A5">
        <v>201</v>
      </c>
      <c r="B5" t="s">
        <v>96</v>
      </c>
      <c r="C5">
        <f>1/25.4</f>
        <v>3.937007874015748E-2</v>
      </c>
      <c r="D5" t="s">
        <v>101</v>
      </c>
      <c r="E5">
        <f>IF(table_Units[[#This Row],[unit_factor]]&gt;0,1,0)</f>
        <v>1</v>
      </c>
      <c r="F5">
        <f>IF(table_Units[[#This Row],[unit_factor]]&lt;0,1,0)</f>
        <v>0</v>
      </c>
    </row>
    <row r="6" spans="1:6" x14ac:dyDescent="0.45">
      <c r="A6">
        <v>300</v>
      </c>
      <c r="B6" t="s">
        <v>97</v>
      </c>
      <c r="C6">
        <v>1</v>
      </c>
      <c r="D6" t="s">
        <v>106</v>
      </c>
      <c r="E6">
        <f>IF(table_Units[[#This Row],[unit_factor]]&gt;0,1,0)</f>
        <v>1</v>
      </c>
      <c r="F6">
        <f>IF(table_Units[[#This Row],[unit_factor]]&lt;0,1,0)</f>
        <v>0</v>
      </c>
    </row>
    <row r="7" spans="1:6" x14ac:dyDescent="0.45">
      <c r="A7">
        <v>400</v>
      </c>
      <c r="B7" t="s">
        <v>98</v>
      </c>
      <c r="C7">
        <v>1</v>
      </c>
      <c r="D7" t="s">
        <v>103</v>
      </c>
      <c r="E7">
        <f>IF(table_Units[[#This Row],[unit_factor]]&gt;0,1,0)</f>
        <v>1</v>
      </c>
      <c r="F7">
        <f>IF(table_Units[[#This Row],[unit_factor]]&lt;0,1,0)</f>
        <v>0</v>
      </c>
    </row>
    <row r="8" spans="1:6" x14ac:dyDescent="0.45">
      <c r="A8">
        <v>401</v>
      </c>
      <c r="B8" t="s">
        <v>99</v>
      </c>
      <c r="C8">
        <v>1</v>
      </c>
      <c r="D8" t="s">
        <v>104</v>
      </c>
      <c r="E8">
        <f>IF(table_Units[[#This Row],[unit_factor]]&gt;0,1,0)</f>
        <v>1</v>
      </c>
      <c r="F8">
        <f>IF(table_Units[[#This Row],[unit_factor]]&lt;0,1,0)</f>
        <v>0</v>
      </c>
    </row>
    <row r="9" spans="1:6" x14ac:dyDescent="0.45">
      <c r="A9">
        <v>402</v>
      </c>
      <c r="B9" t="s">
        <v>99</v>
      </c>
      <c r="C9">
        <v>1</v>
      </c>
      <c r="D9" t="s">
        <v>105</v>
      </c>
      <c r="E9">
        <f>IF(table_Units[[#This Row],[unit_factor]]&gt;0,1,0)</f>
        <v>1</v>
      </c>
      <c r="F9">
        <f>IF(table_Units[[#This Row],[unit_factor]]&lt;0,1,0)</f>
        <v>0</v>
      </c>
    </row>
    <row r="10" spans="1:6" x14ac:dyDescent="0.45">
      <c r="A10">
        <v>500</v>
      </c>
      <c r="B10" t="str">
        <f>"+/- °C"</f>
        <v>+/- °C</v>
      </c>
      <c r="C10">
        <v>-1</v>
      </c>
      <c r="D10" t="s">
        <v>115</v>
      </c>
      <c r="E10">
        <f>IF(table_Units[[#This Row],[unit_factor]]&gt;0,1,0)</f>
        <v>0</v>
      </c>
      <c r="F10">
        <f>IF(table_Units[[#This Row],[unit_factor]]&lt;0,1,0)</f>
        <v>1</v>
      </c>
    </row>
    <row r="11" spans="1:6" x14ac:dyDescent="0.45">
      <c r="A11">
        <v>600</v>
      </c>
      <c r="B11" t="str">
        <f>"+/- W"</f>
        <v>+/- W</v>
      </c>
      <c r="C11">
        <v>-1</v>
      </c>
      <c r="D11" t="s">
        <v>114</v>
      </c>
      <c r="E11">
        <f>IF(table_Units[[#This Row],[unit_factor]]&gt;0,1,0)</f>
        <v>0</v>
      </c>
      <c r="F11">
        <f>IF(table_Units[[#This Row],[unit_factor]]&lt;0,1,0)</f>
        <v>1</v>
      </c>
    </row>
    <row r="12" spans="1:6" x14ac:dyDescent="0.45">
      <c r="A12">
        <v>700</v>
      </c>
      <c r="B12" t="str">
        <f>"+/- mm/s"</f>
        <v>+/- mm/s</v>
      </c>
      <c r="C12">
        <v>-1</v>
      </c>
      <c r="D12" t="s">
        <v>113</v>
      </c>
      <c r="E12">
        <f>IF(table_Units[[#This Row],[unit_factor]]&gt;0,1,0)</f>
        <v>0</v>
      </c>
      <c r="F12">
        <f>IF(table_Units[[#This Row],[unit_factor]]&lt;0,1,0)</f>
        <v>1</v>
      </c>
    </row>
    <row r="13" spans="1:6" x14ac:dyDescent="0.45">
      <c r="A13">
        <v>800</v>
      </c>
      <c r="B13" t="str">
        <f>"+/- cm³/s"</f>
        <v>+/- cm³/s</v>
      </c>
      <c r="C13">
        <v>-1</v>
      </c>
      <c r="D13" t="s">
        <v>102</v>
      </c>
      <c r="E13">
        <f>IF(table_Units[[#This Row],[unit_factor]]&gt;0,1,0)</f>
        <v>0</v>
      </c>
      <c r="F13">
        <f>IF(table_Units[[#This Row],[unit_factor]]&lt;0,1,0)</f>
        <v>1</v>
      </c>
    </row>
    <row r="14" spans="1:6" x14ac:dyDescent="0.45">
      <c r="A14">
        <v>801</v>
      </c>
      <c r="B14" t="str">
        <f>"+/- liter/s"</f>
        <v>+/- liter/s</v>
      </c>
      <c r="C14">
        <v>-1</v>
      </c>
      <c r="D14" t="s">
        <v>341</v>
      </c>
      <c r="E14">
        <f>IF(table_Units[[#This Row],[unit_factor]]&gt;0,1,0)</f>
        <v>0</v>
      </c>
      <c r="F14">
        <f>IF(table_Units[[#This Row],[unit_factor]]&lt;0,1,0)</f>
        <v>1</v>
      </c>
    </row>
    <row r="15" spans="1:6" x14ac:dyDescent="0.45">
      <c r="A15">
        <v>802</v>
      </c>
      <c r="B15" t="str">
        <f>"+/- m³/h"</f>
        <v>+/- m³/h</v>
      </c>
      <c r="C15">
        <v>-1</v>
      </c>
      <c r="D15" t="s">
        <v>110</v>
      </c>
      <c r="E15">
        <f>IF(table_Units[[#This Row],[unit_factor]]&gt;0,1,0)</f>
        <v>0</v>
      </c>
      <c r="F15">
        <f>IF(table_Units[[#This Row],[unit_factor]]&lt;0,1,0)</f>
        <v>1</v>
      </c>
    </row>
    <row r="16" spans="1:6" x14ac:dyDescent="0.45">
      <c r="A16">
        <v>900</v>
      </c>
      <c r="B16" t="str">
        <f>"+/- mm"</f>
        <v>+/- mm</v>
      </c>
      <c r="C16">
        <v>-1</v>
      </c>
      <c r="D16" t="s">
        <v>111</v>
      </c>
      <c r="E16">
        <f>IF(table_Units[[#This Row],[unit_factor]]&gt;0,1,0)</f>
        <v>0</v>
      </c>
      <c r="F16">
        <f>IF(table_Units[[#This Row],[unit_factor]]&lt;0,1,0)</f>
        <v>1</v>
      </c>
    </row>
    <row r="17" spans="1:6" x14ac:dyDescent="0.45">
      <c r="A17">
        <v>901</v>
      </c>
      <c r="B17" t="str">
        <f>"+/- µm"</f>
        <v>+/- µm</v>
      </c>
      <c r="C17">
        <f>-1/1000</f>
        <v>-1E-3</v>
      </c>
      <c r="D17" t="s">
        <v>112</v>
      </c>
      <c r="E17">
        <f>IF(table_Units[[#This Row],[unit_factor]]&gt;0,1,0)</f>
        <v>0</v>
      </c>
      <c r="F17">
        <f>IF(table_Units[[#This Row],[unit_factor]]&lt;0,1,0)</f>
        <v>1</v>
      </c>
    </row>
    <row r="18" spans="1:6" x14ac:dyDescent="0.45">
      <c r="A18">
        <v>1000</v>
      </c>
      <c r="B18" t="s">
        <v>97</v>
      </c>
      <c r="C18">
        <v>1</v>
      </c>
      <c r="D18" t="s">
        <v>131</v>
      </c>
      <c r="E18" s="3">
        <f>IF(table_Units[[#This Row],[unit_factor]]&gt;0,1,0)</f>
        <v>1</v>
      </c>
      <c r="F18" s="3">
        <f>IF(table_Units[[#This Row],[unit_factor]]&lt;0,1,0)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D37"/>
  <sheetViews>
    <sheetView workbookViewId="0"/>
  </sheetViews>
  <sheetFormatPr baseColWidth="10" defaultRowHeight="14.25" x14ac:dyDescent="0.45"/>
  <cols>
    <col min="1" max="1" width="13" customWidth="1"/>
    <col min="2" max="2" width="11.59765625" customWidth="1"/>
    <col min="3" max="3" width="13" bestFit="1" customWidth="1"/>
    <col min="4" max="4" width="32.1328125" bestFit="1" customWidth="1"/>
  </cols>
  <sheetData>
    <row r="1" spans="1:4" x14ac:dyDescent="0.45">
      <c r="A1" t="s">
        <v>0</v>
      </c>
      <c r="B1" t="s">
        <v>1</v>
      </c>
      <c r="C1" t="s">
        <v>22</v>
      </c>
      <c r="D1" t="s">
        <v>108</v>
      </c>
    </row>
    <row r="2" spans="1:4" hidden="1" x14ac:dyDescent="0.45">
      <c r="A2">
        <f>IFERROR(table_Units[ID],"")</f>
        <v>100</v>
      </c>
      <c r="B2" t="str">
        <f>IFERROR(table_Units[name],"")</f>
        <v>Hz</v>
      </c>
      <c r="C2">
        <f>IFERROR(table_Units[unit_factor],"")</f>
        <v>1</v>
      </c>
      <c r="D2" t="str">
        <f>IFERROR(table_Units[unit_name],"")</f>
        <v>Frequenz Hz</v>
      </c>
    </row>
    <row r="3" spans="1:4" hidden="1" x14ac:dyDescent="0.45">
      <c r="A3">
        <f>IFERROR(table_Units[ID],"")</f>
        <v>101</v>
      </c>
      <c r="B3" t="str">
        <f>IFERROR(table_Units[name],"")</f>
        <v>s</v>
      </c>
      <c r="C3">
        <f>IFERROR(table_Units[unit_factor],"")</f>
        <v>-1</v>
      </c>
      <c r="D3" t="str">
        <f>IFERROR(table_Units[unit_name],"")</f>
        <v>Frequenz s</v>
      </c>
    </row>
    <row r="4" spans="1:4" x14ac:dyDescent="0.45">
      <c r="A4">
        <f>IFERROR(table_Units[ID],"")</f>
        <v>200</v>
      </c>
      <c r="B4" t="str">
        <f>IFERROR(table_Units[name],"")</f>
        <v>px/mm</v>
      </c>
      <c r="C4">
        <f>IFERROR(table_Units[unit_factor],"")</f>
        <v>1</v>
      </c>
      <c r="D4" t="str">
        <f>IFERROR(table_Units[unit_name],"")</f>
        <v>Auflösung px</v>
      </c>
    </row>
    <row r="5" spans="1:4" x14ac:dyDescent="0.45">
      <c r="A5">
        <f>IFERROR(table_Units[ID],"")</f>
        <v>201</v>
      </c>
      <c r="B5" t="str">
        <f>IFERROR(table_Units[name],"")</f>
        <v>dpi</v>
      </c>
      <c r="C5">
        <f>IFERROR(table_Units[unit_factor],"")</f>
        <v>3.937007874015748E-2</v>
      </c>
      <c r="D5" t="str">
        <f>IFERROR(table_Units[unit_name],"")</f>
        <v>Auflösung dpi</v>
      </c>
    </row>
    <row r="6" spans="1:4" x14ac:dyDescent="0.45">
      <c r="A6">
        <f>IFERROR(table_Units[ID],"")</f>
        <v>300</v>
      </c>
      <c r="B6" t="str">
        <f>IFERROR(table_Units[name],"")</f>
        <v>bit</v>
      </c>
      <c r="C6">
        <f>IFERROR(table_Units[unit_factor],"")</f>
        <v>1</v>
      </c>
      <c r="D6" t="str">
        <f>IFERROR(table_Units[unit_name],"")</f>
        <v>Farbtiefe bit</v>
      </c>
    </row>
    <row r="7" spans="1:4" x14ac:dyDescent="0.45">
      <c r="A7">
        <f>IFERROR(table_Units[ID],"")</f>
        <v>400</v>
      </c>
      <c r="B7" t="str">
        <f>IFERROR(table_Units[name],"")</f>
        <v>mm²</v>
      </c>
      <c r="C7">
        <f>IFERROR(table_Units[unit_factor],"")</f>
        <v>1</v>
      </c>
      <c r="D7" t="str">
        <f>IFERROR(table_Units[unit_name],"")</f>
        <v>Fläche mm²</v>
      </c>
    </row>
    <row r="8" spans="1:4" x14ac:dyDescent="0.45">
      <c r="A8">
        <f>IFERROR(table_Units[ID],"")</f>
        <v>401</v>
      </c>
      <c r="B8" t="str">
        <f>IFERROR(table_Units[name],"")</f>
        <v>mm</v>
      </c>
      <c r="C8">
        <f>IFERROR(table_Units[unit_factor],"")</f>
        <v>1</v>
      </c>
      <c r="D8" t="str">
        <f>IFERROR(table_Units[unit_name],"")</f>
        <v>Länge mm</v>
      </c>
    </row>
    <row r="9" spans="1:4" x14ac:dyDescent="0.45">
      <c r="A9">
        <f>IFERROR(table_Units[ID],"")</f>
        <v>402</v>
      </c>
      <c r="B9" t="str">
        <f>IFERROR(table_Units[name],"")</f>
        <v>mm</v>
      </c>
      <c r="C9">
        <f>IFERROR(table_Units[unit_factor],"")</f>
        <v>1</v>
      </c>
      <c r="D9" t="str">
        <f>IFERROR(table_Units[unit_name],"")</f>
        <v>Breite mm</v>
      </c>
    </row>
    <row r="10" spans="1:4" hidden="1" x14ac:dyDescent="0.45">
      <c r="A10">
        <f>IFERROR(table_Units[ID],"")</f>
        <v>500</v>
      </c>
      <c r="B10" t="str">
        <f>IFERROR(table_Units[name],"")</f>
        <v>+/- °C</v>
      </c>
      <c r="C10">
        <f>IFERROR(table_Units[unit_factor],"")</f>
        <v>-1</v>
      </c>
      <c r="D10" t="str">
        <f>IFERROR(table_Units[unit_name],"")</f>
        <v>Temperaturmessgenauigkeit °C</v>
      </c>
    </row>
    <row r="11" spans="1:4" hidden="1" x14ac:dyDescent="0.45">
      <c r="A11">
        <f>IFERROR(table_Units[ID],"")</f>
        <v>600</v>
      </c>
      <c r="B11" t="str">
        <f>IFERROR(table_Units[name],"")</f>
        <v>+/- W</v>
      </c>
      <c r="C11">
        <f>IFERROR(table_Units[unit_factor],"")</f>
        <v>-1</v>
      </c>
      <c r="D11" t="str">
        <f>IFERROR(table_Units[unit_name],"")</f>
        <v>Leistungsmessgenauigkeit W</v>
      </c>
    </row>
    <row r="12" spans="1:4" hidden="1" x14ac:dyDescent="0.45">
      <c r="A12">
        <f>IFERROR(table_Units[ID],"")</f>
        <v>700</v>
      </c>
      <c r="B12" t="str">
        <f>IFERROR(table_Units[name],"")</f>
        <v>+/- mm/s</v>
      </c>
      <c r="C12">
        <f>IFERROR(table_Units[unit_factor],"")</f>
        <v>-1</v>
      </c>
      <c r="D12" t="str">
        <f>IFERROR(table_Units[unit_name],"")</f>
        <v>Geschwindigkeitsmessgenauigkeit mm/s</v>
      </c>
    </row>
    <row r="13" spans="1:4" hidden="1" x14ac:dyDescent="0.45">
      <c r="A13">
        <f>IFERROR(table_Units[ID],"")</f>
        <v>800</v>
      </c>
      <c r="B13" t="str">
        <f>IFERROR(table_Units[name],"")</f>
        <v>+/- cm³/s</v>
      </c>
      <c r="C13">
        <f>IFERROR(table_Units[unit_factor],"")</f>
        <v>-1</v>
      </c>
      <c r="D13" t="str">
        <f>IFERROR(table_Units[unit_name],"")</f>
        <v>Durchflussmessgenauigkeit cm³/s</v>
      </c>
    </row>
    <row r="14" spans="1:4" hidden="1" x14ac:dyDescent="0.45">
      <c r="A14">
        <f>IFERROR(table_Units[ID],"")</f>
        <v>801</v>
      </c>
      <c r="B14" t="str">
        <f>IFERROR(table_Units[name],"")</f>
        <v>+/- liter/s</v>
      </c>
      <c r="C14">
        <f>IFERROR(table_Units[unit_factor],"")</f>
        <v>-1</v>
      </c>
      <c r="D14" t="str">
        <f>IFERROR(table_Units[unit_name],"")</f>
        <v>Durchflussmessgenauigkeit liter/s</v>
      </c>
    </row>
    <row r="15" spans="1:4" hidden="1" x14ac:dyDescent="0.45">
      <c r="A15">
        <f>IFERROR(table_Units[ID],"")</f>
        <v>802</v>
      </c>
      <c r="B15" t="str">
        <f>IFERROR(table_Units[name],"")</f>
        <v>+/- m³/h</v>
      </c>
      <c r="C15">
        <f>IFERROR(table_Units[unit_factor],"")</f>
        <v>-1</v>
      </c>
      <c r="D15" t="str">
        <f>IFERROR(table_Units[unit_name],"")</f>
        <v>Durchflussmessgenauigkeit m³/h</v>
      </c>
    </row>
    <row r="16" spans="1:4" hidden="1" x14ac:dyDescent="0.45">
      <c r="A16">
        <f>IFERROR(table_Units[ID],"")</f>
        <v>900</v>
      </c>
      <c r="B16" t="str">
        <f>IFERROR(table_Units[name],"")</f>
        <v>+/- mm</v>
      </c>
      <c r="C16">
        <f>IFERROR(table_Units[unit_factor],"")</f>
        <v>-1</v>
      </c>
      <c r="D16" t="str">
        <f>IFERROR(table_Units[unit_name],"")</f>
        <v>Längenmessgenauigkeit mm</v>
      </c>
    </row>
    <row r="17" spans="1:4" hidden="1" x14ac:dyDescent="0.45">
      <c r="A17">
        <f>IFERROR(table_Units[ID],"")</f>
        <v>901</v>
      </c>
      <c r="B17" t="str">
        <f>IFERROR(table_Units[name],"")</f>
        <v>+/- µm</v>
      </c>
      <c r="C17">
        <f>IFERROR(table_Units[unit_factor],"")</f>
        <v>-1E-3</v>
      </c>
      <c r="D17" t="str">
        <f>IFERROR(table_Units[unit_name],"")</f>
        <v>Längenmessgenauigkeit µm</v>
      </c>
    </row>
    <row r="18" spans="1:4" x14ac:dyDescent="0.45">
      <c r="A18">
        <f>IFERROR(table_Units[ID],"")</f>
        <v>1000</v>
      </c>
      <c r="B18" t="str">
        <f>IFERROR(table_Units[name],"")</f>
        <v>bit</v>
      </c>
      <c r="C18">
        <f>IFERROR(table_Units[unit_factor],"")</f>
        <v>1</v>
      </c>
      <c r="D18" t="str">
        <f>IFERROR(table_Units[unit_name],"")</f>
        <v>Bildgröße</v>
      </c>
    </row>
    <row r="19" spans="1:4" hidden="1" x14ac:dyDescent="0.45">
      <c r="A19" t="str">
        <f>IFERROR(table_Units[ID],"")</f>
        <v/>
      </c>
      <c r="B19" t="str">
        <f>IFERROR(table_Units[name],"")</f>
        <v/>
      </c>
      <c r="C19" t="str">
        <f>IFERROR(table_Units[unit_factor],"")</f>
        <v/>
      </c>
      <c r="D19" t="str">
        <f>IFERROR(table_Units[unit_name],"")</f>
        <v/>
      </c>
    </row>
    <row r="20" spans="1:4" hidden="1" x14ac:dyDescent="0.45">
      <c r="A20" t="str">
        <f>IFERROR(table_Units[ID],"")</f>
        <v/>
      </c>
      <c r="B20" t="str">
        <f>IFERROR(table_Units[name],"")</f>
        <v/>
      </c>
      <c r="C20" t="str">
        <f>IFERROR(table_Units[unit_factor],"")</f>
        <v/>
      </c>
      <c r="D20" t="str">
        <f>IFERROR(table_Units[unit_name],"")</f>
        <v/>
      </c>
    </row>
    <row r="21" spans="1:4" hidden="1" x14ac:dyDescent="0.45">
      <c r="A21" t="str">
        <f>IFERROR(table_Units[ID],"")</f>
        <v/>
      </c>
      <c r="B21" t="str">
        <f>IFERROR(table_Units[name],"")</f>
        <v/>
      </c>
      <c r="C21" t="str">
        <f>IFERROR(table_Units[unit_factor],"")</f>
        <v/>
      </c>
      <c r="D21" t="str">
        <f>IFERROR(table_Units[unit_name],"")</f>
        <v/>
      </c>
    </row>
    <row r="22" spans="1:4" hidden="1" x14ac:dyDescent="0.45">
      <c r="A22" t="str">
        <f>IFERROR(table_Units[ID],"")</f>
        <v/>
      </c>
      <c r="B22" t="str">
        <f>IFERROR(table_Units[name],"")</f>
        <v/>
      </c>
      <c r="C22" t="str">
        <f>IFERROR(table_Units[unit_factor],"")</f>
        <v/>
      </c>
      <c r="D22" t="str">
        <f>IFERROR(table_Units[unit_name],"")</f>
        <v/>
      </c>
    </row>
    <row r="23" spans="1:4" hidden="1" x14ac:dyDescent="0.45">
      <c r="A23" t="str">
        <f>IFERROR(table_Units[ID],"")</f>
        <v/>
      </c>
      <c r="B23" t="str">
        <f>IFERROR(table_Units[name],"")</f>
        <v/>
      </c>
      <c r="C23" t="str">
        <f>IFERROR(table_Units[unit_factor],"")</f>
        <v/>
      </c>
      <c r="D23" t="str">
        <f>IFERROR(table_Units[unit_name],"")</f>
        <v/>
      </c>
    </row>
    <row r="24" spans="1:4" hidden="1" x14ac:dyDescent="0.45">
      <c r="A24" t="str">
        <f>IFERROR(table_Units[ID],"")</f>
        <v/>
      </c>
      <c r="B24" t="str">
        <f>IFERROR(table_Units[name],"")</f>
        <v/>
      </c>
      <c r="C24" t="str">
        <f>IFERROR(table_Units[unit_factor],"")</f>
        <v/>
      </c>
      <c r="D24" t="str">
        <f>IFERROR(table_Units[unit_name],"")</f>
        <v/>
      </c>
    </row>
    <row r="25" spans="1:4" hidden="1" x14ac:dyDescent="0.45">
      <c r="A25" t="str">
        <f>IFERROR(table_Units[ID],"")</f>
        <v/>
      </c>
      <c r="B25" t="str">
        <f>IFERROR(table_Units[name],"")</f>
        <v/>
      </c>
      <c r="C25" t="str">
        <f>IFERROR(table_Units[unit_factor],"")</f>
        <v/>
      </c>
      <c r="D25" t="str">
        <f>IFERROR(table_Units[unit_name],"")</f>
        <v/>
      </c>
    </row>
    <row r="26" spans="1:4" hidden="1" x14ac:dyDescent="0.45">
      <c r="A26" t="str">
        <f>IFERROR(table_Units[ID],"")</f>
        <v/>
      </c>
      <c r="B26" t="str">
        <f>IFERROR(table_Units[name],"")</f>
        <v/>
      </c>
      <c r="C26" t="str">
        <f>IFERROR(table_Units[unit_factor],"")</f>
        <v/>
      </c>
      <c r="D26" t="str">
        <f>IFERROR(table_Units[unit_name],"")</f>
        <v/>
      </c>
    </row>
    <row r="27" spans="1:4" hidden="1" x14ac:dyDescent="0.45">
      <c r="A27" t="str">
        <f>IFERROR(table_Units[ID],"")</f>
        <v/>
      </c>
      <c r="B27" t="str">
        <f>IFERROR(table_Units[name],"")</f>
        <v/>
      </c>
      <c r="C27" t="str">
        <f>IFERROR(table_Units[unit_factor],"")</f>
        <v/>
      </c>
      <c r="D27" t="str">
        <f>IFERROR(table_Units[unit_name],"")</f>
        <v/>
      </c>
    </row>
    <row r="28" spans="1:4" hidden="1" x14ac:dyDescent="0.45">
      <c r="A28" t="str">
        <f>IFERROR(table_Units[ID],"")</f>
        <v/>
      </c>
      <c r="B28" t="str">
        <f>IFERROR(table_Units[name],"")</f>
        <v/>
      </c>
      <c r="C28" t="str">
        <f>IFERROR(table_Units[unit_factor],"")</f>
        <v/>
      </c>
      <c r="D28" t="str">
        <f>IFERROR(table_Units[unit_name],"")</f>
        <v/>
      </c>
    </row>
    <row r="29" spans="1:4" hidden="1" x14ac:dyDescent="0.45">
      <c r="A29" t="str">
        <f>IFERROR(table_Units[ID],"")</f>
        <v/>
      </c>
      <c r="B29" t="str">
        <f>IFERROR(table_Units[name],"")</f>
        <v/>
      </c>
      <c r="C29" t="str">
        <f>IFERROR(table_Units[unit_factor],"")</f>
        <v/>
      </c>
      <c r="D29" t="str">
        <f>IFERROR(table_Units[unit_name],"")</f>
        <v/>
      </c>
    </row>
    <row r="30" spans="1:4" hidden="1" x14ac:dyDescent="0.45">
      <c r="A30" t="str">
        <f>IFERROR(table_Units[ID],"")</f>
        <v/>
      </c>
      <c r="B30" t="str">
        <f>IFERROR(table_Units[name],"")</f>
        <v/>
      </c>
      <c r="C30" t="str">
        <f>IFERROR(table_Units[unit_factor],"")</f>
        <v/>
      </c>
      <c r="D30" t="str">
        <f>IFERROR(table_Units[unit_name],"")</f>
        <v/>
      </c>
    </row>
    <row r="31" spans="1:4" hidden="1" x14ac:dyDescent="0.45">
      <c r="A31" t="str">
        <f>IFERROR(table_Units[ID],"")</f>
        <v/>
      </c>
      <c r="B31" t="str">
        <f>IFERROR(table_Units[name],"")</f>
        <v/>
      </c>
      <c r="C31" t="str">
        <f>IFERROR(table_Units[unit_factor],"")</f>
        <v/>
      </c>
      <c r="D31" t="str">
        <f>IFERROR(table_Units[unit_name],"")</f>
        <v/>
      </c>
    </row>
    <row r="32" spans="1:4" hidden="1" x14ac:dyDescent="0.45">
      <c r="A32" t="str">
        <f>IFERROR(table_Units[ID],"")</f>
        <v/>
      </c>
      <c r="B32" t="str">
        <f>IFERROR(table_Units[name],"")</f>
        <v/>
      </c>
      <c r="C32" t="str">
        <f>IFERROR(table_Units[unit_factor],"")</f>
        <v/>
      </c>
      <c r="D32" t="str">
        <f>IFERROR(table_Units[unit_name],"")</f>
        <v/>
      </c>
    </row>
    <row r="33" spans="1:4" hidden="1" x14ac:dyDescent="0.45">
      <c r="A33" t="str">
        <f>IFERROR(table_Units[ID],"")</f>
        <v/>
      </c>
      <c r="B33" t="str">
        <f>IFERROR(table_Units[name],"")</f>
        <v/>
      </c>
      <c r="C33" t="str">
        <f>IFERROR(table_Units[unit_factor],"")</f>
        <v/>
      </c>
      <c r="D33" t="str">
        <f>IFERROR(table_Units[unit_name],"")</f>
        <v/>
      </c>
    </row>
    <row r="34" spans="1:4" hidden="1" x14ac:dyDescent="0.45">
      <c r="A34" t="str">
        <f>IFERROR(table_Units[ID],"")</f>
        <v/>
      </c>
      <c r="B34" t="str">
        <f>IFERROR(table_Units[name],"")</f>
        <v/>
      </c>
      <c r="C34" t="str">
        <f>IFERROR(table_Units[unit_factor],"")</f>
        <v/>
      </c>
      <c r="D34" t="str">
        <f>IFERROR(table_Units[unit_name],"")</f>
        <v/>
      </c>
    </row>
    <row r="35" spans="1:4" hidden="1" x14ac:dyDescent="0.45">
      <c r="A35" t="str">
        <f>IFERROR(table_Units[ID],"")</f>
        <v/>
      </c>
      <c r="B35" t="str">
        <f>IFERROR(table_Units[name],"")</f>
        <v/>
      </c>
      <c r="C35" t="str">
        <f>IFERROR(table_Units[unit_factor],"")</f>
        <v/>
      </c>
      <c r="D35" t="str">
        <f>IFERROR(table_Units[unit_name],"")</f>
        <v/>
      </c>
    </row>
    <row r="36" spans="1:4" hidden="1" x14ac:dyDescent="0.45">
      <c r="A36" t="str">
        <f>IFERROR(table_Units[ID],"")</f>
        <v/>
      </c>
      <c r="B36" t="str">
        <f>IFERROR(table_Units[name],"")</f>
        <v/>
      </c>
      <c r="C36" t="str">
        <f>IFERROR(table_Units[unit_factor],"")</f>
        <v/>
      </c>
      <c r="D36" t="str">
        <f>IFERROR(table_Units[unit_name],"")</f>
        <v/>
      </c>
    </row>
    <row r="37" spans="1:4" hidden="1" x14ac:dyDescent="0.45">
      <c r="A37" t="str">
        <f>IFERROR(table_Units[ID],"")</f>
        <v/>
      </c>
      <c r="B37" t="str">
        <f>IFERROR(table_Units[name],"")</f>
        <v/>
      </c>
      <c r="C37" t="str">
        <f>IFERROR(table_Units[unit_factor],"")</f>
        <v/>
      </c>
      <c r="D37" t="str">
        <f>IFERROR(table_Units[unit_name],"")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rgb="FF92D050"/>
  </sheetPr>
  <dimension ref="A1:I702"/>
  <sheetViews>
    <sheetView tabSelected="1" topLeftCell="A69" workbookViewId="0">
      <selection activeCell="G54" sqref="G1:G1048576"/>
    </sheetView>
  </sheetViews>
  <sheetFormatPr baseColWidth="10" defaultRowHeight="14.25" x14ac:dyDescent="0.45"/>
  <cols>
    <col min="1" max="1" width="5.1328125" bestFit="1" customWidth="1"/>
    <col min="2" max="2" width="26.3984375" bestFit="1" customWidth="1"/>
    <col min="3" max="3" width="12.265625" bestFit="1" customWidth="1"/>
    <col min="4" max="4" width="23.265625" bestFit="1" customWidth="1"/>
    <col min="5" max="6" width="23.265625" customWidth="1"/>
    <col min="7" max="7" width="12.73046875" bestFit="1" customWidth="1"/>
    <col min="8" max="8" width="18" bestFit="1" customWidth="1"/>
    <col min="9" max="9" width="15.265625" bestFit="1" customWidth="1"/>
  </cols>
  <sheetData>
    <row r="1" spans="1:9" x14ac:dyDescent="0.45">
      <c r="A1" t="s">
        <v>0</v>
      </c>
      <c r="B1" t="s">
        <v>1</v>
      </c>
      <c r="C1" t="s">
        <v>2</v>
      </c>
      <c r="D1" t="s">
        <v>21</v>
      </c>
      <c r="E1" t="s">
        <v>58</v>
      </c>
      <c r="F1" t="s">
        <v>59</v>
      </c>
      <c r="G1" s="1" t="s">
        <v>66</v>
      </c>
      <c r="H1" t="s">
        <v>125</v>
      </c>
      <c r="I1" t="s">
        <v>128</v>
      </c>
    </row>
    <row r="2" spans="1:9" x14ac:dyDescent="0.45">
      <c r="A2">
        <v>0</v>
      </c>
      <c r="B2" t="str">
        <f>CONCATENATE("Methode ",table_Methods[[#This Row],[ID]])</f>
        <v>Methode 0</v>
      </c>
      <c r="C2">
        <f t="shared" ref="C2:C65" ca="1" si="0">10^(RANDBETWEEN(-1,1))*RANDBETWEEN(1,100)*10</f>
        <v>65</v>
      </c>
      <c r="D2">
        <f ca="1">RANDBETWEEN(10,1000)/(100)</f>
        <v>9.27</v>
      </c>
      <c r="E2">
        <f t="shared" ref="E2:E34" ca="1" si="1">RANDBETWEEN(-10,3)*10</f>
        <v>-90</v>
      </c>
      <c r="F2">
        <f t="shared" ref="F2:F34" ca="1" si="2">RANDBETWEEN(2,100)*10</f>
        <v>560</v>
      </c>
      <c r="G2" t="b">
        <f ca="1">INDEX(dict_zul_Var_Meth[kval_active],MATCH(table_Methods[[#This Row],[ID]],dict_zul_Var_Meth[ID_Methods],0))</f>
        <v>0</v>
      </c>
      <c r="H2">
        <f t="shared" ref="H2:H35" ca="1" si="3">RANDBETWEEN(1,10)*RANDBETWEEN(1,5000)</f>
        <v>9882</v>
      </c>
      <c r="I2">
        <f t="shared" ref="I2:I35" ca="1" si="4">2^RANDBETWEEN(1,10)*RANDBETWEEN(1,100)</f>
        <v>3392</v>
      </c>
    </row>
    <row r="3" spans="1:9" x14ac:dyDescent="0.45">
      <c r="A3">
        <v>1</v>
      </c>
      <c r="B3" t="str">
        <f>CONCATENATE("Methode ",table_Methods[[#This Row],[ID]])</f>
        <v>Methode 1</v>
      </c>
      <c r="C3">
        <f t="shared" ca="1" si="0"/>
        <v>3100</v>
      </c>
      <c r="D3">
        <f t="shared" ref="D3:D66" ca="1" si="5">RANDBETWEEN(10,1000)/(100)</f>
        <v>2.88</v>
      </c>
      <c r="E3">
        <f t="shared" ca="1" si="1"/>
        <v>20</v>
      </c>
      <c r="F3">
        <f t="shared" ca="1" si="2"/>
        <v>210</v>
      </c>
      <c r="G3" t="b">
        <f ca="1">INDEX(dict_zul_Var_Meth[kval_active],MATCH(table_Methods[[#This Row],[ID]],dict_zul_Var_Meth[ID_Methods],0))</f>
        <v>1</v>
      </c>
      <c r="H3">
        <f t="shared" ca="1" si="3"/>
        <v>2831</v>
      </c>
      <c r="I3">
        <f t="shared" ca="1" si="4"/>
        <v>1536</v>
      </c>
    </row>
    <row r="4" spans="1:9" x14ac:dyDescent="0.45">
      <c r="A4">
        <v>2</v>
      </c>
      <c r="B4" t="str">
        <f>CONCATENATE("Methode ",table_Methods[[#This Row],[ID]])</f>
        <v>Methode 2</v>
      </c>
      <c r="C4">
        <f t="shared" ca="1" si="0"/>
        <v>210</v>
      </c>
      <c r="D4">
        <f t="shared" ca="1" si="5"/>
        <v>5.89</v>
      </c>
      <c r="E4">
        <f t="shared" ca="1" si="1"/>
        <v>0</v>
      </c>
      <c r="F4">
        <f t="shared" ca="1" si="2"/>
        <v>420</v>
      </c>
      <c r="G4" t="b">
        <f ca="1">INDEX(dict_zul_Var_Meth[kval_active],MATCH(table_Methods[[#This Row],[ID]],dict_zul_Var_Meth[ID_Methods],0))</f>
        <v>0</v>
      </c>
      <c r="H4">
        <f t="shared" ca="1" si="3"/>
        <v>27580</v>
      </c>
      <c r="I4">
        <f t="shared" ca="1" si="4"/>
        <v>656</v>
      </c>
    </row>
    <row r="5" spans="1:9" x14ac:dyDescent="0.45">
      <c r="A5">
        <v>3</v>
      </c>
      <c r="B5" t="str">
        <f>CONCATENATE("Methode ",table_Methods[[#This Row],[ID]])</f>
        <v>Methode 3</v>
      </c>
      <c r="C5">
        <f t="shared" ca="1" si="0"/>
        <v>470</v>
      </c>
      <c r="D5">
        <f t="shared" ca="1" si="5"/>
        <v>2.0699999999999998</v>
      </c>
      <c r="E5">
        <f t="shared" ca="1" si="1"/>
        <v>-80</v>
      </c>
      <c r="F5">
        <f t="shared" ca="1" si="2"/>
        <v>780</v>
      </c>
      <c r="G5" t="b">
        <f ca="1">INDEX(dict_zul_Var_Meth[kval_active],MATCH(table_Methods[[#This Row],[ID]],dict_zul_Var_Meth[ID_Methods],0))</f>
        <v>0</v>
      </c>
      <c r="H5">
        <f t="shared" ca="1" si="3"/>
        <v>10224</v>
      </c>
      <c r="I5">
        <f t="shared" ca="1" si="4"/>
        <v>16</v>
      </c>
    </row>
    <row r="6" spans="1:9" x14ac:dyDescent="0.45">
      <c r="A6">
        <v>4</v>
      </c>
      <c r="B6" t="str">
        <f>CONCATENATE("Methode ",table_Methods[[#This Row],[ID]])</f>
        <v>Methode 4</v>
      </c>
      <c r="C6">
        <f t="shared" ca="1" si="0"/>
        <v>1000</v>
      </c>
      <c r="D6">
        <f t="shared" ca="1" si="5"/>
        <v>2.74</v>
      </c>
      <c r="E6">
        <f t="shared" ca="1" si="1"/>
        <v>20</v>
      </c>
      <c r="F6">
        <f t="shared" ca="1" si="2"/>
        <v>540</v>
      </c>
      <c r="G6" t="b">
        <f ca="1">INDEX(dict_zul_Var_Meth[kval_active],MATCH(table_Methods[[#This Row],[ID]],dict_zul_Var_Meth[ID_Methods],0))</f>
        <v>0</v>
      </c>
      <c r="H6">
        <f t="shared" ca="1" si="3"/>
        <v>3360</v>
      </c>
      <c r="I6">
        <f t="shared" ca="1" si="4"/>
        <v>3264</v>
      </c>
    </row>
    <row r="7" spans="1:9" x14ac:dyDescent="0.45">
      <c r="A7">
        <v>5</v>
      </c>
      <c r="B7" t="str">
        <f>CONCATENATE("Methode ",table_Methods[[#This Row],[ID]])</f>
        <v>Methode 5</v>
      </c>
      <c r="C7">
        <f t="shared" ca="1" si="0"/>
        <v>1300</v>
      </c>
      <c r="D7">
        <f t="shared" ca="1" si="5"/>
        <v>2.99</v>
      </c>
      <c r="E7">
        <f t="shared" ca="1" si="1"/>
        <v>-30</v>
      </c>
      <c r="F7">
        <f t="shared" ca="1" si="2"/>
        <v>480</v>
      </c>
      <c r="G7" t="b">
        <f ca="1">INDEX(dict_zul_Var_Meth[kval_active],MATCH(table_Methods[[#This Row],[ID]],dict_zul_Var_Meth[ID_Methods],0))</f>
        <v>0</v>
      </c>
      <c r="H7">
        <f t="shared" ca="1" si="3"/>
        <v>18680</v>
      </c>
      <c r="I7">
        <f t="shared" ca="1" si="4"/>
        <v>1312</v>
      </c>
    </row>
    <row r="8" spans="1:9" x14ac:dyDescent="0.45">
      <c r="A8">
        <v>6</v>
      </c>
      <c r="B8" t="str">
        <f>CONCATENATE("Methode ",table_Methods[[#This Row],[ID]])</f>
        <v>Methode 6</v>
      </c>
      <c r="C8">
        <f t="shared" ca="1" si="0"/>
        <v>47</v>
      </c>
      <c r="D8">
        <f t="shared" ca="1" si="5"/>
        <v>4.3099999999999996</v>
      </c>
      <c r="E8">
        <f t="shared" ca="1" si="1"/>
        <v>-40</v>
      </c>
      <c r="F8">
        <f t="shared" ca="1" si="2"/>
        <v>720</v>
      </c>
      <c r="G8" t="b">
        <f ca="1">INDEX(dict_zul_Var_Meth[kval_active],MATCH(table_Methods[[#This Row],[ID]],dict_zul_Var_Meth[ID_Methods],0))</f>
        <v>0</v>
      </c>
      <c r="H8">
        <f t="shared" ca="1" si="3"/>
        <v>14982</v>
      </c>
      <c r="I8">
        <f t="shared" ca="1" si="4"/>
        <v>21504</v>
      </c>
    </row>
    <row r="9" spans="1:9" x14ac:dyDescent="0.45">
      <c r="A9">
        <v>7</v>
      </c>
      <c r="B9" t="str">
        <f>CONCATENATE("Methode ",table_Methods[[#This Row],[ID]])</f>
        <v>Methode 7</v>
      </c>
      <c r="C9">
        <f t="shared" ca="1" si="0"/>
        <v>5700</v>
      </c>
      <c r="D9">
        <f t="shared" ca="1" si="5"/>
        <v>2.57</v>
      </c>
      <c r="E9">
        <f t="shared" ca="1" si="1"/>
        <v>-70</v>
      </c>
      <c r="F9">
        <f t="shared" ca="1" si="2"/>
        <v>170</v>
      </c>
      <c r="G9" t="b">
        <f ca="1">INDEX(dict_zul_Var_Meth[kval_active],MATCH(table_Methods[[#This Row],[ID]],dict_zul_Var_Meth[ID_Methods],0))</f>
        <v>0</v>
      </c>
      <c r="H9">
        <f t="shared" ca="1" si="3"/>
        <v>3579</v>
      </c>
      <c r="I9">
        <f t="shared" ca="1" si="4"/>
        <v>8064</v>
      </c>
    </row>
    <row r="10" spans="1:9" x14ac:dyDescent="0.45">
      <c r="A10">
        <v>8</v>
      </c>
      <c r="B10" t="str">
        <f>CONCATENATE("Methode ",table_Methods[[#This Row],[ID]])</f>
        <v>Methode 8</v>
      </c>
      <c r="C10">
        <f t="shared" ca="1" si="0"/>
        <v>7.0000000000000009</v>
      </c>
      <c r="D10">
        <f t="shared" ca="1" si="5"/>
        <v>3.59</v>
      </c>
      <c r="E10">
        <f t="shared" ca="1" si="1"/>
        <v>20</v>
      </c>
      <c r="F10">
        <f t="shared" ca="1" si="2"/>
        <v>420</v>
      </c>
      <c r="G10" t="b">
        <f ca="1">INDEX(dict_zul_Var_Meth[kval_active],MATCH(table_Methods[[#This Row],[ID]],dict_zul_Var_Meth[ID_Methods],0))</f>
        <v>0</v>
      </c>
      <c r="H10">
        <f t="shared" ca="1" si="3"/>
        <v>1152</v>
      </c>
      <c r="I10">
        <f t="shared" ca="1" si="4"/>
        <v>83968</v>
      </c>
    </row>
    <row r="11" spans="1:9" x14ac:dyDescent="0.45">
      <c r="A11">
        <v>9</v>
      </c>
      <c r="B11" t="str">
        <f>CONCATENATE("Methode ",table_Methods[[#This Row],[ID]])</f>
        <v>Methode 9</v>
      </c>
      <c r="C11">
        <f t="shared" ca="1" si="0"/>
        <v>510</v>
      </c>
      <c r="D11">
        <f t="shared" ca="1" si="5"/>
        <v>6.39</v>
      </c>
      <c r="E11">
        <f t="shared" ca="1" si="1"/>
        <v>0</v>
      </c>
      <c r="F11">
        <f t="shared" ca="1" si="2"/>
        <v>830</v>
      </c>
      <c r="G11" t="b">
        <f ca="1">INDEX(dict_zul_Var_Meth[kval_active],MATCH(table_Methods[[#This Row],[ID]],dict_zul_Var_Meth[ID_Methods],0))</f>
        <v>0</v>
      </c>
      <c r="H11">
        <f t="shared" ca="1" si="3"/>
        <v>6414</v>
      </c>
      <c r="I11">
        <f t="shared" ca="1" si="4"/>
        <v>512</v>
      </c>
    </row>
    <row r="12" spans="1:9" x14ac:dyDescent="0.45">
      <c r="A12">
        <v>10</v>
      </c>
      <c r="B12" t="str">
        <f>CONCATENATE("Methode ",table_Methods[[#This Row],[ID]])</f>
        <v>Methode 10</v>
      </c>
      <c r="C12">
        <f t="shared" ca="1" si="0"/>
        <v>61.000000000000007</v>
      </c>
      <c r="D12">
        <f t="shared" ca="1" si="5"/>
        <v>4.84</v>
      </c>
      <c r="E12">
        <f t="shared" ca="1" si="1"/>
        <v>10</v>
      </c>
      <c r="F12">
        <f t="shared" ca="1" si="2"/>
        <v>340</v>
      </c>
      <c r="G12" t="b">
        <f ca="1">INDEX(dict_zul_Var_Meth[kval_active],MATCH(table_Methods[[#This Row],[ID]],dict_zul_Var_Meth[ID_Methods],0))</f>
        <v>0</v>
      </c>
      <c r="H12">
        <f t="shared" ca="1" si="3"/>
        <v>5362</v>
      </c>
      <c r="I12">
        <f t="shared" ca="1" si="4"/>
        <v>16128</v>
      </c>
    </row>
    <row r="13" spans="1:9" x14ac:dyDescent="0.45">
      <c r="A13">
        <v>11</v>
      </c>
      <c r="B13" t="str">
        <f>CONCATENATE("Methode ",table_Methods[[#This Row],[ID]])</f>
        <v>Methode 11</v>
      </c>
      <c r="C13">
        <f t="shared" ca="1" si="0"/>
        <v>36</v>
      </c>
      <c r="D13">
        <f t="shared" ca="1" si="5"/>
        <v>2.35</v>
      </c>
      <c r="E13">
        <f t="shared" ca="1" si="1"/>
        <v>0</v>
      </c>
      <c r="F13">
        <f t="shared" ca="1" si="2"/>
        <v>480</v>
      </c>
      <c r="G13" t="b">
        <f ca="1">INDEX(dict_zul_Var_Meth[kval_active],MATCH(table_Methods[[#This Row],[ID]],dict_zul_Var_Meth[ID_Methods],0))</f>
        <v>0</v>
      </c>
      <c r="H13">
        <f t="shared" ca="1" si="3"/>
        <v>22146</v>
      </c>
      <c r="I13">
        <f t="shared" ca="1" si="4"/>
        <v>912</v>
      </c>
    </row>
    <row r="14" spans="1:9" x14ac:dyDescent="0.45">
      <c r="A14">
        <v>12</v>
      </c>
      <c r="B14" t="str">
        <f>CONCATENATE("Methode ",table_Methods[[#This Row],[ID]])</f>
        <v>Methode 12</v>
      </c>
      <c r="C14">
        <f t="shared" ca="1" si="0"/>
        <v>47</v>
      </c>
      <c r="D14">
        <f t="shared" ca="1" si="5"/>
        <v>2.19</v>
      </c>
      <c r="E14">
        <f t="shared" ca="1" si="1"/>
        <v>-20</v>
      </c>
      <c r="F14">
        <f t="shared" ca="1" si="2"/>
        <v>590</v>
      </c>
      <c r="G14" t="b">
        <f ca="1">INDEX(dict_zul_Var_Meth[kval_active],MATCH(table_Methods[[#This Row],[ID]],dict_zul_Var_Meth[ID_Methods],0))</f>
        <v>0</v>
      </c>
      <c r="H14">
        <f t="shared" ca="1" si="3"/>
        <v>450</v>
      </c>
      <c r="I14">
        <f t="shared" ca="1" si="4"/>
        <v>220</v>
      </c>
    </row>
    <row r="15" spans="1:9" x14ac:dyDescent="0.45">
      <c r="A15">
        <v>13</v>
      </c>
      <c r="B15" t="str">
        <f>CONCATENATE("Methode ",table_Methods[[#This Row],[ID]])</f>
        <v>Methode 13</v>
      </c>
      <c r="C15">
        <f t="shared" ca="1" si="0"/>
        <v>76</v>
      </c>
      <c r="D15">
        <f t="shared" ca="1" si="5"/>
        <v>6.58</v>
      </c>
      <c r="E15">
        <f t="shared" ca="1" si="1"/>
        <v>-90</v>
      </c>
      <c r="F15">
        <f t="shared" ca="1" si="2"/>
        <v>50</v>
      </c>
      <c r="G15" t="b">
        <f ca="1">INDEX(dict_zul_Var_Meth[kval_active],MATCH(table_Methods[[#This Row],[ID]],dict_zul_Var_Meth[ID_Methods],0))</f>
        <v>0</v>
      </c>
      <c r="H15">
        <f t="shared" ca="1" si="3"/>
        <v>19978</v>
      </c>
      <c r="I15">
        <f t="shared" ca="1" si="4"/>
        <v>624</v>
      </c>
    </row>
    <row r="16" spans="1:9" x14ac:dyDescent="0.45">
      <c r="A16">
        <v>14</v>
      </c>
      <c r="B16" t="str">
        <f>CONCATENATE("Methode ",table_Methods[[#This Row],[ID]])</f>
        <v>Methode 14</v>
      </c>
      <c r="C16">
        <f t="shared" ca="1" si="0"/>
        <v>64</v>
      </c>
      <c r="D16">
        <f t="shared" ca="1" si="5"/>
        <v>2.78</v>
      </c>
      <c r="E16">
        <f t="shared" ca="1" si="1"/>
        <v>-40</v>
      </c>
      <c r="F16">
        <f t="shared" ca="1" si="2"/>
        <v>410</v>
      </c>
      <c r="G16" t="b">
        <f ca="1">INDEX(dict_zul_Var_Meth[kval_active],MATCH(table_Methods[[#This Row],[ID]],dict_zul_Var_Meth[ID_Methods],0))</f>
        <v>0</v>
      </c>
      <c r="H16">
        <f t="shared" ca="1" si="3"/>
        <v>7420</v>
      </c>
      <c r="I16">
        <f t="shared" ca="1" si="4"/>
        <v>1120</v>
      </c>
    </row>
    <row r="17" spans="1:9" x14ac:dyDescent="0.45">
      <c r="A17">
        <v>15</v>
      </c>
      <c r="B17" t="str">
        <f>CONCATENATE("Methode ",table_Methods[[#This Row],[ID]])</f>
        <v>Methode 15</v>
      </c>
      <c r="C17">
        <f t="shared" ca="1" si="0"/>
        <v>4</v>
      </c>
      <c r="D17">
        <f t="shared" ca="1" si="5"/>
        <v>5.41</v>
      </c>
      <c r="E17">
        <f t="shared" ca="1" si="1"/>
        <v>-90</v>
      </c>
      <c r="F17">
        <f t="shared" ca="1" si="2"/>
        <v>60</v>
      </c>
      <c r="G17" t="b">
        <f ca="1">INDEX(dict_zul_Var_Meth[kval_active],MATCH(table_Methods[[#This Row],[ID]],dict_zul_Var_Meth[ID_Methods],0))</f>
        <v>0</v>
      </c>
      <c r="H17">
        <f t="shared" ca="1" si="3"/>
        <v>10554</v>
      </c>
      <c r="I17">
        <f t="shared" ca="1" si="4"/>
        <v>2048</v>
      </c>
    </row>
    <row r="18" spans="1:9" x14ac:dyDescent="0.45">
      <c r="A18">
        <v>16</v>
      </c>
      <c r="B18" t="str">
        <f>CONCATENATE("Methode ",table_Methods[[#This Row],[ID]])</f>
        <v>Methode 16</v>
      </c>
      <c r="C18">
        <f t="shared" ca="1" si="0"/>
        <v>7700</v>
      </c>
      <c r="D18">
        <f t="shared" ca="1" si="5"/>
        <v>8.9</v>
      </c>
      <c r="E18">
        <f t="shared" ca="1" si="1"/>
        <v>0</v>
      </c>
      <c r="F18">
        <f t="shared" ca="1" si="2"/>
        <v>380</v>
      </c>
      <c r="G18" t="b">
        <f ca="1">INDEX(dict_zul_Var_Meth[kval_active],MATCH(table_Methods[[#This Row],[ID]],dict_zul_Var_Meth[ID_Methods],0))</f>
        <v>0</v>
      </c>
      <c r="H18">
        <f t="shared" ca="1" si="3"/>
        <v>5850</v>
      </c>
      <c r="I18">
        <f t="shared" ca="1" si="4"/>
        <v>17664</v>
      </c>
    </row>
    <row r="19" spans="1:9" x14ac:dyDescent="0.45">
      <c r="A19">
        <v>17</v>
      </c>
      <c r="B19" t="str">
        <f>CONCATENATE("Methode ",table_Methods[[#This Row],[ID]])</f>
        <v>Methode 17</v>
      </c>
      <c r="C19">
        <f t="shared" ca="1" si="0"/>
        <v>800</v>
      </c>
      <c r="D19">
        <f t="shared" ca="1" si="5"/>
        <v>4.82</v>
      </c>
      <c r="E19">
        <f t="shared" ca="1" si="1"/>
        <v>30</v>
      </c>
      <c r="F19">
        <f t="shared" ca="1" si="2"/>
        <v>660</v>
      </c>
      <c r="G19" t="b">
        <f ca="1">INDEX(dict_zul_Var_Meth[kval_active],MATCH(table_Methods[[#This Row],[ID]],dict_zul_Var_Meth[ID_Methods],0))</f>
        <v>0</v>
      </c>
      <c r="H19">
        <f t="shared" ca="1" si="3"/>
        <v>2324</v>
      </c>
      <c r="I19">
        <f t="shared" ca="1" si="4"/>
        <v>2016</v>
      </c>
    </row>
    <row r="20" spans="1:9" x14ac:dyDescent="0.45">
      <c r="A20">
        <v>18</v>
      </c>
      <c r="B20" t="str">
        <f>CONCATENATE("Methode ",table_Methods[[#This Row],[ID]])</f>
        <v>Methode 18</v>
      </c>
      <c r="C20">
        <f t="shared" ca="1" si="0"/>
        <v>63.000000000000007</v>
      </c>
      <c r="D20">
        <f t="shared" ca="1" si="5"/>
        <v>2.2200000000000002</v>
      </c>
      <c r="E20">
        <f t="shared" ca="1" si="1"/>
        <v>20</v>
      </c>
      <c r="F20">
        <f t="shared" ca="1" si="2"/>
        <v>860</v>
      </c>
      <c r="G20" t="b">
        <f ca="1">INDEX(dict_zul_Var_Meth[kval_active],MATCH(table_Methods[[#This Row],[ID]],dict_zul_Var_Meth[ID_Methods],0))</f>
        <v>0</v>
      </c>
      <c r="H20">
        <f t="shared" ca="1" si="3"/>
        <v>49940</v>
      </c>
      <c r="I20">
        <f t="shared" ca="1" si="4"/>
        <v>17920</v>
      </c>
    </row>
    <row r="21" spans="1:9" x14ac:dyDescent="0.45">
      <c r="A21">
        <v>19</v>
      </c>
      <c r="B21" t="str">
        <f>CONCATENATE("Methode ",table_Methods[[#This Row],[ID]])</f>
        <v>Methode 19</v>
      </c>
      <c r="C21">
        <f t="shared" ca="1" si="0"/>
        <v>700</v>
      </c>
      <c r="D21">
        <f t="shared" ca="1" si="5"/>
        <v>5.62</v>
      </c>
      <c r="E21">
        <f t="shared" ca="1" si="1"/>
        <v>-50</v>
      </c>
      <c r="F21">
        <f t="shared" ca="1" si="2"/>
        <v>900</v>
      </c>
      <c r="G21" t="b">
        <f ca="1">INDEX(dict_zul_Var_Meth[kval_active],MATCH(table_Methods[[#This Row],[ID]],dict_zul_Var_Meth[ID_Methods],0))</f>
        <v>0</v>
      </c>
      <c r="H21">
        <f t="shared" ca="1" si="3"/>
        <v>44050</v>
      </c>
      <c r="I21">
        <f t="shared" ca="1" si="4"/>
        <v>1152</v>
      </c>
    </row>
    <row r="22" spans="1:9" x14ac:dyDescent="0.45">
      <c r="A22">
        <v>20</v>
      </c>
      <c r="B22" t="str">
        <f>CONCATENATE("Methode ",table_Methods[[#This Row],[ID]])</f>
        <v>Methode 20</v>
      </c>
      <c r="C22">
        <f t="shared" ca="1" si="0"/>
        <v>80</v>
      </c>
      <c r="D22">
        <f t="shared" ca="1" si="5"/>
        <v>1.32</v>
      </c>
      <c r="E22">
        <f t="shared" ca="1" si="1"/>
        <v>-50</v>
      </c>
      <c r="F22">
        <f t="shared" ca="1" si="2"/>
        <v>100</v>
      </c>
      <c r="G22" t="b">
        <f ca="1">INDEX(dict_zul_Var_Meth[kval_active],MATCH(table_Methods[[#This Row],[ID]],dict_zul_Var_Meth[ID_Methods],0))</f>
        <v>0</v>
      </c>
      <c r="H22">
        <f t="shared" ca="1" si="3"/>
        <v>3899</v>
      </c>
      <c r="I22">
        <f t="shared" ca="1" si="4"/>
        <v>1056</v>
      </c>
    </row>
    <row r="23" spans="1:9" x14ac:dyDescent="0.45">
      <c r="A23">
        <v>21</v>
      </c>
      <c r="B23" t="str">
        <f>CONCATENATE("Methode ",table_Methods[[#This Row],[ID]])</f>
        <v>Methode 21</v>
      </c>
      <c r="C23">
        <f t="shared" ca="1" si="0"/>
        <v>2400</v>
      </c>
      <c r="D23">
        <f t="shared" ca="1" si="5"/>
        <v>7.19</v>
      </c>
      <c r="E23">
        <f t="shared" ca="1" si="1"/>
        <v>-100</v>
      </c>
      <c r="F23">
        <f t="shared" ca="1" si="2"/>
        <v>570</v>
      </c>
      <c r="G23" t="b">
        <f ca="1">INDEX(dict_zul_Var_Meth[kval_active],MATCH(table_Methods[[#This Row],[ID]],dict_zul_Var_Meth[ID_Methods],0))</f>
        <v>0</v>
      </c>
      <c r="H23">
        <f t="shared" ca="1" si="3"/>
        <v>10100</v>
      </c>
      <c r="I23">
        <f t="shared" ca="1" si="4"/>
        <v>2560</v>
      </c>
    </row>
    <row r="24" spans="1:9" x14ac:dyDescent="0.45">
      <c r="A24">
        <v>22</v>
      </c>
      <c r="B24" t="str">
        <f>CONCATENATE("Methode ",table_Methods[[#This Row],[ID]])</f>
        <v>Methode 22</v>
      </c>
      <c r="C24">
        <f t="shared" ca="1" si="0"/>
        <v>26</v>
      </c>
      <c r="D24">
        <f t="shared" ca="1" si="5"/>
        <v>0.39</v>
      </c>
      <c r="E24">
        <f t="shared" ca="1" si="1"/>
        <v>0</v>
      </c>
      <c r="F24">
        <f t="shared" ca="1" si="2"/>
        <v>170</v>
      </c>
      <c r="G24" s="3" t="b">
        <f ca="1">INDEX(dict_zul_Var_Meth[kval_active],MATCH(table_Methods[[#This Row],[ID]],dict_zul_Var_Meth[ID_Methods],0))</f>
        <v>0</v>
      </c>
      <c r="H24">
        <f t="shared" ca="1" si="3"/>
        <v>11046</v>
      </c>
      <c r="I24">
        <f t="shared" ca="1" si="4"/>
        <v>44</v>
      </c>
    </row>
    <row r="25" spans="1:9" x14ac:dyDescent="0.45">
      <c r="A25">
        <v>23</v>
      </c>
      <c r="B25" t="str">
        <f>CONCATENATE("Methode ",table_Methods[[#This Row],[ID]])</f>
        <v>Methode 23</v>
      </c>
      <c r="C25">
        <f t="shared" ca="1" si="0"/>
        <v>7700</v>
      </c>
      <c r="D25">
        <f t="shared" ca="1" si="5"/>
        <v>5.08</v>
      </c>
      <c r="E25">
        <f t="shared" ca="1" si="1"/>
        <v>-80</v>
      </c>
      <c r="F25">
        <f t="shared" ca="1" si="2"/>
        <v>450</v>
      </c>
      <c r="G25" s="3" t="b">
        <f ca="1">INDEX(dict_zul_Var_Meth[kval_active],MATCH(table_Methods[[#This Row],[ID]],dict_zul_Var_Meth[ID_Methods],0))</f>
        <v>0</v>
      </c>
      <c r="H25">
        <f t="shared" ca="1" si="3"/>
        <v>3</v>
      </c>
      <c r="I25">
        <f t="shared" ca="1" si="4"/>
        <v>51200</v>
      </c>
    </row>
    <row r="26" spans="1:9" x14ac:dyDescent="0.45">
      <c r="A26">
        <v>24</v>
      </c>
      <c r="B26" t="str">
        <f>CONCATENATE("Methode ",table_Methods[[#This Row],[ID]])</f>
        <v>Methode 24</v>
      </c>
      <c r="C26">
        <f t="shared" ca="1" si="0"/>
        <v>7600</v>
      </c>
      <c r="D26">
        <f t="shared" ca="1" si="5"/>
        <v>7.91</v>
      </c>
      <c r="E26">
        <f t="shared" ca="1" si="1"/>
        <v>0</v>
      </c>
      <c r="F26">
        <f t="shared" ca="1" si="2"/>
        <v>710</v>
      </c>
      <c r="G26" s="3" t="b">
        <f ca="1">INDEX(dict_zul_Var_Meth[kval_active],MATCH(table_Methods[[#This Row],[ID]],dict_zul_Var_Meth[ID_Methods],0))</f>
        <v>1</v>
      </c>
      <c r="H26">
        <f t="shared" ca="1" si="3"/>
        <v>7820</v>
      </c>
      <c r="I26">
        <f t="shared" ca="1" si="4"/>
        <v>400</v>
      </c>
    </row>
    <row r="27" spans="1:9" x14ac:dyDescent="0.45">
      <c r="A27">
        <v>25</v>
      </c>
      <c r="B27" t="str">
        <f>CONCATENATE("Methode ",table_Methods[[#This Row],[ID]])</f>
        <v>Methode 25</v>
      </c>
      <c r="C27">
        <f t="shared" ca="1" si="0"/>
        <v>8</v>
      </c>
      <c r="D27">
        <f t="shared" ca="1" si="5"/>
        <v>1.69</v>
      </c>
      <c r="E27">
        <f t="shared" ca="1" si="1"/>
        <v>-30</v>
      </c>
      <c r="F27">
        <f t="shared" ca="1" si="2"/>
        <v>370</v>
      </c>
      <c r="G27" s="3" t="b">
        <f ca="1">INDEX(dict_zul_Var_Meth[kval_active],MATCH(table_Methods[[#This Row],[ID]],dict_zul_Var_Meth[ID_Methods],0))</f>
        <v>0</v>
      </c>
      <c r="H27">
        <f t="shared" ca="1" si="3"/>
        <v>41300</v>
      </c>
      <c r="I27">
        <f t="shared" ca="1" si="4"/>
        <v>66</v>
      </c>
    </row>
    <row r="28" spans="1:9" x14ac:dyDescent="0.45">
      <c r="A28">
        <v>26</v>
      </c>
      <c r="B28" t="str">
        <f>CONCATENATE("Methode ",table_Methods[[#This Row],[ID]])</f>
        <v>Methode 26</v>
      </c>
      <c r="C28">
        <f t="shared" ca="1" si="0"/>
        <v>490</v>
      </c>
      <c r="D28">
        <f t="shared" ca="1" si="5"/>
        <v>0.26</v>
      </c>
      <c r="E28">
        <f t="shared" ca="1" si="1"/>
        <v>10</v>
      </c>
      <c r="F28">
        <f t="shared" ca="1" si="2"/>
        <v>50</v>
      </c>
      <c r="G28" s="3" t="b">
        <f ca="1">INDEX(dict_zul_Var_Meth[kval_active],MATCH(table_Methods[[#This Row],[ID]],dict_zul_Var_Meth[ID_Methods],0))</f>
        <v>0</v>
      </c>
      <c r="H28">
        <f t="shared" ca="1" si="3"/>
        <v>726</v>
      </c>
      <c r="I28">
        <f t="shared" ca="1" si="4"/>
        <v>7296</v>
      </c>
    </row>
    <row r="29" spans="1:9" x14ac:dyDescent="0.45">
      <c r="A29">
        <v>27</v>
      </c>
      <c r="B29" t="str">
        <f>CONCATENATE("Methode ",table_Methods[[#This Row],[ID]])</f>
        <v>Methode 27</v>
      </c>
      <c r="C29">
        <f t="shared" ca="1" si="0"/>
        <v>41.000000000000007</v>
      </c>
      <c r="D29">
        <f t="shared" ca="1" si="5"/>
        <v>5.78</v>
      </c>
      <c r="E29">
        <f t="shared" ca="1" si="1"/>
        <v>10</v>
      </c>
      <c r="F29">
        <f t="shared" ca="1" si="2"/>
        <v>210</v>
      </c>
      <c r="G29" s="3" t="b">
        <f ca="1">INDEX(dict_zul_Var_Meth[kval_active],MATCH(table_Methods[[#This Row],[ID]],dict_zul_Var_Meth[ID_Methods],0))</f>
        <v>0</v>
      </c>
      <c r="H29">
        <f t="shared" ca="1" si="3"/>
        <v>20196</v>
      </c>
      <c r="I29">
        <f t="shared" ca="1" si="4"/>
        <v>95232</v>
      </c>
    </row>
    <row r="30" spans="1:9" x14ac:dyDescent="0.45">
      <c r="A30">
        <v>28</v>
      </c>
      <c r="B30" t="str">
        <f>CONCATENATE("Methode ",table_Methods[[#This Row],[ID]])</f>
        <v>Methode 28</v>
      </c>
      <c r="C30">
        <f t="shared" ca="1" si="0"/>
        <v>2900</v>
      </c>
      <c r="D30">
        <f t="shared" ca="1" si="5"/>
        <v>6.36</v>
      </c>
      <c r="E30">
        <f t="shared" ca="1" si="1"/>
        <v>-90</v>
      </c>
      <c r="F30">
        <f t="shared" ca="1" si="2"/>
        <v>750</v>
      </c>
      <c r="G30" s="3" t="b">
        <f ca="1">INDEX(dict_zul_Var_Meth[kval_active],MATCH(table_Methods[[#This Row],[ID]],dict_zul_Var_Meth[ID_Methods],0))</f>
        <v>0</v>
      </c>
      <c r="H30">
        <f t="shared" ca="1" si="3"/>
        <v>1597</v>
      </c>
      <c r="I30">
        <f t="shared" ca="1" si="4"/>
        <v>43520</v>
      </c>
    </row>
    <row r="31" spans="1:9" x14ac:dyDescent="0.45">
      <c r="A31">
        <v>29</v>
      </c>
      <c r="B31" t="str">
        <f>CONCATENATE("Methode ",table_Methods[[#This Row],[ID]])</f>
        <v>Methode 29</v>
      </c>
      <c r="C31">
        <f t="shared" ca="1" si="0"/>
        <v>3.0000000000000004</v>
      </c>
      <c r="D31">
        <f t="shared" ca="1" si="5"/>
        <v>6.61</v>
      </c>
      <c r="E31">
        <f t="shared" ca="1" si="1"/>
        <v>-20</v>
      </c>
      <c r="F31">
        <f t="shared" ca="1" si="2"/>
        <v>990</v>
      </c>
      <c r="G31" s="3" t="b">
        <f ca="1">INDEX(dict_zul_Var_Meth[kval_active],MATCH(table_Methods[[#This Row],[ID]],dict_zul_Var_Meth[ID_Methods],0))</f>
        <v>0</v>
      </c>
      <c r="H31">
        <f t="shared" ca="1" si="3"/>
        <v>17633</v>
      </c>
      <c r="I31">
        <f t="shared" ca="1" si="4"/>
        <v>10240</v>
      </c>
    </row>
    <row r="32" spans="1:9" x14ac:dyDescent="0.45">
      <c r="A32">
        <v>30</v>
      </c>
      <c r="B32" t="str">
        <f>CONCATENATE("Methode ",table_Methods[[#This Row],[ID]])</f>
        <v>Methode 30</v>
      </c>
      <c r="C32">
        <f t="shared" ca="1" si="0"/>
        <v>1100</v>
      </c>
      <c r="D32">
        <f t="shared" ca="1" si="5"/>
        <v>5.31</v>
      </c>
      <c r="E32">
        <f t="shared" ca="1" si="1"/>
        <v>-20</v>
      </c>
      <c r="F32">
        <f t="shared" ca="1" si="2"/>
        <v>340</v>
      </c>
      <c r="G32" s="3" t="b">
        <f ca="1">INDEX(dict_zul_Var_Meth[kval_active],MATCH(table_Methods[[#This Row],[ID]],dict_zul_Var_Meth[ID_Methods],0))</f>
        <v>0</v>
      </c>
      <c r="H32">
        <f t="shared" ca="1" si="3"/>
        <v>16585</v>
      </c>
      <c r="I32">
        <f t="shared" ca="1" si="4"/>
        <v>2944</v>
      </c>
    </row>
    <row r="33" spans="1:9" x14ac:dyDescent="0.45">
      <c r="A33">
        <v>31</v>
      </c>
      <c r="B33" t="str">
        <f>CONCATENATE("Methode ",table_Methods[[#This Row],[ID]])</f>
        <v>Methode 31</v>
      </c>
      <c r="C33">
        <f t="shared" ca="1" si="0"/>
        <v>9600</v>
      </c>
      <c r="D33">
        <f t="shared" ca="1" si="5"/>
        <v>9.1999999999999993</v>
      </c>
      <c r="E33">
        <f t="shared" ca="1" si="1"/>
        <v>10</v>
      </c>
      <c r="F33">
        <f t="shared" ca="1" si="2"/>
        <v>210</v>
      </c>
      <c r="G33" s="3" t="b">
        <f ca="1">INDEX(dict_zul_Var_Meth[kval_active],MATCH(table_Methods[[#This Row],[ID]],dict_zul_Var_Meth[ID_Methods],0))</f>
        <v>0</v>
      </c>
      <c r="H33">
        <f t="shared" ca="1" si="3"/>
        <v>16200</v>
      </c>
      <c r="I33">
        <f t="shared" ca="1" si="4"/>
        <v>1536</v>
      </c>
    </row>
    <row r="34" spans="1:9" x14ac:dyDescent="0.45">
      <c r="A34">
        <v>32</v>
      </c>
      <c r="B34" t="str">
        <f>CONCATENATE("Methode ",table_Methods[[#This Row],[ID]])</f>
        <v>Methode 32</v>
      </c>
      <c r="C34">
        <f t="shared" ca="1" si="0"/>
        <v>9600</v>
      </c>
      <c r="D34">
        <f t="shared" ca="1" si="5"/>
        <v>2.5499999999999998</v>
      </c>
      <c r="E34">
        <f t="shared" ca="1" si="1"/>
        <v>-60</v>
      </c>
      <c r="F34">
        <f t="shared" ca="1" si="2"/>
        <v>200</v>
      </c>
      <c r="G34" s="3" t="b">
        <f ca="1">INDEX(dict_zul_Var_Meth[kval_active],MATCH(table_Methods[[#This Row],[ID]],dict_zul_Var_Meth[ID_Methods],0))</f>
        <v>0</v>
      </c>
      <c r="H34">
        <f t="shared" ca="1" si="3"/>
        <v>17045</v>
      </c>
      <c r="I34">
        <f t="shared" ca="1" si="4"/>
        <v>8192</v>
      </c>
    </row>
    <row r="35" spans="1:9" x14ac:dyDescent="0.45">
      <c r="A35">
        <v>33</v>
      </c>
      <c r="B35" t="str">
        <f>CONCATENATE("Methode ",table_Methods[[#This Row],[ID]])</f>
        <v>Methode 33</v>
      </c>
      <c r="C35">
        <f t="shared" ca="1" si="0"/>
        <v>800</v>
      </c>
      <c r="D35">
        <f t="shared" ca="1" si="5"/>
        <v>0.27</v>
      </c>
      <c r="E35">
        <f ca="1">RANDBETWEEN(-10,3)*10</f>
        <v>-40</v>
      </c>
      <c r="F35">
        <f ca="1">RANDBETWEEN(2,100)*10</f>
        <v>720</v>
      </c>
      <c r="G35" s="3" t="b">
        <f ca="1">INDEX(dict_zul_Var_Meth[kval_active],MATCH(table_Methods[[#This Row],[ID]],dict_zul_Var_Meth[ID_Methods],0))</f>
        <v>0</v>
      </c>
      <c r="H35">
        <f t="shared" ca="1" si="3"/>
        <v>3600</v>
      </c>
      <c r="I35">
        <f t="shared" ca="1" si="4"/>
        <v>2752</v>
      </c>
    </row>
    <row r="36" spans="1:9" x14ac:dyDescent="0.45">
      <c r="A36">
        <v>34</v>
      </c>
      <c r="B36" t="str">
        <f>CONCATENATE("Methode ",table_Methods[[#This Row],[ID]])</f>
        <v>Methode 34</v>
      </c>
      <c r="C36">
        <f t="shared" ca="1" si="0"/>
        <v>96.000000000000014</v>
      </c>
      <c r="D36">
        <f t="shared" ca="1" si="5"/>
        <v>4.5</v>
      </c>
      <c r="E36">
        <f t="shared" ref="E36:E99" ca="1" si="6">RANDBETWEEN(-10,3)*10</f>
        <v>-80</v>
      </c>
      <c r="F36">
        <f t="shared" ref="F36:F99" ca="1" si="7">RANDBETWEEN(2,100)*10</f>
        <v>260</v>
      </c>
      <c r="G36" s="3" t="b">
        <f ca="1">INDEX(dict_zul_Var_Meth[kval_active],MATCH(table_Methods[[#This Row],[ID]],dict_zul_Var_Meth[ID_Methods],0))</f>
        <v>0</v>
      </c>
      <c r="H36">
        <f t="shared" ref="H36:H99" ca="1" si="8">RANDBETWEEN(1,10)*RANDBETWEEN(1,5000)</f>
        <v>2880</v>
      </c>
      <c r="I36">
        <f t="shared" ref="I36:I99" ca="1" si="9">2^RANDBETWEEN(1,10)*RANDBETWEEN(1,100)</f>
        <v>3072</v>
      </c>
    </row>
    <row r="37" spans="1:9" x14ac:dyDescent="0.45">
      <c r="A37">
        <v>35</v>
      </c>
      <c r="B37" t="str">
        <f>CONCATENATE("Methode ",table_Methods[[#This Row],[ID]])</f>
        <v>Methode 35</v>
      </c>
      <c r="C37">
        <f t="shared" ca="1" si="0"/>
        <v>6900</v>
      </c>
      <c r="D37">
        <f t="shared" ca="1" si="5"/>
        <v>5.0599999999999996</v>
      </c>
      <c r="E37">
        <f t="shared" ca="1" si="6"/>
        <v>-70</v>
      </c>
      <c r="F37">
        <f t="shared" ca="1" si="7"/>
        <v>920</v>
      </c>
      <c r="G37" s="3" t="b">
        <f ca="1">INDEX(dict_zul_Var_Meth[kval_active],MATCH(table_Methods[[#This Row],[ID]],dict_zul_Var_Meth[ID_Methods],0))</f>
        <v>0</v>
      </c>
      <c r="H37">
        <f t="shared" ca="1" si="8"/>
        <v>13254</v>
      </c>
      <c r="I37">
        <f t="shared" ca="1" si="9"/>
        <v>21504</v>
      </c>
    </row>
    <row r="38" spans="1:9" x14ac:dyDescent="0.45">
      <c r="A38">
        <v>36</v>
      </c>
      <c r="B38" t="str">
        <f>CONCATENATE("Methode ",table_Methods[[#This Row],[ID]])</f>
        <v>Methode 36</v>
      </c>
      <c r="C38">
        <f t="shared" ca="1" si="0"/>
        <v>120</v>
      </c>
      <c r="D38">
        <f t="shared" ca="1" si="5"/>
        <v>6.34</v>
      </c>
      <c r="E38">
        <f t="shared" ca="1" si="6"/>
        <v>20</v>
      </c>
      <c r="F38">
        <f t="shared" ca="1" si="7"/>
        <v>790</v>
      </c>
      <c r="G38" s="3" t="b">
        <f ca="1">INDEX(dict_zul_Var_Meth[kval_active],MATCH(table_Methods[[#This Row],[ID]],dict_zul_Var_Meth[ID_Methods],0))</f>
        <v>0</v>
      </c>
      <c r="H38">
        <f t="shared" ca="1" si="8"/>
        <v>22939</v>
      </c>
      <c r="I38">
        <f t="shared" ca="1" si="9"/>
        <v>44544</v>
      </c>
    </row>
    <row r="39" spans="1:9" x14ac:dyDescent="0.45">
      <c r="A39">
        <v>37</v>
      </c>
      <c r="B39" t="str">
        <f>CONCATENATE("Methode ",table_Methods[[#This Row],[ID]])</f>
        <v>Methode 37</v>
      </c>
      <c r="C39">
        <f t="shared" ca="1" si="0"/>
        <v>5200</v>
      </c>
      <c r="D39">
        <f t="shared" ca="1" si="5"/>
        <v>3.36</v>
      </c>
      <c r="E39">
        <f t="shared" ca="1" si="6"/>
        <v>-80</v>
      </c>
      <c r="F39">
        <f t="shared" ca="1" si="7"/>
        <v>160</v>
      </c>
      <c r="G39" s="3" t="b">
        <f ca="1">INDEX(dict_zul_Var_Meth[kval_active],MATCH(table_Methods[[#This Row],[ID]],dict_zul_Var_Meth[ID_Methods],0))</f>
        <v>0</v>
      </c>
      <c r="H39">
        <f t="shared" ca="1" si="8"/>
        <v>808</v>
      </c>
      <c r="I39">
        <f t="shared" ca="1" si="9"/>
        <v>3200</v>
      </c>
    </row>
    <row r="40" spans="1:9" x14ac:dyDescent="0.45">
      <c r="A40">
        <v>38</v>
      </c>
      <c r="B40" t="str">
        <f>CONCATENATE("Methode ",table_Methods[[#This Row],[ID]])</f>
        <v>Methode 38</v>
      </c>
      <c r="C40">
        <f t="shared" ca="1" si="0"/>
        <v>90</v>
      </c>
      <c r="D40">
        <f t="shared" ca="1" si="5"/>
        <v>5.13</v>
      </c>
      <c r="E40">
        <f t="shared" ca="1" si="6"/>
        <v>10</v>
      </c>
      <c r="F40">
        <f t="shared" ca="1" si="7"/>
        <v>330</v>
      </c>
      <c r="G40" s="3" t="b">
        <f ca="1">INDEX(dict_zul_Var_Meth[kval_active],MATCH(table_Methods[[#This Row],[ID]],dict_zul_Var_Meth[ID_Methods],0))</f>
        <v>0</v>
      </c>
      <c r="H40">
        <f t="shared" ca="1" si="8"/>
        <v>34496</v>
      </c>
      <c r="I40">
        <f t="shared" ca="1" si="9"/>
        <v>632</v>
      </c>
    </row>
    <row r="41" spans="1:9" x14ac:dyDescent="0.45">
      <c r="A41">
        <v>39</v>
      </c>
      <c r="B41" t="str">
        <f>CONCATENATE("Methode ",table_Methods[[#This Row],[ID]])</f>
        <v>Methode 39</v>
      </c>
      <c r="C41">
        <f t="shared" ca="1" si="0"/>
        <v>4600</v>
      </c>
      <c r="D41">
        <f t="shared" ca="1" si="5"/>
        <v>1.68</v>
      </c>
      <c r="E41">
        <f t="shared" ca="1" si="6"/>
        <v>-10</v>
      </c>
      <c r="F41">
        <f t="shared" ca="1" si="7"/>
        <v>210</v>
      </c>
      <c r="G41" s="3" t="b">
        <f ca="1">INDEX(dict_zul_Var_Meth[kval_active],MATCH(table_Methods[[#This Row],[ID]],dict_zul_Var_Meth[ID_Methods],0))</f>
        <v>0</v>
      </c>
      <c r="H41">
        <f t="shared" ca="1" si="8"/>
        <v>14014</v>
      </c>
      <c r="I41">
        <f t="shared" ca="1" si="9"/>
        <v>376</v>
      </c>
    </row>
    <row r="42" spans="1:9" x14ac:dyDescent="0.45">
      <c r="A42">
        <v>40</v>
      </c>
      <c r="B42" t="str">
        <f>CONCATENATE("Methode ",table_Methods[[#This Row],[ID]])</f>
        <v>Methode 40</v>
      </c>
      <c r="C42">
        <f t="shared" ca="1" si="0"/>
        <v>1600</v>
      </c>
      <c r="D42">
        <f t="shared" ca="1" si="5"/>
        <v>3.82</v>
      </c>
      <c r="E42">
        <f t="shared" ca="1" si="6"/>
        <v>-90</v>
      </c>
      <c r="F42">
        <f t="shared" ca="1" si="7"/>
        <v>210</v>
      </c>
      <c r="G42" s="3" t="b">
        <f ca="1">INDEX(dict_zul_Var_Meth[kval_active],MATCH(table_Methods[[#This Row],[ID]],dict_zul_Var_Meth[ID_Methods],0))</f>
        <v>0</v>
      </c>
      <c r="H42">
        <f t="shared" ca="1" si="8"/>
        <v>15770</v>
      </c>
      <c r="I42">
        <f t="shared" ca="1" si="9"/>
        <v>1360</v>
      </c>
    </row>
    <row r="43" spans="1:9" x14ac:dyDescent="0.45">
      <c r="A43">
        <v>41</v>
      </c>
      <c r="B43" t="str">
        <f>CONCATENATE("Methode ",table_Methods[[#This Row],[ID]])</f>
        <v>Methode 41</v>
      </c>
      <c r="C43">
        <f t="shared" ca="1" si="0"/>
        <v>480</v>
      </c>
      <c r="D43">
        <f t="shared" ca="1" si="5"/>
        <v>3.55</v>
      </c>
      <c r="E43">
        <f t="shared" ca="1" si="6"/>
        <v>10</v>
      </c>
      <c r="F43">
        <f t="shared" ca="1" si="7"/>
        <v>330</v>
      </c>
      <c r="G43" s="3" t="b">
        <f ca="1">INDEX(dict_zul_Var_Meth[kval_active],MATCH(table_Methods[[#This Row],[ID]],dict_zul_Var_Meth[ID_Methods],0))</f>
        <v>0</v>
      </c>
      <c r="H43">
        <f t="shared" ca="1" si="8"/>
        <v>2288</v>
      </c>
      <c r="I43">
        <f t="shared" ca="1" si="9"/>
        <v>142</v>
      </c>
    </row>
    <row r="44" spans="1:9" x14ac:dyDescent="0.45">
      <c r="A44">
        <v>42</v>
      </c>
      <c r="B44" t="str">
        <f>CONCATENATE("Methode ",table_Methods[[#This Row],[ID]])</f>
        <v>Methode 42</v>
      </c>
      <c r="C44">
        <f t="shared" ca="1" si="0"/>
        <v>9800</v>
      </c>
      <c r="D44">
        <f t="shared" ca="1" si="5"/>
        <v>6.27</v>
      </c>
      <c r="E44">
        <f t="shared" ca="1" si="6"/>
        <v>-60</v>
      </c>
      <c r="F44">
        <f t="shared" ca="1" si="7"/>
        <v>980</v>
      </c>
      <c r="G44" s="3" t="b">
        <f ca="1">INDEX(dict_zul_Var_Meth[kval_active],MATCH(table_Methods[[#This Row],[ID]],dict_zul_Var_Meth[ID_Methods],0))</f>
        <v>0</v>
      </c>
      <c r="H44">
        <f t="shared" ca="1" si="8"/>
        <v>2180</v>
      </c>
      <c r="I44">
        <f t="shared" ca="1" si="9"/>
        <v>512</v>
      </c>
    </row>
    <row r="45" spans="1:9" x14ac:dyDescent="0.45">
      <c r="A45">
        <v>43</v>
      </c>
      <c r="B45" t="str">
        <f>CONCATENATE("Methode ",table_Methods[[#This Row],[ID]])</f>
        <v>Methode 43</v>
      </c>
      <c r="C45">
        <f t="shared" ca="1" si="0"/>
        <v>230</v>
      </c>
      <c r="D45">
        <f t="shared" ca="1" si="5"/>
        <v>9.61</v>
      </c>
      <c r="E45">
        <f t="shared" ca="1" si="6"/>
        <v>-70</v>
      </c>
      <c r="F45">
        <f t="shared" ca="1" si="7"/>
        <v>680</v>
      </c>
      <c r="G45" s="3" t="b">
        <f ca="1">INDEX(dict_zul_Var_Meth[kval_active],MATCH(table_Methods[[#This Row],[ID]],dict_zul_Var_Meth[ID_Methods],0))</f>
        <v>0</v>
      </c>
      <c r="H45">
        <f t="shared" ca="1" si="8"/>
        <v>41980</v>
      </c>
      <c r="I45">
        <f t="shared" ca="1" si="9"/>
        <v>3456</v>
      </c>
    </row>
    <row r="46" spans="1:9" x14ac:dyDescent="0.45">
      <c r="A46">
        <v>44</v>
      </c>
      <c r="B46" t="str">
        <f>CONCATENATE("Methode ",table_Methods[[#This Row],[ID]])</f>
        <v>Methode 44</v>
      </c>
      <c r="C46">
        <f t="shared" ca="1" si="0"/>
        <v>2500</v>
      </c>
      <c r="D46">
        <f t="shared" ca="1" si="5"/>
        <v>9.41</v>
      </c>
      <c r="E46">
        <f t="shared" ca="1" si="6"/>
        <v>-30</v>
      </c>
      <c r="F46">
        <f t="shared" ca="1" si="7"/>
        <v>170</v>
      </c>
      <c r="G46" s="3" t="b">
        <f ca="1">INDEX(dict_zul_Var_Meth[kval_active],MATCH(table_Methods[[#This Row],[ID]],dict_zul_Var_Meth[ID_Methods],0))</f>
        <v>0</v>
      </c>
      <c r="H46">
        <f t="shared" ca="1" si="8"/>
        <v>20328</v>
      </c>
      <c r="I46">
        <f t="shared" ca="1" si="9"/>
        <v>42</v>
      </c>
    </row>
    <row r="47" spans="1:9" x14ac:dyDescent="0.45">
      <c r="A47">
        <v>45</v>
      </c>
      <c r="B47" t="str">
        <f>CONCATENATE("Methode ",table_Methods[[#This Row],[ID]])</f>
        <v>Methode 45</v>
      </c>
      <c r="C47">
        <f t="shared" ca="1" si="0"/>
        <v>820</v>
      </c>
      <c r="D47">
        <f t="shared" ca="1" si="5"/>
        <v>8.4</v>
      </c>
      <c r="E47">
        <f t="shared" ca="1" si="6"/>
        <v>-10</v>
      </c>
      <c r="F47">
        <f t="shared" ca="1" si="7"/>
        <v>770</v>
      </c>
      <c r="G47" s="3" t="b">
        <f ca="1">INDEX(dict_zul_Var_Meth[kval_active],MATCH(table_Methods[[#This Row],[ID]],dict_zul_Var_Meth[ID_Methods],0))</f>
        <v>0</v>
      </c>
      <c r="H47">
        <f t="shared" ca="1" si="8"/>
        <v>6976</v>
      </c>
      <c r="I47">
        <f t="shared" ca="1" si="9"/>
        <v>19456</v>
      </c>
    </row>
    <row r="48" spans="1:9" x14ac:dyDescent="0.45">
      <c r="A48">
        <v>46</v>
      </c>
      <c r="B48" t="str">
        <f>CONCATENATE("Methode ",table_Methods[[#This Row],[ID]])</f>
        <v>Methode 46</v>
      </c>
      <c r="C48">
        <f t="shared" ca="1" si="0"/>
        <v>190</v>
      </c>
      <c r="D48">
        <f t="shared" ca="1" si="5"/>
        <v>5.36</v>
      </c>
      <c r="E48">
        <f t="shared" ca="1" si="6"/>
        <v>-30</v>
      </c>
      <c r="F48">
        <f t="shared" ca="1" si="7"/>
        <v>290</v>
      </c>
      <c r="G48" s="3" t="b">
        <f ca="1">INDEX(dict_zul_Var_Meth[kval_active],MATCH(table_Methods[[#This Row],[ID]],dict_zul_Var_Meth[ID_Methods],0))</f>
        <v>0</v>
      </c>
      <c r="H48">
        <f t="shared" ca="1" si="8"/>
        <v>6992</v>
      </c>
      <c r="I48">
        <f t="shared" ca="1" si="9"/>
        <v>41984</v>
      </c>
    </row>
    <row r="49" spans="1:9" x14ac:dyDescent="0.45">
      <c r="A49">
        <v>47</v>
      </c>
      <c r="B49" t="str">
        <f>CONCATENATE("Methode ",table_Methods[[#This Row],[ID]])</f>
        <v>Methode 47</v>
      </c>
      <c r="C49">
        <f t="shared" ca="1" si="0"/>
        <v>9300</v>
      </c>
      <c r="D49">
        <f t="shared" ca="1" si="5"/>
        <v>8.41</v>
      </c>
      <c r="E49">
        <f t="shared" ca="1" si="6"/>
        <v>-80</v>
      </c>
      <c r="F49">
        <f t="shared" ca="1" si="7"/>
        <v>420</v>
      </c>
      <c r="G49" s="3" t="b">
        <f ca="1">INDEX(dict_zul_Var_Meth[kval_active],MATCH(table_Methods[[#This Row],[ID]],dict_zul_Var_Meth[ID_Methods],0))</f>
        <v>0</v>
      </c>
      <c r="H49">
        <f t="shared" ca="1" si="8"/>
        <v>5856</v>
      </c>
      <c r="I49">
        <f t="shared" ca="1" si="9"/>
        <v>108</v>
      </c>
    </row>
    <row r="50" spans="1:9" x14ac:dyDescent="0.45">
      <c r="A50">
        <v>48</v>
      </c>
      <c r="B50" t="str">
        <f>CONCATENATE("Methode ",table_Methods[[#This Row],[ID]])</f>
        <v>Methode 48</v>
      </c>
      <c r="C50">
        <f t="shared" ca="1" si="0"/>
        <v>8900</v>
      </c>
      <c r="D50">
        <f t="shared" ca="1" si="5"/>
        <v>8.09</v>
      </c>
      <c r="E50">
        <f t="shared" ca="1" si="6"/>
        <v>-10</v>
      </c>
      <c r="F50">
        <f t="shared" ca="1" si="7"/>
        <v>30</v>
      </c>
      <c r="G50" s="3" t="b">
        <f ca="1">INDEX(dict_zul_Var_Meth[kval_active],MATCH(table_Methods[[#This Row],[ID]],dict_zul_Var_Meth[ID_Methods],0))</f>
        <v>0</v>
      </c>
      <c r="H50">
        <f t="shared" ca="1" si="8"/>
        <v>16875</v>
      </c>
      <c r="I50">
        <f t="shared" ca="1" si="9"/>
        <v>2688</v>
      </c>
    </row>
    <row r="51" spans="1:9" x14ac:dyDescent="0.45">
      <c r="A51">
        <v>49</v>
      </c>
      <c r="B51" t="str">
        <f>CONCATENATE("Methode ",table_Methods[[#This Row],[ID]])</f>
        <v>Methode 49</v>
      </c>
      <c r="C51">
        <f t="shared" ca="1" si="0"/>
        <v>4200</v>
      </c>
      <c r="D51">
        <f t="shared" ca="1" si="5"/>
        <v>6.39</v>
      </c>
      <c r="E51">
        <f t="shared" ca="1" si="6"/>
        <v>-20</v>
      </c>
      <c r="F51">
        <f t="shared" ca="1" si="7"/>
        <v>610</v>
      </c>
      <c r="G51" s="3" t="b">
        <f ca="1">INDEX(dict_zul_Var_Meth[kval_active],MATCH(table_Methods[[#This Row],[ID]],dict_zul_Var_Meth[ID_Methods],0))</f>
        <v>0</v>
      </c>
      <c r="H51">
        <f t="shared" ca="1" si="8"/>
        <v>14565</v>
      </c>
      <c r="I51">
        <f t="shared" ca="1" si="9"/>
        <v>122</v>
      </c>
    </row>
    <row r="52" spans="1:9" x14ac:dyDescent="0.45">
      <c r="A52">
        <v>50</v>
      </c>
      <c r="B52" t="str">
        <f>CONCATENATE("Methode ",table_Methods[[#This Row],[ID]])</f>
        <v>Methode 50</v>
      </c>
      <c r="C52">
        <f t="shared" ca="1" si="0"/>
        <v>9400</v>
      </c>
      <c r="D52">
        <f t="shared" ca="1" si="5"/>
        <v>4.32</v>
      </c>
      <c r="E52">
        <f t="shared" ca="1" si="6"/>
        <v>20</v>
      </c>
      <c r="F52">
        <f t="shared" ca="1" si="7"/>
        <v>690</v>
      </c>
      <c r="G52" s="3" t="b">
        <f ca="1">INDEX(dict_zul_Var_Meth[kval_active],MATCH(table_Methods[[#This Row],[ID]],dict_zul_Var_Meth[ID_Methods],0))</f>
        <v>0</v>
      </c>
      <c r="H52">
        <f t="shared" ca="1" si="8"/>
        <v>15240</v>
      </c>
      <c r="I52">
        <f t="shared" ca="1" si="9"/>
        <v>30720</v>
      </c>
    </row>
    <row r="53" spans="1:9" x14ac:dyDescent="0.45">
      <c r="A53">
        <v>51</v>
      </c>
      <c r="B53" t="str">
        <f>CONCATENATE("Methode ",table_Methods[[#This Row],[ID]])</f>
        <v>Methode 51</v>
      </c>
      <c r="C53">
        <f t="shared" ca="1" si="0"/>
        <v>3500</v>
      </c>
      <c r="D53">
        <f t="shared" ca="1" si="5"/>
        <v>0.34</v>
      </c>
      <c r="E53">
        <f t="shared" ca="1" si="6"/>
        <v>30</v>
      </c>
      <c r="F53">
        <f t="shared" ca="1" si="7"/>
        <v>900</v>
      </c>
      <c r="G53" s="3" t="b">
        <f ca="1">INDEX(dict_zul_Var_Meth[kval_active],MATCH(table_Methods[[#This Row],[ID]],dict_zul_Var_Meth[ID_Methods],0))</f>
        <v>0</v>
      </c>
      <c r="H53">
        <f t="shared" ca="1" si="8"/>
        <v>5296</v>
      </c>
      <c r="I53">
        <f t="shared" ca="1" si="9"/>
        <v>112</v>
      </c>
    </row>
    <row r="54" spans="1:9" x14ac:dyDescent="0.45">
      <c r="A54">
        <v>52</v>
      </c>
      <c r="B54" t="str">
        <f>CONCATENATE("Methode ",table_Methods[[#This Row],[ID]])</f>
        <v>Methode 52</v>
      </c>
      <c r="C54">
        <f t="shared" ca="1" si="0"/>
        <v>830</v>
      </c>
      <c r="D54">
        <f t="shared" ca="1" si="5"/>
        <v>0.4</v>
      </c>
      <c r="E54">
        <f t="shared" ca="1" si="6"/>
        <v>10</v>
      </c>
      <c r="F54">
        <f t="shared" ca="1" si="7"/>
        <v>240</v>
      </c>
      <c r="G54" s="3" t="b">
        <f ca="1">INDEX(dict_zul_Var_Meth[kval_active],MATCH(table_Methods[[#This Row],[ID]],dict_zul_Var_Meth[ID_Methods],0))</f>
        <v>0</v>
      </c>
      <c r="H54">
        <f t="shared" ca="1" si="8"/>
        <v>30340</v>
      </c>
      <c r="I54">
        <f t="shared" ca="1" si="9"/>
        <v>76</v>
      </c>
    </row>
    <row r="55" spans="1:9" x14ac:dyDescent="0.45">
      <c r="A55">
        <v>53</v>
      </c>
      <c r="B55" t="str">
        <f>CONCATENATE("Methode ",table_Methods[[#This Row],[ID]])</f>
        <v>Methode 53</v>
      </c>
      <c r="C55">
        <f t="shared" ca="1" si="0"/>
        <v>7400</v>
      </c>
      <c r="D55">
        <f t="shared" ca="1" si="5"/>
        <v>2.62</v>
      </c>
      <c r="E55">
        <f t="shared" ca="1" si="6"/>
        <v>-30</v>
      </c>
      <c r="F55">
        <f t="shared" ca="1" si="7"/>
        <v>930</v>
      </c>
      <c r="G55" s="3" t="b">
        <f ca="1">INDEX(dict_zul_Var_Meth[kval_active],MATCH(table_Methods[[#This Row],[ID]],dict_zul_Var_Meth[ID_Methods],0))</f>
        <v>0</v>
      </c>
      <c r="H55">
        <f t="shared" ca="1" si="8"/>
        <v>25650</v>
      </c>
      <c r="I55">
        <f t="shared" ca="1" si="9"/>
        <v>34</v>
      </c>
    </row>
    <row r="56" spans="1:9" x14ac:dyDescent="0.45">
      <c r="A56">
        <v>54</v>
      </c>
      <c r="B56" t="str">
        <f>CONCATENATE("Methode ",table_Methods[[#This Row],[ID]])</f>
        <v>Methode 54</v>
      </c>
      <c r="C56">
        <f t="shared" ca="1" si="0"/>
        <v>2</v>
      </c>
      <c r="D56">
        <f t="shared" ca="1" si="5"/>
        <v>3.73</v>
      </c>
      <c r="E56">
        <f t="shared" ca="1" si="6"/>
        <v>-30</v>
      </c>
      <c r="F56">
        <f t="shared" ca="1" si="7"/>
        <v>150</v>
      </c>
      <c r="G56" s="3" t="b">
        <f ca="1">INDEX(dict_zul_Var_Meth[kval_active],MATCH(table_Methods[[#This Row],[ID]],dict_zul_Var_Meth[ID_Methods],0))</f>
        <v>0</v>
      </c>
      <c r="H56">
        <f t="shared" ca="1" si="8"/>
        <v>24055</v>
      </c>
      <c r="I56">
        <f t="shared" ca="1" si="9"/>
        <v>384</v>
      </c>
    </row>
    <row r="57" spans="1:9" x14ac:dyDescent="0.45">
      <c r="A57">
        <v>55</v>
      </c>
      <c r="B57" t="str">
        <f>CONCATENATE("Methode ",table_Methods[[#This Row],[ID]])</f>
        <v>Methode 55</v>
      </c>
      <c r="C57">
        <f t="shared" ca="1" si="0"/>
        <v>8300</v>
      </c>
      <c r="D57">
        <f t="shared" ca="1" si="5"/>
        <v>2.88</v>
      </c>
      <c r="E57">
        <f t="shared" ca="1" si="6"/>
        <v>-40</v>
      </c>
      <c r="F57">
        <f t="shared" ca="1" si="7"/>
        <v>630</v>
      </c>
      <c r="G57" s="3" t="b">
        <f ca="1">INDEX(dict_zul_Var_Meth[kval_active],MATCH(table_Methods[[#This Row],[ID]],dict_zul_Var_Meth[ID_Methods],0))</f>
        <v>0</v>
      </c>
      <c r="H57">
        <f t="shared" ca="1" si="8"/>
        <v>33369</v>
      </c>
      <c r="I57">
        <f t="shared" ca="1" si="9"/>
        <v>216</v>
      </c>
    </row>
    <row r="58" spans="1:9" x14ac:dyDescent="0.45">
      <c r="A58">
        <v>56</v>
      </c>
      <c r="B58" t="str">
        <f>CONCATENATE("Methode ",table_Methods[[#This Row],[ID]])</f>
        <v>Methode 56</v>
      </c>
      <c r="C58">
        <f t="shared" ca="1" si="0"/>
        <v>7400</v>
      </c>
      <c r="D58">
        <f t="shared" ca="1" si="5"/>
        <v>0.19</v>
      </c>
      <c r="E58">
        <f t="shared" ca="1" si="6"/>
        <v>-80</v>
      </c>
      <c r="F58">
        <f t="shared" ca="1" si="7"/>
        <v>70</v>
      </c>
      <c r="G58" s="3" t="b">
        <f ca="1">INDEX(dict_zul_Var_Meth[kval_active],MATCH(table_Methods[[#This Row],[ID]],dict_zul_Var_Meth[ID_Methods],0))</f>
        <v>0</v>
      </c>
      <c r="H58">
        <f t="shared" ca="1" si="8"/>
        <v>4099</v>
      </c>
      <c r="I58">
        <f t="shared" ca="1" si="9"/>
        <v>120</v>
      </c>
    </row>
    <row r="59" spans="1:9" x14ac:dyDescent="0.45">
      <c r="A59">
        <v>57</v>
      </c>
      <c r="B59" t="str">
        <f>CONCATENATE("Methode ",table_Methods[[#This Row],[ID]])</f>
        <v>Methode 57</v>
      </c>
      <c r="C59">
        <f t="shared" ca="1" si="0"/>
        <v>2100</v>
      </c>
      <c r="D59">
        <f t="shared" ca="1" si="5"/>
        <v>4.83</v>
      </c>
      <c r="E59">
        <f t="shared" ca="1" si="6"/>
        <v>-50</v>
      </c>
      <c r="F59">
        <f t="shared" ca="1" si="7"/>
        <v>210</v>
      </c>
      <c r="G59" s="3" t="b">
        <f ca="1">INDEX(dict_zul_Var_Meth[kval_active],MATCH(table_Methods[[#This Row],[ID]],dict_zul_Var_Meth[ID_Methods],0))</f>
        <v>0</v>
      </c>
      <c r="H59">
        <f t="shared" ca="1" si="8"/>
        <v>26880</v>
      </c>
      <c r="I59">
        <f t="shared" ca="1" si="9"/>
        <v>184</v>
      </c>
    </row>
    <row r="60" spans="1:9" x14ac:dyDescent="0.45">
      <c r="A60">
        <v>58</v>
      </c>
      <c r="B60" t="str">
        <f>CONCATENATE("Methode ",table_Methods[[#This Row],[ID]])</f>
        <v>Methode 58</v>
      </c>
      <c r="C60">
        <f t="shared" ca="1" si="0"/>
        <v>140</v>
      </c>
      <c r="D60">
        <f t="shared" ca="1" si="5"/>
        <v>2.95</v>
      </c>
      <c r="E60">
        <f t="shared" ca="1" si="6"/>
        <v>-100</v>
      </c>
      <c r="F60">
        <f t="shared" ca="1" si="7"/>
        <v>840</v>
      </c>
      <c r="G60" s="3" t="b">
        <f ca="1">INDEX(dict_zul_Var_Meth[kval_active],MATCH(table_Methods[[#This Row],[ID]],dict_zul_Var_Meth[ID_Methods],0))</f>
        <v>0</v>
      </c>
      <c r="H60">
        <f t="shared" ca="1" si="8"/>
        <v>17900</v>
      </c>
      <c r="I60">
        <f t="shared" ca="1" si="9"/>
        <v>576</v>
      </c>
    </row>
    <row r="61" spans="1:9" x14ac:dyDescent="0.45">
      <c r="A61">
        <v>59</v>
      </c>
      <c r="B61" t="str">
        <f>CONCATENATE("Methode ",table_Methods[[#This Row],[ID]])</f>
        <v>Methode 59</v>
      </c>
      <c r="C61">
        <f t="shared" ca="1" si="0"/>
        <v>160</v>
      </c>
      <c r="D61">
        <f t="shared" ca="1" si="5"/>
        <v>5.49</v>
      </c>
      <c r="E61">
        <f t="shared" ca="1" si="6"/>
        <v>-50</v>
      </c>
      <c r="F61">
        <f t="shared" ca="1" si="7"/>
        <v>720</v>
      </c>
      <c r="G61" s="3" t="b">
        <f ca="1">INDEX(dict_zul_Var_Meth[kval_active],MATCH(table_Methods[[#This Row],[ID]],dict_zul_Var_Meth[ID_Methods],0))</f>
        <v>0</v>
      </c>
      <c r="H61">
        <f t="shared" ca="1" si="8"/>
        <v>7720</v>
      </c>
      <c r="I61">
        <f t="shared" ca="1" si="9"/>
        <v>24576</v>
      </c>
    </row>
    <row r="62" spans="1:9" x14ac:dyDescent="0.45">
      <c r="A62">
        <v>60</v>
      </c>
      <c r="B62" t="str">
        <f>CONCATENATE("Methode ",table_Methods[[#This Row],[ID]])</f>
        <v>Methode 60</v>
      </c>
      <c r="C62">
        <f t="shared" ca="1" si="0"/>
        <v>19</v>
      </c>
      <c r="D62">
        <f t="shared" ca="1" si="5"/>
        <v>1.99</v>
      </c>
      <c r="E62">
        <f t="shared" ca="1" si="6"/>
        <v>-100</v>
      </c>
      <c r="F62">
        <f t="shared" ca="1" si="7"/>
        <v>880</v>
      </c>
      <c r="G62" s="3" t="b">
        <f ca="1">INDEX(dict_zul_Var_Meth[kval_active],MATCH(table_Methods[[#This Row],[ID]],dict_zul_Var_Meth[ID_Methods],0))</f>
        <v>0</v>
      </c>
      <c r="H62">
        <f t="shared" ca="1" si="8"/>
        <v>3509</v>
      </c>
      <c r="I62">
        <f t="shared" ca="1" si="9"/>
        <v>168</v>
      </c>
    </row>
    <row r="63" spans="1:9" x14ac:dyDescent="0.45">
      <c r="A63">
        <v>61</v>
      </c>
      <c r="B63" t="str">
        <f>CONCATENATE("Methode ",table_Methods[[#This Row],[ID]])</f>
        <v>Methode 61</v>
      </c>
      <c r="C63">
        <f t="shared" ca="1" si="0"/>
        <v>9100</v>
      </c>
      <c r="D63">
        <f t="shared" ca="1" si="5"/>
        <v>9.1</v>
      </c>
      <c r="E63">
        <f t="shared" ca="1" si="6"/>
        <v>-10</v>
      </c>
      <c r="F63">
        <f t="shared" ca="1" si="7"/>
        <v>80</v>
      </c>
      <c r="G63" s="3" t="b">
        <f ca="1">INDEX(dict_zul_Var_Meth[kval_active],MATCH(table_Methods[[#This Row],[ID]],dict_zul_Var_Meth[ID_Methods],0))</f>
        <v>0</v>
      </c>
      <c r="H63">
        <f t="shared" ca="1" si="8"/>
        <v>20170</v>
      </c>
      <c r="I63">
        <f t="shared" ca="1" si="9"/>
        <v>256</v>
      </c>
    </row>
    <row r="64" spans="1:9" x14ac:dyDescent="0.45">
      <c r="A64">
        <v>62</v>
      </c>
      <c r="B64" t="str">
        <f>CONCATENATE("Methode ",table_Methods[[#This Row],[ID]])</f>
        <v>Methode 62</v>
      </c>
      <c r="C64">
        <f t="shared" ca="1" si="0"/>
        <v>8</v>
      </c>
      <c r="D64">
        <f t="shared" ca="1" si="5"/>
        <v>7.42</v>
      </c>
      <c r="E64">
        <f t="shared" ca="1" si="6"/>
        <v>-10</v>
      </c>
      <c r="F64">
        <f t="shared" ca="1" si="7"/>
        <v>590</v>
      </c>
      <c r="G64" s="3" t="b">
        <f ca="1">INDEX(dict_zul_Var_Meth[kval_active],MATCH(table_Methods[[#This Row],[ID]],dict_zul_Var_Meth[ID_Methods],0))</f>
        <v>0</v>
      </c>
      <c r="H64">
        <f t="shared" ca="1" si="8"/>
        <v>17864</v>
      </c>
      <c r="I64">
        <f t="shared" ca="1" si="9"/>
        <v>12416</v>
      </c>
    </row>
    <row r="65" spans="1:9" x14ac:dyDescent="0.45">
      <c r="A65">
        <v>63</v>
      </c>
      <c r="B65" t="str">
        <f>CONCATENATE("Methode ",table_Methods[[#This Row],[ID]])</f>
        <v>Methode 63</v>
      </c>
      <c r="C65">
        <f t="shared" ca="1" si="0"/>
        <v>960</v>
      </c>
      <c r="D65">
        <f t="shared" ca="1" si="5"/>
        <v>0.97</v>
      </c>
      <c r="E65">
        <f t="shared" ca="1" si="6"/>
        <v>30</v>
      </c>
      <c r="F65">
        <f t="shared" ca="1" si="7"/>
        <v>250</v>
      </c>
      <c r="G65" s="3" t="b">
        <f ca="1">INDEX(dict_zul_Var_Meth[kval_active],MATCH(table_Methods[[#This Row],[ID]],dict_zul_Var_Meth[ID_Methods],0))</f>
        <v>0</v>
      </c>
      <c r="H65">
        <f t="shared" ca="1" si="8"/>
        <v>3976</v>
      </c>
      <c r="I65">
        <f t="shared" ca="1" si="9"/>
        <v>108</v>
      </c>
    </row>
    <row r="66" spans="1:9" x14ac:dyDescent="0.45">
      <c r="A66">
        <v>64</v>
      </c>
      <c r="B66" t="str">
        <f>CONCATENATE("Methode ",table_Methods[[#This Row],[ID]])</f>
        <v>Methode 64</v>
      </c>
      <c r="C66">
        <f t="shared" ref="C66:C129" ca="1" si="10">10^(RANDBETWEEN(-1,1))*RANDBETWEEN(1,100)*10</f>
        <v>45</v>
      </c>
      <c r="D66">
        <f t="shared" ca="1" si="5"/>
        <v>7.36</v>
      </c>
      <c r="E66">
        <f t="shared" ca="1" si="6"/>
        <v>-20</v>
      </c>
      <c r="F66">
        <f t="shared" ca="1" si="7"/>
        <v>780</v>
      </c>
      <c r="G66" s="3" t="b">
        <f ca="1">INDEX(dict_zul_Var_Meth[kval_active],MATCH(table_Methods[[#This Row],[ID]],dict_zul_Var_Meth[ID_Methods],0))</f>
        <v>0</v>
      </c>
      <c r="H66">
        <f t="shared" ca="1" si="8"/>
        <v>22526</v>
      </c>
      <c r="I66">
        <f t="shared" ca="1" si="9"/>
        <v>320</v>
      </c>
    </row>
    <row r="67" spans="1:9" x14ac:dyDescent="0.45">
      <c r="A67">
        <v>65</v>
      </c>
      <c r="B67" t="str">
        <f>CONCATENATE("Methode ",table_Methods[[#This Row],[ID]])</f>
        <v>Methode 65</v>
      </c>
      <c r="C67">
        <f t="shared" ca="1" si="10"/>
        <v>9</v>
      </c>
      <c r="D67">
        <f t="shared" ref="D67:D130" ca="1" si="11">RANDBETWEEN(10,1000)/(100)</f>
        <v>8.15</v>
      </c>
      <c r="E67">
        <f t="shared" ca="1" si="6"/>
        <v>30</v>
      </c>
      <c r="F67">
        <f t="shared" ca="1" si="7"/>
        <v>930</v>
      </c>
      <c r="G67" s="3" t="b">
        <f ca="1">INDEX(dict_zul_Var_Meth[kval_active],MATCH(table_Methods[[#This Row],[ID]],dict_zul_Var_Meth[ID_Methods],0))</f>
        <v>0</v>
      </c>
      <c r="H67">
        <f t="shared" ca="1" si="8"/>
        <v>10760</v>
      </c>
      <c r="I67">
        <f t="shared" ca="1" si="9"/>
        <v>83968</v>
      </c>
    </row>
    <row r="68" spans="1:9" x14ac:dyDescent="0.45">
      <c r="A68">
        <v>66</v>
      </c>
      <c r="B68" t="str">
        <f>CONCATENATE("Methode ",table_Methods[[#This Row],[ID]])</f>
        <v>Methode 66</v>
      </c>
      <c r="C68">
        <f t="shared" ca="1" si="10"/>
        <v>11</v>
      </c>
      <c r="D68">
        <f t="shared" ca="1" si="11"/>
        <v>3.22</v>
      </c>
      <c r="E68">
        <f t="shared" ca="1" si="6"/>
        <v>30</v>
      </c>
      <c r="F68">
        <f t="shared" ca="1" si="7"/>
        <v>380</v>
      </c>
      <c r="G68" s="3" t="b">
        <f ca="1">INDEX(dict_zul_Var_Meth[kval_active],MATCH(table_Methods[[#This Row],[ID]],dict_zul_Var_Meth[ID_Methods],0))</f>
        <v>0</v>
      </c>
      <c r="H68">
        <f t="shared" ca="1" si="8"/>
        <v>24795</v>
      </c>
      <c r="I68">
        <f t="shared" ca="1" si="9"/>
        <v>10880</v>
      </c>
    </row>
    <row r="69" spans="1:9" x14ac:dyDescent="0.45">
      <c r="A69">
        <v>67</v>
      </c>
      <c r="B69" t="str">
        <f>CONCATENATE("Methode ",table_Methods[[#This Row],[ID]])</f>
        <v>Methode 67</v>
      </c>
      <c r="C69">
        <f t="shared" ca="1" si="10"/>
        <v>72</v>
      </c>
      <c r="D69">
        <f t="shared" ca="1" si="11"/>
        <v>5.33</v>
      </c>
      <c r="E69">
        <f t="shared" ca="1" si="6"/>
        <v>0</v>
      </c>
      <c r="F69">
        <f t="shared" ca="1" si="7"/>
        <v>430</v>
      </c>
      <c r="G69" s="3" t="b">
        <f ca="1">INDEX(dict_zul_Var_Meth[kval_active],MATCH(table_Methods[[#This Row],[ID]],dict_zul_Var_Meth[ID_Methods],0))</f>
        <v>0</v>
      </c>
      <c r="H69">
        <f t="shared" ca="1" si="8"/>
        <v>5856</v>
      </c>
      <c r="I69">
        <f t="shared" ca="1" si="9"/>
        <v>8704</v>
      </c>
    </row>
    <row r="70" spans="1:9" x14ac:dyDescent="0.45">
      <c r="A70">
        <v>68</v>
      </c>
      <c r="B70" t="str">
        <f>CONCATENATE("Methode ",table_Methods[[#This Row],[ID]])</f>
        <v>Methode 68</v>
      </c>
      <c r="C70">
        <f t="shared" ca="1" si="10"/>
        <v>20</v>
      </c>
      <c r="D70">
        <f t="shared" ca="1" si="11"/>
        <v>0.88</v>
      </c>
      <c r="E70">
        <f t="shared" ca="1" si="6"/>
        <v>-20</v>
      </c>
      <c r="F70">
        <f t="shared" ca="1" si="7"/>
        <v>100</v>
      </c>
      <c r="G70" s="3" t="b">
        <f ca="1">INDEX(dict_zul_Var_Meth[kval_active],MATCH(table_Methods[[#This Row],[ID]],dict_zul_Var_Meth[ID_Methods],0))</f>
        <v>0</v>
      </c>
      <c r="H70">
        <f t="shared" ca="1" si="8"/>
        <v>12785</v>
      </c>
      <c r="I70">
        <f t="shared" ca="1" si="9"/>
        <v>688</v>
      </c>
    </row>
    <row r="71" spans="1:9" x14ac:dyDescent="0.45">
      <c r="A71">
        <v>69</v>
      </c>
      <c r="B71" t="str">
        <f>CONCATENATE("Methode ",table_Methods[[#This Row],[ID]])</f>
        <v>Methode 69</v>
      </c>
      <c r="C71">
        <f t="shared" ca="1" si="10"/>
        <v>9400</v>
      </c>
      <c r="D71">
        <f t="shared" ca="1" si="11"/>
        <v>3.42</v>
      </c>
      <c r="E71">
        <f t="shared" ca="1" si="6"/>
        <v>-20</v>
      </c>
      <c r="F71">
        <f t="shared" ca="1" si="7"/>
        <v>540</v>
      </c>
      <c r="G71" s="3" t="b">
        <f ca="1">INDEX(dict_zul_Var_Meth[kval_active],MATCH(table_Methods[[#This Row],[ID]],dict_zul_Var_Meth[ID_Methods],0))</f>
        <v>0</v>
      </c>
      <c r="H71">
        <f t="shared" ca="1" si="8"/>
        <v>12250</v>
      </c>
      <c r="I71">
        <f t="shared" ca="1" si="9"/>
        <v>80</v>
      </c>
    </row>
    <row r="72" spans="1:9" x14ac:dyDescent="0.45">
      <c r="A72">
        <v>70</v>
      </c>
      <c r="B72" t="str">
        <f>CONCATENATE("Methode ",table_Methods[[#This Row],[ID]])</f>
        <v>Methode 70</v>
      </c>
      <c r="C72">
        <f t="shared" ca="1" si="10"/>
        <v>10</v>
      </c>
      <c r="D72">
        <f t="shared" ca="1" si="11"/>
        <v>1.4</v>
      </c>
      <c r="E72">
        <f t="shared" ca="1" si="6"/>
        <v>-40</v>
      </c>
      <c r="F72">
        <f t="shared" ca="1" si="7"/>
        <v>30</v>
      </c>
      <c r="G72" s="3" t="b">
        <f ca="1">INDEX(dict_zul_Var_Meth[kval_active],MATCH(table_Methods[[#This Row],[ID]],dict_zul_Var_Meth[ID_Methods],0))</f>
        <v>0</v>
      </c>
      <c r="H72">
        <f t="shared" ca="1" si="8"/>
        <v>13985</v>
      </c>
      <c r="I72">
        <f t="shared" ca="1" si="9"/>
        <v>1440</v>
      </c>
    </row>
    <row r="73" spans="1:9" x14ac:dyDescent="0.45">
      <c r="A73">
        <v>71</v>
      </c>
      <c r="B73" t="str">
        <f>CONCATENATE("Methode ",table_Methods[[#This Row],[ID]])</f>
        <v>Methode 71</v>
      </c>
      <c r="C73">
        <f t="shared" ca="1" si="10"/>
        <v>87.000000000000014</v>
      </c>
      <c r="D73">
        <f t="shared" ca="1" si="11"/>
        <v>0.91</v>
      </c>
      <c r="E73">
        <f t="shared" ca="1" si="6"/>
        <v>-90</v>
      </c>
      <c r="F73">
        <f t="shared" ca="1" si="7"/>
        <v>930</v>
      </c>
      <c r="G73" s="3" t="b">
        <f ca="1">INDEX(dict_zul_Var_Meth[kval_active],MATCH(table_Methods[[#This Row],[ID]],dict_zul_Var_Meth[ID_Methods],0))</f>
        <v>0</v>
      </c>
      <c r="H73">
        <f t="shared" ca="1" si="8"/>
        <v>612</v>
      </c>
      <c r="I73">
        <f t="shared" ca="1" si="9"/>
        <v>640</v>
      </c>
    </row>
    <row r="74" spans="1:9" x14ac:dyDescent="0.45">
      <c r="A74">
        <v>72</v>
      </c>
      <c r="B74" t="str">
        <f>CONCATENATE("Methode ",table_Methods[[#This Row],[ID]])</f>
        <v>Methode 72</v>
      </c>
      <c r="C74">
        <f t="shared" ca="1" si="10"/>
        <v>5000</v>
      </c>
      <c r="D74">
        <f t="shared" ca="1" si="11"/>
        <v>7.9</v>
      </c>
      <c r="E74">
        <f t="shared" ca="1" si="6"/>
        <v>-20</v>
      </c>
      <c r="F74">
        <f t="shared" ca="1" si="7"/>
        <v>410</v>
      </c>
      <c r="G74" s="3" t="b">
        <f ca="1">INDEX(dict_zul_Var_Meth[kval_active],MATCH(table_Methods[[#This Row],[ID]],dict_zul_Var_Meth[ID_Methods],0))</f>
        <v>0</v>
      </c>
      <c r="H74">
        <f t="shared" ca="1" si="8"/>
        <v>16790</v>
      </c>
      <c r="I74">
        <f t="shared" ca="1" si="9"/>
        <v>18432</v>
      </c>
    </row>
    <row r="75" spans="1:9" x14ac:dyDescent="0.45">
      <c r="A75">
        <v>73</v>
      </c>
      <c r="B75" t="str">
        <f>CONCATENATE("Methode ",table_Methods[[#This Row],[ID]])</f>
        <v>Methode 73</v>
      </c>
      <c r="C75">
        <f t="shared" ca="1" si="10"/>
        <v>9200</v>
      </c>
      <c r="D75">
        <f t="shared" ca="1" si="11"/>
        <v>1.52</v>
      </c>
      <c r="E75">
        <f t="shared" ca="1" si="6"/>
        <v>-30</v>
      </c>
      <c r="F75">
        <f t="shared" ca="1" si="7"/>
        <v>130</v>
      </c>
      <c r="G75" s="3" t="b">
        <f ca="1">INDEX(dict_zul_Var_Meth[kval_active],MATCH(table_Methods[[#This Row],[ID]],dict_zul_Var_Meth[ID_Methods],0))</f>
        <v>0</v>
      </c>
      <c r="H75">
        <f t="shared" ca="1" si="8"/>
        <v>5782</v>
      </c>
      <c r="I75">
        <f t="shared" ca="1" si="9"/>
        <v>112</v>
      </c>
    </row>
    <row r="76" spans="1:9" x14ac:dyDescent="0.45">
      <c r="A76">
        <v>74</v>
      </c>
      <c r="B76" t="str">
        <f>CONCATENATE("Methode ",table_Methods[[#This Row],[ID]])</f>
        <v>Methode 74</v>
      </c>
      <c r="C76">
        <f t="shared" ca="1" si="10"/>
        <v>7200</v>
      </c>
      <c r="D76">
        <f t="shared" ca="1" si="11"/>
        <v>6.35</v>
      </c>
      <c r="E76">
        <f t="shared" ca="1" si="6"/>
        <v>10</v>
      </c>
      <c r="F76">
        <f t="shared" ca="1" si="7"/>
        <v>250</v>
      </c>
      <c r="G76" s="3" t="b">
        <f ca="1">INDEX(dict_zul_Var_Meth[kval_active],MATCH(table_Methods[[#This Row],[ID]],dict_zul_Var_Meth[ID_Methods],0))</f>
        <v>0</v>
      </c>
      <c r="H76">
        <f t="shared" ca="1" si="8"/>
        <v>4552</v>
      </c>
      <c r="I76">
        <f t="shared" ca="1" si="9"/>
        <v>160</v>
      </c>
    </row>
    <row r="77" spans="1:9" x14ac:dyDescent="0.45">
      <c r="A77">
        <v>75</v>
      </c>
      <c r="B77" t="str">
        <f>CONCATENATE("Methode ",table_Methods[[#This Row],[ID]])</f>
        <v>Methode 75</v>
      </c>
      <c r="C77">
        <f t="shared" ca="1" si="10"/>
        <v>570</v>
      </c>
      <c r="D77">
        <f t="shared" ca="1" si="11"/>
        <v>9.06</v>
      </c>
      <c r="E77">
        <f t="shared" ca="1" si="6"/>
        <v>30</v>
      </c>
      <c r="F77">
        <f t="shared" ca="1" si="7"/>
        <v>490</v>
      </c>
      <c r="G77" s="3" t="b">
        <f ca="1">INDEX(dict_zul_Var_Meth[kval_active],MATCH(table_Methods[[#This Row],[ID]],dict_zul_Var_Meth[ID_Methods],0))</f>
        <v>0</v>
      </c>
      <c r="H77">
        <f t="shared" ca="1" si="8"/>
        <v>22883</v>
      </c>
      <c r="I77">
        <f t="shared" ca="1" si="9"/>
        <v>2560</v>
      </c>
    </row>
    <row r="78" spans="1:9" x14ac:dyDescent="0.45">
      <c r="A78">
        <v>76</v>
      </c>
      <c r="B78" t="str">
        <f>CONCATENATE("Methode ",table_Methods[[#This Row],[ID]])</f>
        <v>Methode 76</v>
      </c>
      <c r="C78">
        <f t="shared" ca="1" si="10"/>
        <v>860</v>
      </c>
      <c r="D78">
        <f t="shared" ca="1" si="11"/>
        <v>9.67</v>
      </c>
      <c r="E78">
        <f t="shared" ca="1" si="6"/>
        <v>-10</v>
      </c>
      <c r="F78">
        <f t="shared" ca="1" si="7"/>
        <v>810</v>
      </c>
      <c r="G78" s="3" t="b">
        <f ca="1">INDEX(dict_zul_Var_Meth[kval_active],MATCH(table_Methods[[#This Row],[ID]],dict_zul_Var_Meth[ID_Methods],0))</f>
        <v>0</v>
      </c>
      <c r="H78">
        <f t="shared" ca="1" si="8"/>
        <v>4562</v>
      </c>
      <c r="I78">
        <f t="shared" ca="1" si="9"/>
        <v>6272</v>
      </c>
    </row>
    <row r="79" spans="1:9" x14ac:dyDescent="0.45">
      <c r="A79">
        <v>77</v>
      </c>
      <c r="B79" t="str">
        <f>CONCATENATE("Methode ",table_Methods[[#This Row],[ID]])</f>
        <v>Methode 77</v>
      </c>
      <c r="C79">
        <f t="shared" ca="1" si="10"/>
        <v>980</v>
      </c>
      <c r="D79">
        <f t="shared" ca="1" si="11"/>
        <v>8.26</v>
      </c>
      <c r="E79">
        <f t="shared" ca="1" si="6"/>
        <v>-10</v>
      </c>
      <c r="F79">
        <f t="shared" ca="1" si="7"/>
        <v>420</v>
      </c>
      <c r="G79" s="3" t="b">
        <f ca="1">INDEX(dict_zul_Var_Meth[kval_active],MATCH(table_Methods[[#This Row],[ID]],dict_zul_Var_Meth[ID_Methods],0))</f>
        <v>1</v>
      </c>
      <c r="H79">
        <f t="shared" ca="1" si="8"/>
        <v>15856</v>
      </c>
      <c r="I79">
        <f t="shared" ca="1" si="9"/>
        <v>90</v>
      </c>
    </row>
    <row r="80" spans="1:9" x14ac:dyDescent="0.45">
      <c r="A80">
        <v>78</v>
      </c>
      <c r="B80" t="str">
        <f>CONCATENATE("Methode ",table_Methods[[#This Row],[ID]])</f>
        <v>Methode 78</v>
      </c>
      <c r="C80">
        <f t="shared" ca="1" si="10"/>
        <v>20</v>
      </c>
      <c r="D80">
        <f t="shared" ca="1" si="11"/>
        <v>2.4300000000000002</v>
      </c>
      <c r="E80">
        <f t="shared" ca="1" si="6"/>
        <v>0</v>
      </c>
      <c r="F80">
        <f t="shared" ca="1" si="7"/>
        <v>820</v>
      </c>
      <c r="G80" s="3" t="b">
        <f ca="1">INDEX(dict_zul_Var_Meth[kval_active],MATCH(table_Methods[[#This Row],[ID]],dict_zul_Var_Meth[ID_Methods],0))</f>
        <v>0</v>
      </c>
      <c r="H80">
        <f t="shared" ca="1" si="8"/>
        <v>23436</v>
      </c>
      <c r="I80">
        <f t="shared" ca="1" si="9"/>
        <v>40960</v>
      </c>
    </row>
    <row r="81" spans="1:9" x14ac:dyDescent="0.45">
      <c r="A81">
        <v>79</v>
      </c>
      <c r="B81" t="str">
        <f>CONCATENATE("Methode ",table_Methods[[#This Row],[ID]])</f>
        <v>Methode 79</v>
      </c>
      <c r="C81">
        <f t="shared" ca="1" si="10"/>
        <v>89</v>
      </c>
      <c r="D81">
        <f t="shared" ca="1" si="11"/>
        <v>9.43</v>
      </c>
      <c r="E81">
        <f t="shared" ca="1" si="6"/>
        <v>10</v>
      </c>
      <c r="F81">
        <f t="shared" ca="1" si="7"/>
        <v>560</v>
      </c>
      <c r="G81" s="3" t="b">
        <f ca="1">INDEX(dict_zul_Var_Meth[kval_active],MATCH(table_Methods[[#This Row],[ID]],dict_zul_Var_Meth[ID_Methods],0))</f>
        <v>0</v>
      </c>
      <c r="H81">
        <f t="shared" ca="1" si="8"/>
        <v>14290</v>
      </c>
      <c r="I81">
        <f t="shared" ca="1" si="9"/>
        <v>124</v>
      </c>
    </row>
    <row r="82" spans="1:9" x14ac:dyDescent="0.45">
      <c r="A82">
        <v>80</v>
      </c>
      <c r="B82" t="str">
        <f>CONCATENATE("Methode ",table_Methods[[#This Row],[ID]])</f>
        <v>Methode 80</v>
      </c>
      <c r="C82">
        <f t="shared" ca="1" si="10"/>
        <v>9000</v>
      </c>
      <c r="D82">
        <f t="shared" ca="1" si="11"/>
        <v>2.65</v>
      </c>
      <c r="E82">
        <f t="shared" ca="1" si="6"/>
        <v>-20</v>
      </c>
      <c r="F82">
        <f t="shared" ca="1" si="7"/>
        <v>890</v>
      </c>
      <c r="G82" s="3" t="b">
        <f ca="1">INDEX(dict_zul_Var_Meth[kval_active],MATCH(table_Methods[[#This Row],[ID]],dict_zul_Var_Meth[ID_Methods],0))</f>
        <v>1</v>
      </c>
      <c r="H82">
        <f t="shared" ca="1" si="8"/>
        <v>12005</v>
      </c>
      <c r="I82">
        <f t="shared" ca="1" si="9"/>
        <v>24</v>
      </c>
    </row>
    <row r="83" spans="1:9" x14ac:dyDescent="0.45">
      <c r="A83">
        <v>81</v>
      </c>
      <c r="B83" t="str">
        <f>CONCATENATE("Methode ",table_Methods[[#This Row],[ID]])</f>
        <v>Methode 81</v>
      </c>
      <c r="C83">
        <f t="shared" ca="1" si="10"/>
        <v>3900</v>
      </c>
      <c r="D83">
        <f t="shared" ca="1" si="11"/>
        <v>3.48</v>
      </c>
      <c r="E83">
        <f t="shared" ca="1" si="6"/>
        <v>-20</v>
      </c>
      <c r="F83">
        <f t="shared" ca="1" si="7"/>
        <v>370</v>
      </c>
      <c r="G83" s="3" t="b">
        <f ca="1">INDEX(dict_zul_Var_Meth[kval_active],MATCH(table_Methods[[#This Row],[ID]],dict_zul_Var_Meth[ID_Methods],0))</f>
        <v>0</v>
      </c>
      <c r="H83">
        <f t="shared" ca="1" si="8"/>
        <v>3496</v>
      </c>
      <c r="I83">
        <f t="shared" ca="1" si="9"/>
        <v>272</v>
      </c>
    </row>
    <row r="84" spans="1:9" x14ac:dyDescent="0.45">
      <c r="A84">
        <v>82</v>
      </c>
      <c r="B84" t="str">
        <f>CONCATENATE("Methode ",table_Methods[[#This Row],[ID]])</f>
        <v>Methode 82</v>
      </c>
      <c r="C84">
        <f t="shared" ca="1" si="10"/>
        <v>650</v>
      </c>
      <c r="D84">
        <f t="shared" ca="1" si="11"/>
        <v>4.58</v>
      </c>
      <c r="E84">
        <f t="shared" ca="1" si="6"/>
        <v>-50</v>
      </c>
      <c r="F84">
        <f t="shared" ca="1" si="7"/>
        <v>450</v>
      </c>
      <c r="G84" s="3" t="b">
        <f ca="1">INDEX(dict_zul_Var_Meth[kval_active],MATCH(table_Methods[[#This Row],[ID]],dict_zul_Var_Meth[ID_Methods],0))</f>
        <v>0</v>
      </c>
      <c r="H84">
        <f t="shared" ca="1" si="8"/>
        <v>11478</v>
      </c>
      <c r="I84">
        <f t="shared" ca="1" si="9"/>
        <v>110</v>
      </c>
    </row>
    <row r="85" spans="1:9" x14ac:dyDescent="0.45">
      <c r="A85">
        <v>83</v>
      </c>
      <c r="B85" t="str">
        <f>CONCATENATE("Methode ",table_Methods[[#This Row],[ID]])</f>
        <v>Methode 83</v>
      </c>
      <c r="C85">
        <f t="shared" ca="1" si="10"/>
        <v>26</v>
      </c>
      <c r="D85">
        <f t="shared" ca="1" si="11"/>
        <v>0.59</v>
      </c>
      <c r="E85">
        <f t="shared" ca="1" si="6"/>
        <v>30</v>
      </c>
      <c r="F85">
        <f t="shared" ca="1" si="7"/>
        <v>200</v>
      </c>
      <c r="G85" s="3" t="b">
        <f ca="1">INDEX(dict_zul_Var_Meth[kval_active],MATCH(table_Methods[[#This Row],[ID]],dict_zul_Var_Meth[ID_Methods],0))</f>
        <v>0</v>
      </c>
      <c r="H85">
        <f t="shared" ca="1" si="8"/>
        <v>4206</v>
      </c>
      <c r="I85">
        <f t="shared" ca="1" si="9"/>
        <v>7936</v>
      </c>
    </row>
    <row r="86" spans="1:9" x14ac:dyDescent="0.45">
      <c r="A86">
        <v>84</v>
      </c>
      <c r="B86" t="str">
        <f>CONCATENATE("Methode ",table_Methods[[#This Row],[ID]])</f>
        <v>Methode 84</v>
      </c>
      <c r="C86">
        <f t="shared" ca="1" si="10"/>
        <v>64</v>
      </c>
      <c r="D86">
        <f t="shared" ca="1" si="11"/>
        <v>9.26</v>
      </c>
      <c r="E86">
        <f t="shared" ca="1" si="6"/>
        <v>-90</v>
      </c>
      <c r="F86">
        <f t="shared" ca="1" si="7"/>
        <v>490</v>
      </c>
      <c r="G86" s="3" t="b">
        <f ca="1">INDEX(dict_zul_Var_Meth[kval_active],MATCH(table_Methods[[#This Row],[ID]],dict_zul_Var_Meth[ID_Methods],0))</f>
        <v>0</v>
      </c>
      <c r="H86">
        <f t="shared" ca="1" si="8"/>
        <v>13767</v>
      </c>
      <c r="I86">
        <f t="shared" ca="1" si="9"/>
        <v>2688</v>
      </c>
    </row>
    <row r="87" spans="1:9" x14ac:dyDescent="0.45">
      <c r="A87">
        <v>85</v>
      </c>
      <c r="B87" t="str">
        <f>CONCATENATE("Methode ",table_Methods[[#This Row],[ID]])</f>
        <v>Methode 85</v>
      </c>
      <c r="C87">
        <f t="shared" ca="1" si="10"/>
        <v>830</v>
      </c>
      <c r="D87">
        <f t="shared" ca="1" si="11"/>
        <v>1.19</v>
      </c>
      <c r="E87">
        <f t="shared" ca="1" si="6"/>
        <v>-10</v>
      </c>
      <c r="F87">
        <f t="shared" ca="1" si="7"/>
        <v>430</v>
      </c>
      <c r="G87" s="3" t="b">
        <f ca="1">INDEX(dict_zul_Var_Meth[kval_active],MATCH(table_Methods[[#This Row],[ID]],dict_zul_Var_Meth[ID_Methods],0))</f>
        <v>0</v>
      </c>
      <c r="H87">
        <f t="shared" ca="1" si="8"/>
        <v>39546</v>
      </c>
      <c r="I87">
        <f t="shared" ca="1" si="9"/>
        <v>776</v>
      </c>
    </row>
    <row r="88" spans="1:9" x14ac:dyDescent="0.45">
      <c r="A88">
        <v>86</v>
      </c>
      <c r="B88" t="str">
        <f>CONCATENATE("Methode ",table_Methods[[#This Row],[ID]])</f>
        <v>Methode 86</v>
      </c>
      <c r="C88">
        <f t="shared" ca="1" si="10"/>
        <v>5700</v>
      </c>
      <c r="D88">
        <f t="shared" ca="1" si="11"/>
        <v>0.85</v>
      </c>
      <c r="E88">
        <f t="shared" ca="1" si="6"/>
        <v>10</v>
      </c>
      <c r="F88">
        <f t="shared" ca="1" si="7"/>
        <v>430</v>
      </c>
      <c r="G88" s="3" t="b">
        <f ca="1">INDEX(dict_zul_Var_Meth[kval_active],MATCH(table_Methods[[#This Row],[ID]],dict_zul_Var_Meth[ID_Methods],0))</f>
        <v>0</v>
      </c>
      <c r="H88">
        <f t="shared" ca="1" si="8"/>
        <v>29440</v>
      </c>
      <c r="I88">
        <f t="shared" ca="1" si="9"/>
        <v>3264</v>
      </c>
    </row>
    <row r="89" spans="1:9" x14ac:dyDescent="0.45">
      <c r="A89">
        <v>87</v>
      </c>
      <c r="B89" t="str">
        <f>CONCATENATE("Methode ",table_Methods[[#This Row],[ID]])</f>
        <v>Methode 87</v>
      </c>
      <c r="C89">
        <f t="shared" ca="1" si="10"/>
        <v>980</v>
      </c>
      <c r="D89">
        <f t="shared" ca="1" si="11"/>
        <v>2.09</v>
      </c>
      <c r="E89">
        <f t="shared" ca="1" si="6"/>
        <v>-50</v>
      </c>
      <c r="F89">
        <f t="shared" ca="1" si="7"/>
        <v>530</v>
      </c>
      <c r="G89" s="3" t="b">
        <f ca="1">INDEX(dict_zul_Var_Meth[kval_active],MATCH(table_Methods[[#This Row],[ID]],dict_zul_Var_Meth[ID_Methods],0))</f>
        <v>1</v>
      </c>
      <c r="H89">
        <f t="shared" ca="1" si="8"/>
        <v>17070</v>
      </c>
      <c r="I89">
        <f t="shared" ca="1" si="9"/>
        <v>59392</v>
      </c>
    </row>
    <row r="90" spans="1:9" x14ac:dyDescent="0.45">
      <c r="A90">
        <v>88</v>
      </c>
      <c r="B90" t="str">
        <f>CONCATENATE("Methode ",table_Methods[[#This Row],[ID]])</f>
        <v>Methode 88</v>
      </c>
      <c r="C90">
        <f t="shared" ca="1" si="10"/>
        <v>140</v>
      </c>
      <c r="D90">
        <f t="shared" ca="1" si="11"/>
        <v>2</v>
      </c>
      <c r="E90">
        <f t="shared" ca="1" si="6"/>
        <v>-10</v>
      </c>
      <c r="F90">
        <f t="shared" ca="1" si="7"/>
        <v>960</v>
      </c>
      <c r="G90" s="3" t="b">
        <f ca="1">INDEX(dict_zul_Var_Meth[kval_active],MATCH(table_Methods[[#This Row],[ID]],dict_zul_Var_Meth[ID_Methods],0))</f>
        <v>0</v>
      </c>
      <c r="H90">
        <f t="shared" ca="1" si="8"/>
        <v>33190</v>
      </c>
      <c r="I90">
        <f t="shared" ca="1" si="9"/>
        <v>2464</v>
      </c>
    </row>
    <row r="91" spans="1:9" x14ac:dyDescent="0.45">
      <c r="A91">
        <v>89</v>
      </c>
      <c r="B91" t="str">
        <f>CONCATENATE("Methode ",table_Methods[[#This Row],[ID]])</f>
        <v>Methode 89</v>
      </c>
      <c r="C91">
        <f t="shared" ca="1" si="10"/>
        <v>330</v>
      </c>
      <c r="D91">
        <f t="shared" ca="1" si="11"/>
        <v>2.2799999999999998</v>
      </c>
      <c r="E91">
        <f t="shared" ca="1" si="6"/>
        <v>-40</v>
      </c>
      <c r="F91">
        <f t="shared" ca="1" si="7"/>
        <v>590</v>
      </c>
      <c r="G91" s="3" t="b">
        <f ca="1">INDEX(dict_zul_Var_Meth[kval_active],MATCH(table_Methods[[#This Row],[ID]],dict_zul_Var_Meth[ID_Methods],0))</f>
        <v>0</v>
      </c>
      <c r="H91">
        <f t="shared" ca="1" si="8"/>
        <v>4293</v>
      </c>
      <c r="I91">
        <f t="shared" ca="1" si="9"/>
        <v>200</v>
      </c>
    </row>
    <row r="92" spans="1:9" x14ac:dyDescent="0.45">
      <c r="A92">
        <v>90</v>
      </c>
      <c r="B92" t="str">
        <f>CONCATENATE("Methode ",table_Methods[[#This Row],[ID]])</f>
        <v>Methode 90</v>
      </c>
      <c r="C92">
        <f t="shared" ca="1" si="10"/>
        <v>410</v>
      </c>
      <c r="D92">
        <f t="shared" ca="1" si="11"/>
        <v>1.9</v>
      </c>
      <c r="E92">
        <f t="shared" ca="1" si="6"/>
        <v>-20</v>
      </c>
      <c r="F92">
        <f t="shared" ca="1" si="7"/>
        <v>860</v>
      </c>
      <c r="G92" s="3" t="b">
        <f ca="1">INDEX(dict_zul_Var_Meth[kval_active],MATCH(table_Methods[[#This Row],[ID]],dict_zul_Var_Meth[ID_Methods],0))</f>
        <v>0</v>
      </c>
      <c r="H92">
        <f t="shared" ca="1" si="8"/>
        <v>38910</v>
      </c>
      <c r="I92">
        <f t="shared" ca="1" si="9"/>
        <v>248</v>
      </c>
    </row>
    <row r="93" spans="1:9" x14ac:dyDescent="0.45">
      <c r="A93">
        <v>91</v>
      </c>
      <c r="B93" t="str">
        <f>CONCATENATE("Methode ",table_Methods[[#This Row],[ID]])</f>
        <v>Methode 91</v>
      </c>
      <c r="C93">
        <f t="shared" ca="1" si="10"/>
        <v>420</v>
      </c>
      <c r="D93">
        <f t="shared" ca="1" si="11"/>
        <v>6.44</v>
      </c>
      <c r="E93">
        <f t="shared" ca="1" si="6"/>
        <v>-60</v>
      </c>
      <c r="F93">
        <f t="shared" ca="1" si="7"/>
        <v>520</v>
      </c>
      <c r="G93" s="3" t="b">
        <f ca="1">INDEX(dict_zul_Var_Meth[kval_active],MATCH(table_Methods[[#This Row],[ID]],dict_zul_Var_Meth[ID_Methods],0))</f>
        <v>0</v>
      </c>
      <c r="H93">
        <f t="shared" ca="1" si="8"/>
        <v>6990</v>
      </c>
      <c r="I93">
        <f t="shared" ca="1" si="9"/>
        <v>1600</v>
      </c>
    </row>
    <row r="94" spans="1:9" x14ac:dyDescent="0.45">
      <c r="A94">
        <v>92</v>
      </c>
      <c r="B94" t="str">
        <f>CONCATENATE("Methode ",table_Methods[[#This Row],[ID]])</f>
        <v>Methode 92</v>
      </c>
      <c r="C94">
        <f t="shared" ca="1" si="10"/>
        <v>5400</v>
      </c>
      <c r="D94">
        <f t="shared" ca="1" si="11"/>
        <v>8.01</v>
      </c>
      <c r="E94">
        <f t="shared" ca="1" si="6"/>
        <v>-70</v>
      </c>
      <c r="F94">
        <f t="shared" ca="1" si="7"/>
        <v>650</v>
      </c>
      <c r="G94" s="3" t="b">
        <f ca="1">INDEX(dict_zul_Var_Meth[kval_active],MATCH(table_Methods[[#This Row],[ID]],dict_zul_Var_Meth[ID_Methods],0))</f>
        <v>0</v>
      </c>
      <c r="H94">
        <f t="shared" ca="1" si="8"/>
        <v>658</v>
      </c>
      <c r="I94">
        <f t="shared" ca="1" si="9"/>
        <v>18688</v>
      </c>
    </row>
    <row r="95" spans="1:9" x14ac:dyDescent="0.45">
      <c r="A95">
        <v>93</v>
      </c>
      <c r="B95" t="str">
        <f>CONCATENATE("Methode ",table_Methods[[#This Row],[ID]])</f>
        <v>Methode 93</v>
      </c>
      <c r="C95">
        <f t="shared" ca="1" si="10"/>
        <v>300</v>
      </c>
      <c r="D95">
        <f t="shared" ca="1" si="11"/>
        <v>6.89</v>
      </c>
      <c r="E95">
        <f t="shared" ca="1" si="6"/>
        <v>20</v>
      </c>
      <c r="F95">
        <f t="shared" ca="1" si="7"/>
        <v>90</v>
      </c>
      <c r="G95" s="3" t="b">
        <f ca="1">INDEX(dict_zul_Var_Meth[kval_active],MATCH(table_Methods[[#This Row],[ID]],dict_zul_Var_Meth[ID_Methods],0))</f>
        <v>0</v>
      </c>
      <c r="H95">
        <f t="shared" ca="1" si="8"/>
        <v>558</v>
      </c>
      <c r="I95">
        <f t="shared" ca="1" si="9"/>
        <v>20992</v>
      </c>
    </row>
    <row r="96" spans="1:9" x14ac:dyDescent="0.45">
      <c r="A96">
        <v>94</v>
      </c>
      <c r="B96" t="str">
        <f>CONCATENATE("Methode ",table_Methods[[#This Row],[ID]])</f>
        <v>Methode 94</v>
      </c>
      <c r="C96">
        <f t="shared" ca="1" si="10"/>
        <v>6000</v>
      </c>
      <c r="D96">
        <f t="shared" ca="1" si="11"/>
        <v>3.24</v>
      </c>
      <c r="E96">
        <f t="shared" ca="1" si="6"/>
        <v>-50</v>
      </c>
      <c r="F96">
        <f t="shared" ca="1" si="7"/>
        <v>880</v>
      </c>
      <c r="G96" s="3" t="b">
        <f ca="1">INDEX(dict_zul_Var_Meth[kval_active],MATCH(table_Methods[[#This Row],[ID]],dict_zul_Var_Meth[ID_Methods],0))</f>
        <v>0</v>
      </c>
      <c r="H96">
        <f t="shared" ca="1" si="8"/>
        <v>4210</v>
      </c>
      <c r="I96">
        <f t="shared" ca="1" si="9"/>
        <v>30720</v>
      </c>
    </row>
    <row r="97" spans="1:9" x14ac:dyDescent="0.45">
      <c r="A97">
        <v>95</v>
      </c>
      <c r="B97" t="str">
        <f>CONCATENATE("Methode ",table_Methods[[#This Row],[ID]])</f>
        <v>Methode 95</v>
      </c>
      <c r="C97">
        <f t="shared" ca="1" si="10"/>
        <v>55</v>
      </c>
      <c r="D97">
        <f t="shared" ca="1" si="11"/>
        <v>5.01</v>
      </c>
      <c r="E97">
        <f t="shared" ca="1" si="6"/>
        <v>-60</v>
      </c>
      <c r="F97">
        <f t="shared" ca="1" si="7"/>
        <v>250</v>
      </c>
      <c r="G97" s="3" t="b">
        <f ca="1">INDEX(dict_zul_Var_Meth[kval_active],MATCH(table_Methods[[#This Row],[ID]],dict_zul_Var_Meth[ID_Methods],0))</f>
        <v>0</v>
      </c>
      <c r="H97">
        <f t="shared" ca="1" si="8"/>
        <v>2850</v>
      </c>
      <c r="I97">
        <f t="shared" ca="1" si="9"/>
        <v>2528</v>
      </c>
    </row>
    <row r="98" spans="1:9" x14ac:dyDescent="0.45">
      <c r="A98">
        <v>96</v>
      </c>
      <c r="B98" t="str">
        <f>CONCATENATE("Methode ",table_Methods[[#This Row],[ID]])</f>
        <v>Methode 96</v>
      </c>
      <c r="C98">
        <f t="shared" ca="1" si="10"/>
        <v>1400</v>
      </c>
      <c r="D98">
        <f t="shared" ca="1" si="11"/>
        <v>8.02</v>
      </c>
      <c r="E98">
        <f t="shared" ca="1" si="6"/>
        <v>10</v>
      </c>
      <c r="F98">
        <f t="shared" ca="1" si="7"/>
        <v>240</v>
      </c>
      <c r="G98" s="3" t="b">
        <f ca="1">INDEX(dict_zul_Var_Meth[kval_active],MATCH(table_Methods[[#This Row],[ID]],dict_zul_Var_Meth[ID_Methods],0))</f>
        <v>0</v>
      </c>
      <c r="H98">
        <f t="shared" ca="1" si="8"/>
        <v>16448</v>
      </c>
      <c r="I98">
        <f t="shared" ca="1" si="9"/>
        <v>1664</v>
      </c>
    </row>
    <row r="99" spans="1:9" x14ac:dyDescent="0.45">
      <c r="A99">
        <v>97</v>
      </c>
      <c r="B99" t="str">
        <f>CONCATENATE("Methode ",table_Methods[[#This Row],[ID]])</f>
        <v>Methode 97</v>
      </c>
      <c r="C99">
        <f t="shared" ca="1" si="10"/>
        <v>9500</v>
      </c>
      <c r="D99">
        <f t="shared" ca="1" si="11"/>
        <v>0.92</v>
      </c>
      <c r="E99">
        <f t="shared" ca="1" si="6"/>
        <v>-50</v>
      </c>
      <c r="F99">
        <f t="shared" ca="1" si="7"/>
        <v>850</v>
      </c>
      <c r="G99" s="3" t="b">
        <f ca="1">INDEX(dict_zul_Var_Meth[kval_active],MATCH(table_Methods[[#This Row],[ID]],dict_zul_Var_Meth[ID_Methods],0))</f>
        <v>0</v>
      </c>
      <c r="H99">
        <f t="shared" ca="1" si="8"/>
        <v>2146</v>
      </c>
      <c r="I99">
        <f t="shared" ca="1" si="9"/>
        <v>1024</v>
      </c>
    </row>
    <row r="100" spans="1:9" x14ac:dyDescent="0.45">
      <c r="A100">
        <v>98</v>
      </c>
      <c r="B100" t="str">
        <f>CONCATENATE("Methode ",table_Methods[[#This Row],[ID]])</f>
        <v>Methode 98</v>
      </c>
      <c r="C100">
        <f t="shared" ca="1" si="10"/>
        <v>960</v>
      </c>
      <c r="D100">
        <f t="shared" ca="1" si="11"/>
        <v>9.82</v>
      </c>
      <c r="E100">
        <f t="shared" ref="E100:E163" ca="1" si="12">RANDBETWEEN(-10,3)*10</f>
        <v>-40</v>
      </c>
      <c r="F100">
        <f t="shared" ref="F100:F163" ca="1" si="13">RANDBETWEEN(2,100)*10</f>
        <v>960</v>
      </c>
      <c r="G100" s="3" t="b">
        <f ca="1">INDEX(dict_zul_Var_Meth[kval_active],MATCH(table_Methods[[#This Row],[ID]],dict_zul_Var_Meth[ID_Methods],0))</f>
        <v>0</v>
      </c>
      <c r="H100">
        <f t="shared" ref="H100:H163" ca="1" si="14">RANDBETWEEN(1,10)*RANDBETWEEN(1,5000)</f>
        <v>6974</v>
      </c>
      <c r="I100">
        <f t="shared" ref="I100:I163" ca="1" si="15">2^RANDBETWEEN(1,10)*RANDBETWEEN(1,100)</f>
        <v>84</v>
      </c>
    </row>
    <row r="101" spans="1:9" x14ac:dyDescent="0.45">
      <c r="A101">
        <v>99</v>
      </c>
      <c r="B101" t="str">
        <f>CONCATENATE("Methode ",table_Methods[[#This Row],[ID]])</f>
        <v>Methode 99</v>
      </c>
      <c r="C101">
        <f t="shared" ca="1" si="10"/>
        <v>2</v>
      </c>
      <c r="D101">
        <f t="shared" ca="1" si="11"/>
        <v>8.77</v>
      </c>
      <c r="E101">
        <f t="shared" ca="1" si="12"/>
        <v>-90</v>
      </c>
      <c r="F101">
        <f t="shared" ca="1" si="13"/>
        <v>440</v>
      </c>
      <c r="G101" s="3" t="b">
        <f ca="1">INDEX(dict_zul_Var_Meth[kval_active],MATCH(table_Methods[[#This Row],[ID]],dict_zul_Var_Meth[ID_Methods],0))</f>
        <v>0</v>
      </c>
      <c r="H101">
        <f t="shared" ca="1" si="14"/>
        <v>2901</v>
      </c>
      <c r="I101">
        <f t="shared" ca="1" si="15"/>
        <v>4864</v>
      </c>
    </row>
    <row r="102" spans="1:9" x14ac:dyDescent="0.45">
      <c r="A102">
        <v>100</v>
      </c>
      <c r="B102" t="str">
        <f>CONCATENATE("Methode ",table_Methods[[#This Row],[ID]])</f>
        <v>Methode 100</v>
      </c>
      <c r="C102">
        <f t="shared" ca="1" si="10"/>
        <v>7300</v>
      </c>
      <c r="D102">
        <f t="shared" ca="1" si="11"/>
        <v>2.41</v>
      </c>
      <c r="E102">
        <f t="shared" ca="1" si="12"/>
        <v>0</v>
      </c>
      <c r="F102">
        <f t="shared" ca="1" si="13"/>
        <v>250</v>
      </c>
      <c r="G102" s="3" t="b">
        <f ca="1">INDEX(dict_zul_Var_Meth[kval_active],MATCH(table_Methods[[#This Row],[ID]],dict_zul_Var_Meth[ID_Methods],0))</f>
        <v>0</v>
      </c>
      <c r="H102">
        <f t="shared" ca="1" si="14"/>
        <v>10780</v>
      </c>
      <c r="I102">
        <f t="shared" ca="1" si="15"/>
        <v>12544</v>
      </c>
    </row>
    <row r="103" spans="1:9" x14ac:dyDescent="0.45">
      <c r="A103">
        <v>101</v>
      </c>
      <c r="B103" t="str">
        <f>CONCATENATE("Methode ",table_Methods[[#This Row],[ID]])</f>
        <v>Methode 101</v>
      </c>
      <c r="C103">
        <f t="shared" ca="1" si="10"/>
        <v>86</v>
      </c>
      <c r="D103">
        <f t="shared" ca="1" si="11"/>
        <v>1.77</v>
      </c>
      <c r="E103">
        <f t="shared" ca="1" si="12"/>
        <v>-10</v>
      </c>
      <c r="F103">
        <f t="shared" ca="1" si="13"/>
        <v>450</v>
      </c>
      <c r="G103" s="3" t="b">
        <f ca="1">INDEX(dict_zul_Var_Meth[kval_active],MATCH(table_Methods[[#This Row],[ID]],dict_zul_Var_Meth[ID_Methods],0))</f>
        <v>0</v>
      </c>
      <c r="H103">
        <f t="shared" ca="1" si="14"/>
        <v>4365</v>
      </c>
      <c r="I103">
        <f t="shared" ca="1" si="15"/>
        <v>17920</v>
      </c>
    </row>
    <row r="104" spans="1:9" x14ac:dyDescent="0.45">
      <c r="A104">
        <v>102</v>
      </c>
      <c r="B104" t="str">
        <f>CONCATENATE("Methode ",table_Methods[[#This Row],[ID]])</f>
        <v>Methode 102</v>
      </c>
      <c r="C104">
        <f t="shared" ca="1" si="10"/>
        <v>4100</v>
      </c>
      <c r="D104">
        <f t="shared" ca="1" si="11"/>
        <v>2.9</v>
      </c>
      <c r="E104">
        <f t="shared" ca="1" si="12"/>
        <v>0</v>
      </c>
      <c r="F104">
        <f t="shared" ca="1" si="13"/>
        <v>840</v>
      </c>
      <c r="G104" s="3" t="b">
        <f ca="1">INDEX(dict_zul_Var_Meth[kval_active],MATCH(table_Methods[[#This Row],[ID]],dict_zul_Var_Meth[ID_Methods],0))</f>
        <v>0</v>
      </c>
      <c r="H104">
        <f t="shared" ca="1" si="14"/>
        <v>2214</v>
      </c>
      <c r="I104">
        <f t="shared" ca="1" si="15"/>
        <v>104</v>
      </c>
    </row>
    <row r="105" spans="1:9" x14ac:dyDescent="0.45">
      <c r="A105">
        <v>103</v>
      </c>
      <c r="B105" t="str">
        <f>CONCATENATE("Methode ",table_Methods[[#This Row],[ID]])</f>
        <v>Methode 103</v>
      </c>
      <c r="C105">
        <f t="shared" ca="1" si="10"/>
        <v>300</v>
      </c>
      <c r="D105">
        <f t="shared" ca="1" si="11"/>
        <v>0.83</v>
      </c>
      <c r="E105">
        <f t="shared" ca="1" si="12"/>
        <v>10</v>
      </c>
      <c r="F105">
        <f t="shared" ca="1" si="13"/>
        <v>750</v>
      </c>
      <c r="G105" s="3" t="b">
        <f ca="1">INDEX(dict_zul_Var_Meth[kval_active],MATCH(table_Methods[[#This Row],[ID]],dict_zul_Var_Meth[ID_Methods],0))</f>
        <v>0</v>
      </c>
      <c r="H105">
        <f t="shared" ca="1" si="14"/>
        <v>29898</v>
      </c>
      <c r="I105">
        <f t="shared" ca="1" si="15"/>
        <v>4480</v>
      </c>
    </row>
    <row r="106" spans="1:9" x14ac:dyDescent="0.45">
      <c r="A106">
        <v>104</v>
      </c>
      <c r="B106" t="str">
        <f>CONCATENATE("Methode ",table_Methods[[#This Row],[ID]])</f>
        <v>Methode 104</v>
      </c>
      <c r="C106">
        <f t="shared" ca="1" si="10"/>
        <v>3700</v>
      </c>
      <c r="D106">
        <f t="shared" ca="1" si="11"/>
        <v>3.51</v>
      </c>
      <c r="E106">
        <f t="shared" ca="1" si="12"/>
        <v>-50</v>
      </c>
      <c r="F106">
        <f t="shared" ca="1" si="13"/>
        <v>950</v>
      </c>
      <c r="G106" s="3" t="b">
        <f ca="1">INDEX(dict_zul_Var_Meth[kval_active],MATCH(table_Methods[[#This Row],[ID]],dict_zul_Var_Meth[ID_Methods],0))</f>
        <v>0</v>
      </c>
      <c r="H106">
        <f t="shared" ca="1" si="14"/>
        <v>7731</v>
      </c>
      <c r="I106">
        <f t="shared" ca="1" si="15"/>
        <v>124</v>
      </c>
    </row>
    <row r="107" spans="1:9" x14ac:dyDescent="0.45">
      <c r="A107">
        <v>105</v>
      </c>
      <c r="B107" t="str">
        <f>CONCATENATE("Methode ",table_Methods[[#This Row],[ID]])</f>
        <v>Methode 105</v>
      </c>
      <c r="C107">
        <f t="shared" ca="1" si="10"/>
        <v>600</v>
      </c>
      <c r="D107">
        <f t="shared" ca="1" si="11"/>
        <v>0.65</v>
      </c>
      <c r="E107">
        <f t="shared" ca="1" si="12"/>
        <v>30</v>
      </c>
      <c r="F107">
        <f t="shared" ca="1" si="13"/>
        <v>500</v>
      </c>
      <c r="G107" s="3" t="b">
        <f ca="1">INDEX(dict_zul_Var_Meth[kval_active],MATCH(table_Methods[[#This Row],[ID]],dict_zul_Var_Meth[ID_Methods],0))</f>
        <v>0</v>
      </c>
      <c r="H107">
        <f t="shared" ca="1" si="14"/>
        <v>11457</v>
      </c>
      <c r="I107">
        <f t="shared" ca="1" si="15"/>
        <v>13312</v>
      </c>
    </row>
    <row r="108" spans="1:9" x14ac:dyDescent="0.45">
      <c r="A108">
        <v>106</v>
      </c>
      <c r="B108" t="str">
        <f>CONCATENATE("Methode ",table_Methods[[#This Row],[ID]])</f>
        <v>Methode 106</v>
      </c>
      <c r="C108">
        <f t="shared" ca="1" si="10"/>
        <v>7800</v>
      </c>
      <c r="D108">
        <f t="shared" ca="1" si="11"/>
        <v>8.32</v>
      </c>
      <c r="E108">
        <f t="shared" ca="1" si="12"/>
        <v>0</v>
      </c>
      <c r="F108">
        <f t="shared" ca="1" si="13"/>
        <v>690</v>
      </c>
      <c r="G108" s="3" t="b">
        <f ca="1">INDEX(dict_zul_Var_Meth[kval_active],MATCH(table_Methods[[#This Row],[ID]],dict_zul_Var_Meth[ID_Methods],0))</f>
        <v>1</v>
      </c>
      <c r="H108">
        <f t="shared" ca="1" si="14"/>
        <v>12624</v>
      </c>
      <c r="I108">
        <f t="shared" ca="1" si="15"/>
        <v>3584</v>
      </c>
    </row>
    <row r="109" spans="1:9" x14ac:dyDescent="0.45">
      <c r="A109">
        <v>107</v>
      </c>
      <c r="B109" t="str">
        <f>CONCATENATE("Methode ",table_Methods[[#This Row],[ID]])</f>
        <v>Methode 107</v>
      </c>
      <c r="C109">
        <f t="shared" ca="1" si="10"/>
        <v>4400</v>
      </c>
      <c r="D109">
        <f t="shared" ca="1" si="11"/>
        <v>4.8899999999999997</v>
      </c>
      <c r="E109">
        <f t="shared" ca="1" si="12"/>
        <v>-70</v>
      </c>
      <c r="F109">
        <f t="shared" ca="1" si="13"/>
        <v>460</v>
      </c>
      <c r="G109" s="3" t="b">
        <f ca="1">INDEX(dict_zul_Var_Meth[kval_active],MATCH(table_Methods[[#This Row],[ID]],dict_zul_Var_Meth[ID_Methods],0))</f>
        <v>0</v>
      </c>
      <c r="H109">
        <f t="shared" ca="1" si="14"/>
        <v>41130</v>
      </c>
      <c r="I109">
        <f t="shared" ca="1" si="15"/>
        <v>768</v>
      </c>
    </row>
    <row r="110" spans="1:9" x14ac:dyDescent="0.45">
      <c r="A110">
        <v>108</v>
      </c>
      <c r="B110" t="str">
        <f>CONCATENATE("Methode ",table_Methods[[#This Row],[ID]])</f>
        <v>Methode 108</v>
      </c>
      <c r="C110">
        <f t="shared" ca="1" si="10"/>
        <v>5900</v>
      </c>
      <c r="D110">
        <f t="shared" ca="1" si="11"/>
        <v>3.94</v>
      </c>
      <c r="E110">
        <f t="shared" ca="1" si="12"/>
        <v>20</v>
      </c>
      <c r="F110">
        <f t="shared" ca="1" si="13"/>
        <v>700</v>
      </c>
      <c r="G110" s="3" t="b">
        <f ca="1">INDEX(dict_zul_Var_Meth[kval_active],MATCH(table_Methods[[#This Row],[ID]],dict_zul_Var_Meth[ID_Methods],0))</f>
        <v>1</v>
      </c>
      <c r="H110">
        <f t="shared" ca="1" si="14"/>
        <v>2388</v>
      </c>
      <c r="I110">
        <f t="shared" ca="1" si="15"/>
        <v>4224</v>
      </c>
    </row>
    <row r="111" spans="1:9" x14ac:dyDescent="0.45">
      <c r="A111">
        <v>109</v>
      </c>
      <c r="B111" t="str">
        <f>CONCATENATE("Methode ",table_Methods[[#This Row],[ID]])</f>
        <v>Methode 109</v>
      </c>
      <c r="C111">
        <f t="shared" ca="1" si="10"/>
        <v>340</v>
      </c>
      <c r="D111">
        <f t="shared" ca="1" si="11"/>
        <v>1.47</v>
      </c>
      <c r="E111">
        <f t="shared" ca="1" si="12"/>
        <v>-50</v>
      </c>
      <c r="F111">
        <f t="shared" ca="1" si="13"/>
        <v>130</v>
      </c>
      <c r="G111" s="3" t="b">
        <f ca="1">INDEX(dict_zul_Var_Meth[kval_active],MATCH(table_Methods[[#This Row],[ID]],dict_zul_Var_Meth[ID_Methods],0))</f>
        <v>0</v>
      </c>
      <c r="H111">
        <f t="shared" ca="1" si="14"/>
        <v>1264</v>
      </c>
      <c r="I111">
        <f t="shared" ca="1" si="15"/>
        <v>31232</v>
      </c>
    </row>
    <row r="112" spans="1:9" x14ac:dyDescent="0.45">
      <c r="A112">
        <v>110</v>
      </c>
      <c r="B112" t="str">
        <f>CONCATENATE("Methode ",table_Methods[[#This Row],[ID]])</f>
        <v>Methode 110</v>
      </c>
      <c r="C112">
        <f t="shared" ca="1" si="10"/>
        <v>7800</v>
      </c>
      <c r="D112">
        <f t="shared" ca="1" si="11"/>
        <v>2.0099999999999998</v>
      </c>
      <c r="E112">
        <f t="shared" ca="1" si="12"/>
        <v>-90</v>
      </c>
      <c r="F112">
        <f t="shared" ca="1" si="13"/>
        <v>110</v>
      </c>
      <c r="G112" s="3" t="b">
        <f ca="1">INDEX(dict_zul_Var_Meth[kval_active],MATCH(table_Methods[[#This Row],[ID]],dict_zul_Var_Meth[ID_Methods],0))</f>
        <v>0</v>
      </c>
      <c r="H112">
        <f t="shared" ca="1" si="14"/>
        <v>1572</v>
      </c>
      <c r="I112">
        <f t="shared" ca="1" si="15"/>
        <v>1536</v>
      </c>
    </row>
    <row r="113" spans="1:9" x14ac:dyDescent="0.45">
      <c r="A113">
        <v>111</v>
      </c>
      <c r="B113" t="str">
        <f>CONCATENATE("Methode ",table_Methods[[#This Row],[ID]])</f>
        <v>Methode 111</v>
      </c>
      <c r="C113">
        <f t="shared" ca="1" si="10"/>
        <v>5400</v>
      </c>
      <c r="D113">
        <f t="shared" ca="1" si="11"/>
        <v>9.35</v>
      </c>
      <c r="E113">
        <f t="shared" ca="1" si="12"/>
        <v>-100</v>
      </c>
      <c r="F113">
        <f t="shared" ca="1" si="13"/>
        <v>880</v>
      </c>
      <c r="G113" s="3" t="b">
        <f ca="1">INDEX(dict_zul_Var_Meth[kval_active],MATCH(table_Methods[[#This Row],[ID]],dict_zul_Var_Meth[ID_Methods],0))</f>
        <v>0</v>
      </c>
      <c r="H113">
        <f t="shared" ca="1" si="14"/>
        <v>15210</v>
      </c>
      <c r="I113">
        <f t="shared" ca="1" si="15"/>
        <v>17408</v>
      </c>
    </row>
    <row r="114" spans="1:9" x14ac:dyDescent="0.45">
      <c r="A114">
        <v>112</v>
      </c>
      <c r="B114" t="str">
        <f>CONCATENATE("Methode ",table_Methods[[#This Row],[ID]])</f>
        <v>Methode 112</v>
      </c>
      <c r="C114">
        <f t="shared" ca="1" si="10"/>
        <v>830</v>
      </c>
      <c r="D114">
        <f t="shared" ca="1" si="11"/>
        <v>4.26</v>
      </c>
      <c r="E114">
        <f t="shared" ca="1" si="12"/>
        <v>-60</v>
      </c>
      <c r="F114">
        <f t="shared" ca="1" si="13"/>
        <v>550</v>
      </c>
      <c r="G114" s="3" t="b">
        <f ca="1">INDEX(dict_zul_Var_Meth[kval_active],MATCH(table_Methods[[#This Row],[ID]],dict_zul_Var_Meth[ID_Methods],0))</f>
        <v>0</v>
      </c>
      <c r="H114">
        <f t="shared" ca="1" si="14"/>
        <v>20020</v>
      </c>
      <c r="I114">
        <f t="shared" ca="1" si="15"/>
        <v>2048</v>
      </c>
    </row>
    <row r="115" spans="1:9" x14ac:dyDescent="0.45">
      <c r="A115">
        <v>113</v>
      </c>
      <c r="B115" t="str">
        <f>CONCATENATE("Methode ",table_Methods[[#This Row],[ID]])</f>
        <v>Methode 113</v>
      </c>
      <c r="C115">
        <f t="shared" ca="1" si="10"/>
        <v>4000</v>
      </c>
      <c r="D115">
        <f t="shared" ca="1" si="11"/>
        <v>6.1</v>
      </c>
      <c r="E115">
        <f t="shared" ca="1" si="12"/>
        <v>-60</v>
      </c>
      <c r="F115">
        <f t="shared" ca="1" si="13"/>
        <v>400</v>
      </c>
      <c r="G115" s="3" t="b">
        <f ca="1">INDEX(dict_zul_Var_Meth[kval_active],MATCH(table_Methods[[#This Row],[ID]],dict_zul_Var_Meth[ID_Methods],0))</f>
        <v>0</v>
      </c>
      <c r="H115">
        <f t="shared" ca="1" si="14"/>
        <v>37962</v>
      </c>
      <c r="I115">
        <f t="shared" ca="1" si="15"/>
        <v>60</v>
      </c>
    </row>
    <row r="116" spans="1:9" x14ac:dyDescent="0.45">
      <c r="A116">
        <v>114</v>
      </c>
      <c r="B116" t="str">
        <f>CONCATENATE("Methode ",table_Methods[[#This Row],[ID]])</f>
        <v>Methode 114</v>
      </c>
      <c r="C116">
        <f t="shared" ca="1" si="10"/>
        <v>1600</v>
      </c>
      <c r="D116">
        <f t="shared" ca="1" si="11"/>
        <v>2.02</v>
      </c>
      <c r="E116">
        <f t="shared" ca="1" si="12"/>
        <v>-30</v>
      </c>
      <c r="F116">
        <f t="shared" ca="1" si="13"/>
        <v>940</v>
      </c>
      <c r="G116" s="3" t="b">
        <f ca="1">INDEX(dict_zul_Var_Meth[kval_active],MATCH(table_Methods[[#This Row],[ID]],dict_zul_Var_Meth[ID_Methods],0))</f>
        <v>0</v>
      </c>
      <c r="H116">
        <f t="shared" ca="1" si="14"/>
        <v>6856</v>
      </c>
      <c r="I116">
        <f t="shared" ca="1" si="15"/>
        <v>83968</v>
      </c>
    </row>
    <row r="117" spans="1:9" x14ac:dyDescent="0.45">
      <c r="A117">
        <v>115</v>
      </c>
      <c r="B117" t="str">
        <f>CONCATENATE("Methode ",table_Methods[[#This Row],[ID]])</f>
        <v>Methode 115</v>
      </c>
      <c r="C117">
        <f t="shared" ca="1" si="10"/>
        <v>10</v>
      </c>
      <c r="D117">
        <f t="shared" ca="1" si="11"/>
        <v>6.77</v>
      </c>
      <c r="E117">
        <f t="shared" ca="1" si="12"/>
        <v>10</v>
      </c>
      <c r="F117">
        <f t="shared" ca="1" si="13"/>
        <v>560</v>
      </c>
      <c r="G117" s="3" t="b">
        <f ca="1">INDEX(dict_zul_Var_Meth[kval_active],MATCH(table_Methods[[#This Row],[ID]],dict_zul_Var_Meth[ID_Methods],0))</f>
        <v>0</v>
      </c>
      <c r="H117">
        <f t="shared" ca="1" si="14"/>
        <v>8358</v>
      </c>
      <c r="I117">
        <f t="shared" ca="1" si="15"/>
        <v>1328</v>
      </c>
    </row>
    <row r="118" spans="1:9" x14ac:dyDescent="0.45">
      <c r="A118">
        <v>116</v>
      </c>
      <c r="B118" t="str">
        <f>CONCATENATE("Methode ",table_Methods[[#This Row],[ID]])</f>
        <v>Methode 116</v>
      </c>
      <c r="C118">
        <f t="shared" ca="1" si="10"/>
        <v>300</v>
      </c>
      <c r="D118">
        <f t="shared" ca="1" si="11"/>
        <v>6.14</v>
      </c>
      <c r="E118">
        <f t="shared" ca="1" si="12"/>
        <v>-70</v>
      </c>
      <c r="F118">
        <f t="shared" ca="1" si="13"/>
        <v>300</v>
      </c>
      <c r="G118" s="3" t="b">
        <f ca="1">INDEX(dict_zul_Var_Meth[kval_active],MATCH(table_Methods[[#This Row],[ID]],dict_zul_Var_Meth[ID_Methods],0))</f>
        <v>0</v>
      </c>
      <c r="H118">
        <f t="shared" ca="1" si="14"/>
        <v>3120</v>
      </c>
      <c r="I118">
        <f t="shared" ca="1" si="15"/>
        <v>16</v>
      </c>
    </row>
    <row r="119" spans="1:9" x14ac:dyDescent="0.45">
      <c r="A119">
        <v>117</v>
      </c>
      <c r="B119" t="str">
        <f>CONCATENATE("Methode ",table_Methods[[#This Row],[ID]])</f>
        <v>Methode 117</v>
      </c>
      <c r="C119">
        <f t="shared" ca="1" si="10"/>
        <v>940</v>
      </c>
      <c r="D119">
        <f t="shared" ca="1" si="11"/>
        <v>4.05</v>
      </c>
      <c r="E119">
        <f t="shared" ca="1" si="12"/>
        <v>-100</v>
      </c>
      <c r="F119">
        <f t="shared" ca="1" si="13"/>
        <v>830</v>
      </c>
      <c r="G119" s="3" t="b">
        <f ca="1">INDEX(dict_zul_Var_Meth[kval_active],MATCH(table_Methods[[#This Row],[ID]],dict_zul_Var_Meth[ID_Methods],0))</f>
        <v>0</v>
      </c>
      <c r="H119">
        <f t="shared" ca="1" si="14"/>
        <v>2217</v>
      </c>
      <c r="I119">
        <f t="shared" ca="1" si="15"/>
        <v>576</v>
      </c>
    </row>
    <row r="120" spans="1:9" x14ac:dyDescent="0.45">
      <c r="A120">
        <v>118</v>
      </c>
      <c r="B120" t="str">
        <f>CONCATENATE("Methode ",table_Methods[[#This Row],[ID]])</f>
        <v>Methode 118</v>
      </c>
      <c r="C120">
        <f t="shared" ca="1" si="10"/>
        <v>3500</v>
      </c>
      <c r="D120">
        <f t="shared" ca="1" si="11"/>
        <v>7.37</v>
      </c>
      <c r="E120">
        <f t="shared" ca="1" si="12"/>
        <v>-90</v>
      </c>
      <c r="F120">
        <f t="shared" ca="1" si="13"/>
        <v>570</v>
      </c>
      <c r="G120" s="3" t="b">
        <f ca="1">INDEX(dict_zul_Var_Meth[kval_active],MATCH(table_Methods[[#This Row],[ID]],dict_zul_Var_Meth[ID_Methods],0))</f>
        <v>0</v>
      </c>
      <c r="H120">
        <f t="shared" ca="1" si="14"/>
        <v>1841</v>
      </c>
      <c r="I120">
        <f t="shared" ca="1" si="15"/>
        <v>150</v>
      </c>
    </row>
    <row r="121" spans="1:9" x14ac:dyDescent="0.45">
      <c r="A121">
        <v>119</v>
      </c>
      <c r="B121" t="str">
        <f>CONCATENATE("Methode ",table_Methods[[#This Row],[ID]])</f>
        <v>Methode 119</v>
      </c>
      <c r="C121">
        <f t="shared" ca="1" si="10"/>
        <v>90</v>
      </c>
      <c r="D121">
        <f t="shared" ca="1" si="11"/>
        <v>9.6</v>
      </c>
      <c r="E121">
        <f t="shared" ca="1" si="12"/>
        <v>-60</v>
      </c>
      <c r="F121">
        <f t="shared" ca="1" si="13"/>
        <v>730</v>
      </c>
      <c r="G121" s="3" t="b">
        <f ca="1">INDEX(dict_zul_Var_Meth[kval_active],MATCH(table_Methods[[#This Row],[ID]],dict_zul_Var_Meth[ID_Methods],0))</f>
        <v>0</v>
      </c>
      <c r="H121">
        <f t="shared" ca="1" si="14"/>
        <v>19548</v>
      </c>
      <c r="I121">
        <f t="shared" ca="1" si="15"/>
        <v>49152</v>
      </c>
    </row>
    <row r="122" spans="1:9" x14ac:dyDescent="0.45">
      <c r="A122">
        <v>120</v>
      </c>
      <c r="B122" t="str">
        <f>CONCATENATE("Methode ",table_Methods[[#This Row],[ID]])</f>
        <v>Methode 120</v>
      </c>
      <c r="C122">
        <f t="shared" ca="1" si="10"/>
        <v>460</v>
      </c>
      <c r="D122">
        <f t="shared" ca="1" si="11"/>
        <v>4.18</v>
      </c>
      <c r="E122">
        <f t="shared" ca="1" si="12"/>
        <v>-70</v>
      </c>
      <c r="F122">
        <f t="shared" ca="1" si="13"/>
        <v>760</v>
      </c>
      <c r="G122" s="3" t="b">
        <f ca="1">INDEX(dict_zul_Var_Meth[kval_active],MATCH(table_Methods[[#This Row],[ID]],dict_zul_Var_Meth[ID_Methods],0))</f>
        <v>0</v>
      </c>
      <c r="H122">
        <f t="shared" ca="1" si="14"/>
        <v>15084</v>
      </c>
      <c r="I122">
        <f t="shared" ca="1" si="15"/>
        <v>76</v>
      </c>
    </row>
    <row r="123" spans="1:9" x14ac:dyDescent="0.45">
      <c r="A123">
        <v>121</v>
      </c>
      <c r="B123" t="str">
        <f>CONCATENATE("Methode ",table_Methods[[#This Row],[ID]])</f>
        <v>Methode 121</v>
      </c>
      <c r="C123">
        <f t="shared" ca="1" si="10"/>
        <v>2300</v>
      </c>
      <c r="D123">
        <f t="shared" ca="1" si="11"/>
        <v>7.2</v>
      </c>
      <c r="E123">
        <f t="shared" ca="1" si="12"/>
        <v>0</v>
      </c>
      <c r="F123">
        <f t="shared" ca="1" si="13"/>
        <v>40</v>
      </c>
      <c r="G123" s="3" t="b">
        <f ca="1">INDEX(dict_zul_Var_Meth[kval_active],MATCH(table_Methods[[#This Row],[ID]],dict_zul_Var_Meth[ID_Methods],0))</f>
        <v>0</v>
      </c>
      <c r="H123">
        <f t="shared" ca="1" si="14"/>
        <v>17731</v>
      </c>
      <c r="I123">
        <f t="shared" ca="1" si="15"/>
        <v>15360</v>
      </c>
    </row>
    <row r="124" spans="1:9" x14ac:dyDescent="0.45">
      <c r="A124">
        <v>122</v>
      </c>
      <c r="B124" t="str">
        <f>CONCATENATE("Methode ",table_Methods[[#This Row],[ID]])</f>
        <v>Methode 122</v>
      </c>
      <c r="C124">
        <f t="shared" ca="1" si="10"/>
        <v>6.0000000000000009</v>
      </c>
      <c r="D124">
        <f t="shared" ca="1" si="11"/>
        <v>4.03</v>
      </c>
      <c r="E124">
        <f t="shared" ca="1" si="12"/>
        <v>10</v>
      </c>
      <c r="F124">
        <f t="shared" ca="1" si="13"/>
        <v>140</v>
      </c>
      <c r="G124" s="3" t="b">
        <f ca="1">INDEX(dict_zul_Var_Meth[kval_active],MATCH(table_Methods[[#This Row],[ID]],dict_zul_Var_Meth[ID_Methods],0))</f>
        <v>0</v>
      </c>
      <c r="H124">
        <f t="shared" ca="1" si="14"/>
        <v>4896</v>
      </c>
      <c r="I124">
        <f t="shared" ca="1" si="15"/>
        <v>4160</v>
      </c>
    </row>
    <row r="125" spans="1:9" x14ac:dyDescent="0.45">
      <c r="A125">
        <v>123</v>
      </c>
      <c r="B125" t="str">
        <f>CONCATENATE("Methode ",table_Methods[[#This Row],[ID]])</f>
        <v>Methode 123</v>
      </c>
      <c r="C125">
        <f t="shared" ca="1" si="10"/>
        <v>350</v>
      </c>
      <c r="D125">
        <f t="shared" ca="1" si="11"/>
        <v>4.09</v>
      </c>
      <c r="E125">
        <f t="shared" ca="1" si="12"/>
        <v>-90</v>
      </c>
      <c r="F125">
        <f t="shared" ca="1" si="13"/>
        <v>450</v>
      </c>
      <c r="G125" s="3" t="b">
        <f ca="1">INDEX(dict_zul_Var_Meth[kval_active],MATCH(table_Methods[[#This Row],[ID]],dict_zul_Var_Meth[ID_Methods],0))</f>
        <v>0</v>
      </c>
      <c r="H125">
        <f t="shared" ca="1" si="14"/>
        <v>123</v>
      </c>
      <c r="I125">
        <f t="shared" ca="1" si="15"/>
        <v>160</v>
      </c>
    </row>
    <row r="126" spans="1:9" x14ac:dyDescent="0.45">
      <c r="A126">
        <v>124</v>
      </c>
      <c r="B126" t="str">
        <f>CONCATENATE("Methode ",table_Methods[[#This Row],[ID]])</f>
        <v>Methode 124</v>
      </c>
      <c r="C126">
        <f t="shared" ca="1" si="10"/>
        <v>10</v>
      </c>
      <c r="D126">
        <f t="shared" ca="1" si="11"/>
        <v>7.73</v>
      </c>
      <c r="E126">
        <f t="shared" ca="1" si="12"/>
        <v>-60</v>
      </c>
      <c r="F126">
        <f t="shared" ca="1" si="13"/>
        <v>180</v>
      </c>
      <c r="G126" s="3" t="b">
        <f ca="1">INDEX(dict_zul_Var_Meth[kval_active],MATCH(table_Methods[[#This Row],[ID]],dict_zul_Var_Meth[ID_Methods],0))</f>
        <v>0</v>
      </c>
      <c r="H126">
        <f t="shared" ca="1" si="14"/>
        <v>1193</v>
      </c>
      <c r="I126">
        <f t="shared" ca="1" si="15"/>
        <v>192</v>
      </c>
    </row>
    <row r="127" spans="1:9" x14ac:dyDescent="0.45">
      <c r="A127">
        <v>125</v>
      </c>
      <c r="B127" t="str">
        <f>CONCATENATE("Methode ",table_Methods[[#This Row],[ID]])</f>
        <v>Methode 125</v>
      </c>
      <c r="C127">
        <f t="shared" ca="1" si="10"/>
        <v>5600</v>
      </c>
      <c r="D127">
        <f t="shared" ca="1" si="11"/>
        <v>3.18</v>
      </c>
      <c r="E127">
        <f t="shared" ca="1" si="12"/>
        <v>-30</v>
      </c>
      <c r="F127">
        <f t="shared" ca="1" si="13"/>
        <v>360</v>
      </c>
      <c r="G127" s="3" t="b">
        <f ca="1">INDEX(dict_zul_Var_Meth[kval_active],MATCH(table_Methods[[#This Row],[ID]],dict_zul_Var_Meth[ID_Methods],0))</f>
        <v>0</v>
      </c>
      <c r="H127">
        <f t="shared" ca="1" si="14"/>
        <v>6818</v>
      </c>
      <c r="I127">
        <f t="shared" ca="1" si="15"/>
        <v>88</v>
      </c>
    </row>
    <row r="128" spans="1:9" x14ac:dyDescent="0.45">
      <c r="A128">
        <v>126</v>
      </c>
      <c r="B128" t="str">
        <f>CONCATENATE("Methode ",table_Methods[[#This Row],[ID]])</f>
        <v>Methode 126</v>
      </c>
      <c r="C128">
        <f t="shared" ca="1" si="10"/>
        <v>750</v>
      </c>
      <c r="D128">
        <f t="shared" ca="1" si="11"/>
        <v>2.58</v>
      </c>
      <c r="E128">
        <f t="shared" ca="1" si="12"/>
        <v>30</v>
      </c>
      <c r="F128">
        <f t="shared" ca="1" si="13"/>
        <v>270</v>
      </c>
      <c r="G128" s="3" t="b">
        <f ca="1">INDEX(dict_zul_Var_Meth[kval_active],MATCH(table_Methods[[#This Row],[ID]],dict_zul_Var_Meth[ID_Methods],0))</f>
        <v>0</v>
      </c>
      <c r="H128">
        <f t="shared" ca="1" si="14"/>
        <v>26950</v>
      </c>
      <c r="I128">
        <f t="shared" ca="1" si="15"/>
        <v>1152</v>
      </c>
    </row>
    <row r="129" spans="1:9" x14ac:dyDescent="0.45">
      <c r="A129">
        <v>127</v>
      </c>
      <c r="B129" t="str">
        <f>CONCATENATE("Methode ",table_Methods[[#This Row],[ID]])</f>
        <v>Methode 127</v>
      </c>
      <c r="C129">
        <f t="shared" ca="1" si="10"/>
        <v>68</v>
      </c>
      <c r="D129">
        <f t="shared" ca="1" si="11"/>
        <v>3.29</v>
      </c>
      <c r="E129">
        <f t="shared" ca="1" si="12"/>
        <v>30</v>
      </c>
      <c r="F129">
        <f t="shared" ca="1" si="13"/>
        <v>900</v>
      </c>
      <c r="G129" s="3" t="b">
        <f ca="1">INDEX(dict_zul_Var_Meth[kval_active],MATCH(table_Methods[[#This Row],[ID]],dict_zul_Var_Meth[ID_Methods],0))</f>
        <v>0</v>
      </c>
      <c r="H129">
        <f t="shared" ca="1" si="14"/>
        <v>3455</v>
      </c>
      <c r="I129">
        <f t="shared" ca="1" si="15"/>
        <v>74</v>
      </c>
    </row>
    <row r="130" spans="1:9" x14ac:dyDescent="0.45">
      <c r="A130">
        <v>128</v>
      </c>
      <c r="B130" t="str">
        <f>CONCATENATE("Methode ",table_Methods[[#This Row],[ID]])</f>
        <v>Methode 128</v>
      </c>
      <c r="C130">
        <f t="shared" ref="C130:C193" ca="1" si="16">10^(RANDBETWEEN(-1,1))*RANDBETWEEN(1,100)*10</f>
        <v>940</v>
      </c>
      <c r="D130">
        <f t="shared" ca="1" si="11"/>
        <v>3.24</v>
      </c>
      <c r="E130">
        <f t="shared" ca="1" si="12"/>
        <v>-100</v>
      </c>
      <c r="F130">
        <f t="shared" ca="1" si="13"/>
        <v>120</v>
      </c>
      <c r="G130" s="3" t="b">
        <f ca="1">INDEX(dict_zul_Var_Meth[kval_active],MATCH(table_Methods[[#This Row],[ID]],dict_zul_Var_Meth[ID_Methods],0))</f>
        <v>0</v>
      </c>
      <c r="H130">
        <f t="shared" ca="1" si="14"/>
        <v>5956</v>
      </c>
      <c r="I130">
        <f t="shared" ca="1" si="15"/>
        <v>8960</v>
      </c>
    </row>
    <row r="131" spans="1:9" x14ac:dyDescent="0.45">
      <c r="A131">
        <v>129</v>
      </c>
      <c r="B131" t="str">
        <f>CONCATENATE("Methode ",table_Methods[[#This Row],[ID]])</f>
        <v>Methode 129</v>
      </c>
      <c r="C131">
        <f t="shared" ca="1" si="16"/>
        <v>4100</v>
      </c>
      <c r="D131">
        <f t="shared" ref="D131:D194" ca="1" si="17">RANDBETWEEN(10,1000)/(100)</f>
        <v>9.42</v>
      </c>
      <c r="E131">
        <f t="shared" ca="1" si="12"/>
        <v>-20</v>
      </c>
      <c r="F131">
        <f t="shared" ca="1" si="13"/>
        <v>720</v>
      </c>
      <c r="G131" s="3" t="b">
        <f ca="1">INDEX(dict_zul_Var_Meth[kval_active],MATCH(table_Methods[[#This Row],[ID]],dict_zul_Var_Meth[ID_Methods],0))</f>
        <v>0</v>
      </c>
      <c r="H131">
        <f t="shared" ca="1" si="14"/>
        <v>1060</v>
      </c>
      <c r="I131">
        <f t="shared" ca="1" si="15"/>
        <v>11008</v>
      </c>
    </row>
    <row r="132" spans="1:9" x14ac:dyDescent="0.45">
      <c r="A132">
        <v>130</v>
      </c>
      <c r="B132" t="str">
        <f>CONCATENATE("Methode ",table_Methods[[#This Row],[ID]])</f>
        <v>Methode 130</v>
      </c>
      <c r="C132">
        <f t="shared" ca="1" si="16"/>
        <v>3800</v>
      </c>
      <c r="D132">
        <f t="shared" ca="1" si="17"/>
        <v>6.63</v>
      </c>
      <c r="E132">
        <f t="shared" ca="1" si="12"/>
        <v>-90</v>
      </c>
      <c r="F132">
        <f t="shared" ca="1" si="13"/>
        <v>140</v>
      </c>
      <c r="G132" s="3" t="b">
        <f ca="1">INDEX(dict_zul_Var_Meth[kval_active],MATCH(table_Methods[[#This Row],[ID]],dict_zul_Var_Meth[ID_Methods],0))</f>
        <v>0</v>
      </c>
      <c r="H132">
        <f t="shared" ca="1" si="14"/>
        <v>6804</v>
      </c>
      <c r="I132">
        <f t="shared" ca="1" si="15"/>
        <v>22784</v>
      </c>
    </row>
    <row r="133" spans="1:9" x14ac:dyDescent="0.45">
      <c r="A133">
        <v>131</v>
      </c>
      <c r="B133" t="str">
        <f>CONCATENATE("Methode ",table_Methods[[#This Row],[ID]])</f>
        <v>Methode 131</v>
      </c>
      <c r="C133">
        <f t="shared" ca="1" si="16"/>
        <v>690</v>
      </c>
      <c r="D133">
        <f t="shared" ca="1" si="17"/>
        <v>9.0399999999999991</v>
      </c>
      <c r="E133">
        <f t="shared" ca="1" si="12"/>
        <v>-10</v>
      </c>
      <c r="F133">
        <f t="shared" ca="1" si="13"/>
        <v>340</v>
      </c>
      <c r="G133" s="3" t="b">
        <f ca="1">INDEX(dict_zul_Var_Meth[kval_active],MATCH(table_Methods[[#This Row],[ID]],dict_zul_Var_Meth[ID_Methods],0))</f>
        <v>0</v>
      </c>
      <c r="H133">
        <f t="shared" ca="1" si="14"/>
        <v>7520</v>
      </c>
      <c r="I133">
        <f t="shared" ca="1" si="15"/>
        <v>15104</v>
      </c>
    </row>
    <row r="134" spans="1:9" x14ac:dyDescent="0.45">
      <c r="A134">
        <v>132</v>
      </c>
      <c r="B134" t="str">
        <f>CONCATENATE("Methode ",table_Methods[[#This Row],[ID]])</f>
        <v>Methode 132</v>
      </c>
      <c r="C134">
        <f t="shared" ca="1" si="16"/>
        <v>17</v>
      </c>
      <c r="D134">
        <f t="shared" ca="1" si="17"/>
        <v>0.83</v>
      </c>
      <c r="E134">
        <f t="shared" ca="1" si="12"/>
        <v>0</v>
      </c>
      <c r="F134">
        <f t="shared" ca="1" si="13"/>
        <v>930</v>
      </c>
      <c r="G134" s="3" t="b">
        <f ca="1">INDEX(dict_zul_Var_Meth[kval_active],MATCH(table_Methods[[#This Row],[ID]],dict_zul_Var_Meth[ID_Methods],0))</f>
        <v>0</v>
      </c>
      <c r="H134">
        <f t="shared" ca="1" si="14"/>
        <v>15655</v>
      </c>
      <c r="I134">
        <f t="shared" ca="1" si="15"/>
        <v>752</v>
      </c>
    </row>
    <row r="135" spans="1:9" x14ac:dyDescent="0.45">
      <c r="A135">
        <v>133</v>
      </c>
      <c r="B135" t="str">
        <f>CONCATENATE("Methode ",table_Methods[[#This Row],[ID]])</f>
        <v>Methode 133</v>
      </c>
      <c r="C135">
        <f t="shared" ca="1" si="16"/>
        <v>58.000000000000007</v>
      </c>
      <c r="D135">
        <f t="shared" ca="1" si="17"/>
        <v>9.51</v>
      </c>
      <c r="E135">
        <f t="shared" ca="1" si="12"/>
        <v>-20</v>
      </c>
      <c r="F135">
        <f t="shared" ca="1" si="13"/>
        <v>20</v>
      </c>
      <c r="G135" s="3" t="b">
        <f ca="1">INDEX(dict_zul_Var_Meth[kval_active],MATCH(table_Methods[[#This Row],[ID]],dict_zul_Var_Meth[ID_Methods],0))</f>
        <v>0</v>
      </c>
      <c r="H135">
        <f t="shared" ca="1" si="14"/>
        <v>3174</v>
      </c>
      <c r="I135">
        <f t="shared" ca="1" si="15"/>
        <v>40448</v>
      </c>
    </row>
    <row r="136" spans="1:9" x14ac:dyDescent="0.45">
      <c r="A136">
        <v>134</v>
      </c>
      <c r="B136" t="str">
        <f>CONCATENATE("Methode ",table_Methods[[#This Row],[ID]])</f>
        <v>Methode 134</v>
      </c>
      <c r="C136">
        <f t="shared" ca="1" si="16"/>
        <v>30</v>
      </c>
      <c r="D136">
        <f t="shared" ca="1" si="17"/>
        <v>4.78</v>
      </c>
      <c r="E136">
        <f t="shared" ca="1" si="12"/>
        <v>-80</v>
      </c>
      <c r="F136">
        <f t="shared" ca="1" si="13"/>
        <v>410</v>
      </c>
      <c r="G136" s="3" t="b">
        <f ca="1">INDEX(dict_zul_Var_Meth[kval_active],MATCH(table_Methods[[#This Row],[ID]],dict_zul_Var_Meth[ID_Methods],0))</f>
        <v>0</v>
      </c>
      <c r="H136">
        <f t="shared" ca="1" si="14"/>
        <v>17580</v>
      </c>
      <c r="I136">
        <f t="shared" ca="1" si="15"/>
        <v>5632</v>
      </c>
    </row>
    <row r="137" spans="1:9" x14ac:dyDescent="0.45">
      <c r="A137">
        <v>135</v>
      </c>
      <c r="B137" t="str">
        <f>CONCATENATE("Methode ",table_Methods[[#This Row],[ID]])</f>
        <v>Methode 135</v>
      </c>
      <c r="C137">
        <f t="shared" ca="1" si="16"/>
        <v>750</v>
      </c>
      <c r="D137">
        <f t="shared" ca="1" si="17"/>
        <v>5.14</v>
      </c>
      <c r="E137">
        <f t="shared" ca="1" si="12"/>
        <v>-40</v>
      </c>
      <c r="F137">
        <f t="shared" ca="1" si="13"/>
        <v>530</v>
      </c>
      <c r="G137" s="3" t="b">
        <f ca="1">INDEX(dict_zul_Var_Meth[kval_active],MATCH(table_Methods[[#This Row],[ID]],dict_zul_Var_Meth[ID_Methods],0))</f>
        <v>0</v>
      </c>
      <c r="H137">
        <f t="shared" ca="1" si="14"/>
        <v>7820</v>
      </c>
      <c r="I137">
        <f t="shared" ca="1" si="15"/>
        <v>10880</v>
      </c>
    </row>
    <row r="138" spans="1:9" x14ac:dyDescent="0.45">
      <c r="A138">
        <v>136</v>
      </c>
      <c r="B138" t="str">
        <f>CONCATENATE("Methode ",table_Methods[[#This Row],[ID]])</f>
        <v>Methode 136</v>
      </c>
      <c r="C138">
        <f t="shared" ca="1" si="16"/>
        <v>74</v>
      </c>
      <c r="D138">
        <f t="shared" ca="1" si="17"/>
        <v>4.0599999999999996</v>
      </c>
      <c r="E138">
        <f t="shared" ca="1" si="12"/>
        <v>30</v>
      </c>
      <c r="F138">
        <f t="shared" ca="1" si="13"/>
        <v>740</v>
      </c>
      <c r="G138" s="3" t="b">
        <f ca="1">INDEX(dict_zul_Var_Meth[kval_active],MATCH(table_Methods[[#This Row],[ID]],dict_zul_Var_Meth[ID_Methods],0))</f>
        <v>0</v>
      </c>
      <c r="H138">
        <f t="shared" ca="1" si="14"/>
        <v>27135</v>
      </c>
      <c r="I138">
        <f t="shared" ca="1" si="15"/>
        <v>76</v>
      </c>
    </row>
    <row r="139" spans="1:9" x14ac:dyDescent="0.45">
      <c r="A139">
        <v>137</v>
      </c>
      <c r="B139" t="str">
        <f>CONCATENATE("Methode ",table_Methods[[#This Row],[ID]])</f>
        <v>Methode 137</v>
      </c>
      <c r="C139">
        <f t="shared" ca="1" si="16"/>
        <v>990</v>
      </c>
      <c r="D139">
        <f t="shared" ca="1" si="17"/>
        <v>7.12</v>
      </c>
      <c r="E139">
        <f t="shared" ca="1" si="12"/>
        <v>-70</v>
      </c>
      <c r="F139">
        <f t="shared" ca="1" si="13"/>
        <v>660</v>
      </c>
      <c r="G139" s="3" t="b">
        <f ca="1">INDEX(dict_zul_Var_Meth[kval_active],MATCH(table_Methods[[#This Row],[ID]],dict_zul_Var_Meth[ID_Methods],0))</f>
        <v>0</v>
      </c>
      <c r="H139">
        <f t="shared" ca="1" si="14"/>
        <v>1240</v>
      </c>
      <c r="I139">
        <f t="shared" ca="1" si="15"/>
        <v>23296</v>
      </c>
    </row>
    <row r="140" spans="1:9" x14ac:dyDescent="0.45">
      <c r="A140">
        <v>138</v>
      </c>
      <c r="B140" t="str">
        <f>CONCATENATE("Methode ",table_Methods[[#This Row],[ID]])</f>
        <v>Methode 138</v>
      </c>
      <c r="C140">
        <f t="shared" ca="1" si="16"/>
        <v>7300</v>
      </c>
      <c r="D140">
        <f t="shared" ca="1" si="17"/>
        <v>5.75</v>
      </c>
      <c r="E140">
        <f t="shared" ca="1" si="12"/>
        <v>-100</v>
      </c>
      <c r="F140">
        <f t="shared" ca="1" si="13"/>
        <v>250</v>
      </c>
      <c r="G140" s="3" t="b">
        <f ca="1">INDEX(dict_zul_Var_Meth[kval_active],MATCH(table_Methods[[#This Row],[ID]],dict_zul_Var_Meth[ID_Methods],0))</f>
        <v>0</v>
      </c>
      <c r="H140">
        <f t="shared" ca="1" si="14"/>
        <v>15056</v>
      </c>
      <c r="I140">
        <f t="shared" ca="1" si="15"/>
        <v>19456</v>
      </c>
    </row>
    <row r="141" spans="1:9" x14ac:dyDescent="0.45">
      <c r="A141">
        <v>139</v>
      </c>
      <c r="B141" t="str">
        <f>CONCATENATE("Methode ",table_Methods[[#This Row],[ID]])</f>
        <v>Methode 139</v>
      </c>
      <c r="C141">
        <f t="shared" ca="1" si="16"/>
        <v>93</v>
      </c>
      <c r="D141">
        <f t="shared" ca="1" si="17"/>
        <v>6.01</v>
      </c>
      <c r="E141">
        <f t="shared" ca="1" si="12"/>
        <v>20</v>
      </c>
      <c r="F141">
        <f t="shared" ca="1" si="13"/>
        <v>970</v>
      </c>
      <c r="G141" s="3" t="b">
        <f ca="1">INDEX(dict_zul_Var_Meth[kval_active],MATCH(table_Methods[[#This Row],[ID]],dict_zul_Var_Meth[ID_Methods],0))</f>
        <v>0</v>
      </c>
      <c r="H141">
        <f t="shared" ca="1" si="14"/>
        <v>2805</v>
      </c>
      <c r="I141">
        <f t="shared" ca="1" si="15"/>
        <v>52</v>
      </c>
    </row>
    <row r="142" spans="1:9" x14ac:dyDescent="0.45">
      <c r="A142">
        <v>140</v>
      </c>
      <c r="B142" t="str">
        <f>CONCATENATE("Methode ",table_Methods[[#This Row],[ID]])</f>
        <v>Methode 140</v>
      </c>
      <c r="C142">
        <f t="shared" ca="1" si="16"/>
        <v>300</v>
      </c>
      <c r="D142">
        <f t="shared" ca="1" si="17"/>
        <v>9.1</v>
      </c>
      <c r="E142">
        <f t="shared" ca="1" si="12"/>
        <v>-70</v>
      </c>
      <c r="F142">
        <f t="shared" ca="1" si="13"/>
        <v>830</v>
      </c>
      <c r="G142" s="3" t="b">
        <f ca="1">INDEX(dict_zul_Var_Meth[kval_active],MATCH(table_Methods[[#This Row],[ID]],dict_zul_Var_Meth[ID_Methods],0))</f>
        <v>0</v>
      </c>
      <c r="H142">
        <f t="shared" ca="1" si="14"/>
        <v>27924</v>
      </c>
      <c r="I142">
        <f t="shared" ca="1" si="15"/>
        <v>152</v>
      </c>
    </row>
    <row r="143" spans="1:9" x14ac:dyDescent="0.45">
      <c r="A143">
        <v>141</v>
      </c>
      <c r="B143" t="str">
        <f>CONCATENATE("Methode ",table_Methods[[#This Row],[ID]])</f>
        <v>Methode 141</v>
      </c>
      <c r="C143">
        <f t="shared" ca="1" si="16"/>
        <v>85</v>
      </c>
      <c r="D143">
        <f t="shared" ca="1" si="17"/>
        <v>6.14</v>
      </c>
      <c r="E143">
        <f t="shared" ca="1" si="12"/>
        <v>-20</v>
      </c>
      <c r="F143">
        <f t="shared" ca="1" si="13"/>
        <v>670</v>
      </c>
      <c r="G143" s="3" t="b">
        <f ca="1">INDEX(dict_zul_Var_Meth[kval_active],MATCH(table_Methods[[#This Row],[ID]],dict_zul_Var_Meth[ID_Methods],0))</f>
        <v>0</v>
      </c>
      <c r="H143">
        <f t="shared" ca="1" si="14"/>
        <v>33372</v>
      </c>
      <c r="I143">
        <f t="shared" ca="1" si="15"/>
        <v>2016</v>
      </c>
    </row>
    <row r="144" spans="1:9" x14ac:dyDescent="0.45">
      <c r="A144">
        <v>142</v>
      </c>
      <c r="B144" t="str">
        <f>CONCATENATE("Methode ",table_Methods[[#This Row],[ID]])</f>
        <v>Methode 142</v>
      </c>
      <c r="C144">
        <f t="shared" ca="1" si="16"/>
        <v>72</v>
      </c>
      <c r="D144">
        <f t="shared" ca="1" si="17"/>
        <v>7.19</v>
      </c>
      <c r="E144">
        <f t="shared" ca="1" si="12"/>
        <v>-30</v>
      </c>
      <c r="F144">
        <f t="shared" ca="1" si="13"/>
        <v>890</v>
      </c>
      <c r="G144" s="3" t="b">
        <f ca="1">INDEX(dict_zul_Var_Meth[kval_active],MATCH(table_Methods[[#This Row],[ID]],dict_zul_Var_Meth[ID_Methods],0))</f>
        <v>0</v>
      </c>
      <c r="H144">
        <f t="shared" ca="1" si="14"/>
        <v>17000</v>
      </c>
      <c r="I144">
        <f t="shared" ca="1" si="15"/>
        <v>268</v>
      </c>
    </row>
    <row r="145" spans="1:9" x14ac:dyDescent="0.45">
      <c r="A145">
        <v>143</v>
      </c>
      <c r="B145" t="str">
        <f>CONCATENATE("Methode ",table_Methods[[#This Row],[ID]])</f>
        <v>Methode 143</v>
      </c>
      <c r="C145">
        <f t="shared" ca="1" si="16"/>
        <v>240</v>
      </c>
      <c r="D145">
        <f t="shared" ca="1" si="17"/>
        <v>5.0599999999999996</v>
      </c>
      <c r="E145">
        <f t="shared" ca="1" si="12"/>
        <v>-30</v>
      </c>
      <c r="F145">
        <f t="shared" ca="1" si="13"/>
        <v>990</v>
      </c>
      <c r="G145" s="3" t="b">
        <f ca="1">INDEX(dict_zul_Var_Meth[kval_active],MATCH(table_Methods[[#This Row],[ID]],dict_zul_Var_Meth[ID_Methods],0))</f>
        <v>0</v>
      </c>
      <c r="H145">
        <f t="shared" ca="1" si="14"/>
        <v>2969</v>
      </c>
      <c r="I145">
        <f t="shared" ca="1" si="15"/>
        <v>180</v>
      </c>
    </row>
    <row r="146" spans="1:9" x14ac:dyDescent="0.45">
      <c r="A146">
        <v>144</v>
      </c>
      <c r="B146" t="str">
        <f>CONCATENATE("Methode ",table_Methods[[#This Row],[ID]])</f>
        <v>Methode 144</v>
      </c>
      <c r="C146">
        <f t="shared" ca="1" si="16"/>
        <v>10</v>
      </c>
      <c r="D146">
        <f t="shared" ca="1" si="17"/>
        <v>5.98</v>
      </c>
      <c r="E146">
        <f t="shared" ca="1" si="12"/>
        <v>-100</v>
      </c>
      <c r="F146">
        <f t="shared" ca="1" si="13"/>
        <v>120</v>
      </c>
      <c r="G146" s="3" t="b">
        <f ca="1">INDEX(dict_zul_Var_Meth[kval_active],MATCH(table_Methods[[#This Row],[ID]],dict_zul_Var_Meth[ID_Methods],0))</f>
        <v>0</v>
      </c>
      <c r="H146">
        <f t="shared" ca="1" si="14"/>
        <v>6164</v>
      </c>
      <c r="I146">
        <f t="shared" ca="1" si="15"/>
        <v>46080</v>
      </c>
    </row>
    <row r="147" spans="1:9" x14ac:dyDescent="0.45">
      <c r="A147">
        <v>145</v>
      </c>
      <c r="B147" t="str">
        <f>CONCATENATE("Methode ",table_Methods[[#This Row],[ID]])</f>
        <v>Methode 145</v>
      </c>
      <c r="C147">
        <f t="shared" ca="1" si="16"/>
        <v>120</v>
      </c>
      <c r="D147">
        <f t="shared" ca="1" si="17"/>
        <v>0.43</v>
      </c>
      <c r="E147">
        <f t="shared" ca="1" si="12"/>
        <v>-10</v>
      </c>
      <c r="F147">
        <f t="shared" ca="1" si="13"/>
        <v>60</v>
      </c>
      <c r="G147" s="3" t="b">
        <f ca="1">INDEX(dict_zul_Var_Meth[kval_active],MATCH(table_Methods[[#This Row],[ID]],dict_zul_Var_Meth[ID_Methods],0))</f>
        <v>0</v>
      </c>
      <c r="H147">
        <f t="shared" ca="1" si="14"/>
        <v>2880</v>
      </c>
      <c r="I147">
        <f t="shared" ca="1" si="15"/>
        <v>5248</v>
      </c>
    </row>
    <row r="148" spans="1:9" x14ac:dyDescent="0.45">
      <c r="A148">
        <v>146</v>
      </c>
      <c r="B148" t="str">
        <f>CONCATENATE("Methode ",table_Methods[[#This Row],[ID]])</f>
        <v>Methode 146</v>
      </c>
      <c r="C148">
        <f t="shared" ca="1" si="16"/>
        <v>9200</v>
      </c>
      <c r="D148">
        <f t="shared" ca="1" si="17"/>
        <v>6.5</v>
      </c>
      <c r="E148">
        <f t="shared" ca="1" si="12"/>
        <v>-70</v>
      </c>
      <c r="F148">
        <f t="shared" ca="1" si="13"/>
        <v>130</v>
      </c>
      <c r="G148" s="3" t="b">
        <f ca="1">INDEX(dict_zul_Var_Meth[kval_active],MATCH(table_Methods[[#This Row],[ID]],dict_zul_Var_Meth[ID_Methods],0))</f>
        <v>0</v>
      </c>
      <c r="H148">
        <f t="shared" ca="1" si="14"/>
        <v>8538</v>
      </c>
      <c r="I148">
        <f t="shared" ca="1" si="15"/>
        <v>6144</v>
      </c>
    </row>
    <row r="149" spans="1:9" x14ac:dyDescent="0.45">
      <c r="A149">
        <v>147</v>
      </c>
      <c r="B149" t="str">
        <f>CONCATENATE("Methode ",table_Methods[[#This Row],[ID]])</f>
        <v>Methode 147</v>
      </c>
      <c r="C149">
        <f t="shared" ca="1" si="16"/>
        <v>62</v>
      </c>
      <c r="D149">
        <f t="shared" ca="1" si="17"/>
        <v>3.19</v>
      </c>
      <c r="E149">
        <f t="shared" ca="1" si="12"/>
        <v>-90</v>
      </c>
      <c r="F149">
        <f t="shared" ca="1" si="13"/>
        <v>930</v>
      </c>
      <c r="G149" s="3" t="b">
        <f ca="1">INDEX(dict_zul_Var_Meth[kval_active],MATCH(table_Methods[[#This Row],[ID]],dict_zul_Var_Meth[ID_Methods],0))</f>
        <v>0</v>
      </c>
      <c r="H149">
        <f t="shared" ca="1" si="14"/>
        <v>22086</v>
      </c>
      <c r="I149">
        <f t="shared" ca="1" si="15"/>
        <v>268</v>
      </c>
    </row>
    <row r="150" spans="1:9" x14ac:dyDescent="0.45">
      <c r="A150">
        <v>148</v>
      </c>
      <c r="B150" t="str">
        <f>CONCATENATE("Methode ",table_Methods[[#This Row],[ID]])</f>
        <v>Methode 148</v>
      </c>
      <c r="C150">
        <f t="shared" ca="1" si="16"/>
        <v>3800</v>
      </c>
      <c r="D150">
        <f t="shared" ca="1" si="17"/>
        <v>3.78</v>
      </c>
      <c r="E150">
        <f t="shared" ca="1" si="12"/>
        <v>-90</v>
      </c>
      <c r="F150">
        <f t="shared" ca="1" si="13"/>
        <v>800</v>
      </c>
      <c r="G150" s="3" t="b">
        <f ca="1">INDEX(dict_zul_Var_Meth[kval_active],MATCH(table_Methods[[#This Row],[ID]],dict_zul_Var_Meth[ID_Methods],0))</f>
        <v>0</v>
      </c>
      <c r="H150">
        <f t="shared" ca="1" si="14"/>
        <v>4251</v>
      </c>
      <c r="I150">
        <f t="shared" ca="1" si="15"/>
        <v>55296</v>
      </c>
    </row>
    <row r="151" spans="1:9" x14ac:dyDescent="0.45">
      <c r="A151">
        <v>149</v>
      </c>
      <c r="B151" t="str">
        <f>CONCATENATE("Methode ",table_Methods[[#This Row],[ID]])</f>
        <v>Methode 149</v>
      </c>
      <c r="C151">
        <f t="shared" ca="1" si="16"/>
        <v>2900</v>
      </c>
      <c r="D151">
        <f t="shared" ca="1" si="17"/>
        <v>1.27</v>
      </c>
      <c r="E151">
        <f t="shared" ca="1" si="12"/>
        <v>0</v>
      </c>
      <c r="F151">
        <f t="shared" ca="1" si="13"/>
        <v>650</v>
      </c>
      <c r="G151" s="3" t="b">
        <f ca="1">INDEX(dict_zul_Var_Meth[kval_active],MATCH(table_Methods[[#This Row],[ID]],dict_zul_Var_Meth[ID_Methods],0))</f>
        <v>0</v>
      </c>
      <c r="H151">
        <f t="shared" ca="1" si="14"/>
        <v>4912</v>
      </c>
      <c r="I151">
        <f t="shared" ca="1" si="15"/>
        <v>23040</v>
      </c>
    </row>
    <row r="152" spans="1:9" x14ac:dyDescent="0.45">
      <c r="A152">
        <v>150</v>
      </c>
      <c r="B152" t="str">
        <f>CONCATENATE("Methode ",table_Methods[[#This Row],[ID]])</f>
        <v>Methode 150</v>
      </c>
      <c r="C152">
        <f t="shared" ca="1" si="16"/>
        <v>7400</v>
      </c>
      <c r="D152">
        <f t="shared" ca="1" si="17"/>
        <v>7.64</v>
      </c>
      <c r="E152">
        <f t="shared" ca="1" si="12"/>
        <v>-50</v>
      </c>
      <c r="F152">
        <f t="shared" ca="1" si="13"/>
        <v>210</v>
      </c>
      <c r="G152" s="3" t="b">
        <f ca="1">INDEX(dict_zul_Var_Meth[kval_active],MATCH(table_Methods[[#This Row],[ID]],dict_zul_Var_Meth[ID_Methods],0))</f>
        <v>0</v>
      </c>
      <c r="H152">
        <f t="shared" ca="1" si="14"/>
        <v>7730</v>
      </c>
      <c r="I152">
        <f t="shared" ca="1" si="15"/>
        <v>70656</v>
      </c>
    </row>
    <row r="153" spans="1:9" x14ac:dyDescent="0.45">
      <c r="A153">
        <v>151</v>
      </c>
      <c r="B153" t="str">
        <f>CONCATENATE("Methode ",table_Methods[[#This Row],[ID]])</f>
        <v>Methode 151</v>
      </c>
      <c r="C153">
        <f t="shared" ca="1" si="16"/>
        <v>420</v>
      </c>
      <c r="D153">
        <f t="shared" ca="1" si="17"/>
        <v>1.9</v>
      </c>
      <c r="E153">
        <f t="shared" ca="1" si="12"/>
        <v>0</v>
      </c>
      <c r="F153">
        <f t="shared" ca="1" si="13"/>
        <v>800</v>
      </c>
      <c r="G153" s="3" t="b">
        <f ca="1">INDEX(dict_zul_Var_Meth[kval_active],MATCH(table_Methods[[#This Row],[ID]],dict_zul_Var_Meth[ID_Methods],0))</f>
        <v>0</v>
      </c>
      <c r="H153">
        <f t="shared" ca="1" si="14"/>
        <v>7286</v>
      </c>
      <c r="I153">
        <f t="shared" ca="1" si="15"/>
        <v>1312</v>
      </c>
    </row>
    <row r="154" spans="1:9" x14ac:dyDescent="0.45">
      <c r="A154">
        <v>152</v>
      </c>
      <c r="B154" t="str">
        <f>CONCATENATE("Methode ",table_Methods[[#This Row],[ID]])</f>
        <v>Methode 152</v>
      </c>
      <c r="C154">
        <f t="shared" ca="1" si="16"/>
        <v>8600</v>
      </c>
      <c r="D154">
        <f t="shared" ca="1" si="17"/>
        <v>0.4</v>
      </c>
      <c r="E154">
        <f t="shared" ca="1" si="12"/>
        <v>-70</v>
      </c>
      <c r="F154">
        <f t="shared" ca="1" si="13"/>
        <v>390</v>
      </c>
      <c r="G154" s="3" t="b">
        <f ca="1">INDEX(dict_zul_Var_Meth[kval_active],MATCH(table_Methods[[#This Row],[ID]],dict_zul_Var_Meth[ID_Methods],0))</f>
        <v>0</v>
      </c>
      <c r="H154">
        <f t="shared" ca="1" si="14"/>
        <v>3682</v>
      </c>
      <c r="I154">
        <f t="shared" ca="1" si="15"/>
        <v>220</v>
      </c>
    </row>
    <row r="155" spans="1:9" x14ac:dyDescent="0.45">
      <c r="A155">
        <v>153</v>
      </c>
      <c r="B155" t="str">
        <f>CONCATENATE("Methode ",table_Methods[[#This Row],[ID]])</f>
        <v>Methode 153</v>
      </c>
      <c r="C155">
        <f t="shared" ca="1" si="16"/>
        <v>5400</v>
      </c>
      <c r="D155">
        <f t="shared" ca="1" si="17"/>
        <v>9.1199999999999992</v>
      </c>
      <c r="E155">
        <f t="shared" ca="1" si="12"/>
        <v>-60</v>
      </c>
      <c r="F155">
        <f t="shared" ca="1" si="13"/>
        <v>680</v>
      </c>
      <c r="G155" s="3" t="b">
        <f ca="1">INDEX(dict_zul_Var_Meth[kval_active],MATCH(table_Methods[[#This Row],[ID]],dict_zul_Var_Meth[ID_Methods],0))</f>
        <v>0</v>
      </c>
      <c r="H155">
        <f t="shared" ca="1" si="14"/>
        <v>49610</v>
      </c>
      <c r="I155">
        <f t="shared" ca="1" si="15"/>
        <v>2880</v>
      </c>
    </row>
    <row r="156" spans="1:9" x14ac:dyDescent="0.45">
      <c r="A156">
        <v>154</v>
      </c>
      <c r="B156" t="str">
        <f>CONCATENATE("Methode ",table_Methods[[#This Row],[ID]])</f>
        <v>Methode 154</v>
      </c>
      <c r="C156">
        <f t="shared" ca="1" si="16"/>
        <v>780</v>
      </c>
      <c r="D156">
        <f t="shared" ca="1" si="17"/>
        <v>6.73</v>
      </c>
      <c r="E156">
        <f t="shared" ca="1" si="12"/>
        <v>10</v>
      </c>
      <c r="F156">
        <f t="shared" ca="1" si="13"/>
        <v>800</v>
      </c>
      <c r="G156" s="3" t="b">
        <f ca="1">INDEX(dict_zul_Var_Meth[kval_active],MATCH(table_Methods[[#This Row],[ID]],dict_zul_Var_Meth[ID_Methods],0))</f>
        <v>0</v>
      </c>
      <c r="H156">
        <f t="shared" ca="1" si="14"/>
        <v>48410</v>
      </c>
      <c r="I156">
        <f t="shared" ca="1" si="15"/>
        <v>384</v>
      </c>
    </row>
    <row r="157" spans="1:9" x14ac:dyDescent="0.45">
      <c r="A157">
        <v>155</v>
      </c>
      <c r="B157" t="str">
        <f>CONCATENATE("Methode ",table_Methods[[#This Row],[ID]])</f>
        <v>Methode 155</v>
      </c>
      <c r="C157">
        <f t="shared" ca="1" si="16"/>
        <v>230</v>
      </c>
      <c r="D157">
        <f t="shared" ca="1" si="17"/>
        <v>7.85</v>
      </c>
      <c r="E157">
        <f t="shared" ca="1" si="12"/>
        <v>-100</v>
      </c>
      <c r="F157">
        <f t="shared" ca="1" si="13"/>
        <v>440</v>
      </c>
      <c r="G157" s="3" t="b">
        <f ca="1">INDEX(dict_zul_Var_Meth[kval_active],MATCH(table_Methods[[#This Row],[ID]],dict_zul_Var_Meth[ID_Methods],0))</f>
        <v>0</v>
      </c>
      <c r="H157">
        <f t="shared" ca="1" si="14"/>
        <v>17280</v>
      </c>
      <c r="I157">
        <f t="shared" ca="1" si="15"/>
        <v>144</v>
      </c>
    </row>
    <row r="158" spans="1:9" x14ac:dyDescent="0.45">
      <c r="A158">
        <v>156</v>
      </c>
      <c r="B158" t="str">
        <f>CONCATENATE("Methode ",table_Methods[[#This Row],[ID]])</f>
        <v>Methode 156</v>
      </c>
      <c r="C158">
        <f t="shared" ca="1" si="16"/>
        <v>85</v>
      </c>
      <c r="D158">
        <f t="shared" ca="1" si="17"/>
        <v>6.08</v>
      </c>
      <c r="E158">
        <f t="shared" ca="1" si="12"/>
        <v>-60</v>
      </c>
      <c r="F158">
        <f t="shared" ca="1" si="13"/>
        <v>810</v>
      </c>
      <c r="G158" s="3" t="b">
        <f ca="1">INDEX(dict_zul_Var_Meth[kval_active],MATCH(table_Methods[[#This Row],[ID]],dict_zul_Var_Meth[ID_Methods],0))</f>
        <v>0</v>
      </c>
      <c r="H158">
        <f t="shared" ca="1" si="14"/>
        <v>16492</v>
      </c>
      <c r="I158">
        <f t="shared" ca="1" si="15"/>
        <v>20224</v>
      </c>
    </row>
    <row r="159" spans="1:9" x14ac:dyDescent="0.45">
      <c r="A159">
        <v>157</v>
      </c>
      <c r="B159" t="str">
        <f>CONCATENATE("Methode ",table_Methods[[#This Row],[ID]])</f>
        <v>Methode 157</v>
      </c>
      <c r="C159">
        <f t="shared" ca="1" si="16"/>
        <v>4500</v>
      </c>
      <c r="D159">
        <f t="shared" ca="1" si="17"/>
        <v>7.89</v>
      </c>
      <c r="E159">
        <f t="shared" ca="1" si="12"/>
        <v>30</v>
      </c>
      <c r="F159">
        <f t="shared" ca="1" si="13"/>
        <v>370</v>
      </c>
      <c r="G159" s="3" t="b">
        <f ca="1">INDEX(dict_zul_Var_Meth[kval_active],MATCH(table_Methods[[#This Row],[ID]],dict_zul_Var_Meth[ID_Methods],0))</f>
        <v>0</v>
      </c>
      <c r="H159">
        <f t="shared" ca="1" si="14"/>
        <v>26028</v>
      </c>
      <c r="I159">
        <f t="shared" ca="1" si="15"/>
        <v>40448</v>
      </c>
    </row>
    <row r="160" spans="1:9" x14ac:dyDescent="0.45">
      <c r="A160">
        <v>158</v>
      </c>
      <c r="B160" t="str">
        <f>CONCATENATE("Methode ",table_Methods[[#This Row],[ID]])</f>
        <v>Methode 158</v>
      </c>
      <c r="C160">
        <f t="shared" ca="1" si="16"/>
        <v>280</v>
      </c>
      <c r="D160">
        <f t="shared" ca="1" si="17"/>
        <v>8.08</v>
      </c>
      <c r="E160">
        <f t="shared" ca="1" si="12"/>
        <v>-100</v>
      </c>
      <c r="F160">
        <f t="shared" ca="1" si="13"/>
        <v>370</v>
      </c>
      <c r="G160" s="3" t="b">
        <f ca="1">INDEX(dict_zul_Var_Meth[kval_active],MATCH(table_Methods[[#This Row],[ID]],dict_zul_Var_Meth[ID_Methods],0))</f>
        <v>0</v>
      </c>
      <c r="H160">
        <f t="shared" ca="1" si="14"/>
        <v>10638</v>
      </c>
      <c r="I160">
        <f t="shared" ca="1" si="15"/>
        <v>101376</v>
      </c>
    </row>
    <row r="161" spans="1:9" x14ac:dyDescent="0.45">
      <c r="A161">
        <v>159</v>
      </c>
      <c r="B161" t="str">
        <f>CONCATENATE("Methode ",table_Methods[[#This Row],[ID]])</f>
        <v>Methode 159</v>
      </c>
      <c r="C161">
        <f t="shared" ca="1" si="16"/>
        <v>31</v>
      </c>
      <c r="D161">
        <f t="shared" ca="1" si="17"/>
        <v>1.59</v>
      </c>
      <c r="E161">
        <f t="shared" ca="1" si="12"/>
        <v>0</v>
      </c>
      <c r="F161">
        <f t="shared" ca="1" si="13"/>
        <v>730</v>
      </c>
      <c r="G161" s="3" t="b">
        <f ca="1">INDEX(dict_zul_Var_Meth[kval_active],MATCH(table_Methods[[#This Row],[ID]],dict_zul_Var_Meth[ID_Methods],0))</f>
        <v>0</v>
      </c>
      <c r="H161">
        <f t="shared" ca="1" si="14"/>
        <v>6564</v>
      </c>
      <c r="I161">
        <f t="shared" ca="1" si="15"/>
        <v>4736</v>
      </c>
    </row>
    <row r="162" spans="1:9" x14ac:dyDescent="0.45">
      <c r="A162">
        <v>160</v>
      </c>
      <c r="B162" t="str">
        <f>CONCATENATE("Methode ",table_Methods[[#This Row],[ID]])</f>
        <v>Methode 160</v>
      </c>
      <c r="C162">
        <f t="shared" ca="1" si="16"/>
        <v>580</v>
      </c>
      <c r="D162">
        <f t="shared" ca="1" si="17"/>
        <v>7.2</v>
      </c>
      <c r="E162">
        <f t="shared" ca="1" si="12"/>
        <v>-70</v>
      </c>
      <c r="F162">
        <f t="shared" ca="1" si="13"/>
        <v>240</v>
      </c>
      <c r="G162" s="3" t="b">
        <f ca="1">INDEX(dict_zul_Var_Meth[kval_active],MATCH(table_Methods[[#This Row],[ID]],dict_zul_Var_Meth[ID_Methods],0))</f>
        <v>0</v>
      </c>
      <c r="H162">
        <f t="shared" ca="1" si="14"/>
        <v>19548</v>
      </c>
      <c r="I162">
        <f t="shared" ca="1" si="15"/>
        <v>16</v>
      </c>
    </row>
    <row r="163" spans="1:9" x14ac:dyDescent="0.45">
      <c r="A163">
        <v>161</v>
      </c>
      <c r="B163" t="str">
        <f>CONCATENATE("Methode ",table_Methods[[#This Row],[ID]])</f>
        <v>Methode 161</v>
      </c>
      <c r="C163">
        <f t="shared" ca="1" si="16"/>
        <v>73</v>
      </c>
      <c r="D163">
        <f t="shared" ca="1" si="17"/>
        <v>8.76</v>
      </c>
      <c r="E163">
        <f t="shared" ca="1" si="12"/>
        <v>20</v>
      </c>
      <c r="F163">
        <f t="shared" ca="1" si="13"/>
        <v>310</v>
      </c>
      <c r="G163" s="3" t="b">
        <f ca="1">INDEX(dict_zul_Var_Meth[kval_active],MATCH(table_Methods[[#This Row],[ID]],dict_zul_Var_Meth[ID_Methods],0))</f>
        <v>0</v>
      </c>
      <c r="H163">
        <f t="shared" ca="1" si="14"/>
        <v>28970</v>
      </c>
      <c r="I163">
        <f t="shared" ca="1" si="15"/>
        <v>73728</v>
      </c>
    </row>
    <row r="164" spans="1:9" x14ac:dyDescent="0.45">
      <c r="A164">
        <v>162</v>
      </c>
      <c r="B164" t="str">
        <f>CONCATENATE("Methode ",table_Methods[[#This Row],[ID]])</f>
        <v>Methode 162</v>
      </c>
      <c r="C164">
        <f t="shared" ca="1" si="16"/>
        <v>6200</v>
      </c>
      <c r="D164">
        <f t="shared" ca="1" si="17"/>
        <v>8.07</v>
      </c>
      <c r="E164">
        <f t="shared" ref="E164:E227" ca="1" si="18">RANDBETWEEN(-10,3)*10</f>
        <v>-100</v>
      </c>
      <c r="F164">
        <f t="shared" ref="F164:F227" ca="1" si="19">RANDBETWEEN(2,100)*10</f>
        <v>70</v>
      </c>
      <c r="G164" s="3" t="b">
        <f ca="1">INDEX(dict_zul_Var_Meth[kval_active],MATCH(table_Methods[[#This Row],[ID]],dict_zul_Var_Meth[ID_Methods],0))</f>
        <v>0</v>
      </c>
      <c r="H164">
        <f t="shared" ref="H164:H227" ca="1" si="20">RANDBETWEEN(1,10)*RANDBETWEEN(1,5000)</f>
        <v>8856</v>
      </c>
      <c r="I164">
        <f t="shared" ref="I164:I227" ca="1" si="21">2^RANDBETWEEN(1,10)*RANDBETWEEN(1,100)</f>
        <v>19968</v>
      </c>
    </row>
    <row r="165" spans="1:9" x14ac:dyDescent="0.45">
      <c r="A165">
        <v>163</v>
      </c>
      <c r="B165" t="str">
        <f>CONCATENATE("Methode ",table_Methods[[#This Row],[ID]])</f>
        <v>Methode 163</v>
      </c>
      <c r="C165">
        <f t="shared" ca="1" si="16"/>
        <v>500</v>
      </c>
      <c r="D165">
        <f t="shared" ca="1" si="17"/>
        <v>7.87</v>
      </c>
      <c r="E165">
        <f t="shared" ca="1" si="18"/>
        <v>-90</v>
      </c>
      <c r="F165">
        <f t="shared" ca="1" si="19"/>
        <v>410</v>
      </c>
      <c r="G165" s="3" t="b">
        <f ca="1">INDEX(dict_zul_Var_Meth[kval_active],MATCH(table_Methods[[#This Row],[ID]],dict_zul_Var_Meth[ID_Methods],0))</f>
        <v>0</v>
      </c>
      <c r="H165">
        <f t="shared" ca="1" si="20"/>
        <v>14515</v>
      </c>
      <c r="I165">
        <f t="shared" ca="1" si="21"/>
        <v>232</v>
      </c>
    </row>
    <row r="166" spans="1:9" x14ac:dyDescent="0.45">
      <c r="A166">
        <v>164</v>
      </c>
      <c r="B166" t="str">
        <f>CONCATENATE("Methode ",table_Methods[[#This Row],[ID]])</f>
        <v>Methode 164</v>
      </c>
      <c r="C166">
        <f t="shared" ca="1" si="16"/>
        <v>560</v>
      </c>
      <c r="D166">
        <f t="shared" ca="1" si="17"/>
        <v>0.82</v>
      </c>
      <c r="E166">
        <f t="shared" ca="1" si="18"/>
        <v>10</v>
      </c>
      <c r="F166">
        <f t="shared" ca="1" si="19"/>
        <v>920</v>
      </c>
      <c r="G166" s="3" t="b">
        <f ca="1">INDEX(dict_zul_Var_Meth[kval_active],MATCH(table_Methods[[#This Row],[ID]],dict_zul_Var_Meth[ID_Methods],0))</f>
        <v>0</v>
      </c>
      <c r="H166">
        <f t="shared" ca="1" si="20"/>
        <v>13650</v>
      </c>
      <c r="I166">
        <f t="shared" ca="1" si="21"/>
        <v>50176</v>
      </c>
    </row>
    <row r="167" spans="1:9" x14ac:dyDescent="0.45">
      <c r="A167">
        <v>165</v>
      </c>
      <c r="B167" t="str">
        <f>CONCATENATE("Methode ",table_Methods[[#This Row],[ID]])</f>
        <v>Methode 165</v>
      </c>
      <c r="C167">
        <f t="shared" ca="1" si="16"/>
        <v>70</v>
      </c>
      <c r="D167">
        <f t="shared" ca="1" si="17"/>
        <v>5.71</v>
      </c>
      <c r="E167">
        <f t="shared" ca="1" si="18"/>
        <v>-70</v>
      </c>
      <c r="F167">
        <f t="shared" ca="1" si="19"/>
        <v>680</v>
      </c>
      <c r="G167" s="3" t="b">
        <f ca="1">INDEX(dict_zul_Var_Meth[kval_active],MATCH(table_Methods[[#This Row],[ID]],dict_zul_Var_Meth[ID_Methods],0))</f>
        <v>0</v>
      </c>
      <c r="H167">
        <f t="shared" ca="1" si="20"/>
        <v>5578</v>
      </c>
      <c r="I167">
        <f t="shared" ca="1" si="21"/>
        <v>45056</v>
      </c>
    </row>
    <row r="168" spans="1:9" x14ac:dyDescent="0.45">
      <c r="A168">
        <v>166</v>
      </c>
      <c r="B168" t="str">
        <f>CONCATENATE("Methode ",table_Methods[[#This Row],[ID]])</f>
        <v>Methode 166</v>
      </c>
      <c r="C168">
        <f t="shared" ca="1" si="16"/>
        <v>850</v>
      </c>
      <c r="D168">
        <f t="shared" ca="1" si="17"/>
        <v>6.02</v>
      </c>
      <c r="E168">
        <f t="shared" ca="1" si="18"/>
        <v>-30</v>
      </c>
      <c r="F168">
        <f t="shared" ca="1" si="19"/>
        <v>380</v>
      </c>
      <c r="G168" s="3" t="b">
        <f ca="1">INDEX(dict_zul_Var_Meth[kval_active],MATCH(table_Methods[[#This Row],[ID]],dict_zul_Var_Meth[ID_Methods],0))</f>
        <v>0</v>
      </c>
      <c r="H168">
        <f t="shared" ca="1" si="20"/>
        <v>1237</v>
      </c>
      <c r="I168">
        <f t="shared" ca="1" si="21"/>
        <v>68608</v>
      </c>
    </row>
    <row r="169" spans="1:9" x14ac:dyDescent="0.45">
      <c r="A169">
        <v>167</v>
      </c>
      <c r="B169" t="str">
        <f>CONCATENATE("Methode ",table_Methods[[#This Row],[ID]])</f>
        <v>Methode 167</v>
      </c>
      <c r="C169">
        <f t="shared" ca="1" si="16"/>
        <v>290</v>
      </c>
      <c r="D169">
        <f t="shared" ca="1" si="17"/>
        <v>2.0499999999999998</v>
      </c>
      <c r="E169">
        <f t="shared" ca="1" si="18"/>
        <v>-80</v>
      </c>
      <c r="F169">
        <f t="shared" ca="1" si="19"/>
        <v>760</v>
      </c>
      <c r="G169" s="3" t="b">
        <f ca="1">INDEX(dict_zul_Var_Meth[kval_active],MATCH(table_Methods[[#This Row],[ID]],dict_zul_Var_Meth[ID_Methods],0))</f>
        <v>0</v>
      </c>
      <c r="H169">
        <f t="shared" ca="1" si="20"/>
        <v>5187</v>
      </c>
      <c r="I169">
        <f t="shared" ca="1" si="21"/>
        <v>8192</v>
      </c>
    </row>
    <row r="170" spans="1:9" x14ac:dyDescent="0.45">
      <c r="A170">
        <v>168</v>
      </c>
      <c r="B170" t="str">
        <f>CONCATENATE("Methode ",table_Methods[[#This Row],[ID]])</f>
        <v>Methode 168</v>
      </c>
      <c r="C170">
        <f t="shared" ca="1" si="16"/>
        <v>250</v>
      </c>
      <c r="D170">
        <f t="shared" ca="1" si="17"/>
        <v>1.52</v>
      </c>
      <c r="E170">
        <f t="shared" ca="1" si="18"/>
        <v>-50</v>
      </c>
      <c r="F170">
        <f t="shared" ca="1" si="19"/>
        <v>730</v>
      </c>
      <c r="G170" s="3" t="b">
        <f ca="1">INDEX(dict_zul_Var_Meth[kval_active],MATCH(table_Methods[[#This Row],[ID]],dict_zul_Var_Meth[ID_Methods],0))</f>
        <v>0</v>
      </c>
      <c r="H170">
        <f t="shared" ca="1" si="20"/>
        <v>2660</v>
      </c>
      <c r="I170">
        <f t="shared" ca="1" si="21"/>
        <v>40448</v>
      </c>
    </row>
    <row r="171" spans="1:9" x14ac:dyDescent="0.45">
      <c r="A171">
        <v>169</v>
      </c>
      <c r="B171" t="str">
        <f>CONCATENATE("Methode ",table_Methods[[#This Row],[ID]])</f>
        <v>Methode 169</v>
      </c>
      <c r="C171">
        <f t="shared" ca="1" si="16"/>
        <v>3100</v>
      </c>
      <c r="D171">
        <f t="shared" ca="1" si="17"/>
        <v>8.3800000000000008</v>
      </c>
      <c r="E171">
        <f t="shared" ca="1" si="18"/>
        <v>-100</v>
      </c>
      <c r="F171">
        <f t="shared" ca="1" si="19"/>
        <v>610</v>
      </c>
      <c r="G171" s="3" t="b">
        <f ca="1">INDEX(dict_zul_Var_Meth[kval_active],MATCH(table_Methods[[#This Row],[ID]],dict_zul_Var_Meth[ID_Methods],0))</f>
        <v>1</v>
      </c>
      <c r="H171">
        <f t="shared" ca="1" si="20"/>
        <v>14964</v>
      </c>
      <c r="I171">
        <f t="shared" ca="1" si="21"/>
        <v>1600</v>
      </c>
    </row>
    <row r="172" spans="1:9" x14ac:dyDescent="0.45">
      <c r="A172">
        <v>170</v>
      </c>
      <c r="B172" t="str">
        <f>CONCATENATE("Methode ",table_Methods[[#This Row],[ID]])</f>
        <v>Methode 170</v>
      </c>
      <c r="C172">
        <f t="shared" ca="1" si="16"/>
        <v>41.000000000000007</v>
      </c>
      <c r="D172">
        <f t="shared" ca="1" si="17"/>
        <v>5.19</v>
      </c>
      <c r="E172">
        <f t="shared" ca="1" si="18"/>
        <v>-30</v>
      </c>
      <c r="F172">
        <f t="shared" ca="1" si="19"/>
        <v>500</v>
      </c>
      <c r="G172" s="3" t="b">
        <f ca="1">INDEX(dict_zul_Var_Meth[kval_active],MATCH(table_Methods[[#This Row],[ID]],dict_zul_Var_Meth[ID_Methods],0))</f>
        <v>0</v>
      </c>
      <c r="H172">
        <f t="shared" ca="1" si="20"/>
        <v>7585</v>
      </c>
      <c r="I172">
        <f t="shared" ca="1" si="21"/>
        <v>1408</v>
      </c>
    </row>
    <row r="173" spans="1:9" x14ac:dyDescent="0.45">
      <c r="A173">
        <v>171</v>
      </c>
      <c r="B173" t="str">
        <f>CONCATENATE("Methode ",table_Methods[[#This Row],[ID]])</f>
        <v>Methode 171</v>
      </c>
      <c r="C173">
        <f t="shared" ca="1" si="16"/>
        <v>1100</v>
      </c>
      <c r="D173">
        <f t="shared" ca="1" si="17"/>
        <v>9.3800000000000008</v>
      </c>
      <c r="E173">
        <f t="shared" ca="1" si="18"/>
        <v>0</v>
      </c>
      <c r="F173">
        <f t="shared" ca="1" si="19"/>
        <v>630</v>
      </c>
      <c r="G173" s="3" t="b">
        <f ca="1">INDEX(dict_zul_Var_Meth[kval_active],MATCH(table_Methods[[#This Row],[ID]],dict_zul_Var_Meth[ID_Methods],0))</f>
        <v>0</v>
      </c>
      <c r="H173">
        <f t="shared" ca="1" si="20"/>
        <v>26232</v>
      </c>
      <c r="I173">
        <f t="shared" ca="1" si="21"/>
        <v>80</v>
      </c>
    </row>
    <row r="174" spans="1:9" x14ac:dyDescent="0.45">
      <c r="A174">
        <v>172</v>
      </c>
      <c r="B174" t="str">
        <f>CONCATENATE("Methode ",table_Methods[[#This Row],[ID]])</f>
        <v>Methode 172</v>
      </c>
      <c r="C174">
        <f t="shared" ca="1" si="16"/>
        <v>640</v>
      </c>
      <c r="D174">
        <f t="shared" ca="1" si="17"/>
        <v>7.47</v>
      </c>
      <c r="E174">
        <f t="shared" ca="1" si="18"/>
        <v>-20</v>
      </c>
      <c r="F174">
        <f t="shared" ca="1" si="19"/>
        <v>970</v>
      </c>
      <c r="G174" s="3" t="b">
        <f ca="1">INDEX(dict_zul_Var_Meth[kval_active],MATCH(table_Methods[[#This Row],[ID]],dict_zul_Var_Meth[ID_Methods],0))</f>
        <v>0</v>
      </c>
      <c r="H174">
        <f t="shared" ca="1" si="20"/>
        <v>45340</v>
      </c>
      <c r="I174">
        <f t="shared" ca="1" si="21"/>
        <v>608</v>
      </c>
    </row>
    <row r="175" spans="1:9" x14ac:dyDescent="0.45">
      <c r="A175">
        <v>173</v>
      </c>
      <c r="B175" t="str">
        <f>CONCATENATE("Methode ",table_Methods[[#This Row],[ID]])</f>
        <v>Methode 173</v>
      </c>
      <c r="C175">
        <f t="shared" ca="1" si="16"/>
        <v>50</v>
      </c>
      <c r="D175">
        <f t="shared" ca="1" si="17"/>
        <v>6.93</v>
      </c>
      <c r="E175">
        <f t="shared" ca="1" si="18"/>
        <v>20</v>
      </c>
      <c r="F175">
        <f t="shared" ca="1" si="19"/>
        <v>700</v>
      </c>
      <c r="G175" s="3" t="b">
        <f ca="1">INDEX(dict_zul_Var_Meth[kval_active],MATCH(table_Methods[[#This Row],[ID]],dict_zul_Var_Meth[ID_Methods],0))</f>
        <v>0</v>
      </c>
      <c r="H175">
        <f t="shared" ca="1" si="20"/>
        <v>4782</v>
      </c>
      <c r="I175">
        <f t="shared" ca="1" si="21"/>
        <v>106</v>
      </c>
    </row>
    <row r="176" spans="1:9" x14ac:dyDescent="0.45">
      <c r="A176">
        <v>174</v>
      </c>
      <c r="B176" t="str">
        <f>CONCATENATE("Methode ",table_Methods[[#This Row],[ID]])</f>
        <v>Methode 174</v>
      </c>
      <c r="C176">
        <f t="shared" ca="1" si="16"/>
        <v>950</v>
      </c>
      <c r="D176">
        <f t="shared" ca="1" si="17"/>
        <v>7.23</v>
      </c>
      <c r="E176">
        <f t="shared" ca="1" si="18"/>
        <v>-60</v>
      </c>
      <c r="F176">
        <f t="shared" ca="1" si="19"/>
        <v>600</v>
      </c>
      <c r="G176" s="3" t="b">
        <f ca="1">INDEX(dict_zul_Var_Meth[kval_active],MATCH(table_Methods[[#This Row],[ID]],dict_zul_Var_Meth[ID_Methods],0))</f>
        <v>0</v>
      </c>
      <c r="H176">
        <f t="shared" ca="1" si="20"/>
        <v>6090</v>
      </c>
      <c r="I176">
        <f t="shared" ca="1" si="21"/>
        <v>480</v>
      </c>
    </row>
    <row r="177" spans="1:9" x14ac:dyDescent="0.45">
      <c r="A177">
        <v>175</v>
      </c>
      <c r="B177" t="str">
        <f>CONCATENATE("Methode ",table_Methods[[#This Row],[ID]])</f>
        <v>Methode 175</v>
      </c>
      <c r="C177">
        <f t="shared" ca="1" si="16"/>
        <v>200</v>
      </c>
      <c r="D177">
        <f t="shared" ca="1" si="17"/>
        <v>4.57</v>
      </c>
      <c r="E177">
        <f t="shared" ca="1" si="18"/>
        <v>-90</v>
      </c>
      <c r="F177">
        <f t="shared" ca="1" si="19"/>
        <v>340</v>
      </c>
      <c r="G177" s="3" t="b">
        <f ca="1">INDEX(dict_zul_Var_Meth[kval_active],MATCH(table_Methods[[#This Row],[ID]],dict_zul_Var_Meth[ID_Methods],0))</f>
        <v>0</v>
      </c>
      <c r="H177">
        <f t="shared" ca="1" si="20"/>
        <v>5517</v>
      </c>
      <c r="I177">
        <f t="shared" ca="1" si="21"/>
        <v>752</v>
      </c>
    </row>
    <row r="178" spans="1:9" x14ac:dyDescent="0.45">
      <c r="A178">
        <v>176</v>
      </c>
      <c r="B178" t="str">
        <f>CONCATENATE("Methode ",table_Methods[[#This Row],[ID]])</f>
        <v>Methode 176</v>
      </c>
      <c r="C178">
        <f t="shared" ca="1" si="16"/>
        <v>9500</v>
      </c>
      <c r="D178">
        <f t="shared" ca="1" si="17"/>
        <v>1.77</v>
      </c>
      <c r="E178">
        <f t="shared" ca="1" si="18"/>
        <v>-30</v>
      </c>
      <c r="F178">
        <f t="shared" ca="1" si="19"/>
        <v>540</v>
      </c>
      <c r="G178" s="3" t="b">
        <f ca="1">INDEX(dict_zul_Var_Meth[kval_active],MATCH(table_Methods[[#This Row],[ID]],dict_zul_Var_Meth[ID_Methods],0))</f>
        <v>0</v>
      </c>
      <c r="H178">
        <f t="shared" ca="1" si="20"/>
        <v>4970</v>
      </c>
      <c r="I178">
        <f t="shared" ca="1" si="21"/>
        <v>5184</v>
      </c>
    </row>
    <row r="179" spans="1:9" x14ac:dyDescent="0.45">
      <c r="A179">
        <v>177</v>
      </c>
      <c r="B179" t="str">
        <f>CONCATENATE("Methode ",table_Methods[[#This Row],[ID]])</f>
        <v>Methode 177</v>
      </c>
      <c r="C179">
        <f t="shared" ca="1" si="16"/>
        <v>9900</v>
      </c>
      <c r="D179">
        <f t="shared" ca="1" si="17"/>
        <v>0.89</v>
      </c>
      <c r="E179">
        <f t="shared" ca="1" si="18"/>
        <v>30</v>
      </c>
      <c r="F179">
        <f t="shared" ca="1" si="19"/>
        <v>920</v>
      </c>
      <c r="G179" s="3" t="b">
        <f ca="1">INDEX(dict_zul_Var_Meth[kval_active],MATCH(table_Methods[[#This Row],[ID]],dict_zul_Var_Meth[ID_Methods],0))</f>
        <v>0</v>
      </c>
      <c r="H179">
        <f t="shared" ca="1" si="20"/>
        <v>16128</v>
      </c>
      <c r="I179">
        <f t="shared" ca="1" si="21"/>
        <v>2080</v>
      </c>
    </row>
    <row r="180" spans="1:9" x14ac:dyDescent="0.45">
      <c r="A180">
        <v>178</v>
      </c>
      <c r="B180" t="str">
        <f>CONCATENATE("Methode ",table_Methods[[#This Row],[ID]])</f>
        <v>Methode 178</v>
      </c>
      <c r="C180">
        <f t="shared" ca="1" si="16"/>
        <v>92.000000000000014</v>
      </c>
      <c r="D180">
        <f t="shared" ca="1" si="17"/>
        <v>6.69</v>
      </c>
      <c r="E180">
        <f t="shared" ca="1" si="18"/>
        <v>-100</v>
      </c>
      <c r="F180">
        <f t="shared" ca="1" si="19"/>
        <v>380</v>
      </c>
      <c r="G180" s="3" t="b">
        <f ca="1">INDEX(dict_zul_Var_Meth[kval_active],MATCH(table_Methods[[#This Row],[ID]],dict_zul_Var_Meth[ID_Methods],0))</f>
        <v>0</v>
      </c>
      <c r="H180">
        <f t="shared" ca="1" si="20"/>
        <v>14832</v>
      </c>
      <c r="I180">
        <f t="shared" ca="1" si="21"/>
        <v>182</v>
      </c>
    </row>
    <row r="181" spans="1:9" x14ac:dyDescent="0.45">
      <c r="A181">
        <v>179</v>
      </c>
      <c r="B181" t="str">
        <f>CONCATENATE("Methode ",table_Methods[[#This Row],[ID]])</f>
        <v>Methode 179</v>
      </c>
      <c r="C181">
        <f t="shared" ca="1" si="16"/>
        <v>32</v>
      </c>
      <c r="D181">
        <f t="shared" ca="1" si="17"/>
        <v>5.65</v>
      </c>
      <c r="E181">
        <f t="shared" ca="1" si="18"/>
        <v>-10</v>
      </c>
      <c r="F181">
        <f t="shared" ca="1" si="19"/>
        <v>160</v>
      </c>
      <c r="G181" s="3" t="b">
        <f ca="1">INDEX(dict_zul_Var_Meth[kval_active],MATCH(table_Methods[[#This Row],[ID]],dict_zul_Var_Meth[ID_Methods],0))</f>
        <v>0</v>
      </c>
      <c r="H181">
        <f t="shared" ca="1" si="20"/>
        <v>20130</v>
      </c>
      <c r="I181">
        <f t="shared" ca="1" si="21"/>
        <v>25600</v>
      </c>
    </row>
    <row r="182" spans="1:9" x14ac:dyDescent="0.45">
      <c r="A182">
        <v>180</v>
      </c>
      <c r="B182" t="str">
        <f>CONCATENATE("Methode ",table_Methods[[#This Row],[ID]])</f>
        <v>Methode 180</v>
      </c>
      <c r="C182">
        <f t="shared" ca="1" si="16"/>
        <v>260</v>
      </c>
      <c r="D182">
        <f t="shared" ca="1" si="17"/>
        <v>9.64</v>
      </c>
      <c r="E182">
        <f t="shared" ca="1" si="18"/>
        <v>-70</v>
      </c>
      <c r="F182">
        <f t="shared" ca="1" si="19"/>
        <v>420</v>
      </c>
      <c r="G182" s="3" t="b">
        <f ca="1">INDEX(dict_zul_Var_Meth[kval_active],MATCH(table_Methods[[#This Row],[ID]],dict_zul_Var_Meth[ID_Methods],0))</f>
        <v>0</v>
      </c>
      <c r="H182">
        <f t="shared" ca="1" si="20"/>
        <v>1236</v>
      </c>
      <c r="I182">
        <f t="shared" ca="1" si="21"/>
        <v>32</v>
      </c>
    </row>
    <row r="183" spans="1:9" x14ac:dyDescent="0.45">
      <c r="A183">
        <v>181</v>
      </c>
      <c r="B183" t="str">
        <f>CONCATENATE("Methode ",table_Methods[[#This Row],[ID]])</f>
        <v>Methode 181</v>
      </c>
      <c r="C183">
        <f t="shared" ca="1" si="16"/>
        <v>800</v>
      </c>
      <c r="D183">
        <f t="shared" ca="1" si="17"/>
        <v>7.7</v>
      </c>
      <c r="E183">
        <f t="shared" ca="1" si="18"/>
        <v>-10</v>
      </c>
      <c r="F183">
        <f t="shared" ca="1" si="19"/>
        <v>190</v>
      </c>
      <c r="G183" s="3" t="b">
        <f ca="1">INDEX(dict_zul_Var_Meth[kval_active],MATCH(table_Methods[[#This Row],[ID]],dict_zul_Var_Meth[ID_Methods],0))</f>
        <v>0</v>
      </c>
      <c r="H183">
        <f t="shared" ca="1" si="20"/>
        <v>26829</v>
      </c>
      <c r="I183">
        <f t="shared" ca="1" si="21"/>
        <v>24576</v>
      </c>
    </row>
    <row r="184" spans="1:9" x14ac:dyDescent="0.45">
      <c r="A184">
        <v>182</v>
      </c>
      <c r="B184" t="str">
        <f>CONCATENATE("Methode ",table_Methods[[#This Row],[ID]])</f>
        <v>Methode 182</v>
      </c>
      <c r="C184">
        <f t="shared" ca="1" si="16"/>
        <v>60</v>
      </c>
      <c r="D184">
        <f t="shared" ca="1" si="17"/>
        <v>4.92</v>
      </c>
      <c r="E184">
        <f t="shared" ca="1" si="18"/>
        <v>-40</v>
      </c>
      <c r="F184">
        <f t="shared" ca="1" si="19"/>
        <v>530</v>
      </c>
      <c r="G184" s="3" t="b">
        <f ca="1">INDEX(dict_zul_Var_Meth[kval_active],MATCH(table_Methods[[#This Row],[ID]],dict_zul_Var_Meth[ID_Methods],0))</f>
        <v>0</v>
      </c>
      <c r="H184">
        <f t="shared" ca="1" si="20"/>
        <v>3816</v>
      </c>
      <c r="I184">
        <f t="shared" ca="1" si="21"/>
        <v>80</v>
      </c>
    </row>
    <row r="185" spans="1:9" x14ac:dyDescent="0.45">
      <c r="A185">
        <v>183</v>
      </c>
      <c r="B185" t="str">
        <f>CONCATENATE("Methode ",table_Methods[[#This Row],[ID]])</f>
        <v>Methode 183</v>
      </c>
      <c r="C185">
        <f t="shared" ca="1" si="16"/>
        <v>450</v>
      </c>
      <c r="D185">
        <f t="shared" ca="1" si="17"/>
        <v>1.31</v>
      </c>
      <c r="E185">
        <f t="shared" ca="1" si="18"/>
        <v>-50</v>
      </c>
      <c r="F185">
        <f t="shared" ca="1" si="19"/>
        <v>730</v>
      </c>
      <c r="G185" s="3" t="b">
        <f ca="1">INDEX(dict_zul_Var_Meth[kval_active],MATCH(table_Methods[[#This Row],[ID]],dict_zul_Var_Meth[ID_Methods],0))</f>
        <v>0</v>
      </c>
      <c r="H185">
        <f t="shared" ca="1" si="20"/>
        <v>1575</v>
      </c>
      <c r="I185">
        <f t="shared" ca="1" si="21"/>
        <v>1232</v>
      </c>
    </row>
    <row r="186" spans="1:9" x14ac:dyDescent="0.45">
      <c r="A186">
        <v>184</v>
      </c>
      <c r="B186" t="str">
        <f>CONCATENATE("Methode ",table_Methods[[#This Row],[ID]])</f>
        <v>Methode 184</v>
      </c>
      <c r="C186">
        <f t="shared" ca="1" si="16"/>
        <v>100</v>
      </c>
      <c r="D186">
        <f t="shared" ca="1" si="17"/>
        <v>0.81</v>
      </c>
      <c r="E186">
        <f t="shared" ca="1" si="18"/>
        <v>-80</v>
      </c>
      <c r="F186">
        <f t="shared" ca="1" si="19"/>
        <v>150</v>
      </c>
      <c r="G186" s="3" t="b">
        <f ca="1">INDEX(dict_zul_Var_Meth[kval_active],MATCH(table_Methods[[#This Row],[ID]],dict_zul_Var_Meth[ID_Methods],0))</f>
        <v>0</v>
      </c>
      <c r="H186">
        <f t="shared" ca="1" si="20"/>
        <v>15952</v>
      </c>
      <c r="I186">
        <f t="shared" ca="1" si="21"/>
        <v>4096</v>
      </c>
    </row>
    <row r="187" spans="1:9" x14ac:dyDescent="0.45">
      <c r="A187">
        <v>185</v>
      </c>
      <c r="B187" t="str">
        <f>CONCATENATE("Methode ",table_Methods[[#This Row],[ID]])</f>
        <v>Methode 185</v>
      </c>
      <c r="C187">
        <f t="shared" ca="1" si="16"/>
        <v>40</v>
      </c>
      <c r="D187">
        <f t="shared" ca="1" si="17"/>
        <v>3.31</v>
      </c>
      <c r="E187">
        <f t="shared" ca="1" si="18"/>
        <v>-20</v>
      </c>
      <c r="F187">
        <f t="shared" ca="1" si="19"/>
        <v>420</v>
      </c>
      <c r="G187" s="3" t="b">
        <f ca="1">INDEX(dict_zul_Var_Meth[kval_active],MATCH(table_Methods[[#This Row],[ID]],dict_zul_Var_Meth[ID_Methods],0))</f>
        <v>1</v>
      </c>
      <c r="H187">
        <f t="shared" ca="1" si="20"/>
        <v>5712</v>
      </c>
      <c r="I187">
        <f t="shared" ca="1" si="21"/>
        <v>368</v>
      </c>
    </row>
    <row r="188" spans="1:9" x14ac:dyDescent="0.45">
      <c r="A188">
        <v>186</v>
      </c>
      <c r="B188" t="str">
        <f>CONCATENATE("Methode ",table_Methods[[#This Row],[ID]])</f>
        <v>Methode 186</v>
      </c>
      <c r="C188">
        <f t="shared" ca="1" si="16"/>
        <v>44</v>
      </c>
      <c r="D188">
        <f t="shared" ca="1" si="17"/>
        <v>2.96</v>
      </c>
      <c r="E188">
        <f t="shared" ca="1" si="18"/>
        <v>-20</v>
      </c>
      <c r="F188">
        <f t="shared" ca="1" si="19"/>
        <v>120</v>
      </c>
      <c r="G188" s="3" t="b">
        <f ca="1">INDEX(dict_zul_Var_Meth[kval_active],MATCH(table_Methods[[#This Row],[ID]],dict_zul_Var_Meth[ID_Methods],0))</f>
        <v>0</v>
      </c>
      <c r="H188">
        <f t="shared" ca="1" si="20"/>
        <v>18444</v>
      </c>
      <c r="I188">
        <f t="shared" ca="1" si="21"/>
        <v>2304</v>
      </c>
    </row>
    <row r="189" spans="1:9" x14ac:dyDescent="0.45">
      <c r="A189">
        <v>187</v>
      </c>
      <c r="B189" t="str">
        <f>CONCATENATE("Methode ",table_Methods[[#This Row],[ID]])</f>
        <v>Methode 187</v>
      </c>
      <c r="C189">
        <f t="shared" ca="1" si="16"/>
        <v>61.000000000000007</v>
      </c>
      <c r="D189">
        <f t="shared" ca="1" si="17"/>
        <v>9.7899999999999991</v>
      </c>
      <c r="E189">
        <f t="shared" ca="1" si="18"/>
        <v>-50</v>
      </c>
      <c r="F189">
        <f t="shared" ca="1" si="19"/>
        <v>720</v>
      </c>
      <c r="G189" s="3" t="b">
        <f ca="1">INDEX(dict_zul_Var_Meth[kval_active],MATCH(table_Methods[[#This Row],[ID]],dict_zul_Var_Meth[ID_Methods],0))</f>
        <v>0</v>
      </c>
      <c r="H189">
        <f t="shared" ca="1" si="20"/>
        <v>30800</v>
      </c>
      <c r="I189">
        <f t="shared" ca="1" si="21"/>
        <v>64</v>
      </c>
    </row>
    <row r="190" spans="1:9" x14ac:dyDescent="0.45">
      <c r="A190">
        <v>188</v>
      </c>
      <c r="B190" t="str">
        <f>CONCATENATE("Methode ",table_Methods[[#This Row],[ID]])</f>
        <v>Methode 188</v>
      </c>
      <c r="C190">
        <f t="shared" ca="1" si="16"/>
        <v>670</v>
      </c>
      <c r="D190">
        <f t="shared" ca="1" si="17"/>
        <v>5.46</v>
      </c>
      <c r="E190">
        <f t="shared" ca="1" si="18"/>
        <v>-60</v>
      </c>
      <c r="F190">
        <f t="shared" ca="1" si="19"/>
        <v>380</v>
      </c>
      <c r="G190" s="3" t="b">
        <f ca="1">INDEX(dict_zul_Var_Meth[kval_active],MATCH(table_Methods[[#This Row],[ID]],dict_zul_Var_Meth[ID_Methods],0))</f>
        <v>0</v>
      </c>
      <c r="H190">
        <f t="shared" ca="1" si="20"/>
        <v>19995</v>
      </c>
      <c r="I190">
        <f t="shared" ca="1" si="21"/>
        <v>256</v>
      </c>
    </row>
    <row r="191" spans="1:9" x14ac:dyDescent="0.45">
      <c r="A191">
        <v>189</v>
      </c>
      <c r="B191" t="str">
        <f>CONCATENATE("Methode ",table_Methods[[#This Row],[ID]])</f>
        <v>Methode 189</v>
      </c>
      <c r="C191">
        <f t="shared" ca="1" si="16"/>
        <v>23.000000000000004</v>
      </c>
      <c r="D191">
        <f t="shared" ca="1" si="17"/>
        <v>7.11</v>
      </c>
      <c r="E191">
        <f t="shared" ca="1" si="18"/>
        <v>-10</v>
      </c>
      <c r="F191">
        <f t="shared" ca="1" si="19"/>
        <v>820</v>
      </c>
      <c r="G191" s="3" t="b">
        <f ca="1">INDEX(dict_zul_Var_Meth[kval_active],MATCH(table_Methods[[#This Row],[ID]],dict_zul_Var_Meth[ID_Methods],0))</f>
        <v>1</v>
      </c>
      <c r="H191">
        <f t="shared" ca="1" si="20"/>
        <v>2930</v>
      </c>
      <c r="I191">
        <f t="shared" ca="1" si="21"/>
        <v>40</v>
      </c>
    </row>
    <row r="192" spans="1:9" x14ac:dyDescent="0.45">
      <c r="A192">
        <v>190</v>
      </c>
      <c r="B192" t="str">
        <f>CONCATENATE("Methode ",table_Methods[[#This Row],[ID]])</f>
        <v>Methode 190</v>
      </c>
      <c r="C192">
        <f t="shared" ca="1" si="16"/>
        <v>26</v>
      </c>
      <c r="D192">
        <f t="shared" ca="1" si="17"/>
        <v>6.76</v>
      </c>
      <c r="E192">
        <f t="shared" ca="1" si="18"/>
        <v>-90</v>
      </c>
      <c r="F192">
        <f t="shared" ca="1" si="19"/>
        <v>690</v>
      </c>
      <c r="G192" s="3" t="b">
        <f ca="1">INDEX(dict_zul_Var_Meth[kval_active],MATCH(table_Methods[[#This Row],[ID]],dict_zul_Var_Meth[ID_Methods],0))</f>
        <v>0</v>
      </c>
      <c r="H192">
        <f t="shared" ca="1" si="20"/>
        <v>296</v>
      </c>
      <c r="I192">
        <f t="shared" ca="1" si="21"/>
        <v>736</v>
      </c>
    </row>
    <row r="193" spans="1:9" x14ac:dyDescent="0.45">
      <c r="A193">
        <v>191</v>
      </c>
      <c r="B193" t="str">
        <f>CONCATENATE("Methode ",table_Methods[[#This Row],[ID]])</f>
        <v>Methode 191</v>
      </c>
      <c r="C193">
        <f t="shared" ca="1" si="16"/>
        <v>970</v>
      </c>
      <c r="D193">
        <f t="shared" ca="1" si="17"/>
        <v>6.29</v>
      </c>
      <c r="E193">
        <f t="shared" ca="1" si="18"/>
        <v>-20</v>
      </c>
      <c r="F193">
        <f t="shared" ca="1" si="19"/>
        <v>370</v>
      </c>
      <c r="G193" s="3" t="b">
        <f ca="1">INDEX(dict_zul_Var_Meth[kval_active],MATCH(table_Methods[[#This Row],[ID]],dict_zul_Var_Meth[ID_Methods],0))</f>
        <v>0</v>
      </c>
      <c r="H193">
        <f t="shared" ca="1" si="20"/>
        <v>15445</v>
      </c>
      <c r="I193">
        <f t="shared" ca="1" si="21"/>
        <v>10240</v>
      </c>
    </row>
    <row r="194" spans="1:9" x14ac:dyDescent="0.45">
      <c r="A194">
        <v>192</v>
      </c>
      <c r="B194" t="str">
        <f>CONCATENATE("Methode ",table_Methods[[#This Row],[ID]])</f>
        <v>Methode 192</v>
      </c>
      <c r="C194">
        <f t="shared" ref="C194:C257" ca="1" si="22">10^(RANDBETWEEN(-1,1))*RANDBETWEEN(1,100)*10</f>
        <v>15</v>
      </c>
      <c r="D194">
        <f t="shared" ca="1" si="17"/>
        <v>1.01</v>
      </c>
      <c r="E194">
        <f t="shared" ca="1" si="18"/>
        <v>-30</v>
      </c>
      <c r="F194">
        <f t="shared" ca="1" si="19"/>
        <v>380</v>
      </c>
      <c r="G194" s="3" t="b">
        <f ca="1">INDEX(dict_zul_Var_Meth[kval_active],MATCH(table_Methods[[#This Row],[ID]],dict_zul_Var_Meth[ID_Methods],0))</f>
        <v>0</v>
      </c>
      <c r="H194">
        <f t="shared" ca="1" si="20"/>
        <v>6519</v>
      </c>
      <c r="I194">
        <f t="shared" ca="1" si="21"/>
        <v>5248</v>
      </c>
    </row>
    <row r="195" spans="1:9" x14ac:dyDescent="0.45">
      <c r="A195">
        <v>193</v>
      </c>
      <c r="B195" t="str">
        <f>CONCATENATE("Methode ",table_Methods[[#This Row],[ID]])</f>
        <v>Methode 193</v>
      </c>
      <c r="C195">
        <f t="shared" ca="1" si="22"/>
        <v>7200</v>
      </c>
      <c r="D195">
        <f t="shared" ref="D195:D258" ca="1" si="23">RANDBETWEEN(10,1000)/(100)</f>
        <v>3.64</v>
      </c>
      <c r="E195">
        <f t="shared" ca="1" si="18"/>
        <v>-30</v>
      </c>
      <c r="F195">
        <f t="shared" ca="1" si="19"/>
        <v>730</v>
      </c>
      <c r="G195" s="3" t="b">
        <f ca="1">INDEX(dict_zul_Var_Meth[kval_active],MATCH(table_Methods[[#This Row],[ID]],dict_zul_Var_Meth[ID_Methods],0))</f>
        <v>0</v>
      </c>
      <c r="H195">
        <f t="shared" ca="1" si="20"/>
        <v>19524</v>
      </c>
      <c r="I195">
        <f t="shared" ca="1" si="21"/>
        <v>312</v>
      </c>
    </row>
    <row r="196" spans="1:9" x14ac:dyDescent="0.45">
      <c r="A196">
        <v>194</v>
      </c>
      <c r="B196" t="str">
        <f>CONCATENATE("Methode ",table_Methods[[#This Row],[ID]])</f>
        <v>Methode 194</v>
      </c>
      <c r="C196">
        <f t="shared" ca="1" si="22"/>
        <v>300</v>
      </c>
      <c r="D196">
        <f t="shared" ca="1" si="23"/>
        <v>5.49</v>
      </c>
      <c r="E196">
        <f t="shared" ca="1" si="18"/>
        <v>-70</v>
      </c>
      <c r="F196">
        <f t="shared" ca="1" si="19"/>
        <v>810</v>
      </c>
      <c r="G196" s="3" t="b">
        <f ca="1">INDEX(dict_zul_Var_Meth[kval_active],MATCH(table_Methods[[#This Row],[ID]],dict_zul_Var_Meth[ID_Methods],0))</f>
        <v>0</v>
      </c>
      <c r="H196">
        <f t="shared" ca="1" si="20"/>
        <v>27384</v>
      </c>
      <c r="I196">
        <f t="shared" ca="1" si="21"/>
        <v>608</v>
      </c>
    </row>
    <row r="197" spans="1:9" x14ac:dyDescent="0.45">
      <c r="A197">
        <v>195</v>
      </c>
      <c r="B197" t="str">
        <f>CONCATENATE("Methode ",table_Methods[[#This Row],[ID]])</f>
        <v>Methode 195</v>
      </c>
      <c r="C197">
        <f t="shared" ca="1" si="22"/>
        <v>88</v>
      </c>
      <c r="D197">
        <f t="shared" ca="1" si="23"/>
        <v>3.03</v>
      </c>
      <c r="E197">
        <f t="shared" ca="1" si="18"/>
        <v>-80</v>
      </c>
      <c r="F197">
        <f t="shared" ca="1" si="19"/>
        <v>1000</v>
      </c>
      <c r="G197" s="3" t="b">
        <f ca="1">INDEX(dict_zul_Var_Meth[kval_active],MATCH(table_Methods[[#This Row],[ID]],dict_zul_Var_Meth[ID_Methods],0))</f>
        <v>0</v>
      </c>
      <c r="H197">
        <f t="shared" ca="1" si="20"/>
        <v>33047</v>
      </c>
      <c r="I197">
        <f t="shared" ca="1" si="21"/>
        <v>544</v>
      </c>
    </row>
    <row r="198" spans="1:9" x14ac:dyDescent="0.45">
      <c r="A198">
        <v>196</v>
      </c>
      <c r="B198" t="str">
        <f>CONCATENATE("Methode ",table_Methods[[#This Row],[ID]])</f>
        <v>Methode 196</v>
      </c>
      <c r="C198">
        <f t="shared" ca="1" si="22"/>
        <v>2300</v>
      </c>
      <c r="D198">
        <f t="shared" ca="1" si="23"/>
        <v>4.87</v>
      </c>
      <c r="E198">
        <f t="shared" ca="1" si="18"/>
        <v>-50</v>
      </c>
      <c r="F198">
        <f t="shared" ca="1" si="19"/>
        <v>730</v>
      </c>
      <c r="G198" s="3" t="b">
        <f ca="1">INDEX(dict_zul_Var_Meth[kval_active],MATCH(table_Methods[[#This Row],[ID]],dict_zul_Var_Meth[ID_Methods],0))</f>
        <v>0</v>
      </c>
      <c r="H198">
        <f t="shared" ca="1" si="20"/>
        <v>2810</v>
      </c>
      <c r="I198">
        <f t="shared" ca="1" si="21"/>
        <v>21760</v>
      </c>
    </row>
    <row r="199" spans="1:9" x14ac:dyDescent="0.45">
      <c r="A199">
        <v>197</v>
      </c>
      <c r="B199" t="str">
        <f>CONCATENATE("Methode ",table_Methods[[#This Row],[ID]])</f>
        <v>Methode 197</v>
      </c>
      <c r="C199">
        <f t="shared" ca="1" si="22"/>
        <v>30</v>
      </c>
      <c r="D199">
        <f t="shared" ca="1" si="23"/>
        <v>7.1</v>
      </c>
      <c r="E199">
        <f t="shared" ca="1" si="18"/>
        <v>-70</v>
      </c>
      <c r="F199">
        <f t="shared" ca="1" si="19"/>
        <v>640</v>
      </c>
      <c r="G199" s="3" t="b">
        <f ca="1">INDEX(dict_zul_Var_Meth[kval_active],MATCH(table_Methods[[#This Row],[ID]],dict_zul_Var_Meth[ID_Methods],0))</f>
        <v>0</v>
      </c>
      <c r="H199">
        <f t="shared" ca="1" si="20"/>
        <v>5373</v>
      </c>
      <c r="I199">
        <f t="shared" ca="1" si="21"/>
        <v>41984</v>
      </c>
    </row>
    <row r="200" spans="1:9" x14ac:dyDescent="0.45">
      <c r="A200">
        <v>198</v>
      </c>
      <c r="B200" t="str">
        <f>CONCATENATE("Methode ",table_Methods[[#This Row],[ID]])</f>
        <v>Methode 198</v>
      </c>
      <c r="C200">
        <f t="shared" ca="1" si="22"/>
        <v>4</v>
      </c>
      <c r="D200">
        <f t="shared" ca="1" si="23"/>
        <v>5.28</v>
      </c>
      <c r="E200">
        <f t="shared" ca="1" si="18"/>
        <v>-20</v>
      </c>
      <c r="F200">
        <f t="shared" ca="1" si="19"/>
        <v>40</v>
      </c>
      <c r="G200" s="3" t="b">
        <f ca="1">INDEX(dict_zul_Var_Meth[kval_active],MATCH(table_Methods[[#This Row],[ID]],dict_zul_Var_Meth[ID_Methods],0))</f>
        <v>0</v>
      </c>
      <c r="H200">
        <f t="shared" ca="1" si="20"/>
        <v>20328</v>
      </c>
      <c r="I200">
        <f t="shared" ca="1" si="21"/>
        <v>72</v>
      </c>
    </row>
    <row r="201" spans="1:9" x14ac:dyDescent="0.45">
      <c r="A201">
        <v>199</v>
      </c>
      <c r="B201" t="str">
        <f>CONCATENATE("Methode ",table_Methods[[#This Row],[ID]])</f>
        <v>Methode 199</v>
      </c>
      <c r="C201">
        <f t="shared" ca="1" si="22"/>
        <v>2200</v>
      </c>
      <c r="D201">
        <f t="shared" ca="1" si="23"/>
        <v>0.3</v>
      </c>
      <c r="E201">
        <f t="shared" ca="1" si="18"/>
        <v>-90</v>
      </c>
      <c r="F201">
        <f t="shared" ca="1" si="19"/>
        <v>200</v>
      </c>
      <c r="G201" s="3" t="b">
        <f ca="1">INDEX(dict_zul_Var_Meth[kval_active],MATCH(table_Methods[[#This Row],[ID]],dict_zul_Var_Meth[ID_Methods],0))</f>
        <v>0</v>
      </c>
      <c r="H201">
        <f t="shared" ca="1" si="20"/>
        <v>21616</v>
      </c>
      <c r="I201">
        <f t="shared" ca="1" si="21"/>
        <v>2816</v>
      </c>
    </row>
    <row r="202" spans="1:9" x14ac:dyDescent="0.45">
      <c r="A202">
        <v>200</v>
      </c>
      <c r="B202" t="str">
        <f>CONCATENATE("Methode ",table_Methods[[#This Row],[ID]])</f>
        <v>Methode 200</v>
      </c>
      <c r="C202">
        <f t="shared" ca="1" si="22"/>
        <v>610</v>
      </c>
      <c r="D202">
        <f t="shared" ca="1" si="23"/>
        <v>7.37</v>
      </c>
      <c r="E202">
        <f t="shared" ca="1" si="18"/>
        <v>-90</v>
      </c>
      <c r="F202">
        <f t="shared" ca="1" si="19"/>
        <v>810</v>
      </c>
      <c r="G202" s="3" t="b">
        <f ca="1">INDEX(dict_zul_Var_Meth[kval_active],MATCH(table_Methods[[#This Row],[ID]],dict_zul_Var_Meth[ID_Methods],0))</f>
        <v>0</v>
      </c>
      <c r="H202">
        <f t="shared" ca="1" si="20"/>
        <v>33210</v>
      </c>
      <c r="I202">
        <f t="shared" ca="1" si="21"/>
        <v>304</v>
      </c>
    </row>
    <row r="203" spans="1:9" x14ac:dyDescent="0.45">
      <c r="A203">
        <v>201</v>
      </c>
      <c r="B203" t="str">
        <f>CONCATENATE("Methode ",table_Methods[[#This Row],[ID]])</f>
        <v>Methode 201</v>
      </c>
      <c r="C203">
        <f t="shared" ca="1" si="22"/>
        <v>46.000000000000007</v>
      </c>
      <c r="D203">
        <f t="shared" ca="1" si="23"/>
        <v>6.09</v>
      </c>
      <c r="E203">
        <f t="shared" ca="1" si="18"/>
        <v>-80</v>
      </c>
      <c r="F203">
        <f t="shared" ca="1" si="19"/>
        <v>970</v>
      </c>
      <c r="G203" s="3" t="b">
        <f ca="1">INDEX(dict_zul_Var_Meth[kval_active],MATCH(table_Methods[[#This Row],[ID]],dict_zul_Var_Meth[ID_Methods],0))</f>
        <v>0</v>
      </c>
      <c r="H203">
        <f t="shared" ca="1" si="20"/>
        <v>4730</v>
      </c>
      <c r="I203">
        <f t="shared" ca="1" si="21"/>
        <v>296</v>
      </c>
    </row>
    <row r="204" spans="1:9" x14ac:dyDescent="0.45">
      <c r="A204">
        <v>202</v>
      </c>
      <c r="B204" t="str">
        <f>CONCATENATE("Methode ",table_Methods[[#This Row],[ID]])</f>
        <v>Methode 202</v>
      </c>
      <c r="C204">
        <f t="shared" ca="1" si="22"/>
        <v>2100</v>
      </c>
      <c r="D204">
        <f t="shared" ca="1" si="23"/>
        <v>2.34</v>
      </c>
      <c r="E204">
        <f t="shared" ca="1" si="18"/>
        <v>30</v>
      </c>
      <c r="F204">
        <f t="shared" ca="1" si="19"/>
        <v>870</v>
      </c>
      <c r="G204" s="3" t="b">
        <f ca="1">INDEX(dict_zul_Var_Meth[kval_active],MATCH(table_Methods[[#This Row],[ID]],dict_zul_Var_Meth[ID_Methods],0))</f>
        <v>0</v>
      </c>
      <c r="H204">
        <f t="shared" ca="1" si="20"/>
        <v>3783</v>
      </c>
      <c r="I204">
        <f t="shared" ca="1" si="21"/>
        <v>186</v>
      </c>
    </row>
    <row r="205" spans="1:9" x14ac:dyDescent="0.45">
      <c r="A205">
        <v>203</v>
      </c>
      <c r="B205" t="str">
        <f>CONCATENATE("Methode ",table_Methods[[#This Row],[ID]])</f>
        <v>Methode 203</v>
      </c>
      <c r="C205">
        <f t="shared" ca="1" si="22"/>
        <v>20</v>
      </c>
      <c r="D205">
        <f t="shared" ca="1" si="23"/>
        <v>3.24</v>
      </c>
      <c r="E205">
        <f t="shared" ca="1" si="18"/>
        <v>-90</v>
      </c>
      <c r="F205">
        <f t="shared" ca="1" si="19"/>
        <v>930</v>
      </c>
      <c r="G205" s="3" t="b">
        <f ca="1">INDEX(dict_zul_Var_Meth[kval_active],MATCH(table_Methods[[#This Row],[ID]],dict_zul_Var_Meth[ID_Methods],0))</f>
        <v>0</v>
      </c>
      <c r="H205">
        <f t="shared" ca="1" si="20"/>
        <v>7020</v>
      </c>
      <c r="I205">
        <f t="shared" ca="1" si="21"/>
        <v>5440</v>
      </c>
    </row>
    <row r="206" spans="1:9" x14ac:dyDescent="0.45">
      <c r="A206">
        <v>204</v>
      </c>
      <c r="B206" t="str">
        <f>CONCATENATE("Methode ",table_Methods[[#This Row],[ID]])</f>
        <v>Methode 204</v>
      </c>
      <c r="C206">
        <f t="shared" ca="1" si="22"/>
        <v>300</v>
      </c>
      <c r="D206">
        <f t="shared" ca="1" si="23"/>
        <v>0.84</v>
      </c>
      <c r="E206">
        <f t="shared" ca="1" si="18"/>
        <v>-40</v>
      </c>
      <c r="F206">
        <f t="shared" ca="1" si="19"/>
        <v>280</v>
      </c>
      <c r="G206" s="3" t="b">
        <f ca="1">INDEX(dict_zul_Var_Meth[kval_active],MATCH(table_Methods[[#This Row],[ID]],dict_zul_Var_Meth[ID_Methods],0))</f>
        <v>0</v>
      </c>
      <c r="H206">
        <f t="shared" ca="1" si="20"/>
        <v>4609</v>
      </c>
      <c r="I206">
        <f t="shared" ca="1" si="21"/>
        <v>3584</v>
      </c>
    </row>
    <row r="207" spans="1:9" x14ac:dyDescent="0.45">
      <c r="A207">
        <v>205</v>
      </c>
      <c r="B207" t="str">
        <f>CONCATENATE("Methode ",table_Methods[[#This Row],[ID]])</f>
        <v>Methode 205</v>
      </c>
      <c r="C207">
        <f t="shared" ca="1" si="22"/>
        <v>83</v>
      </c>
      <c r="D207">
        <f t="shared" ca="1" si="23"/>
        <v>4.22</v>
      </c>
      <c r="E207">
        <f t="shared" ca="1" si="18"/>
        <v>-10</v>
      </c>
      <c r="F207">
        <f t="shared" ca="1" si="19"/>
        <v>500</v>
      </c>
      <c r="G207" s="3" t="b">
        <f ca="1">INDEX(dict_zul_Var_Meth[kval_active],MATCH(table_Methods[[#This Row],[ID]],dict_zul_Var_Meth[ID_Methods],0))</f>
        <v>0</v>
      </c>
      <c r="H207">
        <f t="shared" ca="1" si="20"/>
        <v>8910</v>
      </c>
      <c r="I207">
        <f t="shared" ca="1" si="21"/>
        <v>3008</v>
      </c>
    </row>
    <row r="208" spans="1:9" x14ac:dyDescent="0.45">
      <c r="A208">
        <v>206</v>
      </c>
      <c r="B208" t="str">
        <f>CONCATENATE("Methode ",table_Methods[[#This Row],[ID]])</f>
        <v>Methode 206</v>
      </c>
      <c r="C208">
        <f t="shared" ca="1" si="22"/>
        <v>38</v>
      </c>
      <c r="D208">
        <f t="shared" ca="1" si="23"/>
        <v>6.82</v>
      </c>
      <c r="E208">
        <f t="shared" ca="1" si="18"/>
        <v>20</v>
      </c>
      <c r="F208">
        <f t="shared" ca="1" si="19"/>
        <v>420</v>
      </c>
      <c r="G208" s="3" t="b">
        <f ca="1">INDEX(dict_zul_Var_Meth[kval_active],MATCH(table_Methods[[#This Row],[ID]],dict_zul_Var_Meth[ID_Methods],0))</f>
        <v>0</v>
      </c>
      <c r="H208">
        <f t="shared" ca="1" si="20"/>
        <v>2398</v>
      </c>
      <c r="I208">
        <f t="shared" ca="1" si="21"/>
        <v>464</v>
      </c>
    </row>
    <row r="209" spans="1:9" x14ac:dyDescent="0.45">
      <c r="A209">
        <v>207</v>
      </c>
      <c r="B209" t="str">
        <f>CONCATENATE("Methode ",table_Methods[[#This Row],[ID]])</f>
        <v>Methode 207</v>
      </c>
      <c r="C209">
        <f t="shared" ca="1" si="22"/>
        <v>63.000000000000007</v>
      </c>
      <c r="D209">
        <f t="shared" ca="1" si="23"/>
        <v>0.84</v>
      </c>
      <c r="E209">
        <f t="shared" ca="1" si="18"/>
        <v>-50</v>
      </c>
      <c r="F209">
        <f t="shared" ca="1" si="19"/>
        <v>570</v>
      </c>
      <c r="G209" s="3" t="b">
        <f ca="1">INDEX(dict_zul_Var_Meth[kval_active],MATCH(table_Methods[[#This Row],[ID]],dict_zul_Var_Meth[ID_Methods],0))</f>
        <v>0</v>
      </c>
      <c r="H209">
        <f t="shared" ca="1" si="20"/>
        <v>32544</v>
      </c>
      <c r="I209">
        <f t="shared" ca="1" si="21"/>
        <v>68608</v>
      </c>
    </row>
    <row r="210" spans="1:9" x14ac:dyDescent="0.45">
      <c r="A210">
        <v>208</v>
      </c>
      <c r="B210" t="str">
        <f>CONCATENATE("Methode ",table_Methods[[#This Row],[ID]])</f>
        <v>Methode 208</v>
      </c>
      <c r="C210">
        <f t="shared" ca="1" si="22"/>
        <v>1300</v>
      </c>
      <c r="D210">
        <f t="shared" ca="1" si="23"/>
        <v>9.2899999999999991</v>
      </c>
      <c r="E210">
        <f t="shared" ca="1" si="18"/>
        <v>20</v>
      </c>
      <c r="F210">
        <f t="shared" ca="1" si="19"/>
        <v>900</v>
      </c>
      <c r="G210" s="3" t="b">
        <f ca="1">INDEX(dict_zul_Var_Meth[kval_active],MATCH(table_Methods[[#This Row],[ID]],dict_zul_Var_Meth[ID_Methods],0))</f>
        <v>0</v>
      </c>
      <c r="H210">
        <f t="shared" ca="1" si="20"/>
        <v>40626</v>
      </c>
      <c r="I210">
        <f t="shared" ca="1" si="21"/>
        <v>78848</v>
      </c>
    </row>
    <row r="211" spans="1:9" x14ac:dyDescent="0.45">
      <c r="A211">
        <v>209</v>
      </c>
      <c r="B211" t="str">
        <f>CONCATENATE("Methode ",table_Methods[[#This Row],[ID]])</f>
        <v>Methode 209</v>
      </c>
      <c r="C211">
        <f t="shared" ca="1" si="22"/>
        <v>330</v>
      </c>
      <c r="D211">
        <f t="shared" ca="1" si="23"/>
        <v>7.28</v>
      </c>
      <c r="E211">
        <f t="shared" ca="1" si="18"/>
        <v>10</v>
      </c>
      <c r="F211">
        <f t="shared" ca="1" si="19"/>
        <v>320</v>
      </c>
      <c r="G211" s="3" t="b">
        <f ca="1">INDEX(dict_zul_Var_Meth[kval_active],MATCH(table_Methods[[#This Row],[ID]],dict_zul_Var_Meth[ID_Methods],0))</f>
        <v>0</v>
      </c>
      <c r="H211">
        <f t="shared" ca="1" si="20"/>
        <v>26888</v>
      </c>
      <c r="I211">
        <f t="shared" ca="1" si="21"/>
        <v>11776</v>
      </c>
    </row>
    <row r="212" spans="1:9" x14ac:dyDescent="0.45">
      <c r="A212">
        <v>210</v>
      </c>
      <c r="B212" t="str">
        <f>CONCATENATE("Methode ",table_Methods[[#This Row],[ID]])</f>
        <v>Methode 210</v>
      </c>
      <c r="C212">
        <f t="shared" ca="1" si="22"/>
        <v>7500</v>
      </c>
      <c r="D212">
        <f t="shared" ca="1" si="23"/>
        <v>9.68</v>
      </c>
      <c r="E212">
        <f t="shared" ca="1" si="18"/>
        <v>-10</v>
      </c>
      <c r="F212">
        <f t="shared" ca="1" si="19"/>
        <v>900</v>
      </c>
      <c r="G212" s="3" t="b">
        <f ca="1">INDEX(dict_zul_Var_Meth[kval_active],MATCH(table_Methods[[#This Row],[ID]],dict_zul_Var_Meth[ID_Methods],0))</f>
        <v>1</v>
      </c>
      <c r="H212">
        <f t="shared" ca="1" si="20"/>
        <v>37854</v>
      </c>
      <c r="I212">
        <f t="shared" ca="1" si="21"/>
        <v>4416</v>
      </c>
    </row>
    <row r="213" spans="1:9" x14ac:dyDescent="0.45">
      <c r="A213">
        <v>211</v>
      </c>
      <c r="B213" t="str">
        <f>CONCATENATE("Methode ",table_Methods[[#This Row],[ID]])</f>
        <v>Methode 211</v>
      </c>
      <c r="C213">
        <f t="shared" ca="1" si="22"/>
        <v>27</v>
      </c>
      <c r="D213">
        <f t="shared" ca="1" si="23"/>
        <v>2.15</v>
      </c>
      <c r="E213">
        <f t="shared" ca="1" si="18"/>
        <v>-30</v>
      </c>
      <c r="F213">
        <f t="shared" ca="1" si="19"/>
        <v>280</v>
      </c>
      <c r="G213" s="3" t="b">
        <f ca="1">INDEX(dict_zul_Var_Meth[kval_active],MATCH(table_Methods[[#This Row],[ID]],dict_zul_Var_Meth[ID_Methods],0))</f>
        <v>0</v>
      </c>
      <c r="H213">
        <f t="shared" ca="1" si="20"/>
        <v>6603</v>
      </c>
      <c r="I213">
        <f t="shared" ca="1" si="21"/>
        <v>48</v>
      </c>
    </row>
    <row r="214" spans="1:9" x14ac:dyDescent="0.45">
      <c r="A214">
        <v>212</v>
      </c>
      <c r="B214" t="str">
        <f>CONCATENATE("Methode ",table_Methods[[#This Row],[ID]])</f>
        <v>Methode 212</v>
      </c>
      <c r="C214">
        <f t="shared" ca="1" si="22"/>
        <v>4700</v>
      </c>
      <c r="D214">
        <f t="shared" ca="1" si="23"/>
        <v>6.39</v>
      </c>
      <c r="E214">
        <f t="shared" ca="1" si="18"/>
        <v>-70</v>
      </c>
      <c r="F214">
        <f t="shared" ca="1" si="19"/>
        <v>660</v>
      </c>
      <c r="G214" s="3" t="b">
        <f ca="1">INDEX(dict_zul_Var_Meth[kval_active],MATCH(table_Methods[[#This Row],[ID]],dict_zul_Var_Meth[ID_Methods],0))</f>
        <v>0</v>
      </c>
      <c r="H214">
        <f t="shared" ca="1" si="20"/>
        <v>3611</v>
      </c>
      <c r="I214">
        <f t="shared" ca="1" si="21"/>
        <v>156</v>
      </c>
    </row>
    <row r="215" spans="1:9" x14ac:dyDescent="0.45">
      <c r="A215">
        <v>213</v>
      </c>
      <c r="B215" t="str">
        <f>CONCATENATE("Methode ",table_Methods[[#This Row],[ID]])</f>
        <v>Methode 213</v>
      </c>
      <c r="C215">
        <f t="shared" ca="1" si="22"/>
        <v>57</v>
      </c>
      <c r="D215">
        <f t="shared" ca="1" si="23"/>
        <v>9.44</v>
      </c>
      <c r="E215">
        <f t="shared" ca="1" si="18"/>
        <v>-90</v>
      </c>
      <c r="F215">
        <f t="shared" ca="1" si="19"/>
        <v>500</v>
      </c>
      <c r="G215" s="3" t="b">
        <f ca="1">INDEX(dict_zul_Var_Meth[kval_active],MATCH(table_Methods[[#This Row],[ID]],dict_zul_Var_Meth[ID_Methods],0))</f>
        <v>0</v>
      </c>
      <c r="H215">
        <f t="shared" ca="1" si="20"/>
        <v>16985</v>
      </c>
      <c r="I215">
        <f t="shared" ca="1" si="21"/>
        <v>416</v>
      </c>
    </row>
    <row r="216" spans="1:9" x14ac:dyDescent="0.45">
      <c r="A216">
        <v>214</v>
      </c>
      <c r="B216" t="str">
        <f>CONCATENATE("Methode ",table_Methods[[#This Row],[ID]])</f>
        <v>Methode 214</v>
      </c>
      <c r="C216">
        <f t="shared" ca="1" si="22"/>
        <v>460</v>
      </c>
      <c r="D216">
        <f t="shared" ca="1" si="23"/>
        <v>8.2200000000000006</v>
      </c>
      <c r="E216">
        <f t="shared" ca="1" si="18"/>
        <v>-50</v>
      </c>
      <c r="F216">
        <f t="shared" ca="1" si="19"/>
        <v>720</v>
      </c>
      <c r="G216" s="3" t="b">
        <f ca="1">INDEX(dict_zul_Var_Meth[kval_active],MATCH(table_Methods[[#This Row],[ID]],dict_zul_Var_Meth[ID_Methods],0))</f>
        <v>0</v>
      </c>
      <c r="H216">
        <f t="shared" ca="1" si="20"/>
        <v>10941</v>
      </c>
      <c r="I216">
        <f t="shared" ca="1" si="21"/>
        <v>312</v>
      </c>
    </row>
    <row r="217" spans="1:9" x14ac:dyDescent="0.45">
      <c r="A217">
        <v>215</v>
      </c>
      <c r="B217" t="str">
        <f>CONCATENATE("Methode ",table_Methods[[#This Row],[ID]])</f>
        <v>Methode 215</v>
      </c>
      <c r="C217">
        <f t="shared" ca="1" si="22"/>
        <v>910</v>
      </c>
      <c r="D217">
        <f t="shared" ca="1" si="23"/>
        <v>5.77</v>
      </c>
      <c r="E217">
        <f t="shared" ca="1" si="18"/>
        <v>-50</v>
      </c>
      <c r="F217">
        <f t="shared" ca="1" si="19"/>
        <v>80</v>
      </c>
      <c r="G217" s="3" t="b">
        <f ca="1">INDEX(dict_zul_Var_Meth[kval_active],MATCH(table_Methods[[#This Row],[ID]],dict_zul_Var_Meth[ID_Methods],0))</f>
        <v>0</v>
      </c>
      <c r="H217">
        <f t="shared" ca="1" si="20"/>
        <v>37472</v>
      </c>
      <c r="I217">
        <f t="shared" ca="1" si="21"/>
        <v>176</v>
      </c>
    </row>
    <row r="218" spans="1:9" x14ac:dyDescent="0.45">
      <c r="A218">
        <v>216</v>
      </c>
      <c r="B218" t="str">
        <f>CONCATENATE("Methode ",table_Methods[[#This Row],[ID]])</f>
        <v>Methode 216</v>
      </c>
      <c r="C218">
        <f t="shared" ca="1" si="22"/>
        <v>810</v>
      </c>
      <c r="D218">
        <f t="shared" ca="1" si="23"/>
        <v>1.1100000000000001</v>
      </c>
      <c r="E218">
        <f t="shared" ca="1" si="18"/>
        <v>0</v>
      </c>
      <c r="F218">
        <f t="shared" ca="1" si="19"/>
        <v>750</v>
      </c>
      <c r="G218" s="3" t="b">
        <f ca="1">INDEX(dict_zul_Var_Meth[kval_active],MATCH(table_Methods[[#This Row],[ID]],dict_zul_Var_Meth[ID_Methods],0))</f>
        <v>0</v>
      </c>
      <c r="H218">
        <f t="shared" ca="1" si="20"/>
        <v>15880</v>
      </c>
      <c r="I218">
        <f t="shared" ca="1" si="21"/>
        <v>67584</v>
      </c>
    </row>
    <row r="219" spans="1:9" x14ac:dyDescent="0.45">
      <c r="A219">
        <v>217</v>
      </c>
      <c r="B219" t="str">
        <f>CONCATENATE("Methode ",table_Methods[[#This Row],[ID]])</f>
        <v>Methode 217</v>
      </c>
      <c r="C219">
        <f t="shared" ca="1" si="22"/>
        <v>5</v>
      </c>
      <c r="D219">
        <f t="shared" ca="1" si="23"/>
        <v>7.94</v>
      </c>
      <c r="E219">
        <f t="shared" ca="1" si="18"/>
        <v>-30</v>
      </c>
      <c r="F219">
        <f t="shared" ca="1" si="19"/>
        <v>970</v>
      </c>
      <c r="G219" s="3" t="b">
        <f ca="1">INDEX(dict_zul_Var_Meth[kval_active],MATCH(table_Methods[[#This Row],[ID]],dict_zul_Var_Meth[ID_Methods],0))</f>
        <v>0</v>
      </c>
      <c r="H219">
        <f t="shared" ca="1" si="20"/>
        <v>13048</v>
      </c>
      <c r="I219">
        <f t="shared" ca="1" si="21"/>
        <v>6336</v>
      </c>
    </row>
    <row r="220" spans="1:9" x14ac:dyDescent="0.45">
      <c r="A220">
        <v>218</v>
      </c>
      <c r="B220" t="str">
        <f>CONCATENATE("Methode ",table_Methods[[#This Row],[ID]])</f>
        <v>Methode 218</v>
      </c>
      <c r="C220">
        <f t="shared" ca="1" si="22"/>
        <v>48.000000000000007</v>
      </c>
      <c r="D220">
        <f t="shared" ca="1" si="23"/>
        <v>7.31</v>
      </c>
      <c r="E220">
        <f t="shared" ca="1" si="18"/>
        <v>-90</v>
      </c>
      <c r="F220">
        <f t="shared" ca="1" si="19"/>
        <v>190</v>
      </c>
      <c r="G220" s="3" t="b">
        <f ca="1">INDEX(dict_zul_Var_Meth[kval_active],MATCH(table_Methods[[#This Row],[ID]],dict_zul_Var_Meth[ID_Methods],0))</f>
        <v>0</v>
      </c>
      <c r="H220">
        <f t="shared" ca="1" si="20"/>
        <v>27288</v>
      </c>
      <c r="I220">
        <f t="shared" ca="1" si="21"/>
        <v>4864</v>
      </c>
    </row>
    <row r="221" spans="1:9" x14ac:dyDescent="0.45">
      <c r="A221">
        <v>219</v>
      </c>
      <c r="B221" t="str">
        <f>CONCATENATE("Methode ",table_Methods[[#This Row],[ID]])</f>
        <v>Methode 219</v>
      </c>
      <c r="C221">
        <f t="shared" ca="1" si="22"/>
        <v>85</v>
      </c>
      <c r="D221">
        <f t="shared" ca="1" si="23"/>
        <v>5.78</v>
      </c>
      <c r="E221">
        <f t="shared" ca="1" si="18"/>
        <v>0</v>
      </c>
      <c r="F221">
        <f t="shared" ca="1" si="19"/>
        <v>150</v>
      </c>
      <c r="G221" s="3" t="b">
        <f ca="1">INDEX(dict_zul_Var_Meth[kval_active],MATCH(table_Methods[[#This Row],[ID]],dict_zul_Var_Meth[ID_Methods],0))</f>
        <v>0</v>
      </c>
      <c r="H221">
        <f t="shared" ca="1" si="20"/>
        <v>17088</v>
      </c>
      <c r="I221">
        <f t="shared" ca="1" si="21"/>
        <v>960</v>
      </c>
    </row>
    <row r="222" spans="1:9" x14ac:dyDescent="0.45">
      <c r="A222">
        <v>220</v>
      </c>
      <c r="B222" t="str">
        <f>CONCATENATE("Methode ",table_Methods[[#This Row],[ID]])</f>
        <v>Methode 220</v>
      </c>
      <c r="C222">
        <f t="shared" ca="1" si="22"/>
        <v>4100</v>
      </c>
      <c r="D222">
        <f t="shared" ca="1" si="23"/>
        <v>9.1199999999999992</v>
      </c>
      <c r="E222">
        <f t="shared" ca="1" si="18"/>
        <v>-60</v>
      </c>
      <c r="F222">
        <f t="shared" ca="1" si="19"/>
        <v>740</v>
      </c>
      <c r="G222" s="3" t="b">
        <f ca="1">INDEX(dict_zul_Var_Meth[kval_active],MATCH(table_Methods[[#This Row],[ID]],dict_zul_Var_Meth[ID_Methods],0))</f>
        <v>0</v>
      </c>
      <c r="H222">
        <f t="shared" ca="1" si="20"/>
        <v>11465</v>
      </c>
      <c r="I222">
        <f t="shared" ca="1" si="21"/>
        <v>194</v>
      </c>
    </row>
    <row r="223" spans="1:9" x14ac:dyDescent="0.45">
      <c r="A223">
        <v>221</v>
      </c>
      <c r="B223" t="str">
        <f>CONCATENATE("Methode ",table_Methods[[#This Row],[ID]])</f>
        <v>Methode 221</v>
      </c>
      <c r="C223">
        <f t="shared" ca="1" si="22"/>
        <v>6200</v>
      </c>
      <c r="D223">
        <f t="shared" ca="1" si="23"/>
        <v>7.62</v>
      </c>
      <c r="E223">
        <f t="shared" ca="1" si="18"/>
        <v>10</v>
      </c>
      <c r="F223">
        <f t="shared" ca="1" si="19"/>
        <v>110</v>
      </c>
      <c r="G223" s="3" t="b">
        <f ca="1">INDEX(dict_zul_Var_Meth[kval_active],MATCH(table_Methods[[#This Row],[ID]],dict_zul_Var_Meth[ID_Methods],0))</f>
        <v>0</v>
      </c>
      <c r="H223">
        <f t="shared" ca="1" si="20"/>
        <v>13904</v>
      </c>
      <c r="I223">
        <f t="shared" ca="1" si="21"/>
        <v>5760</v>
      </c>
    </row>
    <row r="224" spans="1:9" x14ac:dyDescent="0.45">
      <c r="A224">
        <v>222</v>
      </c>
      <c r="B224" t="str">
        <f>CONCATENATE("Methode ",table_Methods[[#This Row],[ID]])</f>
        <v>Methode 222</v>
      </c>
      <c r="C224">
        <f t="shared" ca="1" si="22"/>
        <v>800</v>
      </c>
      <c r="D224">
        <f t="shared" ca="1" si="23"/>
        <v>0.23</v>
      </c>
      <c r="E224">
        <f t="shared" ca="1" si="18"/>
        <v>-90</v>
      </c>
      <c r="F224">
        <f t="shared" ca="1" si="19"/>
        <v>630</v>
      </c>
      <c r="G224" s="3" t="b">
        <f ca="1">INDEX(dict_zul_Var_Meth[kval_active],MATCH(table_Methods[[#This Row],[ID]],dict_zul_Var_Meth[ID_Methods],0))</f>
        <v>0</v>
      </c>
      <c r="H224">
        <f t="shared" ca="1" si="20"/>
        <v>38472</v>
      </c>
      <c r="I224">
        <f t="shared" ca="1" si="21"/>
        <v>176</v>
      </c>
    </row>
    <row r="225" spans="1:9" x14ac:dyDescent="0.45">
      <c r="A225">
        <v>223</v>
      </c>
      <c r="B225" t="str">
        <f>CONCATENATE("Methode ",table_Methods[[#This Row],[ID]])</f>
        <v>Methode 223</v>
      </c>
      <c r="C225">
        <f t="shared" ca="1" si="22"/>
        <v>600</v>
      </c>
      <c r="D225">
        <f t="shared" ca="1" si="23"/>
        <v>3.07</v>
      </c>
      <c r="E225">
        <f t="shared" ca="1" si="18"/>
        <v>-40</v>
      </c>
      <c r="F225">
        <f t="shared" ca="1" si="19"/>
        <v>420</v>
      </c>
      <c r="G225" s="3" t="b">
        <f ca="1">INDEX(dict_zul_Var_Meth[kval_active],MATCH(table_Methods[[#This Row],[ID]],dict_zul_Var_Meth[ID_Methods],0))</f>
        <v>0</v>
      </c>
      <c r="H225">
        <f t="shared" ca="1" si="20"/>
        <v>930</v>
      </c>
      <c r="I225">
        <f t="shared" ca="1" si="21"/>
        <v>20</v>
      </c>
    </row>
    <row r="226" spans="1:9" x14ac:dyDescent="0.45">
      <c r="A226">
        <v>224</v>
      </c>
      <c r="B226" t="str">
        <f>CONCATENATE("Methode ",table_Methods[[#This Row],[ID]])</f>
        <v>Methode 224</v>
      </c>
      <c r="C226">
        <f t="shared" ca="1" si="22"/>
        <v>61.000000000000007</v>
      </c>
      <c r="D226">
        <f t="shared" ca="1" si="23"/>
        <v>9.3699999999999992</v>
      </c>
      <c r="E226">
        <f t="shared" ca="1" si="18"/>
        <v>10</v>
      </c>
      <c r="F226">
        <f t="shared" ca="1" si="19"/>
        <v>690</v>
      </c>
      <c r="G226" s="3" t="b">
        <f ca="1">INDEX(dict_zul_Var_Meth[kval_active],MATCH(table_Methods[[#This Row],[ID]],dict_zul_Var_Meth[ID_Methods],0))</f>
        <v>0</v>
      </c>
      <c r="H226">
        <f t="shared" ca="1" si="20"/>
        <v>1350</v>
      </c>
      <c r="I226">
        <f t="shared" ca="1" si="21"/>
        <v>336</v>
      </c>
    </row>
    <row r="227" spans="1:9" x14ac:dyDescent="0.45">
      <c r="A227">
        <v>225</v>
      </c>
      <c r="B227" t="str">
        <f>CONCATENATE("Methode ",table_Methods[[#This Row],[ID]])</f>
        <v>Methode 225</v>
      </c>
      <c r="C227">
        <f t="shared" ca="1" si="22"/>
        <v>58.000000000000007</v>
      </c>
      <c r="D227">
        <f t="shared" ca="1" si="23"/>
        <v>2</v>
      </c>
      <c r="E227">
        <f t="shared" ca="1" si="18"/>
        <v>-40</v>
      </c>
      <c r="F227">
        <f t="shared" ca="1" si="19"/>
        <v>600</v>
      </c>
      <c r="G227" s="3" t="b">
        <f ca="1">INDEX(dict_zul_Var_Meth[kval_active],MATCH(table_Methods[[#This Row],[ID]],dict_zul_Var_Meth[ID_Methods],0))</f>
        <v>0</v>
      </c>
      <c r="H227">
        <f t="shared" ca="1" si="20"/>
        <v>6848</v>
      </c>
      <c r="I227">
        <f t="shared" ca="1" si="21"/>
        <v>1152</v>
      </c>
    </row>
    <row r="228" spans="1:9" x14ac:dyDescent="0.45">
      <c r="A228">
        <v>226</v>
      </c>
      <c r="B228" t="str">
        <f>CONCATENATE("Methode ",table_Methods[[#This Row],[ID]])</f>
        <v>Methode 226</v>
      </c>
      <c r="C228">
        <f t="shared" ca="1" si="22"/>
        <v>10</v>
      </c>
      <c r="D228">
        <f t="shared" ca="1" si="23"/>
        <v>2.88</v>
      </c>
      <c r="E228">
        <f t="shared" ref="E228:E291" ca="1" si="24">RANDBETWEEN(-10,3)*10</f>
        <v>30</v>
      </c>
      <c r="F228">
        <f t="shared" ref="F228:F291" ca="1" si="25">RANDBETWEEN(2,100)*10</f>
        <v>240</v>
      </c>
      <c r="G228" s="3" t="b">
        <f ca="1">INDEX(dict_zul_Var_Meth[kval_active],MATCH(table_Methods[[#This Row],[ID]],dict_zul_Var_Meth[ID_Methods],0))</f>
        <v>0</v>
      </c>
      <c r="H228">
        <f t="shared" ref="H228:H291" ca="1" si="26">RANDBETWEEN(1,10)*RANDBETWEEN(1,5000)</f>
        <v>25560</v>
      </c>
      <c r="I228">
        <f t="shared" ref="I228:I291" ca="1" si="27">2^RANDBETWEEN(1,10)*RANDBETWEEN(1,100)</f>
        <v>1600</v>
      </c>
    </row>
    <row r="229" spans="1:9" x14ac:dyDescent="0.45">
      <c r="A229">
        <v>227</v>
      </c>
      <c r="B229" t="str">
        <f>CONCATENATE("Methode ",table_Methods[[#This Row],[ID]])</f>
        <v>Methode 227</v>
      </c>
      <c r="C229">
        <f t="shared" ca="1" si="22"/>
        <v>100</v>
      </c>
      <c r="D229">
        <f t="shared" ca="1" si="23"/>
        <v>4.3499999999999996</v>
      </c>
      <c r="E229">
        <f t="shared" ca="1" si="24"/>
        <v>-100</v>
      </c>
      <c r="F229">
        <f t="shared" ca="1" si="25"/>
        <v>340</v>
      </c>
      <c r="G229" s="3" t="b">
        <f ca="1">INDEX(dict_zul_Var_Meth[kval_active],MATCH(table_Methods[[#This Row],[ID]],dict_zul_Var_Meth[ID_Methods],0))</f>
        <v>0</v>
      </c>
      <c r="H229">
        <f t="shared" ca="1" si="26"/>
        <v>1032</v>
      </c>
      <c r="I229">
        <f t="shared" ca="1" si="27"/>
        <v>176</v>
      </c>
    </row>
    <row r="230" spans="1:9" x14ac:dyDescent="0.45">
      <c r="A230">
        <v>228</v>
      </c>
      <c r="B230" t="str">
        <f>CONCATENATE("Methode ",table_Methods[[#This Row],[ID]])</f>
        <v>Methode 228</v>
      </c>
      <c r="C230">
        <f t="shared" ca="1" si="22"/>
        <v>8700</v>
      </c>
      <c r="D230">
        <f t="shared" ca="1" si="23"/>
        <v>7.19</v>
      </c>
      <c r="E230">
        <f t="shared" ca="1" si="24"/>
        <v>0</v>
      </c>
      <c r="F230">
        <f t="shared" ca="1" si="25"/>
        <v>940</v>
      </c>
      <c r="G230" s="3" t="b">
        <f ca="1">INDEX(dict_zul_Var_Meth[kval_active],MATCH(table_Methods[[#This Row],[ID]],dict_zul_Var_Meth[ID_Methods],0))</f>
        <v>0</v>
      </c>
      <c r="H230">
        <f t="shared" ca="1" si="26"/>
        <v>20840</v>
      </c>
      <c r="I230">
        <f t="shared" ca="1" si="27"/>
        <v>9728</v>
      </c>
    </row>
    <row r="231" spans="1:9" x14ac:dyDescent="0.45">
      <c r="A231">
        <v>229</v>
      </c>
      <c r="B231" t="str">
        <f>CONCATENATE("Methode ",table_Methods[[#This Row],[ID]])</f>
        <v>Methode 229</v>
      </c>
      <c r="C231">
        <f t="shared" ca="1" si="22"/>
        <v>110</v>
      </c>
      <c r="D231">
        <f t="shared" ca="1" si="23"/>
        <v>5.44</v>
      </c>
      <c r="E231">
        <f t="shared" ca="1" si="24"/>
        <v>-40</v>
      </c>
      <c r="F231">
        <f t="shared" ca="1" si="25"/>
        <v>990</v>
      </c>
      <c r="G231" s="3" t="b">
        <f ca="1">INDEX(dict_zul_Var_Meth[kval_active],MATCH(table_Methods[[#This Row],[ID]],dict_zul_Var_Meth[ID_Methods],0))</f>
        <v>0</v>
      </c>
      <c r="H231">
        <f t="shared" ca="1" si="26"/>
        <v>16290</v>
      </c>
      <c r="I231">
        <f t="shared" ca="1" si="27"/>
        <v>12544</v>
      </c>
    </row>
    <row r="232" spans="1:9" x14ac:dyDescent="0.45">
      <c r="A232">
        <v>230</v>
      </c>
      <c r="B232" t="str">
        <f>CONCATENATE("Methode ",table_Methods[[#This Row],[ID]])</f>
        <v>Methode 230</v>
      </c>
      <c r="C232">
        <f t="shared" ca="1" si="22"/>
        <v>760</v>
      </c>
      <c r="D232">
        <f t="shared" ca="1" si="23"/>
        <v>0.41</v>
      </c>
      <c r="E232">
        <f t="shared" ca="1" si="24"/>
        <v>-30</v>
      </c>
      <c r="F232">
        <f t="shared" ca="1" si="25"/>
        <v>600</v>
      </c>
      <c r="G232" s="3" t="b">
        <f ca="1">INDEX(dict_zul_Var_Meth[kval_active],MATCH(table_Methods[[#This Row],[ID]],dict_zul_Var_Meth[ID_Methods],0))</f>
        <v>0</v>
      </c>
      <c r="H232">
        <f t="shared" ca="1" si="26"/>
        <v>5680</v>
      </c>
      <c r="I232">
        <f t="shared" ca="1" si="27"/>
        <v>32768</v>
      </c>
    </row>
    <row r="233" spans="1:9" x14ac:dyDescent="0.45">
      <c r="A233">
        <v>231</v>
      </c>
      <c r="B233" t="str">
        <f>CONCATENATE("Methode ",table_Methods[[#This Row],[ID]])</f>
        <v>Methode 231</v>
      </c>
      <c r="C233">
        <f t="shared" ca="1" si="22"/>
        <v>880</v>
      </c>
      <c r="D233">
        <f t="shared" ca="1" si="23"/>
        <v>8.7200000000000006</v>
      </c>
      <c r="E233">
        <f t="shared" ca="1" si="24"/>
        <v>10</v>
      </c>
      <c r="F233">
        <f t="shared" ca="1" si="25"/>
        <v>450</v>
      </c>
      <c r="G233" s="3" t="b">
        <f ca="1">INDEX(dict_zul_Var_Meth[kval_active],MATCH(table_Methods[[#This Row],[ID]],dict_zul_Var_Meth[ID_Methods],0))</f>
        <v>0</v>
      </c>
      <c r="H233">
        <f t="shared" ca="1" si="26"/>
        <v>115</v>
      </c>
      <c r="I233">
        <f t="shared" ca="1" si="27"/>
        <v>25600</v>
      </c>
    </row>
    <row r="234" spans="1:9" x14ac:dyDescent="0.45">
      <c r="A234">
        <v>232</v>
      </c>
      <c r="B234" t="str">
        <f>CONCATENATE("Methode ",table_Methods[[#This Row],[ID]])</f>
        <v>Methode 232</v>
      </c>
      <c r="C234">
        <f t="shared" ca="1" si="22"/>
        <v>660</v>
      </c>
      <c r="D234">
        <f t="shared" ca="1" si="23"/>
        <v>4.5199999999999996</v>
      </c>
      <c r="E234">
        <f t="shared" ca="1" si="24"/>
        <v>30</v>
      </c>
      <c r="F234">
        <f t="shared" ca="1" si="25"/>
        <v>670</v>
      </c>
      <c r="G234" s="3" t="b">
        <f ca="1">INDEX(dict_zul_Var_Meth[kval_active],MATCH(table_Methods[[#This Row],[ID]],dict_zul_Var_Meth[ID_Methods],0))</f>
        <v>0</v>
      </c>
      <c r="H234">
        <f t="shared" ca="1" si="26"/>
        <v>5488</v>
      </c>
      <c r="I234">
        <f t="shared" ca="1" si="27"/>
        <v>1120</v>
      </c>
    </row>
    <row r="235" spans="1:9" x14ac:dyDescent="0.45">
      <c r="A235">
        <v>233</v>
      </c>
      <c r="B235" t="str">
        <f>CONCATENATE("Methode ",table_Methods[[#This Row],[ID]])</f>
        <v>Methode 233</v>
      </c>
      <c r="C235">
        <f t="shared" ca="1" si="22"/>
        <v>5300</v>
      </c>
      <c r="D235">
        <f t="shared" ca="1" si="23"/>
        <v>4.3</v>
      </c>
      <c r="E235">
        <f t="shared" ca="1" si="24"/>
        <v>20</v>
      </c>
      <c r="F235">
        <f t="shared" ca="1" si="25"/>
        <v>800</v>
      </c>
      <c r="G235" s="3" t="b">
        <f ca="1">INDEX(dict_zul_Var_Meth[kval_active],MATCH(table_Methods[[#This Row],[ID]],dict_zul_Var_Meth[ID_Methods],0))</f>
        <v>0</v>
      </c>
      <c r="H235">
        <f t="shared" ca="1" si="26"/>
        <v>20752</v>
      </c>
      <c r="I235">
        <f t="shared" ca="1" si="27"/>
        <v>496</v>
      </c>
    </row>
    <row r="236" spans="1:9" x14ac:dyDescent="0.45">
      <c r="A236">
        <v>234</v>
      </c>
      <c r="B236" t="str">
        <f>CONCATENATE("Methode ",table_Methods[[#This Row],[ID]])</f>
        <v>Methode 234</v>
      </c>
      <c r="C236">
        <f t="shared" ca="1" si="22"/>
        <v>60</v>
      </c>
      <c r="D236">
        <f t="shared" ca="1" si="23"/>
        <v>1.45</v>
      </c>
      <c r="E236">
        <f t="shared" ca="1" si="24"/>
        <v>0</v>
      </c>
      <c r="F236">
        <f t="shared" ca="1" si="25"/>
        <v>110</v>
      </c>
      <c r="G236" s="3" t="b">
        <f ca="1">INDEX(dict_zul_Var_Meth[kval_active],MATCH(table_Methods[[#This Row],[ID]],dict_zul_Var_Meth[ID_Methods],0))</f>
        <v>0</v>
      </c>
      <c r="H236">
        <f t="shared" ca="1" si="26"/>
        <v>30168</v>
      </c>
      <c r="I236">
        <f t="shared" ca="1" si="27"/>
        <v>37888</v>
      </c>
    </row>
    <row r="237" spans="1:9" x14ac:dyDescent="0.45">
      <c r="A237">
        <v>235</v>
      </c>
      <c r="B237" t="str">
        <f>CONCATENATE("Methode ",table_Methods[[#This Row],[ID]])</f>
        <v>Methode 235</v>
      </c>
      <c r="C237">
        <f t="shared" ca="1" si="22"/>
        <v>79</v>
      </c>
      <c r="D237">
        <f t="shared" ca="1" si="23"/>
        <v>0.52</v>
      </c>
      <c r="E237">
        <f t="shared" ca="1" si="24"/>
        <v>30</v>
      </c>
      <c r="F237">
        <f t="shared" ca="1" si="25"/>
        <v>290</v>
      </c>
      <c r="G237" s="3" t="b">
        <f ca="1">INDEX(dict_zul_Var_Meth[kval_active],MATCH(table_Methods[[#This Row],[ID]],dict_zul_Var_Meth[ID_Methods],0))</f>
        <v>0</v>
      </c>
      <c r="H237">
        <f t="shared" ca="1" si="26"/>
        <v>464</v>
      </c>
      <c r="I237">
        <f t="shared" ca="1" si="27"/>
        <v>4032</v>
      </c>
    </row>
    <row r="238" spans="1:9" x14ac:dyDescent="0.45">
      <c r="A238">
        <v>236</v>
      </c>
      <c r="B238" t="str">
        <f>CONCATENATE("Methode ",table_Methods[[#This Row],[ID]])</f>
        <v>Methode 236</v>
      </c>
      <c r="C238">
        <f t="shared" ca="1" si="22"/>
        <v>44</v>
      </c>
      <c r="D238">
        <f t="shared" ca="1" si="23"/>
        <v>7.99</v>
      </c>
      <c r="E238">
        <f t="shared" ca="1" si="24"/>
        <v>-50</v>
      </c>
      <c r="F238">
        <f t="shared" ca="1" si="25"/>
        <v>130</v>
      </c>
      <c r="G238" s="3" t="b">
        <f ca="1">INDEX(dict_zul_Var_Meth[kval_active],MATCH(table_Methods[[#This Row],[ID]],dict_zul_Var_Meth[ID_Methods],0))</f>
        <v>0</v>
      </c>
      <c r="H238">
        <f t="shared" ca="1" si="26"/>
        <v>12644</v>
      </c>
      <c r="I238">
        <f t="shared" ca="1" si="27"/>
        <v>33280</v>
      </c>
    </row>
    <row r="239" spans="1:9" x14ac:dyDescent="0.45">
      <c r="A239">
        <v>237</v>
      </c>
      <c r="B239" t="str">
        <f>CONCATENATE("Methode ",table_Methods[[#This Row],[ID]])</f>
        <v>Methode 237</v>
      </c>
      <c r="C239">
        <f t="shared" ca="1" si="22"/>
        <v>59</v>
      </c>
      <c r="D239">
        <f t="shared" ca="1" si="23"/>
        <v>5.36</v>
      </c>
      <c r="E239">
        <f t="shared" ca="1" si="24"/>
        <v>-70</v>
      </c>
      <c r="F239">
        <f t="shared" ca="1" si="25"/>
        <v>530</v>
      </c>
      <c r="G239" s="3" t="b">
        <f ca="1">INDEX(dict_zul_Var_Meth[kval_active],MATCH(table_Methods[[#This Row],[ID]],dict_zul_Var_Meth[ID_Methods],0))</f>
        <v>0</v>
      </c>
      <c r="H239">
        <f t="shared" ca="1" si="26"/>
        <v>6726</v>
      </c>
      <c r="I239">
        <f t="shared" ca="1" si="27"/>
        <v>5120</v>
      </c>
    </row>
    <row r="240" spans="1:9" x14ac:dyDescent="0.45">
      <c r="A240">
        <v>238</v>
      </c>
      <c r="B240" t="str">
        <f>CONCATENATE("Methode ",table_Methods[[#This Row],[ID]])</f>
        <v>Methode 238</v>
      </c>
      <c r="C240">
        <f t="shared" ca="1" si="22"/>
        <v>900</v>
      </c>
      <c r="D240">
        <f t="shared" ca="1" si="23"/>
        <v>7.33</v>
      </c>
      <c r="E240">
        <f t="shared" ca="1" si="24"/>
        <v>30</v>
      </c>
      <c r="F240">
        <f t="shared" ca="1" si="25"/>
        <v>490</v>
      </c>
      <c r="G240" s="3" t="b">
        <f ca="1">INDEX(dict_zul_Var_Meth[kval_active],MATCH(table_Methods[[#This Row],[ID]],dict_zul_Var_Meth[ID_Methods],0))</f>
        <v>0</v>
      </c>
      <c r="H240">
        <f t="shared" ca="1" si="26"/>
        <v>5922</v>
      </c>
      <c r="I240">
        <f t="shared" ca="1" si="27"/>
        <v>204</v>
      </c>
    </row>
    <row r="241" spans="1:9" x14ac:dyDescent="0.45">
      <c r="A241">
        <v>239</v>
      </c>
      <c r="B241" t="str">
        <f>CONCATENATE("Methode ",table_Methods[[#This Row],[ID]])</f>
        <v>Methode 239</v>
      </c>
      <c r="C241">
        <f t="shared" ca="1" si="22"/>
        <v>760</v>
      </c>
      <c r="D241">
        <f t="shared" ca="1" si="23"/>
        <v>6.02</v>
      </c>
      <c r="E241">
        <f t="shared" ca="1" si="24"/>
        <v>-90</v>
      </c>
      <c r="F241">
        <f t="shared" ca="1" si="25"/>
        <v>740</v>
      </c>
      <c r="G241" s="3" t="b">
        <f ca="1">INDEX(dict_zul_Var_Meth[kval_active],MATCH(table_Methods[[#This Row],[ID]],dict_zul_Var_Meth[ID_Methods],0))</f>
        <v>0</v>
      </c>
      <c r="H241">
        <f t="shared" ca="1" si="26"/>
        <v>12304</v>
      </c>
      <c r="I241">
        <f t="shared" ca="1" si="27"/>
        <v>25600</v>
      </c>
    </row>
    <row r="242" spans="1:9" x14ac:dyDescent="0.45">
      <c r="A242">
        <v>240</v>
      </c>
      <c r="B242" t="str">
        <f>CONCATENATE("Methode ",table_Methods[[#This Row],[ID]])</f>
        <v>Methode 240</v>
      </c>
      <c r="C242">
        <f t="shared" ca="1" si="22"/>
        <v>690</v>
      </c>
      <c r="D242">
        <f t="shared" ca="1" si="23"/>
        <v>7.65</v>
      </c>
      <c r="E242">
        <f t="shared" ca="1" si="24"/>
        <v>-40</v>
      </c>
      <c r="F242">
        <f t="shared" ca="1" si="25"/>
        <v>100</v>
      </c>
      <c r="G242" s="3" t="b">
        <f ca="1">INDEX(dict_zul_Var_Meth[kval_active],MATCH(table_Methods[[#This Row],[ID]],dict_zul_Var_Meth[ID_Methods],0))</f>
        <v>0</v>
      </c>
      <c r="H242">
        <f t="shared" ca="1" si="26"/>
        <v>9612</v>
      </c>
      <c r="I242">
        <f t="shared" ca="1" si="27"/>
        <v>2816</v>
      </c>
    </row>
    <row r="243" spans="1:9" x14ac:dyDescent="0.45">
      <c r="A243">
        <v>241</v>
      </c>
      <c r="B243" t="str">
        <f>CONCATENATE("Methode ",table_Methods[[#This Row],[ID]])</f>
        <v>Methode 241</v>
      </c>
      <c r="C243">
        <f t="shared" ca="1" si="22"/>
        <v>880</v>
      </c>
      <c r="D243">
        <f t="shared" ca="1" si="23"/>
        <v>4.3</v>
      </c>
      <c r="E243">
        <f t="shared" ca="1" si="24"/>
        <v>20</v>
      </c>
      <c r="F243">
        <f t="shared" ca="1" si="25"/>
        <v>90</v>
      </c>
      <c r="G243" s="3" t="b">
        <f ca="1">INDEX(dict_zul_Var_Meth[kval_active],MATCH(table_Methods[[#This Row],[ID]],dict_zul_Var_Meth[ID_Methods],0))</f>
        <v>0</v>
      </c>
      <c r="H243">
        <f t="shared" ca="1" si="26"/>
        <v>1509</v>
      </c>
      <c r="I243">
        <f t="shared" ca="1" si="27"/>
        <v>960</v>
      </c>
    </row>
    <row r="244" spans="1:9" x14ac:dyDescent="0.45">
      <c r="A244">
        <v>242</v>
      </c>
      <c r="B244" t="str">
        <f>CONCATENATE("Methode ",table_Methods[[#This Row],[ID]])</f>
        <v>Methode 242</v>
      </c>
      <c r="C244">
        <f t="shared" ca="1" si="22"/>
        <v>900</v>
      </c>
      <c r="D244">
        <f t="shared" ca="1" si="23"/>
        <v>3</v>
      </c>
      <c r="E244">
        <f t="shared" ca="1" si="24"/>
        <v>10</v>
      </c>
      <c r="F244">
        <f t="shared" ca="1" si="25"/>
        <v>500</v>
      </c>
      <c r="G244" s="3" t="b">
        <f ca="1">INDEX(dict_zul_Var_Meth[kval_active],MATCH(table_Methods[[#This Row],[ID]],dict_zul_Var_Meth[ID_Methods],0))</f>
        <v>0</v>
      </c>
      <c r="H244">
        <f t="shared" ca="1" si="26"/>
        <v>14253</v>
      </c>
      <c r="I244">
        <f t="shared" ca="1" si="27"/>
        <v>12800</v>
      </c>
    </row>
    <row r="245" spans="1:9" x14ac:dyDescent="0.45">
      <c r="A245">
        <v>243</v>
      </c>
      <c r="B245" t="str">
        <f>CONCATENATE("Methode ",table_Methods[[#This Row],[ID]])</f>
        <v>Methode 243</v>
      </c>
      <c r="C245">
        <f t="shared" ca="1" si="22"/>
        <v>36</v>
      </c>
      <c r="D245">
        <f t="shared" ca="1" si="23"/>
        <v>7.48</v>
      </c>
      <c r="E245">
        <f t="shared" ca="1" si="24"/>
        <v>-90</v>
      </c>
      <c r="F245">
        <f t="shared" ca="1" si="25"/>
        <v>130</v>
      </c>
      <c r="G245" s="3" t="b">
        <f ca="1">INDEX(dict_zul_Var_Meth[kval_active],MATCH(table_Methods[[#This Row],[ID]],dict_zul_Var_Meth[ID_Methods],0))</f>
        <v>0</v>
      </c>
      <c r="H245">
        <f t="shared" ca="1" si="26"/>
        <v>4605</v>
      </c>
      <c r="I245">
        <f t="shared" ca="1" si="27"/>
        <v>38912</v>
      </c>
    </row>
    <row r="246" spans="1:9" x14ac:dyDescent="0.45">
      <c r="A246">
        <v>244</v>
      </c>
      <c r="B246" t="str">
        <f>CONCATENATE("Methode ",table_Methods[[#This Row],[ID]])</f>
        <v>Methode 244</v>
      </c>
      <c r="C246">
        <f t="shared" ca="1" si="22"/>
        <v>350</v>
      </c>
      <c r="D246">
        <f t="shared" ca="1" si="23"/>
        <v>8.64</v>
      </c>
      <c r="E246">
        <f t="shared" ca="1" si="24"/>
        <v>-20</v>
      </c>
      <c r="F246">
        <f t="shared" ca="1" si="25"/>
        <v>580</v>
      </c>
      <c r="G246" s="3" t="b">
        <f ca="1">INDEX(dict_zul_Var_Meth[kval_active],MATCH(table_Methods[[#This Row],[ID]],dict_zul_Var_Meth[ID_Methods],0))</f>
        <v>0</v>
      </c>
      <c r="H246">
        <f t="shared" ca="1" si="26"/>
        <v>14457</v>
      </c>
      <c r="I246">
        <f t="shared" ca="1" si="27"/>
        <v>376</v>
      </c>
    </row>
    <row r="247" spans="1:9" x14ac:dyDescent="0.45">
      <c r="A247">
        <v>245</v>
      </c>
      <c r="B247" t="str">
        <f>CONCATENATE("Methode ",table_Methods[[#This Row],[ID]])</f>
        <v>Methode 245</v>
      </c>
      <c r="C247">
        <f t="shared" ca="1" si="22"/>
        <v>500</v>
      </c>
      <c r="D247">
        <f t="shared" ca="1" si="23"/>
        <v>6.73</v>
      </c>
      <c r="E247">
        <f t="shared" ca="1" si="24"/>
        <v>-40</v>
      </c>
      <c r="F247">
        <f t="shared" ca="1" si="25"/>
        <v>290</v>
      </c>
      <c r="G247" s="3" t="b">
        <f ca="1">INDEX(dict_zul_Var_Meth[kval_active],MATCH(table_Methods[[#This Row],[ID]],dict_zul_Var_Meth[ID_Methods],0))</f>
        <v>0</v>
      </c>
      <c r="H247">
        <f t="shared" ca="1" si="26"/>
        <v>41800</v>
      </c>
      <c r="I247">
        <f t="shared" ca="1" si="27"/>
        <v>528</v>
      </c>
    </row>
    <row r="248" spans="1:9" x14ac:dyDescent="0.45">
      <c r="A248">
        <v>246</v>
      </c>
      <c r="B248" t="str">
        <f>CONCATENATE("Methode ",table_Methods[[#This Row],[ID]])</f>
        <v>Methode 246</v>
      </c>
      <c r="C248">
        <f t="shared" ca="1" si="22"/>
        <v>6700</v>
      </c>
      <c r="D248">
        <f t="shared" ca="1" si="23"/>
        <v>8.1999999999999993</v>
      </c>
      <c r="E248">
        <f t="shared" ca="1" si="24"/>
        <v>-80</v>
      </c>
      <c r="F248">
        <f t="shared" ca="1" si="25"/>
        <v>20</v>
      </c>
      <c r="G248" s="3" t="b">
        <f ca="1">INDEX(dict_zul_Var_Meth[kval_active],MATCH(table_Methods[[#This Row],[ID]],dict_zul_Var_Meth[ID_Methods],0))</f>
        <v>0</v>
      </c>
      <c r="H248">
        <f t="shared" ca="1" si="26"/>
        <v>4</v>
      </c>
      <c r="I248">
        <f t="shared" ca="1" si="27"/>
        <v>48640</v>
      </c>
    </row>
    <row r="249" spans="1:9" x14ac:dyDescent="0.45">
      <c r="A249">
        <v>247</v>
      </c>
      <c r="B249" t="str">
        <f>CONCATENATE("Methode ",table_Methods[[#This Row],[ID]])</f>
        <v>Methode 247</v>
      </c>
      <c r="C249">
        <f t="shared" ca="1" si="22"/>
        <v>57</v>
      </c>
      <c r="D249">
        <f t="shared" ca="1" si="23"/>
        <v>9.49</v>
      </c>
      <c r="E249">
        <f t="shared" ca="1" si="24"/>
        <v>-10</v>
      </c>
      <c r="F249">
        <f t="shared" ca="1" si="25"/>
        <v>320</v>
      </c>
      <c r="G249" s="3" t="b">
        <f ca="1">INDEX(dict_zul_Var_Meth[kval_active],MATCH(table_Methods[[#This Row],[ID]],dict_zul_Var_Meth[ID_Methods],0))</f>
        <v>0</v>
      </c>
      <c r="H249">
        <f t="shared" ca="1" si="26"/>
        <v>8665</v>
      </c>
      <c r="I249">
        <f t="shared" ca="1" si="27"/>
        <v>84992</v>
      </c>
    </row>
    <row r="250" spans="1:9" x14ac:dyDescent="0.45">
      <c r="A250">
        <v>248</v>
      </c>
      <c r="B250" t="str">
        <f>CONCATENATE("Methode ",table_Methods[[#This Row],[ID]])</f>
        <v>Methode 248</v>
      </c>
      <c r="C250">
        <f t="shared" ca="1" si="22"/>
        <v>490</v>
      </c>
      <c r="D250">
        <f t="shared" ca="1" si="23"/>
        <v>6.55</v>
      </c>
      <c r="E250">
        <f t="shared" ca="1" si="24"/>
        <v>-90</v>
      </c>
      <c r="F250">
        <f t="shared" ca="1" si="25"/>
        <v>140</v>
      </c>
      <c r="G250" s="3" t="b">
        <f ca="1">INDEX(dict_zul_Var_Meth[kval_active],MATCH(table_Methods[[#This Row],[ID]],dict_zul_Var_Meth[ID_Methods],0))</f>
        <v>0</v>
      </c>
      <c r="H250">
        <f t="shared" ca="1" si="26"/>
        <v>27387</v>
      </c>
      <c r="I250">
        <f t="shared" ca="1" si="27"/>
        <v>384</v>
      </c>
    </row>
    <row r="251" spans="1:9" x14ac:dyDescent="0.45">
      <c r="A251">
        <v>249</v>
      </c>
      <c r="B251" t="str">
        <f>CONCATENATE("Methode ",table_Methods[[#This Row],[ID]])</f>
        <v>Methode 249</v>
      </c>
      <c r="C251">
        <f t="shared" ca="1" si="22"/>
        <v>1700</v>
      </c>
      <c r="D251">
        <f t="shared" ca="1" si="23"/>
        <v>7.35</v>
      </c>
      <c r="E251">
        <f t="shared" ca="1" si="24"/>
        <v>-50</v>
      </c>
      <c r="F251">
        <f t="shared" ca="1" si="25"/>
        <v>30</v>
      </c>
      <c r="G251" s="3" t="b">
        <f ca="1">INDEX(dict_zul_Var_Meth[kval_active],MATCH(table_Methods[[#This Row],[ID]],dict_zul_Var_Meth[ID_Methods],0))</f>
        <v>0</v>
      </c>
      <c r="H251">
        <f t="shared" ca="1" si="26"/>
        <v>13419</v>
      </c>
      <c r="I251">
        <f t="shared" ca="1" si="27"/>
        <v>24</v>
      </c>
    </row>
    <row r="252" spans="1:9" x14ac:dyDescent="0.45">
      <c r="A252">
        <v>250</v>
      </c>
      <c r="B252" t="str">
        <f>CONCATENATE("Methode ",table_Methods[[#This Row],[ID]])</f>
        <v>Methode 250</v>
      </c>
      <c r="C252">
        <f t="shared" ca="1" si="22"/>
        <v>940</v>
      </c>
      <c r="D252">
        <f t="shared" ca="1" si="23"/>
        <v>9.2200000000000006</v>
      </c>
      <c r="E252">
        <f t="shared" ca="1" si="24"/>
        <v>-80</v>
      </c>
      <c r="F252">
        <f t="shared" ca="1" si="25"/>
        <v>660</v>
      </c>
      <c r="G252" s="3" t="b">
        <f ca="1">INDEX(dict_zul_Var_Meth[kval_active],MATCH(table_Methods[[#This Row],[ID]],dict_zul_Var_Meth[ID_Methods],0))</f>
        <v>0</v>
      </c>
      <c r="H252">
        <f t="shared" ca="1" si="26"/>
        <v>18708</v>
      </c>
      <c r="I252">
        <f t="shared" ca="1" si="27"/>
        <v>6080</v>
      </c>
    </row>
    <row r="253" spans="1:9" x14ac:dyDescent="0.45">
      <c r="A253">
        <v>251</v>
      </c>
      <c r="B253" t="str">
        <f>CONCATENATE("Methode ",table_Methods[[#This Row],[ID]])</f>
        <v>Methode 251</v>
      </c>
      <c r="C253">
        <f t="shared" ca="1" si="22"/>
        <v>42</v>
      </c>
      <c r="D253">
        <f t="shared" ca="1" si="23"/>
        <v>2.13</v>
      </c>
      <c r="E253">
        <f t="shared" ca="1" si="24"/>
        <v>0</v>
      </c>
      <c r="F253">
        <f t="shared" ca="1" si="25"/>
        <v>610</v>
      </c>
      <c r="G253" s="3" t="b">
        <f ca="1">INDEX(dict_zul_Var_Meth[kval_active],MATCH(table_Methods[[#This Row],[ID]],dict_zul_Var_Meth[ID_Methods],0))</f>
        <v>1</v>
      </c>
      <c r="H253">
        <f t="shared" ca="1" si="26"/>
        <v>2022</v>
      </c>
      <c r="I253">
        <f t="shared" ca="1" si="27"/>
        <v>512</v>
      </c>
    </row>
    <row r="254" spans="1:9" x14ac:dyDescent="0.45">
      <c r="A254">
        <v>252</v>
      </c>
      <c r="B254" t="str">
        <f>CONCATENATE("Methode ",table_Methods[[#This Row],[ID]])</f>
        <v>Methode 252</v>
      </c>
      <c r="C254">
        <f t="shared" ca="1" si="22"/>
        <v>77</v>
      </c>
      <c r="D254">
        <f t="shared" ca="1" si="23"/>
        <v>0.49</v>
      </c>
      <c r="E254">
        <f t="shared" ca="1" si="24"/>
        <v>-80</v>
      </c>
      <c r="F254">
        <f t="shared" ca="1" si="25"/>
        <v>150</v>
      </c>
      <c r="G254" s="3" t="b">
        <f ca="1">INDEX(dict_zul_Var_Meth[kval_active],MATCH(table_Methods[[#This Row],[ID]],dict_zul_Var_Meth[ID_Methods],0))</f>
        <v>0</v>
      </c>
      <c r="H254">
        <f t="shared" ca="1" si="26"/>
        <v>11396</v>
      </c>
      <c r="I254">
        <f t="shared" ca="1" si="27"/>
        <v>5696</v>
      </c>
    </row>
    <row r="255" spans="1:9" x14ac:dyDescent="0.45">
      <c r="A255">
        <v>253</v>
      </c>
      <c r="B255" t="str">
        <f>CONCATENATE("Methode ",table_Methods[[#This Row],[ID]])</f>
        <v>Methode 253</v>
      </c>
      <c r="C255">
        <f t="shared" ca="1" si="22"/>
        <v>65</v>
      </c>
      <c r="D255">
        <f t="shared" ca="1" si="23"/>
        <v>2.83</v>
      </c>
      <c r="E255">
        <f t="shared" ca="1" si="24"/>
        <v>-100</v>
      </c>
      <c r="F255">
        <f t="shared" ca="1" si="25"/>
        <v>970</v>
      </c>
      <c r="G255" s="3" t="b">
        <f ca="1">INDEX(dict_zul_Var_Meth[kval_active],MATCH(table_Methods[[#This Row],[ID]],dict_zul_Var_Meth[ID_Methods],0))</f>
        <v>0</v>
      </c>
      <c r="H255">
        <f t="shared" ca="1" si="26"/>
        <v>5592</v>
      </c>
      <c r="I255">
        <f t="shared" ca="1" si="27"/>
        <v>3328</v>
      </c>
    </row>
    <row r="256" spans="1:9" x14ac:dyDescent="0.45">
      <c r="A256">
        <v>254</v>
      </c>
      <c r="B256" t="str">
        <f>CONCATENATE("Methode ",table_Methods[[#This Row],[ID]])</f>
        <v>Methode 254</v>
      </c>
      <c r="C256">
        <f t="shared" ca="1" si="22"/>
        <v>9800</v>
      </c>
      <c r="D256">
        <f t="shared" ca="1" si="23"/>
        <v>7.09</v>
      </c>
      <c r="E256">
        <f t="shared" ca="1" si="24"/>
        <v>-30</v>
      </c>
      <c r="F256">
        <f t="shared" ca="1" si="25"/>
        <v>600</v>
      </c>
      <c r="G256" s="3" t="b">
        <f ca="1">INDEX(dict_zul_Var_Meth[kval_active],MATCH(table_Methods[[#This Row],[ID]],dict_zul_Var_Meth[ID_Methods],0))</f>
        <v>0</v>
      </c>
      <c r="H256">
        <f t="shared" ca="1" si="26"/>
        <v>14865</v>
      </c>
      <c r="I256">
        <f t="shared" ca="1" si="27"/>
        <v>3072</v>
      </c>
    </row>
    <row r="257" spans="1:9" x14ac:dyDescent="0.45">
      <c r="A257">
        <v>255</v>
      </c>
      <c r="B257" t="str">
        <f>CONCATENATE("Methode ",table_Methods[[#This Row],[ID]])</f>
        <v>Methode 255</v>
      </c>
      <c r="C257">
        <f t="shared" ca="1" si="22"/>
        <v>95</v>
      </c>
      <c r="D257">
        <f t="shared" ca="1" si="23"/>
        <v>0.17</v>
      </c>
      <c r="E257">
        <f t="shared" ca="1" si="24"/>
        <v>-90</v>
      </c>
      <c r="F257">
        <f t="shared" ca="1" si="25"/>
        <v>740</v>
      </c>
      <c r="G257" s="3" t="b">
        <f ca="1">INDEX(dict_zul_Var_Meth[kval_active],MATCH(table_Methods[[#This Row],[ID]],dict_zul_Var_Meth[ID_Methods],0))</f>
        <v>0</v>
      </c>
      <c r="H257">
        <f t="shared" ca="1" si="26"/>
        <v>4314</v>
      </c>
      <c r="I257">
        <f t="shared" ca="1" si="27"/>
        <v>1120</v>
      </c>
    </row>
    <row r="258" spans="1:9" x14ac:dyDescent="0.45">
      <c r="A258">
        <v>256</v>
      </c>
      <c r="B258" t="str">
        <f>CONCATENATE("Methode ",table_Methods[[#This Row],[ID]])</f>
        <v>Methode 256</v>
      </c>
      <c r="C258">
        <f t="shared" ref="C258:C321" ca="1" si="28">10^(RANDBETWEEN(-1,1))*RANDBETWEEN(1,100)*10</f>
        <v>56.000000000000007</v>
      </c>
      <c r="D258">
        <f t="shared" ca="1" si="23"/>
        <v>5.52</v>
      </c>
      <c r="E258">
        <f t="shared" ca="1" si="24"/>
        <v>-70</v>
      </c>
      <c r="F258">
        <f t="shared" ca="1" si="25"/>
        <v>500</v>
      </c>
      <c r="G258" s="3" t="b">
        <f ca="1">INDEX(dict_zul_Var_Meth[kval_active],MATCH(table_Methods[[#This Row],[ID]],dict_zul_Var_Meth[ID_Methods],0))</f>
        <v>0</v>
      </c>
      <c r="H258">
        <f t="shared" ca="1" si="26"/>
        <v>38720</v>
      </c>
      <c r="I258">
        <f t="shared" ca="1" si="27"/>
        <v>30208</v>
      </c>
    </row>
    <row r="259" spans="1:9" x14ac:dyDescent="0.45">
      <c r="A259">
        <v>257</v>
      </c>
      <c r="B259" t="str">
        <f>CONCATENATE("Methode ",table_Methods[[#This Row],[ID]])</f>
        <v>Methode 257</v>
      </c>
      <c r="C259">
        <f t="shared" ca="1" si="28"/>
        <v>17</v>
      </c>
      <c r="D259">
        <f t="shared" ref="D259:D322" ca="1" si="29">RANDBETWEEN(10,1000)/(100)</f>
        <v>1.85</v>
      </c>
      <c r="E259">
        <f t="shared" ca="1" si="24"/>
        <v>-30</v>
      </c>
      <c r="F259">
        <f t="shared" ca="1" si="25"/>
        <v>350</v>
      </c>
      <c r="G259" s="3" t="b">
        <f ca="1">INDEX(dict_zul_Var_Meth[kval_active],MATCH(table_Methods[[#This Row],[ID]],dict_zul_Var_Meth[ID_Methods],0))</f>
        <v>0</v>
      </c>
      <c r="H259">
        <f t="shared" ca="1" si="26"/>
        <v>46640</v>
      </c>
      <c r="I259">
        <f t="shared" ca="1" si="27"/>
        <v>19712</v>
      </c>
    </row>
    <row r="260" spans="1:9" x14ac:dyDescent="0.45">
      <c r="A260">
        <v>258</v>
      </c>
      <c r="B260" t="str">
        <f>CONCATENATE("Methode ",table_Methods[[#This Row],[ID]])</f>
        <v>Methode 258</v>
      </c>
      <c r="C260">
        <f t="shared" ca="1" si="28"/>
        <v>98</v>
      </c>
      <c r="D260">
        <f t="shared" ca="1" si="29"/>
        <v>4.75</v>
      </c>
      <c r="E260">
        <f t="shared" ca="1" si="24"/>
        <v>0</v>
      </c>
      <c r="F260">
        <f t="shared" ca="1" si="25"/>
        <v>200</v>
      </c>
      <c r="G260" s="3" t="b">
        <f ca="1">INDEX(dict_zul_Var_Meth[kval_active],MATCH(table_Methods[[#This Row],[ID]],dict_zul_Var_Meth[ID_Methods],0))</f>
        <v>0</v>
      </c>
      <c r="H260">
        <f t="shared" ca="1" si="26"/>
        <v>20097</v>
      </c>
      <c r="I260">
        <f t="shared" ca="1" si="27"/>
        <v>6144</v>
      </c>
    </row>
    <row r="261" spans="1:9" x14ac:dyDescent="0.45">
      <c r="A261">
        <v>259</v>
      </c>
      <c r="B261" t="str">
        <f>CONCATENATE("Methode ",table_Methods[[#This Row],[ID]])</f>
        <v>Methode 259</v>
      </c>
      <c r="C261">
        <f t="shared" ca="1" si="28"/>
        <v>34</v>
      </c>
      <c r="D261">
        <f t="shared" ca="1" si="29"/>
        <v>9.8000000000000007</v>
      </c>
      <c r="E261">
        <f t="shared" ca="1" si="24"/>
        <v>20</v>
      </c>
      <c r="F261">
        <f t="shared" ca="1" si="25"/>
        <v>550</v>
      </c>
      <c r="G261" s="3" t="b">
        <f ca="1">INDEX(dict_zul_Var_Meth[kval_active],MATCH(table_Methods[[#This Row],[ID]],dict_zul_Var_Meth[ID_Methods],0))</f>
        <v>0</v>
      </c>
      <c r="H261">
        <f t="shared" ca="1" si="26"/>
        <v>35144</v>
      </c>
      <c r="I261">
        <f t="shared" ca="1" si="27"/>
        <v>22272</v>
      </c>
    </row>
    <row r="262" spans="1:9" x14ac:dyDescent="0.45">
      <c r="A262">
        <v>260</v>
      </c>
      <c r="B262" t="str">
        <f>CONCATENATE("Methode ",table_Methods[[#This Row],[ID]])</f>
        <v>Methode 260</v>
      </c>
      <c r="C262">
        <f t="shared" ca="1" si="28"/>
        <v>4100</v>
      </c>
      <c r="D262">
        <f t="shared" ca="1" si="29"/>
        <v>2.2200000000000002</v>
      </c>
      <c r="E262">
        <f t="shared" ca="1" si="24"/>
        <v>-50</v>
      </c>
      <c r="F262">
        <f t="shared" ca="1" si="25"/>
        <v>380</v>
      </c>
      <c r="G262" s="3" t="b">
        <f ca="1">INDEX(dict_zul_Var_Meth[kval_active],MATCH(table_Methods[[#This Row],[ID]],dict_zul_Var_Meth[ID_Methods],0))</f>
        <v>0</v>
      </c>
      <c r="H262">
        <f t="shared" ca="1" si="26"/>
        <v>11336</v>
      </c>
      <c r="I262">
        <f t="shared" ca="1" si="27"/>
        <v>1216</v>
      </c>
    </row>
    <row r="263" spans="1:9" x14ac:dyDescent="0.45">
      <c r="A263">
        <v>261</v>
      </c>
      <c r="B263" t="str">
        <f>CONCATENATE("Methode ",table_Methods[[#This Row],[ID]])</f>
        <v>Methode 261</v>
      </c>
      <c r="C263">
        <f t="shared" ca="1" si="28"/>
        <v>200</v>
      </c>
      <c r="D263">
        <f t="shared" ca="1" si="29"/>
        <v>4.5</v>
      </c>
      <c r="E263">
        <f t="shared" ca="1" si="24"/>
        <v>0</v>
      </c>
      <c r="F263">
        <f t="shared" ca="1" si="25"/>
        <v>1000</v>
      </c>
      <c r="G263" s="3" t="b">
        <f ca="1">INDEX(dict_zul_Var_Meth[kval_active],MATCH(table_Methods[[#This Row],[ID]],dict_zul_Var_Meth[ID_Methods],0))</f>
        <v>0</v>
      </c>
      <c r="H263">
        <f t="shared" ca="1" si="26"/>
        <v>1907</v>
      </c>
      <c r="I263">
        <f t="shared" ca="1" si="27"/>
        <v>72</v>
      </c>
    </row>
    <row r="264" spans="1:9" x14ac:dyDescent="0.45">
      <c r="A264">
        <v>262</v>
      </c>
      <c r="B264" t="str">
        <f>CONCATENATE("Methode ",table_Methods[[#This Row],[ID]])</f>
        <v>Methode 262</v>
      </c>
      <c r="C264">
        <f t="shared" ca="1" si="28"/>
        <v>400</v>
      </c>
      <c r="D264">
        <f t="shared" ca="1" si="29"/>
        <v>2.88</v>
      </c>
      <c r="E264">
        <f t="shared" ca="1" si="24"/>
        <v>-90</v>
      </c>
      <c r="F264">
        <f t="shared" ca="1" si="25"/>
        <v>900</v>
      </c>
      <c r="G264" s="3" t="b">
        <f ca="1">INDEX(dict_zul_Var_Meth[kval_active],MATCH(table_Methods[[#This Row],[ID]],dict_zul_Var_Meth[ID_Methods],0))</f>
        <v>0</v>
      </c>
      <c r="H264">
        <f t="shared" ca="1" si="26"/>
        <v>9636</v>
      </c>
      <c r="I264">
        <f t="shared" ca="1" si="27"/>
        <v>9728</v>
      </c>
    </row>
    <row r="265" spans="1:9" x14ac:dyDescent="0.45">
      <c r="A265">
        <v>263</v>
      </c>
      <c r="B265" t="str">
        <f>CONCATENATE("Methode ",table_Methods[[#This Row],[ID]])</f>
        <v>Methode 263</v>
      </c>
      <c r="C265">
        <f t="shared" ca="1" si="28"/>
        <v>22</v>
      </c>
      <c r="D265">
        <f t="shared" ca="1" si="29"/>
        <v>4.3</v>
      </c>
      <c r="E265">
        <f t="shared" ca="1" si="24"/>
        <v>-60</v>
      </c>
      <c r="F265">
        <f t="shared" ca="1" si="25"/>
        <v>810</v>
      </c>
      <c r="G265" s="3" t="b">
        <f ca="1">INDEX(dict_zul_Var_Meth[kval_active],MATCH(table_Methods[[#This Row],[ID]],dict_zul_Var_Meth[ID_Methods],0))</f>
        <v>0</v>
      </c>
      <c r="H265">
        <f t="shared" ca="1" si="26"/>
        <v>21798</v>
      </c>
      <c r="I265">
        <f t="shared" ca="1" si="27"/>
        <v>2432</v>
      </c>
    </row>
    <row r="266" spans="1:9" x14ac:dyDescent="0.45">
      <c r="A266">
        <v>264</v>
      </c>
      <c r="B266" t="str">
        <f>CONCATENATE("Methode ",table_Methods[[#This Row],[ID]])</f>
        <v>Methode 264</v>
      </c>
      <c r="C266">
        <f t="shared" ca="1" si="28"/>
        <v>68</v>
      </c>
      <c r="D266">
        <f t="shared" ca="1" si="29"/>
        <v>0.38</v>
      </c>
      <c r="E266">
        <f t="shared" ca="1" si="24"/>
        <v>30</v>
      </c>
      <c r="F266">
        <f t="shared" ca="1" si="25"/>
        <v>860</v>
      </c>
      <c r="G266" s="3" t="b">
        <f ca="1">INDEX(dict_zul_Var_Meth[kval_active],MATCH(table_Methods[[#This Row],[ID]],dict_zul_Var_Meth[ID_Methods],0))</f>
        <v>0</v>
      </c>
      <c r="H266">
        <f t="shared" ca="1" si="26"/>
        <v>1890</v>
      </c>
      <c r="I266">
        <f t="shared" ca="1" si="27"/>
        <v>2784</v>
      </c>
    </row>
    <row r="267" spans="1:9" x14ac:dyDescent="0.45">
      <c r="A267">
        <v>265</v>
      </c>
      <c r="B267" t="str">
        <f>CONCATENATE("Methode ",table_Methods[[#This Row],[ID]])</f>
        <v>Methode 265</v>
      </c>
      <c r="C267">
        <f t="shared" ca="1" si="28"/>
        <v>5800</v>
      </c>
      <c r="D267">
        <f t="shared" ca="1" si="29"/>
        <v>1.33</v>
      </c>
      <c r="E267">
        <f t="shared" ca="1" si="24"/>
        <v>-50</v>
      </c>
      <c r="F267">
        <f t="shared" ca="1" si="25"/>
        <v>310</v>
      </c>
      <c r="G267" s="3" t="b">
        <f ca="1">INDEX(dict_zul_Var_Meth[kval_active],MATCH(table_Methods[[#This Row],[ID]],dict_zul_Var_Meth[ID_Methods],0))</f>
        <v>0</v>
      </c>
      <c r="H267">
        <f t="shared" ca="1" si="26"/>
        <v>4736</v>
      </c>
      <c r="I267">
        <f t="shared" ca="1" si="27"/>
        <v>440</v>
      </c>
    </row>
    <row r="268" spans="1:9" x14ac:dyDescent="0.45">
      <c r="A268">
        <v>266</v>
      </c>
      <c r="B268" t="str">
        <f>CONCATENATE("Methode ",table_Methods[[#This Row],[ID]])</f>
        <v>Methode 266</v>
      </c>
      <c r="C268">
        <f t="shared" ca="1" si="28"/>
        <v>78</v>
      </c>
      <c r="D268">
        <f t="shared" ca="1" si="29"/>
        <v>4.4000000000000004</v>
      </c>
      <c r="E268">
        <f t="shared" ca="1" si="24"/>
        <v>-20</v>
      </c>
      <c r="F268">
        <f t="shared" ca="1" si="25"/>
        <v>550</v>
      </c>
      <c r="G268" s="3" t="b">
        <f ca="1">INDEX(dict_zul_Var_Meth[kval_active],MATCH(table_Methods[[#This Row],[ID]],dict_zul_Var_Meth[ID_Methods],0))</f>
        <v>0</v>
      </c>
      <c r="H268">
        <f t="shared" ca="1" si="26"/>
        <v>17050</v>
      </c>
      <c r="I268">
        <f t="shared" ca="1" si="27"/>
        <v>32</v>
      </c>
    </row>
    <row r="269" spans="1:9" x14ac:dyDescent="0.45">
      <c r="A269">
        <v>267</v>
      </c>
      <c r="B269" t="str">
        <f>CONCATENATE("Methode ",table_Methods[[#This Row],[ID]])</f>
        <v>Methode 267</v>
      </c>
      <c r="C269">
        <f t="shared" ca="1" si="28"/>
        <v>55</v>
      </c>
      <c r="D269">
        <f t="shared" ca="1" si="29"/>
        <v>9.5500000000000007</v>
      </c>
      <c r="E269">
        <f t="shared" ca="1" si="24"/>
        <v>-20</v>
      </c>
      <c r="F269">
        <f t="shared" ca="1" si="25"/>
        <v>230</v>
      </c>
      <c r="G269" s="3" t="b">
        <f ca="1">INDEX(dict_zul_Var_Meth[kval_active],MATCH(table_Methods[[#This Row],[ID]],dict_zul_Var_Meth[ID_Methods],0))</f>
        <v>0</v>
      </c>
      <c r="H269">
        <f t="shared" ca="1" si="26"/>
        <v>9784</v>
      </c>
      <c r="I269">
        <f t="shared" ca="1" si="27"/>
        <v>1920</v>
      </c>
    </row>
    <row r="270" spans="1:9" x14ac:dyDescent="0.45">
      <c r="A270">
        <v>268</v>
      </c>
      <c r="B270" t="str">
        <f>CONCATENATE("Methode ",table_Methods[[#This Row],[ID]])</f>
        <v>Methode 268</v>
      </c>
      <c r="C270">
        <f t="shared" ca="1" si="28"/>
        <v>5900</v>
      </c>
      <c r="D270">
        <f t="shared" ca="1" si="29"/>
        <v>7.85</v>
      </c>
      <c r="E270">
        <f t="shared" ca="1" si="24"/>
        <v>-50</v>
      </c>
      <c r="F270">
        <f t="shared" ca="1" si="25"/>
        <v>430</v>
      </c>
      <c r="G270" s="3" t="b">
        <f ca="1">INDEX(dict_zul_Var_Meth[kval_active],MATCH(table_Methods[[#This Row],[ID]],dict_zul_Var_Meth[ID_Methods],0))</f>
        <v>0</v>
      </c>
      <c r="H270">
        <f t="shared" ca="1" si="26"/>
        <v>4148</v>
      </c>
      <c r="I270">
        <f t="shared" ca="1" si="27"/>
        <v>44032</v>
      </c>
    </row>
    <row r="271" spans="1:9" x14ac:dyDescent="0.45">
      <c r="A271">
        <v>269</v>
      </c>
      <c r="B271" t="str">
        <f>CONCATENATE("Methode ",table_Methods[[#This Row],[ID]])</f>
        <v>Methode 269</v>
      </c>
      <c r="C271">
        <f t="shared" ca="1" si="28"/>
        <v>6800</v>
      </c>
      <c r="D271">
        <f t="shared" ca="1" si="29"/>
        <v>4.25</v>
      </c>
      <c r="E271">
        <f t="shared" ca="1" si="24"/>
        <v>10</v>
      </c>
      <c r="F271">
        <f t="shared" ca="1" si="25"/>
        <v>850</v>
      </c>
      <c r="G271" s="3" t="b">
        <f ca="1">INDEX(dict_zul_Var_Meth[kval_active],MATCH(table_Methods[[#This Row],[ID]],dict_zul_Var_Meth[ID_Methods],0))</f>
        <v>0</v>
      </c>
      <c r="H271">
        <f t="shared" ca="1" si="26"/>
        <v>832</v>
      </c>
      <c r="I271">
        <f t="shared" ca="1" si="27"/>
        <v>29696</v>
      </c>
    </row>
    <row r="272" spans="1:9" x14ac:dyDescent="0.45">
      <c r="A272">
        <v>270</v>
      </c>
      <c r="B272" t="str">
        <f>CONCATENATE("Methode ",table_Methods[[#This Row],[ID]])</f>
        <v>Methode 270</v>
      </c>
      <c r="C272">
        <f t="shared" ca="1" si="28"/>
        <v>980</v>
      </c>
      <c r="D272">
        <f t="shared" ca="1" si="29"/>
        <v>6.36</v>
      </c>
      <c r="E272">
        <f t="shared" ca="1" si="24"/>
        <v>30</v>
      </c>
      <c r="F272">
        <f t="shared" ca="1" si="25"/>
        <v>380</v>
      </c>
      <c r="G272" s="3" t="b">
        <f ca="1">INDEX(dict_zul_Var_Meth[kval_active],MATCH(table_Methods[[#This Row],[ID]],dict_zul_Var_Meth[ID_Methods],0))</f>
        <v>0</v>
      </c>
      <c r="H272">
        <f t="shared" ca="1" si="26"/>
        <v>8112</v>
      </c>
      <c r="I272">
        <f t="shared" ca="1" si="27"/>
        <v>3264</v>
      </c>
    </row>
    <row r="273" spans="1:9" x14ac:dyDescent="0.45">
      <c r="A273">
        <v>271</v>
      </c>
      <c r="B273" t="str">
        <f>CONCATENATE("Methode ",table_Methods[[#This Row],[ID]])</f>
        <v>Methode 271</v>
      </c>
      <c r="C273">
        <f t="shared" ca="1" si="28"/>
        <v>670</v>
      </c>
      <c r="D273">
        <f t="shared" ca="1" si="29"/>
        <v>9.7799999999999994</v>
      </c>
      <c r="E273">
        <f t="shared" ca="1" si="24"/>
        <v>-40</v>
      </c>
      <c r="F273">
        <f t="shared" ca="1" si="25"/>
        <v>750</v>
      </c>
      <c r="G273" s="3" t="b">
        <f ca="1">INDEX(dict_zul_Var_Meth[kval_active],MATCH(table_Methods[[#This Row],[ID]],dict_zul_Var_Meth[ID_Methods],0))</f>
        <v>0</v>
      </c>
      <c r="H273">
        <f t="shared" ca="1" si="26"/>
        <v>7218</v>
      </c>
      <c r="I273">
        <f t="shared" ca="1" si="27"/>
        <v>9472</v>
      </c>
    </row>
    <row r="274" spans="1:9" x14ac:dyDescent="0.45">
      <c r="A274">
        <v>272</v>
      </c>
      <c r="B274" t="str">
        <f>CONCATENATE("Methode ",table_Methods[[#This Row],[ID]])</f>
        <v>Methode 272</v>
      </c>
      <c r="C274">
        <f t="shared" ca="1" si="28"/>
        <v>740</v>
      </c>
      <c r="D274">
        <f t="shared" ca="1" si="29"/>
        <v>9.2899999999999991</v>
      </c>
      <c r="E274">
        <f t="shared" ca="1" si="24"/>
        <v>-10</v>
      </c>
      <c r="F274">
        <f t="shared" ca="1" si="25"/>
        <v>520</v>
      </c>
      <c r="G274" s="3" t="b">
        <f ca="1">INDEX(dict_zul_Var_Meth[kval_active],MATCH(table_Methods[[#This Row],[ID]],dict_zul_Var_Meth[ID_Methods],0))</f>
        <v>1</v>
      </c>
      <c r="H274">
        <f t="shared" ca="1" si="26"/>
        <v>540</v>
      </c>
      <c r="I274">
        <f t="shared" ca="1" si="27"/>
        <v>23296</v>
      </c>
    </row>
    <row r="275" spans="1:9" x14ac:dyDescent="0.45">
      <c r="A275">
        <v>273</v>
      </c>
      <c r="B275" t="str">
        <f>CONCATENATE("Methode ",table_Methods[[#This Row],[ID]])</f>
        <v>Methode 273</v>
      </c>
      <c r="C275">
        <f t="shared" ca="1" si="28"/>
        <v>71</v>
      </c>
      <c r="D275">
        <f t="shared" ca="1" si="29"/>
        <v>1.25</v>
      </c>
      <c r="E275">
        <f t="shared" ca="1" si="24"/>
        <v>-60</v>
      </c>
      <c r="F275">
        <f t="shared" ca="1" si="25"/>
        <v>390</v>
      </c>
      <c r="G275" s="3" t="b">
        <f ca="1">INDEX(dict_zul_Var_Meth[kval_active],MATCH(table_Methods[[#This Row],[ID]],dict_zul_Var_Meth[ID_Methods],0))</f>
        <v>0</v>
      </c>
      <c r="H275">
        <f t="shared" ca="1" si="26"/>
        <v>14982</v>
      </c>
      <c r="I275">
        <f t="shared" ca="1" si="27"/>
        <v>32768</v>
      </c>
    </row>
    <row r="276" spans="1:9" x14ac:dyDescent="0.45">
      <c r="A276">
        <v>274</v>
      </c>
      <c r="B276" t="str">
        <f>CONCATENATE("Methode ",table_Methods[[#This Row],[ID]])</f>
        <v>Methode 274</v>
      </c>
      <c r="C276">
        <f t="shared" ca="1" si="28"/>
        <v>9800</v>
      </c>
      <c r="D276">
        <f t="shared" ca="1" si="29"/>
        <v>2.5099999999999998</v>
      </c>
      <c r="E276">
        <f t="shared" ca="1" si="24"/>
        <v>0</v>
      </c>
      <c r="F276">
        <f t="shared" ca="1" si="25"/>
        <v>230</v>
      </c>
      <c r="G276" s="3" t="b">
        <f ca="1">INDEX(dict_zul_Var_Meth[kval_active],MATCH(table_Methods[[#This Row],[ID]],dict_zul_Var_Meth[ID_Methods],0))</f>
        <v>0</v>
      </c>
      <c r="H276">
        <f t="shared" ca="1" si="26"/>
        <v>39870</v>
      </c>
      <c r="I276">
        <f t="shared" ca="1" si="27"/>
        <v>148</v>
      </c>
    </row>
    <row r="277" spans="1:9" x14ac:dyDescent="0.45">
      <c r="A277">
        <v>275</v>
      </c>
      <c r="B277" t="str">
        <f>CONCATENATE("Methode ",table_Methods[[#This Row],[ID]])</f>
        <v>Methode 275</v>
      </c>
      <c r="C277">
        <f t="shared" ca="1" si="28"/>
        <v>2600</v>
      </c>
      <c r="D277">
        <f t="shared" ca="1" si="29"/>
        <v>6.49</v>
      </c>
      <c r="E277">
        <f t="shared" ca="1" si="24"/>
        <v>-50</v>
      </c>
      <c r="F277">
        <f t="shared" ca="1" si="25"/>
        <v>290</v>
      </c>
      <c r="G277" s="3" t="b">
        <f ca="1">INDEX(dict_zul_Var_Meth[kval_active],MATCH(table_Methods[[#This Row],[ID]],dict_zul_Var_Meth[ID_Methods],0))</f>
        <v>0</v>
      </c>
      <c r="H277">
        <f t="shared" ca="1" si="26"/>
        <v>6310</v>
      </c>
      <c r="I277">
        <f t="shared" ca="1" si="27"/>
        <v>1024</v>
      </c>
    </row>
    <row r="278" spans="1:9" x14ac:dyDescent="0.45">
      <c r="A278">
        <v>276</v>
      </c>
      <c r="B278" t="str">
        <f>CONCATENATE("Methode ",table_Methods[[#This Row],[ID]])</f>
        <v>Methode 276</v>
      </c>
      <c r="C278">
        <f t="shared" ca="1" si="28"/>
        <v>31</v>
      </c>
      <c r="D278">
        <f t="shared" ca="1" si="29"/>
        <v>9.3000000000000007</v>
      </c>
      <c r="E278">
        <f t="shared" ca="1" si="24"/>
        <v>-20</v>
      </c>
      <c r="F278">
        <f t="shared" ca="1" si="25"/>
        <v>890</v>
      </c>
      <c r="G278" s="3" t="b">
        <f ca="1">INDEX(dict_zul_Var_Meth[kval_active],MATCH(table_Methods[[#This Row],[ID]],dict_zul_Var_Meth[ID_Methods],0))</f>
        <v>0</v>
      </c>
      <c r="H278">
        <f t="shared" ca="1" si="26"/>
        <v>22790</v>
      </c>
      <c r="I278">
        <f t="shared" ca="1" si="27"/>
        <v>152</v>
      </c>
    </row>
    <row r="279" spans="1:9" x14ac:dyDescent="0.45">
      <c r="A279">
        <v>277</v>
      </c>
      <c r="B279" t="str">
        <f>CONCATENATE("Methode ",table_Methods[[#This Row],[ID]])</f>
        <v>Methode 277</v>
      </c>
      <c r="C279">
        <f t="shared" ca="1" si="28"/>
        <v>56.000000000000007</v>
      </c>
      <c r="D279">
        <f t="shared" ca="1" si="29"/>
        <v>6.93</v>
      </c>
      <c r="E279">
        <f t="shared" ca="1" si="24"/>
        <v>-100</v>
      </c>
      <c r="F279">
        <f t="shared" ca="1" si="25"/>
        <v>750</v>
      </c>
      <c r="G279" s="3" t="b">
        <f ca="1">INDEX(dict_zul_Var_Meth[kval_active],MATCH(table_Methods[[#This Row],[ID]],dict_zul_Var_Meth[ID_Methods],0))</f>
        <v>0</v>
      </c>
      <c r="H279">
        <f t="shared" ca="1" si="26"/>
        <v>2622</v>
      </c>
      <c r="I279">
        <f t="shared" ca="1" si="27"/>
        <v>72</v>
      </c>
    </row>
    <row r="280" spans="1:9" x14ac:dyDescent="0.45">
      <c r="A280">
        <v>278</v>
      </c>
      <c r="B280" t="str">
        <f>CONCATENATE("Methode ",table_Methods[[#This Row],[ID]])</f>
        <v>Methode 278</v>
      </c>
      <c r="C280">
        <f t="shared" ca="1" si="28"/>
        <v>9300</v>
      </c>
      <c r="D280">
        <f t="shared" ca="1" si="29"/>
        <v>0.12</v>
      </c>
      <c r="E280">
        <f t="shared" ca="1" si="24"/>
        <v>-100</v>
      </c>
      <c r="F280">
        <f t="shared" ca="1" si="25"/>
        <v>230</v>
      </c>
      <c r="G280" s="3" t="b">
        <f ca="1">INDEX(dict_zul_Var_Meth[kval_active],MATCH(table_Methods[[#This Row],[ID]],dict_zul_Var_Meth[ID_Methods],0))</f>
        <v>0</v>
      </c>
      <c r="H280">
        <f t="shared" ca="1" si="26"/>
        <v>3642</v>
      </c>
      <c r="I280">
        <f t="shared" ca="1" si="27"/>
        <v>1424</v>
      </c>
    </row>
    <row r="281" spans="1:9" x14ac:dyDescent="0.45">
      <c r="A281">
        <v>279</v>
      </c>
      <c r="B281" t="str">
        <f>CONCATENATE("Methode ",table_Methods[[#This Row],[ID]])</f>
        <v>Methode 279</v>
      </c>
      <c r="C281">
        <f t="shared" ca="1" si="28"/>
        <v>280</v>
      </c>
      <c r="D281">
        <f t="shared" ca="1" si="29"/>
        <v>1.3</v>
      </c>
      <c r="E281">
        <f t="shared" ca="1" si="24"/>
        <v>20</v>
      </c>
      <c r="F281">
        <f t="shared" ca="1" si="25"/>
        <v>840</v>
      </c>
      <c r="G281" s="3" t="b">
        <f ca="1">INDEX(dict_zul_Var_Meth[kval_active],MATCH(table_Methods[[#This Row],[ID]],dict_zul_Var_Meth[ID_Methods],0))</f>
        <v>0</v>
      </c>
      <c r="H281">
        <f t="shared" ca="1" si="26"/>
        <v>8532</v>
      </c>
      <c r="I281">
        <f t="shared" ca="1" si="27"/>
        <v>848</v>
      </c>
    </row>
    <row r="282" spans="1:9" x14ac:dyDescent="0.45">
      <c r="A282">
        <v>280</v>
      </c>
      <c r="B282" t="str">
        <f>CONCATENATE("Methode ",table_Methods[[#This Row],[ID]])</f>
        <v>Methode 280</v>
      </c>
      <c r="C282">
        <f t="shared" ca="1" si="28"/>
        <v>650</v>
      </c>
      <c r="D282">
        <f t="shared" ca="1" si="29"/>
        <v>4.0999999999999996</v>
      </c>
      <c r="E282">
        <f t="shared" ca="1" si="24"/>
        <v>-10</v>
      </c>
      <c r="F282">
        <f t="shared" ca="1" si="25"/>
        <v>900</v>
      </c>
      <c r="G282" s="3" t="b">
        <f ca="1">INDEX(dict_zul_Var_Meth[kval_active],MATCH(table_Methods[[#This Row],[ID]],dict_zul_Var_Meth[ID_Methods],0))</f>
        <v>0</v>
      </c>
      <c r="H282">
        <f t="shared" ca="1" si="26"/>
        <v>39900</v>
      </c>
      <c r="I282">
        <f t="shared" ca="1" si="27"/>
        <v>2304</v>
      </c>
    </row>
    <row r="283" spans="1:9" x14ac:dyDescent="0.45">
      <c r="A283">
        <v>281</v>
      </c>
      <c r="B283" t="str">
        <f>CONCATENATE("Methode ",table_Methods[[#This Row],[ID]])</f>
        <v>Methode 281</v>
      </c>
      <c r="C283">
        <f t="shared" ca="1" si="28"/>
        <v>9300</v>
      </c>
      <c r="D283">
        <f t="shared" ca="1" si="29"/>
        <v>7.01</v>
      </c>
      <c r="E283">
        <f t="shared" ca="1" si="24"/>
        <v>-50</v>
      </c>
      <c r="F283">
        <f t="shared" ca="1" si="25"/>
        <v>270</v>
      </c>
      <c r="G283" s="3" t="b">
        <f ca="1">INDEX(dict_zul_Var_Meth[kval_active],MATCH(table_Methods[[#This Row],[ID]],dict_zul_Var_Meth[ID_Methods],0))</f>
        <v>0</v>
      </c>
      <c r="H283">
        <f t="shared" ca="1" si="26"/>
        <v>1770</v>
      </c>
      <c r="I283">
        <f t="shared" ca="1" si="27"/>
        <v>4160</v>
      </c>
    </row>
    <row r="284" spans="1:9" x14ac:dyDescent="0.45">
      <c r="A284">
        <v>282</v>
      </c>
      <c r="B284" t="str">
        <f>CONCATENATE("Methode ",table_Methods[[#This Row],[ID]])</f>
        <v>Methode 282</v>
      </c>
      <c r="C284">
        <f t="shared" ca="1" si="28"/>
        <v>66</v>
      </c>
      <c r="D284">
        <f t="shared" ca="1" si="29"/>
        <v>0.14000000000000001</v>
      </c>
      <c r="E284">
        <f t="shared" ca="1" si="24"/>
        <v>0</v>
      </c>
      <c r="F284">
        <f t="shared" ca="1" si="25"/>
        <v>120</v>
      </c>
      <c r="G284" s="3" t="b">
        <f ca="1">INDEX(dict_zul_Var_Meth[kval_active],MATCH(table_Methods[[#This Row],[ID]],dict_zul_Var_Meth[ID_Methods],0))</f>
        <v>0</v>
      </c>
      <c r="H284">
        <f t="shared" ca="1" si="26"/>
        <v>35919</v>
      </c>
      <c r="I284">
        <f t="shared" ca="1" si="27"/>
        <v>268</v>
      </c>
    </row>
    <row r="285" spans="1:9" x14ac:dyDescent="0.45">
      <c r="A285">
        <v>283</v>
      </c>
      <c r="B285" t="str">
        <f>CONCATENATE("Methode ",table_Methods[[#This Row],[ID]])</f>
        <v>Methode 283</v>
      </c>
      <c r="C285">
        <f t="shared" ca="1" si="28"/>
        <v>490</v>
      </c>
      <c r="D285">
        <f t="shared" ca="1" si="29"/>
        <v>5.36</v>
      </c>
      <c r="E285">
        <f t="shared" ca="1" si="24"/>
        <v>-30</v>
      </c>
      <c r="F285">
        <f t="shared" ca="1" si="25"/>
        <v>780</v>
      </c>
      <c r="G285" s="3" t="b">
        <f ca="1">INDEX(dict_zul_Var_Meth[kval_active],MATCH(table_Methods[[#This Row],[ID]],dict_zul_Var_Meth[ID_Methods],0))</f>
        <v>0</v>
      </c>
      <c r="H285">
        <f t="shared" ca="1" si="26"/>
        <v>26920</v>
      </c>
      <c r="I285">
        <f t="shared" ca="1" si="27"/>
        <v>66560</v>
      </c>
    </row>
    <row r="286" spans="1:9" x14ac:dyDescent="0.45">
      <c r="A286">
        <v>284</v>
      </c>
      <c r="B286" t="str">
        <f>CONCATENATE("Methode ",table_Methods[[#This Row],[ID]])</f>
        <v>Methode 284</v>
      </c>
      <c r="C286">
        <f t="shared" ca="1" si="28"/>
        <v>100</v>
      </c>
      <c r="D286">
        <f t="shared" ca="1" si="29"/>
        <v>9.85</v>
      </c>
      <c r="E286">
        <f t="shared" ca="1" si="24"/>
        <v>0</v>
      </c>
      <c r="F286">
        <f t="shared" ca="1" si="25"/>
        <v>770</v>
      </c>
      <c r="G286" s="3" t="b">
        <f ca="1">INDEX(dict_zul_Var_Meth[kval_active],MATCH(table_Methods[[#This Row],[ID]],dict_zul_Var_Meth[ID_Methods],0))</f>
        <v>0</v>
      </c>
      <c r="H286">
        <f t="shared" ca="1" si="26"/>
        <v>18840</v>
      </c>
      <c r="I286">
        <f t="shared" ca="1" si="27"/>
        <v>178</v>
      </c>
    </row>
    <row r="287" spans="1:9" x14ac:dyDescent="0.45">
      <c r="A287">
        <v>285</v>
      </c>
      <c r="B287" t="str">
        <f>CONCATENATE("Methode ",table_Methods[[#This Row],[ID]])</f>
        <v>Methode 285</v>
      </c>
      <c r="C287">
        <f t="shared" ca="1" si="28"/>
        <v>97.000000000000014</v>
      </c>
      <c r="D287">
        <f t="shared" ca="1" si="29"/>
        <v>9.07</v>
      </c>
      <c r="E287">
        <f t="shared" ca="1" si="24"/>
        <v>-10</v>
      </c>
      <c r="F287">
        <f t="shared" ca="1" si="25"/>
        <v>310</v>
      </c>
      <c r="G287" s="3" t="b">
        <f ca="1">INDEX(dict_zul_Var_Meth[kval_active],MATCH(table_Methods[[#This Row],[ID]],dict_zul_Var_Meth[ID_Methods],0))</f>
        <v>0</v>
      </c>
      <c r="H287">
        <f t="shared" ca="1" si="26"/>
        <v>5170</v>
      </c>
      <c r="I287">
        <f t="shared" ca="1" si="27"/>
        <v>81920</v>
      </c>
    </row>
    <row r="288" spans="1:9" x14ac:dyDescent="0.45">
      <c r="A288">
        <v>286</v>
      </c>
      <c r="B288" t="str">
        <f>CONCATENATE("Methode ",table_Methods[[#This Row],[ID]])</f>
        <v>Methode 286</v>
      </c>
      <c r="C288">
        <f t="shared" ca="1" si="28"/>
        <v>11</v>
      </c>
      <c r="D288">
        <f t="shared" ca="1" si="29"/>
        <v>8.76</v>
      </c>
      <c r="E288">
        <f t="shared" ca="1" si="24"/>
        <v>-70</v>
      </c>
      <c r="F288">
        <f t="shared" ca="1" si="25"/>
        <v>440</v>
      </c>
      <c r="G288" s="3" t="b">
        <f ca="1">INDEX(dict_zul_Var_Meth[kval_active],MATCH(table_Methods[[#This Row],[ID]],dict_zul_Var_Meth[ID_Methods],0))</f>
        <v>0</v>
      </c>
      <c r="H288">
        <f t="shared" ca="1" si="26"/>
        <v>2289</v>
      </c>
      <c r="I288">
        <f t="shared" ca="1" si="27"/>
        <v>8960</v>
      </c>
    </row>
    <row r="289" spans="1:9" x14ac:dyDescent="0.45">
      <c r="A289">
        <v>287</v>
      </c>
      <c r="B289" t="str">
        <f>CONCATENATE("Methode ",table_Methods[[#This Row],[ID]])</f>
        <v>Methode 287</v>
      </c>
      <c r="C289">
        <f t="shared" ca="1" si="28"/>
        <v>330</v>
      </c>
      <c r="D289">
        <f t="shared" ca="1" si="29"/>
        <v>4.6399999999999997</v>
      </c>
      <c r="E289">
        <f t="shared" ca="1" si="24"/>
        <v>-60</v>
      </c>
      <c r="F289">
        <f t="shared" ca="1" si="25"/>
        <v>730</v>
      </c>
      <c r="G289" s="3" t="b">
        <f ca="1">INDEX(dict_zul_Var_Meth[kval_active],MATCH(table_Methods[[#This Row],[ID]],dict_zul_Var_Meth[ID_Methods],0))</f>
        <v>0</v>
      </c>
      <c r="H289">
        <f t="shared" ca="1" si="26"/>
        <v>8096</v>
      </c>
      <c r="I289">
        <f t="shared" ca="1" si="27"/>
        <v>130</v>
      </c>
    </row>
    <row r="290" spans="1:9" x14ac:dyDescent="0.45">
      <c r="A290">
        <v>288</v>
      </c>
      <c r="B290" t="str">
        <f>CONCATENATE("Methode ",table_Methods[[#This Row],[ID]])</f>
        <v>Methode 288</v>
      </c>
      <c r="C290">
        <f t="shared" ca="1" si="28"/>
        <v>8000</v>
      </c>
      <c r="D290">
        <f t="shared" ca="1" si="29"/>
        <v>5.73</v>
      </c>
      <c r="E290">
        <f t="shared" ca="1" si="24"/>
        <v>-40</v>
      </c>
      <c r="F290">
        <f t="shared" ca="1" si="25"/>
        <v>560</v>
      </c>
      <c r="G290" s="3" t="b">
        <f ca="1">INDEX(dict_zul_Var_Meth[kval_active],MATCH(table_Methods[[#This Row],[ID]],dict_zul_Var_Meth[ID_Methods],0))</f>
        <v>0</v>
      </c>
      <c r="H290">
        <f t="shared" ca="1" si="26"/>
        <v>1010</v>
      </c>
      <c r="I290">
        <f t="shared" ca="1" si="27"/>
        <v>87040</v>
      </c>
    </row>
    <row r="291" spans="1:9" x14ac:dyDescent="0.45">
      <c r="A291">
        <v>289</v>
      </c>
      <c r="B291" t="str">
        <f>CONCATENATE("Methode ",table_Methods[[#This Row],[ID]])</f>
        <v>Methode 289</v>
      </c>
      <c r="C291">
        <f t="shared" ca="1" si="28"/>
        <v>5700</v>
      </c>
      <c r="D291">
        <f t="shared" ca="1" si="29"/>
        <v>3.03</v>
      </c>
      <c r="E291">
        <f t="shared" ca="1" si="24"/>
        <v>-50</v>
      </c>
      <c r="F291">
        <f t="shared" ca="1" si="25"/>
        <v>790</v>
      </c>
      <c r="G291" s="3" t="b">
        <f ca="1">INDEX(dict_zul_Var_Meth[kval_active],MATCH(table_Methods[[#This Row],[ID]],dict_zul_Var_Meth[ID_Methods],0))</f>
        <v>0</v>
      </c>
      <c r="H291">
        <f t="shared" ca="1" si="26"/>
        <v>26838</v>
      </c>
      <c r="I291">
        <f t="shared" ca="1" si="27"/>
        <v>108</v>
      </c>
    </row>
    <row r="292" spans="1:9" x14ac:dyDescent="0.45">
      <c r="A292">
        <v>290</v>
      </c>
      <c r="B292" t="str">
        <f>CONCATENATE("Methode ",table_Methods[[#This Row],[ID]])</f>
        <v>Methode 290</v>
      </c>
      <c r="C292">
        <f t="shared" ca="1" si="28"/>
        <v>85</v>
      </c>
      <c r="D292">
        <f t="shared" ca="1" si="29"/>
        <v>0.42</v>
      </c>
      <c r="E292">
        <f t="shared" ref="E292:E355" ca="1" si="30">RANDBETWEEN(-10,3)*10</f>
        <v>-50</v>
      </c>
      <c r="F292">
        <f t="shared" ref="F292:F355" ca="1" si="31">RANDBETWEEN(2,100)*10</f>
        <v>900</v>
      </c>
      <c r="G292" s="3" t="b">
        <f ca="1">INDEX(dict_zul_Var_Meth[kval_active],MATCH(table_Methods[[#This Row],[ID]],dict_zul_Var_Meth[ID_Methods],0))</f>
        <v>0</v>
      </c>
      <c r="H292">
        <f t="shared" ref="H292:H355" ca="1" si="32">RANDBETWEEN(1,10)*RANDBETWEEN(1,5000)</f>
        <v>2955</v>
      </c>
      <c r="I292">
        <f t="shared" ref="I292:I355" ca="1" si="33">2^RANDBETWEEN(1,10)*RANDBETWEEN(1,100)</f>
        <v>1376</v>
      </c>
    </row>
    <row r="293" spans="1:9" x14ac:dyDescent="0.45">
      <c r="A293">
        <v>291</v>
      </c>
      <c r="B293" t="str">
        <f>CONCATENATE("Methode ",table_Methods[[#This Row],[ID]])</f>
        <v>Methode 291</v>
      </c>
      <c r="C293">
        <f t="shared" ca="1" si="28"/>
        <v>450</v>
      </c>
      <c r="D293">
        <f t="shared" ca="1" si="29"/>
        <v>6.8</v>
      </c>
      <c r="E293">
        <f t="shared" ca="1" si="30"/>
        <v>-90</v>
      </c>
      <c r="F293">
        <f t="shared" ca="1" si="31"/>
        <v>290</v>
      </c>
      <c r="G293" s="3" t="b">
        <f ca="1">INDEX(dict_zul_Var_Meth[kval_active],MATCH(table_Methods[[#This Row],[ID]],dict_zul_Var_Meth[ID_Methods],0))</f>
        <v>0</v>
      </c>
      <c r="H293">
        <f t="shared" ca="1" si="32"/>
        <v>15985</v>
      </c>
      <c r="I293">
        <f t="shared" ca="1" si="33"/>
        <v>44</v>
      </c>
    </row>
    <row r="294" spans="1:9" x14ac:dyDescent="0.45">
      <c r="A294">
        <v>292</v>
      </c>
      <c r="B294" t="str">
        <f>CONCATENATE("Methode ",table_Methods[[#This Row],[ID]])</f>
        <v>Methode 292</v>
      </c>
      <c r="C294">
        <f t="shared" ca="1" si="28"/>
        <v>19</v>
      </c>
      <c r="D294">
        <f t="shared" ca="1" si="29"/>
        <v>2.5</v>
      </c>
      <c r="E294">
        <f t="shared" ca="1" si="30"/>
        <v>30</v>
      </c>
      <c r="F294">
        <f t="shared" ca="1" si="31"/>
        <v>560</v>
      </c>
      <c r="G294" s="3" t="b">
        <f ca="1">INDEX(dict_zul_Var_Meth[kval_active],MATCH(table_Methods[[#This Row],[ID]],dict_zul_Var_Meth[ID_Methods],0))</f>
        <v>0</v>
      </c>
      <c r="H294">
        <f t="shared" ca="1" si="32"/>
        <v>1467</v>
      </c>
      <c r="I294">
        <f t="shared" ca="1" si="33"/>
        <v>30208</v>
      </c>
    </row>
    <row r="295" spans="1:9" x14ac:dyDescent="0.45">
      <c r="A295">
        <v>293</v>
      </c>
      <c r="B295" t="str">
        <f>CONCATENATE("Methode ",table_Methods[[#This Row],[ID]])</f>
        <v>Methode 293</v>
      </c>
      <c r="C295">
        <f t="shared" ca="1" si="28"/>
        <v>450</v>
      </c>
      <c r="D295">
        <f t="shared" ca="1" si="29"/>
        <v>3.1</v>
      </c>
      <c r="E295">
        <f t="shared" ca="1" si="30"/>
        <v>0</v>
      </c>
      <c r="F295">
        <f t="shared" ca="1" si="31"/>
        <v>250</v>
      </c>
      <c r="G295" s="3" t="b">
        <f ca="1">INDEX(dict_zul_Var_Meth[kval_active],MATCH(table_Methods[[#This Row],[ID]],dict_zul_Var_Meth[ID_Methods],0))</f>
        <v>0</v>
      </c>
      <c r="H295">
        <f t="shared" ca="1" si="32"/>
        <v>15640</v>
      </c>
      <c r="I295">
        <f t="shared" ca="1" si="33"/>
        <v>240</v>
      </c>
    </row>
    <row r="296" spans="1:9" x14ac:dyDescent="0.45">
      <c r="A296">
        <v>294</v>
      </c>
      <c r="B296" t="str">
        <f>CONCATENATE("Methode ",table_Methods[[#This Row],[ID]])</f>
        <v>Methode 294</v>
      </c>
      <c r="C296">
        <f t="shared" ca="1" si="28"/>
        <v>3000</v>
      </c>
      <c r="D296">
        <f t="shared" ca="1" si="29"/>
        <v>5.17</v>
      </c>
      <c r="E296">
        <f t="shared" ca="1" si="30"/>
        <v>-70</v>
      </c>
      <c r="F296">
        <f t="shared" ca="1" si="31"/>
        <v>990</v>
      </c>
      <c r="G296" s="3" t="b">
        <f ca="1">INDEX(dict_zul_Var_Meth[kval_active],MATCH(table_Methods[[#This Row],[ID]],dict_zul_Var_Meth[ID_Methods],0))</f>
        <v>0</v>
      </c>
      <c r="H296">
        <f t="shared" ca="1" si="32"/>
        <v>16317</v>
      </c>
      <c r="I296">
        <f t="shared" ca="1" si="33"/>
        <v>5120</v>
      </c>
    </row>
    <row r="297" spans="1:9" x14ac:dyDescent="0.45">
      <c r="A297">
        <v>295</v>
      </c>
      <c r="B297" t="str">
        <f>CONCATENATE("Methode ",table_Methods[[#This Row],[ID]])</f>
        <v>Methode 295</v>
      </c>
      <c r="C297">
        <f t="shared" ca="1" si="28"/>
        <v>78</v>
      </c>
      <c r="D297">
        <f t="shared" ca="1" si="29"/>
        <v>6.58</v>
      </c>
      <c r="E297">
        <f t="shared" ca="1" si="30"/>
        <v>-60</v>
      </c>
      <c r="F297">
        <f t="shared" ca="1" si="31"/>
        <v>620</v>
      </c>
      <c r="G297" s="3" t="b">
        <f ca="1">INDEX(dict_zul_Var_Meth[kval_active],MATCH(table_Methods[[#This Row],[ID]],dict_zul_Var_Meth[ID_Methods],0))</f>
        <v>0</v>
      </c>
      <c r="H297">
        <f t="shared" ca="1" si="32"/>
        <v>16485</v>
      </c>
      <c r="I297">
        <f t="shared" ca="1" si="33"/>
        <v>1888</v>
      </c>
    </row>
    <row r="298" spans="1:9" x14ac:dyDescent="0.45">
      <c r="A298">
        <v>296</v>
      </c>
      <c r="B298" t="str">
        <f>CONCATENATE("Methode ",table_Methods[[#This Row],[ID]])</f>
        <v>Methode 296</v>
      </c>
      <c r="C298">
        <f t="shared" ca="1" si="28"/>
        <v>900</v>
      </c>
      <c r="D298">
        <f t="shared" ca="1" si="29"/>
        <v>7.96</v>
      </c>
      <c r="E298">
        <f t="shared" ca="1" si="30"/>
        <v>-50</v>
      </c>
      <c r="F298">
        <f t="shared" ca="1" si="31"/>
        <v>780</v>
      </c>
      <c r="G298" s="3" t="b">
        <f ca="1">INDEX(dict_zul_Var_Meth[kval_active],MATCH(table_Methods[[#This Row],[ID]],dict_zul_Var_Meth[ID_Methods],0))</f>
        <v>0</v>
      </c>
      <c r="H298">
        <f t="shared" ca="1" si="32"/>
        <v>3031</v>
      </c>
      <c r="I298">
        <f t="shared" ca="1" si="33"/>
        <v>7424</v>
      </c>
    </row>
    <row r="299" spans="1:9" x14ac:dyDescent="0.45">
      <c r="A299">
        <v>297</v>
      </c>
      <c r="B299" t="str">
        <f>CONCATENATE("Methode ",table_Methods[[#This Row],[ID]])</f>
        <v>Methode 297</v>
      </c>
      <c r="C299">
        <f t="shared" ca="1" si="28"/>
        <v>9500</v>
      </c>
      <c r="D299">
        <f t="shared" ca="1" si="29"/>
        <v>2.1</v>
      </c>
      <c r="E299">
        <f t="shared" ca="1" si="30"/>
        <v>-90</v>
      </c>
      <c r="F299">
        <f t="shared" ca="1" si="31"/>
        <v>740</v>
      </c>
      <c r="G299" s="3" t="b">
        <f ca="1">INDEX(dict_zul_Var_Meth[kval_active],MATCH(table_Methods[[#This Row],[ID]],dict_zul_Var_Meth[ID_Methods],0))</f>
        <v>0</v>
      </c>
      <c r="H299">
        <f t="shared" ca="1" si="32"/>
        <v>24060</v>
      </c>
      <c r="I299">
        <f t="shared" ca="1" si="33"/>
        <v>35328</v>
      </c>
    </row>
    <row r="300" spans="1:9" x14ac:dyDescent="0.45">
      <c r="A300">
        <v>298</v>
      </c>
      <c r="B300" t="str">
        <f>CONCATENATE("Methode ",table_Methods[[#This Row],[ID]])</f>
        <v>Methode 298</v>
      </c>
      <c r="C300">
        <f t="shared" ca="1" si="28"/>
        <v>870</v>
      </c>
      <c r="D300">
        <f t="shared" ca="1" si="29"/>
        <v>1.2</v>
      </c>
      <c r="E300">
        <f t="shared" ca="1" si="30"/>
        <v>-90</v>
      </c>
      <c r="F300">
        <f t="shared" ca="1" si="31"/>
        <v>690</v>
      </c>
      <c r="G300" s="3" t="b">
        <f ca="1">INDEX(dict_zul_Var_Meth[kval_active],MATCH(table_Methods[[#This Row],[ID]],dict_zul_Var_Meth[ID_Methods],0))</f>
        <v>0</v>
      </c>
      <c r="H300">
        <f t="shared" ca="1" si="32"/>
        <v>6880</v>
      </c>
      <c r="I300">
        <f t="shared" ca="1" si="33"/>
        <v>7680</v>
      </c>
    </row>
    <row r="301" spans="1:9" x14ac:dyDescent="0.45">
      <c r="A301">
        <v>299</v>
      </c>
      <c r="B301" t="str">
        <f>CONCATENATE("Methode ",table_Methods[[#This Row],[ID]])</f>
        <v>Methode 299</v>
      </c>
      <c r="C301">
        <f t="shared" ca="1" si="28"/>
        <v>8000</v>
      </c>
      <c r="D301">
        <f t="shared" ca="1" si="29"/>
        <v>5.29</v>
      </c>
      <c r="E301">
        <f t="shared" ca="1" si="30"/>
        <v>-100</v>
      </c>
      <c r="F301">
        <f t="shared" ca="1" si="31"/>
        <v>210</v>
      </c>
      <c r="G301" s="3" t="b">
        <f ca="1">INDEX(dict_zul_Var_Meth[kval_active],MATCH(table_Methods[[#This Row],[ID]],dict_zul_Var_Meth[ID_Methods],0))</f>
        <v>0</v>
      </c>
      <c r="H301">
        <f t="shared" ca="1" si="32"/>
        <v>39250</v>
      </c>
      <c r="I301">
        <f t="shared" ca="1" si="33"/>
        <v>1024</v>
      </c>
    </row>
    <row r="302" spans="1:9" x14ac:dyDescent="0.45">
      <c r="A302">
        <v>300</v>
      </c>
      <c r="B302" t="str">
        <f>CONCATENATE("Methode ",table_Methods[[#This Row],[ID]])</f>
        <v>Methode 300</v>
      </c>
      <c r="C302">
        <f t="shared" ca="1" si="28"/>
        <v>900</v>
      </c>
      <c r="D302">
        <f t="shared" ca="1" si="29"/>
        <v>2.8</v>
      </c>
      <c r="E302">
        <f t="shared" ca="1" si="30"/>
        <v>-50</v>
      </c>
      <c r="F302">
        <f t="shared" ca="1" si="31"/>
        <v>720</v>
      </c>
      <c r="G302" s="3" t="b">
        <f ca="1">INDEX(dict_zul_Var_Meth[kval_active],MATCH(table_Methods[[#This Row],[ID]],dict_zul_Var_Meth[ID_Methods],0))</f>
        <v>0</v>
      </c>
      <c r="H302">
        <f t="shared" ca="1" si="32"/>
        <v>28068</v>
      </c>
      <c r="I302">
        <f t="shared" ca="1" si="33"/>
        <v>656</v>
      </c>
    </row>
    <row r="303" spans="1:9" x14ac:dyDescent="0.45">
      <c r="A303">
        <v>301</v>
      </c>
      <c r="B303" t="str">
        <f>CONCATENATE("Methode ",table_Methods[[#This Row],[ID]])</f>
        <v>Methode 301</v>
      </c>
      <c r="C303">
        <f t="shared" ca="1" si="28"/>
        <v>170</v>
      </c>
      <c r="D303">
        <f t="shared" ca="1" si="29"/>
        <v>5.19</v>
      </c>
      <c r="E303">
        <f t="shared" ca="1" si="30"/>
        <v>10</v>
      </c>
      <c r="F303">
        <f t="shared" ca="1" si="31"/>
        <v>450</v>
      </c>
      <c r="G303" s="3" t="b">
        <f ca="1">INDEX(dict_zul_Var_Meth[kval_active],MATCH(table_Methods[[#This Row],[ID]],dict_zul_Var_Meth[ID_Methods],0))</f>
        <v>0</v>
      </c>
      <c r="H303">
        <f t="shared" ca="1" si="32"/>
        <v>32472</v>
      </c>
      <c r="I303">
        <f t="shared" ca="1" si="33"/>
        <v>352</v>
      </c>
    </row>
    <row r="304" spans="1:9" x14ac:dyDescent="0.45">
      <c r="A304">
        <v>302</v>
      </c>
      <c r="B304" t="str">
        <f>CONCATENATE("Methode ",table_Methods[[#This Row],[ID]])</f>
        <v>Methode 302</v>
      </c>
      <c r="C304">
        <f t="shared" ca="1" si="28"/>
        <v>860</v>
      </c>
      <c r="D304">
        <f t="shared" ca="1" si="29"/>
        <v>3.64</v>
      </c>
      <c r="E304">
        <f t="shared" ca="1" si="30"/>
        <v>-100</v>
      </c>
      <c r="F304">
        <f t="shared" ca="1" si="31"/>
        <v>990</v>
      </c>
      <c r="G304" s="3" t="b">
        <f ca="1">INDEX(dict_zul_Var_Meth[kval_active],MATCH(table_Methods[[#This Row],[ID]],dict_zul_Var_Meth[ID_Methods],0))</f>
        <v>0</v>
      </c>
      <c r="H304">
        <f t="shared" ca="1" si="32"/>
        <v>27300</v>
      </c>
      <c r="I304">
        <f t="shared" ca="1" si="33"/>
        <v>2464</v>
      </c>
    </row>
    <row r="305" spans="1:9" x14ac:dyDescent="0.45">
      <c r="A305">
        <v>303</v>
      </c>
      <c r="B305" t="str">
        <f>CONCATENATE("Methode ",table_Methods[[#This Row],[ID]])</f>
        <v>Methode 303</v>
      </c>
      <c r="C305">
        <f t="shared" ca="1" si="28"/>
        <v>5000</v>
      </c>
      <c r="D305">
        <f t="shared" ca="1" si="29"/>
        <v>0.28999999999999998</v>
      </c>
      <c r="E305">
        <f t="shared" ca="1" si="30"/>
        <v>-30</v>
      </c>
      <c r="F305">
        <f t="shared" ca="1" si="31"/>
        <v>720</v>
      </c>
      <c r="G305" s="3" t="b">
        <f ca="1">INDEX(dict_zul_Var_Meth[kval_active],MATCH(table_Methods[[#This Row],[ID]],dict_zul_Var_Meth[ID_Methods],0))</f>
        <v>0</v>
      </c>
      <c r="H305">
        <f t="shared" ca="1" si="32"/>
        <v>4914</v>
      </c>
      <c r="I305">
        <f t="shared" ca="1" si="33"/>
        <v>688</v>
      </c>
    </row>
    <row r="306" spans="1:9" x14ac:dyDescent="0.45">
      <c r="A306">
        <v>304</v>
      </c>
      <c r="B306" t="str">
        <f>CONCATENATE("Methode ",table_Methods[[#This Row],[ID]])</f>
        <v>Methode 304</v>
      </c>
      <c r="C306">
        <f t="shared" ca="1" si="28"/>
        <v>280</v>
      </c>
      <c r="D306">
        <f t="shared" ca="1" si="29"/>
        <v>7.8</v>
      </c>
      <c r="E306">
        <f t="shared" ca="1" si="30"/>
        <v>-20</v>
      </c>
      <c r="F306">
        <f t="shared" ca="1" si="31"/>
        <v>770</v>
      </c>
      <c r="G306" s="3" t="b">
        <f ca="1">INDEX(dict_zul_Var_Meth[kval_active],MATCH(table_Methods[[#This Row],[ID]],dict_zul_Var_Meth[ID_Methods],0))</f>
        <v>0</v>
      </c>
      <c r="H306">
        <f t="shared" ca="1" si="32"/>
        <v>24170</v>
      </c>
      <c r="I306">
        <f t="shared" ca="1" si="33"/>
        <v>5248</v>
      </c>
    </row>
    <row r="307" spans="1:9" x14ac:dyDescent="0.45">
      <c r="A307">
        <v>305</v>
      </c>
      <c r="B307" t="str">
        <f>CONCATENATE("Methode ",table_Methods[[#This Row],[ID]])</f>
        <v>Methode 305</v>
      </c>
      <c r="C307">
        <f t="shared" ca="1" si="28"/>
        <v>1100</v>
      </c>
      <c r="D307">
        <f t="shared" ca="1" si="29"/>
        <v>1.98</v>
      </c>
      <c r="E307">
        <f t="shared" ca="1" si="30"/>
        <v>-70</v>
      </c>
      <c r="F307">
        <f t="shared" ca="1" si="31"/>
        <v>320</v>
      </c>
      <c r="G307" s="3" t="b">
        <f ca="1">INDEX(dict_zul_Var_Meth[kval_active],MATCH(table_Methods[[#This Row],[ID]],dict_zul_Var_Meth[ID_Methods],0))</f>
        <v>0</v>
      </c>
      <c r="H307">
        <f t="shared" ca="1" si="32"/>
        <v>8052</v>
      </c>
      <c r="I307">
        <f t="shared" ca="1" si="33"/>
        <v>448</v>
      </c>
    </row>
    <row r="308" spans="1:9" x14ac:dyDescent="0.45">
      <c r="A308">
        <v>306</v>
      </c>
      <c r="B308" t="str">
        <f>CONCATENATE("Methode ",table_Methods[[#This Row],[ID]])</f>
        <v>Methode 306</v>
      </c>
      <c r="C308">
        <f t="shared" ca="1" si="28"/>
        <v>590</v>
      </c>
      <c r="D308">
        <f t="shared" ca="1" si="29"/>
        <v>2.79</v>
      </c>
      <c r="E308">
        <f t="shared" ca="1" si="30"/>
        <v>-10</v>
      </c>
      <c r="F308">
        <f t="shared" ca="1" si="31"/>
        <v>490</v>
      </c>
      <c r="G308" s="3" t="b">
        <f ca="1">INDEX(dict_zul_Var_Meth[kval_active],MATCH(table_Methods[[#This Row],[ID]],dict_zul_Var_Meth[ID_Methods],0))</f>
        <v>0</v>
      </c>
      <c r="H308">
        <f t="shared" ca="1" si="32"/>
        <v>34848</v>
      </c>
      <c r="I308">
        <f t="shared" ca="1" si="33"/>
        <v>256</v>
      </c>
    </row>
    <row r="309" spans="1:9" x14ac:dyDescent="0.45">
      <c r="A309">
        <v>307</v>
      </c>
      <c r="B309" t="str">
        <f>CONCATENATE("Methode ",table_Methods[[#This Row],[ID]])</f>
        <v>Methode 307</v>
      </c>
      <c r="C309">
        <f t="shared" ca="1" si="28"/>
        <v>5000</v>
      </c>
      <c r="D309">
        <f t="shared" ca="1" si="29"/>
        <v>2.25</v>
      </c>
      <c r="E309">
        <f t="shared" ca="1" si="30"/>
        <v>-90</v>
      </c>
      <c r="F309">
        <f t="shared" ca="1" si="31"/>
        <v>100</v>
      </c>
      <c r="G309" s="3" t="b">
        <f ca="1">INDEX(dict_zul_Var_Meth[kval_active],MATCH(table_Methods[[#This Row],[ID]],dict_zul_Var_Meth[ID_Methods],0))</f>
        <v>0</v>
      </c>
      <c r="H309">
        <f t="shared" ca="1" si="32"/>
        <v>3264</v>
      </c>
      <c r="I309">
        <f t="shared" ca="1" si="33"/>
        <v>38400</v>
      </c>
    </row>
    <row r="310" spans="1:9" x14ac:dyDescent="0.45">
      <c r="A310">
        <v>308</v>
      </c>
      <c r="B310" t="str">
        <f>CONCATENATE("Methode ",table_Methods[[#This Row],[ID]])</f>
        <v>Methode 308</v>
      </c>
      <c r="C310">
        <f t="shared" ca="1" si="28"/>
        <v>81</v>
      </c>
      <c r="D310">
        <f t="shared" ca="1" si="29"/>
        <v>7.29</v>
      </c>
      <c r="E310">
        <f t="shared" ca="1" si="30"/>
        <v>-70</v>
      </c>
      <c r="F310">
        <f t="shared" ca="1" si="31"/>
        <v>590</v>
      </c>
      <c r="G310" s="3" t="b">
        <f ca="1">INDEX(dict_zul_Var_Meth[kval_active],MATCH(table_Methods[[#This Row],[ID]],dict_zul_Var_Meth[ID_Methods],0))</f>
        <v>0</v>
      </c>
      <c r="H310">
        <f t="shared" ca="1" si="32"/>
        <v>9422</v>
      </c>
      <c r="I310">
        <f t="shared" ca="1" si="33"/>
        <v>784</v>
      </c>
    </row>
    <row r="311" spans="1:9" x14ac:dyDescent="0.45">
      <c r="A311">
        <v>309</v>
      </c>
      <c r="B311" t="str">
        <f>CONCATENATE("Methode ",table_Methods[[#This Row],[ID]])</f>
        <v>Methode 309</v>
      </c>
      <c r="C311">
        <f t="shared" ca="1" si="28"/>
        <v>880</v>
      </c>
      <c r="D311">
        <f t="shared" ca="1" si="29"/>
        <v>1.03</v>
      </c>
      <c r="E311">
        <f t="shared" ca="1" si="30"/>
        <v>30</v>
      </c>
      <c r="F311">
        <f t="shared" ca="1" si="31"/>
        <v>520</v>
      </c>
      <c r="G311" s="3" t="b">
        <f ca="1">INDEX(dict_zul_Var_Meth[kval_active],MATCH(table_Methods[[#This Row],[ID]],dict_zul_Var_Meth[ID_Methods],0))</f>
        <v>0</v>
      </c>
      <c r="H311">
        <f t="shared" ca="1" si="32"/>
        <v>4814</v>
      </c>
      <c r="I311">
        <f t="shared" ca="1" si="33"/>
        <v>512</v>
      </c>
    </row>
    <row r="312" spans="1:9" x14ac:dyDescent="0.45">
      <c r="A312">
        <v>310</v>
      </c>
      <c r="B312" t="str">
        <f>CONCATENATE("Methode ",table_Methods[[#This Row],[ID]])</f>
        <v>Methode 310</v>
      </c>
      <c r="C312">
        <f t="shared" ca="1" si="28"/>
        <v>500</v>
      </c>
      <c r="D312">
        <f t="shared" ca="1" si="29"/>
        <v>6.85</v>
      </c>
      <c r="E312">
        <f t="shared" ca="1" si="30"/>
        <v>-80</v>
      </c>
      <c r="F312">
        <f t="shared" ca="1" si="31"/>
        <v>540</v>
      </c>
      <c r="G312" s="3" t="b">
        <f ca="1">INDEX(dict_zul_Var_Meth[kval_active],MATCH(table_Methods[[#This Row],[ID]],dict_zul_Var_Meth[ID_Methods],0))</f>
        <v>0</v>
      </c>
      <c r="H312">
        <f t="shared" ca="1" si="32"/>
        <v>17290</v>
      </c>
      <c r="I312">
        <f t="shared" ca="1" si="33"/>
        <v>60416</v>
      </c>
    </row>
    <row r="313" spans="1:9" x14ac:dyDescent="0.45">
      <c r="A313">
        <v>311</v>
      </c>
      <c r="B313" t="str">
        <f>CONCATENATE("Methode ",table_Methods[[#This Row],[ID]])</f>
        <v>Methode 311</v>
      </c>
      <c r="C313">
        <f t="shared" ca="1" si="28"/>
        <v>3900</v>
      </c>
      <c r="D313">
        <f t="shared" ca="1" si="29"/>
        <v>3.64</v>
      </c>
      <c r="E313">
        <f t="shared" ca="1" si="30"/>
        <v>0</v>
      </c>
      <c r="F313">
        <f t="shared" ca="1" si="31"/>
        <v>50</v>
      </c>
      <c r="G313" s="3" t="b">
        <f ca="1">INDEX(dict_zul_Var_Meth[kval_active],MATCH(table_Methods[[#This Row],[ID]],dict_zul_Var_Meth[ID_Methods],0))</f>
        <v>0</v>
      </c>
      <c r="H313">
        <f t="shared" ca="1" si="32"/>
        <v>1335</v>
      </c>
      <c r="I313">
        <f t="shared" ca="1" si="33"/>
        <v>25600</v>
      </c>
    </row>
    <row r="314" spans="1:9" x14ac:dyDescent="0.45">
      <c r="A314">
        <v>312</v>
      </c>
      <c r="B314" t="str">
        <f>CONCATENATE("Methode ",table_Methods[[#This Row],[ID]])</f>
        <v>Methode 312</v>
      </c>
      <c r="C314">
        <f t="shared" ca="1" si="28"/>
        <v>2400</v>
      </c>
      <c r="D314">
        <f t="shared" ca="1" si="29"/>
        <v>4.34</v>
      </c>
      <c r="E314">
        <f t="shared" ca="1" si="30"/>
        <v>-50</v>
      </c>
      <c r="F314">
        <f t="shared" ca="1" si="31"/>
        <v>820</v>
      </c>
      <c r="G314" s="3" t="b">
        <f ca="1">INDEX(dict_zul_Var_Meth[kval_active],MATCH(table_Methods[[#This Row],[ID]],dict_zul_Var_Meth[ID_Methods],0))</f>
        <v>0</v>
      </c>
      <c r="H314">
        <f t="shared" ca="1" si="32"/>
        <v>8890</v>
      </c>
      <c r="I314">
        <f t="shared" ca="1" si="33"/>
        <v>4608</v>
      </c>
    </row>
    <row r="315" spans="1:9" x14ac:dyDescent="0.45">
      <c r="A315">
        <v>313</v>
      </c>
      <c r="B315" t="str">
        <f>CONCATENATE("Methode ",table_Methods[[#This Row],[ID]])</f>
        <v>Methode 313</v>
      </c>
      <c r="C315">
        <f t="shared" ca="1" si="28"/>
        <v>100</v>
      </c>
      <c r="D315">
        <f t="shared" ca="1" si="29"/>
        <v>7.63</v>
      </c>
      <c r="E315">
        <f t="shared" ca="1" si="30"/>
        <v>0</v>
      </c>
      <c r="F315">
        <f t="shared" ca="1" si="31"/>
        <v>330</v>
      </c>
      <c r="G315" s="3" t="b">
        <f ca="1">INDEX(dict_zul_Var_Meth[kval_active],MATCH(table_Methods[[#This Row],[ID]],dict_zul_Var_Meth[ID_Methods],0))</f>
        <v>0</v>
      </c>
      <c r="H315">
        <f t="shared" ca="1" si="32"/>
        <v>1390</v>
      </c>
      <c r="I315">
        <f t="shared" ca="1" si="33"/>
        <v>1344</v>
      </c>
    </row>
    <row r="316" spans="1:9" x14ac:dyDescent="0.45">
      <c r="A316">
        <v>314</v>
      </c>
      <c r="B316" t="str">
        <f>CONCATENATE("Methode ",table_Methods[[#This Row],[ID]])</f>
        <v>Methode 314</v>
      </c>
      <c r="C316">
        <f t="shared" ca="1" si="28"/>
        <v>92.000000000000014</v>
      </c>
      <c r="D316">
        <f t="shared" ca="1" si="29"/>
        <v>3.42</v>
      </c>
      <c r="E316">
        <f t="shared" ca="1" si="30"/>
        <v>-80</v>
      </c>
      <c r="F316">
        <f t="shared" ca="1" si="31"/>
        <v>900</v>
      </c>
      <c r="G316" s="3" t="b">
        <f ca="1">INDEX(dict_zul_Var_Meth[kval_active],MATCH(table_Methods[[#This Row],[ID]],dict_zul_Var_Meth[ID_Methods],0))</f>
        <v>0</v>
      </c>
      <c r="H316">
        <f t="shared" ca="1" si="32"/>
        <v>24654</v>
      </c>
      <c r="I316">
        <f t="shared" ca="1" si="33"/>
        <v>1024</v>
      </c>
    </row>
    <row r="317" spans="1:9" x14ac:dyDescent="0.45">
      <c r="A317">
        <v>315</v>
      </c>
      <c r="B317" t="str">
        <f>CONCATENATE("Methode ",table_Methods[[#This Row],[ID]])</f>
        <v>Methode 315</v>
      </c>
      <c r="C317">
        <f t="shared" ca="1" si="28"/>
        <v>590</v>
      </c>
      <c r="D317">
        <f t="shared" ca="1" si="29"/>
        <v>5.44</v>
      </c>
      <c r="E317">
        <f t="shared" ca="1" si="30"/>
        <v>-60</v>
      </c>
      <c r="F317">
        <f t="shared" ca="1" si="31"/>
        <v>330</v>
      </c>
      <c r="G317" s="3" t="b">
        <f ca="1">INDEX(dict_zul_Var_Meth[kval_active],MATCH(table_Methods[[#This Row],[ID]],dict_zul_Var_Meth[ID_Methods],0))</f>
        <v>1</v>
      </c>
      <c r="H317">
        <f t="shared" ca="1" si="32"/>
        <v>9112</v>
      </c>
      <c r="I317">
        <f t="shared" ca="1" si="33"/>
        <v>52</v>
      </c>
    </row>
    <row r="318" spans="1:9" x14ac:dyDescent="0.45">
      <c r="A318">
        <v>316</v>
      </c>
      <c r="B318" t="str">
        <f>CONCATENATE("Methode ",table_Methods[[#This Row],[ID]])</f>
        <v>Methode 316</v>
      </c>
      <c r="C318">
        <f t="shared" ca="1" si="28"/>
        <v>47</v>
      </c>
      <c r="D318">
        <f t="shared" ca="1" si="29"/>
        <v>7.74</v>
      </c>
      <c r="E318">
        <f t="shared" ca="1" si="30"/>
        <v>-90</v>
      </c>
      <c r="F318">
        <f t="shared" ca="1" si="31"/>
        <v>540</v>
      </c>
      <c r="G318" s="3" t="b">
        <f ca="1">INDEX(dict_zul_Var_Meth[kval_active],MATCH(table_Methods[[#This Row],[ID]],dict_zul_Var_Meth[ID_Methods],0))</f>
        <v>0</v>
      </c>
      <c r="H318">
        <f t="shared" ca="1" si="32"/>
        <v>2244</v>
      </c>
      <c r="I318">
        <f t="shared" ca="1" si="33"/>
        <v>368</v>
      </c>
    </row>
    <row r="319" spans="1:9" x14ac:dyDescent="0.45">
      <c r="A319">
        <v>317</v>
      </c>
      <c r="B319" t="str">
        <f>CONCATENATE("Methode ",table_Methods[[#This Row],[ID]])</f>
        <v>Methode 317</v>
      </c>
      <c r="C319">
        <f t="shared" ca="1" si="28"/>
        <v>8300</v>
      </c>
      <c r="D319">
        <f t="shared" ca="1" si="29"/>
        <v>9.1199999999999992</v>
      </c>
      <c r="E319">
        <f t="shared" ca="1" si="30"/>
        <v>-60</v>
      </c>
      <c r="F319">
        <f t="shared" ca="1" si="31"/>
        <v>290</v>
      </c>
      <c r="G319" s="3" t="b">
        <f ca="1">INDEX(dict_zul_Var_Meth[kval_active],MATCH(table_Methods[[#This Row],[ID]],dict_zul_Var_Meth[ID_Methods],0))</f>
        <v>0</v>
      </c>
      <c r="H319">
        <f t="shared" ca="1" si="32"/>
        <v>2811</v>
      </c>
      <c r="I319">
        <f t="shared" ca="1" si="33"/>
        <v>1280</v>
      </c>
    </row>
    <row r="320" spans="1:9" x14ac:dyDescent="0.45">
      <c r="A320">
        <v>318</v>
      </c>
      <c r="B320" t="str">
        <f>CONCATENATE("Methode ",table_Methods[[#This Row],[ID]])</f>
        <v>Methode 318</v>
      </c>
      <c r="C320">
        <f t="shared" ca="1" si="28"/>
        <v>940</v>
      </c>
      <c r="D320">
        <f t="shared" ca="1" si="29"/>
        <v>6.29</v>
      </c>
      <c r="E320">
        <f t="shared" ca="1" si="30"/>
        <v>-70</v>
      </c>
      <c r="F320">
        <f t="shared" ca="1" si="31"/>
        <v>360</v>
      </c>
      <c r="G320" s="3" t="b">
        <f ca="1">INDEX(dict_zul_Var_Meth[kval_active],MATCH(table_Methods[[#This Row],[ID]],dict_zul_Var_Meth[ID_Methods],0))</f>
        <v>0</v>
      </c>
      <c r="H320">
        <f t="shared" ca="1" si="32"/>
        <v>9462</v>
      </c>
      <c r="I320">
        <f t="shared" ca="1" si="33"/>
        <v>680</v>
      </c>
    </row>
    <row r="321" spans="1:9" x14ac:dyDescent="0.45">
      <c r="A321">
        <v>319</v>
      </c>
      <c r="B321" t="str">
        <f>CONCATENATE("Methode ",table_Methods[[#This Row],[ID]])</f>
        <v>Methode 319</v>
      </c>
      <c r="C321">
        <f t="shared" ca="1" si="28"/>
        <v>5100</v>
      </c>
      <c r="D321">
        <f t="shared" ca="1" si="29"/>
        <v>2.82</v>
      </c>
      <c r="E321">
        <f t="shared" ca="1" si="30"/>
        <v>-80</v>
      </c>
      <c r="F321">
        <f t="shared" ca="1" si="31"/>
        <v>270</v>
      </c>
      <c r="G321" s="3" t="b">
        <f ca="1">INDEX(dict_zul_Var_Meth[kval_active],MATCH(table_Methods[[#This Row],[ID]],dict_zul_Var_Meth[ID_Methods],0))</f>
        <v>0</v>
      </c>
      <c r="H321">
        <f t="shared" ca="1" si="32"/>
        <v>9372</v>
      </c>
      <c r="I321">
        <f t="shared" ca="1" si="33"/>
        <v>332</v>
      </c>
    </row>
    <row r="322" spans="1:9" x14ac:dyDescent="0.45">
      <c r="A322">
        <v>320</v>
      </c>
      <c r="B322" t="str">
        <f>CONCATENATE("Methode ",table_Methods[[#This Row],[ID]])</f>
        <v>Methode 320</v>
      </c>
      <c r="C322">
        <f t="shared" ref="C322:C385" ca="1" si="34">10^(RANDBETWEEN(-1,1))*RANDBETWEEN(1,100)*10</f>
        <v>410</v>
      </c>
      <c r="D322">
        <f t="shared" ca="1" si="29"/>
        <v>1.1599999999999999</v>
      </c>
      <c r="E322">
        <f t="shared" ca="1" si="30"/>
        <v>10</v>
      </c>
      <c r="F322">
        <f t="shared" ca="1" si="31"/>
        <v>300</v>
      </c>
      <c r="G322" s="3" t="b">
        <f ca="1">INDEX(dict_zul_Var_Meth[kval_active],MATCH(table_Methods[[#This Row],[ID]],dict_zul_Var_Meth[ID_Methods],0))</f>
        <v>0</v>
      </c>
      <c r="H322">
        <f t="shared" ca="1" si="32"/>
        <v>5364</v>
      </c>
      <c r="I322">
        <f t="shared" ca="1" si="33"/>
        <v>6656</v>
      </c>
    </row>
    <row r="323" spans="1:9" x14ac:dyDescent="0.45">
      <c r="A323">
        <v>321</v>
      </c>
      <c r="B323" t="str">
        <f>CONCATENATE("Methode ",table_Methods[[#This Row],[ID]])</f>
        <v>Methode 321</v>
      </c>
      <c r="C323">
        <f t="shared" ca="1" si="34"/>
        <v>51.000000000000007</v>
      </c>
      <c r="D323">
        <f t="shared" ref="D323:D386" ca="1" si="35">RANDBETWEEN(10,1000)/(100)</f>
        <v>4.59</v>
      </c>
      <c r="E323">
        <f t="shared" ca="1" si="30"/>
        <v>30</v>
      </c>
      <c r="F323">
        <f t="shared" ca="1" si="31"/>
        <v>770</v>
      </c>
      <c r="G323" s="3" t="b">
        <f ca="1">INDEX(dict_zul_Var_Meth[kval_active],MATCH(table_Methods[[#This Row],[ID]],dict_zul_Var_Meth[ID_Methods],0))</f>
        <v>0</v>
      </c>
      <c r="H323">
        <f t="shared" ca="1" si="32"/>
        <v>1840</v>
      </c>
      <c r="I323">
        <f t="shared" ca="1" si="33"/>
        <v>45056</v>
      </c>
    </row>
    <row r="324" spans="1:9" x14ac:dyDescent="0.45">
      <c r="A324">
        <v>322</v>
      </c>
      <c r="B324" t="str">
        <f>CONCATENATE("Methode ",table_Methods[[#This Row],[ID]])</f>
        <v>Methode 322</v>
      </c>
      <c r="C324">
        <f t="shared" ca="1" si="34"/>
        <v>22</v>
      </c>
      <c r="D324">
        <f t="shared" ca="1" si="35"/>
        <v>7.39</v>
      </c>
      <c r="E324">
        <f t="shared" ca="1" si="30"/>
        <v>-50</v>
      </c>
      <c r="F324">
        <f t="shared" ca="1" si="31"/>
        <v>550</v>
      </c>
      <c r="G324" s="3" t="b">
        <f ca="1">INDEX(dict_zul_Var_Meth[kval_active],MATCH(table_Methods[[#This Row],[ID]],dict_zul_Var_Meth[ID_Methods],0))</f>
        <v>0</v>
      </c>
      <c r="H324">
        <f t="shared" ca="1" si="32"/>
        <v>4143</v>
      </c>
      <c r="I324">
        <f t="shared" ca="1" si="33"/>
        <v>256</v>
      </c>
    </row>
    <row r="325" spans="1:9" x14ac:dyDescent="0.45">
      <c r="A325">
        <v>323</v>
      </c>
      <c r="B325" t="str">
        <f>CONCATENATE("Methode ",table_Methods[[#This Row],[ID]])</f>
        <v>Methode 323</v>
      </c>
      <c r="C325">
        <f t="shared" ca="1" si="34"/>
        <v>500</v>
      </c>
      <c r="D325">
        <f t="shared" ca="1" si="35"/>
        <v>1.55</v>
      </c>
      <c r="E325">
        <f t="shared" ca="1" si="30"/>
        <v>-80</v>
      </c>
      <c r="F325">
        <f t="shared" ca="1" si="31"/>
        <v>240</v>
      </c>
      <c r="G325" s="3" t="b">
        <f ca="1">INDEX(dict_zul_Var_Meth[kval_active],MATCH(table_Methods[[#This Row],[ID]],dict_zul_Var_Meth[ID_Methods],0))</f>
        <v>0</v>
      </c>
      <c r="H325">
        <f t="shared" ca="1" si="32"/>
        <v>19368</v>
      </c>
      <c r="I325">
        <f t="shared" ca="1" si="33"/>
        <v>162</v>
      </c>
    </row>
    <row r="326" spans="1:9" x14ac:dyDescent="0.45">
      <c r="A326">
        <v>324</v>
      </c>
      <c r="B326" t="str">
        <f>CONCATENATE("Methode ",table_Methods[[#This Row],[ID]])</f>
        <v>Methode 324</v>
      </c>
      <c r="C326">
        <f t="shared" ca="1" si="34"/>
        <v>3500</v>
      </c>
      <c r="D326">
        <f t="shared" ca="1" si="35"/>
        <v>2.25</v>
      </c>
      <c r="E326">
        <f t="shared" ca="1" si="30"/>
        <v>-40</v>
      </c>
      <c r="F326">
        <f t="shared" ca="1" si="31"/>
        <v>810</v>
      </c>
      <c r="G326" s="3" t="b">
        <f ca="1">INDEX(dict_zul_Var_Meth[kval_active],MATCH(table_Methods[[#This Row],[ID]],dict_zul_Var_Meth[ID_Methods],0))</f>
        <v>0</v>
      </c>
      <c r="H326">
        <f t="shared" ca="1" si="32"/>
        <v>4844</v>
      </c>
      <c r="I326">
        <f t="shared" ca="1" si="33"/>
        <v>8704</v>
      </c>
    </row>
    <row r="327" spans="1:9" x14ac:dyDescent="0.45">
      <c r="A327">
        <v>325</v>
      </c>
      <c r="B327" t="str">
        <f>CONCATENATE("Methode ",table_Methods[[#This Row],[ID]])</f>
        <v>Methode 325</v>
      </c>
      <c r="C327">
        <f t="shared" ca="1" si="34"/>
        <v>610</v>
      </c>
      <c r="D327">
        <f t="shared" ca="1" si="35"/>
        <v>9.06</v>
      </c>
      <c r="E327">
        <f t="shared" ca="1" si="30"/>
        <v>-100</v>
      </c>
      <c r="F327">
        <f t="shared" ca="1" si="31"/>
        <v>390</v>
      </c>
      <c r="G327" s="3" t="b">
        <f ca="1">INDEX(dict_zul_Var_Meth[kval_active],MATCH(table_Methods[[#This Row],[ID]],dict_zul_Var_Meth[ID_Methods],0))</f>
        <v>0</v>
      </c>
      <c r="H327">
        <f t="shared" ca="1" si="32"/>
        <v>27240</v>
      </c>
      <c r="I327">
        <f t="shared" ca="1" si="33"/>
        <v>2304</v>
      </c>
    </row>
    <row r="328" spans="1:9" x14ac:dyDescent="0.45">
      <c r="A328">
        <v>326</v>
      </c>
      <c r="B328" t="str">
        <f>CONCATENATE("Methode ",table_Methods[[#This Row],[ID]])</f>
        <v>Methode 326</v>
      </c>
      <c r="C328">
        <f t="shared" ca="1" si="34"/>
        <v>25</v>
      </c>
      <c r="D328">
        <f t="shared" ca="1" si="35"/>
        <v>2.2200000000000002</v>
      </c>
      <c r="E328">
        <f t="shared" ca="1" si="30"/>
        <v>-10</v>
      </c>
      <c r="F328">
        <f t="shared" ca="1" si="31"/>
        <v>110</v>
      </c>
      <c r="G328" s="3" t="b">
        <f ca="1">INDEX(dict_zul_Var_Meth[kval_active],MATCH(table_Methods[[#This Row],[ID]],dict_zul_Var_Meth[ID_Methods],0))</f>
        <v>0</v>
      </c>
      <c r="H328">
        <f t="shared" ca="1" si="32"/>
        <v>13240</v>
      </c>
      <c r="I328">
        <f t="shared" ca="1" si="33"/>
        <v>4352</v>
      </c>
    </row>
    <row r="329" spans="1:9" x14ac:dyDescent="0.45">
      <c r="A329">
        <v>327</v>
      </c>
      <c r="B329" t="str">
        <f>CONCATENATE("Methode ",table_Methods[[#This Row],[ID]])</f>
        <v>Methode 327</v>
      </c>
      <c r="C329">
        <f t="shared" ca="1" si="34"/>
        <v>1600</v>
      </c>
      <c r="D329">
        <f t="shared" ca="1" si="35"/>
        <v>1.67</v>
      </c>
      <c r="E329">
        <f t="shared" ca="1" si="30"/>
        <v>-100</v>
      </c>
      <c r="F329">
        <f t="shared" ca="1" si="31"/>
        <v>460</v>
      </c>
      <c r="G329" s="3" t="b">
        <f ca="1">INDEX(dict_zul_Var_Meth[kval_active],MATCH(table_Methods[[#This Row],[ID]],dict_zul_Var_Meth[ID_Methods],0))</f>
        <v>0</v>
      </c>
      <c r="H329">
        <f t="shared" ca="1" si="32"/>
        <v>435</v>
      </c>
      <c r="I329">
        <f t="shared" ca="1" si="33"/>
        <v>13568</v>
      </c>
    </row>
    <row r="330" spans="1:9" x14ac:dyDescent="0.45">
      <c r="A330">
        <v>328</v>
      </c>
      <c r="B330" t="str">
        <f>CONCATENATE("Methode ",table_Methods[[#This Row],[ID]])</f>
        <v>Methode 328</v>
      </c>
      <c r="C330">
        <f t="shared" ca="1" si="34"/>
        <v>87.000000000000014</v>
      </c>
      <c r="D330">
        <f t="shared" ca="1" si="35"/>
        <v>9.99</v>
      </c>
      <c r="E330">
        <f t="shared" ca="1" si="30"/>
        <v>0</v>
      </c>
      <c r="F330">
        <f t="shared" ca="1" si="31"/>
        <v>540</v>
      </c>
      <c r="G330" s="3" t="b">
        <f ca="1">INDEX(dict_zul_Var_Meth[kval_active],MATCH(table_Methods[[#This Row],[ID]],dict_zul_Var_Meth[ID_Methods],0))</f>
        <v>0</v>
      </c>
      <c r="H330">
        <f t="shared" ca="1" si="32"/>
        <v>1655</v>
      </c>
      <c r="I330">
        <f t="shared" ca="1" si="33"/>
        <v>184</v>
      </c>
    </row>
    <row r="331" spans="1:9" x14ac:dyDescent="0.45">
      <c r="A331">
        <v>329</v>
      </c>
      <c r="B331" t="str">
        <f>CONCATENATE("Methode ",table_Methods[[#This Row],[ID]])</f>
        <v>Methode 329</v>
      </c>
      <c r="C331">
        <f t="shared" ca="1" si="34"/>
        <v>290</v>
      </c>
      <c r="D331">
        <f t="shared" ca="1" si="35"/>
        <v>7.52</v>
      </c>
      <c r="E331">
        <f t="shared" ca="1" si="30"/>
        <v>-70</v>
      </c>
      <c r="F331">
        <f t="shared" ca="1" si="31"/>
        <v>440</v>
      </c>
      <c r="G331" s="3" t="b">
        <f ca="1">INDEX(dict_zul_Var_Meth[kval_active],MATCH(table_Methods[[#This Row],[ID]],dict_zul_Var_Meth[ID_Methods],0))</f>
        <v>0</v>
      </c>
      <c r="H331">
        <f t="shared" ca="1" si="32"/>
        <v>3614</v>
      </c>
      <c r="I331">
        <f t="shared" ca="1" si="33"/>
        <v>16</v>
      </c>
    </row>
    <row r="332" spans="1:9" x14ac:dyDescent="0.45">
      <c r="A332">
        <v>330</v>
      </c>
      <c r="B332" t="str">
        <f>CONCATENATE("Methode ",table_Methods[[#This Row],[ID]])</f>
        <v>Methode 330</v>
      </c>
      <c r="C332">
        <f t="shared" ca="1" si="34"/>
        <v>800</v>
      </c>
      <c r="D332">
        <f t="shared" ca="1" si="35"/>
        <v>9.1199999999999992</v>
      </c>
      <c r="E332">
        <f t="shared" ca="1" si="30"/>
        <v>-20</v>
      </c>
      <c r="F332">
        <f t="shared" ca="1" si="31"/>
        <v>760</v>
      </c>
      <c r="G332" s="3" t="b">
        <f ca="1">INDEX(dict_zul_Var_Meth[kval_active],MATCH(table_Methods[[#This Row],[ID]],dict_zul_Var_Meth[ID_Methods],0))</f>
        <v>0</v>
      </c>
      <c r="H332">
        <f t="shared" ca="1" si="32"/>
        <v>4696</v>
      </c>
      <c r="I332">
        <f t="shared" ca="1" si="33"/>
        <v>224</v>
      </c>
    </row>
    <row r="333" spans="1:9" x14ac:dyDescent="0.45">
      <c r="A333">
        <v>331</v>
      </c>
      <c r="B333" t="str">
        <f>CONCATENATE("Methode ",table_Methods[[#This Row],[ID]])</f>
        <v>Methode 331</v>
      </c>
      <c r="C333">
        <f t="shared" ca="1" si="34"/>
        <v>480</v>
      </c>
      <c r="D333">
        <f t="shared" ca="1" si="35"/>
        <v>3.73</v>
      </c>
      <c r="E333">
        <f t="shared" ca="1" si="30"/>
        <v>-70</v>
      </c>
      <c r="F333">
        <f t="shared" ca="1" si="31"/>
        <v>280</v>
      </c>
      <c r="G333" s="3" t="b">
        <f ca="1">INDEX(dict_zul_Var_Meth[kval_active],MATCH(table_Methods[[#This Row],[ID]],dict_zul_Var_Meth[ID_Methods],0))</f>
        <v>0</v>
      </c>
      <c r="H333">
        <f t="shared" ca="1" si="32"/>
        <v>14720</v>
      </c>
      <c r="I333">
        <f t="shared" ca="1" si="33"/>
        <v>176</v>
      </c>
    </row>
    <row r="334" spans="1:9" x14ac:dyDescent="0.45">
      <c r="A334">
        <v>332</v>
      </c>
      <c r="B334" t="str">
        <f>CONCATENATE("Methode ",table_Methods[[#This Row],[ID]])</f>
        <v>Methode 332</v>
      </c>
      <c r="C334">
        <f t="shared" ca="1" si="34"/>
        <v>86</v>
      </c>
      <c r="D334">
        <f t="shared" ca="1" si="35"/>
        <v>0.74</v>
      </c>
      <c r="E334">
        <f t="shared" ca="1" si="30"/>
        <v>30</v>
      </c>
      <c r="F334">
        <f t="shared" ca="1" si="31"/>
        <v>390</v>
      </c>
      <c r="G334" s="3" t="b">
        <f ca="1">INDEX(dict_zul_Var_Meth[kval_active],MATCH(table_Methods[[#This Row],[ID]],dict_zul_Var_Meth[ID_Methods],0))</f>
        <v>0</v>
      </c>
      <c r="H334">
        <f t="shared" ca="1" si="32"/>
        <v>16808</v>
      </c>
      <c r="I334">
        <f t="shared" ca="1" si="33"/>
        <v>12032</v>
      </c>
    </row>
    <row r="335" spans="1:9" x14ac:dyDescent="0.45">
      <c r="A335">
        <v>333</v>
      </c>
      <c r="B335" t="str">
        <f>CONCATENATE("Methode ",table_Methods[[#This Row],[ID]])</f>
        <v>Methode 333</v>
      </c>
      <c r="C335">
        <f t="shared" ca="1" si="34"/>
        <v>9100</v>
      </c>
      <c r="D335">
        <f t="shared" ca="1" si="35"/>
        <v>4.6500000000000004</v>
      </c>
      <c r="E335">
        <f t="shared" ca="1" si="30"/>
        <v>30</v>
      </c>
      <c r="F335">
        <f t="shared" ca="1" si="31"/>
        <v>430</v>
      </c>
      <c r="G335" s="3" t="b">
        <f ca="1">INDEX(dict_zul_Var_Meth[kval_active],MATCH(table_Methods[[#This Row],[ID]],dict_zul_Var_Meth[ID_Methods],0))</f>
        <v>0</v>
      </c>
      <c r="H335">
        <f t="shared" ca="1" si="32"/>
        <v>11652</v>
      </c>
      <c r="I335">
        <f t="shared" ca="1" si="33"/>
        <v>3968</v>
      </c>
    </row>
    <row r="336" spans="1:9" x14ac:dyDescent="0.45">
      <c r="A336">
        <v>334</v>
      </c>
      <c r="B336" t="str">
        <f>CONCATENATE("Methode ",table_Methods[[#This Row],[ID]])</f>
        <v>Methode 334</v>
      </c>
      <c r="C336">
        <f t="shared" ca="1" si="34"/>
        <v>9800</v>
      </c>
      <c r="D336">
        <f t="shared" ca="1" si="35"/>
        <v>1.55</v>
      </c>
      <c r="E336">
        <f t="shared" ca="1" si="30"/>
        <v>-20</v>
      </c>
      <c r="F336">
        <f t="shared" ca="1" si="31"/>
        <v>640</v>
      </c>
      <c r="G336" s="3" t="b">
        <f ca="1">INDEX(dict_zul_Var_Meth[kval_active],MATCH(table_Methods[[#This Row],[ID]],dict_zul_Var_Meth[ID_Methods],0))</f>
        <v>1</v>
      </c>
      <c r="H336">
        <f t="shared" ca="1" si="32"/>
        <v>4564</v>
      </c>
      <c r="I336">
        <f t="shared" ca="1" si="33"/>
        <v>3584</v>
      </c>
    </row>
    <row r="337" spans="1:9" x14ac:dyDescent="0.45">
      <c r="A337">
        <v>335</v>
      </c>
      <c r="B337" t="str">
        <f>CONCATENATE("Methode ",table_Methods[[#This Row],[ID]])</f>
        <v>Methode 335</v>
      </c>
      <c r="C337">
        <f t="shared" ca="1" si="34"/>
        <v>520</v>
      </c>
      <c r="D337">
        <f t="shared" ca="1" si="35"/>
        <v>0.73</v>
      </c>
      <c r="E337">
        <f t="shared" ca="1" si="30"/>
        <v>-30</v>
      </c>
      <c r="F337">
        <f t="shared" ca="1" si="31"/>
        <v>980</v>
      </c>
      <c r="G337" s="3" t="b">
        <f ca="1">INDEX(dict_zul_Var_Meth[kval_active],MATCH(table_Methods[[#This Row],[ID]],dict_zul_Var_Meth[ID_Methods],0))</f>
        <v>0</v>
      </c>
      <c r="H337">
        <f t="shared" ca="1" si="32"/>
        <v>9390</v>
      </c>
      <c r="I337">
        <f t="shared" ca="1" si="33"/>
        <v>12288</v>
      </c>
    </row>
    <row r="338" spans="1:9" x14ac:dyDescent="0.45">
      <c r="A338">
        <v>336</v>
      </c>
      <c r="B338" t="str">
        <f>CONCATENATE("Methode ",table_Methods[[#This Row],[ID]])</f>
        <v>Methode 336</v>
      </c>
      <c r="C338">
        <f t="shared" ca="1" si="34"/>
        <v>8900</v>
      </c>
      <c r="D338">
        <f t="shared" ca="1" si="35"/>
        <v>2.33</v>
      </c>
      <c r="E338">
        <f t="shared" ca="1" si="30"/>
        <v>-30</v>
      </c>
      <c r="F338">
        <f t="shared" ca="1" si="31"/>
        <v>630</v>
      </c>
      <c r="G338" s="3" t="b">
        <f ca="1">INDEX(dict_zul_Var_Meth[kval_active],MATCH(table_Methods[[#This Row],[ID]],dict_zul_Var_Meth[ID_Methods],0))</f>
        <v>0</v>
      </c>
      <c r="H338">
        <f t="shared" ca="1" si="32"/>
        <v>4230</v>
      </c>
      <c r="I338">
        <f t="shared" ca="1" si="33"/>
        <v>25088</v>
      </c>
    </row>
    <row r="339" spans="1:9" x14ac:dyDescent="0.45">
      <c r="A339">
        <v>337</v>
      </c>
      <c r="B339" t="str">
        <f>CONCATENATE("Methode ",table_Methods[[#This Row],[ID]])</f>
        <v>Methode 337</v>
      </c>
      <c r="C339">
        <f t="shared" ca="1" si="34"/>
        <v>77</v>
      </c>
      <c r="D339">
        <f t="shared" ca="1" si="35"/>
        <v>7.01</v>
      </c>
      <c r="E339">
        <f t="shared" ca="1" si="30"/>
        <v>0</v>
      </c>
      <c r="F339">
        <f t="shared" ca="1" si="31"/>
        <v>830</v>
      </c>
      <c r="G339" s="3" t="b">
        <f ca="1">INDEX(dict_zul_Var_Meth[kval_active],MATCH(table_Methods[[#This Row],[ID]],dict_zul_Var_Meth[ID_Methods],0))</f>
        <v>0</v>
      </c>
      <c r="H339">
        <f t="shared" ca="1" si="32"/>
        <v>8270</v>
      </c>
      <c r="I339">
        <f t="shared" ca="1" si="33"/>
        <v>40</v>
      </c>
    </row>
    <row r="340" spans="1:9" x14ac:dyDescent="0.45">
      <c r="A340">
        <v>338</v>
      </c>
      <c r="B340" t="str">
        <f>CONCATENATE("Methode ",table_Methods[[#This Row],[ID]])</f>
        <v>Methode 338</v>
      </c>
      <c r="C340">
        <f t="shared" ca="1" si="34"/>
        <v>89</v>
      </c>
      <c r="D340">
        <f t="shared" ca="1" si="35"/>
        <v>3.51</v>
      </c>
      <c r="E340">
        <f t="shared" ca="1" si="30"/>
        <v>-60</v>
      </c>
      <c r="F340">
        <f t="shared" ca="1" si="31"/>
        <v>850</v>
      </c>
      <c r="G340" s="3" t="b">
        <f ca="1">INDEX(dict_zul_Var_Meth[kval_active],MATCH(table_Methods[[#This Row],[ID]],dict_zul_Var_Meth[ID_Methods],0))</f>
        <v>0</v>
      </c>
      <c r="H340">
        <f t="shared" ca="1" si="32"/>
        <v>18096</v>
      </c>
      <c r="I340">
        <f t="shared" ca="1" si="33"/>
        <v>1408</v>
      </c>
    </row>
    <row r="341" spans="1:9" x14ac:dyDescent="0.45">
      <c r="A341">
        <v>339</v>
      </c>
      <c r="B341" t="str">
        <f>CONCATENATE("Methode ",table_Methods[[#This Row],[ID]])</f>
        <v>Methode 339</v>
      </c>
      <c r="C341">
        <f t="shared" ca="1" si="34"/>
        <v>89</v>
      </c>
      <c r="D341">
        <f t="shared" ca="1" si="35"/>
        <v>2.77</v>
      </c>
      <c r="E341">
        <f t="shared" ca="1" si="30"/>
        <v>-40</v>
      </c>
      <c r="F341">
        <f t="shared" ca="1" si="31"/>
        <v>840</v>
      </c>
      <c r="G341" s="3" t="b">
        <f ca="1">INDEX(dict_zul_Var_Meth[kval_active],MATCH(table_Methods[[#This Row],[ID]],dict_zul_Var_Meth[ID_Methods],0))</f>
        <v>0</v>
      </c>
      <c r="H341">
        <f t="shared" ca="1" si="32"/>
        <v>2078</v>
      </c>
      <c r="I341">
        <f t="shared" ca="1" si="33"/>
        <v>22272</v>
      </c>
    </row>
    <row r="342" spans="1:9" x14ac:dyDescent="0.45">
      <c r="A342">
        <v>340</v>
      </c>
      <c r="B342" t="str">
        <f>CONCATENATE("Methode ",table_Methods[[#This Row],[ID]])</f>
        <v>Methode 340</v>
      </c>
      <c r="C342">
        <f t="shared" ca="1" si="34"/>
        <v>1700</v>
      </c>
      <c r="D342">
        <f t="shared" ca="1" si="35"/>
        <v>2.77</v>
      </c>
      <c r="E342">
        <f t="shared" ca="1" si="30"/>
        <v>-80</v>
      </c>
      <c r="F342">
        <f t="shared" ca="1" si="31"/>
        <v>720</v>
      </c>
      <c r="G342" s="3" t="b">
        <f ca="1">INDEX(dict_zul_Var_Meth[kval_active],MATCH(table_Methods[[#This Row],[ID]],dict_zul_Var_Meth[ID_Methods],0))</f>
        <v>0</v>
      </c>
      <c r="H342">
        <f t="shared" ca="1" si="32"/>
        <v>3552</v>
      </c>
      <c r="I342">
        <f t="shared" ca="1" si="33"/>
        <v>128</v>
      </c>
    </row>
    <row r="343" spans="1:9" x14ac:dyDescent="0.45">
      <c r="A343">
        <v>341</v>
      </c>
      <c r="B343" t="str">
        <f>CONCATENATE("Methode ",table_Methods[[#This Row],[ID]])</f>
        <v>Methode 341</v>
      </c>
      <c r="C343">
        <f t="shared" ca="1" si="34"/>
        <v>77</v>
      </c>
      <c r="D343">
        <f t="shared" ca="1" si="35"/>
        <v>3.12</v>
      </c>
      <c r="E343">
        <f t="shared" ca="1" si="30"/>
        <v>-70</v>
      </c>
      <c r="F343">
        <f t="shared" ca="1" si="31"/>
        <v>860</v>
      </c>
      <c r="G343" s="3" t="b">
        <f ca="1">INDEX(dict_zul_Var_Meth[kval_active],MATCH(table_Methods[[#This Row],[ID]],dict_zul_Var_Meth[ID_Methods],0))</f>
        <v>0</v>
      </c>
      <c r="H343">
        <f t="shared" ca="1" si="32"/>
        <v>5825</v>
      </c>
      <c r="I343">
        <f t="shared" ca="1" si="33"/>
        <v>144</v>
      </c>
    </row>
    <row r="344" spans="1:9" x14ac:dyDescent="0.45">
      <c r="A344">
        <v>342</v>
      </c>
      <c r="B344" t="str">
        <f>CONCATENATE("Methode ",table_Methods[[#This Row],[ID]])</f>
        <v>Methode 342</v>
      </c>
      <c r="C344">
        <f t="shared" ca="1" si="34"/>
        <v>20</v>
      </c>
      <c r="D344">
        <f t="shared" ca="1" si="35"/>
        <v>6.94</v>
      </c>
      <c r="E344">
        <f t="shared" ca="1" si="30"/>
        <v>-40</v>
      </c>
      <c r="F344">
        <f t="shared" ca="1" si="31"/>
        <v>150</v>
      </c>
      <c r="G344" s="3" t="b">
        <f ca="1">INDEX(dict_zul_Var_Meth[kval_active],MATCH(table_Methods[[#This Row],[ID]],dict_zul_Var_Meth[ID_Methods],0))</f>
        <v>0</v>
      </c>
      <c r="H344">
        <f t="shared" ca="1" si="32"/>
        <v>24288</v>
      </c>
      <c r="I344">
        <f t="shared" ca="1" si="33"/>
        <v>152</v>
      </c>
    </row>
    <row r="345" spans="1:9" x14ac:dyDescent="0.45">
      <c r="A345">
        <v>343</v>
      </c>
      <c r="B345" t="str">
        <f>CONCATENATE("Methode ",table_Methods[[#This Row],[ID]])</f>
        <v>Methode 343</v>
      </c>
      <c r="C345">
        <f t="shared" ca="1" si="34"/>
        <v>4900</v>
      </c>
      <c r="D345">
        <f t="shared" ca="1" si="35"/>
        <v>0.45</v>
      </c>
      <c r="E345">
        <f t="shared" ca="1" si="30"/>
        <v>10</v>
      </c>
      <c r="F345">
        <f t="shared" ca="1" si="31"/>
        <v>320</v>
      </c>
      <c r="G345" s="3" t="b">
        <f ca="1">INDEX(dict_zul_Var_Meth[kval_active],MATCH(table_Methods[[#This Row],[ID]],dict_zul_Var_Meth[ID_Methods],0))</f>
        <v>0</v>
      </c>
      <c r="H345">
        <f t="shared" ca="1" si="32"/>
        <v>4681</v>
      </c>
      <c r="I345">
        <f t="shared" ca="1" si="33"/>
        <v>384</v>
      </c>
    </row>
    <row r="346" spans="1:9" x14ac:dyDescent="0.45">
      <c r="A346">
        <v>344</v>
      </c>
      <c r="B346" t="str">
        <f>CONCATENATE("Methode ",table_Methods[[#This Row],[ID]])</f>
        <v>Methode 344</v>
      </c>
      <c r="C346">
        <f t="shared" ca="1" si="34"/>
        <v>5700</v>
      </c>
      <c r="D346">
        <f t="shared" ca="1" si="35"/>
        <v>4.26</v>
      </c>
      <c r="E346">
        <f t="shared" ca="1" si="30"/>
        <v>0</v>
      </c>
      <c r="F346">
        <f t="shared" ca="1" si="31"/>
        <v>400</v>
      </c>
      <c r="G346" s="3" t="b">
        <f ca="1">INDEX(dict_zul_Var_Meth[kval_active],MATCH(table_Methods[[#This Row],[ID]],dict_zul_Var_Meth[ID_Methods],0))</f>
        <v>0</v>
      </c>
      <c r="H346">
        <f t="shared" ca="1" si="32"/>
        <v>13153</v>
      </c>
      <c r="I346">
        <f t="shared" ca="1" si="33"/>
        <v>61440</v>
      </c>
    </row>
    <row r="347" spans="1:9" x14ac:dyDescent="0.45">
      <c r="A347">
        <v>345</v>
      </c>
      <c r="B347" t="str">
        <f>CONCATENATE("Methode ",table_Methods[[#This Row],[ID]])</f>
        <v>Methode 345</v>
      </c>
      <c r="C347">
        <f t="shared" ca="1" si="34"/>
        <v>680</v>
      </c>
      <c r="D347">
        <f t="shared" ca="1" si="35"/>
        <v>1.95</v>
      </c>
      <c r="E347">
        <f t="shared" ca="1" si="30"/>
        <v>-70</v>
      </c>
      <c r="F347">
        <f t="shared" ca="1" si="31"/>
        <v>70</v>
      </c>
      <c r="G347" s="3" t="b">
        <f ca="1">INDEX(dict_zul_Var_Meth[kval_active],MATCH(table_Methods[[#This Row],[ID]],dict_zul_Var_Meth[ID_Methods],0))</f>
        <v>0</v>
      </c>
      <c r="H347">
        <f t="shared" ca="1" si="32"/>
        <v>13426</v>
      </c>
      <c r="I347">
        <f t="shared" ca="1" si="33"/>
        <v>1344</v>
      </c>
    </row>
    <row r="348" spans="1:9" x14ac:dyDescent="0.45">
      <c r="A348">
        <v>346</v>
      </c>
      <c r="B348" t="str">
        <f>CONCATENATE("Methode ",table_Methods[[#This Row],[ID]])</f>
        <v>Methode 346</v>
      </c>
      <c r="C348">
        <f t="shared" ca="1" si="34"/>
        <v>95</v>
      </c>
      <c r="D348">
        <f t="shared" ca="1" si="35"/>
        <v>3.61</v>
      </c>
      <c r="E348">
        <f t="shared" ca="1" si="30"/>
        <v>0</v>
      </c>
      <c r="F348">
        <f t="shared" ca="1" si="31"/>
        <v>520</v>
      </c>
      <c r="G348" s="3" t="b">
        <f ca="1">INDEX(dict_zul_Var_Meth[kval_active],MATCH(table_Methods[[#This Row],[ID]],dict_zul_Var_Meth[ID_Methods],0))</f>
        <v>0</v>
      </c>
      <c r="H348">
        <f t="shared" ca="1" si="32"/>
        <v>27580</v>
      </c>
      <c r="I348">
        <f t="shared" ca="1" si="33"/>
        <v>15360</v>
      </c>
    </row>
    <row r="349" spans="1:9" x14ac:dyDescent="0.45">
      <c r="A349">
        <v>347</v>
      </c>
      <c r="B349" t="str">
        <f>CONCATENATE("Methode ",table_Methods[[#This Row],[ID]])</f>
        <v>Methode 347</v>
      </c>
      <c r="C349">
        <f t="shared" ca="1" si="34"/>
        <v>410</v>
      </c>
      <c r="D349">
        <f t="shared" ca="1" si="35"/>
        <v>7.8</v>
      </c>
      <c r="E349">
        <f t="shared" ca="1" si="30"/>
        <v>20</v>
      </c>
      <c r="F349">
        <f t="shared" ca="1" si="31"/>
        <v>540</v>
      </c>
      <c r="G349" s="3" t="b">
        <f ca="1">INDEX(dict_zul_Var_Meth[kval_active],MATCH(table_Methods[[#This Row],[ID]],dict_zul_Var_Meth[ID_Methods],0))</f>
        <v>0</v>
      </c>
      <c r="H349">
        <f t="shared" ca="1" si="32"/>
        <v>21520</v>
      </c>
      <c r="I349">
        <f t="shared" ca="1" si="33"/>
        <v>124</v>
      </c>
    </row>
    <row r="350" spans="1:9" x14ac:dyDescent="0.45">
      <c r="A350">
        <v>348</v>
      </c>
      <c r="B350" t="str">
        <f>CONCATENATE("Methode ",table_Methods[[#This Row],[ID]])</f>
        <v>Methode 348</v>
      </c>
      <c r="C350">
        <f t="shared" ca="1" si="34"/>
        <v>610</v>
      </c>
      <c r="D350">
        <f t="shared" ca="1" si="35"/>
        <v>5.21</v>
      </c>
      <c r="E350">
        <f t="shared" ca="1" si="30"/>
        <v>0</v>
      </c>
      <c r="F350">
        <f t="shared" ca="1" si="31"/>
        <v>470</v>
      </c>
      <c r="G350" s="3" t="b">
        <f ca="1">INDEX(dict_zul_Var_Meth[kval_active],MATCH(table_Methods[[#This Row],[ID]],dict_zul_Var_Meth[ID_Methods],0))</f>
        <v>0</v>
      </c>
      <c r="H350">
        <f t="shared" ca="1" si="32"/>
        <v>1975</v>
      </c>
      <c r="I350">
        <f t="shared" ca="1" si="33"/>
        <v>196</v>
      </c>
    </row>
    <row r="351" spans="1:9" x14ac:dyDescent="0.45">
      <c r="A351">
        <v>349</v>
      </c>
      <c r="B351" t="str">
        <f>CONCATENATE("Methode ",table_Methods[[#This Row],[ID]])</f>
        <v>Methode 349</v>
      </c>
      <c r="C351">
        <f t="shared" ca="1" si="34"/>
        <v>770</v>
      </c>
      <c r="D351">
        <f t="shared" ca="1" si="35"/>
        <v>9.9700000000000006</v>
      </c>
      <c r="E351">
        <f t="shared" ca="1" si="30"/>
        <v>-70</v>
      </c>
      <c r="F351">
        <f t="shared" ca="1" si="31"/>
        <v>610</v>
      </c>
      <c r="G351" s="3" t="b">
        <f ca="1">INDEX(dict_zul_Var_Meth[kval_active],MATCH(table_Methods[[#This Row],[ID]],dict_zul_Var_Meth[ID_Methods],0))</f>
        <v>0</v>
      </c>
      <c r="H351">
        <f t="shared" ca="1" si="32"/>
        <v>8140</v>
      </c>
      <c r="I351">
        <f t="shared" ca="1" si="33"/>
        <v>472</v>
      </c>
    </row>
    <row r="352" spans="1:9" x14ac:dyDescent="0.45">
      <c r="A352">
        <v>350</v>
      </c>
      <c r="B352" t="str">
        <f>CONCATENATE("Methode ",table_Methods[[#This Row],[ID]])</f>
        <v>Methode 350</v>
      </c>
      <c r="C352">
        <f t="shared" ca="1" si="34"/>
        <v>71</v>
      </c>
      <c r="D352">
        <f t="shared" ca="1" si="35"/>
        <v>9.36</v>
      </c>
      <c r="E352">
        <f t="shared" ca="1" si="30"/>
        <v>-90</v>
      </c>
      <c r="F352">
        <f t="shared" ca="1" si="31"/>
        <v>380</v>
      </c>
      <c r="G352" s="3" t="b">
        <f ca="1">INDEX(dict_zul_Var_Meth[kval_active],MATCH(table_Methods[[#This Row],[ID]],dict_zul_Var_Meth[ID_Methods],0))</f>
        <v>0</v>
      </c>
      <c r="H352">
        <f t="shared" ca="1" si="32"/>
        <v>12816</v>
      </c>
      <c r="I352">
        <f t="shared" ca="1" si="33"/>
        <v>144</v>
      </c>
    </row>
    <row r="353" spans="1:9" x14ac:dyDescent="0.45">
      <c r="A353">
        <v>351</v>
      </c>
      <c r="B353" t="str">
        <f>CONCATENATE("Methode ",table_Methods[[#This Row],[ID]])</f>
        <v>Methode 351</v>
      </c>
      <c r="C353">
        <f t="shared" ca="1" si="34"/>
        <v>8900</v>
      </c>
      <c r="D353">
        <f t="shared" ca="1" si="35"/>
        <v>8.51</v>
      </c>
      <c r="E353">
        <f t="shared" ca="1" si="30"/>
        <v>-40</v>
      </c>
      <c r="F353">
        <f t="shared" ca="1" si="31"/>
        <v>690</v>
      </c>
      <c r="G353" s="3" t="b">
        <f ca="1">INDEX(dict_zul_Var_Meth[kval_active],MATCH(table_Methods[[#This Row],[ID]],dict_zul_Var_Meth[ID_Methods],0))</f>
        <v>0</v>
      </c>
      <c r="H353">
        <f t="shared" ca="1" si="32"/>
        <v>209</v>
      </c>
      <c r="I353">
        <f t="shared" ca="1" si="33"/>
        <v>324</v>
      </c>
    </row>
    <row r="354" spans="1:9" x14ac:dyDescent="0.45">
      <c r="A354">
        <v>352</v>
      </c>
      <c r="B354" t="str">
        <f>CONCATENATE("Methode ",table_Methods[[#This Row],[ID]])</f>
        <v>Methode 352</v>
      </c>
      <c r="C354">
        <f t="shared" ca="1" si="34"/>
        <v>550</v>
      </c>
      <c r="D354">
        <f t="shared" ca="1" si="35"/>
        <v>6.32</v>
      </c>
      <c r="E354">
        <f t="shared" ca="1" si="30"/>
        <v>-70</v>
      </c>
      <c r="F354">
        <f t="shared" ca="1" si="31"/>
        <v>940</v>
      </c>
      <c r="G354" s="3" t="b">
        <f ca="1">INDEX(dict_zul_Var_Meth[kval_active],MATCH(table_Methods[[#This Row],[ID]],dict_zul_Var_Meth[ID_Methods],0))</f>
        <v>0</v>
      </c>
      <c r="H354">
        <f t="shared" ca="1" si="32"/>
        <v>6942</v>
      </c>
      <c r="I354">
        <f t="shared" ca="1" si="33"/>
        <v>20736</v>
      </c>
    </row>
    <row r="355" spans="1:9" x14ac:dyDescent="0.45">
      <c r="A355">
        <v>353</v>
      </c>
      <c r="B355" t="str">
        <f>CONCATENATE("Methode ",table_Methods[[#This Row],[ID]])</f>
        <v>Methode 353</v>
      </c>
      <c r="C355">
        <f t="shared" ca="1" si="34"/>
        <v>3700</v>
      </c>
      <c r="D355">
        <f t="shared" ca="1" si="35"/>
        <v>1.88</v>
      </c>
      <c r="E355">
        <f t="shared" ca="1" si="30"/>
        <v>-10</v>
      </c>
      <c r="F355">
        <f t="shared" ca="1" si="31"/>
        <v>800</v>
      </c>
      <c r="G355" s="3" t="b">
        <f ca="1">INDEX(dict_zul_Var_Meth[kval_active],MATCH(table_Methods[[#This Row],[ID]],dict_zul_Var_Meth[ID_Methods],0))</f>
        <v>0</v>
      </c>
      <c r="H355">
        <f t="shared" ca="1" si="32"/>
        <v>11022</v>
      </c>
      <c r="I355">
        <f t="shared" ca="1" si="33"/>
        <v>13568</v>
      </c>
    </row>
    <row r="356" spans="1:9" x14ac:dyDescent="0.45">
      <c r="A356">
        <v>354</v>
      </c>
      <c r="B356" t="str">
        <f>CONCATENATE("Methode ",table_Methods[[#This Row],[ID]])</f>
        <v>Methode 354</v>
      </c>
      <c r="C356">
        <f t="shared" ca="1" si="34"/>
        <v>1900</v>
      </c>
      <c r="D356">
        <f t="shared" ca="1" si="35"/>
        <v>0.81</v>
      </c>
      <c r="E356">
        <f t="shared" ref="E356:E419" ca="1" si="36">RANDBETWEEN(-10,3)*10</f>
        <v>10</v>
      </c>
      <c r="F356">
        <f t="shared" ref="F356:F419" ca="1" si="37">RANDBETWEEN(2,100)*10</f>
        <v>500</v>
      </c>
      <c r="G356" s="3" t="b">
        <f ca="1">INDEX(dict_zul_Var_Meth[kval_active],MATCH(table_Methods[[#This Row],[ID]],dict_zul_Var_Meth[ID_Methods],0))</f>
        <v>0</v>
      </c>
      <c r="H356">
        <f t="shared" ref="H356:H419" ca="1" si="38">RANDBETWEEN(1,10)*RANDBETWEEN(1,5000)</f>
        <v>19580</v>
      </c>
      <c r="I356">
        <f t="shared" ref="I356:I419" ca="1" si="39">2^RANDBETWEEN(1,10)*RANDBETWEEN(1,100)</f>
        <v>14848</v>
      </c>
    </row>
    <row r="357" spans="1:9" x14ac:dyDescent="0.45">
      <c r="A357">
        <v>355</v>
      </c>
      <c r="B357" t="str">
        <f>CONCATENATE("Methode ",table_Methods[[#This Row],[ID]])</f>
        <v>Methode 355</v>
      </c>
      <c r="C357">
        <f t="shared" ca="1" si="34"/>
        <v>3000</v>
      </c>
      <c r="D357">
        <f t="shared" ca="1" si="35"/>
        <v>7.85</v>
      </c>
      <c r="E357">
        <f t="shared" ca="1" si="36"/>
        <v>30</v>
      </c>
      <c r="F357">
        <f t="shared" ca="1" si="37"/>
        <v>900</v>
      </c>
      <c r="G357" s="3" t="b">
        <f ca="1">INDEX(dict_zul_Var_Meth[kval_active],MATCH(table_Methods[[#This Row],[ID]],dict_zul_Var_Meth[ID_Methods],0))</f>
        <v>0</v>
      </c>
      <c r="H357">
        <f t="shared" ca="1" si="38"/>
        <v>1074</v>
      </c>
      <c r="I357">
        <f t="shared" ca="1" si="39"/>
        <v>20992</v>
      </c>
    </row>
    <row r="358" spans="1:9" x14ac:dyDescent="0.45">
      <c r="A358">
        <v>356</v>
      </c>
      <c r="B358" t="str">
        <f>CONCATENATE("Methode ",table_Methods[[#This Row],[ID]])</f>
        <v>Methode 356</v>
      </c>
      <c r="C358">
        <f t="shared" ca="1" si="34"/>
        <v>580</v>
      </c>
      <c r="D358">
        <f t="shared" ca="1" si="35"/>
        <v>0.4</v>
      </c>
      <c r="E358">
        <f t="shared" ca="1" si="36"/>
        <v>-40</v>
      </c>
      <c r="F358">
        <f t="shared" ca="1" si="37"/>
        <v>590</v>
      </c>
      <c r="G358" s="3" t="b">
        <f ca="1">INDEX(dict_zul_Var_Meth[kval_active],MATCH(table_Methods[[#This Row],[ID]],dict_zul_Var_Meth[ID_Methods],0))</f>
        <v>0</v>
      </c>
      <c r="H358">
        <f t="shared" ca="1" si="38"/>
        <v>532</v>
      </c>
      <c r="I358">
        <f t="shared" ca="1" si="39"/>
        <v>3904</v>
      </c>
    </row>
    <row r="359" spans="1:9" x14ac:dyDescent="0.45">
      <c r="A359">
        <v>357</v>
      </c>
      <c r="B359" t="str">
        <f>CONCATENATE("Methode ",table_Methods[[#This Row],[ID]])</f>
        <v>Methode 357</v>
      </c>
      <c r="C359">
        <f t="shared" ca="1" si="34"/>
        <v>7900</v>
      </c>
      <c r="D359">
        <f t="shared" ca="1" si="35"/>
        <v>6.22</v>
      </c>
      <c r="E359">
        <f t="shared" ca="1" si="36"/>
        <v>-20</v>
      </c>
      <c r="F359">
        <f t="shared" ca="1" si="37"/>
        <v>680</v>
      </c>
      <c r="G359" s="3" t="b">
        <f ca="1">INDEX(dict_zul_Var_Meth[kval_active],MATCH(table_Methods[[#This Row],[ID]],dict_zul_Var_Meth[ID_Methods],0))</f>
        <v>0</v>
      </c>
      <c r="H359">
        <f t="shared" ca="1" si="38"/>
        <v>45170</v>
      </c>
      <c r="I359">
        <f t="shared" ca="1" si="39"/>
        <v>45056</v>
      </c>
    </row>
    <row r="360" spans="1:9" x14ac:dyDescent="0.45">
      <c r="A360">
        <v>358</v>
      </c>
      <c r="B360" t="str">
        <f>CONCATENATE("Methode ",table_Methods[[#This Row],[ID]])</f>
        <v>Methode 358</v>
      </c>
      <c r="C360">
        <f t="shared" ca="1" si="34"/>
        <v>43</v>
      </c>
      <c r="D360">
        <f t="shared" ca="1" si="35"/>
        <v>5</v>
      </c>
      <c r="E360">
        <f t="shared" ca="1" si="36"/>
        <v>-70</v>
      </c>
      <c r="F360">
        <f t="shared" ca="1" si="37"/>
        <v>600</v>
      </c>
      <c r="G360" s="3" t="b">
        <f ca="1">INDEX(dict_zul_Var_Meth[kval_active],MATCH(table_Methods[[#This Row],[ID]],dict_zul_Var_Meth[ID_Methods],0))</f>
        <v>0</v>
      </c>
      <c r="H360">
        <f t="shared" ca="1" si="38"/>
        <v>24950</v>
      </c>
      <c r="I360">
        <f t="shared" ca="1" si="39"/>
        <v>1952</v>
      </c>
    </row>
    <row r="361" spans="1:9" x14ac:dyDescent="0.45">
      <c r="A361">
        <v>359</v>
      </c>
      <c r="B361" t="str">
        <f>CONCATENATE("Methode ",table_Methods[[#This Row],[ID]])</f>
        <v>Methode 359</v>
      </c>
      <c r="C361">
        <f t="shared" ca="1" si="34"/>
        <v>73</v>
      </c>
      <c r="D361">
        <f t="shared" ca="1" si="35"/>
        <v>8.73</v>
      </c>
      <c r="E361">
        <f t="shared" ca="1" si="36"/>
        <v>-90</v>
      </c>
      <c r="F361">
        <f t="shared" ca="1" si="37"/>
        <v>40</v>
      </c>
      <c r="G361" s="3" t="b">
        <f ca="1">INDEX(dict_zul_Var_Meth[kval_active],MATCH(table_Methods[[#This Row],[ID]],dict_zul_Var_Meth[ID_Methods],0))</f>
        <v>0</v>
      </c>
      <c r="H361">
        <f t="shared" ca="1" si="38"/>
        <v>2928</v>
      </c>
      <c r="I361">
        <f t="shared" ca="1" si="39"/>
        <v>384</v>
      </c>
    </row>
    <row r="362" spans="1:9" x14ac:dyDescent="0.45">
      <c r="A362">
        <v>360</v>
      </c>
      <c r="B362" t="str">
        <f>CONCATENATE("Methode ",table_Methods[[#This Row],[ID]])</f>
        <v>Methode 360</v>
      </c>
      <c r="C362">
        <f t="shared" ca="1" si="34"/>
        <v>500</v>
      </c>
      <c r="D362">
        <f t="shared" ca="1" si="35"/>
        <v>7.5</v>
      </c>
      <c r="E362">
        <f t="shared" ca="1" si="36"/>
        <v>30</v>
      </c>
      <c r="F362">
        <f t="shared" ca="1" si="37"/>
        <v>160</v>
      </c>
      <c r="G362" s="3" t="b">
        <f ca="1">INDEX(dict_zul_Var_Meth[kval_active],MATCH(table_Methods[[#This Row],[ID]],dict_zul_Var_Meth[ID_Methods],0))</f>
        <v>0</v>
      </c>
      <c r="H362">
        <f t="shared" ca="1" si="38"/>
        <v>23045</v>
      </c>
      <c r="I362">
        <f t="shared" ca="1" si="39"/>
        <v>5760</v>
      </c>
    </row>
    <row r="363" spans="1:9" x14ac:dyDescent="0.45">
      <c r="A363">
        <v>361</v>
      </c>
      <c r="B363" t="str">
        <f>CONCATENATE("Methode ",table_Methods[[#This Row],[ID]])</f>
        <v>Methode 361</v>
      </c>
      <c r="C363">
        <f t="shared" ca="1" si="34"/>
        <v>180</v>
      </c>
      <c r="D363">
        <f t="shared" ca="1" si="35"/>
        <v>4.3099999999999996</v>
      </c>
      <c r="E363">
        <f t="shared" ca="1" si="36"/>
        <v>-20</v>
      </c>
      <c r="F363">
        <f t="shared" ca="1" si="37"/>
        <v>610</v>
      </c>
      <c r="G363" s="3" t="b">
        <f ca="1">INDEX(dict_zul_Var_Meth[kval_active],MATCH(table_Methods[[#This Row],[ID]],dict_zul_Var_Meth[ID_Methods],0))</f>
        <v>0</v>
      </c>
      <c r="H363">
        <f t="shared" ca="1" si="38"/>
        <v>19368</v>
      </c>
      <c r="I363">
        <f t="shared" ca="1" si="39"/>
        <v>2848</v>
      </c>
    </row>
    <row r="364" spans="1:9" x14ac:dyDescent="0.45">
      <c r="A364">
        <v>362</v>
      </c>
      <c r="B364" t="str">
        <f>CONCATENATE("Methode ",table_Methods[[#This Row],[ID]])</f>
        <v>Methode 362</v>
      </c>
      <c r="C364">
        <f t="shared" ca="1" si="34"/>
        <v>980</v>
      </c>
      <c r="D364">
        <f t="shared" ca="1" si="35"/>
        <v>7.21</v>
      </c>
      <c r="E364">
        <f t="shared" ca="1" si="36"/>
        <v>-70</v>
      </c>
      <c r="F364">
        <f t="shared" ca="1" si="37"/>
        <v>220</v>
      </c>
      <c r="G364" s="3" t="b">
        <f ca="1">INDEX(dict_zul_Var_Meth[kval_active],MATCH(table_Methods[[#This Row],[ID]],dict_zul_Var_Meth[ID_Methods],0))</f>
        <v>0</v>
      </c>
      <c r="H364">
        <f t="shared" ca="1" si="38"/>
        <v>12965</v>
      </c>
      <c r="I364">
        <f t="shared" ca="1" si="39"/>
        <v>7680</v>
      </c>
    </row>
    <row r="365" spans="1:9" x14ac:dyDescent="0.45">
      <c r="A365">
        <v>363</v>
      </c>
      <c r="B365" t="str">
        <f>CONCATENATE("Methode ",table_Methods[[#This Row],[ID]])</f>
        <v>Methode 363</v>
      </c>
      <c r="C365">
        <f t="shared" ca="1" si="34"/>
        <v>44</v>
      </c>
      <c r="D365">
        <f t="shared" ca="1" si="35"/>
        <v>9.19</v>
      </c>
      <c r="E365">
        <f t="shared" ca="1" si="36"/>
        <v>-60</v>
      </c>
      <c r="F365">
        <f t="shared" ca="1" si="37"/>
        <v>240</v>
      </c>
      <c r="G365" s="3" t="b">
        <f ca="1">INDEX(dict_zul_Var_Meth[kval_active],MATCH(table_Methods[[#This Row],[ID]],dict_zul_Var_Meth[ID_Methods],0))</f>
        <v>0</v>
      </c>
      <c r="H365">
        <f t="shared" ca="1" si="38"/>
        <v>11704</v>
      </c>
      <c r="I365">
        <f t="shared" ca="1" si="39"/>
        <v>1024</v>
      </c>
    </row>
    <row r="366" spans="1:9" x14ac:dyDescent="0.45">
      <c r="A366">
        <v>364</v>
      </c>
      <c r="B366" t="str">
        <f>CONCATENATE("Methode ",table_Methods[[#This Row],[ID]])</f>
        <v>Methode 364</v>
      </c>
      <c r="C366">
        <f t="shared" ca="1" si="34"/>
        <v>44</v>
      </c>
      <c r="D366">
        <f t="shared" ca="1" si="35"/>
        <v>7.62</v>
      </c>
      <c r="E366">
        <f t="shared" ca="1" si="36"/>
        <v>-80</v>
      </c>
      <c r="F366">
        <f t="shared" ca="1" si="37"/>
        <v>910</v>
      </c>
      <c r="G366" s="3" t="b">
        <f ca="1">INDEX(dict_zul_Var_Meth[kval_active],MATCH(table_Methods[[#This Row],[ID]],dict_zul_Var_Meth[ID_Methods],0))</f>
        <v>0</v>
      </c>
      <c r="H366">
        <f t="shared" ca="1" si="38"/>
        <v>34993</v>
      </c>
      <c r="I366">
        <f t="shared" ca="1" si="39"/>
        <v>92160</v>
      </c>
    </row>
    <row r="367" spans="1:9" x14ac:dyDescent="0.45">
      <c r="A367">
        <v>365</v>
      </c>
      <c r="B367" t="str">
        <f>CONCATENATE("Methode ",table_Methods[[#This Row],[ID]])</f>
        <v>Methode 365</v>
      </c>
      <c r="C367">
        <f t="shared" ca="1" si="34"/>
        <v>660</v>
      </c>
      <c r="D367">
        <f t="shared" ca="1" si="35"/>
        <v>1.01</v>
      </c>
      <c r="E367">
        <f t="shared" ca="1" si="36"/>
        <v>-70</v>
      </c>
      <c r="F367">
        <f t="shared" ca="1" si="37"/>
        <v>520</v>
      </c>
      <c r="G367" s="3" t="b">
        <f ca="1">INDEX(dict_zul_Var_Meth[kval_active],MATCH(table_Methods[[#This Row],[ID]],dict_zul_Var_Meth[ID_Methods],0))</f>
        <v>0</v>
      </c>
      <c r="H367">
        <f t="shared" ca="1" si="38"/>
        <v>13752</v>
      </c>
      <c r="I367">
        <f t="shared" ca="1" si="39"/>
        <v>152</v>
      </c>
    </row>
    <row r="368" spans="1:9" x14ac:dyDescent="0.45">
      <c r="A368">
        <v>366</v>
      </c>
      <c r="B368" t="str">
        <f>CONCATENATE("Methode ",table_Methods[[#This Row],[ID]])</f>
        <v>Methode 366</v>
      </c>
      <c r="C368">
        <f t="shared" ca="1" si="34"/>
        <v>4400</v>
      </c>
      <c r="D368">
        <f t="shared" ca="1" si="35"/>
        <v>7.99</v>
      </c>
      <c r="E368">
        <f t="shared" ca="1" si="36"/>
        <v>30</v>
      </c>
      <c r="F368">
        <f t="shared" ca="1" si="37"/>
        <v>560</v>
      </c>
      <c r="G368" s="3" t="b">
        <f ca="1">INDEX(dict_zul_Var_Meth[kval_active],MATCH(table_Methods[[#This Row],[ID]],dict_zul_Var_Meth[ID_Methods],0))</f>
        <v>1</v>
      </c>
      <c r="H368">
        <f t="shared" ca="1" si="38"/>
        <v>1126</v>
      </c>
      <c r="I368">
        <f t="shared" ca="1" si="39"/>
        <v>164</v>
      </c>
    </row>
    <row r="369" spans="1:9" x14ac:dyDescent="0.45">
      <c r="A369">
        <v>367</v>
      </c>
      <c r="B369" t="str">
        <f>CONCATENATE("Methode ",table_Methods[[#This Row],[ID]])</f>
        <v>Methode 367</v>
      </c>
      <c r="C369">
        <f t="shared" ca="1" si="34"/>
        <v>1900</v>
      </c>
      <c r="D369">
        <f t="shared" ca="1" si="35"/>
        <v>9.09</v>
      </c>
      <c r="E369">
        <f t="shared" ca="1" si="36"/>
        <v>-80</v>
      </c>
      <c r="F369">
        <f t="shared" ca="1" si="37"/>
        <v>700</v>
      </c>
      <c r="G369" s="3" t="b">
        <f ca="1">INDEX(dict_zul_Var_Meth[kval_active],MATCH(table_Methods[[#This Row],[ID]],dict_zul_Var_Meth[ID_Methods],0))</f>
        <v>0</v>
      </c>
      <c r="H369">
        <f t="shared" ca="1" si="38"/>
        <v>6430</v>
      </c>
      <c r="I369">
        <f t="shared" ca="1" si="39"/>
        <v>1312</v>
      </c>
    </row>
    <row r="370" spans="1:9" x14ac:dyDescent="0.45">
      <c r="A370">
        <v>368</v>
      </c>
      <c r="B370" t="str">
        <f>CONCATENATE("Methode ",table_Methods[[#This Row],[ID]])</f>
        <v>Methode 368</v>
      </c>
      <c r="C370">
        <f t="shared" ca="1" si="34"/>
        <v>57</v>
      </c>
      <c r="D370">
        <f t="shared" ca="1" si="35"/>
        <v>1.47</v>
      </c>
      <c r="E370">
        <f t="shared" ca="1" si="36"/>
        <v>-80</v>
      </c>
      <c r="F370">
        <f t="shared" ca="1" si="37"/>
        <v>910</v>
      </c>
      <c r="G370" s="3" t="b">
        <f ca="1">INDEX(dict_zul_Var_Meth[kval_active],MATCH(table_Methods[[#This Row],[ID]],dict_zul_Var_Meth[ID_Methods],0))</f>
        <v>0</v>
      </c>
      <c r="H370">
        <f t="shared" ca="1" si="38"/>
        <v>94</v>
      </c>
      <c r="I370">
        <f t="shared" ca="1" si="39"/>
        <v>68</v>
      </c>
    </row>
    <row r="371" spans="1:9" x14ac:dyDescent="0.45">
      <c r="A371">
        <v>369</v>
      </c>
      <c r="B371" t="str">
        <f>CONCATENATE("Methode ",table_Methods[[#This Row],[ID]])</f>
        <v>Methode 369</v>
      </c>
      <c r="C371">
        <f t="shared" ca="1" si="34"/>
        <v>9900</v>
      </c>
      <c r="D371">
        <f t="shared" ca="1" si="35"/>
        <v>9.33</v>
      </c>
      <c r="E371">
        <f t="shared" ca="1" si="36"/>
        <v>0</v>
      </c>
      <c r="F371">
        <f t="shared" ca="1" si="37"/>
        <v>490</v>
      </c>
      <c r="G371" s="3" t="b">
        <f ca="1">INDEX(dict_zul_Var_Meth[kval_active],MATCH(table_Methods[[#This Row],[ID]],dict_zul_Var_Meth[ID_Methods],0))</f>
        <v>0</v>
      </c>
      <c r="H371">
        <f t="shared" ca="1" si="38"/>
        <v>1780</v>
      </c>
      <c r="I371">
        <f t="shared" ca="1" si="39"/>
        <v>11136</v>
      </c>
    </row>
    <row r="372" spans="1:9" x14ac:dyDescent="0.45">
      <c r="A372">
        <v>370</v>
      </c>
      <c r="B372" t="str">
        <f>CONCATENATE("Methode ",table_Methods[[#This Row],[ID]])</f>
        <v>Methode 370</v>
      </c>
      <c r="C372">
        <f t="shared" ca="1" si="34"/>
        <v>8900</v>
      </c>
      <c r="D372">
        <f t="shared" ca="1" si="35"/>
        <v>9.83</v>
      </c>
      <c r="E372">
        <f t="shared" ca="1" si="36"/>
        <v>-80</v>
      </c>
      <c r="F372">
        <f t="shared" ca="1" si="37"/>
        <v>540</v>
      </c>
      <c r="G372" s="3" t="b">
        <f ca="1">INDEX(dict_zul_Var_Meth[kval_active],MATCH(table_Methods[[#This Row],[ID]],dict_zul_Var_Meth[ID_Methods],0))</f>
        <v>0</v>
      </c>
      <c r="H372">
        <f t="shared" ca="1" si="38"/>
        <v>11922</v>
      </c>
      <c r="I372">
        <f t="shared" ca="1" si="39"/>
        <v>33792</v>
      </c>
    </row>
    <row r="373" spans="1:9" x14ac:dyDescent="0.45">
      <c r="A373">
        <v>371</v>
      </c>
      <c r="B373" t="str">
        <f>CONCATENATE("Methode ",table_Methods[[#This Row],[ID]])</f>
        <v>Methode 371</v>
      </c>
      <c r="C373">
        <f t="shared" ca="1" si="34"/>
        <v>71</v>
      </c>
      <c r="D373">
        <f t="shared" ca="1" si="35"/>
        <v>8.2799999999999994</v>
      </c>
      <c r="E373">
        <f t="shared" ca="1" si="36"/>
        <v>-100</v>
      </c>
      <c r="F373">
        <f t="shared" ca="1" si="37"/>
        <v>20</v>
      </c>
      <c r="G373" s="3" t="b">
        <f ca="1">INDEX(dict_zul_Var_Meth[kval_active],MATCH(table_Methods[[#This Row],[ID]],dict_zul_Var_Meth[ID_Methods],0))</f>
        <v>0</v>
      </c>
      <c r="H373">
        <f t="shared" ca="1" si="38"/>
        <v>15219</v>
      </c>
      <c r="I373">
        <f t="shared" ca="1" si="39"/>
        <v>100352</v>
      </c>
    </row>
    <row r="374" spans="1:9" x14ac:dyDescent="0.45">
      <c r="A374">
        <v>372</v>
      </c>
      <c r="B374" t="str">
        <f>CONCATENATE("Methode ",table_Methods[[#This Row],[ID]])</f>
        <v>Methode 372</v>
      </c>
      <c r="C374">
        <f t="shared" ca="1" si="34"/>
        <v>68</v>
      </c>
      <c r="D374">
        <f t="shared" ca="1" si="35"/>
        <v>4.4000000000000004</v>
      </c>
      <c r="E374">
        <f t="shared" ca="1" si="36"/>
        <v>-100</v>
      </c>
      <c r="F374">
        <f t="shared" ca="1" si="37"/>
        <v>900</v>
      </c>
      <c r="G374" s="3" t="b">
        <f ca="1">INDEX(dict_zul_Var_Meth[kval_active],MATCH(table_Methods[[#This Row],[ID]],dict_zul_Var_Meth[ID_Methods],0))</f>
        <v>0</v>
      </c>
      <c r="H374">
        <f t="shared" ca="1" si="38"/>
        <v>4082</v>
      </c>
      <c r="I374">
        <f t="shared" ca="1" si="39"/>
        <v>3136</v>
      </c>
    </row>
    <row r="375" spans="1:9" x14ac:dyDescent="0.45">
      <c r="A375">
        <v>373</v>
      </c>
      <c r="B375" t="str">
        <f>CONCATENATE("Methode ",table_Methods[[#This Row],[ID]])</f>
        <v>Methode 373</v>
      </c>
      <c r="C375">
        <f t="shared" ca="1" si="34"/>
        <v>22</v>
      </c>
      <c r="D375">
        <f t="shared" ca="1" si="35"/>
        <v>2.93</v>
      </c>
      <c r="E375">
        <f t="shared" ca="1" si="36"/>
        <v>0</v>
      </c>
      <c r="F375">
        <f t="shared" ca="1" si="37"/>
        <v>830</v>
      </c>
      <c r="G375" s="3" t="b">
        <f ca="1">INDEX(dict_zul_Var_Meth[kval_active],MATCH(table_Methods[[#This Row],[ID]],dict_zul_Var_Meth[ID_Methods],0))</f>
        <v>0</v>
      </c>
      <c r="H375">
        <f t="shared" ca="1" si="38"/>
        <v>16407</v>
      </c>
      <c r="I375">
        <f t="shared" ca="1" si="39"/>
        <v>1664</v>
      </c>
    </row>
    <row r="376" spans="1:9" x14ac:dyDescent="0.45">
      <c r="A376">
        <v>374</v>
      </c>
      <c r="B376" t="str">
        <f>CONCATENATE("Methode ",table_Methods[[#This Row],[ID]])</f>
        <v>Methode 374</v>
      </c>
      <c r="C376">
        <f t="shared" ca="1" si="34"/>
        <v>6100</v>
      </c>
      <c r="D376">
        <f t="shared" ca="1" si="35"/>
        <v>3.73</v>
      </c>
      <c r="E376">
        <f t="shared" ca="1" si="36"/>
        <v>-60</v>
      </c>
      <c r="F376">
        <f t="shared" ca="1" si="37"/>
        <v>720</v>
      </c>
      <c r="G376" s="3" t="b">
        <f ca="1">INDEX(dict_zul_Var_Meth[kval_active],MATCH(table_Methods[[#This Row],[ID]],dict_zul_Var_Meth[ID_Methods],0))</f>
        <v>0</v>
      </c>
      <c r="H376">
        <f t="shared" ca="1" si="38"/>
        <v>45740</v>
      </c>
      <c r="I376">
        <f t="shared" ca="1" si="39"/>
        <v>736</v>
      </c>
    </row>
    <row r="377" spans="1:9" x14ac:dyDescent="0.45">
      <c r="A377">
        <v>375</v>
      </c>
      <c r="B377" t="str">
        <f>CONCATENATE("Methode ",table_Methods[[#This Row],[ID]])</f>
        <v>Methode 375</v>
      </c>
      <c r="C377">
        <f t="shared" ca="1" si="34"/>
        <v>81</v>
      </c>
      <c r="D377">
        <f t="shared" ca="1" si="35"/>
        <v>5.52</v>
      </c>
      <c r="E377">
        <f t="shared" ca="1" si="36"/>
        <v>-10</v>
      </c>
      <c r="F377">
        <f t="shared" ca="1" si="37"/>
        <v>210</v>
      </c>
      <c r="G377" s="3" t="b">
        <f ca="1">INDEX(dict_zul_Var_Meth[kval_active],MATCH(table_Methods[[#This Row],[ID]],dict_zul_Var_Meth[ID_Methods],0))</f>
        <v>0</v>
      </c>
      <c r="H377">
        <f t="shared" ca="1" si="38"/>
        <v>9531</v>
      </c>
      <c r="I377">
        <f t="shared" ca="1" si="39"/>
        <v>896</v>
      </c>
    </row>
    <row r="378" spans="1:9" x14ac:dyDescent="0.45">
      <c r="A378">
        <v>376</v>
      </c>
      <c r="B378" t="str">
        <f>CONCATENATE("Methode ",table_Methods[[#This Row],[ID]])</f>
        <v>Methode 376</v>
      </c>
      <c r="C378">
        <f t="shared" ca="1" si="34"/>
        <v>9800</v>
      </c>
      <c r="D378">
        <f t="shared" ca="1" si="35"/>
        <v>2.31</v>
      </c>
      <c r="E378">
        <f t="shared" ca="1" si="36"/>
        <v>-70</v>
      </c>
      <c r="F378">
        <f t="shared" ca="1" si="37"/>
        <v>960</v>
      </c>
      <c r="G378" s="3" t="b">
        <f ca="1">INDEX(dict_zul_Var_Meth[kval_active],MATCH(table_Methods[[#This Row],[ID]],dict_zul_Var_Meth[ID_Methods],0))</f>
        <v>0</v>
      </c>
      <c r="H378">
        <f t="shared" ca="1" si="38"/>
        <v>2322</v>
      </c>
      <c r="I378">
        <f t="shared" ca="1" si="39"/>
        <v>3776</v>
      </c>
    </row>
    <row r="379" spans="1:9" x14ac:dyDescent="0.45">
      <c r="A379">
        <v>377</v>
      </c>
      <c r="B379" t="str">
        <f>CONCATENATE("Methode ",table_Methods[[#This Row],[ID]])</f>
        <v>Methode 377</v>
      </c>
      <c r="C379">
        <f t="shared" ca="1" si="34"/>
        <v>7800</v>
      </c>
      <c r="D379">
        <f t="shared" ca="1" si="35"/>
        <v>5.56</v>
      </c>
      <c r="E379">
        <f t="shared" ca="1" si="36"/>
        <v>-10</v>
      </c>
      <c r="F379">
        <f t="shared" ca="1" si="37"/>
        <v>930</v>
      </c>
      <c r="G379" s="3" t="b">
        <f ca="1">INDEX(dict_zul_Var_Meth[kval_active],MATCH(table_Methods[[#This Row],[ID]],dict_zul_Var_Meth[ID_Methods],0))</f>
        <v>0</v>
      </c>
      <c r="H379">
        <f t="shared" ca="1" si="38"/>
        <v>27622</v>
      </c>
      <c r="I379">
        <f t="shared" ca="1" si="39"/>
        <v>2048</v>
      </c>
    </row>
    <row r="380" spans="1:9" x14ac:dyDescent="0.45">
      <c r="A380">
        <v>378</v>
      </c>
      <c r="B380" t="str">
        <f>CONCATENATE("Methode ",table_Methods[[#This Row],[ID]])</f>
        <v>Methode 378</v>
      </c>
      <c r="C380">
        <f t="shared" ca="1" si="34"/>
        <v>44</v>
      </c>
      <c r="D380">
        <f t="shared" ca="1" si="35"/>
        <v>1.73</v>
      </c>
      <c r="E380">
        <f t="shared" ca="1" si="36"/>
        <v>-90</v>
      </c>
      <c r="F380">
        <f t="shared" ca="1" si="37"/>
        <v>240</v>
      </c>
      <c r="G380" s="3" t="b">
        <f ca="1">INDEX(dict_zul_Var_Meth[kval_active],MATCH(table_Methods[[#This Row],[ID]],dict_zul_Var_Meth[ID_Methods],0))</f>
        <v>0</v>
      </c>
      <c r="H380">
        <f t="shared" ca="1" si="38"/>
        <v>12588</v>
      </c>
      <c r="I380">
        <f t="shared" ca="1" si="39"/>
        <v>16</v>
      </c>
    </row>
    <row r="381" spans="1:9" x14ac:dyDescent="0.45">
      <c r="A381">
        <v>379</v>
      </c>
      <c r="B381" t="str">
        <f>CONCATENATE("Methode ",table_Methods[[#This Row],[ID]])</f>
        <v>Methode 379</v>
      </c>
      <c r="C381">
        <f t="shared" ca="1" si="34"/>
        <v>7400</v>
      </c>
      <c r="D381">
        <f t="shared" ca="1" si="35"/>
        <v>9.15</v>
      </c>
      <c r="E381">
        <f t="shared" ca="1" si="36"/>
        <v>-40</v>
      </c>
      <c r="F381">
        <f t="shared" ca="1" si="37"/>
        <v>390</v>
      </c>
      <c r="G381" s="3" t="b">
        <f ca="1">INDEX(dict_zul_Var_Meth[kval_active],MATCH(table_Methods[[#This Row],[ID]],dict_zul_Var_Meth[ID_Methods],0))</f>
        <v>0</v>
      </c>
      <c r="H381">
        <f t="shared" ca="1" si="38"/>
        <v>15288</v>
      </c>
      <c r="I381">
        <f t="shared" ca="1" si="39"/>
        <v>264</v>
      </c>
    </row>
    <row r="382" spans="1:9" x14ac:dyDescent="0.45">
      <c r="A382">
        <v>380</v>
      </c>
      <c r="B382" t="str">
        <f>CONCATENATE("Methode ",table_Methods[[#This Row],[ID]])</f>
        <v>Methode 380</v>
      </c>
      <c r="C382">
        <f t="shared" ca="1" si="34"/>
        <v>6300</v>
      </c>
      <c r="D382">
        <f t="shared" ca="1" si="35"/>
        <v>0.23</v>
      </c>
      <c r="E382">
        <f t="shared" ca="1" si="36"/>
        <v>-100</v>
      </c>
      <c r="F382">
        <f t="shared" ca="1" si="37"/>
        <v>750</v>
      </c>
      <c r="G382" s="3" t="b">
        <f ca="1">INDEX(dict_zul_Var_Meth[kval_active],MATCH(table_Methods[[#This Row],[ID]],dict_zul_Var_Meth[ID_Methods],0))</f>
        <v>0</v>
      </c>
      <c r="H382">
        <f t="shared" ca="1" si="38"/>
        <v>7578</v>
      </c>
      <c r="I382">
        <f t="shared" ca="1" si="39"/>
        <v>14336</v>
      </c>
    </row>
    <row r="383" spans="1:9" x14ac:dyDescent="0.45">
      <c r="A383">
        <v>381</v>
      </c>
      <c r="B383" t="str">
        <f>CONCATENATE("Methode ",table_Methods[[#This Row],[ID]])</f>
        <v>Methode 381</v>
      </c>
      <c r="C383">
        <f t="shared" ca="1" si="34"/>
        <v>8500</v>
      </c>
      <c r="D383">
        <f t="shared" ca="1" si="35"/>
        <v>3.37</v>
      </c>
      <c r="E383">
        <f t="shared" ca="1" si="36"/>
        <v>-40</v>
      </c>
      <c r="F383">
        <f t="shared" ca="1" si="37"/>
        <v>660</v>
      </c>
      <c r="G383" s="3" t="b">
        <f ca="1">INDEX(dict_zul_Var_Meth[kval_active],MATCH(table_Methods[[#This Row],[ID]],dict_zul_Var_Meth[ID_Methods],0))</f>
        <v>0</v>
      </c>
      <c r="H383">
        <f t="shared" ca="1" si="38"/>
        <v>15856</v>
      </c>
      <c r="I383">
        <f t="shared" ca="1" si="39"/>
        <v>10752</v>
      </c>
    </row>
    <row r="384" spans="1:9" x14ac:dyDescent="0.45">
      <c r="A384">
        <v>382</v>
      </c>
      <c r="B384" t="str">
        <f>CONCATENATE("Methode ",table_Methods[[#This Row],[ID]])</f>
        <v>Methode 382</v>
      </c>
      <c r="C384">
        <f t="shared" ca="1" si="34"/>
        <v>39</v>
      </c>
      <c r="D384">
        <f t="shared" ca="1" si="35"/>
        <v>6.14</v>
      </c>
      <c r="E384">
        <f t="shared" ca="1" si="36"/>
        <v>20</v>
      </c>
      <c r="F384">
        <f t="shared" ca="1" si="37"/>
        <v>240</v>
      </c>
      <c r="G384" s="3" t="b">
        <f ca="1">INDEX(dict_zul_Var_Meth[kval_active],MATCH(table_Methods[[#This Row],[ID]],dict_zul_Var_Meth[ID_Methods],0))</f>
        <v>1</v>
      </c>
      <c r="H384">
        <f t="shared" ca="1" si="38"/>
        <v>25104</v>
      </c>
      <c r="I384">
        <f t="shared" ca="1" si="39"/>
        <v>2304</v>
      </c>
    </row>
    <row r="385" spans="1:9" x14ac:dyDescent="0.45">
      <c r="A385">
        <v>383</v>
      </c>
      <c r="B385" t="str">
        <f>CONCATENATE("Methode ",table_Methods[[#This Row],[ID]])</f>
        <v>Methode 383</v>
      </c>
      <c r="C385">
        <f t="shared" ca="1" si="34"/>
        <v>4</v>
      </c>
      <c r="D385">
        <f t="shared" ca="1" si="35"/>
        <v>1.3</v>
      </c>
      <c r="E385">
        <f t="shared" ca="1" si="36"/>
        <v>-40</v>
      </c>
      <c r="F385">
        <f t="shared" ca="1" si="37"/>
        <v>760</v>
      </c>
      <c r="G385" s="3" t="b">
        <f ca="1">INDEX(dict_zul_Var_Meth[kval_active],MATCH(table_Methods[[#This Row],[ID]],dict_zul_Var_Meth[ID_Methods],0))</f>
        <v>0</v>
      </c>
      <c r="H385">
        <f t="shared" ca="1" si="38"/>
        <v>12880</v>
      </c>
      <c r="I385">
        <f t="shared" ca="1" si="39"/>
        <v>1408</v>
      </c>
    </row>
    <row r="386" spans="1:9" x14ac:dyDescent="0.45">
      <c r="A386">
        <v>384</v>
      </c>
      <c r="B386" t="str">
        <f>CONCATENATE("Methode ",table_Methods[[#This Row],[ID]])</f>
        <v>Methode 384</v>
      </c>
      <c r="C386">
        <f t="shared" ref="C386:C449" ca="1" si="40">10^(RANDBETWEEN(-1,1))*RANDBETWEEN(1,100)*10</f>
        <v>860</v>
      </c>
      <c r="D386">
        <f t="shared" ca="1" si="35"/>
        <v>9.49</v>
      </c>
      <c r="E386">
        <f t="shared" ca="1" si="36"/>
        <v>-70</v>
      </c>
      <c r="F386">
        <f t="shared" ca="1" si="37"/>
        <v>360</v>
      </c>
      <c r="G386" s="3" t="b">
        <f ca="1">INDEX(dict_zul_Var_Meth[kval_active],MATCH(table_Methods[[#This Row],[ID]],dict_zul_Var_Meth[ID_Methods],0))</f>
        <v>0</v>
      </c>
      <c r="H386">
        <f t="shared" ca="1" si="38"/>
        <v>10470</v>
      </c>
      <c r="I386">
        <f t="shared" ca="1" si="39"/>
        <v>17408</v>
      </c>
    </row>
    <row r="387" spans="1:9" x14ac:dyDescent="0.45">
      <c r="A387">
        <v>385</v>
      </c>
      <c r="B387" t="str">
        <f>CONCATENATE("Methode ",table_Methods[[#This Row],[ID]])</f>
        <v>Methode 385</v>
      </c>
      <c r="C387">
        <f t="shared" ca="1" si="40"/>
        <v>100</v>
      </c>
      <c r="D387">
        <f t="shared" ref="D387:D450" ca="1" si="41">RANDBETWEEN(10,1000)/(100)</f>
        <v>6.79</v>
      </c>
      <c r="E387">
        <f t="shared" ca="1" si="36"/>
        <v>-70</v>
      </c>
      <c r="F387">
        <f t="shared" ca="1" si="37"/>
        <v>920</v>
      </c>
      <c r="G387" s="3" t="b">
        <f ca="1">INDEX(dict_zul_Var_Meth[kval_active],MATCH(table_Methods[[#This Row],[ID]],dict_zul_Var_Meth[ID_Methods],0))</f>
        <v>0</v>
      </c>
      <c r="H387">
        <f t="shared" ca="1" si="38"/>
        <v>258</v>
      </c>
      <c r="I387">
        <f t="shared" ca="1" si="39"/>
        <v>960</v>
      </c>
    </row>
    <row r="388" spans="1:9" x14ac:dyDescent="0.45">
      <c r="A388">
        <v>386</v>
      </c>
      <c r="B388" t="str">
        <f>CONCATENATE("Methode ",table_Methods[[#This Row],[ID]])</f>
        <v>Methode 386</v>
      </c>
      <c r="C388">
        <f t="shared" ca="1" si="40"/>
        <v>43</v>
      </c>
      <c r="D388">
        <f t="shared" ca="1" si="41"/>
        <v>3.3</v>
      </c>
      <c r="E388">
        <f t="shared" ca="1" si="36"/>
        <v>-90</v>
      </c>
      <c r="F388">
        <f t="shared" ca="1" si="37"/>
        <v>920</v>
      </c>
      <c r="G388" s="3" t="b">
        <f ca="1">INDEX(dict_zul_Var_Meth[kval_active],MATCH(table_Methods[[#This Row],[ID]],dict_zul_Var_Meth[ID_Methods],0))</f>
        <v>0</v>
      </c>
      <c r="H388">
        <f t="shared" ca="1" si="38"/>
        <v>24332</v>
      </c>
      <c r="I388">
        <f t="shared" ca="1" si="39"/>
        <v>1200</v>
      </c>
    </row>
    <row r="389" spans="1:9" x14ac:dyDescent="0.45">
      <c r="A389">
        <v>387</v>
      </c>
      <c r="B389" t="str">
        <f>CONCATENATE("Methode ",table_Methods[[#This Row],[ID]])</f>
        <v>Methode 387</v>
      </c>
      <c r="C389">
        <f t="shared" ca="1" si="40"/>
        <v>7000</v>
      </c>
      <c r="D389">
        <f t="shared" ca="1" si="41"/>
        <v>8.8800000000000008</v>
      </c>
      <c r="E389">
        <f t="shared" ca="1" si="36"/>
        <v>0</v>
      </c>
      <c r="F389">
        <f t="shared" ca="1" si="37"/>
        <v>450</v>
      </c>
      <c r="G389" s="3" t="b">
        <f ca="1">INDEX(dict_zul_Var_Meth[kval_active],MATCH(table_Methods[[#This Row],[ID]],dict_zul_Var_Meth[ID_Methods],0))</f>
        <v>0</v>
      </c>
      <c r="H389">
        <f t="shared" ca="1" si="38"/>
        <v>12618</v>
      </c>
      <c r="I389">
        <f t="shared" ca="1" si="39"/>
        <v>5248</v>
      </c>
    </row>
    <row r="390" spans="1:9" x14ac:dyDescent="0.45">
      <c r="A390">
        <v>388</v>
      </c>
      <c r="B390" t="str">
        <f>CONCATENATE("Methode ",table_Methods[[#This Row],[ID]])</f>
        <v>Methode 388</v>
      </c>
      <c r="C390">
        <f t="shared" ca="1" si="40"/>
        <v>32</v>
      </c>
      <c r="D390">
        <f t="shared" ca="1" si="41"/>
        <v>1.48</v>
      </c>
      <c r="E390">
        <f t="shared" ca="1" si="36"/>
        <v>20</v>
      </c>
      <c r="F390">
        <f t="shared" ca="1" si="37"/>
        <v>830</v>
      </c>
      <c r="G390" s="3" t="b">
        <f ca="1">INDEX(dict_zul_Var_Meth[kval_active],MATCH(table_Methods[[#This Row],[ID]],dict_zul_Var_Meth[ID_Methods],0))</f>
        <v>0</v>
      </c>
      <c r="H390">
        <f t="shared" ca="1" si="38"/>
        <v>27774</v>
      </c>
      <c r="I390">
        <f t="shared" ca="1" si="39"/>
        <v>1312</v>
      </c>
    </row>
    <row r="391" spans="1:9" x14ac:dyDescent="0.45">
      <c r="A391">
        <v>389</v>
      </c>
      <c r="B391" t="str">
        <f>CONCATENATE("Methode ",table_Methods[[#This Row],[ID]])</f>
        <v>Methode 389</v>
      </c>
      <c r="C391">
        <f t="shared" ca="1" si="40"/>
        <v>16</v>
      </c>
      <c r="D391">
        <f t="shared" ca="1" si="41"/>
        <v>1.47</v>
      </c>
      <c r="E391">
        <f t="shared" ca="1" si="36"/>
        <v>30</v>
      </c>
      <c r="F391">
        <f t="shared" ca="1" si="37"/>
        <v>480</v>
      </c>
      <c r="G391" s="3" t="b">
        <f ca="1">INDEX(dict_zul_Var_Meth[kval_active],MATCH(table_Methods[[#This Row],[ID]],dict_zul_Var_Meth[ID_Methods],0))</f>
        <v>0</v>
      </c>
      <c r="H391">
        <f t="shared" ca="1" si="38"/>
        <v>2588</v>
      </c>
      <c r="I391">
        <f t="shared" ca="1" si="39"/>
        <v>15360</v>
      </c>
    </row>
    <row r="392" spans="1:9" x14ac:dyDescent="0.45">
      <c r="A392">
        <v>390</v>
      </c>
      <c r="B392" t="str">
        <f>CONCATENATE("Methode ",table_Methods[[#This Row],[ID]])</f>
        <v>Methode 390</v>
      </c>
      <c r="C392">
        <f t="shared" ca="1" si="40"/>
        <v>400</v>
      </c>
      <c r="D392">
        <f t="shared" ca="1" si="41"/>
        <v>8.52</v>
      </c>
      <c r="E392">
        <f t="shared" ca="1" si="36"/>
        <v>-10</v>
      </c>
      <c r="F392">
        <f t="shared" ca="1" si="37"/>
        <v>140</v>
      </c>
      <c r="G392" s="3" t="b">
        <f ca="1">INDEX(dict_zul_Var_Meth[kval_active],MATCH(table_Methods[[#This Row],[ID]],dict_zul_Var_Meth[ID_Methods],0))</f>
        <v>0</v>
      </c>
      <c r="H392">
        <f t="shared" ca="1" si="38"/>
        <v>3768</v>
      </c>
      <c r="I392">
        <f t="shared" ca="1" si="39"/>
        <v>1488</v>
      </c>
    </row>
    <row r="393" spans="1:9" x14ac:dyDescent="0.45">
      <c r="A393">
        <v>391</v>
      </c>
      <c r="B393" t="str">
        <f>CONCATENATE("Methode ",table_Methods[[#This Row],[ID]])</f>
        <v>Methode 391</v>
      </c>
      <c r="C393">
        <f t="shared" ca="1" si="40"/>
        <v>670</v>
      </c>
      <c r="D393">
        <f t="shared" ca="1" si="41"/>
        <v>9.5299999999999994</v>
      </c>
      <c r="E393">
        <f t="shared" ca="1" si="36"/>
        <v>20</v>
      </c>
      <c r="F393">
        <f t="shared" ca="1" si="37"/>
        <v>100</v>
      </c>
      <c r="G393" s="3" t="b">
        <f ca="1">INDEX(dict_zul_Var_Meth[kval_active],MATCH(table_Methods[[#This Row],[ID]],dict_zul_Var_Meth[ID_Methods],0))</f>
        <v>1</v>
      </c>
      <c r="H393">
        <f t="shared" ca="1" si="38"/>
        <v>7732</v>
      </c>
      <c r="I393">
        <f t="shared" ca="1" si="39"/>
        <v>88064</v>
      </c>
    </row>
    <row r="394" spans="1:9" x14ac:dyDescent="0.45">
      <c r="A394">
        <v>392</v>
      </c>
      <c r="B394" t="str">
        <f>CONCATENATE("Methode ",table_Methods[[#This Row],[ID]])</f>
        <v>Methode 392</v>
      </c>
      <c r="C394">
        <f t="shared" ca="1" si="40"/>
        <v>340</v>
      </c>
      <c r="D394">
        <f t="shared" ca="1" si="41"/>
        <v>4.55</v>
      </c>
      <c r="E394">
        <f t="shared" ca="1" si="36"/>
        <v>20</v>
      </c>
      <c r="F394">
        <f t="shared" ca="1" si="37"/>
        <v>550</v>
      </c>
      <c r="G394" s="3" t="b">
        <f ca="1">INDEX(dict_zul_Var_Meth[kval_active],MATCH(table_Methods[[#This Row],[ID]],dict_zul_Var_Meth[ID_Methods],0))</f>
        <v>0</v>
      </c>
      <c r="H394">
        <f t="shared" ca="1" si="38"/>
        <v>44380</v>
      </c>
      <c r="I394">
        <f t="shared" ca="1" si="39"/>
        <v>552</v>
      </c>
    </row>
    <row r="395" spans="1:9" x14ac:dyDescent="0.45">
      <c r="A395">
        <v>393</v>
      </c>
      <c r="B395" t="str">
        <f>CONCATENATE("Methode ",table_Methods[[#This Row],[ID]])</f>
        <v>Methode 393</v>
      </c>
      <c r="C395">
        <f t="shared" ca="1" si="40"/>
        <v>1</v>
      </c>
      <c r="D395">
        <f t="shared" ca="1" si="41"/>
        <v>8.91</v>
      </c>
      <c r="E395">
        <f t="shared" ca="1" si="36"/>
        <v>-60</v>
      </c>
      <c r="F395">
        <f t="shared" ca="1" si="37"/>
        <v>40</v>
      </c>
      <c r="G395" s="3" t="b">
        <f ca="1">INDEX(dict_zul_Var_Meth[kval_active],MATCH(table_Methods[[#This Row],[ID]],dict_zul_Var_Meth[ID_Methods],0))</f>
        <v>0</v>
      </c>
      <c r="H395">
        <f t="shared" ca="1" si="38"/>
        <v>21636</v>
      </c>
      <c r="I395">
        <f t="shared" ca="1" si="39"/>
        <v>2496</v>
      </c>
    </row>
    <row r="396" spans="1:9" x14ac:dyDescent="0.45">
      <c r="A396">
        <v>394</v>
      </c>
      <c r="B396" t="str">
        <f>CONCATENATE("Methode ",table_Methods[[#This Row],[ID]])</f>
        <v>Methode 394</v>
      </c>
      <c r="C396">
        <f t="shared" ca="1" si="40"/>
        <v>130</v>
      </c>
      <c r="D396">
        <f t="shared" ca="1" si="41"/>
        <v>1.1499999999999999</v>
      </c>
      <c r="E396">
        <f t="shared" ca="1" si="36"/>
        <v>-30</v>
      </c>
      <c r="F396">
        <f t="shared" ca="1" si="37"/>
        <v>640</v>
      </c>
      <c r="G396" s="3" t="b">
        <f ca="1">INDEX(dict_zul_Var_Meth[kval_active],MATCH(table_Methods[[#This Row],[ID]],dict_zul_Var_Meth[ID_Methods],0))</f>
        <v>0</v>
      </c>
      <c r="H396">
        <f t="shared" ca="1" si="38"/>
        <v>4623</v>
      </c>
      <c r="I396">
        <f t="shared" ca="1" si="39"/>
        <v>1216</v>
      </c>
    </row>
    <row r="397" spans="1:9" x14ac:dyDescent="0.45">
      <c r="A397">
        <v>395</v>
      </c>
      <c r="B397" t="str">
        <f>CONCATENATE("Methode ",table_Methods[[#This Row],[ID]])</f>
        <v>Methode 395</v>
      </c>
      <c r="C397">
        <f t="shared" ca="1" si="40"/>
        <v>920</v>
      </c>
      <c r="D397">
        <f t="shared" ca="1" si="41"/>
        <v>8.99</v>
      </c>
      <c r="E397">
        <f t="shared" ca="1" si="36"/>
        <v>-40</v>
      </c>
      <c r="F397">
        <f t="shared" ca="1" si="37"/>
        <v>640</v>
      </c>
      <c r="G397" s="3" t="b">
        <f ca="1">INDEX(dict_zul_Var_Meth[kval_active],MATCH(table_Methods[[#This Row],[ID]],dict_zul_Var_Meth[ID_Methods],0))</f>
        <v>0</v>
      </c>
      <c r="H397">
        <f t="shared" ca="1" si="38"/>
        <v>25952</v>
      </c>
      <c r="I397">
        <f t="shared" ca="1" si="39"/>
        <v>1920</v>
      </c>
    </row>
    <row r="398" spans="1:9" x14ac:dyDescent="0.45">
      <c r="A398">
        <v>396</v>
      </c>
      <c r="B398" t="str">
        <f>CONCATENATE("Methode ",table_Methods[[#This Row],[ID]])</f>
        <v>Methode 396</v>
      </c>
      <c r="C398">
        <f t="shared" ca="1" si="40"/>
        <v>85</v>
      </c>
      <c r="D398">
        <f t="shared" ca="1" si="41"/>
        <v>4.62</v>
      </c>
      <c r="E398">
        <f t="shared" ca="1" si="36"/>
        <v>30</v>
      </c>
      <c r="F398">
        <f t="shared" ca="1" si="37"/>
        <v>850</v>
      </c>
      <c r="G398" s="3" t="b">
        <f ca="1">INDEX(dict_zul_Var_Meth[kval_active],MATCH(table_Methods[[#This Row],[ID]],dict_zul_Var_Meth[ID_Methods],0))</f>
        <v>0</v>
      </c>
      <c r="H398">
        <f t="shared" ca="1" si="38"/>
        <v>4207</v>
      </c>
      <c r="I398">
        <f t="shared" ca="1" si="39"/>
        <v>12</v>
      </c>
    </row>
    <row r="399" spans="1:9" x14ac:dyDescent="0.45">
      <c r="A399">
        <v>397</v>
      </c>
      <c r="B399" t="str">
        <f>CONCATENATE("Methode ",table_Methods[[#This Row],[ID]])</f>
        <v>Methode 397</v>
      </c>
      <c r="C399">
        <f t="shared" ca="1" si="40"/>
        <v>4800</v>
      </c>
      <c r="D399">
        <f t="shared" ca="1" si="41"/>
        <v>9.9600000000000009</v>
      </c>
      <c r="E399">
        <f t="shared" ca="1" si="36"/>
        <v>-100</v>
      </c>
      <c r="F399">
        <f t="shared" ca="1" si="37"/>
        <v>570</v>
      </c>
      <c r="G399" s="3" t="b">
        <f ca="1">INDEX(dict_zul_Var_Meth[kval_active],MATCH(table_Methods[[#This Row],[ID]],dict_zul_Var_Meth[ID_Methods],0))</f>
        <v>0</v>
      </c>
      <c r="H399">
        <f t="shared" ca="1" si="38"/>
        <v>7620</v>
      </c>
      <c r="I399">
        <f t="shared" ca="1" si="39"/>
        <v>46080</v>
      </c>
    </row>
    <row r="400" spans="1:9" x14ac:dyDescent="0.45">
      <c r="A400">
        <v>398</v>
      </c>
      <c r="B400" t="str">
        <f>CONCATENATE("Methode ",table_Methods[[#This Row],[ID]])</f>
        <v>Methode 398</v>
      </c>
      <c r="C400">
        <f t="shared" ca="1" si="40"/>
        <v>750</v>
      </c>
      <c r="D400">
        <f t="shared" ca="1" si="41"/>
        <v>1.29</v>
      </c>
      <c r="E400">
        <f t="shared" ca="1" si="36"/>
        <v>-60</v>
      </c>
      <c r="F400">
        <f t="shared" ca="1" si="37"/>
        <v>470</v>
      </c>
      <c r="G400" s="3" t="b">
        <f ca="1">INDEX(dict_zul_Var_Meth[kval_active],MATCH(table_Methods[[#This Row],[ID]],dict_zul_Var_Meth[ID_Methods],0))</f>
        <v>0</v>
      </c>
      <c r="H400">
        <f t="shared" ca="1" si="38"/>
        <v>704</v>
      </c>
      <c r="I400">
        <f t="shared" ca="1" si="39"/>
        <v>832</v>
      </c>
    </row>
    <row r="401" spans="1:9" x14ac:dyDescent="0.45">
      <c r="A401">
        <v>399</v>
      </c>
      <c r="B401" t="str">
        <f>CONCATENATE("Methode ",table_Methods[[#This Row],[ID]])</f>
        <v>Methode 399</v>
      </c>
      <c r="C401">
        <f t="shared" ca="1" si="40"/>
        <v>2700</v>
      </c>
      <c r="D401">
        <f t="shared" ca="1" si="41"/>
        <v>1.58</v>
      </c>
      <c r="E401">
        <f t="shared" ca="1" si="36"/>
        <v>-80</v>
      </c>
      <c r="F401">
        <f t="shared" ca="1" si="37"/>
        <v>760</v>
      </c>
      <c r="G401" s="3" t="b">
        <f ca="1">INDEX(dict_zul_Var_Meth[kval_active],MATCH(table_Methods[[#This Row],[ID]],dict_zul_Var_Meth[ID_Methods],0))</f>
        <v>0</v>
      </c>
      <c r="H401">
        <f t="shared" ca="1" si="38"/>
        <v>11592</v>
      </c>
      <c r="I401">
        <f t="shared" ca="1" si="39"/>
        <v>2048</v>
      </c>
    </row>
    <row r="402" spans="1:9" x14ac:dyDescent="0.45">
      <c r="A402">
        <v>400</v>
      </c>
      <c r="B402" t="str">
        <f>CONCATENATE("Methode ",table_Methods[[#This Row],[ID]])</f>
        <v>Methode 400</v>
      </c>
      <c r="C402">
        <f t="shared" ca="1" si="40"/>
        <v>7900</v>
      </c>
      <c r="D402">
        <f t="shared" ca="1" si="41"/>
        <v>7.11</v>
      </c>
      <c r="E402">
        <f t="shared" ca="1" si="36"/>
        <v>-70</v>
      </c>
      <c r="F402">
        <f t="shared" ca="1" si="37"/>
        <v>850</v>
      </c>
      <c r="G402" s="3" t="b">
        <f ca="1">INDEX(dict_zul_Var_Meth[kval_active],MATCH(table_Methods[[#This Row],[ID]],dict_zul_Var_Meth[ID_Methods],0))</f>
        <v>0</v>
      </c>
      <c r="H402">
        <f t="shared" ca="1" si="38"/>
        <v>408</v>
      </c>
      <c r="I402">
        <f t="shared" ca="1" si="39"/>
        <v>6272</v>
      </c>
    </row>
    <row r="403" spans="1:9" x14ac:dyDescent="0.45">
      <c r="A403">
        <v>401</v>
      </c>
      <c r="B403" t="str">
        <f>CONCATENATE("Methode ",table_Methods[[#This Row],[ID]])</f>
        <v>Methode 401</v>
      </c>
      <c r="C403">
        <f t="shared" ca="1" si="40"/>
        <v>8700</v>
      </c>
      <c r="D403">
        <f t="shared" ca="1" si="41"/>
        <v>5.15</v>
      </c>
      <c r="E403">
        <f t="shared" ca="1" si="36"/>
        <v>10</v>
      </c>
      <c r="F403">
        <f t="shared" ca="1" si="37"/>
        <v>230</v>
      </c>
      <c r="G403" s="3" t="b">
        <f ca="1">INDEX(dict_zul_Var_Meth[kval_active],MATCH(table_Methods[[#This Row],[ID]],dict_zul_Var_Meth[ID_Methods],0))</f>
        <v>0</v>
      </c>
      <c r="H403">
        <f t="shared" ca="1" si="38"/>
        <v>34648</v>
      </c>
      <c r="I403">
        <f t="shared" ca="1" si="39"/>
        <v>1600</v>
      </c>
    </row>
    <row r="404" spans="1:9" x14ac:dyDescent="0.45">
      <c r="A404">
        <v>402</v>
      </c>
      <c r="B404" t="str">
        <f>CONCATENATE("Methode ",table_Methods[[#This Row],[ID]])</f>
        <v>Methode 402</v>
      </c>
      <c r="C404">
        <f t="shared" ca="1" si="40"/>
        <v>660</v>
      </c>
      <c r="D404">
        <f t="shared" ca="1" si="41"/>
        <v>9.09</v>
      </c>
      <c r="E404">
        <f t="shared" ca="1" si="36"/>
        <v>30</v>
      </c>
      <c r="F404">
        <f t="shared" ca="1" si="37"/>
        <v>690</v>
      </c>
      <c r="G404" s="3" t="b">
        <f ca="1">INDEX(dict_zul_Var_Meth[kval_active],MATCH(table_Methods[[#This Row],[ID]],dict_zul_Var_Meth[ID_Methods],0))</f>
        <v>0</v>
      </c>
      <c r="H404">
        <f t="shared" ca="1" si="38"/>
        <v>22315</v>
      </c>
      <c r="I404">
        <f t="shared" ca="1" si="39"/>
        <v>22528</v>
      </c>
    </row>
    <row r="405" spans="1:9" x14ac:dyDescent="0.45">
      <c r="A405">
        <v>403</v>
      </c>
      <c r="B405" t="str">
        <f>CONCATENATE("Methode ",table_Methods[[#This Row],[ID]])</f>
        <v>Methode 403</v>
      </c>
      <c r="C405">
        <f t="shared" ca="1" si="40"/>
        <v>3700</v>
      </c>
      <c r="D405">
        <f t="shared" ca="1" si="41"/>
        <v>3.48</v>
      </c>
      <c r="E405">
        <f t="shared" ca="1" si="36"/>
        <v>-50</v>
      </c>
      <c r="F405">
        <f t="shared" ca="1" si="37"/>
        <v>890</v>
      </c>
      <c r="G405" s="3" t="b">
        <f ca="1">INDEX(dict_zul_Var_Meth[kval_active],MATCH(table_Methods[[#This Row],[ID]],dict_zul_Var_Meth[ID_Methods],0))</f>
        <v>0</v>
      </c>
      <c r="H405">
        <f t="shared" ca="1" si="38"/>
        <v>27740</v>
      </c>
      <c r="I405">
        <f t="shared" ca="1" si="39"/>
        <v>752</v>
      </c>
    </row>
    <row r="406" spans="1:9" x14ac:dyDescent="0.45">
      <c r="A406">
        <v>404</v>
      </c>
      <c r="B406" t="str">
        <f>CONCATENATE("Methode ",table_Methods[[#This Row],[ID]])</f>
        <v>Methode 404</v>
      </c>
      <c r="C406">
        <f t="shared" ca="1" si="40"/>
        <v>1400</v>
      </c>
      <c r="D406">
        <f t="shared" ca="1" si="41"/>
        <v>7.83</v>
      </c>
      <c r="E406">
        <f t="shared" ca="1" si="36"/>
        <v>-20</v>
      </c>
      <c r="F406">
        <f t="shared" ca="1" si="37"/>
        <v>500</v>
      </c>
      <c r="G406" s="3" t="b">
        <f ca="1">INDEX(dict_zul_Var_Meth[kval_active],MATCH(table_Methods[[#This Row],[ID]],dict_zul_Var_Meth[ID_Methods],0))</f>
        <v>0</v>
      </c>
      <c r="H406">
        <f t="shared" ca="1" si="38"/>
        <v>12728</v>
      </c>
      <c r="I406">
        <f t="shared" ca="1" si="39"/>
        <v>20992</v>
      </c>
    </row>
    <row r="407" spans="1:9" x14ac:dyDescent="0.45">
      <c r="A407">
        <v>405</v>
      </c>
      <c r="B407" t="str">
        <f>CONCATENATE("Methode ",table_Methods[[#This Row],[ID]])</f>
        <v>Methode 405</v>
      </c>
      <c r="C407">
        <f t="shared" ca="1" si="40"/>
        <v>800</v>
      </c>
      <c r="D407">
        <f t="shared" ca="1" si="41"/>
        <v>1.1100000000000001</v>
      </c>
      <c r="E407">
        <f t="shared" ca="1" si="36"/>
        <v>20</v>
      </c>
      <c r="F407">
        <f t="shared" ca="1" si="37"/>
        <v>90</v>
      </c>
      <c r="G407" s="3" t="b">
        <f ca="1">INDEX(dict_zul_Var_Meth[kval_active],MATCH(table_Methods[[#This Row],[ID]],dict_zul_Var_Meth[ID_Methods],0))</f>
        <v>0</v>
      </c>
      <c r="H407">
        <f t="shared" ca="1" si="38"/>
        <v>6532</v>
      </c>
      <c r="I407">
        <f t="shared" ca="1" si="39"/>
        <v>2496</v>
      </c>
    </row>
    <row r="408" spans="1:9" x14ac:dyDescent="0.45">
      <c r="A408">
        <v>406</v>
      </c>
      <c r="B408" t="str">
        <f>CONCATENATE("Methode ",table_Methods[[#This Row],[ID]])</f>
        <v>Methode 406</v>
      </c>
      <c r="C408">
        <f t="shared" ca="1" si="40"/>
        <v>7800</v>
      </c>
      <c r="D408">
        <f t="shared" ca="1" si="41"/>
        <v>1.24</v>
      </c>
      <c r="E408">
        <f t="shared" ca="1" si="36"/>
        <v>-90</v>
      </c>
      <c r="F408">
        <f t="shared" ca="1" si="37"/>
        <v>370</v>
      </c>
      <c r="G408" s="3" t="b">
        <f ca="1">INDEX(dict_zul_Var_Meth[kval_active],MATCH(table_Methods[[#This Row],[ID]],dict_zul_Var_Meth[ID_Methods],0))</f>
        <v>0</v>
      </c>
      <c r="H408">
        <f t="shared" ca="1" si="38"/>
        <v>4740</v>
      </c>
      <c r="I408">
        <f t="shared" ca="1" si="39"/>
        <v>1376</v>
      </c>
    </row>
    <row r="409" spans="1:9" x14ac:dyDescent="0.45">
      <c r="A409">
        <v>407</v>
      </c>
      <c r="B409" t="str">
        <f>CONCATENATE("Methode ",table_Methods[[#This Row],[ID]])</f>
        <v>Methode 407</v>
      </c>
      <c r="C409">
        <f t="shared" ca="1" si="40"/>
        <v>930</v>
      </c>
      <c r="D409">
        <f t="shared" ca="1" si="41"/>
        <v>0.35</v>
      </c>
      <c r="E409">
        <f t="shared" ca="1" si="36"/>
        <v>-90</v>
      </c>
      <c r="F409">
        <f t="shared" ca="1" si="37"/>
        <v>810</v>
      </c>
      <c r="G409" s="3" t="b">
        <f ca="1">INDEX(dict_zul_Var_Meth[kval_active],MATCH(table_Methods[[#This Row],[ID]],dict_zul_Var_Meth[ID_Methods],0))</f>
        <v>0</v>
      </c>
      <c r="H409">
        <f t="shared" ca="1" si="38"/>
        <v>23094</v>
      </c>
      <c r="I409">
        <f t="shared" ca="1" si="39"/>
        <v>41472</v>
      </c>
    </row>
    <row r="410" spans="1:9" x14ac:dyDescent="0.45">
      <c r="A410">
        <v>408</v>
      </c>
      <c r="B410" t="str">
        <f>CONCATENATE("Methode ",table_Methods[[#This Row],[ID]])</f>
        <v>Methode 408</v>
      </c>
      <c r="C410">
        <f t="shared" ca="1" si="40"/>
        <v>790</v>
      </c>
      <c r="D410">
        <f t="shared" ca="1" si="41"/>
        <v>7.23</v>
      </c>
      <c r="E410">
        <f t="shared" ca="1" si="36"/>
        <v>20</v>
      </c>
      <c r="F410">
        <f t="shared" ca="1" si="37"/>
        <v>800</v>
      </c>
      <c r="G410" s="3" t="b">
        <f ca="1">INDEX(dict_zul_Var_Meth[kval_active],MATCH(table_Methods[[#This Row],[ID]],dict_zul_Var_Meth[ID_Methods],0))</f>
        <v>0</v>
      </c>
      <c r="H410">
        <f t="shared" ca="1" si="38"/>
        <v>18081</v>
      </c>
      <c r="I410">
        <f t="shared" ca="1" si="39"/>
        <v>864</v>
      </c>
    </row>
    <row r="411" spans="1:9" x14ac:dyDescent="0.45">
      <c r="A411">
        <v>409</v>
      </c>
      <c r="B411" t="str">
        <f>CONCATENATE("Methode ",table_Methods[[#This Row],[ID]])</f>
        <v>Methode 409</v>
      </c>
      <c r="C411">
        <f t="shared" ca="1" si="40"/>
        <v>290</v>
      </c>
      <c r="D411">
        <f t="shared" ca="1" si="41"/>
        <v>1.38</v>
      </c>
      <c r="E411">
        <f t="shared" ca="1" si="36"/>
        <v>30</v>
      </c>
      <c r="F411">
        <f t="shared" ca="1" si="37"/>
        <v>760</v>
      </c>
      <c r="G411" s="3" t="b">
        <f ca="1">INDEX(dict_zul_Var_Meth[kval_active],MATCH(table_Methods[[#This Row],[ID]],dict_zul_Var_Meth[ID_Methods],0))</f>
        <v>0</v>
      </c>
      <c r="H411">
        <f t="shared" ca="1" si="38"/>
        <v>1015</v>
      </c>
      <c r="I411">
        <f t="shared" ca="1" si="39"/>
        <v>328</v>
      </c>
    </row>
    <row r="412" spans="1:9" x14ac:dyDescent="0.45">
      <c r="A412">
        <v>410</v>
      </c>
      <c r="B412" t="str">
        <f>CONCATENATE("Methode ",table_Methods[[#This Row],[ID]])</f>
        <v>Methode 410</v>
      </c>
      <c r="C412">
        <f t="shared" ca="1" si="40"/>
        <v>4000</v>
      </c>
      <c r="D412">
        <f t="shared" ca="1" si="41"/>
        <v>3.67</v>
      </c>
      <c r="E412">
        <f t="shared" ca="1" si="36"/>
        <v>-10</v>
      </c>
      <c r="F412">
        <f t="shared" ca="1" si="37"/>
        <v>30</v>
      </c>
      <c r="G412" s="3" t="b">
        <f ca="1">INDEX(dict_zul_Var_Meth[kval_active],MATCH(table_Methods[[#This Row],[ID]],dict_zul_Var_Meth[ID_Methods],0))</f>
        <v>0</v>
      </c>
      <c r="H412">
        <f t="shared" ca="1" si="38"/>
        <v>4689</v>
      </c>
      <c r="I412">
        <f t="shared" ca="1" si="39"/>
        <v>5440</v>
      </c>
    </row>
    <row r="413" spans="1:9" x14ac:dyDescent="0.45">
      <c r="A413">
        <v>411</v>
      </c>
      <c r="B413" t="str">
        <f>CONCATENATE("Methode ",table_Methods[[#This Row],[ID]])</f>
        <v>Methode 411</v>
      </c>
      <c r="C413">
        <f t="shared" ca="1" si="40"/>
        <v>840</v>
      </c>
      <c r="D413">
        <f t="shared" ca="1" si="41"/>
        <v>2.0299999999999998</v>
      </c>
      <c r="E413">
        <f t="shared" ca="1" si="36"/>
        <v>-20</v>
      </c>
      <c r="F413">
        <f t="shared" ca="1" si="37"/>
        <v>490</v>
      </c>
      <c r="G413" s="3" t="b">
        <f ca="1">INDEX(dict_zul_Var_Meth[kval_active],MATCH(table_Methods[[#This Row],[ID]],dict_zul_Var_Meth[ID_Methods],0))</f>
        <v>0</v>
      </c>
      <c r="H413">
        <f t="shared" ca="1" si="38"/>
        <v>1528</v>
      </c>
      <c r="I413">
        <f t="shared" ca="1" si="39"/>
        <v>1696</v>
      </c>
    </row>
    <row r="414" spans="1:9" x14ac:dyDescent="0.45">
      <c r="A414">
        <v>412</v>
      </c>
      <c r="B414" t="str">
        <f>CONCATENATE("Methode ",table_Methods[[#This Row],[ID]])</f>
        <v>Methode 412</v>
      </c>
      <c r="C414">
        <f t="shared" ca="1" si="40"/>
        <v>550</v>
      </c>
      <c r="D414">
        <f t="shared" ca="1" si="41"/>
        <v>3.59</v>
      </c>
      <c r="E414">
        <f t="shared" ca="1" si="36"/>
        <v>-10</v>
      </c>
      <c r="F414">
        <f t="shared" ca="1" si="37"/>
        <v>530</v>
      </c>
      <c r="G414" s="3" t="b">
        <f ca="1">INDEX(dict_zul_Var_Meth[kval_active],MATCH(table_Methods[[#This Row],[ID]],dict_zul_Var_Meth[ID_Methods],0))</f>
        <v>0</v>
      </c>
      <c r="H414">
        <f t="shared" ca="1" si="38"/>
        <v>18928</v>
      </c>
      <c r="I414">
        <f t="shared" ca="1" si="39"/>
        <v>57344</v>
      </c>
    </row>
    <row r="415" spans="1:9" x14ac:dyDescent="0.45">
      <c r="A415">
        <v>413</v>
      </c>
      <c r="B415" t="str">
        <f>CONCATENATE("Methode ",table_Methods[[#This Row],[ID]])</f>
        <v>Methode 413</v>
      </c>
      <c r="C415">
        <f t="shared" ca="1" si="40"/>
        <v>6000</v>
      </c>
      <c r="D415">
        <f t="shared" ca="1" si="41"/>
        <v>0.62</v>
      </c>
      <c r="E415">
        <f t="shared" ca="1" si="36"/>
        <v>0</v>
      </c>
      <c r="F415">
        <f t="shared" ca="1" si="37"/>
        <v>150</v>
      </c>
      <c r="G415" s="3" t="b">
        <f ca="1">INDEX(dict_zul_Var_Meth[kval_active],MATCH(table_Methods[[#This Row],[ID]],dict_zul_Var_Meth[ID_Methods],0))</f>
        <v>0</v>
      </c>
      <c r="H415">
        <f t="shared" ca="1" si="38"/>
        <v>28882</v>
      </c>
      <c r="I415">
        <f t="shared" ca="1" si="39"/>
        <v>15872</v>
      </c>
    </row>
    <row r="416" spans="1:9" x14ac:dyDescent="0.45">
      <c r="A416">
        <v>414</v>
      </c>
      <c r="B416" t="str">
        <f>CONCATENATE("Methode ",table_Methods[[#This Row],[ID]])</f>
        <v>Methode 414</v>
      </c>
      <c r="C416">
        <f t="shared" ca="1" si="40"/>
        <v>1900</v>
      </c>
      <c r="D416">
        <f t="shared" ca="1" si="41"/>
        <v>2.48</v>
      </c>
      <c r="E416">
        <f t="shared" ca="1" si="36"/>
        <v>-90</v>
      </c>
      <c r="F416">
        <f t="shared" ca="1" si="37"/>
        <v>390</v>
      </c>
      <c r="G416" s="3" t="b">
        <f ca="1">INDEX(dict_zul_Var_Meth[kval_active],MATCH(table_Methods[[#This Row],[ID]],dict_zul_Var_Meth[ID_Methods],0))</f>
        <v>0</v>
      </c>
      <c r="H416">
        <f t="shared" ca="1" si="38"/>
        <v>9858</v>
      </c>
      <c r="I416">
        <f t="shared" ca="1" si="39"/>
        <v>148</v>
      </c>
    </row>
    <row r="417" spans="1:9" x14ac:dyDescent="0.45">
      <c r="A417">
        <v>415</v>
      </c>
      <c r="B417" t="str">
        <f>CONCATENATE("Methode ",table_Methods[[#This Row],[ID]])</f>
        <v>Methode 415</v>
      </c>
      <c r="C417">
        <f t="shared" ca="1" si="40"/>
        <v>74</v>
      </c>
      <c r="D417">
        <f t="shared" ca="1" si="41"/>
        <v>0.45</v>
      </c>
      <c r="E417">
        <f t="shared" ca="1" si="36"/>
        <v>-50</v>
      </c>
      <c r="F417">
        <f t="shared" ca="1" si="37"/>
        <v>970</v>
      </c>
      <c r="G417" s="3" t="b">
        <f ca="1">INDEX(dict_zul_Var_Meth[kval_active],MATCH(table_Methods[[#This Row],[ID]],dict_zul_Var_Meth[ID_Methods],0))</f>
        <v>0</v>
      </c>
      <c r="H417">
        <f t="shared" ca="1" si="38"/>
        <v>5562</v>
      </c>
      <c r="I417">
        <f t="shared" ca="1" si="39"/>
        <v>106</v>
      </c>
    </row>
    <row r="418" spans="1:9" x14ac:dyDescent="0.45">
      <c r="A418">
        <v>416</v>
      </c>
      <c r="B418" t="str">
        <f>CONCATENATE("Methode ",table_Methods[[#This Row],[ID]])</f>
        <v>Methode 416</v>
      </c>
      <c r="C418">
        <f t="shared" ca="1" si="40"/>
        <v>2900</v>
      </c>
      <c r="D418">
        <f t="shared" ca="1" si="41"/>
        <v>2.13</v>
      </c>
      <c r="E418">
        <f t="shared" ca="1" si="36"/>
        <v>-10</v>
      </c>
      <c r="F418">
        <f t="shared" ca="1" si="37"/>
        <v>700</v>
      </c>
      <c r="G418" s="3" t="b">
        <f ca="1">INDEX(dict_zul_Var_Meth[kval_active],MATCH(table_Methods[[#This Row],[ID]],dict_zul_Var_Meth[ID_Methods],0))</f>
        <v>1</v>
      </c>
      <c r="H418">
        <f t="shared" ca="1" si="38"/>
        <v>21550</v>
      </c>
      <c r="I418">
        <f t="shared" ca="1" si="39"/>
        <v>1792</v>
      </c>
    </row>
    <row r="419" spans="1:9" x14ac:dyDescent="0.45">
      <c r="A419">
        <v>417</v>
      </c>
      <c r="B419" t="str">
        <f>CONCATENATE("Methode ",table_Methods[[#This Row],[ID]])</f>
        <v>Methode 417</v>
      </c>
      <c r="C419">
        <f t="shared" ca="1" si="40"/>
        <v>8700</v>
      </c>
      <c r="D419">
        <f t="shared" ca="1" si="41"/>
        <v>5.96</v>
      </c>
      <c r="E419">
        <f t="shared" ca="1" si="36"/>
        <v>-90</v>
      </c>
      <c r="F419">
        <f t="shared" ca="1" si="37"/>
        <v>900</v>
      </c>
      <c r="G419" s="3" t="b">
        <f ca="1">INDEX(dict_zul_Var_Meth[kval_active],MATCH(table_Methods[[#This Row],[ID]],dict_zul_Var_Meth[ID_Methods],0))</f>
        <v>0</v>
      </c>
      <c r="H419">
        <f t="shared" ca="1" si="38"/>
        <v>2937</v>
      </c>
      <c r="I419">
        <f t="shared" ca="1" si="39"/>
        <v>244</v>
      </c>
    </row>
    <row r="420" spans="1:9" x14ac:dyDescent="0.45">
      <c r="A420">
        <v>418</v>
      </c>
      <c r="B420" t="str">
        <f>CONCATENATE("Methode ",table_Methods[[#This Row],[ID]])</f>
        <v>Methode 418</v>
      </c>
      <c r="C420">
        <f t="shared" ca="1" si="40"/>
        <v>750</v>
      </c>
      <c r="D420">
        <f t="shared" ca="1" si="41"/>
        <v>1.5</v>
      </c>
      <c r="E420">
        <f t="shared" ref="E420:E483" ca="1" si="42">RANDBETWEEN(-10,3)*10</f>
        <v>-60</v>
      </c>
      <c r="F420">
        <f t="shared" ref="F420:F483" ca="1" si="43">RANDBETWEEN(2,100)*10</f>
        <v>420</v>
      </c>
      <c r="G420" s="3" t="b">
        <f ca="1">INDEX(dict_zul_Var_Meth[kval_active],MATCH(table_Methods[[#This Row],[ID]],dict_zul_Var_Meth[ID_Methods],0))</f>
        <v>0</v>
      </c>
      <c r="H420">
        <f t="shared" ref="H420:H483" ca="1" si="44">RANDBETWEEN(1,10)*RANDBETWEEN(1,5000)</f>
        <v>1008</v>
      </c>
      <c r="I420">
        <f t="shared" ref="I420:I483" ca="1" si="45">2^RANDBETWEEN(1,10)*RANDBETWEEN(1,100)</f>
        <v>188</v>
      </c>
    </row>
    <row r="421" spans="1:9" x14ac:dyDescent="0.45">
      <c r="A421">
        <v>419</v>
      </c>
      <c r="B421" t="str">
        <f>CONCATENATE("Methode ",table_Methods[[#This Row],[ID]])</f>
        <v>Methode 419</v>
      </c>
      <c r="C421">
        <f t="shared" ca="1" si="40"/>
        <v>5500</v>
      </c>
      <c r="D421">
        <f t="shared" ca="1" si="41"/>
        <v>0.89</v>
      </c>
      <c r="E421">
        <f t="shared" ca="1" si="42"/>
        <v>10</v>
      </c>
      <c r="F421">
        <f t="shared" ca="1" si="43"/>
        <v>800</v>
      </c>
      <c r="G421" s="3" t="b">
        <f ca="1">INDEX(dict_zul_Var_Meth[kval_active],MATCH(table_Methods[[#This Row],[ID]],dict_zul_Var_Meth[ID_Methods],0))</f>
        <v>0</v>
      </c>
      <c r="H421">
        <f t="shared" ca="1" si="44"/>
        <v>812</v>
      </c>
      <c r="I421">
        <f t="shared" ca="1" si="45"/>
        <v>1344</v>
      </c>
    </row>
    <row r="422" spans="1:9" x14ac:dyDescent="0.45">
      <c r="A422">
        <v>420</v>
      </c>
      <c r="B422" t="str">
        <f>CONCATENATE("Methode ",table_Methods[[#This Row],[ID]])</f>
        <v>Methode 420</v>
      </c>
      <c r="C422">
        <f t="shared" ca="1" si="40"/>
        <v>51.000000000000007</v>
      </c>
      <c r="D422">
        <f t="shared" ca="1" si="41"/>
        <v>3.97</v>
      </c>
      <c r="E422">
        <f t="shared" ca="1" si="42"/>
        <v>-30</v>
      </c>
      <c r="F422">
        <f t="shared" ca="1" si="43"/>
        <v>970</v>
      </c>
      <c r="G422" s="3" t="b">
        <f ca="1">INDEX(dict_zul_Var_Meth[kval_active],MATCH(table_Methods[[#This Row],[ID]],dict_zul_Var_Meth[ID_Methods],0))</f>
        <v>0</v>
      </c>
      <c r="H422">
        <f t="shared" ca="1" si="44"/>
        <v>3275</v>
      </c>
      <c r="I422">
        <f t="shared" ca="1" si="45"/>
        <v>180</v>
      </c>
    </row>
    <row r="423" spans="1:9" x14ac:dyDescent="0.45">
      <c r="A423">
        <v>421</v>
      </c>
      <c r="B423" t="str">
        <f>CONCATENATE("Methode ",table_Methods[[#This Row],[ID]])</f>
        <v>Methode 421</v>
      </c>
      <c r="C423">
        <f t="shared" ca="1" si="40"/>
        <v>450</v>
      </c>
      <c r="D423">
        <f t="shared" ca="1" si="41"/>
        <v>9.2899999999999991</v>
      </c>
      <c r="E423">
        <f t="shared" ca="1" si="42"/>
        <v>-90</v>
      </c>
      <c r="F423">
        <f t="shared" ca="1" si="43"/>
        <v>180</v>
      </c>
      <c r="G423" s="3" t="b">
        <f ca="1">INDEX(dict_zul_Var_Meth[kval_active],MATCH(table_Methods[[#This Row],[ID]],dict_zul_Var_Meth[ID_Methods],0))</f>
        <v>0</v>
      </c>
      <c r="H423">
        <f t="shared" ca="1" si="44"/>
        <v>28890</v>
      </c>
      <c r="I423">
        <f t="shared" ca="1" si="45"/>
        <v>752</v>
      </c>
    </row>
    <row r="424" spans="1:9" x14ac:dyDescent="0.45">
      <c r="A424">
        <v>422</v>
      </c>
      <c r="B424" t="str">
        <f>CONCATENATE("Methode ",table_Methods[[#This Row],[ID]])</f>
        <v>Methode 422</v>
      </c>
      <c r="C424">
        <f t="shared" ca="1" si="40"/>
        <v>93</v>
      </c>
      <c r="D424">
        <f t="shared" ca="1" si="41"/>
        <v>4.57</v>
      </c>
      <c r="E424">
        <f t="shared" ca="1" si="42"/>
        <v>20</v>
      </c>
      <c r="F424">
        <f t="shared" ca="1" si="43"/>
        <v>510</v>
      </c>
      <c r="G424" s="3" t="b">
        <f ca="1">INDEX(dict_zul_Var_Meth[kval_active],MATCH(table_Methods[[#This Row],[ID]],dict_zul_Var_Meth[ID_Methods],0))</f>
        <v>0</v>
      </c>
      <c r="H424">
        <f t="shared" ca="1" si="44"/>
        <v>22060</v>
      </c>
      <c r="I424">
        <f t="shared" ca="1" si="45"/>
        <v>31744</v>
      </c>
    </row>
    <row r="425" spans="1:9" x14ac:dyDescent="0.45">
      <c r="A425">
        <v>423</v>
      </c>
      <c r="B425" t="str">
        <f>CONCATENATE("Methode ",table_Methods[[#This Row],[ID]])</f>
        <v>Methode 423</v>
      </c>
      <c r="C425">
        <f t="shared" ca="1" si="40"/>
        <v>5</v>
      </c>
      <c r="D425">
        <f t="shared" ca="1" si="41"/>
        <v>4.59</v>
      </c>
      <c r="E425">
        <f t="shared" ca="1" si="42"/>
        <v>0</v>
      </c>
      <c r="F425">
        <f t="shared" ca="1" si="43"/>
        <v>140</v>
      </c>
      <c r="G425" s="3" t="b">
        <f ca="1">INDEX(dict_zul_Var_Meth[kval_active],MATCH(table_Methods[[#This Row],[ID]],dict_zul_Var_Meth[ID_Methods],0))</f>
        <v>0</v>
      </c>
      <c r="H425">
        <f t="shared" ca="1" si="44"/>
        <v>4172</v>
      </c>
      <c r="I425">
        <f t="shared" ca="1" si="45"/>
        <v>116</v>
      </c>
    </row>
    <row r="426" spans="1:9" x14ac:dyDescent="0.45">
      <c r="A426">
        <v>424</v>
      </c>
      <c r="B426" t="str">
        <f>CONCATENATE("Methode ",table_Methods[[#This Row],[ID]])</f>
        <v>Methode 424</v>
      </c>
      <c r="C426">
        <f t="shared" ca="1" si="40"/>
        <v>5900</v>
      </c>
      <c r="D426">
        <f t="shared" ca="1" si="41"/>
        <v>0.55000000000000004</v>
      </c>
      <c r="E426">
        <f t="shared" ca="1" si="42"/>
        <v>20</v>
      </c>
      <c r="F426">
        <f t="shared" ca="1" si="43"/>
        <v>420</v>
      </c>
      <c r="G426" s="3" t="b">
        <f ca="1">INDEX(dict_zul_Var_Meth[kval_active],MATCH(table_Methods[[#This Row],[ID]],dict_zul_Var_Meth[ID_Methods],0))</f>
        <v>0</v>
      </c>
      <c r="H426">
        <f t="shared" ca="1" si="44"/>
        <v>29424</v>
      </c>
      <c r="I426">
        <f t="shared" ca="1" si="45"/>
        <v>1520</v>
      </c>
    </row>
    <row r="427" spans="1:9" x14ac:dyDescent="0.45">
      <c r="A427">
        <v>425</v>
      </c>
      <c r="B427" t="str">
        <f>CONCATENATE("Methode ",table_Methods[[#This Row],[ID]])</f>
        <v>Methode 425</v>
      </c>
      <c r="C427">
        <f t="shared" ca="1" si="40"/>
        <v>12.000000000000002</v>
      </c>
      <c r="D427">
        <f t="shared" ca="1" si="41"/>
        <v>7.69</v>
      </c>
      <c r="E427">
        <f t="shared" ca="1" si="42"/>
        <v>10</v>
      </c>
      <c r="F427">
        <f t="shared" ca="1" si="43"/>
        <v>60</v>
      </c>
      <c r="G427" s="3" t="b">
        <f ca="1">INDEX(dict_zul_Var_Meth[kval_active],MATCH(table_Methods[[#This Row],[ID]],dict_zul_Var_Meth[ID_Methods],0))</f>
        <v>0</v>
      </c>
      <c r="H427">
        <f t="shared" ca="1" si="44"/>
        <v>43758</v>
      </c>
      <c r="I427">
        <f t="shared" ca="1" si="45"/>
        <v>624</v>
      </c>
    </row>
    <row r="428" spans="1:9" x14ac:dyDescent="0.45">
      <c r="A428">
        <v>426</v>
      </c>
      <c r="B428" t="str">
        <f>CONCATENATE("Methode ",table_Methods[[#This Row],[ID]])</f>
        <v>Methode 426</v>
      </c>
      <c r="C428">
        <f t="shared" ca="1" si="40"/>
        <v>690</v>
      </c>
      <c r="D428">
        <f t="shared" ca="1" si="41"/>
        <v>7</v>
      </c>
      <c r="E428">
        <f t="shared" ca="1" si="42"/>
        <v>-40</v>
      </c>
      <c r="F428">
        <f t="shared" ca="1" si="43"/>
        <v>330</v>
      </c>
      <c r="G428" s="3" t="b">
        <f ca="1">INDEX(dict_zul_Var_Meth[kval_active],MATCH(table_Methods[[#This Row],[ID]],dict_zul_Var_Meth[ID_Methods],0))</f>
        <v>0</v>
      </c>
      <c r="H428">
        <f t="shared" ca="1" si="44"/>
        <v>12691</v>
      </c>
      <c r="I428">
        <f t="shared" ca="1" si="45"/>
        <v>4032</v>
      </c>
    </row>
    <row r="429" spans="1:9" x14ac:dyDescent="0.45">
      <c r="A429">
        <v>427</v>
      </c>
      <c r="B429" t="str">
        <f>CONCATENATE("Methode ",table_Methods[[#This Row],[ID]])</f>
        <v>Methode 427</v>
      </c>
      <c r="C429">
        <f t="shared" ca="1" si="40"/>
        <v>530</v>
      </c>
      <c r="D429">
        <f t="shared" ca="1" si="41"/>
        <v>1.38</v>
      </c>
      <c r="E429">
        <f t="shared" ca="1" si="42"/>
        <v>0</v>
      </c>
      <c r="F429">
        <f t="shared" ca="1" si="43"/>
        <v>710</v>
      </c>
      <c r="G429" s="3" t="b">
        <f ca="1">INDEX(dict_zul_Var_Meth[kval_active],MATCH(table_Methods[[#This Row],[ID]],dict_zul_Var_Meth[ID_Methods],0))</f>
        <v>0</v>
      </c>
      <c r="H429">
        <f t="shared" ca="1" si="44"/>
        <v>31302</v>
      </c>
      <c r="I429">
        <f t="shared" ca="1" si="45"/>
        <v>1024</v>
      </c>
    </row>
    <row r="430" spans="1:9" x14ac:dyDescent="0.45">
      <c r="A430">
        <v>428</v>
      </c>
      <c r="B430" t="str">
        <f>CONCATENATE("Methode ",table_Methods[[#This Row],[ID]])</f>
        <v>Methode 428</v>
      </c>
      <c r="C430">
        <f t="shared" ca="1" si="40"/>
        <v>89</v>
      </c>
      <c r="D430">
        <f t="shared" ca="1" si="41"/>
        <v>4.47</v>
      </c>
      <c r="E430">
        <f t="shared" ca="1" si="42"/>
        <v>-40</v>
      </c>
      <c r="F430">
        <f t="shared" ca="1" si="43"/>
        <v>910</v>
      </c>
      <c r="G430" s="3" t="b">
        <f ca="1">INDEX(dict_zul_Var_Meth[kval_active],MATCH(table_Methods[[#This Row],[ID]],dict_zul_Var_Meth[ID_Methods],0))</f>
        <v>0</v>
      </c>
      <c r="H430">
        <f t="shared" ca="1" si="44"/>
        <v>27136</v>
      </c>
      <c r="I430">
        <f t="shared" ca="1" si="45"/>
        <v>17920</v>
      </c>
    </row>
    <row r="431" spans="1:9" x14ac:dyDescent="0.45">
      <c r="A431">
        <v>429</v>
      </c>
      <c r="B431" t="str">
        <f>CONCATENATE("Methode ",table_Methods[[#This Row],[ID]])</f>
        <v>Methode 429</v>
      </c>
      <c r="C431">
        <f t="shared" ca="1" si="40"/>
        <v>4800</v>
      </c>
      <c r="D431">
        <f t="shared" ca="1" si="41"/>
        <v>1.67</v>
      </c>
      <c r="E431">
        <f t="shared" ca="1" si="42"/>
        <v>20</v>
      </c>
      <c r="F431">
        <f t="shared" ca="1" si="43"/>
        <v>440</v>
      </c>
      <c r="G431" s="3" t="b">
        <f ca="1">INDEX(dict_zul_Var_Meth[kval_active],MATCH(table_Methods[[#This Row],[ID]],dict_zul_Var_Meth[ID_Methods],0))</f>
        <v>0</v>
      </c>
      <c r="H431">
        <f t="shared" ca="1" si="44"/>
        <v>25438</v>
      </c>
      <c r="I431">
        <f t="shared" ca="1" si="45"/>
        <v>1344</v>
      </c>
    </row>
    <row r="432" spans="1:9" x14ac:dyDescent="0.45">
      <c r="A432">
        <v>430</v>
      </c>
      <c r="B432" t="str">
        <f>CONCATENATE("Methode ",table_Methods[[#This Row],[ID]])</f>
        <v>Methode 430</v>
      </c>
      <c r="C432">
        <f t="shared" ca="1" si="40"/>
        <v>400</v>
      </c>
      <c r="D432">
        <f t="shared" ca="1" si="41"/>
        <v>8.5399999999999991</v>
      </c>
      <c r="E432">
        <f t="shared" ca="1" si="42"/>
        <v>10</v>
      </c>
      <c r="F432">
        <f t="shared" ca="1" si="43"/>
        <v>250</v>
      </c>
      <c r="G432" s="3" t="b">
        <f ca="1">INDEX(dict_zul_Var_Meth[kval_active],MATCH(table_Methods[[#This Row],[ID]],dict_zul_Var_Meth[ID_Methods],0))</f>
        <v>0</v>
      </c>
      <c r="H432">
        <f t="shared" ca="1" si="44"/>
        <v>31167</v>
      </c>
      <c r="I432">
        <f t="shared" ca="1" si="45"/>
        <v>160</v>
      </c>
    </row>
    <row r="433" spans="1:9" x14ac:dyDescent="0.45">
      <c r="A433">
        <v>431</v>
      </c>
      <c r="B433" t="str">
        <f>CONCATENATE("Methode ",table_Methods[[#This Row],[ID]])</f>
        <v>Methode 431</v>
      </c>
      <c r="C433">
        <f t="shared" ca="1" si="40"/>
        <v>190</v>
      </c>
      <c r="D433">
        <f t="shared" ca="1" si="41"/>
        <v>1.51</v>
      </c>
      <c r="E433">
        <f t="shared" ca="1" si="42"/>
        <v>-70</v>
      </c>
      <c r="F433">
        <f t="shared" ca="1" si="43"/>
        <v>200</v>
      </c>
      <c r="G433" s="3" t="b">
        <f ca="1">INDEX(dict_zul_Var_Meth[kval_active],MATCH(table_Methods[[#This Row],[ID]],dict_zul_Var_Meth[ID_Methods],0))</f>
        <v>0</v>
      </c>
      <c r="H433">
        <f t="shared" ca="1" si="44"/>
        <v>17085</v>
      </c>
      <c r="I433">
        <f t="shared" ca="1" si="45"/>
        <v>32</v>
      </c>
    </row>
    <row r="434" spans="1:9" x14ac:dyDescent="0.45">
      <c r="A434">
        <v>432</v>
      </c>
      <c r="B434" t="str">
        <f>CONCATENATE("Methode ",table_Methods[[#This Row],[ID]])</f>
        <v>Methode 432</v>
      </c>
      <c r="C434">
        <f t="shared" ca="1" si="40"/>
        <v>48.000000000000007</v>
      </c>
      <c r="D434">
        <f t="shared" ca="1" si="41"/>
        <v>0.59</v>
      </c>
      <c r="E434">
        <f t="shared" ca="1" si="42"/>
        <v>-20</v>
      </c>
      <c r="F434">
        <f t="shared" ca="1" si="43"/>
        <v>300</v>
      </c>
      <c r="G434" s="3" t="b">
        <f ca="1">INDEX(dict_zul_Var_Meth[kval_active],MATCH(table_Methods[[#This Row],[ID]],dict_zul_Var_Meth[ID_Methods],0))</f>
        <v>0</v>
      </c>
      <c r="H434">
        <f t="shared" ca="1" si="44"/>
        <v>23048</v>
      </c>
      <c r="I434">
        <f t="shared" ca="1" si="45"/>
        <v>2048</v>
      </c>
    </row>
    <row r="435" spans="1:9" x14ac:dyDescent="0.45">
      <c r="A435">
        <v>433</v>
      </c>
      <c r="B435" t="str">
        <f>CONCATENATE("Methode ",table_Methods[[#This Row],[ID]])</f>
        <v>Methode 433</v>
      </c>
      <c r="C435">
        <f t="shared" ca="1" si="40"/>
        <v>99</v>
      </c>
      <c r="D435">
        <f t="shared" ca="1" si="41"/>
        <v>8.6</v>
      </c>
      <c r="E435">
        <f t="shared" ca="1" si="42"/>
        <v>20</v>
      </c>
      <c r="F435">
        <f t="shared" ca="1" si="43"/>
        <v>920</v>
      </c>
      <c r="G435" s="3" t="b">
        <f ca="1">INDEX(dict_zul_Var_Meth[kval_active],MATCH(table_Methods[[#This Row],[ID]],dict_zul_Var_Meth[ID_Methods],0))</f>
        <v>0</v>
      </c>
      <c r="H435">
        <f t="shared" ca="1" si="44"/>
        <v>1187</v>
      </c>
      <c r="I435">
        <f t="shared" ca="1" si="45"/>
        <v>12</v>
      </c>
    </row>
    <row r="436" spans="1:9" x14ac:dyDescent="0.45">
      <c r="A436">
        <v>434</v>
      </c>
      <c r="B436" t="str">
        <f>CONCATENATE("Methode ",table_Methods[[#This Row],[ID]])</f>
        <v>Methode 434</v>
      </c>
      <c r="C436">
        <f t="shared" ca="1" si="40"/>
        <v>2800</v>
      </c>
      <c r="D436">
        <f t="shared" ca="1" si="41"/>
        <v>3.37</v>
      </c>
      <c r="E436">
        <f t="shared" ca="1" si="42"/>
        <v>30</v>
      </c>
      <c r="F436">
        <f t="shared" ca="1" si="43"/>
        <v>150</v>
      </c>
      <c r="G436" s="3" t="b">
        <f ca="1">INDEX(dict_zul_Var_Meth[kval_active],MATCH(table_Methods[[#This Row],[ID]],dict_zul_Var_Meth[ID_Methods],0))</f>
        <v>0</v>
      </c>
      <c r="H436">
        <f t="shared" ca="1" si="44"/>
        <v>30573</v>
      </c>
      <c r="I436">
        <f t="shared" ca="1" si="45"/>
        <v>104</v>
      </c>
    </row>
    <row r="437" spans="1:9" x14ac:dyDescent="0.45">
      <c r="A437">
        <v>435</v>
      </c>
      <c r="B437" t="str">
        <f>CONCATENATE("Methode ",table_Methods[[#This Row],[ID]])</f>
        <v>Methode 435</v>
      </c>
      <c r="C437">
        <f t="shared" ca="1" si="40"/>
        <v>710</v>
      </c>
      <c r="D437">
        <f t="shared" ca="1" si="41"/>
        <v>7.69</v>
      </c>
      <c r="E437">
        <f t="shared" ca="1" si="42"/>
        <v>-70</v>
      </c>
      <c r="F437">
        <f t="shared" ca="1" si="43"/>
        <v>760</v>
      </c>
      <c r="G437" s="3" t="b">
        <f ca="1">INDEX(dict_zul_Var_Meth[kval_active],MATCH(table_Methods[[#This Row],[ID]],dict_zul_Var_Meth[ID_Methods],0))</f>
        <v>0</v>
      </c>
      <c r="H437">
        <f t="shared" ca="1" si="44"/>
        <v>22266</v>
      </c>
      <c r="I437">
        <f t="shared" ca="1" si="45"/>
        <v>3840</v>
      </c>
    </row>
    <row r="438" spans="1:9" x14ac:dyDescent="0.45">
      <c r="A438">
        <v>436</v>
      </c>
      <c r="B438" t="str">
        <f>CONCATENATE("Methode ",table_Methods[[#This Row],[ID]])</f>
        <v>Methode 436</v>
      </c>
      <c r="C438">
        <f t="shared" ca="1" si="40"/>
        <v>86</v>
      </c>
      <c r="D438">
        <f t="shared" ca="1" si="41"/>
        <v>3.88</v>
      </c>
      <c r="E438">
        <f t="shared" ca="1" si="42"/>
        <v>-10</v>
      </c>
      <c r="F438">
        <f t="shared" ca="1" si="43"/>
        <v>680</v>
      </c>
      <c r="G438" s="3" t="b">
        <f ca="1">INDEX(dict_zul_Var_Meth[kval_active],MATCH(table_Methods[[#This Row],[ID]],dict_zul_Var_Meth[ID_Methods],0))</f>
        <v>0</v>
      </c>
      <c r="H438">
        <f t="shared" ca="1" si="44"/>
        <v>28280</v>
      </c>
      <c r="I438">
        <f t="shared" ca="1" si="45"/>
        <v>592</v>
      </c>
    </row>
    <row r="439" spans="1:9" x14ac:dyDescent="0.45">
      <c r="A439">
        <v>437</v>
      </c>
      <c r="B439" t="str">
        <f>CONCATENATE("Methode ",table_Methods[[#This Row],[ID]])</f>
        <v>Methode 437</v>
      </c>
      <c r="C439">
        <f t="shared" ca="1" si="40"/>
        <v>3600</v>
      </c>
      <c r="D439">
        <f t="shared" ca="1" si="41"/>
        <v>7.34</v>
      </c>
      <c r="E439">
        <f t="shared" ca="1" si="42"/>
        <v>-40</v>
      </c>
      <c r="F439">
        <f t="shared" ca="1" si="43"/>
        <v>370</v>
      </c>
      <c r="G439" s="3" t="b">
        <f ca="1">INDEX(dict_zul_Var_Meth[kval_active],MATCH(table_Methods[[#This Row],[ID]],dict_zul_Var_Meth[ID_Methods],0))</f>
        <v>0</v>
      </c>
      <c r="H439">
        <f t="shared" ca="1" si="44"/>
        <v>456</v>
      </c>
      <c r="I439">
        <f t="shared" ca="1" si="45"/>
        <v>5632</v>
      </c>
    </row>
    <row r="440" spans="1:9" x14ac:dyDescent="0.45">
      <c r="A440">
        <v>438</v>
      </c>
      <c r="B440" t="str">
        <f>CONCATENATE("Methode ",table_Methods[[#This Row],[ID]])</f>
        <v>Methode 438</v>
      </c>
      <c r="C440">
        <f t="shared" ca="1" si="40"/>
        <v>7500</v>
      </c>
      <c r="D440">
        <f t="shared" ca="1" si="41"/>
        <v>2.97</v>
      </c>
      <c r="E440">
        <f t="shared" ca="1" si="42"/>
        <v>-40</v>
      </c>
      <c r="F440">
        <f t="shared" ca="1" si="43"/>
        <v>1000</v>
      </c>
      <c r="G440" s="3" t="b">
        <f ca="1">INDEX(dict_zul_Var_Meth[kval_active],MATCH(table_Methods[[#This Row],[ID]],dict_zul_Var_Meth[ID_Methods],0))</f>
        <v>0</v>
      </c>
      <c r="H440">
        <f t="shared" ca="1" si="44"/>
        <v>44271</v>
      </c>
      <c r="I440">
        <f t="shared" ca="1" si="45"/>
        <v>408</v>
      </c>
    </row>
    <row r="441" spans="1:9" x14ac:dyDescent="0.45">
      <c r="A441">
        <v>439</v>
      </c>
      <c r="B441" t="str">
        <f>CONCATENATE("Methode ",table_Methods[[#This Row],[ID]])</f>
        <v>Methode 439</v>
      </c>
      <c r="C441">
        <f t="shared" ca="1" si="40"/>
        <v>2400</v>
      </c>
      <c r="D441">
        <f t="shared" ca="1" si="41"/>
        <v>0.42</v>
      </c>
      <c r="E441">
        <f t="shared" ca="1" si="42"/>
        <v>-60</v>
      </c>
      <c r="F441">
        <f t="shared" ca="1" si="43"/>
        <v>110</v>
      </c>
      <c r="G441" s="3" t="b">
        <f ca="1">INDEX(dict_zul_Var_Meth[kval_active],MATCH(table_Methods[[#This Row],[ID]],dict_zul_Var_Meth[ID_Methods],0))</f>
        <v>0</v>
      </c>
      <c r="H441">
        <f t="shared" ca="1" si="44"/>
        <v>18808</v>
      </c>
      <c r="I441">
        <f t="shared" ca="1" si="45"/>
        <v>8704</v>
      </c>
    </row>
    <row r="442" spans="1:9" x14ac:dyDescent="0.45">
      <c r="A442">
        <v>440</v>
      </c>
      <c r="B442" t="str">
        <f>CONCATENATE("Methode ",table_Methods[[#This Row],[ID]])</f>
        <v>Methode 440</v>
      </c>
      <c r="C442">
        <f t="shared" ca="1" si="40"/>
        <v>9000</v>
      </c>
      <c r="D442">
        <f t="shared" ca="1" si="41"/>
        <v>2.0499999999999998</v>
      </c>
      <c r="E442">
        <f t="shared" ca="1" si="42"/>
        <v>30</v>
      </c>
      <c r="F442">
        <f t="shared" ca="1" si="43"/>
        <v>300</v>
      </c>
      <c r="G442" s="3" t="b">
        <f ca="1">INDEX(dict_zul_Var_Meth[kval_active],MATCH(table_Methods[[#This Row],[ID]],dict_zul_Var_Meth[ID_Methods],0))</f>
        <v>0</v>
      </c>
      <c r="H442">
        <f t="shared" ca="1" si="44"/>
        <v>37100</v>
      </c>
      <c r="I442">
        <f t="shared" ca="1" si="45"/>
        <v>752</v>
      </c>
    </row>
    <row r="443" spans="1:9" x14ac:dyDescent="0.45">
      <c r="A443">
        <v>441</v>
      </c>
      <c r="B443" t="str">
        <f>CONCATENATE("Methode ",table_Methods[[#This Row],[ID]])</f>
        <v>Methode 441</v>
      </c>
      <c r="C443">
        <f t="shared" ca="1" si="40"/>
        <v>49</v>
      </c>
      <c r="D443">
        <f t="shared" ca="1" si="41"/>
        <v>8.64</v>
      </c>
      <c r="E443">
        <f t="shared" ca="1" si="42"/>
        <v>-40</v>
      </c>
      <c r="F443">
        <f t="shared" ca="1" si="43"/>
        <v>550</v>
      </c>
      <c r="G443" s="3" t="b">
        <f ca="1">INDEX(dict_zul_Var_Meth[kval_active],MATCH(table_Methods[[#This Row],[ID]],dict_zul_Var_Meth[ID_Methods],0))</f>
        <v>0</v>
      </c>
      <c r="H443">
        <f t="shared" ca="1" si="44"/>
        <v>33610</v>
      </c>
      <c r="I443">
        <f t="shared" ca="1" si="45"/>
        <v>3584</v>
      </c>
    </row>
    <row r="444" spans="1:9" x14ac:dyDescent="0.45">
      <c r="A444">
        <v>442</v>
      </c>
      <c r="B444" t="str">
        <f>CONCATENATE("Methode ",table_Methods[[#This Row],[ID]])</f>
        <v>Methode 442</v>
      </c>
      <c r="C444">
        <f t="shared" ca="1" si="40"/>
        <v>2</v>
      </c>
      <c r="D444">
        <f t="shared" ca="1" si="41"/>
        <v>1.53</v>
      </c>
      <c r="E444">
        <f t="shared" ca="1" si="42"/>
        <v>-10</v>
      </c>
      <c r="F444">
        <f t="shared" ca="1" si="43"/>
        <v>450</v>
      </c>
      <c r="G444" s="3" t="b">
        <f ca="1">INDEX(dict_zul_Var_Meth[kval_active],MATCH(table_Methods[[#This Row],[ID]],dict_zul_Var_Meth[ID_Methods],0))</f>
        <v>0</v>
      </c>
      <c r="H444">
        <f t="shared" ca="1" si="44"/>
        <v>12236</v>
      </c>
      <c r="I444">
        <f t="shared" ca="1" si="45"/>
        <v>768</v>
      </c>
    </row>
    <row r="445" spans="1:9" x14ac:dyDescent="0.45">
      <c r="A445">
        <v>443</v>
      </c>
      <c r="B445" t="str">
        <f>CONCATENATE("Methode ",table_Methods[[#This Row],[ID]])</f>
        <v>Methode 443</v>
      </c>
      <c r="C445">
        <f t="shared" ca="1" si="40"/>
        <v>730</v>
      </c>
      <c r="D445">
        <f t="shared" ca="1" si="41"/>
        <v>1.85</v>
      </c>
      <c r="E445">
        <f t="shared" ca="1" si="42"/>
        <v>-100</v>
      </c>
      <c r="F445">
        <f t="shared" ca="1" si="43"/>
        <v>380</v>
      </c>
      <c r="G445" s="3" t="b">
        <f ca="1">INDEX(dict_zul_Var_Meth[kval_active],MATCH(table_Methods[[#This Row],[ID]],dict_zul_Var_Meth[ID_Methods],0))</f>
        <v>0</v>
      </c>
      <c r="H445">
        <f t="shared" ca="1" si="44"/>
        <v>27055</v>
      </c>
      <c r="I445">
        <f t="shared" ca="1" si="45"/>
        <v>124</v>
      </c>
    </row>
    <row r="446" spans="1:9" x14ac:dyDescent="0.45">
      <c r="A446">
        <v>444</v>
      </c>
      <c r="B446" t="str">
        <f>CONCATENATE("Methode ",table_Methods[[#This Row],[ID]])</f>
        <v>Methode 444</v>
      </c>
      <c r="C446">
        <f t="shared" ca="1" si="40"/>
        <v>500</v>
      </c>
      <c r="D446">
        <f t="shared" ca="1" si="41"/>
        <v>3.87</v>
      </c>
      <c r="E446">
        <f t="shared" ca="1" si="42"/>
        <v>-70</v>
      </c>
      <c r="F446">
        <f t="shared" ca="1" si="43"/>
        <v>540</v>
      </c>
      <c r="G446" s="3" t="b">
        <f ca="1">INDEX(dict_zul_Var_Meth[kval_active],MATCH(table_Methods[[#This Row],[ID]],dict_zul_Var_Meth[ID_Methods],0))</f>
        <v>0</v>
      </c>
      <c r="H446">
        <f t="shared" ca="1" si="44"/>
        <v>7702</v>
      </c>
      <c r="I446">
        <f t="shared" ca="1" si="45"/>
        <v>20480</v>
      </c>
    </row>
    <row r="447" spans="1:9" x14ac:dyDescent="0.45">
      <c r="A447">
        <v>445</v>
      </c>
      <c r="B447" t="str">
        <f>CONCATENATE("Methode ",table_Methods[[#This Row],[ID]])</f>
        <v>Methode 445</v>
      </c>
      <c r="C447">
        <f t="shared" ca="1" si="40"/>
        <v>320</v>
      </c>
      <c r="D447">
        <f t="shared" ca="1" si="41"/>
        <v>8.17</v>
      </c>
      <c r="E447">
        <f t="shared" ca="1" si="42"/>
        <v>20</v>
      </c>
      <c r="F447">
        <f t="shared" ca="1" si="43"/>
        <v>190</v>
      </c>
      <c r="G447" s="3" t="b">
        <f ca="1">INDEX(dict_zul_Var_Meth[kval_active],MATCH(table_Methods[[#This Row],[ID]],dict_zul_Var_Meth[ID_Methods],0))</f>
        <v>0</v>
      </c>
      <c r="H447">
        <f t="shared" ca="1" si="44"/>
        <v>6063</v>
      </c>
      <c r="I447">
        <f t="shared" ca="1" si="45"/>
        <v>3200</v>
      </c>
    </row>
    <row r="448" spans="1:9" x14ac:dyDescent="0.45">
      <c r="A448">
        <v>446</v>
      </c>
      <c r="B448" t="str">
        <f>CONCATENATE("Methode ",table_Methods[[#This Row],[ID]])</f>
        <v>Methode 446</v>
      </c>
      <c r="C448">
        <f t="shared" ca="1" si="40"/>
        <v>21</v>
      </c>
      <c r="D448">
        <f t="shared" ca="1" si="41"/>
        <v>2.79</v>
      </c>
      <c r="E448">
        <f t="shared" ca="1" si="42"/>
        <v>-90</v>
      </c>
      <c r="F448">
        <f t="shared" ca="1" si="43"/>
        <v>690</v>
      </c>
      <c r="G448" s="3" t="b">
        <f ca="1">INDEX(dict_zul_Var_Meth[kval_active],MATCH(table_Methods[[#This Row],[ID]],dict_zul_Var_Meth[ID_Methods],0))</f>
        <v>0</v>
      </c>
      <c r="H448">
        <f t="shared" ca="1" si="44"/>
        <v>5832</v>
      </c>
      <c r="I448">
        <f t="shared" ca="1" si="45"/>
        <v>30208</v>
      </c>
    </row>
    <row r="449" spans="1:9" x14ac:dyDescent="0.45">
      <c r="A449">
        <v>447</v>
      </c>
      <c r="B449" t="str">
        <f>CONCATENATE("Methode ",table_Methods[[#This Row],[ID]])</f>
        <v>Methode 447</v>
      </c>
      <c r="C449">
        <f t="shared" ca="1" si="40"/>
        <v>7.0000000000000009</v>
      </c>
      <c r="D449">
        <f t="shared" ca="1" si="41"/>
        <v>0.21</v>
      </c>
      <c r="E449">
        <f t="shared" ca="1" si="42"/>
        <v>-40</v>
      </c>
      <c r="F449">
        <f t="shared" ca="1" si="43"/>
        <v>130</v>
      </c>
      <c r="G449" s="3" t="b">
        <f ca="1">INDEX(dict_zul_Var_Meth[kval_active],MATCH(table_Methods[[#This Row],[ID]],dict_zul_Var_Meth[ID_Methods],0))</f>
        <v>0</v>
      </c>
      <c r="H449">
        <f t="shared" ca="1" si="44"/>
        <v>2042</v>
      </c>
      <c r="I449">
        <f t="shared" ca="1" si="45"/>
        <v>216</v>
      </c>
    </row>
    <row r="450" spans="1:9" x14ac:dyDescent="0.45">
      <c r="A450">
        <v>448</v>
      </c>
      <c r="B450" t="str">
        <f>CONCATENATE("Methode ",table_Methods[[#This Row],[ID]])</f>
        <v>Methode 448</v>
      </c>
      <c r="C450">
        <f t="shared" ref="C450:C513" ca="1" si="46">10^(RANDBETWEEN(-1,1))*RANDBETWEEN(1,100)*10</f>
        <v>5000</v>
      </c>
      <c r="D450">
        <f t="shared" ca="1" si="41"/>
        <v>4.3899999999999997</v>
      </c>
      <c r="E450">
        <f t="shared" ca="1" si="42"/>
        <v>-60</v>
      </c>
      <c r="F450">
        <f t="shared" ca="1" si="43"/>
        <v>390</v>
      </c>
      <c r="G450" s="3" t="b">
        <f ca="1">INDEX(dict_zul_Var_Meth[kval_active],MATCH(table_Methods[[#This Row],[ID]],dict_zul_Var_Meth[ID_Methods],0))</f>
        <v>0</v>
      </c>
      <c r="H450">
        <f t="shared" ca="1" si="44"/>
        <v>16080</v>
      </c>
      <c r="I450">
        <f t="shared" ca="1" si="45"/>
        <v>88</v>
      </c>
    </row>
    <row r="451" spans="1:9" x14ac:dyDescent="0.45">
      <c r="A451">
        <v>449</v>
      </c>
      <c r="B451" t="str">
        <f>CONCATENATE("Methode ",table_Methods[[#This Row],[ID]])</f>
        <v>Methode 449</v>
      </c>
      <c r="C451">
        <f t="shared" ca="1" si="46"/>
        <v>9300</v>
      </c>
      <c r="D451">
        <f t="shared" ref="D451:D514" ca="1" si="47">RANDBETWEEN(10,1000)/(100)</f>
        <v>5.58</v>
      </c>
      <c r="E451">
        <f t="shared" ca="1" si="42"/>
        <v>0</v>
      </c>
      <c r="F451">
        <f t="shared" ca="1" si="43"/>
        <v>50</v>
      </c>
      <c r="G451" s="3" t="b">
        <f ca="1">INDEX(dict_zul_Var_Meth[kval_active],MATCH(table_Methods[[#This Row],[ID]],dict_zul_Var_Meth[ID_Methods],0))</f>
        <v>0</v>
      </c>
      <c r="H451">
        <f t="shared" ca="1" si="44"/>
        <v>4176</v>
      </c>
      <c r="I451">
        <f t="shared" ca="1" si="45"/>
        <v>19456</v>
      </c>
    </row>
    <row r="452" spans="1:9" x14ac:dyDescent="0.45">
      <c r="A452">
        <v>450</v>
      </c>
      <c r="B452" t="str">
        <f>CONCATENATE("Methode ",table_Methods[[#This Row],[ID]])</f>
        <v>Methode 450</v>
      </c>
      <c r="C452">
        <f t="shared" ca="1" si="46"/>
        <v>31</v>
      </c>
      <c r="D452">
        <f t="shared" ca="1" si="47"/>
        <v>7.44</v>
      </c>
      <c r="E452">
        <f t="shared" ca="1" si="42"/>
        <v>10</v>
      </c>
      <c r="F452">
        <f t="shared" ca="1" si="43"/>
        <v>820</v>
      </c>
      <c r="G452" s="3" t="b">
        <f ca="1">INDEX(dict_zul_Var_Meth[kval_active],MATCH(table_Methods[[#This Row],[ID]],dict_zul_Var_Meth[ID_Methods],0))</f>
        <v>0</v>
      </c>
      <c r="H452">
        <f t="shared" ca="1" si="44"/>
        <v>15225</v>
      </c>
      <c r="I452">
        <f t="shared" ca="1" si="45"/>
        <v>184</v>
      </c>
    </row>
    <row r="453" spans="1:9" x14ac:dyDescent="0.45">
      <c r="A453">
        <v>451</v>
      </c>
      <c r="B453" t="str">
        <f>CONCATENATE("Methode ",table_Methods[[#This Row],[ID]])</f>
        <v>Methode 451</v>
      </c>
      <c r="C453">
        <f t="shared" ca="1" si="46"/>
        <v>47</v>
      </c>
      <c r="D453">
        <f t="shared" ca="1" si="47"/>
        <v>5.55</v>
      </c>
      <c r="E453">
        <f t="shared" ca="1" si="42"/>
        <v>30</v>
      </c>
      <c r="F453">
        <f t="shared" ca="1" si="43"/>
        <v>210</v>
      </c>
      <c r="G453" s="3" t="b">
        <f ca="1">INDEX(dict_zul_Var_Meth[kval_active],MATCH(table_Methods[[#This Row],[ID]],dict_zul_Var_Meth[ID_Methods],0))</f>
        <v>0</v>
      </c>
      <c r="H453">
        <f t="shared" ca="1" si="44"/>
        <v>4983</v>
      </c>
      <c r="I453">
        <f t="shared" ca="1" si="45"/>
        <v>2112</v>
      </c>
    </row>
    <row r="454" spans="1:9" x14ac:dyDescent="0.45">
      <c r="A454">
        <v>452</v>
      </c>
      <c r="B454" t="str">
        <f>CONCATENATE("Methode ",table_Methods[[#This Row],[ID]])</f>
        <v>Methode 452</v>
      </c>
      <c r="C454">
        <f t="shared" ca="1" si="46"/>
        <v>52</v>
      </c>
      <c r="D454">
        <f t="shared" ca="1" si="47"/>
        <v>9.5</v>
      </c>
      <c r="E454">
        <f t="shared" ca="1" si="42"/>
        <v>-70</v>
      </c>
      <c r="F454">
        <f t="shared" ca="1" si="43"/>
        <v>620</v>
      </c>
      <c r="G454" s="3" t="b">
        <f ca="1">INDEX(dict_zul_Var_Meth[kval_active],MATCH(table_Methods[[#This Row],[ID]],dict_zul_Var_Meth[ID_Methods],0))</f>
        <v>0</v>
      </c>
      <c r="H454">
        <f t="shared" ca="1" si="44"/>
        <v>4315</v>
      </c>
      <c r="I454">
        <f t="shared" ca="1" si="45"/>
        <v>8192</v>
      </c>
    </row>
    <row r="455" spans="1:9" x14ac:dyDescent="0.45">
      <c r="A455">
        <v>453</v>
      </c>
      <c r="B455" t="str">
        <f>CONCATENATE("Methode ",table_Methods[[#This Row],[ID]])</f>
        <v>Methode 453</v>
      </c>
      <c r="C455">
        <f t="shared" ca="1" si="46"/>
        <v>82.000000000000014</v>
      </c>
      <c r="D455">
        <f t="shared" ca="1" si="47"/>
        <v>1.54</v>
      </c>
      <c r="E455">
        <f t="shared" ca="1" si="42"/>
        <v>-10</v>
      </c>
      <c r="F455">
        <f t="shared" ca="1" si="43"/>
        <v>640</v>
      </c>
      <c r="G455" s="3" t="b">
        <f ca="1">INDEX(dict_zul_Var_Meth[kval_active],MATCH(table_Methods[[#This Row],[ID]],dict_zul_Var_Meth[ID_Methods],0))</f>
        <v>0</v>
      </c>
      <c r="H455">
        <f t="shared" ca="1" si="44"/>
        <v>39159</v>
      </c>
      <c r="I455">
        <f t="shared" ca="1" si="45"/>
        <v>45568</v>
      </c>
    </row>
    <row r="456" spans="1:9" x14ac:dyDescent="0.45">
      <c r="A456">
        <v>454</v>
      </c>
      <c r="B456" t="str">
        <f>CONCATENATE("Methode ",table_Methods[[#This Row],[ID]])</f>
        <v>Methode 454</v>
      </c>
      <c r="C456">
        <f t="shared" ca="1" si="46"/>
        <v>50</v>
      </c>
      <c r="D456">
        <f t="shared" ca="1" si="47"/>
        <v>6.99</v>
      </c>
      <c r="E456">
        <f t="shared" ca="1" si="42"/>
        <v>-50</v>
      </c>
      <c r="F456">
        <f t="shared" ca="1" si="43"/>
        <v>200</v>
      </c>
      <c r="G456" s="3" t="b">
        <f ca="1">INDEX(dict_zul_Var_Meth[kval_active],MATCH(table_Methods[[#This Row],[ID]],dict_zul_Var_Meth[ID_Methods],0))</f>
        <v>0</v>
      </c>
      <c r="H456">
        <f t="shared" ca="1" si="44"/>
        <v>2339</v>
      </c>
      <c r="I456">
        <f t="shared" ca="1" si="45"/>
        <v>43008</v>
      </c>
    </row>
    <row r="457" spans="1:9" x14ac:dyDescent="0.45">
      <c r="A457">
        <v>455</v>
      </c>
      <c r="B457" t="str">
        <f>CONCATENATE("Methode ",table_Methods[[#This Row],[ID]])</f>
        <v>Methode 455</v>
      </c>
      <c r="C457">
        <f t="shared" ca="1" si="46"/>
        <v>46.000000000000007</v>
      </c>
      <c r="D457">
        <f t="shared" ca="1" si="47"/>
        <v>6.36</v>
      </c>
      <c r="E457">
        <f t="shared" ca="1" si="42"/>
        <v>-60</v>
      </c>
      <c r="F457">
        <f t="shared" ca="1" si="43"/>
        <v>110</v>
      </c>
      <c r="G457" s="3" t="b">
        <f ca="1">INDEX(dict_zul_Var_Meth[kval_active],MATCH(table_Methods[[#This Row],[ID]],dict_zul_Var_Meth[ID_Methods],0))</f>
        <v>0</v>
      </c>
      <c r="H457">
        <f t="shared" ca="1" si="44"/>
        <v>21950</v>
      </c>
      <c r="I457">
        <f t="shared" ca="1" si="45"/>
        <v>8704</v>
      </c>
    </row>
    <row r="458" spans="1:9" x14ac:dyDescent="0.45">
      <c r="A458">
        <v>456</v>
      </c>
      <c r="B458" t="str">
        <f>CONCATENATE("Methode ",table_Methods[[#This Row],[ID]])</f>
        <v>Methode 456</v>
      </c>
      <c r="C458">
        <f t="shared" ca="1" si="46"/>
        <v>900</v>
      </c>
      <c r="D458">
        <f t="shared" ca="1" si="47"/>
        <v>0.45</v>
      </c>
      <c r="E458">
        <f t="shared" ca="1" si="42"/>
        <v>10</v>
      </c>
      <c r="F458">
        <f t="shared" ca="1" si="43"/>
        <v>710</v>
      </c>
      <c r="G458" s="3" t="b">
        <f ca="1">INDEX(dict_zul_Var_Meth[kval_active],MATCH(table_Methods[[#This Row],[ID]],dict_zul_Var_Meth[ID_Methods],0))</f>
        <v>0</v>
      </c>
      <c r="H458">
        <f t="shared" ca="1" si="44"/>
        <v>4885</v>
      </c>
      <c r="I458">
        <f t="shared" ca="1" si="45"/>
        <v>48128</v>
      </c>
    </row>
    <row r="459" spans="1:9" x14ac:dyDescent="0.45">
      <c r="A459">
        <v>457</v>
      </c>
      <c r="B459" t="str">
        <f>CONCATENATE("Methode ",table_Methods[[#This Row],[ID]])</f>
        <v>Methode 457</v>
      </c>
      <c r="C459">
        <f t="shared" ca="1" si="46"/>
        <v>9100</v>
      </c>
      <c r="D459">
        <f t="shared" ca="1" si="47"/>
        <v>3.45</v>
      </c>
      <c r="E459">
        <f t="shared" ca="1" si="42"/>
        <v>-100</v>
      </c>
      <c r="F459">
        <f t="shared" ca="1" si="43"/>
        <v>860</v>
      </c>
      <c r="G459" s="3" t="b">
        <f ca="1">INDEX(dict_zul_Var_Meth[kval_active],MATCH(table_Methods[[#This Row],[ID]],dict_zul_Var_Meth[ID_Methods],0))</f>
        <v>0</v>
      </c>
      <c r="H459">
        <f t="shared" ca="1" si="44"/>
        <v>2440</v>
      </c>
      <c r="I459">
        <f t="shared" ca="1" si="45"/>
        <v>14336</v>
      </c>
    </row>
    <row r="460" spans="1:9" x14ac:dyDescent="0.45">
      <c r="A460">
        <v>458</v>
      </c>
      <c r="B460" t="str">
        <f>CONCATENATE("Methode ",table_Methods[[#This Row],[ID]])</f>
        <v>Methode 458</v>
      </c>
      <c r="C460">
        <f t="shared" ca="1" si="46"/>
        <v>39</v>
      </c>
      <c r="D460">
        <f t="shared" ca="1" si="47"/>
        <v>5.5</v>
      </c>
      <c r="E460">
        <f t="shared" ca="1" si="42"/>
        <v>-90</v>
      </c>
      <c r="F460">
        <f t="shared" ca="1" si="43"/>
        <v>510</v>
      </c>
      <c r="G460" s="3" t="b">
        <f ca="1">INDEX(dict_zul_Var_Meth[kval_active],MATCH(table_Methods[[#This Row],[ID]],dict_zul_Var_Meth[ID_Methods],0))</f>
        <v>0</v>
      </c>
      <c r="H460">
        <f t="shared" ca="1" si="44"/>
        <v>28809</v>
      </c>
      <c r="I460">
        <f t="shared" ca="1" si="45"/>
        <v>32</v>
      </c>
    </row>
    <row r="461" spans="1:9" x14ac:dyDescent="0.45">
      <c r="A461">
        <v>459</v>
      </c>
      <c r="B461" t="str">
        <f>CONCATENATE("Methode ",table_Methods[[#This Row],[ID]])</f>
        <v>Methode 459</v>
      </c>
      <c r="C461">
        <f t="shared" ca="1" si="46"/>
        <v>3500</v>
      </c>
      <c r="D461">
        <f t="shared" ca="1" si="47"/>
        <v>1.1000000000000001</v>
      </c>
      <c r="E461">
        <f t="shared" ca="1" si="42"/>
        <v>-10</v>
      </c>
      <c r="F461">
        <f t="shared" ca="1" si="43"/>
        <v>130</v>
      </c>
      <c r="G461" s="3" t="b">
        <f ca="1">INDEX(dict_zul_Var_Meth[kval_active],MATCH(table_Methods[[#This Row],[ID]],dict_zul_Var_Meth[ID_Methods],0))</f>
        <v>0</v>
      </c>
      <c r="H461">
        <f t="shared" ca="1" si="44"/>
        <v>35560</v>
      </c>
      <c r="I461">
        <f t="shared" ca="1" si="45"/>
        <v>27136</v>
      </c>
    </row>
    <row r="462" spans="1:9" x14ac:dyDescent="0.45">
      <c r="A462">
        <v>460</v>
      </c>
      <c r="B462" t="str">
        <f>CONCATENATE("Methode ",table_Methods[[#This Row],[ID]])</f>
        <v>Methode 460</v>
      </c>
      <c r="C462">
        <f t="shared" ca="1" si="46"/>
        <v>430</v>
      </c>
      <c r="D462">
        <f t="shared" ca="1" si="47"/>
        <v>7.35</v>
      </c>
      <c r="E462">
        <f t="shared" ca="1" si="42"/>
        <v>-30</v>
      </c>
      <c r="F462">
        <f t="shared" ca="1" si="43"/>
        <v>920</v>
      </c>
      <c r="G462" s="3" t="b">
        <f ca="1">INDEX(dict_zul_Var_Meth[kval_active],MATCH(table_Methods[[#This Row],[ID]],dict_zul_Var_Meth[ID_Methods],0))</f>
        <v>0</v>
      </c>
      <c r="H462">
        <f t="shared" ca="1" si="44"/>
        <v>151</v>
      </c>
      <c r="I462">
        <f t="shared" ca="1" si="45"/>
        <v>9088</v>
      </c>
    </row>
    <row r="463" spans="1:9" x14ac:dyDescent="0.45">
      <c r="A463">
        <v>461</v>
      </c>
      <c r="B463" t="str">
        <f>CONCATENATE("Methode ",table_Methods[[#This Row],[ID]])</f>
        <v>Methode 461</v>
      </c>
      <c r="C463">
        <f t="shared" ca="1" si="46"/>
        <v>5300</v>
      </c>
      <c r="D463">
        <f t="shared" ca="1" si="47"/>
        <v>2.86</v>
      </c>
      <c r="E463">
        <f t="shared" ca="1" si="42"/>
        <v>-30</v>
      </c>
      <c r="F463">
        <f t="shared" ca="1" si="43"/>
        <v>740</v>
      </c>
      <c r="G463" s="3" t="b">
        <f ca="1">INDEX(dict_zul_Var_Meth[kval_active],MATCH(table_Methods[[#This Row],[ID]],dict_zul_Var_Meth[ID_Methods],0))</f>
        <v>0</v>
      </c>
      <c r="H463">
        <f t="shared" ca="1" si="44"/>
        <v>78</v>
      </c>
      <c r="I463">
        <f t="shared" ca="1" si="45"/>
        <v>16896</v>
      </c>
    </row>
    <row r="464" spans="1:9" x14ac:dyDescent="0.45">
      <c r="A464">
        <v>462</v>
      </c>
      <c r="B464" t="str">
        <f>CONCATENATE("Methode ",table_Methods[[#This Row],[ID]])</f>
        <v>Methode 462</v>
      </c>
      <c r="C464">
        <f t="shared" ca="1" si="46"/>
        <v>800</v>
      </c>
      <c r="D464">
        <f t="shared" ca="1" si="47"/>
        <v>7.25</v>
      </c>
      <c r="E464">
        <f t="shared" ca="1" si="42"/>
        <v>30</v>
      </c>
      <c r="F464">
        <f t="shared" ca="1" si="43"/>
        <v>620</v>
      </c>
      <c r="G464" s="3" t="b">
        <f ca="1">INDEX(dict_zul_Var_Meth[kval_active],MATCH(table_Methods[[#This Row],[ID]],dict_zul_Var_Meth[ID_Methods],0))</f>
        <v>0</v>
      </c>
      <c r="H464">
        <f t="shared" ca="1" si="44"/>
        <v>11211</v>
      </c>
      <c r="I464">
        <f t="shared" ca="1" si="45"/>
        <v>2304</v>
      </c>
    </row>
    <row r="465" spans="1:9" x14ac:dyDescent="0.45">
      <c r="A465">
        <v>463</v>
      </c>
      <c r="B465" t="str">
        <f>CONCATENATE("Methode ",table_Methods[[#This Row],[ID]])</f>
        <v>Methode 463</v>
      </c>
      <c r="C465">
        <f t="shared" ca="1" si="46"/>
        <v>60</v>
      </c>
      <c r="D465">
        <f t="shared" ca="1" si="47"/>
        <v>5.77</v>
      </c>
      <c r="E465">
        <f t="shared" ca="1" si="42"/>
        <v>-20</v>
      </c>
      <c r="F465">
        <f t="shared" ca="1" si="43"/>
        <v>140</v>
      </c>
      <c r="G465" s="3" t="b">
        <f ca="1">INDEX(dict_zul_Var_Meth[kval_active],MATCH(table_Methods[[#This Row],[ID]],dict_zul_Var_Meth[ID_Methods],0))</f>
        <v>0</v>
      </c>
      <c r="H465">
        <f t="shared" ca="1" si="44"/>
        <v>38480</v>
      </c>
      <c r="I465">
        <f t="shared" ca="1" si="45"/>
        <v>18688</v>
      </c>
    </row>
    <row r="466" spans="1:9" x14ac:dyDescent="0.45">
      <c r="A466">
        <v>464</v>
      </c>
      <c r="B466" t="str">
        <f>CONCATENATE("Methode ",table_Methods[[#This Row],[ID]])</f>
        <v>Methode 464</v>
      </c>
      <c r="C466">
        <f t="shared" ca="1" si="46"/>
        <v>57</v>
      </c>
      <c r="D466">
        <f t="shared" ca="1" si="47"/>
        <v>1.23</v>
      </c>
      <c r="E466">
        <f t="shared" ca="1" si="42"/>
        <v>-10</v>
      </c>
      <c r="F466">
        <f t="shared" ca="1" si="43"/>
        <v>450</v>
      </c>
      <c r="G466" s="3" t="b">
        <f ca="1">INDEX(dict_zul_Var_Meth[kval_active],MATCH(table_Methods[[#This Row],[ID]],dict_zul_Var_Meth[ID_Methods],0))</f>
        <v>0</v>
      </c>
      <c r="H466">
        <f t="shared" ca="1" si="44"/>
        <v>15440</v>
      </c>
      <c r="I466">
        <f t="shared" ca="1" si="45"/>
        <v>768</v>
      </c>
    </row>
    <row r="467" spans="1:9" x14ac:dyDescent="0.45">
      <c r="A467">
        <v>465</v>
      </c>
      <c r="B467" t="str">
        <f>CONCATENATE("Methode ",table_Methods[[#This Row],[ID]])</f>
        <v>Methode 465</v>
      </c>
      <c r="C467">
        <f t="shared" ca="1" si="46"/>
        <v>450</v>
      </c>
      <c r="D467">
        <f t="shared" ca="1" si="47"/>
        <v>5.99</v>
      </c>
      <c r="E467">
        <f t="shared" ca="1" si="42"/>
        <v>-60</v>
      </c>
      <c r="F467">
        <f t="shared" ca="1" si="43"/>
        <v>340</v>
      </c>
      <c r="G467" s="3" t="b">
        <f ca="1">INDEX(dict_zul_Var_Meth[kval_active],MATCH(table_Methods[[#This Row],[ID]],dict_zul_Var_Meth[ID_Methods],0))</f>
        <v>0</v>
      </c>
      <c r="H467">
        <f t="shared" ca="1" si="44"/>
        <v>5763</v>
      </c>
      <c r="I467">
        <f t="shared" ca="1" si="45"/>
        <v>154</v>
      </c>
    </row>
    <row r="468" spans="1:9" x14ac:dyDescent="0.45">
      <c r="A468">
        <v>466</v>
      </c>
      <c r="B468" t="str">
        <f>CONCATENATE("Methode ",table_Methods[[#This Row],[ID]])</f>
        <v>Methode 466</v>
      </c>
      <c r="C468">
        <f t="shared" ca="1" si="46"/>
        <v>8700</v>
      </c>
      <c r="D468">
        <f t="shared" ca="1" si="47"/>
        <v>9.11</v>
      </c>
      <c r="E468">
        <f t="shared" ca="1" si="42"/>
        <v>-30</v>
      </c>
      <c r="F468">
        <f t="shared" ca="1" si="43"/>
        <v>130</v>
      </c>
      <c r="G468" s="3" t="b">
        <f ca="1">INDEX(dict_zul_Var_Meth[kval_active],MATCH(table_Methods[[#This Row],[ID]],dict_zul_Var_Meth[ID_Methods],0))</f>
        <v>0</v>
      </c>
      <c r="H468">
        <f t="shared" ca="1" si="44"/>
        <v>4286</v>
      </c>
      <c r="I468">
        <f t="shared" ca="1" si="45"/>
        <v>45056</v>
      </c>
    </row>
    <row r="469" spans="1:9" x14ac:dyDescent="0.45">
      <c r="A469">
        <v>467</v>
      </c>
      <c r="B469" t="str">
        <f>CONCATENATE("Methode ",table_Methods[[#This Row],[ID]])</f>
        <v>Methode 467</v>
      </c>
      <c r="C469">
        <f t="shared" ca="1" si="46"/>
        <v>8600</v>
      </c>
      <c r="D469">
        <f t="shared" ca="1" si="47"/>
        <v>3.73</v>
      </c>
      <c r="E469">
        <f t="shared" ca="1" si="42"/>
        <v>-70</v>
      </c>
      <c r="F469">
        <f t="shared" ca="1" si="43"/>
        <v>320</v>
      </c>
      <c r="G469" s="3" t="b">
        <f ca="1">INDEX(dict_zul_Var_Meth[kval_active],MATCH(table_Methods[[#This Row],[ID]],dict_zul_Var_Meth[ID_Methods],0))</f>
        <v>0</v>
      </c>
      <c r="H469">
        <f t="shared" ca="1" si="44"/>
        <v>12555</v>
      </c>
      <c r="I469">
        <f t="shared" ca="1" si="45"/>
        <v>3456</v>
      </c>
    </row>
    <row r="470" spans="1:9" x14ac:dyDescent="0.45">
      <c r="A470">
        <v>468</v>
      </c>
      <c r="B470" t="str">
        <f>CONCATENATE("Methode ",table_Methods[[#This Row],[ID]])</f>
        <v>Methode 468</v>
      </c>
      <c r="C470">
        <f t="shared" ca="1" si="46"/>
        <v>490</v>
      </c>
      <c r="D470">
        <f t="shared" ca="1" si="47"/>
        <v>6.65</v>
      </c>
      <c r="E470">
        <f t="shared" ca="1" si="42"/>
        <v>30</v>
      </c>
      <c r="F470">
        <f t="shared" ca="1" si="43"/>
        <v>460</v>
      </c>
      <c r="G470" s="3" t="b">
        <f ca="1">INDEX(dict_zul_Var_Meth[kval_active],MATCH(table_Methods[[#This Row],[ID]],dict_zul_Var_Meth[ID_Methods],0))</f>
        <v>1</v>
      </c>
      <c r="H470">
        <f t="shared" ca="1" si="44"/>
        <v>48</v>
      </c>
      <c r="I470">
        <f t="shared" ca="1" si="45"/>
        <v>5248</v>
      </c>
    </row>
    <row r="471" spans="1:9" x14ac:dyDescent="0.45">
      <c r="A471">
        <v>469</v>
      </c>
      <c r="B471" t="str">
        <f>CONCATENATE("Methode ",table_Methods[[#This Row],[ID]])</f>
        <v>Methode 469</v>
      </c>
      <c r="C471">
        <f t="shared" ca="1" si="46"/>
        <v>720</v>
      </c>
      <c r="D471">
        <f t="shared" ca="1" si="47"/>
        <v>2.38</v>
      </c>
      <c r="E471">
        <f t="shared" ca="1" si="42"/>
        <v>-100</v>
      </c>
      <c r="F471">
        <f t="shared" ca="1" si="43"/>
        <v>460</v>
      </c>
      <c r="G471" s="3" t="b">
        <f ca="1">INDEX(dict_zul_Var_Meth[kval_active],MATCH(table_Methods[[#This Row],[ID]],dict_zul_Var_Meth[ID_Methods],0))</f>
        <v>0</v>
      </c>
      <c r="H471">
        <f t="shared" ca="1" si="44"/>
        <v>4602</v>
      </c>
      <c r="I471">
        <f t="shared" ca="1" si="45"/>
        <v>5376</v>
      </c>
    </row>
    <row r="472" spans="1:9" x14ac:dyDescent="0.45">
      <c r="A472">
        <v>470</v>
      </c>
      <c r="B472" t="str">
        <f>CONCATENATE("Methode ",table_Methods[[#This Row],[ID]])</f>
        <v>Methode 470</v>
      </c>
      <c r="C472">
        <f t="shared" ca="1" si="46"/>
        <v>13</v>
      </c>
      <c r="D472">
        <f t="shared" ca="1" si="47"/>
        <v>7.16</v>
      </c>
      <c r="E472">
        <f t="shared" ca="1" si="42"/>
        <v>-100</v>
      </c>
      <c r="F472">
        <f t="shared" ca="1" si="43"/>
        <v>840</v>
      </c>
      <c r="G472" s="3" t="b">
        <f ca="1">INDEX(dict_zul_Var_Meth[kval_active],MATCH(table_Methods[[#This Row],[ID]],dict_zul_Var_Meth[ID_Methods],0))</f>
        <v>0</v>
      </c>
      <c r="H472">
        <f t="shared" ca="1" si="44"/>
        <v>4693</v>
      </c>
      <c r="I472">
        <f t="shared" ca="1" si="45"/>
        <v>1104</v>
      </c>
    </row>
    <row r="473" spans="1:9" x14ac:dyDescent="0.45">
      <c r="A473">
        <v>471</v>
      </c>
      <c r="B473" t="str">
        <f>CONCATENATE("Methode ",table_Methods[[#This Row],[ID]])</f>
        <v>Methode 471</v>
      </c>
      <c r="C473">
        <f t="shared" ca="1" si="46"/>
        <v>5700</v>
      </c>
      <c r="D473">
        <f t="shared" ca="1" si="47"/>
        <v>7.1</v>
      </c>
      <c r="E473">
        <f t="shared" ca="1" si="42"/>
        <v>-50</v>
      </c>
      <c r="F473">
        <f t="shared" ca="1" si="43"/>
        <v>190</v>
      </c>
      <c r="G473" s="3" t="b">
        <f ca="1">INDEX(dict_zul_Var_Meth[kval_active],MATCH(table_Methods[[#This Row],[ID]],dict_zul_Var_Meth[ID_Methods],0))</f>
        <v>0</v>
      </c>
      <c r="H473">
        <f t="shared" ca="1" si="44"/>
        <v>40000</v>
      </c>
      <c r="I473">
        <f t="shared" ca="1" si="45"/>
        <v>384</v>
      </c>
    </row>
    <row r="474" spans="1:9" x14ac:dyDescent="0.45">
      <c r="A474">
        <v>472</v>
      </c>
      <c r="B474" t="str">
        <f>CONCATENATE("Methode ",table_Methods[[#This Row],[ID]])</f>
        <v>Methode 472</v>
      </c>
      <c r="C474">
        <f t="shared" ca="1" si="46"/>
        <v>780</v>
      </c>
      <c r="D474">
        <f t="shared" ca="1" si="47"/>
        <v>9.26</v>
      </c>
      <c r="E474">
        <f t="shared" ca="1" si="42"/>
        <v>0</v>
      </c>
      <c r="F474">
        <f t="shared" ca="1" si="43"/>
        <v>950</v>
      </c>
      <c r="G474" s="3" t="b">
        <f ca="1">INDEX(dict_zul_Var_Meth[kval_active],MATCH(table_Methods[[#This Row],[ID]],dict_zul_Var_Meth[ID_Methods],0))</f>
        <v>0</v>
      </c>
      <c r="H474">
        <f t="shared" ca="1" si="44"/>
        <v>3144</v>
      </c>
      <c r="I474">
        <f t="shared" ca="1" si="45"/>
        <v>752</v>
      </c>
    </row>
    <row r="475" spans="1:9" x14ac:dyDescent="0.45">
      <c r="A475">
        <v>473</v>
      </c>
      <c r="B475" t="str">
        <f>CONCATENATE("Methode ",table_Methods[[#This Row],[ID]])</f>
        <v>Methode 473</v>
      </c>
      <c r="C475">
        <f t="shared" ca="1" si="46"/>
        <v>4100</v>
      </c>
      <c r="D475">
        <f t="shared" ca="1" si="47"/>
        <v>5.19</v>
      </c>
      <c r="E475">
        <f t="shared" ca="1" si="42"/>
        <v>10</v>
      </c>
      <c r="F475">
        <f t="shared" ca="1" si="43"/>
        <v>690</v>
      </c>
      <c r="G475" s="3" t="b">
        <f ca="1">INDEX(dict_zul_Var_Meth[kval_active],MATCH(table_Methods[[#This Row],[ID]],dict_zul_Var_Meth[ID_Methods],0))</f>
        <v>0</v>
      </c>
      <c r="H475">
        <f t="shared" ca="1" si="44"/>
        <v>11010</v>
      </c>
      <c r="I475">
        <f t="shared" ca="1" si="45"/>
        <v>24</v>
      </c>
    </row>
    <row r="476" spans="1:9" x14ac:dyDescent="0.45">
      <c r="A476">
        <v>474</v>
      </c>
      <c r="B476" t="str">
        <f>CONCATENATE("Methode ",table_Methods[[#This Row],[ID]])</f>
        <v>Methode 474</v>
      </c>
      <c r="C476">
        <f t="shared" ca="1" si="46"/>
        <v>700</v>
      </c>
      <c r="D476">
        <f t="shared" ca="1" si="47"/>
        <v>0.94</v>
      </c>
      <c r="E476">
        <f t="shared" ca="1" si="42"/>
        <v>-80</v>
      </c>
      <c r="F476">
        <f t="shared" ca="1" si="43"/>
        <v>720</v>
      </c>
      <c r="G476" s="3" t="b">
        <f ca="1">INDEX(dict_zul_Var_Meth[kval_active],MATCH(table_Methods[[#This Row],[ID]],dict_zul_Var_Meth[ID_Methods],0))</f>
        <v>0</v>
      </c>
      <c r="H476">
        <f t="shared" ca="1" si="44"/>
        <v>23391</v>
      </c>
      <c r="I476">
        <f t="shared" ca="1" si="45"/>
        <v>28672</v>
      </c>
    </row>
    <row r="477" spans="1:9" x14ac:dyDescent="0.45">
      <c r="A477">
        <v>475</v>
      </c>
      <c r="B477" t="str">
        <f>CONCATENATE("Methode ",table_Methods[[#This Row],[ID]])</f>
        <v>Methode 475</v>
      </c>
      <c r="C477">
        <f t="shared" ca="1" si="46"/>
        <v>47</v>
      </c>
      <c r="D477">
        <f t="shared" ca="1" si="47"/>
        <v>7.59</v>
      </c>
      <c r="E477">
        <f t="shared" ca="1" si="42"/>
        <v>-10</v>
      </c>
      <c r="F477">
        <f t="shared" ca="1" si="43"/>
        <v>80</v>
      </c>
      <c r="G477" s="3" t="b">
        <f ca="1">INDEX(dict_zul_Var_Meth[kval_active],MATCH(table_Methods[[#This Row],[ID]],dict_zul_Var_Meth[ID_Methods],0))</f>
        <v>0</v>
      </c>
      <c r="H477">
        <f t="shared" ca="1" si="44"/>
        <v>3280</v>
      </c>
      <c r="I477">
        <f t="shared" ca="1" si="45"/>
        <v>7680</v>
      </c>
    </row>
    <row r="478" spans="1:9" x14ac:dyDescent="0.45">
      <c r="A478">
        <v>476</v>
      </c>
      <c r="B478" t="str">
        <f>CONCATENATE("Methode ",table_Methods[[#This Row],[ID]])</f>
        <v>Methode 476</v>
      </c>
      <c r="C478">
        <f t="shared" ca="1" si="46"/>
        <v>85</v>
      </c>
      <c r="D478">
        <f t="shared" ca="1" si="47"/>
        <v>8.7100000000000009</v>
      </c>
      <c r="E478">
        <f t="shared" ca="1" si="42"/>
        <v>-40</v>
      </c>
      <c r="F478">
        <f t="shared" ca="1" si="43"/>
        <v>770</v>
      </c>
      <c r="G478" s="3" t="b">
        <f ca="1">INDEX(dict_zul_Var_Meth[kval_active],MATCH(table_Methods[[#This Row],[ID]],dict_zul_Var_Meth[ID_Methods],0))</f>
        <v>0</v>
      </c>
      <c r="H478">
        <f t="shared" ca="1" si="44"/>
        <v>1141</v>
      </c>
      <c r="I478">
        <f t="shared" ca="1" si="45"/>
        <v>244</v>
      </c>
    </row>
    <row r="479" spans="1:9" x14ac:dyDescent="0.45">
      <c r="A479">
        <v>477</v>
      </c>
      <c r="B479" t="str">
        <f>CONCATENATE("Methode ",table_Methods[[#This Row],[ID]])</f>
        <v>Methode 477</v>
      </c>
      <c r="C479">
        <f t="shared" ca="1" si="46"/>
        <v>340</v>
      </c>
      <c r="D479">
        <f t="shared" ca="1" si="47"/>
        <v>7.75</v>
      </c>
      <c r="E479">
        <f t="shared" ca="1" si="42"/>
        <v>-70</v>
      </c>
      <c r="F479">
        <f t="shared" ca="1" si="43"/>
        <v>370</v>
      </c>
      <c r="G479" s="3" t="b">
        <f ca="1">INDEX(dict_zul_Var_Meth[kval_active],MATCH(table_Methods[[#This Row],[ID]],dict_zul_Var_Meth[ID_Methods],0))</f>
        <v>0</v>
      </c>
      <c r="H479">
        <f t="shared" ca="1" si="44"/>
        <v>15960</v>
      </c>
      <c r="I479">
        <f t="shared" ca="1" si="45"/>
        <v>156</v>
      </c>
    </row>
    <row r="480" spans="1:9" x14ac:dyDescent="0.45">
      <c r="A480">
        <v>478</v>
      </c>
      <c r="B480" t="str">
        <f>CONCATENATE("Methode ",table_Methods[[#This Row],[ID]])</f>
        <v>Methode 478</v>
      </c>
      <c r="C480">
        <f t="shared" ca="1" si="46"/>
        <v>610</v>
      </c>
      <c r="D480">
        <f t="shared" ca="1" si="47"/>
        <v>1.94</v>
      </c>
      <c r="E480">
        <f t="shared" ca="1" si="42"/>
        <v>10</v>
      </c>
      <c r="F480">
        <f t="shared" ca="1" si="43"/>
        <v>500</v>
      </c>
      <c r="G480" s="3" t="b">
        <f ca="1">INDEX(dict_zul_Var_Meth[kval_active],MATCH(table_Methods[[#This Row],[ID]],dict_zul_Var_Meth[ID_Methods],0))</f>
        <v>0</v>
      </c>
      <c r="H480">
        <f t="shared" ca="1" si="44"/>
        <v>17080</v>
      </c>
      <c r="I480">
        <f t="shared" ca="1" si="45"/>
        <v>168</v>
      </c>
    </row>
    <row r="481" spans="1:9" x14ac:dyDescent="0.45">
      <c r="A481">
        <v>479</v>
      </c>
      <c r="B481" t="str">
        <f>CONCATENATE("Methode ",table_Methods[[#This Row],[ID]])</f>
        <v>Methode 479</v>
      </c>
      <c r="C481">
        <f t="shared" ca="1" si="46"/>
        <v>3400</v>
      </c>
      <c r="D481">
        <f t="shared" ca="1" si="47"/>
        <v>3.7</v>
      </c>
      <c r="E481">
        <f t="shared" ca="1" si="42"/>
        <v>20</v>
      </c>
      <c r="F481">
        <f t="shared" ca="1" si="43"/>
        <v>420</v>
      </c>
      <c r="G481" s="3" t="b">
        <f ca="1">INDEX(dict_zul_Var_Meth[kval_active],MATCH(table_Methods[[#This Row],[ID]],dict_zul_Var_Meth[ID_Methods],0))</f>
        <v>0</v>
      </c>
      <c r="H481">
        <f t="shared" ca="1" si="44"/>
        <v>3880</v>
      </c>
      <c r="I481">
        <f t="shared" ca="1" si="45"/>
        <v>154</v>
      </c>
    </row>
    <row r="482" spans="1:9" x14ac:dyDescent="0.45">
      <c r="A482">
        <v>480</v>
      </c>
      <c r="B482" t="str">
        <f>CONCATENATE("Methode ",table_Methods[[#This Row],[ID]])</f>
        <v>Methode 480</v>
      </c>
      <c r="C482">
        <f t="shared" ca="1" si="46"/>
        <v>1</v>
      </c>
      <c r="D482">
        <f t="shared" ca="1" si="47"/>
        <v>7.87</v>
      </c>
      <c r="E482">
        <f t="shared" ca="1" si="42"/>
        <v>-20</v>
      </c>
      <c r="F482">
        <f t="shared" ca="1" si="43"/>
        <v>140</v>
      </c>
      <c r="G482" s="3" t="b">
        <f ca="1">INDEX(dict_zul_Var_Meth[kval_active],MATCH(table_Methods[[#This Row],[ID]],dict_zul_Var_Meth[ID_Methods],0))</f>
        <v>0</v>
      </c>
      <c r="H482">
        <f t="shared" ca="1" si="44"/>
        <v>14600</v>
      </c>
      <c r="I482">
        <f t="shared" ca="1" si="45"/>
        <v>46</v>
      </c>
    </row>
    <row r="483" spans="1:9" x14ac:dyDescent="0.45">
      <c r="A483">
        <v>481</v>
      </c>
      <c r="B483" t="str">
        <f>CONCATENATE("Methode ",table_Methods[[#This Row],[ID]])</f>
        <v>Methode 481</v>
      </c>
      <c r="C483">
        <f t="shared" ca="1" si="46"/>
        <v>950</v>
      </c>
      <c r="D483">
        <f t="shared" ca="1" si="47"/>
        <v>1.96</v>
      </c>
      <c r="E483">
        <f t="shared" ca="1" si="42"/>
        <v>-60</v>
      </c>
      <c r="F483">
        <f t="shared" ca="1" si="43"/>
        <v>970</v>
      </c>
      <c r="G483" s="3" t="b">
        <f ca="1">INDEX(dict_zul_Var_Meth[kval_active],MATCH(table_Methods[[#This Row],[ID]],dict_zul_Var_Meth[ID_Methods],0))</f>
        <v>0</v>
      </c>
      <c r="H483">
        <f t="shared" ca="1" si="44"/>
        <v>9993</v>
      </c>
      <c r="I483">
        <f t="shared" ca="1" si="45"/>
        <v>384</v>
      </c>
    </row>
    <row r="484" spans="1:9" x14ac:dyDescent="0.45">
      <c r="A484">
        <v>482</v>
      </c>
      <c r="B484" t="str">
        <f>CONCATENATE("Methode ",table_Methods[[#This Row],[ID]])</f>
        <v>Methode 482</v>
      </c>
      <c r="C484">
        <f t="shared" ca="1" si="46"/>
        <v>7300</v>
      </c>
      <c r="D484">
        <f t="shared" ca="1" si="47"/>
        <v>5.96</v>
      </c>
      <c r="E484">
        <f t="shared" ref="E484:E547" ca="1" si="48">RANDBETWEEN(-10,3)*10</f>
        <v>-10</v>
      </c>
      <c r="F484">
        <f t="shared" ref="F484:F547" ca="1" si="49">RANDBETWEEN(2,100)*10</f>
        <v>30</v>
      </c>
      <c r="G484" s="3" t="b">
        <f ca="1">INDEX(dict_zul_Var_Meth[kval_active],MATCH(table_Methods[[#This Row],[ID]],dict_zul_Var_Meth[ID_Methods],0))</f>
        <v>0</v>
      </c>
      <c r="H484">
        <f t="shared" ref="H484:H547" ca="1" si="50">RANDBETWEEN(1,10)*RANDBETWEEN(1,5000)</f>
        <v>8570</v>
      </c>
      <c r="I484">
        <f t="shared" ref="I484:I547" ca="1" si="51">2^RANDBETWEEN(1,10)*RANDBETWEEN(1,100)</f>
        <v>512</v>
      </c>
    </row>
    <row r="485" spans="1:9" x14ac:dyDescent="0.45">
      <c r="A485">
        <v>483</v>
      </c>
      <c r="B485" t="str">
        <f>CONCATENATE("Methode ",table_Methods[[#This Row],[ID]])</f>
        <v>Methode 483</v>
      </c>
      <c r="C485">
        <f t="shared" ca="1" si="46"/>
        <v>8300</v>
      </c>
      <c r="D485">
        <f t="shared" ca="1" si="47"/>
        <v>4.68</v>
      </c>
      <c r="E485">
        <f t="shared" ca="1" si="48"/>
        <v>-50</v>
      </c>
      <c r="F485">
        <f t="shared" ca="1" si="49"/>
        <v>290</v>
      </c>
      <c r="G485" s="3" t="b">
        <f ca="1">INDEX(dict_zul_Var_Meth[kval_active],MATCH(table_Methods[[#This Row],[ID]],dict_zul_Var_Meth[ID_Methods],0))</f>
        <v>0</v>
      </c>
      <c r="H485">
        <f t="shared" ca="1" si="50"/>
        <v>5714</v>
      </c>
      <c r="I485">
        <f t="shared" ca="1" si="51"/>
        <v>40960</v>
      </c>
    </row>
    <row r="486" spans="1:9" x14ac:dyDescent="0.45">
      <c r="A486">
        <v>484</v>
      </c>
      <c r="B486" t="str">
        <f>CONCATENATE("Methode ",table_Methods[[#This Row],[ID]])</f>
        <v>Methode 484</v>
      </c>
      <c r="C486">
        <f t="shared" ca="1" si="46"/>
        <v>910</v>
      </c>
      <c r="D486">
        <f t="shared" ca="1" si="47"/>
        <v>5.93</v>
      </c>
      <c r="E486">
        <f t="shared" ca="1" si="48"/>
        <v>-70</v>
      </c>
      <c r="F486">
        <f t="shared" ca="1" si="49"/>
        <v>290</v>
      </c>
      <c r="G486" s="3" t="b">
        <f ca="1">INDEX(dict_zul_Var_Meth[kval_active],MATCH(table_Methods[[#This Row],[ID]],dict_zul_Var_Meth[ID_Methods],0))</f>
        <v>0</v>
      </c>
      <c r="H486">
        <f t="shared" ca="1" si="50"/>
        <v>7850</v>
      </c>
      <c r="I486">
        <f t="shared" ca="1" si="51"/>
        <v>2688</v>
      </c>
    </row>
    <row r="487" spans="1:9" x14ac:dyDescent="0.45">
      <c r="A487">
        <v>485</v>
      </c>
      <c r="B487" t="str">
        <f>CONCATENATE("Methode ",table_Methods[[#This Row],[ID]])</f>
        <v>Methode 485</v>
      </c>
      <c r="C487">
        <f t="shared" ca="1" si="46"/>
        <v>93</v>
      </c>
      <c r="D487">
        <f t="shared" ca="1" si="47"/>
        <v>7.75</v>
      </c>
      <c r="E487">
        <f t="shared" ca="1" si="48"/>
        <v>-40</v>
      </c>
      <c r="F487">
        <f t="shared" ca="1" si="49"/>
        <v>480</v>
      </c>
      <c r="G487" s="3" t="b">
        <f ca="1">INDEX(dict_zul_Var_Meth[kval_active],MATCH(table_Methods[[#This Row],[ID]],dict_zul_Var_Meth[ID_Methods],0))</f>
        <v>0</v>
      </c>
      <c r="H487">
        <f t="shared" ca="1" si="50"/>
        <v>2148</v>
      </c>
      <c r="I487">
        <f t="shared" ca="1" si="51"/>
        <v>11776</v>
      </c>
    </row>
    <row r="488" spans="1:9" x14ac:dyDescent="0.45">
      <c r="A488">
        <v>486</v>
      </c>
      <c r="B488" t="str">
        <f>CONCATENATE("Methode ",table_Methods[[#This Row],[ID]])</f>
        <v>Methode 486</v>
      </c>
      <c r="C488">
        <f t="shared" ca="1" si="46"/>
        <v>450</v>
      </c>
      <c r="D488">
        <f t="shared" ca="1" si="47"/>
        <v>7.13</v>
      </c>
      <c r="E488">
        <f t="shared" ca="1" si="48"/>
        <v>-30</v>
      </c>
      <c r="F488">
        <f t="shared" ca="1" si="49"/>
        <v>940</v>
      </c>
      <c r="G488" s="3" t="b">
        <f ca="1">INDEX(dict_zul_Var_Meth[kval_active],MATCH(table_Methods[[#This Row],[ID]],dict_zul_Var_Meth[ID_Methods],0))</f>
        <v>0</v>
      </c>
      <c r="H488">
        <f t="shared" ca="1" si="50"/>
        <v>10971</v>
      </c>
      <c r="I488">
        <f t="shared" ca="1" si="51"/>
        <v>32768</v>
      </c>
    </row>
    <row r="489" spans="1:9" x14ac:dyDescent="0.45">
      <c r="A489">
        <v>487</v>
      </c>
      <c r="B489" t="str">
        <f>CONCATENATE("Methode ",table_Methods[[#This Row],[ID]])</f>
        <v>Methode 487</v>
      </c>
      <c r="C489">
        <f t="shared" ca="1" si="46"/>
        <v>35</v>
      </c>
      <c r="D489">
        <f t="shared" ca="1" si="47"/>
        <v>7.42</v>
      </c>
      <c r="E489">
        <f t="shared" ca="1" si="48"/>
        <v>-20</v>
      </c>
      <c r="F489">
        <f t="shared" ca="1" si="49"/>
        <v>720</v>
      </c>
      <c r="G489" s="3" t="b">
        <f ca="1">INDEX(dict_zul_Var_Meth[kval_active],MATCH(table_Methods[[#This Row],[ID]],dict_zul_Var_Meth[ID_Methods],0))</f>
        <v>0</v>
      </c>
      <c r="H489">
        <f t="shared" ca="1" si="50"/>
        <v>24858</v>
      </c>
      <c r="I489">
        <f t="shared" ca="1" si="51"/>
        <v>12288</v>
      </c>
    </row>
    <row r="490" spans="1:9" x14ac:dyDescent="0.45">
      <c r="A490">
        <v>488</v>
      </c>
      <c r="B490" t="str">
        <f>CONCATENATE("Methode ",table_Methods[[#This Row],[ID]])</f>
        <v>Methode 488</v>
      </c>
      <c r="C490">
        <f t="shared" ca="1" si="46"/>
        <v>4400</v>
      </c>
      <c r="D490">
        <f t="shared" ca="1" si="47"/>
        <v>8.1300000000000008</v>
      </c>
      <c r="E490">
        <f t="shared" ca="1" si="48"/>
        <v>0</v>
      </c>
      <c r="F490">
        <f t="shared" ca="1" si="49"/>
        <v>40</v>
      </c>
      <c r="G490" s="3" t="b">
        <f ca="1">INDEX(dict_zul_Var_Meth[kval_active],MATCH(table_Methods[[#This Row],[ID]],dict_zul_Var_Meth[ID_Methods],0))</f>
        <v>0</v>
      </c>
      <c r="H490">
        <f t="shared" ca="1" si="50"/>
        <v>18592</v>
      </c>
      <c r="I490">
        <f t="shared" ca="1" si="51"/>
        <v>3456</v>
      </c>
    </row>
    <row r="491" spans="1:9" x14ac:dyDescent="0.45">
      <c r="A491">
        <v>489</v>
      </c>
      <c r="B491" t="str">
        <f>CONCATENATE("Methode ",table_Methods[[#This Row],[ID]])</f>
        <v>Methode 489</v>
      </c>
      <c r="C491">
        <f t="shared" ca="1" si="46"/>
        <v>8200</v>
      </c>
      <c r="D491">
        <f t="shared" ca="1" si="47"/>
        <v>1.24</v>
      </c>
      <c r="E491">
        <f t="shared" ca="1" si="48"/>
        <v>-90</v>
      </c>
      <c r="F491">
        <f t="shared" ca="1" si="49"/>
        <v>290</v>
      </c>
      <c r="G491" s="3" t="b">
        <f ca="1">INDEX(dict_zul_Var_Meth[kval_active],MATCH(table_Methods[[#This Row],[ID]],dict_zul_Var_Meth[ID_Methods],0))</f>
        <v>0</v>
      </c>
      <c r="H491">
        <f t="shared" ca="1" si="50"/>
        <v>9867</v>
      </c>
      <c r="I491">
        <f t="shared" ca="1" si="51"/>
        <v>20992</v>
      </c>
    </row>
    <row r="492" spans="1:9" x14ac:dyDescent="0.45">
      <c r="A492">
        <v>490</v>
      </c>
      <c r="B492" t="str">
        <f>CONCATENATE("Methode ",table_Methods[[#This Row],[ID]])</f>
        <v>Methode 490</v>
      </c>
      <c r="C492">
        <f t="shared" ca="1" si="46"/>
        <v>75</v>
      </c>
      <c r="D492">
        <f t="shared" ca="1" si="47"/>
        <v>4.99</v>
      </c>
      <c r="E492">
        <f t="shared" ca="1" si="48"/>
        <v>-10</v>
      </c>
      <c r="F492">
        <f t="shared" ca="1" si="49"/>
        <v>240</v>
      </c>
      <c r="G492" s="3" t="b">
        <f ca="1">INDEX(dict_zul_Var_Meth[kval_active],MATCH(table_Methods[[#This Row],[ID]],dict_zul_Var_Meth[ID_Methods],0))</f>
        <v>0</v>
      </c>
      <c r="H492">
        <f t="shared" ca="1" si="50"/>
        <v>32907</v>
      </c>
      <c r="I492">
        <f t="shared" ca="1" si="51"/>
        <v>208</v>
      </c>
    </row>
    <row r="493" spans="1:9" x14ac:dyDescent="0.45">
      <c r="A493">
        <v>491</v>
      </c>
      <c r="B493" t="str">
        <f>CONCATENATE("Methode ",table_Methods[[#This Row],[ID]])</f>
        <v>Methode 491</v>
      </c>
      <c r="C493">
        <f t="shared" ca="1" si="46"/>
        <v>50</v>
      </c>
      <c r="D493">
        <f t="shared" ca="1" si="47"/>
        <v>2.95</v>
      </c>
      <c r="E493">
        <f t="shared" ca="1" si="48"/>
        <v>-50</v>
      </c>
      <c r="F493">
        <f t="shared" ca="1" si="49"/>
        <v>910</v>
      </c>
      <c r="G493" s="3" t="b">
        <f ca="1">INDEX(dict_zul_Var_Meth[kval_active],MATCH(table_Methods[[#This Row],[ID]],dict_zul_Var_Meth[ID_Methods],0))</f>
        <v>0</v>
      </c>
      <c r="H493">
        <f t="shared" ca="1" si="50"/>
        <v>13845</v>
      </c>
      <c r="I493">
        <f t="shared" ca="1" si="51"/>
        <v>736</v>
      </c>
    </row>
    <row r="494" spans="1:9" x14ac:dyDescent="0.45">
      <c r="A494">
        <v>492</v>
      </c>
      <c r="B494" t="str">
        <f>CONCATENATE("Methode ",table_Methods[[#This Row],[ID]])</f>
        <v>Methode 492</v>
      </c>
      <c r="C494">
        <f t="shared" ca="1" si="46"/>
        <v>94</v>
      </c>
      <c r="D494">
        <f t="shared" ca="1" si="47"/>
        <v>7.12</v>
      </c>
      <c r="E494">
        <f t="shared" ca="1" si="48"/>
        <v>-30</v>
      </c>
      <c r="F494">
        <f t="shared" ca="1" si="49"/>
        <v>210</v>
      </c>
      <c r="G494" s="3" t="b">
        <f ca="1">INDEX(dict_zul_Var_Meth[kval_active],MATCH(table_Methods[[#This Row],[ID]],dict_zul_Var_Meth[ID_Methods],0))</f>
        <v>0</v>
      </c>
      <c r="H494">
        <f t="shared" ca="1" si="50"/>
        <v>35504</v>
      </c>
      <c r="I494">
        <f t="shared" ca="1" si="51"/>
        <v>12800</v>
      </c>
    </row>
    <row r="495" spans="1:9" x14ac:dyDescent="0.45">
      <c r="A495">
        <v>493</v>
      </c>
      <c r="B495" t="str">
        <f>CONCATENATE("Methode ",table_Methods[[#This Row],[ID]])</f>
        <v>Methode 493</v>
      </c>
      <c r="C495">
        <f t="shared" ca="1" si="46"/>
        <v>30</v>
      </c>
      <c r="D495">
        <f t="shared" ca="1" si="47"/>
        <v>7.18</v>
      </c>
      <c r="E495">
        <f t="shared" ca="1" si="48"/>
        <v>-60</v>
      </c>
      <c r="F495">
        <f t="shared" ca="1" si="49"/>
        <v>780</v>
      </c>
      <c r="G495" s="3" t="b">
        <f ca="1">INDEX(dict_zul_Var_Meth[kval_active],MATCH(table_Methods[[#This Row],[ID]],dict_zul_Var_Meth[ID_Methods],0))</f>
        <v>0</v>
      </c>
      <c r="H495">
        <f t="shared" ca="1" si="50"/>
        <v>19230</v>
      </c>
      <c r="I495">
        <f t="shared" ca="1" si="51"/>
        <v>2048</v>
      </c>
    </row>
    <row r="496" spans="1:9" x14ac:dyDescent="0.45">
      <c r="A496">
        <v>494</v>
      </c>
      <c r="B496" t="str">
        <f>CONCATENATE("Methode ",table_Methods[[#This Row],[ID]])</f>
        <v>Methode 494</v>
      </c>
      <c r="C496">
        <f t="shared" ca="1" si="46"/>
        <v>97.000000000000014</v>
      </c>
      <c r="D496">
        <f t="shared" ca="1" si="47"/>
        <v>9.09</v>
      </c>
      <c r="E496">
        <f t="shared" ca="1" si="48"/>
        <v>-50</v>
      </c>
      <c r="F496">
        <f t="shared" ca="1" si="49"/>
        <v>780</v>
      </c>
      <c r="G496" s="3" t="b">
        <f ca="1">INDEX(dict_zul_Var_Meth[kval_active],MATCH(table_Methods[[#This Row],[ID]],dict_zul_Var_Meth[ID_Methods],0))</f>
        <v>0</v>
      </c>
      <c r="H496">
        <f t="shared" ca="1" si="50"/>
        <v>3735</v>
      </c>
      <c r="I496">
        <f t="shared" ca="1" si="51"/>
        <v>1024</v>
      </c>
    </row>
    <row r="497" spans="1:9" x14ac:dyDescent="0.45">
      <c r="A497">
        <v>495</v>
      </c>
      <c r="B497" t="str">
        <f>CONCATENATE("Methode ",table_Methods[[#This Row],[ID]])</f>
        <v>Methode 495</v>
      </c>
      <c r="C497">
        <f t="shared" ca="1" si="46"/>
        <v>1000</v>
      </c>
      <c r="D497">
        <f t="shared" ca="1" si="47"/>
        <v>7.7</v>
      </c>
      <c r="E497">
        <f t="shared" ca="1" si="48"/>
        <v>20</v>
      </c>
      <c r="F497">
        <f t="shared" ca="1" si="49"/>
        <v>600</v>
      </c>
      <c r="G497" s="3" t="b">
        <f ca="1">INDEX(dict_zul_Var_Meth[kval_active],MATCH(table_Methods[[#This Row],[ID]],dict_zul_Var_Meth[ID_Methods],0))</f>
        <v>0</v>
      </c>
      <c r="H497">
        <f t="shared" ca="1" si="50"/>
        <v>3322</v>
      </c>
      <c r="I497">
        <f t="shared" ca="1" si="51"/>
        <v>1920</v>
      </c>
    </row>
    <row r="498" spans="1:9" x14ac:dyDescent="0.45">
      <c r="A498">
        <v>496</v>
      </c>
      <c r="B498" t="str">
        <f>CONCATENATE("Methode ",table_Methods[[#This Row],[ID]])</f>
        <v>Methode 496</v>
      </c>
      <c r="C498">
        <f t="shared" ca="1" si="46"/>
        <v>23.000000000000004</v>
      </c>
      <c r="D498">
        <f t="shared" ca="1" si="47"/>
        <v>7.96</v>
      </c>
      <c r="E498">
        <f t="shared" ca="1" si="48"/>
        <v>0</v>
      </c>
      <c r="F498">
        <f t="shared" ca="1" si="49"/>
        <v>440</v>
      </c>
      <c r="G498" s="3" t="b">
        <f ca="1">INDEX(dict_zul_Var_Meth[kval_active],MATCH(table_Methods[[#This Row],[ID]],dict_zul_Var_Meth[ID_Methods],0))</f>
        <v>0</v>
      </c>
      <c r="H498">
        <f t="shared" ca="1" si="50"/>
        <v>12894</v>
      </c>
      <c r="I498">
        <f t="shared" ca="1" si="51"/>
        <v>56</v>
      </c>
    </row>
    <row r="499" spans="1:9" x14ac:dyDescent="0.45">
      <c r="A499">
        <v>497</v>
      </c>
      <c r="B499" t="str">
        <f>CONCATENATE("Methode ",table_Methods[[#This Row],[ID]])</f>
        <v>Methode 497</v>
      </c>
      <c r="C499">
        <f t="shared" ca="1" si="46"/>
        <v>5000</v>
      </c>
      <c r="D499">
        <f t="shared" ca="1" si="47"/>
        <v>1.01</v>
      </c>
      <c r="E499">
        <f t="shared" ca="1" si="48"/>
        <v>-30</v>
      </c>
      <c r="F499">
        <f t="shared" ca="1" si="49"/>
        <v>390</v>
      </c>
      <c r="G499" s="3" t="b">
        <f ca="1">INDEX(dict_zul_Var_Meth[kval_active],MATCH(table_Methods[[#This Row],[ID]],dict_zul_Var_Meth[ID_Methods],0))</f>
        <v>0</v>
      </c>
      <c r="H499">
        <f t="shared" ca="1" si="50"/>
        <v>182</v>
      </c>
      <c r="I499">
        <f t="shared" ca="1" si="51"/>
        <v>4864</v>
      </c>
    </row>
    <row r="500" spans="1:9" x14ac:dyDescent="0.45">
      <c r="A500">
        <v>498</v>
      </c>
      <c r="B500" t="str">
        <f>CONCATENATE("Methode ",table_Methods[[#This Row],[ID]])</f>
        <v>Methode 498</v>
      </c>
      <c r="C500">
        <f t="shared" ca="1" si="46"/>
        <v>310</v>
      </c>
      <c r="D500">
        <f t="shared" ca="1" si="47"/>
        <v>1.59</v>
      </c>
      <c r="E500">
        <f t="shared" ca="1" si="48"/>
        <v>0</v>
      </c>
      <c r="F500">
        <f t="shared" ca="1" si="49"/>
        <v>560</v>
      </c>
      <c r="G500" s="3" t="b">
        <f ca="1">INDEX(dict_zul_Var_Meth[kval_active],MATCH(table_Methods[[#This Row],[ID]],dict_zul_Var_Meth[ID_Methods],0))</f>
        <v>0</v>
      </c>
      <c r="H500">
        <f t="shared" ca="1" si="50"/>
        <v>408</v>
      </c>
      <c r="I500">
        <f t="shared" ca="1" si="51"/>
        <v>400</v>
      </c>
    </row>
    <row r="501" spans="1:9" x14ac:dyDescent="0.45">
      <c r="A501">
        <v>499</v>
      </c>
      <c r="B501" t="str">
        <f>CONCATENATE("Methode ",table_Methods[[#This Row],[ID]])</f>
        <v>Methode 499</v>
      </c>
      <c r="C501">
        <f t="shared" ca="1" si="46"/>
        <v>2800</v>
      </c>
      <c r="D501">
        <f t="shared" ca="1" si="47"/>
        <v>1.8</v>
      </c>
      <c r="E501">
        <f t="shared" ca="1" si="48"/>
        <v>-100</v>
      </c>
      <c r="F501">
        <f t="shared" ca="1" si="49"/>
        <v>680</v>
      </c>
      <c r="G501" s="3" t="b">
        <f ca="1">INDEX(dict_zul_Var_Meth[kval_active],MATCH(table_Methods[[#This Row],[ID]],dict_zul_Var_Meth[ID_Methods],0))</f>
        <v>0</v>
      </c>
      <c r="H501">
        <f t="shared" ca="1" si="50"/>
        <v>10248</v>
      </c>
      <c r="I501">
        <f t="shared" ca="1" si="51"/>
        <v>3264</v>
      </c>
    </row>
    <row r="502" spans="1:9" x14ac:dyDescent="0.45">
      <c r="A502">
        <v>500</v>
      </c>
      <c r="B502" t="str">
        <f>CONCATENATE("Methode ",table_Methods[[#This Row],[ID]])</f>
        <v>Methode 500</v>
      </c>
      <c r="C502">
        <f t="shared" ca="1" si="46"/>
        <v>7800</v>
      </c>
      <c r="D502">
        <f t="shared" ca="1" si="47"/>
        <v>8.32</v>
      </c>
      <c r="E502">
        <f t="shared" ca="1" si="48"/>
        <v>-10</v>
      </c>
      <c r="F502">
        <f t="shared" ca="1" si="49"/>
        <v>440</v>
      </c>
      <c r="G502" s="3" t="b">
        <f ca="1">INDEX(dict_zul_Var_Meth[kval_active],MATCH(table_Methods[[#This Row],[ID]],dict_zul_Var_Meth[ID_Methods],0))</f>
        <v>0</v>
      </c>
      <c r="H502">
        <f t="shared" ca="1" si="50"/>
        <v>16575</v>
      </c>
      <c r="I502">
        <f t="shared" ca="1" si="51"/>
        <v>10</v>
      </c>
    </row>
    <row r="503" spans="1:9" x14ac:dyDescent="0.45">
      <c r="A503">
        <v>501</v>
      </c>
      <c r="B503" t="str">
        <f>CONCATENATE("Methode ",table_Methods[[#This Row],[ID]])</f>
        <v>Methode 501</v>
      </c>
      <c r="C503">
        <f t="shared" ca="1" si="46"/>
        <v>980</v>
      </c>
      <c r="D503">
        <f t="shared" ca="1" si="47"/>
        <v>2.25</v>
      </c>
      <c r="E503">
        <f t="shared" ca="1" si="48"/>
        <v>20</v>
      </c>
      <c r="F503">
        <f t="shared" ca="1" si="49"/>
        <v>310</v>
      </c>
      <c r="G503" s="3" t="b">
        <f ca="1">INDEX(dict_zul_Var_Meth[kval_active],MATCH(table_Methods[[#This Row],[ID]],dict_zul_Var_Meth[ID_Methods],0))</f>
        <v>1</v>
      </c>
      <c r="H503">
        <f t="shared" ca="1" si="50"/>
        <v>12088</v>
      </c>
      <c r="I503">
        <f t="shared" ca="1" si="51"/>
        <v>1024</v>
      </c>
    </row>
    <row r="504" spans="1:9" x14ac:dyDescent="0.45">
      <c r="A504">
        <v>502</v>
      </c>
      <c r="B504" t="str">
        <f>CONCATENATE("Methode ",table_Methods[[#This Row],[ID]])</f>
        <v>Methode 502</v>
      </c>
      <c r="C504">
        <f t="shared" ca="1" si="46"/>
        <v>5100</v>
      </c>
      <c r="D504">
        <f t="shared" ca="1" si="47"/>
        <v>5.6</v>
      </c>
      <c r="E504">
        <f t="shared" ca="1" si="48"/>
        <v>-40</v>
      </c>
      <c r="F504">
        <f t="shared" ca="1" si="49"/>
        <v>970</v>
      </c>
      <c r="G504" s="3" t="b">
        <f ca="1">INDEX(dict_zul_Var_Meth[kval_active],MATCH(table_Methods[[#This Row],[ID]],dict_zul_Var_Meth[ID_Methods],0))</f>
        <v>0</v>
      </c>
      <c r="H504">
        <f t="shared" ca="1" si="50"/>
        <v>44505</v>
      </c>
      <c r="I504">
        <f t="shared" ca="1" si="51"/>
        <v>23040</v>
      </c>
    </row>
    <row r="505" spans="1:9" x14ac:dyDescent="0.45">
      <c r="A505">
        <v>503</v>
      </c>
      <c r="B505" t="str">
        <f>CONCATENATE("Methode ",table_Methods[[#This Row],[ID]])</f>
        <v>Methode 503</v>
      </c>
      <c r="C505">
        <f t="shared" ca="1" si="46"/>
        <v>9700</v>
      </c>
      <c r="D505">
        <f t="shared" ca="1" si="47"/>
        <v>2.09</v>
      </c>
      <c r="E505">
        <f t="shared" ca="1" si="48"/>
        <v>10</v>
      </c>
      <c r="F505">
        <f t="shared" ca="1" si="49"/>
        <v>340</v>
      </c>
      <c r="G505" s="3" t="b">
        <f ca="1">INDEX(dict_zul_Var_Meth[kval_active],MATCH(table_Methods[[#This Row],[ID]],dict_zul_Var_Meth[ID_Methods],0))</f>
        <v>0</v>
      </c>
      <c r="H505">
        <f t="shared" ca="1" si="50"/>
        <v>22920</v>
      </c>
      <c r="I505">
        <f t="shared" ca="1" si="51"/>
        <v>752</v>
      </c>
    </row>
    <row r="506" spans="1:9" x14ac:dyDescent="0.45">
      <c r="A506">
        <v>504</v>
      </c>
      <c r="B506" t="str">
        <f>CONCATENATE("Methode ",table_Methods[[#This Row],[ID]])</f>
        <v>Methode 504</v>
      </c>
      <c r="C506">
        <f t="shared" ca="1" si="46"/>
        <v>340</v>
      </c>
      <c r="D506">
        <f t="shared" ca="1" si="47"/>
        <v>7.68</v>
      </c>
      <c r="E506">
        <f t="shared" ca="1" si="48"/>
        <v>0</v>
      </c>
      <c r="F506">
        <f t="shared" ca="1" si="49"/>
        <v>840</v>
      </c>
      <c r="G506" s="3" t="b">
        <f ca="1">INDEX(dict_zul_Var_Meth[kval_active],MATCH(table_Methods[[#This Row],[ID]],dict_zul_Var_Meth[ID_Methods],0))</f>
        <v>0</v>
      </c>
      <c r="H506">
        <f t="shared" ca="1" si="50"/>
        <v>16506</v>
      </c>
      <c r="I506">
        <f t="shared" ca="1" si="51"/>
        <v>392</v>
      </c>
    </row>
    <row r="507" spans="1:9" x14ac:dyDescent="0.45">
      <c r="A507">
        <v>505</v>
      </c>
      <c r="B507" t="str">
        <f>CONCATENATE("Methode ",table_Methods[[#This Row],[ID]])</f>
        <v>Methode 505</v>
      </c>
      <c r="C507">
        <f t="shared" ca="1" si="46"/>
        <v>2300</v>
      </c>
      <c r="D507">
        <f t="shared" ca="1" si="47"/>
        <v>1.83</v>
      </c>
      <c r="E507">
        <f t="shared" ca="1" si="48"/>
        <v>10</v>
      </c>
      <c r="F507">
        <f t="shared" ca="1" si="49"/>
        <v>30</v>
      </c>
      <c r="G507" s="3" t="b">
        <f ca="1">INDEX(dict_zul_Var_Meth[kval_active],MATCH(table_Methods[[#This Row],[ID]],dict_zul_Var_Meth[ID_Methods],0))</f>
        <v>0</v>
      </c>
      <c r="H507">
        <f t="shared" ca="1" si="50"/>
        <v>16835</v>
      </c>
      <c r="I507">
        <f t="shared" ca="1" si="51"/>
        <v>1536</v>
      </c>
    </row>
    <row r="508" spans="1:9" x14ac:dyDescent="0.45">
      <c r="A508">
        <v>506</v>
      </c>
      <c r="B508" t="str">
        <f>CONCATENATE("Methode ",table_Methods[[#This Row],[ID]])</f>
        <v>Methode 506</v>
      </c>
      <c r="C508">
        <f t="shared" ca="1" si="46"/>
        <v>860</v>
      </c>
      <c r="D508">
        <f t="shared" ca="1" si="47"/>
        <v>4.88</v>
      </c>
      <c r="E508">
        <f t="shared" ca="1" si="48"/>
        <v>-90</v>
      </c>
      <c r="F508">
        <f t="shared" ca="1" si="49"/>
        <v>330</v>
      </c>
      <c r="G508" s="3" t="b">
        <f ca="1">INDEX(dict_zul_Var_Meth[kval_active],MATCH(table_Methods[[#This Row],[ID]],dict_zul_Var_Meth[ID_Methods],0))</f>
        <v>0</v>
      </c>
      <c r="H508">
        <f t="shared" ca="1" si="50"/>
        <v>14103</v>
      </c>
      <c r="I508">
        <f t="shared" ca="1" si="51"/>
        <v>244</v>
      </c>
    </row>
    <row r="509" spans="1:9" x14ac:dyDescent="0.45">
      <c r="A509">
        <v>507</v>
      </c>
      <c r="B509" t="str">
        <f>CONCATENATE("Methode ",table_Methods[[#This Row],[ID]])</f>
        <v>Methode 507</v>
      </c>
      <c r="C509">
        <f t="shared" ca="1" si="46"/>
        <v>210</v>
      </c>
      <c r="D509">
        <f t="shared" ca="1" si="47"/>
        <v>8.92</v>
      </c>
      <c r="E509">
        <f t="shared" ca="1" si="48"/>
        <v>-90</v>
      </c>
      <c r="F509">
        <f t="shared" ca="1" si="49"/>
        <v>60</v>
      </c>
      <c r="G509" s="3" t="b">
        <f ca="1">INDEX(dict_zul_Var_Meth[kval_active],MATCH(table_Methods[[#This Row],[ID]],dict_zul_Var_Meth[ID_Methods],0))</f>
        <v>0</v>
      </c>
      <c r="H509">
        <f t="shared" ca="1" si="50"/>
        <v>4976</v>
      </c>
      <c r="I509">
        <f t="shared" ca="1" si="51"/>
        <v>82944</v>
      </c>
    </row>
    <row r="510" spans="1:9" x14ac:dyDescent="0.45">
      <c r="A510">
        <v>508</v>
      </c>
      <c r="B510" t="str">
        <f>CONCATENATE("Methode ",table_Methods[[#This Row],[ID]])</f>
        <v>Methode 508</v>
      </c>
      <c r="C510">
        <f t="shared" ca="1" si="46"/>
        <v>110</v>
      </c>
      <c r="D510">
        <f t="shared" ca="1" si="47"/>
        <v>6.29</v>
      </c>
      <c r="E510">
        <f t="shared" ca="1" si="48"/>
        <v>-10</v>
      </c>
      <c r="F510">
        <f t="shared" ca="1" si="49"/>
        <v>620</v>
      </c>
      <c r="G510" s="3" t="b">
        <f ca="1">INDEX(dict_zul_Var_Meth[kval_active],MATCH(table_Methods[[#This Row],[ID]],dict_zul_Var_Meth[ID_Methods],0))</f>
        <v>0</v>
      </c>
      <c r="H510">
        <f t="shared" ca="1" si="50"/>
        <v>1267</v>
      </c>
      <c r="I510">
        <f t="shared" ca="1" si="51"/>
        <v>360</v>
      </c>
    </row>
    <row r="511" spans="1:9" x14ac:dyDescent="0.45">
      <c r="A511">
        <v>509</v>
      </c>
      <c r="B511" t="str">
        <f>CONCATENATE("Methode ",table_Methods[[#This Row],[ID]])</f>
        <v>Methode 509</v>
      </c>
      <c r="C511">
        <f t="shared" ca="1" si="46"/>
        <v>910</v>
      </c>
      <c r="D511">
        <f t="shared" ca="1" si="47"/>
        <v>5.43</v>
      </c>
      <c r="E511">
        <f t="shared" ca="1" si="48"/>
        <v>-50</v>
      </c>
      <c r="F511">
        <f t="shared" ca="1" si="49"/>
        <v>490</v>
      </c>
      <c r="G511" s="3" t="b">
        <f ca="1">INDEX(dict_zul_Var_Meth[kval_active],MATCH(table_Methods[[#This Row],[ID]],dict_zul_Var_Meth[ID_Methods],0))</f>
        <v>0</v>
      </c>
      <c r="H511">
        <f t="shared" ca="1" si="50"/>
        <v>18744</v>
      </c>
      <c r="I511">
        <f t="shared" ca="1" si="51"/>
        <v>512</v>
      </c>
    </row>
    <row r="512" spans="1:9" x14ac:dyDescent="0.45">
      <c r="A512">
        <v>510</v>
      </c>
      <c r="B512" t="str">
        <f>CONCATENATE("Methode ",table_Methods[[#This Row],[ID]])</f>
        <v>Methode 510</v>
      </c>
      <c r="C512">
        <f t="shared" ca="1" si="46"/>
        <v>400</v>
      </c>
      <c r="D512">
        <f t="shared" ca="1" si="47"/>
        <v>2.69</v>
      </c>
      <c r="E512">
        <f t="shared" ca="1" si="48"/>
        <v>30</v>
      </c>
      <c r="F512">
        <f t="shared" ca="1" si="49"/>
        <v>370</v>
      </c>
      <c r="G512" s="3" t="b">
        <f ca="1">INDEX(dict_zul_Var_Meth[kval_active],MATCH(table_Methods[[#This Row],[ID]],dict_zul_Var_Meth[ID_Methods],0))</f>
        <v>0</v>
      </c>
      <c r="H512">
        <f t="shared" ca="1" si="50"/>
        <v>5922</v>
      </c>
      <c r="I512">
        <f t="shared" ca="1" si="51"/>
        <v>37376</v>
      </c>
    </row>
    <row r="513" spans="1:9" x14ac:dyDescent="0.45">
      <c r="A513">
        <v>511</v>
      </c>
      <c r="B513" t="str">
        <f>CONCATENATE("Methode ",table_Methods[[#This Row],[ID]])</f>
        <v>Methode 511</v>
      </c>
      <c r="C513">
        <f t="shared" ca="1" si="46"/>
        <v>44</v>
      </c>
      <c r="D513">
        <f t="shared" ca="1" si="47"/>
        <v>8.56</v>
      </c>
      <c r="E513">
        <f t="shared" ca="1" si="48"/>
        <v>-70</v>
      </c>
      <c r="F513">
        <f t="shared" ca="1" si="49"/>
        <v>440</v>
      </c>
      <c r="G513" s="3" t="b">
        <f ca="1">INDEX(dict_zul_Var_Meth[kval_active],MATCH(table_Methods[[#This Row],[ID]],dict_zul_Var_Meth[ID_Methods],0))</f>
        <v>0</v>
      </c>
      <c r="H513">
        <f t="shared" ca="1" si="50"/>
        <v>2364</v>
      </c>
      <c r="I513">
        <f t="shared" ca="1" si="51"/>
        <v>11392</v>
      </c>
    </row>
    <row r="514" spans="1:9" x14ac:dyDescent="0.45">
      <c r="A514">
        <v>512</v>
      </c>
      <c r="B514" t="str">
        <f>CONCATENATE("Methode ",table_Methods[[#This Row],[ID]])</f>
        <v>Methode 512</v>
      </c>
      <c r="C514">
        <f t="shared" ref="C514:C577" ca="1" si="52">10^(RANDBETWEEN(-1,1))*RANDBETWEEN(1,100)*10</f>
        <v>56.000000000000007</v>
      </c>
      <c r="D514">
        <f t="shared" ca="1" si="47"/>
        <v>3.91</v>
      </c>
      <c r="E514">
        <f t="shared" ca="1" si="48"/>
        <v>-40</v>
      </c>
      <c r="F514">
        <f t="shared" ca="1" si="49"/>
        <v>180</v>
      </c>
      <c r="G514" s="3" t="b">
        <f ca="1">INDEX(dict_zul_Var_Meth[kval_active],MATCH(table_Methods[[#This Row],[ID]],dict_zul_Var_Meth[ID_Methods],0))</f>
        <v>0</v>
      </c>
      <c r="H514">
        <f t="shared" ca="1" si="50"/>
        <v>3584</v>
      </c>
      <c r="I514">
        <f t="shared" ca="1" si="51"/>
        <v>552</v>
      </c>
    </row>
    <row r="515" spans="1:9" x14ac:dyDescent="0.45">
      <c r="A515">
        <v>513</v>
      </c>
      <c r="B515" t="str">
        <f>CONCATENATE("Methode ",table_Methods[[#This Row],[ID]])</f>
        <v>Methode 513</v>
      </c>
      <c r="C515">
        <f t="shared" ca="1" si="52"/>
        <v>7700</v>
      </c>
      <c r="D515">
        <f t="shared" ref="D515:D578" ca="1" si="53">RANDBETWEEN(10,1000)/(100)</f>
        <v>6.69</v>
      </c>
      <c r="E515">
        <f t="shared" ca="1" si="48"/>
        <v>-50</v>
      </c>
      <c r="F515">
        <f t="shared" ca="1" si="49"/>
        <v>700</v>
      </c>
      <c r="G515" s="3" t="b">
        <f ca="1">INDEX(dict_zul_Var_Meth[kval_active],MATCH(table_Methods[[#This Row],[ID]],dict_zul_Var_Meth[ID_Methods],0))</f>
        <v>0</v>
      </c>
      <c r="H515">
        <f t="shared" ca="1" si="50"/>
        <v>4806</v>
      </c>
      <c r="I515">
        <f t="shared" ca="1" si="51"/>
        <v>11008</v>
      </c>
    </row>
    <row r="516" spans="1:9" x14ac:dyDescent="0.45">
      <c r="A516">
        <v>514</v>
      </c>
      <c r="B516" t="str">
        <f>CONCATENATE("Methode ",table_Methods[[#This Row],[ID]])</f>
        <v>Methode 514</v>
      </c>
      <c r="C516">
        <f t="shared" ca="1" si="52"/>
        <v>9400</v>
      </c>
      <c r="D516">
        <f t="shared" ca="1" si="53"/>
        <v>1.58</v>
      </c>
      <c r="E516">
        <f t="shared" ca="1" si="48"/>
        <v>-30</v>
      </c>
      <c r="F516">
        <f t="shared" ca="1" si="49"/>
        <v>40</v>
      </c>
      <c r="G516" s="3" t="b">
        <f ca="1">INDEX(dict_zul_Var_Meth[kval_active],MATCH(table_Methods[[#This Row],[ID]],dict_zul_Var_Meth[ID_Methods],0))</f>
        <v>0</v>
      </c>
      <c r="H516">
        <f t="shared" ca="1" si="50"/>
        <v>16690</v>
      </c>
      <c r="I516">
        <f t="shared" ca="1" si="51"/>
        <v>158</v>
      </c>
    </row>
    <row r="517" spans="1:9" x14ac:dyDescent="0.45">
      <c r="A517">
        <v>515</v>
      </c>
      <c r="B517" t="str">
        <f>CONCATENATE("Methode ",table_Methods[[#This Row],[ID]])</f>
        <v>Methode 515</v>
      </c>
      <c r="C517">
        <f t="shared" ca="1" si="52"/>
        <v>15</v>
      </c>
      <c r="D517">
        <f t="shared" ca="1" si="53"/>
        <v>2.7</v>
      </c>
      <c r="E517">
        <f t="shared" ca="1" si="48"/>
        <v>-10</v>
      </c>
      <c r="F517">
        <f t="shared" ca="1" si="49"/>
        <v>600</v>
      </c>
      <c r="G517" s="3" t="b">
        <f ca="1">INDEX(dict_zul_Var_Meth[kval_active],MATCH(table_Methods[[#This Row],[ID]],dict_zul_Var_Meth[ID_Methods],0))</f>
        <v>0</v>
      </c>
      <c r="H517">
        <f t="shared" ca="1" si="50"/>
        <v>7134</v>
      </c>
      <c r="I517">
        <f t="shared" ca="1" si="51"/>
        <v>1600</v>
      </c>
    </row>
    <row r="518" spans="1:9" x14ac:dyDescent="0.45">
      <c r="A518">
        <v>516</v>
      </c>
      <c r="B518" t="str">
        <f>CONCATENATE("Methode ",table_Methods[[#This Row],[ID]])</f>
        <v>Methode 516</v>
      </c>
      <c r="C518">
        <f t="shared" ca="1" si="52"/>
        <v>85</v>
      </c>
      <c r="D518">
        <f t="shared" ca="1" si="53"/>
        <v>9.82</v>
      </c>
      <c r="E518">
        <f t="shared" ca="1" si="48"/>
        <v>-80</v>
      </c>
      <c r="F518">
        <f t="shared" ca="1" si="49"/>
        <v>140</v>
      </c>
      <c r="G518" s="3" t="b">
        <f ca="1">INDEX(dict_zul_Var_Meth[kval_active],MATCH(table_Methods[[#This Row],[ID]],dict_zul_Var_Meth[ID_Methods],0))</f>
        <v>0</v>
      </c>
      <c r="H518">
        <f t="shared" ca="1" si="50"/>
        <v>3126</v>
      </c>
      <c r="I518">
        <f t="shared" ca="1" si="51"/>
        <v>50</v>
      </c>
    </row>
    <row r="519" spans="1:9" x14ac:dyDescent="0.45">
      <c r="A519">
        <v>517</v>
      </c>
      <c r="B519" t="str">
        <f>CONCATENATE("Methode ",table_Methods[[#This Row],[ID]])</f>
        <v>Methode 517</v>
      </c>
      <c r="C519">
        <f t="shared" ca="1" si="52"/>
        <v>720</v>
      </c>
      <c r="D519">
        <f t="shared" ca="1" si="53"/>
        <v>1.92</v>
      </c>
      <c r="E519">
        <f t="shared" ca="1" si="48"/>
        <v>30</v>
      </c>
      <c r="F519">
        <f t="shared" ca="1" si="49"/>
        <v>400</v>
      </c>
      <c r="G519" s="3" t="b">
        <f ca="1">INDEX(dict_zul_Var_Meth[kval_active],MATCH(table_Methods[[#This Row],[ID]],dict_zul_Var_Meth[ID_Methods],0))</f>
        <v>0</v>
      </c>
      <c r="H519">
        <f t="shared" ca="1" si="50"/>
        <v>2550</v>
      </c>
      <c r="I519">
        <f t="shared" ca="1" si="51"/>
        <v>5760</v>
      </c>
    </row>
    <row r="520" spans="1:9" x14ac:dyDescent="0.45">
      <c r="A520">
        <v>518</v>
      </c>
      <c r="B520" t="str">
        <f>CONCATENATE("Methode ",table_Methods[[#This Row],[ID]])</f>
        <v>Methode 518</v>
      </c>
      <c r="C520">
        <f t="shared" ca="1" si="52"/>
        <v>300</v>
      </c>
      <c r="D520">
        <f t="shared" ca="1" si="53"/>
        <v>6.44</v>
      </c>
      <c r="E520">
        <f t="shared" ca="1" si="48"/>
        <v>-30</v>
      </c>
      <c r="F520">
        <f t="shared" ca="1" si="49"/>
        <v>50</v>
      </c>
      <c r="G520" s="3" t="b">
        <f ca="1">INDEX(dict_zul_Var_Meth[kval_active],MATCH(table_Methods[[#This Row],[ID]],dict_zul_Var_Meth[ID_Methods],0))</f>
        <v>0</v>
      </c>
      <c r="H520">
        <f t="shared" ca="1" si="50"/>
        <v>14760</v>
      </c>
      <c r="I520">
        <f t="shared" ca="1" si="51"/>
        <v>49152</v>
      </c>
    </row>
    <row r="521" spans="1:9" x14ac:dyDescent="0.45">
      <c r="A521">
        <v>519</v>
      </c>
      <c r="B521" t="str">
        <f>CONCATENATE("Methode ",table_Methods[[#This Row],[ID]])</f>
        <v>Methode 519</v>
      </c>
      <c r="C521">
        <f t="shared" ca="1" si="52"/>
        <v>56.000000000000007</v>
      </c>
      <c r="D521">
        <f t="shared" ca="1" si="53"/>
        <v>6</v>
      </c>
      <c r="E521">
        <f t="shared" ca="1" si="48"/>
        <v>-10</v>
      </c>
      <c r="F521">
        <f t="shared" ca="1" si="49"/>
        <v>120</v>
      </c>
      <c r="G521" s="3" t="b">
        <f ca="1">INDEX(dict_zul_Var_Meth[kval_active],MATCH(table_Methods[[#This Row],[ID]],dict_zul_Var_Meth[ID_Methods],0))</f>
        <v>0</v>
      </c>
      <c r="H521">
        <f t="shared" ca="1" si="50"/>
        <v>7842</v>
      </c>
      <c r="I521">
        <f t="shared" ca="1" si="51"/>
        <v>10496</v>
      </c>
    </row>
    <row r="522" spans="1:9" x14ac:dyDescent="0.45">
      <c r="A522">
        <v>520</v>
      </c>
      <c r="B522" t="str">
        <f>CONCATENATE("Methode ",table_Methods[[#This Row],[ID]])</f>
        <v>Methode 520</v>
      </c>
      <c r="C522">
        <f t="shared" ca="1" si="52"/>
        <v>95</v>
      </c>
      <c r="D522">
        <f t="shared" ca="1" si="53"/>
        <v>8.33</v>
      </c>
      <c r="E522">
        <f t="shared" ca="1" si="48"/>
        <v>-80</v>
      </c>
      <c r="F522">
        <f t="shared" ca="1" si="49"/>
        <v>760</v>
      </c>
      <c r="G522" s="3" t="b">
        <f ca="1">INDEX(dict_zul_Var_Meth[kval_active],MATCH(table_Methods[[#This Row],[ID]],dict_zul_Var_Meth[ID_Methods],0))</f>
        <v>0</v>
      </c>
      <c r="H522">
        <f t="shared" ca="1" si="50"/>
        <v>9430</v>
      </c>
      <c r="I522">
        <f t="shared" ca="1" si="51"/>
        <v>10624</v>
      </c>
    </row>
    <row r="523" spans="1:9" x14ac:dyDescent="0.45">
      <c r="A523">
        <v>521</v>
      </c>
      <c r="B523" t="str">
        <f>CONCATENATE("Methode ",table_Methods[[#This Row],[ID]])</f>
        <v>Methode 521</v>
      </c>
      <c r="C523">
        <f t="shared" ca="1" si="52"/>
        <v>990</v>
      </c>
      <c r="D523">
        <f t="shared" ca="1" si="53"/>
        <v>3.13</v>
      </c>
      <c r="E523">
        <f t="shared" ca="1" si="48"/>
        <v>-30</v>
      </c>
      <c r="F523">
        <f t="shared" ca="1" si="49"/>
        <v>90</v>
      </c>
      <c r="G523" s="3" t="b">
        <f ca="1">INDEX(dict_zul_Var_Meth[kval_active],MATCH(table_Methods[[#This Row],[ID]],dict_zul_Var_Meth[ID_Methods],0))</f>
        <v>0</v>
      </c>
      <c r="H523">
        <f t="shared" ca="1" si="50"/>
        <v>33166</v>
      </c>
      <c r="I523">
        <f t="shared" ca="1" si="51"/>
        <v>1216</v>
      </c>
    </row>
    <row r="524" spans="1:9" x14ac:dyDescent="0.45">
      <c r="A524">
        <v>522</v>
      </c>
      <c r="B524" t="str">
        <f>CONCATENATE("Methode ",table_Methods[[#This Row],[ID]])</f>
        <v>Methode 522</v>
      </c>
      <c r="C524">
        <f t="shared" ca="1" si="52"/>
        <v>79</v>
      </c>
      <c r="D524">
        <f t="shared" ca="1" si="53"/>
        <v>8.67</v>
      </c>
      <c r="E524">
        <f t="shared" ca="1" si="48"/>
        <v>-70</v>
      </c>
      <c r="F524">
        <f t="shared" ca="1" si="49"/>
        <v>410</v>
      </c>
      <c r="G524" s="3" t="b">
        <f ca="1">INDEX(dict_zul_Var_Meth[kval_active],MATCH(table_Methods[[#This Row],[ID]],dict_zul_Var_Meth[ID_Methods],0))</f>
        <v>0</v>
      </c>
      <c r="H524">
        <f t="shared" ca="1" si="50"/>
        <v>23148</v>
      </c>
      <c r="I524">
        <f t="shared" ca="1" si="51"/>
        <v>312</v>
      </c>
    </row>
    <row r="525" spans="1:9" x14ac:dyDescent="0.45">
      <c r="A525">
        <v>523</v>
      </c>
      <c r="B525" t="str">
        <f>CONCATENATE("Methode ",table_Methods[[#This Row],[ID]])</f>
        <v>Methode 523</v>
      </c>
      <c r="C525">
        <f t="shared" ca="1" si="52"/>
        <v>420</v>
      </c>
      <c r="D525">
        <f t="shared" ca="1" si="53"/>
        <v>1.78</v>
      </c>
      <c r="E525">
        <f t="shared" ca="1" si="48"/>
        <v>-40</v>
      </c>
      <c r="F525">
        <f t="shared" ca="1" si="49"/>
        <v>70</v>
      </c>
      <c r="G525" s="3" t="b">
        <f ca="1">INDEX(dict_zul_Var_Meth[kval_active],MATCH(table_Methods[[#This Row],[ID]],dict_zul_Var_Meth[ID_Methods],0))</f>
        <v>0</v>
      </c>
      <c r="H525">
        <f t="shared" ca="1" si="50"/>
        <v>2536</v>
      </c>
      <c r="I525">
        <f t="shared" ca="1" si="51"/>
        <v>1472</v>
      </c>
    </row>
    <row r="526" spans="1:9" x14ac:dyDescent="0.45">
      <c r="A526">
        <v>524</v>
      </c>
      <c r="B526" t="str">
        <f>CONCATENATE("Methode ",table_Methods[[#This Row],[ID]])</f>
        <v>Methode 524</v>
      </c>
      <c r="C526">
        <f t="shared" ca="1" si="52"/>
        <v>68</v>
      </c>
      <c r="D526">
        <f t="shared" ca="1" si="53"/>
        <v>2.62</v>
      </c>
      <c r="E526">
        <f t="shared" ca="1" si="48"/>
        <v>-40</v>
      </c>
      <c r="F526">
        <f t="shared" ca="1" si="49"/>
        <v>770</v>
      </c>
      <c r="G526" s="3" t="b">
        <f ca="1">INDEX(dict_zul_Var_Meth[kval_active],MATCH(table_Methods[[#This Row],[ID]],dict_zul_Var_Meth[ID_Methods],0))</f>
        <v>0</v>
      </c>
      <c r="H526">
        <f t="shared" ca="1" si="50"/>
        <v>3555</v>
      </c>
      <c r="I526">
        <f t="shared" ca="1" si="51"/>
        <v>24064</v>
      </c>
    </row>
    <row r="527" spans="1:9" x14ac:dyDescent="0.45">
      <c r="A527">
        <v>525</v>
      </c>
      <c r="B527" t="str">
        <f>CONCATENATE("Methode ",table_Methods[[#This Row],[ID]])</f>
        <v>Methode 525</v>
      </c>
      <c r="C527">
        <f t="shared" ca="1" si="52"/>
        <v>26</v>
      </c>
      <c r="D527">
        <f t="shared" ca="1" si="53"/>
        <v>3.76</v>
      </c>
      <c r="E527">
        <f t="shared" ca="1" si="48"/>
        <v>-40</v>
      </c>
      <c r="F527">
        <f t="shared" ca="1" si="49"/>
        <v>20</v>
      </c>
      <c r="G527" s="3" t="b">
        <f ca="1">INDEX(dict_zul_Var_Meth[kval_active],MATCH(table_Methods[[#This Row],[ID]],dict_zul_Var_Meth[ID_Methods],0))</f>
        <v>0</v>
      </c>
      <c r="H527">
        <f t="shared" ca="1" si="50"/>
        <v>2730</v>
      </c>
      <c r="I527">
        <f t="shared" ca="1" si="51"/>
        <v>64</v>
      </c>
    </row>
    <row r="528" spans="1:9" x14ac:dyDescent="0.45">
      <c r="A528">
        <v>526</v>
      </c>
      <c r="B528" t="str">
        <f>CONCATENATE("Methode ",table_Methods[[#This Row],[ID]])</f>
        <v>Methode 526</v>
      </c>
      <c r="C528">
        <f t="shared" ca="1" si="52"/>
        <v>18</v>
      </c>
      <c r="D528">
        <f t="shared" ca="1" si="53"/>
        <v>8.92</v>
      </c>
      <c r="E528">
        <f t="shared" ca="1" si="48"/>
        <v>-10</v>
      </c>
      <c r="F528">
        <f t="shared" ca="1" si="49"/>
        <v>80</v>
      </c>
      <c r="G528" s="3" t="b">
        <f ca="1">INDEX(dict_zul_Var_Meth[kval_active],MATCH(table_Methods[[#This Row],[ID]],dict_zul_Var_Meth[ID_Methods],0))</f>
        <v>0</v>
      </c>
      <c r="H528">
        <f t="shared" ca="1" si="50"/>
        <v>8028</v>
      </c>
      <c r="I528">
        <f t="shared" ca="1" si="51"/>
        <v>11264</v>
      </c>
    </row>
    <row r="529" spans="1:9" x14ac:dyDescent="0.45">
      <c r="A529">
        <v>527</v>
      </c>
      <c r="B529" t="str">
        <f>CONCATENATE("Methode ",table_Methods[[#This Row],[ID]])</f>
        <v>Methode 527</v>
      </c>
      <c r="C529">
        <f t="shared" ca="1" si="52"/>
        <v>100</v>
      </c>
      <c r="D529">
        <f t="shared" ca="1" si="53"/>
        <v>3.56</v>
      </c>
      <c r="E529">
        <f t="shared" ca="1" si="48"/>
        <v>-10</v>
      </c>
      <c r="F529">
        <f t="shared" ca="1" si="49"/>
        <v>620</v>
      </c>
      <c r="G529" s="3" t="b">
        <f ca="1">INDEX(dict_zul_Var_Meth[kval_active],MATCH(table_Methods[[#This Row],[ID]],dict_zul_Var_Meth[ID_Methods],0))</f>
        <v>0</v>
      </c>
      <c r="H529">
        <f t="shared" ca="1" si="50"/>
        <v>31168</v>
      </c>
      <c r="I529">
        <f t="shared" ca="1" si="51"/>
        <v>48640</v>
      </c>
    </row>
    <row r="530" spans="1:9" x14ac:dyDescent="0.45">
      <c r="A530">
        <v>528</v>
      </c>
      <c r="B530" t="str">
        <f>CONCATENATE("Methode ",table_Methods[[#This Row],[ID]])</f>
        <v>Methode 528</v>
      </c>
      <c r="C530">
        <f t="shared" ca="1" si="52"/>
        <v>6500</v>
      </c>
      <c r="D530">
        <f t="shared" ca="1" si="53"/>
        <v>8.15</v>
      </c>
      <c r="E530">
        <f t="shared" ca="1" si="48"/>
        <v>30</v>
      </c>
      <c r="F530">
        <f t="shared" ca="1" si="49"/>
        <v>760</v>
      </c>
      <c r="G530" s="3" t="b">
        <f ca="1">INDEX(dict_zul_Var_Meth[kval_active],MATCH(table_Methods[[#This Row],[ID]],dict_zul_Var_Meth[ID_Methods],0))</f>
        <v>0</v>
      </c>
      <c r="H530">
        <f t="shared" ca="1" si="50"/>
        <v>19928</v>
      </c>
      <c r="I530">
        <f t="shared" ca="1" si="51"/>
        <v>130</v>
      </c>
    </row>
    <row r="531" spans="1:9" x14ac:dyDescent="0.45">
      <c r="A531">
        <v>529</v>
      </c>
      <c r="B531" t="str">
        <f>CONCATENATE("Methode ",table_Methods[[#This Row],[ID]])</f>
        <v>Methode 529</v>
      </c>
      <c r="C531">
        <f t="shared" ca="1" si="52"/>
        <v>390</v>
      </c>
      <c r="D531">
        <f t="shared" ca="1" si="53"/>
        <v>1.08</v>
      </c>
      <c r="E531">
        <f t="shared" ca="1" si="48"/>
        <v>-100</v>
      </c>
      <c r="F531">
        <f t="shared" ca="1" si="49"/>
        <v>330</v>
      </c>
      <c r="G531" s="3" t="b">
        <f ca="1">INDEX(dict_zul_Var_Meth[kval_active],MATCH(table_Methods[[#This Row],[ID]],dict_zul_Var_Meth[ID_Methods],0))</f>
        <v>0</v>
      </c>
      <c r="H531">
        <f t="shared" ca="1" si="50"/>
        <v>16284</v>
      </c>
      <c r="I531">
        <f t="shared" ca="1" si="51"/>
        <v>640</v>
      </c>
    </row>
    <row r="532" spans="1:9" x14ac:dyDescent="0.45">
      <c r="A532">
        <v>530</v>
      </c>
      <c r="B532" t="str">
        <f>CONCATENATE("Methode ",table_Methods[[#This Row],[ID]])</f>
        <v>Methode 530</v>
      </c>
      <c r="C532">
        <f t="shared" ca="1" si="52"/>
        <v>6900</v>
      </c>
      <c r="D532">
        <f t="shared" ca="1" si="53"/>
        <v>0.93</v>
      </c>
      <c r="E532">
        <f t="shared" ca="1" si="48"/>
        <v>-40</v>
      </c>
      <c r="F532">
        <f t="shared" ca="1" si="49"/>
        <v>180</v>
      </c>
      <c r="G532" s="3" t="b">
        <f ca="1">INDEX(dict_zul_Var_Meth[kval_active],MATCH(table_Methods[[#This Row],[ID]],dict_zul_Var_Meth[ID_Methods],0))</f>
        <v>0</v>
      </c>
      <c r="H532">
        <f t="shared" ca="1" si="50"/>
        <v>22540</v>
      </c>
      <c r="I532">
        <f t="shared" ca="1" si="51"/>
        <v>472</v>
      </c>
    </row>
    <row r="533" spans="1:9" x14ac:dyDescent="0.45">
      <c r="A533">
        <v>531</v>
      </c>
      <c r="B533" t="str">
        <f>CONCATENATE("Methode ",table_Methods[[#This Row],[ID]])</f>
        <v>Methode 531</v>
      </c>
      <c r="C533">
        <f t="shared" ca="1" si="52"/>
        <v>6700</v>
      </c>
      <c r="D533">
        <f t="shared" ca="1" si="53"/>
        <v>7.07</v>
      </c>
      <c r="E533">
        <f t="shared" ca="1" si="48"/>
        <v>-30</v>
      </c>
      <c r="F533">
        <f t="shared" ca="1" si="49"/>
        <v>910</v>
      </c>
      <c r="G533" s="3" t="b">
        <f ca="1">INDEX(dict_zul_Var_Meth[kval_active],MATCH(table_Methods[[#This Row],[ID]],dict_zul_Var_Meth[ID_Methods],0))</f>
        <v>0</v>
      </c>
      <c r="H533">
        <f t="shared" ca="1" si="50"/>
        <v>7536</v>
      </c>
      <c r="I533">
        <f t="shared" ca="1" si="51"/>
        <v>73728</v>
      </c>
    </row>
    <row r="534" spans="1:9" x14ac:dyDescent="0.45">
      <c r="A534">
        <v>532</v>
      </c>
      <c r="B534" t="str">
        <f>CONCATENATE("Methode ",table_Methods[[#This Row],[ID]])</f>
        <v>Methode 532</v>
      </c>
      <c r="C534">
        <f t="shared" ca="1" si="52"/>
        <v>80</v>
      </c>
      <c r="D534">
        <f t="shared" ca="1" si="53"/>
        <v>8.48</v>
      </c>
      <c r="E534">
        <f t="shared" ca="1" si="48"/>
        <v>20</v>
      </c>
      <c r="F534">
        <f t="shared" ca="1" si="49"/>
        <v>80</v>
      </c>
      <c r="G534" s="3" t="b">
        <f ca="1">INDEX(dict_zul_Var_Meth[kval_active],MATCH(table_Methods[[#This Row],[ID]],dict_zul_Var_Meth[ID_Methods],0))</f>
        <v>0</v>
      </c>
      <c r="H534">
        <f t="shared" ca="1" si="50"/>
        <v>16884</v>
      </c>
      <c r="I534">
        <f t="shared" ca="1" si="51"/>
        <v>80</v>
      </c>
    </row>
    <row r="535" spans="1:9" x14ac:dyDescent="0.45">
      <c r="A535">
        <v>533</v>
      </c>
      <c r="B535" t="str">
        <f>CONCATENATE("Methode ",table_Methods[[#This Row],[ID]])</f>
        <v>Methode 533</v>
      </c>
      <c r="C535">
        <f t="shared" ca="1" si="52"/>
        <v>500</v>
      </c>
      <c r="D535">
        <f t="shared" ca="1" si="53"/>
        <v>6.5</v>
      </c>
      <c r="E535">
        <f t="shared" ca="1" si="48"/>
        <v>-90</v>
      </c>
      <c r="F535">
        <f t="shared" ca="1" si="49"/>
        <v>920</v>
      </c>
      <c r="G535" s="3" t="b">
        <f ca="1">INDEX(dict_zul_Var_Meth[kval_active],MATCH(table_Methods[[#This Row],[ID]],dict_zul_Var_Meth[ID_Methods],0))</f>
        <v>0</v>
      </c>
      <c r="H535">
        <f t="shared" ca="1" si="50"/>
        <v>37250</v>
      </c>
      <c r="I535">
        <f t="shared" ca="1" si="51"/>
        <v>256</v>
      </c>
    </row>
    <row r="536" spans="1:9" x14ac:dyDescent="0.45">
      <c r="A536">
        <v>534</v>
      </c>
      <c r="B536" t="str">
        <f>CONCATENATE("Methode ",table_Methods[[#This Row],[ID]])</f>
        <v>Methode 534</v>
      </c>
      <c r="C536">
        <f t="shared" ca="1" si="52"/>
        <v>110</v>
      </c>
      <c r="D536">
        <f t="shared" ca="1" si="53"/>
        <v>2.83</v>
      </c>
      <c r="E536">
        <f t="shared" ca="1" si="48"/>
        <v>0</v>
      </c>
      <c r="F536">
        <f t="shared" ca="1" si="49"/>
        <v>770</v>
      </c>
      <c r="G536" s="3" t="b">
        <f ca="1">INDEX(dict_zul_Var_Meth[kval_active],MATCH(table_Methods[[#This Row],[ID]],dict_zul_Var_Meth[ID_Methods],0))</f>
        <v>0</v>
      </c>
      <c r="H536">
        <f t="shared" ca="1" si="50"/>
        <v>1648</v>
      </c>
      <c r="I536">
        <f t="shared" ca="1" si="51"/>
        <v>1296</v>
      </c>
    </row>
    <row r="537" spans="1:9" x14ac:dyDescent="0.45">
      <c r="A537">
        <v>535</v>
      </c>
      <c r="B537" t="str">
        <f>CONCATENATE("Methode ",table_Methods[[#This Row],[ID]])</f>
        <v>Methode 535</v>
      </c>
      <c r="C537">
        <f t="shared" ca="1" si="52"/>
        <v>2700</v>
      </c>
      <c r="D537">
        <f t="shared" ca="1" si="53"/>
        <v>0.9</v>
      </c>
      <c r="E537">
        <f t="shared" ca="1" si="48"/>
        <v>-20</v>
      </c>
      <c r="F537">
        <f t="shared" ca="1" si="49"/>
        <v>160</v>
      </c>
      <c r="G537" s="3" t="b">
        <f ca="1">INDEX(dict_zul_Var_Meth[kval_active],MATCH(table_Methods[[#This Row],[ID]],dict_zul_Var_Meth[ID_Methods],0))</f>
        <v>0</v>
      </c>
      <c r="H537">
        <f t="shared" ca="1" si="50"/>
        <v>8520</v>
      </c>
      <c r="I537">
        <f t="shared" ca="1" si="51"/>
        <v>368</v>
      </c>
    </row>
    <row r="538" spans="1:9" x14ac:dyDescent="0.45">
      <c r="A538">
        <v>536</v>
      </c>
      <c r="B538" t="str">
        <f>CONCATENATE("Methode ",table_Methods[[#This Row],[ID]])</f>
        <v>Methode 536</v>
      </c>
      <c r="C538">
        <f t="shared" ca="1" si="52"/>
        <v>970</v>
      </c>
      <c r="D538">
        <f t="shared" ca="1" si="53"/>
        <v>4.29</v>
      </c>
      <c r="E538">
        <f t="shared" ca="1" si="48"/>
        <v>-70</v>
      </c>
      <c r="F538">
        <f t="shared" ca="1" si="49"/>
        <v>790</v>
      </c>
      <c r="G538" s="3" t="b">
        <f ca="1">INDEX(dict_zul_Var_Meth[kval_active],MATCH(table_Methods[[#This Row],[ID]],dict_zul_Var_Meth[ID_Methods],0))</f>
        <v>0</v>
      </c>
      <c r="H538">
        <f t="shared" ca="1" si="50"/>
        <v>31048</v>
      </c>
      <c r="I538">
        <f t="shared" ca="1" si="51"/>
        <v>9472</v>
      </c>
    </row>
    <row r="539" spans="1:9" x14ac:dyDescent="0.45">
      <c r="A539">
        <v>537</v>
      </c>
      <c r="B539" t="str">
        <f>CONCATENATE("Methode ",table_Methods[[#This Row],[ID]])</f>
        <v>Methode 537</v>
      </c>
      <c r="C539">
        <f t="shared" ca="1" si="52"/>
        <v>8400</v>
      </c>
      <c r="D539">
        <f t="shared" ca="1" si="53"/>
        <v>4.6100000000000003</v>
      </c>
      <c r="E539">
        <f t="shared" ca="1" si="48"/>
        <v>-50</v>
      </c>
      <c r="F539">
        <f t="shared" ca="1" si="49"/>
        <v>320</v>
      </c>
      <c r="G539" s="3" t="b">
        <f ca="1">INDEX(dict_zul_Var_Meth[kval_active],MATCH(table_Methods[[#This Row],[ID]],dict_zul_Var_Meth[ID_Methods],0))</f>
        <v>0</v>
      </c>
      <c r="H539">
        <f t="shared" ca="1" si="50"/>
        <v>4635</v>
      </c>
      <c r="I539">
        <f t="shared" ca="1" si="51"/>
        <v>95232</v>
      </c>
    </row>
    <row r="540" spans="1:9" x14ac:dyDescent="0.45">
      <c r="A540">
        <v>538</v>
      </c>
      <c r="B540" t="str">
        <f>CONCATENATE("Methode ",table_Methods[[#This Row],[ID]])</f>
        <v>Methode 538</v>
      </c>
      <c r="C540">
        <f t="shared" ca="1" si="52"/>
        <v>1400</v>
      </c>
      <c r="D540">
        <f t="shared" ca="1" si="53"/>
        <v>2.98</v>
      </c>
      <c r="E540">
        <f t="shared" ca="1" si="48"/>
        <v>-30</v>
      </c>
      <c r="F540">
        <f t="shared" ca="1" si="49"/>
        <v>680</v>
      </c>
      <c r="G540" s="3" t="b">
        <f ca="1">INDEX(dict_zul_Var_Meth[kval_active],MATCH(table_Methods[[#This Row],[ID]],dict_zul_Var_Meth[ID_Methods],0))</f>
        <v>0</v>
      </c>
      <c r="H540">
        <f t="shared" ca="1" si="50"/>
        <v>1807</v>
      </c>
      <c r="I540">
        <f t="shared" ca="1" si="51"/>
        <v>32</v>
      </c>
    </row>
    <row r="541" spans="1:9" x14ac:dyDescent="0.45">
      <c r="A541">
        <v>539</v>
      </c>
      <c r="B541" t="str">
        <f>CONCATENATE("Methode ",table_Methods[[#This Row],[ID]])</f>
        <v>Methode 539</v>
      </c>
      <c r="C541">
        <f t="shared" ca="1" si="52"/>
        <v>50</v>
      </c>
      <c r="D541">
        <f t="shared" ca="1" si="53"/>
        <v>8.07</v>
      </c>
      <c r="E541">
        <f t="shared" ca="1" si="48"/>
        <v>-30</v>
      </c>
      <c r="F541">
        <f t="shared" ca="1" si="49"/>
        <v>930</v>
      </c>
      <c r="G541" s="3" t="b">
        <f ca="1">INDEX(dict_zul_Var_Meth[kval_active],MATCH(table_Methods[[#This Row],[ID]],dict_zul_Var_Meth[ID_Methods],0))</f>
        <v>0</v>
      </c>
      <c r="H541">
        <f t="shared" ca="1" si="50"/>
        <v>23712</v>
      </c>
      <c r="I541">
        <f t="shared" ca="1" si="51"/>
        <v>3584</v>
      </c>
    </row>
    <row r="542" spans="1:9" x14ac:dyDescent="0.45">
      <c r="A542">
        <v>540</v>
      </c>
      <c r="B542" t="str">
        <f>CONCATENATE("Methode ",table_Methods[[#This Row],[ID]])</f>
        <v>Methode 540</v>
      </c>
      <c r="C542">
        <f t="shared" ca="1" si="52"/>
        <v>34</v>
      </c>
      <c r="D542">
        <f t="shared" ca="1" si="53"/>
        <v>0.73</v>
      </c>
      <c r="E542">
        <f t="shared" ca="1" si="48"/>
        <v>-50</v>
      </c>
      <c r="F542">
        <f t="shared" ca="1" si="49"/>
        <v>100</v>
      </c>
      <c r="G542" s="3" t="b">
        <f ca="1">INDEX(dict_zul_Var_Meth[kval_active],MATCH(table_Methods[[#This Row],[ID]],dict_zul_Var_Meth[ID_Methods],0))</f>
        <v>0</v>
      </c>
      <c r="H542">
        <f t="shared" ca="1" si="50"/>
        <v>32211</v>
      </c>
      <c r="I542">
        <f t="shared" ca="1" si="51"/>
        <v>864</v>
      </c>
    </row>
    <row r="543" spans="1:9" x14ac:dyDescent="0.45">
      <c r="A543">
        <v>541</v>
      </c>
      <c r="B543" t="str">
        <f>CONCATENATE("Methode ",table_Methods[[#This Row],[ID]])</f>
        <v>Methode 541</v>
      </c>
      <c r="C543">
        <f t="shared" ca="1" si="52"/>
        <v>930</v>
      </c>
      <c r="D543">
        <f t="shared" ca="1" si="53"/>
        <v>2.96</v>
      </c>
      <c r="E543">
        <f t="shared" ca="1" si="48"/>
        <v>-90</v>
      </c>
      <c r="F543">
        <f t="shared" ca="1" si="49"/>
        <v>820</v>
      </c>
      <c r="G543" s="3" t="b">
        <f ca="1">INDEX(dict_zul_Var_Meth[kval_active],MATCH(table_Methods[[#This Row],[ID]],dict_zul_Var_Meth[ID_Methods],0))</f>
        <v>0</v>
      </c>
      <c r="H543">
        <f t="shared" ca="1" si="50"/>
        <v>10684</v>
      </c>
      <c r="I543">
        <f t="shared" ca="1" si="51"/>
        <v>42496</v>
      </c>
    </row>
    <row r="544" spans="1:9" x14ac:dyDescent="0.45">
      <c r="A544">
        <v>542</v>
      </c>
      <c r="B544" t="str">
        <f>CONCATENATE("Methode ",table_Methods[[#This Row],[ID]])</f>
        <v>Methode 542</v>
      </c>
      <c r="C544">
        <f t="shared" ca="1" si="52"/>
        <v>35</v>
      </c>
      <c r="D544">
        <f t="shared" ca="1" si="53"/>
        <v>5.9</v>
      </c>
      <c r="E544">
        <f t="shared" ca="1" si="48"/>
        <v>-30</v>
      </c>
      <c r="F544">
        <f t="shared" ca="1" si="49"/>
        <v>260</v>
      </c>
      <c r="G544" s="3" t="b">
        <f ca="1">INDEX(dict_zul_Var_Meth[kval_active],MATCH(table_Methods[[#This Row],[ID]],dict_zul_Var_Meth[ID_Methods],0))</f>
        <v>0</v>
      </c>
      <c r="H544">
        <f t="shared" ca="1" si="50"/>
        <v>12798</v>
      </c>
      <c r="I544">
        <f t="shared" ca="1" si="51"/>
        <v>336</v>
      </c>
    </row>
    <row r="545" spans="1:9" x14ac:dyDescent="0.45">
      <c r="A545">
        <v>543</v>
      </c>
      <c r="B545" t="str">
        <f>CONCATENATE("Methode ",table_Methods[[#This Row],[ID]])</f>
        <v>Methode 543</v>
      </c>
      <c r="C545">
        <f t="shared" ca="1" si="52"/>
        <v>980</v>
      </c>
      <c r="D545">
        <f t="shared" ca="1" si="53"/>
        <v>3.76</v>
      </c>
      <c r="E545">
        <f t="shared" ca="1" si="48"/>
        <v>-70</v>
      </c>
      <c r="F545">
        <f t="shared" ca="1" si="49"/>
        <v>740</v>
      </c>
      <c r="G545" s="3" t="b">
        <f ca="1">INDEX(dict_zul_Var_Meth[kval_active],MATCH(table_Methods[[#This Row],[ID]],dict_zul_Var_Meth[ID_Methods],0))</f>
        <v>0</v>
      </c>
      <c r="H545">
        <f t="shared" ca="1" si="50"/>
        <v>6435</v>
      </c>
      <c r="I545">
        <f t="shared" ca="1" si="51"/>
        <v>96</v>
      </c>
    </row>
    <row r="546" spans="1:9" x14ac:dyDescent="0.45">
      <c r="A546">
        <v>544</v>
      </c>
      <c r="B546" t="str">
        <f>CONCATENATE("Methode ",table_Methods[[#This Row],[ID]])</f>
        <v>Methode 544</v>
      </c>
      <c r="C546">
        <f t="shared" ca="1" si="52"/>
        <v>950</v>
      </c>
      <c r="D546">
        <f t="shared" ca="1" si="53"/>
        <v>6.07</v>
      </c>
      <c r="E546">
        <f t="shared" ca="1" si="48"/>
        <v>-10</v>
      </c>
      <c r="F546">
        <f t="shared" ca="1" si="49"/>
        <v>410</v>
      </c>
      <c r="G546" s="3" t="b">
        <f ca="1">INDEX(dict_zul_Var_Meth[kval_active],MATCH(table_Methods[[#This Row],[ID]],dict_zul_Var_Meth[ID_Methods],0))</f>
        <v>0</v>
      </c>
      <c r="H546">
        <f t="shared" ca="1" si="50"/>
        <v>9994</v>
      </c>
      <c r="I546">
        <f t="shared" ca="1" si="51"/>
        <v>352</v>
      </c>
    </row>
    <row r="547" spans="1:9" x14ac:dyDescent="0.45">
      <c r="A547">
        <v>545</v>
      </c>
      <c r="B547" t="str">
        <f>CONCATENATE("Methode ",table_Methods[[#This Row],[ID]])</f>
        <v>Methode 545</v>
      </c>
      <c r="C547">
        <f t="shared" ca="1" si="52"/>
        <v>6200</v>
      </c>
      <c r="D547">
        <f t="shared" ca="1" si="53"/>
        <v>7.9</v>
      </c>
      <c r="E547">
        <f t="shared" ca="1" si="48"/>
        <v>-20</v>
      </c>
      <c r="F547">
        <f t="shared" ca="1" si="49"/>
        <v>450</v>
      </c>
      <c r="G547" s="3" t="b">
        <f ca="1">INDEX(dict_zul_Var_Meth[kval_active],MATCH(table_Methods[[#This Row],[ID]],dict_zul_Var_Meth[ID_Methods],0))</f>
        <v>0</v>
      </c>
      <c r="H547">
        <f t="shared" ca="1" si="50"/>
        <v>25836</v>
      </c>
      <c r="I547">
        <f t="shared" ca="1" si="51"/>
        <v>712</v>
      </c>
    </row>
    <row r="548" spans="1:9" x14ac:dyDescent="0.45">
      <c r="A548">
        <v>546</v>
      </c>
      <c r="B548" t="str">
        <f>CONCATENATE("Methode ",table_Methods[[#This Row],[ID]])</f>
        <v>Methode 546</v>
      </c>
      <c r="C548">
        <f t="shared" ca="1" si="52"/>
        <v>45</v>
      </c>
      <c r="D548">
        <f t="shared" ca="1" si="53"/>
        <v>7.29</v>
      </c>
      <c r="E548">
        <f t="shared" ref="E548:E611" ca="1" si="54">RANDBETWEEN(-10,3)*10</f>
        <v>-70</v>
      </c>
      <c r="F548">
        <f t="shared" ref="F548:F611" ca="1" si="55">RANDBETWEEN(2,100)*10</f>
        <v>970</v>
      </c>
      <c r="G548" s="3" t="b">
        <f ca="1">INDEX(dict_zul_Var_Meth[kval_active],MATCH(table_Methods[[#This Row],[ID]],dict_zul_Var_Meth[ID_Methods],0))</f>
        <v>0</v>
      </c>
      <c r="H548">
        <f t="shared" ref="H548:H611" ca="1" si="56">RANDBETWEEN(1,10)*RANDBETWEEN(1,5000)</f>
        <v>9492</v>
      </c>
      <c r="I548">
        <f t="shared" ref="I548:I611" ca="1" si="57">2^RANDBETWEEN(1,10)*RANDBETWEEN(1,100)</f>
        <v>10880</v>
      </c>
    </row>
    <row r="549" spans="1:9" x14ac:dyDescent="0.45">
      <c r="A549">
        <v>547</v>
      </c>
      <c r="B549" t="str">
        <f>CONCATENATE("Methode ",table_Methods[[#This Row],[ID]])</f>
        <v>Methode 547</v>
      </c>
      <c r="C549">
        <f t="shared" ca="1" si="52"/>
        <v>9100</v>
      </c>
      <c r="D549">
        <f t="shared" ca="1" si="53"/>
        <v>5.8</v>
      </c>
      <c r="E549">
        <f t="shared" ca="1" si="54"/>
        <v>-30</v>
      </c>
      <c r="F549">
        <f t="shared" ca="1" si="55"/>
        <v>720</v>
      </c>
      <c r="G549" s="3" t="b">
        <f ca="1">INDEX(dict_zul_Var_Meth[kval_active],MATCH(table_Methods[[#This Row],[ID]],dict_zul_Var_Meth[ID_Methods],0))</f>
        <v>0</v>
      </c>
      <c r="H549">
        <f t="shared" ca="1" si="56"/>
        <v>8200</v>
      </c>
      <c r="I549">
        <f t="shared" ca="1" si="57"/>
        <v>896</v>
      </c>
    </row>
    <row r="550" spans="1:9" x14ac:dyDescent="0.45">
      <c r="A550">
        <v>548</v>
      </c>
      <c r="B550" t="str">
        <f>CONCATENATE("Methode ",table_Methods[[#This Row],[ID]])</f>
        <v>Methode 548</v>
      </c>
      <c r="C550">
        <f t="shared" ca="1" si="52"/>
        <v>36</v>
      </c>
      <c r="D550">
        <f t="shared" ca="1" si="53"/>
        <v>0.75</v>
      </c>
      <c r="E550">
        <f t="shared" ca="1" si="54"/>
        <v>30</v>
      </c>
      <c r="F550">
        <f t="shared" ca="1" si="55"/>
        <v>830</v>
      </c>
      <c r="G550" s="3" t="b">
        <f ca="1">INDEX(dict_zul_Var_Meth[kval_active],MATCH(table_Methods[[#This Row],[ID]],dict_zul_Var_Meth[ID_Methods],0))</f>
        <v>0</v>
      </c>
      <c r="H550">
        <f t="shared" ca="1" si="56"/>
        <v>772</v>
      </c>
      <c r="I550">
        <f t="shared" ca="1" si="57"/>
        <v>12672</v>
      </c>
    </row>
    <row r="551" spans="1:9" x14ac:dyDescent="0.45">
      <c r="A551">
        <v>549</v>
      </c>
      <c r="B551" t="str">
        <f>CONCATENATE("Methode ",table_Methods[[#This Row],[ID]])</f>
        <v>Methode 549</v>
      </c>
      <c r="C551">
        <f t="shared" ca="1" si="52"/>
        <v>310</v>
      </c>
      <c r="D551">
        <f t="shared" ca="1" si="53"/>
        <v>3.1</v>
      </c>
      <c r="E551">
        <f t="shared" ca="1" si="54"/>
        <v>-60</v>
      </c>
      <c r="F551">
        <f t="shared" ca="1" si="55"/>
        <v>260</v>
      </c>
      <c r="G551" s="3" t="b">
        <f ca="1">INDEX(dict_zul_Var_Meth[kval_active],MATCH(table_Methods[[#This Row],[ID]],dict_zul_Var_Meth[ID_Methods],0))</f>
        <v>0</v>
      </c>
      <c r="H551">
        <f t="shared" ca="1" si="56"/>
        <v>3115</v>
      </c>
      <c r="I551">
        <f t="shared" ca="1" si="57"/>
        <v>108</v>
      </c>
    </row>
    <row r="552" spans="1:9" x14ac:dyDescent="0.45">
      <c r="A552">
        <v>550</v>
      </c>
      <c r="B552" t="str">
        <f>CONCATENATE("Methode ",table_Methods[[#This Row],[ID]])</f>
        <v>Methode 550</v>
      </c>
      <c r="C552">
        <f t="shared" ca="1" si="52"/>
        <v>650</v>
      </c>
      <c r="D552">
        <f t="shared" ca="1" si="53"/>
        <v>3.05</v>
      </c>
      <c r="E552">
        <f t="shared" ca="1" si="54"/>
        <v>-10</v>
      </c>
      <c r="F552">
        <f t="shared" ca="1" si="55"/>
        <v>400</v>
      </c>
      <c r="G552" s="3" t="b">
        <f ca="1">INDEX(dict_zul_Var_Meth[kval_active],MATCH(table_Methods[[#This Row],[ID]],dict_zul_Var_Meth[ID_Methods],0))</f>
        <v>0</v>
      </c>
      <c r="H552">
        <f t="shared" ca="1" si="56"/>
        <v>40644</v>
      </c>
      <c r="I552">
        <f t="shared" ca="1" si="57"/>
        <v>496</v>
      </c>
    </row>
    <row r="553" spans="1:9" x14ac:dyDescent="0.45">
      <c r="A553">
        <v>551</v>
      </c>
      <c r="B553" t="str">
        <f>CONCATENATE("Methode ",table_Methods[[#This Row],[ID]])</f>
        <v>Methode 551</v>
      </c>
      <c r="C553">
        <f t="shared" ca="1" si="52"/>
        <v>410</v>
      </c>
      <c r="D553">
        <f t="shared" ca="1" si="53"/>
        <v>5.4</v>
      </c>
      <c r="E553">
        <f t="shared" ca="1" si="54"/>
        <v>-100</v>
      </c>
      <c r="F553">
        <f t="shared" ca="1" si="55"/>
        <v>30</v>
      </c>
      <c r="G553" s="3" t="b">
        <f ca="1">INDEX(dict_zul_Var_Meth[kval_active],MATCH(table_Methods[[#This Row],[ID]],dict_zul_Var_Meth[ID_Methods],0))</f>
        <v>0</v>
      </c>
      <c r="H553">
        <f t="shared" ca="1" si="56"/>
        <v>4820</v>
      </c>
      <c r="I553">
        <f t="shared" ca="1" si="57"/>
        <v>176</v>
      </c>
    </row>
    <row r="554" spans="1:9" x14ac:dyDescent="0.45">
      <c r="A554">
        <v>552</v>
      </c>
      <c r="B554" t="str">
        <f>CONCATENATE("Methode ",table_Methods[[#This Row],[ID]])</f>
        <v>Methode 552</v>
      </c>
      <c r="C554">
        <f t="shared" ca="1" si="52"/>
        <v>4200</v>
      </c>
      <c r="D554">
        <f t="shared" ca="1" si="53"/>
        <v>8.9600000000000009</v>
      </c>
      <c r="E554">
        <f t="shared" ca="1" si="54"/>
        <v>10</v>
      </c>
      <c r="F554">
        <f t="shared" ca="1" si="55"/>
        <v>410</v>
      </c>
      <c r="G554" s="3" t="b">
        <f ca="1">INDEX(dict_zul_Var_Meth[kval_active],MATCH(table_Methods[[#This Row],[ID]],dict_zul_Var_Meth[ID_Methods],0))</f>
        <v>0</v>
      </c>
      <c r="H554">
        <f t="shared" ca="1" si="56"/>
        <v>11334</v>
      </c>
      <c r="I554">
        <f t="shared" ca="1" si="57"/>
        <v>23040</v>
      </c>
    </row>
    <row r="555" spans="1:9" x14ac:dyDescent="0.45">
      <c r="A555">
        <v>553</v>
      </c>
      <c r="B555" t="str">
        <f>CONCATENATE("Methode ",table_Methods[[#This Row],[ID]])</f>
        <v>Methode 553</v>
      </c>
      <c r="C555">
        <f t="shared" ca="1" si="52"/>
        <v>420</v>
      </c>
      <c r="D555">
        <f t="shared" ca="1" si="53"/>
        <v>8.83</v>
      </c>
      <c r="E555">
        <f t="shared" ca="1" si="54"/>
        <v>10</v>
      </c>
      <c r="F555">
        <f t="shared" ca="1" si="55"/>
        <v>440</v>
      </c>
      <c r="G555" s="3" t="b">
        <f ca="1">INDEX(dict_zul_Var_Meth[kval_active],MATCH(table_Methods[[#This Row],[ID]],dict_zul_Var_Meth[ID_Methods],0))</f>
        <v>0</v>
      </c>
      <c r="H555">
        <f t="shared" ca="1" si="56"/>
        <v>4523</v>
      </c>
      <c r="I555">
        <f t="shared" ca="1" si="57"/>
        <v>192</v>
      </c>
    </row>
    <row r="556" spans="1:9" x14ac:dyDescent="0.45">
      <c r="A556">
        <v>554</v>
      </c>
      <c r="B556" t="str">
        <f>CONCATENATE("Methode ",table_Methods[[#This Row],[ID]])</f>
        <v>Methode 554</v>
      </c>
      <c r="C556">
        <f t="shared" ca="1" si="52"/>
        <v>400</v>
      </c>
      <c r="D556">
        <f t="shared" ca="1" si="53"/>
        <v>4.96</v>
      </c>
      <c r="E556">
        <f t="shared" ca="1" si="54"/>
        <v>-70</v>
      </c>
      <c r="F556">
        <f t="shared" ca="1" si="55"/>
        <v>210</v>
      </c>
      <c r="G556" s="3" t="b">
        <f ca="1">INDEX(dict_zul_Var_Meth[kval_active],MATCH(table_Methods[[#This Row],[ID]],dict_zul_Var_Meth[ID_Methods],0))</f>
        <v>0</v>
      </c>
      <c r="H556">
        <f t="shared" ca="1" si="56"/>
        <v>34120</v>
      </c>
      <c r="I556">
        <f t="shared" ca="1" si="57"/>
        <v>768</v>
      </c>
    </row>
    <row r="557" spans="1:9" x14ac:dyDescent="0.45">
      <c r="A557">
        <v>555</v>
      </c>
      <c r="B557" t="str">
        <f>CONCATENATE("Methode ",table_Methods[[#This Row],[ID]])</f>
        <v>Methode 555</v>
      </c>
      <c r="C557">
        <f t="shared" ca="1" si="52"/>
        <v>800</v>
      </c>
      <c r="D557">
        <f t="shared" ca="1" si="53"/>
        <v>6.47</v>
      </c>
      <c r="E557">
        <f t="shared" ca="1" si="54"/>
        <v>-20</v>
      </c>
      <c r="F557">
        <f t="shared" ca="1" si="55"/>
        <v>380</v>
      </c>
      <c r="G557" s="3" t="b">
        <f ca="1">INDEX(dict_zul_Var_Meth[kval_active],MATCH(table_Methods[[#This Row],[ID]],dict_zul_Var_Meth[ID_Methods],0))</f>
        <v>1</v>
      </c>
      <c r="H557">
        <f t="shared" ca="1" si="56"/>
        <v>2212</v>
      </c>
      <c r="I557">
        <f t="shared" ca="1" si="57"/>
        <v>768</v>
      </c>
    </row>
    <row r="558" spans="1:9" x14ac:dyDescent="0.45">
      <c r="A558">
        <v>556</v>
      </c>
      <c r="B558" t="str">
        <f>CONCATENATE("Methode ",table_Methods[[#This Row],[ID]])</f>
        <v>Methode 556</v>
      </c>
      <c r="C558">
        <f t="shared" ca="1" si="52"/>
        <v>900</v>
      </c>
      <c r="D558">
        <f t="shared" ca="1" si="53"/>
        <v>3.27</v>
      </c>
      <c r="E558">
        <f t="shared" ca="1" si="54"/>
        <v>-100</v>
      </c>
      <c r="F558">
        <f t="shared" ca="1" si="55"/>
        <v>50</v>
      </c>
      <c r="G558" s="3" t="b">
        <f ca="1">INDEX(dict_zul_Var_Meth[kval_active],MATCH(table_Methods[[#This Row],[ID]],dict_zul_Var_Meth[ID_Methods],0))</f>
        <v>0</v>
      </c>
      <c r="H558">
        <f t="shared" ca="1" si="56"/>
        <v>26646</v>
      </c>
      <c r="I558">
        <f t="shared" ca="1" si="57"/>
        <v>41984</v>
      </c>
    </row>
    <row r="559" spans="1:9" x14ac:dyDescent="0.45">
      <c r="A559">
        <v>557</v>
      </c>
      <c r="B559" t="str">
        <f>CONCATENATE("Methode ",table_Methods[[#This Row],[ID]])</f>
        <v>Methode 557</v>
      </c>
      <c r="C559">
        <f t="shared" ca="1" si="52"/>
        <v>9800</v>
      </c>
      <c r="D559">
        <f t="shared" ca="1" si="53"/>
        <v>2.1</v>
      </c>
      <c r="E559">
        <f t="shared" ca="1" si="54"/>
        <v>20</v>
      </c>
      <c r="F559">
        <f t="shared" ca="1" si="55"/>
        <v>950</v>
      </c>
      <c r="G559" s="3" t="b">
        <f ca="1">INDEX(dict_zul_Var_Meth[kval_active],MATCH(table_Methods[[#This Row],[ID]],dict_zul_Var_Meth[ID_Methods],0))</f>
        <v>0</v>
      </c>
      <c r="H559">
        <f t="shared" ca="1" si="56"/>
        <v>28710</v>
      </c>
      <c r="I559">
        <f t="shared" ca="1" si="57"/>
        <v>8960</v>
      </c>
    </row>
    <row r="560" spans="1:9" x14ac:dyDescent="0.45">
      <c r="A560">
        <v>558</v>
      </c>
      <c r="B560" t="str">
        <f>CONCATENATE("Methode ",table_Methods[[#This Row],[ID]])</f>
        <v>Methode 558</v>
      </c>
      <c r="C560">
        <f t="shared" ca="1" si="52"/>
        <v>110</v>
      </c>
      <c r="D560">
        <f t="shared" ca="1" si="53"/>
        <v>2.0499999999999998</v>
      </c>
      <c r="E560">
        <f t="shared" ca="1" si="54"/>
        <v>-90</v>
      </c>
      <c r="F560">
        <f t="shared" ca="1" si="55"/>
        <v>470</v>
      </c>
      <c r="G560" s="3" t="b">
        <f ca="1">INDEX(dict_zul_Var_Meth[kval_active],MATCH(table_Methods[[#This Row],[ID]],dict_zul_Var_Meth[ID_Methods],0))</f>
        <v>0</v>
      </c>
      <c r="H560">
        <f t="shared" ca="1" si="56"/>
        <v>138</v>
      </c>
      <c r="I560">
        <f t="shared" ca="1" si="57"/>
        <v>768</v>
      </c>
    </row>
    <row r="561" spans="1:9" x14ac:dyDescent="0.45">
      <c r="A561">
        <v>559</v>
      </c>
      <c r="B561" t="str">
        <f>CONCATENATE("Methode ",table_Methods[[#This Row],[ID]])</f>
        <v>Methode 559</v>
      </c>
      <c r="C561">
        <f t="shared" ca="1" si="52"/>
        <v>4</v>
      </c>
      <c r="D561">
        <f t="shared" ca="1" si="53"/>
        <v>9.14</v>
      </c>
      <c r="E561">
        <f t="shared" ca="1" si="54"/>
        <v>-70</v>
      </c>
      <c r="F561">
        <f t="shared" ca="1" si="55"/>
        <v>910</v>
      </c>
      <c r="G561" s="3" t="b">
        <f ca="1">INDEX(dict_zul_Var_Meth[kval_active],MATCH(table_Methods[[#This Row],[ID]],dict_zul_Var_Meth[ID_Methods],0))</f>
        <v>0</v>
      </c>
      <c r="H561">
        <f t="shared" ca="1" si="56"/>
        <v>8256</v>
      </c>
      <c r="I561">
        <f t="shared" ca="1" si="57"/>
        <v>316</v>
      </c>
    </row>
    <row r="562" spans="1:9" x14ac:dyDescent="0.45">
      <c r="A562">
        <v>560</v>
      </c>
      <c r="B562" t="str">
        <f>CONCATENATE("Methode ",table_Methods[[#This Row],[ID]])</f>
        <v>Methode 560</v>
      </c>
      <c r="C562">
        <f t="shared" ca="1" si="52"/>
        <v>28.000000000000004</v>
      </c>
      <c r="D562">
        <f t="shared" ca="1" si="53"/>
        <v>1.84</v>
      </c>
      <c r="E562">
        <f t="shared" ca="1" si="54"/>
        <v>-100</v>
      </c>
      <c r="F562">
        <f t="shared" ca="1" si="55"/>
        <v>160</v>
      </c>
      <c r="G562" s="3" t="b">
        <f ca="1">INDEX(dict_zul_Var_Meth[kval_active],MATCH(table_Methods[[#This Row],[ID]],dict_zul_Var_Meth[ID_Methods],0))</f>
        <v>0</v>
      </c>
      <c r="H562">
        <f t="shared" ca="1" si="56"/>
        <v>4995</v>
      </c>
      <c r="I562">
        <f t="shared" ca="1" si="57"/>
        <v>130</v>
      </c>
    </row>
    <row r="563" spans="1:9" x14ac:dyDescent="0.45">
      <c r="A563">
        <v>561</v>
      </c>
      <c r="B563" t="str">
        <f>CONCATENATE("Methode ",table_Methods[[#This Row],[ID]])</f>
        <v>Methode 561</v>
      </c>
      <c r="C563">
        <f t="shared" ca="1" si="52"/>
        <v>50</v>
      </c>
      <c r="D563">
        <f t="shared" ca="1" si="53"/>
        <v>8.23</v>
      </c>
      <c r="E563">
        <f t="shared" ca="1" si="54"/>
        <v>0</v>
      </c>
      <c r="F563">
        <f t="shared" ca="1" si="55"/>
        <v>840</v>
      </c>
      <c r="G563" s="3" t="b">
        <f ca="1">INDEX(dict_zul_Var_Meth[kval_active],MATCH(table_Methods[[#This Row],[ID]],dict_zul_Var_Meth[ID_Methods],0))</f>
        <v>0</v>
      </c>
      <c r="H563">
        <f t="shared" ca="1" si="56"/>
        <v>4347</v>
      </c>
      <c r="I563">
        <f t="shared" ca="1" si="57"/>
        <v>64</v>
      </c>
    </row>
    <row r="564" spans="1:9" x14ac:dyDescent="0.45">
      <c r="A564">
        <v>562</v>
      </c>
      <c r="B564" t="str">
        <f>CONCATENATE("Methode ",table_Methods[[#This Row],[ID]])</f>
        <v>Methode 562</v>
      </c>
      <c r="C564">
        <f t="shared" ca="1" si="52"/>
        <v>95</v>
      </c>
      <c r="D564">
        <f t="shared" ca="1" si="53"/>
        <v>6.6</v>
      </c>
      <c r="E564">
        <f t="shared" ca="1" si="54"/>
        <v>-40</v>
      </c>
      <c r="F564">
        <f t="shared" ca="1" si="55"/>
        <v>220</v>
      </c>
      <c r="G564" s="3" t="b">
        <f ca="1">INDEX(dict_zul_Var_Meth[kval_active],MATCH(table_Methods[[#This Row],[ID]],dict_zul_Var_Meth[ID_Methods],0))</f>
        <v>0</v>
      </c>
      <c r="H564">
        <f t="shared" ca="1" si="56"/>
        <v>11050</v>
      </c>
      <c r="I564">
        <f t="shared" ca="1" si="57"/>
        <v>328</v>
      </c>
    </row>
    <row r="565" spans="1:9" x14ac:dyDescent="0.45">
      <c r="A565">
        <v>563</v>
      </c>
      <c r="B565" t="str">
        <f>CONCATENATE("Methode ",table_Methods[[#This Row],[ID]])</f>
        <v>Methode 563</v>
      </c>
      <c r="C565">
        <f t="shared" ca="1" si="52"/>
        <v>690</v>
      </c>
      <c r="D565">
        <f t="shared" ca="1" si="53"/>
        <v>6.98</v>
      </c>
      <c r="E565">
        <f t="shared" ca="1" si="54"/>
        <v>-10</v>
      </c>
      <c r="F565">
        <f t="shared" ca="1" si="55"/>
        <v>870</v>
      </c>
      <c r="G565" s="3" t="b">
        <f ca="1">INDEX(dict_zul_Var_Meth[kval_active],MATCH(table_Methods[[#This Row],[ID]],dict_zul_Var_Meth[ID_Methods],0))</f>
        <v>0</v>
      </c>
      <c r="H565">
        <f t="shared" ca="1" si="56"/>
        <v>5793</v>
      </c>
      <c r="I565">
        <f t="shared" ca="1" si="57"/>
        <v>2912</v>
      </c>
    </row>
    <row r="566" spans="1:9" x14ac:dyDescent="0.45">
      <c r="A566">
        <v>564</v>
      </c>
      <c r="B566" t="str">
        <f>CONCATENATE("Methode ",table_Methods[[#This Row],[ID]])</f>
        <v>Methode 564</v>
      </c>
      <c r="C566">
        <f t="shared" ca="1" si="52"/>
        <v>61.000000000000007</v>
      </c>
      <c r="D566">
        <f t="shared" ca="1" si="53"/>
        <v>3.76</v>
      </c>
      <c r="E566">
        <f t="shared" ca="1" si="54"/>
        <v>-80</v>
      </c>
      <c r="F566">
        <f t="shared" ca="1" si="55"/>
        <v>90</v>
      </c>
      <c r="G566" s="3" t="b">
        <f ca="1">INDEX(dict_zul_Var_Meth[kval_active],MATCH(table_Methods[[#This Row],[ID]],dict_zul_Var_Meth[ID_Methods],0))</f>
        <v>0</v>
      </c>
      <c r="H566">
        <f t="shared" ca="1" si="56"/>
        <v>17236</v>
      </c>
      <c r="I566">
        <f t="shared" ca="1" si="57"/>
        <v>72</v>
      </c>
    </row>
    <row r="567" spans="1:9" x14ac:dyDescent="0.45">
      <c r="A567">
        <v>565</v>
      </c>
      <c r="B567" t="str">
        <f>CONCATENATE("Methode ",table_Methods[[#This Row],[ID]])</f>
        <v>Methode 565</v>
      </c>
      <c r="C567">
        <f t="shared" ca="1" si="52"/>
        <v>8</v>
      </c>
      <c r="D567">
        <f t="shared" ca="1" si="53"/>
        <v>0.22</v>
      </c>
      <c r="E567">
        <f t="shared" ca="1" si="54"/>
        <v>-100</v>
      </c>
      <c r="F567">
        <f t="shared" ca="1" si="55"/>
        <v>740</v>
      </c>
      <c r="G567" s="3" t="b">
        <f ca="1">INDEX(dict_zul_Var_Meth[kval_active],MATCH(table_Methods[[#This Row],[ID]],dict_zul_Var_Meth[ID_Methods],0))</f>
        <v>0</v>
      </c>
      <c r="H567">
        <f t="shared" ca="1" si="56"/>
        <v>5454</v>
      </c>
      <c r="I567">
        <f t="shared" ca="1" si="57"/>
        <v>1088</v>
      </c>
    </row>
    <row r="568" spans="1:9" x14ac:dyDescent="0.45">
      <c r="A568">
        <v>566</v>
      </c>
      <c r="B568" t="str">
        <f>CONCATENATE("Methode ",table_Methods[[#This Row],[ID]])</f>
        <v>Methode 566</v>
      </c>
      <c r="C568">
        <f t="shared" ca="1" si="52"/>
        <v>4</v>
      </c>
      <c r="D568">
        <f t="shared" ca="1" si="53"/>
        <v>8.07</v>
      </c>
      <c r="E568">
        <f t="shared" ca="1" si="54"/>
        <v>20</v>
      </c>
      <c r="F568">
        <f t="shared" ca="1" si="55"/>
        <v>740</v>
      </c>
      <c r="G568" s="3" t="b">
        <f ca="1">INDEX(dict_zul_Var_Meth[kval_active],MATCH(table_Methods[[#This Row],[ID]],dict_zul_Var_Meth[ID_Methods],0))</f>
        <v>1</v>
      </c>
      <c r="H568">
        <f t="shared" ca="1" si="56"/>
        <v>39915</v>
      </c>
      <c r="I568">
        <f t="shared" ca="1" si="57"/>
        <v>6400</v>
      </c>
    </row>
    <row r="569" spans="1:9" x14ac:dyDescent="0.45">
      <c r="A569">
        <v>567</v>
      </c>
      <c r="B569" t="str">
        <f>CONCATENATE("Methode ",table_Methods[[#This Row],[ID]])</f>
        <v>Methode 567</v>
      </c>
      <c r="C569">
        <f t="shared" ca="1" si="52"/>
        <v>10</v>
      </c>
      <c r="D569">
        <f t="shared" ca="1" si="53"/>
        <v>2.75</v>
      </c>
      <c r="E569">
        <f t="shared" ca="1" si="54"/>
        <v>20</v>
      </c>
      <c r="F569">
        <f t="shared" ca="1" si="55"/>
        <v>700</v>
      </c>
      <c r="G569" s="3" t="b">
        <f ca="1">INDEX(dict_zul_Var_Meth[kval_active],MATCH(table_Methods[[#This Row],[ID]],dict_zul_Var_Meth[ID_Methods],0))</f>
        <v>0</v>
      </c>
      <c r="H569">
        <f t="shared" ca="1" si="56"/>
        <v>2200</v>
      </c>
      <c r="I569">
        <f t="shared" ca="1" si="57"/>
        <v>256</v>
      </c>
    </row>
    <row r="570" spans="1:9" x14ac:dyDescent="0.45">
      <c r="A570">
        <v>568</v>
      </c>
      <c r="B570" t="str">
        <f>CONCATENATE("Methode ",table_Methods[[#This Row],[ID]])</f>
        <v>Methode 568</v>
      </c>
      <c r="C570">
        <f t="shared" ca="1" si="52"/>
        <v>360</v>
      </c>
      <c r="D570">
        <f t="shared" ca="1" si="53"/>
        <v>8.93</v>
      </c>
      <c r="E570">
        <f t="shared" ca="1" si="54"/>
        <v>-60</v>
      </c>
      <c r="F570">
        <f t="shared" ca="1" si="55"/>
        <v>890</v>
      </c>
      <c r="G570" s="3" t="b">
        <f ca="1">INDEX(dict_zul_Var_Meth[kval_active],MATCH(table_Methods[[#This Row],[ID]],dict_zul_Var_Meth[ID_Methods],0))</f>
        <v>0</v>
      </c>
      <c r="H570">
        <f t="shared" ca="1" si="56"/>
        <v>16860</v>
      </c>
      <c r="I570">
        <f t="shared" ca="1" si="57"/>
        <v>26</v>
      </c>
    </row>
    <row r="571" spans="1:9" x14ac:dyDescent="0.45">
      <c r="A571">
        <v>569</v>
      </c>
      <c r="B571" t="str">
        <f>CONCATENATE("Methode ",table_Methods[[#This Row],[ID]])</f>
        <v>Methode 569</v>
      </c>
      <c r="C571">
        <f t="shared" ca="1" si="52"/>
        <v>9500</v>
      </c>
      <c r="D571">
        <f t="shared" ca="1" si="53"/>
        <v>6</v>
      </c>
      <c r="E571">
        <f t="shared" ca="1" si="54"/>
        <v>-60</v>
      </c>
      <c r="F571">
        <f t="shared" ca="1" si="55"/>
        <v>700</v>
      </c>
      <c r="G571" s="3" t="b">
        <f ca="1">INDEX(dict_zul_Var_Meth[kval_active],MATCH(table_Methods[[#This Row],[ID]],dict_zul_Var_Meth[ID_Methods],0))</f>
        <v>0</v>
      </c>
      <c r="H571">
        <f t="shared" ca="1" si="56"/>
        <v>22230</v>
      </c>
      <c r="I571">
        <f t="shared" ca="1" si="57"/>
        <v>31232</v>
      </c>
    </row>
    <row r="572" spans="1:9" x14ac:dyDescent="0.45">
      <c r="A572">
        <v>570</v>
      </c>
      <c r="B572" t="str">
        <f>CONCATENATE("Methode ",table_Methods[[#This Row],[ID]])</f>
        <v>Methode 570</v>
      </c>
      <c r="C572">
        <f t="shared" ca="1" si="52"/>
        <v>5000</v>
      </c>
      <c r="D572">
        <f t="shared" ca="1" si="53"/>
        <v>3.27</v>
      </c>
      <c r="E572">
        <f t="shared" ca="1" si="54"/>
        <v>-70</v>
      </c>
      <c r="F572">
        <f t="shared" ca="1" si="55"/>
        <v>330</v>
      </c>
      <c r="G572" s="3" t="b">
        <f ca="1">INDEX(dict_zul_Var_Meth[kval_active],MATCH(table_Methods[[#This Row],[ID]],dict_zul_Var_Meth[ID_Methods],0))</f>
        <v>0</v>
      </c>
      <c r="H572">
        <f t="shared" ca="1" si="56"/>
        <v>6096</v>
      </c>
      <c r="I572">
        <f t="shared" ca="1" si="57"/>
        <v>848</v>
      </c>
    </row>
    <row r="573" spans="1:9" x14ac:dyDescent="0.45">
      <c r="A573">
        <v>571</v>
      </c>
      <c r="B573" t="str">
        <f>CONCATENATE("Methode ",table_Methods[[#This Row],[ID]])</f>
        <v>Methode 571</v>
      </c>
      <c r="C573">
        <f t="shared" ca="1" si="52"/>
        <v>570</v>
      </c>
      <c r="D573">
        <f t="shared" ca="1" si="53"/>
        <v>2.4900000000000002</v>
      </c>
      <c r="E573">
        <f t="shared" ca="1" si="54"/>
        <v>0</v>
      </c>
      <c r="F573">
        <f t="shared" ca="1" si="55"/>
        <v>110</v>
      </c>
      <c r="G573" s="3" t="b">
        <f ca="1">INDEX(dict_zul_Var_Meth[kval_active],MATCH(table_Methods[[#This Row],[ID]],dict_zul_Var_Meth[ID_Methods],0))</f>
        <v>0</v>
      </c>
      <c r="H573">
        <f t="shared" ca="1" si="56"/>
        <v>4284</v>
      </c>
      <c r="I573">
        <f t="shared" ca="1" si="57"/>
        <v>328</v>
      </c>
    </row>
    <row r="574" spans="1:9" x14ac:dyDescent="0.45">
      <c r="A574">
        <v>572</v>
      </c>
      <c r="B574" t="str">
        <f>CONCATENATE("Methode ",table_Methods[[#This Row],[ID]])</f>
        <v>Methode 572</v>
      </c>
      <c r="C574">
        <f t="shared" ca="1" si="52"/>
        <v>960</v>
      </c>
      <c r="D574">
        <f t="shared" ca="1" si="53"/>
        <v>8.31</v>
      </c>
      <c r="E574">
        <f t="shared" ca="1" si="54"/>
        <v>-100</v>
      </c>
      <c r="F574">
        <f t="shared" ca="1" si="55"/>
        <v>100</v>
      </c>
      <c r="G574" s="3" t="b">
        <f ca="1">INDEX(dict_zul_Var_Meth[kval_active],MATCH(table_Methods[[#This Row],[ID]],dict_zul_Var_Meth[ID_Methods],0))</f>
        <v>0</v>
      </c>
      <c r="H574">
        <f t="shared" ca="1" si="56"/>
        <v>3630</v>
      </c>
      <c r="I574">
        <f t="shared" ca="1" si="57"/>
        <v>28672</v>
      </c>
    </row>
    <row r="575" spans="1:9" x14ac:dyDescent="0.45">
      <c r="A575">
        <v>573</v>
      </c>
      <c r="B575" t="str">
        <f>CONCATENATE("Methode ",table_Methods[[#This Row],[ID]])</f>
        <v>Methode 573</v>
      </c>
      <c r="C575">
        <f t="shared" ca="1" si="52"/>
        <v>44</v>
      </c>
      <c r="D575">
        <f t="shared" ca="1" si="53"/>
        <v>3.61</v>
      </c>
      <c r="E575">
        <f t="shared" ca="1" si="54"/>
        <v>-60</v>
      </c>
      <c r="F575">
        <f t="shared" ca="1" si="55"/>
        <v>150</v>
      </c>
      <c r="G575" s="3" t="b">
        <f ca="1">INDEX(dict_zul_Var_Meth[kval_active],MATCH(table_Methods[[#This Row],[ID]],dict_zul_Var_Meth[ID_Methods],0))</f>
        <v>0</v>
      </c>
      <c r="H575">
        <f t="shared" ca="1" si="56"/>
        <v>11660</v>
      </c>
      <c r="I575">
        <f t="shared" ca="1" si="57"/>
        <v>4992</v>
      </c>
    </row>
    <row r="576" spans="1:9" x14ac:dyDescent="0.45">
      <c r="A576">
        <v>574</v>
      </c>
      <c r="B576" t="str">
        <f>CONCATENATE("Methode ",table_Methods[[#This Row],[ID]])</f>
        <v>Methode 574</v>
      </c>
      <c r="C576">
        <f t="shared" ca="1" si="52"/>
        <v>100</v>
      </c>
      <c r="D576">
        <f t="shared" ca="1" si="53"/>
        <v>9.32</v>
      </c>
      <c r="E576">
        <f t="shared" ca="1" si="54"/>
        <v>-60</v>
      </c>
      <c r="F576">
        <f t="shared" ca="1" si="55"/>
        <v>110</v>
      </c>
      <c r="G576" s="3" t="b">
        <f ca="1">INDEX(dict_zul_Var_Meth[kval_active],MATCH(table_Methods[[#This Row],[ID]],dict_zul_Var_Meth[ID_Methods],0))</f>
        <v>0</v>
      </c>
      <c r="H576">
        <f t="shared" ca="1" si="56"/>
        <v>44982</v>
      </c>
      <c r="I576">
        <f t="shared" ca="1" si="57"/>
        <v>768</v>
      </c>
    </row>
    <row r="577" spans="1:9" x14ac:dyDescent="0.45">
      <c r="A577">
        <v>575</v>
      </c>
      <c r="B577" t="str">
        <f>CONCATENATE("Methode ",table_Methods[[#This Row],[ID]])</f>
        <v>Methode 575</v>
      </c>
      <c r="C577">
        <f t="shared" ca="1" si="52"/>
        <v>1500</v>
      </c>
      <c r="D577">
        <f t="shared" ca="1" si="53"/>
        <v>3.61</v>
      </c>
      <c r="E577">
        <f t="shared" ca="1" si="54"/>
        <v>-60</v>
      </c>
      <c r="F577">
        <f t="shared" ca="1" si="55"/>
        <v>130</v>
      </c>
      <c r="G577" s="3" t="b">
        <f ca="1">INDEX(dict_zul_Var_Meth[kval_active],MATCH(table_Methods[[#This Row],[ID]],dict_zul_Var_Meth[ID_Methods],0))</f>
        <v>0</v>
      </c>
      <c r="H577">
        <f t="shared" ca="1" si="56"/>
        <v>46330</v>
      </c>
      <c r="I577">
        <f t="shared" ca="1" si="57"/>
        <v>25088</v>
      </c>
    </row>
    <row r="578" spans="1:9" x14ac:dyDescent="0.45">
      <c r="A578">
        <v>576</v>
      </c>
      <c r="B578" t="str">
        <f>CONCATENATE("Methode ",table_Methods[[#This Row],[ID]])</f>
        <v>Methode 576</v>
      </c>
      <c r="C578">
        <f t="shared" ref="C578:C641" ca="1" si="58">10^(RANDBETWEEN(-1,1))*RANDBETWEEN(1,100)*10</f>
        <v>290</v>
      </c>
      <c r="D578">
        <f t="shared" ca="1" si="53"/>
        <v>0.54</v>
      </c>
      <c r="E578">
        <f t="shared" ca="1" si="54"/>
        <v>-10</v>
      </c>
      <c r="F578">
        <f t="shared" ca="1" si="55"/>
        <v>840</v>
      </c>
      <c r="G578" s="3" t="b">
        <f ca="1">INDEX(dict_zul_Var_Meth[kval_active],MATCH(table_Methods[[#This Row],[ID]],dict_zul_Var_Meth[ID_Methods],0))</f>
        <v>0</v>
      </c>
      <c r="H578">
        <f t="shared" ca="1" si="56"/>
        <v>40500</v>
      </c>
      <c r="I578">
        <f t="shared" ca="1" si="57"/>
        <v>5376</v>
      </c>
    </row>
    <row r="579" spans="1:9" x14ac:dyDescent="0.45">
      <c r="A579">
        <v>577</v>
      </c>
      <c r="B579" t="str">
        <f>CONCATENATE("Methode ",table_Methods[[#This Row],[ID]])</f>
        <v>Methode 577</v>
      </c>
      <c r="C579">
        <f t="shared" ca="1" si="58"/>
        <v>10</v>
      </c>
      <c r="D579">
        <f t="shared" ref="D579:D642" ca="1" si="59">RANDBETWEEN(10,1000)/(100)</f>
        <v>7.61</v>
      </c>
      <c r="E579">
        <f t="shared" ca="1" si="54"/>
        <v>-80</v>
      </c>
      <c r="F579">
        <f t="shared" ca="1" si="55"/>
        <v>950</v>
      </c>
      <c r="G579" s="3" t="b">
        <f ca="1">INDEX(dict_zul_Var_Meth[kval_active],MATCH(table_Methods[[#This Row],[ID]],dict_zul_Var_Meth[ID_Methods],0))</f>
        <v>0</v>
      </c>
      <c r="H579">
        <f t="shared" ca="1" si="56"/>
        <v>22500</v>
      </c>
      <c r="I579">
        <f t="shared" ca="1" si="57"/>
        <v>30720</v>
      </c>
    </row>
    <row r="580" spans="1:9" x14ac:dyDescent="0.45">
      <c r="A580">
        <v>578</v>
      </c>
      <c r="B580" t="str">
        <f>CONCATENATE("Methode ",table_Methods[[#This Row],[ID]])</f>
        <v>Methode 578</v>
      </c>
      <c r="C580">
        <f t="shared" ca="1" si="58"/>
        <v>81</v>
      </c>
      <c r="D580">
        <f t="shared" ca="1" si="59"/>
        <v>1.81</v>
      </c>
      <c r="E580">
        <f t="shared" ca="1" si="54"/>
        <v>-20</v>
      </c>
      <c r="F580">
        <f t="shared" ca="1" si="55"/>
        <v>190</v>
      </c>
      <c r="G580" s="3" t="b">
        <f ca="1">INDEX(dict_zul_Var_Meth[kval_active],MATCH(table_Methods[[#This Row],[ID]],dict_zul_Var_Meth[ID_Methods],0))</f>
        <v>0</v>
      </c>
      <c r="H580">
        <f t="shared" ca="1" si="56"/>
        <v>7585</v>
      </c>
      <c r="I580">
        <f t="shared" ca="1" si="57"/>
        <v>204</v>
      </c>
    </row>
    <row r="581" spans="1:9" x14ac:dyDescent="0.45">
      <c r="A581">
        <v>579</v>
      </c>
      <c r="B581" t="str">
        <f>CONCATENATE("Methode ",table_Methods[[#This Row],[ID]])</f>
        <v>Methode 579</v>
      </c>
      <c r="C581">
        <f t="shared" ca="1" si="58"/>
        <v>14.000000000000002</v>
      </c>
      <c r="D581">
        <f t="shared" ca="1" si="59"/>
        <v>7.14</v>
      </c>
      <c r="E581">
        <f t="shared" ca="1" si="54"/>
        <v>-20</v>
      </c>
      <c r="F581">
        <f t="shared" ca="1" si="55"/>
        <v>490</v>
      </c>
      <c r="G581" s="3" t="b">
        <f ca="1">INDEX(dict_zul_Var_Meth[kval_active],MATCH(table_Methods[[#This Row],[ID]],dict_zul_Var_Meth[ID_Methods],0))</f>
        <v>0</v>
      </c>
      <c r="H581">
        <f t="shared" ca="1" si="56"/>
        <v>4437</v>
      </c>
      <c r="I581">
        <f t="shared" ca="1" si="57"/>
        <v>156</v>
      </c>
    </row>
    <row r="582" spans="1:9" x14ac:dyDescent="0.45">
      <c r="A582">
        <v>580</v>
      </c>
      <c r="B582" t="str">
        <f>CONCATENATE("Methode ",table_Methods[[#This Row],[ID]])</f>
        <v>Methode 580</v>
      </c>
      <c r="C582">
        <f t="shared" ca="1" si="58"/>
        <v>130</v>
      </c>
      <c r="D582">
        <f t="shared" ca="1" si="59"/>
        <v>2.15</v>
      </c>
      <c r="E582">
        <f t="shared" ca="1" si="54"/>
        <v>-100</v>
      </c>
      <c r="F582">
        <f t="shared" ca="1" si="55"/>
        <v>340</v>
      </c>
      <c r="G582" s="3" t="b">
        <f ca="1">INDEX(dict_zul_Var_Meth[kval_active],MATCH(table_Methods[[#This Row],[ID]],dict_zul_Var_Meth[ID_Methods],0))</f>
        <v>1</v>
      </c>
      <c r="H582">
        <f t="shared" ca="1" si="56"/>
        <v>6560</v>
      </c>
      <c r="I582">
        <f t="shared" ca="1" si="57"/>
        <v>1728</v>
      </c>
    </row>
    <row r="583" spans="1:9" x14ac:dyDescent="0.45">
      <c r="A583">
        <v>581</v>
      </c>
      <c r="B583" t="str">
        <f>CONCATENATE("Methode ",table_Methods[[#This Row],[ID]])</f>
        <v>Methode 581</v>
      </c>
      <c r="C583">
        <f t="shared" ca="1" si="58"/>
        <v>60</v>
      </c>
      <c r="D583">
        <f t="shared" ca="1" si="59"/>
        <v>8.24</v>
      </c>
      <c r="E583">
        <f t="shared" ca="1" si="54"/>
        <v>-70</v>
      </c>
      <c r="F583">
        <f t="shared" ca="1" si="55"/>
        <v>960</v>
      </c>
      <c r="G583" s="3" t="b">
        <f ca="1">INDEX(dict_zul_Var_Meth[kval_active],MATCH(table_Methods[[#This Row],[ID]],dict_zul_Var_Meth[ID_Methods],0))</f>
        <v>0</v>
      </c>
      <c r="H583">
        <f t="shared" ca="1" si="56"/>
        <v>38628</v>
      </c>
      <c r="I583">
        <f t="shared" ca="1" si="57"/>
        <v>424</v>
      </c>
    </row>
    <row r="584" spans="1:9" x14ac:dyDescent="0.45">
      <c r="A584">
        <v>582</v>
      </c>
      <c r="B584" t="str">
        <f>CONCATENATE("Methode ",table_Methods[[#This Row],[ID]])</f>
        <v>Methode 582</v>
      </c>
      <c r="C584">
        <f t="shared" ca="1" si="58"/>
        <v>690</v>
      </c>
      <c r="D584">
        <f t="shared" ca="1" si="59"/>
        <v>2.86</v>
      </c>
      <c r="E584">
        <f t="shared" ca="1" si="54"/>
        <v>20</v>
      </c>
      <c r="F584">
        <f t="shared" ca="1" si="55"/>
        <v>100</v>
      </c>
      <c r="G584" s="3" t="b">
        <f ca="1">INDEX(dict_zul_Var_Meth[kval_active],MATCH(table_Methods[[#This Row],[ID]],dict_zul_Var_Meth[ID_Methods],0))</f>
        <v>0</v>
      </c>
      <c r="H584">
        <f t="shared" ca="1" si="56"/>
        <v>2689</v>
      </c>
      <c r="I584">
        <f t="shared" ca="1" si="57"/>
        <v>11776</v>
      </c>
    </row>
    <row r="585" spans="1:9" x14ac:dyDescent="0.45">
      <c r="A585">
        <v>583</v>
      </c>
      <c r="B585" t="str">
        <f>CONCATENATE("Methode ",table_Methods[[#This Row],[ID]])</f>
        <v>Methode 583</v>
      </c>
      <c r="C585">
        <f t="shared" ca="1" si="58"/>
        <v>45</v>
      </c>
      <c r="D585">
        <f t="shared" ca="1" si="59"/>
        <v>9.89</v>
      </c>
      <c r="E585">
        <f t="shared" ca="1" si="54"/>
        <v>10</v>
      </c>
      <c r="F585">
        <f t="shared" ca="1" si="55"/>
        <v>340</v>
      </c>
      <c r="G585" s="3" t="b">
        <f ca="1">INDEX(dict_zul_Var_Meth[kval_active],MATCH(table_Methods[[#This Row],[ID]],dict_zul_Var_Meth[ID_Methods],0))</f>
        <v>0</v>
      </c>
      <c r="H585">
        <f t="shared" ca="1" si="56"/>
        <v>21315</v>
      </c>
      <c r="I585">
        <f t="shared" ca="1" si="57"/>
        <v>280</v>
      </c>
    </row>
    <row r="586" spans="1:9" x14ac:dyDescent="0.45">
      <c r="A586">
        <v>584</v>
      </c>
      <c r="B586" t="str">
        <f>CONCATENATE("Methode ",table_Methods[[#This Row],[ID]])</f>
        <v>Methode 584</v>
      </c>
      <c r="C586">
        <f t="shared" ca="1" si="58"/>
        <v>2</v>
      </c>
      <c r="D586">
        <f t="shared" ca="1" si="59"/>
        <v>4.3600000000000003</v>
      </c>
      <c r="E586">
        <f t="shared" ca="1" si="54"/>
        <v>-40</v>
      </c>
      <c r="F586">
        <f t="shared" ca="1" si="55"/>
        <v>450</v>
      </c>
      <c r="G586" s="3" t="b">
        <f ca="1">INDEX(dict_zul_Var_Meth[kval_active],MATCH(table_Methods[[#This Row],[ID]],dict_zul_Var_Meth[ID_Methods],0))</f>
        <v>0</v>
      </c>
      <c r="H586">
        <f t="shared" ca="1" si="56"/>
        <v>4992</v>
      </c>
      <c r="I586">
        <f t="shared" ca="1" si="57"/>
        <v>18176</v>
      </c>
    </row>
    <row r="587" spans="1:9" x14ac:dyDescent="0.45">
      <c r="A587">
        <v>585</v>
      </c>
      <c r="B587" t="str">
        <f>CONCATENATE("Methode ",table_Methods[[#This Row],[ID]])</f>
        <v>Methode 585</v>
      </c>
      <c r="C587">
        <f t="shared" ca="1" si="58"/>
        <v>9600</v>
      </c>
      <c r="D587">
        <f t="shared" ca="1" si="59"/>
        <v>5.01</v>
      </c>
      <c r="E587">
        <f t="shared" ca="1" si="54"/>
        <v>-10</v>
      </c>
      <c r="F587">
        <f t="shared" ca="1" si="55"/>
        <v>600</v>
      </c>
      <c r="G587" s="3" t="b">
        <f ca="1">INDEX(dict_zul_Var_Meth[kval_active],MATCH(table_Methods[[#This Row],[ID]],dict_zul_Var_Meth[ID_Methods],0))</f>
        <v>0</v>
      </c>
      <c r="H587">
        <f t="shared" ca="1" si="56"/>
        <v>22407</v>
      </c>
      <c r="I587">
        <f t="shared" ca="1" si="57"/>
        <v>576</v>
      </c>
    </row>
    <row r="588" spans="1:9" x14ac:dyDescent="0.45">
      <c r="A588">
        <v>586</v>
      </c>
      <c r="B588" t="str">
        <f>CONCATENATE("Methode ",table_Methods[[#This Row],[ID]])</f>
        <v>Methode 586</v>
      </c>
      <c r="C588">
        <f t="shared" ca="1" si="58"/>
        <v>4200</v>
      </c>
      <c r="D588">
        <f t="shared" ca="1" si="59"/>
        <v>2.9</v>
      </c>
      <c r="E588">
        <f t="shared" ca="1" si="54"/>
        <v>-100</v>
      </c>
      <c r="F588">
        <f t="shared" ca="1" si="55"/>
        <v>480</v>
      </c>
      <c r="G588" s="3" t="b">
        <f ca="1">INDEX(dict_zul_Var_Meth[kval_active],MATCH(table_Methods[[#This Row],[ID]],dict_zul_Var_Meth[ID_Methods],0))</f>
        <v>0</v>
      </c>
      <c r="H588">
        <f t="shared" ca="1" si="56"/>
        <v>2552</v>
      </c>
      <c r="I588">
        <f t="shared" ca="1" si="57"/>
        <v>4864</v>
      </c>
    </row>
    <row r="589" spans="1:9" x14ac:dyDescent="0.45">
      <c r="A589">
        <v>587</v>
      </c>
      <c r="B589" t="str">
        <f>CONCATENATE("Methode ",table_Methods[[#This Row],[ID]])</f>
        <v>Methode 587</v>
      </c>
      <c r="C589">
        <f t="shared" ca="1" si="58"/>
        <v>570</v>
      </c>
      <c r="D589">
        <f t="shared" ca="1" si="59"/>
        <v>4.74</v>
      </c>
      <c r="E589">
        <f t="shared" ca="1" si="54"/>
        <v>-80</v>
      </c>
      <c r="F589">
        <f t="shared" ca="1" si="55"/>
        <v>600</v>
      </c>
      <c r="G589" s="3" t="b">
        <f ca="1">INDEX(dict_zul_Var_Meth[kval_active],MATCH(table_Methods[[#This Row],[ID]],dict_zul_Var_Meth[ID_Methods],0))</f>
        <v>0</v>
      </c>
      <c r="H589">
        <f t="shared" ca="1" si="56"/>
        <v>721</v>
      </c>
      <c r="I589">
        <f t="shared" ca="1" si="57"/>
        <v>64</v>
      </c>
    </row>
    <row r="590" spans="1:9" x14ac:dyDescent="0.45">
      <c r="A590">
        <v>588</v>
      </c>
      <c r="B590" t="str">
        <f>CONCATENATE("Methode ",table_Methods[[#This Row],[ID]])</f>
        <v>Methode 588</v>
      </c>
      <c r="C590">
        <f t="shared" ca="1" si="58"/>
        <v>2300</v>
      </c>
      <c r="D590">
        <f t="shared" ca="1" si="59"/>
        <v>5.77</v>
      </c>
      <c r="E590">
        <f t="shared" ca="1" si="54"/>
        <v>-10</v>
      </c>
      <c r="F590">
        <f t="shared" ca="1" si="55"/>
        <v>980</v>
      </c>
      <c r="G590" s="3" t="b">
        <f ca="1">INDEX(dict_zul_Var_Meth[kval_active],MATCH(table_Methods[[#This Row],[ID]],dict_zul_Var_Meth[ID_Methods],0))</f>
        <v>0</v>
      </c>
      <c r="H590">
        <f t="shared" ca="1" si="56"/>
        <v>2270</v>
      </c>
      <c r="I590">
        <f t="shared" ca="1" si="57"/>
        <v>4928</v>
      </c>
    </row>
    <row r="591" spans="1:9" x14ac:dyDescent="0.45">
      <c r="A591">
        <v>589</v>
      </c>
      <c r="B591" t="str">
        <f>CONCATENATE("Methode ",table_Methods[[#This Row],[ID]])</f>
        <v>Methode 589</v>
      </c>
      <c r="C591">
        <f t="shared" ca="1" si="58"/>
        <v>78</v>
      </c>
      <c r="D591">
        <f t="shared" ca="1" si="59"/>
        <v>6.23</v>
      </c>
      <c r="E591">
        <f t="shared" ca="1" si="54"/>
        <v>-90</v>
      </c>
      <c r="F591">
        <f t="shared" ca="1" si="55"/>
        <v>930</v>
      </c>
      <c r="G591" s="3" t="b">
        <f ca="1">INDEX(dict_zul_Var_Meth[kval_active],MATCH(table_Methods[[#This Row],[ID]],dict_zul_Var_Meth[ID_Methods],0))</f>
        <v>0</v>
      </c>
      <c r="H591">
        <f t="shared" ca="1" si="56"/>
        <v>1236</v>
      </c>
      <c r="I591">
        <f t="shared" ca="1" si="57"/>
        <v>416</v>
      </c>
    </row>
    <row r="592" spans="1:9" x14ac:dyDescent="0.45">
      <c r="A592">
        <v>590</v>
      </c>
      <c r="B592" t="str">
        <f>CONCATENATE("Methode ",table_Methods[[#This Row],[ID]])</f>
        <v>Methode 590</v>
      </c>
      <c r="C592">
        <f t="shared" ca="1" si="58"/>
        <v>660</v>
      </c>
      <c r="D592">
        <f t="shared" ca="1" si="59"/>
        <v>7.5</v>
      </c>
      <c r="E592">
        <f t="shared" ca="1" si="54"/>
        <v>-30</v>
      </c>
      <c r="F592">
        <f t="shared" ca="1" si="55"/>
        <v>960</v>
      </c>
      <c r="G592" s="3" t="b">
        <f ca="1">INDEX(dict_zul_Var_Meth[kval_active],MATCH(table_Methods[[#This Row],[ID]],dict_zul_Var_Meth[ID_Methods],0))</f>
        <v>0</v>
      </c>
      <c r="H592">
        <f t="shared" ca="1" si="56"/>
        <v>13228</v>
      </c>
      <c r="I592">
        <f t="shared" ca="1" si="57"/>
        <v>320</v>
      </c>
    </row>
    <row r="593" spans="1:9" x14ac:dyDescent="0.45">
      <c r="A593">
        <v>591</v>
      </c>
      <c r="B593" t="str">
        <f>CONCATENATE("Methode ",table_Methods[[#This Row],[ID]])</f>
        <v>Methode 591</v>
      </c>
      <c r="C593">
        <f t="shared" ca="1" si="58"/>
        <v>260</v>
      </c>
      <c r="D593">
        <f t="shared" ca="1" si="59"/>
        <v>8.83</v>
      </c>
      <c r="E593">
        <f t="shared" ca="1" si="54"/>
        <v>-10</v>
      </c>
      <c r="F593">
        <f t="shared" ca="1" si="55"/>
        <v>570</v>
      </c>
      <c r="G593" s="3" t="b">
        <f ca="1">INDEX(dict_zul_Var_Meth[kval_active],MATCH(table_Methods[[#This Row],[ID]],dict_zul_Var_Meth[ID_Methods],0))</f>
        <v>0</v>
      </c>
      <c r="H593">
        <f t="shared" ca="1" si="56"/>
        <v>6604</v>
      </c>
      <c r="I593">
        <f t="shared" ca="1" si="57"/>
        <v>30720</v>
      </c>
    </row>
    <row r="594" spans="1:9" x14ac:dyDescent="0.45">
      <c r="A594">
        <v>592</v>
      </c>
      <c r="B594" t="str">
        <f>CONCATENATE("Methode ",table_Methods[[#This Row],[ID]])</f>
        <v>Methode 592</v>
      </c>
      <c r="C594">
        <f t="shared" ca="1" si="58"/>
        <v>80</v>
      </c>
      <c r="D594">
        <f t="shared" ca="1" si="59"/>
        <v>2.16</v>
      </c>
      <c r="E594">
        <f t="shared" ca="1" si="54"/>
        <v>-50</v>
      </c>
      <c r="F594">
        <f t="shared" ca="1" si="55"/>
        <v>940</v>
      </c>
      <c r="G594" s="3" t="b">
        <f ca="1">INDEX(dict_zul_Var_Meth[kval_active],MATCH(table_Methods[[#This Row],[ID]],dict_zul_Var_Meth[ID_Methods],0))</f>
        <v>0</v>
      </c>
      <c r="H594">
        <f t="shared" ca="1" si="56"/>
        <v>4465</v>
      </c>
      <c r="I594">
        <f t="shared" ca="1" si="57"/>
        <v>992</v>
      </c>
    </row>
    <row r="595" spans="1:9" x14ac:dyDescent="0.45">
      <c r="A595">
        <v>593</v>
      </c>
      <c r="B595" t="str">
        <f>CONCATENATE("Methode ",table_Methods[[#This Row],[ID]])</f>
        <v>Methode 593</v>
      </c>
      <c r="C595">
        <f t="shared" ca="1" si="58"/>
        <v>830</v>
      </c>
      <c r="D595">
        <f t="shared" ca="1" si="59"/>
        <v>1.1100000000000001</v>
      </c>
      <c r="E595">
        <f t="shared" ca="1" si="54"/>
        <v>-20</v>
      </c>
      <c r="F595">
        <f t="shared" ca="1" si="55"/>
        <v>740</v>
      </c>
      <c r="G595" s="3" t="b">
        <f ca="1">INDEX(dict_zul_Var_Meth[kval_active],MATCH(table_Methods[[#This Row],[ID]],dict_zul_Var_Meth[ID_Methods],0))</f>
        <v>0</v>
      </c>
      <c r="H595">
        <f t="shared" ca="1" si="56"/>
        <v>3213</v>
      </c>
      <c r="I595">
        <f t="shared" ca="1" si="57"/>
        <v>656</v>
      </c>
    </row>
    <row r="596" spans="1:9" x14ac:dyDescent="0.45">
      <c r="A596">
        <v>594</v>
      </c>
      <c r="B596" t="str">
        <f>CONCATENATE("Methode ",table_Methods[[#This Row],[ID]])</f>
        <v>Methode 594</v>
      </c>
      <c r="C596">
        <f t="shared" ca="1" si="58"/>
        <v>30</v>
      </c>
      <c r="D596">
        <f t="shared" ca="1" si="59"/>
        <v>9.83</v>
      </c>
      <c r="E596">
        <f t="shared" ca="1" si="54"/>
        <v>-90</v>
      </c>
      <c r="F596">
        <f t="shared" ca="1" si="55"/>
        <v>250</v>
      </c>
      <c r="G596" s="3" t="b">
        <f ca="1">INDEX(dict_zul_Var_Meth[kval_active],MATCH(table_Methods[[#This Row],[ID]],dict_zul_Var_Meth[ID_Methods],0))</f>
        <v>0</v>
      </c>
      <c r="H596">
        <f t="shared" ca="1" si="56"/>
        <v>34685</v>
      </c>
      <c r="I596">
        <f t="shared" ca="1" si="57"/>
        <v>172</v>
      </c>
    </row>
    <row r="597" spans="1:9" x14ac:dyDescent="0.45">
      <c r="A597">
        <v>595</v>
      </c>
      <c r="B597" t="str">
        <f>CONCATENATE("Methode ",table_Methods[[#This Row],[ID]])</f>
        <v>Methode 595</v>
      </c>
      <c r="C597">
        <f t="shared" ca="1" si="58"/>
        <v>410</v>
      </c>
      <c r="D597">
        <f t="shared" ca="1" si="59"/>
        <v>1.61</v>
      </c>
      <c r="E597">
        <f t="shared" ca="1" si="54"/>
        <v>-50</v>
      </c>
      <c r="F597">
        <f t="shared" ca="1" si="55"/>
        <v>960</v>
      </c>
      <c r="G597" s="3" t="b">
        <f ca="1">INDEX(dict_zul_Var_Meth[kval_active],MATCH(table_Methods[[#This Row],[ID]],dict_zul_Var_Meth[ID_Methods],0))</f>
        <v>0</v>
      </c>
      <c r="H597">
        <f t="shared" ca="1" si="56"/>
        <v>16556</v>
      </c>
      <c r="I597">
        <f t="shared" ca="1" si="57"/>
        <v>5376</v>
      </c>
    </row>
    <row r="598" spans="1:9" x14ac:dyDescent="0.45">
      <c r="A598">
        <v>596</v>
      </c>
      <c r="B598" t="str">
        <f>CONCATENATE("Methode ",table_Methods[[#This Row],[ID]])</f>
        <v>Methode 596</v>
      </c>
      <c r="C598">
        <f t="shared" ca="1" si="58"/>
        <v>960</v>
      </c>
      <c r="D598">
        <f t="shared" ca="1" si="59"/>
        <v>7.65</v>
      </c>
      <c r="E598">
        <f t="shared" ca="1" si="54"/>
        <v>20</v>
      </c>
      <c r="F598">
        <f t="shared" ca="1" si="55"/>
        <v>70</v>
      </c>
      <c r="G598" s="3" t="b">
        <f ca="1">INDEX(dict_zul_Var_Meth[kval_active],MATCH(table_Methods[[#This Row],[ID]],dict_zul_Var_Meth[ID_Methods],0))</f>
        <v>0</v>
      </c>
      <c r="H598">
        <f t="shared" ca="1" si="56"/>
        <v>1416</v>
      </c>
      <c r="I598">
        <f t="shared" ca="1" si="57"/>
        <v>16</v>
      </c>
    </row>
    <row r="599" spans="1:9" x14ac:dyDescent="0.45">
      <c r="A599">
        <v>597</v>
      </c>
      <c r="B599" t="str">
        <f>CONCATENATE("Methode ",table_Methods[[#This Row],[ID]])</f>
        <v>Methode 597</v>
      </c>
      <c r="C599">
        <f t="shared" ca="1" si="58"/>
        <v>53.000000000000007</v>
      </c>
      <c r="D599">
        <f t="shared" ca="1" si="59"/>
        <v>0.99</v>
      </c>
      <c r="E599">
        <f t="shared" ca="1" si="54"/>
        <v>-40</v>
      </c>
      <c r="F599">
        <f t="shared" ca="1" si="55"/>
        <v>300</v>
      </c>
      <c r="G599" s="3" t="b">
        <f ca="1">INDEX(dict_zul_Var_Meth[kval_active],MATCH(table_Methods[[#This Row],[ID]],dict_zul_Var_Meth[ID_Methods],0))</f>
        <v>0</v>
      </c>
      <c r="H599">
        <f t="shared" ca="1" si="56"/>
        <v>2085</v>
      </c>
      <c r="I599">
        <f t="shared" ca="1" si="57"/>
        <v>1856</v>
      </c>
    </row>
    <row r="600" spans="1:9" x14ac:dyDescent="0.45">
      <c r="A600">
        <v>598</v>
      </c>
      <c r="B600" t="str">
        <f>CONCATENATE("Methode ",table_Methods[[#This Row],[ID]])</f>
        <v>Methode 598</v>
      </c>
      <c r="C600">
        <f t="shared" ca="1" si="58"/>
        <v>5500</v>
      </c>
      <c r="D600">
        <f t="shared" ca="1" si="59"/>
        <v>1.61</v>
      </c>
      <c r="E600">
        <f t="shared" ca="1" si="54"/>
        <v>-10</v>
      </c>
      <c r="F600">
        <f t="shared" ca="1" si="55"/>
        <v>280</v>
      </c>
      <c r="G600" s="3" t="b">
        <f ca="1">INDEX(dict_zul_Var_Meth[kval_active],MATCH(table_Methods[[#This Row],[ID]],dict_zul_Var_Meth[ID_Methods],0))</f>
        <v>0</v>
      </c>
      <c r="H600">
        <f t="shared" ca="1" si="56"/>
        <v>14176</v>
      </c>
      <c r="I600">
        <f t="shared" ca="1" si="57"/>
        <v>512</v>
      </c>
    </row>
    <row r="601" spans="1:9" x14ac:dyDescent="0.45">
      <c r="A601">
        <v>599</v>
      </c>
      <c r="B601" t="str">
        <f>CONCATENATE("Methode ",table_Methods[[#This Row],[ID]])</f>
        <v>Methode 599</v>
      </c>
      <c r="C601">
        <f t="shared" ca="1" si="58"/>
        <v>8900</v>
      </c>
      <c r="D601">
        <f t="shared" ca="1" si="59"/>
        <v>7.72</v>
      </c>
      <c r="E601">
        <f t="shared" ca="1" si="54"/>
        <v>-90</v>
      </c>
      <c r="F601">
        <f t="shared" ca="1" si="55"/>
        <v>220</v>
      </c>
      <c r="G601" s="3" t="b">
        <f ca="1">INDEX(dict_zul_Var_Meth[kval_active],MATCH(table_Methods[[#This Row],[ID]],dict_zul_Var_Meth[ID_Methods],0))</f>
        <v>0</v>
      </c>
      <c r="H601">
        <f t="shared" ca="1" si="56"/>
        <v>1848</v>
      </c>
      <c r="I601">
        <f t="shared" ca="1" si="57"/>
        <v>9088</v>
      </c>
    </row>
    <row r="602" spans="1:9" x14ac:dyDescent="0.45">
      <c r="A602">
        <v>600</v>
      </c>
      <c r="B602" t="str">
        <f>CONCATENATE("Methode ",table_Methods[[#This Row],[ID]])</f>
        <v>Methode 600</v>
      </c>
      <c r="C602">
        <f t="shared" ca="1" si="58"/>
        <v>420</v>
      </c>
      <c r="D602">
        <f t="shared" ca="1" si="59"/>
        <v>3.34</v>
      </c>
      <c r="E602">
        <f t="shared" ca="1" si="54"/>
        <v>10</v>
      </c>
      <c r="F602">
        <f t="shared" ca="1" si="55"/>
        <v>960</v>
      </c>
      <c r="G602" s="3" t="b">
        <f ca="1">INDEX(dict_zul_Var_Meth[kval_active],MATCH(table_Methods[[#This Row],[ID]],dict_zul_Var_Meth[ID_Methods],0))</f>
        <v>0</v>
      </c>
      <c r="H602">
        <f t="shared" ca="1" si="56"/>
        <v>16168</v>
      </c>
      <c r="I602">
        <f t="shared" ca="1" si="57"/>
        <v>308</v>
      </c>
    </row>
    <row r="603" spans="1:9" x14ac:dyDescent="0.45">
      <c r="A603">
        <v>601</v>
      </c>
      <c r="B603" t="str">
        <f>CONCATENATE("Methode ",table_Methods[[#This Row],[ID]])</f>
        <v>Methode 601</v>
      </c>
      <c r="C603">
        <f t="shared" ca="1" si="58"/>
        <v>830</v>
      </c>
      <c r="D603">
        <f t="shared" ca="1" si="59"/>
        <v>9.7899999999999991</v>
      </c>
      <c r="E603">
        <f t="shared" ca="1" si="54"/>
        <v>-20</v>
      </c>
      <c r="F603">
        <f t="shared" ca="1" si="55"/>
        <v>320</v>
      </c>
      <c r="G603" s="3" t="b">
        <f ca="1">INDEX(dict_zul_Var_Meth[kval_active],MATCH(table_Methods[[#This Row],[ID]],dict_zul_Var_Meth[ID_Methods],0))</f>
        <v>0</v>
      </c>
      <c r="H603">
        <f t="shared" ca="1" si="56"/>
        <v>8472</v>
      </c>
      <c r="I603">
        <f t="shared" ca="1" si="57"/>
        <v>120</v>
      </c>
    </row>
    <row r="604" spans="1:9" x14ac:dyDescent="0.45">
      <c r="A604">
        <v>602</v>
      </c>
      <c r="B604" t="str">
        <f>CONCATENATE("Methode ",table_Methods[[#This Row],[ID]])</f>
        <v>Methode 602</v>
      </c>
      <c r="C604">
        <f t="shared" ca="1" si="58"/>
        <v>8200</v>
      </c>
      <c r="D604">
        <f t="shared" ca="1" si="59"/>
        <v>5.86</v>
      </c>
      <c r="E604">
        <f t="shared" ca="1" si="54"/>
        <v>-90</v>
      </c>
      <c r="F604">
        <f t="shared" ca="1" si="55"/>
        <v>200</v>
      </c>
      <c r="G604" s="3" t="b">
        <f ca="1">INDEX(dict_zul_Var_Meth[kval_active],MATCH(table_Methods[[#This Row],[ID]],dict_zul_Var_Meth[ID_Methods],0))</f>
        <v>0</v>
      </c>
      <c r="H604">
        <f t="shared" ca="1" si="56"/>
        <v>7449</v>
      </c>
      <c r="I604">
        <f t="shared" ca="1" si="57"/>
        <v>7552</v>
      </c>
    </row>
    <row r="605" spans="1:9" x14ac:dyDescent="0.45">
      <c r="A605">
        <v>603</v>
      </c>
      <c r="B605" t="str">
        <f>CONCATENATE("Methode ",table_Methods[[#This Row],[ID]])</f>
        <v>Methode 603</v>
      </c>
      <c r="C605">
        <f t="shared" ca="1" si="58"/>
        <v>420</v>
      </c>
      <c r="D605">
        <f t="shared" ca="1" si="59"/>
        <v>3.15</v>
      </c>
      <c r="E605">
        <f t="shared" ca="1" si="54"/>
        <v>-90</v>
      </c>
      <c r="F605">
        <f t="shared" ca="1" si="55"/>
        <v>920</v>
      </c>
      <c r="G605" s="3" t="b">
        <f ca="1">INDEX(dict_zul_Var_Meth[kval_active],MATCH(table_Methods[[#This Row],[ID]],dict_zul_Var_Meth[ID_Methods],0))</f>
        <v>0</v>
      </c>
      <c r="H605">
        <f t="shared" ca="1" si="56"/>
        <v>38313</v>
      </c>
      <c r="I605">
        <f t="shared" ca="1" si="57"/>
        <v>896</v>
      </c>
    </row>
    <row r="606" spans="1:9" x14ac:dyDescent="0.45">
      <c r="A606">
        <v>604</v>
      </c>
      <c r="B606" t="str">
        <f>CONCATENATE("Methode ",table_Methods[[#This Row],[ID]])</f>
        <v>Methode 604</v>
      </c>
      <c r="C606">
        <f t="shared" ca="1" si="58"/>
        <v>87.000000000000014</v>
      </c>
      <c r="D606">
        <f t="shared" ca="1" si="59"/>
        <v>6.48</v>
      </c>
      <c r="E606">
        <f t="shared" ca="1" si="54"/>
        <v>-70</v>
      </c>
      <c r="F606">
        <f t="shared" ca="1" si="55"/>
        <v>640</v>
      </c>
      <c r="G606" s="3" t="b">
        <f ca="1">INDEX(dict_zul_Var_Meth[kval_active],MATCH(table_Methods[[#This Row],[ID]],dict_zul_Var_Meth[ID_Methods],0))</f>
        <v>0</v>
      </c>
      <c r="H606">
        <f t="shared" ca="1" si="56"/>
        <v>31944</v>
      </c>
      <c r="I606">
        <f t="shared" ca="1" si="57"/>
        <v>16</v>
      </c>
    </row>
    <row r="607" spans="1:9" x14ac:dyDescent="0.45">
      <c r="A607">
        <v>605</v>
      </c>
      <c r="B607" t="str">
        <f>CONCATENATE("Methode ",table_Methods[[#This Row],[ID]])</f>
        <v>Methode 605</v>
      </c>
      <c r="C607">
        <f t="shared" ca="1" si="58"/>
        <v>7300</v>
      </c>
      <c r="D607">
        <f t="shared" ca="1" si="59"/>
        <v>9.73</v>
      </c>
      <c r="E607">
        <f t="shared" ca="1" si="54"/>
        <v>-70</v>
      </c>
      <c r="F607">
        <f t="shared" ca="1" si="55"/>
        <v>640</v>
      </c>
      <c r="G607" s="3" t="b">
        <f ca="1">INDEX(dict_zul_Var_Meth[kval_active],MATCH(table_Methods[[#This Row],[ID]],dict_zul_Var_Meth[ID_Methods],0))</f>
        <v>0</v>
      </c>
      <c r="H607">
        <f t="shared" ca="1" si="56"/>
        <v>5679</v>
      </c>
      <c r="I607">
        <f t="shared" ca="1" si="57"/>
        <v>11008</v>
      </c>
    </row>
    <row r="608" spans="1:9" x14ac:dyDescent="0.45">
      <c r="A608">
        <v>606</v>
      </c>
      <c r="B608" t="str">
        <f>CONCATENATE("Methode ",table_Methods[[#This Row],[ID]])</f>
        <v>Methode 606</v>
      </c>
      <c r="C608">
        <f t="shared" ca="1" si="58"/>
        <v>580</v>
      </c>
      <c r="D608">
        <f t="shared" ca="1" si="59"/>
        <v>5.22</v>
      </c>
      <c r="E608">
        <f t="shared" ca="1" si="54"/>
        <v>-10</v>
      </c>
      <c r="F608">
        <f t="shared" ca="1" si="55"/>
        <v>900</v>
      </c>
      <c r="G608" s="3" t="b">
        <f ca="1">INDEX(dict_zul_Var_Meth[kval_active],MATCH(table_Methods[[#This Row],[ID]],dict_zul_Var_Meth[ID_Methods],0))</f>
        <v>0</v>
      </c>
      <c r="H608">
        <f t="shared" ca="1" si="56"/>
        <v>26484</v>
      </c>
      <c r="I608">
        <f t="shared" ca="1" si="57"/>
        <v>13312</v>
      </c>
    </row>
    <row r="609" spans="1:9" x14ac:dyDescent="0.45">
      <c r="A609">
        <v>607</v>
      </c>
      <c r="B609" t="str">
        <f>CONCATENATE("Methode ",table_Methods[[#This Row],[ID]])</f>
        <v>Methode 607</v>
      </c>
      <c r="C609">
        <f t="shared" ca="1" si="58"/>
        <v>80</v>
      </c>
      <c r="D609">
        <f t="shared" ca="1" si="59"/>
        <v>7.36</v>
      </c>
      <c r="E609">
        <f t="shared" ca="1" si="54"/>
        <v>-40</v>
      </c>
      <c r="F609">
        <f t="shared" ca="1" si="55"/>
        <v>450</v>
      </c>
      <c r="G609" s="3" t="b">
        <f ca="1">INDEX(dict_zul_Var_Meth[kval_active],MATCH(table_Methods[[#This Row],[ID]],dict_zul_Var_Meth[ID_Methods],0))</f>
        <v>0</v>
      </c>
      <c r="H609">
        <f t="shared" ca="1" si="56"/>
        <v>8832</v>
      </c>
      <c r="I609">
        <f t="shared" ca="1" si="57"/>
        <v>14848</v>
      </c>
    </row>
    <row r="610" spans="1:9" x14ac:dyDescent="0.45">
      <c r="A610">
        <v>608</v>
      </c>
      <c r="B610" t="str">
        <f>CONCATENATE("Methode ",table_Methods[[#This Row],[ID]])</f>
        <v>Methode 608</v>
      </c>
      <c r="C610">
        <f t="shared" ca="1" si="58"/>
        <v>25</v>
      </c>
      <c r="D610">
        <f t="shared" ca="1" si="59"/>
        <v>1.41</v>
      </c>
      <c r="E610">
        <f t="shared" ca="1" si="54"/>
        <v>-90</v>
      </c>
      <c r="F610">
        <f t="shared" ca="1" si="55"/>
        <v>250</v>
      </c>
      <c r="G610" s="3" t="b">
        <f ca="1">INDEX(dict_zul_Var_Meth[kval_active],MATCH(table_Methods[[#This Row],[ID]],dict_zul_Var_Meth[ID_Methods],0))</f>
        <v>0</v>
      </c>
      <c r="H610">
        <f t="shared" ca="1" si="56"/>
        <v>16674</v>
      </c>
      <c r="I610">
        <f t="shared" ca="1" si="57"/>
        <v>5568</v>
      </c>
    </row>
    <row r="611" spans="1:9" x14ac:dyDescent="0.45">
      <c r="A611">
        <v>609</v>
      </c>
      <c r="B611" t="str">
        <f>CONCATENATE("Methode ",table_Methods[[#This Row],[ID]])</f>
        <v>Methode 609</v>
      </c>
      <c r="C611">
        <f t="shared" ca="1" si="58"/>
        <v>560</v>
      </c>
      <c r="D611">
        <f t="shared" ca="1" si="59"/>
        <v>6.29</v>
      </c>
      <c r="E611">
        <f t="shared" ca="1" si="54"/>
        <v>-20</v>
      </c>
      <c r="F611">
        <f t="shared" ca="1" si="55"/>
        <v>350</v>
      </c>
      <c r="G611" s="3" t="b">
        <f ca="1">INDEX(dict_zul_Var_Meth[kval_active],MATCH(table_Methods[[#This Row],[ID]],dict_zul_Var_Meth[ID_Methods],0))</f>
        <v>0</v>
      </c>
      <c r="H611">
        <f t="shared" ca="1" si="56"/>
        <v>36580</v>
      </c>
      <c r="I611">
        <f t="shared" ca="1" si="57"/>
        <v>232</v>
      </c>
    </row>
    <row r="612" spans="1:9" x14ac:dyDescent="0.45">
      <c r="A612">
        <v>610</v>
      </c>
      <c r="B612" t="str">
        <f>CONCATENATE("Methode ",table_Methods[[#This Row],[ID]])</f>
        <v>Methode 610</v>
      </c>
      <c r="C612">
        <f t="shared" ca="1" si="58"/>
        <v>6000</v>
      </c>
      <c r="D612">
        <f t="shared" ca="1" si="59"/>
        <v>2.65</v>
      </c>
      <c r="E612">
        <f t="shared" ref="E612:E675" ca="1" si="60">RANDBETWEEN(-10,3)*10</f>
        <v>-100</v>
      </c>
      <c r="F612">
        <f t="shared" ref="F612:F675" ca="1" si="61">RANDBETWEEN(2,100)*10</f>
        <v>650</v>
      </c>
      <c r="G612" s="3" t="b">
        <f ca="1">INDEX(dict_zul_Var_Meth[kval_active],MATCH(table_Methods[[#This Row],[ID]],dict_zul_Var_Meth[ID_Methods],0))</f>
        <v>0</v>
      </c>
      <c r="H612">
        <f t="shared" ref="H612:H675" ca="1" si="62">RANDBETWEEN(1,10)*RANDBETWEEN(1,5000)</f>
        <v>19998</v>
      </c>
      <c r="I612">
        <f t="shared" ref="I612:I675" ca="1" si="63">2^RANDBETWEEN(1,10)*RANDBETWEEN(1,100)</f>
        <v>5632</v>
      </c>
    </row>
    <row r="613" spans="1:9" x14ac:dyDescent="0.45">
      <c r="A613">
        <v>611</v>
      </c>
      <c r="B613" t="str">
        <f>CONCATENATE("Methode ",table_Methods[[#This Row],[ID]])</f>
        <v>Methode 611</v>
      </c>
      <c r="C613">
        <f t="shared" ca="1" si="58"/>
        <v>41.000000000000007</v>
      </c>
      <c r="D613">
        <f t="shared" ca="1" si="59"/>
        <v>6.65</v>
      </c>
      <c r="E613">
        <f t="shared" ca="1" si="60"/>
        <v>-30</v>
      </c>
      <c r="F613">
        <f t="shared" ca="1" si="61"/>
        <v>240</v>
      </c>
      <c r="G613" s="3" t="b">
        <f ca="1">INDEX(dict_zul_Var_Meth[kval_active],MATCH(table_Methods[[#This Row],[ID]],dict_zul_Var_Meth[ID_Methods],0))</f>
        <v>0</v>
      </c>
      <c r="H613">
        <f t="shared" ca="1" si="62"/>
        <v>9212</v>
      </c>
      <c r="I613">
        <f t="shared" ca="1" si="63"/>
        <v>1280</v>
      </c>
    </row>
    <row r="614" spans="1:9" x14ac:dyDescent="0.45">
      <c r="A614">
        <v>612</v>
      </c>
      <c r="B614" t="str">
        <f>CONCATENATE("Methode ",table_Methods[[#This Row],[ID]])</f>
        <v>Methode 612</v>
      </c>
      <c r="C614">
        <f t="shared" ca="1" si="58"/>
        <v>120</v>
      </c>
      <c r="D614">
        <f t="shared" ca="1" si="59"/>
        <v>6.39</v>
      </c>
      <c r="E614">
        <f t="shared" ca="1" si="60"/>
        <v>-30</v>
      </c>
      <c r="F614">
        <f t="shared" ca="1" si="61"/>
        <v>830</v>
      </c>
      <c r="G614" s="3" t="b">
        <f ca="1">INDEX(dict_zul_Var_Meth[kval_active],MATCH(table_Methods[[#This Row],[ID]],dict_zul_Var_Meth[ID_Methods],0))</f>
        <v>0</v>
      </c>
      <c r="H614">
        <f t="shared" ca="1" si="62"/>
        <v>28446</v>
      </c>
      <c r="I614">
        <f t="shared" ca="1" si="63"/>
        <v>12800</v>
      </c>
    </row>
    <row r="615" spans="1:9" x14ac:dyDescent="0.45">
      <c r="A615">
        <v>613</v>
      </c>
      <c r="B615" t="str">
        <f>CONCATENATE("Methode ",table_Methods[[#This Row],[ID]])</f>
        <v>Methode 613</v>
      </c>
      <c r="C615">
        <f t="shared" ca="1" si="58"/>
        <v>3600</v>
      </c>
      <c r="D615">
        <f t="shared" ca="1" si="59"/>
        <v>9.8000000000000007</v>
      </c>
      <c r="E615">
        <f t="shared" ca="1" si="60"/>
        <v>-40</v>
      </c>
      <c r="F615">
        <f t="shared" ca="1" si="61"/>
        <v>610</v>
      </c>
      <c r="G615" s="3" t="b">
        <f ca="1">INDEX(dict_zul_Var_Meth[kval_active],MATCH(table_Methods[[#This Row],[ID]],dict_zul_Var_Meth[ID_Methods],0))</f>
        <v>0</v>
      </c>
      <c r="H615">
        <f t="shared" ca="1" si="62"/>
        <v>5265</v>
      </c>
      <c r="I615">
        <f t="shared" ca="1" si="63"/>
        <v>384</v>
      </c>
    </row>
    <row r="616" spans="1:9" x14ac:dyDescent="0.45">
      <c r="A616">
        <v>614</v>
      </c>
      <c r="B616" t="str">
        <f>CONCATENATE("Methode ",table_Methods[[#This Row],[ID]])</f>
        <v>Methode 614</v>
      </c>
      <c r="C616">
        <f t="shared" ca="1" si="58"/>
        <v>770</v>
      </c>
      <c r="D616">
        <f t="shared" ca="1" si="59"/>
        <v>6.81</v>
      </c>
      <c r="E616">
        <f t="shared" ca="1" si="60"/>
        <v>-100</v>
      </c>
      <c r="F616">
        <f t="shared" ca="1" si="61"/>
        <v>470</v>
      </c>
      <c r="G616" s="3" t="b">
        <f ca="1">INDEX(dict_zul_Var_Meth[kval_active],MATCH(table_Methods[[#This Row],[ID]],dict_zul_Var_Meth[ID_Methods],0))</f>
        <v>0</v>
      </c>
      <c r="H616">
        <f t="shared" ca="1" si="62"/>
        <v>2158</v>
      </c>
      <c r="I616">
        <f t="shared" ca="1" si="63"/>
        <v>13056</v>
      </c>
    </row>
    <row r="617" spans="1:9" x14ac:dyDescent="0.45">
      <c r="A617">
        <v>615</v>
      </c>
      <c r="B617" t="str">
        <f>CONCATENATE("Methode ",table_Methods[[#This Row],[ID]])</f>
        <v>Methode 615</v>
      </c>
      <c r="C617">
        <f t="shared" ca="1" si="58"/>
        <v>470</v>
      </c>
      <c r="D617">
        <f t="shared" ca="1" si="59"/>
        <v>3.74</v>
      </c>
      <c r="E617">
        <f t="shared" ca="1" si="60"/>
        <v>-70</v>
      </c>
      <c r="F617">
        <f t="shared" ca="1" si="61"/>
        <v>460</v>
      </c>
      <c r="G617" s="3" t="b">
        <f ca="1">INDEX(dict_zul_Var_Meth[kval_active],MATCH(table_Methods[[#This Row],[ID]],dict_zul_Var_Meth[ID_Methods],0))</f>
        <v>0</v>
      </c>
      <c r="H617">
        <f t="shared" ca="1" si="62"/>
        <v>33656</v>
      </c>
      <c r="I617">
        <f t="shared" ca="1" si="63"/>
        <v>104</v>
      </c>
    </row>
    <row r="618" spans="1:9" x14ac:dyDescent="0.45">
      <c r="A618">
        <v>616</v>
      </c>
      <c r="B618" t="str">
        <f>CONCATENATE("Methode ",table_Methods[[#This Row],[ID]])</f>
        <v>Methode 616</v>
      </c>
      <c r="C618">
        <f t="shared" ca="1" si="58"/>
        <v>2300</v>
      </c>
      <c r="D618">
        <f t="shared" ca="1" si="59"/>
        <v>5.59</v>
      </c>
      <c r="E618">
        <f t="shared" ca="1" si="60"/>
        <v>-10</v>
      </c>
      <c r="F618">
        <f t="shared" ca="1" si="61"/>
        <v>700</v>
      </c>
      <c r="G618" s="3" t="b">
        <f ca="1">INDEX(dict_zul_Var_Meth[kval_active],MATCH(table_Methods[[#This Row],[ID]],dict_zul_Var_Meth[ID_Methods],0))</f>
        <v>0</v>
      </c>
      <c r="H618">
        <f t="shared" ca="1" si="62"/>
        <v>5035</v>
      </c>
      <c r="I618">
        <f t="shared" ca="1" si="63"/>
        <v>896</v>
      </c>
    </row>
    <row r="619" spans="1:9" x14ac:dyDescent="0.45">
      <c r="A619">
        <v>617</v>
      </c>
      <c r="B619" t="str">
        <f>CONCATENATE("Methode ",table_Methods[[#This Row],[ID]])</f>
        <v>Methode 617</v>
      </c>
      <c r="C619">
        <f t="shared" ca="1" si="58"/>
        <v>5900</v>
      </c>
      <c r="D619">
        <f t="shared" ca="1" si="59"/>
        <v>6.79</v>
      </c>
      <c r="E619">
        <f t="shared" ca="1" si="60"/>
        <v>-50</v>
      </c>
      <c r="F619">
        <f t="shared" ca="1" si="61"/>
        <v>130</v>
      </c>
      <c r="G619" s="3" t="b">
        <f ca="1">INDEX(dict_zul_Var_Meth[kval_active],MATCH(table_Methods[[#This Row],[ID]],dict_zul_Var_Meth[ID_Methods],0))</f>
        <v>0</v>
      </c>
      <c r="H619">
        <f t="shared" ca="1" si="62"/>
        <v>6498</v>
      </c>
      <c r="I619">
        <f t="shared" ca="1" si="63"/>
        <v>3136</v>
      </c>
    </row>
    <row r="620" spans="1:9" x14ac:dyDescent="0.45">
      <c r="A620">
        <v>618</v>
      </c>
      <c r="B620" t="str">
        <f>CONCATENATE("Methode ",table_Methods[[#This Row],[ID]])</f>
        <v>Methode 618</v>
      </c>
      <c r="C620">
        <f t="shared" ca="1" si="58"/>
        <v>2500</v>
      </c>
      <c r="D620">
        <f t="shared" ca="1" si="59"/>
        <v>6.59</v>
      </c>
      <c r="E620">
        <f t="shared" ca="1" si="60"/>
        <v>-90</v>
      </c>
      <c r="F620">
        <f t="shared" ca="1" si="61"/>
        <v>500</v>
      </c>
      <c r="G620" s="3" t="b">
        <f ca="1">INDEX(dict_zul_Var_Meth[kval_active],MATCH(table_Methods[[#This Row],[ID]],dict_zul_Var_Meth[ID_Methods],0))</f>
        <v>0</v>
      </c>
      <c r="H620">
        <f t="shared" ca="1" si="62"/>
        <v>4510</v>
      </c>
      <c r="I620">
        <f t="shared" ca="1" si="63"/>
        <v>512</v>
      </c>
    </row>
    <row r="621" spans="1:9" x14ac:dyDescent="0.45">
      <c r="A621">
        <v>619</v>
      </c>
      <c r="B621" t="str">
        <f>CONCATENATE("Methode ",table_Methods[[#This Row],[ID]])</f>
        <v>Methode 619</v>
      </c>
      <c r="C621">
        <f t="shared" ca="1" si="58"/>
        <v>24.000000000000004</v>
      </c>
      <c r="D621">
        <f t="shared" ca="1" si="59"/>
        <v>2.5299999999999998</v>
      </c>
      <c r="E621">
        <f t="shared" ca="1" si="60"/>
        <v>10</v>
      </c>
      <c r="F621">
        <f t="shared" ca="1" si="61"/>
        <v>210</v>
      </c>
      <c r="G621" s="3" t="b">
        <f ca="1">INDEX(dict_zul_Var_Meth[kval_active],MATCH(table_Methods[[#This Row],[ID]],dict_zul_Var_Meth[ID_Methods],0))</f>
        <v>0</v>
      </c>
      <c r="H621">
        <f t="shared" ca="1" si="62"/>
        <v>4280</v>
      </c>
      <c r="I621">
        <f t="shared" ca="1" si="63"/>
        <v>976</v>
      </c>
    </row>
    <row r="622" spans="1:9" x14ac:dyDescent="0.45">
      <c r="A622">
        <v>620</v>
      </c>
      <c r="B622" t="str">
        <f>CONCATENATE("Methode ",table_Methods[[#This Row],[ID]])</f>
        <v>Methode 620</v>
      </c>
      <c r="C622">
        <f t="shared" ca="1" si="58"/>
        <v>7500</v>
      </c>
      <c r="D622">
        <f t="shared" ca="1" si="59"/>
        <v>0.11</v>
      </c>
      <c r="E622">
        <f t="shared" ca="1" si="60"/>
        <v>-20</v>
      </c>
      <c r="F622">
        <f t="shared" ca="1" si="61"/>
        <v>910</v>
      </c>
      <c r="G622" s="3" t="b">
        <f ca="1">INDEX(dict_zul_Var_Meth[kval_active],MATCH(table_Methods[[#This Row],[ID]],dict_zul_Var_Meth[ID_Methods],0))</f>
        <v>0</v>
      </c>
      <c r="H622">
        <f t="shared" ca="1" si="62"/>
        <v>8562</v>
      </c>
      <c r="I622">
        <f t="shared" ca="1" si="63"/>
        <v>320</v>
      </c>
    </row>
    <row r="623" spans="1:9" x14ac:dyDescent="0.45">
      <c r="A623">
        <v>621</v>
      </c>
      <c r="B623" t="str">
        <f>CONCATENATE("Methode ",table_Methods[[#This Row],[ID]])</f>
        <v>Methode 621</v>
      </c>
      <c r="C623">
        <f t="shared" ca="1" si="58"/>
        <v>5500</v>
      </c>
      <c r="D623">
        <f t="shared" ca="1" si="59"/>
        <v>3.49</v>
      </c>
      <c r="E623">
        <f t="shared" ca="1" si="60"/>
        <v>-70</v>
      </c>
      <c r="F623">
        <f t="shared" ca="1" si="61"/>
        <v>360</v>
      </c>
      <c r="G623" s="3" t="b">
        <f ca="1">INDEX(dict_zul_Var_Meth[kval_active],MATCH(table_Methods[[#This Row],[ID]],dict_zul_Var_Meth[ID_Methods],0))</f>
        <v>0</v>
      </c>
      <c r="H623">
        <f t="shared" ca="1" si="62"/>
        <v>4624</v>
      </c>
      <c r="I623">
        <f t="shared" ca="1" si="63"/>
        <v>1536</v>
      </c>
    </row>
    <row r="624" spans="1:9" x14ac:dyDescent="0.45">
      <c r="A624">
        <v>622</v>
      </c>
      <c r="B624" t="str">
        <f>CONCATENATE("Methode ",table_Methods[[#This Row],[ID]])</f>
        <v>Methode 622</v>
      </c>
      <c r="C624">
        <f t="shared" ca="1" si="58"/>
        <v>530</v>
      </c>
      <c r="D624">
        <f t="shared" ca="1" si="59"/>
        <v>0.28000000000000003</v>
      </c>
      <c r="E624">
        <f t="shared" ca="1" si="60"/>
        <v>-50</v>
      </c>
      <c r="F624">
        <f t="shared" ca="1" si="61"/>
        <v>290</v>
      </c>
      <c r="G624" s="3" t="b">
        <f ca="1">INDEX(dict_zul_Var_Meth[kval_active],MATCH(table_Methods[[#This Row],[ID]],dict_zul_Var_Meth[ID_Methods],0))</f>
        <v>0</v>
      </c>
      <c r="H624">
        <f t="shared" ca="1" si="62"/>
        <v>2125</v>
      </c>
      <c r="I624">
        <f t="shared" ca="1" si="63"/>
        <v>1536</v>
      </c>
    </row>
    <row r="625" spans="1:9" x14ac:dyDescent="0.45">
      <c r="A625">
        <v>623</v>
      </c>
      <c r="B625" t="str">
        <f>CONCATENATE("Methode ",table_Methods[[#This Row],[ID]])</f>
        <v>Methode 623</v>
      </c>
      <c r="C625">
        <f t="shared" ca="1" si="58"/>
        <v>1200</v>
      </c>
      <c r="D625">
        <f t="shared" ca="1" si="59"/>
        <v>6.32</v>
      </c>
      <c r="E625">
        <f t="shared" ca="1" si="60"/>
        <v>-10</v>
      </c>
      <c r="F625">
        <f t="shared" ca="1" si="61"/>
        <v>420</v>
      </c>
      <c r="G625" s="3" t="b">
        <f ca="1">INDEX(dict_zul_Var_Meth[kval_active],MATCH(table_Methods[[#This Row],[ID]],dict_zul_Var_Meth[ID_Methods],0))</f>
        <v>0</v>
      </c>
      <c r="H625">
        <f t="shared" ca="1" si="62"/>
        <v>4110</v>
      </c>
      <c r="I625">
        <f t="shared" ca="1" si="63"/>
        <v>144</v>
      </c>
    </row>
    <row r="626" spans="1:9" x14ac:dyDescent="0.45">
      <c r="A626">
        <v>624</v>
      </c>
      <c r="B626" t="str">
        <f>CONCATENATE("Methode ",table_Methods[[#This Row],[ID]])</f>
        <v>Methode 624</v>
      </c>
      <c r="C626">
        <f t="shared" ca="1" si="58"/>
        <v>4</v>
      </c>
      <c r="D626">
        <f t="shared" ca="1" si="59"/>
        <v>2.84</v>
      </c>
      <c r="E626">
        <f t="shared" ca="1" si="60"/>
        <v>-10</v>
      </c>
      <c r="F626">
        <f t="shared" ca="1" si="61"/>
        <v>450</v>
      </c>
      <c r="G626" s="3" t="b">
        <f ca="1">INDEX(dict_zul_Var_Meth[kval_active],MATCH(table_Methods[[#This Row],[ID]],dict_zul_Var_Meth[ID_Methods],0))</f>
        <v>0</v>
      </c>
      <c r="H626">
        <f t="shared" ca="1" si="62"/>
        <v>6705</v>
      </c>
      <c r="I626">
        <f t="shared" ca="1" si="63"/>
        <v>8832</v>
      </c>
    </row>
    <row r="627" spans="1:9" x14ac:dyDescent="0.45">
      <c r="A627">
        <v>625</v>
      </c>
      <c r="B627" t="str">
        <f>CONCATENATE("Methode ",table_Methods[[#This Row],[ID]])</f>
        <v>Methode 625</v>
      </c>
      <c r="C627">
        <f t="shared" ca="1" si="58"/>
        <v>30</v>
      </c>
      <c r="D627">
        <f t="shared" ca="1" si="59"/>
        <v>8.73</v>
      </c>
      <c r="E627">
        <f t="shared" ca="1" si="60"/>
        <v>0</v>
      </c>
      <c r="F627">
        <f t="shared" ca="1" si="61"/>
        <v>960</v>
      </c>
      <c r="G627" s="3" t="b">
        <f ca="1">INDEX(dict_zul_Var_Meth[kval_active],MATCH(table_Methods[[#This Row],[ID]],dict_zul_Var_Meth[ID_Methods],0))</f>
        <v>0</v>
      </c>
      <c r="H627">
        <f t="shared" ca="1" si="62"/>
        <v>104</v>
      </c>
      <c r="I627">
        <f t="shared" ca="1" si="63"/>
        <v>8192</v>
      </c>
    </row>
    <row r="628" spans="1:9" x14ac:dyDescent="0.45">
      <c r="A628">
        <v>626</v>
      </c>
      <c r="B628" t="str">
        <f>CONCATENATE("Methode ",table_Methods[[#This Row],[ID]])</f>
        <v>Methode 626</v>
      </c>
      <c r="C628">
        <f t="shared" ca="1" si="58"/>
        <v>39</v>
      </c>
      <c r="D628">
        <f t="shared" ca="1" si="59"/>
        <v>3.12</v>
      </c>
      <c r="E628">
        <f t="shared" ca="1" si="60"/>
        <v>-70</v>
      </c>
      <c r="F628">
        <f t="shared" ca="1" si="61"/>
        <v>460</v>
      </c>
      <c r="G628" s="3" t="b">
        <f ca="1">INDEX(dict_zul_Var_Meth[kval_active],MATCH(table_Methods[[#This Row],[ID]],dict_zul_Var_Meth[ID_Methods],0))</f>
        <v>0</v>
      </c>
      <c r="H628">
        <f t="shared" ca="1" si="62"/>
        <v>2883</v>
      </c>
      <c r="I628">
        <f t="shared" ca="1" si="63"/>
        <v>27648</v>
      </c>
    </row>
    <row r="629" spans="1:9" x14ac:dyDescent="0.45">
      <c r="A629">
        <v>627</v>
      </c>
      <c r="B629" t="str">
        <f>CONCATENATE("Methode ",table_Methods[[#This Row],[ID]])</f>
        <v>Methode 627</v>
      </c>
      <c r="C629">
        <f t="shared" ca="1" si="58"/>
        <v>3000</v>
      </c>
      <c r="D629">
        <f t="shared" ca="1" si="59"/>
        <v>5.73</v>
      </c>
      <c r="E629">
        <f t="shared" ca="1" si="60"/>
        <v>-60</v>
      </c>
      <c r="F629">
        <f t="shared" ca="1" si="61"/>
        <v>100</v>
      </c>
      <c r="G629" s="3" t="b">
        <f ca="1">INDEX(dict_zul_Var_Meth[kval_active],MATCH(table_Methods[[#This Row],[ID]],dict_zul_Var_Meth[ID_Methods],0))</f>
        <v>0</v>
      </c>
      <c r="H629">
        <f t="shared" ca="1" si="62"/>
        <v>9350</v>
      </c>
      <c r="I629">
        <f t="shared" ca="1" si="63"/>
        <v>18432</v>
      </c>
    </row>
    <row r="630" spans="1:9" x14ac:dyDescent="0.45">
      <c r="A630">
        <v>628</v>
      </c>
      <c r="B630" t="str">
        <f>CONCATENATE("Methode ",table_Methods[[#This Row],[ID]])</f>
        <v>Methode 628</v>
      </c>
      <c r="C630">
        <f t="shared" ca="1" si="58"/>
        <v>1600</v>
      </c>
      <c r="D630">
        <f t="shared" ca="1" si="59"/>
        <v>2.56</v>
      </c>
      <c r="E630">
        <f t="shared" ca="1" si="60"/>
        <v>-40</v>
      </c>
      <c r="F630">
        <f t="shared" ca="1" si="61"/>
        <v>490</v>
      </c>
      <c r="G630" s="3" t="b">
        <f ca="1">INDEX(dict_zul_Var_Meth[kval_active],MATCH(table_Methods[[#This Row],[ID]],dict_zul_Var_Meth[ID_Methods],0))</f>
        <v>0</v>
      </c>
      <c r="H630">
        <f t="shared" ca="1" si="62"/>
        <v>14968</v>
      </c>
      <c r="I630">
        <f t="shared" ca="1" si="63"/>
        <v>480</v>
      </c>
    </row>
    <row r="631" spans="1:9" x14ac:dyDescent="0.45">
      <c r="A631">
        <v>629</v>
      </c>
      <c r="B631" t="str">
        <f>CONCATENATE("Methode ",table_Methods[[#This Row],[ID]])</f>
        <v>Methode 629</v>
      </c>
      <c r="C631">
        <f t="shared" ca="1" si="58"/>
        <v>2500</v>
      </c>
      <c r="D631">
        <f t="shared" ca="1" si="59"/>
        <v>6.37</v>
      </c>
      <c r="E631">
        <f t="shared" ca="1" si="60"/>
        <v>-90</v>
      </c>
      <c r="F631">
        <f t="shared" ca="1" si="61"/>
        <v>440</v>
      </c>
      <c r="G631" s="3" t="b">
        <f ca="1">INDEX(dict_zul_Var_Meth[kval_active],MATCH(table_Methods[[#This Row],[ID]],dict_zul_Var_Meth[ID_Methods],0))</f>
        <v>0</v>
      </c>
      <c r="H631">
        <f t="shared" ca="1" si="62"/>
        <v>24180</v>
      </c>
      <c r="I631">
        <f t="shared" ca="1" si="63"/>
        <v>118</v>
      </c>
    </row>
    <row r="632" spans="1:9" x14ac:dyDescent="0.45">
      <c r="A632">
        <v>630</v>
      </c>
      <c r="B632" t="str">
        <f>CONCATENATE("Methode ",table_Methods[[#This Row],[ID]])</f>
        <v>Methode 630</v>
      </c>
      <c r="C632">
        <f t="shared" ca="1" si="58"/>
        <v>10000</v>
      </c>
      <c r="D632">
        <f t="shared" ca="1" si="59"/>
        <v>5.24</v>
      </c>
      <c r="E632">
        <f t="shared" ca="1" si="60"/>
        <v>-60</v>
      </c>
      <c r="F632">
        <f t="shared" ca="1" si="61"/>
        <v>380</v>
      </c>
      <c r="G632" s="3" t="b">
        <f ca="1">INDEX(dict_zul_Var_Meth[kval_active],MATCH(table_Methods[[#This Row],[ID]],dict_zul_Var_Meth[ID_Methods],0))</f>
        <v>0</v>
      </c>
      <c r="H632">
        <f t="shared" ca="1" si="62"/>
        <v>25752</v>
      </c>
      <c r="I632">
        <f t="shared" ca="1" si="63"/>
        <v>56320</v>
      </c>
    </row>
    <row r="633" spans="1:9" x14ac:dyDescent="0.45">
      <c r="A633">
        <v>631</v>
      </c>
      <c r="B633" t="str">
        <f>CONCATENATE("Methode ",table_Methods[[#This Row],[ID]])</f>
        <v>Methode 631</v>
      </c>
      <c r="C633">
        <f t="shared" ca="1" si="58"/>
        <v>5300</v>
      </c>
      <c r="D633">
        <f t="shared" ca="1" si="59"/>
        <v>2.44</v>
      </c>
      <c r="E633">
        <f t="shared" ca="1" si="60"/>
        <v>-90</v>
      </c>
      <c r="F633">
        <f t="shared" ca="1" si="61"/>
        <v>710</v>
      </c>
      <c r="G633" s="3" t="b">
        <f ca="1">INDEX(dict_zul_Var_Meth[kval_active],MATCH(table_Methods[[#This Row],[ID]],dict_zul_Var_Meth[ID_Methods],0))</f>
        <v>0</v>
      </c>
      <c r="H633">
        <f t="shared" ca="1" si="62"/>
        <v>12918</v>
      </c>
      <c r="I633">
        <f t="shared" ca="1" si="63"/>
        <v>162</v>
      </c>
    </row>
    <row r="634" spans="1:9" x14ac:dyDescent="0.45">
      <c r="A634">
        <v>632</v>
      </c>
      <c r="B634" t="str">
        <f>CONCATENATE("Methode ",table_Methods[[#This Row],[ID]])</f>
        <v>Methode 632</v>
      </c>
      <c r="C634">
        <f t="shared" ca="1" si="58"/>
        <v>290</v>
      </c>
      <c r="D634">
        <f t="shared" ca="1" si="59"/>
        <v>5.54</v>
      </c>
      <c r="E634">
        <f t="shared" ca="1" si="60"/>
        <v>-10</v>
      </c>
      <c r="F634">
        <f t="shared" ca="1" si="61"/>
        <v>900</v>
      </c>
      <c r="G634" s="3" t="b">
        <f ca="1">INDEX(dict_zul_Var_Meth[kval_active],MATCH(table_Methods[[#This Row],[ID]],dict_zul_Var_Meth[ID_Methods],0))</f>
        <v>0</v>
      </c>
      <c r="H634">
        <f t="shared" ca="1" si="62"/>
        <v>4620</v>
      </c>
      <c r="I634">
        <f t="shared" ca="1" si="63"/>
        <v>2880</v>
      </c>
    </row>
    <row r="635" spans="1:9" x14ac:dyDescent="0.45">
      <c r="A635">
        <v>633</v>
      </c>
      <c r="B635" t="str">
        <f>CONCATENATE("Methode ",table_Methods[[#This Row],[ID]])</f>
        <v>Methode 633</v>
      </c>
      <c r="C635">
        <f t="shared" ca="1" si="58"/>
        <v>27</v>
      </c>
      <c r="D635">
        <f t="shared" ca="1" si="59"/>
        <v>7.47</v>
      </c>
      <c r="E635">
        <f t="shared" ca="1" si="60"/>
        <v>10</v>
      </c>
      <c r="F635">
        <f t="shared" ca="1" si="61"/>
        <v>380</v>
      </c>
      <c r="G635" s="3" t="b">
        <f ca="1">INDEX(dict_zul_Var_Meth[kval_active],MATCH(table_Methods[[#This Row],[ID]],dict_zul_Var_Meth[ID_Methods],0))</f>
        <v>0</v>
      </c>
      <c r="H635">
        <f t="shared" ca="1" si="62"/>
        <v>26358</v>
      </c>
      <c r="I635">
        <f t="shared" ca="1" si="63"/>
        <v>37888</v>
      </c>
    </row>
    <row r="636" spans="1:9" x14ac:dyDescent="0.45">
      <c r="A636">
        <v>634</v>
      </c>
      <c r="B636" t="str">
        <f>CONCATENATE("Methode ",table_Methods[[#This Row],[ID]])</f>
        <v>Methode 634</v>
      </c>
      <c r="C636">
        <f t="shared" ca="1" si="58"/>
        <v>19</v>
      </c>
      <c r="D636">
        <f t="shared" ca="1" si="59"/>
        <v>8.4600000000000009</v>
      </c>
      <c r="E636">
        <f t="shared" ca="1" si="60"/>
        <v>-40</v>
      </c>
      <c r="F636">
        <f t="shared" ca="1" si="61"/>
        <v>760</v>
      </c>
      <c r="G636" s="3" t="b">
        <f ca="1">INDEX(dict_zul_Var_Meth[kval_active],MATCH(table_Methods[[#This Row],[ID]],dict_zul_Var_Meth[ID_Methods],0))</f>
        <v>0</v>
      </c>
      <c r="H636">
        <f t="shared" ca="1" si="62"/>
        <v>3872</v>
      </c>
      <c r="I636">
        <f t="shared" ca="1" si="63"/>
        <v>328</v>
      </c>
    </row>
    <row r="637" spans="1:9" x14ac:dyDescent="0.45">
      <c r="A637">
        <v>635</v>
      </c>
      <c r="B637" t="str">
        <f>CONCATENATE("Methode ",table_Methods[[#This Row],[ID]])</f>
        <v>Methode 635</v>
      </c>
      <c r="C637">
        <f t="shared" ca="1" si="58"/>
        <v>4000</v>
      </c>
      <c r="D637">
        <f t="shared" ca="1" si="59"/>
        <v>9.14</v>
      </c>
      <c r="E637">
        <f t="shared" ca="1" si="60"/>
        <v>30</v>
      </c>
      <c r="F637">
        <f t="shared" ca="1" si="61"/>
        <v>940</v>
      </c>
      <c r="G637" s="3" t="b">
        <f ca="1">INDEX(dict_zul_Var_Meth[kval_active],MATCH(table_Methods[[#This Row],[ID]],dict_zul_Var_Meth[ID_Methods],0))</f>
        <v>0</v>
      </c>
      <c r="H637">
        <f t="shared" ca="1" si="62"/>
        <v>2400</v>
      </c>
      <c r="I637">
        <f t="shared" ca="1" si="63"/>
        <v>1024</v>
      </c>
    </row>
    <row r="638" spans="1:9" x14ac:dyDescent="0.45">
      <c r="A638">
        <v>636</v>
      </c>
      <c r="B638" t="str">
        <f>CONCATENATE("Methode ",table_Methods[[#This Row],[ID]])</f>
        <v>Methode 636</v>
      </c>
      <c r="C638">
        <f t="shared" ca="1" si="58"/>
        <v>37</v>
      </c>
      <c r="D638">
        <f t="shared" ca="1" si="59"/>
        <v>3.17</v>
      </c>
      <c r="E638">
        <f t="shared" ca="1" si="60"/>
        <v>-10</v>
      </c>
      <c r="F638">
        <f t="shared" ca="1" si="61"/>
        <v>70</v>
      </c>
      <c r="G638" s="3" t="b">
        <f ca="1">INDEX(dict_zul_Var_Meth[kval_active],MATCH(table_Methods[[#This Row],[ID]],dict_zul_Var_Meth[ID_Methods],0))</f>
        <v>0</v>
      </c>
      <c r="H638">
        <f t="shared" ca="1" si="62"/>
        <v>20358</v>
      </c>
      <c r="I638">
        <f t="shared" ca="1" si="63"/>
        <v>344</v>
      </c>
    </row>
    <row r="639" spans="1:9" x14ac:dyDescent="0.45">
      <c r="A639">
        <v>637</v>
      </c>
      <c r="B639" t="str">
        <f>CONCATENATE("Methode ",table_Methods[[#This Row],[ID]])</f>
        <v>Methode 637</v>
      </c>
      <c r="C639">
        <f t="shared" ca="1" si="58"/>
        <v>600</v>
      </c>
      <c r="D639">
        <f t="shared" ca="1" si="59"/>
        <v>5.74</v>
      </c>
      <c r="E639">
        <f t="shared" ca="1" si="60"/>
        <v>-60</v>
      </c>
      <c r="F639">
        <f t="shared" ca="1" si="61"/>
        <v>920</v>
      </c>
      <c r="G639" s="3" t="b">
        <f ca="1">INDEX(dict_zul_Var_Meth[kval_active],MATCH(table_Methods[[#This Row],[ID]],dict_zul_Var_Meth[ID_Methods],0))</f>
        <v>0</v>
      </c>
      <c r="H639">
        <f t="shared" ca="1" si="62"/>
        <v>2672</v>
      </c>
      <c r="I639">
        <f t="shared" ca="1" si="63"/>
        <v>1152</v>
      </c>
    </row>
    <row r="640" spans="1:9" x14ac:dyDescent="0.45">
      <c r="A640">
        <v>638</v>
      </c>
      <c r="B640" t="str">
        <f>CONCATENATE("Methode ",table_Methods[[#This Row],[ID]])</f>
        <v>Methode 638</v>
      </c>
      <c r="C640">
        <f t="shared" ca="1" si="58"/>
        <v>3000</v>
      </c>
      <c r="D640">
        <f t="shared" ca="1" si="59"/>
        <v>7.18</v>
      </c>
      <c r="E640">
        <f t="shared" ca="1" si="60"/>
        <v>-90</v>
      </c>
      <c r="F640">
        <f t="shared" ca="1" si="61"/>
        <v>1000</v>
      </c>
      <c r="G640" s="3" t="b">
        <f ca="1">INDEX(dict_zul_Var_Meth[kval_active],MATCH(table_Methods[[#This Row],[ID]],dict_zul_Var_Meth[ID_Methods],0))</f>
        <v>0</v>
      </c>
      <c r="H640">
        <f t="shared" ca="1" si="62"/>
        <v>4905</v>
      </c>
      <c r="I640">
        <f t="shared" ca="1" si="63"/>
        <v>80</v>
      </c>
    </row>
    <row r="641" spans="1:9" x14ac:dyDescent="0.45">
      <c r="A641">
        <v>639</v>
      </c>
      <c r="B641" t="str">
        <f>CONCATENATE("Methode ",table_Methods[[#This Row],[ID]])</f>
        <v>Methode 639</v>
      </c>
      <c r="C641">
        <f t="shared" ca="1" si="58"/>
        <v>10</v>
      </c>
      <c r="D641">
        <f t="shared" ca="1" si="59"/>
        <v>5.75</v>
      </c>
      <c r="E641">
        <f t="shared" ca="1" si="60"/>
        <v>-100</v>
      </c>
      <c r="F641">
        <f t="shared" ca="1" si="61"/>
        <v>560</v>
      </c>
      <c r="G641" s="3" t="b">
        <f ca="1">INDEX(dict_zul_Var_Meth[kval_active],MATCH(table_Methods[[#This Row],[ID]],dict_zul_Var_Meth[ID_Methods],0))</f>
        <v>1</v>
      </c>
      <c r="H641">
        <f t="shared" ca="1" si="62"/>
        <v>11312</v>
      </c>
      <c r="I641">
        <f t="shared" ca="1" si="63"/>
        <v>62464</v>
      </c>
    </row>
    <row r="642" spans="1:9" x14ac:dyDescent="0.45">
      <c r="A642">
        <v>640</v>
      </c>
      <c r="B642" t="str">
        <f>CONCATENATE("Methode ",table_Methods[[#This Row],[ID]])</f>
        <v>Methode 640</v>
      </c>
      <c r="C642">
        <f t="shared" ref="C642:C702" ca="1" si="64">10^(RANDBETWEEN(-1,1))*RANDBETWEEN(1,100)*10</f>
        <v>69</v>
      </c>
      <c r="D642">
        <f t="shared" ca="1" si="59"/>
        <v>6.53</v>
      </c>
      <c r="E642">
        <f t="shared" ca="1" si="60"/>
        <v>-90</v>
      </c>
      <c r="F642">
        <f t="shared" ca="1" si="61"/>
        <v>850</v>
      </c>
      <c r="G642" s="3" t="b">
        <f ca="1">INDEX(dict_zul_Var_Meth[kval_active],MATCH(table_Methods[[#This Row],[ID]],dict_zul_Var_Meth[ID_Methods],0))</f>
        <v>0</v>
      </c>
      <c r="H642">
        <f t="shared" ca="1" si="62"/>
        <v>2367</v>
      </c>
      <c r="I642">
        <f t="shared" ca="1" si="63"/>
        <v>3392</v>
      </c>
    </row>
    <row r="643" spans="1:9" x14ac:dyDescent="0.45">
      <c r="A643">
        <v>641</v>
      </c>
      <c r="B643" t="str">
        <f>CONCATENATE("Methode ",table_Methods[[#This Row],[ID]])</f>
        <v>Methode 641</v>
      </c>
      <c r="C643">
        <f t="shared" ca="1" si="64"/>
        <v>6400</v>
      </c>
      <c r="D643">
        <f t="shared" ref="D643:D702" ca="1" si="65">RANDBETWEEN(10,1000)/(100)</f>
        <v>2.6</v>
      </c>
      <c r="E643">
        <f t="shared" ca="1" si="60"/>
        <v>20</v>
      </c>
      <c r="F643">
        <f t="shared" ca="1" si="61"/>
        <v>880</v>
      </c>
      <c r="G643" s="3" t="b">
        <f ca="1">INDEX(dict_zul_Var_Meth[kval_active],MATCH(table_Methods[[#This Row],[ID]],dict_zul_Var_Meth[ID_Methods],0))</f>
        <v>0</v>
      </c>
      <c r="H643">
        <f t="shared" ca="1" si="62"/>
        <v>9930</v>
      </c>
      <c r="I643">
        <f t="shared" ca="1" si="63"/>
        <v>66560</v>
      </c>
    </row>
    <row r="644" spans="1:9" x14ac:dyDescent="0.45">
      <c r="A644">
        <v>642</v>
      </c>
      <c r="B644" t="str">
        <f>CONCATENATE("Methode ",table_Methods[[#This Row],[ID]])</f>
        <v>Methode 642</v>
      </c>
      <c r="C644">
        <f t="shared" ca="1" si="64"/>
        <v>890</v>
      </c>
      <c r="D644">
        <f t="shared" ca="1" si="65"/>
        <v>8.5500000000000007</v>
      </c>
      <c r="E644">
        <f t="shared" ca="1" si="60"/>
        <v>-10</v>
      </c>
      <c r="F644">
        <f t="shared" ca="1" si="61"/>
        <v>250</v>
      </c>
      <c r="G644" s="3" t="b">
        <f ca="1">INDEX(dict_zul_Var_Meth[kval_active],MATCH(table_Methods[[#This Row],[ID]],dict_zul_Var_Meth[ID_Methods],0))</f>
        <v>0</v>
      </c>
      <c r="H644">
        <f t="shared" ca="1" si="62"/>
        <v>20090</v>
      </c>
      <c r="I644">
        <f t="shared" ca="1" si="63"/>
        <v>48</v>
      </c>
    </row>
    <row r="645" spans="1:9" x14ac:dyDescent="0.45">
      <c r="A645">
        <v>643</v>
      </c>
      <c r="B645" t="str">
        <f>CONCATENATE("Methode ",table_Methods[[#This Row],[ID]])</f>
        <v>Methode 643</v>
      </c>
      <c r="C645">
        <f t="shared" ca="1" si="64"/>
        <v>120</v>
      </c>
      <c r="D645">
        <f t="shared" ca="1" si="65"/>
        <v>0.43</v>
      </c>
      <c r="E645">
        <f t="shared" ca="1" si="60"/>
        <v>-70</v>
      </c>
      <c r="F645">
        <f t="shared" ca="1" si="61"/>
        <v>970</v>
      </c>
      <c r="G645" s="3" t="b">
        <f ca="1">INDEX(dict_zul_Var_Meth[kval_active],MATCH(table_Methods[[#This Row],[ID]],dict_zul_Var_Meth[ID_Methods],0))</f>
        <v>0</v>
      </c>
      <c r="H645">
        <f t="shared" ca="1" si="62"/>
        <v>43110</v>
      </c>
      <c r="I645">
        <f t="shared" ca="1" si="63"/>
        <v>120</v>
      </c>
    </row>
    <row r="646" spans="1:9" x14ac:dyDescent="0.45">
      <c r="A646">
        <v>644</v>
      </c>
      <c r="B646" t="str">
        <f>CONCATENATE("Methode ",table_Methods[[#This Row],[ID]])</f>
        <v>Methode 644</v>
      </c>
      <c r="C646">
        <f t="shared" ca="1" si="64"/>
        <v>8200</v>
      </c>
      <c r="D646">
        <f t="shared" ca="1" si="65"/>
        <v>6.64</v>
      </c>
      <c r="E646">
        <f t="shared" ca="1" si="60"/>
        <v>20</v>
      </c>
      <c r="F646">
        <f t="shared" ca="1" si="61"/>
        <v>640</v>
      </c>
      <c r="G646" s="3" t="b">
        <f ca="1">INDEX(dict_zul_Var_Meth[kval_active],MATCH(table_Methods[[#This Row],[ID]],dict_zul_Var_Meth[ID_Methods],0))</f>
        <v>0</v>
      </c>
      <c r="H646">
        <f t="shared" ca="1" si="62"/>
        <v>11118</v>
      </c>
      <c r="I646">
        <f t="shared" ca="1" si="63"/>
        <v>15360</v>
      </c>
    </row>
    <row r="647" spans="1:9" x14ac:dyDescent="0.45">
      <c r="A647">
        <v>645</v>
      </c>
      <c r="B647" t="str">
        <f>CONCATENATE("Methode ",table_Methods[[#This Row],[ID]])</f>
        <v>Methode 645</v>
      </c>
      <c r="C647">
        <f t="shared" ca="1" si="64"/>
        <v>4500</v>
      </c>
      <c r="D647">
        <f t="shared" ca="1" si="65"/>
        <v>9.07</v>
      </c>
      <c r="E647">
        <f t="shared" ca="1" si="60"/>
        <v>-40</v>
      </c>
      <c r="F647">
        <f t="shared" ca="1" si="61"/>
        <v>550</v>
      </c>
      <c r="G647" s="3" t="b">
        <f ca="1">INDEX(dict_zul_Var_Meth[kval_active],MATCH(table_Methods[[#This Row],[ID]],dict_zul_Var_Meth[ID_Methods],0))</f>
        <v>0</v>
      </c>
      <c r="H647">
        <f t="shared" ca="1" si="62"/>
        <v>6965</v>
      </c>
      <c r="I647">
        <f t="shared" ca="1" si="63"/>
        <v>94208</v>
      </c>
    </row>
    <row r="648" spans="1:9" x14ac:dyDescent="0.45">
      <c r="A648">
        <v>646</v>
      </c>
      <c r="B648" t="str">
        <f>CONCATENATE("Methode ",table_Methods[[#This Row],[ID]])</f>
        <v>Methode 646</v>
      </c>
      <c r="C648">
        <f t="shared" ca="1" si="64"/>
        <v>9900</v>
      </c>
      <c r="D648">
        <f t="shared" ca="1" si="65"/>
        <v>7.02</v>
      </c>
      <c r="E648">
        <f t="shared" ca="1" si="60"/>
        <v>-60</v>
      </c>
      <c r="F648">
        <f t="shared" ca="1" si="61"/>
        <v>610</v>
      </c>
      <c r="G648" s="3" t="b">
        <f ca="1">INDEX(dict_zul_Var_Meth[kval_active],MATCH(table_Methods[[#This Row],[ID]],dict_zul_Var_Meth[ID_Methods],0))</f>
        <v>1</v>
      </c>
      <c r="H648">
        <f t="shared" ca="1" si="62"/>
        <v>10983</v>
      </c>
      <c r="I648">
        <f t="shared" ca="1" si="63"/>
        <v>1280</v>
      </c>
    </row>
    <row r="649" spans="1:9" x14ac:dyDescent="0.45">
      <c r="A649">
        <v>647</v>
      </c>
      <c r="B649" t="str">
        <f>CONCATENATE("Methode ",table_Methods[[#This Row],[ID]])</f>
        <v>Methode 647</v>
      </c>
      <c r="C649">
        <f t="shared" ca="1" si="64"/>
        <v>94</v>
      </c>
      <c r="D649">
        <f t="shared" ca="1" si="65"/>
        <v>5.54</v>
      </c>
      <c r="E649">
        <f t="shared" ca="1" si="60"/>
        <v>-50</v>
      </c>
      <c r="F649">
        <f t="shared" ca="1" si="61"/>
        <v>680</v>
      </c>
      <c r="G649" s="3" t="b">
        <f ca="1">INDEX(dict_zul_Var_Meth[kval_active],MATCH(table_Methods[[#This Row],[ID]],dict_zul_Var_Meth[ID_Methods],0))</f>
        <v>0</v>
      </c>
      <c r="H649">
        <f t="shared" ca="1" si="62"/>
        <v>3758</v>
      </c>
      <c r="I649">
        <f t="shared" ca="1" si="63"/>
        <v>912</v>
      </c>
    </row>
    <row r="650" spans="1:9" x14ac:dyDescent="0.45">
      <c r="A650">
        <v>648</v>
      </c>
      <c r="B650" t="str">
        <f>CONCATENATE("Methode ",table_Methods[[#This Row],[ID]])</f>
        <v>Methode 648</v>
      </c>
      <c r="C650">
        <f t="shared" ca="1" si="64"/>
        <v>4600</v>
      </c>
      <c r="D650">
        <f t="shared" ca="1" si="65"/>
        <v>2.5099999999999998</v>
      </c>
      <c r="E650">
        <f t="shared" ca="1" si="60"/>
        <v>10</v>
      </c>
      <c r="F650">
        <f t="shared" ca="1" si="61"/>
        <v>270</v>
      </c>
      <c r="G650" s="3" t="b">
        <f ca="1">INDEX(dict_zul_Var_Meth[kval_active],MATCH(table_Methods[[#This Row],[ID]],dict_zul_Var_Meth[ID_Methods],0))</f>
        <v>0</v>
      </c>
      <c r="H650">
        <f t="shared" ca="1" si="62"/>
        <v>5292</v>
      </c>
      <c r="I650">
        <f t="shared" ca="1" si="63"/>
        <v>18176</v>
      </c>
    </row>
    <row r="651" spans="1:9" x14ac:dyDescent="0.45">
      <c r="A651">
        <v>649</v>
      </c>
      <c r="B651" t="str">
        <f>CONCATENATE("Methode ",table_Methods[[#This Row],[ID]])</f>
        <v>Methode 649</v>
      </c>
      <c r="C651">
        <f t="shared" ca="1" si="64"/>
        <v>15</v>
      </c>
      <c r="D651">
        <f t="shared" ca="1" si="65"/>
        <v>1.75</v>
      </c>
      <c r="E651">
        <f t="shared" ca="1" si="60"/>
        <v>-40</v>
      </c>
      <c r="F651">
        <f t="shared" ca="1" si="61"/>
        <v>340</v>
      </c>
      <c r="G651" s="3" t="b">
        <f ca="1">INDEX(dict_zul_Var_Meth[kval_active],MATCH(table_Methods[[#This Row],[ID]],dict_zul_Var_Meth[ID_Methods],0))</f>
        <v>0</v>
      </c>
      <c r="H651">
        <f t="shared" ca="1" si="62"/>
        <v>11964</v>
      </c>
      <c r="I651">
        <f t="shared" ca="1" si="63"/>
        <v>20992</v>
      </c>
    </row>
    <row r="652" spans="1:9" x14ac:dyDescent="0.45">
      <c r="A652">
        <v>650</v>
      </c>
      <c r="B652" t="str">
        <f>CONCATENATE("Methode ",table_Methods[[#This Row],[ID]])</f>
        <v>Methode 650</v>
      </c>
      <c r="C652">
        <f t="shared" ca="1" si="64"/>
        <v>6000</v>
      </c>
      <c r="D652">
        <f t="shared" ca="1" si="65"/>
        <v>0.81</v>
      </c>
      <c r="E652">
        <f t="shared" ca="1" si="60"/>
        <v>-30</v>
      </c>
      <c r="F652">
        <f t="shared" ca="1" si="61"/>
        <v>530</v>
      </c>
      <c r="G652" s="3" t="b">
        <f ca="1">INDEX(dict_zul_Var_Meth[kval_active],MATCH(table_Methods[[#This Row],[ID]],dict_zul_Var_Meth[ID_Methods],0))</f>
        <v>0</v>
      </c>
      <c r="H652">
        <f t="shared" ca="1" si="62"/>
        <v>6462</v>
      </c>
      <c r="I652">
        <f t="shared" ca="1" si="63"/>
        <v>94</v>
      </c>
    </row>
    <row r="653" spans="1:9" x14ac:dyDescent="0.45">
      <c r="A653">
        <v>651</v>
      </c>
      <c r="B653" t="str">
        <f>CONCATENATE("Methode ",table_Methods[[#This Row],[ID]])</f>
        <v>Methode 651</v>
      </c>
      <c r="C653">
        <f t="shared" ca="1" si="64"/>
        <v>7100</v>
      </c>
      <c r="D653">
        <f t="shared" ca="1" si="65"/>
        <v>6.31</v>
      </c>
      <c r="E653">
        <f t="shared" ca="1" si="60"/>
        <v>-100</v>
      </c>
      <c r="F653">
        <f t="shared" ca="1" si="61"/>
        <v>240</v>
      </c>
      <c r="G653" s="3" t="b">
        <f ca="1">INDEX(dict_zul_Var_Meth[kval_active],MATCH(table_Methods[[#This Row],[ID]],dict_zul_Var_Meth[ID_Methods],0))</f>
        <v>0</v>
      </c>
      <c r="H653">
        <f t="shared" ca="1" si="62"/>
        <v>22520</v>
      </c>
      <c r="I653">
        <f t="shared" ca="1" si="63"/>
        <v>40960</v>
      </c>
    </row>
    <row r="654" spans="1:9" x14ac:dyDescent="0.45">
      <c r="A654">
        <v>652</v>
      </c>
      <c r="B654" t="str">
        <f>CONCATENATE("Methode ",table_Methods[[#This Row],[ID]])</f>
        <v>Methode 652</v>
      </c>
      <c r="C654">
        <f t="shared" ca="1" si="64"/>
        <v>2300</v>
      </c>
      <c r="D654">
        <f t="shared" ca="1" si="65"/>
        <v>5.07</v>
      </c>
      <c r="E654">
        <f t="shared" ca="1" si="60"/>
        <v>-90</v>
      </c>
      <c r="F654">
        <f t="shared" ca="1" si="61"/>
        <v>60</v>
      </c>
      <c r="G654" s="3" t="b">
        <f ca="1">INDEX(dict_zul_Var_Meth[kval_active],MATCH(table_Methods[[#This Row],[ID]],dict_zul_Var_Meth[ID_Methods],0))</f>
        <v>0</v>
      </c>
      <c r="H654">
        <f t="shared" ca="1" si="62"/>
        <v>17356</v>
      </c>
      <c r="I654">
        <f t="shared" ca="1" si="63"/>
        <v>2048</v>
      </c>
    </row>
    <row r="655" spans="1:9" x14ac:dyDescent="0.45">
      <c r="A655">
        <v>653</v>
      </c>
      <c r="B655" t="str">
        <f>CONCATENATE("Methode ",table_Methods[[#This Row],[ID]])</f>
        <v>Methode 653</v>
      </c>
      <c r="C655">
        <f t="shared" ca="1" si="64"/>
        <v>58.000000000000007</v>
      </c>
      <c r="D655">
        <f t="shared" ca="1" si="65"/>
        <v>3.59</v>
      </c>
      <c r="E655">
        <f t="shared" ca="1" si="60"/>
        <v>-20</v>
      </c>
      <c r="F655">
        <f t="shared" ca="1" si="61"/>
        <v>280</v>
      </c>
      <c r="G655" s="3" t="b">
        <f ca="1">INDEX(dict_zul_Var_Meth[kval_active],MATCH(table_Methods[[#This Row],[ID]],dict_zul_Var_Meth[ID_Methods],0))</f>
        <v>0</v>
      </c>
      <c r="H655">
        <f t="shared" ca="1" si="62"/>
        <v>15230</v>
      </c>
      <c r="I655">
        <f t="shared" ca="1" si="63"/>
        <v>768</v>
      </c>
    </row>
    <row r="656" spans="1:9" x14ac:dyDescent="0.45">
      <c r="A656">
        <v>654</v>
      </c>
      <c r="B656" t="str">
        <f>CONCATENATE("Methode ",table_Methods[[#This Row],[ID]])</f>
        <v>Methode 654</v>
      </c>
      <c r="C656">
        <f t="shared" ca="1" si="64"/>
        <v>350</v>
      </c>
      <c r="D656">
        <f t="shared" ca="1" si="65"/>
        <v>8.41</v>
      </c>
      <c r="E656">
        <f t="shared" ca="1" si="60"/>
        <v>-40</v>
      </c>
      <c r="F656">
        <f t="shared" ca="1" si="61"/>
        <v>350</v>
      </c>
      <c r="G656" s="3" t="b">
        <f ca="1">INDEX(dict_zul_Var_Meth[kval_active],MATCH(table_Methods[[#This Row],[ID]],dict_zul_Var_Meth[ID_Methods],0))</f>
        <v>0</v>
      </c>
      <c r="H656">
        <f t="shared" ca="1" si="62"/>
        <v>2685</v>
      </c>
      <c r="I656">
        <f t="shared" ca="1" si="63"/>
        <v>6144</v>
      </c>
    </row>
    <row r="657" spans="1:9" x14ac:dyDescent="0.45">
      <c r="A657">
        <v>655</v>
      </c>
      <c r="B657" t="str">
        <f>CONCATENATE("Methode ",table_Methods[[#This Row],[ID]])</f>
        <v>Methode 655</v>
      </c>
      <c r="C657">
        <f t="shared" ca="1" si="64"/>
        <v>210</v>
      </c>
      <c r="D657">
        <f t="shared" ca="1" si="65"/>
        <v>3.47</v>
      </c>
      <c r="E657">
        <f t="shared" ca="1" si="60"/>
        <v>10</v>
      </c>
      <c r="F657">
        <f t="shared" ca="1" si="61"/>
        <v>270</v>
      </c>
      <c r="G657" s="3" t="b">
        <f ca="1">INDEX(dict_zul_Var_Meth[kval_active],MATCH(table_Methods[[#This Row],[ID]],dict_zul_Var_Meth[ID_Methods],0))</f>
        <v>0</v>
      </c>
      <c r="H657">
        <f t="shared" ca="1" si="62"/>
        <v>42760</v>
      </c>
      <c r="I657">
        <f t="shared" ca="1" si="63"/>
        <v>12672</v>
      </c>
    </row>
    <row r="658" spans="1:9" x14ac:dyDescent="0.45">
      <c r="A658">
        <v>656</v>
      </c>
      <c r="B658" t="str">
        <f>CONCATENATE("Methode ",table_Methods[[#This Row],[ID]])</f>
        <v>Methode 656</v>
      </c>
      <c r="C658">
        <f t="shared" ca="1" si="64"/>
        <v>16</v>
      </c>
      <c r="D658">
        <f t="shared" ca="1" si="65"/>
        <v>7.71</v>
      </c>
      <c r="E658">
        <f t="shared" ca="1" si="60"/>
        <v>-80</v>
      </c>
      <c r="F658">
        <f t="shared" ca="1" si="61"/>
        <v>340</v>
      </c>
      <c r="G658" s="3" t="b">
        <f ca="1">INDEX(dict_zul_Var_Meth[kval_active],MATCH(table_Methods[[#This Row],[ID]],dict_zul_Var_Meth[ID_Methods],0))</f>
        <v>0</v>
      </c>
      <c r="H658">
        <f t="shared" ca="1" si="62"/>
        <v>24939</v>
      </c>
      <c r="I658">
        <f t="shared" ca="1" si="63"/>
        <v>3072</v>
      </c>
    </row>
    <row r="659" spans="1:9" x14ac:dyDescent="0.45">
      <c r="A659">
        <v>657</v>
      </c>
      <c r="B659" t="str">
        <f>CONCATENATE("Methode ",table_Methods[[#This Row],[ID]])</f>
        <v>Methode 657</v>
      </c>
      <c r="C659">
        <f t="shared" ca="1" si="64"/>
        <v>35</v>
      </c>
      <c r="D659">
        <f t="shared" ca="1" si="65"/>
        <v>3.29</v>
      </c>
      <c r="E659">
        <f t="shared" ca="1" si="60"/>
        <v>-100</v>
      </c>
      <c r="F659">
        <f t="shared" ca="1" si="61"/>
        <v>750</v>
      </c>
      <c r="G659" s="3" t="b">
        <f ca="1">INDEX(dict_zul_Var_Meth[kval_active],MATCH(table_Methods[[#This Row],[ID]],dict_zul_Var_Meth[ID_Methods],0))</f>
        <v>0</v>
      </c>
      <c r="H659">
        <f t="shared" ca="1" si="62"/>
        <v>35406</v>
      </c>
      <c r="I659">
        <f t="shared" ca="1" si="63"/>
        <v>33280</v>
      </c>
    </row>
    <row r="660" spans="1:9" x14ac:dyDescent="0.45">
      <c r="A660">
        <v>658</v>
      </c>
      <c r="B660" t="str">
        <f>CONCATENATE("Methode ",table_Methods[[#This Row],[ID]])</f>
        <v>Methode 658</v>
      </c>
      <c r="C660">
        <f t="shared" ca="1" si="64"/>
        <v>800</v>
      </c>
      <c r="D660">
        <f t="shared" ca="1" si="65"/>
        <v>8.94</v>
      </c>
      <c r="E660">
        <f t="shared" ca="1" si="60"/>
        <v>-50</v>
      </c>
      <c r="F660">
        <f t="shared" ca="1" si="61"/>
        <v>150</v>
      </c>
      <c r="G660" s="3" t="b">
        <f ca="1">INDEX(dict_zul_Var_Meth[kval_active],MATCH(table_Methods[[#This Row],[ID]],dict_zul_Var_Meth[ID_Methods],0))</f>
        <v>0</v>
      </c>
      <c r="H660">
        <f t="shared" ca="1" si="62"/>
        <v>1350</v>
      </c>
      <c r="I660">
        <f t="shared" ca="1" si="63"/>
        <v>24576</v>
      </c>
    </row>
    <row r="661" spans="1:9" x14ac:dyDescent="0.45">
      <c r="A661">
        <v>659</v>
      </c>
      <c r="B661" t="str">
        <f>CONCATENATE("Methode ",table_Methods[[#This Row],[ID]])</f>
        <v>Methode 659</v>
      </c>
      <c r="C661">
        <f t="shared" ca="1" si="64"/>
        <v>50</v>
      </c>
      <c r="D661">
        <f t="shared" ca="1" si="65"/>
        <v>5.82</v>
      </c>
      <c r="E661">
        <f t="shared" ca="1" si="60"/>
        <v>-70</v>
      </c>
      <c r="F661">
        <f t="shared" ca="1" si="61"/>
        <v>420</v>
      </c>
      <c r="G661" s="3" t="b">
        <f ca="1">INDEX(dict_zul_Var_Meth[kval_active],MATCH(table_Methods[[#This Row],[ID]],dict_zul_Var_Meth[ID_Methods],0))</f>
        <v>0</v>
      </c>
      <c r="H661">
        <f t="shared" ca="1" si="62"/>
        <v>17544</v>
      </c>
      <c r="I661">
        <f t="shared" ca="1" si="63"/>
        <v>45056</v>
      </c>
    </row>
    <row r="662" spans="1:9" x14ac:dyDescent="0.45">
      <c r="A662">
        <v>660</v>
      </c>
      <c r="B662" t="str">
        <f>CONCATENATE("Methode ",table_Methods[[#This Row],[ID]])</f>
        <v>Methode 660</v>
      </c>
      <c r="C662">
        <f t="shared" ca="1" si="64"/>
        <v>70</v>
      </c>
      <c r="D662">
        <f t="shared" ca="1" si="65"/>
        <v>0.11</v>
      </c>
      <c r="E662">
        <f t="shared" ca="1" si="60"/>
        <v>0</v>
      </c>
      <c r="F662">
        <f t="shared" ca="1" si="61"/>
        <v>660</v>
      </c>
      <c r="G662" s="3" t="b">
        <f ca="1">INDEX(dict_zul_Var_Meth[kval_active],MATCH(table_Methods[[#This Row],[ID]],dict_zul_Var_Meth[ID_Methods],0))</f>
        <v>0</v>
      </c>
      <c r="H662">
        <f t="shared" ca="1" si="62"/>
        <v>26200</v>
      </c>
      <c r="I662">
        <f t="shared" ca="1" si="63"/>
        <v>16384</v>
      </c>
    </row>
    <row r="663" spans="1:9" x14ac:dyDescent="0.45">
      <c r="A663">
        <v>661</v>
      </c>
      <c r="B663" t="str">
        <f>CONCATENATE("Methode ",table_Methods[[#This Row],[ID]])</f>
        <v>Methode 661</v>
      </c>
      <c r="C663">
        <f t="shared" ca="1" si="64"/>
        <v>770</v>
      </c>
      <c r="D663">
        <f t="shared" ca="1" si="65"/>
        <v>9.1300000000000008</v>
      </c>
      <c r="E663">
        <f t="shared" ca="1" si="60"/>
        <v>0</v>
      </c>
      <c r="F663">
        <f t="shared" ca="1" si="61"/>
        <v>440</v>
      </c>
      <c r="G663" s="3" t="b">
        <f ca="1">INDEX(dict_zul_Var_Meth[kval_active],MATCH(table_Methods[[#This Row],[ID]],dict_zul_Var_Meth[ID_Methods],0))</f>
        <v>0</v>
      </c>
      <c r="H663">
        <f t="shared" ca="1" si="62"/>
        <v>41958</v>
      </c>
      <c r="I663">
        <f t="shared" ca="1" si="63"/>
        <v>63488</v>
      </c>
    </row>
    <row r="664" spans="1:9" x14ac:dyDescent="0.45">
      <c r="A664">
        <v>662</v>
      </c>
      <c r="B664" t="str">
        <f>CONCATENATE("Methode ",table_Methods[[#This Row],[ID]])</f>
        <v>Methode 662</v>
      </c>
      <c r="C664">
        <f t="shared" ca="1" si="64"/>
        <v>8000</v>
      </c>
      <c r="D664">
        <f t="shared" ca="1" si="65"/>
        <v>4.13</v>
      </c>
      <c r="E664">
        <f t="shared" ca="1" si="60"/>
        <v>-80</v>
      </c>
      <c r="F664">
        <f t="shared" ca="1" si="61"/>
        <v>60</v>
      </c>
      <c r="G664" s="3" t="b">
        <f ca="1">INDEX(dict_zul_Var_Meth[kval_active],MATCH(table_Methods[[#This Row],[ID]],dict_zul_Var_Meth[ID_Methods],0))</f>
        <v>0</v>
      </c>
      <c r="H664">
        <f t="shared" ca="1" si="62"/>
        <v>7935</v>
      </c>
      <c r="I664">
        <f t="shared" ca="1" si="63"/>
        <v>49152</v>
      </c>
    </row>
    <row r="665" spans="1:9" x14ac:dyDescent="0.45">
      <c r="A665">
        <v>663</v>
      </c>
      <c r="B665" t="str">
        <f>CONCATENATE("Methode ",table_Methods[[#This Row],[ID]])</f>
        <v>Methode 663</v>
      </c>
      <c r="C665">
        <f t="shared" ca="1" si="64"/>
        <v>53.000000000000007</v>
      </c>
      <c r="D665">
        <f t="shared" ca="1" si="65"/>
        <v>5.72</v>
      </c>
      <c r="E665">
        <f t="shared" ca="1" si="60"/>
        <v>30</v>
      </c>
      <c r="F665">
        <f t="shared" ca="1" si="61"/>
        <v>780</v>
      </c>
      <c r="G665" s="3" t="b">
        <f ca="1">INDEX(dict_zul_Var_Meth[kval_active],MATCH(table_Methods[[#This Row],[ID]],dict_zul_Var_Meth[ID_Methods],0))</f>
        <v>0</v>
      </c>
      <c r="H665">
        <f t="shared" ca="1" si="62"/>
        <v>7116</v>
      </c>
      <c r="I665">
        <f t="shared" ca="1" si="63"/>
        <v>120</v>
      </c>
    </row>
    <row r="666" spans="1:9" x14ac:dyDescent="0.45">
      <c r="A666">
        <v>664</v>
      </c>
      <c r="B666" t="str">
        <f>CONCATENATE("Methode ",table_Methods[[#This Row],[ID]])</f>
        <v>Methode 664</v>
      </c>
      <c r="C666">
        <f t="shared" ca="1" si="64"/>
        <v>86</v>
      </c>
      <c r="D666">
        <f t="shared" ca="1" si="65"/>
        <v>6.07</v>
      </c>
      <c r="E666">
        <f t="shared" ca="1" si="60"/>
        <v>-10</v>
      </c>
      <c r="F666">
        <f t="shared" ca="1" si="61"/>
        <v>560</v>
      </c>
      <c r="G666" s="3" t="b">
        <f ca="1">INDEX(dict_zul_Var_Meth[kval_active],MATCH(table_Methods[[#This Row],[ID]],dict_zul_Var_Meth[ID_Methods],0))</f>
        <v>0</v>
      </c>
      <c r="H666">
        <f t="shared" ca="1" si="62"/>
        <v>38700</v>
      </c>
      <c r="I666">
        <f t="shared" ca="1" si="63"/>
        <v>2272</v>
      </c>
    </row>
    <row r="667" spans="1:9" x14ac:dyDescent="0.45">
      <c r="A667">
        <v>665</v>
      </c>
      <c r="B667" t="str">
        <f>CONCATENATE("Methode ",table_Methods[[#This Row],[ID]])</f>
        <v>Methode 665</v>
      </c>
      <c r="C667">
        <f t="shared" ca="1" si="64"/>
        <v>33</v>
      </c>
      <c r="D667">
        <f t="shared" ca="1" si="65"/>
        <v>6.69</v>
      </c>
      <c r="E667">
        <f t="shared" ca="1" si="60"/>
        <v>-80</v>
      </c>
      <c r="F667">
        <f t="shared" ca="1" si="61"/>
        <v>300</v>
      </c>
      <c r="G667" s="3" t="b">
        <f ca="1">INDEX(dict_zul_Var_Meth[kval_active],MATCH(table_Methods[[#This Row],[ID]],dict_zul_Var_Meth[ID_Methods],0))</f>
        <v>0</v>
      </c>
      <c r="H667">
        <f t="shared" ca="1" si="62"/>
        <v>16737</v>
      </c>
      <c r="I667">
        <f t="shared" ca="1" si="63"/>
        <v>46080</v>
      </c>
    </row>
    <row r="668" spans="1:9" x14ac:dyDescent="0.45">
      <c r="A668">
        <v>666</v>
      </c>
      <c r="B668" t="str">
        <f>CONCATENATE("Methode ",table_Methods[[#This Row],[ID]])</f>
        <v>Methode 666</v>
      </c>
      <c r="C668">
        <f t="shared" ca="1" si="64"/>
        <v>5000</v>
      </c>
      <c r="D668">
        <f t="shared" ca="1" si="65"/>
        <v>9.8000000000000007</v>
      </c>
      <c r="E668">
        <f t="shared" ca="1" si="60"/>
        <v>-50</v>
      </c>
      <c r="F668">
        <f t="shared" ca="1" si="61"/>
        <v>350</v>
      </c>
      <c r="G668" s="3" t="b">
        <f ca="1">INDEX(dict_zul_Var_Meth[kval_active],MATCH(table_Methods[[#This Row],[ID]],dict_zul_Var_Meth[ID_Methods],0))</f>
        <v>0</v>
      </c>
      <c r="H668">
        <f t="shared" ca="1" si="62"/>
        <v>21472</v>
      </c>
      <c r="I668">
        <f t="shared" ca="1" si="63"/>
        <v>688</v>
      </c>
    </row>
    <row r="669" spans="1:9" x14ac:dyDescent="0.45">
      <c r="A669">
        <v>667</v>
      </c>
      <c r="B669" t="str">
        <f>CONCATENATE("Methode ",table_Methods[[#This Row],[ID]])</f>
        <v>Methode 667</v>
      </c>
      <c r="C669">
        <f t="shared" ca="1" si="64"/>
        <v>6.0000000000000009</v>
      </c>
      <c r="D669">
        <f t="shared" ca="1" si="65"/>
        <v>9.09</v>
      </c>
      <c r="E669">
        <f t="shared" ca="1" si="60"/>
        <v>0</v>
      </c>
      <c r="F669">
        <f t="shared" ca="1" si="61"/>
        <v>400</v>
      </c>
      <c r="G669" s="3" t="b">
        <f ca="1">INDEX(dict_zul_Var_Meth[kval_active],MATCH(table_Methods[[#This Row],[ID]],dict_zul_Var_Meth[ID_Methods],0))</f>
        <v>0</v>
      </c>
      <c r="H669">
        <f t="shared" ca="1" si="62"/>
        <v>17710</v>
      </c>
      <c r="I669">
        <f t="shared" ca="1" si="63"/>
        <v>5760</v>
      </c>
    </row>
    <row r="670" spans="1:9" x14ac:dyDescent="0.45">
      <c r="A670">
        <v>668</v>
      </c>
      <c r="B670" t="str">
        <f>CONCATENATE("Methode ",table_Methods[[#This Row],[ID]])</f>
        <v>Methode 668</v>
      </c>
      <c r="C670">
        <f t="shared" ca="1" si="64"/>
        <v>280</v>
      </c>
      <c r="D670">
        <f t="shared" ca="1" si="65"/>
        <v>0.97</v>
      </c>
      <c r="E670">
        <f t="shared" ca="1" si="60"/>
        <v>-10</v>
      </c>
      <c r="F670">
        <f t="shared" ca="1" si="61"/>
        <v>840</v>
      </c>
      <c r="G670" s="3" t="b">
        <f ca="1">INDEX(dict_zul_Var_Meth[kval_active],MATCH(table_Methods[[#This Row],[ID]],dict_zul_Var_Meth[ID_Methods],0))</f>
        <v>0</v>
      </c>
      <c r="H670">
        <f t="shared" ca="1" si="62"/>
        <v>28500</v>
      </c>
      <c r="I670">
        <f t="shared" ca="1" si="63"/>
        <v>2432</v>
      </c>
    </row>
    <row r="671" spans="1:9" x14ac:dyDescent="0.45">
      <c r="A671">
        <v>669</v>
      </c>
      <c r="B671" t="str">
        <f>CONCATENATE("Methode ",table_Methods[[#This Row],[ID]])</f>
        <v>Methode 669</v>
      </c>
      <c r="C671">
        <f t="shared" ca="1" si="64"/>
        <v>88</v>
      </c>
      <c r="D671">
        <f t="shared" ca="1" si="65"/>
        <v>9.9600000000000009</v>
      </c>
      <c r="E671">
        <f t="shared" ca="1" si="60"/>
        <v>-40</v>
      </c>
      <c r="F671">
        <f t="shared" ca="1" si="61"/>
        <v>560</v>
      </c>
      <c r="G671" s="3" t="b">
        <f ca="1">INDEX(dict_zul_Var_Meth[kval_active],MATCH(table_Methods[[#This Row],[ID]],dict_zul_Var_Meth[ID_Methods],0))</f>
        <v>0</v>
      </c>
      <c r="H671">
        <f t="shared" ca="1" si="62"/>
        <v>11555</v>
      </c>
      <c r="I671">
        <f t="shared" ca="1" si="63"/>
        <v>5568</v>
      </c>
    </row>
    <row r="672" spans="1:9" x14ac:dyDescent="0.45">
      <c r="A672">
        <v>670</v>
      </c>
      <c r="B672" t="str">
        <f>CONCATENATE("Methode ",table_Methods[[#This Row],[ID]])</f>
        <v>Methode 670</v>
      </c>
      <c r="C672">
        <f t="shared" ca="1" si="64"/>
        <v>3900</v>
      </c>
      <c r="D672">
        <f t="shared" ca="1" si="65"/>
        <v>6.59</v>
      </c>
      <c r="E672">
        <f t="shared" ca="1" si="60"/>
        <v>0</v>
      </c>
      <c r="F672">
        <f t="shared" ca="1" si="61"/>
        <v>850</v>
      </c>
      <c r="G672" s="3" t="b">
        <f ca="1">INDEX(dict_zul_Var_Meth[kval_active],MATCH(table_Methods[[#This Row],[ID]],dict_zul_Var_Meth[ID_Methods],0))</f>
        <v>0</v>
      </c>
      <c r="H672">
        <f t="shared" ca="1" si="62"/>
        <v>20795</v>
      </c>
      <c r="I672">
        <f t="shared" ca="1" si="63"/>
        <v>13824</v>
      </c>
    </row>
    <row r="673" spans="1:9" x14ac:dyDescent="0.45">
      <c r="A673">
        <v>671</v>
      </c>
      <c r="B673" t="str">
        <f>CONCATENATE("Methode ",table_Methods[[#This Row],[ID]])</f>
        <v>Methode 671</v>
      </c>
      <c r="C673">
        <f t="shared" ca="1" si="64"/>
        <v>70</v>
      </c>
      <c r="D673">
        <f t="shared" ca="1" si="65"/>
        <v>4.01</v>
      </c>
      <c r="E673">
        <f t="shared" ca="1" si="60"/>
        <v>30</v>
      </c>
      <c r="F673">
        <f t="shared" ca="1" si="61"/>
        <v>150</v>
      </c>
      <c r="G673" s="3" t="b">
        <f ca="1">INDEX(dict_zul_Var_Meth[kval_active],MATCH(table_Methods[[#This Row],[ID]],dict_zul_Var_Meth[ID_Methods],0))</f>
        <v>0</v>
      </c>
      <c r="H673">
        <f t="shared" ca="1" si="62"/>
        <v>3745</v>
      </c>
      <c r="I673">
        <f t="shared" ca="1" si="63"/>
        <v>11008</v>
      </c>
    </row>
    <row r="674" spans="1:9" x14ac:dyDescent="0.45">
      <c r="A674">
        <v>672</v>
      </c>
      <c r="B674" t="str">
        <f>CONCATENATE("Methode ",table_Methods[[#This Row],[ID]])</f>
        <v>Methode 672</v>
      </c>
      <c r="C674">
        <f t="shared" ca="1" si="64"/>
        <v>620</v>
      </c>
      <c r="D674">
        <f t="shared" ca="1" si="65"/>
        <v>6.1</v>
      </c>
      <c r="E674">
        <f t="shared" ca="1" si="60"/>
        <v>-50</v>
      </c>
      <c r="F674">
        <f t="shared" ca="1" si="61"/>
        <v>440</v>
      </c>
      <c r="G674" s="3" t="b">
        <f ca="1">INDEX(dict_zul_Var_Meth[kval_active],MATCH(table_Methods[[#This Row],[ID]],dict_zul_Var_Meth[ID_Methods],0))</f>
        <v>0</v>
      </c>
      <c r="H674">
        <f t="shared" ca="1" si="62"/>
        <v>8245</v>
      </c>
      <c r="I674">
        <f t="shared" ca="1" si="63"/>
        <v>380</v>
      </c>
    </row>
    <row r="675" spans="1:9" x14ac:dyDescent="0.45">
      <c r="A675">
        <v>673</v>
      </c>
      <c r="B675" t="str">
        <f>CONCATENATE("Methode ",table_Methods[[#This Row],[ID]])</f>
        <v>Methode 673</v>
      </c>
      <c r="C675">
        <f t="shared" ca="1" si="64"/>
        <v>3900</v>
      </c>
      <c r="D675">
        <f t="shared" ca="1" si="65"/>
        <v>1.89</v>
      </c>
      <c r="E675">
        <f t="shared" ca="1" si="60"/>
        <v>-80</v>
      </c>
      <c r="F675">
        <f t="shared" ca="1" si="61"/>
        <v>160</v>
      </c>
      <c r="G675" s="3" t="b">
        <f ca="1">INDEX(dict_zul_Var_Meth[kval_active],MATCH(table_Methods[[#This Row],[ID]],dict_zul_Var_Meth[ID_Methods],0))</f>
        <v>0</v>
      </c>
      <c r="H675">
        <f t="shared" ca="1" si="62"/>
        <v>4128</v>
      </c>
      <c r="I675">
        <f t="shared" ca="1" si="63"/>
        <v>30720</v>
      </c>
    </row>
    <row r="676" spans="1:9" x14ac:dyDescent="0.45">
      <c r="A676">
        <v>674</v>
      </c>
      <c r="B676" t="str">
        <f>CONCATENATE("Methode ",table_Methods[[#This Row],[ID]])</f>
        <v>Methode 674</v>
      </c>
      <c r="C676">
        <f t="shared" ca="1" si="64"/>
        <v>330</v>
      </c>
      <c r="D676">
        <f t="shared" ca="1" si="65"/>
        <v>8.0399999999999991</v>
      </c>
      <c r="E676">
        <f t="shared" ref="E676:E702" ca="1" si="66">RANDBETWEEN(-10,3)*10</f>
        <v>-90</v>
      </c>
      <c r="F676">
        <f t="shared" ref="F676:F702" ca="1" si="67">RANDBETWEEN(2,100)*10</f>
        <v>100</v>
      </c>
      <c r="G676" s="3" t="b">
        <f ca="1">INDEX(dict_zul_Var_Meth[kval_active],MATCH(table_Methods[[#This Row],[ID]],dict_zul_Var_Meth[ID_Methods],0))</f>
        <v>0</v>
      </c>
      <c r="H676">
        <f t="shared" ref="H676:H702" ca="1" si="68">RANDBETWEEN(1,10)*RANDBETWEEN(1,5000)</f>
        <v>2038</v>
      </c>
      <c r="I676">
        <f t="shared" ref="I676:I702" ca="1" si="69">2^RANDBETWEEN(1,10)*RANDBETWEEN(1,100)</f>
        <v>328</v>
      </c>
    </row>
    <row r="677" spans="1:9" x14ac:dyDescent="0.45">
      <c r="A677">
        <v>675</v>
      </c>
      <c r="B677" t="str">
        <f>CONCATENATE("Methode ",table_Methods[[#This Row],[ID]])</f>
        <v>Methode 675</v>
      </c>
      <c r="C677">
        <f t="shared" ca="1" si="64"/>
        <v>75</v>
      </c>
      <c r="D677">
        <f t="shared" ca="1" si="65"/>
        <v>5.84</v>
      </c>
      <c r="E677">
        <f t="shared" ca="1" si="66"/>
        <v>-80</v>
      </c>
      <c r="F677">
        <f t="shared" ca="1" si="67"/>
        <v>730</v>
      </c>
      <c r="G677" s="3" t="b">
        <f ca="1">INDEX(dict_zul_Var_Meth[kval_active],MATCH(table_Methods[[#This Row],[ID]],dict_zul_Var_Meth[ID_Methods],0))</f>
        <v>0</v>
      </c>
      <c r="H677">
        <f t="shared" ca="1" si="68"/>
        <v>34686</v>
      </c>
      <c r="I677">
        <f t="shared" ca="1" si="69"/>
        <v>13824</v>
      </c>
    </row>
    <row r="678" spans="1:9" x14ac:dyDescent="0.45">
      <c r="A678">
        <v>676</v>
      </c>
      <c r="B678" t="str">
        <f>CONCATENATE("Methode ",table_Methods[[#This Row],[ID]])</f>
        <v>Methode 676</v>
      </c>
      <c r="C678">
        <f t="shared" ca="1" si="64"/>
        <v>87.000000000000014</v>
      </c>
      <c r="D678">
        <f t="shared" ca="1" si="65"/>
        <v>9</v>
      </c>
      <c r="E678">
        <f t="shared" ca="1" si="66"/>
        <v>-40</v>
      </c>
      <c r="F678">
        <f t="shared" ca="1" si="67"/>
        <v>580</v>
      </c>
      <c r="G678" s="3" t="b">
        <f ca="1">INDEX(dict_zul_Var_Meth[kval_active],MATCH(table_Methods[[#This Row],[ID]],dict_zul_Var_Meth[ID_Methods],0))</f>
        <v>0</v>
      </c>
      <c r="H678">
        <f t="shared" ca="1" si="68"/>
        <v>2785</v>
      </c>
      <c r="I678">
        <f t="shared" ca="1" si="69"/>
        <v>208</v>
      </c>
    </row>
    <row r="679" spans="1:9" x14ac:dyDescent="0.45">
      <c r="A679">
        <v>677</v>
      </c>
      <c r="B679" t="str">
        <f>CONCATENATE("Methode ",table_Methods[[#This Row],[ID]])</f>
        <v>Methode 677</v>
      </c>
      <c r="C679">
        <f t="shared" ca="1" si="64"/>
        <v>9100</v>
      </c>
      <c r="D679">
        <f t="shared" ca="1" si="65"/>
        <v>9.43</v>
      </c>
      <c r="E679">
        <f t="shared" ca="1" si="66"/>
        <v>-40</v>
      </c>
      <c r="F679">
        <f t="shared" ca="1" si="67"/>
        <v>940</v>
      </c>
      <c r="G679" s="3" t="b">
        <f ca="1">INDEX(dict_zul_Var_Meth[kval_active],MATCH(table_Methods[[#This Row],[ID]],dict_zul_Var_Meth[ID_Methods],0))</f>
        <v>1</v>
      </c>
      <c r="H679">
        <f t="shared" ca="1" si="68"/>
        <v>23040</v>
      </c>
      <c r="I679">
        <f t="shared" ca="1" si="69"/>
        <v>7168</v>
      </c>
    </row>
    <row r="680" spans="1:9" x14ac:dyDescent="0.45">
      <c r="A680">
        <v>678</v>
      </c>
      <c r="B680" t="str">
        <f>CONCATENATE("Methode ",table_Methods[[#This Row],[ID]])</f>
        <v>Methode 678</v>
      </c>
      <c r="C680">
        <f t="shared" ca="1" si="64"/>
        <v>440</v>
      </c>
      <c r="D680">
        <f t="shared" ca="1" si="65"/>
        <v>0.15</v>
      </c>
      <c r="E680">
        <f t="shared" ca="1" si="66"/>
        <v>-60</v>
      </c>
      <c r="F680">
        <f t="shared" ca="1" si="67"/>
        <v>650</v>
      </c>
      <c r="G680" s="3" t="b">
        <f ca="1">INDEX(dict_zul_Var_Meth[kval_active],MATCH(table_Methods[[#This Row],[ID]],dict_zul_Var_Meth[ID_Methods],0))</f>
        <v>0</v>
      </c>
      <c r="H680">
        <f t="shared" ca="1" si="68"/>
        <v>16839</v>
      </c>
      <c r="I680">
        <f t="shared" ca="1" si="69"/>
        <v>12032</v>
      </c>
    </row>
    <row r="681" spans="1:9" x14ac:dyDescent="0.45">
      <c r="A681">
        <v>679</v>
      </c>
      <c r="B681" t="str">
        <f>CONCATENATE("Methode ",table_Methods[[#This Row],[ID]])</f>
        <v>Methode 679</v>
      </c>
      <c r="C681">
        <f t="shared" ca="1" si="64"/>
        <v>64</v>
      </c>
      <c r="D681">
        <f t="shared" ca="1" si="65"/>
        <v>0.19</v>
      </c>
      <c r="E681">
        <f t="shared" ca="1" si="66"/>
        <v>-10</v>
      </c>
      <c r="F681">
        <f t="shared" ca="1" si="67"/>
        <v>680</v>
      </c>
      <c r="G681" s="3" t="b">
        <f ca="1">INDEX(dict_zul_Var_Meth[kval_active],MATCH(table_Methods[[#This Row],[ID]],dict_zul_Var_Meth[ID_Methods],0))</f>
        <v>1</v>
      </c>
      <c r="H681">
        <f t="shared" ca="1" si="68"/>
        <v>22032</v>
      </c>
      <c r="I681">
        <f t="shared" ca="1" si="69"/>
        <v>22</v>
      </c>
    </row>
    <row r="682" spans="1:9" x14ac:dyDescent="0.45">
      <c r="A682">
        <v>680</v>
      </c>
      <c r="B682" t="str">
        <f>CONCATENATE("Methode ",table_Methods[[#This Row],[ID]])</f>
        <v>Methode 680</v>
      </c>
      <c r="C682">
        <f t="shared" ca="1" si="64"/>
        <v>930</v>
      </c>
      <c r="D682">
        <f t="shared" ca="1" si="65"/>
        <v>3.49</v>
      </c>
      <c r="E682">
        <f t="shared" ca="1" si="66"/>
        <v>-30</v>
      </c>
      <c r="F682">
        <f t="shared" ca="1" si="67"/>
        <v>430</v>
      </c>
      <c r="G682" s="3" t="b">
        <f ca="1">INDEX(dict_zul_Var_Meth[kval_active],MATCH(table_Methods[[#This Row],[ID]],dict_zul_Var_Meth[ID_Methods],0))</f>
        <v>0</v>
      </c>
      <c r="H682">
        <f t="shared" ca="1" si="68"/>
        <v>13068</v>
      </c>
      <c r="I682">
        <f t="shared" ca="1" si="69"/>
        <v>33792</v>
      </c>
    </row>
    <row r="683" spans="1:9" x14ac:dyDescent="0.45">
      <c r="A683">
        <v>681</v>
      </c>
      <c r="B683" t="str">
        <f>CONCATENATE("Methode ",table_Methods[[#This Row],[ID]])</f>
        <v>Methode 681</v>
      </c>
      <c r="C683">
        <f t="shared" ca="1" si="64"/>
        <v>72</v>
      </c>
      <c r="D683">
        <f t="shared" ca="1" si="65"/>
        <v>3.65</v>
      </c>
      <c r="E683">
        <f t="shared" ca="1" si="66"/>
        <v>30</v>
      </c>
      <c r="F683">
        <f t="shared" ca="1" si="67"/>
        <v>480</v>
      </c>
      <c r="G683" s="3" t="b">
        <f ca="1">INDEX(dict_zul_Var_Meth[kval_active],MATCH(table_Methods[[#This Row],[ID]],dict_zul_Var_Meth[ID_Methods],0))</f>
        <v>0</v>
      </c>
      <c r="H683">
        <f t="shared" ca="1" si="68"/>
        <v>5690</v>
      </c>
      <c r="I683">
        <f t="shared" ca="1" si="69"/>
        <v>512</v>
      </c>
    </row>
    <row r="684" spans="1:9" x14ac:dyDescent="0.45">
      <c r="A684">
        <v>682</v>
      </c>
      <c r="B684" t="str">
        <f>CONCATENATE("Methode ",table_Methods[[#This Row],[ID]])</f>
        <v>Methode 682</v>
      </c>
      <c r="C684">
        <f t="shared" ca="1" si="64"/>
        <v>79</v>
      </c>
      <c r="D684">
        <f t="shared" ca="1" si="65"/>
        <v>1.1499999999999999</v>
      </c>
      <c r="E684">
        <f t="shared" ca="1" si="66"/>
        <v>-70</v>
      </c>
      <c r="F684">
        <f t="shared" ca="1" si="67"/>
        <v>610</v>
      </c>
      <c r="G684" s="3" t="b">
        <f ca="1">INDEX(dict_zul_Var_Meth[kval_active],MATCH(table_Methods[[#This Row],[ID]],dict_zul_Var_Meth[ID_Methods],0))</f>
        <v>0</v>
      </c>
      <c r="H684">
        <f t="shared" ca="1" si="68"/>
        <v>5427</v>
      </c>
      <c r="I684">
        <f t="shared" ca="1" si="69"/>
        <v>1520</v>
      </c>
    </row>
    <row r="685" spans="1:9" x14ac:dyDescent="0.45">
      <c r="A685">
        <v>683</v>
      </c>
      <c r="B685" t="str">
        <f>CONCATENATE("Methode ",table_Methods[[#This Row],[ID]])</f>
        <v>Methode 683</v>
      </c>
      <c r="C685">
        <f t="shared" ca="1" si="64"/>
        <v>230</v>
      </c>
      <c r="D685">
        <f t="shared" ca="1" si="65"/>
        <v>3.85</v>
      </c>
      <c r="E685">
        <f t="shared" ca="1" si="66"/>
        <v>-60</v>
      </c>
      <c r="F685">
        <f t="shared" ca="1" si="67"/>
        <v>950</v>
      </c>
      <c r="G685" s="3" t="b">
        <f ca="1">INDEX(dict_zul_Var_Meth[kval_active],MATCH(table_Methods[[#This Row],[ID]],dict_zul_Var_Meth[ID_Methods],0))</f>
        <v>0</v>
      </c>
      <c r="H685">
        <f t="shared" ca="1" si="68"/>
        <v>39320</v>
      </c>
      <c r="I685">
        <f t="shared" ca="1" si="69"/>
        <v>20480</v>
      </c>
    </row>
    <row r="686" spans="1:9" x14ac:dyDescent="0.45">
      <c r="A686">
        <v>684</v>
      </c>
      <c r="B686" t="str">
        <f>CONCATENATE("Methode ",table_Methods[[#This Row],[ID]])</f>
        <v>Methode 684</v>
      </c>
      <c r="C686">
        <f t="shared" ca="1" si="64"/>
        <v>23.000000000000004</v>
      </c>
      <c r="D686">
        <f t="shared" ca="1" si="65"/>
        <v>9.32</v>
      </c>
      <c r="E686">
        <f t="shared" ca="1" si="66"/>
        <v>-40</v>
      </c>
      <c r="F686">
        <f t="shared" ca="1" si="67"/>
        <v>580</v>
      </c>
      <c r="G686" s="3" t="b">
        <f ca="1">INDEX(dict_zul_Var_Meth[kval_active],MATCH(table_Methods[[#This Row],[ID]],dict_zul_Var_Meth[ID_Methods],0))</f>
        <v>0</v>
      </c>
      <c r="H686">
        <f t="shared" ca="1" si="68"/>
        <v>25655</v>
      </c>
      <c r="I686">
        <f t="shared" ca="1" si="69"/>
        <v>5696</v>
      </c>
    </row>
    <row r="687" spans="1:9" x14ac:dyDescent="0.45">
      <c r="A687">
        <v>685</v>
      </c>
      <c r="B687" t="str">
        <f>CONCATENATE("Methode ",table_Methods[[#This Row],[ID]])</f>
        <v>Methode 685</v>
      </c>
      <c r="C687">
        <f t="shared" ca="1" si="64"/>
        <v>840</v>
      </c>
      <c r="D687">
        <f t="shared" ca="1" si="65"/>
        <v>2.92</v>
      </c>
      <c r="E687">
        <f t="shared" ca="1" si="66"/>
        <v>-50</v>
      </c>
      <c r="F687">
        <f t="shared" ca="1" si="67"/>
        <v>850</v>
      </c>
      <c r="G687" s="3" t="b">
        <f ca="1">INDEX(dict_zul_Var_Meth[kval_active],MATCH(table_Methods[[#This Row],[ID]],dict_zul_Var_Meth[ID_Methods],0))</f>
        <v>0</v>
      </c>
      <c r="H687">
        <f t="shared" ca="1" si="68"/>
        <v>3580</v>
      </c>
      <c r="I687">
        <f t="shared" ca="1" si="69"/>
        <v>5888</v>
      </c>
    </row>
    <row r="688" spans="1:9" x14ac:dyDescent="0.45">
      <c r="A688">
        <v>686</v>
      </c>
      <c r="B688" t="str">
        <f>CONCATENATE("Methode ",table_Methods[[#This Row],[ID]])</f>
        <v>Methode 686</v>
      </c>
      <c r="C688">
        <f t="shared" ca="1" si="64"/>
        <v>95</v>
      </c>
      <c r="D688">
        <f t="shared" ca="1" si="65"/>
        <v>0.55000000000000004</v>
      </c>
      <c r="E688">
        <f t="shared" ca="1" si="66"/>
        <v>-30</v>
      </c>
      <c r="F688">
        <f t="shared" ca="1" si="67"/>
        <v>1000</v>
      </c>
      <c r="G688" s="3" t="b">
        <f ca="1">INDEX(dict_zul_Var_Meth[kval_active],MATCH(table_Methods[[#This Row],[ID]],dict_zul_Var_Meth[ID_Methods],0))</f>
        <v>0</v>
      </c>
      <c r="H688">
        <f t="shared" ca="1" si="68"/>
        <v>600</v>
      </c>
      <c r="I688">
        <f t="shared" ca="1" si="69"/>
        <v>32</v>
      </c>
    </row>
    <row r="689" spans="1:9" x14ac:dyDescent="0.45">
      <c r="A689">
        <v>687</v>
      </c>
      <c r="B689" t="str">
        <f>CONCATENATE("Methode ",table_Methods[[#This Row],[ID]])</f>
        <v>Methode 687</v>
      </c>
      <c r="C689">
        <f t="shared" ca="1" si="64"/>
        <v>6300</v>
      </c>
      <c r="D689">
        <f t="shared" ca="1" si="65"/>
        <v>5.26</v>
      </c>
      <c r="E689">
        <f t="shared" ca="1" si="66"/>
        <v>-30</v>
      </c>
      <c r="F689">
        <f t="shared" ca="1" si="67"/>
        <v>200</v>
      </c>
      <c r="G689" s="3" t="b">
        <f ca="1">INDEX(dict_zul_Var_Meth[kval_active],MATCH(table_Methods[[#This Row],[ID]],dict_zul_Var_Meth[ID_Methods],0))</f>
        <v>0</v>
      </c>
      <c r="H689">
        <f t="shared" ca="1" si="68"/>
        <v>784</v>
      </c>
      <c r="I689">
        <f t="shared" ca="1" si="69"/>
        <v>90</v>
      </c>
    </row>
    <row r="690" spans="1:9" x14ac:dyDescent="0.45">
      <c r="A690">
        <v>688</v>
      </c>
      <c r="B690" t="str">
        <f>CONCATENATE("Methode ",table_Methods[[#This Row],[ID]])</f>
        <v>Methode 688</v>
      </c>
      <c r="C690">
        <f t="shared" ca="1" si="64"/>
        <v>6600</v>
      </c>
      <c r="D690">
        <f t="shared" ca="1" si="65"/>
        <v>9.6999999999999993</v>
      </c>
      <c r="E690">
        <f t="shared" ca="1" si="66"/>
        <v>-70</v>
      </c>
      <c r="F690">
        <f t="shared" ca="1" si="67"/>
        <v>900</v>
      </c>
      <c r="G690" s="3" t="b">
        <f ca="1">INDEX(dict_zul_Var_Meth[kval_active],MATCH(table_Methods[[#This Row],[ID]],dict_zul_Var_Meth[ID_Methods],0))</f>
        <v>0</v>
      </c>
      <c r="H690">
        <f t="shared" ca="1" si="68"/>
        <v>33968</v>
      </c>
      <c r="I690">
        <f t="shared" ca="1" si="69"/>
        <v>96</v>
      </c>
    </row>
    <row r="691" spans="1:9" x14ac:dyDescent="0.45">
      <c r="A691">
        <v>689</v>
      </c>
      <c r="B691" t="str">
        <f>CONCATENATE("Methode ",table_Methods[[#This Row],[ID]])</f>
        <v>Methode 689</v>
      </c>
      <c r="C691">
        <f t="shared" ca="1" si="64"/>
        <v>730</v>
      </c>
      <c r="D691">
        <f t="shared" ca="1" si="65"/>
        <v>1.82</v>
      </c>
      <c r="E691">
        <f t="shared" ca="1" si="66"/>
        <v>0</v>
      </c>
      <c r="F691">
        <f t="shared" ca="1" si="67"/>
        <v>740</v>
      </c>
      <c r="G691" s="3" t="b">
        <f ca="1">INDEX(dict_zul_Var_Meth[kval_active],MATCH(table_Methods[[#This Row],[ID]],dict_zul_Var_Meth[ID_Methods],0))</f>
        <v>0</v>
      </c>
      <c r="H691">
        <f t="shared" ca="1" si="68"/>
        <v>1091</v>
      </c>
      <c r="I691">
        <f t="shared" ca="1" si="69"/>
        <v>10752</v>
      </c>
    </row>
    <row r="692" spans="1:9" x14ac:dyDescent="0.45">
      <c r="A692">
        <v>690</v>
      </c>
      <c r="B692" t="str">
        <f>CONCATENATE("Methode ",table_Methods[[#This Row],[ID]])</f>
        <v>Methode 690</v>
      </c>
      <c r="C692">
        <f t="shared" ca="1" si="64"/>
        <v>150</v>
      </c>
      <c r="D692">
        <f t="shared" ca="1" si="65"/>
        <v>9.74</v>
      </c>
      <c r="E692">
        <f t="shared" ca="1" si="66"/>
        <v>30</v>
      </c>
      <c r="F692">
        <f t="shared" ca="1" si="67"/>
        <v>640</v>
      </c>
      <c r="G692" s="3" t="b">
        <f ca="1">INDEX(dict_zul_Var_Meth[kval_active],MATCH(table_Methods[[#This Row],[ID]],dict_zul_Var_Meth[ID_Methods],0))</f>
        <v>0</v>
      </c>
      <c r="H692">
        <f t="shared" ca="1" si="68"/>
        <v>8060</v>
      </c>
      <c r="I692">
        <f t="shared" ca="1" si="69"/>
        <v>16</v>
      </c>
    </row>
    <row r="693" spans="1:9" x14ac:dyDescent="0.45">
      <c r="A693">
        <v>691</v>
      </c>
      <c r="B693" t="str">
        <f>CONCATENATE("Methode ",table_Methods[[#This Row],[ID]])</f>
        <v>Methode 691</v>
      </c>
      <c r="C693">
        <f t="shared" ca="1" si="64"/>
        <v>6300</v>
      </c>
      <c r="D693">
        <f t="shared" ca="1" si="65"/>
        <v>7.22</v>
      </c>
      <c r="E693">
        <f t="shared" ca="1" si="66"/>
        <v>-60</v>
      </c>
      <c r="F693">
        <f t="shared" ca="1" si="67"/>
        <v>890</v>
      </c>
      <c r="G693" s="3" t="b">
        <f ca="1">INDEX(dict_zul_Var_Meth[kval_active],MATCH(table_Methods[[#This Row],[ID]],dict_zul_Var_Meth[ID_Methods],0))</f>
        <v>0</v>
      </c>
      <c r="H693">
        <f t="shared" ca="1" si="68"/>
        <v>9024</v>
      </c>
      <c r="I693">
        <f t="shared" ca="1" si="69"/>
        <v>736</v>
      </c>
    </row>
    <row r="694" spans="1:9" x14ac:dyDescent="0.45">
      <c r="A694">
        <v>692</v>
      </c>
      <c r="B694" t="str">
        <f>CONCATENATE("Methode ",table_Methods[[#This Row],[ID]])</f>
        <v>Methode 692</v>
      </c>
      <c r="C694">
        <f t="shared" ca="1" si="64"/>
        <v>2300</v>
      </c>
      <c r="D694">
        <f t="shared" ca="1" si="65"/>
        <v>8.2200000000000006</v>
      </c>
      <c r="E694">
        <f t="shared" ca="1" si="66"/>
        <v>-10</v>
      </c>
      <c r="F694">
        <f t="shared" ca="1" si="67"/>
        <v>890</v>
      </c>
      <c r="G694" s="3" t="b">
        <f ca="1">INDEX(dict_zul_Var_Meth[kval_active],MATCH(table_Methods[[#This Row],[ID]],dict_zul_Var_Meth[ID_Methods],0))</f>
        <v>0</v>
      </c>
      <c r="H694">
        <f t="shared" ca="1" si="68"/>
        <v>6194</v>
      </c>
      <c r="I694">
        <f t="shared" ca="1" si="69"/>
        <v>11776</v>
      </c>
    </row>
    <row r="695" spans="1:9" x14ac:dyDescent="0.45">
      <c r="A695">
        <v>693</v>
      </c>
      <c r="B695" t="str">
        <f>CONCATENATE("Methode ",table_Methods[[#This Row],[ID]])</f>
        <v>Methode 693</v>
      </c>
      <c r="C695">
        <f t="shared" ca="1" si="64"/>
        <v>35</v>
      </c>
      <c r="D695">
        <f t="shared" ca="1" si="65"/>
        <v>9.3000000000000007</v>
      </c>
      <c r="E695">
        <f t="shared" ca="1" si="66"/>
        <v>-10</v>
      </c>
      <c r="F695">
        <f t="shared" ca="1" si="67"/>
        <v>410</v>
      </c>
      <c r="G695" s="3" t="b">
        <f ca="1">INDEX(dict_zul_Var_Meth[kval_active],MATCH(table_Methods[[#This Row],[ID]],dict_zul_Var_Meth[ID_Methods],0))</f>
        <v>0</v>
      </c>
      <c r="H695">
        <f t="shared" ca="1" si="68"/>
        <v>5215</v>
      </c>
      <c r="I695">
        <f t="shared" ca="1" si="69"/>
        <v>79872</v>
      </c>
    </row>
    <row r="696" spans="1:9" x14ac:dyDescent="0.45">
      <c r="A696">
        <v>694</v>
      </c>
      <c r="B696" t="str">
        <f>CONCATENATE("Methode ",table_Methods[[#This Row],[ID]])</f>
        <v>Methode 694</v>
      </c>
      <c r="C696">
        <f t="shared" ca="1" si="64"/>
        <v>440</v>
      </c>
      <c r="D696">
        <f t="shared" ca="1" si="65"/>
        <v>4.76</v>
      </c>
      <c r="E696">
        <f t="shared" ca="1" si="66"/>
        <v>0</v>
      </c>
      <c r="F696">
        <f t="shared" ca="1" si="67"/>
        <v>810</v>
      </c>
      <c r="G696" s="3" t="b">
        <f ca="1">INDEX(dict_zul_Var_Meth[kval_active],MATCH(table_Methods[[#This Row],[ID]],dict_zul_Var_Meth[ID_Methods],0))</f>
        <v>0</v>
      </c>
      <c r="H696">
        <f t="shared" ca="1" si="68"/>
        <v>13680</v>
      </c>
      <c r="I696">
        <f t="shared" ca="1" si="69"/>
        <v>2304</v>
      </c>
    </row>
    <row r="697" spans="1:9" x14ac:dyDescent="0.45">
      <c r="A697">
        <v>695</v>
      </c>
      <c r="B697" t="str">
        <f>CONCATENATE("Methode ",table_Methods[[#This Row],[ID]])</f>
        <v>Methode 695</v>
      </c>
      <c r="C697">
        <f t="shared" ca="1" si="64"/>
        <v>340</v>
      </c>
      <c r="D697">
        <f t="shared" ca="1" si="65"/>
        <v>8.4600000000000009</v>
      </c>
      <c r="E697">
        <f t="shared" ca="1" si="66"/>
        <v>10</v>
      </c>
      <c r="F697">
        <f t="shared" ca="1" si="67"/>
        <v>1000</v>
      </c>
      <c r="G697" s="3" t="b">
        <f ca="1">INDEX(dict_zul_Var_Meth[kval_active],MATCH(table_Methods[[#This Row],[ID]],dict_zul_Var_Meth[ID_Methods],0))</f>
        <v>0</v>
      </c>
      <c r="H697">
        <f t="shared" ca="1" si="68"/>
        <v>8630</v>
      </c>
      <c r="I697">
        <f t="shared" ca="1" si="69"/>
        <v>13824</v>
      </c>
    </row>
    <row r="698" spans="1:9" x14ac:dyDescent="0.45">
      <c r="A698">
        <v>696</v>
      </c>
      <c r="B698" t="str">
        <f>CONCATENATE("Methode ",table_Methods[[#This Row],[ID]])</f>
        <v>Methode 696</v>
      </c>
      <c r="C698">
        <f t="shared" ca="1" si="64"/>
        <v>58.000000000000007</v>
      </c>
      <c r="D698">
        <f t="shared" ca="1" si="65"/>
        <v>3.88</v>
      </c>
      <c r="E698">
        <f t="shared" ca="1" si="66"/>
        <v>0</v>
      </c>
      <c r="F698">
        <f t="shared" ca="1" si="67"/>
        <v>620</v>
      </c>
      <c r="G698" s="3" t="b">
        <f ca="1">INDEX(dict_zul_Var_Meth[kval_active],MATCH(table_Methods[[#This Row],[ID]],dict_zul_Var_Meth[ID_Methods],0))</f>
        <v>0</v>
      </c>
      <c r="H698">
        <f t="shared" ca="1" si="68"/>
        <v>15200</v>
      </c>
      <c r="I698">
        <f t="shared" ca="1" si="69"/>
        <v>208</v>
      </c>
    </row>
    <row r="699" spans="1:9" x14ac:dyDescent="0.45">
      <c r="A699">
        <v>697</v>
      </c>
      <c r="B699" t="str">
        <f>CONCATENATE("Methode ",table_Methods[[#This Row],[ID]])</f>
        <v>Methode 697</v>
      </c>
      <c r="C699">
        <f t="shared" ca="1" si="64"/>
        <v>6800</v>
      </c>
      <c r="D699">
        <f t="shared" ca="1" si="65"/>
        <v>8.64</v>
      </c>
      <c r="E699">
        <f t="shared" ca="1" si="66"/>
        <v>-20</v>
      </c>
      <c r="F699">
        <f t="shared" ca="1" si="67"/>
        <v>30</v>
      </c>
      <c r="G699" s="3" t="b">
        <f ca="1">INDEX(dict_zul_Var_Meth[kval_active],MATCH(table_Methods[[#This Row],[ID]],dict_zul_Var_Meth[ID_Methods],0))</f>
        <v>0</v>
      </c>
      <c r="H699">
        <f t="shared" ca="1" si="68"/>
        <v>3204</v>
      </c>
      <c r="I699">
        <f t="shared" ca="1" si="69"/>
        <v>18432</v>
      </c>
    </row>
    <row r="700" spans="1:9" x14ac:dyDescent="0.45">
      <c r="A700">
        <v>698</v>
      </c>
      <c r="B700" t="str">
        <f>CONCATENATE("Methode ",table_Methods[[#This Row],[ID]])</f>
        <v>Methode 698</v>
      </c>
      <c r="C700">
        <f t="shared" ca="1" si="64"/>
        <v>890</v>
      </c>
      <c r="D700">
        <f t="shared" ca="1" si="65"/>
        <v>4.93</v>
      </c>
      <c r="E700">
        <f t="shared" ca="1" si="66"/>
        <v>0</v>
      </c>
      <c r="F700">
        <f t="shared" ca="1" si="67"/>
        <v>950</v>
      </c>
      <c r="G700" s="3" t="b">
        <f ca="1">INDEX(dict_zul_Var_Meth[kval_active],MATCH(table_Methods[[#This Row],[ID]],dict_zul_Var_Meth[ID_Methods],0))</f>
        <v>0</v>
      </c>
      <c r="H700">
        <f t="shared" ca="1" si="68"/>
        <v>6260</v>
      </c>
      <c r="I700">
        <f t="shared" ca="1" si="69"/>
        <v>50176</v>
      </c>
    </row>
    <row r="701" spans="1:9" x14ac:dyDescent="0.45">
      <c r="A701">
        <v>699</v>
      </c>
      <c r="B701" t="str">
        <f>CONCATENATE("Methode ",table_Methods[[#This Row],[ID]])</f>
        <v>Methode 699</v>
      </c>
      <c r="C701">
        <f t="shared" ca="1" si="64"/>
        <v>850</v>
      </c>
      <c r="D701">
        <f t="shared" ca="1" si="65"/>
        <v>0.6</v>
      </c>
      <c r="E701">
        <f t="shared" ca="1" si="66"/>
        <v>0</v>
      </c>
      <c r="F701">
        <f t="shared" ca="1" si="67"/>
        <v>880</v>
      </c>
      <c r="G701" s="3" t="b">
        <f ca="1">INDEX(dict_zul_Var_Meth[kval_active],MATCH(table_Methods[[#This Row],[ID]],dict_zul_Var_Meth[ID_Methods],0))</f>
        <v>0</v>
      </c>
      <c r="H701">
        <f t="shared" ca="1" si="68"/>
        <v>36832</v>
      </c>
      <c r="I701">
        <f t="shared" ca="1" si="69"/>
        <v>50176</v>
      </c>
    </row>
    <row r="702" spans="1:9" x14ac:dyDescent="0.45">
      <c r="A702">
        <v>700</v>
      </c>
      <c r="B702" t="str">
        <f>CONCATENATE("Methode ",table_Methods[[#This Row],[ID]])</f>
        <v>Methode 700</v>
      </c>
      <c r="C702">
        <f t="shared" ca="1" si="64"/>
        <v>49</v>
      </c>
      <c r="D702">
        <f t="shared" ca="1" si="65"/>
        <v>1.61</v>
      </c>
      <c r="E702">
        <f t="shared" ca="1" si="66"/>
        <v>-80</v>
      </c>
      <c r="F702">
        <f t="shared" ca="1" si="67"/>
        <v>440</v>
      </c>
      <c r="G702" s="3" t="b">
        <f ca="1">INDEX(dict_zul_Var_Meth[kval_active],MATCH(table_Methods[[#This Row],[ID]],dict_zul_Var_Meth[ID_Methods],0))</f>
        <v>0</v>
      </c>
      <c r="H702">
        <f t="shared" ca="1" si="68"/>
        <v>1191</v>
      </c>
      <c r="I702">
        <f t="shared" ca="1" si="69"/>
        <v>13312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/>
  <dimension ref="A1:E32"/>
  <sheetViews>
    <sheetView workbookViewId="0"/>
  </sheetViews>
  <sheetFormatPr baseColWidth="10" defaultRowHeight="14.25" x14ac:dyDescent="0.45"/>
  <cols>
    <col min="1" max="1" width="5.1328125" bestFit="1" customWidth="1"/>
    <col min="2" max="2" width="8.59765625" bestFit="1" customWidth="1"/>
    <col min="3" max="3" width="18" customWidth="1"/>
    <col min="4" max="4" width="16.86328125" bestFit="1" customWidth="1"/>
    <col min="5" max="5" width="18.1328125" bestFit="1" customWidth="1"/>
  </cols>
  <sheetData>
    <row r="1" spans="1:5" x14ac:dyDescent="0.45">
      <c r="A1" t="s">
        <v>0</v>
      </c>
      <c r="B1" t="s">
        <v>1</v>
      </c>
      <c r="C1" t="s">
        <v>66</v>
      </c>
      <c r="D1" t="s">
        <v>87</v>
      </c>
      <c r="E1" s="2" t="s">
        <v>88</v>
      </c>
    </row>
    <row r="2" spans="1:5" x14ac:dyDescent="0.45">
      <c r="A2">
        <v>0</v>
      </c>
      <c r="B2" t="str">
        <f>CONCATENATE("Person ",table_Persons[[#This Row],[ID]])</f>
        <v>Person 0</v>
      </c>
      <c r="C2" t="b">
        <f ca="1">COUNTIF(dict_zuord_Meth_Per[ignored_help],table_Persons[[#This Row],[ID]])&gt;0</f>
        <v>1</v>
      </c>
      <c r="D2">
        <v>5</v>
      </c>
      <c r="E2">
        <f>600</f>
        <v>600</v>
      </c>
    </row>
    <row r="3" spans="1:5" x14ac:dyDescent="0.45">
      <c r="A3">
        <v>1</v>
      </c>
      <c r="B3" t="str">
        <f>CONCATENATE("Person ",table_Persons[[#This Row],[ID]])</f>
        <v>Person 1</v>
      </c>
      <c r="C3" t="b">
        <f ca="1">COUNTIF(dict_zuord_Meth_Per[ignored_help],table_Persons[[#This Row],[ID]])&gt;0</f>
        <v>0</v>
      </c>
      <c r="D3">
        <v>10</v>
      </c>
      <c r="E3">
        <v>480</v>
      </c>
    </row>
    <row r="4" spans="1:5" x14ac:dyDescent="0.45">
      <c r="A4">
        <v>2</v>
      </c>
      <c r="B4" t="str">
        <f>CONCATENATE("Person ",table_Persons[[#This Row],[ID]])</f>
        <v>Person 2</v>
      </c>
      <c r="C4" t="b">
        <f ca="1">COUNTIF(dict_zuord_Meth_Per[ignored_help],table_Persons[[#This Row],[ID]])&gt;0</f>
        <v>1</v>
      </c>
      <c r="D4">
        <v>15</v>
      </c>
      <c r="E4">
        <v>400</v>
      </c>
    </row>
    <row r="5" spans="1:5" x14ac:dyDescent="0.45">
      <c r="A5">
        <v>3</v>
      </c>
      <c r="B5" t="str">
        <f>CONCATENATE("Person ",table_Persons[[#This Row],[ID]])</f>
        <v>Person 3</v>
      </c>
      <c r="C5" t="b">
        <f ca="1">COUNTIF(dict_zuord_Meth_Per[ignored_help],table_Persons[[#This Row],[ID]])&gt;0</f>
        <v>0</v>
      </c>
      <c r="D5">
        <v>20</v>
      </c>
      <c r="E5">
        <v>400</v>
      </c>
    </row>
    <row r="6" spans="1:5" x14ac:dyDescent="0.45">
      <c r="A6">
        <v>4</v>
      </c>
      <c r="B6" t="str">
        <f>CONCATENATE("Person ",table_Persons[[#This Row],[ID]])</f>
        <v>Person 4</v>
      </c>
      <c r="C6" t="b">
        <f ca="1">COUNTIF(dict_zuord_Meth_Per[ignored_help],table_Persons[[#This Row],[ID]])&gt;0</f>
        <v>0</v>
      </c>
      <c r="D6">
        <v>25</v>
      </c>
      <c r="E6">
        <v>300</v>
      </c>
    </row>
    <row r="7" spans="1:5" x14ac:dyDescent="0.45">
      <c r="A7">
        <v>5</v>
      </c>
      <c r="B7" t="str">
        <f>CONCATENATE("Person ",table_Persons[[#This Row],[ID]])</f>
        <v>Person 5</v>
      </c>
      <c r="C7" t="b">
        <f ca="1">COUNTIF(dict_zuord_Meth_Per[ignored_help],table_Persons[[#This Row],[ID]])&gt;0</f>
        <v>1</v>
      </c>
      <c r="D7">
        <v>30</v>
      </c>
      <c r="E7">
        <v>200</v>
      </c>
    </row>
    <row r="8" spans="1:5" x14ac:dyDescent="0.45">
      <c r="A8">
        <v>6</v>
      </c>
      <c r="B8" t="str">
        <f>CONCATENATE("Person ",table_Persons[[#This Row],[ID]])</f>
        <v>Person 6</v>
      </c>
      <c r="C8" t="b">
        <f ca="1">COUNTIF(dict_zuord_Meth_Per[ignored_help],table_Persons[[#This Row],[ID]])&gt;0</f>
        <v>1</v>
      </c>
      <c r="D8">
        <v>35</v>
      </c>
      <c r="E8">
        <v>120</v>
      </c>
    </row>
    <row r="9" spans="1:5" x14ac:dyDescent="0.45">
      <c r="A9">
        <v>7</v>
      </c>
      <c r="B9" t="str">
        <f>CONCATENATE("Person ",table_Persons[[#This Row],[ID]])</f>
        <v>Person 7</v>
      </c>
      <c r="C9" t="b">
        <f ca="1">COUNTIF(dict_zuord_Meth_Per[ignored_help],table_Persons[[#This Row],[ID]])&gt;0</f>
        <v>1</v>
      </c>
      <c r="D9">
        <v>40</v>
      </c>
      <c r="E9">
        <v>120</v>
      </c>
    </row>
    <row r="10" spans="1:5" x14ac:dyDescent="0.45">
      <c r="A10">
        <v>8</v>
      </c>
      <c r="B10" t="str">
        <f>CONCATENATE("Person ",table_Persons[[#This Row],[ID]])</f>
        <v>Person 8</v>
      </c>
      <c r="C10" t="b">
        <f ca="1">COUNTIF(dict_zuord_Meth_Per[ignored_help],table_Persons[[#This Row],[ID]])&gt;0</f>
        <v>1</v>
      </c>
      <c r="D10">
        <v>45</v>
      </c>
      <c r="E10">
        <v>60</v>
      </c>
    </row>
    <row r="11" spans="1:5" x14ac:dyDescent="0.45">
      <c r="A11">
        <v>9</v>
      </c>
      <c r="B11" t="str">
        <f>CONCATENATE("Person ",table_Persons[[#This Row],[ID]])</f>
        <v>Person 9</v>
      </c>
      <c r="C11" t="b">
        <f ca="1">COUNTIF(dict_zuord_Meth_Per[ignored_help],table_Persons[[#This Row],[ID]])&gt;0</f>
        <v>0</v>
      </c>
      <c r="D11">
        <v>50</v>
      </c>
      <c r="E11">
        <v>30</v>
      </c>
    </row>
    <row r="12" spans="1:5" x14ac:dyDescent="0.45">
      <c r="A12">
        <v>10</v>
      </c>
      <c r="B12" t="str">
        <f>CONCATENATE("Person ",table_Persons[[#This Row],[ID]])</f>
        <v>Person 10</v>
      </c>
      <c r="C12" t="b">
        <f ca="1">COUNTIF(dict_zuord_Meth_Per[ignored_help],table_Persons[[#This Row],[ID]])&gt;0</f>
        <v>1</v>
      </c>
      <c r="D12">
        <v>5</v>
      </c>
      <c r="E12">
        <f>600</f>
        <v>600</v>
      </c>
    </row>
    <row r="13" spans="1:5" x14ac:dyDescent="0.45">
      <c r="A13">
        <v>11</v>
      </c>
      <c r="B13" t="str">
        <f>CONCATENATE("Person ",table_Persons[[#This Row],[ID]])</f>
        <v>Person 11</v>
      </c>
      <c r="C13" t="b">
        <f ca="1">COUNTIF(dict_zuord_Meth_Per[ignored_help],table_Persons[[#This Row],[ID]])&gt;0</f>
        <v>1</v>
      </c>
      <c r="D13">
        <v>10</v>
      </c>
      <c r="E13">
        <v>480</v>
      </c>
    </row>
    <row r="14" spans="1:5" x14ac:dyDescent="0.45">
      <c r="A14">
        <v>12</v>
      </c>
      <c r="B14" t="str">
        <f>CONCATENATE("Person ",table_Persons[[#This Row],[ID]])</f>
        <v>Person 12</v>
      </c>
      <c r="C14" t="b">
        <f ca="1">COUNTIF(dict_zuord_Meth_Per[ignored_help],table_Persons[[#This Row],[ID]])&gt;0</f>
        <v>0</v>
      </c>
      <c r="D14">
        <v>15</v>
      </c>
      <c r="E14">
        <v>500</v>
      </c>
    </row>
    <row r="15" spans="1:5" x14ac:dyDescent="0.45">
      <c r="A15">
        <v>13</v>
      </c>
      <c r="B15" t="str">
        <f>CONCATENATE("Person ",table_Persons[[#This Row],[ID]])</f>
        <v>Person 13</v>
      </c>
      <c r="C15" t="b">
        <f ca="1">COUNTIF(dict_zuord_Meth_Per[ignored_help],table_Persons[[#This Row],[ID]])&gt;0</f>
        <v>0</v>
      </c>
      <c r="D15">
        <v>20</v>
      </c>
      <c r="E15">
        <v>400</v>
      </c>
    </row>
    <row r="16" spans="1:5" x14ac:dyDescent="0.45">
      <c r="A16">
        <v>14</v>
      </c>
      <c r="B16" t="str">
        <f>CONCATENATE("Person ",table_Persons[[#This Row],[ID]])</f>
        <v>Person 14</v>
      </c>
      <c r="C16" t="b">
        <f ca="1">COUNTIF(dict_zuord_Meth_Per[ignored_help],table_Persons[[#This Row],[ID]])&gt;0</f>
        <v>1</v>
      </c>
      <c r="D16">
        <v>25</v>
      </c>
      <c r="E16">
        <v>500</v>
      </c>
    </row>
    <row r="17" spans="1:5" x14ac:dyDescent="0.45">
      <c r="A17">
        <v>15</v>
      </c>
      <c r="B17" t="str">
        <f>CONCATENATE("Person ",table_Persons[[#This Row],[ID]])</f>
        <v>Person 15</v>
      </c>
      <c r="C17" t="b">
        <f ca="1">COUNTIF(dict_zuord_Meth_Per[ignored_help],table_Persons[[#This Row],[ID]])&gt;0</f>
        <v>1</v>
      </c>
      <c r="D17">
        <v>30</v>
      </c>
      <c r="E17">
        <v>200</v>
      </c>
    </row>
    <row r="18" spans="1:5" x14ac:dyDescent="0.45">
      <c r="A18">
        <v>16</v>
      </c>
      <c r="B18" t="str">
        <f>CONCATENATE("Person ",table_Persons[[#This Row],[ID]])</f>
        <v>Person 16</v>
      </c>
      <c r="C18" t="b">
        <f ca="1">COUNTIF(dict_zuord_Meth_Per[ignored_help],table_Persons[[#This Row],[ID]])&gt;0</f>
        <v>1</v>
      </c>
      <c r="D18">
        <v>35</v>
      </c>
      <c r="E18">
        <v>300</v>
      </c>
    </row>
    <row r="19" spans="1:5" x14ac:dyDescent="0.45">
      <c r="A19">
        <v>17</v>
      </c>
      <c r="B19" t="str">
        <f>CONCATENATE("Person ",table_Persons[[#This Row],[ID]])</f>
        <v>Person 17</v>
      </c>
      <c r="C19" t="b">
        <f ca="1">COUNTIF(dict_zuord_Meth_Per[ignored_help],table_Persons[[#This Row],[ID]])&gt;0</f>
        <v>0</v>
      </c>
      <c r="D19">
        <v>40</v>
      </c>
      <c r="E19">
        <v>480</v>
      </c>
    </row>
    <row r="20" spans="1:5" x14ac:dyDescent="0.45">
      <c r="A20">
        <v>18</v>
      </c>
      <c r="B20" t="str">
        <f>CONCATENATE("Person ",table_Persons[[#This Row],[ID]])</f>
        <v>Person 18</v>
      </c>
      <c r="C20" t="b">
        <f ca="1">COUNTIF(dict_zuord_Meth_Per[ignored_help],table_Persons[[#This Row],[ID]])&gt;0</f>
        <v>0</v>
      </c>
      <c r="D20">
        <v>45</v>
      </c>
      <c r="E20">
        <v>120</v>
      </c>
    </row>
    <row r="21" spans="1:5" x14ac:dyDescent="0.45">
      <c r="A21">
        <v>19</v>
      </c>
      <c r="B21" t="str">
        <f>CONCATENATE("Person ",table_Persons[[#This Row],[ID]])</f>
        <v>Person 19</v>
      </c>
      <c r="C21" t="b">
        <f ca="1">COUNTIF(dict_zuord_Meth_Per[ignored_help],table_Persons[[#This Row],[ID]])&gt;0</f>
        <v>1</v>
      </c>
      <c r="D21">
        <v>50</v>
      </c>
      <c r="E21">
        <v>800</v>
      </c>
    </row>
    <row r="22" spans="1:5" x14ac:dyDescent="0.45">
      <c r="A22">
        <v>20</v>
      </c>
      <c r="B22" t="str">
        <f>CONCATENATE("Person ",table_Persons[[#This Row],[ID]])</f>
        <v>Person 20</v>
      </c>
      <c r="C22" t="b">
        <f ca="1">COUNTIF(dict_zuord_Meth_Per[ignored_help],table_Persons[[#This Row],[ID]])&gt;0</f>
        <v>1</v>
      </c>
      <c r="D22">
        <v>5</v>
      </c>
      <c r="E22">
        <f>600</f>
        <v>600</v>
      </c>
    </row>
    <row r="23" spans="1:5" x14ac:dyDescent="0.45">
      <c r="A23">
        <v>21</v>
      </c>
      <c r="B23" t="str">
        <f>CONCATENATE("Person ",table_Persons[[#This Row],[ID]])</f>
        <v>Person 21</v>
      </c>
      <c r="C23" t="b">
        <f ca="1">COUNTIF(dict_zuord_Meth_Per[ignored_help],table_Persons[[#This Row],[ID]])&gt;0</f>
        <v>1</v>
      </c>
      <c r="D23">
        <v>10</v>
      </c>
      <c r="E23">
        <v>480</v>
      </c>
    </row>
    <row r="24" spans="1:5" x14ac:dyDescent="0.45">
      <c r="A24">
        <v>22</v>
      </c>
      <c r="B24" t="str">
        <f>CONCATENATE("Person ",table_Persons[[#This Row],[ID]])</f>
        <v>Person 22</v>
      </c>
      <c r="C24" t="b">
        <f ca="1">COUNTIF(dict_zuord_Meth_Per[ignored_help],table_Persons[[#This Row],[ID]])&gt;0</f>
        <v>1</v>
      </c>
      <c r="D24">
        <v>15</v>
      </c>
      <c r="E24">
        <v>400</v>
      </c>
    </row>
    <row r="25" spans="1:5" x14ac:dyDescent="0.45">
      <c r="A25">
        <v>23</v>
      </c>
      <c r="B25" t="str">
        <f>CONCATENATE("Person ",table_Persons[[#This Row],[ID]])</f>
        <v>Person 23</v>
      </c>
      <c r="C25" t="b">
        <f ca="1">COUNTIF(dict_zuord_Meth_Per[ignored_help],table_Persons[[#This Row],[ID]])&gt;0</f>
        <v>0</v>
      </c>
      <c r="D25">
        <v>20</v>
      </c>
      <c r="E25">
        <v>400</v>
      </c>
    </row>
    <row r="26" spans="1:5" x14ac:dyDescent="0.45">
      <c r="A26">
        <v>24</v>
      </c>
      <c r="B26" t="str">
        <f>CONCATENATE("Person ",table_Persons[[#This Row],[ID]])</f>
        <v>Person 24</v>
      </c>
      <c r="C26" t="b">
        <f ca="1">COUNTIF(dict_zuord_Meth_Per[ignored_help],table_Persons[[#This Row],[ID]])&gt;0</f>
        <v>1</v>
      </c>
      <c r="D26">
        <v>25</v>
      </c>
      <c r="E26">
        <v>300</v>
      </c>
    </row>
    <row r="27" spans="1:5" x14ac:dyDescent="0.45">
      <c r="A27">
        <v>25</v>
      </c>
      <c r="B27" t="str">
        <f>CONCATENATE("Person ",table_Persons[[#This Row],[ID]])</f>
        <v>Person 25</v>
      </c>
      <c r="C27" t="b">
        <f ca="1">COUNTIF(dict_zuord_Meth_Per[ignored_help],table_Persons[[#This Row],[ID]])&gt;0</f>
        <v>1</v>
      </c>
      <c r="D27">
        <v>30</v>
      </c>
      <c r="E27">
        <v>200</v>
      </c>
    </row>
    <row r="28" spans="1:5" x14ac:dyDescent="0.45">
      <c r="A28">
        <v>26</v>
      </c>
      <c r="B28" t="str">
        <f>CONCATENATE("Person ",table_Persons[[#This Row],[ID]])</f>
        <v>Person 26</v>
      </c>
      <c r="C28" t="b">
        <f ca="1">COUNTIF(dict_zuord_Meth_Per[ignored_help],table_Persons[[#This Row],[ID]])&gt;0</f>
        <v>0</v>
      </c>
      <c r="D28">
        <v>35</v>
      </c>
      <c r="E28">
        <v>300</v>
      </c>
    </row>
    <row r="29" spans="1:5" x14ac:dyDescent="0.45">
      <c r="A29">
        <v>27</v>
      </c>
      <c r="B29" t="str">
        <f>CONCATENATE("Person ",table_Persons[[#This Row],[ID]])</f>
        <v>Person 27</v>
      </c>
      <c r="C29" t="b">
        <f ca="1">COUNTIF(dict_zuord_Meth_Per[ignored_help],table_Persons[[#This Row],[ID]])&gt;0</f>
        <v>1</v>
      </c>
      <c r="D29">
        <v>40</v>
      </c>
      <c r="E29">
        <v>120</v>
      </c>
    </row>
    <row r="30" spans="1:5" x14ac:dyDescent="0.45">
      <c r="A30">
        <v>28</v>
      </c>
      <c r="B30" t="str">
        <f>CONCATENATE("Person ",table_Persons[[#This Row],[ID]])</f>
        <v>Person 28</v>
      </c>
      <c r="C30" t="b">
        <f ca="1">COUNTIF(dict_zuord_Meth_Per[ignored_help],table_Persons[[#This Row],[ID]])&gt;0</f>
        <v>0</v>
      </c>
      <c r="D30">
        <v>45</v>
      </c>
      <c r="E30">
        <v>600</v>
      </c>
    </row>
    <row r="31" spans="1:5" x14ac:dyDescent="0.45">
      <c r="A31">
        <v>29</v>
      </c>
      <c r="B31" t="str">
        <f>CONCATENATE("Person ",table_Persons[[#This Row],[ID]])</f>
        <v>Person 29</v>
      </c>
      <c r="C31" t="b">
        <f ca="1">COUNTIF(dict_zuord_Meth_Per[ignored_help],table_Persons[[#This Row],[ID]])&gt;0</f>
        <v>0</v>
      </c>
      <c r="D31">
        <v>50</v>
      </c>
      <c r="E31">
        <v>205</v>
      </c>
    </row>
    <row r="32" spans="1:5" x14ac:dyDescent="0.45">
      <c r="A32">
        <v>30</v>
      </c>
      <c r="B32" t="str">
        <f>CONCATENATE("Person ",table_Persons[[#This Row],[ID]])</f>
        <v>Person 30</v>
      </c>
      <c r="C32" t="b">
        <f ca="1">COUNTIF(dict_zuord_Meth_Per[ignored_help],table_Persons[[#This Row],[ID]])&gt;0</f>
        <v>0</v>
      </c>
      <c r="D32">
        <v>60</v>
      </c>
      <c r="E32">
        <v>460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A1:F202"/>
  <sheetViews>
    <sheetView topLeftCell="A31" workbookViewId="0"/>
  </sheetViews>
  <sheetFormatPr baseColWidth="10" defaultRowHeight="14.25" x14ac:dyDescent="0.45"/>
  <cols>
    <col min="1" max="1" width="5.1328125" bestFit="1" customWidth="1"/>
    <col min="2" max="2" width="10.59765625" bestFit="1" customWidth="1"/>
    <col min="3" max="3" width="10.59765625" customWidth="1"/>
    <col min="4" max="4" width="12.3984375" bestFit="1" customWidth="1"/>
    <col min="5" max="6" width="12.73046875" bestFit="1" customWidth="1"/>
  </cols>
  <sheetData>
    <row r="1" spans="1:6" x14ac:dyDescent="0.45">
      <c r="A1" t="s">
        <v>0</v>
      </c>
      <c r="B1" t="s">
        <v>3</v>
      </c>
      <c r="C1" t="s">
        <v>66</v>
      </c>
      <c r="D1" t="s">
        <v>89</v>
      </c>
      <c r="E1" t="s">
        <v>90</v>
      </c>
      <c r="F1" s="1" t="s">
        <v>54</v>
      </c>
    </row>
    <row r="2" spans="1:6" x14ac:dyDescent="0.45">
      <c r="A2">
        <v>0</v>
      </c>
      <c r="B2" t="str">
        <f>CONCATENATE("Position ",table_Positions[[#This Row],[ID]])</f>
        <v>Position 0</v>
      </c>
      <c r="C2" t="b">
        <f ca="1">COUNTIF(dict_zuord_Meth_Pos[ignored_help],table_Positions[[#This Row],[ID]])&gt;0</f>
        <v>1</v>
      </c>
      <c r="D2">
        <f t="shared" ref="D2:D65" ca="1" si="0">20+RANDBETWEEN(0,10)*RANDBETWEEN(0,10)-RANDBETWEEN(0,20)</f>
        <v>91</v>
      </c>
      <c r="E2">
        <f ca="1">table_Positions[[#This Row],[temp_lb]]+10+RANDBETWEEN(0,100)*RANDBETWEEN(0,10)-RANDBETWEEN(0,10)</f>
        <v>562</v>
      </c>
      <c r="F2" t="b">
        <f ca="1">COUNTIF(dict_zuord_Meth_Pos[ID_Positions], table_Positions[[#This Row],[ID]]) &gt; 0</f>
        <v>1</v>
      </c>
    </row>
    <row r="3" spans="1:6" x14ac:dyDescent="0.45">
      <c r="A3">
        <v>1</v>
      </c>
      <c r="B3" t="str">
        <f>CONCATENATE("Position ",table_Positions[[#This Row],[ID]])</f>
        <v>Position 1</v>
      </c>
      <c r="C3" t="b">
        <f ca="1">COUNTIF(dict_zuord_Meth_Pos[ignored_help],table_Positions[[#This Row],[ID]])&gt;0</f>
        <v>1</v>
      </c>
      <c r="D3">
        <f t="shared" ca="1" si="0"/>
        <v>58</v>
      </c>
      <c r="E3">
        <f ca="1">table_Positions[[#This Row],[temp_lb]]+10+RANDBETWEEN(0,100)*RANDBETWEEN(0,10)-RANDBETWEEN(0,10)</f>
        <v>63</v>
      </c>
      <c r="F3" t="b">
        <f ca="1">COUNTIF(dict_zuord_Meth_Pos[ID_Positions], table_Positions[[#This Row],[ID]]) &gt; 0</f>
        <v>1</v>
      </c>
    </row>
    <row r="4" spans="1:6" x14ac:dyDescent="0.45">
      <c r="A4">
        <v>2</v>
      </c>
      <c r="B4" t="str">
        <f>CONCATENATE("Position ",table_Positions[[#This Row],[ID]])</f>
        <v>Position 2</v>
      </c>
      <c r="C4" t="b">
        <f ca="1">COUNTIF(dict_zuord_Meth_Pos[ignored_help],table_Positions[[#This Row],[ID]])&gt;0</f>
        <v>1</v>
      </c>
      <c r="D4">
        <f t="shared" ca="1" si="0"/>
        <v>20</v>
      </c>
      <c r="E4">
        <f ca="1">table_Positions[[#This Row],[temp_lb]]+10+RANDBETWEEN(0,100)*RANDBETWEEN(0,10)-RANDBETWEEN(0,10)</f>
        <v>28</v>
      </c>
      <c r="F4" t="b">
        <f ca="1">COUNTIF(dict_zuord_Meth_Pos[ID_Positions], table_Positions[[#This Row],[ID]]) &gt; 0</f>
        <v>1</v>
      </c>
    </row>
    <row r="5" spans="1:6" x14ac:dyDescent="0.45">
      <c r="A5">
        <v>3</v>
      </c>
      <c r="B5" t="str">
        <f>CONCATENATE("Position ",table_Positions[[#This Row],[ID]])</f>
        <v>Position 3</v>
      </c>
      <c r="C5" t="b">
        <f ca="1">COUNTIF(dict_zuord_Meth_Pos[ignored_help],table_Positions[[#This Row],[ID]])&gt;0</f>
        <v>1</v>
      </c>
      <c r="D5">
        <f t="shared" ca="1" si="0"/>
        <v>82</v>
      </c>
      <c r="E5">
        <f ca="1">table_Positions[[#This Row],[temp_lb]]+10+RANDBETWEEN(0,100)*RANDBETWEEN(0,10)-RANDBETWEEN(0,10)</f>
        <v>87</v>
      </c>
      <c r="F5" t="b">
        <f ca="1">COUNTIF(dict_zuord_Meth_Pos[ID_Positions], table_Positions[[#This Row],[ID]]) &gt; 0</f>
        <v>1</v>
      </c>
    </row>
    <row r="6" spans="1:6" x14ac:dyDescent="0.45">
      <c r="A6">
        <v>4</v>
      </c>
      <c r="B6" t="str">
        <f>CONCATENATE("Position ",table_Positions[[#This Row],[ID]])</f>
        <v>Position 4</v>
      </c>
      <c r="C6" t="b">
        <f ca="1">COUNTIF(dict_zuord_Meth_Pos[ignored_help],table_Positions[[#This Row],[ID]])&gt;0</f>
        <v>1</v>
      </c>
      <c r="D6">
        <f t="shared" ca="1" si="0"/>
        <v>48</v>
      </c>
      <c r="E6">
        <f ca="1">table_Positions[[#This Row],[temp_lb]]+10+RANDBETWEEN(0,100)*RANDBETWEEN(0,10)-RANDBETWEEN(0,10)</f>
        <v>55</v>
      </c>
      <c r="F6" t="b">
        <f ca="1">COUNTIF(dict_zuord_Meth_Pos[ID_Positions], table_Positions[[#This Row],[ID]]) &gt; 0</f>
        <v>1</v>
      </c>
    </row>
    <row r="7" spans="1:6" x14ac:dyDescent="0.45">
      <c r="A7">
        <v>5</v>
      </c>
      <c r="B7" t="str">
        <f>CONCATENATE("Position ",table_Positions[[#This Row],[ID]])</f>
        <v>Position 5</v>
      </c>
      <c r="C7" t="b">
        <f ca="1">COUNTIF(dict_zuord_Meth_Pos[ignored_help],table_Positions[[#This Row],[ID]])&gt;0</f>
        <v>1</v>
      </c>
      <c r="D7">
        <f t="shared" ca="1" si="0"/>
        <v>42</v>
      </c>
      <c r="E7">
        <f ca="1">table_Positions[[#This Row],[temp_lb]]+10+RANDBETWEEN(0,100)*RANDBETWEEN(0,10)-RANDBETWEEN(0,10)</f>
        <v>129</v>
      </c>
      <c r="F7" t="b">
        <f ca="1">COUNTIF(dict_zuord_Meth_Pos[ID_Positions], table_Positions[[#This Row],[ID]]) &gt; 0</f>
        <v>1</v>
      </c>
    </row>
    <row r="8" spans="1:6" x14ac:dyDescent="0.45">
      <c r="A8">
        <v>6</v>
      </c>
      <c r="B8" t="str">
        <f>CONCATENATE("Position ",table_Positions[[#This Row],[ID]])</f>
        <v>Position 6</v>
      </c>
      <c r="C8" t="b">
        <f ca="1">COUNTIF(dict_zuord_Meth_Pos[ignored_help],table_Positions[[#This Row],[ID]])&gt;0</f>
        <v>1</v>
      </c>
      <c r="D8">
        <f t="shared" ca="1" si="0"/>
        <v>5</v>
      </c>
      <c r="E8">
        <f ca="1">table_Positions[[#This Row],[temp_lb]]+10+RANDBETWEEN(0,100)*RANDBETWEEN(0,10)-RANDBETWEEN(0,10)</f>
        <v>59</v>
      </c>
      <c r="F8" t="b">
        <f ca="1">COUNTIF(dict_zuord_Meth_Pos[ID_Positions], table_Positions[[#This Row],[ID]]) &gt; 0</f>
        <v>1</v>
      </c>
    </row>
    <row r="9" spans="1:6" x14ac:dyDescent="0.45">
      <c r="A9">
        <v>7</v>
      </c>
      <c r="B9" t="str">
        <f>CONCATENATE("Position ",table_Positions[[#This Row],[ID]])</f>
        <v>Position 7</v>
      </c>
      <c r="C9" t="b">
        <f ca="1">COUNTIF(dict_zuord_Meth_Pos[ignored_help],table_Positions[[#This Row],[ID]])&gt;0</f>
        <v>1</v>
      </c>
      <c r="D9">
        <f t="shared" ca="1" si="0"/>
        <v>38</v>
      </c>
      <c r="E9">
        <f ca="1">table_Positions[[#This Row],[temp_lb]]+10+RANDBETWEEN(0,100)*RANDBETWEEN(0,10)-RANDBETWEEN(0,10)</f>
        <v>146</v>
      </c>
      <c r="F9" t="b">
        <f ca="1">COUNTIF(dict_zuord_Meth_Pos[ID_Positions], table_Positions[[#This Row],[ID]]) &gt; 0</f>
        <v>1</v>
      </c>
    </row>
    <row r="10" spans="1:6" x14ac:dyDescent="0.45">
      <c r="A10">
        <v>8</v>
      </c>
      <c r="B10" t="str">
        <f>CONCATENATE("Position ",table_Positions[[#This Row],[ID]])</f>
        <v>Position 8</v>
      </c>
      <c r="C10" t="b">
        <f ca="1">COUNTIF(dict_zuord_Meth_Pos[ignored_help],table_Positions[[#This Row],[ID]])&gt;0</f>
        <v>0</v>
      </c>
      <c r="D10">
        <f t="shared" ca="1" si="0"/>
        <v>46</v>
      </c>
      <c r="E10">
        <f ca="1">table_Positions[[#This Row],[temp_lb]]+10+RANDBETWEEN(0,100)*RANDBETWEEN(0,10)-RANDBETWEEN(0,10)</f>
        <v>146</v>
      </c>
      <c r="F10" t="b">
        <f ca="1">COUNTIF(dict_zuord_Meth_Pos[ID_Positions], table_Positions[[#This Row],[ID]]) &gt; 0</f>
        <v>1</v>
      </c>
    </row>
    <row r="11" spans="1:6" x14ac:dyDescent="0.45">
      <c r="A11">
        <v>9</v>
      </c>
      <c r="B11" t="str">
        <f>CONCATENATE("Position ",table_Positions[[#This Row],[ID]])</f>
        <v>Position 9</v>
      </c>
      <c r="C11" t="b">
        <f ca="1">COUNTIF(dict_zuord_Meth_Pos[ignored_help],table_Positions[[#This Row],[ID]])&gt;0</f>
        <v>0</v>
      </c>
      <c r="D11">
        <f t="shared" ca="1" si="0"/>
        <v>29</v>
      </c>
      <c r="E11">
        <f ca="1">table_Positions[[#This Row],[temp_lb]]+10+RANDBETWEEN(0,100)*RANDBETWEEN(0,10)-RANDBETWEEN(0,10)</f>
        <v>38</v>
      </c>
      <c r="F11" t="b">
        <f ca="1">COUNTIF(dict_zuord_Meth_Pos[ID_Positions], table_Positions[[#This Row],[ID]]) &gt; 0</f>
        <v>1</v>
      </c>
    </row>
    <row r="12" spans="1:6" x14ac:dyDescent="0.45">
      <c r="A12">
        <v>10</v>
      </c>
      <c r="B12" t="str">
        <f>CONCATENATE("Position ",table_Positions[[#This Row],[ID]])</f>
        <v>Position 10</v>
      </c>
      <c r="C12" t="b">
        <f ca="1">COUNTIF(dict_zuord_Meth_Pos[ignored_help],table_Positions[[#This Row],[ID]])&gt;0</f>
        <v>0</v>
      </c>
      <c r="D12">
        <f t="shared" ca="1" si="0"/>
        <v>32</v>
      </c>
      <c r="E12">
        <f ca="1">table_Positions[[#This Row],[temp_lb]]+10+RANDBETWEEN(0,100)*RANDBETWEEN(0,10)-RANDBETWEEN(0,10)</f>
        <v>832</v>
      </c>
      <c r="F12" t="b">
        <f ca="1">COUNTIF(dict_zuord_Meth_Pos[ID_Positions], table_Positions[[#This Row],[ID]]) &gt; 0</f>
        <v>1</v>
      </c>
    </row>
    <row r="13" spans="1:6" x14ac:dyDescent="0.45">
      <c r="A13">
        <v>11</v>
      </c>
      <c r="B13" t="str">
        <f>CONCATENATE("Position ",table_Positions[[#This Row],[ID]])</f>
        <v>Position 11</v>
      </c>
      <c r="C13" t="b">
        <f ca="1">COUNTIF(dict_zuord_Meth_Pos[ignored_help],table_Positions[[#This Row],[ID]])&gt;0</f>
        <v>0</v>
      </c>
      <c r="D13">
        <f t="shared" ca="1" si="0"/>
        <v>27</v>
      </c>
      <c r="E13">
        <f ca="1">table_Positions[[#This Row],[temp_lb]]+10+RANDBETWEEN(0,100)*RANDBETWEEN(0,10)-RANDBETWEEN(0,10)</f>
        <v>723</v>
      </c>
      <c r="F13" t="b">
        <f ca="1">COUNTIF(dict_zuord_Meth_Pos[ID_Positions], table_Positions[[#This Row],[ID]]) &gt; 0</f>
        <v>1</v>
      </c>
    </row>
    <row r="14" spans="1:6" x14ac:dyDescent="0.45">
      <c r="A14">
        <v>12</v>
      </c>
      <c r="B14" t="str">
        <f>CONCATENATE("Position ",table_Positions[[#This Row],[ID]])</f>
        <v>Position 12</v>
      </c>
      <c r="C14" t="b">
        <f ca="1">COUNTIF(dict_zuord_Meth_Pos[ignored_help],table_Positions[[#This Row],[ID]])&gt;0</f>
        <v>0</v>
      </c>
      <c r="D14">
        <f t="shared" ca="1" si="0"/>
        <v>19</v>
      </c>
      <c r="E14">
        <f ca="1">table_Positions[[#This Row],[temp_lb]]+10+RANDBETWEEN(0,100)*RANDBETWEEN(0,10)-RANDBETWEEN(0,10)</f>
        <v>394</v>
      </c>
      <c r="F14" t="b">
        <f ca="1">COUNTIF(dict_zuord_Meth_Pos[ID_Positions], table_Positions[[#This Row],[ID]]) &gt; 0</f>
        <v>1</v>
      </c>
    </row>
    <row r="15" spans="1:6" x14ac:dyDescent="0.45">
      <c r="A15">
        <v>13</v>
      </c>
      <c r="B15" t="str">
        <f>CONCATENATE("Position ",table_Positions[[#This Row],[ID]])</f>
        <v>Position 13</v>
      </c>
      <c r="C15" t="b">
        <f ca="1">COUNTIF(dict_zuord_Meth_Pos[ignored_help],table_Positions[[#This Row],[ID]])&gt;0</f>
        <v>0</v>
      </c>
      <c r="D15">
        <f t="shared" ca="1" si="0"/>
        <v>11</v>
      </c>
      <c r="E15">
        <f ca="1">table_Positions[[#This Row],[temp_lb]]+10+RANDBETWEEN(0,100)*RANDBETWEEN(0,10)-RANDBETWEEN(0,10)</f>
        <v>930</v>
      </c>
      <c r="F15" t="b">
        <f ca="1">COUNTIF(dict_zuord_Meth_Pos[ID_Positions], table_Positions[[#This Row],[ID]]) &gt; 0</f>
        <v>1</v>
      </c>
    </row>
    <row r="16" spans="1:6" x14ac:dyDescent="0.45">
      <c r="A16">
        <v>14</v>
      </c>
      <c r="B16" t="str">
        <f>CONCATENATE("Position ",table_Positions[[#This Row],[ID]])</f>
        <v>Position 14</v>
      </c>
      <c r="C16" t="b">
        <f ca="1">COUNTIF(dict_zuord_Meth_Pos[ignored_help],table_Positions[[#This Row],[ID]])&gt;0</f>
        <v>0</v>
      </c>
      <c r="D16">
        <f t="shared" ca="1" si="0"/>
        <v>21</v>
      </c>
      <c r="E16">
        <f ca="1">table_Positions[[#This Row],[temp_lb]]+10+RANDBETWEEN(0,100)*RANDBETWEEN(0,10)-RANDBETWEEN(0,10)</f>
        <v>823</v>
      </c>
      <c r="F16" t="b">
        <f ca="1">COUNTIF(dict_zuord_Meth_Pos[ID_Positions], table_Positions[[#This Row],[ID]]) &gt; 0</f>
        <v>1</v>
      </c>
    </row>
    <row r="17" spans="1:6" x14ac:dyDescent="0.45">
      <c r="A17">
        <v>15</v>
      </c>
      <c r="B17" t="str">
        <f>CONCATENATE("Position ",table_Positions[[#This Row],[ID]])</f>
        <v>Position 15</v>
      </c>
      <c r="C17" t="b">
        <f ca="1">COUNTIF(dict_zuord_Meth_Pos[ignored_help],table_Positions[[#This Row],[ID]])&gt;0</f>
        <v>0</v>
      </c>
      <c r="D17">
        <f t="shared" ca="1" si="0"/>
        <v>23</v>
      </c>
      <c r="E17">
        <f ca="1">table_Positions[[#This Row],[temp_lb]]+10+RANDBETWEEN(0,100)*RANDBETWEEN(0,10)-RANDBETWEEN(0,10)</f>
        <v>230</v>
      </c>
      <c r="F17" t="b">
        <f ca="1">COUNTIF(dict_zuord_Meth_Pos[ID_Positions], table_Positions[[#This Row],[ID]]) &gt; 0</f>
        <v>1</v>
      </c>
    </row>
    <row r="18" spans="1:6" x14ac:dyDescent="0.45">
      <c r="A18">
        <v>16</v>
      </c>
      <c r="B18" t="str">
        <f>CONCATENATE("Position ",table_Positions[[#This Row],[ID]])</f>
        <v>Position 16</v>
      </c>
      <c r="C18" t="b">
        <f ca="1">COUNTIF(dict_zuord_Meth_Pos[ignored_help],table_Positions[[#This Row],[ID]])&gt;0</f>
        <v>0</v>
      </c>
      <c r="D18">
        <f t="shared" ca="1" si="0"/>
        <v>28</v>
      </c>
      <c r="E18">
        <f ca="1">table_Positions[[#This Row],[temp_lb]]+10+RANDBETWEEN(0,100)*RANDBETWEEN(0,10)-RANDBETWEEN(0,10)</f>
        <v>293</v>
      </c>
      <c r="F18" t="b">
        <f ca="1">COUNTIF(dict_zuord_Meth_Pos[ID_Positions], table_Positions[[#This Row],[ID]]) &gt; 0</f>
        <v>1</v>
      </c>
    </row>
    <row r="19" spans="1:6" x14ac:dyDescent="0.45">
      <c r="A19">
        <v>17</v>
      </c>
      <c r="B19" t="str">
        <f>CONCATENATE("Position ",table_Positions[[#This Row],[ID]])</f>
        <v>Position 17</v>
      </c>
      <c r="C19" t="b">
        <f ca="1">COUNTIF(dict_zuord_Meth_Pos[ignored_help],table_Positions[[#This Row],[ID]])&gt;0</f>
        <v>1</v>
      </c>
      <c r="D19">
        <f t="shared" ca="1" si="0"/>
        <v>19</v>
      </c>
      <c r="E19">
        <f ca="1">table_Positions[[#This Row],[temp_lb]]+10+RANDBETWEEN(0,100)*RANDBETWEEN(0,10)-RANDBETWEEN(0,10)</f>
        <v>799</v>
      </c>
      <c r="F19" t="b">
        <f ca="1">COUNTIF(dict_zuord_Meth_Pos[ID_Positions], table_Positions[[#This Row],[ID]]) &gt; 0</f>
        <v>1</v>
      </c>
    </row>
    <row r="20" spans="1:6" x14ac:dyDescent="0.45">
      <c r="A20">
        <v>18</v>
      </c>
      <c r="B20" t="str">
        <f>CONCATENATE("Position ",table_Positions[[#This Row],[ID]])</f>
        <v>Position 18</v>
      </c>
      <c r="C20" t="b">
        <f ca="1">COUNTIF(dict_zuord_Meth_Pos[ignored_help],table_Positions[[#This Row],[ID]])&gt;0</f>
        <v>0</v>
      </c>
      <c r="D20">
        <f t="shared" ca="1" si="0"/>
        <v>22</v>
      </c>
      <c r="E20">
        <f ca="1">table_Positions[[#This Row],[temp_lb]]+10+RANDBETWEEN(0,100)*RANDBETWEEN(0,10)-RANDBETWEEN(0,10)</f>
        <v>442</v>
      </c>
      <c r="F20" t="b">
        <f ca="1">COUNTIF(dict_zuord_Meth_Pos[ID_Positions], table_Positions[[#This Row],[ID]]) &gt; 0</f>
        <v>1</v>
      </c>
    </row>
    <row r="21" spans="1:6" x14ac:dyDescent="0.45">
      <c r="A21">
        <v>19</v>
      </c>
      <c r="B21" t="str">
        <f>CONCATENATE("Position ",table_Positions[[#This Row],[ID]])</f>
        <v>Position 19</v>
      </c>
      <c r="C21" t="b">
        <f ca="1">COUNTIF(dict_zuord_Meth_Pos[ignored_help],table_Positions[[#This Row],[ID]])&gt;0</f>
        <v>0</v>
      </c>
      <c r="D21">
        <f t="shared" ca="1" si="0"/>
        <v>35</v>
      </c>
      <c r="E21">
        <f ca="1">table_Positions[[#This Row],[temp_lb]]+10+RANDBETWEEN(0,100)*RANDBETWEEN(0,10)-RANDBETWEEN(0,10)</f>
        <v>111</v>
      </c>
      <c r="F21" t="b">
        <f ca="1">COUNTIF(dict_zuord_Meth_Pos[ID_Positions], table_Positions[[#This Row],[ID]]) &gt; 0</f>
        <v>1</v>
      </c>
    </row>
    <row r="22" spans="1:6" x14ac:dyDescent="0.45">
      <c r="A22">
        <v>20</v>
      </c>
      <c r="B22" t="str">
        <f>CONCATENATE("Position ",table_Positions[[#This Row],[ID]])</f>
        <v>Position 20</v>
      </c>
      <c r="C22" t="b">
        <f ca="1">COUNTIF(dict_zuord_Meth_Pos[ignored_help],table_Positions[[#This Row],[ID]])&gt;0</f>
        <v>0</v>
      </c>
      <c r="D22">
        <f t="shared" ca="1" si="0"/>
        <v>92</v>
      </c>
      <c r="E22">
        <f ca="1">table_Positions[[#This Row],[temp_lb]]+10+RANDBETWEEN(0,100)*RANDBETWEEN(0,10)-RANDBETWEEN(0,10)</f>
        <v>377</v>
      </c>
      <c r="F22" t="b">
        <f ca="1">COUNTIF(dict_zuord_Meth_Pos[ID_Positions], table_Positions[[#This Row],[ID]]) &gt; 0</f>
        <v>1</v>
      </c>
    </row>
    <row r="23" spans="1:6" x14ac:dyDescent="0.45">
      <c r="A23">
        <v>21</v>
      </c>
      <c r="B23" t="str">
        <f>CONCATENATE("Position ",table_Positions[[#This Row],[ID]])</f>
        <v>Position 21</v>
      </c>
      <c r="C23" t="b">
        <f ca="1">COUNTIF(dict_zuord_Meth_Pos[ignored_help],table_Positions[[#This Row],[ID]])&gt;0</f>
        <v>0</v>
      </c>
      <c r="D23">
        <f t="shared" ca="1" si="0"/>
        <v>21</v>
      </c>
      <c r="E23">
        <f ca="1">table_Positions[[#This Row],[temp_lb]]+10+RANDBETWEEN(0,100)*RANDBETWEEN(0,10)-RANDBETWEEN(0,10)</f>
        <v>61</v>
      </c>
      <c r="F23" t="b">
        <f ca="1">COUNTIF(dict_zuord_Meth_Pos[ID_Positions], table_Positions[[#This Row],[ID]]) &gt; 0</f>
        <v>1</v>
      </c>
    </row>
    <row r="24" spans="1:6" x14ac:dyDescent="0.45">
      <c r="A24">
        <v>22</v>
      </c>
      <c r="B24" t="str">
        <f>CONCATENATE("Position ",table_Positions[[#This Row],[ID]])</f>
        <v>Position 22</v>
      </c>
      <c r="C24" t="b">
        <f ca="1">COUNTIF(dict_zuord_Meth_Pos[ignored_help],table_Positions[[#This Row],[ID]])&gt;0</f>
        <v>0</v>
      </c>
      <c r="D24">
        <f t="shared" ca="1" si="0"/>
        <v>65</v>
      </c>
      <c r="E24">
        <f ca="1">table_Positions[[#This Row],[temp_lb]]+10+RANDBETWEEN(0,100)*RANDBETWEEN(0,10)-RANDBETWEEN(0,10)</f>
        <v>857</v>
      </c>
      <c r="F24" t="b">
        <f ca="1">COUNTIF(dict_zuord_Meth_Pos[ID_Positions], table_Positions[[#This Row],[ID]]) &gt; 0</f>
        <v>1</v>
      </c>
    </row>
    <row r="25" spans="1:6" x14ac:dyDescent="0.45">
      <c r="A25">
        <v>23</v>
      </c>
      <c r="B25" t="str">
        <f>CONCATENATE("Position ",table_Positions[[#This Row],[ID]])</f>
        <v>Position 23</v>
      </c>
      <c r="C25" t="b">
        <f ca="1">COUNTIF(dict_zuord_Meth_Pos[ignored_help],table_Positions[[#This Row],[ID]])&gt;0</f>
        <v>0</v>
      </c>
      <c r="D25">
        <f t="shared" ca="1" si="0"/>
        <v>13</v>
      </c>
      <c r="E25">
        <f ca="1">table_Positions[[#This Row],[temp_lb]]+10+RANDBETWEEN(0,100)*RANDBETWEEN(0,10)-RANDBETWEEN(0,10)</f>
        <v>203</v>
      </c>
      <c r="F25" t="b">
        <f ca="1">COUNTIF(dict_zuord_Meth_Pos[ID_Positions], table_Positions[[#This Row],[ID]]) &gt; 0</f>
        <v>1</v>
      </c>
    </row>
    <row r="26" spans="1:6" x14ac:dyDescent="0.45">
      <c r="A26">
        <v>24</v>
      </c>
      <c r="B26" t="str">
        <f>CONCATENATE("Position ",table_Positions[[#This Row],[ID]])</f>
        <v>Position 24</v>
      </c>
      <c r="C26" t="b">
        <f ca="1">COUNTIF(dict_zuord_Meth_Pos[ignored_help],table_Positions[[#This Row],[ID]])&gt;0</f>
        <v>0</v>
      </c>
      <c r="D26">
        <f t="shared" ca="1" si="0"/>
        <v>24</v>
      </c>
      <c r="E26">
        <f ca="1">table_Positions[[#This Row],[temp_lb]]+10+RANDBETWEEN(0,100)*RANDBETWEEN(0,10)-RANDBETWEEN(0,10)</f>
        <v>124</v>
      </c>
      <c r="F26" t="b">
        <f ca="1">COUNTIF(dict_zuord_Meth_Pos[ID_Positions], table_Positions[[#This Row],[ID]]) &gt; 0</f>
        <v>1</v>
      </c>
    </row>
    <row r="27" spans="1:6" x14ac:dyDescent="0.45">
      <c r="A27">
        <v>25</v>
      </c>
      <c r="B27" t="str">
        <f>CONCATENATE("Position ",table_Positions[[#This Row],[ID]])</f>
        <v>Position 25</v>
      </c>
      <c r="C27" t="b">
        <f ca="1">COUNTIF(dict_zuord_Meth_Pos[ignored_help],table_Positions[[#This Row],[ID]])&gt;0</f>
        <v>0</v>
      </c>
      <c r="D27">
        <f t="shared" ca="1" si="0"/>
        <v>24</v>
      </c>
      <c r="E27">
        <f ca="1">table_Positions[[#This Row],[temp_lb]]+10+RANDBETWEEN(0,100)*RANDBETWEEN(0,10)-RANDBETWEEN(0,10)</f>
        <v>323</v>
      </c>
      <c r="F27" t="b">
        <f ca="1">COUNTIF(dict_zuord_Meth_Pos[ID_Positions], table_Positions[[#This Row],[ID]]) &gt; 0</f>
        <v>1</v>
      </c>
    </row>
    <row r="28" spans="1:6" x14ac:dyDescent="0.45">
      <c r="A28">
        <v>26</v>
      </c>
      <c r="B28" t="str">
        <f>CONCATENATE("Position ",table_Positions[[#This Row],[ID]])</f>
        <v>Position 26</v>
      </c>
      <c r="C28" t="b">
        <f ca="1">COUNTIF(dict_zuord_Meth_Pos[ignored_help],table_Positions[[#This Row],[ID]])&gt;0</f>
        <v>0</v>
      </c>
      <c r="D28">
        <f t="shared" ca="1" si="0"/>
        <v>35</v>
      </c>
      <c r="E28">
        <f ca="1">table_Positions[[#This Row],[temp_lb]]+10+RANDBETWEEN(0,100)*RANDBETWEEN(0,10)-RANDBETWEEN(0,10)</f>
        <v>585</v>
      </c>
      <c r="F28" t="b">
        <f ca="1">COUNTIF(dict_zuord_Meth_Pos[ID_Positions], table_Positions[[#This Row],[ID]]) &gt; 0</f>
        <v>1</v>
      </c>
    </row>
    <row r="29" spans="1:6" x14ac:dyDescent="0.45">
      <c r="A29">
        <v>27</v>
      </c>
      <c r="B29" t="str">
        <f>CONCATENATE("Position ",table_Positions[[#This Row],[ID]])</f>
        <v>Position 27</v>
      </c>
      <c r="C29" t="b">
        <f ca="1">COUNTIF(dict_zuord_Meth_Pos[ignored_help],table_Positions[[#This Row],[ID]])&gt;0</f>
        <v>0</v>
      </c>
      <c r="D29">
        <f t="shared" ca="1" si="0"/>
        <v>5</v>
      </c>
      <c r="E29">
        <f ca="1">table_Positions[[#This Row],[temp_lb]]+10+RANDBETWEEN(0,100)*RANDBETWEEN(0,10)-RANDBETWEEN(0,10)</f>
        <v>172</v>
      </c>
      <c r="F29" t="b">
        <f ca="1">COUNTIF(dict_zuord_Meth_Pos[ID_Positions], table_Positions[[#This Row],[ID]]) &gt; 0</f>
        <v>1</v>
      </c>
    </row>
    <row r="30" spans="1:6" x14ac:dyDescent="0.45">
      <c r="A30">
        <v>28</v>
      </c>
      <c r="B30" t="str">
        <f>CONCATENATE("Position ",table_Positions[[#This Row],[ID]])</f>
        <v>Position 28</v>
      </c>
      <c r="C30" t="b">
        <f ca="1">COUNTIF(dict_zuord_Meth_Pos[ignored_help],table_Positions[[#This Row],[ID]])&gt;0</f>
        <v>0</v>
      </c>
      <c r="D30">
        <f t="shared" ca="1" si="0"/>
        <v>7</v>
      </c>
      <c r="E30">
        <f ca="1">table_Positions[[#This Row],[temp_lb]]+10+RANDBETWEEN(0,100)*RANDBETWEEN(0,10)-RANDBETWEEN(0,10)</f>
        <v>270</v>
      </c>
      <c r="F30" t="b">
        <f ca="1">COUNTIF(dict_zuord_Meth_Pos[ID_Positions], table_Positions[[#This Row],[ID]]) &gt; 0</f>
        <v>1</v>
      </c>
    </row>
    <row r="31" spans="1:6" x14ac:dyDescent="0.45">
      <c r="A31">
        <v>29</v>
      </c>
      <c r="B31" t="str">
        <f>CONCATENATE("Position ",table_Positions[[#This Row],[ID]])</f>
        <v>Position 29</v>
      </c>
      <c r="C31" t="b">
        <f ca="1">COUNTIF(dict_zuord_Meth_Pos[ignored_help],table_Positions[[#This Row],[ID]])&gt;0</f>
        <v>0</v>
      </c>
      <c r="D31">
        <f t="shared" ca="1" si="0"/>
        <v>59</v>
      </c>
      <c r="E31">
        <f ca="1">table_Positions[[#This Row],[temp_lb]]+10+RANDBETWEEN(0,100)*RANDBETWEEN(0,10)-RANDBETWEEN(0,10)</f>
        <v>802</v>
      </c>
      <c r="F31" t="b">
        <f ca="1">COUNTIF(dict_zuord_Meth_Pos[ID_Positions], table_Positions[[#This Row],[ID]]) &gt; 0</f>
        <v>1</v>
      </c>
    </row>
    <row r="32" spans="1:6" x14ac:dyDescent="0.45">
      <c r="A32">
        <v>30</v>
      </c>
      <c r="B32" t="str">
        <f>CONCATENATE("Position ",table_Positions[[#This Row],[ID]])</f>
        <v>Position 30</v>
      </c>
      <c r="C32" t="b">
        <f ca="1">COUNTIF(dict_zuord_Meth_Pos[ignored_help],table_Positions[[#This Row],[ID]])&gt;0</f>
        <v>0</v>
      </c>
      <c r="D32">
        <f t="shared" ca="1" si="0"/>
        <v>55</v>
      </c>
      <c r="E32">
        <f ca="1">table_Positions[[#This Row],[temp_lb]]+10+RANDBETWEEN(0,100)*RANDBETWEEN(0,10)-RANDBETWEEN(0,10)</f>
        <v>174</v>
      </c>
      <c r="F32" t="b">
        <f ca="1">COUNTIF(dict_zuord_Meth_Pos[ID_Positions], table_Positions[[#This Row],[ID]]) &gt; 0</f>
        <v>1</v>
      </c>
    </row>
    <row r="33" spans="1:6" x14ac:dyDescent="0.45">
      <c r="A33">
        <v>31</v>
      </c>
      <c r="B33" t="str">
        <f>CONCATENATE("Position ",table_Positions[[#This Row],[ID]])</f>
        <v>Position 31</v>
      </c>
      <c r="C33" t="b">
        <f ca="1">COUNTIF(dict_zuord_Meth_Pos[ignored_help],table_Positions[[#This Row],[ID]])&gt;0</f>
        <v>0</v>
      </c>
      <c r="D33">
        <f t="shared" ca="1" si="0"/>
        <v>18</v>
      </c>
      <c r="E33">
        <f ca="1">table_Positions[[#This Row],[temp_lb]]+10+RANDBETWEEN(0,100)*RANDBETWEEN(0,10)-RANDBETWEEN(0,10)</f>
        <v>189</v>
      </c>
      <c r="F33" t="b">
        <f ca="1">COUNTIF(dict_zuord_Meth_Pos[ID_Positions], table_Positions[[#This Row],[ID]]) &gt; 0</f>
        <v>1</v>
      </c>
    </row>
    <row r="34" spans="1:6" x14ac:dyDescent="0.45">
      <c r="A34">
        <v>32</v>
      </c>
      <c r="B34" t="str">
        <f>CONCATENATE("Position ",table_Positions[[#This Row],[ID]])</f>
        <v>Position 32</v>
      </c>
      <c r="C34" t="b">
        <f ca="1">COUNTIF(dict_zuord_Meth_Pos[ignored_help],table_Positions[[#This Row],[ID]])&gt;0</f>
        <v>0</v>
      </c>
      <c r="D34">
        <f t="shared" ca="1" si="0"/>
        <v>20</v>
      </c>
      <c r="E34">
        <f ca="1">table_Positions[[#This Row],[temp_lb]]+10+RANDBETWEEN(0,100)*RANDBETWEEN(0,10)-RANDBETWEEN(0,10)</f>
        <v>34</v>
      </c>
      <c r="F34" t="b">
        <f ca="1">COUNTIF(dict_zuord_Meth_Pos[ID_Positions], table_Positions[[#This Row],[ID]]) &gt; 0</f>
        <v>1</v>
      </c>
    </row>
    <row r="35" spans="1:6" x14ac:dyDescent="0.45">
      <c r="A35">
        <v>33</v>
      </c>
      <c r="B35" t="str">
        <f>CONCATENATE("Position ",table_Positions[[#This Row],[ID]])</f>
        <v>Position 33</v>
      </c>
      <c r="C35" t="b">
        <f ca="1">COUNTIF(dict_zuord_Meth_Pos[ignored_help],table_Positions[[#This Row],[ID]])&gt;0</f>
        <v>0</v>
      </c>
      <c r="D35">
        <f t="shared" ca="1" si="0"/>
        <v>80</v>
      </c>
      <c r="E35">
        <f ca="1">table_Positions[[#This Row],[temp_lb]]+10+RANDBETWEEN(0,100)*RANDBETWEEN(0,10)-RANDBETWEEN(0,10)</f>
        <v>142</v>
      </c>
      <c r="F35" t="b">
        <f ca="1">COUNTIF(dict_zuord_Meth_Pos[ID_Positions], table_Positions[[#This Row],[ID]]) &gt; 0</f>
        <v>1</v>
      </c>
    </row>
    <row r="36" spans="1:6" x14ac:dyDescent="0.45">
      <c r="A36">
        <v>34</v>
      </c>
      <c r="B36" t="str">
        <f>CONCATENATE("Position ",table_Positions[[#This Row],[ID]])</f>
        <v>Position 34</v>
      </c>
      <c r="C36" t="b">
        <f ca="1">COUNTIF(dict_zuord_Meth_Pos[ignored_help],table_Positions[[#This Row],[ID]])&gt;0</f>
        <v>0</v>
      </c>
      <c r="D36">
        <f t="shared" ca="1" si="0"/>
        <v>2</v>
      </c>
      <c r="E36">
        <f ca="1">table_Positions[[#This Row],[temp_lb]]+10+RANDBETWEEN(0,100)*RANDBETWEEN(0,10)-RANDBETWEEN(0,10)</f>
        <v>275</v>
      </c>
      <c r="F36" t="b">
        <f ca="1">COUNTIF(dict_zuord_Meth_Pos[ID_Positions], table_Positions[[#This Row],[ID]]) &gt; 0</f>
        <v>1</v>
      </c>
    </row>
    <row r="37" spans="1:6" x14ac:dyDescent="0.45">
      <c r="A37">
        <v>35</v>
      </c>
      <c r="B37" t="str">
        <f>CONCATENATE("Position ",table_Positions[[#This Row],[ID]])</f>
        <v>Position 35</v>
      </c>
      <c r="C37" t="b">
        <f ca="1">COUNTIF(dict_zuord_Meth_Pos[ignored_help],table_Positions[[#This Row],[ID]])&gt;0</f>
        <v>0</v>
      </c>
      <c r="D37">
        <f t="shared" ca="1" si="0"/>
        <v>21</v>
      </c>
      <c r="E37">
        <f ca="1">table_Positions[[#This Row],[temp_lb]]+10+RANDBETWEEN(0,100)*RANDBETWEEN(0,10)-RANDBETWEEN(0,10)</f>
        <v>164</v>
      </c>
      <c r="F37" t="b">
        <f ca="1">COUNTIF(dict_zuord_Meth_Pos[ID_Positions], table_Positions[[#This Row],[ID]]) &gt; 0</f>
        <v>1</v>
      </c>
    </row>
    <row r="38" spans="1:6" x14ac:dyDescent="0.45">
      <c r="A38">
        <v>36</v>
      </c>
      <c r="B38" t="str">
        <f>CONCATENATE("Position ",table_Positions[[#This Row],[ID]])</f>
        <v>Position 36</v>
      </c>
      <c r="C38" t="b">
        <f ca="1">COUNTIF(dict_zuord_Meth_Pos[ignored_help],table_Positions[[#This Row],[ID]])&gt;0</f>
        <v>0</v>
      </c>
      <c r="D38">
        <f t="shared" ca="1" si="0"/>
        <v>65</v>
      </c>
      <c r="E38">
        <f ca="1">table_Positions[[#This Row],[temp_lb]]+10+RANDBETWEEN(0,100)*RANDBETWEEN(0,10)-RANDBETWEEN(0,10)</f>
        <v>87</v>
      </c>
      <c r="F38" t="b">
        <f ca="1">COUNTIF(dict_zuord_Meth_Pos[ID_Positions], table_Positions[[#This Row],[ID]]) &gt; 0</f>
        <v>1</v>
      </c>
    </row>
    <row r="39" spans="1:6" x14ac:dyDescent="0.45">
      <c r="A39">
        <v>37</v>
      </c>
      <c r="B39" t="str">
        <f>CONCATENATE("Position ",table_Positions[[#This Row],[ID]])</f>
        <v>Position 37</v>
      </c>
      <c r="C39" t="b">
        <f ca="1">COUNTIF(dict_zuord_Meth_Pos[ignored_help],table_Positions[[#This Row],[ID]])&gt;0</f>
        <v>0</v>
      </c>
      <c r="D39">
        <f t="shared" ca="1" si="0"/>
        <v>7</v>
      </c>
      <c r="E39">
        <f ca="1">table_Positions[[#This Row],[temp_lb]]+10+RANDBETWEEN(0,100)*RANDBETWEEN(0,10)-RANDBETWEEN(0,10)</f>
        <v>149</v>
      </c>
      <c r="F39" t="b">
        <f ca="1">COUNTIF(dict_zuord_Meth_Pos[ID_Positions], table_Positions[[#This Row],[ID]]) &gt; 0</f>
        <v>1</v>
      </c>
    </row>
    <row r="40" spans="1:6" x14ac:dyDescent="0.45">
      <c r="A40">
        <v>38</v>
      </c>
      <c r="B40" t="str">
        <f>CONCATENATE("Position ",table_Positions[[#This Row],[ID]])</f>
        <v>Position 38</v>
      </c>
      <c r="C40" t="b">
        <f ca="1">COUNTIF(dict_zuord_Meth_Pos[ignored_help],table_Positions[[#This Row],[ID]])&gt;0</f>
        <v>0</v>
      </c>
      <c r="D40">
        <f t="shared" ca="1" si="0"/>
        <v>83</v>
      </c>
      <c r="E40">
        <f ca="1">table_Positions[[#This Row],[temp_lb]]+10+RANDBETWEEN(0,100)*RANDBETWEEN(0,10)-RANDBETWEEN(0,10)</f>
        <v>125</v>
      </c>
      <c r="F40" t="b">
        <f ca="1">COUNTIF(dict_zuord_Meth_Pos[ID_Positions], table_Positions[[#This Row],[ID]]) &gt; 0</f>
        <v>1</v>
      </c>
    </row>
    <row r="41" spans="1:6" x14ac:dyDescent="0.45">
      <c r="A41">
        <v>39</v>
      </c>
      <c r="B41" t="str">
        <f>CONCATENATE("Position ",table_Positions[[#This Row],[ID]])</f>
        <v>Position 39</v>
      </c>
      <c r="C41" t="b">
        <f ca="1">COUNTIF(dict_zuord_Meth_Pos[ignored_help],table_Positions[[#This Row],[ID]])&gt;0</f>
        <v>0</v>
      </c>
      <c r="D41">
        <f t="shared" ca="1" si="0"/>
        <v>21</v>
      </c>
      <c r="E41">
        <f ca="1">table_Positions[[#This Row],[temp_lb]]+10+RANDBETWEEN(0,100)*RANDBETWEEN(0,10)-RANDBETWEEN(0,10)</f>
        <v>273</v>
      </c>
      <c r="F41" t="b">
        <f ca="1">COUNTIF(dict_zuord_Meth_Pos[ID_Positions], table_Positions[[#This Row],[ID]]) &gt; 0</f>
        <v>1</v>
      </c>
    </row>
    <row r="42" spans="1:6" x14ac:dyDescent="0.45">
      <c r="A42">
        <v>40</v>
      </c>
      <c r="B42" t="str">
        <f>CONCATENATE("Position ",table_Positions[[#This Row],[ID]])</f>
        <v>Position 40</v>
      </c>
      <c r="C42" t="b">
        <f ca="1">COUNTIF(dict_zuord_Meth_Pos[ignored_help],table_Positions[[#This Row],[ID]])&gt;0</f>
        <v>0</v>
      </c>
      <c r="D42">
        <f t="shared" ca="1" si="0"/>
        <v>15</v>
      </c>
      <c r="E42">
        <f ca="1">table_Positions[[#This Row],[temp_lb]]+10+RANDBETWEEN(0,100)*RANDBETWEEN(0,10)-RANDBETWEEN(0,10)</f>
        <v>18</v>
      </c>
      <c r="F42" t="b">
        <f ca="1">COUNTIF(dict_zuord_Meth_Pos[ID_Positions], table_Positions[[#This Row],[ID]]) &gt; 0</f>
        <v>1</v>
      </c>
    </row>
    <row r="43" spans="1:6" x14ac:dyDescent="0.45">
      <c r="A43">
        <v>41</v>
      </c>
      <c r="B43" t="str">
        <f>CONCATENATE("Position ",table_Positions[[#This Row],[ID]])</f>
        <v>Position 41</v>
      </c>
      <c r="C43" t="b">
        <f ca="1">COUNTIF(dict_zuord_Meth_Pos[ignored_help],table_Positions[[#This Row],[ID]])&gt;0</f>
        <v>0</v>
      </c>
      <c r="D43">
        <f t="shared" ca="1" si="0"/>
        <v>4</v>
      </c>
      <c r="E43">
        <f ca="1">table_Positions[[#This Row],[temp_lb]]+10+RANDBETWEEN(0,100)*RANDBETWEEN(0,10)-RANDBETWEEN(0,10)</f>
        <v>27</v>
      </c>
      <c r="F43" t="b">
        <f ca="1">COUNTIF(dict_zuord_Meth_Pos[ID_Positions], table_Positions[[#This Row],[ID]]) &gt; 0</f>
        <v>1</v>
      </c>
    </row>
    <row r="44" spans="1:6" x14ac:dyDescent="0.45">
      <c r="A44">
        <v>42</v>
      </c>
      <c r="B44" t="str">
        <f>CONCATENATE("Position ",table_Positions[[#This Row],[ID]])</f>
        <v>Position 42</v>
      </c>
      <c r="C44" t="b">
        <f ca="1">COUNTIF(dict_zuord_Meth_Pos[ignored_help],table_Positions[[#This Row],[ID]])&gt;0</f>
        <v>0</v>
      </c>
      <c r="D44">
        <f t="shared" ca="1" si="0"/>
        <v>2</v>
      </c>
      <c r="E44">
        <f ca="1">table_Positions[[#This Row],[temp_lb]]+10+RANDBETWEEN(0,100)*RANDBETWEEN(0,10)-RANDBETWEEN(0,10)</f>
        <v>107</v>
      </c>
      <c r="F44" t="b">
        <f ca="1">COUNTIF(dict_zuord_Meth_Pos[ID_Positions], table_Positions[[#This Row],[ID]]) &gt; 0</f>
        <v>1</v>
      </c>
    </row>
    <row r="45" spans="1:6" x14ac:dyDescent="0.45">
      <c r="A45">
        <v>43</v>
      </c>
      <c r="B45" t="str">
        <f>CONCATENATE("Position ",table_Positions[[#This Row],[ID]])</f>
        <v>Position 43</v>
      </c>
      <c r="C45" t="b">
        <f ca="1">COUNTIF(dict_zuord_Meth_Pos[ignored_help],table_Positions[[#This Row],[ID]])&gt;0</f>
        <v>0</v>
      </c>
      <c r="D45">
        <f t="shared" ca="1" si="0"/>
        <v>32</v>
      </c>
      <c r="E45">
        <f ca="1">table_Positions[[#This Row],[temp_lb]]+10+RANDBETWEEN(0,100)*RANDBETWEEN(0,10)-RANDBETWEEN(0,10)</f>
        <v>736</v>
      </c>
      <c r="F45" t="b">
        <f ca="1">COUNTIF(dict_zuord_Meth_Pos[ID_Positions], table_Positions[[#This Row],[ID]]) &gt; 0</f>
        <v>1</v>
      </c>
    </row>
    <row r="46" spans="1:6" x14ac:dyDescent="0.45">
      <c r="A46">
        <v>44</v>
      </c>
      <c r="B46" t="str">
        <f>CONCATENATE("Position ",table_Positions[[#This Row],[ID]])</f>
        <v>Position 44</v>
      </c>
      <c r="C46" t="b">
        <f ca="1">COUNTIF(dict_zuord_Meth_Pos[ignored_help],table_Positions[[#This Row],[ID]])&gt;0</f>
        <v>0</v>
      </c>
      <c r="D46">
        <f t="shared" ca="1" si="0"/>
        <v>28</v>
      </c>
      <c r="E46">
        <f ca="1">table_Positions[[#This Row],[temp_lb]]+10+RANDBETWEEN(0,100)*RANDBETWEEN(0,10)-RANDBETWEEN(0,10)</f>
        <v>236</v>
      </c>
      <c r="F46" t="b">
        <f ca="1">COUNTIF(dict_zuord_Meth_Pos[ID_Positions], table_Positions[[#This Row],[ID]]) &gt; 0</f>
        <v>1</v>
      </c>
    </row>
    <row r="47" spans="1:6" x14ac:dyDescent="0.45">
      <c r="A47">
        <v>45</v>
      </c>
      <c r="B47" t="str">
        <f>CONCATENATE("Position ",table_Positions[[#This Row],[ID]])</f>
        <v>Position 45</v>
      </c>
      <c r="C47" t="b">
        <f ca="1">COUNTIF(dict_zuord_Meth_Pos[ignored_help],table_Positions[[#This Row],[ID]])&gt;0</f>
        <v>0</v>
      </c>
      <c r="D47">
        <f t="shared" ca="1" si="0"/>
        <v>60</v>
      </c>
      <c r="E47">
        <f ca="1">table_Positions[[#This Row],[temp_lb]]+10+RANDBETWEEN(0,100)*RANDBETWEEN(0,10)-RANDBETWEEN(0,10)</f>
        <v>357</v>
      </c>
      <c r="F47" t="b">
        <f ca="1">COUNTIF(dict_zuord_Meth_Pos[ID_Positions], table_Positions[[#This Row],[ID]]) &gt; 0</f>
        <v>1</v>
      </c>
    </row>
    <row r="48" spans="1:6" x14ac:dyDescent="0.45">
      <c r="A48">
        <v>46</v>
      </c>
      <c r="B48" t="str">
        <f>CONCATENATE("Position ",table_Positions[[#This Row],[ID]])</f>
        <v>Position 46</v>
      </c>
      <c r="C48" t="b">
        <f ca="1">COUNTIF(dict_zuord_Meth_Pos[ignored_help],table_Positions[[#This Row],[ID]])&gt;0</f>
        <v>0</v>
      </c>
      <c r="D48">
        <f t="shared" ca="1" si="0"/>
        <v>39</v>
      </c>
      <c r="E48">
        <f ca="1">table_Positions[[#This Row],[temp_lb]]+10+RANDBETWEEN(0,100)*RANDBETWEEN(0,10)-RANDBETWEEN(0,10)</f>
        <v>220</v>
      </c>
      <c r="F48" t="b">
        <f ca="1">COUNTIF(dict_zuord_Meth_Pos[ID_Positions], table_Positions[[#This Row],[ID]]) &gt; 0</f>
        <v>1</v>
      </c>
    </row>
    <row r="49" spans="1:6" x14ac:dyDescent="0.45">
      <c r="A49">
        <v>47</v>
      </c>
      <c r="B49" t="str">
        <f>CONCATENATE("Position ",table_Positions[[#This Row],[ID]])</f>
        <v>Position 47</v>
      </c>
      <c r="C49" t="b">
        <f ca="1">COUNTIF(dict_zuord_Meth_Pos[ignored_help],table_Positions[[#This Row],[ID]])&gt;0</f>
        <v>0</v>
      </c>
      <c r="D49">
        <f t="shared" ca="1" si="0"/>
        <v>30</v>
      </c>
      <c r="E49">
        <f ca="1">table_Positions[[#This Row],[temp_lb]]+10+RANDBETWEEN(0,100)*RANDBETWEEN(0,10)-RANDBETWEEN(0,10)</f>
        <v>180</v>
      </c>
      <c r="F49" t="b">
        <f ca="1">COUNTIF(dict_zuord_Meth_Pos[ID_Positions], table_Positions[[#This Row],[ID]]) &gt; 0</f>
        <v>1</v>
      </c>
    </row>
    <row r="50" spans="1:6" x14ac:dyDescent="0.45">
      <c r="A50">
        <v>48</v>
      </c>
      <c r="B50" t="str">
        <f>CONCATENATE("Position ",table_Positions[[#This Row],[ID]])</f>
        <v>Position 48</v>
      </c>
      <c r="C50" t="b">
        <f ca="1">COUNTIF(dict_zuord_Meth_Pos[ignored_help],table_Positions[[#This Row],[ID]])&gt;0</f>
        <v>0</v>
      </c>
      <c r="D50">
        <f t="shared" ca="1" si="0"/>
        <v>21</v>
      </c>
      <c r="E50">
        <f ca="1">table_Positions[[#This Row],[temp_lb]]+10+RANDBETWEEN(0,100)*RANDBETWEEN(0,10)-RANDBETWEEN(0,10)</f>
        <v>217</v>
      </c>
      <c r="F50" t="b">
        <f ca="1">COUNTIF(dict_zuord_Meth_Pos[ID_Positions], table_Positions[[#This Row],[ID]]) &gt; 0</f>
        <v>1</v>
      </c>
    </row>
    <row r="51" spans="1:6" x14ac:dyDescent="0.45">
      <c r="A51">
        <v>49</v>
      </c>
      <c r="B51" t="str">
        <f>CONCATENATE("Position ",table_Positions[[#This Row],[ID]])</f>
        <v>Position 49</v>
      </c>
      <c r="C51" t="b">
        <f ca="1">COUNTIF(dict_zuord_Meth_Pos[ignored_help],table_Positions[[#This Row],[ID]])&gt;0</f>
        <v>0</v>
      </c>
      <c r="D51">
        <f t="shared" ca="1" si="0"/>
        <v>63</v>
      </c>
      <c r="E51">
        <f ca="1">table_Positions[[#This Row],[temp_lb]]+10+RANDBETWEEN(0,100)*RANDBETWEEN(0,10)-RANDBETWEEN(0,10)</f>
        <v>276</v>
      </c>
      <c r="F51" t="b">
        <f ca="1">COUNTIF(dict_zuord_Meth_Pos[ID_Positions], table_Positions[[#This Row],[ID]]) &gt; 0</f>
        <v>1</v>
      </c>
    </row>
    <row r="52" spans="1:6" x14ac:dyDescent="0.45">
      <c r="A52">
        <v>50</v>
      </c>
      <c r="B52" t="str">
        <f>CONCATENATE("Position ",table_Positions[[#This Row],[ID]])</f>
        <v>Position 50</v>
      </c>
      <c r="C52" t="b">
        <f ca="1">COUNTIF(dict_zuord_Meth_Pos[ignored_help],table_Positions[[#This Row],[ID]])&gt;0</f>
        <v>0</v>
      </c>
      <c r="D52">
        <f t="shared" ca="1" si="0"/>
        <v>11</v>
      </c>
      <c r="E52">
        <f ca="1">table_Positions[[#This Row],[temp_lb]]+10+RANDBETWEEN(0,100)*RANDBETWEEN(0,10)-RANDBETWEEN(0,10)</f>
        <v>246</v>
      </c>
      <c r="F52" t="b">
        <f ca="1">COUNTIF(dict_zuord_Meth_Pos[ID_Positions], table_Positions[[#This Row],[ID]]) &gt; 0</f>
        <v>1</v>
      </c>
    </row>
    <row r="53" spans="1:6" x14ac:dyDescent="0.45">
      <c r="A53">
        <v>51</v>
      </c>
      <c r="B53" t="str">
        <f>CONCATENATE("Position ",table_Positions[[#This Row],[ID]])</f>
        <v>Position 51</v>
      </c>
      <c r="C53" t="b">
        <f ca="1">COUNTIF(dict_zuord_Meth_Pos[ignored_help],table_Positions[[#This Row],[ID]])&gt;0</f>
        <v>0</v>
      </c>
      <c r="D53">
        <f t="shared" ca="1" si="0"/>
        <v>65</v>
      </c>
      <c r="E53">
        <f ca="1">table_Positions[[#This Row],[temp_lb]]+10+RANDBETWEEN(0,100)*RANDBETWEEN(0,10)-RANDBETWEEN(0,10)</f>
        <v>307</v>
      </c>
      <c r="F53" t="b">
        <f ca="1">COUNTIF(dict_zuord_Meth_Pos[ID_Positions], table_Positions[[#This Row],[ID]]) &gt; 0</f>
        <v>1</v>
      </c>
    </row>
    <row r="54" spans="1:6" x14ac:dyDescent="0.45">
      <c r="A54">
        <v>52</v>
      </c>
      <c r="B54" t="str">
        <f>CONCATENATE("Position ",table_Positions[[#This Row],[ID]])</f>
        <v>Position 52</v>
      </c>
      <c r="C54" t="b">
        <f ca="1">COUNTIF(dict_zuord_Meth_Pos[ignored_help],table_Positions[[#This Row],[ID]])&gt;0</f>
        <v>0</v>
      </c>
      <c r="D54">
        <f t="shared" ca="1" si="0"/>
        <v>16</v>
      </c>
      <c r="E54">
        <f ca="1">table_Positions[[#This Row],[temp_lb]]+10+RANDBETWEEN(0,100)*RANDBETWEEN(0,10)-RANDBETWEEN(0,10)</f>
        <v>81</v>
      </c>
      <c r="F54" t="b">
        <f ca="1">COUNTIF(dict_zuord_Meth_Pos[ID_Positions], table_Positions[[#This Row],[ID]]) &gt; 0</f>
        <v>1</v>
      </c>
    </row>
    <row r="55" spans="1:6" x14ac:dyDescent="0.45">
      <c r="A55">
        <v>53</v>
      </c>
      <c r="B55" t="str">
        <f>CONCATENATE("Position ",table_Positions[[#This Row],[ID]])</f>
        <v>Position 53</v>
      </c>
      <c r="C55" t="b">
        <f ca="1">COUNTIF(dict_zuord_Meth_Pos[ignored_help],table_Positions[[#This Row],[ID]])&gt;0</f>
        <v>0</v>
      </c>
      <c r="D55">
        <f t="shared" ca="1" si="0"/>
        <v>35</v>
      </c>
      <c r="E55">
        <f ca="1">table_Positions[[#This Row],[temp_lb]]+10+RANDBETWEEN(0,100)*RANDBETWEEN(0,10)-RANDBETWEEN(0,10)</f>
        <v>35</v>
      </c>
      <c r="F55" t="b">
        <f ca="1">COUNTIF(dict_zuord_Meth_Pos[ID_Positions], table_Positions[[#This Row],[ID]]) &gt; 0</f>
        <v>1</v>
      </c>
    </row>
    <row r="56" spans="1:6" x14ac:dyDescent="0.45">
      <c r="A56">
        <v>54</v>
      </c>
      <c r="B56" t="str">
        <f>CONCATENATE("Position ",table_Positions[[#This Row],[ID]])</f>
        <v>Position 54</v>
      </c>
      <c r="C56" t="b">
        <f ca="1">COUNTIF(dict_zuord_Meth_Pos[ignored_help],table_Positions[[#This Row],[ID]])&gt;0</f>
        <v>0</v>
      </c>
      <c r="D56">
        <f t="shared" ca="1" si="0"/>
        <v>18</v>
      </c>
      <c r="E56">
        <f ca="1">table_Positions[[#This Row],[temp_lb]]+10+RANDBETWEEN(0,100)*RANDBETWEEN(0,10)-RANDBETWEEN(0,10)</f>
        <v>25</v>
      </c>
      <c r="F56" t="b">
        <f ca="1">COUNTIF(dict_zuord_Meth_Pos[ID_Positions], table_Positions[[#This Row],[ID]]) &gt; 0</f>
        <v>1</v>
      </c>
    </row>
    <row r="57" spans="1:6" x14ac:dyDescent="0.45">
      <c r="A57">
        <v>55</v>
      </c>
      <c r="B57" t="str">
        <f>CONCATENATE("Position ",table_Positions[[#This Row],[ID]])</f>
        <v>Position 55</v>
      </c>
      <c r="C57" t="b">
        <f ca="1">COUNTIF(dict_zuord_Meth_Pos[ignored_help],table_Positions[[#This Row],[ID]])&gt;0</f>
        <v>0</v>
      </c>
      <c r="D57">
        <f t="shared" ca="1" si="0"/>
        <v>98</v>
      </c>
      <c r="E57">
        <f ca="1">table_Positions[[#This Row],[temp_lb]]+10+RANDBETWEEN(0,100)*RANDBETWEEN(0,10)-RANDBETWEEN(0,10)</f>
        <v>431</v>
      </c>
      <c r="F57" t="b">
        <f ca="1">COUNTIF(dict_zuord_Meth_Pos[ID_Positions], table_Positions[[#This Row],[ID]]) &gt; 0</f>
        <v>1</v>
      </c>
    </row>
    <row r="58" spans="1:6" x14ac:dyDescent="0.45">
      <c r="A58">
        <v>56</v>
      </c>
      <c r="B58" t="str">
        <f>CONCATENATE("Position ",table_Positions[[#This Row],[ID]])</f>
        <v>Position 56</v>
      </c>
      <c r="C58" t="b">
        <f ca="1">COUNTIF(dict_zuord_Meth_Pos[ignored_help],table_Positions[[#This Row],[ID]])&gt;0</f>
        <v>0</v>
      </c>
      <c r="D58">
        <f t="shared" ca="1" si="0"/>
        <v>1</v>
      </c>
      <c r="E58">
        <f ca="1">table_Positions[[#This Row],[temp_lb]]+10+RANDBETWEEN(0,100)*RANDBETWEEN(0,10)-RANDBETWEEN(0,10)</f>
        <v>2</v>
      </c>
      <c r="F58" t="b">
        <f ca="1">COUNTIF(dict_zuord_Meth_Pos[ID_Positions], table_Positions[[#This Row],[ID]]) &gt; 0</f>
        <v>1</v>
      </c>
    </row>
    <row r="59" spans="1:6" x14ac:dyDescent="0.45">
      <c r="A59">
        <v>57</v>
      </c>
      <c r="B59" t="str">
        <f>CONCATENATE("Position ",table_Positions[[#This Row],[ID]])</f>
        <v>Position 57</v>
      </c>
      <c r="C59" t="b">
        <f ca="1">COUNTIF(dict_zuord_Meth_Pos[ignored_help],table_Positions[[#This Row],[ID]])&gt;0</f>
        <v>0</v>
      </c>
      <c r="D59">
        <f t="shared" ca="1" si="0"/>
        <v>6</v>
      </c>
      <c r="E59">
        <f ca="1">table_Positions[[#This Row],[temp_lb]]+10+RANDBETWEEN(0,100)*RANDBETWEEN(0,10)-RANDBETWEEN(0,10)</f>
        <v>362</v>
      </c>
      <c r="F59" t="b">
        <f ca="1">COUNTIF(dict_zuord_Meth_Pos[ID_Positions], table_Positions[[#This Row],[ID]]) &gt; 0</f>
        <v>1</v>
      </c>
    </row>
    <row r="60" spans="1:6" x14ac:dyDescent="0.45">
      <c r="A60">
        <v>58</v>
      </c>
      <c r="B60" t="str">
        <f>CONCATENATE("Position ",table_Positions[[#This Row],[ID]])</f>
        <v>Position 58</v>
      </c>
      <c r="C60" t="b">
        <f ca="1">COUNTIF(dict_zuord_Meth_Pos[ignored_help],table_Positions[[#This Row],[ID]])&gt;0</f>
        <v>0</v>
      </c>
      <c r="D60">
        <f t="shared" ca="1" si="0"/>
        <v>56</v>
      </c>
      <c r="E60">
        <f ca="1">table_Positions[[#This Row],[temp_lb]]+10+RANDBETWEEN(0,100)*RANDBETWEEN(0,10)-RANDBETWEEN(0,10)</f>
        <v>529</v>
      </c>
      <c r="F60" t="b">
        <f ca="1">COUNTIF(dict_zuord_Meth_Pos[ID_Positions], table_Positions[[#This Row],[ID]]) &gt; 0</f>
        <v>1</v>
      </c>
    </row>
    <row r="61" spans="1:6" x14ac:dyDescent="0.45">
      <c r="A61">
        <v>59</v>
      </c>
      <c r="B61" t="str">
        <f>CONCATENATE("Position ",table_Positions[[#This Row],[ID]])</f>
        <v>Position 59</v>
      </c>
      <c r="C61" t="b">
        <f ca="1">COUNTIF(dict_zuord_Meth_Pos[ignored_help],table_Positions[[#This Row],[ID]])&gt;0</f>
        <v>0</v>
      </c>
      <c r="D61">
        <f t="shared" ca="1" si="0"/>
        <v>18</v>
      </c>
      <c r="E61">
        <f ca="1">table_Positions[[#This Row],[temp_lb]]+10+RANDBETWEEN(0,100)*RANDBETWEEN(0,10)-RANDBETWEEN(0,10)</f>
        <v>624</v>
      </c>
      <c r="F61" t="b">
        <f ca="1">COUNTIF(dict_zuord_Meth_Pos[ID_Positions], table_Positions[[#This Row],[ID]]) &gt; 0</f>
        <v>1</v>
      </c>
    </row>
    <row r="62" spans="1:6" x14ac:dyDescent="0.45">
      <c r="A62">
        <v>60</v>
      </c>
      <c r="B62" t="str">
        <f>CONCATENATE("Position ",table_Positions[[#This Row],[ID]])</f>
        <v>Position 60</v>
      </c>
      <c r="C62" t="b">
        <f ca="1">COUNTIF(dict_zuord_Meth_Pos[ignored_help],table_Positions[[#This Row],[ID]])&gt;0</f>
        <v>0</v>
      </c>
      <c r="D62">
        <f t="shared" ca="1" si="0"/>
        <v>29</v>
      </c>
      <c r="E62">
        <f ca="1">table_Positions[[#This Row],[temp_lb]]+10+RANDBETWEEN(0,100)*RANDBETWEEN(0,10)-RANDBETWEEN(0,10)</f>
        <v>534</v>
      </c>
      <c r="F62" t="b">
        <f ca="1">COUNTIF(dict_zuord_Meth_Pos[ID_Positions], table_Positions[[#This Row],[ID]]) &gt; 0</f>
        <v>1</v>
      </c>
    </row>
    <row r="63" spans="1:6" x14ac:dyDescent="0.45">
      <c r="A63">
        <v>61</v>
      </c>
      <c r="B63" t="str">
        <f>CONCATENATE("Position ",table_Positions[[#This Row],[ID]])</f>
        <v>Position 61</v>
      </c>
      <c r="C63" t="b">
        <f ca="1">COUNTIF(dict_zuord_Meth_Pos[ignored_help],table_Positions[[#This Row],[ID]])&gt;0</f>
        <v>0</v>
      </c>
      <c r="D63">
        <f t="shared" ca="1" si="0"/>
        <v>27</v>
      </c>
      <c r="E63">
        <f ca="1">table_Positions[[#This Row],[temp_lb]]+10+RANDBETWEEN(0,100)*RANDBETWEEN(0,10)-RANDBETWEEN(0,10)</f>
        <v>322</v>
      </c>
      <c r="F63" t="b">
        <f ca="1">COUNTIF(dict_zuord_Meth_Pos[ID_Positions], table_Positions[[#This Row],[ID]]) &gt; 0</f>
        <v>1</v>
      </c>
    </row>
    <row r="64" spans="1:6" x14ac:dyDescent="0.45">
      <c r="A64">
        <v>62</v>
      </c>
      <c r="B64" t="str">
        <f>CONCATENATE("Position ",table_Positions[[#This Row],[ID]])</f>
        <v>Position 62</v>
      </c>
      <c r="C64" t="b">
        <f ca="1">COUNTIF(dict_zuord_Meth_Pos[ignored_help],table_Positions[[#This Row],[ID]])&gt;0</f>
        <v>0</v>
      </c>
      <c r="D64">
        <f t="shared" ca="1" si="0"/>
        <v>37</v>
      </c>
      <c r="E64">
        <f ca="1">table_Positions[[#This Row],[temp_lb]]+10+RANDBETWEEN(0,100)*RANDBETWEEN(0,10)-RANDBETWEEN(0,10)</f>
        <v>281</v>
      </c>
      <c r="F64" t="b">
        <f ca="1">COUNTIF(dict_zuord_Meth_Pos[ID_Positions], table_Positions[[#This Row],[ID]]) &gt; 0</f>
        <v>1</v>
      </c>
    </row>
    <row r="65" spans="1:6" x14ac:dyDescent="0.45">
      <c r="A65">
        <v>63</v>
      </c>
      <c r="B65" t="str">
        <f>CONCATENATE("Position ",table_Positions[[#This Row],[ID]])</f>
        <v>Position 63</v>
      </c>
      <c r="C65" t="b">
        <f ca="1">COUNTIF(dict_zuord_Meth_Pos[ignored_help],table_Positions[[#This Row],[ID]])&gt;0</f>
        <v>0</v>
      </c>
      <c r="D65">
        <f t="shared" ca="1" si="0"/>
        <v>17</v>
      </c>
      <c r="E65">
        <f ca="1">table_Positions[[#This Row],[temp_lb]]+10+RANDBETWEEN(0,100)*RANDBETWEEN(0,10)-RANDBETWEEN(0,10)</f>
        <v>572</v>
      </c>
      <c r="F65" t="b">
        <f ca="1">COUNTIF(dict_zuord_Meth_Pos[ID_Positions], table_Positions[[#This Row],[ID]]) &gt; 0</f>
        <v>1</v>
      </c>
    </row>
    <row r="66" spans="1:6" x14ac:dyDescent="0.45">
      <c r="A66">
        <v>64</v>
      </c>
      <c r="B66" t="str">
        <f>CONCATENATE("Position ",table_Positions[[#This Row],[ID]])</f>
        <v>Position 64</v>
      </c>
      <c r="C66" t="b">
        <f ca="1">COUNTIF(dict_zuord_Meth_Pos[ignored_help],table_Positions[[#This Row],[ID]])&gt;0</f>
        <v>0</v>
      </c>
      <c r="D66">
        <f t="shared" ref="D66:D129" ca="1" si="1">20+RANDBETWEEN(0,10)*RANDBETWEEN(0,10)-RANDBETWEEN(0,20)</f>
        <v>17</v>
      </c>
      <c r="E66">
        <f ca="1">table_Positions[[#This Row],[temp_lb]]+10+RANDBETWEEN(0,100)*RANDBETWEEN(0,10)-RANDBETWEEN(0,10)</f>
        <v>21</v>
      </c>
      <c r="F66" t="b">
        <f ca="1">COUNTIF(dict_zuord_Meth_Pos[ID_Positions], table_Positions[[#This Row],[ID]]) &gt; 0</f>
        <v>1</v>
      </c>
    </row>
    <row r="67" spans="1:6" x14ac:dyDescent="0.45">
      <c r="A67">
        <v>65</v>
      </c>
      <c r="B67" t="str">
        <f>CONCATENATE("Position ",table_Positions[[#This Row],[ID]])</f>
        <v>Position 65</v>
      </c>
      <c r="C67" t="b">
        <f ca="1">COUNTIF(dict_zuord_Meth_Pos[ignored_help],table_Positions[[#This Row],[ID]])&gt;0</f>
        <v>0</v>
      </c>
      <c r="D67">
        <f t="shared" ca="1" si="1"/>
        <v>11</v>
      </c>
      <c r="E67">
        <f ca="1">table_Positions[[#This Row],[temp_lb]]+10+RANDBETWEEN(0,100)*RANDBETWEEN(0,10)-RANDBETWEEN(0,10)</f>
        <v>170</v>
      </c>
      <c r="F67" t="b">
        <f ca="1">COUNTIF(dict_zuord_Meth_Pos[ID_Positions], table_Positions[[#This Row],[ID]]) &gt; 0</f>
        <v>1</v>
      </c>
    </row>
    <row r="68" spans="1:6" x14ac:dyDescent="0.45">
      <c r="A68">
        <v>66</v>
      </c>
      <c r="B68" t="str">
        <f>CONCATENATE("Position ",table_Positions[[#This Row],[ID]])</f>
        <v>Position 66</v>
      </c>
      <c r="C68" t="b">
        <f ca="1">COUNTIF(dict_zuord_Meth_Pos[ignored_help],table_Positions[[#This Row],[ID]])&gt;0</f>
        <v>0</v>
      </c>
      <c r="D68">
        <f t="shared" ca="1" si="1"/>
        <v>62</v>
      </c>
      <c r="E68">
        <f ca="1">table_Positions[[#This Row],[temp_lb]]+10+RANDBETWEEN(0,100)*RANDBETWEEN(0,10)-RANDBETWEEN(0,10)</f>
        <v>508</v>
      </c>
      <c r="F68" t="b">
        <f ca="1">COUNTIF(dict_zuord_Meth_Pos[ID_Positions], table_Positions[[#This Row],[ID]]) &gt; 0</f>
        <v>1</v>
      </c>
    </row>
    <row r="69" spans="1:6" x14ac:dyDescent="0.45">
      <c r="A69">
        <v>67</v>
      </c>
      <c r="B69" t="str">
        <f>CONCATENATE("Position ",table_Positions[[#This Row],[ID]])</f>
        <v>Position 67</v>
      </c>
      <c r="C69" t="b">
        <f ca="1">COUNTIF(dict_zuord_Meth_Pos[ignored_help],table_Positions[[#This Row],[ID]])&gt;0</f>
        <v>0</v>
      </c>
      <c r="D69">
        <f t="shared" ca="1" si="1"/>
        <v>3</v>
      </c>
      <c r="E69">
        <f ca="1">table_Positions[[#This Row],[temp_lb]]+10+RANDBETWEEN(0,100)*RANDBETWEEN(0,10)-RANDBETWEEN(0,10)</f>
        <v>3</v>
      </c>
      <c r="F69" t="b">
        <f ca="1">COUNTIF(dict_zuord_Meth_Pos[ID_Positions], table_Positions[[#This Row],[ID]]) &gt; 0</f>
        <v>1</v>
      </c>
    </row>
    <row r="70" spans="1:6" x14ac:dyDescent="0.45">
      <c r="A70">
        <v>68</v>
      </c>
      <c r="B70" t="str">
        <f>CONCATENATE("Position ",table_Positions[[#This Row],[ID]])</f>
        <v>Position 68</v>
      </c>
      <c r="C70" t="b">
        <f ca="1">COUNTIF(dict_zuord_Meth_Pos[ignored_help],table_Positions[[#This Row],[ID]])&gt;0</f>
        <v>0</v>
      </c>
      <c r="D70">
        <f t="shared" ca="1" si="1"/>
        <v>52</v>
      </c>
      <c r="E70">
        <f ca="1">table_Positions[[#This Row],[temp_lb]]+10+RANDBETWEEN(0,100)*RANDBETWEEN(0,10)-RANDBETWEEN(0,10)</f>
        <v>59</v>
      </c>
      <c r="F70" t="b">
        <f ca="1">COUNTIF(dict_zuord_Meth_Pos[ID_Positions], table_Positions[[#This Row],[ID]]) &gt; 0</f>
        <v>1</v>
      </c>
    </row>
    <row r="71" spans="1:6" x14ac:dyDescent="0.45">
      <c r="A71">
        <v>69</v>
      </c>
      <c r="B71" t="str">
        <f>CONCATENATE("Position ",table_Positions[[#This Row],[ID]])</f>
        <v>Position 69</v>
      </c>
      <c r="C71" t="b">
        <f ca="1">COUNTIF(dict_zuord_Meth_Pos[ignored_help],table_Positions[[#This Row],[ID]])&gt;0</f>
        <v>0</v>
      </c>
      <c r="D71">
        <f t="shared" ca="1" si="1"/>
        <v>60</v>
      </c>
      <c r="E71">
        <f ca="1">table_Positions[[#This Row],[temp_lb]]+10+RANDBETWEEN(0,100)*RANDBETWEEN(0,10)-RANDBETWEEN(0,10)</f>
        <v>181</v>
      </c>
      <c r="F71" t="b">
        <f ca="1">COUNTIF(dict_zuord_Meth_Pos[ID_Positions], table_Positions[[#This Row],[ID]]) &gt; 0</f>
        <v>1</v>
      </c>
    </row>
    <row r="72" spans="1:6" x14ac:dyDescent="0.45">
      <c r="A72">
        <v>70</v>
      </c>
      <c r="B72" t="str">
        <f>CONCATENATE("Position ",table_Positions[[#This Row],[ID]])</f>
        <v>Position 70</v>
      </c>
      <c r="C72" t="b">
        <f ca="1">COUNTIF(dict_zuord_Meth_Pos[ignored_help],table_Positions[[#This Row],[ID]])&gt;0</f>
        <v>0</v>
      </c>
      <c r="D72">
        <f t="shared" ca="1" si="1"/>
        <v>33</v>
      </c>
      <c r="E72">
        <f ca="1">table_Positions[[#This Row],[temp_lb]]+10+RANDBETWEEN(0,100)*RANDBETWEEN(0,10)-RANDBETWEEN(0,10)</f>
        <v>116</v>
      </c>
      <c r="F72" t="b">
        <f ca="1">COUNTIF(dict_zuord_Meth_Pos[ID_Positions], table_Positions[[#This Row],[ID]]) &gt; 0</f>
        <v>1</v>
      </c>
    </row>
    <row r="73" spans="1:6" x14ac:dyDescent="0.45">
      <c r="A73">
        <v>71</v>
      </c>
      <c r="B73" t="str">
        <f>CONCATENATE("Position ",table_Positions[[#This Row],[ID]])</f>
        <v>Position 71</v>
      </c>
      <c r="C73" t="b">
        <f ca="1">COUNTIF(dict_zuord_Meth_Pos[ignored_help],table_Positions[[#This Row],[ID]])&gt;0</f>
        <v>0</v>
      </c>
      <c r="D73">
        <f t="shared" ca="1" si="1"/>
        <v>41</v>
      </c>
      <c r="E73">
        <f ca="1">table_Positions[[#This Row],[temp_lb]]+10+RANDBETWEEN(0,100)*RANDBETWEEN(0,10)-RANDBETWEEN(0,10)</f>
        <v>207</v>
      </c>
      <c r="F73" t="b">
        <f ca="1">COUNTIF(dict_zuord_Meth_Pos[ID_Positions], table_Positions[[#This Row],[ID]]) &gt; 0</f>
        <v>1</v>
      </c>
    </row>
    <row r="74" spans="1:6" x14ac:dyDescent="0.45">
      <c r="A74">
        <v>72</v>
      </c>
      <c r="B74" t="str">
        <f>CONCATENATE("Position ",table_Positions[[#This Row],[ID]])</f>
        <v>Position 72</v>
      </c>
      <c r="C74" t="b">
        <f ca="1">COUNTIF(dict_zuord_Meth_Pos[ignored_help],table_Positions[[#This Row],[ID]])&gt;0</f>
        <v>0</v>
      </c>
      <c r="D74">
        <f t="shared" ca="1" si="1"/>
        <v>18</v>
      </c>
      <c r="E74">
        <f ca="1">table_Positions[[#This Row],[temp_lb]]+10+RANDBETWEEN(0,100)*RANDBETWEEN(0,10)-RANDBETWEEN(0,10)</f>
        <v>496</v>
      </c>
      <c r="F74" t="b">
        <f ca="1">COUNTIF(dict_zuord_Meth_Pos[ID_Positions], table_Positions[[#This Row],[ID]]) &gt; 0</f>
        <v>1</v>
      </c>
    </row>
    <row r="75" spans="1:6" x14ac:dyDescent="0.45">
      <c r="A75">
        <v>73</v>
      </c>
      <c r="B75" t="str">
        <f>CONCATENATE("Position ",table_Positions[[#This Row],[ID]])</f>
        <v>Position 73</v>
      </c>
      <c r="C75" t="b">
        <f ca="1">COUNTIF(dict_zuord_Meth_Pos[ignored_help],table_Positions[[#This Row],[ID]])&gt;0</f>
        <v>0</v>
      </c>
      <c r="D75">
        <f t="shared" ca="1" si="1"/>
        <v>61</v>
      </c>
      <c r="E75">
        <f ca="1">table_Positions[[#This Row],[temp_lb]]+10+RANDBETWEEN(0,100)*RANDBETWEEN(0,10)-RANDBETWEEN(0,10)</f>
        <v>389</v>
      </c>
      <c r="F75" t="b">
        <f ca="1">COUNTIF(dict_zuord_Meth_Pos[ID_Positions], table_Positions[[#This Row],[ID]]) &gt; 0</f>
        <v>1</v>
      </c>
    </row>
    <row r="76" spans="1:6" x14ac:dyDescent="0.45">
      <c r="A76">
        <v>74</v>
      </c>
      <c r="B76" t="str">
        <f>CONCATENATE("Position ",table_Positions[[#This Row],[ID]])</f>
        <v>Position 74</v>
      </c>
      <c r="C76" t="b">
        <f ca="1">COUNTIF(dict_zuord_Meth_Pos[ignored_help],table_Positions[[#This Row],[ID]])&gt;0</f>
        <v>0</v>
      </c>
      <c r="D76">
        <f t="shared" ca="1" si="1"/>
        <v>9</v>
      </c>
      <c r="E76">
        <f ca="1">table_Positions[[#This Row],[temp_lb]]+10+RANDBETWEEN(0,100)*RANDBETWEEN(0,10)-RANDBETWEEN(0,10)</f>
        <v>318</v>
      </c>
      <c r="F76" t="b">
        <f ca="1">COUNTIF(dict_zuord_Meth_Pos[ID_Positions], table_Positions[[#This Row],[ID]]) &gt; 0</f>
        <v>1</v>
      </c>
    </row>
    <row r="77" spans="1:6" x14ac:dyDescent="0.45">
      <c r="A77">
        <v>75</v>
      </c>
      <c r="B77" t="str">
        <f>CONCATENATE("Position ",table_Positions[[#This Row],[ID]])</f>
        <v>Position 75</v>
      </c>
      <c r="C77" t="b">
        <f ca="1">COUNTIF(dict_zuord_Meth_Pos[ignored_help],table_Positions[[#This Row],[ID]])&gt;0</f>
        <v>0</v>
      </c>
      <c r="D77">
        <f t="shared" ca="1" si="1"/>
        <v>72</v>
      </c>
      <c r="E77">
        <f ca="1">table_Positions[[#This Row],[temp_lb]]+10+RANDBETWEEN(0,100)*RANDBETWEEN(0,10)-RANDBETWEEN(0,10)</f>
        <v>301</v>
      </c>
      <c r="F77" t="b">
        <f ca="1">COUNTIF(dict_zuord_Meth_Pos[ID_Positions], table_Positions[[#This Row],[ID]]) &gt; 0</f>
        <v>1</v>
      </c>
    </row>
    <row r="78" spans="1:6" x14ac:dyDescent="0.45">
      <c r="A78">
        <v>76</v>
      </c>
      <c r="B78" t="str">
        <f>CONCATENATE("Position ",table_Positions[[#This Row],[ID]])</f>
        <v>Position 76</v>
      </c>
      <c r="C78" t="b">
        <f ca="1">COUNTIF(dict_zuord_Meth_Pos[ignored_help],table_Positions[[#This Row],[ID]])&gt;0</f>
        <v>0</v>
      </c>
      <c r="D78">
        <f t="shared" ca="1" si="1"/>
        <v>21</v>
      </c>
      <c r="E78">
        <f ca="1">table_Positions[[#This Row],[temp_lb]]+10+RANDBETWEEN(0,100)*RANDBETWEEN(0,10)-RANDBETWEEN(0,10)</f>
        <v>151</v>
      </c>
      <c r="F78" t="b">
        <f ca="1">COUNTIF(dict_zuord_Meth_Pos[ID_Positions], table_Positions[[#This Row],[ID]]) &gt; 0</f>
        <v>1</v>
      </c>
    </row>
    <row r="79" spans="1:6" x14ac:dyDescent="0.45">
      <c r="A79">
        <v>77</v>
      </c>
      <c r="B79" t="str">
        <f>CONCATENATE("Position ",table_Positions[[#This Row],[ID]])</f>
        <v>Position 77</v>
      </c>
      <c r="C79" t="b">
        <f ca="1">COUNTIF(dict_zuord_Meth_Pos[ignored_help],table_Positions[[#This Row],[ID]])&gt;0</f>
        <v>0</v>
      </c>
      <c r="D79">
        <f t="shared" ca="1" si="1"/>
        <v>27</v>
      </c>
      <c r="E79">
        <f ca="1">table_Positions[[#This Row],[temp_lb]]+10+RANDBETWEEN(0,100)*RANDBETWEEN(0,10)-RANDBETWEEN(0,10)</f>
        <v>163</v>
      </c>
      <c r="F79" t="b">
        <f ca="1">COUNTIF(dict_zuord_Meth_Pos[ID_Positions], table_Positions[[#This Row],[ID]]) &gt; 0</f>
        <v>1</v>
      </c>
    </row>
    <row r="80" spans="1:6" x14ac:dyDescent="0.45">
      <c r="A80">
        <v>78</v>
      </c>
      <c r="B80" t="str">
        <f>CONCATENATE("Position ",table_Positions[[#This Row],[ID]])</f>
        <v>Position 78</v>
      </c>
      <c r="C80" t="b">
        <f ca="1">COUNTIF(dict_zuord_Meth_Pos[ignored_help],table_Positions[[#This Row],[ID]])&gt;0</f>
        <v>0</v>
      </c>
      <c r="D80">
        <f t="shared" ca="1" si="1"/>
        <v>57</v>
      </c>
      <c r="E80">
        <f ca="1">table_Positions[[#This Row],[temp_lb]]+10+RANDBETWEEN(0,100)*RANDBETWEEN(0,10)-RANDBETWEEN(0,10)</f>
        <v>63</v>
      </c>
      <c r="F80" t="b">
        <f ca="1">COUNTIF(dict_zuord_Meth_Pos[ID_Positions], table_Positions[[#This Row],[ID]]) &gt; 0</f>
        <v>1</v>
      </c>
    </row>
    <row r="81" spans="1:6" x14ac:dyDescent="0.45">
      <c r="A81">
        <v>79</v>
      </c>
      <c r="B81" t="str">
        <f>CONCATENATE("Position ",table_Positions[[#This Row],[ID]])</f>
        <v>Position 79</v>
      </c>
      <c r="C81" t="b">
        <f ca="1">COUNTIF(dict_zuord_Meth_Pos[ignored_help],table_Positions[[#This Row],[ID]])&gt;0</f>
        <v>0</v>
      </c>
      <c r="D81">
        <f t="shared" ca="1" si="1"/>
        <v>21</v>
      </c>
      <c r="E81">
        <f ca="1">table_Positions[[#This Row],[temp_lb]]+10+RANDBETWEEN(0,100)*RANDBETWEEN(0,10)-RANDBETWEEN(0,10)</f>
        <v>1028</v>
      </c>
      <c r="F81" t="b">
        <f ca="1">COUNTIF(dict_zuord_Meth_Pos[ID_Positions], table_Positions[[#This Row],[ID]]) &gt; 0</f>
        <v>1</v>
      </c>
    </row>
    <row r="82" spans="1:6" x14ac:dyDescent="0.45">
      <c r="A82">
        <v>80</v>
      </c>
      <c r="B82" t="str">
        <f>CONCATENATE("Position ",table_Positions[[#This Row],[ID]])</f>
        <v>Position 80</v>
      </c>
      <c r="C82" t="b">
        <f ca="1">COUNTIF(dict_zuord_Meth_Pos[ignored_help],table_Positions[[#This Row],[ID]])&gt;0</f>
        <v>0</v>
      </c>
      <c r="D82">
        <f t="shared" ca="1" si="1"/>
        <v>48</v>
      </c>
      <c r="E82">
        <f ca="1">table_Positions[[#This Row],[temp_lb]]+10+RANDBETWEEN(0,100)*RANDBETWEEN(0,10)-RANDBETWEEN(0,10)</f>
        <v>138</v>
      </c>
      <c r="F82" t="b">
        <f ca="1">COUNTIF(dict_zuord_Meth_Pos[ID_Positions], table_Positions[[#This Row],[ID]]) &gt; 0</f>
        <v>1</v>
      </c>
    </row>
    <row r="83" spans="1:6" x14ac:dyDescent="0.45">
      <c r="A83">
        <v>81</v>
      </c>
      <c r="B83" t="str">
        <f>CONCATENATE("Position ",table_Positions[[#This Row],[ID]])</f>
        <v>Position 81</v>
      </c>
      <c r="C83" t="b">
        <f ca="1">COUNTIF(dict_zuord_Meth_Pos[ignored_help],table_Positions[[#This Row],[ID]])&gt;0</f>
        <v>0</v>
      </c>
      <c r="D83">
        <f t="shared" ca="1" si="1"/>
        <v>22</v>
      </c>
      <c r="E83">
        <f ca="1">table_Positions[[#This Row],[temp_lb]]+10+RANDBETWEEN(0,100)*RANDBETWEEN(0,10)-RANDBETWEEN(0,10)</f>
        <v>489</v>
      </c>
      <c r="F83" t="b">
        <f ca="1">COUNTIF(dict_zuord_Meth_Pos[ID_Positions], table_Positions[[#This Row],[ID]]) &gt; 0</f>
        <v>1</v>
      </c>
    </row>
    <row r="84" spans="1:6" x14ac:dyDescent="0.45">
      <c r="A84">
        <v>82</v>
      </c>
      <c r="B84" t="str">
        <f>CONCATENATE("Position ",table_Positions[[#This Row],[ID]])</f>
        <v>Position 82</v>
      </c>
      <c r="C84" t="b">
        <f ca="1">COUNTIF(dict_zuord_Meth_Pos[ignored_help],table_Positions[[#This Row],[ID]])&gt;0</f>
        <v>0</v>
      </c>
      <c r="D84">
        <f t="shared" ca="1" si="1"/>
        <v>41</v>
      </c>
      <c r="E84">
        <f ca="1">table_Positions[[#This Row],[temp_lb]]+10+RANDBETWEEN(0,100)*RANDBETWEEN(0,10)-RANDBETWEEN(0,10)</f>
        <v>46</v>
      </c>
      <c r="F84" t="b">
        <f ca="1">COUNTIF(dict_zuord_Meth_Pos[ID_Positions], table_Positions[[#This Row],[ID]]) &gt; 0</f>
        <v>1</v>
      </c>
    </row>
    <row r="85" spans="1:6" x14ac:dyDescent="0.45">
      <c r="A85">
        <v>83</v>
      </c>
      <c r="B85" t="str">
        <f>CONCATENATE("Position ",table_Positions[[#This Row],[ID]])</f>
        <v>Position 83</v>
      </c>
      <c r="C85" t="b">
        <f ca="1">COUNTIF(dict_zuord_Meth_Pos[ignored_help],table_Positions[[#This Row],[ID]])&gt;0</f>
        <v>0</v>
      </c>
      <c r="D85">
        <f t="shared" ca="1" si="1"/>
        <v>47</v>
      </c>
      <c r="E85">
        <f ca="1">table_Positions[[#This Row],[temp_lb]]+10+RANDBETWEEN(0,100)*RANDBETWEEN(0,10)-RANDBETWEEN(0,10)</f>
        <v>147</v>
      </c>
      <c r="F85" t="b">
        <f ca="1">COUNTIF(dict_zuord_Meth_Pos[ID_Positions], table_Positions[[#This Row],[ID]]) &gt; 0</f>
        <v>1</v>
      </c>
    </row>
    <row r="86" spans="1:6" x14ac:dyDescent="0.45">
      <c r="A86">
        <v>84</v>
      </c>
      <c r="B86" t="str">
        <f>CONCATENATE("Position ",table_Positions[[#This Row],[ID]])</f>
        <v>Position 84</v>
      </c>
      <c r="C86" t="b">
        <f ca="1">COUNTIF(dict_zuord_Meth_Pos[ignored_help],table_Positions[[#This Row],[ID]])&gt;0</f>
        <v>0</v>
      </c>
      <c r="D86">
        <f t="shared" ca="1" si="1"/>
        <v>57</v>
      </c>
      <c r="E86">
        <f ca="1">table_Positions[[#This Row],[temp_lb]]+10+RANDBETWEEN(0,100)*RANDBETWEEN(0,10)-RANDBETWEEN(0,10)</f>
        <v>117</v>
      </c>
      <c r="F86" t="b">
        <f ca="1">COUNTIF(dict_zuord_Meth_Pos[ID_Positions], table_Positions[[#This Row],[ID]]) &gt; 0</f>
        <v>1</v>
      </c>
    </row>
    <row r="87" spans="1:6" x14ac:dyDescent="0.45">
      <c r="A87">
        <v>85</v>
      </c>
      <c r="B87" t="str">
        <f>CONCATENATE("Position ",table_Positions[[#This Row],[ID]])</f>
        <v>Position 85</v>
      </c>
      <c r="C87" t="b">
        <f ca="1">COUNTIF(dict_zuord_Meth_Pos[ignored_help],table_Positions[[#This Row],[ID]])&gt;0</f>
        <v>0</v>
      </c>
      <c r="D87">
        <f t="shared" ca="1" si="1"/>
        <v>34</v>
      </c>
      <c r="E87">
        <f ca="1">table_Positions[[#This Row],[temp_lb]]+10+RANDBETWEEN(0,100)*RANDBETWEEN(0,10)-RANDBETWEEN(0,10)</f>
        <v>673</v>
      </c>
      <c r="F87" t="b">
        <f ca="1">COUNTIF(dict_zuord_Meth_Pos[ID_Positions], table_Positions[[#This Row],[ID]]) &gt; 0</f>
        <v>1</v>
      </c>
    </row>
    <row r="88" spans="1:6" x14ac:dyDescent="0.45">
      <c r="A88">
        <v>86</v>
      </c>
      <c r="B88" t="str">
        <f>CONCATENATE("Position ",table_Positions[[#This Row],[ID]])</f>
        <v>Position 86</v>
      </c>
      <c r="C88" t="b">
        <f ca="1">COUNTIF(dict_zuord_Meth_Pos[ignored_help],table_Positions[[#This Row],[ID]])&gt;0</f>
        <v>0</v>
      </c>
      <c r="D88">
        <f t="shared" ca="1" si="1"/>
        <v>19</v>
      </c>
      <c r="E88">
        <f ca="1">table_Positions[[#This Row],[temp_lb]]+10+RANDBETWEEN(0,100)*RANDBETWEEN(0,10)-RANDBETWEEN(0,10)</f>
        <v>747</v>
      </c>
      <c r="F88" t="b">
        <f ca="1">COUNTIF(dict_zuord_Meth_Pos[ID_Positions], table_Positions[[#This Row],[ID]]) &gt; 0</f>
        <v>1</v>
      </c>
    </row>
    <row r="89" spans="1:6" x14ac:dyDescent="0.45">
      <c r="A89">
        <v>87</v>
      </c>
      <c r="B89" t="str">
        <f>CONCATENATE("Position ",table_Positions[[#This Row],[ID]])</f>
        <v>Position 87</v>
      </c>
      <c r="C89" t="b">
        <f ca="1">COUNTIF(dict_zuord_Meth_Pos[ignored_help],table_Positions[[#This Row],[ID]])&gt;0</f>
        <v>0</v>
      </c>
      <c r="D89">
        <f t="shared" ca="1" si="1"/>
        <v>58</v>
      </c>
      <c r="E89">
        <f ca="1">table_Positions[[#This Row],[temp_lb]]+10+RANDBETWEEN(0,100)*RANDBETWEEN(0,10)-RANDBETWEEN(0,10)</f>
        <v>567</v>
      </c>
      <c r="F89" t="b">
        <f ca="1">COUNTIF(dict_zuord_Meth_Pos[ID_Positions], table_Positions[[#This Row],[ID]]) &gt; 0</f>
        <v>1</v>
      </c>
    </row>
    <row r="90" spans="1:6" x14ac:dyDescent="0.45">
      <c r="A90">
        <v>88</v>
      </c>
      <c r="B90" t="str">
        <f>CONCATENATE("Position ",table_Positions[[#This Row],[ID]])</f>
        <v>Position 88</v>
      </c>
      <c r="C90" t="b">
        <f ca="1">COUNTIF(dict_zuord_Meth_Pos[ignored_help],table_Positions[[#This Row],[ID]])&gt;0</f>
        <v>0</v>
      </c>
      <c r="D90">
        <f t="shared" ca="1" si="1"/>
        <v>28</v>
      </c>
      <c r="E90">
        <f ca="1">table_Positions[[#This Row],[temp_lb]]+10+RANDBETWEEN(0,100)*RANDBETWEEN(0,10)-RANDBETWEEN(0,10)</f>
        <v>36</v>
      </c>
      <c r="F90" t="b">
        <f ca="1">COUNTIF(dict_zuord_Meth_Pos[ID_Positions], table_Positions[[#This Row],[ID]]) &gt; 0</f>
        <v>1</v>
      </c>
    </row>
    <row r="91" spans="1:6" x14ac:dyDescent="0.45">
      <c r="A91">
        <v>89</v>
      </c>
      <c r="B91" t="str">
        <f>CONCATENATE("Position ",table_Positions[[#This Row],[ID]])</f>
        <v>Position 89</v>
      </c>
      <c r="C91" t="b">
        <f ca="1">COUNTIF(dict_zuord_Meth_Pos[ignored_help],table_Positions[[#This Row],[ID]])&gt;0</f>
        <v>0</v>
      </c>
      <c r="D91">
        <f t="shared" ca="1" si="1"/>
        <v>4</v>
      </c>
      <c r="E91">
        <f ca="1">table_Positions[[#This Row],[temp_lb]]+10+RANDBETWEEN(0,100)*RANDBETWEEN(0,10)-RANDBETWEEN(0,10)</f>
        <v>280</v>
      </c>
      <c r="F91" t="b">
        <f ca="1">COUNTIF(dict_zuord_Meth_Pos[ID_Positions], table_Positions[[#This Row],[ID]]) &gt; 0</f>
        <v>1</v>
      </c>
    </row>
    <row r="92" spans="1:6" x14ac:dyDescent="0.45">
      <c r="A92">
        <v>90</v>
      </c>
      <c r="B92" t="str">
        <f>CONCATENATE("Position ",table_Positions[[#This Row],[ID]])</f>
        <v>Position 90</v>
      </c>
      <c r="C92" t="b">
        <f ca="1">COUNTIF(dict_zuord_Meth_Pos[ignored_help],table_Positions[[#This Row],[ID]])&gt;0</f>
        <v>0</v>
      </c>
      <c r="D92">
        <f t="shared" ca="1" si="1"/>
        <v>12</v>
      </c>
      <c r="E92">
        <f ca="1">table_Positions[[#This Row],[temp_lb]]+10+RANDBETWEEN(0,100)*RANDBETWEEN(0,10)-RANDBETWEEN(0,10)</f>
        <v>143</v>
      </c>
      <c r="F92" t="b">
        <f ca="1">COUNTIF(dict_zuord_Meth_Pos[ID_Positions], table_Positions[[#This Row],[ID]]) &gt; 0</f>
        <v>1</v>
      </c>
    </row>
    <row r="93" spans="1:6" x14ac:dyDescent="0.45">
      <c r="A93">
        <v>91</v>
      </c>
      <c r="B93" t="str">
        <f>CONCATENATE("Position ",table_Positions[[#This Row],[ID]])</f>
        <v>Position 91</v>
      </c>
      <c r="C93" t="b">
        <f ca="1">COUNTIF(dict_zuord_Meth_Pos[ignored_help],table_Positions[[#This Row],[ID]])&gt;0</f>
        <v>0</v>
      </c>
      <c r="D93">
        <f t="shared" ca="1" si="1"/>
        <v>102</v>
      </c>
      <c r="E93">
        <f ca="1">table_Positions[[#This Row],[temp_lb]]+10+RANDBETWEEN(0,100)*RANDBETWEEN(0,10)-RANDBETWEEN(0,10)</f>
        <v>218</v>
      </c>
      <c r="F93" t="b">
        <f ca="1">COUNTIF(dict_zuord_Meth_Pos[ID_Positions], table_Positions[[#This Row],[ID]]) &gt; 0</f>
        <v>1</v>
      </c>
    </row>
    <row r="94" spans="1:6" x14ac:dyDescent="0.45">
      <c r="A94">
        <v>92</v>
      </c>
      <c r="B94" t="str">
        <f>CONCATENATE("Position ",table_Positions[[#This Row],[ID]])</f>
        <v>Position 92</v>
      </c>
      <c r="C94" t="b">
        <f ca="1">COUNTIF(dict_zuord_Meth_Pos[ignored_help],table_Positions[[#This Row],[ID]])&gt;0</f>
        <v>0</v>
      </c>
      <c r="D94">
        <f t="shared" ca="1" si="1"/>
        <v>23</v>
      </c>
      <c r="E94">
        <f ca="1">table_Positions[[#This Row],[temp_lb]]+10+RANDBETWEEN(0,100)*RANDBETWEEN(0,10)-RANDBETWEEN(0,10)</f>
        <v>313</v>
      </c>
      <c r="F94" t="b">
        <f ca="1">COUNTIF(dict_zuord_Meth_Pos[ID_Positions], table_Positions[[#This Row],[ID]]) &gt; 0</f>
        <v>1</v>
      </c>
    </row>
    <row r="95" spans="1:6" x14ac:dyDescent="0.45">
      <c r="A95">
        <v>93</v>
      </c>
      <c r="B95" t="str">
        <f>CONCATENATE("Position ",table_Positions[[#This Row],[ID]])</f>
        <v>Position 93</v>
      </c>
      <c r="C95" t="b">
        <f ca="1">COUNTIF(dict_zuord_Meth_Pos[ignored_help],table_Positions[[#This Row],[ID]])&gt;0</f>
        <v>0</v>
      </c>
      <c r="D95">
        <f t="shared" ca="1" si="1"/>
        <v>18</v>
      </c>
      <c r="E95">
        <f ca="1">table_Positions[[#This Row],[temp_lb]]+10+RANDBETWEEN(0,100)*RANDBETWEEN(0,10)-RANDBETWEEN(0,10)</f>
        <v>403</v>
      </c>
      <c r="F95" t="b">
        <f ca="1">COUNTIF(dict_zuord_Meth_Pos[ID_Positions], table_Positions[[#This Row],[ID]]) &gt; 0</f>
        <v>1</v>
      </c>
    </row>
    <row r="96" spans="1:6" x14ac:dyDescent="0.45">
      <c r="A96">
        <v>94</v>
      </c>
      <c r="B96" t="str">
        <f>CONCATENATE("Position ",table_Positions[[#This Row],[ID]])</f>
        <v>Position 94</v>
      </c>
      <c r="C96" t="b">
        <f ca="1">COUNTIF(dict_zuord_Meth_Pos[ignored_help],table_Positions[[#This Row],[ID]])&gt;0</f>
        <v>0</v>
      </c>
      <c r="D96">
        <f t="shared" ca="1" si="1"/>
        <v>84</v>
      </c>
      <c r="E96">
        <f ca="1">table_Positions[[#This Row],[temp_lb]]+10+RANDBETWEEN(0,100)*RANDBETWEEN(0,10)-RANDBETWEEN(0,10)</f>
        <v>162</v>
      </c>
      <c r="F96" t="b">
        <f ca="1">COUNTIF(dict_zuord_Meth_Pos[ID_Positions], table_Positions[[#This Row],[ID]]) &gt; 0</f>
        <v>1</v>
      </c>
    </row>
    <row r="97" spans="1:6" x14ac:dyDescent="0.45">
      <c r="A97">
        <v>95</v>
      </c>
      <c r="B97" t="str">
        <f>CONCATENATE("Position ",table_Positions[[#This Row],[ID]])</f>
        <v>Position 95</v>
      </c>
      <c r="C97" t="b">
        <f ca="1">COUNTIF(dict_zuord_Meth_Pos[ignored_help],table_Positions[[#This Row],[ID]])&gt;0</f>
        <v>0</v>
      </c>
      <c r="D97">
        <f t="shared" ca="1" si="1"/>
        <v>26</v>
      </c>
      <c r="E97">
        <f ca="1">table_Positions[[#This Row],[temp_lb]]+10+RANDBETWEEN(0,100)*RANDBETWEEN(0,10)-RANDBETWEEN(0,10)</f>
        <v>798</v>
      </c>
      <c r="F97" t="b">
        <f ca="1">COUNTIF(dict_zuord_Meth_Pos[ID_Positions], table_Positions[[#This Row],[ID]]) &gt; 0</f>
        <v>1</v>
      </c>
    </row>
    <row r="98" spans="1:6" x14ac:dyDescent="0.45">
      <c r="A98">
        <v>96</v>
      </c>
      <c r="B98" t="str">
        <f>CONCATENATE("Position ",table_Positions[[#This Row],[ID]])</f>
        <v>Position 96</v>
      </c>
      <c r="C98" t="b">
        <f ca="1">COUNTIF(dict_zuord_Meth_Pos[ignored_help],table_Positions[[#This Row],[ID]])&gt;0</f>
        <v>0</v>
      </c>
      <c r="D98">
        <f t="shared" ca="1" si="1"/>
        <v>39</v>
      </c>
      <c r="E98">
        <f ca="1">table_Positions[[#This Row],[temp_lb]]+10+RANDBETWEEN(0,100)*RANDBETWEEN(0,10)-RANDBETWEEN(0,10)</f>
        <v>546</v>
      </c>
      <c r="F98" t="b">
        <f ca="1">COUNTIF(dict_zuord_Meth_Pos[ID_Positions], table_Positions[[#This Row],[ID]]) &gt; 0</f>
        <v>1</v>
      </c>
    </row>
    <row r="99" spans="1:6" x14ac:dyDescent="0.45">
      <c r="A99">
        <v>97</v>
      </c>
      <c r="B99" t="str">
        <f>CONCATENATE("Position ",table_Positions[[#This Row],[ID]])</f>
        <v>Position 97</v>
      </c>
      <c r="C99" t="b">
        <f ca="1">COUNTIF(dict_zuord_Meth_Pos[ignored_help],table_Positions[[#This Row],[ID]])&gt;0</f>
        <v>0</v>
      </c>
      <c r="D99">
        <f t="shared" ca="1" si="1"/>
        <v>45</v>
      </c>
      <c r="E99">
        <f ca="1">table_Positions[[#This Row],[temp_lb]]+10+RANDBETWEEN(0,100)*RANDBETWEEN(0,10)-RANDBETWEEN(0,10)</f>
        <v>111</v>
      </c>
      <c r="F99" t="b">
        <f ca="1">COUNTIF(dict_zuord_Meth_Pos[ID_Positions], table_Positions[[#This Row],[ID]]) &gt; 0</f>
        <v>1</v>
      </c>
    </row>
    <row r="100" spans="1:6" x14ac:dyDescent="0.45">
      <c r="A100">
        <v>98</v>
      </c>
      <c r="B100" t="str">
        <f>CONCATENATE("Position ",table_Positions[[#This Row],[ID]])</f>
        <v>Position 98</v>
      </c>
      <c r="C100" t="b">
        <f ca="1">COUNTIF(dict_zuord_Meth_Pos[ignored_help],table_Positions[[#This Row],[ID]])&gt;0</f>
        <v>0</v>
      </c>
      <c r="D100">
        <f t="shared" ca="1" si="1"/>
        <v>18</v>
      </c>
      <c r="E100">
        <f ca="1">table_Positions[[#This Row],[temp_lb]]+10+RANDBETWEEN(0,100)*RANDBETWEEN(0,10)-RANDBETWEEN(0,10)</f>
        <v>389</v>
      </c>
      <c r="F100" t="b">
        <f ca="1">COUNTIF(dict_zuord_Meth_Pos[ID_Positions], table_Positions[[#This Row],[ID]]) &gt; 0</f>
        <v>1</v>
      </c>
    </row>
    <row r="101" spans="1:6" x14ac:dyDescent="0.45">
      <c r="A101">
        <v>99</v>
      </c>
      <c r="B101" t="str">
        <f>CONCATENATE("Position ",table_Positions[[#This Row],[ID]])</f>
        <v>Position 99</v>
      </c>
      <c r="C101" t="b">
        <f ca="1">COUNTIF(dict_zuord_Meth_Pos[ignored_help],table_Positions[[#This Row],[ID]])&gt;0</f>
        <v>0</v>
      </c>
      <c r="D101">
        <f t="shared" ca="1" si="1"/>
        <v>40</v>
      </c>
      <c r="E101">
        <f ca="1">table_Positions[[#This Row],[temp_lb]]+10+RANDBETWEEN(0,100)*RANDBETWEEN(0,10)-RANDBETWEEN(0,10)</f>
        <v>66</v>
      </c>
      <c r="F101" t="b">
        <f ca="1">COUNTIF(dict_zuord_Meth_Pos[ID_Positions], table_Positions[[#This Row],[ID]]) &gt; 0</f>
        <v>1</v>
      </c>
    </row>
    <row r="102" spans="1:6" x14ac:dyDescent="0.45">
      <c r="A102">
        <v>100</v>
      </c>
      <c r="B102" t="str">
        <f>CONCATENATE("Position ",table_Positions[[#This Row],[ID]])</f>
        <v>Position 100</v>
      </c>
      <c r="C102" t="b">
        <f ca="1">COUNTIF(dict_zuord_Meth_Pos[ignored_help],table_Positions[[#This Row],[ID]])&gt;0</f>
        <v>0</v>
      </c>
      <c r="D102">
        <f t="shared" ca="1" si="1"/>
        <v>33</v>
      </c>
      <c r="E102">
        <f ca="1">table_Positions[[#This Row],[temp_lb]]+10+RANDBETWEEN(0,100)*RANDBETWEEN(0,10)-RANDBETWEEN(0,10)</f>
        <v>382</v>
      </c>
      <c r="F102" t="b">
        <f ca="1">COUNTIF(dict_zuord_Meth_Pos[ID_Positions], table_Positions[[#This Row],[ID]]) &gt; 0</f>
        <v>1</v>
      </c>
    </row>
    <row r="103" spans="1:6" x14ac:dyDescent="0.45">
      <c r="A103">
        <v>101</v>
      </c>
      <c r="B103" t="str">
        <f>CONCATENATE("Position ",table_Positions[[#This Row],[ID]])</f>
        <v>Position 101</v>
      </c>
      <c r="C103" t="b">
        <f ca="1">COUNTIF(dict_zuord_Meth_Pos[ignored_help],table_Positions[[#This Row],[ID]])&gt;0</f>
        <v>0</v>
      </c>
      <c r="D103">
        <f t="shared" ca="1" si="1"/>
        <v>53</v>
      </c>
      <c r="E103">
        <f ca="1">table_Positions[[#This Row],[temp_lb]]+10+RANDBETWEEN(0,100)*RANDBETWEEN(0,10)-RANDBETWEEN(0,10)</f>
        <v>93</v>
      </c>
      <c r="F103" t="b">
        <f ca="1">COUNTIF(dict_zuord_Meth_Pos[ID_Positions], table_Positions[[#This Row],[ID]]) &gt; 0</f>
        <v>1</v>
      </c>
    </row>
    <row r="104" spans="1:6" x14ac:dyDescent="0.45">
      <c r="A104">
        <v>102</v>
      </c>
      <c r="B104" t="str">
        <f>CONCATENATE("Position ",table_Positions[[#This Row],[ID]])</f>
        <v>Position 102</v>
      </c>
      <c r="C104" t="b">
        <f ca="1">COUNTIF(dict_zuord_Meth_Pos[ignored_help],table_Positions[[#This Row],[ID]])&gt;0</f>
        <v>0</v>
      </c>
      <c r="D104">
        <f t="shared" ca="1" si="1"/>
        <v>25</v>
      </c>
      <c r="E104">
        <f ca="1">table_Positions[[#This Row],[temp_lb]]+10+RANDBETWEEN(0,100)*RANDBETWEEN(0,10)-RANDBETWEEN(0,10)</f>
        <v>367</v>
      </c>
      <c r="F104" t="b">
        <f ca="1">COUNTIF(dict_zuord_Meth_Pos[ID_Positions], table_Positions[[#This Row],[ID]]) &gt; 0</f>
        <v>1</v>
      </c>
    </row>
    <row r="105" spans="1:6" x14ac:dyDescent="0.45">
      <c r="A105">
        <v>103</v>
      </c>
      <c r="B105" t="str">
        <f>CONCATENATE("Position ",table_Positions[[#This Row],[ID]])</f>
        <v>Position 103</v>
      </c>
      <c r="C105" t="b">
        <f ca="1">COUNTIF(dict_zuord_Meth_Pos[ignored_help],table_Positions[[#This Row],[ID]])&gt;0</f>
        <v>0</v>
      </c>
      <c r="D105">
        <f t="shared" ca="1" si="1"/>
        <v>5</v>
      </c>
      <c r="E105">
        <f ca="1">table_Positions[[#This Row],[temp_lb]]+10+RANDBETWEEN(0,100)*RANDBETWEEN(0,10)-RANDBETWEEN(0,10)</f>
        <v>145</v>
      </c>
      <c r="F105" t="b">
        <f ca="1">COUNTIF(dict_zuord_Meth_Pos[ID_Positions], table_Positions[[#This Row],[ID]]) &gt; 0</f>
        <v>1</v>
      </c>
    </row>
    <row r="106" spans="1:6" x14ac:dyDescent="0.45">
      <c r="A106">
        <v>104</v>
      </c>
      <c r="B106" t="str">
        <f>CONCATENATE("Position ",table_Positions[[#This Row],[ID]])</f>
        <v>Position 104</v>
      </c>
      <c r="C106" t="b">
        <f ca="1">COUNTIF(dict_zuord_Meth_Pos[ignored_help],table_Positions[[#This Row],[ID]])&gt;0</f>
        <v>0</v>
      </c>
      <c r="D106">
        <f t="shared" ca="1" si="1"/>
        <v>19</v>
      </c>
      <c r="E106">
        <f ca="1">table_Positions[[#This Row],[temp_lb]]+10+RANDBETWEEN(0,100)*RANDBETWEEN(0,10)-RANDBETWEEN(0,10)</f>
        <v>320</v>
      </c>
      <c r="F106" t="b">
        <f ca="1">COUNTIF(dict_zuord_Meth_Pos[ID_Positions], table_Positions[[#This Row],[ID]]) &gt; 0</f>
        <v>1</v>
      </c>
    </row>
    <row r="107" spans="1:6" x14ac:dyDescent="0.45">
      <c r="A107">
        <v>105</v>
      </c>
      <c r="B107" t="str">
        <f>CONCATENATE("Position ",table_Positions[[#This Row],[ID]])</f>
        <v>Position 105</v>
      </c>
      <c r="C107" t="b">
        <f ca="1">COUNTIF(dict_zuord_Meth_Pos[ignored_help],table_Positions[[#This Row],[ID]])&gt;0</f>
        <v>0</v>
      </c>
      <c r="D107">
        <f t="shared" ca="1" si="1"/>
        <v>11</v>
      </c>
      <c r="E107">
        <f ca="1">table_Positions[[#This Row],[temp_lb]]+10+RANDBETWEEN(0,100)*RANDBETWEEN(0,10)-RANDBETWEEN(0,10)</f>
        <v>91</v>
      </c>
      <c r="F107" t="b">
        <f ca="1">COUNTIF(dict_zuord_Meth_Pos[ID_Positions], table_Positions[[#This Row],[ID]]) &gt; 0</f>
        <v>1</v>
      </c>
    </row>
    <row r="108" spans="1:6" x14ac:dyDescent="0.45">
      <c r="A108">
        <v>106</v>
      </c>
      <c r="B108" t="str">
        <f>CONCATENATE("Position ",table_Positions[[#This Row],[ID]])</f>
        <v>Position 106</v>
      </c>
      <c r="C108" t="b">
        <f ca="1">COUNTIF(dict_zuord_Meth_Pos[ignored_help],table_Positions[[#This Row],[ID]])&gt;0</f>
        <v>0</v>
      </c>
      <c r="D108">
        <f t="shared" ca="1" si="1"/>
        <v>32</v>
      </c>
      <c r="E108">
        <f ca="1">table_Positions[[#This Row],[temp_lb]]+10+RANDBETWEEN(0,100)*RANDBETWEEN(0,10)-RANDBETWEEN(0,10)</f>
        <v>447</v>
      </c>
      <c r="F108" t="b">
        <f ca="1">COUNTIF(dict_zuord_Meth_Pos[ID_Positions], table_Positions[[#This Row],[ID]]) &gt; 0</f>
        <v>1</v>
      </c>
    </row>
    <row r="109" spans="1:6" x14ac:dyDescent="0.45">
      <c r="A109">
        <v>107</v>
      </c>
      <c r="B109" t="str">
        <f>CONCATENATE("Position ",table_Positions[[#This Row],[ID]])</f>
        <v>Position 107</v>
      </c>
      <c r="C109" t="b">
        <f ca="1">COUNTIF(dict_zuord_Meth_Pos[ignored_help],table_Positions[[#This Row],[ID]])&gt;0</f>
        <v>0</v>
      </c>
      <c r="D109">
        <f t="shared" ca="1" si="1"/>
        <v>15</v>
      </c>
      <c r="E109">
        <f ca="1">table_Positions[[#This Row],[temp_lb]]+10+RANDBETWEEN(0,100)*RANDBETWEEN(0,10)-RANDBETWEEN(0,10)</f>
        <v>63</v>
      </c>
      <c r="F109" t="b">
        <f ca="1">COUNTIF(dict_zuord_Meth_Pos[ID_Positions], table_Positions[[#This Row],[ID]]) &gt; 0</f>
        <v>1</v>
      </c>
    </row>
    <row r="110" spans="1:6" x14ac:dyDescent="0.45">
      <c r="A110">
        <v>108</v>
      </c>
      <c r="B110" t="str">
        <f>CONCATENATE("Position ",table_Positions[[#This Row],[ID]])</f>
        <v>Position 108</v>
      </c>
      <c r="C110" t="b">
        <f ca="1">COUNTIF(dict_zuord_Meth_Pos[ignored_help],table_Positions[[#This Row],[ID]])&gt;0</f>
        <v>0</v>
      </c>
      <c r="D110">
        <f t="shared" ca="1" si="1"/>
        <v>12</v>
      </c>
      <c r="E110">
        <f ca="1">table_Positions[[#This Row],[temp_lb]]+10+RANDBETWEEN(0,100)*RANDBETWEEN(0,10)-RANDBETWEEN(0,10)</f>
        <v>155</v>
      </c>
      <c r="F110" t="b">
        <f ca="1">COUNTIF(dict_zuord_Meth_Pos[ID_Positions], table_Positions[[#This Row],[ID]]) &gt; 0</f>
        <v>1</v>
      </c>
    </row>
    <row r="111" spans="1:6" x14ac:dyDescent="0.45">
      <c r="A111">
        <v>109</v>
      </c>
      <c r="B111" t="str">
        <f>CONCATENATE("Position ",table_Positions[[#This Row],[ID]])</f>
        <v>Position 109</v>
      </c>
      <c r="C111" t="b">
        <f ca="1">COUNTIF(dict_zuord_Meth_Pos[ignored_help],table_Positions[[#This Row],[ID]])&gt;0</f>
        <v>0</v>
      </c>
      <c r="D111">
        <f t="shared" ca="1" si="1"/>
        <v>13</v>
      </c>
      <c r="E111">
        <f ca="1">table_Positions[[#This Row],[temp_lb]]+10+RANDBETWEEN(0,100)*RANDBETWEEN(0,10)-RANDBETWEEN(0,10)</f>
        <v>148</v>
      </c>
      <c r="F111" t="b">
        <f ca="1">COUNTIF(dict_zuord_Meth_Pos[ID_Positions], table_Positions[[#This Row],[ID]]) &gt; 0</f>
        <v>1</v>
      </c>
    </row>
    <row r="112" spans="1:6" x14ac:dyDescent="0.45">
      <c r="A112">
        <v>110</v>
      </c>
      <c r="B112" t="str">
        <f>CONCATENATE("Position ",table_Positions[[#This Row],[ID]])</f>
        <v>Position 110</v>
      </c>
      <c r="C112" t="b">
        <f ca="1">COUNTIF(dict_zuord_Meth_Pos[ignored_help],table_Positions[[#This Row],[ID]])&gt;0</f>
        <v>0</v>
      </c>
      <c r="D112">
        <f t="shared" ca="1" si="1"/>
        <v>59</v>
      </c>
      <c r="E112">
        <f ca="1">table_Positions[[#This Row],[temp_lb]]+10+RANDBETWEEN(0,100)*RANDBETWEEN(0,10)-RANDBETWEEN(0,10)</f>
        <v>682</v>
      </c>
      <c r="F112" t="b">
        <f ca="1">COUNTIF(dict_zuord_Meth_Pos[ID_Positions], table_Positions[[#This Row],[ID]]) &gt; 0</f>
        <v>1</v>
      </c>
    </row>
    <row r="113" spans="1:6" x14ac:dyDescent="0.45">
      <c r="A113">
        <v>111</v>
      </c>
      <c r="B113" t="str">
        <f>CONCATENATE("Position ",table_Positions[[#This Row],[ID]])</f>
        <v>Position 111</v>
      </c>
      <c r="C113" t="b">
        <f ca="1">COUNTIF(dict_zuord_Meth_Pos[ignored_help],table_Positions[[#This Row],[ID]])&gt;0</f>
        <v>0</v>
      </c>
      <c r="D113">
        <f t="shared" ca="1" si="1"/>
        <v>47</v>
      </c>
      <c r="E113">
        <f ca="1">table_Positions[[#This Row],[temp_lb]]+10+RANDBETWEEN(0,100)*RANDBETWEEN(0,10)-RANDBETWEEN(0,10)</f>
        <v>50</v>
      </c>
      <c r="F113" t="b">
        <f ca="1">COUNTIF(dict_zuord_Meth_Pos[ID_Positions], table_Positions[[#This Row],[ID]]) &gt; 0</f>
        <v>1</v>
      </c>
    </row>
    <row r="114" spans="1:6" x14ac:dyDescent="0.45">
      <c r="A114">
        <v>112</v>
      </c>
      <c r="B114" t="str">
        <f>CONCATENATE("Position ",table_Positions[[#This Row],[ID]])</f>
        <v>Position 112</v>
      </c>
      <c r="C114" t="b">
        <f ca="1">COUNTIF(dict_zuord_Meth_Pos[ignored_help],table_Positions[[#This Row],[ID]])&gt;0</f>
        <v>0</v>
      </c>
      <c r="D114">
        <f t="shared" ca="1" si="1"/>
        <v>39</v>
      </c>
      <c r="E114">
        <f ca="1">table_Positions[[#This Row],[temp_lb]]+10+RANDBETWEEN(0,100)*RANDBETWEEN(0,10)-RANDBETWEEN(0,10)</f>
        <v>113</v>
      </c>
      <c r="F114" t="b">
        <f ca="1">COUNTIF(dict_zuord_Meth_Pos[ID_Positions], table_Positions[[#This Row],[ID]]) &gt; 0</f>
        <v>1</v>
      </c>
    </row>
    <row r="115" spans="1:6" x14ac:dyDescent="0.45">
      <c r="A115">
        <v>113</v>
      </c>
      <c r="B115" t="str">
        <f>CONCATENATE("Position ",table_Positions[[#This Row],[ID]])</f>
        <v>Position 113</v>
      </c>
      <c r="C115" t="b">
        <f ca="1">COUNTIF(dict_zuord_Meth_Pos[ignored_help],table_Positions[[#This Row],[ID]])&gt;0</f>
        <v>0</v>
      </c>
      <c r="D115">
        <f t="shared" ca="1" si="1"/>
        <v>91</v>
      </c>
      <c r="E115">
        <f ca="1">table_Positions[[#This Row],[temp_lb]]+10+RANDBETWEEN(0,100)*RANDBETWEEN(0,10)-RANDBETWEEN(0,10)</f>
        <v>170</v>
      </c>
      <c r="F115" t="b">
        <f ca="1">COUNTIF(dict_zuord_Meth_Pos[ID_Positions], table_Positions[[#This Row],[ID]]) &gt; 0</f>
        <v>1</v>
      </c>
    </row>
    <row r="116" spans="1:6" x14ac:dyDescent="0.45">
      <c r="A116">
        <v>114</v>
      </c>
      <c r="B116" t="str">
        <f>CONCATENATE("Position ",table_Positions[[#This Row],[ID]])</f>
        <v>Position 114</v>
      </c>
      <c r="C116" t="b">
        <f ca="1">COUNTIF(dict_zuord_Meth_Pos[ignored_help],table_Positions[[#This Row],[ID]])&gt;0</f>
        <v>0</v>
      </c>
      <c r="D116">
        <f t="shared" ca="1" si="1"/>
        <v>23</v>
      </c>
      <c r="E116">
        <f ca="1">table_Positions[[#This Row],[temp_lb]]+10+RANDBETWEEN(0,100)*RANDBETWEEN(0,10)-RANDBETWEEN(0,10)</f>
        <v>324</v>
      </c>
      <c r="F116" t="b">
        <f ca="1">COUNTIF(dict_zuord_Meth_Pos[ID_Positions], table_Positions[[#This Row],[ID]]) &gt; 0</f>
        <v>1</v>
      </c>
    </row>
    <row r="117" spans="1:6" x14ac:dyDescent="0.45">
      <c r="A117">
        <v>115</v>
      </c>
      <c r="B117" t="str">
        <f>CONCATENATE("Position ",table_Positions[[#This Row],[ID]])</f>
        <v>Position 115</v>
      </c>
      <c r="C117" t="b">
        <f ca="1">COUNTIF(dict_zuord_Meth_Pos[ignored_help],table_Positions[[#This Row],[ID]])&gt;0</f>
        <v>0</v>
      </c>
      <c r="D117">
        <f t="shared" ca="1" si="1"/>
        <v>0</v>
      </c>
      <c r="E117">
        <f ca="1">table_Positions[[#This Row],[temp_lb]]+10+RANDBETWEEN(0,100)*RANDBETWEEN(0,10)-RANDBETWEEN(0,10)</f>
        <v>203</v>
      </c>
      <c r="F117" t="b">
        <f ca="1">COUNTIF(dict_zuord_Meth_Pos[ID_Positions], table_Positions[[#This Row],[ID]]) &gt; 0</f>
        <v>1</v>
      </c>
    </row>
    <row r="118" spans="1:6" x14ac:dyDescent="0.45">
      <c r="A118">
        <v>116</v>
      </c>
      <c r="B118" t="str">
        <f>CONCATENATE("Position ",table_Positions[[#This Row],[ID]])</f>
        <v>Position 116</v>
      </c>
      <c r="C118" t="b">
        <f ca="1">COUNTIF(dict_zuord_Meth_Pos[ignored_help],table_Positions[[#This Row],[ID]])&gt;0</f>
        <v>0</v>
      </c>
      <c r="D118">
        <f t="shared" ca="1" si="1"/>
        <v>83</v>
      </c>
      <c r="E118">
        <f ca="1">table_Positions[[#This Row],[temp_lb]]+10+RANDBETWEEN(0,100)*RANDBETWEEN(0,10)-RANDBETWEEN(0,10)</f>
        <v>186</v>
      </c>
      <c r="F118" t="b">
        <f ca="1">COUNTIF(dict_zuord_Meth_Pos[ID_Positions], table_Positions[[#This Row],[ID]]) &gt; 0</f>
        <v>1</v>
      </c>
    </row>
    <row r="119" spans="1:6" x14ac:dyDescent="0.45">
      <c r="A119">
        <v>117</v>
      </c>
      <c r="B119" t="str">
        <f>CONCATENATE("Position ",table_Positions[[#This Row],[ID]])</f>
        <v>Position 117</v>
      </c>
      <c r="C119" t="b">
        <f ca="1">COUNTIF(dict_zuord_Meth_Pos[ignored_help],table_Positions[[#This Row],[ID]])&gt;0</f>
        <v>0</v>
      </c>
      <c r="D119">
        <f t="shared" ca="1" si="1"/>
        <v>69</v>
      </c>
      <c r="E119">
        <f ca="1">table_Positions[[#This Row],[temp_lb]]+10+RANDBETWEEN(0,100)*RANDBETWEEN(0,10)-RANDBETWEEN(0,10)</f>
        <v>119</v>
      </c>
      <c r="F119" t="b">
        <f ca="1">COUNTIF(dict_zuord_Meth_Pos[ID_Positions], table_Positions[[#This Row],[ID]]) &gt; 0</f>
        <v>1</v>
      </c>
    </row>
    <row r="120" spans="1:6" x14ac:dyDescent="0.45">
      <c r="A120">
        <v>118</v>
      </c>
      <c r="B120" t="str">
        <f>CONCATENATE("Position ",table_Positions[[#This Row],[ID]])</f>
        <v>Position 118</v>
      </c>
      <c r="C120" t="b">
        <f ca="1">COUNTIF(dict_zuord_Meth_Pos[ignored_help],table_Positions[[#This Row],[ID]])&gt;0</f>
        <v>0</v>
      </c>
      <c r="D120">
        <f t="shared" ca="1" si="1"/>
        <v>20</v>
      </c>
      <c r="E120">
        <f ca="1">table_Positions[[#This Row],[temp_lb]]+10+RANDBETWEEN(0,100)*RANDBETWEEN(0,10)-RANDBETWEEN(0,10)</f>
        <v>295</v>
      </c>
      <c r="F120" t="b">
        <f ca="1">COUNTIF(dict_zuord_Meth_Pos[ID_Positions], table_Positions[[#This Row],[ID]]) &gt; 0</f>
        <v>1</v>
      </c>
    </row>
    <row r="121" spans="1:6" x14ac:dyDescent="0.45">
      <c r="A121">
        <v>119</v>
      </c>
      <c r="B121" t="str">
        <f>CONCATENATE("Position ",table_Positions[[#This Row],[ID]])</f>
        <v>Position 119</v>
      </c>
      <c r="C121" t="b">
        <f ca="1">COUNTIF(dict_zuord_Meth_Pos[ignored_help],table_Positions[[#This Row],[ID]])&gt;0</f>
        <v>0</v>
      </c>
      <c r="D121">
        <f t="shared" ca="1" si="1"/>
        <v>69</v>
      </c>
      <c r="E121">
        <f ca="1">table_Positions[[#This Row],[temp_lb]]+10+RANDBETWEEN(0,100)*RANDBETWEEN(0,10)-RANDBETWEEN(0,10)</f>
        <v>79</v>
      </c>
      <c r="F121" t="b">
        <f ca="1">COUNTIF(dict_zuord_Meth_Pos[ID_Positions], table_Positions[[#This Row],[ID]]) &gt; 0</f>
        <v>1</v>
      </c>
    </row>
    <row r="122" spans="1:6" x14ac:dyDescent="0.45">
      <c r="A122">
        <v>120</v>
      </c>
      <c r="B122" t="str">
        <f>CONCATENATE("Position ",table_Positions[[#This Row],[ID]])</f>
        <v>Position 120</v>
      </c>
      <c r="C122" t="b">
        <f ca="1">COUNTIF(dict_zuord_Meth_Pos[ignored_help],table_Positions[[#This Row],[ID]])&gt;0</f>
        <v>0</v>
      </c>
      <c r="D122">
        <f t="shared" ca="1" si="1"/>
        <v>18</v>
      </c>
      <c r="E122">
        <f ca="1">table_Positions[[#This Row],[temp_lb]]+10+RANDBETWEEN(0,100)*RANDBETWEEN(0,10)-RANDBETWEEN(0,10)</f>
        <v>196</v>
      </c>
      <c r="F122" t="b">
        <f ca="1">COUNTIF(dict_zuord_Meth_Pos[ID_Positions], table_Positions[[#This Row],[ID]]) &gt; 0</f>
        <v>1</v>
      </c>
    </row>
    <row r="123" spans="1:6" x14ac:dyDescent="0.45">
      <c r="A123">
        <v>121</v>
      </c>
      <c r="B123" t="str">
        <f>CONCATENATE("Position ",table_Positions[[#This Row],[ID]])</f>
        <v>Position 121</v>
      </c>
      <c r="C123" t="b">
        <f ca="1">COUNTIF(dict_zuord_Meth_Pos[ignored_help],table_Positions[[#This Row],[ID]])&gt;0</f>
        <v>0</v>
      </c>
      <c r="D123">
        <f t="shared" ca="1" si="1"/>
        <v>25</v>
      </c>
      <c r="E123">
        <f ca="1">table_Positions[[#This Row],[temp_lb]]+10+RANDBETWEEN(0,100)*RANDBETWEEN(0,10)-RANDBETWEEN(0,10)</f>
        <v>79</v>
      </c>
      <c r="F123" t="b">
        <f ca="1">COUNTIF(dict_zuord_Meth_Pos[ID_Positions], table_Positions[[#This Row],[ID]]) &gt; 0</f>
        <v>1</v>
      </c>
    </row>
    <row r="124" spans="1:6" x14ac:dyDescent="0.45">
      <c r="A124">
        <v>122</v>
      </c>
      <c r="B124" t="str">
        <f>CONCATENATE("Position ",table_Positions[[#This Row],[ID]])</f>
        <v>Position 122</v>
      </c>
      <c r="C124" t="b">
        <f ca="1">COUNTIF(dict_zuord_Meth_Pos[ignored_help],table_Positions[[#This Row],[ID]])&gt;0</f>
        <v>0</v>
      </c>
      <c r="D124">
        <f t="shared" ca="1" si="1"/>
        <v>38</v>
      </c>
      <c r="E124">
        <f ca="1">table_Positions[[#This Row],[temp_lb]]+10+RANDBETWEEN(0,100)*RANDBETWEEN(0,10)-RANDBETWEEN(0,10)</f>
        <v>232</v>
      </c>
      <c r="F124" t="b">
        <f ca="1">COUNTIF(dict_zuord_Meth_Pos[ID_Positions], table_Positions[[#This Row],[ID]]) &gt; 0</f>
        <v>1</v>
      </c>
    </row>
    <row r="125" spans="1:6" x14ac:dyDescent="0.45">
      <c r="A125">
        <v>123</v>
      </c>
      <c r="B125" t="str">
        <f>CONCATENATE("Position ",table_Positions[[#This Row],[ID]])</f>
        <v>Position 123</v>
      </c>
      <c r="C125" t="b">
        <f ca="1">COUNTIF(dict_zuord_Meth_Pos[ignored_help],table_Positions[[#This Row],[ID]])&gt;0</f>
        <v>0</v>
      </c>
      <c r="D125">
        <f t="shared" ca="1" si="1"/>
        <v>34</v>
      </c>
      <c r="E125">
        <f ca="1">table_Positions[[#This Row],[temp_lb]]+10+RANDBETWEEN(0,100)*RANDBETWEEN(0,10)-RANDBETWEEN(0,10)</f>
        <v>34</v>
      </c>
      <c r="F125" t="b">
        <f ca="1">COUNTIF(dict_zuord_Meth_Pos[ID_Positions], table_Positions[[#This Row],[ID]]) &gt; 0</f>
        <v>1</v>
      </c>
    </row>
    <row r="126" spans="1:6" x14ac:dyDescent="0.45">
      <c r="A126">
        <v>124</v>
      </c>
      <c r="B126" t="str">
        <f>CONCATENATE("Position ",table_Positions[[#This Row],[ID]])</f>
        <v>Position 124</v>
      </c>
      <c r="C126" t="b">
        <f ca="1">COUNTIF(dict_zuord_Meth_Pos[ignored_help],table_Positions[[#This Row],[ID]])&gt;0</f>
        <v>0</v>
      </c>
      <c r="D126">
        <f t="shared" ca="1" si="1"/>
        <v>27</v>
      </c>
      <c r="E126">
        <f ca="1">table_Positions[[#This Row],[temp_lb]]+10+RANDBETWEEN(0,100)*RANDBETWEEN(0,10)-RANDBETWEEN(0,10)</f>
        <v>919</v>
      </c>
      <c r="F126" t="b">
        <f ca="1">COUNTIF(dict_zuord_Meth_Pos[ID_Positions], table_Positions[[#This Row],[ID]]) &gt; 0</f>
        <v>1</v>
      </c>
    </row>
    <row r="127" spans="1:6" x14ac:dyDescent="0.45">
      <c r="A127">
        <v>125</v>
      </c>
      <c r="B127" t="str">
        <f>CONCATENATE("Position ",table_Positions[[#This Row],[ID]])</f>
        <v>Position 125</v>
      </c>
      <c r="C127" t="b">
        <f ca="1">COUNTIF(dict_zuord_Meth_Pos[ignored_help],table_Positions[[#This Row],[ID]])&gt;0</f>
        <v>0</v>
      </c>
      <c r="D127">
        <f t="shared" ca="1" si="1"/>
        <v>68</v>
      </c>
      <c r="E127">
        <f ca="1">table_Positions[[#This Row],[temp_lb]]+10+RANDBETWEEN(0,100)*RANDBETWEEN(0,10)-RANDBETWEEN(0,10)</f>
        <v>748</v>
      </c>
      <c r="F127" t="b">
        <f ca="1">COUNTIF(dict_zuord_Meth_Pos[ID_Positions], table_Positions[[#This Row],[ID]]) &gt; 0</f>
        <v>1</v>
      </c>
    </row>
    <row r="128" spans="1:6" x14ac:dyDescent="0.45">
      <c r="A128">
        <v>126</v>
      </c>
      <c r="B128" t="str">
        <f>CONCATENATE("Position ",table_Positions[[#This Row],[ID]])</f>
        <v>Position 126</v>
      </c>
      <c r="C128" t="b">
        <f ca="1">COUNTIF(dict_zuord_Meth_Pos[ignored_help],table_Positions[[#This Row],[ID]])&gt;0</f>
        <v>0</v>
      </c>
      <c r="D128">
        <f t="shared" ca="1" si="1"/>
        <v>27</v>
      </c>
      <c r="E128">
        <f ca="1">table_Positions[[#This Row],[temp_lb]]+10+RANDBETWEEN(0,100)*RANDBETWEEN(0,10)-RANDBETWEEN(0,10)</f>
        <v>808</v>
      </c>
      <c r="F128" t="b">
        <f ca="1">COUNTIF(dict_zuord_Meth_Pos[ID_Positions], table_Positions[[#This Row],[ID]]) &gt; 0</f>
        <v>1</v>
      </c>
    </row>
    <row r="129" spans="1:6" x14ac:dyDescent="0.45">
      <c r="A129">
        <v>127</v>
      </c>
      <c r="B129" t="str">
        <f>CONCATENATE("Position ",table_Positions[[#This Row],[ID]])</f>
        <v>Position 127</v>
      </c>
      <c r="C129" t="b">
        <f ca="1">COUNTIF(dict_zuord_Meth_Pos[ignored_help],table_Positions[[#This Row],[ID]])&gt;0</f>
        <v>0</v>
      </c>
      <c r="D129">
        <f t="shared" ca="1" si="1"/>
        <v>23</v>
      </c>
      <c r="E129">
        <f ca="1">table_Positions[[#This Row],[temp_lb]]+10+RANDBETWEEN(0,100)*RANDBETWEEN(0,10)-RANDBETWEEN(0,10)</f>
        <v>307</v>
      </c>
      <c r="F129" t="b">
        <f ca="1">COUNTIF(dict_zuord_Meth_Pos[ID_Positions], table_Positions[[#This Row],[ID]]) &gt; 0</f>
        <v>1</v>
      </c>
    </row>
    <row r="130" spans="1:6" x14ac:dyDescent="0.45">
      <c r="A130">
        <v>128</v>
      </c>
      <c r="B130" t="str">
        <f>CONCATENATE("Position ",table_Positions[[#This Row],[ID]])</f>
        <v>Position 128</v>
      </c>
      <c r="C130" t="b">
        <f ca="1">COUNTIF(dict_zuord_Meth_Pos[ignored_help],table_Positions[[#This Row],[ID]])&gt;0</f>
        <v>0</v>
      </c>
      <c r="D130">
        <f t="shared" ref="D130:D193" ca="1" si="2">20+RANDBETWEEN(0,10)*RANDBETWEEN(0,10)-RANDBETWEEN(0,20)</f>
        <v>12</v>
      </c>
      <c r="E130">
        <f ca="1">table_Positions[[#This Row],[temp_lb]]+10+RANDBETWEEN(0,100)*RANDBETWEEN(0,10)-RANDBETWEEN(0,10)</f>
        <v>102</v>
      </c>
      <c r="F130" t="b">
        <f ca="1">COUNTIF(dict_zuord_Meth_Pos[ID_Positions], table_Positions[[#This Row],[ID]]) &gt; 0</f>
        <v>1</v>
      </c>
    </row>
    <row r="131" spans="1:6" x14ac:dyDescent="0.45">
      <c r="A131">
        <v>129</v>
      </c>
      <c r="B131" t="str">
        <f>CONCATENATE("Position ",table_Positions[[#This Row],[ID]])</f>
        <v>Position 129</v>
      </c>
      <c r="C131" t="b">
        <f ca="1">COUNTIF(dict_zuord_Meth_Pos[ignored_help],table_Positions[[#This Row],[ID]])&gt;0</f>
        <v>0</v>
      </c>
      <c r="D131">
        <f t="shared" ca="1" si="2"/>
        <v>20</v>
      </c>
      <c r="E131">
        <f ca="1">table_Positions[[#This Row],[temp_lb]]+10+RANDBETWEEN(0,100)*RANDBETWEEN(0,10)-RANDBETWEEN(0,10)</f>
        <v>145</v>
      </c>
      <c r="F131" t="b">
        <f ca="1">COUNTIF(dict_zuord_Meth_Pos[ID_Positions], table_Positions[[#This Row],[ID]]) &gt; 0</f>
        <v>1</v>
      </c>
    </row>
    <row r="132" spans="1:6" x14ac:dyDescent="0.45">
      <c r="A132">
        <v>130</v>
      </c>
      <c r="B132" t="str">
        <f>CONCATENATE("Position ",table_Positions[[#This Row],[ID]])</f>
        <v>Position 130</v>
      </c>
      <c r="C132" t="b">
        <f ca="1">COUNTIF(dict_zuord_Meth_Pos[ignored_help],table_Positions[[#This Row],[ID]])&gt;0</f>
        <v>0</v>
      </c>
      <c r="D132">
        <f t="shared" ca="1" si="2"/>
        <v>17</v>
      </c>
      <c r="E132">
        <f ca="1">table_Positions[[#This Row],[temp_lb]]+10+RANDBETWEEN(0,100)*RANDBETWEEN(0,10)-RANDBETWEEN(0,10)</f>
        <v>326</v>
      </c>
      <c r="F132" t="b">
        <f ca="1">COUNTIF(dict_zuord_Meth_Pos[ID_Positions], table_Positions[[#This Row],[ID]]) &gt; 0</f>
        <v>1</v>
      </c>
    </row>
    <row r="133" spans="1:6" x14ac:dyDescent="0.45">
      <c r="A133">
        <v>131</v>
      </c>
      <c r="B133" t="str">
        <f>CONCATENATE("Position ",table_Positions[[#This Row],[ID]])</f>
        <v>Position 131</v>
      </c>
      <c r="C133" t="b">
        <f ca="1">COUNTIF(dict_zuord_Meth_Pos[ignored_help],table_Positions[[#This Row],[ID]])&gt;0</f>
        <v>0</v>
      </c>
      <c r="D133">
        <f t="shared" ca="1" si="2"/>
        <v>10</v>
      </c>
      <c r="E133">
        <f ca="1">table_Positions[[#This Row],[temp_lb]]+10+RANDBETWEEN(0,100)*RANDBETWEEN(0,10)-RANDBETWEEN(0,10)</f>
        <v>402</v>
      </c>
      <c r="F133" t="b">
        <f ca="1">COUNTIF(dict_zuord_Meth_Pos[ID_Positions], table_Positions[[#This Row],[ID]]) &gt; 0</f>
        <v>1</v>
      </c>
    </row>
    <row r="134" spans="1:6" x14ac:dyDescent="0.45">
      <c r="A134">
        <v>132</v>
      </c>
      <c r="B134" t="str">
        <f>CONCATENATE("Position ",table_Positions[[#This Row],[ID]])</f>
        <v>Position 132</v>
      </c>
      <c r="C134" t="b">
        <f ca="1">COUNTIF(dict_zuord_Meth_Pos[ignored_help],table_Positions[[#This Row],[ID]])&gt;0</f>
        <v>0</v>
      </c>
      <c r="D134">
        <f t="shared" ca="1" si="2"/>
        <v>42</v>
      </c>
      <c r="E134">
        <f ca="1">table_Positions[[#This Row],[temp_lb]]+10+RANDBETWEEN(0,100)*RANDBETWEEN(0,10)-RANDBETWEEN(0,10)</f>
        <v>230</v>
      </c>
      <c r="F134" t="b">
        <f ca="1">COUNTIF(dict_zuord_Meth_Pos[ID_Positions], table_Positions[[#This Row],[ID]]) &gt; 0</f>
        <v>1</v>
      </c>
    </row>
    <row r="135" spans="1:6" x14ac:dyDescent="0.45">
      <c r="A135">
        <v>133</v>
      </c>
      <c r="B135" t="str">
        <f>CONCATENATE("Position ",table_Positions[[#This Row],[ID]])</f>
        <v>Position 133</v>
      </c>
      <c r="C135" t="b">
        <f ca="1">COUNTIF(dict_zuord_Meth_Pos[ignored_help],table_Positions[[#This Row],[ID]])&gt;0</f>
        <v>0</v>
      </c>
      <c r="D135">
        <f t="shared" ca="1" si="2"/>
        <v>20</v>
      </c>
      <c r="E135">
        <f ca="1">table_Positions[[#This Row],[temp_lb]]+10+RANDBETWEEN(0,100)*RANDBETWEEN(0,10)-RANDBETWEEN(0,10)</f>
        <v>770</v>
      </c>
      <c r="F135" t="b">
        <f ca="1">COUNTIF(dict_zuord_Meth_Pos[ID_Positions], table_Positions[[#This Row],[ID]]) &gt; 0</f>
        <v>1</v>
      </c>
    </row>
    <row r="136" spans="1:6" x14ac:dyDescent="0.45">
      <c r="A136">
        <v>134</v>
      </c>
      <c r="B136" t="str">
        <f>CONCATENATE("Position ",table_Positions[[#This Row],[ID]])</f>
        <v>Position 134</v>
      </c>
      <c r="C136" t="b">
        <f ca="1">COUNTIF(dict_zuord_Meth_Pos[ignored_help],table_Positions[[#This Row],[ID]])&gt;0</f>
        <v>0</v>
      </c>
      <c r="D136">
        <f t="shared" ca="1" si="2"/>
        <v>17</v>
      </c>
      <c r="E136">
        <f ca="1">table_Positions[[#This Row],[temp_lb]]+10+RANDBETWEEN(0,100)*RANDBETWEEN(0,10)-RANDBETWEEN(0,10)</f>
        <v>635</v>
      </c>
      <c r="F136" t="b">
        <f ca="1">COUNTIF(dict_zuord_Meth_Pos[ID_Positions], table_Positions[[#This Row],[ID]]) &gt; 0</f>
        <v>1</v>
      </c>
    </row>
    <row r="137" spans="1:6" x14ac:dyDescent="0.45">
      <c r="A137">
        <v>135</v>
      </c>
      <c r="B137" t="str">
        <f>CONCATENATE("Position ",table_Positions[[#This Row],[ID]])</f>
        <v>Position 135</v>
      </c>
      <c r="C137" t="b">
        <f ca="1">COUNTIF(dict_zuord_Meth_Pos[ignored_help],table_Positions[[#This Row],[ID]])&gt;0</f>
        <v>0</v>
      </c>
      <c r="D137">
        <f t="shared" ca="1" si="2"/>
        <v>6</v>
      </c>
      <c r="E137">
        <f ca="1">table_Positions[[#This Row],[temp_lb]]+10+RANDBETWEEN(0,100)*RANDBETWEEN(0,10)-RANDBETWEEN(0,10)</f>
        <v>59</v>
      </c>
      <c r="F137" t="b">
        <f ca="1">COUNTIF(dict_zuord_Meth_Pos[ID_Positions], table_Positions[[#This Row],[ID]]) &gt; 0</f>
        <v>1</v>
      </c>
    </row>
    <row r="138" spans="1:6" x14ac:dyDescent="0.45">
      <c r="A138">
        <v>136</v>
      </c>
      <c r="B138" t="str">
        <f>CONCATENATE("Position ",table_Positions[[#This Row],[ID]])</f>
        <v>Position 136</v>
      </c>
      <c r="C138" t="b">
        <f ca="1">COUNTIF(dict_zuord_Meth_Pos[ignored_help],table_Positions[[#This Row],[ID]])&gt;0</f>
        <v>0</v>
      </c>
      <c r="D138">
        <f t="shared" ca="1" si="2"/>
        <v>44</v>
      </c>
      <c r="E138">
        <f ca="1">table_Positions[[#This Row],[temp_lb]]+10+RANDBETWEEN(0,100)*RANDBETWEEN(0,10)-RANDBETWEEN(0,10)</f>
        <v>654</v>
      </c>
      <c r="F138" t="b">
        <f ca="1">COUNTIF(dict_zuord_Meth_Pos[ID_Positions], table_Positions[[#This Row],[ID]]) &gt; 0</f>
        <v>1</v>
      </c>
    </row>
    <row r="139" spans="1:6" x14ac:dyDescent="0.45">
      <c r="A139">
        <v>137</v>
      </c>
      <c r="B139" t="str">
        <f>CONCATENATE("Position ",table_Positions[[#This Row],[ID]])</f>
        <v>Position 137</v>
      </c>
      <c r="C139" t="b">
        <f ca="1">COUNTIF(dict_zuord_Meth_Pos[ignored_help],table_Positions[[#This Row],[ID]])&gt;0</f>
        <v>0</v>
      </c>
      <c r="D139">
        <f t="shared" ca="1" si="2"/>
        <v>22</v>
      </c>
      <c r="E139">
        <f ca="1">table_Positions[[#This Row],[temp_lb]]+10+RANDBETWEEN(0,100)*RANDBETWEEN(0,10)-RANDBETWEEN(0,10)</f>
        <v>669</v>
      </c>
      <c r="F139" t="b">
        <f ca="1">COUNTIF(dict_zuord_Meth_Pos[ID_Positions], table_Positions[[#This Row],[ID]]) &gt; 0</f>
        <v>1</v>
      </c>
    </row>
    <row r="140" spans="1:6" x14ac:dyDescent="0.45">
      <c r="A140">
        <v>138</v>
      </c>
      <c r="B140" t="str">
        <f>CONCATENATE("Position ",table_Positions[[#This Row],[ID]])</f>
        <v>Position 138</v>
      </c>
      <c r="C140" t="b">
        <f ca="1">COUNTIF(dict_zuord_Meth_Pos[ignored_help],table_Positions[[#This Row],[ID]])&gt;0</f>
        <v>0</v>
      </c>
      <c r="D140">
        <f t="shared" ca="1" si="2"/>
        <v>20</v>
      </c>
      <c r="E140">
        <f ca="1">table_Positions[[#This Row],[temp_lb]]+10+RANDBETWEEN(0,100)*RANDBETWEEN(0,10)-RANDBETWEEN(0,10)</f>
        <v>308</v>
      </c>
      <c r="F140" t="b">
        <f ca="1">COUNTIF(dict_zuord_Meth_Pos[ID_Positions], table_Positions[[#This Row],[ID]]) &gt; 0</f>
        <v>1</v>
      </c>
    </row>
    <row r="141" spans="1:6" x14ac:dyDescent="0.45">
      <c r="A141">
        <v>139</v>
      </c>
      <c r="B141" t="str">
        <f>CONCATENATE("Position ",table_Positions[[#This Row],[ID]])</f>
        <v>Position 139</v>
      </c>
      <c r="C141" t="b">
        <f ca="1">COUNTIF(dict_zuord_Meth_Pos[ignored_help],table_Positions[[#This Row],[ID]])&gt;0</f>
        <v>0</v>
      </c>
      <c r="D141">
        <f t="shared" ca="1" si="2"/>
        <v>15</v>
      </c>
      <c r="E141">
        <f ca="1">table_Positions[[#This Row],[temp_lb]]+10+RANDBETWEEN(0,100)*RANDBETWEEN(0,10)-RANDBETWEEN(0,10)</f>
        <v>809</v>
      </c>
      <c r="F141" t="b">
        <f ca="1">COUNTIF(dict_zuord_Meth_Pos[ID_Positions], table_Positions[[#This Row],[ID]]) &gt; 0</f>
        <v>1</v>
      </c>
    </row>
    <row r="142" spans="1:6" x14ac:dyDescent="0.45">
      <c r="A142">
        <v>140</v>
      </c>
      <c r="B142" t="str">
        <f>CONCATENATE("Position ",table_Positions[[#This Row],[ID]])</f>
        <v>Position 140</v>
      </c>
      <c r="C142" t="b">
        <f ca="1">COUNTIF(dict_zuord_Meth_Pos[ignored_help],table_Positions[[#This Row],[ID]])&gt;0</f>
        <v>0</v>
      </c>
      <c r="D142">
        <f t="shared" ca="1" si="2"/>
        <v>34</v>
      </c>
      <c r="E142">
        <f ca="1">table_Positions[[#This Row],[temp_lb]]+10+RANDBETWEEN(0,100)*RANDBETWEEN(0,10)-RANDBETWEEN(0,10)</f>
        <v>299</v>
      </c>
      <c r="F142" t="b">
        <f ca="1">COUNTIF(dict_zuord_Meth_Pos[ID_Positions], table_Positions[[#This Row],[ID]]) &gt; 0</f>
        <v>1</v>
      </c>
    </row>
    <row r="143" spans="1:6" x14ac:dyDescent="0.45">
      <c r="A143">
        <v>141</v>
      </c>
      <c r="B143" t="str">
        <f>CONCATENATE("Position ",table_Positions[[#This Row],[ID]])</f>
        <v>Position 141</v>
      </c>
      <c r="C143" t="b">
        <f ca="1">COUNTIF(dict_zuord_Meth_Pos[ignored_help],table_Positions[[#This Row],[ID]])&gt;0</f>
        <v>0</v>
      </c>
      <c r="D143">
        <f t="shared" ca="1" si="2"/>
        <v>30</v>
      </c>
      <c r="E143">
        <f ca="1">table_Positions[[#This Row],[temp_lb]]+10+RANDBETWEEN(0,100)*RANDBETWEEN(0,10)-RANDBETWEEN(0,10)</f>
        <v>582</v>
      </c>
      <c r="F143" t="b">
        <f ca="1">COUNTIF(dict_zuord_Meth_Pos[ID_Positions], table_Positions[[#This Row],[ID]]) &gt; 0</f>
        <v>1</v>
      </c>
    </row>
    <row r="144" spans="1:6" x14ac:dyDescent="0.45">
      <c r="A144">
        <v>142</v>
      </c>
      <c r="B144" t="str">
        <f>CONCATENATE("Position ",table_Positions[[#This Row],[ID]])</f>
        <v>Position 142</v>
      </c>
      <c r="C144" t="b">
        <f ca="1">COUNTIF(dict_zuord_Meth_Pos[ignored_help],table_Positions[[#This Row],[ID]])&gt;0</f>
        <v>0</v>
      </c>
      <c r="D144">
        <f t="shared" ca="1" si="2"/>
        <v>67</v>
      </c>
      <c r="E144">
        <f ca="1">table_Positions[[#This Row],[temp_lb]]+10+RANDBETWEEN(0,100)*RANDBETWEEN(0,10)-RANDBETWEEN(0,10)</f>
        <v>188</v>
      </c>
      <c r="F144" t="b">
        <f ca="1">COUNTIF(dict_zuord_Meth_Pos[ID_Positions], table_Positions[[#This Row],[ID]]) &gt; 0</f>
        <v>1</v>
      </c>
    </row>
    <row r="145" spans="1:6" x14ac:dyDescent="0.45">
      <c r="A145">
        <v>143</v>
      </c>
      <c r="B145" t="str">
        <f>CONCATENATE("Position ",table_Positions[[#This Row],[ID]])</f>
        <v>Position 143</v>
      </c>
      <c r="C145" t="b">
        <f ca="1">COUNTIF(dict_zuord_Meth_Pos[ignored_help],table_Positions[[#This Row],[ID]])&gt;0</f>
        <v>0</v>
      </c>
      <c r="D145">
        <f t="shared" ca="1" si="2"/>
        <v>25</v>
      </c>
      <c r="E145">
        <f ca="1">table_Positions[[#This Row],[temp_lb]]+10+RANDBETWEEN(0,100)*RANDBETWEEN(0,10)-RANDBETWEEN(0,10)</f>
        <v>92</v>
      </c>
      <c r="F145" t="b">
        <f ca="1">COUNTIF(dict_zuord_Meth_Pos[ID_Positions], table_Positions[[#This Row],[ID]]) &gt; 0</f>
        <v>1</v>
      </c>
    </row>
    <row r="146" spans="1:6" x14ac:dyDescent="0.45">
      <c r="A146">
        <v>144</v>
      </c>
      <c r="B146" t="str">
        <f>CONCATENATE("Position ",table_Positions[[#This Row],[ID]])</f>
        <v>Position 144</v>
      </c>
      <c r="C146" t="b">
        <f ca="1">COUNTIF(dict_zuord_Meth_Pos[ignored_help],table_Positions[[#This Row],[ID]])&gt;0</f>
        <v>0</v>
      </c>
      <c r="D146">
        <f t="shared" ca="1" si="2"/>
        <v>68</v>
      </c>
      <c r="E146">
        <f ca="1">table_Positions[[#This Row],[temp_lb]]+10+RANDBETWEEN(0,100)*RANDBETWEEN(0,10)-RANDBETWEEN(0,10)</f>
        <v>361</v>
      </c>
      <c r="F146" t="b">
        <f ca="1">COUNTIF(dict_zuord_Meth_Pos[ID_Positions], table_Positions[[#This Row],[ID]]) &gt; 0</f>
        <v>1</v>
      </c>
    </row>
    <row r="147" spans="1:6" x14ac:dyDescent="0.45">
      <c r="A147">
        <v>145</v>
      </c>
      <c r="B147" t="str">
        <f>CONCATENATE("Position ",table_Positions[[#This Row],[ID]])</f>
        <v>Position 145</v>
      </c>
      <c r="C147" t="b">
        <f ca="1">COUNTIF(dict_zuord_Meth_Pos[ignored_help],table_Positions[[#This Row],[ID]])&gt;0</f>
        <v>0</v>
      </c>
      <c r="D147">
        <f t="shared" ca="1" si="2"/>
        <v>19</v>
      </c>
      <c r="E147">
        <f ca="1">table_Positions[[#This Row],[temp_lb]]+10+RANDBETWEEN(0,100)*RANDBETWEEN(0,10)-RANDBETWEEN(0,10)</f>
        <v>42</v>
      </c>
      <c r="F147" t="b">
        <f ca="1">COUNTIF(dict_zuord_Meth_Pos[ID_Positions], table_Positions[[#This Row],[ID]]) &gt; 0</f>
        <v>1</v>
      </c>
    </row>
    <row r="148" spans="1:6" x14ac:dyDescent="0.45">
      <c r="A148">
        <v>146</v>
      </c>
      <c r="B148" t="str">
        <f>CONCATENATE("Position ",table_Positions[[#This Row],[ID]])</f>
        <v>Position 146</v>
      </c>
      <c r="C148" t="b">
        <f ca="1">COUNTIF(dict_zuord_Meth_Pos[ignored_help],table_Positions[[#This Row],[ID]])&gt;0</f>
        <v>0</v>
      </c>
      <c r="D148">
        <f t="shared" ca="1" si="2"/>
        <v>59</v>
      </c>
      <c r="E148">
        <f ca="1">table_Positions[[#This Row],[temp_lb]]+10+RANDBETWEEN(0,100)*RANDBETWEEN(0,10)-RANDBETWEEN(0,10)</f>
        <v>230</v>
      </c>
      <c r="F148" t="b">
        <f ca="1">COUNTIF(dict_zuord_Meth_Pos[ID_Positions], table_Positions[[#This Row],[ID]]) &gt; 0</f>
        <v>1</v>
      </c>
    </row>
    <row r="149" spans="1:6" x14ac:dyDescent="0.45">
      <c r="A149">
        <v>147</v>
      </c>
      <c r="B149" t="str">
        <f>CONCATENATE("Position ",table_Positions[[#This Row],[ID]])</f>
        <v>Position 147</v>
      </c>
      <c r="C149" t="b">
        <f ca="1">COUNTIF(dict_zuord_Meth_Pos[ignored_help],table_Positions[[#This Row],[ID]])&gt;0</f>
        <v>0</v>
      </c>
      <c r="D149">
        <f t="shared" ca="1" si="2"/>
        <v>20</v>
      </c>
      <c r="E149">
        <f ca="1">table_Positions[[#This Row],[temp_lb]]+10+RANDBETWEEN(0,100)*RANDBETWEEN(0,10)-RANDBETWEEN(0,10)</f>
        <v>383</v>
      </c>
      <c r="F149" t="b">
        <f ca="1">COUNTIF(dict_zuord_Meth_Pos[ID_Positions], table_Positions[[#This Row],[ID]]) &gt; 0</f>
        <v>1</v>
      </c>
    </row>
    <row r="150" spans="1:6" x14ac:dyDescent="0.45">
      <c r="A150">
        <v>148</v>
      </c>
      <c r="B150" t="str">
        <f>CONCATENATE("Position ",table_Positions[[#This Row],[ID]])</f>
        <v>Position 148</v>
      </c>
      <c r="C150" t="b">
        <f ca="1">COUNTIF(dict_zuord_Meth_Pos[ignored_help],table_Positions[[#This Row],[ID]])&gt;0</f>
        <v>0</v>
      </c>
      <c r="D150">
        <f t="shared" ca="1" si="2"/>
        <v>0</v>
      </c>
      <c r="E150">
        <f ca="1">table_Positions[[#This Row],[temp_lb]]+10+RANDBETWEEN(0,100)*RANDBETWEEN(0,10)-RANDBETWEEN(0,10)</f>
        <v>16</v>
      </c>
      <c r="F150" t="b">
        <f ca="1">COUNTIF(dict_zuord_Meth_Pos[ID_Positions], table_Positions[[#This Row],[ID]]) &gt; 0</f>
        <v>1</v>
      </c>
    </row>
    <row r="151" spans="1:6" x14ac:dyDescent="0.45">
      <c r="A151">
        <v>149</v>
      </c>
      <c r="B151" t="str">
        <f>CONCATENATE("Position ",table_Positions[[#This Row],[ID]])</f>
        <v>Position 149</v>
      </c>
      <c r="C151" t="b">
        <f ca="1">COUNTIF(dict_zuord_Meth_Pos[ignored_help],table_Positions[[#This Row],[ID]])&gt;0</f>
        <v>0</v>
      </c>
      <c r="D151">
        <f t="shared" ca="1" si="2"/>
        <v>12</v>
      </c>
      <c r="E151">
        <f ca="1">table_Positions[[#This Row],[temp_lb]]+10+RANDBETWEEN(0,100)*RANDBETWEEN(0,10)-RANDBETWEEN(0,10)</f>
        <v>128</v>
      </c>
      <c r="F151" t="b">
        <f ca="1">COUNTIF(dict_zuord_Meth_Pos[ID_Positions], table_Positions[[#This Row],[ID]]) &gt; 0</f>
        <v>1</v>
      </c>
    </row>
    <row r="152" spans="1:6" x14ac:dyDescent="0.45">
      <c r="A152">
        <v>150</v>
      </c>
      <c r="B152" t="str">
        <f>CONCATENATE("Position ",table_Positions[[#This Row],[ID]])</f>
        <v>Position 150</v>
      </c>
      <c r="C152" t="b">
        <f ca="1">COUNTIF(dict_zuord_Meth_Pos[ignored_help],table_Positions[[#This Row],[ID]])&gt;0</f>
        <v>0</v>
      </c>
      <c r="D152">
        <f t="shared" ca="1" si="2"/>
        <v>11</v>
      </c>
      <c r="E152">
        <f ca="1">table_Positions[[#This Row],[temp_lb]]+10+RANDBETWEEN(0,100)*RANDBETWEEN(0,10)-RANDBETWEEN(0,10)</f>
        <v>602</v>
      </c>
      <c r="F152" t="b">
        <f ca="1">COUNTIF(dict_zuord_Meth_Pos[ID_Positions], table_Positions[[#This Row],[ID]]) &gt; 0</f>
        <v>1</v>
      </c>
    </row>
    <row r="153" spans="1:6" x14ac:dyDescent="0.45">
      <c r="A153">
        <v>151</v>
      </c>
      <c r="B153" t="str">
        <f>CONCATENATE("Position ",table_Positions[[#This Row],[ID]])</f>
        <v>Position 151</v>
      </c>
      <c r="C153" t="b">
        <f ca="1">COUNTIF(dict_zuord_Meth_Pos[ignored_help],table_Positions[[#This Row],[ID]])&gt;0</f>
        <v>0</v>
      </c>
      <c r="D153">
        <f t="shared" ca="1" si="2"/>
        <v>11</v>
      </c>
      <c r="E153">
        <f ca="1">table_Positions[[#This Row],[temp_lb]]+10+RANDBETWEEN(0,100)*RANDBETWEEN(0,10)-RANDBETWEEN(0,10)</f>
        <v>27</v>
      </c>
      <c r="F153" t="b">
        <f ca="1">COUNTIF(dict_zuord_Meth_Pos[ID_Positions], table_Positions[[#This Row],[ID]]) &gt; 0</f>
        <v>1</v>
      </c>
    </row>
    <row r="154" spans="1:6" x14ac:dyDescent="0.45">
      <c r="A154">
        <v>152</v>
      </c>
      <c r="B154" t="str">
        <f>CONCATENATE("Position ",table_Positions[[#This Row],[ID]])</f>
        <v>Position 152</v>
      </c>
      <c r="C154" t="b">
        <f ca="1">COUNTIF(dict_zuord_Meth_Pos[ignored_help],table_Positions[[#This Row],[ID]])&gt;0</f>
        <v>0</v>
      </c>
      <c r="D154">
        <f t="shared" ca="1" si="2"/>
        <v>16</v>
      </c>
      <c r="E154">
        <f ca="1">table_Positions[[#This Row],[temp_lb]]+10+RANDBETWEEN(0,100)*RANDBETWEEN(0,10)-RANDBETWEEN(0,10)</f>
        <v>57</v>
      </c>
      <c r="F154" t="b">
        <f ca="1">COUNTIF(dict_zuord_Meth_Pos[ID_Positions], table_Positions[[#This Row],[ID]]) &gt; 0</f>
        <v>1</v>
      </c>
    </row>
    <row r="155" spans="1:6" x14ac:dyDescent="0.45">
      <c r="A155">
        <v>153</v>
      </c>
      <c r="B155" t="str">
        <f>CONCATENATE("Position ",table_Positions[[#This Row],[ID]])</f>
        <v>Position 153</v>
      </c>
      <c r="C155" t="b">
        <f ca="1">COUNTIF(dict_zuord_Meth_Pos[ignored_help],table_Positions[[#This Row],[ID]])&gt;0</f>
        <v>0</v>
      </c>
      <c r="D155">
        <f t="shared" ca="1" si="2"/>
        <v>27</v>
      </c>
      <c r="E155">
        <f ca="1">table_Positions[[#This Row],[temp_lb]]+10+RANDBETWEEN(0,100)*RANDBETWEEN(0,10)-RANDBETWEEN(0,10)</f>
        <v>583</v>
      </c>
      <c r="F155" t="b">
        <f ca="1">COUNTIF(dict_zuord_Meth_Pos[ID_Positions], table_Positions[[#This Row],[ID]]) &gt; 0</f>
        <v>1</v>
      </c>
    </row>
    <row r="156" spans="1:6" x14ac:dyDescent="0.45">
      <c r="A156">
        <v>154</v>
      </c>
      <c r="B156" t="str">
        <f>CONCATENATE("Position ",table_Positions[[#This Row],[ID]])</f>
        <v>Position 154</v>
      </c>
      <c r="C156" t="b">
        <f ca="1">COUNTIF(dict_zuord_Meth_Pos[ignored_help],table_Positions[[#This Row],[ID]])&gt;0</f>
        <v>0</v>
      </c>
      <c r="D156">
        <f t="shared" ca="1" si="2"/>
        <v>23</v>
      </c>
      <c r="E156">
        <f ca="1">table_Positions[[#This Row],[temp_lb]]+10+RANDBETWEEN(0,100)*RANDBETWEEN(0,10)-RANDBETWEEN(0,10)</f>
        <v>384</v>
      </c>
      <c r="F156" t="b">
        <f ca="1">COUNTIF(dict_zuord_Meth_Pos[ID_Positions], table_Positions[[#This Row],[ID]]) &gt; 0</f>
        <v>1</v>
      </c>
    </row>
    <row r="157" spans="1:6" x14ac:dyDescent="0.45">
      <c r="A157">
        <v>155</v>
      </c>
      <c r="B157" t="str">
        <f>CONCATENATE("Position ",table_Positions[[#This Row],[ID]])</f>
        <v>Position 155</v>
      </c>
      <c r="C157" t="b">
        <f ca="1">COUNTIF(dict_zuord_Meth_Pos[ignored_help],table_Positions[[#This Row],[ID]])&gt;0</f>
        <v>0</v>
      </c>
      <c r="D157">
        <f t="shared" ca="1" si="2"/>
        <v>15</v>
      </c>
      <c r="E157">
        <f ca="1">table_Positions[[#This Row],[temp_lb]]+10+RANDBETWEEN(0,100)*RANDBETWEEN(0,10)-RANDBETWEEN(0,10)</f>
        <v>61</v>
      </c>
      <c r="F157" t="b">
        <f ca="1">COUNTIF(dict_zuord_Meth_Pos[ID_Positions], table_Positions[[#This Row],[ID]]) &gt; 0</f>
        <v>1</v>
      </c>
    </row>
    <row r="158" spans="1:6" x14ac:dyDescent="0.45">
      <c r="A158">
        <v>156</v>
      </c>
      <c r="B158" t="str">
        <f>CONCATENATE("Position ",table_Positions[[#This Row],[ID]])</f>
        <v>Position 156</v>
      </c>
      <c r="C158" t="b">
        <f ca="1">COUNTIF(dict_zuord_Meth_Pos[ignored_help],table_Positions[[#This Row],[ID]])&gt;0</f>
        <v>0</v>
      </c>
      <c r="D158">
        <f t="shared" ca="1" si="2"/>
        <v>3</v>
      </c>
      <c r="E158">
        <f ca="1">table_Positions[[#This Row],[temp_lb]]+10+RANDBETWEEN(0,100)*RANDBETWEEN(0,10)-RANDBETWEEN(0,10)</f>
        <v>6</v>
      </c>
      <c r="F158" t="b">
        <f ca="1">COUNTIF(dict_zuord_Meth_Pos[ID_Positions], table_Positions[[#This Row],[ID]]) &gt; 0</f>
        <v>1</v>
      </c>
    </row>
    <row r="159" spans="1:6" x14ac:dyDescent="0.45">
      <c r="A159">
        <v>157</v>
      </c>
      <c r="B159" t="str">
        <f>CONCATENATE("Position ",table_Positions[[#This Row],[ID]])</f>
        <v>Position 157</v>
      </c>
      <c r="C159" t="b">
        <f ca="1">COUNTIF(dict_zuord_Meth_Pos[ignored_help],table_Positions[[#This Row],[ID]])&gt;0</f>
        <v>0</v>
      </c>
      <c r="D159">
        <f t="shared" ca="1" si="2"/>
        <v>83</v>
      </c>
      <c r="E159">
        <f ca="1">table_Positions[[#This Row],[temp_lb]]+10+RANDBETWEEN(0,100)*RANDBETWEEN(0,10)-RANDBETWEEN(0,10)</f>
        <v>84</v>
      </c>
      <c r="F159" t="b">
        <f ca="1">COUNTIF(dict_zuord_Meth_Pos[ID_Positions], table_Positions[[#This Row],[ID]]) &gt; 0</f>
        <v>1</v>
      </c>
    </row>
    <row r="160" spans="1:6" x14ac:dyDescent="0.45">
      <c r="A160">
        <v>158</v>
      </c>
      <c r="B160" t="str">
        <f>CONCATENATE("Position ",table_Positions[[#This Row],[ID]])</f>
        <v>Position 158</v>
      </c>
      <c r="C160" t="b">
        <f ca="1">COUNTIF(dict_zuord_Meth_Pos[ignored_help],table_Positions[[#This Row],[ID]])&gt;0</f>
        <v>0</v>
      </c>
      <c r="D160">
        <f t="shared" ca="1" si="2"/>
        <v>18</v>
      </c>
      <c r="E160">
        <f ca="1">table_Positions[[#This Row],[temp_lb]]+10+RANDBETWEEN(0,100)*RANDBETWEEN(0,10)-RANDBETWEEN(0,10)</f>
        <v>660</v>
      </c>
      <c r="F160" t="b">
        <f ca="1">COUNTIF(dict_zuord_Meth_Pos[ID_Positions], table_Positions[[#This Row],[ID]]) &gt; 0</f>
        <v>1</v>
      </c>
    </row>
    <row r="161" spans="1:6" x14ac:dyDescent="0.45">
      <c r="A161">
        <v>159</v>
      </c>
      <c r="B161" t="str">
        <f>CONCATENATE("Position ",table_Positions[[#This Row],[ID]])</f>
        <v>Position 159</v>
      </c>
      <c r="C161" t="b">
        <f ca="1">COUNTIF(dict_zuord_Meth_Pos[ignored_help],table_Positions[[#This Row],[ID]])&gt;0</f>
        <v>0</v>
      </c>
      <c r="D161">
        <f t="shared" ca="1" si="2"/>
        <v>39</v>
      </c>
      <c r="E161">
        <f ca="1">table_Positions[[#This Row],[temp_lb]]+10+RANDBETWEEN(0,100)*RANDBETWEEN(0,10)-RANDBETWEEN(0,10)</f>
        <v>40</v>
      </c>
      <c r="F161" t="b">
        <f ca="1">COUNTIF(dict_zuord_Meth_Pos[ID_Positions], table_Positions[[#This Row],[ID]]) &gt; 0</f>
        <v>1</v>
      </c>
    </row>
    <row r="162" spans="1:6" x14ac:dyDescent="0.45">
      <c r="A162">
        <v>160</v>
      </c>
      <c r="B162" t="str">
        <f>CONCATENATE("Position ",table_Positions[[#This Row],[ID]])</f>
        <v>Position 160</v>
      </c>
      <c r="C162" t="b">
        <f ca="1">COUNTIF(dict_zuord_Meth_Pos[ignored_help],table_Positions[[#This Row],[ID]])&gt;0</f>
        <v>0</v>
      </c>
      <c r="D162">
        <f t="shared" ca="1" si="2"/>
        <v>69</v>
      </c>
      <c r="E162">
        <f ca="1">table_Positions[[#This Row],[temp_lb]]+10+RANDBETWEEN(0,100)*RANDBETWEEN(0,10)-RANDBETWEEN(0,10)</f>
        <v>77</v>
      </c>
      <c r="F162" t="b">
        <f ca="1">COUNTIF(dict_zuord_Meth_Pos[ID_Positions], table_Positions[[#This Row],[ID]]) &gt; 0</f>
        <v>1</v>
      </c>
    </row>
    <row r="163" spans="1:6" x14ac:dyDescent="0.45">
      <c r="A163">
        <v>161</v>
      </c>
      <c r="B163" t="str">
        <f>CONCATENATE("Position ",table_Positions[[#This Row],[ID]])</f>
        <v>Position 161</v>
      </c>
      <c r="C163" t="b">
        <f ca="1">COUNTIF(dict_zuord_Meth_Pos[ignored_help],table_Positions[[#This Row],[ID]])&gt;0</f>
        <v>0</v>
      </c>
      <c r="D163">
        <f t="shared" ca="1" si="2"/>
        <v>25</v>
      </c>
      <c r="E163">
        <f ca="1">table_Positions[[#This Row],[temp_lb]]+10+RANDBETWEEN(0,100)*RANDBETWEEN(0,10)-RANDBETWEEN(0,10)</f>
        <v>221</v>
      </c>
      <c r="F163" t="b">
        <f ca="1">COUNTIF(dict_zuord_Meth_Pos[ID_Positions], table_Positions[[#This Row],[ID]]) &gt; 0</f>
        <v>1</v>
      </c>
    </row>
    <row r="164" spans="1:6" x14ac:dyDescent="0.45">
      <c r="A164">
        <v>162</v>
      </c>
      <c r="B164" t="str">
        <f>CONCATENATE("Position ",table_Positions[[#This Row],[ID]])</f>
        <v>Position 162</v>
      </c>
      <c r="C164" t="b">
        <f ca="1">COUNTIF(dict_zuord_Meth_Pos[ignored_help],table_Positions[[#This Row],[ID]])&gt;0</f>
        <v>0</v>
      </c>
      <c r="D164">
        <f t="shared" ca="1" si="2"/>
        <v>8</v>
      </c>
      <c r="E164">
        <f ca="1">table_Positions[[#This Row],[temp_lb]]+10+RANDBETWEEN(0,100)*RANDBETWEEN(0,10)-RANDBETWEEN(0,10)</f>
        <v>395</v>
      </c>
      <c r="F164" t="b">
        <f ca="1">COUNTIF(dict_zuord_Meth_Pos[ID_Positions], table_Positions[[#This Row],[ID]]) &gt; 0</f>
        <v>1</v>
      </c>
    </row>
    <row r="165" spans="1:6" x14ac:dyDescent="0.45">
      <c r="A165">
        <v>163</v>
      </c>
      <c r="B165" t="str">
        <f>CONCATENATE("Position ",table_Positions[[#This Row],[ID]])</f>
        <v>Position 163</v>
      </c>
      <c r="C165" t="b">
        <f ca="1">COUNTIF(dict_zuord_Meth_Pos[ignored_help],table_Positions[[#This Row],[ID]])&gt;0</f>
        <v>0</v>
      </c>
      <c r="D165">
        <f t="shared" ca="1" si="2"/>
        <v>66</v>
      </c>
      <c r="E165">
        <f ca="1">table_Positions[[#This Row],[temp_lb]]+10+RANDBETWEEN(0,100)*RANDBETWEEN(0,10)-RANDBETWEEN(0,10)</f>
        <v>309</v>
      </c>
      <c r="F165" t="b">
        <f ca="1">COUNTIF(dict_zuord_Meth_Pos[ID_Positions], table_Positions[[#This Row],[ID]]) &gt; 0</f>
        <v>1</v>
      </c>
    </row>
    <row r="166" spans="1:6" x14ac:dyDescent="0.45">
      <c r="A166">
        <v>164</v>
      </c>
      <c r="B166" t="str">
        <f>CONCATENATE("Position ",table_Positions[[#This Row],[ID]])</f>
        <v>Position 164</v>
      </c>
      <c r="C166" t="b">
        <f ca="1">COUNTIF(dict_zuord_Meth_Pos[ignored_help],table_Positions[[#This Row],[ID]])&gt;0</f>
        <v>0</v>
      </c>
      <c r="D166">
        <f t="shared" ca="1" si="2"/>
        <v>10</v>
      </c>
      <c r="E166">
        <f ca="1">table_Positions[[#This Row],[temp_lb]]+10+RANDBETWEEN(0,100)*RANDBETWEEN(0,10)-RANDBETWEEN(0,10)</f>
        <v>29</v>
      </c>
      <c r="F166" t="b">
        <f ca="1">COUNTIF(dict_zuord_Meth_Pos[ID_Positions], table_Positions[[#This Row],[ID]]) &gt; 0</f>
        <v>1</v>
      </c>
    </row>
    <row r="167" spans="1:6" x14ac:dyDescent="0.45">
      <c r="A167">
        <v>165</v>
      </c>
      <c r="B167" t="str">
        <f>CONCATENATE("Position ",table_Positions[[#This Row],[ID]])</f>
        <v>Position 165</v>
      </c>
      <c r="C167" t="b">
        <f ca="1">COUNTIF(dict_zuord_Meth_Pos[ignored_help],table_Positions[[#This Row],[ID]])&gt;0</f>
        <v>0</v>
      </c>
      <c r="D167">
        <f t="shared" ca="1" si="2"/>
        <v>46</v>
      </c>
      <c r="E167">
        <f ca="1">table_Positions[[#This Row],[temp_lb]]+10+RANDBETWEEN(0,100)*RANDBETWEEN(0,10)-RANDBETWEEN(0,10)</f>
        <v>886</v>
      </c>
      <c r="F167" t="b">
        <f ca="1">COUNTIF(dict_zuord_Meth_Pos[ID_Positions], table_Positions[[#This Row],[ID]]) &gt; 0</f>
        <v>1</v>
      </c>
    </row>
    <row r="168" spans="1:6" x14ac:dyDescent="0.45">
      <c r="A168">
        <v>166</v>
      </c>
      <c r="B168" t="str">
        <f>CONCATENATE("Position ",table_Positions[[#This Row],[ID]])</f>
        <v>Position 166</v>
      </c>
      <c r="C168" t="b">
        <f ca="1">COUNTIF(dict_zuord_Meth_Pos[ignored_help],table_Positions[[#This Row],[ID]])&gt;0</f>
        <v>0</v>
      </c>
      <c r="D168">
        <f t="shared" ca="1" si="2"/>
        <v>43</v>
      </c>
      <c r="E168">
        <f ca="1">table_Positions[[#This Row],[temp_lb]]+10+RANDBETWEEN(0,100)*RANDBETWEEN(0,10)-RANDBETWEEN(0,10)</f>
        <v>224</v>
      </c>
      <c r="F168" t="b">
        <f ca="1">COUNTIF(dict_zuord_Meth_Pos[ID_Positions], table_Positions[[#This Row],[ID]]) &gt; 0</f>
        <v>1</v>
      </c>
    </row>
    <row r="169" spans="1:6" x14ac:dyDescent="0.45">
      <c r="A169">
        <v>167</v>
      </c>
      <c r="B169" t="str">
        <f>CONCATENATE("Position ",table_Positions[[#This Row],[ID]])</f>
        <v>Position 167</v>
      </c>
      <c r="C169" t="b">
        <f ca="1">COUNTIF(dict_zuord_Meth_Pos[ignored_help],table_Positions[[#This Row],[ID]])&gt;0</f>
        <v>0</v>
      </c>
      <c r="D169">
        <f t="shared" ca="1" si="2"/>
        <v>26</v>
      </c>
      <c r="E169">
        <f ca="1">table_Positions[[#This Row],[temp_lb]]+10+RANDBETWEEN(0,100)*RANDBETWEEN(0,10)-RANDBETWEEN(0,10)</f>
        <v>398</v>
      </c>
      <c r="F169" t="b">
        <f ca="1">COUNTIF(dict_zuord_Meth_Pos[ID_Positions], table_Positions[[#This Row],[ID]]) &gt; 0</f>
        <v>1</v>
      </c>
    </row>
    <row r="170" spans="1:6" x14ac:dyDescent="0.45">
      <c r="A170">
        <v>168</v>
      </c>
      <c r="B170" t="str">
        <f>CONCATENATE("Position ",table_Positions[[#This Row],[ID]])</f>
        <v>Position 168</v>
      </c>
      <c r="C170" t="b">
        <f ca="1">COUNTIF(dict_zuord_Meth_Pos[ignored_help],table_Positions[[#This Row],[ID]])&gt;0</f>
        <v>0</v>
      </c>
      <c r="D170">
        <f t="shared" ca="1" si="2"/>
        <v>43</v>
      </c>
      <c r="E170">
        <f ca="1">table_Positions[[#This Row],[temp_lb]]+10+RANDBETWEEN(0,100)*RANDBETWEEN(0,10)-RANDBETWEEN(0,10)</f>
        <v>124</v>
      </c>
      <c r="F170" t="b">
        <f ca="1">COUNTIF(dict_zuord_Meth_Pos[ID_Positions], table_Positions[[#This Row],[ID]]) &gt; 0</f>
        <v>1</v>
      </c>
    </row>
    <row r="171" spans="1:6" x14ac:dyDescent="0.45">
      <c r="A171">
        <v>169</v>
      </c>
      <c r="B171" t="str">
        <f>CONCATENATE("Position ",table_Positions[[#This Row],[ID]])</f>
        <v>Position 169</v>
      </c>
      <c r="C171" t="b">
        <f ca="1">COUNTIF(dict_zuord_Meth_Pos[ignored_help],table_Positions[[#This Row],[ID]])&gt;0</f>
        <v>0</v>
      </c>
      <c r="D171">
        <f t="shared" ca="1" si="2"/>
        <v>39</v>
      </c>
      <c r="E171">
        <f ca="1">table_Positions[[#This Row],[temp_lb]]+10+RANDBETWEEN(0,100)*RANDBETWEEN(0,10)-RANDBETWEEN(0,10)</f>
        <v>76</v>
      </c>
      <c r="F171" t="b">
        <f ca="1">COUNTIF(dict_zuord_Meth_Pos[ID_Positions], table_Positions[[#This Row],[ID]]) &gt; 0</f>
        <v>1</v>
      </c>
    </row>
    <row r="172" spans="1:6" x14ac:dyDescent="0.45">
      <c r="A172">
        <v>170</v>
      </c>
      <c r="B172" t="str">
        <f>CONCATENATE("Position ",table_Positions[[#This Row],[ID]])</f>
        <v>Position 170</v>
      </c>
      <c r="C172" t="b">
        <f ca="1">COUNTIF(dict_zuord_Meth_Pos[ignored_help],table_Positions[[#This Row],[ID]])&gt;0</f>
        <v>0</v>
      </c>
      <c r="D172">
        <f t="shared" ca="1" si="2"/>
        <v>12</v>
      </c>
      <c r="E172">
        <f ca="1">table_Positions[[#This Row],[temp_lb]]+10+RANDBETWEEN(0,100)*RANDBETWEEN(0,10)-RANDBETWEEN(0,10)</f>
        <v>807</v>
      </c>
      <c r="F172" t="b">
        <f ca="1">COUNTIF(dict_zuord_Meth_Pos[ID_Positions], table_Positions[[#This Row],[ID]]) &gt; 0</f>
        <v>1</v>
      </c>
    </row>
    <row r="173" spans="1:6" x14ac:dyDescent="0.45">
      <c r="A173">
        <v>171</v>
      </c>
      <c r="B173" t="str">
        <f>CONCATENATE("Position ",table_Positions[[#This Row],[ID]])</f>
        <v>Position 171</v>
      </c>
      <c r="C173" t="b">
        <f ca="1">COUNTIF(dict_zuord_Meth_Pos[ignored_help],table_Positions[[#This Row],[ID]])&gt;0</f>
        <v>0</v>
      </c>
      <c r="D173">
        <f t="shared" ca="1" si="2"/>
        <v>51</v>
      </c>
      <c r="E173">
        <f ca="1">table_Positions[[#This Row],[temp_lb]]+10+RANDBETWEEN(0,100)*RANDBETWEEN(0,10)-RANDBETWEEN(0,10)</f>
        <v>571</v>
      </c>
      <c r="F173" t="b">
        <f ca="1">COUNTIF(dict_zuord_Meth_Pos[ID_Positions], table_Positions[[#This Row],[ID]]) &gt; 0</f>
        <v>1</v>
      </c>
    </row>
    <row r="174" spans="1:6" x14ac:dyDescent="0.45">
      <c r="A174">
        <v>172</v>
      </c>
      <c r="B174" t="str">
        <f>CONCATENATE("Position ",table_Positions[[#This Row],[ID]])</f>
        <v>Position 172</v>
      </c>
      <c r="C174" t="b">
        <f ca="1">COUNTIF(dict_zuord_Meth_Pos[ignored_help],table_Positions[[#This Row],[ID]])&gt;0</f>
        <v>0</v>
      </c>
      <c r="D174">
        <f t="shared" ca="1" si="2"/>
        <v>0</v>
      </c>
      <c r="E174">
        <f ca="1">table_Positions[[#This Row],[temp_lb]]+10+RANDBETWEEN(0,100)*RANDBETWEEN(0,10)-RANDBETWEEN(0,10)</f>
        <v>792</v>
      </c>
      <c r="F174" t="b">
        <f ca="1">COUNTIF(dict_zuord_Meth_Pos[ID_Positions], table_Positions[[#This Row],[ID]]) &gt; 0</f>
        <v>1</v>
      </c>
    </row>
    <row r="175" spans="1:6" x14ac:dyDescent="0.45">
      <c r="A175">
        <v>173</v>
      </c>
      <c r="B175" t="str">
        <f>CONCATENATE("Position ",table_Positions[[#This Row],[ID]])</f>
        <v>Position 173</v>
      </c>
      <c r="C175" t="b">
        <f ca="1">COUNTIF(dict_zuord_Meth_Pos[ignored_help],table_Positions[[#This Row],[ID]])&gt;0</f>
        <v>0</v>
      </c>
      <c r="D175">
        <f t="shared" ca="1" si="2"/>
        <v>96</v>
      </c>
      <c r="E175">
        <f ca="1">table_Positions[[#This Row],[temp_lb]]+10+RANDBETWEEN(0,100)*RANDBETWEEN(0,10)-RANDBETWEEN(0,10)</f>
        <v>186</v>
      </c>
      <c r="F175" t="b">
        <f ca="1">COUNTIF(dict_zuord_Meth_Pos[ID_Positions], table_Positions[[#This Row],[ID]]) &gt; 0</f>
        <v>1</v>
      </c>
    </row>
    <row r="176" spans="1:6" x14ac:dyDescent="0.45">
      <c r="A176">
        <v>174</v>
      </c>
      <c r="B176" t="str">
        <f>CONCATENATE("Position ",table_Positions[[#This Row],[ID]])</f>
        <v>Position 174</v>
      </c>
      <c r="C176" t="b">
        <f ca="1">COUNTIF(dict_zuord_Meth_Pos[ignored_help],table_Positions[[#This Row],[ID]])&gt;0</f>
        <v>0</v>
      </c>
      <c r="D176">
        <f t="shared" ca="1" si="2"/>
        <v>8</v>
      </c>
      <c r="E176">
        <f ca="1">table_Positions[[#This Row],[temp_lb]]+10+RANDBETWEEN(0,100)*RANDBETWEEN(0,10)-RANDBETWEEN(0,10)</f>
        <v>27</v>
      </c>
      <c r="F176" t="b">
        <f ca="1">COUNTIF(dict_zuord_Meth_Pos[ID_Positions], table_Positions[[#This Row],[ID]]) &gt; 0</f>
        <v>1</v>
      </c>
    </row>
    <row r="177" spans="1:6" x14ac:dyDescent="0.45">
      <c r="A177">
        <v>175</v>
      </c>
      <c r="B177" t="str">
        <f>CONCATENATE("Position ",table_Positions[[#This Row],[ID]])</f>
        <v>Position 175</v>
      </c>
      <c r="C177" t="b">
        <f ca="1">COUNTIF(dict_zuord_Meth_Pos[ignored_help],table_Positions[[#This Row],[ID]])&gt;0</f>
        <v>0</v>
      </c>
      <c r="D177">
        <f t="shared" ca="1" si="2"/>
        <v>34</v>
      </c>
      <c r="E177">
        <f ca="1">table_Positions[[#This Row],[temp_lb]]+10+RANDBETWEEN(0,100)*RANDBETWEEN(0,10)-RANDBETWEEN(0,10)</f>
        <v>98</v>
      </c>
      <c r="F177" t="b">
        <f ca="1">COUNTIF(dict_zuord_Meth_Pos[ID_Positions], table_Positions[[#This Row],[ID]]) &gt; 0</f>
        <v>1</v>
      </c>
    </row>
    <row r="178" spans="1:6" x14ac:dyDescent="0.45">
      <c r="A178">
        <v>176</v>
      </c>
      <c r="B178" t="str">
        <f>CONCATENATE("Position ",table_Positions[[#This Row],[ID]])</f>
        <v>Position 176</v>
      </c>
      <c r="C178" t="b">
        <f ca="1">COUNTIF(dict_zuord_Meth_Pos[ignored_help],table_Positions[[#This Row],[ID]])&gt;0</f>
        <v>0</v>
      </c>
      <c r="D178">
        <f t="shared" ca="1" si="2"/>
        <v>29</v>
      </c>
      <c r="E178">
        <f ca="1">table_Positions[[#This Row],[temp_lb]]+10+RANDBETWEEN(0,100)*RANDBETWEEN(0,10)-RANDBETWEEN(0,10)</f>
        <v>125</v>
      </c>
      <c r="F178" t="b">
        <f ca="1">COUNTIF(dict_zuord_Meth_Pos[ID_Positions], table_Positions[[#This Row],[ID]]) &gt; 0</f>
        <v>1</v>
      </c>
    </row>
    <row r="179" spans="1:6" x14ac:dyDescent="0.45">
      <c r="A179">
        <v>177</v>
      </c>
      <c r="B179" t="str">
        <f>CONCATENATE("Position ",table_Positions[[#This Row],[ID]])</f>
        <v>Position 177</v>
      </c>
      <c r="C179" t="b">
        <f ca="1">COUNTIF(dict_zuord_Meth_Pos[ignored_help],table_Positions[[#This Row],[ID]])&gt;0</f>
        <v>0</v>
      </c>
      <c r="D179">
        <f t="shared" ca="1" si="2"/>
        <v>32</v>
      </c>
      <c r="E179">
        <f ca="1">table_Positions[[#This Row],[temp_lb]]+10+RANDBETWEEN(0,100)*RANDBETWEEN(0,10)-RANDBETWEEN(0,10)</f>
        <v>96</v>
      </c>
      <c r="F179" t="b">
        <f ca="1">COUNTIF(dict_zuord_Meth_Pos[ID_Positions], table_Positions[[#This Row],[ID]]) &gt; 0</f>
        <v>1</v>
      </c>
    </row>
    <row r="180" spans="1:6" x14ac:dyDescent="0.45">
      <c r="A180">
        <v>178</v>
      </c>
      <c r="B180" t="str">
        <f>CONCATENATE("Position ",table_Positions[[#This Row],[ID]])</f>
        <v>Position 178</v>
      </c>
      <c r="C180" t="b">
        <f ca="1">COUNTIF(dict_zuord_Meth_Pos[ignored_help],table_Positions[[#This Row],[ID]])&gt;0</f>
        <v>0</v>
      </c>
      <c r="D180">
        <f t="shared" ca="1" si="2"/>
        <v>67</v>
      </c>
      <c r="E180">
        <f ca="1">table_Positions[[#This Row],[temp_lb]]+10+RANDBETWEEN(0,100)*RANDBETWEEN(0,10)-RANDBETWEEN(0,10)</f>
        <v>192</v>
      </c>
      <c r="F180" t="b">
        <f ca="1">COUNTIF(dict_zuord_Meth_Pos[ID_Positions], table_Positions[[#This Row],[ID]]) &gt; 0</f>
        <v>1</v>
      </c>
    </row>
    <row r="181" spans="1:6" x14ac:dyDescent="0.45">
      <c r="A181">
        <v>179</v>
      </c>
      <c r="B181" t="str">
        <f>CONCATENATE("Position ",table_Positions[[#This Row],[ID]])</f>
        <v>Position 179</v>
      </c>
      <c r="C181" t="b">
        <f ca="1">COUNTIF(dict_zuord_Meth_Pos[ignored_help],table_Positions[[#This Row],[ID]])&gt;0</f>
        <v>0</v>
      </c>
      <c r="D181">
        <f t="shared" ca="1" si="2"/>
        <v>18</v>
      </c>
      <c r="E181">
        <f ca="1">table_Positions[[#This Row],[temp_lb]]+10+RANDBETWEEN(0,100)*RANDBETWEEN(0,10)-RANDBETWEEN(0,10)</f>
        <v>56</v>
      </c>
      <c r="F181" t="b">
        <f ca="1">COUNTIF(dict_zuord_Meth_Pos[ID_Positions], table_Positions[[#This Row],[ID]]) &gt; 0</f>
        <v>1</v>
      </c>
    </row>
    <row r="182" spans="1:6" x14ac:dyDescent="0.45">
      <c r="A182">
        <v>180</v>
      </c>
      <c r="B182" t="str">
        <f>CONCATENATE("Position ",table_Positions[[#This Row],[ID]])</f>
        <v>Position 180</v>
      </c>
      <c r="C182" t="b">
        <f ca="1">COUNTIF(dict_zuord_Meth_Pos[ignored_help],table_Positions[[#This Row],[ID]])&gt;0</f>
        <v>0</v>
      </c>
      <c r="D182">
        <f t="shared" ca="1" si="2"/>
        <v>61</v>
      </c>
      <c r="E182">
        <f ca="1">table_Positions[[#This Row],[temp_lb]]+10+RANDBETWEEN(0,100)*RANDBETWEEN(0,10)-RANDBETWEEN(0,10)</f>
        <v>66</v>
      </c>
      <c r="F182" t="b">
        <f ca="1">COUNTIF(dict_zuord_Meth_Pos[ID_Positions], table_Positions[[#This Row],[ID]]) &gt; 0</f>
        <v>1</v>
      </c>
    </row>
    <row r="183" spans="1:6" x14ac:dyDescent="0.45">
      <c r="A183">
        <v>181</v>
      </c>
      <c r="B183" t="str">
        <f>CONCATENATE("Position ",table_Positions[[#This Row],[ID]])</f>
        <v>Position 181</v>
      </c>
      <c r="C183" t="b">
        <f ca="1">COUNTIF(dict_zuord_Meth_Pos[ignored_help],table_Positions[[#This Row],[ID]])&gt;0</f>
        <v>0</v>
      </c>
      <c r="D183">
        <f t="shared" ca="1" si="2"/>
        <v>30</v>
      </c>
      <c r="E183">
        <f ca="1">table_Positions[[#This Row],[temp_lb]]+10+RANDBETWEEN(0,100)*RANDBETWEEN(0,10)-RANDBETWEEN(0,10)</f>
        <v>359</v>
      </c>
      <c r="F183" t="b">
        <f ca="1">COUNTIF(dict_zuord_Meth_Pos[ID_Positions], table_Positions[[#This Row],[ID]]) &gt; 0</f>
        <v>1</v>
      </c>
    </row>
    <row r="184" spans="1:6" x14ac:dyDescent="0.45">
      <c r="A184">
        <v>182</v>
      </c>
      <c r="B184" t="str">
        <f>CONCATENATE("Position ",table_Positions[[#This Row],[ID]])</f>
        <v>Position 182</v>
      </c>
      <c r="C184" t="b">
        <f ca="1">COUNTIF(dict_zuord_Meth_Pos[ignored_help],table_Positions[[#This Row],[ID]])&gt;0</f>
        <v>0</v>
      </c>
      <c r="D184">
        <f t="shared" ca="1" si="2"/>
        <v>9</v>
      </c>
      <c r="E184">
        <f ca="1">table_Positions[[#This Row],[temp_lb]]+10+RANDBETWEEN(0,100)*RANDBETWEEN(0,10)-RANDBETWEEN(0,10)</f>
        <v>230</v>
      </c>
      <c r="F184" t="b">
        <f ca="1">COUNTIF(dict_zuord_Meth_Pos[ID_Positions], table_Positions[[#This Row],[ID]]) &gt; 0</f>
        <v>1</v>
      </c>
    </row>
    <row r="185" spans="1:6" x14ac:dyDescent="0.45">
      <c r="A185">
        <v>183</v>
      </c>
      <c r="B185" t="str">
        <f>CONCATENATE("Position ",table_Positions[[#This Row],[ID]])</f>
        <v>Position 183</v>
      </c>
      <c r="C185" t="b">
        <f ca="1">COUNTIF(dict_zuord_Meth_Pos[ignored_help],table_Positions[[#This Row],[ID]])&gt;0</f>
        <v>0</v>
      </c>
      <c r="D185">
        <f t="shared" ca="1" si="2"/>
        <v>7</v>
      </c>
      <c r="E185">
        <f ca="1">table_Positions[[#This Row],[temp_lb]]+10+RANDBETWEEN(0,100)*RANDBETWEEN(0,10)-RANDBETWEEN(0,10)</f>
        <v>397</v>
      </c>
      <c r="F185" t="b">
        <f ca="1">COUNTIF(dict_zuord_Meth_Pos[ID_Positions], table_Positions[[#This Row],[ID]]) &gt; 0</f>
        <v>1</v>
      </c>
    </row>
    <row r="186" spans="1:6" x14ac:dyDescent="0.45">
      <c r="A186">
        <v>184</v>
      </c>
      <c r="B186" t="str">
        <f>CONCATENATE("Position ",table_Positions[[#This Row],[ID]])</f>
        <v>Position 184</v>
      </c>
      <c r="C186" t="b">
        <f ca="1">COUNTIF(dict_zuord_Meth_Pos[ignored_help],table_Positions[[#This Row],[ID]])&gt;0</f>
        <v>0</v>
      </c>
      <c r="D186">
        <f t="shared" ca="1" si="2"/>
        <v>49</v>
      </c>
      <c r="E186">
        <f ca="1">table_Positions[[#This Row],[temp_lb]]+10+RANDBETWEEN(0,100)*RANDBETWEEN(0,10)-RANDBETWEEN(0,10)</f>
        <v>235</v>
      </c>
      <c r="F186" t="b">
        <f ca="1">COUNTIF(dict_zuord_Meth_Pos[ID_Positions], table_Positions[[#This Row],[ID]]) &gt; 0</f>
        <v>1</v>
      </c>
    </row>
    <row r="187" spans="1:6" x14ac:dyDescent="0.45">
      <c r="A187">
        <v>185</v>
      </c>
      <c r="B187" t="str">
        <f>CONCATENATE("Position ",table_Positions[[#This Row],[ID]])</f>
        <v>Position 185</v>
      </c>
      <c r="C187" t="b">
        <f ca="1">COUNTIF(dict_zuord_Meth_Pos[ignored_help],table_Positions[[#This Row],[ID]])&gt;0</f>
        <v>0</v>
      </c>
      <c r="D187">
        <f t="shared" ca="1" si="2"/>
        <v>87</v>
      </c>
      <c r="E187">
        <f ca="1">table_Positions[[#This Row],[temp_lb]]+10+RANDBETWEEN(0,100)*RANDBETWEEN(0,10)-RANDBETWEEN(0,10)</f>
        <v>279</v>
      </c>
      <c r="F187" t="b">
        <f ca="1">COUNTIF(dict_zuord_Meth_Pos[ID_Positions], table_Positions[[#This Row],[ID]]) &gt; 0</f>
        <v>1</v>
      </c>
    </row>
    <row r="188" spans="1:6" x14ac:dyDescent="0.45">
      <c r="A188">
        <v>186</v>
      </c>
      <c r="B188" t="str">
        <f>CONCATENATE("Position ",table_Positions[[#This Row],[ID]])</f>
        <v>Position 186</v>
      </c>
      <c r="C188" t="b">
        <f ca="1">COUNTIF(dict_zuord_Meth_Pos[ignored_help],table_Positions[[#This Row],[ID]])&gt;0</f>
        <v>0</v>
      </c>
      <c r="D188">
        <f t="shared" ca="1" si="2"/>
        <v>63</v>
      </c>
      <c r="E188">
        <f ca="1">table_Positions[[#This Row],[temp_lb]]+10+RANDBETWEEN(0,100)*RANDBETWEEN(0,10)-RANDBETWEEN(0,10)</f>
        <v>107</v>
      </c>
      <c r="F188" t="b">
        <f ca="1">COUNTIF(dict_zuord_Meth_Pos[ID_Positions], table_Positions[[#This Row],[ID]]) &gt; 0</f>
        <v>1</v>
      </c>
    </row>
    <row r="189" spans="1:6" x14ac:dyDescent="0.45">
      <c r="A189">
        <v>187</v>
      </c>
      <c r="B189" t="str">
        <f>CONCATENATE("Position ",table_Positions[[#This Row],[ID]])</f>
        <v>Position 187</v>
      </c>
      <c r="C189" t="b">
        <f ca="1">COUNTIF(dict_zuord_Meth_Pos[ignored_help],table_Positions[[#This Row],[ID]])&gt;0</f>
        <v>0</v>
      </c>
      <c r="D189">
        <f t="shared" ca="1" si="2"/>
        <v>112</v>
      </c>
      <c r="E189">
        <f ca="1">table_Positions[[#This Row],[temp_lb]]+10+RANDBETWEEN(0,100)*RANDBETWEEN(0,10)-RANDBETWEEN(0,10)</f>
        <v>117</v>
      </c>
      <c r="F189" t="b">
        <f ca="1">COUNTIF(dict_zuord_Meth_Pos[ID_Positions], table_Positions[[#This Row],[ID]]) &gt; 0</f>
        <v>1</v>
      </c>
    </row>
    <row r="190" spans="1:6" x14ac:dyDescent="0.45">
      <c r="A190">
        <v>188</v>
      </c>
      <c r="B190" t="str">
        <f>CONCATENATE("Position ",table_Positions[[#This Row],[ID]])</f>
        <v>Position 188</v>
      </c>
      <c r="C190" t="b">
        <f ca="1">COUNTIF(dict_zuord_Meth_Pos[ignored_help],table_Positions[[#This Row],[ID]])&gt;0</f>
        <v>0</v>
      </c>
      <c r="D190">
        <f t="shared" ca="1" si="2"/>
        <v>17</v>
      </c>
      <c r="E190">
        <f ca="1">table_Positions[[#This Row],[temp_lb]]+10+RANDBETWEEN(0,100)*RANDBETWEEN(0,10)-RANDBETWEEN(0,10)</f>
        <v>213</v>
      </c>
      <c r="F190" t="b">
        <f ca="1">COUNTIF(dict_zuord_Meth_Pos[ID_Positions], table_Positions[[#This Row],[ID]]) &gt; 0</f>
        <v>1</v>
      </c>
    </row>
    <row r="191" spans="1:6" x14ac:dyDescent="0.45">
      <c r="A191">
        <v>189</v>
      </c>
      <c r="B191" t="str">
        <f>CONCATENATE("Position ",table_Positions[[#This Row],[ID]])</f>
        <v>Position 189</v>
      </c>
      <c r="C191" t="b">
        <f ca="1">COUNTIF(dict_zuord_Meth_Pos[ignored_help],table_Positions[[#This Row],[ID]])&gt;0</f>
        <v>0</v>
      </c>
      <c r="D191">
        <f t="shared" ca="1" si="2"/>
        <v>17</v>
      </c>
      <c r="E191">
        <f ca="1">table_Positions[[#This Row],[temp_lb]]+10+RANDBETWEEN(0,100)*RANDBETWEEN(0,10)-RANDBETWEEN(0,10)</f>
        <v>322</v>
      </c>
      <c r="F191" t="b">
        <f ca="1">COUNTIF(dict_zuord_Meth_Pos[ID_Positions], table_Positions[[#This Row],[ID]]) &gt; 0</f>
        <v>1</v>
      </c>
    </row>
    <row r="192" spans="1:6" x14ac:dyDescent="0.45">
      <c r="A192">
        <v>190</v>
      </c>
      <c r="B192" t="str">
        <f>CONCATENATE("Position ",table_Positions[[#This Row],[ID]])</f>
        <v>Position 190</v>
      </c>
      <c r="C192" t="b">
        <f ca="1">COUNTIF(dict_zuord_Meth_Pos[ignored_help],table_Positions[[#This Row],[ID]])&gt;0</f>
        <v>0</v>
      </c>
      <c r="D192">
        <f t="shared" ca="1" si="2"/>
        <v>49</v>
      </c>
      <c r="E192">
        <f ca="1">table_Positions[[#This Row],[temp_lb]]+10+RANDBETWEEN(0,100)*RANDBETWEEN(0,10)-RANDBETWEEN(0,10)</f>
        <v>250</v>
      </c>
      <c r="F192" t="b">
        <f ca="1">COUNTIF(dict_zuord_Meth_Pos[ID_Positions], table_Positions[[#This Row],[ID]]) &gt; 0</f>
        <v>1</v>
      </c>
    </row>
    <row r="193" spans="1:6" x14ac:dyDescent="0.45">
      <c r="A193">
        <v>191</v>
      </c>
      <c r="B193" t="str">
        <f>CONCATENATE("Position ",table_Positions[[#This Row],[ID]])</f>
        <v>Position 191</v>
      </c>
      <c r="C193" t="b">
        <f ca="1">COUNTIF(dict_zuord_Meth_Pos[ignored_help],table_Positions[[#This Row],[ID]])&gt;0</f>
        <v>0</v>
      </c>
      <c r="D193">
        <f t="shared" ca="1" si="2"/>
        <v>16</v>
      </c>
      <c r="E193">
        <f ca="1">table_Positions[[#This Row],[temp_lb]]+10+RANDBETWEEN(0,100)*RANDBETWEEN(0,10)-RANDBETWEEN(0,10)</f>
        <v>41</v>
      </c>
      <c r="F193" t="b">
        <f ca="1">COUNTIF(dict_zuord_Meth_Pos[ID_Positions], table_Positions[[#This Row],[ID]]) &gt; 0</f>
        <v>1</v>
      </c>
    </row>
    <row r="194" spans="1:6" x14ac:dyDescent="0.45">
      <c r="A194">
        <v>192</v>
      </c>
      <c r="B194" t="str">
        <f>CONCATENATE("Position ",table_Positions[[#This Row],[ID]])</f>
        <v>Position 192</v>
      </c>
      <c r="C194" t="b">
        <f ca="1">COUNTIF(dict_zuord_Meth_Pos[ignored_help],table_Positions[[#This Row],[ID]])&gt;0</f>
        <v>0</v>
      </c>
      <c r="D194">
        <f t="shared" ref="D194:D202" ca="1" si="3">20+RANDBETWEEN(0,10)*RANDBETWEEN(0,10)-RANDBETWEEN(0,20)</f>
        <v>6</v>
      </c>
      <c r="E194">
        <f ca="1">table_Positions[[#This Row],[temp_lb]]+10+RANDBETWEEN(0,100)*RANDBETWEEN(0,10)-RANDBETWEEN(0,10)</f>
        <v>102</v>
      </c>
      <c r="F194" t="b">
        <f ca="1">COUNTIF(dict_zuord_Meth_Pos[ID_Positions], table_Positions[[#This Row],[ID]]) &gt; 0</f>
        <v>1</v>
      </c>
    </row>
    <row r="195" spans="1:6" x14ac:dyDescent="0.45">
      <c r="A195">
        <v>193</v>
      </c>
      <c r="B195" t="str">
        <f>CONCATENATE("Position ",table_Positions[[#This Row],[ID]])</f>
        <v>Position 193</v>
      </c>
      <c r="C195" t="b">
        <f ca="1">COUNTIF(dict_zuord_Meth_Pos[ignored_help],table_Positions[[#This Row],[ID]])&gt;0</f>
        <v>0</v>
      </c>
      <c r="D195">
        <f t="shared" ca="1" si="3"/>
        <v>95</v>
      </c>
      <c r="E195">
        <f ca="1">table_Positions[[#This Row],[temp_lb]]+10+RANDBETWEEN(0,100)*RANDBETWEEN(0,10)-RANDBETWEEN(0,10)</f>
        <v>180</v>
      </c>
      <c r="F195" t="b">
        <f ca="1">COUNTIF(dict_zuord_Meth_Pos[ID_Positions], table_Positions[[#This Row],[ID]]) &gt; 0</f>
        <v>1</v>
      </c>
    </row>
    <row r="196" spans="1:6" x14ac:dyDescent="0.45">
      <c r="A196">
        <v>194</v>
      </c>
      <c r="B196" t="str">
        <f>CONCATENATE("Position ",table_Positions[[#This Row],[ID]])</f>
        <v>Position 194</v>
      </c>
      <c r="C196" t="b">
        <f ca="1">COUNTIF(dict_zuord_Meth_Pos[ignored_help],table_Positions[[#This Row],[ID]])&gt;0</f>
        <v>0</v>
      </c>
      <c r="D196">
        <f t="shared" ca="1" si="3"/>
        <v>2</v>
      </c>
      <c r="E196">
        <f ca="1">table_Positions[[#This Row],[temp_lb]]+10+RANDBETWEEN(0,100)*RANDBETWEEN(0,10)-RANDBETWEEN(0,10)</f>
        <v>707</v>
      </c>
      <c r="F196" t="b">
        <f ca="1">COUNTIF(dict_zuord_Meth_Pos[ID_Positions], table_Positions[[#This Row],[ID]]) &gt; 0</f>
        <v>1</v>
      </c>
    </row>
    <row r="197" spans="1:6" x14ac:dyDescent="0.45">
      <c r="A197">
        <v>195</v>
      </c>
      <c r="B197" t="str">
        <f>CONCATENATE("Position ",table_Positions[[#This Row],[ID]])</f>
        <v>Position 195</v>
      </c>
      <c r="C197" t="b">
        <f ca="1">COUNTIF(dict_zuord_Meth_Pos[ignored_help],table_Positions[[#This Row],[ID]])&gt;0</f>
        <v>1</v>
      </c>
      <c r="D197">
        <f t="shared" ca="1" si="3"/>
        <v>9</v>
      </c>
      <c r="E197">
        <f ca="1">table_Positions[[#This Row],[temp_lb]]+10+RANDBETWEEN(0,100)*RANDBETWEEN(0,10)-RANDBETWEEN(0,10)</f>
        <v>167</v>
      </c>
      <c r="F197" t="b">
        <f ca="1">COUNTIF(dict_zuord_Meth_Pos[ID_Positions], table_Positions[[#This Row],[ID]]) &gt; 0</f>
        <v>1</v>
      </c>
    </row>
    <row r="198" spans="1:6" x14ac:dyDescent="0.45">
      <c r="A198">
        <v>196</v>
      </c>
      <c r="B198" t="str">
        <f>CONCATENATE("Position ",table_Positions[[#This Row],[ID]])</f>
        <v>Position 196</v>
      </c>
      <c r="C198" t="b">
        <f ca="1">COUNTIF(dict_zuord_Meth_Pos[ignored_help],table_Positions[[#This Row],[ID]])&gt;0</f>
        <v>0</v>
      </c>
      <c r="D198">
        <f t="shared" ca="1" si="3"/>
        <v>11</v>
      </c>
      <c r="E198">
        <f ca="1">table_Positions[[#This Row],[temp_lb]]+10+RANDBETWEEN(0,100)*RANDBETWEEN(0,10)-RANDBETWEEN(0,10)</f>
        <v>554</v>
      </c>
      <c r="F198" t="b">
        <f ca="1">COUNTIF(dict_zuord_Meth_Pos[ID_Positions], table_Positions[[#This Row],[ID]]) &gt; 0</f>
        <v>1</v>
      </c>
    </row>
    <row r="199" spans="1:6" x14ac:dyDescent="0.45">
      <c r="A199">
        <v>197</v>
      </c>
      <c r="B199" t="str">
        <f>CONCATENATE("Position ",table_Positions[[#This Row],[ID]])</f>
        <v>Position 197</v>
      </c>
      <c r="C199" t="b">
        <f ca="1">COUNTIF(dict_zuord_Meth_Pos[ignored_help],table_Positions[[#This Row],[ID]])&gt;0</f>
        <v>0</v>
      </c>
      <c r="D199">
        <f t="shared" ca="1" si="3"/>
        <v>10</v>
      </c>
      <c r="E199">
        <f ca="1">table_Positions[[#This Row],[temp_lb]]+10+RANDBETWEEN(0,100)*RANDBETWEEN(0,10)-RANDBETWEEN(0,10)</f>
        <v>54</v>
      </c>
      <c r="F199" t="b">
        <f ca="1">COUNTIF(dict_zuord_Meth_Pos[ID_Positions], table_Positions[[#This Row],[ID]]) &gt; 0</f>
        <v>1</v>
      </c>
    </row>
    <row r="200" spans="1:6" x14ac:dyDescent="0.45">
      <c r="A200">
        <v>198</v>
      </c>
      <c r="B200" t="str">
        <f>CONCATENATE("Position ",table_Positions[[#This Row],[ID]])</f>
        <v>Position 198</v>
      </c>
      <c r="C200" t="b">
        <f ca="1">COUNTIF(dict_zuord_Meth_Pos[ignored_help],table_Positions[[#This Row],[ID]])&gt;0</f>
        <v>0</v>
      </c>
      <c r="D200">
        <f t="shared" ca="1" si="3"/>
        <v>51</v>
      </c>
      <c r="E200">
        <f ca="1">table_Positions[[#This Row],[temp_lb]]+10+RANDBETWEEN(0,100)*RANDBETWEEN(0,10)-RANDBETWEEN(0,10)</f>
        <v>248</v>
      </c>
      <c r="F200" t="b">
        <f ca="1">COUNTIF(dict_zuord_Meth_Pos[ID_Positions], table_Positions[[#This Row],[ID]]) &gt; 0</f>
        <v>1</v>
      </c>
    </row>
    <row r="201" spans="1:6" x14ac:dyDescent="0.45">
      <c r="A201">
        <v>199</v>
      </c>
      <c r="B201" t="str">
        <f>CONCATENATE("Position ",table_Positions[[#This Row],[ID]])</f>
        <v>Position 199</v>
      </c>
      <c r="C201" t="b">
        <f ca="1">COUNTIF(dict_zuord_Meth_Pos[ignored_help],table_Positions[[#This Row],[ID]])&gt;0</f>
        <v>0</v>
      </c>
      <c r="D201">
        <f t="shared" ca="1" si="3"/>
        <v>63</v>
      </c>
      <c r="E201">
        <f ca="1">table_Positions[[#This Row],[temp_lb]]+10+RANDBETWEEN(0,100)*RANDBETWEEN(0,10)-RANDBETWEEN(0,10)</f>
        <v>276</v>
      </c>
      <c r="F201" t="b">
        <f ca="1">COUNTIF(dict_zuord_Meth_Pos[ID_Positions], table_Positions[[#This Row],[ID]]) &gt; 0</f>
        <v>1</v>
      </c>
    </row>
    <row r="202" spans="1:6" x14ac:dyDescent="0.45">
      <c r="A202">
        <v>200</v>
      </c>
      <c r="B202" t="str">
        <f>CONCATENATE("Position ",table_Positions[[#This Row],[ID]])</f>
        <v>Position 200</v>
      </c>
      <c r="C202" t="b">
        <f ca="1">COUNTIF(dict_zuord_Meth_Pos[ignored_help],table_Positions[[#This Row],[ID]])&gt;0</f>
        <v>0</v>
      </c>
      <c r="D202">
        <f t="shared" ca="1" si="3"/>
        <v>16</v>
      </c>
      <c r="E202">
        <f ca="1">table_Positions[[#This Row],[temp_lb]]+10+RANDBETWEEN(0,100)*RANDBETWEEN(0,10)-RANDBETWEEN(0,10)</f>
        <v>332</v>
      </c>
      <c r="F202" t="b">
        <f ca="1">COUNTIF(dict_zuord_Meth_Pos[ID_Positions], table_Positions[[#This Row],[ID]]) &gt; 0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F202"/>
  <sheetViews>
    <sheetView workbookViewId="0"/>
  </sheetViews>
  <sheetFormatPr baseColWidth="10" defaultRowHeight="14.25" x14ac:dyDescent="0.45"/>
  <cols>
    <col min="2" max="3" width="19.53125" customWidth="1"/>
    <col min="4" max="4" width="18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CONCATENATE("Tranfer ",table_Transfers[[#This Row],[ID]])</f>
        <v>Tranfer 0</v>
      </c>
      <c r="C2" t="b">
        <f ca="1">COUNTIF(dict_zuord_Meth_Transfers[ignored_help],table_Transfers[[#This Row],[ID]])&gt;0</f>
        <v>1</v>
      </c>
      <c r="D2">
        <f t="shared" ref="D2:D33" ca="1" si="0">2^RANDBETWEEN(6,12)*100*RANDBETWEEN(10,100)</f>
        <v>2252800</v>
      </c>
      <c r="E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194</v>
      </c>
      <c r="F2">
        <f ca="1">ROUND(ROUND(1/table_Transfers[[#This Row],[investcost]],3)*RANDBETWEEN(10,100)/10,5)</f>
        <v>3.9E-2</v>
      </c>
    </row>
    <row r="3" spans="1:6" x14ac:dyDescent="0.45">
      <c r="A3">
        <v>1</v>
      </c>
      <c r="B3" t="str">
        <f>CONCATENATE("Tranfer ",table_Transfers[[#This Row],[ID]])</f>
        <v>Tranfer 1</v>
      </c>
      <c r="C3" t="b">
        <f ca="1">COUNTIF(dict_zuord_Meth_Transfers[ignored_help],table_Transfers[[#This Row],[ID]])&gt;0</f>
        <v>0</v>
      </c>
      <c r="D3">
        <f t="shared" ca="1" si="0"/>
        <v>10444800</v>
      </c>
      <c r="E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1531</v>
      </c>
      <c r="F3">
        <f ca="1">ROUND(1/table_Transfers[[#This Row],[investcost]]*RANDBETWEEN(10,100)/10,5)</f>
        <v>5.94E-3</v>
      </c>
    </row>
    <row r="4" spans="1:6" x14ac:dyDescent="0.45">
      <c r="A4">
        <v>2</v>
      </c>
      <c r="B4" t="str">
        <f>CONCATENATE("Tranfer ",table_Transfers[[#This Row],[ID]])</f>
        <v>Tranfer 2</v>
      </c>
      <c r="C4" t="b">
        <f ca="1">COUNTIF(dict_zuord_Meth_Transfers[ignored_help],table_Transfers[[#This Row],[ID]])&gt;0</f>
        <v>1</v>
      </c>
      <c r="D4">
        <f t="shared" ca="1" si="0"/>
        <v>819200</v>
      </c>
      <c r="E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101</v>
      </c>
      <c r="F4">
        <f ca="1">ROUND(1/table_Transfers[[#This Row],[investcost]]*RANDBETWEEN(10,100)/10,5)</f>
        <v>5.6439999999999997E-2</v>
      </c>
    </row>
    <row r="5" spans="1:6" x14ac:dyDescent="0.45">
      <c r="A5">
        <v>3</v>
      </c>
      <c r="B5" t="str">
        <f>CONCATENATE("Tranfer ",table_Transfers[[#This Row],[ID]])</f>
        <v>Tranfer 3</v>
      </c>
      <c r="C5" t="b">
        <f ca="1">COUNTIF(dict_zuord_Meth_Transfers[ignored_help],table_Transfers[[#This Row],[ID]])&gt;0</f>
        <v>1</v>
      </c>
      <c r="D5">
        <f t="shared" ca="1" si="0"/>
        <v>19660800</v>
      </c>
      <c r="E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1317</v>
      </c>
      <c r="F5">
        <f ca="1">ROUND(1/table_Transfers[[#This Row],[investcost]]*RANDBETWEEN(10,100)/10,5)</f>
        <v>6.0000000000000001E-3</v>
      </c>
    </row>
    <row r="6" spans="1:6" x14ac:dyDescent="0.45">
      <c r="A6">
        <v>4</v>
      </c>
      <c r="B6" t="str">
        <f>CONCATENATE("Tranfer ",table_Transfers[[#This Row],[ID]])</f>
        <v>Tranfer 4</v>
      </c>
      <c r="C6" t="b">
        <f ca="1">COUNTIF(dict_zuord_Meth_Transfers[ignored_help],table_Transfers[[#This Row],[ID]])&gt;0</f>
        <v>1</v>
      </c>
      <c r="D6">
        <f t="shared" ca="1" si="0"/>
        <v>18227200</v>
      </c>
      <c r="E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3662</v>
      </c>
      <c r="F6">
        <f ca="1">ROUND(1/table_Transfers[[#This Row],[investcost]]*RANDBETWEEN(10,100)/10,5)</f>
        <v>1.2600000000000001E-3</v>
      </c>
    </row>
    <row r="7" spans="1:6" x14ac:dyDescent="0.45">
      <c r="A7">
        <v>5</v>
      </c>
      <c r="B7" t="str">
        <f>CONCATENATE("Tranfer ",table_Transfers[[#This Row],[ID]])</f>
        <v>Tranfer 5</v>
      </c>
      <c r="C7" t="b">
        <f ca="1">COUNTIF(dict_zuord_Meth_Transfers[ignored_help],table_Transfers[[#This Row],[ID]])&gt;0</f>
        <v>0</v>
      </c>
      <c r="D7">
        <f t="shared" ca="1" si="0"/>
        <v>2969600</v>
      </c>
      <c r="E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247</v>
      </c>
      <c r="F7">
        <f ca="1">ROUND(1/table_Transfers[[#This Row],[investcost]]*RANDBETWEEN(10,100)/10,5)</f>
        <v>1.174E-2</v>
      </c>
    </row>
    <row r="8" spans="1:6" x14ac:dyDescent="0.45">
      <c r="A8">
        <v>6</v>
      </c>
      <c r="B8" t="str">
        <f>CONCATENATE("Tranfer ",table_Transfers[[#This Row],[ID]])</f>
        <v>Tranfer 6</v>
      </c>
      <c r="C8" t="b">
        <f ca="1">COUNTIF(dict_zuord_Meth_Transfers[ignored_help],table_Transfers[[#This Row],[ID]])&gt;0</f>
        <v>0</v>
      </c>
      <c r="D8">
        <f t="shared" ca="1" si="0"/>
        <v>9728000</v>
      </c>
      <c r="E8">
        <f ca="1">IF(ROUND(table_Transfers[[#This Row],[bandwidth_ub]]/(10000*RANDBETWEEN(5,15))+RANDBETWEEN(1,50)-RANDBETWEEN(1,10),0)&lt;=0,10,ROUND(table_Transfers[[#This Row],[bandwidth_ub]]/(1000*RANDBETWEEN(5,15))+RANDBETWEEN(1,50)-RANDBETWEEN(1,10),0))</f>
        <v>711</v>
      </c>
      <c r="F8">
        <f ca="1">ROUND(1/table_Transfers[[#This Row],[investcost]]*RANDBETWEEN(10,100)/10,5)</f>
        <v>6.6100000000000004E-3</v>
      </c>
    </row>
    <row r="9" spans="1:6" x14ac:dyDescent="0.45">
      <c r="A9">
        <v>7</v>
      </c>
      <c r="B9" t="str">
        <f>CONCATENATE("Tranfer ",table_Transfers[[#This Row],[ID]])</f>
        <v>Tranfer 7</v>
      </c>
      <c r="C9" t="b">
        <f ca="1">COUNTIF(dict_zuord_Meth_Transfers[ignored_help],table_Transfers[[#This Row],[ID]])&gt;0</f>
        <v>1</v>
      </c>
      <c r="D9">
        <f t="shared" ca="1" si="0"/>
        <v>793600</v>
      </c>
      <c r="E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9">
        <f ca="1">ROUND(1/table_Transfers[[#This Row],[investcost]]*RANDBETWEEN(10,100)/10,5)</f>
        <v>0.46</v>
      </c>
    </row>
    <row r="10" spans="1:6" x14ac:dyDescent="0.45">
      <c r="A10">
        <v>8</v>
      </c>
      <c r="B10" t="str">
        <f>CONCATENATE("Tranfer ",table_Transfers[[#This Row],[ID]])</f>
        <v>Tranfer 8</v>
      </c>
      <c r="C10" t="b">
        <f ca="1">COUNTIF(dict_zuord_Meth_Transfers[ignored_help],table_Transfers[[#This Row],[ID]])&gt;0</f>
        <v>1</v>
      </c>
      <c r="D10">
        <f t="shared" ca="1" si="0"/>
        <v>128000</v>
      </c>
      <c r="E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28</v>
      </c>
      <c r="F10">
        <f ca="1">ROUND(1/table_Transfers[[#This Row],[investcost]]*RANDBETWEEN(10,100)/10,5)</f>
        <v>0.22500000000000001</v>
      </c>
    </row>
    <row r="11" spans="1:6" x14ac:dyDescent="0.45">
      <c r="A11">
        <v>9</v>
      </c>
      <c r="B11" t="str">
        <f>CONCATENATE("Tranfer ",table_Transfers[[#This Row],[ID]])</f>
        <v>Tranfer 9</v>
      </c>
      <c r="C11" t="b">
        <f ca="1">COUNTIF(dict_zuord_Meth_Transfers[ignored_help],table_Transfers[[#This Row],[ID]])&gt;0</f>
        <v>1</v>
      </c>
      <c r="D11">
        <f t="shared" ca="1" si="0"/>
        <v>11673600</v>
      </c>
      <c r="E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2374</v>
      </c>
      <c r="F11">
        <f ca="1">ROUND(1/table_Transfers[[#This Row],[investcost]]*RANDBETWEEN(10,100)/10,5)</f>
        <v>2.4399999999999999E-3</v>
      </c>
    </row>
    <row r="12" spans="1:6" x14ac:dyDescent="0.45">
      <c r="A12">
        <v>10</v>
      </c>
      <c r="B12" t="str">
        <f>CONCATENATE("Tranfer ",table_Transfers[[#This Row],[ID]])</f>
        <v>Tranfer 10</v>
      </c>
      <c r="C12" t="b">
        <f ca="1">COUNTIF(dict_zuord_Meth_Transfers[ignored_help],table_Transfers[[#This Row],[ID]])&gt;0</f>
        <v>1</v>
      </c>
      <c r="D12">
        <f t="shared" ca="1" si="0"/>
        <v>2048000</v>
      </c>
      <c r="E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151</v>
      </c>
      <c r="F12">
        <f ca="1">ROUND(1/table_Transfers[[#This Row],[investcost]]*RANDBETWEEN(10,100)/10,5)</f>
        <v>2.649E-2</v>
      </c>
    </row>
    <row r="13" spans="1:6" x14ac:dyDescent="0.45">
      <c r="A13">
        <v>11</v>
      </c>
      <c r="B13" t="str">
        <f>CONCATENATE("Tranfer ",table_Transfers[[#This Row],[ID]])</f>
        <v>Tranfer 11</v>
      </c>
      <c r="C13" t="b">
        <f ca="1">COUNTIF(dict_zuord_Meth_Transfers[ignored_help],table_Transfers[[#This Row],[ID]])&gt;0</f>
        <v>1</v>
      </c>
      <c r="D13">
        <f t="shared" ca="1" si="0"/>
        <v>652800</v>
      </c>
      <c r="E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76</v>
      </c>
      <c r="F13">
        <f ca="1">ROUND(1/table_Transfers[[#This Row],[investcost]]*RANDBETWEEN(10,100)/10,5)</f>
        <v>0.12105</v>
      </c>
    </row>
    <row r="14" spans="1:6" x14ac:dyDescent="0.45">
      <c r="A14">
        <v>12</v>
      </c>
      <c r="B14" t="str">
        <f>CONCATENATE("Tranfer ",table_Transfers[[#This Row],[ID]])</f>
        <v>Tranfer 12</v>
      </c>
      <c r="C14" t="b">
        <f ca="1">COUNTIF(dict_zuord_Meth_Transfers[ignored_help],table_Transfers[[#This Row],[ID]])&gt;0</f>
        <v>0</v>
      </c>
      <c r="D14">
        <f t="shared" ca="1" si="0"/>
        <v>9830400</v>
      </c>
      <c r="E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1976</v>
      </c>
      <c r="F14">
        <f ca="1">ROUND(1/table_Transfers[[#This Row],[investcost]]*RANDBETWEEN(10,100)/10,5)</f>
        <v>4.8599999999999997E-3</v>
      </c>
    </row>
    <row r="15" spans="1:6" x14ac:dyDescent="0.45">
      <c r="A15">
        <v>13</v>
      </c>
      <c r="B15" t="str">
        <f>CONCATENATE("Tranfer ",table_Transfers[[#This Row],[ID]])</f>
        <v>Tranfer 13</v>
      </c>
      <c r="C15" t="b">
        <f ca="1">COUNTIF(dict_zuord_Meth_Transfers[ignored_help],table_Transfers[[#This Row],[ID]])&gt;0</f>
        <v>0</v>
      </c>
      <c r="D15">
        <f t="shared" ca="1" si="0"/>
        <v>1280000</v>
      </c>
      <c r="E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90</v>
      </c>
      <c r="F15">
        <f ca="1">ROUND(1/table_Transfers[[#This Row],[investcost]]*RANDBETWEEN(10,100)/10,5)</f>
        <v>0.10111000000000001</v>
      </c>
    </row>
    <row r="16" spans="1:6" x14ac:dyDescent="0.45">
      <c r="A16">
        <v>14</v>
      </c>
      <c r="B16" t="str">
        <f>CONCATENATE("Tranfer ",table_Transfers[[#This Row],[ID]])</f>
        <v>Tranfer 14</v>
      </c>
      <c r="C16" t="b">
        <f ca="1">COUNTIF(dict_zuord_Meth_Transfers[ignored_help],table_Transfers[[#This Row],[ID]])&gt;0</f>
        <v>1</v>
      </c>
      <c r="D16">
        <f t="shared" ca="1" si="0"/>
        <v>172800</v>
      </c>
      <c r="E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57</v>
      </c>
      <c r="F16">
        <f ca="1">ROUND(1/table_Transfers[[#This Row],[investcost]]*RANDBETWEEN(10,100)/10,5)</f>
        <v>0.10877000000000001</v>
      </c>
    </row>
    <row r="17" spans="1:6" x14ac:dyDescent="0.45">
      <c r="A17">
        <v>15</v>
      </c>
      <c r="B17" t="str">
        <f>CONCATENATE("Tranfer ",table_Transfers[[#This Row],[ID]])</f>
        <v>Tranfer 15</v>
      </c>
      <c r="C17" t="b">
        <f ca="1">COUNTIF(dict_zuord_Meth_Transfers[ignored_help],table_Transfers[[#This Row],[ID]])&gt;0</f>
        <v>1</v>
      </c>
      <c r="D17">
        <f t="shared" ca="1" si="0"/>
        <v>9011200</v>
      </c>
      <c r="E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1295</v>
      </c>
      <c r="F17">
        <f ca="1">ROUND(1/table_Transfers[[#This Row],[investcost]]*RANDBETWEEN(10,100)/10,5)</f>
        <v>5.3299999999999997E-3</v>
      </c>
    </row>
    <row r="18" spans="1:6" x14ac:dyDescent="0.45">
      <c r="A18">
        <v>16</v>
      </c>
      <c r="B18" t="str">
        <f>CONCATENATE("Tranfer ",table_Transfers[[#This Row],[ID]])</f>
        <v>Tranfer 16</v>
      </c>
      <c r="C18" t="b">
        <f ca="1">COUNTIF(dict_zuord_Meth_Transfers[ignored_help],table_Transfers[[#This Row],[ID]])&gt;0</f>
        <v>1</v>
      </c>
      <c r="D18">
        <f t="shared" ca="1" si="0"/>
        <v>37683200</v>
      </c>
      <c r="E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2904</v>
      </c>
      <c r="F18">
        <f ca="1">ROUND(1/table_Transfers[[#This Row],[investcost]]*RANDBETWEEN(10,100)/10,5)</f>
        <v>1.2700000000000001E-3</v>
      </c>
    </row>
    <row r="19" spans="1:6" x14ac:dyDescent="0.45">
      <c r="A19">
        <v>17</v>
      </c>
      <c r="B19" t="str">
        <f>CONCATENATE("Tranfer ",table_Transfers[[#This Row],[ID]])</f>
        <v>Tranfer 17</v>
      </c>
      <c r="C19" t="b">
        <f ca="1">COUNTIF(dict_zuord_Meth_Transfers[ignored_help],table_Transfers[[#This Row],[ID]])&gt;0</f>
        <v>0</v>
      </c>
      <c r="D19">
        <f t="shared" ca="1" si="0"/>
        <v>16998400</v>
      </c>
      <c r="E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1440</v>
      </c>
      <c r="F19">
        <f ca="1">ROUND(1/table_Transfers[[#This Row],[investcost]]*RANDBETWEEN(10,100)/10,5)</f>
        <v>6.6E-3</v>
      </c>
    </row>
    <row r="20" spans="1:6" x14ac:dyDescent="0.45">
      <c r="A20">
        <v>18</v>
      </c>
      <c r="B20" t="str">
        <f>CONCATENATE("Tranfer ",table_Transfers[[#This Row],[ID]])</f>
        <v>Tranfer 18</v>
      </c>
      <c r="C20" t="b">
        <f ca="1">COUNTIF(dict_zuord_Meth_Transfers[ignored_help],table_Transfers[[#This Row],[ID]])&gt;0</f>
        <v>1</v>
      </c>
      <c r="D20">
        <f t="shared" ca="1" si="0"/>
        <v>492800</v>
      </c>
      <c r="E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89</v>
      </c>
      <c r="F20">
        <f ca="1">ROUND(1/table_Transfers[[#This Row],[investcost]]*RANDBETWEEN(10,100)/10,5)</f>
        <v>8.8760000000000006E-2</v>
      </c>
    </row>
    <row r="21" spans="1:6" x14ac:dyDescent="0.45">
      <c r="A21">
        <v>19</v>
      </c>
      <c r="B21" t="str">
        <f>CONCATENATE("Tranfer ",table_Transfers[[#This Row],[ID]])</f>
        <v>Tranfer 19</v>
      </c>
      <c r="C21" t="b">
        <f ca="1">COUNTIF(dict_zuord_Meth_Transfers[ignored_help],table_Transfers[[#This Row],[ID]])&gt;0</f>
        <v>0</v>
      </c>
      <c r="D21">
        <f t="shared" ca="1" si="0"/>
        <v>1280000</v>
      </c>
      <c r="E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197</v>
      </c>
      <c r="F21">
        <f ca="1">ROUND(1/table_Transfers[[#This Row],[investcost]]*RANDBETWEEN(10,100)/10,5)</f>
        <v>1.269E-2</v>
      </c>
    </row>
    <row r="22" spans="1:6" x14ac:dyDescent="0.45">
      <c r="A22">
        <v>20</v>
      </c>
      <c r="B22" t="str">
        <f>CONCATENATE("Tranfer ",table_Transfers[[#This Row],[ID]])</f>
        <v>Tranfer 20</v>
      </c>
      <c r="C22" t="b">
        <f ca="1">COUNTIF(dict_zuord_Meth_Transfers[ignored_help],table_Transfers[[#This Row],[ID]])&gt;0</f>
        <v>0</v>
      </c>
      <c r="D22">
        <f t="shared" ca="1" si="0"/>
        <v>793600</v>
      </c>
      <c r="E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124</v>
      </c>
      <c r="F22">
        <f ca="1">ROUND(1/table_Transfers[[#This Row],[investcost]]*RANDBETWEEN(10,100)/10,5)</f>
        <v>2.742E-2</v>
      </c>
    </row>
    <row r="23" spans="1:6" x14ac:dyDescent="0.45">
      <c r="A23">
        <v>21</v>
      </c>
      <c r="B23" t="str">
        <f>CONCATENATE("Tranfer ",table_Transfers[[#This Row],[ID]])</f>
        <v>Tranfer 21</v>
      </c>
      <c r="C23" t="b">
        <f ca="1">COUNTIF(dict_zuord_Meth_Transfers[ignored_help],table_Transfers[[#This Row],[ID]])&gt;0</f>
        <v>0</v>
      </c>
      <c r="D23">
        <f t="shared" ca="1" si="0"/>
        <v>236800</v>
      </c>
      <c r="E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56</v>
      </c>
      <c r="F23">
        <f ca="1">ROUND(1/table_Transfers[[#This Row],[investcost]]*RANDBETWEEN(10,100)/10,5)</f>
        <v>0.10893</v>
      </c>
    </row>
    <row r="24" spans="1:6" x14ac:dyDescent="0.45">
      <c r="A24">
        <v>22</v>
      </c>
      <c r="B24" t="str">
        <f>CONCATENATE("Tranfer ",table_Transfers[[#This Row],[ID]])</f>
        <v>Tranfer 22</v>
      </c>
      <c r="C24" t="b">
        <f ca="1">COUNTIF(dict_zuord_Meth_Transfers[ignored_help],table_Transfers[[#This Row],[ID]])&gt;0</f>
        <v>0</v>
      </c>
      <c r="D24">
        <f t="shared" ca="1" si="0"/>
        <v>12492800</v>
      </c>
      <c r="E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845</v>
      </c>
      <c r="F24">
        <f ca="1">ROUND(1/table_Transfers[[#This Row],[investcost]]*RANDBETWEEN(10,100)/10,5)</f>
        <v>2.96E-3</v>
      </c>
    </row>
    <row r="25" spans="1:6" x14ac:dyDescent="0.45">
      <c r="A25">
        <v>23</v>
      </c>
      <c r="B25" t="str">
        <f>CONCATENATE("Tranfer ",table_Transfers[[#This Row],[ID]])</f>
        <v>Tranfer 23</v>
      </c>
      <c r="C25" t="b">
        <f ca="1">COUNTIF(dict_zuord_Meth_Transfers[ignored_help],table_Transfers[[#This Row],[ID]])&gt;0</f>
        <v>1</v>
      </c>
      <c r="D25">
        <f t="shared" ca="1" si="0"/>
        <v>4915200</v>
      </c>
      <c r="E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994</v>
      </c>
      <c r="F25">
        <f ca="1">ROUND(1/table_Transfers[[#This Row],[investcost]]*RANDBETWEEN(10,100)/10,5)</f>
        <v>9.1500000000000001E-3</v>
      </c>
    </row>
    <row r="26" spans="1:6" x14ac:dyDescent="0.45">
      <c r="A26">
        <v>24</v>
      </c>
      <c r="B26" t="str">
        <f>CONCATENATE("Tranfer ",table_Transfers[[#This Row],[ID]])</f>
        <v>Tranfer 24</v>
      </c>
      <c r="C26" t="b">
        <f ca="1">COUNTIF(dict_zuord_Meth_Transfers[ignored_help],table_Transfers[[#This Row],[ID]])&gt;0</f>
        <v>1</v>
      </c>
      <c r="D26">
        <f t="shared" ca="1" si="0"/>
        <v>21299200</v>
      </c>
      <c r="E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4303</v>
      </c>
      <c r="F26">
        <f ca="1">ROUND(1/table_Transfers[[#This Row],[investcost]]*RANDBETWEEN(10,100)/10,5)</f>
        <v>5.8E-4</v>
      </c>
    </row>
    <row r="27" spans="1:6" x14ac:dyDescent="0.45">
      <c r="A27">
        <v>25</v>
      </c>
      <c r="B27" t="str">
        <f>CONCATENATE("Tranfer ",table_Transfers[[#This Row],[ID]])</f>
        <v>Tranfer 25</v>
      </c>
      <c r="C27" t="b">
        <f ca="1">COUNTIF(dict_zuord_Meth_Transfers[ignored_help],table_Transfers[[#This Row],[ID]])&gt;0</f>
        <v>1</v>
      </c>
      <c r="D27">
        <f t="shared" ca="1" si="0"/>
        <v>345600</v>
      </c>
      <c r="E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79</v>
      </c>
      <c r="F27">
        <f ca="1">ROUND(1/table_Transfers[[#This Row],[investcost]]*RANDBETWEEN(10,100)/10,5)</f>
        <v>0.12531999999999999</v>
      </c>
    </row>
    <row r="28" spans="1:6" x14ac:dyDescent="0.45">
      <c r="A28">
        <v>26</v>
      </c>
      <c r="B28" t="str">
        <f>CONCATENATE("Tranfer ",table_Transfers[[#This Row],[ID]])</f>
        <v>Tranfer 26</v>
      </c>
      <c r="C28" t="b">
        <f ca="1">COUNTIF(dict_zuord_Meth_Transfers[ignored_help],table_Transfers[[#This Row],[ID]])&gt;0</f>
        <v>0</v>
      </c>
      <c r="D28">
        <f t="shared" ca="1" si="0"/>
        <v>166400</v>
      </c>
      <c r="E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</v>
      </c>
      <c r="F28">
        <f ca="1">ROUND(1/table_Transfers[[#This Row],[investcost]]*RANDBETWEEN(10,100)/10,5)</f>
        <v>0.11429</v>
      </c>
    </row>
    <row r="29" spans="1:6" x14ac:dyDescent="0.45">
      <c r="A29">
        <v>27</v>
      </c>
      <c r="B29" t="str">
        <f>CONCATENATE("Tranfer ",table_Transfers[[#This Row],[ID]])</f>
        <v>Tranfer 27</v>
      </c>
      <c r="C29" t="b">
        <f ca="1">COUNTIF(dict_zuord_Meth_Transfers[ignored_help],table_Transfers[[#This Row],[ID]])&gt;0</f>
        <v>1</v>
      </c>
      <c r="D29">
        <f t="shared" ca="1" si="0"/>
        <v>10240000</v>
      </c>
      <c r="E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816</v>
      </c>
      <c r="F29">
        <f ca="1">ROUND(1/table_Transfers[[#This Row],[investcost]]*RANDBETWEEN(10,100)/10,5)</f>
        <v>7.6E-3</v>
      </c>
    </row>
    <row r="30" spans="1:6" x14ac:dyDescent="0.45">
      <c r="A30">
        <v>28</v>
      </c>
      <c r="B30" t="str">
        <f>CONCATENATE("Tranfer ",table_Transfers[[#This Row],[ID]])</f>
        <v>Tranfer 28</v>
      </c>
      <c r="C30" t="b">
        <f ca="1">COUNTIF(dict_zuord_Meth_Transfers[ignored_help],table_Transfers[[#This Row],[ID]])&gt;0</f>
        <v>1</v>
      </c>
      <c r="D30">
        <f t="shared" ca="1" si="0"/>
        <v>1177600</v>
      </c>
      <c r="E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150</v>
      </c>
      <c r="F30">
        <f ca="1">ROUND(1/table_Transfers[[#This Row],[investcost]]*RANDBETWEEN(10,100)/10,5)</f>
        <v>3.2669999999999998E-2</v>
      </c>
    </row>
    <row r="31" spans="1:6" x14ac:dyDescent="0.45">
      <c r="A31">
        <v>29</v>
      </c>
      <c r="B31" t="str">
        <f>CONCATENATE("Tranfer ",table_Transfers[[#This Row],[ID]])</f>
        <v>Tranfer 29</v>
      </c>
      <c r="C31" t="b">
        <f ca="1">COUNTIF(dict_zuord_Meth_Transfers[ignored_help],table_Transfers[[#This Row],[ID]])&gt;0</f>
        <v>1</v>
      </c>
      <c r="D31">
        <f t="shared" ca="1" si="0"/>
        <v>10240000</v>
      </c>
      <c r="E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944</v>
      </c>
      <c r="F31">
        <f ca="1">ROUND(1/table_Transfers[[#This Row],[investcost]]*RANDBETWEEN(10,100)/10,5)</f>
        <v>7.9399999999999991E-3</v>
      </c>
    </row>
    <row r="32" spans="1:6" x14ac:dyDescent="0.45">
      <c r="A32">
        <v>30</v>
      </c>
      <c r="B32" t="str">
        <f>CONCATENATE("Tranfer ",table_Transfers[[#This Row],[ID]])</f>
        <v>Tranfer 30</v>
      </c>
      <c r="C32" t="b">
        <f ca="1">COUNTIF(dict_zuord_Meth_Transfers[ignored_help],table_Transfers[[#This Row],[ID]])&gt;0</f>
        <v>0</v>
      </c>
      <c r="D32">
        <f t="shared" ca="1" si="0"/>
        <v>1561600</v>
      </c>
      <c r="E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144</v>
      </c>
      <c r="F32">
        <f ca="1">ROUND(1/table_Transfers[[#This Row],[investcost]]*RANDBETWEEN(10,100)/10,5)</f>
        <v>5.9720000000000002E-2</v>
      </c>
    </row>
    <row r="33" spans="1:6" x14ac:dyDescent="0.45">
      <c r="A33">
        <v>31</v>
      </c>
      <c r="B33" t="str">
        <f>CONCATENATE("Tranfer ",table_Transfers[[#This Row],[ID]])</f>
        <v>Tranfer 31</v>
      </c>
      <c r="C33" t="b">
        <f ca="1">COUNTIF(dict_zuord_Meth_Transfers[ignored_help],table_Transfers[[#This Row],[ID]])&gt;0</f>
        <v>0</v>
      </c>
      <c r="D33">
        <f t="shared" ca="1" si="0"/>
        <v>454400</v>
      </c>
      <c r="E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75</v>
      </c>
      <c r="F33">
        <f ca="1">ROUND(1/table_Transfers[[#This Row],[investcost]]*RANDBETWEEN(10,100)/10,5)</f>
        <v>3.2000000000000001E-2</v>
      </c>
    </row>
    <row r="34" spans="1:6" x14ac:dyDescent="0.45">
      <c r="A34">
        <v>32</v>
      </c>
      <c r="B34" t="str">
        <f>CONCATENATE("Tranfer ",table_Transfers[[#This Row],[ID]])</f>
        <v>Tranfer 32</v>
      </c>
      <c r="C34" t="b">
        <f ca="1">COUNTIF(dict_zuord_Meth_Transfers[ignored_help],table_Transfers[[#This Row],[ID]])&gt;0</f>
        <v>0</v>
      </c>
      <c r="D34">
        <f t="shared" ref="D34:D65" ca="1" si="1">2^RANDBETWEEN(6,12)*100*RANDBETWEEN(10,100)</f>
        <v>36044800</v>
      </c>
      <c r="E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5165</v>
      </c>
      <c r="F34">
        <f ca="1">ROUND(1/table_Transfers[[#This Row],[investcost]]*RANDBETWEEN(10,100)/10,5)</f>
        <v>8.7000000000000001E-4</v>
      </c>
    </row>
    <row r="35" spans="1:6" x14ac:dyDescent="0.45">
      <c r="A35">
        <v>33</v>
      </c>
      <c r="B35" t="str">
        <f>CONCATENATE("Tranfer ",table_Transfers[[#This Row],[ID]])</f>
        <v>Tranfer 33</v>
      </c>
      <c r="C35" t="b">
        <f ca="1">COUNTIF(dict_zuord_Meth_Transfers[ignored_help],table_Transfers[[#This Row],[ID]])&gt;0</f>
        <v>1</v>
      </c>
      <c r="D35">
        <f t="shared" ca="1" si="1"/>
        <v>7782400</v>
      </c>
      <c r="E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1002</v>
      </c>
      <c r="F35">
        <f ca="1">ROUND(1/table_Transfers[[#This Row],[investcost]]*RANDBETWEEN(10,100)/10,5)</f>
        <v>3.29E-3</v>
      </c>
    </row>
    <row r="36" spans="1:6" x14ac:dyDescent="0.45">
      <c r="A36">
        <v>34</v>
      </c>
      <c r="B36" t="str">
        <f>CONCATENATE("Tranfer ",table_Transfers[[#This Row],[ID]])</f>
        <v>Tranfer 34</v>
      </c>
      <c r="C36" t="b">
        <f ca="1">COUNTIF(dict_zuord_Meth_Transfers[ignored_help],table_Transfers[[#This Row],[ID]])&gt;0</f>
        <v>0</v>
      </c>
      <c r="D36">
        <f t="shared" ca="1" si="1"/>
        <v>409600</v>
      </c>
      <c r="E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66</v>
      </c>
      <c r="F36">
        <f ca="1">ROUND(1/table_Transfers[[#This Row],[investcost]]*RANDBETWEEN(10,100)/10,5)</f>
        <v>3.3329999999999999E-2</v>
      </c>
    </row>
    <row r="37" spans="1:6" x14ac:dyDescent="0.45">
      <c r="A37">
        <v>35</v>
      </c>
      <c r="B37" t="str">
        <f>CONCATENATE("Tranfer ",table_Transfers[[#This Row],[ID]])</f>
        <v>Tranfer 35</v>
      </c>
      <c r="C37" t="b">
        <f ca="1">COUNTIF(dict_zuord_Meth_Transfers[ignored_help],table_Transfers[[#This Row],[ID]])&gt;0</f>
        <v>0</v>
      </c>
      <c r="D37">
        <f t="shared" ca="1" si="1"/>
        <v>345600</v>
      </c>
      <c r="E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53</v>
      </c>
      <c r="F37">
        <f ca="1">ROUND(1/table_Transfers[[#This Row],[investcost]]*RANDBETWEEN(10,100)/10,5)</f>
        <v>0.16225999999999999</v>
      </c>
    </row>
    <row r="38" spans="1:6" x14ac:dyDescent="0.45">
      <c r="A38">
        <v>36</v>
      </c>
      <c r="B38" t="str">
        <f>CONCATENATE("Tranfer ",table_Transfers[[#This Row],[ID]])</f>
        <v>Tranfer 36</v>
      </c>
      <c r="C38" t="b">
        <f ca="1">COUNTIF(dict_zuord_Meth_Transfers[ignored_help],table_Transfers[[#This Row],[ID]])&gt;0</f>
        <v>0</v>
      </c>
      <c r="D38">
        <f t="shared" ca="1" si="1"/>
        <v>307200</v>
      </c>
      <c r="E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38">
        <f ca="1">ROUND(1/table_Transfers[[#This Row],[investcost]]*RANDBETWEEN(10,100)/10,5)</f>
        <v>0.2</v>
      </c>
    </row>
    <row r="39" spans="1:6" x14ac:dyDescent="0.45">
      <c r="A39">
        <v>37</v>
      </c>
      <c r="B39" t="str">
        <f>CONCATENATE("Tranfer ",table_Transfers[[#This Row],[ID]])</f>
        <v>Tranfer 37</v>
      </c>
      <c r="C39" t="b">
        <f ca="1">COUNTIF(dict_zuord_Meth_Transfers[ignored_help],table_Transfers[[#This Row],[ID]])&gt;0</f>
        <v>1</v>
      </c>
      <c r="D39">
        <f t="shared" ca="1" si="1"/>
        <v>5632000</v>
      </c>
      <c r="E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578</v>
      </c>
      <c r="F39">
        <f ca="1">ROUND(1/table_Transfers[[#This Row],[investcost]]*RANDBETWEEN(10,100)/10,5)</f>
        <v>1.626E-2</v>
      </c>
    </row>
    <row r="40" spans="1:6" x14ac:dyDescent="0.45">
      <c r="A40">
        <v>38</v>
      </c>
      <c r="B40" t="str">
        <f>CONCATENATE("Tranfer ",table_Transfers[[#This Row],[ID]])</f>
        <v>Tranfer 38</v>
      </c>
      <c r="C40" t="b">
        <f ca="1">COUNTIF(dict_zuord_Meth_Transfers[ignored_help],table_Transfers[[#This Row],[ID]])&gt;0</f>
        <v>0</v>
      </c>
      <c r="D40">
        <f t="shared" ca="1" si="1"/>
        <v>512000</v>
      </c>
      <c r="E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</v>
      </c>
      <c r="F40">
        <f ca="1">ROUND(1/table_Transfers[[#This Row],[investcost]]*RANDBETWEEN(10,100)/10,5)</f>
        <v>0.30625000000000002</v>
      </c>
    </row>
    <row r="41" spans="1:6" x14ac:dyDescent="0.45">
      <c r="A41">
        <v>39</v>
      </c>
      <c r="B41" t="str">
        <f>CONCATENATE("Tranfer ",table_Transfers[[#This Row],[ID]])</f>
        <v>Tranfer 39</v>
      </c>
      <c r="C41" t="b">
        <f ca="1">COUNTIF(dict_zuord_Meth_Transfers[ignored_help],table_Transfers[[#This Row],[ID]])&gt;0</f>
        <v>0</v>
      </c>
      <c r="D41">
        <f t="shared" ca="1" si="1"/>
        <v>1561600</v>
      </c>
      <c r="E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151</v>
      </c>
      <c r="F41">
        <f ca="1">ROUND(1/table_Transfers[[#This Row],[investcost]]*RANDBETWEEN(10,100)/10,5)</f>
        <v>4.7019999999999999E-2</v>
      </c>
    </row>
    <row r="42" spans="1:6" x14ac:dyDescent="0.45">
      <c r="A42">
        <v>40</v>
      </c>
      <c r="B42" t="str">
        <f>CONCATENATE("Tranfer ",table_Transfers[[#This Row],[ID]])</f>
        <v>Tranfer 40</v>
      </c>
      <c r="C42" t="b">
        <f ca="1">COUNTIF(dict_zuord_Meth_Transfers[ignored_help],table_Transfers[[#This Row],[ID]])&gt;0</f>
        <v>0</v>
      </c>
      <c r="D42">
        <f t="shared" ca="1" si="1"/>
        <v>1267200</v>
      </c>
      <c r="E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135</v>
      </c>
      <c r="F42">
        <f ca="1">ROUND(1/table_Transfers[[#This Row],[investcost]]*RANDBETWEEN(10,100)/10,5)</f>
        <v>5.0369999999999998E-2</v>
      </c>
    </row>
    <row r="43" spans="1:6" x14ac:dyDescent="0.45">
      <c r="A43">
        <v>41</v>
      </c>
      <c r="B43" t="str">
        <f>CONCATENATE("Tranfer ",table_Transfers[[#This Row],[ID]])</f>
        <v>Tranfer 41</v>
      </c>
      <c r="C43" t="b">
        <f ca="1">COUNTIF(dict_zuord_Meth_Transfers[ignored_help],table_Transfers[[#This Row],[ID]])&gt;0</f>
        <v>0</v>
      </c>
      <c r="D43">
        <f t="shared" ca="1" si="1"/>
        <v>243200</v>
      </c>
      <c r="E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52</v>
      </c>
      <c r="F43">
        <f ca="1">ROUND(1/table_Transfers[[#This Row],[investcost]]*RANDBETWEEN(10,100)/10,5)</f>
        <v>8.4620000000000001E-2</v>
      </c>
    </row>
    <row r="44" spans="1:6" x14ac:dyDescent="0.45">
      <c r="A44">
        <v>42</v>
      </c>
      <c r="B44" t="str">
        <f>CONCATENATE("Tranfer ",table_Transfers[[#This Row],[ID]])</f>
        <v>Tranfer 42</v>
      </c>
      <c r="C44" t="b">
        <f ca="1">COUNTIF(dict_zuord_Meth_Transfers[ignored_help],table_Transfers[[#This Row],[ID]])&gt;0</f>
        <v>1</v>
      </c>
      <c r="D44">
        <f t="shared" ca="1" si="1"/>
        <v>2406400</v>
      </c>
      <c r="E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257</v>
      </c>
      <c r="F44">
        <f ca="1">ROUND(1/table_Transfers[[#This Row],[investcost]]*RANDBETWEEN(10,100)/10,5)</f>
        <v>5.0600000000000003E-3</v>
      </c>
    </row>
    <row r="45" spans="1:6" x14ac:dyDescent="0.45">
      <c r="A45">
        <v>43</v>
      </c>
      <c r="B45" t="str">
        <f>CONCATENATE("Tranfer ",table_Transfers[[#This Row],[ID]])</f>
        <v>Tranfer 43</v>
      </c>
      <c r="C45" t="b">
        <f ca="1">COUNTIF(dict_zuord_Meth_Transfers[ignored_help],table_Transfers[[#This Row],[ID]])&gt;0</f>
        <v>1</v>
      </c>
      <c r="D45">
        <f t="shared" ca="1" si="1"/>
        <v>665600</v>
      </c>
      <c r="E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67</v>
      </c>
      <c r="F45">
        <f ca="1">ROUND(1/table_Transfers[[#This Row],[investcost]]*RANDBETWEEN(10,100)/10,5)</f>
        <v>0.12239</v>
      </c>
    </row>
    <row r="46" spans="1:6" x14ac:dyDescent="0.45">
      <c r="A46">
        <v>44</v>
      </c>
      <c r="B46" t="str">
        <f>CONCATENATE("Tranfer ",table_Transfers[[#This Row],[ID]])</f>
        <v>Tranfer 44</v>
      </c>
      <c r="C46" t="b">
        <f ca="1">COUNTIF(dict_zuord_Meth_Transfers[ignored_help],table_Transfers[[#This Row],[ID]])&gt;0</f>
        <v>1</v>
      </c>
      <c r="D46">
        <f t="shared" ca="1" si="1"/>
        <v>9523200</v>
      </c>
      <c r="E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956</v>
      </c>
      <c r="F46">
        <f ca="1">ROUND(1/table_Transfers[[#This Row],[investcost]]*RANDBETWEEN(10,100)/10,5)</f>
        <v>1.0499999999999999E-3</v>
      </c>
    </row>
    <row r="47" spans="1:6" x14ac:dyDescent="0.45">
      <c r="A47">
        <v>45</v>
      </c>
      <c r="B47" t="str">
        <f>CONCATENATE("Tranfer ",table_Transfers[[#This Row],[ID]])</f>
        <v>Tranfer 45</v>
      </c>
      <c r="C47" t="b">
        <f ca="1">COUNTIF(dict_zuord_Meth_Transfers[ignored_help],table_Transfers[[#This Row],[ID]])&gt;0</f>
        <v>0</v>
      </c>
      <c r="D47">
        <f t="shared" ca="1" si="1"/>
        <v>563200</v>
      </c>
      <c r="E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128</v>
      </c>
      <c r="F47">
        <f ca="1">ROUND(1/table_Transfers[[#This Row],[investcost]]*RANDBETWEEN(10,100)/10,5)</f>
        <v>6.4060000000000006E-2</v>
      </c>
    </row>
    <row r="48" spans="1:6" x14ac:dyDescent="0.45">
      <c r="A48">
        <v>46</v>
      </c>
      <c r="B48" t="str">
        <f>CONCATENATE("Tranfer ",table_Transfers[[#This Row],[ID]])</f>
        <v>Tranfer 46</v>
      </c>
      <c r="C48" t="b">
        <f ca="1">COUNTIF(dict_zuord_Meth_Transfers[ignored_help],table_Transfers[[#This Row],[ID]])&gt;0</f>
        <v>0</v>
      </c>
      <c r="D48">
        <f t="shared" ca="1" si="1"/>
        <v>185600</v>
      </c>
      <c r="E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</v>
      </c>
      <c r="F48">
        <f ca="1">ROUND(1/table_Transfers[[#This Row],[investcost]]*RANDBETWEEN(10,100)/10,5)</f>
        <v>0.16136</v>
      </c>
    </row>
    <row r="49" spans="1:6" x14ac:dyDescent="0.45">
      <c r="A49">
        <v>47</v>
      </c>
      <c r="B49" t="str">
        <f>CONCATENATE("Tranfer ",table_Transfers[[#This Row],[ID]])</f>
        <v>Tranfer 47</v>
      </c>
      <c r="C49" t="b">
        <f ca="1">COUNTIF(dict_zuord_Meth_Transfers[ignored_help],table_Transfers[[#This Row],[ID]])&gt;0</f>
        <v>0</v>
      </c>
      <c r="D49">
        <f t="shared" ca="1" si="1"/>
        <v>7987200</v>
      </c>
      <c r="E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1324</v>
      </c>
      <c r="F49">
        <f ca="1">ROUND(1/table_Transfers[[#This Row],[investcost]]*RANDBETWEEN(10,100)/10,5)</f>
        <v>9.7999999999999997E-4</v>
      </c>
    </row>
    <row r="50" spans="1:6" x14ac:dyDescent="0.45">
      <c r="A50">
        <v>48</v>
      </c>
      <c r="B50" t="str">
        <f>CONCATENATE("Tranfer ",table_Transfers[[#This Row],[ID]])</f>
        <v>Tranfer 48</v>
      </c>
      <c r="C50" t="b">
        <f ca="1">COUNTIF(dict_zuord_Meth_Transfers[ignored_help],table_Transfers[[#This Row],[ID]])&gt;0</f>
        <v>1</v>
      </c>
      <c r="D50">
        <f t="shared" ca="1" si="1"/>
        <v>6758400</v>
      </c>
      <c r="E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447</v>
      </c>
      <c r="F50">
        <f ca="1">ROUND(1/table_Transfers[[#This Row],[investcost]]*RANDBETWEEN(10,100)/10,5)</f>
        <v>3.3600000000000001E-3</v>
      </c>
    </row>
    <row r="51" spans="1:6" x14ac:dyDescent="0.45">
      <c r="A51">
        <v>49</v>
      </c>
      <c r="B51" t="str">
        <f>CONCATENATE("Tranfer ",table_Transfers[[#This Row],[ID]])</f>
        <v>Tranfer 49</v>
      </c>
      <c r="C51" t="b">
        <f ca="1">COUNTIF(dict_zuord_Meth_Transfers[ignored_help],table_Transfers[[#This Row],[ID]])&gt;0</f>
        <v>0</v>
      </c>
      <c r="D51">
        <f t="shared" ca="1" si="1"/>
        <v>486400</v>
      </c>
      <c r="E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51</v>
      </c>
      <c r="F51">
        <f ca="1">ROUND(1/table_Transfers[[#This Row],[investcost]]*RANDBETWEEN(10,100)/10,5)</f>
        <v>2.9409999999999999E-2</v>
      </c>
    </row>
    <row r="52" spans="1:6" x14ac:dyDescent="0.45">
      <c r="A52">
        <v>50</v>
      </c>
      <c r="B52" t="str">
        <f>CONCATENATE("Tranfer ",table_Transfers[[#This Row],[ID]])</f>
        <v>Tranfer 50</v>
      </c>
      <c r="C52" t="b">
        <f ca="1">COUNTIF(dict_zuord_Meth_Transfers[ignored_help],table_Transfers[[#This Row],[ID]])&gt;0</f>
        <v>1</v>
      </c>
      <c r="D52">
        <f t="shared" ca="1" si="1"/>
        <v>5324800</v>
      </c>
      <c r="E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523</v>
      </c>
      <c r="F52">
        <f ca="1">ROUND(1/table_Transfers[[#This Row],[investcost]]*RANDBETWEEN(10,100)/10,5)</f>
        <v>9.75E-3</v>
      </c>
    </row>
    <row r="53" spans="1:6" x14ac:dyDescent="0.45">
      <c r="A53">
        <v>51</v>
      </c>
      <c r="B53" t="str">
        <f>CONCATENATE("Tranfer ",table_Transfers[[#This Row],[ID]])</f>
        <v>Tranfer 51</v>
      </c>
      <c r="C53" t="b">
        <f ca="1">COUNTIF(dict_zuord_Meth_Transfers[ignored_help],table_Transfers[[#This Row],[ID]])&gt;0</f>
        <v>1</v>
      </c>
      <c r="D53">
        <f t="shared" ca="1" si="1"/>
        <v>1241600</v>
      </c>
      <c r="E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144</v>
      </c>
      <c r="F53">
        <f ca="1">ROUND(1/table_Transfers[[#This Row],[investcost]]*RANDBETWEEN(10,100)/10,5)</f>
        <v>3.3329999999999999E-2</v>
      </c>
    </row>
    <row r="54" spans="1:6" x14ac:dyDescent="0.45">
      <c r="A54">
        <v>52</v>
      </c>
      <c r="B54" t="str">
        <f>CONCATENATE("Tranfer ",table_Transfers[[#This Row],[ID]])</f>
        <v>Tranfer 52</v>
      </c>
      <c r="C54" t="b">
        <f ca="1">COUNTIF(dict_zuord_Meth_Transfers[ignored_help],table_Transfers[[#This Row],[ID]])&gt;0</f>
        <v>1</v>
      </c>
      <c r="D54">
        <f t="shared" ca="1" si="1"/>
        <v>2560000</v>
      </c>
      <c r="E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278</v>
      </c>
      <c r="F54">
        <f ca="1">ROUND(1/table_Transfers[[#This Row],[investcost]]*RANDBETWEEN(10,100)/10,5)</f>
        <v>2.6620000000000001E-2</v>
      </c>
    </row>
    <row r="55" spans="1:6" x14ac:dyDescent="0.45">
      <c r="A55">
        <v>53</v>
      </c>
      <c r="B55" t="str">
        <f>CONCATENATE("Tranfer ",table_Transfers[[#This Row],[ID]])</f>
        <v>Tranfer 53</v>
      </c>
      <c r="C55" t="b">
        <f ca="1">COUNTIF(dict_zuord_Meth_Transfers[ignored_help],table_Transfers[[#This Row],[ID]])&gt;0</f>
        <v>1</v>
      </c>
      <c r="D55">
        <f t="shared" ca="1" si="1"/>
        <v>4454400</v>
      </c>
      <c r="E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407</v>
      </c>
      <c r="F55">
        <f ca="1">ROUND(1/table_Transfers[[#This Row],[investcost]]*RANDBETWEEN(10,100)/10,5)</f>
        <v>1.4250000000000001E-2</v>
      </c>
    </row>
    <row r="56" spans="1:6" x14ac:dyDescent="0.45">
      <c r="A56">
        <v>54</v>
      </c>
      <c r="B56" t="str">
        <f>CONCATENATE("Tranfer ",table_Transfers[[#This Row],[ID]])</f>
        <v>Tranfer 54</v>
      </c>
      <c r="C56" t="b">
        <f ca="1">COUNTIF(dict_zuord_Meth_Transfers[ignored_help],table_Transfers[[#This Row],[ID]])&gt;0</f>
        <v>0</v>
      </c>
      <c r="D56">
        <f t="shared" ca="1" si="1"/>
        <v>18432000</v>
      </c>
      <c r="E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3087</v>
      </c>
      <c r="F56">
        <f ca="1">ROUND(1/table_Transfers[[#This Row],[investcost]]*RANDBETWEEN(10,100)/10,5)</f>
        <v>1.81E-3</v>
      </c>
    </row>
    <row r="57" spans="1:6" x14ac:dyDescent="0.45">
      <c r="A57">
        <v>55</v>
      </c>
      <c r="B57" t="str">
        <f>CONCATENATE("Tranfer ",table_Transfers[[#This Row],[ID]])</f>
        <v>Tranfer 55</v>
      </c>
      <c r="C57" t="b">
        <f ca="1">COUNTIF(dict_zuord_Meth_Transfers[ignored_help],table_Transfers[[#This Row],[ID]])&gt;0</f>
        <v>0</v>
      </c>
      <c r="D57">
        <f t="shared" ca="1" si="1"/>
        <v>512000</v>
      </c>
      <c r="E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47</v>
      </c>
      <c r="F57">
        <f ca="1">ROUND(1/table_Transfers[[#This Row],[investcost]]*RANDBETWEEN(10,100)/10,5)</f>
        <v>0.11489000000000001</v>
      </c>
    </row>
    <row r="58" spans="1:6" x14ac:dyDescent="0.45">
      <c r="A58">
        <v>56</v>
      </c>
      <c r="B58" t="str">
        <f>CONCATENATE("Tranfer ",table_Transfers[[#This Row],[ID]])</f>
        <v>Tranfer 56</v>
      </c>
      <c r="C58" t="b">
        <f ca="1">COUNTIF(dict_zuord_Meth_Transfers[ignored_help],table_Transfers[[#This Row],[ID]])&gt;0</f>
        <v>1</v>
      </c>
      <c r="D58">
        <f t="shared" ca="1" si="1"/>
        <v>1228800</v>
      </c>
      <c r="E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250</v>
      </c>
      <c r="F58">
        <f ca="1">ROUND(1/table_Transfers[[#This Row],[investcost]]*RANDBETWEEN(10,100)/10,5)</f>
        <v>3.56E-2</v>
      </c>
    </row>
    <row r="59" spans="1:6" x14ac:dyDescent="0.45">
      <c r="A59">
        <v>57</v>
      </c>
      <c r="B59" t="str">
        <f>CONCATENATE("Tranfer ",table_Transfers[[#This Row],[ID]])</f>
        <v>Tranfer 57</v>
      </c>
      <c r="C59" t="b">
        <f ca="1">COUNTIF(dict_zuord_Meth_Transfers[ignored_help],table_Transfers[[#This Row],[ID]])&gt;0</f>
        <v>1</v>
      </c>
      <c r="D59">
        <f t="shared" ca="1" si="1"/>
        <v>9420800</v>
      </c>
      <c r="E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629</v>
      </c>
      <c r="F59">
        <f ca="1">ROUND(1/table_Transfers[[#This Row],[investcost]]*RANDBETWEEN(10,100)/10,5)</f>
        <v>1.3509999999999999E-2</v>
      </c>
    </row>
    <row r="60" spans="1:6" x14ac:dyDescent="0.45">
      <c r="A60">
        <v>58</v>
      </c>
      <c r="B60" t="str">
        <f>CONCATENATE("Tranfer ",table_Transfers[[#This Row],[ID]])</f>
        <v>Tranfer 58</v>
      </c>
      <c r="C60" t="b">
        <f ca="1">COUNTIF(dict_zuord_Meth_Transfers[ignored_help],table_Transfers[[#This Row],[ID]])&gt;0</f>
        <v>1</v>
      </c>
      <c r="D60">
        <f t="shared" ca="1" si="1"/>
        <v>1126400</v>
      </c>
      <c r="E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100</v>
      </c>
      <c r="F60">
        <f ca="1">ROUND(1/table_Transfers[[#This Row],[investcost]]*RANDBETWEEN(10,100)/10,5)</f>
        <v>2.4E-2</v>
      </c>
    </row>
    <row r="61" spans="1:6" x14ac:dyDescent="0.45">
      <c r="A61">
        <v>59</v>
      </c>
      <c r="B61" t="str">
        <f>CONCATENATE("Tranfer ",table_Transfers[[#This Row],[ID]])</f>
        <v>Tranfer 59</v>
      </c>
      <c r="C61" t="b">
        <f ca="1">COUNTIF(dict_zuord_Meth_Transfers[ignored_help],table_Transfers[[#This Row],[ID]])&gt;0</f>
        <v>1</v>
      </c>
      <c r="D61">
        <f t="shared" ca="1" si="1"/>
        <v>1945600</v>
      </c>
      <c r="E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161</v>
      </c>
      <c r="F61">
        <f ca="1">ROUND(1/table_Transfers[[#This Row],[investcost]]*RANDBETWEEN(10,100)/10,5)</f>
        <v>5.0310000000000001E-2</v>
      </c>
    </row>
    <row r="62" spans="1:6" x14ac:dyDescent="0.45">
      <c r="A62">
        <v>60</v>
      </c>
      <c r="B62" t="str">
        <f>CONCATENATE("Tranfer ",table_Transfers[[#This Row],[ID]])</f>
        <v>Tranfer 60</v>
      </c>
      <c r="C62" t="b">
        <f ca="1">COUNTIF(dict_zuord_Meth_Transfers[ignored_help],table_Transfers[[#This Row],[ID]])&gt;0</f>
        <v>0</v>
      </c>
      <c r="D62">
        <f t="shared" ca="1" si="1"/>
        <v>3430400</v>
      </c>
      <c r="E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254</v>
      </c>
      <c r="F62">
        <f ca="1">ROUND(1/table_Transfers[[#This Row],[investcost]]*RANDBETWEEN(10,100)/10,5)</f>
        <v>1.9689999999999999E-2</v>
      </c>
    </row>
    <row r="63" spans="1:6" x14ac:dyDescent="0.45">
      <c r="A63">
        <v>61</v>
      </c>
      <c r="B63" t="str">
        <f>CONCATENATE("Tranfer ",table_Transfers[[#This Row],[ID]])</f>
        <v>Tranfer 61</v>
      </c>
      <c r="C63" t="b">
        <f ca="1">COUNTIF(dict_zuord_Meth_Transfers[ignored_help],table_Transfers[[#This Row],[ID]])&gt;0</f>
        <v>0</v>
      </c>
      <c r="D63">
        <f t="shared" ca="1" si="1"/>
        <v>9011200</v>
      </c>
      <c r="E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1503</v>
      </c>
      <c r="F63">
        <f ca="1">ROUND(1/table_Transfers[[#This Row],[investcost]]*RANDBETWEEN(10,100)/10,5)</f>
        <v>5.8500000000000002E-3</v>
      </c>
    </row>
    <row r="64" spans="1:6" x14ac:dyDescent="0.45">
      <c r="A64">
        <v>62</v>
      </c>
      <c r="B64" t="str">
        <f>CONCATENATE("Tranfer ",table_Transfers[[#This Row],[ID]])</f>
        <v>Tranfer 62</v>
      </c>
      <c r="C64" t="b">
        <f ca="1">COUNTIF(dict_zuord_Meth_Transfers[ignored_help],table_Transfers[[#This Row],[ID]])&gt;0</f>
        <v>1</v>
      </c>
      <c r="D64">
        <f t="shared" ca="1" si="1"/>
        <v>12697600</v>
      </c>
      <c r="E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1295</v>
      </c>
      <c r="F64">
        <f ca="1">ROUND(1/table_Transfers[[#This Row],[investcost]]*RANDBETWEEN(10,100)/10,5)</f>
        <v>3.7799999999999999E-3</v>
      </c>
    </row>
    <row r="65" spans="1:6" x14ac:dyDescent="0.45">
      <c r="A65">
        <v>63</v>
      </c>
      <c r="B65" t="str">
        <f>CONCATENATE("Tranfer ",table_Transfers[[#This Row],[ID]])</f>
        <v>Tranfer 63</v>
      </c>
      <c r="C65" t="b">
        <f ca="1">COUNTIF(dict_zuord_Meth_Transfers[ignored_help],table_Transfers[[#This Row],[ID]])&gt;0</f>
        <v>0</v>
      </c>
      <c r="D65">
        <f t="shared" ca="1" si="1"/>
        <v>576000</v>
      </c>
      <c r="E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51</v>
      </c>
      <c r="F65">
        <f ca="1">ROUND(1/table_Transfers[[#This Row],[investcost]]*RANDBETWEEN(10,100)/10,5)</f>
        <v>0.18431</v>
      </c>
    </row>
    <row r="66" spans="1:6" x14ac:dyDescent="0.45">
      <c r="A66">
        <v>64</v>
      </c>
      <c r="B66" t="str">
        <f>CONCATENATE("Tranfer ",table_Transfers[[#This Row],[ID]])</f>
        <v>Tranfer 64</v>
      </c>
      <c r="C66" t="b">
        <f ca="1">COUNTIF(dict_zuord_Meth_Transfers[ignored_help],table_Transfers[[#This Row],[ID]])&gt;0</f>
        <v>1</v>
      </c>
      <c r="D66">
        <f t="shared" ref="D66:D129" ca="1" si="2">2^RANDBETWEEN(6,12)*100*RANDBETWEEN(10,100)</f>
        <v>21708800</v>
      </c>
      <c r="E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4340</v>
      </c>
      <c r="F66">
        <f ca="1">ROUND(1/table_Transfers[[#This Row],[investcost]]*RANDBETWEEN(10,100)/10,5)</f>
        <v>1.5E-3</v>
      </c>
    </row>
    <row r="67" spans="1:6" x14ac:dyDescent="0.45">
      <c r="A67">
        <v>65</v>
      </c>
      <c r="B67" t="str">
        <f>CONCATENATE("Tranfer ",table_Transfers[[#This Row],[ID]])</f>
        <v>Tranfer 65</v>
      </c>
      <c r="C67" t="b">
        <f ca="1">COUNTIF(dict_zuord_Meth_Transfers[ignored_help],table_Transfers[[#This Row],[ID]])&gt;0</f>
        <v>0</v>
      </c>
      <c r="D67">
        <f t="shared" ca="1" si="2"/>
        <v>614400</v>
      </c>
      <c r="E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67">
        <f ca="1">ROUND(1/table_Transfers[[#This Row],[investcost]]*RANDBETWEEN(10,100)/10,5)</f>
        <v>0.42</v>
      </c>
    </row>
    <row r="68" spans="1:6" x14ac:dyDescent="0.45">
      <c r="A68">
        <v>66</v>
      </c>
      <c r="B68" t="str">
        <f>CONCATENATE("Tranfer ",table_Transfers[[#This Row],[ID]])</f>
        <v>Tranfer 66</v>
      </c>
      <c r="C68" t="b">
        <f ca="1">COUNTIF(dict_zuord_Meth_Transfers[ignored_help],table_Transfers[[#This Row],[ID]])&gt;0</f>
        <v>1</v>
      </c>
      <c r="D68">
        <f t="shared" ca="1" si="2"/>
        <v>5529600</v>
      </c>
      <c r="E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407</v>
      </c>
      <c r="F68">
        <f ca="1">ROUND(1/table_Transfers[[#This Row],[investcost]]*RANDBETWEEN(10,100)/10,5)</f>
        <v>1.278E-2</v>
      </c>
    </row>
    <row r="69" spans="1:6" x14ac:dyDescent="0.45">
      <c r="A69">
        <v>67</v>
      </c>
      <c r="B69" t="str">
        <f>CONCATENATE("Tranfer ",table_Transfers[[#This Row],[ID]])</f>
        <v>Tranfer 67</v>
      </c>
      <c r="C69" t="b">
        <f ca="1">COUNTIF(dict_zuord_Meth_Transfers[ignored_help],table_Transfers[[#This Row],[ID]])&gt;0</f>
        <v>0</v>
      </c>
      <c r="D69">
        <f t="shared" ca="1" si="2"/>
        <v>3072000</v>
      </c>
      <c r="E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380</v>
      </c>
      <c r="F69">
        <f ca="1">ROUND(1/table_Transfers[[#This Row],[investcost]]*RANDBETWEEN(10,100)/10,5)</f>
        <v>3.6800000000000001E-3</v>
      </c>
    </row>
    <row r="70" spans="1:6" x14ac:dyDescent="0.45">
      <c r="A70">
        <v>68</v>
      </c>
      <c r="B70" t="str">
        <f>CONCATENATE("Tranfer ",table_Transfers[[#This Row],[ID]])</f>
        <v>Tranfer 68</v>
      </c>
      <c r="C70" t="b">
        <f ca="1">COUNTIF(dict_zuord_Meth_Transfers[ignored_help],table_Transfers[[#This Row],[ID]])&gt;0</f>
        <v>1</v>
      </c>
      <c r="D70">
        <f t="shared" ca="1" si="2"/>
        <v>4915200</v>
      </c>
      <c r="E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489</v>
      </c>
      <c r="F70">
        <f ca="1">ROUND(1/table_Transfers[[#This Row],[investcost]]*RANDBETWEEN(10,100)/10,5)</f>
        <v>6.13E-3</v>
      </c>
    </row>
    <row r="71" spans="1:6" x14ac:dyDescent="0.45">
      <c r="A71">
        <v>69</v>
      </c>
      <c r="B71" t="str">
        <f>CONCATENATE("Tranfer ",table_Transfers[[#This Row],[ID]])</f>
        <v>Tranfer 69</v>
      </c>
      <c r="C71" t="b">
        <f ca="1">COUNTIF(dict_zuord_Meth_Transfers[ignored_help],table_Transfers[[#This Row],[ID]])&gt;0</f>
        <v>1</v>
      </c>
      <c r="D71">
        <f t="shared" ca="1" si="2"/>
        <v>275200</v>
      </c>
      <c r="E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56</v>
      </c>
      <c r="F71">
        <f ca="1">ROUND(1/table_Transfers[[#This Row],[investcost]]*RANDBETWEEN(10,100)/10,5)</f>
        <v>0.15</v>
      </c>
    </row>
    <row r="72" spans="1:6" x14ac:dyDescent="0.45">
      <c r="A72">
        <v>70</v>
      </c>
      <c r="B72" t="str">
        <f>CONCATENATE("Tranfer ",table_Transfers[[#This Row],[ID]])</f>
        <v>Tranfer 70</v>
      </c>
      <c r="C72" t="b">
        <f ca="1">COUNTIF(dict_zuord_Meth_Transfers[ignored_help],table_Transfers[[#This Row],[ID]])&gt;0</f>
        <v>1</v>
      </c>
      <c r="D72">
        <f t="shared" ca="1" si="2"/>
        <v>9523200</v>
      </c>
      <c r="E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1086</v>
      </c>
      <c r="F72">
        <f ca="1">ROUND(1/table_Transfers[[#This Row],[investcost]]*RANDBETWEEN(10,100)/10,5)</f>
        <v>5.7099999999999998E-3</v>
      </c>
    </row>
    <row r="73" spans="1:6" x14ac:dyDescent="0.45">
      <c r="A73">
        <v>71</v>
      </c>
      <c r="B73" t="str">
        <f>CONCATENATE("Tranfer ",table_Transfers[[#This Row],[ID]])</f>
        <v>Tranfer 71</v>
      </c>
      <c r="C73" t="b">
        <f ca="1">COUNTIF(dict_zuord_Meth_Transfers[ignored_help],table_Transfers[[#This Row],[ID]])&gt;0</f>
        <v>1</v>
      </c>
      <c r="D73">
        <f t="shared" ca="1" si="2"/>
        <v>16588800</v>
      </c>
      <c r="E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1880</v>
      </c>
      <c r="F73">
        <f ca="1">ROUND(1/table_Transfers[[#This Row],[investcost]]*RANDBETWEEN(10,100)/10,5)</f>
        <v>4.79E-3</v>
      </c>
    </row>
    <row r="74" spans="1:6" x14ac:dyDescent="0.45">
      <c r="A74">
        <v>72</v>
      </c>
      <c r="B74" t="str">
        <f>CONCATENATE("Tranfer ",table_Transfers[[#This Row],[ID]])</f>
        <v>Tranfer 72</v>
      </c>
      <c r="C74" t="b">
        <f ca="1">COUNTIF(dict_zuord_Meth_Transfers[ignored_help],table_Transfers[[#This Row],[ID]])&gt;0</f>
        <v>1</v>
      </c>
      <c r="D74">
        <f t="shared" ca="1" si="2"/>
        <v>2662400</v>
      </c>
      <c r="E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232</v>
      </c>
      <c r="F74">
        <f ca="1">ROUND(1/table_Transfers[[#This Row],[investcost]]*RANDBETWEEN(10,100)/10,5)</f>
        <v>2.112E-2</v>
      </c>
    </row>
    <row r="75" spans="1:6" x14ac:dyDescent="0.45">
      <c r="A75">
        <v>73</v>
      </c>
      <c r="B75" t="str">
        <f>CONCATENATE("Tranfer ",table_Transfers[[#This Row],[ID]])</f>
        <v>Tranfer 73</v>
      </c>
      <c r="C75" t="b">
        <f ca="1">COUNTIF(dict_zuord_Meth_Transfers[ignored_help],table_Transfers[[#This Row],[ID]])&gt;0</f>
        <v>1</v>
      </c>
      <c r="D75">
        <f t="shared" ca="1" si="2"/>
        <v>211200</v>
      </c>
      <c r="E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53</v>
      </c>
      <c r="F75">
        <f ca="1">ROUND(1/table_Transfers[[#This Row],[investcost]]*RANDBETWEEN(10,100)/10,5)</f>
        <v>0.12264</v>
      </c>
    </row>
    <row r="76" spans="1:6" x14ac:dyDescent="0.45">
      <c r="A76">
        <v>74</v>
      </c>
      <c r="B76" t="str">
        <f>CONCATENATE("Tranfer ",table_Transfers[[#This Row],[ID]])</f>
        <v>Tranfer 74</v>
      </c>
      <c r="C76" t="b">
        <f ca="1">COUNTIF(dict_zuord_Meth_Transfers[ignored_help],table_Transfers[[#This Row],[ID]])&gt;0</f>
        <v>1</v>
      </c>
      <c r="D76">
        <f t="shared" ca="1" si="2"/>
        <v>5017600</v>
      </c>
      <c r="E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757</v>
      </c>
      <c r="F76">
        <f ca="1">ROUND(1/table_Transfers[[#This Row],[investcost]]*RANDBETWEEN(10,100)/10,5)</f>
        <v>2.5100000000000001E-3</v>
      </c>
    </row>
    <row r="77" spans="1:6" x14ac:dyDescent="0.45">
      <c r="A77">
        <v>75</v>
      </c>
      <c r="B77" t="str">
        <f>CONCATENATE("Tranfer ",table_Transfers[[#This Row],[ID]])</f>
        <v>Tranfer 75</v>
      </c>
      <c r="C77" t="b">
        <f ca="1">COUNTIF(dict_zuord_Meth_Transfers[ignored_help],table_Transfers[[#This Row],[ID]])&gt;0</f>
        <v>0</v>
      </c>
      <c r="D77">
        <f t="shared" ca="1" si="2"/>
        <v>35635200</v>
      </c>
      <c r="E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3273</v>
      </c>
      <c r="F77">
        <f ca="1">ROUND(1/table_Transfers[[#This Row],[investcost]]*RANDBETWEEN(10,100)/10,5)</f>
        <v>1.56E-3</v>
      </c>
    </row>
    <row r="78" spans="1:6" x14ac:dyDescent="0.45">
      <c r="A78">
        <v>76</v>
      </c>
      <c r="B78" t="str">
        <f>CONCATENATE("Tranfer ",table_Transfers[[#This Row],[ID]])</f>
        <v>Tranfer 76</v>
      </c>
      <c r="C78" t="b">
        <f ca="1">COUNTIF(dict_zuord_Meth_Transfers[ignored_help],table_Transfers[[#This Row],[ID]])&gt;0</f>
        <v>0</v>
      </c>
      <c r="D78">
        <f t="shared" ca="1" si="2"/>
        <v>691200</v>
      </c>
      <c r="E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88</v>
      </c>
      <c r="F78">
        <f ca="1">ROUND(1/table_Transfers[[#This Row],[investcost]]*RANDBETWEEN(10,100)/10,5)</f>
        <v>4.7730000000000002E-2</v>
      </c>
    </row>
    <row r="79" spans="1:6" x14ac:dyDescent="0.45">
      <c r="A79">
        <v>77</v>
      </c>
      <c r="B79" t="str">
        <f>CONCATENATE("Tranfer ",table_Transfers[[#This Row],[ID]])</f>
        <v>Tranfer 77</v>
      </c>
      <c r="C79" t="b">
        <f ca="1">COUNTIF(dict_zuord_Meth_Transfers[ignored_help],table_Transfers[[#This Row],[ID]])&gt;0</f>
        <v>1</v>
      </c>
      <c r="D79">
        <f t="shared" ca="1" si="2"/>
        <v>224000</v>
      </c>
      <c r="E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40</v>
      </c>
      <c r="F79">
        <f ca="1">ROUND(1/table_Transfers[[#This Row],[investcost]]*RANDBETWEEN(10,100)/10,5)</f>
        <v>7.0000000000000007E-2</v>
      </c>
    </row>
    <row r="80" spans="1:6" x14ac:dyDescent="0.45">
      <c r="A80">
        <v>78</v>
      </c>
      <c r="B80" t="str">
        <f>CONCATENATE("Tranfer ",table_Transfers[[#This Row],[ID]])</f>
        <v>Tranfer 78</v>
      </c>
      <c r="C80" t="b">
        <f ca="1">COUNTIF(dict_zuord_Meth_Transfers[ignored_help],table_Transfers[[#This Row],[ID]])&gt;0</f>
        <v>1</v>
      </c>
      <c r="D80">
        <f t="shared" ca="1" si="2"/>
        <v>1792000</v>
      </c>
      <c r="E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137</v>
      </c>
      <c r="F80">
        <f ca="1">ROUND(1/table_Transfers[[#This Row],[investcost]]*RANDBETWEEN(10,100)/10,5)</f>
        <v>3.2120000000000003E-2</v>
      </c>
    </row>
    <row r="81" spans="1:6" x14ac:dyDescent="0.45">
      <c r="A81">
        <v>79</v>
      </c>
      <c r="B81" t="str">
        <f>CONCATENATE("Tranfer ",table_Transfers[[#This Row],[ID]])</f>
        <v>Tranfer 79</v>
      </c>
      <c r="C81" t="b">
        <f ca="1">COUNTIF(dict_zuord_Meth_Transfers[ignored_help],table_Transfers[[#This Row],[ID]])&gt;0</f>
        <v>0</v>
      </c>
      <c r="D81">
        <f t="shared" ca="1" si="2"/>
        <v>1331200</v>
      </c>
      <c r="E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223</v>
      </c>
      <c r="F81">
        <f ca="1">ROUND(1/table_Transfers[[#This Row],[investcost]]*RANDBETWEEN(10,100)/10,5)</f>
        <v>2.87E-2</v>
      </c>
    </row>
    <row r="82" spans="1:6" x14ac:dyDescent="0.45">
      <c r="A82">
        <v>80</v>
      </c>
      <c r="B82" t="str">
        <f>CONCATENATE("Tranfer ",table_Transfers[[#This Row],[ID]])</f>
        <v>Tranfer 80</v>
      </c>
      <c r="C82" t="b">
        <f ca="1">COUNTIF(dict_zuord_Meth_Transfers[ignored_help],table_Transfers[[#This Row],[ID]])&gt;0</f>
        <v>1</v>
      </c>
      <c r="D82">
        <f t="shared" ca="1" si="2"/>
        <v>716800</v>
      </c>
      <c r="E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147</v>
      </c>
      <c r="F82">
        <f ca="1">ROUND(1/table_Transfers[[#This Row],[investcost]]*RANDBETWEEN(10,100)/10,5)</f>
        <v>2.9929999999999998E-2</v>
      </c>
    </row>
    <row r="83" spans="1:6" x14ac:dyDescent="0.45">
      <c r="A83">
        <v>81</v>
      </c>
      <c r="B83" t="str">
        <f>CONCATENATE("Tranfer ",table_Transfers[[#This Row],[ID]])</f>
        <v>Tranfer 81</v>
      </c>
      <c r="C83" t="b">
        <f ca="1">COUNTIF(dict_zuord_Meth_Transfers[ignored_help],table_Transfers[[#This Row],[ID]])&gt;0</f>
        <v>0</v>
      </c>
      <c r="D83">
        <f t="shared" ca="1" si="2"/>
        <v>1280000</v>
      </c>
      <c r="E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277</v>
      </c>
      <c r="F83">
        <f ca="1">ROUND(1/table_Transfers[[#This Row],[investcost]]*RANDBETWEEN(10,100)/10,5)</f>
        <v>5.0499999999999998E-3</v>
      </c>
    </row>
    <row r="84" spans="1:6" x14ac:dyDescent="0.45">
      <c r="A84">
        <v>82</v>
      </c>
      <c r="B84" t="str">
        <f>CONCATENATE("Tranfer ",table_Transfers[[#This Row],[ID]])</f>
        <v>Tranfer 82</v>
      </c>
      <c r="C84" t="b">
        <f ca="1">COUNTIF(dict_zuord_Meth_Transfers[ignored_help],table_Transfers[[#This Row],[ID]])&gt;0</f>
        <v>1</v>
      </c>
      <c r="D84">
        <f t="shared" ca="1" si="2"/>
        <v>1868800</v>
      </c>
      <c r="E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229</v>
      </c>
      <c r="F84">
        <f ca="1">ROUND(1/table_Transfers[[#This Row],[investcost]]*RANDBETWEEN(10,100)/10,5)</f>
        <v>1.9650000000000001E-2</v>
      </c>
    </row>
    <row r="85" spans="1:6" x14ac:dyDescent="0.45">
      <c r="A85">
        <v>83</v>
      </c>
      <c r="B85" t="str">
        <f>CONCATENATE("Tranfer ",table_Transfers[[#This Row],[ID]])</f>
        <v>Tranfer 83</v>
      </c>
      <c r="C85" t="b">
        <f ca="1">COUNTIF(dict_zuord_Meth_Transfers[ignored_help],table_Transfers[[#This Row],[ID]])&gt;0</f>
        <v>0</v>
      </c>
      <c r="D85">
        <f t="shared" ca="1" si="2"/>
        <v>4608000</v>
      </c>
      <c r="E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463</v>
      </c>
      <c r="F85">
        <f ca="1">ROUND(1/table_Transfers[[#This Row],[investcost]]*RANDBETWEEN(10,100)/10,5)</f>
        <v>7.3400000000000002E-3</v>
      </c>
    </row>
    <row r="86" spans="1:6" x14ac:dyDescent="0.45">
      <c r="A86">
        <v>84</v>
      </c>
      <c r="B86" t="str">
        <f>CONCATENATE("Tranfer ",table_Transfers[[#This Row],[ID]])</f>
        <v>Tranfer 84</v>
      </c>
      <c r="C86" t="b">
        <f ca="1">COUNTIF(dict_zuord_Meth_Transfers[ignored_help],table_Transfers[[#This Row],[ID]])&gt;0</f>
        <v>1</v>
      </c>
      <c r="D86">
        <f t="shared" ca="1" si="2"/>
        <v>2022400</v>
      </c>
      <c r="E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201</v>
      </c>
      <c r="F86">
        <f ca="1">ROUND(1/table_Transfers[[#This Row],[investcost]]*RANDBETWEEN(10,100)/10,5)</f>
        <v>9.9500000000000005E-3</v>
      </c>
    </row>
    <row r="87" spans="1:6" x14ac:dyDescent="0.45">
      <c r="A87">
        <v>85</v>
      </c>
      <c r="B87" t="str">
        <f>CONCATENATE("Tranfer ",table_Transfers[[#This Row],[ID]])</f>
        <v>Tranfer 85</v>
      </c>
      <c r="C87" t="b">
        <f ca="1">COUNTIF(dict_zuord_Meth_Transfers[ignored_help],table_Transfers[[#This Row],[ID]])&gt;0</f>
        <v>0</v>
      </c>
      <c r="D87">
        <f t="shared" ca="1" si="2"/>
        <v>262400</v>
      </c>
      <c r="E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99</v>
      </c>
      <c r="F87">
        <f ca="1">ROUND(1/table_Transfers[[#This Row],[investcost]]*RANDBETWEEN(10,100)/10,5)</f>
        <v>4.3430000000000003E-2</v>
      </c>
    </row>
    <row r="88" spans="1:6" x14ac:dyDescent="0.45">
      <c r="A88">
        <v>86</v>
      </c>
      <c r="B88" t="str">
        <f>CONCATENATE("Tranfer ",table_Transfers[[#This Row],[ID]])</f>
        <v>Tranfer 86</v>
      </c>
      <c r="C88" t="b">
        <f ca="1">COUNTIF(dict_zuord_Meth_Transfers[ignored_help],table_Transfers[[#This Row],[ID]])&gt;0</f>
        <v>0</v>
      </c>
      <c r="D88">
        <f t="shared" ca="1" si="2"/>
        <v>1075200</v>
      </c>
      <c r="E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77</v>
      </c>
      <c r="F88">
        <f ca="1">ROUND(1/table_Transfers[[#This Row],[investcost]]*RANDBETWEEN(10,100)/10,5)</f>
        <v>3.8960000000000002E-2</v>
      </c>
    </row>
    <row r="89" spans="1:6" x14ac:dyDescent="0.45">
      <c r="A89">
        <v>87</v>
      </c>
      <c r="B89" t="str">
        <f>CONCATENATE("Tranfer ",table_Transfers[[#This Row],[ID]])</f>
        <v>Tranfer 87</v>
      </c>
      <c r="C89" t="b">
        <f ca="1">COUNTIF(dict_zuord_Meth_Transfers[ignored_help],table_Transfers[[#This Row],[ID]])&gt;0</f>
        <v>0</v>
      </c>
      <c r="D89">
        <f t="shared" ca="1" si="2"/>
        <v>2329600</v>
      </c>
      <c r="E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508</v>
      </c>
      <c r="F89">
        <f ca="1">ROUND(1/table_Transfers[[#This Row],[investcost]]*RANDBETWEEN(10,100)/10,5)</f>
        <v>1.24E-2</v>
      </c>
    </row>
    <row r="90" spans="1:6" x14ac:dyDescent="0.45">
      <c r="A90">
        <v>88</v>
      </c>
      <c r="B90" t="str">
        <f>CONCATENATE("Tranfer ",table_Transfers[[#This Row],[ID]])</f>
        <v>Tranfer 88</v>
      </c>
      <c r="C90" t="b">
        <f ca="1">COUNTIF(dict_zuord_Meth_Transfers[ignored_help],table_Transfers[[#This Row],[ID]])&gt;0</f>
        <v>0</v>
      </c>
      <c r="D90">
        <f t="shared" ca="1" si="2"/>
        <v>345600</v>
      </c>
      <c r="E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85</v>
      </c>
      <c r="F90">
        <f ca="1">ROUND(1/table_Transfers[[#This Row],[investcost]]*RANDBETWEEN(10,100)/10,5)</f>
        <v>6.4710000000000004E-2</v>
      </c>
    </row>
    <row r="91" spans="1:6" x14ac:dyDescent="0.45">
      <c r="A91">
        <v>89</v>
      </c>
      <c r="B91" t="str">
        <f>CONCATENATE("Tranfer ",table_Transfers[[#This Row],[ID]])</f>
        <v>Tranfer 89</v>
      </c>
      <c r="C91" t="b">
        <f ca="1">COUNTIF(dict_zuord_Meth_Transfers[ignored_help],table_Transfers[[#This Row],[ID]])&gt;0</f>
        <v>1</v>
      </c>
      <c r="D91">
        <f t="shared" ca="1" si="2"/>
        <v>224000</v>
      </c>
      <c r="E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73</v>
      </c>
      <c r="F91">
        <f ca="1">ROUND(1/table_Transfers[[#This Row],[investcost]]*RANDBETWEEN(10,100)/10,5)</f>
        <v>6.5750000000000003E-2</v>
      </c>
    </row>
    <row r="92" spans="1:6" x14ac:dyDescent="0.45">
      <c r="A92">
        <v>90</v>
      </c>
      <c r="B92" t="str">
        <f>CONCATENATE("Tranfer ",table_Transfers[[#This Row],[ID]])</f>
        <v>Tranfer 90</v>
      </c>
      <c r="C92" t="b">
        <f ca="1">COUNTIF(dict_zuord_Meth_Transfers[ignored_help],table_Transfers[[#This Row],[ID]])&gt;0</f>
        <v>0</v>
      </c>
      <c r="D92">
        <f t="shared" ca="1" si="2"/>
        <v>10240000</v>
      </c>
      <c r="E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1027</v>
      </c>
      <c r="F92">
        <f ca="1">ROUND(1/table_Transfers[[#This Row],[investcost]]*RANDBETWEEN(10,100)/10,5)</f>
        <v>7.0099999999999997E-3</v>
      </c>
    </row>
    <row r="93" spans="1:6" x14ac:dyDescent="0.45">
      <c r="A93">
        <v>91</v>
      </c>
      <c r="B93" t="str">
        <f>CONCATENATE("Tranfer ",table_Transfers[[#This Row],[ID]])</f>
        <v>Tranfer 91</v>
      </c>
      <c r="C93" t="b">
        <f ca="1">COUNTIF(dict_zuord_Meth_Transfers[ignored_help],table_Transfers[[#This Row],[ID]])&gt;0</f>
        <v>1</v>
      </c>
      <c r="D93">
        <f t="shared" ca="1" si="2"/>
        <v>9216000</v>
      </c>
      <c r="E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1323</v>
      </c>
      <c r="F93">
        <f ca="1">ROUND(1/table_Transfers[[#This Row],[investcost]]*RANDBETWEEN(10,100)/10,5)</f>
        <v>1.66E-3</v>
      </c>
    </row>
    <row r="94" spans="1:6" x14ac:dyDescent="0.45">
      <c r="A94">
        <v>92</v>
      </c>
      <c r="B94" t="str">
        <f>CONCATENATE("Tranfer ",table_Transfers[[#This Row],[ID]])</f>
        <v>Tranfer 92</v>
      </c>
      <c r="C94" t="b">
        <f ca="1">COUNTIF(dict_zuord_Meth_Transfers[ignored_help],table_Transfers[[#This Row],[ID]])&gt;0</f>
        <v>1</v>
      </c>
      <c r="D94">
        <f t="shared" ca="1" si="2"/>
        <v>236800</v>
      </c>
      <c r="E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56</v>
      </c>
      <c r="F94">
        <f ca="1">ROUND(1/table_Transfers[[#This Row],[investcost]]*RANDBETWEEN(10,100)/10,5)</f>
        <v>8.2140000000000005E-2</v>
      </c>
    </row>
    <row r="95" spans="1:6" x14ac:dyDescent="0.45">
      <c r="A95">
        <v>93</v>
      </c>
      <c r="B95" t="str">
        <f>CONCATENATE("Tranfer ",table_Transfers[[#This Row],[ID]])</f>
        <v>Tranfer 93</v>
      </c>
      <c r="C95" t="b">
        <f ca="1">COUNTIF(dict_zuord_Meth_Transfers[ignored_help],table_Transfers[[#This Row],[ID]])&gt;0</f>
        <v>0</v>
      </c>
      <c r="D95">
        <f t="shared" ca="1" si="2"/>
        <v>18022400</v>
      </c>
      <c r="E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1497</v>
      </c>
      <c r="F95">
        <f ca="1">ROUND(1/table_Transfers[[#This Row],[investcost]]*RANDBETWEEN(10,100)/10,5)</f>
        <v>1.34E-3</v>
      </c>
    </row>
    <row r="96" spans="1:6" x14ac:dyDescent="0.45">
      <c r="A96">
        <v>94</v>
      </c>
      <c r="B96" t="str">
        <f>CONCATENATE("Tranfer ",table_Transfers[[#This Row],[ID]])</f>
        <v>Tranfer 94</v>
      </c>
      <c r="C96" t="b">
        <f ca="1">COUNTIF(dict_zuord_Meth_Transfers[ignored_help],table_Transfers[[#This Row],[ID]])&gt;0</f>
        <v>1</v>
      </c>
      <c r="D96">
        <f t="shared" ca="1" si="2"/>
        <v>307200</v>
      </c>
      <c r="E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</v>
      </c>
      <c r="F96">
        <f ca="1">ROUND(1/table_Transfers[[#This Row],[investcost]]*RANDBETWEEN(10,100)/10,5)</f>
        <v>0.15806000000000001</v>
      </c>
    </row>
    <row r="97" spans="1:6" x14ac:dyDescent="0.45">
      <c r="A97">
        <v>95</v>
      </c>
      <c r="B97" t="str">
        <f>CONCATENATE("Tranfer ",table_Transfers[[#This Row],[ID]])</f>
        <v>Tranfer 95</v>
      </c>
      <c r="C97" t="b">
        <f ca="1">COUNTIF(dict_zuord_Meth_Transfers[ignored_help],table_Transfers[[#This Row],[ID]])&gt;0</f>
        <v>1</v>
      </c>
      <c r="D97">
        <f t="shared" ca="1" si="2"/>
        <v>4300800</v>
      </c>
      <c r="E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298</v>
      </c>
      <c r="F97">
        <f ca="1">ROUND(1/table_Transfers[[#This Row],[investcost]]*RANDBETWEEN(10,100)/10,5)</f>
        <v>1.0070000000000001E-2</v>
      </c>
    </row>
    <row r="98" spans="1:6" x14ac:dyDescent="0.45">
      <c r="A98">
        <v>96</v>
      </c>
      <c r="B98" t="str">
        <f>CONCATENATE("Tranfer ",table_Transfers[[#This Row],[ID]])</f>
        <v>Tranfer 96</v>
      </c>
      <c r="C98" t="b">
        <f ca="1">COUNTIF(dict_zuord_Meth_Transfers[ignored_help],table_Transfers[[#This Row],[ID]])&gt;0</f>
        <v>1</v>
      </c>
      <c r="D98">
        <f t="shared" ca="1" si="2"/>
        <v>1254400</v>
      </c>
      <c r="E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116</v>
      </c>
      <c r="F98">
        <f ca="1">ROUND(1/table_Transfers[[#This Row],[investcost]]*RANDBETWEEN(10,100)/10,5)</f>
        <v>2.759E-2</v>
      </c>
    </row>
    <row r="99" spans="1:6" x14ac:dyDescent="0.45">
      <c r="A99">
        <v>97</v>
      </c>
      <c r="B99" t="str">
        <f>CONCATENATE("Tranfer ",table_Transfers[[#This Row],[ID]])</f>
        <v>Tranfer 97</v>
      </c>
      <c r="C99" t="b">
        <f ca="1">COUNTIF(dict_zuord_Meth_Transfers[ignored_help],table_Transfers[[#This Row],[ID]])&gt;0</f>
        <v>1</v>
      </c>
      <c r="D99">
        <f t="shared" ca="1" si="2"/>
        <v>16793600</v>
      </c>
      <c r="E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3380</v>
      </c>
      <c r="F99">
        <f ca="1">ROUND(1/table_Transfers[[#This Row],[investcost]]*RANDBETWEEN(10,100)/10,5)</f>
        <v>1.89E-3</v>
      </c>
    </row>
    <row r="100" spans="1:6" x14ac:dyDescent="0.45">
      <c r="A100">
        <v>98</v>
      </c>
      <c r="B100" t="str">
        <f>CONCATENATE("Tranfer ",table_Transfers[[#This Row],[ID]])</f>
        <v>Tranfer 98</v>
      </c>
      <c r="C100" t="b">
        <f ca="1">COUNTIF(dict_zuord_Meth_Transfers[ignored_help],table_Transfers[[#This Row],[ID]])&gt;0</f>
        <v>1</v>
      </c>
      <c r="D100">
        <f t="shared" ca="1" si="2"/>
        <v>21708800</v>
      </c>
      <c r="E1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3654</v>
      </c>
      <c r="F100">
        <f ca="1">ROUND(1/table_Transfers[[#This Row],[investcost]]*RANDBETWEEN(10,100)/10,5)</f>
        <v>8.4999999999999995E-4</v>
      </c>
    </row>
    <row r="101" spans="1:6" x14ac:dyDescent="0.45">
      <c r="A101">
        <v>99</v>
      </c>
      <c r="B101" t="str">
        <f>CONCATENATE("Tranfer ",table_Transfers[[#This Row],[ID]])</f>
        <v>Tranfer 99</v>
      </c>
      <c r="C101" t="b">
        <f ca="1">COUNTIF(dict_zuord_Meth_Transfers[ignored_help],table_Transfers[[#This Row],[ID]])&gt;0</f>
        <v>0</v>
      </c>
      <c r="D101">
        <f t="shared" ca="1" si="2"/>
        <v>4505600</v>
      </c>
      <c r="E1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459</v>
      </c>
      <c r="F101">
        <f ca="1">ROUND(1/table_Transfers[[#This Row],[investcost]]*RANDBETWEEN(10,100)/10,5)</f>
        <v>9.5899999999999996E-3</v>
      </c>
    </row>
    <row r="102" spans="1:6" x14ac:dyDescent="0.45">
      <c r="A102">
        <v>100</v>
      </c>
      <c r="B102" t="str">
        <f>CONCATENATE("Tranfer ",table_Transfers[[#This Row],[ID]])</f>
        <v>Tranfer 100</v>
      </c>
      <c r="C102" t="b">
        <f ca="1">COUNTIF(dict_zuord_Meth_Transfers[ignored_help],table_Transfers[[#This Row],[ID]])&gt;0</f>
        <v>0</v>
      </c>
      <c r="D102">
        <f t="shared" ca="1" si="2"/>
        <v>2560000</v>
      </c>
      <c r="E1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555</v>
      </c>
      <c r="F102">
        <f ca="1">ROUND(1/table_Transfers[[#This Row],[investcost]]*RANDBETWEEN(10,100)/10,5)</f>
        <v>1.4409999999999999E-2</v>
      </c>
    </row>
    <row r="103" spans="1:6" x14ac:dyDescent="0.45">
      <c r="A103">
        <v>101</v>
      </c>
      <c r="B103" t="str">
        <f>CONCATENATE("Tranfer ",table_Transfers[[#This Row],[ID]])</f>
        <v>Tranfer 101</v>
      </c>
      <c r="C103" t="b">
        <f ca="1">COUNTIF(dict_zuord_Meth_Transfers[ignored_help],table_Transfers[[#This Row],[ID]])&gt;0</f>
        <v>0</v>
      </c>
      <c r="D103">
        <f t="shared" ca="1" si="2"/>
        <v>6144000</v>
      </c>
      <c r="E103">
        <f ca="1">IF(ROUND(table_Transfers[[#This Row],[bandwidth_ub]]/(10000*RANDBETWEEN(5,15))+RANDBETWEEN(1,50)-RANDBETWEEN(1,10),0)&lt;=0,10,ROUND(table_Transfers[[#This Row],[bandwidth_ub]]/(1000*RANDBETWEEN(5,15))+RANDBETWEEN(1,50)-RANDBETWEEN(1,10),0))</f>
        <v>690</v>
      </c>
      <c r="F103">
        <f ca="1">ROUND(1/table_Transfers[[#This Row],[investcost]]*RANDBETWEEN(10,100)/10,5)</f>
        <v>8.5500000000000003E-3</v>
      </c>
    </row>
    <row r="104" spans="1:6" x14ac:dyDescent="0.45">
      <c r="A104">
        <v>102</v>
      </c>
      <c r="B104" t="str">
        <f>CONCATENATE("Tranfer ",table_Transfers[[#This Row],[ID]])</f>
        <v>Tranfer 102</v>
      </c>
      <c r="C104" t="b">
        <f ca="1">COUNTIF(dict_zuord_Meth_Transfers[ignored_help],table_Transfers[[#This Row],[ID]])&gt;0</f>
        <v>1</v>
      </c>
      <c r="D104">
        <f t="shared" ca="1" si="2"/>
        <v>620800</v>
      </c>
      <c r="E10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123</v>
      </c>
      <c r="F104">
        <f ca="1">ROUND(1/table_Transfers[[#This Row],[investcost]]*RANDBETWEEN(10,100)/10,5)</f>
        <v>7.0730000000000001E-2</v>
      </c>
    </row>
    <row r="105" spans="1:6" x14ac:dyDescent="0.45">
      <c r="A105">
        <v>103</v>
      </c>
      <c r="B105" t="str">
        <f>CONCATENATE("Tranfer ",table_Transfers[[#This Row],[ID]])</f>
        <v>Tranfer 103</v>
      </c>
      <c r="C105" t="b">
        <f ca="1">COUNTIF(dict_zuord_Meth_Transfers[ignored_help],table_Transfers[[#This Row],[ID]])&gt;0</f>
        <v>0</v>
      </c>
      <c r="D105">
        <f t="shared" ca="1" si="2"/>
        <v>307200</v>
      </c>
      <c r="E105">
        <f ca="1">IF(ROUND(table_Transfers[[#This Row],[bandwidth_ub]]/(10000*RANDBETWEEN(5,15))+RANDBETWEEN(1,50)-RANDBETWEEN(1,10),0)&lt;=0,10,ROUND(table_Transfers[[#This Row],[bandwidth_ub]]/(1000*RANDBETWEEN(5,15))+RANDBETWEEN(1,50)-RANDBETWEEN(1,10),0))</f>
        <v>51</v>
      </c>
      <c r="F105">
        <f ca="1">ROUND(1/table_Transfers[[#This Row],[investcost]]*RANDBETWEEN(10,100)/10,5)</f>
        <v>4.9020000000000001E-2</v>
      </c>
    </row>
    <row r="106" spans="1:6" x14ac:dyDescent="0.45">
      <c r="A106">
        <v>104</v>
      </c>
      <c r="B106" t="str">
        <f>CONCATENATE("Tranfer ",table_Transfers[[#This Row],[ID]])</f>
        <v>Tranfer 104</v>
      </c>
      <c r="C106" t="b">
        <f ca="1">COUNTIF(dict_zuord_Meth_Transfers[ignored_help],table_Transfers[[#This Row],[ID]])&gt;0</f>
        <v>0</v>
      </c>
      <c r="D106">
        <f t="shared" ca="1" si="2"/>
        <v>1100800</v>
      </c>
      <c r="E10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141</v>
      </c>
      <c r="F106">
        <f ca="1">ROUND(1/table_Transfers[[#This Row],[investcost]]*RANDBETWEEN(10,100)/10,5)</f>
        <v>4.4679999999999997E-2</v>
      </c>
    </row>
    <row r="107" spans="1:6" x14ac:dyDescent="0.45">
      <c r="A107">
        <v>105</v>
      </c>
      <c r="B107" t="str">
        <f>CONCATENATE("Tranfer ",table_Transfers[[#This Row],[ID]])</f>
        <v>Tranfer 105</v>
      </c>
      <c r="C107" t="b">
        <f ca="1">COUNTIF(dict_zuord_Meth_Transfers[ignored_help],table_Transfers[[#This Row],[ID]])&gt;0</f>
        <v>0</v>
      </c>
      <c r="D107">
        <f t="shared" ca="1" si="2"/>
        <v>576000</v>
      </c>
      <c r="E107">
        <f ca="1">IF(ROUND(table_Transfers[[#This Row],[bandwidth_ub]]/(10000*RANDBETWEEN(5,15))+RANDBETWEEN(1,50)-RANDBETWEEN(1,10),0)&lt;=0,10,ROUND(table_Transfers[[#This Row],[bandwidth_ub]]/(1000*RANDBETWEEN(5,15))+RANDBETWEEN(1,50)-RANDBETWEEN(1,10),0))</f>
        <v>80</v>
      </c>
      <c r="F107">
        <f ca="1">ROUND(1/table_Transfers[[#This Row],[investcost]]*RANDBETWEEN(10,100)/10,5)</f>
        <v>0.10125000000000001</v>
      </c>
    </row>
    <row r="108" spans="1:6" x14ac:dyDescent="0.45">
      <c r="A108">
        <v>106</v>
      </c>
      <c r="B108" t="str">
        <f>CONCATENATE("Tranfer ",table_Transfers[[#This Row],[ID]])</f>
        <v>Tranfer 106</v>
      </c>
      <c r="C108" t="b">
        <f ca="1">COUNTIF(dict_zuord_Meth_Transfers[ignored_help],table_Transfers[[#This Row],[ID]])&gt;0</f>
        <v>1</v>
      </c>
      <c r="D108">
        <f t="shared" ca="1" si="2"/>
        <v>3891200</v>
      </c>
      <c r="E10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303</v>
      </c>
      <c r="F108">
        <f ca="1">ROUND(1/table_Transfers[[#This Row],[investcost]]*RANDBETWEEN(10,100)/10,5)</f>
        <v>1.8149999999999999E-2</v>
      </c>
    </row>
    <row r="109" spans="1:6" x14ac:dyDescent="0.45">
      <c r="A109">
        <v>107</v>
      </c>
      <c r="B109" t="str">
        <f>CONCATENATE("Tranfer ",table_Transfers[[#This Row],[ID]])</f>
        <v>Tranfer 107</v>
      </c>
      <c r="C109" t="b">
        <f ca="1">COUNTIF(dict_zuord_Meth_Transfers[ignored_help],table_Transfers[[#This Row],[ID]])&gt;0</f>
        <v>0</v>
      </c>
      <c r="D109">
        <f t="shared" ca="1" si="2"/>
        <v>7884800</v>
      </c>
      <c r="E109">
        <f ca="1">IF(ROUND(table_Transfers[[#This Row],[bandwidth_ub]]/(10000*RANDBETWEEN(5,15))+RANDBETWEEN(1,50)-RANDBETWEEN(1,10),0)&lt;=0,10,ROUND(table_Transfers[[#This Row],[bandwidth_ub]]/(1000*RANDBETWEEN(5,15))+RANDBETWEEN(1,50)-RANDBETWEEN(1,10),0))</f>
        <v>984</v>
      </c>
      <c r="F109">
        <f ca="1">ROUND(1/table_Transfers[[#This Row],[investcost]]*RANDBETWEEN(10,100)/10,5)</f>
        <v>3.0500000000000002E-3</v>
      </c>
    </row>
    <row r="110" spans="1:6" x14ac:dyDescent="0.45">
      <c r="A110">
        <v>108</v>
      </c>
      <c r="B110" t="str">
        <f>CONCATENATE("Tranfer ",table_Transfers[[#This Row],[ID]])</f>
        <v>Tranfer 108</v>
      </c>
      <c r="C110" t="b">
        <f ca="1">COUNTIF(dict_zuord_Meth_Transfers[ignored_help],table_Transfers[[#This Row],[ID]])&gt;0</f>
        <v>1</v>
      </c>
      <c r="D110">
        <f t="shared" ca="1" si="2"/>
        <v>793600</v>
      </c>
      <c r="E110">
        <f ca="1">IF(ROUND(table_Transfers[[#This Row],[bandwidth_ub]]/(10000*RANDBETWEEN(5,15))+RANDBETWEEN(1,50)-RANDBETWEEN(1,10),0)&lt;=0,10,ROUND(table_Transfers[[#This Row],[bandwidth_ub]]/(1000*RANDBETWEEN(5,15))+RANDBETWEEN(1,50)-RANDBETWEEN(1,10),0))</f>
        <v>99</v>
      </c>
      <c r="F110">
        <f ca="1">ROUND(1/table_Transfers[[#This Row],[investcost]]*RANDBETWEEN(10,100)/10,5)</f>
        <v>9.8989999999999995E-2</v>
      </c>
    </row>
    <row r="111" spans="1:6" x14ac:dyDescent="0.45">
      <c r="A111">
        <v>109</v>
      </c>
      <c r="B111" t="str">
        <f>CONCATENATE("Tranfer ",table_Transfers[[#This Row],[ID]])</f>
        <v>Tranfer 109</v>
      </c>
      <c r="C111" t="b">
        <f ca="1">COUNTIF(dict_zuord_Meth_Transfers[ignored_help],table_Transfers[[#This Row],[ID]])&gt;0</f>
        <v>0</v>
      </c>
      <c r="D111">
        <f t="shared" ca="1" si="2"/>
        <v>11059200</v>
      </c>
      <c r="E111">
        <f ca="1">IF(ROUND(table_Transfers[[#This Row],[bandwidth_ub]]/(10000*RANDBETWEEN(5,15))+RANDBETWEEN(1,50)-RANDBETWEEN(1,10),0)&lt;=0,10,ROUND(table_Transfers[[#This Row],[bandwidth_ub]]/(1000*RANDBETWEEN(5,15))+RANDBETWEEN(1,50)-RANDBETWEEN(1,10),0))</f>
        <v>825</v>
      </c>
      <c r="F111">
        <f ca="1">ROUND(1/table_Transfers[[#This Row],[investcost]]*RANDBETWEEN(10,100)/10,5)</f>
        <v>9.8200000000000006E-3</v>
      </c>
    </row>
    <row r="112" spans="1:6" x14ac:dyDescent="0.45">
      <c r="A112">
        <v>110</v>
      </c>
      <c r="B112" t="str">
        <f>CONCATENATE("Tranfer ",table_Transfers[[#This Row],[ID]])</f>
        <v>Tranfer 110</v>
      </c>
      <c r="C112" t="b">
        <f ca="1">COUNTIF(dict_zuord_Meth_Transfers[ignored_help],table_Transfers[[#This Row],[ID]])&gt;0</f>
        <v>0</v>
      </c>
      <c r="D112">
        <f t="shared" ca="1" si="2"/>
        <v>6348800</v>
      </c>
      <c r="E112">
        <f ca="1">IF(ROUND(table_Transfers[[#This Row],[bandwidth_ub]]/(10000*RANDBETWEEN(5,15))+RANDBETWEEN(1,50)-RANDBETWEEN(1,10),0)&lt;=0,10,ROUND(table_Transfers[[#This Row],[bandwidth_ub]]/(1000*RANDBETWEEN(5,15))+RANDBETWEEN(1,50)-RANDBETWEEN(1,10),0))</f>
        <v>462</v>
      </c>
      <c r="F112">
        <f ca="1">ROUND(1/table_Transfers[[#This Row],[investcost]]*RANDBETWEEN(10,100)/10,5)</f>
        <v>9.5200000000000007E-3</v>
      </c>
    </row>
    <row r="113" spans="1:6" x14ac:dyDescent="0.45">
      <c r="A113">
        <v>111</v>
      </c>
      <c r="B113" t="str">
        <f>CONCATENATE("Tranfer ",table_Transfers[[#This Row],[ID]])</f>
        <v>Tranfer 111</v>
      </c>
      <c r="C113" t="b">
        <f ca="1">COUNTIF(dict_zuord_Meth_Transfers[ignored_help],table_Transfers[[#This Row],[ID]])&gt;0</f>
        <v>1</v>
      </c>
      <c r="D113">
        <f t="shared" ca="1" si="2"/>
        <v>1689600</v>
      </c>
      <c r="E11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215</v>
      </c>
      <c r="F113">
        <f ca="1">ROUND(1/table_Transfers[[#This Row],[investcost]]*RANDBETWEEN(10,100)/10,5)</f>
        <v>2.7439999999999999E-2</v>
      </c>
    </row>
    <row r="114" spans="1:6" x14ac:dyDescent="0.45">
      <c r="A114">
        <v>112</v>
      </c>
      <c r="B114" t="str">
        <f>CONCATENATE("Tranfer ",table_Transfers[[#This Row],[ID]])</f>
        <v>Tranfer 112</v>
      </c>
      <c r="C114" t="b">
        <f ca="1">COUNTIF(dict_zuord_Meth_Transfers[ignored_help],table_Transfers[[#This Row],[ID]])&gt;0</f>
        <v>0</v>
      </c>
      <c r="D114">
        <f t="shared" ca="1" si="2"/>
        <v>3276800</v>
      </c>
      <c r="E114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355</v>
      </c>
      <c r="F114">
        <f ca="1">ROUND(1/table_Transfers[[#This Row],[investcost]]*RANDBETWEEN(10,100)/10,5)</f>
        <v>1.634E-2</v>
      </c>
    </row>
    <row r="115" spans="1:6" x14ac:dyDescent="0.45">
      <c r="A115">
        <v>113</v>
      </c>
      <c r="B115" t="str">
        <f>CONCATENATE("Tranfer ",table_Transfers[[#This Row],[ID]])</f>
        <v>Tranfer 113</v>
      </c>
      <c r="C115" t="b">
        <f ca="1">COUNTIF(dict_zuord_Meth_Transfers[ignored_help],table_Transfers[[#This Row],[ID]])&gt;0</f>
        <v>1</v>
      </c>
      <c r="D115">
        <f t="shared" ca="1" si="2"/>
        <v>377600</v>
      </c>
      <c r="E115">
        <f ca="1">IF(ROUND(table_Transfers[[#This Row],[bandwidth_ub]]/(10000*RANDBETWEEN(5,15))+RANDBETWEEN(1,50)-RANDBETWEEN(1,10),0)&lt;=0,10,ROUND(table_Transfers[[#This Row],[bandwidth_ub]]/(1000*RANDBETWEEN(5,15))+RANDBETWEEN(1,50)-RANDBETWEEN(1,10),0))</f>
        <v>80</v>
      </c>
      <c r="F115">
        <f ca="1">ROUND(1/table_Transfers[[#This Row],[investcost]]*RANDBETWEEN(10,100)/10,5)</f>
        <v>3.3750000000000002E-2</v>
      </c>
    </row>
    <row r="116" spans="1:6" x14ac:dyDescent="0.45">
      <c r="A116">
        <v>114</v>
      </c>
      <c r="B116" t="str">
        <f>CONCATENATE("Tranfer ",table_Transfers[[#This Row],[ID]])</f>
        <v>Tranfer 114</v>
      </c>
      <c r="C116" t="b">
        <f ca="1">COUNTIF(dict_zuord_Meth_Transfers[ignored_help],table_Transfers[[#This Row],[ID]])&gt;0</f>
        <v>0</v>
      </c>
      <c r="D116">
        <f t="shared" ca="1" si="2"/>
        <v>6758400</v>
      </c>
      <c r="E116">
        <f ca="1">IF(ROUND(table_Transfers[[#This Row],[bandwidth_ub]]/(10000*RANDBETWEEN(5,15))+RANDBETWEEN(1,50)-RANDBETWEEN(1,10),0)&lt;=0,10,ROUND(table_Transfers[[#This Row],[bandwidth_ub]]/(1000*RANDBETWEEN(5,15))+RANDBETWEEN(1,50)-RANDBETWEEN(1,10),0))</f>
        <v>624</v>
      </c>
      <c r="F116">
        <f ca="1">ROUND(1/table_Transfers[[#This Row],[investcost]]*RANDBETWEEN(10,100)/10,5)</f>
        <v>8.1700000000000002E-3</v>
      </c>
    </row>
    <row r="117" spans="1:6" x14ac:dyDescent="0.45">
      <c r="A117">
        <v>115</v>
      </c>
      <c r="B117" t="str">
        <f>CONCATENATE("Tranfer ",table_Transfers[[#This Row],[ID]])</f>
        <v>Tranfer 115</v>
      </c>
      <c r="C117" t="b">
        <f ca="1">COUNTIF(dict_zuord_Meth_Transfers[ignored_help],table_Transfers[[#This Row],[ID]])&gt;0</f>
        <v>0</v>
      </c>
      <c r="D117">
        <f t="shared" ca="1" si="2"/>
        <v>716800</v>
      </c>
      <c r="E117">
        <f ca="1">IF(ROUND(table_Transfers[[#This Row],[bandwidth_ub]]/(10000*RANDBETWEEN(5,15))+RANDBETWEEN(1,50)-RANDBETWEEN(1,10),0)&lt;=0,10,ROUND(table_Transfers[[#This Row],[bandwidth_ub]]/(1000*RANDBETWEEN(5,15))+RANDBETWEEN(1,50)-RANDBETWEEN(1,10),0))</f>
        <v>82</v>
      </c>
      <c r="F117">
        <f ca="1">ROUND(1/table_Transfers[[#This Row],[investcost]]*RANDBETWEEN(10,100)/10,5)</f>
        <v>9.7559999999999994E-2</v>
      </c>
    </row>
    <row r="118" spans="1:6" x14ac:dyDescent="0.45">
      <c r="A118">
        <v>116</v>
      </c>
      <c r="B118" t="str">
        <f>CONCATENATE("Tranfer ",table_Transfers[[#This Row],[ID]])</f>
        <v>Tranfer 116</v>
      </c>
      <c r="C118" t="b">
        <f ca="1">COUNTIF(dict_zuord_Meth_Transfers[ignored_help],table_Transfers[[#This Row],[ID]])&gt;0</f>
        <v>1</v>
      </c>
      <c r="D118">
        <f t="shared" ca="1" si="2"/>
        <v>1331200</v>
      </c>
      <c r="E11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182</v>
      </c>
      <c r="F118">
        <f ca="1">ROUND(1/table_Transfers[[#This Row],[investcost]]*RANDBETWEEN(10,100)/10,5)</f>
        <v>2.5819999999999999E-2</v>
      </c>
    </row>
    <row r="119" spans="1:6" x14ac:dyDescent="0.45">
      <c r="A119">
        <v>117</v>
      </c>
      <c r="B119" t="str">
        <f>CONCATENATE("Tranfer ",table_Transfers[[#This Row],[ID]])</f>
        <v>Tranfer 117</v>
      </c>
      <c r="C119" t="b">
        <f ca="1">COUNTIF(dict_zuord_Meth_Transfers[ignored_help],table_Transfers[[#This Row],[ID]])&gt;0</f>
        <v>1</v>
      </c>
      <c r="D119">
        <f t="shared" ca="1" si="2"/>
        <v>2406400</v>
      </c>
      <c r="E11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332</v>
      </c>
      <c r="F119">
        <f ca="1">ROUND(1/table_Transfers[[#This Row],[investcost]]*RANDBETWEEN(10,100)/10,5)</f>
        <v>2.7709999999999999E-2</v>
      </c>
    </row>
    <row r="120" spans="1:6" x14ac:dyDescent="0.45">
      <c r="A120">
        <v>118</v>
      </c>
      <c r="B120" t="str">
        <f>CONCATENATE("Tranfer ",table_Transfers[[#This Row],[ID]])</f>
        <v>Tranfer 118</v>
      </c>
      <c r="C120" t="b">
        <f ca="1">COUNTIF(dict_zuord_Meth_Transfers[ignored_help],table_Transfers[[#This Row],[ID]])&gt;0</f>
        <v>0</v>
      </c>
      <c r="D120">
        <f t="shared" ca="1" si="2"/>
        <v>19251200</v>
      </c>
      <c r="E12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2424</v>
      </c>
      <c r="F120">
        <f ca="1">ROUND(1/table_Transfers[[#This Row],[investcost]]*RANDBETWEEN(10,100)/10,5)</f>
        <v>3.8400000000000001E-3</v>
      </c>
    </row>
    <row r="121" spans="1:6" x14ac:dyDescent="0.45">
      <c r="A121">
        <v>119</v>
      </c>
      <c r="B121" t="str">
        <f>CONCATENATE("Tranfer ",table_Transfers[[#This Row],[ID]])</f>
        <v>Tranfer 119</v>
      </c>
      <c r="C121" t="b">
        <f ca="1">COUNTIF(dict_zuord_Meth_Transfers[ignored_help],table_Transfers[[#This Row],[ID]])&gt;0</f>
        <v>0</v>
      </c>
      <c r="D121">
        <f t="shared" ca="1" si="2"/>
        <v>371200</v>
      </c>
      <c r="E12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</v>
      </c>
      <c r="F121">
        <f ca="1">ROUND(1/table_Transfers[[#This Row],[investcost]]*RANDBETWEEN(10,100)/10,5)</f>
        <v>0.15714</v>
      </c>
    </row>
    <row r="122" spans="1:6" x14ac:dyDescent="0.45">
      <c r="A122">
        <v>120</v>
      </c>
      <c r="B122" t="str">
        <f>CONCATENATE("Tranfer ",table_Transfers[[#This Row],[ID]])</f>
        <v>Tranfer 120</v>
      </c>
      <c r="C122" t="b">
        <f ca="1">COUNTIF(dict_zuord_Meth_Transfers[ignored_help],table_Transfers[[#This Row],[ID]])&gt;0</f>
        <v>1</v>
      </c>
      <c r="D122">
        <f t="shared" ca="1" si="2"/>
        <v>3788800</v>
      </c>
      <c r="E122">
        <f ca="1">IF(ROUND(table_Transfers[[#This Row],[bandwidth_ub]]/(10000*RANDBETWEEN(5,15))+RANDBETWEEN(1,50)-RANDBETWEEN(1,10),0)&lt;=0,10,ROUND(table_Transfers[[#This Row],[bandwidth_ub]]/(1000*RANDBETWEEN(5,15))+RANDBETWEEN(1,50)-RANDBETWEEN(1,10),0))</f>
        <v>485</v>
      </c>
      <c r="F122">
        <f ca="1">ROUND(1/table_Transfers[[#This Row],[investcost]]*RANDBETWEEN(10,100)/10,5)</f>
        <v>3.5100000000000001E-3</v>
      </c>
    </row>
    <row r="123" spans="1:6" x14ac:dyDescent="0.45">
      <c r="A123">
        <v>121</v>
      </c>
      <c r="B123" t="str">
        <f>CONCATENATE("Tranfer ",table_Transfers[[#This Row],[ID]])</f>
        <v>Tranfer 121</v>
      </c>
      <c r="C123" t="b">
        <f ca="1">COUNTIF(dict_zuord_Meth_Transfers[ignored_help],table_Transfers[[#This Row],[ID]])&gt;0</f>
        <v>0</v>
      </c>
      <c r="D123">
        <f t="shared" ca="1" si="2"/>
        <v>7782400</v>
      </c>
      <c r="E123">
        <f ca="1">IF(ROUND(table_Transfers[[#This Row],[bandwidth_ub]]/(10000*RANDBETWEEN(5,15))+RANDBETWEEN(1,50)-RANDBETWEEN(1,10),0)&lt;=0,10,ROUND(table_Transfers[[#This Row],[bandwidth_ub]]/(1000*RANDBETWEEN(5,15))+RANDBETWEEN(1,50)-RANDBETWEEN(1,10),0))</f>
        <v>690</v>
      </c>
      <c r="F123">
        <f ca="1">ROUND(1/table_Transfers[[#This Row],[investcost]]*RANDBETWEEN(10,100)/10,5)</f>
        <v>5.6499999999999996E-3</v>
      </c>
    </row>
    <row r="124" spans="1:6" x14ac:dyDescent="0.45">
      <c r="A124">
        <v>122</v>
      </c>
      <c r="B124" t="str">
        <f>CONCATENATE("Tranfer ",table_Transfers[[#This Row],[ID]])</f>
        <v>Tranfer 122</v>
      </c>
      <c r="C124" t="b">
        <f ca="1">COUNTIF(dict_zuord_Meth_Transfers[ignored_help],table_Transfers[[#This Row],[ID]])&gt;0</f>
        <v>0</v>
      </c>
      <c r="D124">
        <f t="shared" ca="1" si="2"/>
        <v>17612800</v>
      </c>
      <c r="E12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1358</v>
      </c>
      <c r="F124">
        <f ca="1">ROUND(1/table_Transfers[[#This Row],[investcost]]*RANDBETWEEN(10,100)/10,5)</f>
        <v>1.33E-3</v>
      </c>
    </row>
    <row r="125" spans="1:6" x14ac:dyDescent="0.45">
      <c r="A125">
        <v>123</v>
      </c>
      <c r="B125" t="str">
        <f>CONCATENATE("Tranfer ",table_Transfers[[#This Row],[ID]])</f>
        <v>Tranfer 123</v>
      </c>
      <c r="C125" t="b">
        <f ca="1">COUNTIF(dict_zuord_Meth_Transfers[ignored_help],table_Transfers[[#This Row],[ID]])&gt;0</f>
        <v>1</v>
      </c>
      <c r="D125">
        <f t="shared" ca="1" si="2"/>
        <v>422400</v>
      </c>
      <c r="E125">
        <f ca="1">IF(ROUND(table_Transfers[[#This Row],[bandwidth_ub]]/(10000*RANDBETWEEN(5,15))+RANDBETWEEN(1,50)-RANDBETWEEN(1,10),0)&lt;=0,10,ROUND(table_Transfers[[#This Row],[bandwidth_ub]]/(1000*RANDBETWEEN(5,15))+RANDBETWEEN(1,50)-RANDBETWEEN(1,10),0))</f>
        <v>70</v>
      </c>
      <c r="F125">
        <f ca="1">ROUND(1/table_Transfers[[#This Row],[investcost]]*RANDBETWEEN(10,100)/10,5)</f>
        <v>0.13286000000000001</v>
      </c>
    </row>
    <row r="126" spans="1:6" x14ac:dyDescent="0.45">
      <c r="A126">
        <v>124</v>
      </c>
      <c r="B126" t="str">
        <f>CONCATENATE("Tranfer ",table_Transfers[[#This Row],[ID]])</f>
        <v>Tranfer 124</v>
      </c>
      <c r="C126" t="b">
        <f ca="1">COUNTIF(dict_zuord_Meth_Transfers[ignored_help],table_Transfers[[#This Row],[ID]])&gt;0</f>
        <v>1</v>
      </c>
      <c r="D126">
        <f t="shared" ca="1" si="2"/>
        <v>1024000</v>
      </c>
      <c r="E12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219</v>
      </c>
      <c r="F126">
        <f ca="1">ROUND(1/table_Transfers[[#This Row],[investcost]]*RANDBETWEEN(10,100)/10,5)</f>
        <v>3.0589999999999999E-2</v>
      </c>
    </row>
    <row r="127" spans="1:6" x14ac:dyDescent="0.45">
      <c r="A127">
        <v>125</v>
      </c>
      <c r="B127" t="str">
        <f>CONCATENATE("Tranfer ",table_Transfers[[#This Row],[ID]])</f>
        <v>Tranfer 125</v>
      </c>
      <c r="C127" t="b">
        <f ca="1">COUNTIF(dict_zuord_Meth_Transfers[ignored_help],table_Transfers[[#This Row],[ID]])&gt;0</f>
        <v>1</v>
      </c>
      <c r="D127">
        <f t="shared" ca="1" si="2"/>
        <v>4505600</v>
      </c>
      <c r="E12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364</v>
      </c>
      <c r="F127">
        <f ca="1">ROUND(1/table_Transfers[[#This Row],[investcost]]*RANDBETWEEN(10,100)/10,5)</f>
        <v>2.0049999999999998E-2</v>
      </c>
    </row>
    <row r="128" spans="1:6" x14ac:dyDescent="0.45">
      <c r="A128">
        <v>126</v>
      </c>
      <c r="B128" t="str">
        <f>CONCATENATE("Tranfer ",table_Transfers[[#This Row],[ID]])</f>
        <v>Tranfer 126</v>
      </c>
      <c r="C128" t="b">
        <f ca="1">COUNTIF(dict_zuord_Meth_Transfers[ignored_help],table_Transfers[[#This Row],[ID]])&gt;0</f>
        <v>1</v>
      </c>
      <c r="D128">
        <f t="shared" ca="1" si="2"/>
        <v>9523200</v>
      </c>
      <c r="E128">
        <f ca="1">IF(ROUND(table_Transfers[[#This Row],[bandwidth_ub]]/(10000*RANDBETWEEN(5,15))+RANDBETWEEN(1,50)-RANDBETWEEN(1,10),0)&lt;=0,10,ROUND(table_Transfers[[#This Row],[bandwidth_ub]]/(1000*RANDBETWEEN(5,15))+RANDBETWEEN(1,50)-RANDBETWEEN(1,10),0))</f>
        <v>823</v>
      </c>
      <c r="F128">
        <f ca="1">ROUND(1/table_Transfers[[#This Row],[investcost]]*RANDBETWEEN(10,100)/10,5)</f>
        <v>2.6700000000000001E-3</v>
      </c>
    </row>
    <row r="129" spans="1:6" x14ac:dyDescent="0.45">
      <c r="A129">
        <v>127</v>
      </c>
      <c r="B129" t="str">
        <f>CONCATENATE("Tranfer ",table_Transfers[[#This Row],[ID]])</f>
        <v>Tranfer 127</v>
      </c>
      <c r="C129" t="b">
        <f ca="1">COUNTIF(dict_zuord_Meth_Transfers[ignored_help],table_Transfers[[#This Row],[ID]])&gt;0</f>
        <v>0</v>
      </c>
      <c r="D129">
        <f t="shared" ca="1" si="2"/>
        <v>2867200</v>
      </c>
      <c r="E12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383</v>
      </c>
      <c r="F129">
        <f ca="1">ROUND(1/table_Transfers[[#This Row],[investcost]]*RANDBETWEEN(10,100)/10,5)</f>
        <v>2.5329999999999998E-2</v>
      </c>
    </row>
    <row r="130" spans="1:6" x14ac:dyDescent="0.45">
      <c r="A130">
        <v>128</v>
      </c>
      <c r="B130" t="str">
        <f>CONCATENATE("Tranfer ",table_Transfers[[#This Row],[ID]])</f>
        <v>Tranfer 128</v>
      </c>
      <c r="C130" t="b">
        <f ca="1">COUNTIF(dict_zuord_Meth_Transfers[ignored_help],table_Transfers[[#This Row],[ID]])&gt;0</f>
        <v>1</v>
      </c>
      <c r="D130">
        <f t="shared" ref="D130:D193" ca="1" si="3">2^RANDBETWEEN(6,12)*100*RANDBETWEEN(10,100)</f>
        <v>2048000</v>
      </c>
      <c r="E13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187</v>
      </c>
      <c r="F130">
        <f ca="1">ROUND(1/table_Transfers[[#This Row],[investcost]]*RANDBETWEEN(10,100)/10,5)</f>
        <v>5.8799999999999998E-3</v>
      </c>
    </row>
    <row r="131" spans="1:6" x14ac:dyDescent="0.45">
      <c r="A131">
        <v>129</v>
      </c>
      <c r="B131" t="str">
        <f>CONCATENATE("Tranfer ",table_Transfers[[#This Row],[ID]])</f>
        <v>Tranfer 129</v>
      </c>
      <c r="C131" t="b">
        <f ca="1">COUNTIF(dict_zuord_Meth_Transfers[ignored_help],table_Transfers[[#This Row],[ID]])&gt;0</f>
        <v>1</v>
      </c>
      <c r="D131">
        <f t="shared" ca="1" si="3"/>
        <v>3276800</v>
      </c>
      <c r="E131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239</v>
      </c>
      <c r="F131">
        <f ca="1">ROUND(1/table_Transfers[[#This Row],[investcost]]*RANDBETWEEN(10,100)/10,5)</f>
        <v>1.1299999999999999E-2</v>
      </c>
    </row>
    <row r="132" spans="1:6" x14ac:dyDescent="0.45">
      <c r="A132">
        <v>130</v>
      </c>
      <c r="B132" t="str">
        <f>CONCATENATE("Tranfer ",table_Transfers[[#This Row],[ID]])</f>
        <v>Tranfer 130</v>
      </c>
      <c r="C132" t="b">
        <f ca="1">COUNTIF(dict_zuord_Meth_Transfers[ignored_help],table_Transfers[[#This Row],[ID]])&gt;0</f>
        <v>1</v>
      </c>
      <c r="D132">
        <f t="shared" ca="1" si="3"/>
        <v>4864000</v>
      </c>
      <c r="E132">
        <f ca="1">IF(ROUND(table_Transfers[[#This Row],[bandwidth_ub]]/(10000*RANDBETWEEN(5,15))+RANDBETWEEN(1,50)-RANDBETWEEN(1,10),0)&lt;=0,10,ROUND(table_Transfers[[#This Row],[bandwidth_ub]]/(1000*RANDBETWEEN(5,15))+RANDBETWEEN(1,50)-RANDBETWEEN(1,10),0))</f>
        <v>984</v>
      </c>
      <c r="F132">
        <f ca="1">ROUND(1/table_Transfers[[#This Row],[investcost]]*RANDBETWEEN(10,100)/10,5)</f>
        <v>7.0099999999999997E-3</v>
      </c>
    </row>
    <row r="133" spans="1:6" x14ac:dyDescent="0.45">
      <c r="A133">
        <v>131</v>
      </c>
      <c r="B133" t="str">
        <f>CONCATENATE("Tranfer ",table_Transfers[[#This Row],[ID]])</f>
        <v>Tranfer 131</v>
      </c>
      <c r="C133" t="b">
        <f ca="1">COUNTIF(dict_zuord_Meth_Transfers[ignored_help],table_Transfers[[#This Row],[ID]])&gt;0</f>
        <v>1</v>
      </c>
      <c r="D133">
        <f t="shared" ca="1" si="3"/>
        <v>1177600</v>
      </c>
      <c r="E13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118</v>
      </c>
      <c r="F133">
        <f ca="1">ROUND(1/table_Transfers[[#This Row],[investcost]]*RANDBETWEEN(10,100)/10,5)</f>
        <v>4.7460000000000002E-2</v>
      </c>
    </row>
    <row r="134" spans="1:6" x14ac:dyDescent="0.45">
      <c r="A134">
        <v>132</v>
      </c>
      <c r="B134" t="str">
        <f>CONCATENATE("Tranfer ",table_Transfers[[#This Row],[ID]])</f>
        <v>Tranfer 132</v>
      </c>
      <c r="C134" t="b">
        <f ca="1">COUNTIF(dict_zuord_Meth_Transfers[ignored_help],table_Transfers[[#This Row],[ID]])&gt;0</f>
        <v>0</v>
      </c>
      <c r="D134">
        <f t="shared" ca="1" si="3"/>
        <v>1587200</v>
      </c>
      <c r="E13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178</v>
      </c>
      <c r="F134">
        <f ca="1">ROUND(1/table_Transfers[[#This Row],[investcost]]*RANDBETWEEN(10,100)/10,5)</f>
        <v>1.18E-2</v>
      </c>
    </row>
    <row r="135" spans="1:6" x14ac:dyDescent="0.45">
      <c r="A135">
        <v>133</v>
      </c>
      <c r="B135" t="str">
        <f>CONCATENATE("Tranfer ",table_Transfers[[#This Row],[ID]])</f>
        <v>Tranfer 133</v>
      </c>
      <c r="C135" t="b">
        <f ca="1">COUNTIF(dict_zuord_Meth_Transfers[ignored_help],table_Transfers[[#This Row],[ID]])&gt;0</f>
        <v>0</v>
      </c>
      <c r="D135">
        <f t="shared" ca="1" si="3"/>
        <v>128000</v>
      </c>
      <c r="E13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44</v>
      </c>
      <c r="F135">
        <f ca="1">ROUND(1/table_Transfers[[#This Row],[investcost]]*RANDBETWEEN(10,100)/10,5)</f>
        <v>0.18182000000000001</v>
      </c>
    </row>
    <row r="136" spans="1:6" x14ac:dyDescent="0.45">
      <c r="A136">
        <v>134</v>
      </c>
      <c r="B136" t="str">
        <f>CONCATENATE("Tranfer ",table_Transfers[[#This Row],[ID]])</f>
        <v>Tranfer 134</v>
      </c>
      <c r="C136" t="b">
        <f ca="1">COUNTIF(dict_zuord_Meth_Transfers[ignored_help],table_Transfers[[#This Row],[ID]])&gt;0</f>
        <v>0</v>
      </c>
      <c r="D136">
        <f t="shared" ca="1" si="3"/>
        <v>4659200</v>
      </c>
      <c r="E13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349</v>
      </c>
      <c r="F136">
        <f ca="1">ROUND(1/table_Transfers[[#This Row],[investcost]]*RANDBETWEEN(10,100)/10,5)</f>
        <v>2.8649999999999998E-2</v>
      </c>
    </row>
    <row r="137" spans="1:6" x14ac:dyDescent="0.45">
      <c r="A137">
        <v>135</v>
      </c>
      <c r="B137" t="str">
        <f>CONCATENATE("Tranfer ",table_Transfers[[#This Row],[ID]])</f>
        <v>Tranfer 135</v>
      </c>
      <c r="C137" t="b">
        <f ca="1">COUNTIF(dict_zuord_Meth_Transfers[ignored_help],table_Transfers[[#This Row],[ID]])&gt;0</f>
        <v>0</v>
      </c>
      <c r="D137">
        <f t="shared" ca="1" si="3"/>
        <v>576000</v>
      </c>
      <c r="E137">
        <f ca="1">IF(ROUND(table_Transfers[[#This Row],[bandwidth_ub]]/(10000*RANDBETWEEN(5,15))+RANDBETWEEN(1,50)-RANDBETWEEN(1,10),0)&lt;=0,10,ROUND(table_Transfers[[#This Row],[bandwidth_ub]]/(1000*RANDBETWEEN(5,15))+RANDBETWEEN(1,50)-RANDBETWEEN(1,10),0))</f>
        <v>41</v>
      </c>
      <c r="F137">
        <f ca="1">ROUND(1/table_Transfers[[#This Row],[investcost]]*RANDBETWEEN(10,100)/10,5)</f>
        <v>0.19023999999999999</v>
      </c>
    </row>
    <row r="138" spans="1:6" x14ac:dyDescent="0.45">
      <c r="A138">
        <v>136</v>
      </c>
      <c r="B138" t="str">
        <f>CONCATENATE("Tranfer ",table_Transfers[[#This Row],[ID]])</f>
        <v>Tranfer 136</v>
      </c>
      <c r="C138" t="b">
        <f ca="1">COUNTIF(dict_zuord_Meth_Transfers[ignored_help],table_Transfers[[#This Row],[ID]])&gt;0</f>
        <v>1</v>
      </c>
      <c r="D138">
        <f t="shared" ca="1" si="3"/>
        <v>4044800</v>
      </c>
      <c r="E13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314</v>
      </c>
      <c r="F138">
        <f ca="1">ROUND(1/table_Transfers[[#This Row],[investcost]]*RANDBETWEEN(10,100)/10,5)</f>
        <v>1.6240000000000001E-2</v>
      </c>
    </row>
    <row r="139" spans="1:6" x14ac:dyDescent="0.45">
      <c r="A139">
        <v>137</v>
      </c>
      <c r="B139" t="str">
        <f>CONCATENATE("Tranfer ",table_Transfers[[#This Row],[ID]])</f>
        <v>Tranfer 137</v>
      </c>
      <c r="C139" t="b">
        <f ca="1">COUNTIF(dict_zuord_Meth_Transfers[ignored_help],table_Transfers[[#This Row],[ID]])&gt;0</f>
        <v>1</v>
      </c>
      <c r="D139">
        <f t="shared" ca="1" si="3"/>
        <v>17203200</v>
      </c>
      <c r="E13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1262</v>
      </c>
      <c r="F139">
        <f ca="1">ROUND(1/table_Transfers[[#This Row],[investcost]]*RANDBETWEEN(10,100)/10,5)</f>
        <v>4.8300000000000001E-3</v>
      </c>
    </row>
    <row r="140" spans="1:6" x14ac:dyDescent="0.45">
      <c r="A140">
        <v>138</v>
      </c>
      <c r="B140" t="str">
        <f>CONCATENATE("Tranfer ",table_Transfers[[#This Row],[ID]])</f>
        <v>Tranfer 138</v>
      </c>
      <c r="C140" t="b">
        <f ca="1">COUNTIF(dict_zuord_Meth_Transfers[ignored_help],table_Transfers[[#This Row],[ID]])&gt;0</f>
        <v>1</v>
      </c>
      <c r="D140">
        <f t="shared" ca="1" si="3"/>
        <v>921600</v>
      </c>
      <c r="E14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113</v>
      </c>
      <c r="F140">
        <f ca="1">ROUND(1/table_Transfers[[#This Row],[investcost]]*RANDBETWEEN(10,100)/10,5)</f>
        <v>3.805E-2</v>
      </c>
    </row>
    <row r="141" spans="1:6" x14ac:dyDescent="0.45">
      <c r="A141">
        <v>139</v>
      </c>
      <c r="B141" t="str">
        <f>CONCATENATE("Tranfer ",table_Transfers[[#This Row],[ID]])</f>
        <v>Tranfer 139</v>
      </c>
      <c r="C141" t="b">
        <f ca="1">COUNTIF(dict_zuord_Meth_Transfers[ignored_help],table_Transfers[[#This Row],[ID]])&gt;0</f>
        <v>1</v>
      </c>
      <c r="D141">
        <f t="shared" ca="1" si="3"/>
        <v>921600</v>
      </c>
      <c r="E141">
        <f ca="1">IF(ROUND(table_Transfers[[#This Row],[bandwidth_ub]]/(10000*RANDBETWEEN(5,15))+RANDBETWEEN(1,50)-RANDBETWEEN(1,10),0)&lt;=0,10,ROUND(table_Transfers[[#This Row],[bandwidth_ub]]/(1000*RANDBETWEEN(5,15))+RANDBETWEEN(1,50)-RANDBETWEEN(1,10),0))</f>
        <v>90</v>
      </c>
      <c r="F141">
        <f ca="1">ROUND(1/table_Transfers[[#This Row],[investcost]]*RANDBETWEEN(10,100)/10,5)</f>
        <v>8.5559999999999997E-2</v>
      </c>
    </row>
    <row r="142" spans="1:6" x14ac:dyDescent="0.45">
      <c r="A142">
        <v>140</v>
      </c>
      <c r="B142" t="str">
        <f>CONCATENATE("Tranfer ",table_Transfers[[#This Row],[ID]])</f>
        <v>Tranfer 140</v>
      </c>
      <c r="C142" t="b">
        <f ca="1">COUNTIF(dict_zuord_Meth_Transfers[ignored_help],table_Transfers[[#This Row],[ID]])&gt;0</f>
        <v>0</v>
      </c>
      <c r="D142">
        <f t="shared" ca="1" si="3"/>
        <v>998400</v>
      </c>
      <c r="E14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178</v>
      </c>
      <c r="F142">
        <f ca="1">ROUND(1/table_Transfers[[#This Row],[investcost]]*RANDBETWEEN(10,100)/10,5)</f>
        <v>2.0789999999999999E-2</v>
      </c>
    </row>
    <row r="143" spans="1:6" x14ac:dyDescent="0.45">
      <c r="A143">
        <v>141</v>
      </c>
      <c r="B143" t="str">
        <f>CONCATENATE("Tranfer ",table_Transfers[[#This Row],[ID]])</f>
        <v>Tranfer 141</v>
      </c>
      <c r="C143" t="b">
        <f ca="1">COUNTIF(dict_zuord_Meth_Transfers[ignored_help],table_Transfers[[#This Row],[ID]])&gt;0</f>
        <v>0</v>
      </c>
      <c r="D143">
        <f t="shared" ca="1" si="3"/>
        <v>3225600</v>
      </c>
      <c r="E143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244</v>
      </c>
      <c r="F143">
        <f ca="1">ROUND(1/table_Transfers[[#This Row],[investcost]]*RANDBETWEEN(10,100)/10,5)</f>
        <v>2.0490000000000001E-2</v>
      </c>
    </row>
    <row r="144" spans="1:6" x14ac:dyDescent="0.45">
      <c r="A144">
        <v>142</v>
      </c>
      <c r="B144" t="str">
        <f>CONCATENATE("Tranfer ",table_Transfers[[#This Row],[ID]])</f>
        <v>Tranfer 142</v>
      </c>
      <c r="C144" t="b">
        <f ca="1">COUNTIF(dict_zuord_Meth_Transfers[ignored_help],table_Transfers[[#This Row],[ID]])&gt;0</f>
        <v>1</v>
      </c>
      <c r="D144">
        <f t="shared" ca="1" si="3"/>
        <v>2252800</v>
      </c>
      <c r="E144">
        <f ca="1">IF(ROUND(table_Transfers[[#This Row],[bandwidth_ub]]/(10000*RANDBETWEEN(5,15))+RANDBETWEEN(1,50)-RANDBETWEEN(1,10),0)&lt;=0,10,ROUND(table_Transfers[[#This Row],[bandwidth_ub]]/(1000*RANDBETWEEN(5,15))+RANDBETWEEN(1,50)-RANDBETWEEN(1,10),0))</f>
        <v>487</v>
      </c>
      <c r="F144">
        <f ca="1">ROUND(1/table_Transfers[[#This Row],[investcost]]*RANDBETWEEN(10,100)/10,5)</f>
        <v>1.8280000000000001E-2</v>
      </c>
    </row>
    <row r="145" spans="1:6" x14ac:dyDescent="0.45">
      <c r="A145">
        <v>143</v>
      </c>
      <c r="B145" t="str">
        <f>CONCATENATE("Tranfer ",table_Transfers[[#This Row],[ID]])</f>
        <v>Tranfer 143</v>
      </c>
      <c r="C145" t="b">
        <f ca="1">COUNTIF(dict_zuord_Meth_Transfers[ignored_help],table_Transfers[[#This Row],[ID]])&gt;0</f>
        <v>1</v>
      </c>
      <c r="D145">
        <f t="shared" ca="1" si="3"/>
        <v>9830400</v>
      </c>
      <c r="E145">
        <f ca="1">IF(ROUND(table_Transfers[[#This Row],[bandwidth_ub]]/(10000*RANDBETWEEN(5,15))+RANDBETWEEN(1,50)-RANDBETWEEN(1,10),0)&lt;=0,10,ROUND(table_Transfers[[#This Row],[bandwidth_ub]]/(1000*RANDBETWEEN(5,15))+RANDBETWEEN(1,50)-RANDBETWEEN(1,10),0))</f>
        <v>698</v>
      </c>
      <c r="F145">
        <f ca="1">ROUND(1/table_Transfers[[#This Row],[investcost]]*RANDBETWEEN(10,100)/10,5)</f>
        <v>7.5900000000000004E-3</v>
      </c>
    </row>
    <row r="146" spans="1:6" x14ac:dyDescent="0.45">
      <c r="A146">
        <v>144</v>
      </c>
      <c r="B146" t="str">
        <f>CONCATENATE("Tranfer ",table_Transfers[[#This Row],[ID]])</f>
        <v>Tranfer 144</v>
      </c>
      <c r="C146" t="b">
        <f ca="1">COUNTIF(dict_zuord_Meth_Transfers[ignored_help],table_Transfers[[#This Row],[ID]])&gt;0</f>
        <v>0</v>
      </c>
      <c r="D146">
        <f t="shared" ca="1" si="3"/>
        <v>3328000</v>
      </c>
      <c r="E146">
        <f ca="1">IF(ROUND(table_Transfers[[#This Row],[bandwidth_ub]]/(10000*RANDBETWEEN(5,15))+RANDBETWEEN(1,50)-RANDBETWEEN(1,10),0)&lt;=0,10,ROUND(table_Transfers[[#This Row],[bandwidth_ub]]/(1000*RANDBETWEEN(5,15))+RANDBETWEEN(1,50)-RANDBETWEEN(1,10),0))</f>
        <v>715</v>
      </c>
      <c r="F146">
        <f ca="1">ROUND(1/table_Transfers[[#This Row],[investcost]]*RANDBETWEEN(10,100)/10,5)</f>
        <v>7.5500000000000003E-3</v>
      </c>
    </row>
    <row r="147" spans="1:6" x14ac:dyDescent="0.45">
      <c r="A147">
        <v>145</v>
      </c>
      <c r="B147" t="str">
        <f>CONCATENATE("Tranfer ",table_Transfers[[#This Row],[ID]])</f>
        <v>Tranfer 145</v>
      </c>
      <c r="C147" t="b">
        <f ca="1">COUNTIF(dict_zuord_Meth_Transfers[ignored_help],table_Transfers[[#This Row],[ID]])&gt;0</f>
        <v>0</v>
      </c>
      <c r="D147">
        <f t="shared" ca="1" si="3"/>
        <v>6041600</v>
      </c>
      <c r="E147">
        <f ca="1">IF(ROUND(table_Transfers[[#This Row],[bandwidth_ub]]/(10000*RANDBETWEEN(5,15))+RANDBETWEEN(1,50)-RANDBETWEEN(1,10),0)&lt;=0,10,ROUND(table_Transfers[[#This Row],[bandwidth_ub]]/(1000*RANDBETWEEN(5,15))+RANDBETWEEN(1,50)-RANDBETWEEN(1,10),0))</f>
        <v>609</v>
      </c>
      <c r="F147">
        <f ca="1">ROUND(1/table_Transfers[[#This Row],[investcost]]*RANDBETWEEN(10,100)/10,5)</f>
        <v>1.396E-2</v>
      </c>
    </row>
    <row r="148" spans="1:6" x14ac:dyDescent="0.45">
      <c r="A148">
        <v>146</v>
      </c>
      <c r="B148" t="str">
        <f>CONCATENATE("Tranfer ",table_Transfers[[#This Row],[ID]])</f>
        <v>Tranfer 146</v>
      </c>
      <c r="C148" t="b">
        <f ca="1">COUNTIF(dict_zuord_Meth_Transfers[ignored_help],table_Transfers[[#This Row],[ID]])&gt;0</f>
        <v>1</v>
      </c>
      <c r="D148">
        <f t="shared" ca="1" si="3"/>
        <v>742400</v>
      </c>
      <c r="E14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181</v>
      </c>
      <c r="F148">
        <f ca="1">ROUND(1/table_Transfers[[#This Row],[investcost]]*RANDBETWEEN(10,100)/10,5)</f>
        <v>4.7509999999999997E-2</v>
      </c>
    </row>
    <row r="149" spans="1:6" x14ac:dyDescent="0.45">
      <c r="A149">
        <v>147</v>
      </c>
      <c r="B149" t="str">
        <f>CONCATENATE("Tranfer ",table_Transfers[[#This Row],[ID]])</f>
        <v>Tranfer 147</v>
      </c>
      <c r="C149" t="b">
        <f ca="1">COUNTIF(dict_zuord_Meth_Transfers[ignored_help],table_Transfers[[#This Row],[ID]])&gt;0</f>
        <v>0</v>
      </c>
      <c r="D149">
        <f t="shared" ca="1" si="3"/>
        <v>5120000</v>
      </c>
      <c r="E149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1039</v>
      </c>
      <c r="F149">
        <f ca="1">ROUND(1/table_Transfers[[#This Row],[investcost]]*RANDBETWEEN(10,100)/10,5)</f>
        <v>2.31E-3</v>
      </c>
    </row>
    <row r="150" spans="1:6" x14ac:dyDescent="0.45">
      <c r="A150">
        <v>148</v>
      </c>
      <c r="B150" t="str">
        <f>CONCATENATE("Tranfer ",table_Transfers[[#This Row],[ID]])</f>
        <v>Tranfer 148</v>
      </c>
      <c r="C150" t="b">
        <f ca="1">COUNTIF(dict_zuord_Meth_Transfers[ignored_help],table_Transfers[[#This Row],[ID]])&gt;0</f>
        <v>0</v>
      </c>
      <c r="D150">
        <f t="shared" ca="1" si="3"/>
        <v>20070400</v>
      </c>
      <c r="E150">
        <f ca="1">IF(ROUND(table_Transfers[[#This Row],[bandwidth_ub]]/(10000*RANDBETWEEN(5,15))+RANDBETWEEN(1,50)-RANDBETWEEN(1,10),0)&lt;=0,10,ROUND(table_Transfers[[#This Row],[bandwidth_ub]]/(1000*RANDBETWEEN(5,15))+RANDBETWEEN(1,50)-RANDBETWEEN(1,10),0))</f>
        <v>2008</v>
      </c>
      <c r="F150">
        <f ca="1">ROUND(1/table_Transfers[[#This Row],[investcost]]*RANDBETWEEN(10,100)/10,5)</f>
        <v>2.2899999999999999E-3</v>
      </c>
    </row>
    <row r="151" spans="1:6" x14ac:dyDescent="0.45">
      <c r="A151">
        <v>149</v>
      </c>
      <c r="B151" t="str">
        <f>CONCATENATE("Tranfer ",table_Transfers[[#This Row],[ID]])</f>
        <v>Tranfer 149</v>
      </c>
      <c r="C151" t="b">
        <f ca="1">COUNTIF(dict_zuord_Meth_Transfers[ignored_help],table_Transfers[[#This Row],[ID]])&gt;0</f>
        <v>1</v>
      </c>
      <c r="D151">
        <f t="shared" ca="1" si="3"/>
        <v>8396800</v>
      </c>
      <c r="E151">
        <f ca="1">IF(ROUND(table_Transfers[[#This Row],[bandwidth_ub]]/(10000*RANDBETWEEN(5,15))+RANDBETWEEN(1,50)-RANDBETWEEN(1,10),0)&lt;=0,10,ROUND(table_Transfers[[#This Row],[bandwidth_ub]]/(1000*RANDBETWEEN(5,15))+RANDBETWEEN(1,50)-RANDBETWEEN(1,10),0))</f>
        <v>597</v>
      </c>
      <c r="F151">
        <f ca="1">ROUND(1/table_Transfers[[#This Row],[investcost]]*RANDBETWEEN(10,100)/10,5)</f>
        <v>3.5200000000000001E-3</v>
      </c>
    </row>
    <row r="152" spans="1:6" x14ac:dyDescent="0.45">
      <c r="A152">
        <v>150</v>
      </c>
      <c r="B152" t="str">
        <f>CONCATENATE("Tranfer ",table_Transfers[[#This Row],[ID]])</f>
        <v>Tranfer 150</v>
      </c>
      <c r="C152" t="b">
        <f ca="1">COUNTIF(dict_zuord_Meth_Transfers[ignored_help],table_Transfers[[#This Row],[ID]])&gt;0</f>
        <v>1</v>
      </c>
      <c r="D152">
        <f t="shared" ca="1" si="3"/>
        <v>614400</v>
      </c>
      <c r="E152">
        <f ca="1">IF(ROUND(table_Transfers[[#This Row],[bandwidth_ub]]/(10000*RANDBETWEEN(5,15))+RANDBETWEEN(1,50)-RANDBETWEEN(1,10),0)&lt;=0,10,ROUND(table_Transfers[[#This Row],[bandwidth_ub]]/(1000*RANDBETWEEN(5,15))+RANDBETWEEN(1,50)-RANDBETWEEN(1,10),0))</f>
        <v>73</v>
      </c>
      <c r="F152">
        <f ca="1">ROUND(1/table_Transfers[[#This Row],[investcost]]*RANDBETWEEN(10,100)/10,5)</f>
        <v>9.178E-2</v>
      </c>
    </row>
    <row r="153" spans="1:6" x14ac:dyDescent="0.45">
      <c r="A153">
        <v>151</v>
      </c>
      <c r="B153" t="str">
        <f>CONCATENATE("Tranfer ",table_Transfers[[#This Row],[ID]])</f>
        <v>Tranfer 151</v>
      </c>
      <c r="C153" t="b">
        <f ca="1">COUNTIF(dict_zuord_Meth_Transfers[ignored_help],table_Transfers[[#This Row],[ID]])&gt;0</f>
        <v>0</v>
      </c>
      <c r="D153">
        <f t="shared" ca="1" si="3"/>
        <v>18022400</v>
      </c>
      <c r="E153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1328</v>
      </c>
      <c r="F153">
        <f ca="1">ROUND(1/table_Transfers[[#This Row],[investcost]]*RANDBETWEEN(10,100)/10,5)</f>
        <v>4.8900000000000002E-3</v>
      </c>
    </row>
    <row r="154" spans="1:6" x14ac:dyDescent="0.45">
      <c r="A154">
        <v>152</v>
      </c>
      <c r="B154" t="str">
        <f>CONCATENATE("Tranfer ",table_Transfers[[#This Row],[ID]])</f>
        <v>Tranfer 152</v>
      </c>
      <c r="C154" t="b">
        <f ca="1">COUNTIF(dict_zuord_Meth_Transfers[ignored_help],table_Transfers[[#This Row],[ID]])&gt;0</f>
        <v>1</v>
      </c>
      <c r="D154">
        <f t="shared" ca="1" si="3"/>
        <v>160000</v>
      </c>
      <c r="E154">
        <f ca="1">IF(ROUND(table_Transfers[[#This Row],[bandwidth_ub]]/(10000*RANDBETWEEN(5,15))+RANDBETWEEN(1,50)-RANDBETWEEN(1,10),0)&lt;=0,10,ROUND(table_Transfers[[#This Row],[bandwidth_ub]]/(1000*RANDBETWEEN(5,15))+RANDBETWEEN(1,50)-RANDBETWEEN(1,10),0))</f>
        <v>24</v>
      </c>
      <c r="F154">
        <f ca="1">ROUND(1/table_Transfers[[#This Row],[investcost]]*RANDBETWEEN(10,100)/10,5)</f>
        <v>0.4</v>
      </c>
    </row>
    <row r="155" spans="1:6" x14ac:dyDescent="0.45">
      <c r="A155">
        <v>153</v>
      </c>
      <c r="B155" t="str">
        <f>CONCATENATE("Tranfer ",table_Transfers[[#This Row],[ID]])</f>
        <v>Tranfer 153</v>
      </c>
      <c r="C155" t="b">
        <f ca="1">COUNTIF(dict_zuord_Meth_Transfers[ignored_help],table_Transfers[[#This Row],[ID]])&gt;0</f>
        <v>0</v>
      </c>
      <c r="D155">
        <f t="shared" ca="1" si="3"/>
        <v>5222400</v>
      </c>
      <c r="E155">
        <f ca="1">IF(ROUND(table_Transfers[[#This Row],[bandwidth_ub]]/(10000*RANDBETWEEN(5,15))+RANDBETWEEN(1,50)-RANDBETWEEN(1,10),0)&lt;=0,10,ROUND(table_Transfers[[#This Row],[bandwidth_ub]]/(1000*RANDBETWEEN(5,15))+RANDBETWEEN(1,50)-RANDBETWEEN(1,10),0))</f>
        <v>578</v>
      </c>
      <c r="F155">
        <f ca="1">ROUND(1/table_Transfers[[#This Row],[investcost]]*RANDBETWEEN(10,100)/10,5)</f>
        <v>1.401E-2</v>
      </c>
    </row>
    <row r="156" spans="1:6" x14ac:dyDescent="0.45">
      <c r="A156">
        <v>154</v>
      </c>
      <c r="B156" t="str">
        <f>CONCATENATE("Tranfer ",table_Transfers[[#This Row],[ID]])</f>
        <v>Tranfer 154</v>
      </c>
      <c r="C156" t="b">
        <f ca="1">COUNTIF(dict_zuord_Meth_Transfers[ignored_help],table_Transfers[[#This Row],[ID]])&gt;0</f>
        <v>0</v>
      </c>
      <c r="D156">
        <f t="shared" ca="1" si="3"/>
        <v>8704000</v>
      </c>
      <c r="E156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1005</v>
      </c>
      <c r="F156">
        <f ca="1">ROUND(1/table_Transfers[[#This Row],[investcost]]*RANDBETWEEN(10,100)/10,5)</f>
        <v>3.8800000000000002E-3</v>
      </c>
    </row>
    <row r="157" spans="1:6" x14ac:dyDescent="0.45">
      <c r="A157">
        <v>155</v>
      </c>
      <c r="B157" t="str">
        <f>CONCATENATE("Tranfer ",table_Transfers[[#This Row],[ID]])</f>
        <v>Tranfer 155</v>
      </c>
      <c r="C157" t="b">
        <f ca="1">COUNTIF(dict_zuord_Meth_Transfers[ignored_help],table_Transfers[[#This Row],[ID]])&gt;0</f>
        <v>0</v>
      </c>
      <c r="D157">
        <f t="shared" ca="1" si="3"/>
        <v>512000</v>
      </c>
      <c r="E157">
        <f ca="1">IF(ROUND(table_Transfers[[#This Row],[bandwidth_ub]]/(10000*RANDBETWEEN(5,15))+RANDBETWEEN(1,50)-RANDBETWEEN(1,10),0)&lt;=0,10,ROUND(table_Transfers[[#This Row],[bandwidth_ub]]/(1000*RANDBETWEEN(5,15))+RANDBETWEEN(1,50)-RANDBETWEEN(1,10),0))</f>
        <v>56</v>
      </c>
      <c r="F157">
        <f ca="1">ROUND(1/table_Transfers[[#This Row],[investcost]]*RANDBETWEEN(10,100)/10,5)</f>
        <v>0.10893</v>
      </c>
    </row>
    <row r="158" spans="1:6" x14ac:dyDescent="0.45">
      <c r="A158">
        <v>156</v>
      </c>
      <c r="B158" t="str">
        <f>CONCATENATE("Tranfer ",table_Transfers[[#This Row],[ID]])</f>
        <v>Tranfer 156</v>
      </c>
      <c r="C158" t="b">
        <f ca="1">COUNTIF(dict_zuord_Meth_Transfers[ignored_help],table_Transfers[[#This Row],[ID]])&gt;0</f>
        <v>0</v>
      </c>
      <c r="D158">
        <f t="shared" ca="1" si="3"/>
        <v>2560000</v>
      </c>
      <c r="E158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389</v>
      </c>
      <c r="F158">
        <f ca="1">ROUND(1/table_Transfers[[#This Row],[investcost]]*RANDBETWEEN(10,100)/10,5)</f>
        <v>1.157E-2</v>
      </c>
    </row>
    <row r="159" spans="1:6" x14ac:dyDescent="0.45">
      <c r="A159">
        <v>157</v>
      </c>
      <c r="B159" t="str">
        <f>CONCATENATE("Tranfer ",table_Transfers[[#This Row],[ID]])</f>
        <v>Tranfer 157</v>
      </c>
      <c r="C159" t="b">
        <f ca="1">COUNTIF(dict_zuord_Meth_Transfers[ignored_help],table_Transfers[[#This Row],[ID]])&gt;0</f>
        <v>1</v>
      </c>
      <c r="D159">
        <f t="shared" ca="1" si="3"/>
        <v>2764800</v>
      </c>
      <c r="E15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389</v>
      </c>
      <c r="F159">
        <f ca="1">ROUND(1/table_Transfers[[#This Row],[investcost]]*RANDBETWEEN(10,100)/10,5)</f>
        <v>4.6299999999999996E-3</v>
      </c>
    </row>
    <row r="160" spans="1:6" x14ac:dyDescent="0.45">
      <c r="A160">
        <v>158</v>
      </c>
      <c r="B160" t="str">
        <f>CONCATENATE("Tranfer ",table_Transfers[[#This Row],[ID]])</f>
        <v>Tranfer 158</v>
      </c>
      <c r="C160" t="b">
        <f ca="1">COUNTIF(dict_zuord_Meth_Transfers[ignored_help],table_Transfers[[#This Row],[ID]])&gt;0</f>
        <v>0</v>
      </c>
      <c r="D160">
        <f t="shared" ca="1" si="3"/>
        <v>4300800</v>
      </c>
      <c r="E160">
        <f ca="1">IF(ROUND(table_Transfers[[#This Row],[bandwidth_ub]]/(10000*RANDBETWEEN(5,15))+RANDBETWEEN(1,50)-RANDBETWEEN(1,10),0)&lt;=0,10,ROUND(table_Transfers[[#This Row],[bandwidth_ub]]/(1000*RANDBETWEEN(5,15))+RANDBETWEEN(1,50)-RANDBETWEEN(1,10),0))</f>
        <v>754</v>
      </c>
      <c r="F160">
        <f ca="1">ROUND(1/table_Transfers[[#This Row],[investcost]]*RANDBETWEEN(10,100)/10,5)</f>
        <v>4.2399999999999998E-3</v>
      </c>
    </row>
    <row r="161" spans="1:6" x14ac:dyDescent="0.45">
      <c r="A161">
        <v>159</v>
      </c>
      <c r="B161" t="str">
        <f>CONCATENATE("Tranfer ",table_Transfers[[#This Row],[ID]])</f>
        <v>Tranfer 159</v>
      </c>
      <c r="C161" t="b">
        <f ca="1">COUNTIF(dict_zuord_Meth_Transfers[ignored_help],table_Transfers[[#This Row],[ID]])&gt;0</f>
        <v>1</v>
      </c>
      <c r="D161">
        <f t="shared" ca="1" si="3"/>
        <v>352000</v>
      </c>
      <c r="E161">
        <f ca="1">IF(ROUND(table_Transfers[[#This Row],[bandwidth_ub]]/(10000*RANDBETWEEN(5,15))+RANDBETWEEN(1,50)-RANDBETWEEN(1,10),0)&lt;=0,10,ROUND(table_Transfers[[#This Row],[bandwidth_ub]]/(1000*RANDBETWEEN(5,15))+RANDBETWEEN(1,50)-RANDBETWEEN(1,10),0))</f>
        <v>49</v>
      </c>
      <c r="F161">
        <f ca="1">ROUND(1/table_Transfers[[#This Row],[investcost]]*RANDBETWEEN(10,100)/10,5)</f>
        <v>0.16327</v>
      </c>
    </row>
    <row r="162" spans="1:6" x14ac:dyDescent="0.45">
      <c r="A162">
        <v>160</v>
      </c>
      <c r="B162" t="str">
        <f>CONCATENATE("Tranfer ",table_Transfers[[#This Row],[ID]])</f>
        <v>Tranfer 160</v>
      </c>
      <c r="C162" t="b">
        <f ca="1">COUNTIF(dict_zuord_Meth_Transfers[ignored_help],table_Transfers[[#This Row],[ID]])&gt;0</f>
        <v>1</v>
      </c>
      <c r="D162">
        <f t="shared" ca="1" si="3"/>
        <v>1177600</v>
      </c>
      <c r="E16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166</v>
      </c>
      <c r="F162">
        <f ca="1">ROUND(1/table_Transfers[[#This Row],[investcost]]*RANDBETWEEN(10,100)/10,5)</f>
        <v>4.3979999999999998E-2</v>
      </c>
    </row>
    <row r="163" spans="1:6" x14ac:dyDescent="0.45">
      <c r="A163">
        <v>161</v>
      </c>
      <c r="B163" t="str">
        <f>CONCATENATE("Tranfer ",table_Transfers[[#This Row],[ID]])</f>
        <v>Tranfer 161</v>
      </c>
      <c r="C163" t="b">
        <f ca="1">COUNTIF(dict_zuord_Meth_Transfers[ignored_help],table_Transfers[[#This Row],[ID]])&gt;0</f>
        <v>1</v>
      </c>
      <c r="D163">
        <f t="shared" ca="1" si="3"/>
        <v>1689600</v>
      </c>
      <c r="E163">
        <f ca="1">IF(ROUND(table_Transfers[[#This Row],[bandwidth_ub]]/(10000*RANDBETWEEN(5,15))+RANDBETWEEN(1,50)-RANDBETWEEN(1,10),0)&lt;=0,10,ROUND(table_Transfers[[#This Row],[bandwidth_ub]]/(1000*RANDBETWEEN(5,15))+RANDBETWEEN(1,50)-RANDBETWEEN(1,10),0))</f>
        <v>358</v>
      </c>
      <c r="F163">
        <f ca="1">ROUND(1/table_Transfers[[#This Row],[investcost]]*RANDBETWEEN(10,100)/10,5)</f>
        <v>5.8700000000000002E-3</v>
      </c>
    </row>
    <row r="164" spans="1:6" x14ac:dyDescent="0.45">
      <c r="A164">
        <v>162</v>
      </c>
      <c r="B164" t="str">
        <f>CONCATENATE("Tranfer ",table_Transfers[[#This Row],[ID]])</f>
        <v>Tranfer 162</v>
      </c>
      <c r="C164" t="b">
        <f ca="1">COUNTIF(dict_zuord_Meth_Transfers[ignored_help],table_Transfers[[#This Row],[ID]])&gt;0</f>
        <v>0</v>
      </c>
      <c r="D164">
        <f t="shared" ca="1" si="3"/>
        <v>7987200</v>
      </c>
      <c r="E164">
        <f ca="1">IF(ROUND(table_Transfers[[#This Row],[bandwidth_ub]]/(10000*RANDBETWEEN(5,15))+RANDBETWEEN(1,50)-RANDBETWEEN(1,10),0)&lt;=0,10,ROUND(table_Transfers[[#This Row],[bandwidth_ub]]/(1000*RANDBETWEEN(5,15))+RANDBETWEEN(1,50)-RANDBETWEEN(1,10),0))</f>
        <v>646</v>
      </c>
      <c r="F164">
        <f ca="1">ROUND(1/table_Transfers[[#This Row],[investcost]]*RANDBETWEEN(10,100)/10,5)</f>
        <v>8.2000000000000007E-3</v>
      </c>
    </row>
    <row r="165" spans="1:6" x14ac:dyDescent="0.45">
      <c r="A165">
        <v>163</v>
      </c>
      <c r="B165" t="str">
        <f>CONCATENATE("Tranfer ",table_Transfers[[#This Row],[ID]])</f>
        <v>Tranfer 163</v>
      </c>
      <c r="C165" t="b">
        <f ca="1">COUNTIF(dict_zuord_Meth_Transfers[ignored_help],table_Transfers[[#This Row],[ID]])&gt;0</f>
        <v>1</v>
      </c>
      <c r="D165">
        <f t="shared" ca="1" si="3"/>
        <v>243200</v>
      </c>
      <c r="E165">
        <f ca="1">IF(ROUND(table_Transfers[[#This Row],[bandwidth_ub]]/(10000*RANDBETWEEN(5,15))+RANDBETWEEN(1,50)-RANDBETWEEN(1,10),0)&lt;=0,10,ROUND(table_Transfers[[#This Row],[bandwidth_ub]]/(1000*RANDBETWEEN(5,15))+RANDBETWEEN(1,50)-RANDBETWEEN(1,10),0))</f>
        <v>43</v>
      </c>
      <c r="F165">
        <f ca="1">ROUND(1/table_Transfers[[#This Row],[investcost]]*RANDBETWEEN(10,100)/10,5)</f>
        <v>0.15814</v>
      </c>
    </row>
    <row r="166" spans="1:6" x14ac:dyDescent="0.45">
      <c r="A166">
        <v>164</v>
      </c>
      <c r="B166" t="str">
        <f>CONCATENATE("Tranfer ",table_Transfers[[#This Row],[ID]])</f>
        <v>Tranfer 164</v>
      </c>
      <c r="C166" t="b">
        <f ca="1">COUNTIF(dict_zuord_Meth_Transfers[ignored_help],table_Transfers[[#This Row],[ID]])&gt;0</f>
        <v>0</v>
      </c>
      <c r="D166">
        <f t="shared" ca="1" si="3"/>
        <v>3840000</v>
      </c>
      <c r="E166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300</v>
      </c>
      <c r="F166">
        <f ca="1">ROUND(1/table_Transfers[[#This Row],[investcost]]*RANDBETWEEN(10,100)/10,5)</f>
        <v>3.1E-2</v>
      </c>
    </row>
    <row r="167" spans="1:6" x14ac:dyDescent="0.45">
      <c r="A167">
        <v>165</v>
      </c>
      <c r="B167" t="str">
        <f>CONCATENATE("Tranfer ",table_Transfers[[#This Row],[ID]])</f>
        <v>Tranfer 165</v>
      </c>
      <c r="C167" t="b">
        <f ca="1">COUNTIF(dict_zuord_Meth_Transfers[ignored_help],table_Transfers[[#This Row],[ID]])&gt;0</f>
        <v>1</v>
      </c>
      <c r="D167">
        <f t="shared" ca="1" si="3"/>
        <v>1331200</v>
      </c>
      <c r="E167">
        <f ca="1">IF(ROUND(table_Transfers[[#This Row],[bandwidth_ub]]/(10000*RANDBETWEEN(5,15))+RANDBETWEEN(1,50)-RANDBETWEEN(1,10),0)&lt;=0,10,ROUND(table_Transfers[[#This Row],[bandwidth_ub]]/(1000*RANDBETWEEN(5,15))+RANDBETWEEN(1,50)-RANDBETWEEN(1,10),0))</f>
        <v>306</v>
      </c>
      <c r="F167">
        <f ca="1">ROUND(1/table_Transfers[[#This Row],[investcost]]*RANDBETWEEN(10,100)/10,5)</f>
        <v>8.8199999999999997E-3</v>
      </c>
    </row>
    <row r="168" spans="1:6" x14ac:dyDescent="0.45">
      <c r="A168">
        <v>166</v>
      </c>
      <c r="B168" t="str">
        <f>CONCATENATE("Tranfer ",table_Transfers[[#This Row],[ID]])</f>
        <v>Tranfer 166</v>
      </c>
      <c r="C168" t="b">
        <f ca="1">COUNTIF(dict_zuord_Meth_Transfers[ignored_help],table_Transfers[[#This Row],[ID]])&gt;0</f>
        <v>0</v>
      </c>
      <c r="D168">
        <f t="shared" ca="1" si="3"/>
        <v>1126400</v>
      </c>
      <c r="E16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258</v>
      </c>
      <c r="F168">
        <f ca="1">ROUND(1/table_Transfers[[#This Row],[investcost]]*RANDBETWEEN(10,100)/10,5)</f>
        <v>3.2169999999999997E-2</v>
      </c>
    </row>
    <row r="169" spans="1:6" x14ac:dyDescent="0.45">
      <c r="A169">
        <v>167</v>
      </c>
      <c r="B169" t="str">
        <f>CONCATENATE("Tranfer ",table_Transfers[[#This Row],[ID]])</f>
        <v>Tranfer 167</v>
      </c>
      <c r="C169" t="b">
        <f ca="1">COUNTIF(dict_zuord_Meth_Transfers[ignored_help],table_Transfers[[#This Row],[ID]])&gt;0</f>
        <v>0</v>
      </c>
      <c r="D169">
        <f t="shared" ca="1" si="3"/>
        <v>3788800</v>
      </c>
      <c r="E169">
        <f ca="1">IF(ROUND(table_Transfers[[#This Row],[bandwidth_ub]]/(10000*RANDBETWEEN(5,15))+RANDBETWEEN(1,50)-RANDBETWEEN(1,10),0)&lt;=0,10,ROUND(table_Transfers[[#This Row],[bandwidth_ub]]/(1000*RANDBETWEEN(5,15))+RANDBETWEEN(1,50)-RANDBETWEEN(1,10),0))</f>
        <v>517</v>
      </c>
      <c r="F169">
        <f ca="1">ROUND(1/table_Transfers[[#This Row],[investcost]]*RANDBETWEEN(10,100)/10,5)</f>
        <v>1.644E-2</v>
      </c>
    </row>
    <row r="170" spans="1:6" x14ac:dyDescent="0.45">
      <c r="A170">
        <v>168</v>
      </c>
      <c r="B170" t="str">
        <f>CONCATENATE("Tranfer ",table_Transfers[[#This Row],[ID]])</f>
        <v>Tranfer 168</v>
      </c>
      <c r="C170" t="b">
        <f ca="1">COUNTIF(dict_zuord_Meth_Transfers[ignored_help],table_Transfers[[#This Row],[ID]])&gt;0</f>
        <v>1</v>
      </c>
      <c r="D170">
        <f t="shared" ca="1" si="3"/>
        <v>243200</v>
      </c>
      <c r="E170">
        <f ca="1">IF(ROUND(table_Transfers[[#This Row],[bandwidth_ub]]/(10000*RANDBETWEEN(5,15))+RANDBETWEEN(1,50)-RANDBETWEEN(1,10),0)&lt;=0,10,ROUND(table_Transfers[[#This Row],[bandwidth_ub]]/(1000*RANDBETWEEN(5,15))+RANDBETWEEN(1,50)-RANDBETWEEN(1,10),0))</f>
        <v>63</v>
      </c>
      <c r="F170">
        <f ca="1">ROUND(1/table_Transfers[[#This Row],[investcost]]*RANDBETWEEN(10,100)/10,5)</f>
        <v>0.15397</v>
      </c>
    </row>
    <row r="171" spans="1:6" x14ac:dyDescent="0.45">
      <c r="A171">
        <v>169</v>
      </c>
      <c r="B171" t="str">
        <f>CONCATENATE("Tranfer ",table_Transfers[[#This Row],[ID]])</f>
        <v>Tranfer 169</v>
      </c>
      <c r="C171" t="b">
        <f ca="1">COUNTIF(dict_zuord_Meth_Transfers[ignored_help],table_Transfers[[#This Row],[ID]])&gt;0</f>
        <v>1</v>
      </c>
      <c r="D171">
        <f t="shared" ca="1" si="3"/>
        <v>14336000</v>
      </c>
      <c r="E17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1227</v>
      </c>
      <c r="F171">
        <f ca="1">ROUND(1/table_Transfers[[#This Row],[investcost]]*RANDBETWEEN(10,100)/10,5)</f>
        <v>7.0899999999999999E-3</v>
      </c>
    </row>
    <row r="172" spans="1:6" x14ac:dyDescent="0.45">
      <c r="A172">
        <v>170</v>
      </c>
      <c r="B172" t="str">
        <f>CONCATENATE("Tranfer ",table_Transfers[[#This Row],[ID]])</f>
        <v>Tranfer 170</v>
      </c>
      <c r="C172" t="b">
        <f ca="1">COUNTIF(dict_zuord_Meth_Transfers[ignored_help],table_Transfers[[#This Row],[ID]])&gt;0</f>
        <v>0</v>
      </c>
      <c r="D172">
        <f t="shared" ca="1" si="3"/>
        <v>1996800</v>
      </c>
      <c r="E17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187</v>
      </c>
      <c r="F172">
        <f ca="1">ROUND(1/table_Transfers[[#This Row],[investcost]]*RANDBETWEEN(10,100)/10,5)</f>
        <v>1.925E-2</v>
      </c>
    </row>
    <row r="173" spans="1:6" x14ac:dyDescent="0.45">
      <c r="A173">
        <v>171</v>
      </c>
      <c r="B173" t="str">
        <f>CONCATENATE("Tranfer ",table_Transfers[[#This Row],[ID]])</f>
        <v>Tranfer 171</v>
      </c>
      <c r="C173" t="b">
        <f ca="1">COUNTIF(dict_zuord_Meth_Transfers[ignored_help],table_Transfers[[#This Row],[ID]])&gt;0</f>
        <v>0</v>
      </c>
      <c r="D173">
        <f t="shared" ca="1" si="3"/>
        <v>582400</v>
      </c>
      <c r="E173">
        <f ca="1">IF(ROUND(table_Transfers[[#This Row],[bandwidth_ub]]/(10000*RANDBETWEEN(5,15))+RANDBETWEEN(1,50)-RANDBETWEEN(1,10),0)&lt;=0,10,ROUND(table_Transfers[[#This Row],[bandwidth_ub]]/(1000*RANDBETWEEN(5,15))+RANDBETWEEN(1,50)-RANDBETWEEN(1,10),0))</f>
        <v>86</v>
      </c>
      <c r="F173">
        <f ca="1">ROUND(1/table_Transfers[[#This Row],[investcost]]*RANDBETWEEN(10,100)/10,5)</f>
        <v>3.9530000000000003E-2</v>
      </c>
    </row>
    <row r="174" spans="1:6" x14ac:dyDescent="0.45">
      <c r="A174">
        <v>172</v>
      </c>
      <c r="B174" t="str">
        <f>CONCATENATE("Tranfer ",table_Transfers[[#This Row],[ID]])</f>
        <v>Tranfer 172</v>
      </c>
      <c r="C174" t="b">
        <f ca="1">COUNTIF(dict_zuord_Meth_Transfers[ignored_help],table_Transfers[[#This Row],[ID]])&gt;0</f>
        <v>1</v>
      </c>
      <c r="D174">
        <f t="shared" ca="1" si="3"/>
        <v>2662400</v>
      </c>
      <c r="E174">
        <f ca="1">IF(ROUND(table_Transfers[[#This Row],[bandwidth_ub]]/(10000*RANDBETWEEN(5,15))+RANDBETWEEN(1,50)-RANDBETWEEN(1,10),0)&lt;=0,10,ROUND(table_Transfers[[#This Row],[bandwidth_ub]]/(1000*RANDBETWEEN(5,15))+RANDBETWEEN(1,50)-RANDBETWEEN(1,10),0))</f>
        <v>479</v>
      </c>
      <c r="F174">
        <f ca="1">ROUND(1/table_Transfers[[#This Row],[investcost]]*RANDBETWEEN(10,100)/10,5)</f>
        <v>1.8159999999999999E-2</v>
      </c>
    </row>
    <row r="175" spans="1:6" x14ac:dyDescent="0.45">
      <c r="A175">
        <v>173</v>
      </c>
      <c r="B175" t="str">
        <f>CONCATENATE("Tranfer ",table_Transfers[[#This Row],[ID]])</f>
        <v>Tranfer 173</v>
      </c>
      <c r="C175" t="b">
        <f ca="1">COUNTIF(dict_zuord_Meth_Transfers[ignored_help],table_Transfers[[#This Row],[ID]])&gt;0</f>
        <v>0</v>
      </c>
      <c r="D175">
        <f t="shared" ca="1" si="3"/>
        <v>371200</v>
      </c>
      <c r="E175">
        <f ca="1">IF(ROUND(table_Transfers[[#This Row],[bandwidth_ub]]/(10000*RANDBETWEEN(5,15))+RANDBETWEEN(1,50)-RANDBETWEEN(1,10),0)&lt;=0,10,ROUND(table_Transfers[[#This Row],[bandwidth_ub]]/(1000*RANDBETWEEN(5,15))+RANDBETWEEN(1,50)-RANDBETWEEN(1,10),0))</f>
        <v>33</v>
      </c>
      <c r="F175">
        <f ca="1">ROUND(1/table_Transfers[[#This Row],[investcost]]*RANDBETWEEN(10,100)/10,5)</f>
        <v>0.27272999999999997</v>
      </c>
    </row>
    <row r="176" spans="1:6" x14ac:dyDescent="0.45">
      <c r="A176">
        <v>174</v>
      </c>
      <c r="B176" t="str">
        <f>CONCATENATE("Tranfer ",table_Transfers[[#This Row],[ID]])</f>
        <v>Tranfer 174</v>
      </c>
      <c r="C176" t="b">
        <f ca="1">COUNTIF(dict_zuord_Meth_Transfers[ignored_help],table_Transfers[[#This Row],[ID]])&gt;0</f>
        <v>0</v>
      </c>
      <c r="D176">
        <f t="shared" ca="1" si="3"/>
        <v>563200</v>
      </c>
      <c r="E176">
        <f ca="1">IF(ROUND(table_Transfers[[#This Row],[bandwidth_ub]]/(10000*RANDBETWEEN(5,15))+RANDBETWEEN(1,50)-RANDBETWEEN(1,10),0)&lt;=0,10,ROUND(table_Transfers[[#This Row],[bandwidth_ub]]/(1000*RANDBETWEEN(5,15))+RANDBETWEEN(1,50)-RANDBETWEEN(1,10),0))</f>
        <v>90</v>
      </c>
      <c r="F176">
        <f ca="1">ROUND(1/table_Transfers[[#This Row],[investcost]]*RANDBETWEEN(10,100)/10,5)</f>
        <v>1.222E-2</v>
      </c>
    </row>
    <row r="177" spans="1:6" x14ac:dyDescent="0.45">
      <c r="A177">
        <v>175</v>
      </c>
      <c r="B177" t="str">
        <f>CONCATENATE("Tranfer ",table_Transfers[[#This Row],[ID]])</f>
        <v>Tranfer 175</v>
      </c>
      <c r="C177" t="b">
        <f ca="1">COUNTIF(dict_zuord_Meth_Transfers[ignored_help],table_Transfers[[#This Row],[ID]])&gt;0</f>
        <v>1</v>
      </c>
      <c r="D177">
        <f t="shared" ca="1" si="3"/>
        <v>1241600</v>
      </c>
      <c r="E177">
        <f ca="1">IF(ROUND(table_Transfers[[#This Row],[bandwidth_ub]]/(10000*RANDBETWEEN(5,15))+RANDBETWEEN(1,50)-RANDBETWEEN(1,10),0)&lt;=0,10,ROUND(table_Transfers[[#This Row],[bandwidth_ub]]/(1000*RANDBETWEEN(5,15))+RANDBETWEEN(1,50)-RANDBETWEEN(1,10),0))</f>
        <v>93</v>
      </c>
      <c r="F177">
        <f ca="1">ROUND(1/table_Transfers[[#This Row],[investcost]]*RANDBETWEEN(10,100)/10,5)</f>
        <v>2.043E-2</v>
      </c>
    </row>
    <row r="178" spans="1:6" x14ac:dyDescent="0.45">
      <c r="A178">
        <v>176</v>
      </c>
      <c r="B178" t="str">
        <f>CONCATENATE("Tranfer ",table_Transfers[[#This Row],[ID]])</f>
        <v>Tranfer 176</v>
      </c>
      <c r="C178" t="b">
        <f ca="1">COUNTIF(dict_zuord_Meth_Transfers[ignored_help],table_Transfers[[#This Row],[ID]])&gt;0</f>
        <v>1</v>
      </c>
      <c r="D178">
        <f t="shared" ca="1" si="3"/>
        <v>8499200</v>
      </c>
      <c r="E178">
        <f ca="1">IF(ROUND(table_Transfers[[#This Row],[bandwidth_ub]]/(10000*RANDBETWEEN(5,15))+RANDBETWEEN(1,50)-RANDBETWEEN(1,10),0)&lt;=0,10,ROUND(table_Transfers[[#This Row],[bandwidth_ub]]/(1000*RANDBETWEEN(5,15))+RANDBETWEEN(1,50)-RANDBETWEEN(1,10),0))</f>
        <v>882</v>
      </c>
      <c r="F178">
        <f ca="1">ROUND(1/table_Transfers[[#This Row],[investcost]]*RANDBETWEEN(10,100)/10,5)</f>
        <v>1.81E-3</v>
      </c>
    </row>
    <row r="179" spans="1:6" x14ac:dyDescent="0.45">
      <c r="A179">
        <v>177</v>
      </c>
      <c r="B179" t="str">
        <f>CONCATENATE("Tranfer ",table_Transfers[[#This Row],[ID]])</f>
        <v>Tranfer 177</v>
      </c>
      <c r="C179" t="b">
        <f ca="1">COUNTIF(dict_zuord_Meth_Transfers[ignored_help],table_Transfers[[#This Row],[ID]])&gt;0</f>
        <v>1</v>
      </c>
      <c r="D179">
        <f t="shared" ca="1" si="3"/>
        <v>140800</v>
      </c>
      <c r="E179">
        <f ca="1">IF(ROUND(table_Transfers[[#This Row],[bandwidth_ub]]/(10000*RANDBETWEEN(5,15))+RANDBETWEEN(1,50)-RANDBETWEEN(1,10),0)&lt;=0,10,ROUND(table_Transfers[[#This Row],[bandwidth_ub]]/(1000*RANDBETWEEN(5,15))+RANDBETWEEN(1,50)-RANDBETWEEN(1,10),0))</f>
        <v>37</v>
      </c>
      <c r="F179">
        <f ca="1">ROUND(1/table_Transfers[[#This Row],[investcost]]*RANDBETWEEN(10,100)/10,5)</f>
        <v>0.11622</v>
      </c>
    </row>
    <row r="180" spans="1:6" x14ac:dyDescent="0.45">
      <c r="A180">
        <v>178</v>
      </c>
      <c r="B180" t="str">
        <f>CONCATENATE("Tranfer ",table_Transfers[[#This Row],[ID]])</f>
        <v>Tranfer 178</v>
      </c>
      <c r="C180" t="b">
        <f ca="1">COUNTIF(dict_zuord_Meth_Transfers[ignored_help],table_Transfers[[#This Row],[ID]])&gt;0</f>
        <v>1</v>
      </c>
      <c r="D180">
        <f t="shared" ca="1" si="3"/>
        <v>192000</v>
      </c>
      <c r="E18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</v>
      </c>
      <c r="F180">
        <f ca="1">ROUND(1/table_Transfers[[#This Row],[investcost]]*RANDBETWEEN(10,100)/10,5)</f>
        <v>0.11</v>
      </c>
    </row>
    <row r="181" spans="1:6" x14ac:dyDescent="0.45">
      <c r="A181">
        <v>179</v>
      </c>
      <c r="B181" t="str">
        <f>CONCATENATE("Tranfer ",table_Transfers[[#This Row],[ID]])</f>
        <v>Tranfer 179</v>
      </c>
      <c r="C181" t="b">
        <f ca="1">COUNTIF(dict_zuord_Meth_Transfers[ignored_help],table_Transfers[[#This Row],[ID]])&gt;0</f>
        <v>1</v>
      </c>
      <c r="D181">
        <f t="shared" ca="1" si="3"/>
        <v>9523200</v>
      </c>
      <c r="E18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1386</v>
      </c>
      <c r="F181">
        <f ca="1">ROUND(1/table_Transfers[[#This Row],[investcost]]*RANDBETWEEN(10,100)/10,5)</f>
        <v>5.0499999999999998E-3</v>
      </c>
    </row>
    <row r="182" spans="1:6" x14ac:dyDescent="0.45">
      <c r="A182">
        <v>180</v>
      </c>
      <c r="B182" t="str">
        <f>CONCATENATE("Tranfer ",table_Transfers[[#This Row],[ID]])</f>
        <v>Tranfer 180</v>
      </c>
      <c r="C182" t="b">
        <f ca="1">COUNTIF(dict_zuord_Meth_Transfers[ignored_help],table_Transfers[[#This Row],[ID]])&gt;0</f>
        <v>1</v>
      </c>
      <c r="D182">
        <f t="shared" ca="1" si="3"/>
        <v>211200</v>
      </c>
      <c r="E182">
        <f ca="1">IF(ROUND(table_Transfers[[#This Row],[bandwidth_ub]]/(10000*RANDBETWEEN(5,15))+RANDBETWEEN(1,50)-RANDBETWEEN(1,10),0)&lt;=0,10,ROUND(table_Transfers[[#This Row],[bandwidth_ub]]/(1000*RANDBETWEEN(5,15))+RANDBETWEEN(1,50)-RANDBETWEEN(1,10),0))</f>
        <v>48</v>
      </c>
      <c r="F182">
        <f ca="1">ROUND(1/table_Transfers[[#This Row],[investcost]]*RANDBETWEEN(10,100)/10,5)</f>
        <v>7.0830000000000004E-2</v>
      </c>
    </row>
    <row r="183" spans="1:6" x14ac:dyDescent="0.45">
      <c r="A183">
        <v>181</v>
      </c>
      <c r="B183" t="str">
        <f>CONCATENATE("Tranfer ",table_Transfers[[#This Row],[ID]])</f>
        <v>Tranfer 181</v>
      </c>
      <c r="C183" t="b">
        <f ca="1">COUNTIF(dict_zuord_Meth_Transfers[ignored_help],table_Transfers[[#This Row],[ID]])&gt;0</f>
        <v>0</v>
      </c>
      <c r="D183">
        <f t="shared" ca="1" si="3"/>
        <v>512000</v>
      </c>
      <c r="E183">
        <f ca="1">IF(ROUND(table_Transfers[[#This Row],[bandwidth_ub]]/(10000*RANDBETWEEN(5,15))+RANDBETWEEN(1,50)-RANDBETWEEN(1,10),0)&lt;=0,10,ROUND(table_Transfers[[#This Row],[bandwidth_ub]]/(1000*RANDBETWEEN(5,15))+RANDBETWEEN(1,50)-RANDBETWEEN(1,10),0))</f>
        <v>86</v>
      </c>
      <c r="F183">
        <f ca="1">ROUND(1/table_Transfers[[#This Row],[investcost]]*RANDBETWEEN(10,100)/10,5)</f>
        <v>7.3260000000000006E-2</v>
      </c>
    </row>
    <row r="184" spans="1:6" x14ac:dyDescent="0.45">
      <c r="A184">
        <v>182</v>
      </c>
      <c r="B184" t="str">
        <f>CONCATENATE("Tranfer ",table_Transfers[[#This Row],[ID]])</f>
        <v>Tranfer 182</v>
      </c>
      <c r="C184" t="b">
        <f ca="1">COUNTIF(dict_zuord_Meth_Transfers[ignored_help],table_Transfers[[#This Row],[ID]])&gt;0</f>
        <v>0</v>
      </c>
      <c r="D184">
        <f t="shared" ca="1" si="3"/>
        <v>537600</v>
      </c>
      <c r="E184">
        <f ca="1">IF(ROUND(table_Transfers[[#This Row],[bandwidth_ub]]/(10000*RANDBETWEEN(5,15))+RANDBETWEEN(1,50)-RANDBETWEEN(1,10),0)&lt;=0,10,ROUND(table_Transfers[[#This Row],[bandwidth_ub]]/(1000*RANDBETWEEN(5,15))+RANDBETWEEN(1,50)-RANDBETWEEN(1,10),0))</f>
        <v>99</v>
      </c>
      <c r="F184">
        <f ca="1">ROUND(1/table_Transfers[[#This Row],[investcost]]*RANDBETWEEN(10,100)/10,5)</f>
        <v>1.111E-2</v>
      </c>
    </row>
    <row r="185" spans="1:6" x14ac:dyDescent="0.45">
      <c r="A185">
        <v>183</v>
      </c>
      <c r="B185" t="str">
        <f>CONCATENATE("Tranfer ",table_Transfers[[#This Row],[ID]])</f>
        <v>Tranfer 183</v>
      </c>
      <c r="C185" t="b">
        <f ca="1">COUNTIF(dict_zuord_Meth_Transfers[ignored_help],table_Transfers[[#This Row],[ID]])&gt;0</f>
        <v>1</v>
      </c>
      <c r="D185">
        <f t="shared" ca="1" si="3"/>
        <v>588800</v>
      </c>
      <c r="E185">
        <f ca="1">IF(ROUND(table_Transfers[[#This Row],[bandwidth_ub]]/(10000*RANDBETWEEN(5,15))+RANDBETWEEN(1,50)-RANDBETWEEN(1,10),0)&lt;=0,10,ROUND(table_Transfers[[#This Row],[bandwidth_ub]]/(1000*RANDBETWEEN(5,15))+RANDBETWEEN(1,50)-RANDBETWEEN(1,10),0))</f>
        <v>62</v>
      </c>
      <c r="F185">
        <f ca="1">ROUND(1/table_Transfers[[#This Row],[investcost]]*RANDBETWEEN(10,100)/10,5)</f>
        <v>4.3549999999999998E-2</v>
      </c>
    </row>
    <row r="186" spans="1:6" x14ac:dyDescent="0.45">
      <c r="A186">
        <v>184</v>
      </c>
      <c r="B186" t="str">
        <f>CONCATENATE("Tranfer ",table_Transfers[[#This Row],[ID]])</f>
        <v>Tranfer 184</v>
      </c>
      <c r="C186" t="b">
        <f ca="1">COUNTIF(dict_zuord_Meth_Transfers[ignored_help],table_Transfers[[#This Row],[ID]])&gt;0</f>
        <v>0</v>
      </c>
      <c r="D186">
        <f t="shared" ca="1" si="3"/>
        <v>4198400</v>
      </c>
      <c r="E186">
        <f ca="1">IF(ROUND(table_Transfers[[#This Row],[bandwidth_ub]]/(10000*RANDBETWEEN(5,15))+RANDBETWEEN(1,50)-RANDBETWEEN(1,10),0)&lt;=0,10,ROUND(table_Transfers[[#This Row],[bandwidth_ub]]/(1000*RANDBETWEEN(5,15))+RANDBETWEEN(1,50)-RANDBETWEEN(1,10),0))</f>
        <v>277</v>
      </c>
      <c r="F186">
        <f ca="1">ROUND(1/table_Transfers[[#This Row],[investcost]]*RANDBETWEEN(10,100)/10,5)</f>
        <v>9.3900000000000008E-3</v>
      </c>
    </row>
    <row r="187" spans="1:6" x14ac:dyDescent="0.45">
      <c r="A187">
        <v>185</v>
      </c>
      <c r="B187" t="str">
        <f>CONCATENATE("Tranfer ",table_Transfers[[#This Row],[ID]])</f>
        <v>Tranfer 185</v>
      </c>
      <c r="C187" t="b">
        <f ca="1">COUNTIF(dict_zuord_Meth_Transfers[ignored_help],table_Transfers[[#This Row],[ID]])&gt;0</f>
        <v>1</v>
      </c>
      <c r="D187">
        <f t="shared" ca="1" si="3"/>
        <v>40140800</v>
      </c>
      <c r="E187">
        <f ca="1">IF(ROUND(table_Transfers[[#This Row],[bandwidth_ub]]/(10000*RANDBETWEEN(5,15))+RANDBETWEEN(1,50)-RANDBETWEEN(1,10),0)&lt;=0,10,ROUND(table_Transfers[[#This Row],[bandwidth_ub]]/(1000*RANDBETWEEN(5,15))+RANDBETWEEN(1,50)-RANDBETWEEN(1,10),0))</f>
        <v>8055</v>
      </c>
      <c r="F187">
        <f ca="1">ROUND(1/table_Transfers[[#This Row],[investcost]]*RANDBETWEEN(10,100)/10,5)</f>
        <v>6.3000000000000003E-4</v>
      </c>
    </row>
    <row r="188" spans="1:6" x14ac:dyDescent="0.45">
      <c r="A188">
        <v>186</v>
      </c>
      <c r="B188" t="str">
        <f>CONCATENATE("Tranfer ",table_Transfers[[#This Row],[ID]])</f>
        <v>Tranfer 186</v>
      </c>
      <c r="C188" t="b">
        <f ca="1">COUNTIF(dict_zuord_Meth_Transfers[ignored_help],table_Transfers[[#This Row],[ID]])&gt;0</f>
        <v>0</v>
      </c>
      <c r="D188">
        <f t="shared" ca="1" si="3"/>
        <v>1689600</v>
      </c>
      <c r="E188">
        <f ca="1">IF(ROUND(table_Transfers[[#This Row],[bandwidth_ub]]/(10000*RANDBETWEEN(5,15))+RANDBETWEEN(1,50)-RANDBETWEEN(1,10),0)&lt;=0,10,ROUND(table_Transfers[[#This Row],[bandwidth_ub]]/(1000*RANDBETWEEN(5,15))+RANDBETWEEN(1,50)-RANDBETWEEN(1,10),0))</f>
        <v>164</v>
      </c>
      <c r="F188">
        <f ca="1">ROUND(1/table_Transfers[[#This Row],[investcost]]*RANDBETWEEN(10,100)/10,5)</f>
        <v>5.3659999999999999E-2</v>
      </c>
    </row>
    <row r="189" spans="1:6" x14ac:dyDescent="0.45">
      <c r="A189">
        <v>187</v>
      </c>
      <c r="B189" t="str">
        <f>CONCATENATE("Tranfer ",table_Transfers[[#This Row],[ID]])</f>
        <v>Tranfer 187</v>
      </c>
      <c r="C189" t="b">
        <f ca="1">COUNTIF(dict_zuord_Meth_Transfers[ignored_help],table_Transfers[[#This Row],[ID]])&gt;0</f>
        <v>0</v>
      </c>
      <c r="D189">
        <f t="shared" ca="1" si="3"/>
        <v>37683200</v>
      </c>
      <c r="E189">
        <f ca="1">IF(ROUND(table_Transfers[[#This Row],[bandwidth_ub]]/(10000*RANDBETWEEN(5,15))+RANDBETWEEN(1,50)-RANDBETWEEN(1,10),0)&lt;=0,10,ROUND(table_Transfers[[#This Row],[bandwidth_ub]]/(1000*RANDBETWEEN(5,15))+RANDBETWEEN(1,50)-RANDBETWEEN(1,10),0))</f>
        <v>2541</v>
      </c>
      <c r="F189">
        <f ca="1">ROUND(1/table_Transfers[[#This Row],[investcost]]*RANDBETWEEN(10,100)/10,5)</f>
        <v>3.1900000000000001E-3</v>
      </c>
    </row>
    <row r="190" spans="1:6" x14ac:dyDescent="0.45">
      <c r="A190">
        <v>188</v>
      </c>
      <c r="B190" t="str">
        <f>CONCATENATE("Tranfer ",table_Transfers[[#This Row],[ID]])</f>
        <v>Tranfer 188</v>
      </c>
      <c r="C190" t="b">
        <f ca="1">COUNTIF(dict_zuord_Meth_Transfers[ignored_help],table_Transfers[[#This Row],[ID]])&gt;0</f>
        <v>1</v>
      </c>
      <c r="D190">
        <f t="shared" ca="1" si="3"/>
        <v>5939200</v>
      </c>
      <c r="E19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1189</v>
      </c>
      <c r="F190">
        <f ca="1">ROUND(1/table_Transfers[[#This Row],[investcost]]*RANDBETWEEN(10,100)/10,5)</f>
        <v>1.6000000000000001E-3</v>
      </c>
    </row>
    <row r="191" spans="1:6" x14ac:dyDescent="0.45">
      <c r="A191">
        <v>189</v>
      </c>
      <c r="B191" t="str">
        <f>CONCATENATE("Tranfer ",table_Transfers[[#This Row],[ID]])</f>
        <v>Tranfer 189</v>
      </c>
      <c r="C191" t="b">
        <f ca="1">COUNTIF(dict_zuord_Meth_Transfers[ignored_help],table_Transfers[[#This Row],[ID]])&gt;0</f>
        <v>1</v>
      </c>
      <c r="D191">
        <f t="shared" ca="1" si="3"/>
        <v>4608000</v>
      </c>
      <c r="E191">
        <f ca="1">IF(ROUND(table_Transfers[[#This Row],[bandwidth_ub]]/(10000*RANDBETWEEN(5,15))+RANDBETWEEN(1,50)-RANDBETWEEN(1,10),0)&lt;=0,10,ROUND(table_Transfers[[#This Row],[bandwidth_ub]]/(1000*RANDBETWEEN(5,15))+RANDBETWEEN(1,50)-RANDBETWEEN(1,10),0))</f>
        <v>801</v>
      </c>
      <c r="F191">
        <f ca="1">ROUND(1/table_Transfers[[#This Row],[investcost]]*RANDBETWEEN(10,100)/10,5)</f>
        <v>2.7499999999999998E-3</v>
      </c>
    </row>
    <row r="192" spans="1:6" x14ac:dyDescent="0.45">
      <c r="A192">
        <v>190</v>
      </c>
      <c r="B192" t="str">
        <f>CONCATENATE("Tranfer ",table_Transfers[[#This Row],[ID]])</f>
        <v>Tranfer 190</v>
      </c>
      <c r="C192" t="b">
        <f ca="1">COUNTIF(dict_zuord_Meth_Transfers[ignored_help],table_Transfers[[#This Row],[ID]])&gt;0</f>
        <v>0</v>
      </c>
      <c r="D192">
        <f t="shared" ca="1" si="3"/>
        <v>1152000</v>
      </c>
      <c r="E192">
        <f ca="1">IF(ROUND(table_Transfers[[#This Row],[bandwidth_ub]]/(10000*RANDBETWEEN(5,15))+RANDBETWEEN(1,50)-RANDBETWEEN(1,10),0)&lt;=0,10,ROUND(table_Transfers[[#This Row],[bandwidth_ub]]/(1000*RANDBETWEEN(5,15))+RANDBETWEEN(1,50)-RANDBETWEEN(1,10),0))</f>
        <v>76</v>
      </c>
      <c r="F192">
        <f ca="1">ROUND(1/table_Transfers[[#This Row],[investcost]]*RANDBETWEEN(10,100)/10,5)</f>
        <v>0.11447</v>
      </c>
    </row>
    <row r="193" spans="1:6" x14ac:dyDescent="0.45">
      <c r="A193">
        <v>191</v>
      </c>
      <c r="B193" t="str">
        <f>CONCATENATE("Tranfer ",table_Transfers[[#This Row],[ID]])</f>
        <v>Tranfer 191</v>
      </c>
      <c r="C193" t="b">
        <f ca="1">COUNTIF(dict_zuord_Meth_Transfers[ignored_help],table_Transfers[[#This Row],[ID]])&gt;0</f>
        <v>0</v>
      </c>
      <c r="D193">
        <f t="shared" ca="1" si="3"/>
        <v>7782400</v>
      </c>
      <c r="E193">
        <f ca="1">IF(ROUND(table_Transfers[[#This Row],[bandwidth_ub]]/(10000*RANDBETWEEN(5,15))+RANDBETWEEN(1,50)-RANDBETWEEN(1,10),0)&lt;=0,10,ROUND(table_Transfers[[#This Row],[bandwidth_ub]]/(1000*RANDBETWEEN(5,15))+RANDBETWEEN(1,50)-RANDBETWEEN(1,10),0))</f>
        <v>599</v>
      </c>
      <c r="F193">
        <f ca="1">ROUND(1/table_Transfers[[#This Row],[investcost]]*RANDBETWEEN(10,100)/10,5)</f>
        <v>1.519E-2</v>
      </c>
    </row>
    <row r="194" spans="1:6" x14ac:dyDescent="0.45">
      <c r="A194">
        <v>192</v>
      </c>
      <c r="B194" t="str">
        <f>CONCATENATE("Tranfer ",table_Transfers[[#This Row],[ID]])</f>
        <v>Tranfer 192</v>
      </c>
      <c r="C194" t="b">
        <f ca="1">COUNTIF(dict_zuord_Meth_Transfers[ignored_help],table_Transfers[[#This Row],[ID]])&gt;0</f>
        <v>1</v>
      </c>
      <c r="D194">
        <f t="shared" ref="D194:D202" ca="1" si="4">2^RANDBETWEEN(6,12)*100*RANDBETWEEN(10,100)</f>
        <v>1203200</v>
      </c>
      <c r="E194">
        <f ca="1">IF(ROUND(table_Transfers[[#This Row],[bandwidth_ub]]/(10000*RANDBETWEEN(5,15))+RANDBETWEEN(1,50)-RANDBETWEEN(1,10),0)&lt;=0,10,ROUND(table_Transfers[[#This Row],[bandwidth_ub]]/(1000*RANDBETWEEN(5,15))+RANDBETWEEN(1,50)-RANDBETWEEN(1,10),0))</f>
        <v>104</v>
      </c>
      <c r="F194">
        <f ca="1">ROUND(1/table_Transfers[[#This Row],[investcost]]*RANDBETWEEN(10,100)/10,5)</f>
        <v>4.4229999999999998E-2</v>
      </c>
    </row>
    <row r="195" spans="1:6" x14ac:dyDescent="0.45">
      <c r="A195">
        <v>193</v>
      </c>
      <c r="B195" t="str">
        <f>CONCATENATE("Tranfer ",table_Transfers[[#This Row],[ID]])</f>
        <v>Tranfer 193</v>
      </c>
      <c r="C195" t="b">
        <f ca="1">COUNTIF(dict_zuord_Meth_Transfers[ignored_help],table_Transfers[[#This Row],[ID]])&gt;0</f>
        <v>1</v>
      </c>
      <c r="D195">
        <f t="shared" ca="1" si="4"/>
        <v>8192000</v>
      </c>
      <c r="E195">
        <f ca="1">IF(ROUND(table_Transfers[[#This Row],[bandwidth_ub]]/(10000*RANDBETWEEN(5,15))+RANDBETWEEN(1,50)-RANDBETWEEN(1,10),0)&lt;=0,10,ROUND(table_Transfers[[#This Row],[bandwidth_ub]]/(1000*RANDBETWEEN(5,15))+RANDBETWEEN(1,50)-RANDBETWEEN(1,10),0))</f>
        <v>656</v>
      </c>
      <c r="F195">
        <f ca="1">ROUND(1/table_Transfers[[#This Row],[investcost]]*RANDBETWEEN(10,100)/10,5)</f>
        <v>3.0500000000000002E-3</v>
      </c>
    </row>
    <row r="196" spans="1:6" x14ac:dyDescent="0.45">
      <c r="A196">
        <v>194</v>
      </c>
      <c r="B196" t="str">
        <f>CONCATENATE("Tranfer ",table_Transfers[[#This Row],[ID]])</f>
        <v>Tranfer 194</v>
      </c>
      <c r="C196" t="b">
        <f ca="1">COUNTIF(dict_zuord_Meth_Transfers[ignored_help],table_Transfers[[#This Row],[ID]])&gt;0</f>
        <v>1</v>
      </c>
      <c r="D196">
        <f t="shared" ca="1" si="4"/>
        <v>7270400</v>
      </c>
      <c r="E196">
        <f ca="1">IF(ROUND(table_Transfers[[#This Row],[bandwidth_ub]]/(10000*RANDBETWEEN(5,15))+RANDBETWEEN(1,50)-RANDBETWEEN(1,10),0)&lt;=0,10,ROUND(table_Transfers[[#This Row],[bandwidth_ub]]/(1000*RANDBETWEEN(5,15))+RANDBETWEEN(1,50)-RANDBETWEEN(1,10),0))</f>
        <v>506</v>
      </c>
      <c r="F196">
        <f ca="1">ROUND(1/table_Transfers[[#This Row],[investcost]]*RANDBETWEEN(10,100)/10,5)</f>
        <v>7.11E-3</v>
      </c>
    </row>
    <row r="197" spans="1:6" x14ac:dyDescent="0.45">
      <c r="A197">
        <v>195</v>
      </c>
      <c r="B197" t="str">
        <f>CONCATENATE("Tranfer ",table_Transfers[[#This Row],[ID]])</f>
        <v>Tranfer 195</v>
      </c>
      <c r="C197" t="b">
        <f ca="1">COUNTIF(dict_zuord_Meth_Transfers[ignored_help],table_Transfers[[#This Row],[ID]])&gt;0</f>
        <v>1</v>
      </c>
      <c r="D197">
        <f t="shared" ca="1" si="4"/>
        <v>537600</v>
      </c>
      <c r="E197">
        <f ca="1">IF(ROUND(table_Transfers[[#This Row],[bandwidth_ub]]/(10000*RANDBETWEEN(5,15))+RANDBETWEEN(1,50)-RANDBETWEEN(1,10),0)&lt;=0,10,ROUND(table_Transfers[[#This Row],[bandwidth_ub]]/(1000*RANDBETWEEN(5,15))+RANDBETWEEN(1,50)-RANDBETWEEN(1,10),0))</f>
        <v>77</v>
      </c>
      <c r="F197">
        <f ca="1">ROUND(1/table_Transfers[[#This Row],[investcost]]*RANDBETWEEN(10,100)/10,5)</f>
        <v>4.156E-2</v>
      </c>
    </row>
    <row r="198" spans="1:6" x14ac:dyDescent="0.45">
      <c r="A198">
        <v>196</v>
      </c>
      <c r="B198" t="str">
        <f>CONCATENATE("Tranfer ",table_Transfers[[#This Row],[ID]])</f>
        <v>Tranfer 196</v>
      </c>
      <c r="C198" t="b">
        <f ca="1">COUNTIF(dict_zuord_Meth_Transfers[ignored_help],table_Transfers[[#This Row],[ID]])&gt;0</f>
        <v>1</v>
      </c>
      <c r="D198">
        <f t="shared" ca="1" si="4"/>
        <v>1996800</v>
      </c>
      <c r="E198">
        <f ca="1">IF(ROUND(table_Transfers[[#This Row],[bandwidth_ub]]/(10000*RANDBETWEEN(5,15))+RANDBETWEEN(1,50)-RANDBETWEEN(1,10),0)&lt;=0,10,ROUND(table_Transfers[[#This Row],[bandwidth_ub]]/(1000*RANDBETWEEN(5,15))+RANDBETWEEN(1,50)-RANDBETWEEN(1,10),0))</f>
        <v>236</v>
      </c>
      <c r="F198">
        <f ca="1">ROUND(1/table_Transfers[[#This Row],[investcost]]*RANDBETWEEN(10,100)/10,5)</f>
        <v>3.8980000000000001E-2</v>
      </c>
    </row>
    <row r="199" spans="1:6" x14ac:dyDescent="0.45">
      <c r="A199">
        <v>197</v>
      </c>
      <c r="B199" t="str">
        <f>CONCATENATE("Tranfer ",table_Transfers[[#This Row],[ID]])</f>
        <v>Tranfer 197</v>
      </c>
      <c r="C199" t="b">
        <f ca="1">COUNTIF(dict_zuord_Meth_Transfers[ignored_help],table_Transfers[[#This Row],[ID]])&gt;0</f>
        <v>1</v>
      </c>
      <c r="D199">
        <f t="shared" ca="1" si="4"/>
        <v>4761600</v>
      </c>
      <c r="E199">
        <f ca="1">IF(ROUND(table_Transfers[[#This Row],[bandwidth_ub]]/(10000*RANDBETWEEN(5,15))+RANDBETWEEN(1,50)-RANDBETWEEN(1,10),0)&lt;=0,10,ROUND(table_Transfers[[#This Row],[bandwidth_ub]]/(1000*RANDBETWEEN(5,15))+RANDBETWEEN(1,50)-RANDBETWEEN(1,10),0))</f>
        <v>801</v>
      </c>
      <c r="F199">
        <f ca="1">ROUND(1/table_Transfers[[#This Row],[investcost]]*RANDBETWEEN(10,100)/10,5)</f>
        <v>4.7400000000000003E-3</v>
      </c>
    </row>
    <row r="200" spans="1:6" x14ac:dyDescent="0.45">
      <c r="A200">
        <v>198</v>
      </c>
      <c r="B200" t="str">
        <f>CONCATENATE("Tranfer ",table_Transfers[[#This Row],[ID]])</f>
        <v>Tranfer 198</v>
      </c>
      <c r="C200" t="b">
        <f ca="1">COUNTIF(dict_zuord_Meth_Transfers[ignored_help],table_Transfers[[#This Row],[ID]])&gt;0</f>
        <v>1</v>
      </c>
      <c r="D200">
        <f t="shared" ca="1" si="4"/>
        <v>11878400</v>
      </c>
      <c r="E200">
        <f ca="1">IF(ROUND(table_Transfers[[#This Row],[bandwidth_ub]]/(10000*RANDBETWEEN(5,15))+RANDBETWEEN(1,50)-RANDBETWEEN(1,10),0)&lt;=0,10,ROUND(table_Transfers[[#This Row],[bandwidth_ub]]/(1000*RANDBETWEEN(5,15))+RANDBETWEEN(1,50)-RANDBETWEEN(1,10),0))</f>
        <v>1353</v>
      </c>
      <c r="F200">
        <f ca="1">ROUND(1/table_Transfers[[#This Row],[investcost]]*RANDBETWEEN(10,100)/10,5)</f>
        <v>4.4299999999999999E-3</v>
      </c>
    </row>
    <row r="201" spans="1:6" x14ac:dyDescent="0.45">
      <c r="A201">
        <v>199</v>
      </c>
      <c r="B201" t="str">
        <f>CONCATENATE("Tranfer ",table_Transfers[[#This Row],[ID]])</f>
        <v>Tranfer 199</v>
      </c>
      <c r="C201" t="b">
        <f ca="1">COUNTIF(dict_zuord_Meth_Transfers[ignored_help],table_Transfers[[#This Row],[ID]])&gt;0</f>
        <v>1</v>
      </c>
      <c r="D201">
        <f t="shared" ca="1" si="4"/>
        <v>819200</v>
      </c>
      <c r="E201">
        <f ca="1">IF(ROUND(table_Transfers[[#This Row],[bandwidth_ub]]/(10000*RANDBETWEEN(5,15))+RANDBETWEEN(1,50)-RANDBETWEEN(1,10),0)&lt;=0,10,ROUND(table_Transfers[[#This Row],[bandwidth_ub]]/(1000*RANDBETWEEN(5,15))+RANDBETWEEN(1,50)-RANDBETWEEN(1,10),0))</f>
        <v>123</v>
      </c>
      <c r="F201">
        <f ca="1">ROUND(1/table_Transfers[[#This Row],[investcost]]*RANDBETWEEN(10,100)/10,5)</f>
        <v>4.5530000000000001E-2</v>
      </c>
    </row>
    <row r="202" spans="1:6" x14ac:dyDescent="0.45">
      <c r="A202">
        <v>200</v>
      </c>
      <c r="B202" t="str">
        <f>CONCATENATE("Tranfer ",table_Transfers[[#This Row],[ID]])</f>
        <v>Tranfer 200</v>
      </c>
      <c r="C202" t="b">
        <f ca="1">COUNTIF(dict_zuord_Meth_Transfers[ignored_help],table_Transfers[[#This Row],[ID]])&gt;0</f>
        <v>0</v>
      </c>
      <c r="D202">
        <f t="shared" ca="1" si="4"/>
        <v>896000</v>
      </c>
      <c r="E202">
        <f ca="1">IF(ROUND(table_Transfers[[#This Row],[bandwidth_ub]]/(10000*RANDBETWEEN(5,15))+RANDBETWEEN(1,50)-RANDBETWEEN(1,10),0)&lt;=0,10,ROUND(table_Transfers[[#This Row],[bandwidth_ub]]/(1000*RANDBETWEEN(5,15))+RANDBETWEEN(1,50)-RANDBETWEEN(1,10),0))</f>
        <v>186</v>
      </c>
      <c r="F202">
        <f ca="1">ROUND(1/table_Transfers[[#This Row],[investcost]]*RANDBETWEEN(10,100)/10,5)</f>
        <v>4.2470000000000001E-2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F102"/>
  <sheetViews>
    <sheetView workbookViewId="0"/>
  </sheetViews>
  <sheetFormatPr baseColWidth="10" defaultRowHeight="14.25" x14ac:dyDescent="0.45"/>
  <cols>
    <col min="4" max="4" width="16.1328125" bestFit="1" customWidth="1"/>
    <col min="5" max="5" width="12.265625" bestFit="1" customWidth="1"/>
    <col min="6" max="6" width="21.59765625" bestFit="1" customWidth="1"/>
  </cols>
  <sheetData>
    <row r="1" spans="1:6" x14ac:dyDescent="0.45">
      <c r="A1" t="s">
        <v>0</v>
      </c>
      <c r="B1" t="s">
        <v>1</v>
      </c>
      <c r="C1" t="s">
        <v>66</v>
      </c>
      <c r="D1" t="s">
        <v>93</v>
      </c>
      <c r="E1" s="2" t="s">
        <v>2</v>
      </c>
      <c r="F1" t="s">
        <v>31</v>
      </c>
    </row>
    <row r="2" spans="1:6" x14ac:dyDescent="0.45">
      <c r="A2">
        <v>0</v>
      </c>
      <c r="B2" t="str">
        <f>CONCATENATE("Storage ",table_Storages[[#This Row],[ID]])</f>
        <v>Storage 0</v>
      </c>
      <c r="C2" t="b">
        <f ca="1">COUNTIF(dict_zuord_Transfers_Storages[ignored_help],table_Storages[[#This Row],[ID]])&gt;0</f>
        <v>1</v>
      </c>
      <c r="D2">
        <f t="shared" ref="D2:D33" ca="1" si="0">2^RANDBETWEEN(4,12)*1000*RANDBETWEEN(10,100)</f>
        <v>22528000</v>
      </c>
      <c r="E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446</v>
      </c>
      <c r="F2">
        <f ca="1">ROUND(ROUND(1/table_Transfers[[#This Row],[investcost]],3)*RANDBETWEEN(5,50)/10,5)</f>
        <v>2.1999999999999999E-2</v>
      </c>
    </row>
    <row r="3" spans="1:6" x14ac:dyDescent="0.45">
      <c r="A3">
        <v>1</v>
      </c>
      <c r="B3" t="str">
        <f>CONCATENATE("Storage ",table_Storages[[#This Row],[ID]])</f>
        <v>Storage 1</v>
      </c>
      <c r="C3" t="b">
        <f ca="1">COUNTIF(dict_zuord_Transfers_Storages[ignored_help],table_Storages[[#This Row],[ID]])&gt;0</f>
        <v>1</v>
      </c>
      <c r="D3">
        <f t="shared" ca="1" si="0"/>
        <v>81920000</v>
      </c>
      <c r="E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1503</v>
      </c>
      <c r="F3">
        <f ca="1">ROUND(1/table_Transfers[[#This Row],[investcost]]*RANDBETWEEN(10,100)/10,5)</f>
        <v>6.2700000000000004E-3</v>
      </c>
    </row>
    <row r="4" spans="1:6" x14ac:dyDescent="0.45">
      <c r="A4">
        <v>2</v>
      </c>
      <c r="B4" t="str">
        <f>CONCATENATE("Storage ",table_Storages[[#This Row],[ID]])</f>
        <v>Storage 2</v>
      </c>
      <c r="C4" t="b">
        <f ca="1">COUNTIF(dict_zuord_Transfers_Storages[ignored_help],table_Storages[[#This Row],[ID]])&gt;0</f>
        <v>1</v>
      </c>
      <c r="D4">
        <f t="shared" ca="1" si="0"/>
        <v>2112000</v>
      </c>
      <c r="E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154</v>
      </c>
      <c r="F4">
        <f ca="1">ROUND(1/table_Transfers[[#This Row],[investcost]]*RANDBETWEEN(10,100)/10,5)</f>
        <v>5.7430000000000002E-2</v>
      </c>
    </row>
    <row r="5" spans="1:6" x14ac:dyDescent="0.45">
      <c r="A5">
        <v>3</v>
      </c>
      <c r="B5" t="str">
        <f>CONCATENATE("Storage ",table_Storages[[#This Row],[ID]])</f>
        <v>Storage 3</v>
      </c>
      <c r="C5" t="b">
        <f ca="1">COUNTIF(dict_zuord_Transfers_Storages[ignored_help],table_Storages[[#This Row],[ID]])&gt;0</f>
        <v>1</v>
      </c>
      <c r="D5">
        <f t="shared" ca="1" si="0"/>
        <v>385024000</v>
      </c>
      <c r="E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2204</v>
      </c>
      <c r="F5">
        <f ca="1">ROUND(1/table_Transfers[[#This Row],[investcost]]*RANDBETWEEN(10,100)/10,5)</f>
        <v>1.5900000000000001E-3</v>
      </c>
    </row>
    <row r="6" spans="1:6" x14ac:dyDescent="0.45">
      <c r="A6">
        <v>4</v>
      </c>
      <c r="B6" t="str">
        <f>CONCATENATE("Storage ",table_Storages[[#This Row],[ID]])</f>
        <v>Storage 4</v>
      </c>
      <c r="C6" t="b">
        <f ca="1">COUNTIF(dict_zuord_Transfers_Storages[ignored_help],table_Storages[[#This Row],[ID]])&gt;0</f>
        <v>1</v>
      </c>
      <c r="D6">
        <f t="shared" ca="1" si="0"/>
        <v>5056000</v>
      </c>
      <c r="E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2062</v>
      </c>
      <c r="F6">
        <f ca="1">ROUND(1/table_Transfers[[#This Row],[investcost]]*RANDBETWEEN(10,100)/10,5)</f>
        <v>2.3800000000000002E-3</v>
      </c>
    </row>
    <row r="7" spans="1:6" x14ac:dyDescent="0.45">
      <c r="A7">
        <v>5</v>
      </c>
      <c r="B7" t="str">
        <f>CONCATENATE("Storage ",table_Storages[[#This Row],[ID]])</f>
        <v>Storage 5</v>
      </c>
      <c r="C7" t="b">
        <f ca="1">COUNTIF(dict_zuord_Transfers_Storages[ignored_help],table_Storages[[#This Row],[ID]])&gt;0</f>
        <v>1</v>
      </c>
      <c r="D7">
        <f t="shared" ca="1" si="0"/>
        <v>57344000</v>
      </c>
      <c r="E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339</v>
      </c>
      <c r="F7">
        <f ca="1">ROUND(1/table_Transfers[[#This Row],[investcost]]*RANDBETWEEN(10,100)/10,5)</f>
        <v>2.47E-2</v>
      </c>
    </row>
    <row r="8" spans="1:6" x14ac:dyDescent="0.45">
      <c r="A8">
        <v>6</v>
      </c>
      <c r="B8" t="str">
        <f>CONCATENATE("Storage ",table_Storages[[#This Row],[ID]])</f>
        <v>Storage 6</v>
      </c>
      <c r="C8" t="b">
        <f ca="1">COUNTIF(dict_zuord_Transfers_Storages[ignored_help],table_Storages[[#This Row],[ID]])&gt;0</f>
        <v>1</v>
      </c>
      <c r="D8">
        <f t="shared" ca="1" si="0"/>
        <v>4480000</v>
      </c>
      <c r="E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661</v>
      </c>
      <c r="F8">
        <f ca="1">ROUND(1/table_Transfers[[#This Row],[investcost]]*RANDBETWEEN(10,100)/10,5)</f>
        <v>3.6600000000000001E-3</v>
      </c>
    </row>
    <row r="9" spans="1:6" x14ac:dyDescent="0.45">
      <c r="A9">
        <v>7</v>
      </c>
      <c r="B9" t="str">
        <f>CONCATENATE("Storage ",table_Storages[[#This Row],[ID]])</f>
        <v>Storage 7</v>
      </c>
      <c r="C9" t="b">
        <f ca="1">COUNTIF(dict_zuord_Transfers_Storages[ignored_help],table_Storages[[#This Row],[ID]])&gt;0</f>
        <v>1</v>
      </c>
      <c r="D9">
        <f t="shared" ca="1" si="0"/>
        <v>89088000</v>
      </c>
      <c r="E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95</v>
      </c>
      <c r="F9">
        <f ca="1">ROUND(1/table_Transfers[[#This Row],[investcost]]*RANDBETWEEN(10,100)/10,5)</f>
        <v>0.93</v>
      </c>
    </row>
    <row r="10" spans="1:6" x14ac:dyDescent="0.45">
      <c r="A10">
        <v>8</v>
      </c>
      <c r="B10" t="str">
        <f>CONCATENATE("Storage ",table_Storages[[#This Row],[ID]])</f>
        <v>Storage 8</v>
      </c>
      <c r="C10" t="b">
        <f ca="1">COUNTIF(dict_zuord_Transfers_Storages[ignored_help],table_Storages[[#This Row],[ID]])&gt;0</f>
        <v>1</v>
      </c>
      <c r="D10">
        <f t="shared" ca="1" si="0"/>
        <v>19968000</v>
      </c>
      <c r="E1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</v>
      </c>
      <c r="F10">
        <f ca="1">ROUND(1/table_Transfers[[#This Row],[investcost]]*RANDBETWEEN(10,100)/10,5)</f>
        <v>0.31070999999999999</v>
      </c>
    </row>
    <row r="11" spans="1:6" x14ac:dyDescent="0.45">
      <c r="A11">
        <v>9</v>
      </c>
      <c r="B11" t="str">
        <f>CONCATENATE("Storage ",table_Storages[[#This Row],[ID]])</f>
        <v>Storage 9</v>
      </c>
      <c r="C11" t="b">
        <f ca="1">COUNTIF(dict_zuord_Transfers_Storages[ignored_help],table_Storages[[#This Row],[ID]])&gt;0</f>
        <v>1</v>
      </c>
      <c r="D11">
        <f t="shared" ca="1" si="0"/>
        <v>137216000</v>
      </c>
      <c r="E1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1942</v>
      </c>
      <c r="F11">
        <f ca="1">ROUND(1/table_Transfers[[#This Row],[investcost]]*RANDBETWEEN(10,100)/10,5)</f>
        <v>9.3000000000000005E-4</v>
      </c>
    </row>
    <row r="12" spans="1:6" x14ac:dyDescent="0.45">
      <c r="A12">
        <v>10</v>
      </c>
      <c r="B12" t="str">
        <f>CONCATENATE("Storage ",table_Storages[[#This Row],[ID]])</f>
        <v>Storage 10</v>
      </c>
      <c r="C12" t="b">
        <f ca="1">COUNTIF(dict_zuord_Transfers_Storages[ignored_help],table_Storages[[#This Row],[ID]])&gt;0</f>
        <v>1</v>
      </c>
      <c r="D12">
        <f t="shared" ca="1" si="0"/>
        <v>48128000</v>
      </c>
      <c r="E1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244</v>
      </c>
      <c r="F12">
        <f ca="1">ROUND(1/table_Transfers[[#This Row],[investcost]]*RANDBETWEEN(10,100)/10,5)</f>
        <v>6.0929999999999998E-2</v>
      </c>
    </row>
    <row r="13" spans="1:6" x14ac:dyDescent="0.45">
      <c r="A13">
        <v>11</v>
      </c>
      <c r="B13" t="str">
        <f>CONCATENATE("Storage ",table_Storages[[#This Row],[ID]])</f>
        <v>Storage 11</v>
      </c>
      <c r="C13" t="b">
        <f ca="1">COUNTIF(dict_zuord_Transfers_Storages[ignored_help],table_Storages[[#This Row],[ID]])&gt;0</f>
        <v>1</v>
      </c>
      <c r="D13">
        <f t="shared" ca="1" si="0"/>
        <v>48128000</v>
      </c>
      <c r="E1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73</v>
      </c>
      <c r="F13">
        <f ca="1">ROUND(1/table_Transfers[[#This Row],[investcost]]*RANDBETWEEN(10,100)/10,5)</f>
        <v>1.711E-2</v>
      </c>
    </row>
    <row r="14" spans="1:6" x14ac:dyDescent="0.45">
      <c r="A14">
        <v>12</v>
      </c>
      <c r="B14" t="str">
        <f>CONCATENATE("Storage ",table_Storages[[#This Row],[ID]])</f>
        <v>Storage 12</v>
      </c>
      <c r="C14" t="b">
        <f ca="1">COUNTIF(dict_zuord_Transfers_Storages[ignored_help],table_Storages[[#This Row],[ID]])&gt;0</f>
        <v>1</v>
      </c>
      <c r="D14">
        <f t="shared" ca="1" si="0"/>
        <v>17408000</v>
      </c>
      <c r="E1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709</v>
      </c>
      <c r="F14">
        <f ca="1">ROUND(1/table_Transfers[[#This Row],[investcost]]*RANDBETWEEN(10,100)/10,5)</f>
        <v>7.6000000000000004E-4</v>
      </c>
    </row>
    <row r="15" spans="1:6" x14ac:dyDescent="0.45">
      <c r="A15">
        <v>13</v>
      </c>
      <c r="B15" t="str">
        <f>CONCATENATE("Storage ",table_Storages[[#This Row],[ID]])</f>
        <v>Storage 13</v>
      </c>
      <c r="C15" t="b">
        <f ca="1">COUNTIF(dict_zuord_Transfers_Storages[ignored_help],table_Storages[[#This Row],[ID]])&gt;0</f>
        <v>1</v>
      </c>
      <c r="D15">
        <f t="shared" ca="1" si="0"/>
        <v>448000</v>
      </c>
      <c r="E1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210</v>
      </c>
      <c r="F15">
        <f ca="1">ROUND(1/table_Transfers[[#This Row],[investcost]]*RANDBETWEEN(10,100)/10,5)</f>
        <v>6.3329999999999997E-2</v>
      </c>
    </row>
    <row r="16" spans="1:6" x14ac:dyDescent="0.45">
      <c r="A16">
        <v>14</v>
      </c>
      <c r="B16" t="str">
        <f>CONCATENATE("Storage ",table_Storages[[#This Row],[ID]])</f>
        <v>Storage 14</v>
      </c>
      <c r="C16" t="b">
        <f ca="1">COUNTIF(dict_zuord_Transfers_Storages[ignored_help],table_Storages[[#This Row],[ID]])&gt;0</f>
        <v>1</v>
      </c>
      <c r="D16">
        <f t="shared" ca="1" si="0"/>
        <v>88064000</v>
      </c>
      <c r="E1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47</v>
      </c>
      <c r="F16">
        <f ca="1">ROUND(1/table_Transfers[[#This Row],[investcost]]*RANDBETWEEN(10,100)/10,5)</f>
        <v>0.15614</v>
      </c>
    </row>
    <row r="17" spans="1:6" x14ac:dyDescent="0.45">
      <c r="A17">
        <v>15</v>
      </c>
      <c r="B17" t="str">
        <f>CONCATENATE("Storage ",table_Storages[[#This Row],[ID]])</f>
        <v>Storage 15</v>
      </c>
      <c r="C17" t="b">
        <f ca="1">COUNTIF(dict_zuord_Transfers_Storages[ignored_help],table_Storages[[#This Row],[ID]])&gt;0</f>
        <v>1</v>
      </c>
      <c r="D17">
        <f t="shared" ca="1" si="0"/>
        <v>1344000</v>
      </c>
      <c r="E1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1541</v>
      </c>
      <c r="F17">
        <f ca="1">ROUND(1/table_Transfers[[#This Row],[investcost]]*RANDBETWEEN(10,100)/10,5)</f>
        <v>5.8700000000000002E-3</v>
      </c>
    </row>
    <row r="18" spans="1:6" x14ac:dyDescent="0.45">
      <c r="A18">
        <v>16</v>
      </c>
      <c r="B18" t="str">
        <f>CONCATENATE("Storage ",table_Storages[[#This Row],[ID]])</f>
        <v>Storage 16</v>
      </c>
      <c r="C18" t="b">
        <f ca="1">COUNTIF(dict_zuord_Transfers_Storages[ignored_help],table_Storages[[#This Row],[ID]])&gt;0</f>
        <v>1</v>
      </c>
      <c r="D18">
        <f t="shared" ca="1" si="0"/>
        <v>10240000</v>
      </c>
      <c r="E1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3150</v>
      </c>
      <c r="F18">
        <f ca="1">ROUND(1/table_Transfers[[#This Row],[investcost]]*RANDBETWEEN(10,100)/10,5)</f>
        <v>2.5500000000000002E-3</v>
      </c>
    </row>
    <row r="19" spans="1:6" x14ac:dyDescent="0.45">
      <c r="A19">
        <v>17</v>
      </c>
      <c r="B19" t="str">
        <f>CONCATENATE("Storage ",table_Storages[[#This Row],[ID]])</f>
        <v>Storage 17</v>
      </c>
      <c r="C19" t="b">
        <f ca="1">COUNTIF(dict_zuord_Transfers_Storages[ignored_help],table_Storages[[#This Row],[ID]])&gt;0</f>
        <v>1</v>
      </c>
      <c r="D19">
        <f t="shared" ca="1" si="0"/>
        <v>110592000</v>
      </c>
      <c r="E1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1723</v>
      </c>
      <c r="F19">
        <f ca="1">ROUND(1/table_Transfers[[#This Row],[investcost]]*RANDBETWEEN(10,100)/10,5)</f>
        <v>2.4299999999999999E-3</v>
      </c>
    </row>
    <row r="20" spans="1:6" x14ac:dyDescent="0.45">
      <c r="A20">
        <v>18</v>
      </c>
      <c r="B20" t="str">
        <f>CONCATENATE("Storage ",table_Storages[[#This Row],[ID]])</f>
        <v>Storage 18</v>
      </c>
      <c r="C20" t="b">
        <f ca="1">COUNTIF(dict_zuord_Transfers_Storages[ignored_help],table_Storages[[#This Row],[ID]])&gt;0</f>
        <v>1</v>
      </c>
      <c r="D20">
        <f t="shared" ca="1" si="0"/>
        <v>204800000</v>
      </c>
      <c r="E2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41</v>
      </c>
      <c r="F20">
        <f ca="1">ROUND(1/table_Transfers[[#This Row],[investcost]]*RANDBETWEEN(10,100)/10,5)</f>
        <v>8.7639999999999996E-2</v>
      </c>
    </row>
    <row r="21" spans="1:6" x14ac:dyDescent="0.45">
      <c r="A21">
        <v>19</v>
      </c>
      <c r="B21" t="str">
        <f>CONCATENATE("Storage ",table_Storages[[#This Row],[ID]])</f>
        <v>Storage 19</v>
      </c>
      <c r="C21" t="b">
        <f ca="1">COUNTIF(dict_zuord_Transfers_Storages[ignored_help],table_Storages[[#This Row],[ID]])&gt;0</f>
        <v>1</v>
      </c>
      <c r="D21">
        <f t="shared" ca="1" si="0"/>
        <v>26624000</v>
      </c>
      <c r="E2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252</v>
      </c>
      <c r="F21">
        <f ca="1">ROUND(1/table_Transfers[[#This Row],[investcost]]*RANDBETWEEN(10,100)/10,5)</f>
        <v>4.9750000000000003E-2</v>
      </c>
    </row>
    <row r="22" spans="1:6" x14ac:dyDescent="0.45">
      <c r="A22">
        <v>20</v>
      </c>
      <c r="B22" t="str">
        <f>CONCATENATE("Storage ",table_Storages[[#This Row],[ID]])</f>
        <v>Storage 20</v>
      </c>
      <c r="C22" t="b">
        <f ca="1">COUNTIF(dict_zuord_Transfers_Storages[ignored_help],table_Storages[[#This Row],[ID]])&gt;0</f>
        <v>1</v>
      </c>
      <c r="D22">
        <f t="shared" ca="1" si="0"/>
        <v>46592000</v>
      </c>
      <c r="E2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125</v>
      </c>
      <c r="F22">
        <f ca="1">ROUND(1/table_Transfers[[#This Row],[investcost]]*RANDBETWEEN(10,100)/10,5)</f>
        <v>1.129E-2</v>
      </c>
    </row>
    <row r="23" spans="1:6" x14ac:dyDescent="0.45">
      <c r="A23">
        <v>21</v>
      </c>
      <c r="B23" t="str">
        <f>CONCATENATE("Storage ",table_Storages[[#This Row],[ID]])</f>
        <v>Storage 21</v>
      </c>
      <c r="C23" t="b">
        <f ca="1">COUNTIF(dict_zuord_Transfers_Storages[ignored_help],table_Storages[[#This Row],[ID]])&gt;0</f>
        <v>1</v>
      </c>
      <c r="D23">
        <f t="shared" ca="1" si="0"/>
        <v>43008000</v>
      </c>
      <c r="E2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62</v>
      </c>
      <c r="F23">
        <f ca="1">ROUND(1/table_Transfers[[#This Row],[investcost]]*RANDBETWEEN(10,100)/10,5)</f>
        <v>7.4999999999999997E-2</v>
      </c>
    </row>
    <row r="24" spans="1:6" x14ac:dyDescent="0.45">
      <c r="A24">
        <v>22</v>
      </c>
      <c r="B24" t="str">
        <f>CONCATENATE("Storage ",table_Storages[[#This Row],[ID]])</f>
        <v>Storage 22</v>
      </c>
      <c r="C24" t="b">
        <f ca="1">COUNTIF(dict_zuord_Transfers_Storages[ignored_help],table_Storages[[#This Row],[ID]])&gt;0</f>
        <v>1</v>
      </c>
      <c r="D24">
        <f t="shared" ca="1" si="0"/>
        <v>27648000</v>
      </c>
      <c r="E2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1810</v>
      </c>
      <c r="F24">
        <f ca="1">ROUND(1/table_Transfers[[#This Row],[investcost]]*RANDBETWEEN(10,100)/10,5)</f>
        <v>6.1500000000000001E-3</v>
      </c>
    </row>
    <row r="25" spans="1:6" x14ac:dyDescent="0.45">
      <c r="A25">
        <v>23</v>
      </c>
      <c r="B25" t="str">
        <f>CONCATENATE("Storage ",table_Storages[[#This Row],[ID]])</f>
        <v>Storage 23</v>
      </c>
      <c r="C25" t="b">
        <f ca="1">COUNTIF(dict_zuord_Transfers_Storages[ignored_help],table_Storages[[#This Row],[ID]])&gt;0</f>
        <v>1</v>
      </c>
      <c r="D25">
        <f t="shared" ca="1" si="0"/>
        <v>5824000</v>
      </c>
      <c r="E2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532</v>
      </c>
      <c r="F25">
        <f ca="1">ROUND(1/table_Transfers[[#This Row],[investcost]]*RANDBETWEEN(10,100)/10,5)</f>
        <v>9.2599999999999991E-3</v>
      </c>
    </row>
    <row r="26" spans="1:6" x14ac:dyDescent="0.45">
      <c r="A26">
        <v>24</v>
      </c>
      <c r="B26" t="str">
        <f>CONCATENATE("Storage ",table_Storages[[#This Row],[ID]])</f>
        <v>Storage 24</v>
      </c>
      <c r="C26" t="b">
        <f ca="1">COUNTIF(dict_zuord_Transfers_Storages[ignored_help],table_Storages[[#This Row],[ID]])&gt;0</f>
        <v>1</v>
      </c>
      <c r="D26">
        <f t="shared" ca="1" si="0"/>
        <v>864000</v>
      </c>
      <c r="E2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1432</v>
      </c>
      <c r="F26">
        <f ca="1">ROUND(1/table_Transfers[[#This Row],[investcost]]*RANDBETWEEN(10,100)/10,5)</f>
        <v>1.0200000000000001E-3</v>
      </c>
    </row>
    <row r="27" spans="1:6" x14ac:dyDescent="0.45">
      <c r="A27">
        <v>25</v>
      </c>
      <c r="B27" t="str">
        <f>CONCATENATE("Storage ",table_Storages[[#This Row],[ID]])</f>
        <v>Storage 25</v>
      </c>
      <c r="C27" t="b">
        <f ca="1">COUNTIF(dict_zuord_Transfers_Storages[ignored_help],table_Storages[[#This Row],[ID]])&gt;0</f>
        <v>1</v>
      </c>
      <c r="D27">
        <f t="shared" ca="1" si="0"/>
        <v>106496000</v>
      </c>
      <c r="E2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29</v>
      </c>
      <c r="F27">
        <f ca="1">ROUND(1/table_Transfers[[#This Row],[investcost]]*RANDBETWEEN(10,100)/10,5)</f>
        <v>1.899E-2</v>
      </c>
    </row>
    <row r="28" spans="1:6" x14ac:dyDescent="0.45">
      <c r="A28">
        <v>26</v>
      </c>
      <c r="B28" t="str">
        <f>CONCATENATE("Storage ",table_Storages[[#This Row],[ID]])</f>
        <v>Storage 26</v>
      </c>
      <c r="C28" t="b">
        <f ca="1">COUNTIF(dict_zuord_Transfers_Storages[ignored_help],table_Storages[[#This Row],[ID]])&gt;0</f>
        <v>1</v>
      </c>
      <c r="D28">
        <f t="shared" ca="1" si="0"/>
        <v>3584000</v>
      </c>
      <c r="E2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45</v>
      </c>
      <c r="F28">
        <f ca="1">ROUND(1/table_Transfers[[#This Row],[investcost]]*RANDBETWEEN(10,100)/10,5)</f>
        <v>7.4289999999999995E-2</v>
      </c>
    </row>
    <row r="29" spans="1:6" x14ac:dyDescent="0.45">
      <c r="A29">
        <v>27</v>
      </c>
      <c r="B29" t="str">
        <f>CONCATENATE("Storage ",table_Storages[[#This Row],[ID]])</f>
        <v>Storage 27</v>
      </c>
      <c r="C29" t="b">
        <f ca="1">COUNTIF(dict_zuord_Transfers_Storages[ignored_help],table_Storages[[#This Row],[ID]])&gt;0</f>
        <v>1</v>
      </c>
      <c r="D29">
        <f t="shared" ca="1" si="0"/>
        <v>1184000</v>
      </c>
      <c r="E2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1039</v>
      </c>
      <c r="F29">
        <f ca="1">ROUND(1/table_Transfers[[#This Row],[investcost]]*RANDBETWEEN(10,100)/10,5)</f>
        <v>6.8599999999999998E-3</v>
      </c>
    </row>
    <row r="30" spans="1:6" x14ac:dyDescent="0.45">
      <c r="A30">
        <v>28</v>
      </c>
      <c r="B30" t="str">
        <f>CONCATENATE("Storage ",table_Storages[[#This Row],[ID]])</f>
        <v>Storage 28</v>
      </c>
      <c r="C30" t="b">
        <f ca="1">COUNTIF(dict_zuord_Transfers_Storages[ignored_help],table_Storages[[#This Row],[ID]])&gt;0</f>
        <v>1</v>
      </c>
      <c r="D30">
        <f t="shared" ca="1" si="0"/>
        <v>8064000</v>
      </c>
      <c r="E3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194</v>
      </c>
      <c r="F30">
        <f ca="1">ROUND(1/table_Transfers[[#This Row],[investcost]]*RANDBETWEEN(10,100)/10,5)</f>
        <v>3.2669999999999998E-2</v>
      </c>
    </row>
    <row r="31" spans="1:6" x14ac:dyDescent="0.45">
      <c r="A31">
        <v>29</v>
      </c>
      <c r="B31" t="str">
        <f>CONCATENATE("Storage ",table_Storages[[#This Row],[ID]])</f>
        <v>Storage 29</v>
      </c>
      <c r="C31" t="b">
        <f ca="1">COUNTIF(dict_zuord_Transfers_Storages[ignored_help],table_Storages[[#This Row],[ID]])&gt;0</f>
        <v>1</v>
      </c>
      <c r="D31">
        <f t="shared" ca="1" si="0"/>
        <v>36864000</v>
      </c>
      <c r="E3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1734</v>
      </c>
      <c r="F31">
        <f ca="1">ROUND(1/table_Transfers[[#This Row],[investcost]]*RANDBETWEEN(10,100)/10,5)</f>
        <v>5.1900000000000002E-3</v>
      </c>
    </row>
    <row r="32" spans="1:6" x14ac:dyDescent="0.45">
      <c r="A32">
        <v>30</v>
      </c>
      <c r="B32" t="str">
        <f>CONCATENATE("Storage ",table_Storages[[#This Row],[ID]])</f>
        <v>Storage 30</v>
      </c>
      <c r="C32" t="b">
        <f ca="1">COUNTIF(dict_zuord_Transfers_Storages[ignored_help],table_Storages[[#This Row],[ID]])&gt;0</f>
        <v>1</v>
      </c>
      <c r="D32">
        <f t="shared" ca="1" si="0"/>
        <v>12032000</v>
      </c>
      <c r="E3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244</v>
      </c>
      <c r="F32">
        <f ca="1">ROUND(1/table_Transfers[[#This Row],[investcost]]*RANDBETWEEN(10,100)/10,5)</f>
        <v>4.7219999999999998E-2</v>
      </c>
    </row>
    <row r="33" spans="1:6" x14ac:dyDescent="0.45">
      <c r="A33">
        <v>31</v>
      </c>
      <c r="B33" t="str">
        <f>CONCATENATE("Storage ",table_Storages[[#This Row],[ID]])</f>
        <v>Storage 31</v>
      </c>
      <c r="C33" t="b">
        <f ca="1">COUNTIF(dict_zuord_Transfers_Storages[ignored_help],table_Storages[[#This Row],[ID]])&gt;0</f>
        <v>1</v>
      </c>
      <c r="D33">
        <f t="shared" ca="1" si="0"/>
        <v>22528000</v>
      </c>
      <c r="E3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83</v>
      </c>
      <c r="F33">
        <f ca="1">ROUND(1/table_Transfers[[#This Row],[investcost]]*RANDBETWEEN(10,100)/10,5)</f>
        <v>5.4670000000000003E-2</v>
      </c>
    </row>
    <row r="34" spans="1:6" x14ac:dyDescent="0.45">
      <c r="A34">
        <v>32</v>
      </c>
      <c r="B34" t="str">
        <f>CONCATENATE("Storage ",table_Storages[[#This Row],[ID]])</f>
        <v>Storage 32</v>
      </c>
      <c r="C34" t="b">
        <f ca="1">COUNTIF(dict_zuord_Transfers_Storages[ignored_help],table_Storages[[#This Row],[ID]])&gt;0</f>
        <v>1</v>
      </c>
      <c r="D34">
        <f t="shared" ref="D34:D65" ca="1" si="1">2^RANDBETWEEN(4,12)*1000*RANDBETWEEN(10,100)</f>
        <v>63488000</v>
      </c>
      <c r="E3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2424</v>
      </c>
      <c r="F34">
        <f ca="1">ROUND(1/table_Transfers[[#This Row],[investcost]]*RANDBETWEEN(10,100)/10,5)</f>
        <v>1.9400000000000001E-3</v>
      </c>
    </row>
    <row r="35" spans="1:6" x14ac:dyDescent="0.45">
      <c r="A35">
        <v>33</v>
      </c>
      <c r="B35" t="str">
        <f>CONCATENATE("Storage ",table_Storages[[#This Row],[ID]])</f>
        <v>Storage 33</v>
      </c>
      <c r="C35" t="b">
        <f ca="1">COUNTIF(dict_zuord_Transfers_Storages[ignored_help],table_Storages[[#This Row],[ID]])&gt;0</f>
        <v>1</v>
      </c>
      <c r="D35">
        <f t="shared" ca="1" si="1"/>
        <v>464000</v>
      </c>
      <c r="E3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1571</v>
      </c>
      <c r="F35">
        <f ca="1">ROUND(1/table_Transfers[[#This Row],[investcost]]*RANDBETWEEN(10,100)/10,5)</f>
        <v>5.5900000000000004E-3</v>
      </c>
    </row>
    <row r="36" spans="1:6" x14ac:dyDescent="0.45">
      <c r="A36">
        <v>34</v>
      </c>
      <c r="B36" t="str">
        <f>CONCATENATE("Storage ",table_Storages[[#This Row],[ID]])</f>
        <v>Storage 34</v>
      </c>
      <c r="C36" t="b">
        <f ca="1">COUNTIF(dict_zuord_Transfers_Storages[ignored_help],table_Storages[[#This Row],[ID]])&gt;0</f>
        <v>1</v>
      </c>
      <c r="D36">
        <f t="shared" ca="1" si="1"/>
        <v>299008000</v>
      </c>
      <c r="E3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53</v>
      </c>
      <c r="F36">
        <f ca="1">ROUND(1/table_Transfers[[#This Row],[investcost]]*RANDBETWEEN(10,100)/10,5)</f>
        <v>0.12273000000000001</v>
      </c>
    </row>
    <row r="37" spans="1:6" x14ac:dyDescent="0.45">
      <c r="A37">
        <v>35</v>
      </c>
      <c r="B37" t="str">
        <f>CONCATENATE("Storage ",table_Storages[[#This Row],[ID]])</f>
        <v>Storage 35</v>
      </c>
      <c r="C37" t="b">
        <f ca="1">COUNTIF(dict_zuord_Transfers_Storages[ignored_help],table_Storages[[#This Row],[ID]])&gt;0</f>
        <v>1</v>
      </c>
      <c r="D37">
        <f t="shared" ca="1" si="1"/>
        <v>76800000</v>
      </c>
      <c r="E3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63</v>
      </c>
      <c r="F37">
        <f ca="1">ROUND(1/table_Transfers[[#This Row],[investcost]]*RANDBETWEEN(10,100)/10,5)</f>
        <v>0.18301999999999999</v>
      </c>
    </row>
    <row r="38" spans="1:6" x14ac:dyDescent="0.45">
      <c r="A38">
        <v>36</v>
      </c>
      <c r="B38" t="str">
        <f>CONCATENATE("Storage ",table_Storages[[#This Row],[ID]])</f>
        <v>Storage 36</v>
      </c>
      <c r="C38" t="b">
        <f ca="1">COUNTIF(dict_zuord_Transfers_Storages[ignored_help],table_Storages[[#This Row],[ID]])&gt;0</f>
        <v>1</v>
      </c>
      <c r="D38">
        <f t="shared" ca="1" si="1"/>
        <v>174080000</v>
      </c>
      <c r="E3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70</v>
      </c>
      <c r="F38">
        <f ca="1">ROUND(1/table_Transfers[[#This Row],[investcost]]*RANDBETWEEN(10,100)/10,5)</f>
        <v>0.61</v>
      </c>
    </row>
    <row r="39" spans="1:6" x14ac:dyDescent="0.45">
      <c r="A39">
        <v>37</v>
      </c>
      <c r="B39" t="str">
        <f>CONCATENATE("Storage ",table_Storages[[#This Row],[ID]])</f>
        <v>Storage 37</v>
      </c>
      <c r="C39" t="b">
        <f ca="1">COUNTIF(dict_zuord_Transfers_Storages[ignored_help],table_Storages[[#This Row],[ID]])&gt;0</f>
        <v>1</v>
      </c>
      <c r="D39">
        <f t="shared" ca="1" si="1"/>
        <v>8320000</v>
      </c>
      <c r="E3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822</v>
      </c>
      <c r="F39">
        <f ca="1">ROUND(1/table_Transfers[[#This Row],[investcost]]*RANDBETWEEN(10,100)/10,5)</f>
        <v>1.661E-2</v>
      </c>
    </row>
    <row r="40" spans="1:6" x14ac:dyDescent="0.45">
      <c r="A40">
        <v>38</v>
      </c>
      <c r="B40" t="str">
        <f>CONCATENATE("Storage ",table_Storages[[#This Row],[ID]])</f>
        <v>Storage 38</v>
      </c>
      <c r="C40" t="b">
        <f ca="1">COUNTIF(dict_zuord_Transfers_Storages[ignored_help],table_Storages[[#This Row],[ID]])&gt;0</f>
        <v>1</v>
      </c>
      <c r="D40">
        <f t="shared" ca="1" si="1"/>
        <v>784000</v>
      </c>
      <c r="E4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69</v>
      </c>
      <c r="F40">
        <f ca="1">ROUND(1/table_Transfers[[#This Row],[investcost]]*RANDBETWEEN(10,100)/10,5)</f>
        <v>8.4379999999999997E-2</v>
      </c>
    </row>
    <row r="41" spans="1:6" x14ac:dyDescent="0.45">
      <c r="A41">
        <v>39</v>
      </c>
      <c r="B41" t="str">
        <f>CONCATENATE("Storage ",table_Storages[[#This Row],[ID]])</f>
        <v>Storage 39</v>
      </c>
      <c r="C41" t="b">
        <f ca="1">COUNTIF(dict_zuord_Transfers_Storages[ignored_help],table_Storages[[#This Row],[ID]])&gt;0</f>
        <v>1</v>
      </c>
      <c r="D41">
        <f t="shared" ca="1" si="1"/>
        <v>77824000</v>
      </c>
      <c r="E4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145</v>
      </c>
      <c r="F41">
        <f ca="1">ROUND(1/table_Transfers[[#This Row],[investcost]]*RANDBETWEEN(10,100)/10,5)</f>
        <v>2.5829999999999999E-2</v>
      </c>
    </row>
    <row r="42" spans="1:6" x14ac:dyDescent="0.45">
      <c r="A42">
        <v>40</v>
      </c>
      <c r="B42" t="str">
        <f>CONCATENATE("Storage ",table_Storages[[#This Row],[ID]])</f>
        <v>Storage 40</v>
      </c>
      <c r="C42" t="b">
        <f ca="1">COUNTIF(dict_zuord_Transfers_Storages[ignored_help],table_Storages[[#This Row],[ID]])&gt;0</f>
        <v>1</v>
      </c>
      <c r="D42">
        <f t="shared" ca="1" si="1"/>
        <v>30208000</v>
      </c>
      <c r="E4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127</v>
      </c>
      <c r="F42">
        <f ca="1">ROUND(1/table_Transfers[[#This Row],[investcost]]*RANDBETWEEN(10,100)/10,5)</f>
        <v>0.06</v>
      </c>
    </row>
    <row r="43" spans="1:6" x14ac:dyDescent="0.45">
      <c r="A43">
        <v>41</v>
      </c>
      <c r="B43" t="str">
        <f>CONCATENATE("Storage ",table_Storages[[#This Row],[ID]])</f>
        <v>Storage 41</v>
      </c>
      <c r="C43" t="b">
        <f ca="1">COUNTIF(dict_zuord_Transfers_Storages[ignored_help],table_Storages[[#This Row],[ID]])&gt;0</f>
        <v>1</v>
      </c>
      <c r="D43">
        <f t="shared" ca="1" si="1"/>
        <v>32768000</v>
      </c>
      <c r="E4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79</v>
      </c>
      <c r="F43">
        <f ca="1">ROUND(1/table_Transfers[[#This Row],[investcost]]*RANDBETWEEN(10,100)/10,5)</f>
        <v>0.15</v>
      </c>
    </row>
    <row r="44" spans="1:6" x14ac:dyDescent="0.45">
      <c r="A44">
        <v>42</v>
      </c>
      <c r="B44" t="str">
        <f>CONCATENATE("Storage ",table_Storages[[#This Row],[ID]])</f>
        <v>Storage 42</v>
      </c>
      <c r="C44" t="b">
        <f ca="1">COUNTIF(dict_zuord_Transfers_Storages[ignored_help],table_Storages[[#This Row],[ID]])&gt;0</f>
        <v>1</v>
      </c>
      <c r="D44">
        <f t="shared" ca="1" si="1"/>
        <v>2912000</v>
      </c>
      <c r="E4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207</v>
      </c>
      <c r="F44">
        <f ca="1">ROUND(1/table_Transfers[[#This Row],[investcost]]*RANDBETWEEN(10,100)/10,5)</f>
        <v>3.891E-2</v>
      </c>
    </row>
    <row r="45" spans="1:6" x14ac:dyDescent="0.45">
      <c r="A45">
        <v>43</v>
      </c>
      <c r="B45" t="str">
        <f>CONCATENATE("Storage ",table_Storages[[#This Row],[ID]])</f>
        <v>Storage 43</v>
      </c>
      <c r="C45" t="b">
        <f ca="1">COUNTIF(dict_zuord_Transfers_Storages[ignored_help],table_Storages[[#This Row],[ID]])&gt;0</f>
        <v>1</v>
      </c>
      <c r="D45">
        <f t="shared" ca="1" si="1"/>
        <v>3776000</v>
      </c>
      <c r="E4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140</v>
      </c>
      <c r="F45">
        <f ca="1">ROUND(1/table_Transfers[[#This Row],[investcost]]*RANDBETWEEN(10,100)/10,5)</f>
        <v>4.9250000000000002E-2</v>
      </c>
    </row>
    <row r="46" spans="1:6" x14ac:dyDescent="0.45">
      <c r="A46">
        <v>44</v>
      </c>
      <c r="B46" t="str">
        <f>CONCATENATE("Storage ",table_Storages[[#This Row],[ID]])</f>
        <v>Storage 44</v>
      </c>
      <c r="C46" t="b">
        <f ca="1">COUNTIF(dict_zuord_Transfers_Storages[ignored_help],table_Storages[[#This Row],[ID]])&gt;0</f>
        <v>1</v>
      </c>
      <c r="D46">
        <f t="shared" ca="1" si="1"/>
        <v>270336000</v>
      </c>
      <c r="E4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894</v>
      </c>
      <c r="F46">
        <f ca="1">ROUND(1/table_Transfers[[#This Row],[investcost]]*RANDBETWEEN(10,100)/10,5)</f>
        <v>4.2900000000000004E-3</v>
      </c>
    </row>
    <row r="47" spans="1:6" x14ac:dyDescent="0.45">
      <c r="A47">
        <v>45</v>
      </c>
      <c r="B47" t="str">
        <f>CONCATENATE("Storage ",table_Storages[[#This Row],[ID]])</f>
        <v>Storage 45</v>
      </c>
      <c r="C47" t="b">
        <f ca="1">COUNTIF(dict_zuord_Transfers_Storages[ignored_help],table_Storages[[#This Row],[ID]])&gt;0</f>
        <v>1</v>
      </c>
      <c r="D47">
        <f t="shared" ca="1" si="1"/>
        <v>249856000</v>
      </c>
      <c r="E4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60</v>
      </c>
      <c r="F47">
        <f ca="1">ROUND(1/table_Transfers[[#This Row],[investcost]]*RANDBETWEEN(10,100)/10,5)</f>
        <v>4.2189999999999998E-2</v>
      </c>
    </row>
    <row r="48" spans="1:6" x14ac:dyDescent="0.45">
      <c r="A48">
        <v>46</v>
      </c>
      <c r="B48" t="str">
        <f>CONCATENATE("Storage ",table_Storages[[#This Row],[ID]])</f>
        <v>Storage 46</v>
      </c>
      <c r="C48" t="b">
        <f ca="1">COUNTIF(dict_zuord_Transfers_Storages[ignored_help],table_Storages[[#This Row],[ID]])&gt;0</f>
        <v>1</v>
      </c>
      <c r="D48">
        <f t="shared" ca="1" si="1"/>
        <v>1920000</v>
      </c>
      <c r="E4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67</v>
      </c>
      <c r="F48">
        <f ca="1">ROUND(1/table_Transfers[[#This Row],[investcost]]*RANDBETWEEN(10,100)/10,5)</f>
        <v>0.13408999999999999</v>
      </c>
    </row>
    <row r="49" spans="1:6" x14ac:dyDescent="0.45">
      <c r="A49">
        <v>47</v>
      </c>
      <c r="B49" t="str">
        <f>CONCATENATE("Storage ",table_Storages[[#This Row],[ID]])</f>
        <v>Storage 47</v>
      </c>
      <c r="C49" t="b">
        <f ca="1">COUNTIF(dict_zuord_Transfers_Storages[ignored_help],table_Storages[[#This Row],[ID]])&gt;0</f>
        <v>1</v>
      </c>
      <c r="D49">
        <f t="shared" ca="1" si="1"/>
        <v>42496000</v>
      </c>
      <c r="E4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1371</v>
      </c>
      <c r="F49">
        <f ca="1">ROUND(1/table_Transfers[[#This Row],[investcost]]*RANDBETWEEN(10,100)/10,5)</f>
        <v>1.3600000000000001E-3</v>
      </c>
    </row>
    <row r="50" spans="1:6" x14ac:dyDescent="0.45">
      <c r="A50">
        <v>48</v>
      </c>
      <c r="B50" t="str">
        <f>CONCATENATE("Storage ",table_Storages[[#This Row],[ID]])</f>
        <v>Storage 48</v>
      </c>
      <c r="C50" t="b">
        <f ca="1">COUNTIF(dict_zuord_Transfers_Storages[ignored_help],table_Storages[[#This Row],[ID]])&gt;0</f>
        <v>1</v>
      </c>
      <c r="D50">
        <f t="shared" ca="1" si="1"/>
        <v>848000</v>
      </c>
      <c r="E5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459</v>
      </c>
      <c r="F50">
        <f ca="1">ROUND(1/table_Transfers[[#This Row],[investcost]]*RANDBETWEEN(10,100)/10,5)</f>
        <v>2.2370000000000001E-2</v>
      </c>
    </row>
    <row r="51" spans="1:6" x14ac:dyDescent="0.45">
      <c r="A51">
        <v>49</v>
      </c>
      <c r="B51" t="str">
        <f>CONCATENATE("Storage ",table_Storages[[#This Row],[ID]])</f>
        <v>Storage 49</v>
      </c>
      <c r="C51" t="b">
        <f ca="1">COUNTIF(dict_zuord_Transfers_Storages[ignored_help],table_Storages[[#This Row],[ID]])&gt;0</f>
        <v>1</v>
      </c>
      <c r="D51">
        <f t="shared" ca="1" si="1"/>
        <v>225280000</v>
      </c>
      <c r="E5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86</v>
      </c>
      <c r="F51">
        <f ca="1">ROUND(1/table_Transfers[[#This Row],[investcost]]*RANDBETWEEN(10,100)/10,5)</f>
        <v>6.6669999999999993E-2</v>
      </c>
    </row>
    <row r="52" spans="1:6" x14ac:dyDescent="0.45">
      <c r="A52">
        <v>50</v>
      </c>
      <c r="B52" t="str">
        <f>CONCATENATE("Storage ",table_Storages[[#This Row],[ID]])</f>
        <v>Storage 50</v>
      </c>
      <c r="C52" t="b">
        <f ca="1">COUNTIF(dict_zuord_Transfers_Storages[ignored_help],table_Storages[[#This Row],[ID]])&gt;0</f>
        <v>1</v>
      </c>
      <c r="D52">
        <f t="shared" ca="1" si="1"/>
        <v>1600000</v>
      </c>
      <c r="E5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383</v>
      </c>
      <c r="F52">
        <f ca="1">ROUND(1/table_Transfers[[#This Row],[investcost]]*RANDBETWEEN(10,100)/10,5)</f>
        <v>9.1800000000000007E-3</v>
      </c>
    </row>
    <row r="53" spans="1:6" x14ac:dyDescent="0.45">
      <c r="A53">
        <v>51</v>
      </c>
      <c r="B53" t="str">
        <f>CONCATENATE("Storage ",table_Storages[[#This Row],[ID]])</f>
        <v>Storage 51</v>
      </c>
      <c r="C53" t="b">
        <f ca="1">COUNTIF(dict_zuord_Transfers_Storages[ignored_help],table_Storages[[#This Row],[ID]])&gt;0</f>
        <v>1</v>
      </c>
      <c r="D53">
        <f t="shared" ca="1" si="1"/>
        <v>928000</v>
      </c>
      <c r="E5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129</v>
      </c>
      <c r="F53">
        <f ca="1">ROUND(1/table_Transfers[[#This Row],[investcost]]*RANDBETWEEN(10,100)/10,5)</f>
        <v>3.542E-2</v>
      </c>
    </row>
    <row r="54" spans="1:6" x14ac:dyDescent="0.45">
      <c r="A54">
        <v>52</v>
      </c>
      <c r="B54" t="str">
        <f>CONCATENATE("Storage ",table_Storages[[#This Row],[ID]])</f>
        <v>Storage 52</v>
      </c>
      <c r="C54" t="b">
        <f ca="1">COUNTIF(dict_zuord_Transfers_Storages[ignored_help],table_Storages[[#This Row],[ID]])&gt;0</f>
        <v>1</v>
      </c>
      <c r="D54">
        <f t="shared" ca="1" si="1"/>
        <v>3840000</v>
      </c>
      <c r="E5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358</v>
      </c>
      <c r="F54">
        <f ca="1">ROUND(1/table_Transfers[[#This Row],[investcost]]*RANDBETWEEN(10,100)/10,5)</f>
        <v>1.7989999999999999E-2</v>
      </c>
    </row>
    <row r="55" spans="1:6" x14ac:dyDescent="0.45">
      <c r="A55">
        <v>53</v>
      </c>
      <c r="B55" t="str">
        <f>CONCATENATE("Storage ",table_Storages[[#This Row],[ID]])</f>
        <v>Storage 53</v>
      </c>
      <c r="C55" t="b">
        <f ca="1">COUNTIF(dict_zuord_Transfers_Storages[ignored_help],table_Storages[[#This Row],[ID]])&gt;0</f>
        <v>1</v>
      </c>
      <c r="D55">
        <f t="shared" ca="1" si="1"/>
        <v>624000</v>
      </c>
      <c r="E5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456</v>
      </c>
      <c r="F55">
        <f ca="1">ROUND(1/table_Transfers[[#This Row],[investcost]]*RANDBETWEEN(10,100)/10,5)</f>
        <v>2.4570000000000002E-2</v>
      </c>
    </row>
    <row r="56" spans="1:6" x14ac:dyDescent="0.45">
      <c r="A56">
        <v>54</v>
      </c>
      <c r="B56" t="str">
        <f>CONCATENATE("Storage ",table_Storages[[#This Row],[ID]])</f>
        <v>Storage 54</v>
      </c>
      <c r="C56" t="b">
        <f ca="1">COUNTIF(dict_zuord_Transfers_Storages[ignored_help],table_Storages[[#This Row],[ID]])&gt;0</f>
        <v>1</v>
      </c>
      <c r="D56">
        <f t="shared" ca="1" si="1"/>
        <v>832000</v>
      </c>
      <c r="E5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1244</v>
      </c>
      <c r="F56">
        <f ca="1">ROUND(1/table_Transfers[[#This Row],[investcost]]*RANDBETWEEN(10,100)/10,5)</f>
        <v>2.82E-3</v>
      </c>
    </row>
    <row r="57" spans="1:6" x14ac:dyDescent="0.45">
      <c r="A57">
        <v>55</v>
      </c>
      <c r="B57" t="str">
        <f>CONCATENATE("Storage ",table_Storages[[#This Row],[ID]])</f>
        <v>Storage 55</v>
      </c>
      <c r="C57" t="b">
        <f ca="1">COUNTIF(dict_zuord_Transfers_Storages[ignored_help],table_Storages[[#This Row],[ID]])&gt;0</f>
        <v>1</v>
      </c>
      <c r="D57">
        <f t="shared" ca="1" si="1"/>
        <v>1600000</v>
      </c>
      <c r="E5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102</v>
      </c>
      <c r="F57">
        <f ca="1">ROUND(1/table_Transfers[[#This Row],[investcost]]*RANDBETWEEN(10,100)/10,5)</f>
        <v>0.15745000000000001</v>
      </c>
    </row>
    <row r="58" spans="1:6" x14ac:dyDescent="0.45">
      <c r="A58">
        <v>56</v>
      </c>
      <c r="B58" t="str">
        <f>CONCATENATE("Storage ",table_Storages[[#This Row],[ID]])</f>
        <v>Storage 56</v>
      </c>
      <c r="C58" t="b">
        <f ca="1">COUNTIF(dict_zuord_Transfers_Storages[ignored_help],table_Storages[[#This Row],[ID]])&gt;0</f>
        <v>1</v>
      </c>
      <c r="D58">
        <f t="shared" ca="1" si="1"/>
        <v>2496000</v>
      </c>
      <c r="E5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121</v>
      </c>
      <c r="F58">
        <f ca="1">ROUND(1/table_Transfers[[#This Row],[investcost]]*RANDBETWEEN(10,100)/10,5)</f>
        <v>0.04</v>
      </c>
    </row>
    <row r="59" spans="1:6" x14ac:dyDescent="0.45">
      <c r="A59">
        <v>57</v>
      </c>
      <c r="B59" t="str">
        <f>CONCATENATE("Storage ",table_Storages[[#This Row],[ID]])</f>
        <v>Storage 57</v>
      </c>
      <c r="C59" t="b">
        <f ca="1">COUNTIF(dict_zuord_Transfers_Storages[ignored_help],table_Storages[[#This Row],[ID]])&gt;0</f>
        <v>1</v>
      </c>
      <c r="D59">
        <f t="shared" ca="1" si="1"/>
        <v>2688000</v>
      </c>
      <c r="E5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635</v>
      </c>
      <c r="F59">
        <f ca="1">ROUND(1/table_Transfers[[#This Row],[investcost]]*RANDBETWEEN(10,100)/10,5)</f>
        <v>5.0899999999999999E-3</v>
      </c>
    </row>
    <row r="60" spans="1:6" x14ac:dyDescent="0.45">
      <c r="A60">
        <v>58</v>
      </c>
      <c r="B60" t="str">
        <f>CONCATENATE("Storage ",table_Storages[[#This Row],[ID]])</f>
        <v>Storage 58</v>
      </c>
      <c r="C60" t="b">
        <f ca="1">COUNTIF(dict_zuord_Transfers_Storages[ignored_help],table_Storages[[#This Row],[ID]])&gt;0</f>
        <v>1</v>
      </c>
      <c r="D60">
        <f t="shared" ca="1" si="1"/>
        <v>5568000</v>
      </c>
      <c r="E6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232</v>
      </c>
      <c r="F60">
        <f ca="1">ROUND(1/table_Transfers[[#This Row],[investcost]]*RANDBETWEEN(10,100)/10,5)</f>
        <v>9.2999999999999999E-2</v>
      </c>
    </row>
    <row r="61" spans="1:6" x14ac:dyDescent="0.45">
      <c r="A61">
        <v>59</v>
      </c>
      <c r="B61" t="str">
        <f>CONCATENATE("Storage ",table_Storages[[#This Row],[ID]])</f>
        <v>Storage 59</v>
      </c>
      <c r="C61" t="b">
        <f ca="1">COUNTIF(dict_zuord_Transfers_Storages[ignored_help],table_Storages[[#This Row],[ID]])&gt;0</f>
        <v>1</v>
      </c>
      <c r="D61">
        <f t="shared" ca="1" si="1"/>
        <v>24576000</v>
      </c>
      <c r="E6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163</v>
      </c>
      <c r="F61">
        <f ca="1">ROUND(1/table_Transfers[[#This Row],[investcost]]*RANDBETWEEN(10,100)/10,5)</f>
        <v>4.6580000000000003E-2</v>
      </c>
    </row>
    <row r="62" spans="1:6" x14ac:dyDescent="0.45">
      <c r="A62">
        <v>60</v>
      </c>
      <c r="B62" t="str">
        <f>CONCATENATE("Storage ",table_Storages[[#This Row],[ID]])</f>
        <v>Storage 60</v>
      </c>
      <c r="C62" t="b">
        <f ca="1">COUNTIF(dict_zuord_Transfers_Storages[ignored_help],table_Storages[[#This Row],[ID]])&gt;0</f>
        <v>1</v>
      </c>
      <c r="D62">
        <f t="shared" ca="1" si="1"/>
        <v>112640000</v>
      </c>
      <c r="E6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268</v>
      </c>
      <c r="F62">
        <f ca="1">ROUND(1/table_Transfers[[#This Row],[investcost]]*RANDBETWEEN(10,100)/10,5)</f>
        <v>1.89E-2</v>
      </c>
    </row>
    <row r="63" spans="1:6" x14ac:dyDescent="0.45">
      <c r="A63">
        <v>61</v>
      </c>
      <c r="B63" t="str">
        <f>CONCATENATE("Storage ",table_Storages[[#This Row],[ID]])</f>
        <v>Storage 61</v>
      </c>
      <c r="C63" t="b">
        <f ca="1">COUNTIF(dict_zuord_Transfers_Storages[ignored_help],table_Storages[[#This Row],[ID]])&gt;0</f>
        <v>1</v>
      </c>
      <c r="D63">
        <f t="shared" ca="1" si="1"/>
        <v>174080000</v>
      </c>
      <c r="E6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773</v>
      </c>
      <c r="F63">
        <f ca="1">ROUND(1/table_Transfers[[#This Row],[investcost]]*RANDBETWEEN(10,100)/10,5)</f>
        <v>1.6000000000000001E-3</v>
      </c>
    </row>
    <row r="64" spans="1:6" x14ac:dyDescent="0.45">
      <c r="A64">
        <v>62</v>
      </c>
      <c r="B64" t="str">
        <f>CONCATENATE("Storage ",table_Storages[[#This Row],[ID]])</f>
        <v>Storage 62</v>
      </c>
      <c r="C64" t="b">
        <f ca="1">COUNTIF(dict_zuord_Transfers_Storages[ignored_help],table_Storages[[#This Row],[ID]])&gt;0</f>
        <v>1</v>
      </c>
      <c r="D64">
        <f t="shared" ca="1" si="1"/>
        <v>6912000</v>
      </c>
      <c r="E6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2156</v>
      </c>
      <c r="F64">
        <f ca="1">ROUND(1/table_Transfers[[#This Row],[investcost]]*RANDBETWEEN(10,100)/10,5)</f>
        <v>2.3900000000000002E-3</v>
      </c>
    </row>
    <row r="65" spans="1:6" x14ac:dyDescent="0.45">
      <c r="A65">
        <v>63</v>
      </c>
      <c r="B65" t="str">
        <f>CONCATENATE("Storage ",table_Storages[[#This Row],[ID]])</f>
        <v>Storage 63</v>
      </c>
      <c r="C65" t="b">
        <f ca="1">COUNTIF(dict_zuord_Transfers_Storages[ignored_help],table_Storages[[#This Row],[ID]])&gt;0</f>
        <v>1</v>
      </c>
      <c r="D65">
        <f t="shared" ca="1" si="1"/>
        <v>2368000</v>
      </c>
      <c r="E6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101</v>
      </c>
      <c r="F65">
        <f ca="1">ROUND(1/table_Transfers[[#This Row],[investcost]]*RANDBETWEEN(10,100)/10,5)</f>
        <v>0.14313999999999999</v>
      </c>
    </row>
    <row r="66" spans="1:6" x14ac:dyDescent="0.45">
      <c r="A66">
        <v>64</v>
      </c>
      <c r="B66" t="str">
        <f>CONCATENATE("Storage ",table_Storages[[#This Row],[ID]])</f>
        <v>Storage 64</v>
      </c>
      <c r="C66" t="b">
        <f ca="1">COUNTIF(dict_zuord_Transfers_Storages[ignored_help],table_Storages[[#This Row],[ID]])&gt;0</f>
        <v>1</v>
      </c>
      <c r="D66">
        <f t="shared" ref="D66:D102" ca="1" si="2">2^RANDBETWEEN(4,12)*1000*RANDBETWEEN(10,100)</f>
        <v>5632000</v>
      </c>
      <c r="E6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2181</v>
      </c>
      <c r="F66">
        <f ca="1">ROUND(1/table_Transfers[[#This Row],[investcost]]*RANDBETWEEN(10,100)/10,5)</f>
        <v>5.9999999999999995E-4</v>
      </c>
    </row>
    <row r="67" spans="1:6" x14ac:dyDescent="0.45">
      <c r="A67">
        <v>65</v>
      </c>
      <c r="B67" t="str">
        <f>CONCATENATE("Storage ",table_Storages[[#This Row],[ID]])</f>
        <v>Storage 65</v>
      </c>
      <c r="C67" t="b">
        <f ca="1">COUNTIF(dict_zuord_Transfers_Storages[ignored_help],table_Storages[[#This Row],[ID]])&gt;0</f>
        <v>1</v>
      </c>
      <c r="D67">
        <f t="shared" ca="1" si="2"/>
        <v>75776000</v>
      </c>
      <c r="E6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120</v>
      </c>
      <c r="F67">
        <f ca="1">ROUND(1/table_Transfers[[#This Row],[investcost]]*RANDBETWEEN(10,100)/10,5)</f>
        <v>0.56000000000000005</v>
      </c>
    </row>
    <row r="68" spans="1:6" x14ac:dyDescent="0.45">
      <c r="A68">
        <v>66</v>
      </c>
      <c r="B68" t="str">
        <f>CONCATENATE("Storage ",table_Storages[[#This Row],[ID]])</f>
        <v>Storage 66</v>
      </c>
      <c r="C68" t="b">
        <f ca="1">COUNTIF(dict_zuord_Transfers_Storages[ignored_help],table_Storages[[#This Row],[ID]])&gt;0</f>
        <v>1</v>
      </c>
      <c r="D68">
        <f t="shared" ca="1" si="2"/>
        <v>94208000</v>
      </c>
      <c r="E6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608</v>
      </c>
      <c r="F68">
        <f ca="1">ROUND(1/table_Transfers[[#This Row],[investcost]]*RANDBETWEEN(10,100)/10,5)</f>
        <v>1.8669999999999999E-2</v>
      </c>
    </row>
    <row r="69" spans="1:6" x14ac:dyDescent="0.45">
      <c r="A69">
        <v>67</v>
      </c>
      <c r="B69" t="str">
        <f>CONCATENATE("Storage ",table_Storages[[#This Row],[ID]])</f>
        <v>Storage 67</v>
      </c>
      <c r="C69" t="b">
        <f ca="1">COUNTIF(dict_zuord_Transfers_Storages[ignored_help],table_Storages[[#This Row],[ID]])&gt;0</f>
        <v>1</v>
      </c>
      <c r="D69">
        <f t="shared" ca="1" si="2"/>
        <v>1488000</v>
      </c>
      <c r="E6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235</v>
      </c>
      <c r="F69">
        <f ca="1">ROUND(1/table_Transfers[[#This Row],[investcost]]*RANDBETWEEN(10,100)/10,5)</f>
        <v>2.2370000000000001E-2</v>
      </c>
    </row>
    <row r="70" spans="1:6" x14ac:dyDescent="0.45">
      <c r="A70">
        <v>68</v>
      </c>
      <c r="B70" t="str">
        <f>CONCATENATE("Storage ",table_Storages[[#This Row],[ID]])</f>
        <v>Storage 68</v>
      </c>
      <c r="C70" t="b">
        <f ca="1">COUNTIF(dict_zuord_Transfers_Storages[ignored_help],table_Storages[[#This Row],[ID]])&gt;0</f>
        <v>1</v>
      </c>
      <c r="D70">
        <f t="shared" ca="1" si="2"/>
        <v>6016000</v>
      </c>
      <c r="E7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1024</v>
      </c>
      <c r="F70">
        <f ca="1">ROUND(1/table_Transfers[[#This Row],[investcost]]*RANDBETWEEN(10,100)/10,5)</f>
        <v>1.1860000000000001E-2</v>
      </c>
    </row>
    <row r="71" spans="1:6" x14ac:dyDescent="0.45">
      <c r="A71">
        <v>69</v>
      </c>
      <c r="B71" t="str">
        <f>CONCATENATE("Storage ",table_Storages[[#This Row],[ID]])</f>
        <v>Storage 69</v>
      </c>
      <c r="C71" t="b">
        <f ca="1">COUNTIF(dict_zuord_Transfers_Storages[ignored_help],table_Storages[[#This Row],[ID]])&gt;0</f>
        <v>1</v>
      </c>
      <c r="D71">
        <f t="shared" ca="1" si="2"/>
        <v>208896000</v>
      </c>
      <c r="E7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62</v>
      </c>
      <c r="F71">
        <f ca="1">ROUND(1/table_Transfers[[#This Row],[investcost]]*RANDBETWEEN(10,100)/10,5)</f>
        <v>6.25E-2</v>
      </c>
    </row>
    <row r="72" spans="1:6" x14ac:dyDescent="0.45">
      <c r="A72">
        <v>70</v>
      </c>
      <c r="B72" t="str">
        <f>CONCATENATE("Storage ",table_Storages[[#This Row],[ID]])</f>
        <v>Storage 70</v>
      </c>
      <c r="C72" t="b">
        <f ca="1">COUNTIF(dict_zuord_Transfers_Storages[ignored_help],table_Storages[[#This Row],[ID]])&gt;0</f>
        <v>1</v>
      </c>
      <c r="D72">
        <f t="shared" ca="1" si="2"/>
        <v>4160000</v>
      </c>
      <c r="E7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1382</v>
      </c>
      <c r="F72">
        <f ca="1">ROUND(1/table_Transfers[[#This Row],[investcost]]*RANDBETWEEN(10,100)/10,5)</f>
        <v>7.4599999999999996E-3</v>
      </c>
    </row>
    <row r="73" spans="1:6" x14ac:dyDescent="0.45">
      <c r="A73">
        <v>71</v>
      </c>
      <c r="B73" t="str">
        <f>CONCATENATE("Storage ",table_Storages[[#This Row],[ID]])</f>
        <v>Storage 71</v>
      </c>
      <c r="C73" t="b">
        <f ca="1">COUNTIF(dict_zuord_Transfers_Storages[ignored_help],table_Storages[[#This Row],[ID]])&gt;0</f>
        <v>1</v>
      </c>
      <c r="D73">
        <f t="shared" ca="1" si="2"/>
        <v>192000</v>
      </c>
      <c r="E7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3327</v>
      </c>
      <c r="F73">
        <f ca="1">ROUND(1/table_Transfers[[#This Row],[investcost]]*RANDBETWEEN(10,100)/10,5)</f>
        <v>1.17E-3</v>
      </c>
    </row>
    <row r="74" spans="1:6" x14ac:dyDescent="0.45">
      <c r="A74">
        <v>72</v>
      </c>
      <c r="B74" t="str">
        <f>CONCATENATE("Storage ",table_Storages[[#This Row],[ID]])</f>
        <v>Storage 72</v>
      </c>
      <c r="C74" t="b">
        <f ca="1">COUNTIF(dict_zuord_Transfers_Storages[ignored_help],table_Storages[[#This Row],[ID]])&gt;0</f>
        <v>1</v>
      </c>
      <c r="D74">
        <f t="shared" ca="1" si="2"/>
        <v>4288000</v>
      </c>
      <c r="E7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229</v>
      </c>
      <c r="F74">
        <f ca="1">ROUND(1/table_Transfers[[#This Row],[investcost]]*RANDBETWEEN(10,100)/10,5)</f>
        <v>3.3189999999999997E-2</v>
      </c>
    </row>
    <row r="75" spans="1:6" x14ac:dyDescent="0.45">
      <c r="A75">
        <v>73</v>
      </c>
      <c r="B75" t="str">
        <f>CONCATENATE("Storage ",table_Storages[[#This Row],[ID]])</f>
        <v>Storage 73</v>
      </c>
      <c r="C75" t="b">
        <f ca="1">COUNTIF(dict_zuord_Transfers_Storages[ignored_help],table_Storages[[#This Row],[ID]])&gt;0</f>
        <v>1</v>
      </c>
      <c r="D75">
        <f t="shared" ca="1" si="2"/>
        <v>176128000</v>
      </c>
      <c r="E7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59</v>
      </c>
      <c r="F75">
        <f ca="1">ROUND(1/table_Transfers[[#This Row],[investcost]]*RANDBETWEEN(10,100)/10,5)</f>
        <v>2.6419999999999999E-2</v>
      </c>
    </row>
    <row r="76" spans="1:6" x14ac:dyDescent="0.45">
      <c r="A76">
        <v>74</v>
      </c>
      <c r="B76" t="str">
        <f>CONCATENATE("Storage ",table_Storages[[#This Row],[ID]])</f>
        <v>Storage 74</v>
      </c>
      <c r="C76" t="b">
        <f ca="1">COUNTIF(dict_zuord_Transfers_Storages[ignored_help],table_Storages[[#This Row],[ID]])&gt;0</f>
        <v>1</v>
      </c>
      <c r="D76">
        <f t="shared" ca="1" si="2"/>
        <v>1536000</v>
      </c>
      <c r="E7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427</v>
      </c>
      <c r="F76">
        <f ca="1">ROUND(1/table_Transfers[[#This Row],[investcost]]*RANDBETWEEN(10,100)/10,5)</f>
        <v>6.6100000000000004E-3</v>
      </c>
    </row>
    <row r="77" spans="1:6" x14ac:dyDescent="0.45">
      <c r="A77">
        <v>75</v>
      </c>
      <c r="B77" t="str">
        <f>CONCATENATE("Storage ",table_Storages[[#This Row],[ID]])</f>
        <v>Storage 75</v>
      </c>
      <c r="C77" t="b">
        <f ca="1">COUNTIF(dict_zuord_Transfers_Storages[ignored_help],table_Storages[[#This Row],[ID]])&gt;0</f>
        <v>1</v>
      </c>
      <c r="D77">
        <f t="shared" ca="1" si="2"/>
        <v>1184000</v>
      </c>
      <c r="E7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2416</v>
      </c>
      <c r="F77">
        <f ca="1">ROUND(1/table_Transfers[[#This Row],[investcost]]*RANDBETWEEN(10,100)/10,5)</f>
        <v>2.8999999999999998E-3</v>
      </c>
    </row>
    <row r="78" spans="1:6" x14ac:dyDescent="0.45">
      <c r="A78">
        <v>76</v>
      </c>
      <c r="B78" t="str">
        <f>CONCATENATE("Storage ",table_Storages[[#This Row],[ID]])</f>
        <v>Storage 76</v>
      </c>
      <c r="C78" t="b">
        <f ca="1">COUNTIF(dict_zuord_Transfers_Storages[ignored_help],table_Storages[[#This Row],[ID]])&gt;0</f>
        <v>1</v>
      </c>
      <c r="D78">
        <f t="shared" ca="1" si="2"/>
        <v>74752000</v>
      </c>
      <c r="E7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49</v>
      </c>
      <c r="F78">
        <f ca="1">ROUND(1/table_Transfers[[#This Row],[investcost]]*RANDBETWEEN(10,100)/10,5)</f>
        <v>7.2730000000000003E-2</v>
      </c>
    </row>
    <row r="79" spans="1:6" x14ac:dyDescent="0.45">
      <c r="A79">
        <v>77</v>
      </c>
      <c r="B79" t="str">
        <f>CONCATENATE("Storage ",table_Storages[[#This Row],[ID]])</f>
        <v>Storage 77</v>
      </c>
      <c r="C79" t="b">
        <f ca="1">COUNTIF(dict_zuord_Transfers_Storages[ignored_help],table_Storages[[#This Row],[ID]])&gt;0</f>
        <v>1</v>
      </c>
      <c r="D79">
        <f t="shared" ca="1" si="2"/>
        <v>192000</v>
      </c>
      <c r="E7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27</v>
      </c>
      <c r="F79">
        <f ca="1">ROUND(1/table_Transfers[[#This Row],[investcost]]*RANDBETWEEN(10,100)/10,5)</f>
        <v>0.2</v>
      </c>
    </row>
    <row r="80" spans="1:6" x14ac:dyDescent="0.45">
      <c r="A80">
        <v>78</v>
      </c>
      <c r="B80" t="str">
        <f>CONCATENATE("Storage ",table_Storages[[#This Row],[ID]])</f>
        <v>Storage 78</v>
      </c>
      <c r="C80" t="b">
        <f ca="1">COUNTIF(dict_zuord_Transfers_Storages[ignored_help],table_Storages[[#This Row],[ID]])&gt;0</f>
        <v>1</v>
      </c>
      <c r="D80">
        <f t="shared" ca="1" si="2"/>
        <v>8448000</v>
      </c>
      <c r="E8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201</v>
      </c>
      <c r="F80">
        <f ca="1">ROUND(1/table_Transfers[[#This Row],[investcost]]*RANDBETWEEN(10,100)/10,5)</f>
        <v>6.7879999999999996E-2</v>
      </c>
    </row>
    <row r="81" spans="1:6" x14ac:dyDescent="0.45">
      <c r="A81">
        <v>79</v>
      </c>
      <c r="B81" t="str">
        <f>CONCATENATE("Storage ",table_Storages[[#This Row],[ID]])</f>
        <v>Storage 79</v>
      </c>
      <c r="C81" t="b">
        <f ca="1">COUNTIF(dict_zuord_Transfers_Storages[ignored_help],table_Storages[[#This Row],[ID]])&gt;0</f>
        <v>1</v>
      </c>
      <c r="D81">
        <f t="shared" ca="1" si="2"/>
        <v>22528000</v>
      </c>
      <c r="E8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229</v>
      </c>
      <c r="F81">
        <f ca="1">ROUND(1/table_Transfers[[#This Row],[investcost]]*RANDBETWEEN(10,100)/10,5)</f>
        <v>1.1209999999999999E-2</v>
      </c>
    </row>
    <row r="82" spans="1:6" x14ac:dyDescent="0.45">
      <c r="A82">
        <v>80</v>
      </c>
      <c r="B82" t="str">
        <f>CONCATENATE("Storage ",table_Storages[[#This Row],[ID]])</f>
        <v>Storage 80</v>
      </c>
      <c r="C82" t="b">
        <f ca="1">COUNTIF(dict_zuord_Transfers_Storages[ignored_help],table_Storages[[#This Row],[ID]])&gt;0</f>
        <v>1</v>
      </c>
      <c r="D82">
        <f t="shared" ca="1" si="2"/>
        <v>2688000</v>
      </c>
      <c r="E8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80</v>
      </c>
      <c r="F82">
        <f ca="1">ROUND(1/table_Transfers[[#This Row],[investcost]]*RANDBETWEEN(10,100)/10,5)</f>
        <v>3.7409999999999999E-2</v>
      </c>
    </row>
    <row r="83" spans="1:6" x14ac:dyDescent="0.45">
      <c r="A83">
        <v>81</v>
      </c>
      <c r="B83" t="str">
        <f>CONCATENATE("Storage ",table_Storages[[#This Row],[ID]])</f>
        <v>Storage 81</v>
      </c>
      <c r="C83" t="b">
        <f ca="1">COUNTIF(dict_zuord_Transfers_Storages[ignored_help],table_Storages[[#This Row],[ID]])&gt;0</f>
        <v>1</v>
      </c>
      <c r="D83">
        <f t="shared" ca="1" si="2"/>
        <v>10752000</v>
      </c>
      <c r="E8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214</v>
      </c>
      <c r="F83">
        <f ca="1">ROUND(1/table_Transfers[[#This Row],[investcost]]*RANDBETWEEN(10,100)/10,5)</f>
        <v>2.274E-2</v>
      </c>
    </row>
    <row r="84" spans="1:6" x14ac:dyDescent="0.45">
      <c r="A84">
        <v>82</v>
      </c>
      <c r="B84" t="str">
        <f>CONCATENATE("Storage ",table_Storages[[#This Row],[ID]])</f>
        <v>Storage 82</v>
      </c>
      <c r="C84" t="b">
        <f ca="1">COUNTIF(dict_zuord_Transfers_Storages[ignored_help],table_Storages[[#This Row],[ID]])&gt;0</f>
        <v>1</v>
      </c>
      <c r="D84">
        <f t="shared" ca="1" si="2"/>
        <v>24064000</v>
      </c>
      <c r="E8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177</v>
      </c>
      <c r="F84">
        <f ca="1">ROUND(1/table_Transfers[[#This Row],[investcost]]*RANDBETWEEN(10,100)/10,5)</f>
        <v>4.367E-2</v>
      </c>
    </row>
    <row r="85" spans="1:6" x14ac:dyDescent="0.45">
      <c r="A85">
        <v>83</v>
      </c>
      <c r="B85" t="str">
        <f>CONCATENATE("Storage ",table_Storages[[#This Row],[ID]])</f>
        <v>Storage 83</v>
      </c>
      <c r="C85" t="b">
        <f ca="1">COUNTIF(dict_zuord_Transfers_Storages[ignored_help],table_Storages[[#This Row],[ID]])&gt;0</f>
        <v>1</v>
      </c>
      <c r="D85">
        <f t="shared" ca="1" si="2"/>
        <v>194560000</v>
      </c>
      <c r="E8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558</v>
      </c>
      <c r="F85">
        <f ca="1">ROUND(1/table_Transfers[[#This Row],[investcost]]*RANDBETWEEN(10,100)/10,5)</f>
        <v>1.8790000000000001E-2</v>
      </c>
    </row>
    <row r="86" spans="1:6" x14ac:dyDescent="0.45">
      <c r="A86">
        <v>84</v>
      </c>
      <c r="B86" t="str">
        <f>CONCATENATE("Storage ",table_Storages[[#This Row],[ID]])</f>
        <v>Storage 84</v>
      </c>
      <c r="C86" t="b">
        <f ca="1">COUNTIF(dict_zuord_Transfers_Storages[ignored_help],table_Storages[[#This Row],[ID]])&gt;0</f>
        <v>1</v>
      </c>
      <c r="D86">
        <f t="shared" ca="1" si="2"/>
        <v>1024000</v>
      </c>
      <c r="E8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434</v>
      </c>
      <c r="F86">
        <f ca="1">ROUND(1/table_Transfers[[#This Row],[investcost]]*RANDBETWEEN(10,100)/10,5)</f>
        <v>4.8259999999999997E-2</v>
      </c>
    </row>
    <row r="87" spans="1:6" x14ac:dyDescent="0.45">
      <c r="A87">
        <v>85</v>
      </c>
      <c r="B87" t="str">
        <f>CONCATENATE("Storage ",table_Storages[[#This Row],[ID]])</f>
        <v>Storage 85</v>
      </c>
      <c r="C87" t="b">
        <f ca="1">COUNTIF(dict_zuord_Transfers_Storages[ignored_help],table_Storages[[#This Row],[ID]])&gt;0</f>
        <v>1</v>
      </c>
      <c r="D87">
        <f t="shared" ca="1" si="2"/>
        <v>4800000</v>
      </c>
      <c r="E8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62</v>
      </c>
      <c r="F87">
        <f ca="1">ROUND(1/table_Transfers[[#This Row],[investcost]]*RANDBETWEEN(10,100)/10,5)</f>
        <v>6.6669999999999993E-2</v>
      </c>
    </row>
    <row r="88" spans="1:6" x14ac:dyDescent="0.45">
      <c r="A88">
        <v>86</v>
      </c>
      <c r="B88" t="str">
        <f>CONCATENATE("Storage ",table_Storages[[#This Row],[ID]])</f>
        <v>Storage 86</v>
      </c>
      <c r="C88" t="b">
        <f ca="1">COUNTIF(dict_zuord_Transfers_Storages[ignored_help],table_Storages[[#This Row],[ID]])&gt;0</f>
        <v>1</v>
      </c>
      <c r="D88">
        <f t="shared" ca="1" si="2"/>
        <v>2176000</v>
      </c>
      <c r="E8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80</v>
      </c>
      <c r="F88">
        <f ca="1">ROUND(1/table_Transfers[[#This Row],[investcost]]*RANDBETWEEN(10,100)/10,5)</f>
        <v>0.12726999999999999</v>
      </c>
    </row>
    <row r="89" spans="1:6" x14ac:dyDescent="0.45">
      <c r="A89">
        <v>87</v>
      </c>
      <c r="B89" t="str">
        <f>CONCATENATE("Storage ",table_Storages[[#This Row],[ID]])</f>
        <v>Storage 87</v>
      </c>
      <c r="C89" t="b">
        <f ca="1">COUNTIF(dict_zuord_Transfers_Storages[ignored_help],table_Storages[[#This Row],[ID]])&gt;0</f>
        <v>1</v>
      </c>
      <c r="D89">
        <f t="shared" ca="1" si="2"/>
        <v>31744000</v>
      </c>
      <c r="E8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247</v>
      </c>
      <c r="F89">
        <f ca="1">ROUND(1/table_Transfers[[#This Row],[investcost]]*RANDBETWEEN(10,100)/10,5)</f>
        <v>7.28E-3</v>
      </c>
    </row>
    <row r="90" spans="1:6" x14ac:dyDescent="0.45">
      <c r="A90">
        <v>88</v>
      </c>
      <c r="B90" t="str">
        <f>CONCATENATE("Storage ",table_Storages[[#This Row],[ID]])</f>
        <v>Storage 88</v>
      </c>
      <c r="C90" t="b">
        <f ca="1">COUNTIF(dict_zuord_Transfers_Storages[ignored_help],table_Storages[[#This Row],[ID]])&gt;0</f>
        <v>1</v>
      </c>
      <c r="D90">
        <f t="shared" ca="1" si="2"/>
        <v>20224000</v>
      </c>
      <c r="E9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56</v>
      </c>
      <c r="F90">
        <f ca="1">ROUND(1/table_Transfers[[#This Row],[investcost]]*RANDBETWEEN(10,100)/10,5)</f>
        <v>7.5289999999999996E-2</v>
      </c>
    </row>
    <row r="91" spans="1:6" x14ac:dyDescent="0.45">
      <c r="A91">
        <v>89</v>
      </c>
      <c r="B91" t="str">
        <f>CONCATENATE("Storage ",table_Storages[[#This Row],[ID]])</f>
        <v>Storage 89</v>
      </c>
      <c r="C91" t="b">
        <f ca="1">COUNTIF(dict_zuord_Transfers_Storages[ignored_help],table_Storages[[#This Row],[ID]])&gt;0</f>
        <v>1</v>
      </c>
      <c r="D91">
        <f t="shared" ca="1" si="2"/>
        <v>1248000</v>
      </c>
      <c r="E9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50</v>
      </c>
      <c r="F91">
        <f ca="1">ROUND(1/table_Transfers[[#This Row],[investcost]]*RANDBETWEEN(10,100)/10,5)</f>
        <v>5.3420000000000002E-2</v>
      </c>
    </row>
    <row r="92" spans="1:6" x14ac:dyDescent="0.45">
      <c r="A92">
        <v>90</v>
      </c>
      <c r="B92" t="str">
        <f>CONCATENATE("Storage ",table_Storages[[#This Row],[ID]])</f>
        <v>Storage 90</v>
      </c>
      <c r="C92" t="b">
        <f ca="1">COUNTIF(dict_zuord_Transfers_Storages[ignored_help],table_Storages[[#This Row],[ID]])&gt;0</f>
        <v>1</v>
      </c>
      <c r="D92">
        <f t="shared" ca="1" si="2"/>
        <v>12672000</v>
      </c>
      <c r="E9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1285</v>
      </c>
      <c r="F92">
        <f ca="1">ROUND(1/table_Transfers[[#This Row],[investcost]]*RANDBETWEEN(10,100)/10,5)</f>
        <v>1.75E-3</v>
      </c>
    </row>
    <row r="93" spans="1:6" x14ac:dyDescent="0.45">
      <c r="A93">
        <v>91</v>
      </c>
      <c r="B93" t="str">
        <f>CONCATENATE("Storage ",table_Storages[[#This Row],[ID]])</f>
        <v>Storage 91</v>
      </c>
      <c r="C93" t="b">
        <f ca="1">COUNTIF(dict_zuord_Transfers_Storages[ignored_help],table_Storages[[#This Row],[ID]])&gt;0</f>
        <v>1</v>
      </c>
      <c r="D93">
        <f t="shared" ca="1" si="2"/>
        <v>7936000</v>
      </c>
      <c r="E93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1888</v>
      </c>
      <c r="F93">
        <f ca="1">ROUND(1/table_Transfers[[#This Row],[investcost]]*RANDBETWEEN(10,100)/10,5)</f>
        <v>6.1199999999999996E-3</v>
      </c>
    </row>
    <row r="94" spans="1:6" x14ac:dyDescent="0.45">
      <c r="A94">
        <v>92</v>
      </c>
      <c r="B94" t="str">
        <f>CONCATENATE("Storage ",table_Storages[[#This Row],[ID]])</f>
        <v>Storage 92</v>
      </c>
      <c r="C94" t="b">
        <f ca="1">COUNTIF(dict_zuord_Transfers_Storages[ignored_help],table_Storages[[#This Row],[ID]])&gt;0</f>
        <v>1</v>
      </c>
      <c r="D94">
        <f t="shared" ca="1" si="2"/>
        <v>41984000</v>
      </c>
      <c r="E94">
        <f ca="1">IF(ROUND(table_Transfers[[#This Row],[bandwidth_ub]]/(1000*RANDBETWEEN(5,15))+RANDBETWEEN(10,120)-RANDBETWEEN(1,10),0)&lt;=0,10,ROUND(table_Transfers[[#This Row],[bandwidth_ub]]/(1000*RANDBETWEEN(5,15))+RANDBETWEEN(1,50)-RANDBETWEEN(1,10),0))</f>
        <v>47</v>
      </c>
      <c r="F94">
        <f ca="1">ROUND(1/table_Transfers[[#This Row],[investcost]]*RANDBETWEEN(10,100)/10,5)</f>
        <v>8.9289999999999994E-2</v>
      </c>
    </row>
    <row r="95" spans="1:6" x14ac:dyDescent="0.45">
      <c r="A95">
        <v>93</v>
      </c>
      <c r="B95" t="str">
        <f>CONCATENATE("Storage ",table_Storages[[#This Row],[ID]])</f>
        <v>Storage 93</v>
      </c>
      <c r="C95" t="b">
        <f ca="1">COUNTIF(dict_zuord_Transfers_Storages[ignored_help],table_Storages[[#This Row],[ID]])&gt;0</f>
        <v>1</v>
      </c>
      <c r="D95">
        <f t="shared" ca="1" si="2"/>
        <v>22272000</v>
      </c>
      <c r="E95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2280</v>
      </c>
      <c r="F95">
        <f ca="1">ROUND(1/table_Transfers[[#This Row],[investcost]]*RANDBETWEEN(10,100)/10,5)</f>
        <v>2.5400000000000002E-3</v>
      </c>
    </row>
    <row r="96" spans="1:6" x14ac:dyDescent="0.45">
      <c r="A96">
        <v>94</v>
      </c>
      <c r="B96" t="str">
        <f>CONCATENATE("Storage ",table_Storages[[#This Row],[ID]])</f>
        <v>Storage 94</v>
      </c>
      <c r="C96" t="b">
        <f ca="1">COUNTIF(dict_zuord_Transfers_Storages[ignored_help],table_Storages[[#This Row],[ID]])&gt;0</f>
        <v>1</v>
      </c>
      <c r="D96">
        <f t="shared" ca="1" si="2"/>
        <v>13824000</v>
      </c>
      <c r="E96">
        <f ca="1">IF(ROUND(table_Transfers[[#This Row],[bandwidth_ub]]/(1000*RANDBETWEEN(5,15))+RANDBETWEEN(10,120)-RANDBETWEEN(1,10),0)&lt;=0,10,ROUND(table_Transfers[[#This Row],[bandwidth_ub]]/(1000*RANDBETWEEN(5,15))+RANDBETWEEN(1,50)-RANDBETWEEN(1,10),0))</f>
        <v>80</v>
      </c>
      <c r="F96">
        <f ca="1">ROUND(1/table_Transfers[[#This Row],[investcost]]*RANDBETWEEN(10,100)/10,5)</f>
        <v>0.30968000000000001</v>
      </c>
    </row>
    <row r="97" spans="1:6" x14ac:dyDescent="0.45">
      <c r="A97">
        <v>95</v>
      </c>
      <c r="B97" t="str">
        <f>CONCATENATE("Storage ",table_Storages[[#This Row],[ID]])</f>
        <v>Storage 95</v>
      </c>
      <c r="C97" t="b">
        <f ca="1">COUNTIF(dict_zuord_Transfers_Storages[ignored_help],table_Storages[[#This Row],[ID]])&gt;0</f>
        <v>1</v>
      </c>
      <c r="D97">
        <f t="shared" ca="1" si="2"/>
        <v>4032000</v>
      </c>
      <c r="E97">
        <f ca="1">IF(ROUND(table_Transfers[[#This Row],[bandwidth_ub]]/(1000*RANDBETWEEN(5,15))+RANDBETWEEN(10,120)-RANDBETWEEN(1,10),0)&lt;=0,10,ROUND(table_Transfers[[#This Row],[bandwidth_ub]]/(1000*RANDBETWEEN(5,15))+RANDBETWEEN(1,50)-RANDBETWEEN(1,10),0))</f>
        <v>653</v>
      </c>
      <c r="F97">
        <f ca="1">ROUND(1/table_Transfers[[#This Row],[investcost]]*RANDBETWEEN(10,100)/10,5)</f>
        <v>2.1139999999999999E-2</v>
      </c>
    </row>
    <row r="98" spans="1:6" x14ac:dyDescent="0.45">
      <c r="A98">
        <v>96</v>
      </c>
      <c r="B98" t="str">
        <f>CONCATENATE("Storage ",table_Storages[[#This Row],[ID]])</f>
        <v>Storage 96</v>
      </c>
      <c r="C98" t="b">
        <f ca="1">COUNTIF(dict_zuord_Transfers_Storages[ignored_help],table_Storages[[#This Row],[ID]])&gt;0</f>
        <v>1</v>
      </c>
      <c r="D98">
        <f t="shared" ca="1" si="2"/>
        <v>624000</v>
      </c>
      <c r="E98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132</v>
      </c>
      <c r="F98">
        <f ca="1">ROUND(1/table_Transfers[[#This Row],[investcost]]*RANDBETWEEN(10,100)/10,5)</f>
        <v>8.6209999999999995E-2</v>
      </c>
    </row>
    <row r="99" spans="1:6" x14ac:dyDescent="0.45">
      <c r="A99">
        <v>97</v>
      </c>
      <c r="B99" t="str">
        <f>CONCATENATE("Storage ",table_Storages[[#This Row],[ID]])</f>
        <v>Storage 97</v>
      </c>
      <c r="C99" t="b">
        <f ca="1">COUNTIF(dict_zuord_Transfers_Storages[ignored_help],table_Storages[[#This Row],[ID]])&gt;0</f>
        <v>1</v>
      </c>
      <c r="D99">
        <f t="shared" ca="1" si="2"/>
        <v>176000</v>
      </c>
      <c r="E99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1417</v>
      </c>
      <c r="F99">
        <f ca="1">ROUND(1/table_Transfers[[#This Row],[investcost]]*RANDBETWEEN(10,100)/10,5)</f>
        <v>4.0999999999999999E-4</v>
      </c>
    </row>
    <row r="100" spans="1:6" x14ac:dyDescent="0.45">
      <c r="A100">
        <v>98</v>
      </c>
      <c r="B100" t="str">
        <f>CONCATENATE("Storage ",table_Storages[[#This Row],[ID]])</f>
        <v>Storage 98</v>
      </c>
      <c r="C100" t="b">
        <f ca="1">COUNTIF(dict_zuord_Transfers_Storages[ignored_help],table_Storages[[#This Row],[ID]])&gt;0</f>
        <v>1</v>
      </c>
      <c r="D100">
        <f t="shared" ca="1" si="2"/>
        <v>43008000</v>
      </c>
      <c r="E100">
        <f ca="1">IF(ROUND(table_Transfers[[#This Row],[bandwidth_ub]]/(1000*RANDBETWEEN(5,15))+RANDBETWEEN(10,120)-RANDBETWEEN(1,10),0)&lt;=0,10,ROUND(table_Transfers[[#This Row],[bandwidth_ub]]/(1000*RANDBETWEEN(5,15))+RANDBETWEEN(1,50)-RANDBETWEEN(1,10),0))</f>
        <v>1580</v>
      </c>
      <c r="F100">
        <f ca="1">ROUND(1/table_Transfers[[#This Row],[investcost]]*RANDBETWEEN(10,100)/10,5)</f>
        <v>1.01E-3</v>
      </c>
    </row>
    <row r="101" spans="1:6" x14ac:dyDescent="0.45">
      <c r="A101">
        <v>99</v>
      </c>
      <c r="B101" t="str">
        <f>CONCATENATE("Storage ",table_Storages[[#This Row],[ID]])</f>
        <v>Storage 99</v>
      </c>
      <c r="C101" t="b">
        <f ca="1">COUNTIF(dict_zuord_Transfers_Storages[ignored_help],table_Storages[[#This Row],[ID]])&gt;0</f>
        <v>1</v>
      </c>
      <c r="D101">
        <f t="shared" ca="1" si="2"/>
        <v>16896000</v>
      </c>
      <c r="E101">
        <f ca="1">IF(ROUND(table_Transfers[[#This Row],[bandwidth_ub]]/(1000*RANDBETWEEN(5,15))+RANDBETWEEN(10,120)-RANDBETWEEN(1,10),0)&lt;=0,10,ROUND(table_Transfers[[#This Row],[bandwidth_ub]]/(1000*RANDBETWEEN(5,15))+RANDBETWEEN(1,50)-RANDBETWEEN(1,10),0))</f>
        <v>939</v>
      </c>
      <c r="F101">
        <f ca="1">ROUND(1/table_Transfers[[#This Row],[investcost]]*RANDBETWEEN(10,100)/10,5)</f>
        <v>1.329E-2</v>
      </c>
    </row>
    <row r="102" spans="1:6" x14ac:dyDescent="0.45">
      <c r="A102">
        <v>100</v>
      </c>
      <c r="B102" t="str">
        <f>CONCATENATE("Storage ",table_Storages[[#This Row],[ID]])</f>
        <v>Storage 100</v>
      </c>
      <c r="C102" t="b">
        <f ca="1">COUNTIF(dict_zuord_Transfers_Storages[ignored_help],table_Storages[[#This Row],[ID]])&gt;0</f>
        <v>1</v>
      </c>
      <c r="D102">
        <f t="shared" ca="1" si="2"/>
        <v>88064000</v>
      </c>
      <c r="E102">
        <f ca="1">IF(ROUND(table_Transfers[[#This Row],[bandwidth_ub]]/(1000*RANDBETWEEN(5,15))+RANDBETWEEN(10,120)-RANDBETWEEN(1,10),0)&lt;=0,10,ROUND(table_Transfers[[#This Row],[bandwidth_ub]]/(1000*RANDBETWEEN(5,15))+RANDBETWEEN(1,50)-RANDBETWEEN(1,10),0))</f>
        <v>218</v>
      </c>
      <c r="F102">
        <f ca="1">ROUND(1/table_Transfers[[#This Row],[investcost]]*RANDBETWEEN(10,100)/10,5)</f>
        <v>1.387E-2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/>
  <dimension ref="A1:M1521"/>
  <sheetViews>
    <sheetView workbookViewId="0">
      <selection activeCell="A2" sqref="A2:M1521"/>
    </sheetView>
  </sheetViews>
  <sheetFormatPr baseColWidth="10" defaultRowHeight="14.25" x14ac:dyDescent="0.45"/>
  <cols>
    <col min="1" max="1" width="16.53125" bestFit="1" customWidth="1"/>
    <col min="2" max="2" width="12.9296875" bestFit="1" customWidth="1"/>
    <col min="3" max="3" width="11.9296875" bestFit="1" customWidth="1"/>
    <col min="4" max="4" width="10.9296875" bestFit="1" customWidth="1"/>
    <col min="5" max="5" width="9.796875" bestFit="1" customWidth="1"/>
    <col min="6" max="7" width="10.73046875" style="8" bestFit="1" customWidth="1"/>
    <col min="8" max="8" width="12.33203125" style="8" bestFit="1" customWidth="1"/>
    <col min="9" max="9" width="20.3984375" bestFit="1" customWidth="1"/>
    <col min="10" max="10" width="14.6640625" bestFit="1" customWidth="1"/>
    <col min="11" max="11" width="17.19921875" bestFit="1" customWidth="1"/>
    <col min="12" max="12" width="12.9296875" bestFit="1" customWidth="1"/>
    <col min="13" max="13" width="13.53125" bestFit="1" customWidth="1"/>
  </cols>
  <sheetData>
    <row r="1" spans="1:13" x14ac:dyDescent="0.45">
      <c r="A1" s="10" t="s">
        <v>28</v>
      </c>
      <c r="B1" s="10" t="s">
        <v>27</v>
      </c>
      <c r="C1" s="10" t="s">
        <v>66</v>
      </c>
      <c r="D1" s="10" t="s">
        <v>136</v>
      </c>
      <c r="E1" s="10" t="s">
        <v>137</v>
      </c>
      <c r="F1" s="10" t="s">
        <v>138</v>
      </c>
      <c r="G1" s="10" t="s">
        <v>139</v>
      </c>
      <c r="H1" s="10" t="s">
        <v>30</v>
      </c>
      <c r="I1" s="10" t="s">
        <v>24</v>
      </c>
      <c r="J1" s="10" t="s">
        <v>91</v>
      </c>
      <c r="K1" s="10" t="s">
        <v>92</v>
      </c>
      <c r="L1" s="10" t="s">
        <v>346</v>
      </c>
      <c r="M1" s="10" t="s">
        <v>141</v>
      </c>
    </row>
    <row r="2" spans="1:13" x14ac:dyDescent="0.45">
      <c r="A2" s="10">
        <v>0</v>
      </c>
      <c r="B2" s="10">
        <v>580</v>
      </c>
      <c r="C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" s="10"/>
      <c r="E2" s="10"/>
      <c r="F2" s="12">
        <f ca="1">(RANDBETWEEN(0,50)/100)*(dict_DQ_Meth_max[[#This Row],[Vergleich_ub]]-dict_DQ_Meth_max[[#This Row],[Vergleich_lb]])+dict_DQ_Meth_max[[#This Row],[Vergleich_lb]]</f>
        <v>1249.6008199999999</v>
      </c>
      <c r="G2" s="12">
        <f ca="1">(RANDBETWEEN(50,100)/100)*(dict_DQ_Meth_max[[#This Row],[Vergleich_ub]]-dict_DQ_Meth_max[[#This Row],[Vergleich_lb]])+dict_DQ_Meth_max[[#This Row],[Vergleich_lb]]</f>
        <v>4702.5714399999997</v>
      </c>
      <c r="H2" s="11" t="str">
        <f ca="1">VLOOKUP(VLOOKUP(dict_DQ_Meth_max[[#This Row],[ID_DataQualities]],table_DataQualities[],3),table_Units[],2)</f>
        <v>Hz</v>
      </c>
      <c r="I2" s="10"/>
      <c r="J2" s="10"/>
      <c r="K2" s="10"/>
      <c r="L2" s="10">
        <f ca="1">VLOOKUP(dict_DQ_Meth_max[[#This Row],[ID_DataQualities]],table_DataQualities[],8,FALSE)</f>
        <v>0.65400000000000003</v>
      </c>
      <c r="M2" s="10">
        <f ca="1">VLOOKUP(dict_DQ_Meth_max[[#This Row],[ID_DataQualities]],table_DataQualities[],9,FALSE)</f>
        <v>7347.4</v>
      </c>
    </row>
    <row r="3" spans="1:13" x14ac:dyDescent="0.45">
      <c r="A3" s="10">
        <v>0</v>
      </c>
      <c r="B3" s="10">
        <v>189</v>
      </c>
      <c r="C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" s="10"/>
      <c r="E3" s="10"/>
      <c r="F3" s="12">
        <f ca="1">(RANDBETWEEN(0,50)/100)*(dict_DQ_Meth_max[[#This Row],[Vergleich_ub]]-dict_DQ_Meth_max[[#This Row],[Vergleich_lb]])+dict_DQ_Meth_max[[#This Row],[Vergleich_lb]]</f>
        <v>882.26351999999986</v>
      </c>
      <c r="G3" s="12">
        <f ca="1">(RANDBETWEEN(50,100)/100)*(dict_DQ_Meth_max[[#This Row],[Vergleich_ub]]-dict_DQ_Meth_max[[#This Row],[Vergleich_lb]])+dict_DQ_Meth_max[[#This Row],[Vergleich_lb]]</f>
        <v>4849.5063600000003</v>
      </c>
      <c r="H3" s="11" t="str">
        <f ca="1">VLOOKUP(VLOOKUP(dict_DQ_Meth_max[[#This Row],[ID_DataQualities]],table_DataQualities[],3),table_Units[],2)</f>
        <v>Hz</v>
      </c>
      <c r="I3" s="10"/>
      <c r="J3" s="10"/>
      <c r="K3" s="10"/>
      <c r="L3" s="10">
        <f ca="1">VLOOKUP(dict_DQ_Meth_max[[#This Row],[ID_DataQualities]],table_DataQualities[],8,FALSE)</f>
        <v>0.65400000000000003</v>
      </c>
      <c r="M3" s="10">
        <f ca="1">VLOOKUP(dict_DQ_Meth_max[[#This Row],[ID_DataQualities]],table_DataQualities[],9,FALSE)</f>
        <v>7347.4</v>
      </c>
    </row>
    <row r="4" spans="1:13" x14ac:dyDescent="0.45">
      <c r="A4" s="10">
        <v>0</v>
      </c>
      <c r="B4" s="10">
        <v>366</v>
      </c>
      <c r="C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" s="10"/>
      <c r="E4" s="10"/>
      <c r="F4" s="12">
        <f ca="1">(RANDBETWEEN(0,50)/100)*(dict_DQ_Meth_max[[#This Row],[Vergleich_ub]]-dict_DQ_Meth_max[[#This Row],[Vergleich_lb]])+dict_DQ_Meth_max[[#This Row],[Vergleich_lb]]</f>
        <v>3012.8198599999996</v>
      </c>
      <c r="G4" s="12">
        <f ca="1">(RANDBETWEEN(50,100)/100)*(dict_DQ_Meth_max[[#This Row],[Vergleich_ub]]-dict_DQ_Meth_max[[#This Row],[Vergleich_lb]])+dict_DQ_Meth_max[[#This Row],[Vergleich_lb]]</f>
        <v>6612.7254000000003</v>
      </c>
      <c r="H4" s="11" t="str">
        <f ca="1">VLOOKUP(VLOOKUP(dict_DQ_Meth_max[[#This Row],[ID_DataQualities]],table_DataQualities[],3),table_Units[],2)</f>
        <v>Hz</v>
      </c>
      <c r="I4" s="10"/>
      <c r="J4" s="10"/>
      <c r="K4" s="10"/>
      <c r="L4" s="10">
        <f ca="1">VLOOKUP(dict_DQ_Meth_max[[#This Row],[ID_DataQualities]],table_DataQualities[],8,FALSE)</f>
        <v>0.65400000000000003</v>
      </c>
      <c r="M4" s="10">
        <f ca="1">VLOOKUP(dict_DQ_Meth_max[[#This Row],[ID_DataQualities]],table_DataQualities[],9,FALSE)</f>
        <v>7347.4</v>
      </c>
    </row>
    <row r="5" spans="1:13" x14ac:dyDescent="0.45">
      <c r="A5" s="10">
        <v>1</v>
      </c>
      <c r="B5" s="10">
        <v>189</v>
      </c>
      <c r="C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" s="10"/>
      <c r="E5" s="10"/>
      <c r="F5" s="12">
        <f ca="1">(RANDBETWEEN(0,50)/100)*(dict_DQ_Meth_max[[#This Row],[Vergleich_ub]]-dict_DQ_Meth_max[[#This Row],[Vergleich_lb]])+dict_DQ_Meth_max[[#This Row],[Vergleich_lb]]</f>
        <v>1030.46</v>
      </c>
      <c r="G5" s="12">
        <f ca="1">(RANDBETWEEN(50,100)/100)*(dict_DQ_Meth_max[[#This Row],[Vergleich_ub]]-dict_DQ_Meth_max[[#This Row],[Vergleich_lb]])+dict_DQ_Meth_max[[#This Row],[Vergleich_lb]]</f>
        <v>6880.64</v>
      </c>
      <c r="H5" s="11" t="str">
        <f ca="1">VLOOKUP(VLOOKUP(dict_DQ_Meth_max[[#This Row],[ID_DataQualities]],table_DataQualities[],3),table_Units[],2)</f>
        <v>bit</v>
      </c>
      <c r="I5" s="10"/>
      <c r="J5" s="10"/>
      <c r="K5" s="10"/>
      <c r="L5" s="10">
        <f ca="1">VLOOKUP(dict_DQ_Meth_max[[#This Row],[ID_DataQualities]],table_DataQualities[],8,FALSE)</f>
        <v>9</v>
      </c>
      <c r="M5" s="10">
        <f ca="1">VLOOKUP(dict_DQ_Meth_max[[#This Row],[ID_DataQualities]],table_DataQualities[],9,FALSE)</f>
        <v>9295</v>
      </c>
    </row>
    <row r="6" spans="1:13" x14ac:dyDescent="0.45">
      <c r="A6" s="10">
        <v>1</v>
      </c>
      <c r="B6" s="10">
        <v>580</v>
      </c>
      <c r="C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6" s="10"/>
      <c r="E6" s="10"/>
      <c r="F6" s="12">
        <f ca="1">(RANDBETWEEN(0,50)/100)*(dict_DQ_Meth_max[[#This Row],[Vergleich_ub]]-dict_DQ_Meth_max[[#This Row],[Vergleich_lb]])+dict_DQ_Meth_max[[#This Row],[Vergleich_lb]]</f>
        <v>3259.1</v>
      </c>
      <c r="G6" s="12">
        <f ca="1">(RANDBETWEEN(50,100)/100)*(dict_DQ_Meth_max[[#This Row],[Vergleich_ub]]-dict_DQ_Meth_max[[#This Row],[Vergleich_lb]])+dict_DQ_Meth_max[[#This Row],[Vergleich_lb]]</f>
        <v>7902.0999999999995</v>
      </c>
      <c r="H6" s="11" t="str">
        <f ca="1">VLOOKUP(VLOOKUP(dict_DQ_Meth_max[[#This Row],[ID_DataQualities]],table_DataQualities[],3),table_Units[],2)</f>
        <v>bit</v>
      </c>
      <c r="I6" s="10"/>
      <c r="J6" s="10"/>
      <c r="K6" s="10"/>
      <c r="L6" s="10">
        <f ca="1">VLOOKUP(dict_DQ_Meth_max[[#This Row],[ID_DataQualities]],table_DataQualities[],8,FALSE)</f>
        <v>9</v>
      </c>
      <c r="M6" s="10">
        <f ca="1">VLOOKUP(dict_DQ_Meth_max[[#This Row],[ID_DataQualities]],table_DataQualities[],9,FALSE)</f>
        <v>9295</v>
      </c>
    </row>
    <row r="7" spans="1:13" x14ac:dyDescent="0.45">
      <c r="A7" s="10">
        <v>1</v>
      </c>
      <c r="B7" s="10">
        <v>366</v>
      </c>
      <c r="C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7" s="10"/>
      <c r="E7" s="10"/>
      <c r="F7" s="12">
        <f ca="1">(RANDBETWEEN(0,50)/100)*(dict_DQ_Meth_max[[#This Row],[Vergleich_ub]]-dict_DQ_Meth_max[[#This Row],[Vergleich_lb]])+dict_DQ_Meth_max[[#This Row],[Vergleich_lb]]</f>
        <v>4559.1400000000003</v>
      </c>
      <c r="G7" s="12">
        <f ca="1">(RANDBETWEEN(50,100)/100)*(dict_DQ_Meth_max[[#This Row],[Vergleich_ub]]-dict_DQ_Meth_max[[#This Row],[Vergleich_lb]])+dict_DQ_Meth_max[[#This Row],[Vergleich_lb]]</f>
        <v>6694.92</v>
      </c>
      <c r="H7" s="11" t="str">
        <f ca="1">VLOOKUP(VLOOKUP(dict_DQ_Meth_max[[#This Row],[ID_DataQualities]],table_DataQualities[],3),table_Units[],2)</f>
        <v>bit</v>
      </c>
      <c r="I7" s="10"/>
      <c r="J7" s="10"/>
      <c r="K7" s="10"/>
      <c r="L7" s="10">
        <f ca="1">VLOOKUP(dict_DQ_Meth_max[[#This Row],[ID_DataQualities]],table_DataQualities[],8,FALSE)</f>
        <v>9</v>
      </c>
      <c r="M7" s="10">
        <f ca="1">VLOOKUP(dict_DQ_Meth_max[[#This Row],[ID_DataQualities]],table_DataQualities[],9,FALSE)</f>
        <v>9295</v>
      </c>
    </row>
    <row r="8" spans="1:13" x14ac:dyDescent="0.45">
      <c r="A8" s="10">
        <v>2</v>
      </c>
      <c r="B8" s="10">
        <v>106</v>
      </c>
      <c r="C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8" s="10"/>
      <c r="E8" s="10"/>
      <c r="F8" s="12">
        <f ca="1">(RANDBETWEEN(0,50)/100)*(dict_DQ_Meth_max[[#This Row],[Vergleich_ub]]-dict_DQ_Meth_max[[#This Row],[Vergleich_lb]])+dict_DQ_Meth_max[[#This Row],[Vergleich_lb]]</f>
        <v>210.24092999999999</v>
      </c>
      <c r="G8" s="12">
        <f ca="1">(RANDBETWEEN(50,100)/100)*(dict_DQ_Meth_max[[#This Row],[Vergleich_ub]]-dict_DQ_Meth_max[[#This Row],[Vergleich_lb]])+dict_DQ_Meth_max[[#This Row],[Vergleich_lb]]</f>
        <v>1339.94363</v>
      </c>
      <c r="H8" s="11" t="str">
        <f ca="1">VLOOKUP(VLOOKUP(dict_DQ_Meth_max[[#This Row],[ID_DataQualities]],table_DataQualities[],3),table_Units[],2)</f>
        <v>Hz</v>
      </c>
      <c r="I8" s="10"/>
      <c r="J8" s="10"/>
      <c r="K8" s="10"/>
      <c r="L8" s="10">
        <f ca="1">VLOOKUP(dict_DQ_Meth_max[[#This Row],[ID_DataQualities]],table_DataQualities[],8,FALSE)</f>
        <v>0.439</v>
      </c>
      <c r="M8" s="10">
        <f ca="1">VLOOKUP(dict_DQ_Meth_max[[#This Row],[ID_DataQualities]],table_DataQualities[],9,FALSE)</f>
        <v>1614.3</v>
      </c>
    </row>
    <row r="9" spans="1:13" x14ac:dyDescent="0.45">
      <c r="A9" s="10">
        <v>2</v>
      </c>
      <c r="B9" s="10">
        <v>210</v>
      </c>
      <c r="C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9" s="10"/>
      <c r="E9" s="10"/>
      <c r="F9" s="12">
        <f ca="1">(RANDBETWEEN(0,50)/100)*(dict_DQ_Meth_max[[#This Row],[Vergleich_ub]]-dict_DQ_Meth_max[[#This Row],[Vergleich_lb]])+dict_DQ_Meth_max[[#This Row],[Vergleich_lb]]</f>
        <v>662.12200999999982</v>
      </c>
      <c r="G9" s="12">
        <f ca="1">(RANDBETWEEN(50,100)/100)*(dict_DQ_Meth_max[[#This Row],[Vergleich_ub]]-dict_DQ_Meth_max[[#This Row],[Vergleich_lb]])+dict_DQ_Meth_max[[#This Row],[Vergleich_lb]]</f>
        <v>1452.9139</v>
      </c>
      <c r="H9" s="11" t="str">
        <f ca="1">VLOOKUP(VLOOKUP(dict_DQ_Meth_max[[#This Row],[ID_DataQualities]],table_DataQualities[],3),table_Units[],2)</f>
        <v>Hz</v>
      </c>
      <c r="I9" s="10"/>
      <c r="J9" s="10"/>
      <c r="K9" s="10"/>
      <c r="L9" s="10">
        <f ca="1">VLOOKUP(dict_DQ_Meth_max[[#This Row],[ID_DataQualities]],table_DataQualities[],8,FALSE)</f>
        <v>0.439</v>
      </c>
      <c r="M9" s="10">
        <f ca="1">VLOOKUP(dict_DQ_Meth_max[[#This Row],[ID_DataQualities]],table_DataQualities[],9,FALSE)</f>
        <v>1614.3</v>
      </c>
    </row>
    <row r="10" spans="1:13" x14ac:dyDescent="0.45">
      <c r="A10" s="10">
        <v>2</v>
      </c>
      <c r="B10" s="10">
        <v>382</v>
      </c>
      <c r="C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0" s="10"/>
      <c r="E10" s="10"/>
      <c r="F10" s="12">
        <f ca="1">(RANDBETWEEN(0,50)/100)*(dict_DQ_Meth_max[[#This Row],[Vergleich_ub]]-dict_DQ_Meth_max[[#This Row],[Vergleich_lb]])+dict_DQ_Meth_max[[#This Row],[Vergleich_lb]]</f>
        <v>694.39922999999987</v>
      </c>
      <c r="G10" s="12">
        <f ca="1">(RANDBETWEEN(50,100)/100)*(dict_DQ_Meth_max[[#This Row],[Vergleich_ub]]-dict_DQ_Meth_max[[#This Row],[Vergleich_lb]])+dict_DQ_Meth_max[[#This Row],[Vergleich_lb]]</f>
        <v>855.78532999999993</v>
      </c>
      <c r="H10" s="11" t="str">
        <f ca="1">VLOOKUP(VLOOKUP(dict_DQ_Meth_max[[#This Row],[ID_DataQualities]],table_DataQualities[],3),table_Units[],2)</f>
        <v>Hz</v>
      </c>
      <c r="I10" s="10"/>
      <c r="J10" s="10"/>
      <c r="K10" s="10"/>
      <c r="L10" s="10">
        <f ca="1">VLOOKUP(dict_DQ_Meth_max[[#This Row],[ID_DataQualities]],table_DataQualities[],8,FALSE)</f>
        <v>0.439</v>
      </c>
      <c r="M10" s="10">
        <f ca="1">VLOOKUP(dict_DQ_Meth_max[[#This Row],[ID_DataQualities]],table_DataQualities[],9,FALSE)</f>
        <v>1614.3</v>
      </c>
    </row>
    <row r="11" spans="1:13" x14ac:dyDescent="0.45">
      <c r="A11" s="10">
        <v>2</v>
      </c>
      <c r="B11" s="10">
        <v>501</v>
      </c>
      <c r="C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1" s="10"/>
      <c r="E11" s="10"/>
      <c r="F11" s="12">
        <f ca="1">(RANDBETWEEN(0,50)/100)*(dict_DQ_Meth_max[[#This Row],[Vergleich_ub]]-dict_DQ_Meth_max[[#This Row],[Vergleich_lb]])+dict_DQ_Meth_max[[#This Row],[Vergleich_lb]]</f>
        <v>161.82509999999999</v>
      </c>
      <c r="G11" s="12">
        <f ca="1">(RANDBETWEEN(50,100)/100)*(dict_DQ_Meth_max[[#This Row],[Vergleich_ub]]-dict_DQ_Meth_max[[#This Row],[Vergleich_lb]])+dict_DQ_Meth_max[[#This Row],[Vergleich_lb]]</f>
        <v>807.3694999999999</v>
      </c>
      <c r="H11" s="11" t="str">
        <f ca="1">VLOOKUP(VLOOKUP(dict_DQ_Meth_max[[#This Row],[ID_DataQualities]],table_DataQualities[],3),table_Units[],2)</f>
        <v>Hz</v>
      </c>
      <c r="I11" s="10"/>
      <c r="J11" s="10"/>
      <c r="K11" s="10"/>
      <c r="L11" s="10">
        <f ca="1">VLOOKUP(dict_DQ_Meth_max[[#This Row],[ID_DataQualities]],table_DataQualities[],8,FALSE)</f>
        <v>0.439</v>
      </c>
      <c r="M11" s="10">
        <f ca="1">VLOOKUP(dict_DQ_Meth_max[[#This Row],[ID_DataQualities]],table_DataQualities[],9,FALSE)</f>
        <v>1614.3</v>
      </c>
    </row>
    <row r="12" spans="1:13" x14ac:dyDescent="0.45">
      <c r="A12" s="10">
        <v>3</v>
      </c>
      <c r="B12" s="10">
        <v>106</v>
      </c>
      <c r="C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2" s="10"/>
      <c r="E12" s="10"/>
      <c r="F12" s="12">
        <f ca="1">(RANDBETWEEN(0,50)/100)*(dict_DQ_Meth_max[[#This Row],[Vergleich_ub]]-dict_DQ_Meth_max[[#This Row],[Vergleich_lb]])+dict_DQ_Meth_max[[#This Row],[Vergleich_lb]]</f>
        <v>1.4894999999999999E-2</v>
      </c>
      <c r="G12" s="12">
        <f ca="1">(RANDBETWEEN(50,100)/100)*(dict_DQ_Meth_max[[#This Row],[Vergleich_ub]]-dict_DQ_Meth_max[[#This Row],[Vergleich_lb]])+dict_DQ_Meth_max[[#This Row],[Vergleich_lb]]</f>
        <v>0.31288499999999997</v>
      </c>
      <c r="H12" s="11" t="str">
        <f ca="1">VLOOKUP(VLOOKUP(dict_DQ_Meth_max[[#This Row],[ID_DataQualities]],table_DataQualities[],3),table_Units[],2)</f>
        <v>+/- cm³/s</v>
      </c>
      <c r="I12" s="10"/>
      <c r="J12" s="10"/>
      <c r="K12" s="10"/>
      <c r="L12" s="10">
        <f ca="1">VLOOKUP(dict_DQ_Meth_max[[#This Row],[ID_DataQualities]],table_DataQualities[],8,FALSE)</f>
        <v>4.4999999999999997E-3</v>
      </c>
      <c r="M12" s="10">
        <f ca="1">VLOOKUP(dict_DQ_Meth_max[[#This Row],[ID_DataQualities]],table_DataQualities[],9,FALSE)</f>
        <v>0.35099999999999998</v>
      </c>
    </row>
    <row r="13" spans="1:13" x14ac:dyDescent="0.45">
      <c r="A13" s="10">
        <v>3</v>
      </c>
      <c r="B13" s="10">
        <v>210</v>
      </c>
      <c r="C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3" s="10"/>
      <c r="E13" s="10"/>
      <c r="F13" s="12">
        <f ca="1">(RANDBETWEEN(0,50)/100)*(dict_DQ_Meth_max[[#This Row],[Vergleich_ub]]-dict_DQ_Meth_max[[#This Row],[Vergleich_lb]])+dict_DQ_Meth_max[[#This Row],[Vergleich_lb]]</f>
        <v>8.4195000000000006E-2</v>
      </c>
      <c r="G13" s="12">
        <f ca="1">(RANDBETWEEN(50,100)/100)*(dict_DQ_Meth_max[[#This Row],[Vergleich_ub]]-dict_DQ_Meth_max[[#This Row],[Vergleich_lb]])+dict_DQ_Meth_max[[#This Row],[Vergleich_lb]]</f>
        <v>0.25744499999999998</v>
      </c>
      <c r="H13" s="11" t="str">
        <f ca="1">VLOOKUP(VLOOKUP(dict_DQ_Meth_max[[#This Row],[ID_DataQualities]],table_DataQualities[],3),table_Units[],2)</f>
        <v>+/- cm³/s</v>
      </c>
      <c r="I13" s="10"/>
      <c r="J13" s="10"/>
      <c r="K13" s="10"/>
      <c r="L13" s="10">
        <f ca="1">VLOOKUP(dict_DQ_Meth_max[[#This Row],[ID_DataQualities]],table_DataQualities[],8,FALSE)</f>
        <v>4.4999999999999997E-3</v>
      </c>
      <c r="M13" s="10">
        <f ca="1">VLOOKUP(dict_DQ_Meth_max[[#This Row],[ID_DataQualities]],table_DataQualities[],9,FALSE)</f>
        <v>0.35099999999999998</v>
      </c>
    </row>
    <row r="14" spans="1:13" x14ac:dyDescent="0.45">
      <c r="A14" s="10">
        <v>3</v>
      </c>
      <c r="B14" s="10">
        <v>501</v>
      </c>
      <c r="C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4" s="10"/>
      <c r="E14" s="10"/>
      <c r="F14" s="12">
        <f ca="1">(RANDBETWEEN(0,50)/100)*(dict_DQ_Meth_max[[#This Row],[Vergleich_ub]]-dict_DQ_Meth_max[[#This Row],[Vergleich_lb]])+dict_DQ_Meth_max[[#This Row],[Vergleich_lb]]</f>
        <v>7.7265E-2</v>
      </c>
      <c r="G14" s="12">
        <f ca="1">(RANDBETWEEN(50,100)/100)*(dict_DQ_Meth_max[[#This Row],[Vergleich_ub]]-dict_DQ_Meth_max[[#This Row],[Vergleich_lb]])+dict_DQ_Meth_max[[#This Row],[Vergleich_lb]]</f>
        <v>0.30248999999999998</v>
      </c>
      <c r="H14" s="11" t="str">
        <f ca="1">VLOOKUP(VLOOKUP(dict_DQ_Meth_max[[#This Row],[ID_DataQualities]],table_DataQualities[],3),table_Units[],2)</f>
        <v>+/- cm³/s</v>
      </c>
      <c r="I14" s="10"/>
      <c r="J14" s="10"/>
      <c r="K14" s="10"/>
      <c r="L14" s="10">
        <f ca="1">VLOOKUP(dict_DQ_Meth_max[[#This Row],[ID_DataQualities]],table_DataQualities[],8,FALSE)</f>
        <v>4.4999999999999997E-3</v>
      </c>
      <c r="M14" s="10">
        <f ca="1">VLOOKUP(dict_DQ_Meth_max[[#This Row],[ID_DataQualities]],table_DataQualities[],9,FALSE)</f>
        <v>0.35099999999999998</v>
      </c>
    </row>
    <row r="15" spans="1:13" x14ac:dyDescent="0.45">
      <c r="A15" s="10">
        <v>3</v>
      </c>
      <c r="B15" s="10">
        <v>382</v>
      </c>
      <c r="C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5" s="10"/>
      <c r="E15" s="10"/>
      <c r="F15" s="12">
        <f ca="1">(RANDBETWEEN(0,50)/100)*(dict_DQ_Meth_max[[#This Row],[Vergleich_ub]]-dict_DQ_Meth_max[[#This Row],[Vergleich_lb]])+dict_DQ_Meth_max[[#This Row],[Vergleich_lb]]</f>
        <v>9.8055000000000003E-2</v>
      </c>
      <c r="G15" s="12">
        <f ca="1">(RANDBETWEEN(50,100)/100)*(dict_DQ_Meth_max[[#This Row],[Vergleich_ub]]-dict_DQ_Meth_max[[#This Row],[Vergleich_lb]])+dict_DQ_Meth_max[[#This Row],[Vergleich_lb]]</f>
        <v>0.27130500000000002</v>
      </c>
      <c r="H15" s="11" t="str">
        <f ca="1">VLOOKUP(VLOOKUP(dict_DQ_Meth_max[[#This Row],[ID_DataQualities]],table_DataQualities[],3),table_Units[],2)</f>
        <v>+/- cm³/s</v>
      </c>
      <c r="I15" s="10"/>
      <c r="J15" s="10"/>
      <c r="K15" s="10"/>
      <c r="L15" s="10">
        <f ca="1">VLOOKUP(dict_DQ_Meth_max[[#This Row],[ID_DataQualities]],table_DataQualities[],8,FALSE)</f>
        <v>4.4999999999999997E-3</v>
      </c>
      <c r="M15" s="10">
        <f ca="1">VLOOKUP(dict_DQ_Meth_max[[#This Row],[ID_DataQualities]],table_DataQualities[],9,FALSE)</f>
        <v>0.35099999999999998</v>
      </c>
    </row>
    <row r="16" spans="1:13" x14ac:dyDescent="0.45">
      <c r="A16" s="10">
        <v>4</v>
      </c>
      <c r="B16" s="10">
        <v>416</v>
      </c>
      <c r="C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6" s="10"/>
      <c r="E16" s="10"/>
      <c r="F16" s="12">
        <f ca="1">(RANDBETWEEN(0,50)/100)*(dict_DQ_Meth_max[[#This Row],[Vergleich_ub]]-dict_DQ_Meth_max[[#This Row],[Vergleich_lb]])+dict_DQ_Meth_max[[#This Row],[Vergleich_lb]]</f>
        <v>2195.0387499999997</v>
      </c>
      <c r="G16" s="12">
        <f ca="1">(RANDBETWEEN(50,100)/100)*(dict_DQ_Meth_max[[#This Row],[Vergleich_ub]]-dict_DQ_Meth_max[[#This Row],[Vergleich_lb]])+dict_DQ_Meth_max[[#This Row],[Vergleich_lb]]</f>
        <v>7987.8686499999994</v>
      </c>
      <c r="H16" s="11" t="str">
        <f ca="1">VLOOKUP(VLOOKUP(dict_DQ_Meth_max[[#This Row],[ID_DataQualities]],table_DataQualities[],3),table_Units[],2)</f>
        <v>Hz</v>
      </c>
      <c r="I16" s="10"/>
      <c r="J16" s="10"/>
      <c r="K16" s="10"/>
      <c r="L16" s="10">
        <f ca="1">VLOOKUP(dict_DQ_Meth_max[[#This Row],[ID_DataQualities]],table_DataQualities[],8,FALSE)</f>
        <v>0.78500000000000003</v>
      </c>
      <c r="M16" s="10">
        <f ca="1">VLOOKUP(dict_DQ_Meth_max[[#This Row],[ID_DataQualities]],table_DataQualities[],9,FALSE)</f>
        <v>8777.7999999999993</v>
      </c>
    </row>
    <row r="17" spans="1:13" x14ac:dyDescent="0.45">
      <c r="A17" s="10">
        <v>4</v>
      </c>
      <c r="B17" s="10">
        <v>679</v>
      </c>
      <c r="C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7" s="10"/>
      <c r="E17" s="10"/>
      <c r="F17" s="12">
        <f ca="1">(RANDBETWEEN(0,50)/100)*(dict_DQ_Meth_max[[#This Row],[Vergleich_ub]]-dict_DQ_Meth_max[[#This Row],[Vergleich_lb]])+dict_DQ_Meth_max[[#This Row],[Vergleich_lb]]</f>
        <v>2370.5790499999998</v>
      </c>
      <c r="G17" s="12">
        <f ca="1">(RANDBETWEEN(50,100)/100)*(dict_DQ_Meth_max[[#This Row],[Vergleich_ub]]-dict_DQ_Meth_max[[#This Row],[Vergleich_lb]])+dict_DQ_Meth_max[[#This Row],[Vergleich_lb]]</f>
        <v>5179.2238499999994</v>
      </c>
      <c r="H17" s="11" t="str">
        <f ca="1">VLOOKUP(VLOOKUP(dict_DQ_Meth_max[[#This Row],[ID_DataQualities]],table_DataQualities[],3),table_Units[],2)</f>
        <v>Hz</v>
      </c>
      <c r="I17" s="10"/>
      <c r="J17" s="10"/>
      <c r="K17" s="10"/>
      <c r="L17" s="10">
        <f ca="1">VLOOKUP(dict_DQ_Meth_max[[#This Row],[ID_DataQualities]],table_DataQualities[],8,FALSE)</f>
        <v>0.78500000000000003</v>
      </c>
      <c r="M17" s="10">
        <f ca="1">VLOOKUP(dict_DQ_Meth_max[[#This Row],[ID_DataQualities]],table_DataQualities[],9,FALSE)</f>
        <v>8777.7999999999993</v>
      </c>
    </row>
    <row r="18" spans="1:13" x14ac:dyDescent="0.45">
      <c r="A18" s="10">
        <v>4</v>
      </c>
      <c r="B18" s="10">
        <v>108</v>
      </c>
      <c r="C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8" s="10"/>
      <c r="E18" s="10"/>
      <c r="F18" s="12">
        <f ca="1">(RANDBETWEEN(0,50)/100)*(dict_DQ_Meth_max[[#This Row],[Vergleich_ub]]-dict_DQ_Meth_max[[#This Row],[Vergleich_lb]])+dict_DQ_Meth_max[[#This Row],[Vergleich_lb]]</f>
        <v>1668.41785</v>
      </c>
      <c r="G18" s="12">
        <f ca="1">(RANDBETWEEN(50,100)/100)*(dict_DQ_Meth_max[[#This Row],[Vergleich_ub]]-dict_DQ_Meth_max[[#This Row],[Vergleich_lb]])+dict_DQ_Meth_max[[#This Row],[Vergleich_lb]]</f>
        <v>7987.8686499999994</v>
      </c>
      <c r="H18" s="11" t="str">
        <f ca="1">VLOOKUP(VLOOKUP(dict_DQ_Meth_max[[#This Row],[ID_DataQualities]],table_DataQualities[],3),table_Units[],2)</f>
        <v>Hz</v>
      </c>
      <c r="I18" s="10"/>
      <c r="J18" s="10"/>
      <c r="K18" s="10"/>
      <c r="L18" s="10">
        <f ca="1">VLOOKUP(dict_DQ_Meth_max[[#This Row],[ID_DataQualities]],table_DataQualities[],8,FALSE)</f>
        <v>0.78500000000000003</v>
      </c>
      <c r="M18" s="10">
        <f ca="1">VLOOKUP(dict_DQ_Meth_max[[#This Row],[ID_DataQualities]],table_DataQualities[],9,FALSE)</f>
        <v>8777.7999999999993</v>
      </c>
    </row>
    <row r="19" spans="1:13" x14ac:dyDescent="0.45">
      <c r="A19" s="10">
        <v>4</v>
      </c>
      <c r="B19" s="10">
        <v>391</v>
      </c>
      <c r="C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19" s="10"/>
      <c r="E19" s="10"/>
      <c r="F19" s="12">
        <f ca="1">(RANDBETWEEN(0,50)/100)*(dict_DQ_Meth_max[[#This Row],[Vergleich_ub]]-dict_DQ_Meth_max[[#This Row],[Vergleich_lb]])+dict_DQ_Meth_max[[#This Row],[Vergleich_lb]]</f>
        <v>2546.1193499999995</v>
      </c>
      <c r="G19" s="12">
        <f ca="1">(RANDBETWEEN(50,100)/100)*(dict_DQ_Meth_max[[#This Row],[Vergleich_ub]]-dict_DQ_Meth_max[[#This Row],[Vergleich_lb]])+dict_DQ_Meth_max[[#This Row],[Vergleich_lb]]</f>
        <v>6144.6954999999989</v>
      </c>
      <c r="H19" s="11" t="str">
        <f ca="1">VLOOKUP(VLOOKUP(dict_DQ_Meth_max[[#This Row],[ID_DataQualities]],table_DataQualities[],3),table_Units[],2)</f>
        <v>Hz</v>
      </c>
      <c r="I19" s="10"/>
      <c r="J19" s="10"/>
      <c r="K19" s="10"/>
      <c r="L19" s="10">
        <f ca="1">VLOOKUP(dict_DQ_Meth_max[[#This Row],[ID_DataQualities]],table_DataQualities[],8,FALSE)</f>
        <v>0.78500000000000003</v>
      </c>
      <c r="M19" s="10">
        <f ca="1">VLOOKUP(dict_DQ_Meth_max[[#This Row],[ID_DataQualities]],table_DataQualities[],9,FALSE)</f>
        <v>8777.7999999999993</v>
      </c>
    </row>
    <row r="20" spans="1:13" x14ac:dyDescent="0.45">
      <c r="A20" s="10">
        <v>5</v>
      </c>
      <c r="B20" s="10">
        <v>416</v>
      </c>
      <c r="C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0" s="10"/>
      <c r="E20" s="10"/>
      <c r="F20" s="12">
        <f ca="1">(RANDBETWEEN(0,50)/100)*(dict_DQ_Meth_max[[#This Row],[Vergleich_ub]]-dict_DQ_Meth_max[[#This Row],[Vergleich_lb]])+dict_DQ_Meth_max[[#This Row],[Vergleich_lb]]</f>
        <v>0.91339999999999999</v>
      </c>
      <c r="G20" s="12">
        <f ca="1">(RANDBETWEEN(50,100)/100)*(dict_DQ_Meth_max[[#This Row],[Vergleich_ub]]-dict_DQ_Meth_max[[#This Row],[Vergleich_lb]])+dict_DQ_Meth_max[[#This Row],[Vergleich_lb]]</f>
        <v>2.4500000000000002</v>
      </c>
      <c r="H20" s="11" t="str">
        <f ca="1">VLOOKUP(VLOOKUP(dict_DQ_Meth_max[[#This Row],[ID_DataQualities]],table_DataQualities[],3),table_Units[],2)</f>
        <v>+/- mm</v>
      </c>
      <c r="I20" s="10"/>
      <c r="J20" s="10"/>
      <c r="K20" s="10"/>
      <c r="L20" s="10">
        <f ca="1">VLOOKUP(dict_DQ_Meth_max[[#This Row],[ID_DataQualities]],table_DataQualities[],8,FALSE)</f>
        <v>8.5999999999999993E-2</v>
      </c>
      <c r="M20" s="10">
        <f ca="1">VLOOKUP(dict_DQ_Meth_max[[#This Row],[ID_DataQualities]],table_DataQualities[],9,FALSE)</f>
        <v>2.4500000000000002</v>
      </c>
    </row>
    <row r="21" spans="1:13" x14ac:dyDescent="0.45">
      <c r="A21" s="10">
        <v>5</v>
      </c>
      <c r="B21" s="10">
        <v>679</v>
      </c>
      <c r="C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1" s="10"/>
      <c r="E21" s="10"/>
      <c r="F21" s="12">
        <f ca="1">(RANDBETWEEN(0,50)/100)*(dict_DQ_Meth_max[[#This Row],[Vergleich_ub]]-dict_DQ_Meth_max[[#This Row],[Vergleich_lb]])+dict_DQ_Meth_max[[#This Row],[Vergleich_lb]]</f>
        <v>0.15692</v>
      </c>
      <c r="G21" s="12">
        <f ca="1">(RANDBETWEEN(50,100)/100)*(dict_DQ_Meth_max[[#This Row],[Vergleich_ub]]-dict_DQ_Meth_max[[#This Row],[Vergleich_lb]])+dict_DQ_Meth_max[[#This Row],[Vergleich_lb]]</f>
        <v>2.2845200000000001</v>
      </c>
      <c r="H21" s="11" t="str">
        <f ca="1">VLOOKUP(VLOOKUP(dict_DQ_Meth_max[[#This Row],[ID_DataQualities]],table_DataQualities[],3),table_Units[],2)</f>
        <v>+/- mm</v>
      </c>
      <c r="I21" s="10"/>
      <c r="J21" s="10"/>
      <c r="K21" s="10"/>
      <c r="L21" s="10">
        <f ca="1">VLOOKUP(dict_DQ_Meth_max[[#This Row],[ID_DataQualities]],table_DataQualities[],8,FALSE)</f>
        <v>8.5999999999999993E-2</v>
      </c>
      <c r="M21" s="10">
        <f ca="1">VLOOKUP(dict_DQ_Meth_max[[#This Row],[ID_DataQualities]],table_DataQualities[],9,FALSE)</f>
        <v>2.4500000000000002</v>
      </c>
    </row>
    <row r="22" spans="1:13" x14ac:dyDescent="0.45">
      <c r="A22" s="10">
        <v>5</v>
      </c>
      <c r="B22" s="10">
        <v>391</v>
      </c>
      <c r="C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2" s="10"/>
      <c r="E22" s="10"/>
      <c r="F22" s="12">
        <f ca="1">(RANDBETWEEN(0,50)/100)*(dict_DQ_Meth_max[[#This Row],[Vergleich_ub]]-dict_DQ_Meth_max[[#This Row],[Vergleich_lb]])+dict_DQ_Meth_max[[#This Row],[Vergleich_lb]]</f>
        <v>1.0079600000000002</v>
      </c>
      <c r="G22" s="12">
        <f ca="1">(RANDBETWEEN(50,100)/100)*(dict_DQ_Meth_max[[#This Row],[Vergleich_ub]]-dict_DQ_Meth_max[[#This Row],[Vergleich_lb]])+dict_DQ_Meth_max[[#This Row],[Vergleich_lb]]</f>
        <v>1.6698800000000005</v>
      </c>
      <c r="H22" s="11" t="str">
        <f ca="1">VLOOKUP(VLOOKUP(dict_DQ_Meth_max[[#This Row],[ID_DataQualities]],table_DataQualities[],3),table_Units[],2)</f>
        <v>+/- mm</v>
      </c>
      <c r="I22" s="10"/>
      <c r="J22" s="10"/>
      <c r="K22" s="10"/>
      <c r="L22" s="10">
        <f ca="1">VLOOKUP(dict_DQ_Meth_max[[#This Row],[ID_DataQualities]],table_DataQualities[],8,FALSE)</f>
        <v>8.5999999999999993E-2</v>
      </c>
      <c r="M22" s="10">
        <f ca="1">VLOOKUP(dict_DQ_Meth_max[[#This Row],[ID_DataQualities]],table_DataQualities[],9,FALSE)</f>
        <v>2.4500000000000002</v>
      </c>
    </row>
    <row r="23" spans="1:13" x14ac:dyDescent="0.45">
      <c r="A23" s="10">
        <v>5</v>
      </c>
      <c r="B23" s="10">
        <v>108</v>
      </c>
      <c r="C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3" s="10"/>
      <c r="E23" s="10"/>
      <c r="F23" s="12">
        <f ca="1">(RANDBETWEEN(0,50)/100)*(dict_DQ_Meth_max[[#This Row],[Vergleich_ub]]-dict_DQ_Meth_max[[#This Row],[Vergleich_lb]])+dict_DQ_Meth_max[[#This Row],[Vergleich_lb]]</f>
        <v>0.67700000000000005</v>
      </c>
      <c r="G23" s="12">
        <f ca="1">(RANDBETWEEN(50,100)/100)*(dict_DQ_Meth_max[[#This Row],[Vergleich_ub]]-dict_DQ_Meth_max[[#This Row],[Vergleich_lb]])+dict_DQ_Meth_max[[#This Row],[Vergleich_lb]]</f>
        <v>2.1426799999999999</v>
      </c>
      <c r="H23" s="11" t="str">
        <f ca="1">VLOOKUP(VLOOKUP(dict_DQ_Meth_max[[#This Row],[ID_DataQualities]],table_DataQualities[],3),table_Units[],2)</f>
        <v>+/- mm</v>
      </c>
      <c r="I23" s="10"/>
      <c r="J23" s="10"/>
      <c r="K23" s="10"/>
      <c r="L23" s="10">
        <f ca="1">VLOOKUP(dict_DQ_Meth_max[[#This Row],[ID_DataQualities]],table_DataQualities[],8,FALSE)</f>
        <v>8.5999999999999993E-2</v>
      </c>
      <c r="M23" s="10">
        <f ca="1">VLOOKUP(dict_DQ_Meth_max[[#This Row],[ID_DataQualities]],table_DataQualities[],9,FALSE)</f>
        <v>2.4500000000000002</v>
      </c>
    </row>
    <row r="24" spans="1:13" x14ac:dyDescent="0.45">
      <c r="A24" s="10">
        <v>6</v>
      </c>
      <c r="B24" s="10">
        <v>315</v>
      </c>
      <c r="C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4" s="10"/>
      <c r="E24" s="10"/>
      <c r="F24" s="12">
        <f ca="1">(RANDBETWEEN(0,50)/100)*(dict_DQ_Meth_max[[#This Row],[Vergleich_ub]]-dict_DQ_Meth_max[[#This Row],[Vergleich_lb]])+dict_DQ_Meth_max[[#This Row],[Vergleich_lb]]</f>
        <v>755.41268000000002</v>
      </c>
      <c r="G24" s="12">
        <f ca="1">(RANDBETWEEN(50,100)/100)*(dict_DQ_Meth_max[[#This Row],[Vergleich_ub]]-dict_DQ_Meth_max[[#This Row],[Vergleich_lb]])+dict_DQ_Meth_max[[#This Row],[Vergleich_lb]]</f>
        <v>3065.8719499999997</v>
      </c>
      <c r="H24" s="11" t="str">
        <f ca="1">VLOOKUP(VLOOKUP(dict_DQ_Meth_max[[#This Row],[ID_DataQualities]],table_DataQualities[],3),table_Units[],2)</f>
        <v>Hz</v>
      </c>
      <c r="I24" s="10"/>
      <c r="J24" s="10"/>
      <c r="K24" s="10"/>
      <c r="L24" s="10">
        <f ca="1">VLOOKUP(dict_DQ_Meth_max[[#This Row],[ID_DataQualities]],table_DataQualities[],8,FALSE)</f>
        <v>0.97699999999999998</v>
      </c>
      <c r="M24" s="10">
        <f ca="1">VLOOKUP(dict_DQ_Meth_max[[#This Row],[ID_DataQualities]],table_DataQualities[],9,FALSE)</f>
        <v>4716.2</v>
      </c>
    </row>
    <row r="25" spans="1:13" x14ac:dyDescent="0.45">
      <c r="A25" s="10">
        <v>6</v>
      </c>
      <c r="B25" s="10">
        <v>87</v>
      </c>
      <c r="C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5" s="10"/>
      <c r="E25" s="10"/>
      <c r="F25" s="12">
        <f ca="1">(RANDBETWEEN(0,50)/100)*(dict_DQ_Meth_max[[#This Row],[Vergleich_ub]]-dict_DQ_Meth_max[[#This Row],[Vergleich_lb]])+dict_DQ_Meth_max[[#This Row],[Vergleich_lb]]</f>
        <v>1085.47829</v>
      </c>
      <c r="G25" s="12">
        <f ca="1">(RANDBETWEEN(50,100)/100)*(dict_DQ_Meth_max[[#This Row],[Vergleich_ub]]-dict_DQ_Meth_max[[#This Row],[Vergleich_lb]])+dict_DQ_Meth_max[[#This Row],[Vergleich_lb]]</f>
        <v>4197.5254699999996</v>
      </c>
      <c r="H25" s="11" t="str">
        <f ca="1">VLOOKUP(VLOOKUP(dict_DQ_Meth_max[[#This Row],[ID_DataQualities]],table_DataQualities[],3),table_Units[],2)</f>
        <v>Hz</v>
      </c>
      <c r="I25" s="10"/>
      <c r="J25" s="10"/>
      <c r="K25" s="10"/>
      <c r="L25" s="10">
        <f ca="1">VLOOKUP(dict_DQ_Meth_max[[#This Row],[ID_DataQualities]],table_DataQualities[],8,FALSE)</f>
        <v>0.97699999999999998</v>
      </c>
      <c r="M25" s="10">
        <f ca="1">VLOOKUP(dict_DQ_Meth_max[[#This Row],[ID_DataQualities]],table_DataQualities[],9,FALSE)</f>
        <v>4716.2</v>
      </c>
    </row>
    <row r="26" spans="1:13" x14ac:dyDescent="0.45">
      <c r="A26" s="10">
        <v>6</v>
      </c>
      <c r="B26" s="10">
        <v>555</v>
      </c>
      <c r="C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6" s="10"/>
      <c r="E26" s="10"/>
      <c r="F26" s="12">
        <f ca="1">(RANDBETWEEN(0,50)/100)*(dict_DQ_Meth_max[[#This Row],[Vergleich_ub]]-dict_DQ_Meth_max[[#This Row],[Vergleich_lb]])+dict_DQ_Meth_max[[#This Row],[Vergleich_lb]]</f>
        <v>331.04261000000002</v>
      </c>
      <c r="G26" s="12">
        <f ca="1">(RANDBETWEEN(50,100)/100)*(dict_DQ_Meth_max[[#This Row],[Vergleich_ub]]-dict_DQ_Meth_max[[#This Row],[Vergleich_lb]])+dict_DQ_Meth_max[[#This Row],[Vergleich_lb]]</f>
        <v>4244.6777000000002</v>
      </c>
      <c r="H26" s="11" t="str">
        <f ca="1">VLOOKUP(VLOOKUP(dict_DQ_Meth_max[[#This Row],[ID_DataQualities]],table_DataQualities[],3),table_Units[],2)</f>
        <v>Hz</v>
      </c>
      <c r="I26" s="10"/>
      <c r="J26" s="10"/>
      <c r="K26" s="10"/>
      <c r="L26" s="10">
        <f ca="1">VLOOKUP(dict_DQ_Meth_max[[#This Row],[ID_DataQualities]],table_DataQualities[],8,FALSE)</f>
        <v>0.97699999999999998</v>
      </c>
      <c r="M26" s="10">
        <f ca="1">VLOOKUP(dict_DQ_Meth_max[[#This Row],[ID_DataQualities]],table_DataQualities[],9,FALSE)</f>
        <v>4716.2</v>
      </c>
    </row>
    <row r="27" spans="1:13" x14ac:dyDescent="0.45">
      <c r="A27" s="10">
        <v>6</v>
      </c>
      <c r="B27" s="10">
        <v>251</v>
      </c>
      <c r="C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7" s="10"/>
      <c r="E27" s="10"/>
      <c r="F27" s="12">
        <f ca="1">(RANDBETWEEN(0,50)/100)*(dict_DQ_Meth_max[[#This Row],[Vergleich_ub]]-dict_DQ_Meth_max[[#This Row],[Vergleich_lb]])+dict_DQ_Meth_max[[#This Row],[Vergleich_lb]]</f>
        <v>189.58592000000002</v>
      </c>
      <c r="G27" s="12">
        <f ca="1">(RANDBETWEEN(50,100)/100)*(dict_DQ_Meth_max[[#This Row],[Vergleich_ub]]-dict_DQ_Meth_max[[#This Row],[Vergleich_lb]])+dict_DQ_Meth_max[[#This Row],[Vergleich_lb]]</f>
        <v>4197.5254699999996</v>
      </c>
      <c r="H27" s="11" t="str">
        <f ca="1">VLOOKUP(VLOOKUP(dict_DQ_Meth_max[[#This Row],[ID_DataQualities]],table_DataQualities[],3),table_Units[],2)</f>
        <v>Hz</v>
      </c>
      <c r="I27" s="10"/>
      <c r="J27" s="10"/>
      <c r="K27" s="10"/>
      <c r="L27" s="10">
        <f ca="1">VLOOKUP(dict_DQ_Meth_max[[#This Row],[ID_DataQualities]],table_DataQualities[],8,FALSE)</f>
        <v>0.97699999999999998</v>
      </c>
      <c r="M27" s="10">
        <f ca="1">VLOOKUP(dict_DQ_Meth_max[[#This Row],[ID_DataQualities]],table_DataQualities[],9,FALSE)</f>
        <v>4716.2</v>
      </c>
    </row>
    <row r="28" spans="1:13" x14ac:dyDescent="0.45">
      <c r="A28" s="10">
        <v>7</v>
      </c>
      <c r="B28" s="10">
        <v>315</v>
      </c>
      <c r="C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8" s="10"/>
      <c r="E28" s="10"/>
      <c r="F28" s="12">
        <f ca="1">(RANDBETWEEN(0,50)/100)*(dict_DQ_Meth_max[[#This Row],[Vergleich_ub]]-dict_DQ_Meth_max[[#This Row],[Vergleich_lb]])+dict_DQ_Meth_max[[#This Row],[Vergleich_lb]]</f>
        <v>0.1235</v>
      </c>
      <c r="G28" s="12">
        <f ca="1">(RANDBETWEEN(50,100)/100)*(dict_DQ_Meth_max[[#This Row],[Vergleich_ub]]-dict_DQ_Meth_max[[#This Row],[Vergleich_lb]])+dict_DQ_Meth_max[[#This Row],[Vergleich_lb]]</f>
        <v>1.9</v>
      </c>
      <c r="H28" s="11" t="str">
        <f ca="1">VLOOKUP(VLOOKUP(dict_DQ_Meth_max[[#This Row],[ID_DataQualities]],table_DataQualities[],3),table_Units[],2)</f>
        <v>+/- mm/s</v>
      </c>
      <c r="I28" s="10"/>
      <c r="J28" s="10"/>
      <c r="K28" s="10"/>
      <c r="L28" s="10">
        <f ca="1">VLOOKUP(dict_DQ_Meth_max[[#This Row],[ID_DataQualities]],table_DataQualities[],8,FALSE)</f>
        <v>0.03</v>
      </c>
      <c r="M28" s="10">
        <f ca="1">VLOOKUP(dict_DQ_Meth_max[[#This Row],[ID_DataQualities]],table_DataQualities[],9,FALSE)</f>
        <v>1.9</v>
      </c>
    </row>
    <row r="29" spans="1:13" x14ac:dyDescent="0.45">
      <c r="A29" s="10">
        <v>7</v>
      </c>
      <c r="B29" s="10">
        <v>87</v>
      </c>
      <c r="C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29" s="10"/>
      <c r="E29" s="10"/>
      <c r="F29" s="12">
        <f ca="1">(RANDBETWEEN(0,50)/100)*(dict_DQ_Meth_max[[#This Row],[Vergleich_ub]]-dict_DQ_Meth_max[[#This Row],[Vergleich_lb]])+dict_DQ_Meth_max[[#This Row],[Vergleich_lb]]</f>
        <v>0.96499999999999997</v>
      </c>
      <c r="G29" s="12">
        <f ca="1">(RANDBETWEEN(50,100)/100)*(dict_DQ_Meth_max[[#This Row],[Vergleich_ub]]-dict_DQ_Meth_max[[#This Row],[Vergleich_lb]])+dict_DQ_Meth_max[[#This Row],[Vergleich_lb]]</f>
        <v>1.3951</v>
      </c>
      <c r="H29" s="11" t="str">
        <f ca="1">VLOOKUP(VLOOKUP(dict_DQ_Meth_max[[#This Row],[ID_DataQualities]],table_DataQualities[],3),table_Units[],2)</f>
        <v>+/- mm/s</v>
      </c>
      <c r="I29" s="10"/>
      <c r="J29" s="10"/>
      <c r="K29" s="10"/>
      <c r="L29" s="10">
        <f ca="1">VLOOKUP(dict_DQ_Meth_max[[#This Row],[ID_DataQualities]],table_DataQualities[],8,FALSE)</f>
        <v>0.03</v>
      </c>
      <c r="M29" s="10">
        <f ca="1">VLOOKUP(dict_DQ_Meth_max[[#This Row],[ID_DataQualities]],table_DataQualities[],9,FALSE)</f>
        <v>1.9</v>
      </c>
    </row>
    <row r="30" spans="1:13" x14ac:dyDescent="0.45">
      <c r="A30" s="10">
        <v>7</v>
      </c>
      <c r="B30" s="10">
        <v>555</v>
      </c>
      <c r="C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0" s="10"/>
      <c r="E30" s="10"/>
      <c r="F30" s="12">
        <f ca="1">(RANDBETWEEN(0,50)/100)*(dict_DQ_Meth_max[[#This Row],[Vergleich_ub]]-dict_DQ_Meth_max[[#This Row],[Vergleich_lb]])+dict_DQ_Meth_max[[#This Row],[Vergleich_lb]]</f>
        <v>0.92759999999999998</v>
      </c>
      <c r="G30" s="12">
        <f ca="1">(RANDBETWEEN(50,100)/100)*(dict_DQ_Meth_max[[#This Row],[Vergleich_ub]]-dict_DQ_Meth_max[[#This Row],[Vergleich_lb]])+dict_DQ_Meth_max[[#This Row],[Vergleich_lb]]</f>
        <v>1.4324999999999999</v>
      </c>
      <c r="H30" s="11" t="str">
        <f ca="1">VLOOKUP(VLOOKUP(dict_DQ_Meth_max[[#This Row],[ID_DataQualities]],table_DataQualities[],3),table_Units[],2)</f>
        <v>+/- mm/s</v>
      </c>
      <c r="I30" s="10"/>
      <c r="J30" s="10"/>
      <c r="K30" s="10"/>
      <c r="L30" s="10">
        <f ca="1">VLOOKUP(dict_DQ_Meth_max[[#This Row],[ID_DataQualities]],table_DataQualities[],8,FALSE)</f>
        <v>0.03</v>
      </c>
      <c r="M30" s="10">
        <f ca="1">VLOOKUP(dict_DQ_Meth_max[[#This Row],[ID_DataQualities]],table_DataQualities[],9,FALSE)</f>
        <v>1.9</v>
      </c>
    </row>
    <row r="31" spans="1:13" x14ac:dyDescent="0.45">
      <c r="A31" s="10">
        <v>7</v>
      </c>
      <c r="B31" s="10">
        <v>251</v>
      </c>
      <c r="C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1" s="10"/>
      <c r="E31" s="10"/>
      <c r="F31" s="12">
        <f ca="1">(RANDBETWEEN(0,50)/100)*(dict_DQ_Meth_max[[#This Row],[Vergleich_ub]]-dict_DQ_Meth_max[[#This Row],[Vergleich_lb]])+dict_DQ_Meth_max[[#This Row],[Vergleich_lb]]</f>
        <v>0.53490000000000004</v>
      </c>
      <c r="G31" s="12">
        <f ca="1">(RANDBETWEEN(50,100)/100)*(dict_DQ_Meth_max[[#This Row],[Vergleich_ub]]-dict_DQ_Meth_max[[#This Row],[Vergleich_lb]])+dict_DQ_Meth_max[[#This Row],[Vergleich_lb]]</f>
        <v>1.6381999999999999</v>
      </c>
      <c r="H31" s="11" t="str">
        <f ca="1">VLOOKUP(VLOOKUP(dict_DQ_Meth_max[[#This Row],[ID_DataQualities]],table_DataQualities[],3),table_Units[],2)</f>
        <v>+/- mm/s</v>
      </c>
      <c r="I31" s="10"/>
      <c r="J31" s="10"/>
      <c r="K31" s="10"/>
      <c r="L31" s="10">
        <f ca="1">VLOOKUP(dict_DQ_Meth_max[[#This Row],[ID_DataQualities]],table_DataQualities[],8,FALSE)</f>
        <v>0.03</v>
      </c>
      <c r="M31" s="10">
        <f ca="1">VLOOKUP(dict_DQ_Meth_max[[#This Row],[ID_DataQualities]],table_DataQualities[],9,FALSE)</f>
        <v>1.9</v>
      </c>
    </row>
    <row r="32" spans="1:13" x14ac:dyDescent="0.45">
      <c r="A32" s="10">
        <v>8</v>
      </c>
      <c r="B32" s="10">
        <v>1</v>
      </c>
      <c r="C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2" s="10"/>
      <c r="E32" s="10"/>
      <c r="F32" s="12">
        <f ca="1">(RANDBETWEEN(0,50)/100)*(dict_DQ_Meth_max[[#This Row],[Vergleich_ub]]-dict_DQ_Meth_max[[#This Row],[Vergleich_lb]])+dict_DQ_Meth_max[[#This Row],[Vergleich_lb]]</f>
        <v>495.63450000000006</v>
      </c>
      <c r="G32" s="12">
        <f ca="1">(RANDBETWEEN(50,100)/100)*(dict_DQ_Meth_max[[#This Row],[Vergleich_ub]]-dict_DQ_Meth_max[[#This Row],[Vergleich_lb]])+dict_DQ_Meth_max[[#This Row],[Vergleich_lb]]</f>
        <v>4410.3175499999998</v>
      </c>
      <c r="H32" s="11" t="str">
        <f ca="1">VLOOKUP(VLOOKUP(dict_DQ_Meth_max[[#This Row],[ID_DataQualities]],table_DataQualities[],3),table_Units[],2)</f>
        <v>Hz</v>
      </c>
      <c r="I32" s="10"/>
      <c r="J32" s="10"/>
      <c r="K32" s="10"/>
      <c r="L32" s="10">
        <f ca="1">VLOOKUP(dict_DQ_Meth_max[[#This Row],[ID_DataQualities]],table_DataQualities[],8,FALSE)</f>
        <v>0.105</v>
      </c>
      <c r="M32" s="10">
        <f ca="1">VLOOKUP(dict_DQ_Meth_max[[#This Row],[ID_DataQualities]],table_DataQualities[],9,FALSE)</f>
        <v>4955.3999999999996</v>
      </c>
    </row>
    <row r="33" spans="1:13" x14ac:dyDescent="0.45">
      <c r="A33" s="10">
        <v>8</v>
      </c>
      <c r="B33" s="10">
        <v>677</v>
      </c>
      <c r="C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3" s="10"/>
      <c r="E33" s="10"/>
      <c r="F33" s="12">
        <f ca="1">(RANDBETWEEN(0,50)/100)*(dict_DQ_Meth_max[[#This Row],[Vergleich_ub]]-dict_DQ_Meth_max[[#This Row],[Vergleich_lb]])+dict_DQ_Meth_max[[#This Row],[Vergleich_lb]]</f>
        <v>2229.9877500000002</v>
      </c>
      <c r="G33" s="12">
        <f ca="1">(RANDBETWEEN(50,100)/100)*(dict_DQ_Meth_max[[#This Row],[Vergleich_ub]]-dict_DQ_Meth_max[[#This Row],[Vergleich_lb]])+dict_DQ_Meth_max[[#This Row],[Vergleich_lb]]</f>
        <v>3022.8349499999999</v>
      </c>
      <c r="H33" s="11" t="str">
        <f ca="1">VLOOKUP(VLOOKUP(dict_DQ_Meth_max[[#This Row],[ID_DataQualities]],table_DataQualities[],3),table_Units[],2)</f>
        <v>Hz</v>
      </c>
      <c r="I33" s="10"/>
      <c r="J33" s="10"/>
      <c r="K33" s="10"/>
      <c r="L33" s="10">
        <f ca="1">VLOOKUP(dict_DQ_Meth_max[[#This Row],[ID_DataQualities]],table_DataQualities[],8,FALSE)</f>
        <v>0.105</v>
      </c>
      <c r="M33" s="10">
        <f ca="1">VLOOKUP(dict_DQ_Meth_max[[#This Row],[ID_DataQualities]],table_DataQualities[],9,FALSE)</f>
        <v>4955.3999999999996</v>
      </c>
    </row>
    <row r="34" spans="1:13" x14ac:dyDescent="0.45">
      <c r="A34" s="10">
        <v>8</v>
      </c>
      <c r="B34" s="10">
        <v>77</v>
      </c>
      <c r="C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4" s="10"/>
      <c r="E34" s="10"/>
      <c r="F34" s="12">
        <f ca="1">(RANDBETWEEN(0,50)/100)*(dict_DQ_Meth_max[[#This Row],[Vergleich_ub]]-dict_DQ_Meth_max[[#This Row],[Vergleich_lb]])+dict_DQ_Meth_max[[#This Row],[Vergleich_lb]]</f>
        <v>1139.82285</v>
      </c>
      <c r="G34" s="12">
        <f ca="1">(RANDBETWEEN(50,100)/100)*(dict_DQ_Meth_max[[#This Row],[Vergleich_ub]]-dict_DQ_Meth_max[[#This Row],[Vergleich_lb]])+dict_DQ_Meth_max[[#This Row],[Vergleich_lb]]</f>
        <v>3964.3410000000003</v>
      </c>
      <c r="H34" s="11" t="str">
        <f ca="1">VLOOKUP(VLOOKUP(dict_DQ_Meth_max[[#This Row],[ID_DataQualities]],table_DataQualities[],3),table_Units[],2)</f>
        <v>Hz</v>
      </c>
      <c r="I34" s="10"/>
      <c r="J34" s="10"/>
      <c r="K34" s="10"/>
      <c r="L34" s="10">
        <f ca="1">VLOOKUP(dict_DQ_Meth_max[[#This Row],[ID_DataQualities]],table_DataQualities[],8,FALSE)</f>
        <v>0.105</v>
      </c>
      <c r="M34" s="10">
        <f ca="1">VLOOKUP(dict_DQ_Meth_max[[#This Row],[ID_DataQualities]],table_DataQualities[],9,FALSE)</f>
        <v>4955.3999999999996</v>
      </c>
    </row>
    <row r="35" spans="1:13" x14ac:dyDescent="0.45">
      <c r="A35" s="10">
        <v>9</v>
      </c>
      <c r="B35" s="10">
        <v>1</v>
      </c>
      <c r="C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5" s="10"/>
      <c r="E35" s="10"/>
      <c r="F35" s="12">
        <f ca="1">(RANDBETWEEN(0,50)/100)*(dict_DQ_Meth_max[[#This Row],[Vergleich_ub]]-dict_DQ_Meth_max[[#This Row],[Vergleich_lb]])+dict_DQ_Meth_max[[#This Row],[Vergleich_lb]]</f>
        <v>0.77592000000000005</v>
      </c>
      <c r="G35" s="12">
        <f ca="1">(RANDBETWEEN(50,100)/100)*(dict_DQ_Meth_max[[#This Row],[Vergleich_ub]]-dict_DQ_Meth_max[[#This Row],[Vergleich_lb]])+dict_DQ_Meth_max[[#This Row],[Vergleich_lb]]</f>
        <v>1.2520800000000001</v>
      </c>
      <c r="H35" s="11" t="str">
        <f ca="1">VLOOKUP(VLOOKUP(dict_DQ_Meth_max[[#This Row],[ID_DataQualities]],table_DataQualities[],3),table_Units[],2)</f>
        <v>+/- W</v>
      </c>
      <c r="I35" s="10"/>
      <c r="J35" s="10"/>
      <c r="K35" s="10"/>
      <c r="L35" s="10">
        <f ca="1">VLOOKUP(dict_DQ_Meth_max[[#This Row],[ID_DataQualities]],table_DataQualities[],8,FALSE)</f>
        <v>5.3999999999999999E-2</v>
      </c>
      <c r="M35" s="10">
        <f ca="1">VLOOKUP(dict_DQ_Meth_max[[#This Row],[ID_DataQualities]],table_DataQualities[],9,FALSE)</f>
        <v>1.59</v>
      </c>
    </row>
    <row r="36" spans="1:13" x14ac:dyDescent="0.45">
      <c r="A36" s="10">
        <v>9</v>
      </c>
      <c r="B36" s="10">
        <v>77</v>
      </c>
      <c r="C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6" s="10"/>
      <c r="E36" s="10"/>
      <c r="F36" s="12">
        <f ca="1">(RANDBETWEEN(0,50)/100)*(dict_DQ_Meth_max[[#This Row],[Vergleich_ub]]-dict_DQ_Meth_max[[#This Row],[Vergleich_lb]])+dict_DQ_Meth_max[[#This Row],[Vergleich_lb]]</f>
        <v>0.49944</v>
      </c>
      <c r="G36" s="12">
        <f ca="1">(RANDBETWEEN(50,100)/100)*(dict_DQ_Meth_max[[#This Row],[Vergleich_ub]]-dict_DQ_Meth_max[[#This Row],[Vergleich_lb]])+dict_DQ_Meth_max[[#This Row],[Vergleich_lb]]</f>
        <v>1.3442400000000001</v>
      </c>
      <c r="H36" s="11" t="str">
        <f ca="1">VLOOKUP(VLOOKUP(dict_DQ_Meth_max[[#This Row],[ID_DataQualities]],table_DataQualities[],3),table_Units[],2)</f>
        <v>+/- W</v>
      </c>
      <c r="I36" s="10"/>
      <c r="J36" s="10"/>
      <c r="K36" s="10"/>
      <c r="L36" s="10">
        <f ca="1">VLOOKUP(dict_DQ_Meth_max[[#This Row],[ID_DataQualities]],table_DataQualities[],8,FALSE)</f>
        <v>5.3999999999999999E-2</v>
      </c>
      <c r="M36" s="10">
        <f ca="1">VLOOKUP(dict_DQ_Meth_max[[#This Row],[ID_DataQualities]],table_DataQualities[],9,FALSE)</f>
        <v>1.59</v>
      </c>
    </row>
    <row r="37" spans="1:13" x14ac:dyDescent="0.45">
      <c r="A37" s="10">
        <v>9</v>
      </c>
      <c r="B37" s="10">
        <v>677</v>
      </c>
      <c r="C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7" s="10"/>
      <c r="E37" s="10"/>
      <c r="F37" s="12">
        <f ca="1">(RANDBETWEEN(0,50)/100)*(dict_DQ_Meth_max[[#This Row],[Vergleich_ub]]-dict_DQ_Meth_max[[#This Row],[Vergleich_lb]])+dict_DQ_Meth_max[[#This Row],[Vergleich_lb]]</f>
        <v>0.54552</v>
      </c>
      <c r="G37" s="12">
        <f ca="1">(RANDBETWEEN(50,100)/100)*(dict_DQ_Meth_max[[#This Row],[Vergleich_ub]]-dict_DQ_Meth_max[[#This Row],[Vergleich_lb]])+dict_DQ_Meth_max[[#This Row],[Vergleich_lb]]</f>
        <v>1.4978400000000001</v>
      </c>
      <c r="H37" s="11" t="str">
        <f ca="1">VLOOKUP(VLOOKUP(dict_DQ_Meth_max[[#This Row],[ID_DataQualities]],table_DataQualities[],3),table_Units[],2)</f>
        <v>+/- W</v>
      </c>
      <c r="I37" s="10"/>
      <c r="J37" s="10"/>
      <c r="K37" s="10"/>
      <c r="L37" s="10">
        <f ca="1">VLOOKUP(dict_DQ_Meth_max[[#This Row],[ID_DataQualities]],table_DataQualities[],8,FALSE)</f>
        <v>5.3999999999999999E-2</v>
      </c>
      <c r="M37" s="10">
        <f ca="1">VLOOKUP(dict_DQ_Meth_max[[#This Row],[ID_DataQualities]],table_DataQualities[],9,FALSE)</f>
        <v>1.59</v>
      </c>
    </row>
    <row r="38" spans="1:13" x14ac:dyDescent="0.45">
      <c r="A38" s="10">
        <v>10</v>
      </c>
      <c r="B38" s="10">
        <v>639</v>
      </c>
      <c r="C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8" s="10"/>
      <c r="E38" s="10"/>
      <c r="F38" s="12">
        <f ca="1">(RANDBETWEEN(0,50)/100)*(dict_DQ_Meth_max[[#This Row],[Vergleich_ub]]-dict_DQ_Meth_max[[#This Row],[Vergleich_lb]])+dict_DQ_Meth_max[[#This Row],[Vergleich_lb]]</f>
        <v>645.89552000000003</v>
      </c>
      <c r="G38" s="12">
        <f ca="1">(RANDBETWEEN(50,100)/100)*(dict_DQ_Meth_max[[#This Row],[Vergleich_ub]]-dict_DQ_Meth_max[[#This Row],[Vergleich_lb]])+dict_DQ_Meth_max[[#This Row],[Vergleich_lb]]</f>
        <v>3227.7656000000002</v>
      </c>
      <c r="H38" s="11" t="str">
        <f ca="1">VLOOKUP(VLOOKUP(dict_DQ_Meth_max[[#This Row],[ID_DataQualities]],table_DataQualities[],3),table_Units[],2)</f>
        <v>Hz</v>
      </c>
      <c r="I38" s="10"/>
      <c r="J38" s="10"/>
      <c r="K38" s="10"/>
      <c r="L38" s="10">
        <f ca="1">VLOOKUP(dict_DQ_Meth_max[[#This Row],[ID_DataQualities]],table_DataQualities[],8,FALSE)</f>
        <v>0.42799999999999999</v>
      </c>
      <c r="M38" s="10">
        <f ca="1">VLOOKUP(dict_DQ_Meth_max[[#This Row],[ID_DataQualities]],table_DataQualities[],9,FALSE)</f>
        <v>4034.6</v>
      </c>
    </row>
    <row r="39" spans="1:13" x14ac:dyDescent="0.45">
      <c r="A39" s="10">
        <v>10</v>
      </c>
      <c r="B39" s="10">
        <v>169</v>
      </c>
      <c r="C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39" s="10"/>
      <c r="E39" s="10"/>
      <c r="F39" s="12">
        <f ca="1">(RANDBETWEEN(0,50)/100)*(dict_DQ_Meth_max[[#This Row],[Vergleich_ub]]-dict_DQ_Meth_max[[#This Row],[Vergleich_lb]])+dict_DQ_Meth_max[[#This Row],[Vergleich_lb]]</f>
        <v>40.76972</v>
      </c>
      <c r="G39" s="12">
        <f ca="1">(RANDBETWEEN(50,100)/100)*(dict_DQ_Meth_max[[#This Row],[Vergleich_ub]]-dict_DQ_Meth_max[[#This Row],[Vergleich_lb]])+dict_DQ_Meth_max[[#This Row],[Vergleich_lb]]</f>
        <v>3953.9165599999997</v>
      </c>
      <c r="H39" s="11" t="str">
        <f ca="1">VLOOKUP(VLOOKUP(dict_DQ_Meth_max[[#This Row],[ID_DataQualities]],table_DataQualities[],3),table_Units[],2)</f>
        <v>Hz</v>
      </c>
      <c r="I39" s="10"/>
      <c r="J39" s="10"/>
      <c r="K39" s="10"/>
      <c r="L39" s="10">
        <f ca="1">VLOOKUP(dict_DQ_Meth_max[[#This Row],[ID_DataQualities]],table_DataQualities[],8,FALSE)</f>
        <v>0.42799999999999999</v>
      </c>
      <c r="M39" s="10">
        <f ca="1">VLOOKUP(dict_DQ_Meth_max[[#This Row],[ID_DataQualities]],table_DataQualities[],9,FALSE)</f>
        <v>4034.6</v>
      </c>
    </row>
    <row r="40" spans="1:13" x14ac:dyDescent="0.45">
      <c r="A40" s="10">
        <v>10</v>
      </c>
      <c r="B40" s="10">
        <v>185</v>
      </c>
      <c r="C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0" s="10"/>
      <c r="E40" s="10"/>
      <c r="F40" s="12">
        <f ca="1">(RANDBETWEEN(0,50)/100)*(dict_DQ_Meth_max[[#This Row],[Vergleich_ub]]-dict_DQ_Meth_max[[#This Row],[Vergleich_lb]])+dict_DQ_Meth_max[[#This Row],[Vergleich_lb]]</f>
        <v>1533.4133600000002</v>
      </c>
      <c r="G40" s="12">
        <f ca="1">(RANDBETWEEN(50,100)/100)*(dict_DQ_Meth_max[[#This Row],[Vergleich_ub]]-dict_DQ_Meth_max[[#This Row],[Vergleich_lb]])+dict_DQ_Meth_max[[#This Row],[Vergleich_lb]]</f>
        <v>2945.37356</v>
      </c>
      <c r="H40" s="11" t="str">
        <f ca="1">VLOOKUP(VLOOKUP(dict_DQ_Meth_max[[#This Row],[ID_DataQualities]],table_DataQualities[],3),table_Units[],2)</f>
        <v>Hz</v>
      </c>
      <c r="I40" s="10"/>
      <c r="J40" s="10"/>
      <c r="K40" s="10"/>
      <c r="L40" s="10">
        <f ca="1">VLOOKUP(dict_DQ_Meth_max[[#This Row],[ID_DataQualities]],table_DataQualities[],8,FALSE)</f>
        <v>0.42799999999999999</v>
      </c>
      <c r="M40" s="10">
        <f ca="1">VLOOKUP(dict_DQ_Meth_max[[#This Row],[ID_DataQualities]],table_DataQualities[],9,FALSE)</f>
        <v>4034.6</v>
      </c>
    </row>
    <row r="41" spans="1:13" x14ac:dyDescent="0.45">
      <c r="A41" s="10">
        <v>10</v>
      </c>
      <c r="B41" s="10">
        <v>24</v>
      </c>
      <c r="C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1" s="10"/>
      <c r="E41" s="10"/>
      <c r="F41" s="12">
        <f ca="1">(RANDBETWEEN(0,50)/100)*(dict_DQ_Meth_max[[#This Row],[Vergleich_ub]]-dict_DQ_Meth_max[[#This Row],[Vergleich_lb]])+dict_DQ_Meth_max[[#This Row],[Vergleich_lb]]</f>
        <v>887.94583999999998</v>
      </c>
      <c r="G41" s="12">
        <f ca="1">(RANDBETWEEN(50,100)/100)*(dict_DQ_Meth_max[[#This Row],[Vergleich_ub]]-dict_DQ_Meth_max[[#This Row],[Vergleich_lb]])+dict_DQ_Meth_max[[#This Row],[Vergleich_lb]]</f>
        <v>2380.5894799999996</v>
      </c>
      <c r="H41" s="11" t="str">
        <f ca="1">VLOOKUP(VLOOKUP(dict_DQ_Meth_max[[#This Row],[ID_DataQualities]],table_DataQualities[],3),table_Units[],2)</f>
        <v>Hz</v>
      </c>
      <c r="I41" s="10"/>
      <c r="J41" s="10"/>
      <c r="K41" s="10"/>
      <c r="L41" s="10">
        <f ca="1">VLOOKUP(dict_DQ_Meth_max[[#This Row],[ID_DataQualities]],table_DataQualities[],8,FALSE)</f>
        <v>0.42799999999999999</v>
      </c>
      <c r="M41" s="10">
        <f ca="1">VLOOKUP(dict_DQ_Meth_max[[#This Row],[ID_DataQualities]],table_DataQualities[],9,FALSE)</f>
        <v>4034.6</v>
      </c>
    </row>
    <row r="42" spans="1:13" x14ac:dyDescent="0.45">
      <c r="A42" s="10">
        <v>11</v>
      </c>
      <c r="B42" s="10">
        <v>169</v>
      </c>
      <c r="C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2" s="10"/>
      <c r="E42" s="10"/>
      <c r="F42" s="12">
        <f ca="1">(RANDBETWEEN(0,50)/100)*(dict_DQ_Meth_max[[#This Row],[Vergleich_ub]]-dict_DQ_Meth_max[[#This Row],[Vergleich_lb]])+dict_DQ_Meth_max[[#This Row],[Vergleich_lb]]</f>
        <v>47.7</v>
      </c>
      <c r="G42" s="12">
        <f ca="1">(RANDBETWEEN(50,100)/100)*(dict_DQ_Meth_max[[#This Row],[Vergleich_ub]]-dict_DQ_Meth_max[[#This Row],[Vergleich_lb]])+dict_DQ_Meth_max[[#This Row],[Vergleich_lb]]</f>
        <v>3643.6</v>
      </c>
      <c r="H42" s="11" t="str">
        <f ca="1">VLOOKUP(VLOOKUP(dict_DQ_Meth_max[[#This Row],[ID_DataQualities]],table_DataQualities[],3),table_Units[],2)</f>
        <v>bit</v>
      </c>
      <c r="I42" s="10"/>
      <c r="J42" s="10"/>
      <c r="K42" s="10"/>
      <c r="L42" s="10">
        <f ca="1">VLOOKUP(dict_DQ_Meth_max[[#This Row],[ID_DataQualities]],table_DataQualities[],8,FALSE)</f>
        <v>1</v>
      </c>
      <c r="M42" s="10">
        <f ca="1">VLOOKUP(dict_DQ_Meth_max[[#This Row],[ID_DataQualities]],table_DataQualities[],9,FALSE)</f>
        <v>4671</v>
      </c>
    </row>
    <row r="43" spans="1:13" x14ac:dyDescent="0.45">
      <c r="A43" s="10">
        <v>11</v>
      </c>
      <c r="B43" s="10">
        <v>185</v>
      </c>
      <c r="C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3" s="10"/>
      <c r="E43" s="10"/>
      <c r="F43" s="12">
        <f ca="1">(RANDBETWEEN(0,50)/100)*(dict_DQ_Meth_max[[#This Row],[Vergleich_ub]]-dict_DQ_Meth_max[[#This Row],[Vergleich_lb]])+dict_DQ_Meth_max[[#This Row],[Vergleich_lb]]</f>
        <v>1355.3</v>
      </c>
      <c r="G43" s="12">
        <f ca="1">(RANDBETWEEN(50,100)/100)*(dict_DQ_Meth_max[[#This Row],[Vergleich_ub]]-dict_DQ_Meth_max[[#This Row],[Vergleich_lb]])+dict_DQ_Meth_max[[#This Row],[Vergleich_lb]]</f>
        <v>4110.6000000000004</v>
      </c>
      <c r="H43" s="11" t="str">
        <f ca="1">VLOOKUP(VLOOKUP(dict_DQ_Meth_max[[#This Row],[ID_DataQualities]],table_DataQualities[],3),table_Units[],2)</f>
        <v>bit</v>
      </c>
      <c r="I43" s="10"/>
      <c r="J43" s="10"/>
      <c r="K43" s="10"/>
      <c r="L43" s="10">
        <f ca="1">VLOOKUP(dict_DQ_Meth_max[[#This Row],[ID_DataQualities]],table_DataQualities[],8,FALSE)</f>
        <v>1</v>
      </c>
      <c r="M43" s="10">
        <f ca="1">VLOOKUP(dict_DQ_Meth_max[[#This Row],[ID_DataQualities]],table_DataQualities[],9,FALSE)</f>
        <v>4671</v>
      </c>
    </row>
    <row r="44" spans="1:13" x14ac:dyDescent="0.45">
      <c r="A44" s="10">
        <v>11</v>
      </c>
      <c r="B44" s="10">
        <v>639</v>
      </c>
      <c r="C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4" s="10"/>
      <c r="E44" s="10"/>
      <c r="F44" s="12">
        <f ca="1">(RANDBETWEEN(0,50)/100)*(dict_DQ_Meth_max[[#This Row],[Vergleich_ub]]-dict_DQ_Meth_max[[#This Row],[Vergleich_lb]])+dict_DQ_Meth_max[[#This Row],[Vergleich_lb]]</f>
        <v>374.6</v>
      </c>
      <c r="G44" s="12">
        <f ca="1">(RANDBETWEEN(50,100)/100)*(dict_DQ_Meth_max[[#This Row],[Vergleich_ub]]-dict_DQ_Meth_max[[#This Row],[Vergleich_lb]])+dict_DQ_Meth_max[[#This Row],[Vergleich_lb]]</f>
        <v>4110.6000000000004</v>
      </c>
      <c r="H44" s="11" t="str">
        <f ca="1">VLOOKUP(VLOOKUP(dict_DQ_Meth_max[[#This Row],[ID_DataQualities]],table_DataQualities[],3),table_Units[],2)</f>
        <v>bit</v>
      </c>
      <c r="I44" s="10"/>
      <c r="J44" s="10"/>
      <c r="K44" s="10"/>
      <c r="L44" s="10">
        <f ca="1">VLOOKUP(dict_DQ_Meth_max[[#This Row],[ID_DataQualities]],table_DataQualities[],8,FALSE)</f>
        <v>1</v>
      </c>
      <c r="M44" s="10">
        <f ca="1">VLOOKUP(dict_DQ_Meth_max[[#This Row],[ID_DataQualities]],table_DataQualities[],9,FALSE)</f>
        <v>4671</v>
      </c>
    </row>
    <row r="45" spans="1:13" x14ac:dyDescent="0.45">
      <c r="A45" s="10">
        <v>11</v>
      </c>
      <c r="B45" s="10">
        <v>24</v>
      </c>
      <c r="C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5" s="10"/>
      <c r="E45" s="10"/>
      <c r="F45" s="12">
        <f ca="1">(RANDBETWEEN(0,50)/100)*(dict_DQ_Meth_max[[#This Row],[Vergleich_ub]]-dict_DQ_Meth_max[[#This Row],[Vergleich_lb]])+dict_DQ_Meth_max[[#This Row],[Vergleich_lb]]</f>
        <v>654.80000000000007</v>
      </c>
      <c r="G45" s="12">
        <f ca="1">(RANDBETWEEN(50,100)/100)*(dict_DQ_Meth_max[[#This Row],[Vergleich_ub]]-dict_DQ_Meth_max[[#This Row],[Vergleich_lb]])+dict_DQ_Meth_max[[#This Row],[Vergleich_lb]]</f>
        <v>4017.2</v>
      </c>
      <c r="H45" s="11" t="str">
        <f ca="1">VLOOKUP(VLOOKUP(dict_DQ_Meth_max[[#This Row],[ID_DataQualities]],table_DataQualities[],3),table_Units[],2)</f>
        <v>bit</v>
      </c>
      <c r="I45" s="10"/>
      <c r="J45" s="10"/>
      <c r="K45" s="10"/>
      <c r="L45" s="10">
        <f ca="1">VLOOKUP(dict_DQ_Meth_max[[#This Row],[ID_DataQualities]],table_DataQualities[],8,FALSE)</f>
        <v>1</v>
      </c>
      <c r="M45" s="10">
        <f ca="1">VLOOKUP(dict_DQ_Meth_max[[#This Row],[ID_DataQualities]],table_DataQualities[],9,FALSE)</f>
        <v>4671</v>
      </c>
    </row>
    <row r="46" spans="1:13" x14ac:dyDescent="0.45">
      <c r="A46" s="10">
        <v>12</v>
      </c>
      <c r="B46" s="10">
        <v>646</v>
      </c>
      <c r="C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6" s="10"/>
      <c r="E46" s="10"/>
      <c r="F46" s="12">
        <f ca="1">(RANDBETWEEN(0,50)/100)*(dict_DQ_Meth_max[[#This Row],[Vergleich_ub]]-dict_DQ_Meth_max[[#This Row],[Vergleich_lb]])+dict_DQ_Meth_max[[#This Row],[Vergleich_lb]]</f>
        <v>1160.9585999999997</v>
      </c>
      <c r="G46" s="12">
        <f ca="1">(RANDBETWEEN(50,100)/100)*(dict_DQ_Meth_max[[#This Row],[Vergleich_ub]]-dict_DQ_Meth_max[[#This Row],[Vergleich_lb]])+dict_DQ_Meth_max[[#This Row],[Vergleich_lb]]</f>
        <v>4720.5692399999998</v>
      </c>
      <c r="H46" s="11" t="str">
        <f ca="1">VLOOKUP(VLOOKUP(dict_DQ_Meth_max[[#This Row],[ID_DataQualities]],table_DataQualities[],3),table_Units[],2)</f>
        <v>Hz</v>
      </c>
      <c r="I46" s="10"/>
      <c r="J46" s="10"/>
      <c r="K46" s="10"/>
      <c r="L46" s="10">
        <f ca="1">VLOOKUP(dict_DQ_Meth_max[[#This Row],[ID_DataQualities]],table_DataQualities[],8,FALSE)</f>
        <v>0.216</v>
      </c>
      <c r="M46" s="10">
        <f ca="1">VLOOKUP(dict_DQ_Meth_max[[#This Row],[ID_DataQualities]],table_DataQualities[],9,FALSE)</f>
        <v>7738.5</v>
      </c>
    </row>
    <row r="47" spans="1:13" x14ac:dyDescent="0.45">
      <c r="A47" s="10">
        <v>12</v>
      </c>
      <c r="B47" s="10">
        <v>334</v>
      </c>
      <c r="C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7" s="10"/>
      <c r="E47" s="10"/>
      <c r="F47" s="12">
        <f ca="1">(RANDBETWEEN(0,50)/100)*(dict_DQ_Meth_max[[#This Row],[Vergleich_ub]]-dict_DQ_Meth_max[[#This Row],[Vergleich_lb]])+dict_DQ_Meth_max[[#This Row],[Vergleich_lb]]</f>
        <v>2321.7011999999995</v>
      </c>
      <c r="G47" s="12">
        <f ca="1">(RANDBETWEEN(50,100)/100)*(dict_DQ_Meth_max[[#This Row],[Vergleich_ub]]-dict_DQ_Meth_max[[#This Row],[Vergleich_lb]])+dict_DQ_Meth_max[[#This Row],[Vergleich_lb]]</f>
        <v>5339.6319599999997</v>
      </c>
      <c r="H47" s="11" t="str">
        <f ca="1">VLOOKUP(VLOOKUP(dict_DQ_Meth_max[[#This Row],[ID_DataQualities]],table_DataQualities[],3),table_Units[],2)</f>
        <v>Hz</v>
      </c>
      <c r="I47" s="10"/>
      <c r="J47" s="10"/>
      <c r="K47" s="10"/>
      <c r="L47" s="10">
        <f ca="1">VLOOKUP(dict_DQ_Meth_max[[#This Row],[ID_DataQualities]],table_DataQualities[],8,FALSE)</f>
        <v>0.216</v>
      </c>
      <c r="M47" s="10">
        <f ca="1">VLOOKUP(dict_DQ_Meth_max[[#This Row],[ID_DataQualities]],table_DataQualities[],9,FALSE)</f>
        <v>7738.5</v>
      </c>
    </row>
    <row r="48" spans="1:13" x14ac:dyDescent="0.45">
      <c r="A48" s="10">
        <v>12</v>
      </c>
      <c r="B48" s="10">
        <v>272</v>
      </c>
      <c r="C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8" s="10"/>
      <c r="E48" s="10"/>
      <c r="F48" s="12">
        <f ca="1">(RANDBETWEEN(0,50)/100)*(dict_DQ_Meth_max[[#This Row],[Vergleich_ub]]-dict_DQ_Meth_max[[#This Row],[Vergleich_lb]])+dict_DQ_Meth_max[[#This Row],[Vergleich_lb]]</f>
        <v>3482.4438</v>
      </c>
      <c r="G48" s="12">
        <f ca="1">(RANDBETWEEN(50,100)/100)*(dict_DQ_Meth_max[[#This Row],[Vergleich_ub]]-dict_DQ_Meth_max[[#This Row],[Vergleich_lb]])+dict_DQ_Meth_max[[#This Row],[Vergleich_lb]]</f>
        <v>6345.6088799999998</v>
      </c>
      <c r="H48" s="11" t="str">
        <f ca="1">VLOOKUP(VLOOKUP(dict_DQ_Meth_max[[#This Row],[ID_DataQualities]],table_DataQualities[],3),table_Units[],2)</f>
        <v>Hz</v>
      </c>
      <c r="I48" s="10"/>
      <c r="J48" s="10"/>
      <c r="K48" s="10"/>
      <c r="L48" s="10">
        <f ca="1">VLOOKUP(dict_DQ_Meth_max[[#This Row],[ID_DataQualities]],table_DataQualities[],8,FALSE)</f>
        <v>0.216</v>
      </c>
      <c r="M48" s="10">
        <f ca="1">VLOOKUP(dict_DQ_Meth_max[[#This Row],[ID_DataQualities]],table_DataQualities[],9,FALSE)</f>
        <v>7738.5</v>
      </c>
    </row>
    <row r="49" spans="1:13" x14ac:dyDescent="0.45">
      <c r="A49" s="10">
        <v>12</v>
      </c>
      <c r="B49" s="10">
        <v>80</v>
      </c>
      <c r="C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49" s="10"/>
      <c r="E49" s="10"/>
      <c r="F49" s="12">
        <f ca="1">(RANDBETWEEN(0,50)/100)*(dict_DQ_Meth_max[[#This Row],[Vergleich_ub]]-dict_DQ_Meth_max[[#This Row],[Vergleich_lb]])+dict_DQ_Meth_max[[#This Row],[Vergleich_lb]]</f>
        <v>2476.4668799999999</v>
      </c>
      <c r="G49" s="12">
        <f ca="1">(RANDBETWEEN(50,100)/100)*(dict_DQ_Meth_max[[#This Row],[Vergleich_ub]]-dict_DQ_Meth_max[[#This Row],[Vergleich_lb]])+dict_DQ_Meth_max[[#This Row],[Vergleich_lb]]</f>
        <v>5571.7804799999994</v>
      </c>
      <c r="H49" s="11" t="str">
        <f ca="1">VLOOKUP(VLOOKUP(dict_DQ_Meth_max[[#This Row],[ID_DataQualities]],table_DataQualities[],3),table_Units[],2)</f>
        <v>Hz</v>
      </c>
      <c r="I49" s="10"/>
      <c r="J49" s="10"/>
      <c r="K49" s="10"/>
      <c r="L49" s="10">
        <f ca="1">VLOOKUP(dict_DQ_Meth_max[[#This Row],[ID_DataQualities]],table_DataQualities[],8,FALSE)</f>
        <v>0.216</v>
      </c>
      <c r="M49" s="10">
        <f ca="1">VLOOKUP(dict_DQ_Meth_max[[#This Row],[ID_DataQualities]],table_DataQualities[],9,FALSE)</f>
        <v>7738.5</v>
      </c>
    </row>
    <row r="50" spans="1:13" x14ac:dyDescent="0.45">
      <c r="A50" s="10">
        <v>13</v>
      </c>
      <c r="B50" s="10">
        <v>646</v>
      </c>
      <c r="C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0" s="10"/>
      <c r="E50" s="10"/>
      <c r="F50" s="12">
        <f ca="1">(RANDBETWEEN(0,50)/100)*(dict_DQ_Meth_max[[#This Row],[Vergleich_ub]]-dict_DQ_Meth_max[[#This Row],[Vergleich_lb]])+dict_DQ_Meth_max[[#This Row],[Vergleich_lb]]</f>
        <v>1.5548199999999999</v>
      </c>
      <c r="G50" s="12">
        <f ca="1">(RANDBETWEEN(50,100)/100)*(dict_DQ_Meth_max[[#This Row],[Vergleich_ub]]-dict_DQ_Meth_max[[#This Row],[Vergleich_lb]])+dict_DQ_Meth_max[[#This Row],[Vergleich_lb]]</f>
        <v>5.32456</v>
      </c>
      <c r="H50" s="11" t="str">
        <f ca="1">VLOOKUP(VLOOKUP(dict_DQ_Meth_max[[#This Row],[ID_DataQualities]],table_DataQualities[],3),table_Units[],2)</f>
        <v>+/- mm</v>
      </c>
      <c r="I50" s="10"/>
      <c r="J50" s="10"/>
      <c r="K50" s="10"/>
      <c r="L50" s="10">
        <f ca="1">VLOOKUP(dict_DQ_Meth_max[[#This Row],[ID_DataQualities]],table_DataQualities[],8,FALSE)</f>
        <v>1.9E-2</v>
      </c>
      <c r="M50" s="10">
        <f ca="1">VLOOKUP(dict_DQ_Meth_max[[#This Row],[ID_DataQualities]],table_DataQualities[],9,FALSE)</f>
        <v>7</v>
      </c>
    </row>
    <row r="51" spans="1:13" x14ac:dyDescent="0.45">
      <c r="A51" s="10">
        <v>13</v>
      </c>
      <c r="B51" s="10">
        <v>80</v>
      </c>
      <c r="C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1" s="10"/>
      <c r="E51" s="10"/>
      <c r="F51" s="12">
        <f ca="1">(RANDBETWEEN(0,50)/100)*(dict_DQ_Meth_max[[#This Row],[Vergleich_ub]]-dict_DQ_Meth_max[[#This Row],[Vergleich_lb]])+dict_DQ_Meth_max[[#This Row],[Vergleich_lb]]</f>
        <v>0.22842999999999997</v>
      </c>
      <c r="G51" s="12">
        <f ca="1">(RANDBETWEEN(50,100)/100)*(dict_DQ_Meth_max[[#This Row],[Vergleich_ub]]-dict_DQ_Meth_max[[#This Row],[Vergleich_lb]])+dict_DQ_Meth_max[[#This Row],[Vergleich_lb]]</f>
        <v>4.9755099999999999</v>
      </c>
      <c r="H51" s="11" t="str">
        <f ca="1">VLOOKUP(VLOOKUP(dict_DQ_Meth_max[[#This Row],[ID_DataQualities]],table_DataQualities[],3),table_Units[],2)</f>
        <v>+/- mm</v>
      </c>
      <c r="I51" s="10"/>
      <c r="J51" s="10"/>
      <c r="K51" s="10"/>
      <c r="L51" s="10">
        <f ca="1">VLOOKUP(dict_DQ_Meth_max[[#This Row],[ID_DataQualities]],table_DataQualities[],8,FALSE)</f>
        <v>1.9E-2</v>
      </c>
      <c r="M51" s="10">
        <f ca="1">VLOOKUP(dict_DQ_Meth_max[[#This Row],[ID_DataQualities]],table_DataQualities[],9,FALSE)</f>
        <v>7</v>
      </c>
    </row>
    <row r="52" spans="1:13" x14ac:dyDescent="0.45">
      <c r="A52" s="10">
        <v>13</v>
      </c>
      <c r="B52" s="10">
        <v>272</v>
      </c>
      <c r="C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2" s="10"/>
      <c r="E52" s="10"/>
      <c r="F52" s="12">
        <f ca="1">(RANDBETWEEN(0,50)/100)*(dict_DQ_Meth_max[[#This Row],[Vergleich_ub]]-dict_DQ_Meth_max[[#This Row],[Vergleich_lb]])+dict_DQ_Meth_max[[#This Row],[Vergleich_lb]]</f>
        <v>0.99634000000000011</v>
      </c>
      <c r="G52" s="12">
        <f ca="1">(RANDBETWEEN(50,100)/100)*(dict_DQ_Meth_max[[#This Row],[Vergleich_ub]]-dict_DQ_Meth_max[[#This Row],[Vergleich_lb]])+dict_DQ_Meth_max[[#This Row],[Vergleich_lb]]</f>
        <v>3.8585500000000001</v>
      </c>
      <c r="H52" s="11" t="str">
        <f ca="1">VLOOKUP(VLOOKUP(dict_DQ_Meth_max[[#This Row],[ID_DataQualities]],table_DataQualities[],3),table_Units[],2)</f>
        <v>+/- mm</v>
      </c>
      <c r="I52" s="10"/>
      <c r="J52" s="10"/>
      <c r="K52" s="10"/>
      <c r="L52" s="10">
        <f ca="1">VLOOKUP(dict_DQ_Meth_max[[#This Row],[ID_DataQualities]],table_DataQualities[],8,FALSE)</f>
        <v>1.9E-2</v>
      </c>
      <c r="M52" s="10">
        <f ca="1">VLOOKUP(dict_DQ_Meth_max[[#This Row],[ID_DataQualities]],table_DataQualities[],9,FALSE)</f>
        <v>7</v>
      </c>
    </row>
    <row r="53" spans="1:13" x14ac:dyDescent="0.45">
      <c r="A53" s="10">
        <v>13</v>
      </c>
      <c r="B53" s="10">
        <v>334</v>
      </c>
      <c r="C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3" s="10"/>
      <c r="E53" s="10"/>
      <c r="F53" s="12">
        <f ca="1">(RANDBETWEEN(0,50)/100)*(dict_DQ_Meth_max[[#This Row],[Vergleich_ub]]-dict_DQ_Meth_max[[#This Row],[Vergleich_lb]])+dict_DQ_Meth_max[[#This Row],[Vergleich_lb]]</f>
        <v>1.0661499999999999</v>
      </c>
      <c r="G53" s="12">
        <f ca="1">(RANDBETWEEN(50,100)/100)*(dict_DQ_Meth_max[[#This Row],[Vergleich_ub]]-dict_DQ_Meth_max[[#This Row],[Vergleich_lb]])+dict_DQ_Meth_max[[#This Row],[Vergleich_lb]]</f>
        <v>6.5113300000000001</v>
      </c>
      <c r="H53" s="11" t="str">
        <f ca="1">VLOOKUP(VLOOKUP(dict_DQ_Meth_max[[#This Row],[ID_DataQualities]],table_DataQualities[],3),table_Units[],2)</f>
        <v>+/- mm</v>
      </c>
      <c r="I53" s="10"/>
      <c r="J53" s="10"/>
      <c r="K53" s="10"/>
      <c r="L53" s="10">
        <f ca="1">VLOOKUP(dict_DQ_Meth_max[[#This Row],[ID_DataQualities]],table_DataQualities[],8,FALSE)</f>
        <v>1.9E-2</v>
      </c>
      <c r="M53" s="10">
        <f ca="1">VLOOKUP(dict_DQ_Meth_max[[#This Row],[ID_DataQualities]],table_DataQualities[],9,FALSE)</f>
        <v>7</v>
      </c>
    </row>
    <row r="54" spans="1:13" x14ac:dyDescent="0.45">
      <c r="A54" s="10">
        <v>14</v>
      </c>
      <c r="B54" s="10">
        <v>468</v>
      </c>
      <c r="C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4" s="10"/>
      <c r="E54" s="10"/>
      <c r="F54" s="12">
        <f ca="1">(RANDBETWEEN(0,50)/100)*(dict_DQ_Meth_max[[#This Row],[Vergleich_ub]]-dict_DQ_Meth_max[[#This Row],[Vergleich_lb]])+dict_DQ_Meth_max[[#This Row],[Vergleich_lb]]</f>
        <v>2913.4627099999998</v>
      </c>
      <c r="G54" s="12">
        <f ca="1">(RANDBETWEEN(50,100)/100)*(dict_DQ_Meth_max[[#This Row],[Vergleich_ub]]-dict_DQ_Meth_max[[#This Row],[Vergleich_lb]])+dict_DQ_Meth_max[[#This Row],[Vergleich_lb]]</f>
        <v>4183.4288400000005</v>
      </c>
      <c r="H54" s="11" t="str">
        <f ca="1">VLOOKUP(VLOOKUP(dict_DQ_Meth_max[[#This Row],[ID_DataQualities]],table_DataQualities[],3),table_Units[],2)</f>
        <v>Hz</v>
      </c>
      <c r="I54" s="10"/>
      <c r="J54" s="10"/>
      <c r="K54" s="10"/>
      <c r="L54" s="10">
        <f ca="1">VLOOKUP(dict_DQ_Meth_max[[#This Row],[ID_DataQualities]],table_DataQualities[],8,FALSE)</f>
        <v>1.0999999999999999E-2</v>
      </c>
      <c r="M54" s="10">
        <f ca="1">VLOOKUP(dict_DQ_Meth_max[[#This Row],[ID_DataQualities]],table_DataQualities[],9,FALSE)</f>
        <v>7470.4</v>
      </c>
    </row>
    <row r="55" spans="1:13" x14ac:dyDescent="0.45">
      <c r="A55" s="10">
        <v>14</v>
      </c>
      <c r="B55" s="10">
        <v>566</v>
      </c>
      <c r="C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5" s="10"/>
      <c r="E55" s="10"/>
      <c r="F55" s="12">
        <f ca="1">(RANDBETWEEN(0,50)/100)*(dict_DQ_Meth_max[[#This Row],[Vergleich_ub]]-dict_DQ_Meth_max[[#This Row],[Vergleich_lb]])+dict_DQ_Meth_max[[#This Row],[Vergleich_lb]]</f>
        <v>1120.5693499999998</v>
      </c>
      <c r="G55" s="12">
        <f ca="1">(RANDBETWEEN(50,100)/100)*(dict_DQ_Meth_max[[#This Row],[Vergleich_ub]]-dict_DQ_Meth_max[[#This Row],[Vergleich_lb]])+dict_DQ_Meth_max[[#This Row],[Vergleich_lb]]</f>
        <v>4556.9482900000003</v>
      </c>
      <c r="H55" s="11" t="str">
        <f ca="1">VLOOKUP(VLOOKUP(dict_DQ_Meth_max[[#This Row],[ID_DataQualities]],table_DataQualities[],3),table_Units[],2)</f>
        <v>Hz</v>
      </c>
      <c r="I55" s="10"/>
      <c r="J55" s="10"/>
      <c r="K55" s="10"/>
      <c r="L55" s="10">
        <f ca="1">VLOOKUP(dict_DQ_Meth_max[[#This Row],[ID_DataQualities]],table_DataQualities[],8,FALSE)</f>
        <v>1.0999999999999999E-2</v>
      </c>
      <c r="M55" s="10">
        <f ca="1">VLOOKUP(dict_DQ_Meth_max[[#This Row],[ID_DataQualities]],table_DataQualities[],9,FALSE)</f>
        <v>7470.4</v>
      </c>
    </row>
    <row r="56" spans="1:13" x14ac:dyDescent="0.45">
      <c r="A56" s="10">
        <v>15</v>
      </c>
      <c r="B56" s="10">
        <v>468</v>
      </c>
      <c r="C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6" s="10"/>
      <c r="E56" s="10"/>
      <c r="F56" s="12">
        <f ca="1">(RANDBETWEEN(0,50)/100)*(dict_DQ_Meth_max[[#This Row],[Vergleich_ub]]-dict_DQ_Meth_max[[#This Row],[Vergleich_lb]])+dict_DQ_Meth_max[[#This Row],[Vergleich_lb]]</f>
        <v>3.7209999999999996</v>
      </c>
      <c r="G56" s="12">
        <f ca="1">(RANDBETWEEN(50,100)/100)*(dict_DQ_Meth_max[[#This Row],[Vergleich_ub]]-dict_DQ_Meth_max[[#This Row],[Vergleich_lb]])+dict_DQ_Meth_max[[#This Row],[Vergleich_lb]]</f>
        <v>9.1810000000000009</v>
      </c>
      <c r="H56" s="11" t="str">
        <f ca="1">VLOOKUP(VLOOKUP(dict_DQ_Meth_max[[#This Row],[ID_DataQualities]],table_DataQualities[],3),table_Units[],2)</f>
        <v>+/- °C</v>
      </c>
      <c r="I56" s="10"/>
      <c r="J56" s="10"/>
      <c r="K56" s="10"/>
      <c r="L56" s="10">
        <f ca="1">VLOOKUP(dict_DQ_Meth_max[[#This Row],[ID_DataQualities]],table_DataQualities[],8,FALSE)</f>
        <v>0.9</v>
      </c>
      <c r="M56" s="10">
        <f ca="1">VLOOKUP(dict_DQ_Meth_max[[#This Row],[ID_DataQualities]],table_DataQualities[],9,FALSE)</f>
        <v>10</v>
      </c>
    </row>
    <row r="57" spans="1:13" x14ac:dyDescent="0.45">
      <c r="A57" s="10">
        <v>15</v>
      </c>
      <c r="B57" s="10">
        <v>566</v>
      </c>
      <c r="C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1</v>
      </c>
      <c r="D57" s="10"/>
      <c r="E57" s="10"/>
      <c r="F57" s="12">
        <f ca="1">(RANDBETWEEN(0,50)/100)*(dict_DQ_Meth_max[[#This Row],[Vergleich_ub]]-dict_DQ_Meth_max[[#This Row],[Vergleich_lb]])+dict_DQ_Meth_max[[#This Row],[Vergleich_lb]]</f>
        <v>1.264</v>
      </c>
      <c r="G57" s="12">
        <f ca="1">(RANDBETWEEN(50,100)/100)*(dict_DQ_Meth_max[[#This Row],[Vergleich_ub]]-dict_DQ_Meth_max[[#This Row],[Vergleich_lb]])+dict_DQ_Meth_max[[#This Row],[Vergleich_lb]]</f>
        <v>8.2710000000000008</v>
      </c>
      <c r="H57" s="11" t="str">
        <f ca="1">VLOOKUP(VLOOKUP(dict_DQ_Meth_max[[#This Row],[ID_DataQualities]],table_DataQualities[],3),table_Units[],2)</f>
        <v>+/- °C</v>
      </c>
      <c r="I57" s="10"/>
      <c r="J57" s="10"/>
      <c r="K57" s="10"/>
      <c r="L57" s="10">
        <f ca="1">VLOOKUP(dict_DQ_Meth_max[[#This Row],[ID_DataQualities]],table_DataQualities[],8,FALSE)</f>
        <v>0.9</v>
      </c>
      <c r="M57" s="10">
        <f ca="1">VLOOKUP(dict_DQ_Meth_max[[#This Row],[ID_DataQualities]],table_DataQualities[],9,FALSE)</f>
        <v>10</v>
      </c>
    </row>
    <row r="58" spans="1:13" x14ac:dyDescent="0.45">
      <c r="A58" s="10">
        <v>16</v>
      </c>
      <c r="B58" s="10">
        <v>498</v>
      </c>
      <c r="C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" s="10"/>
      <c r="E58" s="10"/>
      <c r="F58" s="12">
        <f ca="1">(RANDBETWEEN(0,50)/100)*(dict_DQ_Meth_max[[#This Row],[Vergleich_ub]]-dict_DQ_Meth_max[[#This Row],[Vergleich_lb]])+dict_DQ_Meth_max[[#This Row],[Vergleich_lb]]</f>
        <v>835.69402999999988</v>
      </c>
      <c r="G58" s="12">
        <f ca="1">(RANDBETWEEN(50,100)/100)*(dict_DQ_Meth_max[[#This Row],[Vergleich_ub]]-dict_DQ_Meth_max[[#This Row],[Vergleich_lb]])+dict_DQ_Meth_max[[#This Row],[Vergleich_lb]]</f>
        <v>1825.0665099999999</v>
      </c>
      <c r="H58" s="11" t="str">
        <f ca="1">VLOOKUP(VLOOKUP(dict_DQ_Meth_max[[#This Row],[ID_DataQualities]],table_DataQualities[],3),table_Units[],2)</f>
        <v>Hz</v>
      </c>
      <c r="I58" s="10"/>
      <c r="J58" s="10"/>
      <c r="K58" s="10"/>
      <c r="L58" s="10">
        <f ca="1">VLOOKUP(dict_DQ_Meth_max[[#This Row],[ID_DataQualities]],table_DataQualities[],8,FALSE)</f>
        <v>0.91100000000000003</v>
      </c>
      <c r="M58" s="10">
        <f ca="1">VLOOKUP(dict_DQ_Meth_max[[#This Row],[ID_DataQualities]],table_DataQualities[],9,FALSE)</f>
        <v>3092.7</v>
      </c>
    </row>
    <row r="59" spans="1:13" x14ac:dyDescent="0.45">
      <c r="A59" s="10">
        <v>16</v>
      </c>
      <c r="B59" s="10">
        <v>48</v>
      </c>
      <c r="C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" s="10"/>
      <c r="E59" s="10"/>
      <c r="F59" s="12">
        <f ca="1">(RANDBETWEEN(0,50)/100)*(dict_DQ_Meth_max[[#This Row],[Vergleich_ub]]-dict_DQ_Meth_max[[#This Row],[Vergleich_lb]])+dict_DQ_Meth_max[[#This Row],[Vergleich_lb]]</f>
        <v>124.58256</v>
      </c>
      <c r="G59" s="12">
        <f ca="1">(RANDBETWEEN(50,100)/100)*(dict_DQ_Meth_max[[#This Row],[Vergleich_ub]]-dict_DQ_Meth_max[[#This Row],[Vergleich_lb]])+dict_DQ_Meth_max[[#This Row],[Vergleich_lb]]</f>
        <v>1763.2307299999998</v>
      </c>
      <c r="H59" s="11" t="str">
        <f ca="1">VLOOKUP(VLOOKUP(dict_DQ_Meth_max[[#This Row],[ID_DataQualities]],table_DataQualities[],3),table_Units[],2)</f>
        <v>Hz</v>
      </c>
      <c r="I59" s="10"/>
      <c r="J59" s="10"/>
      <c r="K59" s="10"/>
      <c r="L59" s="10">
        <f ca="1">VLOOKUP(dict_DQ_Meth_max[[#This Row],[ID_DataQualities]],table_DataQualities[],8,FALSE)</f>
        <v>0.91100000000000003</v>
      </c>
      <c r="M59" s="10">
        <f ca="1">VLOOKUP(dict_DQ_Meth_max[[#This Row],[ID_DataQualities]],table_DataQualities[],9,FALSE)</f>
        <v>3092.7</v>
      </c>
    </row>
    <row r="60" spans="1:13" x14ac:dyDescent="0.45">
      <c r="A60" s="10">
        <v>16</v>
      </c>
      <c r="B60" s="10">
        <v>49</v>
      </c>
      <c r="C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" s="10"/>
      <c r="E60" s="10"/>
      <c r="F60" s="12">
        <f ca="1">(RANDBETWEEN(0,50)/100)*(dict_DQ_Meth_max[[#This Row],[Vergleich_ub]]-dict_DQ_Meth_max[[#This Row],[Vergleich_lb]])+dict_DQ_Meth_max[[#This Row],[Vergleich_lb]]</f>
        <v>62.746780000000001</v>
      </c>
      <c r="G60" s="12">
        <f ca="1">(RANDBETWEEN(50,100)/100)*(dict_DQ_Meth_max[[#This Row],[Vergleich_ub]]-dict_DQ_Meth_max[[#This Row],[Vergleich_lb]])+dict_DQ_Meth_max[[#This Row],[Vergleich_lb]]</f>
        <v>2288.8348599999999</v>
      </c>
      <c r="H60" s="11" t="str">
        <f ca="1">VLOOKUP(VLOOKUP(dict_DQ_Meth_max[[#This Row],[ID_DataQualities]],table_DataQualities[],3),table_Units[],2)</f>
        <v>Hz</v>
      </c>
      <c r="I60" s="10"/>
      <c r="J60" s="10"/>
      <c r="K60" s="10"/>
      <c r="L60" s="10">
        <f ca="1">VLOOKUP(dict_DQ_Meth_max[[#This Row],[ID_DataQualities]],table_DataQualities[],8,FALSE)</f>
        <v>0.91100000000000003</v>
      </c>
      <c r="M60" s="10">
        <f ca="1">VLOOKUP(dict_DQ_Meth_max[[#This Row],[ID_DataQualities]],table_DataQualities[],9,FALSE)</f>
        <v>3092.7</v>
      </c>
    </row>
    <row r="61" spans="1:13" x14ac:dyDescent="0.45">
      <c r="A61" s="10">
        <v>16</v>
      </c>
      <c r="B61" s="10">
        <v>253</v>
      </c>
      <c r="C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" s="10"/>
      <c r="E61" s="10"/>
      <c r="F61" s="12">
        <f ca="1">(RANDBETWEEN(0,50)/100)*(dict_DQ_Meth_max[[#This Row],[Vergleich_ub]]-dict_DQ_Meth_max[[#This Row],[Vergleich_lb]])+dict_DQ_Meth_max[[#This Row],[Vergleich_lb]]</f>
        <v>1237.6266000000001</v>
      </c>
      <c r="G61" s="12">
        <f ca="1">(RANDBETWEEN(50,100)/100)*(dict_DQ_Meth_max[[#This Row],[Vergleich_ub]]-dict_DQ_Meth_max[[#This Row],[Vergleich_lb]])+dict_DQ_Meth_max[[#This Row],[Vergleich_lb]]</f>
        <v>1701.3949500000001</v>
      </c>
      <c r="H61" s="11" t="str">
        <f ca="1">VLOOKUP(VLOOKUP(dict_DQ_Meth_max[[#This Row],[ID_DataQualities]],table_DataQualities[],3),table_Units[],2)</f>
        <v>Hz</v>
      </c>
      <c r="I61" s="10"/>
      <c r="J61" s="10"/>
      <c r="K61" s="10"/>
      <c r="L61" s="10">
        <f ca="1">VLOOKUP(dict_DQ_Meth_max[[#This Row],[ID_DataQualities]],table_DataQualities[],8,FALSE)</f>
        <v>0.91100000000000003</v>
      </c>
      <c r="M61" s="10">
        <f ca="1">VLOOKUP(dict_DQ_Meth_max[[#This Row],[ID_DataQualities]],table_DataQualities[],9,FALSE)</f>
        <v>3092.7</v>
      </c>
    </row>
    <row r="62" spans="1:13" x14ac:dyDescent="0.45">
      <c r="A62" s="10">
        <v>16</v>
      </c>
      <c r="B62" s="10">
        <v>635</v>
      </c>
      <c r="C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" s="10"/>
      <c r="E62" s="10"/>
      <c r="F62" s="12">
        <f ca="1">(RANDBETWEEN(0,50)/100)*(dict_DQ_Meth_max[[#This Row],[Vergleich_ub]]-dict_DQ_Meth_max[[#This Row],[Vergleich_lb]])+dict_DQ_Meth_max[[#This Row],[Vergleich_lb]]</f>
        <v>279.17200999999994</v>
      </c>
      <c r="G62" s="12">
        <f ca="1">(RANDBETWEEN(50,100)/100)*(dict_DQ_Meth_max[[#This Row],[Vergleich_ub]]-dict_DQ_Meth_max[[#This Row],[Vergleich_lb]])+dict_DQ_Meth_max[[#This Row],[Vergleich_lb]]</f>
        <v>1639.55917</v>
      </c>
      <c r="H62" s="11" t="str">
        <f ca="1">VLOOKUP(VLOOKUP(dict_DQ_Meth_max[[#This Row],[ID_DataQualities]],table_DataQualities[],3),table_Units[],2)</f>
        <v>Hz</v>
      </c>
      <c r="I62" s="10"/>
      <c r="J62" s="10"/>
      <c r="K62" s="10"/>
      <c r="L62" s="10">
        <f ca="1">VLOOKUP(dict_DQ_Meth_max[[#This Row],[ID_DataQualities]],table_DataQualities[],8,FALSE)</f>
        <v>0.91100000000000003</v>
      </c>
      <c r="M62" s="10">
        <f ca="1">VLOOKUP(dict_DQ_Meth_max[[#This Row],[ID_DataQualities]],table_DataQualities[],9,FALSE)</f>
        <v>3092.7</v>
      </c>
    </row>
    <row r="63" spans="1:13" x14ac:dyDescent="0.45">
      <c r="A63" s="10">
        <v>17</v>
      </c>
      <c r="B63" s="10">
        <v>49</v>
      </c>
      <c r="C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" s="10"/>
      <c r="E63" s="10"/>
      <c r="F63" s="12">
        <f ca="1">(RANDBETWEEN(0,50)/100)*(dict_DQ_Meth_max[[#This Row],[Vergleich_ub]]-dict_DQ_Meth_max[[#This Row],[Vergleich_lb]])+dict_DQ_Meth_max[[#This Row],[Vergleich_lb]]</f>
        <v>0.20771000000000001</v>
      </c>
      <c r="G63" s="12">
        <f ca="1">(RANDBETWEEN(50,100)/100)*(dict_DQ_Meth_max[[#This Row],[Vergleich_ub]]-dict_DQ_Meth_max[[#This Row],[Vergleich_lb]])+dict_DQ_Meth_max[[#This Row],[Vergleich_lb]]</f>
        <v>0.64620999999999995</v>
      </c>
      <c r="H63" s="11" t="str">
        <f ca="1">VLOOKUP(VLOOKUP(dict_DQ_Meth_max[[#This Row],[ID_DataQualities]],table_DataQualities[],3),table_Units[],2)</f>
        <v>+/- cm³/s</v>
      </c>
      <c r="I63" s="10"/>
      <c r="J63" s="10"/>
      <c r="K63" s="10"/>
      <c r="L63" s="10">
        <f ca="1">VLOOKUP(dict_DQ_Meth_max[[#This Row],[ID_DataQualities]],table_DataQualities[],8,FALSE)</f>
        <v>6.0000000000000001E-3</v>
      </c>
      <c r="M63" s="10">
        <f ca="1">VLOOKUP(dict_DQ_Meth_max[[#This Row],[ID_DataQualities]],table_DataQualities[],9,FALSE)</f>
        <v>0.88300000000000001</v>
      </c>
    </row>
    <row r="64" spans="1:13" x14ac:dyDescent="0.45">
      <c r="A64" s="10">
        <v>17</v>
      </c>
      <c r="B64" s="10">
        <v>498</v>
      </c>
      <c r="C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" s="10"/>
      <c r="E64" s="10"/>
      <c r="F64" s="12">
        <f ca="1">(RANDBETWEEN(0,50)/100)*(dict_DQ_Meth_max[[#This Row],[Vergleich_ub]]-dict_DQ_Meth_max[[#This Row],[Vergleich_lb]])+dict_DQ_Meth_max[[#This Row],[Vergleich_lb]]</f>
        <v>0.39188000000000001</v>
      </c>
      <c r="G64" s="12">
        <f ca="1">(RANDBETWEEN(50,100)/100)*(dict_DQ_Meth_max[[#This Row],[Vergleich_ub]]-dict_DQ_Meth_max[[#This Row],[Vergleich_lb]])+dict_DQ_Meth_max[[#This Row],[Vergleich_lb]]</f>
        <v>0.76022000000000001</v>
      </c>
      <c r="H64" s="11" t="str">
        <f ca="1">VLOOKUP(VLOOKUP(dict_DQ_Meth_max[[#This Row],[ID_DataQualities]],table_DataQualities[],3),table_Units[],2)</f>
        <v>+/- cm³/s</v>
      </c>
      <c r="I64" s="10"/>
      <c r="J64" s="10"/>
      <c r="K64" s="10"/>
      <c r="L64" s="10">
        <f ca="1">VLOOKUP(dict_DQ_Meth_max[[#This Row],[ID_DataQualities]],table_DataQualities[],8,FALSE)</f>
        <v>6.0000000000000001E-3</v>
      </c>
      <c r="M64" s="10">
        <f ca="1">VLOOKUP(dict_DQ_Meth_max[[#This Row],[ID_DataQualities]],table_DataQualities[],9,FALSE)</f>
        <v>0.88300000000000001</v>
      </c>
    </row>
    <row r="65" spans="1:13" x14ac:dyDescent="0.45">
      <c r="A65" s="10">
        <v>17</v>
      </c>
      <c r="B65" s="10">
        <v>48</v>
      </c>
      <c r="C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" s="10"/>
      <c r="E65" s="10"/>
      <c r="F65" s="12">
        <f ca="1">(RANDBETWEEN(0,50)/100)*(dict_DQ_Meth_max[[#This Row],[Vergleich_ub]]-dict_DQ_Meth_max[[#This Row],[Vergleich_lb]])+dict_DQ_Meth_max[[#This Row],[Vergleich_lb]]</f>
        <v>0.40942000000000001</v>
      </c>
      <c r="G65" s="12">
        <f ca="1">(RANDBETWEEN(50,100)/100)*(dict_DQ_Meth_max[[#This Row],[Vergleich_ub]]-dict_DQ_Meth_max[[#This Row],[Vergleich_lb]])+dict_DQ_Meth_max[[#This Row],[Vergleich_lb]]</f>
        <v>0.84792000000000001</v>
      </c>
      <c r="H65" s="11" t="str">
        <f ca="1">VLOOKUP(VLOOKUP(dict_DQ_Meth_max[[#This Row],[ID_DataQualities]],table_DataQualities[],3),table_Units[],2)</f>
        <v>+/- cm³/s</v>
      </c>
      <c r="I65" s="10"/>
      <c r="J65" s="10"/>
      <c r="K65" s="10"/>
      <c r="L65" s="10">
        <f ca="1">VLOOKUP(dict_DQ_Meth_max[[#This Row],[ID_DataQualities]],table_DataQualities[],8,FALSE)</f>
        <v>6.0000000000000001E-3</v>
      </c>
      <c r="M65" s="10">
        <f ca="1">VLOOKUP(dict_DQ_Meth_max[[#This Row],[ID_DataQualities]],table_DataQualities[],9,FALSE)</f>
        <v>0.88300000000000001</v>
      </c>
    </row>
    <row r="66" spans="1:13" x14ac:dyDescent="0.45">
      <c r="A66" s="10">
        <v>17</v>
      </c>
      <c r="B66" s="10">
        <v>253</v>
      </c>
      <c r="C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" s="10"/>
      <c r="E66" s="10"/>
      <c r="F66" s="12">
        <f ca="1">(RANDBETWEEN(0,50)/100)*(dict_DQ_Meth_max[[#This Row],[Vergleich_ub]]-dict_DQ_Meth_max[[#This Row],[Vergleich_lb]])+dict_DQ_Meth_max[[#This Row],[Vergleich_lb]]</f>
        <v>0.33049000000000001</v>
      </c>
      <c r="G66" s="12">
        <f ca="1">(RANDBETWEEN(50,100)/100)*(dict_DQ_Meth_max[[#This Row],[Vergleich_ub]]-dict_DQ_Meth_max[[#This Row],[Vergleich_lb]])+dict_DQ_Meth_max[[#This Row],[Vergleich_lb]]</f>
        <v>0.45327000000000001</v>
      </c>
      <c r="H66" s="11" t="str">
        <f ca="1">VLOOKUP(VLOOKUP(dict_DQ_Meth_max[[#This Row],[ID_DataQualities]],table_DataQualities[],3),table_Units[],2)</f>
        <v>+/- cm³/s</v>
      </c>
      <c r="I66" s="10"/>
      <c r="J66" s="10"/>
      <c r="K66" s="10"/>
      <c r="L66" s="10">
        <f ca="1">VLOOKUP(dict_DQ_Meth_max[[#This Row],[ID_DataQualities]],table_DataQualities[],8,FALSE)</f>
        <v>6.0000000000000001E-3</v>
      </c>
      <c r="M66" s="10">
        <f ca="1">VLOOKUP(dict_DQ_Meth_max[[#This Row],[ID_DataQualities]],table_DataQualities[],9,FALSE)</f>
        <v>0.88300000000000001</v>
      </c>
    </row>
    <row r="67" spans="1:13" x14ac:dyDescent="0.45">
      <c r="A67" s="10">
        <v>17</v>
      </c>
      <c r="B67" s="10">
        <v>635</v>
      </c>
      <c r="C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" s="10"/>
      <c r="E67" s="10"/>
      <c r="F67" s="12">
        <f ca="1">(RANDBETWEEN(0,50)/100)*(dict_DQ_Meth_max[[#This Row],[Vergleich_ub]]-dict_DQ_Meth_max[[#This Row],[Vergleich_lb]])+dict_DQ_Meth_max[[#This Row],[Vergleich_lb]]</f>
        <v>0.36557000000000001</v>
      </c>
      <c r="G67" s="12">
        <f ca="1">(RANDBETWEEN(50,100)/100)*(dict_DQ_Meth_max[[#This Row],[Vergleich_ub]]-dict_DQ_Meth_max[[#This Row],[Vergleich_lb]])+dict_DQ_Meth_max[[#This Row],[Vergleich_lb]]</f>
        <v>0.74268000000000001</v>
      </c>
      <c r="H67" s="11" t="str">
        <f ca="1">VLOOKUP(VLOOKUP(dict_DQ_Meth_max[[#This Row],[ID_DataQualities]],table_DataQualities[],3),table_Units[],2)</f>
        <v>+/- cm³/s</v>
      </c>
      <c r="I67" s="10"/>
      <c r="J67" s="10"/>
      <c r="K67" s="10"/>
      <c r="L67" s="10">
        <f ca="1">VLOOKUP(dict_DQ_Meth_max[[#This Row],[ID_DataQualities]],table_DataQualities[],8,FALSE)</f>
        <v>6.0000000000000001E-3</v>
      </c>
      <c r="M67" s="10">
        <f ca="1">VLOOKUP(dict_DQ_Meth_max[[#This Row],[ID_DataQualities]],table_DataQualities[],9,FALSE)</f>
        <v>0.88300000000000001</v>
      </c>
    </row>
    <row r="68" spans="1:13" x14ac:dyDescent="0.45">
      <c r="A68" s="10">
        <v>18</v>
      </c>
      <c r="B68" s="10">
        <v>302</v>
      </c>
      <c r="C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" s="10"/>
      <c r="E68" s="10"/>
      <c r="F68" s="12">
        <f ca="1">(RANDBETWEEN(0,50)/100)*(dict_DQ_Meth_max[[#This Row],[Vergleich_ub]]-dict_DQ_Meth_max[[#This Row],[Vergleich_lb]])+dict_DQ_Meth_max[[#This Row],[Vergleich_lb]]</f>
        <v>520.05597999999998</v>
      </c>
      <c r="G68" s="12">
        <f ca="1">(RANDBETWEEN(50,100)/100)*(dict_DQ_Meth_max[[#This Row],[Vergleich_ub]]-dict_DQ_Meth_max[[#This Row],[Vergleich_lb]])+dict_DQ_Meth_max[[#This Row],[Vergleich_lb]]</f>
        <v>2977.1693399999999</v>
      </c>
      <c r="H68" s="11" t="str">
        <f ca="1">VLOOKUP(VLOOKUP(dict_DQ_Meth_max[[#This Row],[ID_DataQualities]],table_DataQualities[],3),table_Units[],2)</f>
        <v>Hz</v>
      </c>
      <c r="I68" s="10"/>
      <c r="J68" s="10"/>
      <c r="K68" s="10"/>
      <c r="L68" s="10">
        <f ca="1">VLOOKUP(dict_DQ_Meth_max[[#This Row],[ID_DataQualities]],table_DataQualities[],8,FALSE)</f>
        <v>0.28199999999999997</v>
      </c>
      <c r="M68" s="10">
        <f ca="1">VLOOKUP(dict_DQ_Meth_max[[#This Row],[ID_DataQualities]],table_DataQualities[],9,FALSE)</f>
        <v>4725.5</v>
      </c>
    </row>
    <row r="69" spans="1:13" x14ac:dyDescent="0.45">
      <c r="A69" s="10">
        <v>18</v>
      </c>
      <c r="B69" s="10">
        <v>394</v>
      </c>
      <c r="C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" s="10"/>
      <c r="E69" s="10"/>
      <c r="F69" s="12">
        <f ca="1">(RANDBETWEEN(0,50)/100)*(dict_DQ_Meth_max[[#This Row],[Vergleich_ub]]-dict_DQ_Meth_max[[#This Row],[Vergleich_lb]])+dict_DQ_Meth_max[[#This Row],[Vergleich_lb]]</f>
        <v>1606.8561199999999</v>
      </c>
      <c r="G69" s="12">
        <f ca="1">(RANDBETWEEN(50,100)/100)*(dict_DQ_Meth_max[[#This Row],[Vergleich_ub]]-dict_DQ_Meth_max[[#This Row],[Vergleich_lb]])+dict_DQ_Meth_max[[#This Row],[Vergleich_lb]]</f>
        <v>4630.9956400000001</v>
      </c>
      <c r="H69" s="11" t="str">
        <f ca="1">VLOOKUP(VLOOKUP(dict_DQ_Meth_max[[#This Row],[ID_DataQualities]],table_DataQualities[],3),table_Units[],2)</f>
        <v>Hz</v>
      </c>
      <c r="I69" s="10"/>
      <c r="J69" s="10"/>
      <c r="K69" s="10"/>
      <c r="L69" s="10">
        <f ca="1">VLOOKUP(dict_DQ_Meth_max[[#This Row],[ID_DataQualities]],table_DataQualities[],8,FALSE)</f>
        <v>0.28199999999999997</v>
      </c>
      <c r="M69" s="10">
        <f ca="1">VLOOKUP(dict_DQ_Meth_max[[#This Row],[ID_DataQualities]],table_DataQualities[],9,FALSE)</f>
        <v>4725.5</v>
      </c>
    </row>
    <row r="70" spans="1:13" x14ac:dyDescent="0.45">
      <c r="A70" s="10">
        <v>18</v>
      </c>
      <c r="B70" s="10">
        <v>73</v>
      </c>
      <c r="C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" s="10"/>
      <c r="E70" s="10"/>
      <c r="F70" s="12">
        <f ca="1">(RANDBETWEEN(0,50)/100)*(dict_DQ_Meth_max[[#This Row],[Vergleich_ub]]-dict_DQ_Meth_max[[#This Row],[Vergleich_lb]])+dict_DQ_Meth_max[[#This Row],[Vergleich_lb]]</f>
        <v>1843.1170199999999</v>
      </c>
      <c r="G70" s="12">
        <f ca="1">(RANDBETWEEN(50,100)/100)*(dict_DQ_Meth_max[[#This Row],[Vergleich_ub]]-dict_DQ_Meth_max[[#This Row],[Vergleich_lb]])+dict_DQ_Meth_max[[#This Row],[Vergleich_lb]]</f>
        <v>3355.18678</v>
      </c>
      <c r="H70" s="11" t="str">
        <f ca="1">VLOOKUP(VLOOKUP(dict_DQ_Meth_max[[#This Row],[ID_DataQualities]],table_DataQualities[],3),table_Units[],2)</f>
        <v>Hz</v>
      </c>
      <c r="I70" s="10"/>
      <c r="J70" s="10"/>
      <c r="K70" s="10"/>
      <c r="L70" s="10">
        <f ca="1">VLOOKUP(dict_DQ_Meth_max[[#This Row],[ID_DataQualities]],table_DataQualities[],8,FALSE)</f>
        <v>0.28199999999999997</v>
      </c>
      <c r="M70" s="10">
        <f ca="1">VLOOKUP(dict_DQ_Meth_max[[#This Row],[ID_DataQualities]],table_DataQualities[],9,FALSE)</f>
        <v>4725.5</v>
      </c>
    </row>
    <row r="71" spans="1:13" x14ac:dyDescent="0.45">
      <c r="A71" s="10">
        <v>18</v>
      </c>
      <c r="B71" s="10">
        <v>268</v>
      </c>
      <c r="C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" s="10"/>
      <c r="E71" s="10"/>
      <c r="F71" s="12">
        <f ca="1">(RANDBETWEEN(0,50)/100)*(dict_DQ_Meth_max[[#This Row],[Vergleich_ub]]-dict_DQ_Meth_max[[#This Row],[Vergleich_lb]])+dict_DQ_Meth_max[[#This Row],[Vergleich_lb]]</f>
        <v>1276.09086</v>
      </c>
      <c r="G71" s="12">
        <f ca="1">(RANDBETWEEN(50,100)/100)*(dict_DQ_Meth_max[[#This Row],[Vergleich_ub]]-dict_DQ_Meth_max[[#This Row],[Vergleich_lb]])+dict_DQ_Meth_max[[#This Row],[Vergleich_lb]]</f>
        <v>2410.14318</v>
      </c>
      <c r="H71" s="11" t="str">
        <f ca="1">VLOOKUP(VLOOKUP(dict_DQ_Meth_max[[#This Row],[ID_DataQualities]],table_DataQualities[],3),table_Units[],2)</f>
        <v>Hz</v>
      </c>
      <c r="I71" s="10"/>
      <c r="J71" s="10"/>
      <c r="K71" s="10"/>
      <c r="L71" s="10">
        <f ca="1">VLOOKUP(dict_DQ_Meth_max[[#This Row],[ID_DataQualities]],table_DataQualities[],8,FALSE)</f>
        <v>0.28199999999999997</v>
      </c>
      <c r="M71" s="10">
        <f ca="1">VLOOKUP(dict_DQ_Meth_max[[#This Row],[ID_DataQualities]],table_DataQualities[],9,FALSE)</f>
        <v>4725.5</v>
      </c>
    </row>
    <row r="72" spans="1:13" x14ac:dyDescent="0.45">
      <c r="A72" s="10">
        <v>19</v>
      </c>
      <c r="B72" s="10">
        <v>268</v>
      </c>
      <c r="C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" s="10"/>
      <c r="E72" s="10"/>
      <c r="F72" s="12">
        <f ca="1">(RANDBETWEEN(0,50)/100)*(dict_DQ_Meth_max[[#This Row],[Vergleich_ub]]-dict_DQ_Meth_max[[#This Row],[Vergleich_lb]])+dict_DQ_Meth_max[[#This Row],[Vergleich_lb]]</f>
        <v>0.114285</v>
      </c>
      <c r="G72" s="12">
        <f ca="1">(RANDBETWEEN(50,100)/100)*(dict_DQ_Meth_max[[#This Row],[Vergleich_ub]]-dict_DQ_Meth_max[[#This Row],[Vergleich_lb]])+dict_DQ_Meth_max[[#This Row],[Vergleich_lb]]</f>
        <v>0.37632899999999997</v>
      </c>
      <c r="H72" s="11" t="str">
        <f ca="1">VLOOKUP(VLOOKUP(dict_DQ_Meth_max[[#This Row],[ID_DataQualities]],table_DataQualities[],3),table_Units[],2)</f>
        <v>+/- cm³/s</v>
      </c>
      <c r="I72" s="10"/>
      <c r="J72" s="10"/>
      <c r="K72" s="10"/>
      <c r="L72" s="10">
        <f ca="1">VLOOKUP(dict_DQ_Meth_max[[#This Row],[ID_DataQualities]],table_DataQualities[],8,FALSE)</f>
        <v>5.1000000000000004E-3</v>
      </c>
      <c r="M72" s="10">
        <f ca="1">VLOOKUP(dict_DQ_Meth_max[[#This Row],[ID_DataQualities]],table_DataQualities[],9,FALSE)</f>
        <v>0.73299999999999998</v>
      </c>
    </row>
    <row r="73" spans="1:13" x14ac:dyDescent="0.45">
      <c r="A73" s="10">
        <v>19</v>
      </c>
      <c r="B73" s="10">
        <v>394</v>
      </c>
      <c r="C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" s="10"/>
      <c r="E73" s="10"/>
      <c r="F73" s="12">
        <f ca="1">(RANDBETWEEN(0,50)/100)*(dict_DQ_Meth_max[[#This Row],[Vergleich_ub]]-dict_DQ_Meth_max[[#This Row],[Vergleich_lb]])+dict_DQ_Meth_max[[#This Row],[Vergleich_lb]]</f>
        <v>0.23802799999999999</v>
      </c>
      <c r="G73" s="12">
        <f ca="1">(RANDBETWEEN(50,100)/100)*(dict_DQ_Meth_max[[#This Row],[Vergleich_ub]]-dict_DQ_Meth_max[[#This Row],[Vergleich_lb]])+dict_DQ_Meth_max[[#This Row],[Vergleich_lb]]</f>
        <v>0.71844200000000003</v>
      </c>
      <c r="H73" s="11" t="str">
        <f ca="1">VLOOKUP(VLOOKUP(dict_DQ_Meth_max[[#This Row],[ID_DataQualities]],table_DataQualities[],3),table_Units[],2)</f>
        <v>+/- cm³/s</v>
      </c>
      <c r="I73" s="10"/>
      <c r="J73" s="10"/>
      <c r="K73" s="10"/>
      <c r="L73" s="10">
        <f ca="1">VLOOKUP(dict_DQ_Meth_max[[#This Row],[ID_DataQualities]],table_DataQualities[],8,FALSE)</f>
        <v>5.1000000000000004E-3</v>
      </c>
      <c r="M73" s="10">
        <f ca="1">VLOOKUP(dict_DQ_Meth_max[[#This Row],[ID_DataQualities]],table_DataQualities[],9,FALSE)</f>
        <v>0.73299999999999998</v>
      </c>
    </row>
    <row r="74" spans="1:13" x14ac:dyDescent="0.45">
      <c r="A74" s="10">
        <v>19</v>
      </c>
      <c r="B74" s="10">
        <v>302</v>
      </c>
      <c r="C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" s="10"/>
      <c r="E74" s="10"/>
      <c r="F74" s="12">
        <f ca="1">(RANDBETWEEN(0,50)/100)*(dict_DQ_Meth_max[[#This Row],[Vergleich_ub]]-dict_DQ_Meth_max[[#This Row],[Vergleich_lb]])+dict_DQ_Meth_max[[#This Row],[Vergleich_lb]]</f>
        <v>1.2379000000000001E-2</v>
      </c>
      <c r="G74" s="12">
        <f ca="1">(RANDBETWEEN(50,100)/100)*(dict_DQ_Meth_max[[#This Row],[Vergleich_ub]]-dict_DQ_Meth_max[[#This Row],[Vergleich_lb]])+dict_DQ_Meth_max[[#This Row],[Vergleich_lb]]</f>
        <v>0.39088699999999998</v>
      </c>
      <c r="H74" s="11" t="str">
        <f ca="1">VLOOKUP(VLOOKUP(dict_DQ_Meth_max[[#This Row],[ID_DataQualities]],table_DataQualities[],3),table_Units[],2)</f>
        <v>+/- cm³/s</v>
      </c>
      <c r="I74" s="10"/>
      <c r="J74" s="10"/>
      <c r="K74" s="10"/>
      <c r="L74" s="10">
        <f ca="1">VLOOKUP(dict_DQ_Meth_max[[#This Row],[ID_DataQualities]],table_DataQualities[],8,FALSE)</f>
        <v>5.1000000000000004E-3</v>
      </c>
      <c r="M74" s="10">
        <f ca="1">VLOOKUP(dict_DQ_Meth_max[[#This Row],[ID_DataQualities]],table_DataQualities[],9,FALSE)</f>
        <v>0.73299999999999998</v>
      </c>
    </row>
    <row r="75" spans="1:13" x14ac:dyDescent="0.45">
      <c r="A75" s="10">
        <v>19</v>
      </c>
      <c r="B75" s="10">
        <v>73</v>
      </c>
      <c r="C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" s="10"/>
      <c r="E75" s="10"/>
      <c r="F75" s="12">
        <f ca="1">(RANDBETWEEN(0,50)/100)*(dict_DQ_Meth_max[[#This Row],[Vergleich_ub]]-dict_DQ_Meth_max[[#This Row],[Vergleich_lb]])+dict_DQ_Meth_max[[#This Row],[Vergleich_lb]]</f>
        <v>5.6053000000000006E-2</v>
      </c>
      <c r="G75" s="12">
        <f ca="1">(RANDBETWEEN(50,100)/100)*(dict_DQ_Meth_max[[#This Row],[Vergleich_ub]]-dict_DQ_Meth_max[[#This Row],[Vergleich_lb]])+dict_DQ_Meth_max[[#This Row],[Vergleich_lb]]</f>
        <v>0.69660499999999992</v>
      </c>
      <c r="H75" s="11" t="str">
        <f ca="1">VLOOKUP(VLOOKUP(dict_DQ_Meth_max[[#This Row],[ID_DataQualities]],table_DataQualities[],3),table_Units[],2)</f>
        <v>+/- cm³/s</v>
      </c>
      <c r="I75" s="10"/>
      <c r="J75" s="10"/>
      <c r="K75" s="10"/>
      <c r="L75" s="10">
        <f ca="1">VLOOKUP(dict_DQ_Meth_max[[#This Row],[ID_DataQualities]],table_DataQualities[],8,FALSE)</f>
        <v>5.1000000000000004E-3</v>
      </c>
      <c r="M75" s="10">
        <f ca="1">VLOOKUP(dict_DQ_Meth_max[[#This Row],[ID_DataQualities]],table_DataQualities[],9,FALSE)</f>
        <v>0.73299999999999998</v>
      </c>
    </row>
    <row r="76" spans="1:13" x14ac:dyDescent="0.45">
      <c r="A76" s="10">
        <v>20</v>
      </c>
      <c r="B76" s="10">
        <v>692</v>
      </c>
      <c r="C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" s="10"/>
      <c r="E76" s="10"/>
      <c r="F76" s="12">
        <f ca="1">(RANDBETWEEN(0,50)/100)*(dict_DQ_Meth_max[[#This Row],[Vergleich_ub]]-dict_DQ_Meth_max[[#This Row],[Vergleich_lb]])+dict_DQ_Meth_max[[#This Row],[Vergleich_lb]]</f>
        <v>200.87408000000002</v>
      </c>
      <c r="G76" s="12">
        <f ca="1">(RANDBETWEEN(50,100)/100)*(dict_DQ_Meth_max[[#This Row],[Vergleich_ub]]-dict_DQ_Meth_max[[#This Row],[Vergleich_lb]])+dict_DQ_Meth_max[[#This Row],[Vergleich_lb]]</f>
        <v>4011.8195999999998</v>
      </c>
      <c r="H76" s="11" t="str">
        <f ca="1">VLOOKUP(VLOOKUP(dict_DQ_Meth_max[[#This Row],[ID_DataQualities]],table_DataQualities[],3),table_Units[],2)</f>
        <v>Hz</v>
      </c>
      <c r="I76" s="10"/>
      <c r="J76" s="10"/>
      <c r="K76" s="10"/>
      <c r="L76" s="10">
        <f ca="1">VLOOKUP(dict_DQ_Meth_max[[#This Row],[ID_DataQualities]],table_DataQualities[],8,FALSE)</f>
        <v>0.29799999999999999</v>
      </c>
      <c r="M76" s="10">
        <f ca="1">VLOOKUP(dict_DQ_Meth_max[[#This Row],[ID_DataQualities]],table_DataQualities[],9,FALSE)</f>
        <v>5014.7</v>
      </c>
    </row>
    <row r="77" spans="1:13" x14ac:dyDescent="0.45">
      <c r="A77" s="10">
        <v>20</v>
      </c>
      <c r="B77" s="10">
        <v>667</v>
      </c>
      <c r="C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" s="10"/>
      <c r="E77" s="10"/>
      <c r="F77" s="12">
        <f ca="1">(RANDBETWEEN(0,50)/100)*(dict_DQ_Meth_max[[#This Row],[Vergleich_ub]]-dict_DQ_Meth_max[[#This Row],[Vergleich_lb]])+dict_DQ_Meth_max[[#This Row],[Vergleich_lb]]</f>
        <v>200.87408000000002</v>
      </c>
      <c r="G77" s="12">
        <f ca="1">(RANDBETWEEN(50,100)/100)*(dict_DQ_Meth_max[[#This Row],[Vergleich_ub]]-dict_DQ_Meth_max[[#This Row],[Vergleich_lb]])+dict_DQ_Meth_max[[#This Row],[Vergleich_lb]]</f>
        <v>4964.5559800000001</v>
      </c>
      <c r="H77" s="11" t="str">
        <f ca="1">VLOOKUP(VLOOKUP(dict_DQ_Meth_max[[#This Row],[ID_DataQualities]],table_DataQualities[],3),table_Units[],2)</f>
        <v>Hz</v>
      </c>
      <c r="I77" s="10"/>
      <c r="J77" s="10"/>
      <c r="K77" s="10"/>
      <c r="L77" s="10">
        <f ca="1">VLOOKUP(dict_DQ_Meth_max[[#This Row],[ID_DataQualities]],table_DataQualities[],8,FALSE)</f>
        <v>0.29799999999999999</v>
      </c>
      <c r="M77" s="10">
        <f ca="1">VLOOKUP(dict_DQ_Meth_max[[#This Row],[ID_DataQualities]],table_DataQualities[],9,FALSE)</f>
        <v>5014.7</v>
      </c>
    </row>
    <row r="78" spans="1:13" x14ac:dyDescent="0.45">
      <c r="A78" s="10">
        <v>20</v>
      </c>
      <c r="B78" s="10">
        <v>393</v>
      </c>
      <c r="C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" s="10"/>
      <c r="E78" s="10"/>
      <c r="F78" s="12">
        <f ca="1">(RANDBETWEEN(0,50)/100)*(dict_DQ_Meth_max[[#This Row],[Vergleich_ub]]-dict_DQ_Meth_max[[#This Row],[Vergleich_lb]])+dict_DQ_Meth_max[[#This Row],[Vergleich_lb]]</f>
        <v>752.45830000000001</v>
      </c>
      <c r="G78" s="12">
        <f ca="1">(RANDBETWEEN(50,100)/100)*(dict_DQ_Meth_max[[#This Row],[Vergleich_ub]]-dict_DQ_Meth_max[[#This Row],[Vergleich_lb]])+dict_DQ_Meth_max[[#This Row],[Vergleich_lb]]</f>
        <v>4563.4038199999995</v>
      </c>
      <c r="H78" s="11" t="str">
        <f ca="1">VLOOKUP(VLOOKUP(dict_DQ_Meth_max[[#This Row],[ID_DataQualities]],table_DataQualities[],3),table_Units[],2)</f>
        <v>Hz</v>
      </c>
      <c r="I78" s="10"/>
      <c r="J78" s="10"/>
      <c r="K78" s="10"/>
      <c r="L78" s="10">
        <f ca="1">VLOOKUP(dict_DQ_Meth_max[[#This Row],[ID_DataQualities]],table_DataQualities[],8,FALSE)</f>
        <v>0.29799999999999999</v>
      </c>
      <c r="M78" s="10">
        <f ca="1">VLOOKUP(dict_DQ_Meth_max[[#This Row],[ID_DataQualities]],table_DataQualities[],9,FALSE)</f>
        <v>5014.7</v>
      </c>
    </row>
    <row r="79" spans="1:13" x14ac:dyDescent="0.45">
      <c r="A79" s="10">
        <v>20</v>
      </c>
      <c r="B79" s="10">
        <v>558</v>
      </c>
      <c r="C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" s="10"/>
      <c r="E79" s="10"/>
      <c r="F79" s="12">
        <f ca="1">(RANDBETWEEN(0,50)/100)*(dict_DQ_Meth_max[[#This Row],[Vergleich_ub]]-dict_DQ_Meth_max[[#This Row],[Vergleich_lb]])+dict_DQ_Meth_max[[#This Row],[Vergleich_lb]]</f>
        <v>1454.4745799999998</v>
      </c>
      <c r="G79" s="12">
        <f ca="1">(RANDBETWEEN(50,100)/100)*(dict_DQ_Meth_max[[#This Row],[Vergleich_ub]]-dict_DQ_Meth_max[[#This Row],[Vergleich_lb]])+dict_DQ_Meth_max[[#This Row],[Vergleich_lb]]</f>
        <v>4563.4038199999995</v>
      </c>
      <c r="H79" s="11" t="str">
        <f ca="1">VLOOKUP(VLOOKUP(dict_DQ_Meth_max[[#This Row],[ID_DataQualities]],table_DataQualities[],3),table_Units[],2)</f>
        <v>Hz</v>
      </c>
      <c r="I79" s="10"/>
      <c r="J79" s="10"/>
      <c r="K79" s="10"/>
      <c r="L79" s="10">
        <f ca="1">VLOOKUP(dict_DQ_Meth_max[[#This Row],[ID_DataQualities]],table_DataQualities[],8,FALSE)</f>
        <v>0.29799999999999999</v>
      </c>
      <c r="M79" s="10">
        <f ca="1">VLOOKUP(dict_DQ_Meth_max[[#This Row],[ID_DataQualities]],table_DataQualities[],9,FALSE)</f>
        <v>5014.7</v>
      </c>
    </row>
    <row r="80" spans="1:13" x14ac:dyDescent="0.45">
      <c r="A80" s="10">
        <v>21</v>
      </c>
      <c r="B80" s="10">
        <v>558</v>
      </c>
      <c r="C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" s="10"/>
      <c r="E80" s="10"/>
      <c r="F80" s="12">
        <f ca="1">(RANDBETWEEN(0,50)/100)*(dict_DQ_Meth_max[[#This Row],[Vergleich_ub]]-dict_DQ_Meth_max[[#This Row],[Vergleich_lb]])+dict_DQ_Meth_max[[#This Row],[Vergleich_lb]]</f>
        <v>1.1718499999999998</v>
      </c>
      <c r="G80" s="12">
        <f ca="1">(RANDBETWEEN(50,100)/100)*(dict_DQ_Meth_max[[#This Row],[Vergleich_ub]]-dict_DQ_Meth_max[[#This Row],[Vergleich_lb]])+dict_DQ_Meth_max[[#This Row],[Vergleich_lb]]</f>
        <v>1.5722</v>
      </c>
      <c r="H80" s="11" t="str">
        <f ca="1">VLOOKUP(VLOOKUP(dict_DQ_Meth_max[[#This Row],[ID_DataQualities]],table_DataQualities[],3),table_Units[],2)</f>
        <v>+/- W</v>
      </c>
      <c r="I80" s="10"/>
      <c r="J80" s="10"/>
      <c r="K80" s="10"/>
      <c r="L80" s="10">
        <f ca="1">VLOOKUP(dict_DQ_Meth_max[[#This Row],[ID_DataQualities]],table_DataQualities[],8,FALSE)</f>
        <v>6.5000000000000002E-2</v>
      </c>
      <c r="M80" s="10">
        <f ca="1">VLOOKUP(dict_DQ_Meth_max[[#This Row],[ID_DataQualities]],table_DataQualities[],9,FALSE)</f>
        <v>2.42</v>
      </c>
    </row>
    <row r="81" spans="1:13" x14ac:dyDescent="0.45">
      <c r="A81" s="10">
        <v>21</v>
      </c>
      <c r="B81" s="10">
        <v>393</v>
      </c>
      <c r="C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" s="10"/>
      <c r="E81" s="10"/>
      <c r="F81" s="12">
        <f ca="1">(RANDBETWEEN(0,50)/100)*(dict_DQ_Meth_max[[#This Row],[Vergleich_ub]]-dict_DQ_Meth_max[[#This Row],[Vergleich_lb]])+dict_DQ_Meth_max[[#This Row],[Vergleich_lb]]</f>
        <v>0.4889</v>
      </c>
      <c r="G81" s="12">
        <f ca="1">(RANDBETWEEN(50,100)/100)*(dict_DQ_Meth_max[[#This Row],[Vergleich_ub]]-dict_DQ_Meth_max[[#This Row],[Vergleich_lb]])+dict_DQ_Meth_max[[#This Row],[Vergleich_lb]]</f>
        <v>1.8548</v>
      </c>
      <c r="H81" s="11" t="str">
        <f ca="1">VLOOKUP(VLOOKUP(dict_DQ_Meth_max[[#This Row],[ID_DataQualities]],table_DataQualities[],3),table_Units[],2)</f>
        <v>+/- W</v>
      </c>
      <c r="I81" s="10"/>
      <c r="J81" s="10"/>
      <c r="K81" s="10"/>
      <c r="L81" s="10">
        <f ca="1">VLOOKUP(dict_DQ_Meth_max[[#This Row],[ID_DataQualities]],table_DataQualities[],8,FALSE)</f>
        <v>6.5000000000000002E-2</v>
      </c>
      <c r="M81" s="10">
        <f ca="1">VLOOKUP(dict_DQ_Meth_max[[#This Row],[ID_DataQualities]],table_DataQualities[],9,FALSE)</f>
        <v>2.42</v>
      </c>
    </row>
    <row r="82" spans="1:13" x14ac:dyDescent="0.45">
      <c r="A82" s="10">
        <v>21</v>
      </c>
      <c r="B82" s="10">
        <v>667</v>
      </c>
      <c r="C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" s="10"/>
      <c r="E82" s="10"/>
      <c r="F82" s="12">
        <f ca="1">(RANDBETWEEN(0,50)/100)*(dict_DQ_Meth_max[[#This Row],[Vergleich_ub]]-dict_DQ_Meth_max[[#This Row],[Vergleich_lb]])+dict_DQ_Meth_max[[#This Row],[Vergleich_lb]]</f>
        <v>0.74794999999999989</v>
      </c>
      <c r="G82" s="12">
        <f ca="1">(RANDBETWEEN(50,100)/100)*(dict_DQ_Meth_max[[#This Row],[Vergleich_ub]]-dict_DQ_Meth_max[[#This Row],[Vergleich_lb]])+dict_DQ_Meth_max[[#This Row],[Vergleich_lb]]</f>
        <v>1.4073499999999999</v>
      </c>
      <c r="H82" s="11" t="str">
        <f ca="1">VLOOKUP(VLOOKUP(dict_DQ_Meth_max[[#This Row],[ID_DataQualities]],table_DataQualities[],3),table_Units[],2)</f>
        <v>+/- W</v>
      </c>
      <c r="I82" s="10"/>
      <c r="J82" s="10"/>
      <c r="K82" s="10"/>
      <c r="L82" s="10">
        <f ca="1">VLOOKUP(dict_DQ_Meth_max[[#This Row],[ID_DataQualities]],table_DataQualities[],8,FALSE)</f>
        <v>6.5000000000000002E-2</v>
      </c>
      <c r="M82" s="10">
        <f ca="1">VLOOKUP(dict_DQ_Meth_max[[#This Row],[ID_DataQualities]],table_DataQualities[],9,FALSE)</f>
        <v>2.42</v>
      </c>
    </row>
    <row r="83" spans="1:13" x14ac:dyDescent="0.45">
      <c r="A83" s="10">
        <v>21</v>
      </c>
      <c r="B83" s="10">
        <v>692</v>
      </c>
      <c r="C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" s="10"/>
      <c r="E83" s="10"/>
      <c r="F83" s="12">
        <f ca="1">(RANDBETWEEN(0,50)/100)*(dict_DQ_Meth_max[[#This Row],[Vergleich_ub]]-dict_DQ_Meth_max[[#This Row],[Vergleich_lb]])+dict_DQ_Meth_max[[#This Row],[Vergleich_lb]]</f>
        <v>8.8550000000000004E-2</v>
      </c>
      <c r="G83" s="12">
        <f ca="1">(RANDBETWEEN(50,100)/100)*(dict_DQ_Meth_max[[#This Row],[Vergleich_ub]]-dict_DQ_Meth_max[[#This Row],[Vergleich_lb]])+dict_DQ_Meth_max[[#This Row],[Vergleich_lb]]</f>
        <v>1.7370499999999998</v>
      </c>
      <c r="H83" s="11" t="str">
        <f ca="1">VLOOKUP(VLOOKUP(dict_DQ_Meth_max[[#This Row],[ID_DataQualities]],table_DataQualities[],3),table_Units[],2)</f>
        <v>+/- W</v>
      </c>
      <c r="I83" s="10"/>
      <c r="J83" s="10"/>
      <c r="K83" s="10"/>
      <c r="L83" s="10">
        <f ca="1">VLOOKUP(dict_DQ_Meth_max[[#This Row],[ID_DataQualities]],table_DataQualities[],8,FALSE)</f>
        <v>6.5000000000000002E-2</v>
      </c>
      <c r="M83" s="10">
        <f ca="1">VLOOKUP(dict_DQ_Meth_max[[#This Row],[ID_DataQualities]],table_DataQualities[],9,FALSE)</f>
        <v>2.42</v>
      </c>
    </row>
    <row r="84" spans="1:13" x14ac:dyDescent="0.45">
      <c r="A84" s="10">
        <v>22</v>
      </c>
      <c r="B84" s="10">
        <v>167</v>
      </c>
      <c r="C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" s="10"/>
      <c r="E84" s="10"/>
      <c r="F84" s="12">
        <f ca="1">(RANDBETWEEN(0,50)/100)*(dict_DQ_Meth_max[[#This Row],[Vergleich_ub]]-dict_DQ_Meth_max[[#This Row],[Vergleich_lb]])+dict_DQ_Meth_max[[#This Row],[Vergleich_lb]]</f>
        <v>672.89789999999994</v>
      </c>
      <c r="G84" s="12">
        <f ca="1">(RANDBETWEEN(50,100)/100)*(dict_DQ_Meth_max[[#This Row],[Vergleich_ub]]-dict_DQ_Meth_max[[#This Row],[Vergleich_lb]])+dict_DQ_Meth_max[[#This Row],[Vergleich_lb]]</f>
        <v>2158.6100999999999</v>
      </c>
      <c r="H84" s="11" t="str">
        <f ca="1">VLOOKUP(VLOOKUP(dict_DQ_Meth_max[[#This Row],[ID_DataQualities]],table_DataQualities[],3),table_Units[],2)</f>
        <v>Hz</v>
      </c>
      <c r="I84" s="10"/>
      <c r="J84" s="10"/>
      <c r="K84" s="10"/>
      <c r="L84" s="10">
        <f ca="1">VLOOKUP(dict_DQ_Meth_max[[#This Row],[ID_DataQualities]],table_DataQualities[],8,FALSE)</f>
        <v>0.79</v>
      </c>
      <c r="M84" s="10">
        <f ca="1">VLOOKUP(dict_DQ_Meth_max[[#This Row],[ID_DataQualities]],table_DataQualities[],9,FALSE)</f>
        <v>3538.2</v>
      </c>
    </row>
    <row r="85" spans="1:13" x14ac:dyDescent="0.45">
      <c r="A85" s="10">
        <v>22</v>
      </c>
      <c r="B85" s="10">
        <v>2</v>
      </c>
      <c r="C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" s="10"/>
      <c r="E85" s="10"/>
      <c r="F85" s="12">
        <f ca="1">(RANDBETWEEN(0,50)/100)*(dict_DQ_Meth_max[[#This Row],[Vergleich_ub]]-dict_DQ_Meth_max[[#This Row],[Vergleich_lb]])+dict_DQ_Meth_max[[#This Row],[Vergleich_lb]]</f>
        <v>425.2792</v>
      </c>
      <c r="G85" s="12">
        <f ca="1">(RANDBETWEEN(50,100)/100)*(dict_DQ_Meth_max[[#This Row],[Vergleich_ub]]-dict_DQ_Meth_max[[#This Row],[Vergleich_lb]])+dict_DQ_Meth_max[[#This Row],[Vergleich_lb]]</f>
        <v>3113.7107999999998</v>
      </c>
      <c r="H85" s="11" t="str">
        <f ca="1">VLOOKUP(VLOOKUP(dict_DQ_Meth_max[[#This Row],[ID_DataQualities]],table_DataQualities[],3),table_Units[],2)</f>
        <v>Hz</v>
      </c>
      <c r="I85" s="10"/>
      <c r="J85" s="10"/>
      <c r="K85" s="10"/>
      <c r="L85" s="10">
        <f ca="1">VLOOKUP(dict_DQ_Meth_max[[#This Row],[ID_DataQualities]],table_DataQualities[],8,FALSE)</f>
        <v>0.79</v>
      </c>
      <c r="M85" s="10">
        <f ca="1">VLOOKUP(dict_DQ_Meth_max[[#This Row],[ID_DataQualities]],table_DataQualities[],9,FALSE)</f>
        <v>3538.2</v>
      </c>
    </row>
    <row r="86" spans="1:13" x14ac:dyDescent="0.45">
      <c r="A86" s="10">
        <v>23</v>
      </c>
      <c r="B86" s="10">
        <v>2</v>
      </c>
      <c r="C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" s="10"/>
      <c r="E86" s="10"/>
      <c r="F86" s="12">
        <f ca="1">(RANDBETWEEN(0,50)/100)*(dict_DQ_Meth_max[[#This Row],[Vergleich_ub]]-dict_DQ_Meth_max[[#This Row],[Vergleich_lb]])+dict_DQ_Meth_max[[#This Row],[Vergleich_lb]]</f>
        <v>0.28600000000000003</v>
      </c>
      <c r="G86" s="12">
        <f ca="1">(RANDBETWEEN(50,100)/100)*(dict_DQ_Meth_max[[#This Row],[Vergleich_ub]]-dict_DQ_Meth_max[[#This Row],[Vergleich_lb]])+dict_DQ_Meth_max[[#This Row],[Vergleich_lb]]</f>
        <v>4.5010000000000003</v>
      </c>
      <c r="H86" s="11" t="str">
        <f ca="1">VLOOKUP(VLOOKUP(dict_DQ_Meth_max[[#This Row],[ID_DataQualities]],table_DataQualities[],3),table_Units[],2)</f>
        <v>+/- W</v>
      </c>
      <c r="I86" s="10"/>
      <c r="J86" s="10"/>
      <c r="K86" s="10"/>
      <c r="L86" s="10">
        <f ca="1">VLOOKUP(dict_DQ_Meth_max[[#This Row],[ID_DataQualities]],table_DataQualities[],8,FALSE)</f>
        <v>5.0000000000000001E-3</v>
      </c>
      <c r="M86" s="10">
        <f ca="1">VLOOKUP(dict_DQ_Meth_max[[#This Row],[ID_DataQualities]],table_DataQualities[],9,FALSE)</f>
        <v>7.03</v>
      </c>
    </row>
    <row r="87" spans="1:13" x14ac:dyDescent="0.45">
      <c r="A87" s="10">
        <v>23</v>
      </c>
      <c r="B87" s="10">
        <v>167</v>
      </c>
      <c r="C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" s="10"/>
      <c r="E87" s="10"/>
      <c r="F87" s="12">
        <f ca="1">(RANDBETWEEN(0,50)/100)*(dict_DQ_Meth_max[[#This Row],[Vergleich_ub]]-dict_DQ_Meth_max[[#This Row],[Vergleich_lb]])+dict_DQ_Meth_max[[#This Row],[Vergleich_lb]]</f>
        <v>0.14550000000000002</v>
      </c>
      <c r="G87" s="12">
        <f ca="1">(RANDBETWEEN(50,100)/100)*(dict_DQ_Meth_max[[#This Row],[Vergleich_ub]]-dict_DQ_Meth_max[[#This Row],[Vergleich_lb]])+dict_DQ_Meth_max[[#This Row],[Vergleich_lb]]</f>
        <v>5.7654999999999994</v>
      </c>
      <c r="H87" s="11" t="str">
        <f ca="1">VLOOKUP(VLOOKUP(dict_DQ_Meth_max[[#This Row],[ID_DataQualities]],table_DataQualities[],3),table_Units[],2)</f>
        <v>+/- W</v>
      </c>
      <c r="I87" s="10"/>
      <c r="J87" s="10"/>
      <c r="K87" s="10"/>
      <c r="L87" s="10">
        <f ca="1">VLOOKUP(dict_DQ_Meth_max[[#This Row],[ID_DataQualities]],table_DataQualities[],8,FALSE)</f>
        <v>5.0000000000000001E-3</v>
      </c>
      <c r="M87" s="10">
        <f ca="1">VLOOKUP(dict_DQ_Meth_max[[#This Row],[ID_DataQualities]],table_DataQualities[],9,FALSE)</f>
        <v>7.03</v>
      </c>
    </row>
    <row r="88" spans="1:13" x14ac:dyDescent="0.45">
      <c r="A88" s="10">
        <v>24</v>
      </c>
      <c r="B88" s="10">
        <v>480</v>
      </c>
      <c r="C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" s="10"/>
      <c r="E88" s="10"/>
      <c r="F88" s="12">
        <f ca="1">(RANDBETWEEN(0,50)/100)*(dict_DQ_Meth_max[[#This Row],[Vergleich_ub]]-dict_DQ_Meth_max[[#This Row],[Vergleich_lb]])+dict_DQ_Meth_max[[#This Row],[Vergleich_lb]]</f>
        <v>1914.6646699999997</v>
      </c>
      <c r="G88" s="12">
        <f ca="1">(RANDBETWEEN(50,100)/100)*(dict_DQ_Meth_max[[#This Row],[Vergleich_ub]]-dict_DQ_Meth_max[[#This Row],[Vergleich_lb]])+dict_DQ_Meth_max[[#This Row],[Vergleich_lb]]</f>
        <v>5196.6503899999989</v>
      </c>
      <c r="H88" s="11" t="str">
        <f ca="1">VLOOKUP(VLOOKUP(dict_DQ_Meth_max[[#This Row],[ID_DataQualities]],table_DataQualities[],3),table_Units[],2)</f>
        <v>Hz</v>
      </c>
      <c r="I88" s="10"/>
      <c r="J88" s="10"/>
      <c r="K88" s="10"/>
      <c r="L88" s="10">
        <f ca="1">VLOOKUP(dict_DQ_Meth_max[[#This Row],[ID_DataQualities]],table_DataQualities[],8,FALSE)</f>
        <v>0.17299999999999999</v>
      </c>
      <c r="M88" s="10">
        <f ca="1">VLOOKUP(dict_DQ_Meth_max[[#This Row],[ID_DataQualities]],table_DataQualities[],9,FALSE)</f>
        <v>9116.7999999999993</v>
      </c>
    </row>
    <row r="89" spans="1:13" x14ac:dyDescent="0.45">
      <c r="A89" s="10">
        <v>24</v>
      </c>
      <c r="B89" s="10">
        <v>409</v>
      </c>
      <c r="C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" s="10"/>
      <c r="E89" s="10"/>
      <c r="F89" s="12">
        <f ca="1">(RANDBETWEEN(0,50)/100)*(dict_DQ_Meth_max[[#This Row],[Vergleich_ub]]-dict_DQ_Meth_max[[#This Row],[Vergleich_lb]])+dict_DQ_Meth_max[[#This Row],[Vergleich_lb]]</f>
        <v>911.83569999999986</v>
      </c>
      <c r="G89" s="12">
        <f ca="1">(RANDBETWEEN(50,100)/100)*(dict_DQ_Meth_max[[#This Row],[Vergleich_ub]]-dict_DQ_Meth_max[[#This Row],[Vergleich_lb]])+dict_DQ_Meth_max[[#This Row],[Vergleich_lb]]</f>
        <v>4558.4864999999991</v>
      </c>
      <c r="H89" s="11" t="str">
        <f ca="1">VLOOKUP(VLOOKUP(dict_DQ_Meth_max[[#This Row],[ID_DataQualities]],table_DataQualities[],3),table_Units[],2)</f>
        <v>Hz</v>
      </c>
      <c r="I89" s="10"/>
      <c r="J89" s="10"/>
      <c r="K89" s="10"/>
      <c r="L89" s="10">
        <f ca="1">VLOOKUP(dict_DQ_Meth_max[[#This Row],[ID_DataQualities]],table_DataQualities[],8,FALSE)</f>
        <v>0.17299999999999999</v>
      </c>
      <c r="M89" s="10">
        <f ca="1">VLOOKUP(dict_DQ_Meth_max[[#This Row],[ID_DataQualities]],table_DataQualities[],9,FALSE)</f>
        <v>9116.7999999999993</v>
      </c>
    </row>
    <row r="90" spans="1:13" x14ac:dyDescent="0.45">
      <c r="A90" s="10">
        <v>24</v>
      </c>
      <c r="B90" s="10">
        <v>131</v>
      </c>
      <c r="C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" s="10"/>
      <c r="E90" s="10"/>
      <c r="F90" s="12">
        <f ca="1">(RANDBETWEEN(0,50)/100)*(dict_DQ_Meth_max[[#This Row],[Vergleich_ub]]-dict_DQ_Meth_max[[#This Row],[Vergleich_lb]])+dict_DQ_Meth_max[[#This Row],[Vergleich_lb]]</f>
        <v>4193.8214199999993</v>
      </c>
      <c r="G90" s="12">
        <f ca="1">(RANDBETWEEN(50,100)/100)*(dict_DQ_Meth_max[[#This Row],[Vergleich_ub]]-dict_DQ_Meth_max[[#This Row],[Vergleich_lb]])+dict_DQ_Meth_max[[#This Row],[Vergleich_lb]]</f>
        <v>6290.6456299999982</v>
      </c>
      <c r="H90" s="11" t="str">
        <f ca="1">VLOOKUP(VLOOKUP(dict_DQ_Meth_max[[#This Row],[ID_DataQualities]],table_DataQualities[],3),table_Units[],2)</f>
        <v>Hz</v>
      </c>
      <c r="I90" s="10"/>
      <c r="J90" s="10"/>
      <c r="K90" s="10"/>
      <c r="L90" s="10">
        <f ca="1">VLOOKUP(dict_DQ_Meth_max[[#This Row],[ID_DataQualities]],table_DataQualities[],8,FALSE)</f>
        <v>0.17299999999999999</v>
      </c>
      <c r="M90" s="10">
        <f ca="1">VLOOKUP(dict_DQ_Meth_max[[#This Row],[ID_DataQualities]],table_DataQualities[],9,FALSE)</f>
        <v>9116.7999999999993</v>
      </c>
    </row>
    <row r="91" spans="1:13" x14ac:dyDescent="0.45">
      <c r="A91" s="10">
        <v>24</v>
      </c>
      <c r="B91" s="10">
        <v>588</v>
      </c>
      <c r="C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" s="10"/>
      <c r="E91" s="10"/>
      <c r="F91" s="12">
        <f ca="1">(RANDBETWEEN(0,50)/100)*(dict_DQ_Meth_max[[#This Row],[Vergleich_ub]]-dict_DQ_Meth_max[[#This Row],[Vergleich_lb]])+dict_DQ_Meth_max[[#This Row],[Vergleich_lb]]</f>
        <v>729.50315999999987</v>
      </c>
      <c r="G91" s="12">
        <f ca="1">(RANDBETWEEN(50,100)/100)*(dict_DQ_Meth_max[[#This Row],[Vergleich_ub]]-dict_DQ_Meth_max[[#This Row],[Vergleich_lb]])+dict_DQ_Meth_max[[#This Row],[Vergleich_lb]]</f>
        <v>6108.3130899999996</v>
      </c>
      <c r="H91" s="11" t="str">
        <f ca="1">VLOOKUP(VLOOKUP(dict_DQ_Meth_max[[#This Row],[ID_DataQualities]],table_DataQualities[],3),table_Units[],2)</f>
        <v>Hz</v>
      </c>
      <c r="I91" s="10"/>
      <c r="J91" s="10"/>
      <c r="K91" s="10"/>
      <c r="L91" s="10">
        <f ca="1">VLOOKUP(dict_DQ_Meth_max[[#This Row],[ID_DataQualities]],table_DataQualities[],8,FALSE)</f>
        <v>0.17299999999999999</v>
      </c>
      <c r="M91" s="10">
        <f ca="1">VLOOKUP(dict_DQ_Meth_max[[#This Row],[ID_DataQualities]],table_DataQualities[],9,FALSE)</f>
        <v>9116.7999999999993</v>
      </c>
    </row>
    <row r="92" spans="1:13" x14ac:dyDescent="0.45">
      <c r="A92" s="10">
        <v>24</v>
      </c>
      <c r="B92" s="10">
        <v>348</v>
      </c>
      <c r="C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" s="10"/>
      <c r="E92" s="10"/>
      <c r="F92" s="12">
        <f ca="1">(RANDBETWEEN(0,50)/100)*(dict_DQ_Meth_max[[#This Row],[Vergleich_ub]]-dict_DQ_Meth_max[[#This Row],[Vergleich_lb]])+dict_DQ_Meth_max[[#This Row],[Vergleich_lb]]</f>
        <v>456.00434999999993</v>
      </c>
      <c r="G92" s="12">
        <f ca="1">(RANDBETWEEN(50,100)/100)*(dict_DQ_Meth_max[[#This Row],[Vergleich_ub]]-dict_DQ_Meth_max[[#This Row],[Vergleich_lb]])+dict_DQ_Meth_max[[#This Row],[Vergleich_lb]]</f>
        <v>5652.4817399999993</v>
      </c>
      <c r="H92" s="11" t="str">
        <f ca="1">VLOOKUP(VLOOKUP(dict_DQ_Meth_max[[#This Row],[ID_DataQualities]],table_DataQualities[],3),table_Units[],2)</f>
        <v>Hz</v>
      </c>
      <c r="I92" s="10"/>
      <c r="J92" s="10"/>
      <c r="K92" s="10"/>
      <c r="L92" s="10">
        <f ca="1">VLOOKUP(dict_DQ_Meth_max[[#This Row],[ID_DataQualities]],table_DataQualities[],8,FALSE)</f>
        <v>0.17299999999999999</v>
      </c>
      <c r="M92" s="10">
        <f ca="1">VLOOKUP(dict_DQ_Meth_max[[#This Row],[ID_DataQualities]],table_DataQualities[],9,FALSE)</f>
        <v>9116.7999999999993</v>
      </c>
    </row>
    <row r="93" spans="1:13" x14ac:dyDescent="0.45">
      <c r="A93" s="10">
        <v>24</v>
      </c>
      <c r="B93" s="10">
        <v>596</v>
      </c>
      <c r="C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" s="10"/>
      <c r="E93" s="10"/>
      <c r="F93" s="12">
        <f ca="1">(RANDBETWEEN(0,50)/100)*(dict_DQ_Meth_max[[#This Row],[Vergleich_ub]]-dict_DQ_Meth_max[[#This Row],[Vergleich_lb]])+dict_DQ_Meth_max[[#This Row],[Vergleich_lb]]</f>
        <v>3373.3249899999992</v>
      </c>
      <c r="G93" s="12">
        <f ca="1">(RANDBETWEEN(50,100)/100)*(dict_DQ_Meth_max[[#This Row],[Vergleich_ub]]-dict_DQ_Meth_max[[#This Row],[Vergleich_lb]])+dict_DQ_Meth_max[[#This Row],[Vergleich_lb]]</f>
        <v>8660.9686499999989</v>
      </c>
      <c r="H93" s="11" t="str">
        <f ca="1">VLOOKUP(VLOOKUP(dict_DQ_Meth_max[[#This Row],[ID_DataQualities]],table_DataQualities[],3),table_Units[],2)</f>
        <v>Hz</v>
      </c>
      <c r="I93" s="10"/>
      <c r="J93" s="10"/>
      <c r="K93" s="10"/>
      <c r="L93" s="10">
        <f ca="1">VLOOKUP(dict_DQ_Meth_max[[#This Row],[ID_DataQualities]],table_DataQualities[],8,FALSE)</f>
        <v>0.17299999999999999</v>
      </c>
      <c r="M93" s="10">
        <f ca="1">VLOOKUP(dict_DQ_Meth_max[[#This Row],[ID_DataQualities]],table_DataQualities[],9,FALSE)</f>
        <v>9116.7999999999993</v>
      </c>
    </row>
    <row r="94" spans="1:13" x14ac:dyDescent="0.45">
      <c r="A94" s="10">
        <v>25</v>
      </c>
      <c r="B94" s="10">
        <v>131</v>
      </c>
      <c r="C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" s="10"/>
      <c r="E94" s="10"/>
      <c r="F94" s="12">
        <f ca="1">(RANDBETWEEN(0,50)/100)*(dict_DQ_Meth_max[[#This Row],[Vergleich_ub]]-dict_DQ_Meth_max[[#This Row],[Vergleich_lb]])+dict_DQ_Meth_max[[#This Row],[Vergleich_lb]]</f>
        <v>0.83799999999999997</v>
      </c>
      <c r="G94" s="12">
        <f ca="1">(RANDBETWEEN(50,100)/100)*(dict_DQ_Meth_max[[#This Row],[Vergleich_ub]]-dict_DQ_Meth_max[[#This Row],[Vergleich_lb]])+dict_DQ_Meth_max[[#This Row],[Vergleich_lb]]</f>
        <v>1.04576</v>
      </c>
      <c r="H94" s="11" t="str">
        <f ca="1">VLOOKUP(VLOOKUP(dict_DQ_Meth_max[[#This Row],[ID_DataQualities]],table_DataQualities[],3),table_Units[],2)</f>
        <v>+/- mm</v>
      </c>
      <c r="I94" s="10"/>
      <c r="J94" s="10"/>
      <c r="K94" s="10"/>
      <c r="L94" s="10">
        <f ca="1">VLOOKUP(dict_DQ_Meth_max[[#This Row],[ID_DataQualities]],table_DataQualities[],8,FALSE)</f>
        <v>9.6000000000000002E-2</v>
      </c>
      <c r="M94" s="10">
        <f ca="1">VLOOKUP(dict_DQ_Meth_max[[#This Row],[ID_DataQualities]],table_DataQualities[],9,FALSE)</f>
        <v>1.58</v>
      </c>
    </row>
    <row r="95" spans="1:13" x14ac:dyDescent="0.45">
      <c r="A95" s="10">
        <v>25</v>
      </c>
      <c r="B95" s="10">
        <v>348</v>
      </c>
      <c r="C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" s="10"/>
      <c r="E95" s="10"/>
      <c r="F95" s="12">
        <f ca="1">(RANDBETWEEN(0,50)/100)*(dict_DQ_Meth_max[[#This Row],[Vergleich_ub]]-dict_DQ_Meth_max[[#This Row],[Vergleich_lb]])+dict_DQ_Meth_max[[#This Row],[Vergleich_lb]]</f>
        <v>0.74895999999999996</v>
      </c>
      <c r="G95" s="12">
        <f ca="1">(RANDBETWEEN(50,100)/100)*(dict_DQ_Meth_max[[#This Row],[Vergleich_ub]]-dict_DQ_Meth_max[[#This Row],[Vergleich_lb]])+dict_DQ_Meth_max[[#This Row],[Vergleich_lb]]</f>
        <v>0.85283999999999993</v>
      </c>
      <c r="H95" s="11" t="str">
        <f ca="1">VLOOKUP(VLOOKUP(dict_DQ_Meth_max[[#This Row],[ID_DataQualities]],table_DataQualities[],3),table_Units[],2)</f>
        <v>+/- mm</v>
      </c>
      <c r="I95" s="10"/>
      <c r="J95" s="10"/>
      <c r="K95" s="10"/>
      <c r="L95" s="10">
        <f ca="1">VLOOKUP(dict_DQ_Meth_max[[#This Row],[ID_DataQualities]],table_DataQualities[],8,FALSE)</f>
        <v>9.6000000000000002E-2</v>
      </c>
      <c r="M95" s="10">
        <f ca="1">VLOOKUP(dict_DQ_Meth_max[[#This Row],[ID_DataQualities]],table_DataQualities[],9,FALSE)</f>
        <v>1.58</v>
      </c>
    </row>
    <row r="96" spans="1:13" x14ac:dyDescent="0.45">
      <c r="A96" s="10">
        <v>25</v>
      </c>
      <c r="B96" s="10">
        <v>588</v>
      </c>
      <c r="C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" s="10"/>
      <c r="E96" s="10"/>
      <c r="F96" s="12">
        <f ca="1">(RANDBETWEEN(0,50)/100)*(dict_DQ_Meth_max[[#This Row],[Vergleich_ub]]-dict_DQ_Meth_max[[#This Row],[Vergleich_lb]])+dict_DQ_Meth_max[[#This Row],[Vergleich_lb]]</f>
        <v>0.77864</v>
      </c>
      <c r="G96" s="12">
        <f ca="1">(RANDBETWEEN(50,100)/100)*(dict_DQ_Meth_max[[#This Row],[Vergleich_ub]]-dict_DQ_Meth_max[[#This Row],[Vergleich_lb]])+dict_DQ_Meth_max[[#This Row],[Vergleich_lb]]</f>
        <v>1.2683600000000002</v>
      </c>
      <c r="H96" s="11" t="str">
        <f ca="1">VLOOKUP(VLOOKUP(dict_DQ_Meth_max[[#This Row],[ID_DataQualities]],table_DataQualities[],3),table_Units[],2)</f>
        <v>+/- mm</v>
      </c>
      <c r="I96" s="10"/>
      <c r="J96" s="10"/>
      <c r="K96" s="10"/>
      <c r="L96" s="10">
        <f ca="1">VLOOKUP(dict_DQ_Meth_max[[#This Row],[ID_DataQualities]],table_DataQualities[],8,FALSE)</f>
        <v>9.6000000000000002E-2</v>
      </c>
      <c r="M96" s="10">
        <f ca="1">VLOOKUP(dict_DQ_Meth_max[[#This Row],[ID_DataQualities]],table_DataQualities[],9,FALSE)</f>
        <v>1.58</v>
      </c>
    </row>
    <row r="97" spans="1:13" x14ac:dyDescent="0.45">
      <c r="A97" s="10">
        <v>25</v>
      </c>
      <c r="B97" s="10">
        <v>596</v>
      </c>
      <c r="C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" s="10"/>
      <c r="E97" s="10"/>
      <c r="F97" s="12">
        <f ca="1">(RANDBETWEEN(0,50)/100)*(dict_DQ_Meth_max[[#This Row],[Vergleich_ub]]-dict_DQ_Meth_max[[#This Row],[Vergleich_lb]])+dict_DQ_Meth_max[[#This Row],[Vergleich_lb]]</f>
        <v>0.61539999999999995</v>
      </c>
      <c r="G97" s="12">
        <f ca="1">(RANDBETWEEN(50,100)/100)*(dict_DQ_Meth_max[[#This Row],[Vergleich_ub]]-dict_DQ_Meth_max[[#This Row],[Vergleich_lb]])+dict_DQ_Meth_max[[#This Row],[Vergleich_lb]]</f>
        <v>1.0606</v>
      </c>
      <c r="H97" s="11" t="str">
        <f ca="1">VLOOKUP(VLOOKUP(dict_DQ_Meth_max[[#This Row],[ID_DataQualities]],table_DataQualities[],3),table_Units[],2)</f>
        <v>+/- mm</v>
      </c>
      <c r="I97" s="10"/>
      <c r="J97" s="10"/>
      <c r="K97" s="10"/>
      <c r="L97" s="10">
        <f ca="1">VLOOKUP(dict_DQ_Meth_max[[#This Row],[ID_DataQualities]],table_DataQualities[],8,FALSE)</f>
        <v>9.6000000000000002E-2</v>
      </c>
      <c r="M97" s="10">
        <f ca="1">VLOOKUP(dict_DQ_Meth_max[[#This Row],[ID_DataQualities]],table_DataQualities[],9,FALSE)</f>
        <v>1.58</v>
      </c>
    </row>
    <row r="98" spans="1:13" x14ac:dyDescent="0.45">
      <c r="A98" s="10">
        <v>25</v>
      </c>
      <c r="B98" s="10">
        <v>409</v>
      </c>
      <c r="C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" s="10"/>
      <c r="E98" s="10"/>
      <c r="F98" s="12">
        <f ca="1">(RANDBETWEEN(0,50)/100)*(dict_DQ_Meth_max[[#This Row],[Vergleich_ub]]-dict_DQ_Meth_max[[#This Row],[Vergleich_lb]])+dict_DQ_Meth_max[[#This Row],[Vergleich_lb]]</f>
        <v>0.37795999999999996</v>
      </c>
      <c r="G98" s="12">
        <f ca="1">(RANDBETWEEN(50,100)/100)*(dict_DQ_Meth_max[[#This Row],[Vergleich_ub]]-dict_DQ_Meth_max[[#This Row],[Vergleich_lb]])+dict_DQ_Meth_max[[#This Row],[Vergleich_lb]]</f>
        <v>1.4612800000000001</v>
      </c>
      <c r="H98" s="11" t="str">
        <f ca="1">VLOOKUP(VLOOKUP(dict_DQ_Meth_max[[#This Row],[ID_DataQualities]],table_DataQualities[],3),table_Units[],2)</f>
        <v>+/- mm</v>
      </c>
      <c r="I98" s="10"/>
      <c r="J98" s="10"/>
      <c r="K98" s="10"/>
      <c r="L98" s="10">
        <f ca="1">VLOOKUP(dict_DQ_Meth_max[[#This Row],[ID_DataQualities]],table_DataQualities[],8,FALSE)</f>
        <v>9.6000000000000002E-2</v>
      </c>
      <c r="M98" s="10">
        <f ca="1">VLOOKUP(dict_DQ_Meth_max[[#This Row],[ID_DataQualities]],table_DataQualities[],9,FALSE)</f>
        <v>1.58</v>
      </c>
    </row>
    <row r="99" spans="1:13" x14ac:dyDescent="0.45">
      <c r="A99" s="10">
        <v>25</v>
      </c>
      <c r="B99" s="10">
        <v>480</v>
      </c>
      <c r="C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" s="10"/>
      <c r="E99" s="10"/>
      <c r="F99" s="12">
        <f ca="1">(RANDBETWEEN(0,50)/100)*(dict_DQ_Meth_max[[#This Row],[Vergleich_ub]]-dict_DQ_Meth_max[[#This Row],[Vergleich_lb]])+dict_DQ_Meth_max[[#This Row],[Vergleich_lb]]</f>
        <v>0.73411999999999999</v>
      </c>
      <c r="G99" s="12">
        <f ca="1">(RANDBETWEEN(50,100)/100)*(dict_DQ_Meth_max[[#This Row],[Vergleich_ub]]-dict_DQ_Meth_max[[#This Row],[Vergleich_lb]])+dict_DQ_Meth_max[[#This Row],[Vergleich_lb]]</f>
        <v>1.1348</v>
      </c>
      <c r="H99" s="11" t="str">
        <f ca="1">VLOOKUP(VLOOKUP(dict_DQ_Meth_max[[#This Row],[ID_DataQualities]],table_DataQualities[],3),table_Units[],2)</f>
        <v>+/- mm</v>
      </c>
      <c r="I99" s="10"/>
      <c r="J99" s="10"/>
      <c r="K99" s="10"/>
      <c r="L99" s="10">
        <f ca="1">VLOOKUP(dict_DQ_Meth_max[[#This Row],[ID_DataQualities]],table_DataQualities[],8,FALSE)</f>
        <v>9.6000000000000002E-2</v>
      </c>
      <c r="M99" s="10">
        <f ca="1">VLOOKUP(dict_DQ_Meth_max[[#This Row],[ID_DataQualities]],table_DataQualities[],9,FALSE)</f>
        <v>1.58</v>
      </c>
    </row>
    <row r="100" spans="1:13" x14ac:dyDescent="0.45">
      <c r="A100" s="10">
        <v>26</v>
      </c>
      <c r="B100" s="10">
        <v>10</v>
      </c>
      <c r="C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" s="10"/>
      <c r="E100" s="10"/>
      <c r="F100" s="12">
        <f ca="1">(RANDBETWEEN(0,50)/100)*(dict_DQ_Meth_max[[#This Row],[Vergleich_ub]]-dict_DQ_Meth_max[[#This Row],[Vergleich_lb]])+dict_DQ_Meth_max[[#This Row],[Vergleich_lb]]</f>
        <v>2709.6907499999998</v>
      </c>
      <c r="G100" s="12">
        <f ca="1">(RANDBETWEEN(50,100)/100)*(dict_DQ_Meth_max[[#This Row],[Vergleich_ub]]-dict_DQ_Meth_max[[#This Row],[Vergleich_lb]])+dict_DQ_Meth_max[[#This Row],[Vergleich_lb]]</f>
        <v>4756.4346500000001</v>
      </c>
      <c r="H100" s="11" t="str">
        <f ca="1">VLOOKUP(VLOOKUP(dict_DQ_Meth_max[[#This Row],[ID_DataQualities]],table_DataQualities[],3),table_Units[],2)</f>
        <v>Hz</v>
      </c>
      <c r="I100" s="10"/>
      <c r="J100" s="10"/>
      <c r="K100" s="10"/>
      <c r="L100" s="10">
        <f ca="1">VLOOKUP(dict_DQ_Meth_max[[#This Row],[ID_DataQualities]],table_DataQualities[],8,FALSE)</f>
        <v>0.76500000000000001</v>
      </c>
      <c r="M100" s="10">
        <f ca="1">VLOOKUP(dict_DQ_Meth_max[[#This Row],[ID_DataQualities]],table_DataQualities[],9,FALSE)</f>
        <v>6020.6</v>
      </c>
    </row>
    <row r="101" spans="1:13" x14ac:dyDescent="0.45">
      <c r="A101" s="10">
        <v>26</v>
      </c>
      <c r="B101" s="10">
        <v>314</v>
      </c>
      <c r="C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" s="10"/>
      <c r="E101" s="10"/>
      <c r="F101" s="12">
        <f ca="1">(RANDBETWEEN(0,50)/100)*(dict_DQ_Meth_max[[#This Row],[Vergleich_ub]]-dict_DQ_Meth_max[[#This Row],[Vergleich_lb]])+dict_DQ_Meth_max[[#This Row],[Vergleich_lb]]</f>
        <v>0.76500000000000001</v>
      </c>
      <c r="G101" s="12">
        <f ca="1">(RANDBETWEEN(50,100)/100)*(dict_DQ_Meth_max[[#This Row],[Vergleich_ub]]-dict_DQ_Meth_max[[#This Row],[Vergleich_lb]])+dict_DQ_Meth_max[[#This Row],[Vergleich_lb]]</f>
        <v>4335.0461999999998</v>
      </c>
      <c r="H101" s="11" t="str">
        <f ca="1">VLOOKUP(VLOOKUP(dict_DQ_Meth_max[[#This Row],[ID_DataQualities]],table_DataQualities[],3),table_Units[],2)</f>
        <v>Hz</v>
      </c>
      <c r="I101" s="10"/>
      <c r="J101" s="10"/>
      <c r="K101" s="10"/>
      <c r="L101" s="10">
        <f ca="1">VLOOKUP(dict_DQ_Meth_max[[#This Row],[ID_DataQualities]],table_DataQualities[],8,FALSE)</f>
        <v>0.76500000000000001</v>
      </c>
      <c r="M101" s="10">
        <f ca="1">VLOOKUP(dict_DQ_Meth_max[[#This Row],[ID_DataQualities]],table_DataQualities[],9,FALSE)</f>
        <v>6020.6</v>
      </c>
    </row>
    <row r="102" spans="1:13" x14ac:dyDescent="0.45">
      <c r="A102" s="10">
        <v>27</v>
      </c>
      <c r="B102" s="10">
        <v>10</v>
      </c>
      <c r="C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" s="10"/>
      <c r="E102" s="10"/>
      <c r="F102" s="12">
        <f ca="1">(RANDBETWEEN(0,50)/100)*(dict_DQ_Meth_max[[#This Row],[Vergleich_ub]]-dict_DQ_Meth_max[[#This Row],[Vergleich_lb]])+dict_DQ_Meth_max[[#This Row],[Vergleich_lb]]</f>
        <v>3.7042000000000002</v>
      </c>
      <c r="G102" s="12">
        <f ca="1">(RANDBETWEEN(50,100)/100)*(dict_DQ_Meth_max[[#This Row],[Vergleich_ub]]-dict_DQ_Meth_max[[#This Row],[Vergleich_lb]])+dict_DQ_Meth_max[[#This Row],[Vergleich_lb]]</f>
        <v>5.3359000000000005</v>
      </c>
      <c r="H102" s="11" t="str">
        <f ca="1">VLOOKUP(VLOOKUP(dict_DQ_Meth_max[[#This Row],[ID_DataQualities]],table_DataQualities[],3),table_Units[],2)</f>
        <v>+/- mm/s</v>
      </c>
      <c r="I102" s="10"/>
      <c r="J102" s="10"/>
      <c r="K102" s="10"/>
      <c r="L102" s="10">
        <f ca="1">VLOOKUP(dict_DQ_Meth_max[[#This Row],[ID_DataQualities]],table_DataQualities[],8,FALSE)</f>
        <v>0.13</v>
      </c>
      <c r="M102" s="10">
        <f ca="1">VLOOKUP(dict_DQ_Meth_max[[#This Row],[ID_DataQualities]],table_DataQualities[],9,FALSE)</f>
        <v>7.9</v>
      </c>
    </row>
    <row r="103" spans="1:13" x14ac:dyDescent="0.45">
      <c r="A103" s="10">
        <v>27</v>
      </c>
      <c r="B103" s="10">
        <v>314</v>
      </c>
      <c r="C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" s="10"/>
      <c r="E103" s="10"/>
      <c r="F103" s="12">
        <f ca="1">(RANDBETWEEN(0,50)/100)*(dict_DQ_Meth_max[[#This Row],[Vergleich_ub]]-dict_DQ_Meth_max[[#This Row],[Vergleich_lb]])+dict_DQ_Meth_max[[#This Row],[Vergleich_lb]]</f>
        <v>3.5488</v>
      </c>
      <c r="G103" s="12">
        <f ca="1">(RANDBETWEEN(50,100)/100)*(dict_DQ_Meth_max[[#This Row],[Vergleich_ub]]-dict_DQ_Meth_max[[#This Row],[Vergleich_lb]])+dict_DQ_Meth_max[[#This Row],[Vergleich_lb]]</f>
        <v>5.8798000000000004</v>
      </c>
      <c r="H103" s="11" t="str">
        <f ca="1">VLOOKUP(VLOOKUP(dict_DQ_Meth_max[[#This Row],[ID_DataQualities]],table_DataQualities[],3),table_Units[],2)</f>
        <v>+/- mm/s</v>
      </c>
      <c r="I103" s="10"/>
      <c r="J103" s="10"/>
      <c r="K103" s="10"/>
      <c r="L103" s="10">
        <f ca="1">VLOOKUP(dict_DQ_Meth_max[[#This Row],[ID_DataQualities]],table_DataQualities[],8,FALSE)</f>
        <v>0.13</v>
      </c>
      <c r="M103" s="10">
        <f ca="1">VLOOKUP(dict_DQ_Meth_max[[#This Row],[ID_DataQualities]],table_DataQualities[],9,FALSE)</f>
        <v>7.9</v>
      </c>
    </row>
    <row r="104" spans="1:13" x14ac:dyDescent="0.45">
      <c r="A104" s="10">
        <v>28</v>
      </c>
      <c r="B104" s="10">
        <v>195</v>
      </c>
      <c r="C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" s="10"/>
      <c r="E104" s="10"/>
      <c r="F104" s="12">
        <f ca="1">(RANDBETWEEN(0,50)/100)*(dict_DQ_Meth_max[[#This Row],[Vergleich_ub]]-dict_DQ_Meth_max[[#This Row],[Vergleich_lb]])+dict_DQ_Meth_max[[#This Row],[Vergleich_lb]]</f>
        <v>640.19119999999998</v>
      </c>
      <c r="G104" s="12">
        <f ca="1">(RANDBETWEEN(50,100)/100)*(dict_DQ_Meth_max[[#This Row],[Vergleich_ub]]-dict_DQ_Meth_max[[#This Row],[Vergleich_lb]])+dict_DQ_Meth_max[[#This Row],[Vergleich_lb]]</f>
        <v>4708.5352000000003</v>
      </c>
      <c r="H104" s="11" t="str">
        <f ca="1">VLOOKUP(VLOOKUP(dict_DQ_Meth_max[[#This Row],[ID_DataQualities]],table_DataQualities[],3),table_Units[],2)</f>
        <v>Hz</v>
      </c>
      <c r="I104" s="10"/>
      <c r="J104" s="10"/>
      <c r="K104" s="10"/>
      <c r="L104" s="10">
        <f ca="1">VLOOKUP(dict_DQ_Meth_max[[#This Row],[ID_DataQualities]],table_DataQualities[],8,FALSE)</f>
        <v>0.88</v>
      </c>
      <c r="M104" s="10">
        <f ca="1">VLOOKUP(dict_DQ_Meth_max[[#This Row],[ID_DataQualities]],table_DataQualities[],9,FALSE)</f>
        <v>5812.8</v>
      </c>
    </row>
    <row r="105" spans="1:13" x14ac:dyDescent="0.45">
      <c r="A105" s="10">
        <v>28</v>
      </c>
      <c r="B105" s="10">
        <v>383</v>
      </c>
      <c r="C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" s="10"/>
      <c r="E105" s="10"/>
      <c r="F105" s="12">
        <f ca="1">(RANDBETWEEN(0,50)/100)*(dict_DQ_Meth_max[[#This Row],[Vergleich_ub]]-dict_DQ_Meth_max[[#This Row],[Vergleich_lb]])+dict_DQ_Meth_max[[#This Row],[Vergleich_lb]]</f>
        <v>1976.9328000000003</v>
      </c>
      <c r="G105" s="12">
        <f ca="1">(RANDBETWEEN(50,100)/100)*(dict_DQ_Meth_max[[#This Row],[Vergleich_ub]]-dict_DQ_Meth_max[[#This Row],[Vergleich_lb]])+dict_DQ_Meth_max[[#This Row],[Vergleich_lb]]</f>
        <v>4534.1776</v>
      </c>
      <c r="H105" s="11" t="str">
        <f ca="1">VLOOKUP(VLOOKUP(dict_DQ_Meth_max[[#This Row],[ID_DataQualities]],table_DataQualities[],3),table_Units[],2)</f>
        <v>Hz</v>
      </c>
      <c r="I105" s="10"/>
      <c r="J105" s="10"/>
      <c r="K105" s="10"/>
      <c r="L105" s="10">
        <f ca="1">VLOOKUP(dict_DQ_Meth_max[[#This Row],[ID_DataQualities]],table_DataQualities[],8,FALSE)</f>
        <v>0.88</v>
      </c>
      <c r="M105" s="10">
        <f ca="1">VLOOKUP(dict_DQ_Meth_max[[#This Row],[ID_DataQualities]],table_DataQualities[],9,FALSE)</f>
        <v>5812.8</v>
      </c>
    </row>
    <row r="106" spans="1:13" x14ac:dyDescent="0.45">
      <c r="A106" s="10">
        <v>28</v>
      </c>
      <c r="B106" s="10">
        <v>438</v>
      </c>
      <c r="C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" s="10"/>
      <c r="E106" s="10"/>
      <c r="F106" s="12">
        <f ca="1">(RANDBETWEEN(0,50)/100)*(dict_DQ_Meth_max[[#This Row],[Vergleich_ub]]-dict_DQ_Meth_max[[#This Row],[Vergleich_lb]])+dict_DQ_Meth_max[[#This Row],[Vergleich_lb]]</f>
        <v>58.999200000000002</v>
      </c>
      <c r="G106" s="12">
        <f ca="1">(RANDBETWEEN(50,100)/100)*(dict_DQ_Meth_max[[#This Row],[Vergleich_ub]]-dict_DQ_Meth_max[[#This Row],[Vergleich_lb]])+dict_DQ_Meth_max[[#This Row],[Vergleich_lb]]</f>
        <v>3313.6743999999999</v>
      </c>
      <c r="H106" s="11" t="str">
        <f ca="1">VLOOKUP(VLOOKUP(dict_DQ_Meth_max[[#This Row],[ID_DataQualities]],table_DataQualities[],3),table_Units[],2)</f>
        <v>Hz</v>
      </c>
      <c r="I106" s="10"/>
      <c r="J106" s="10"/>
      <c r="K106" s="10"/>
      <c r="L106" s="10">
        <f ca="1">VLOOKUP(dict_DQ_Meth_max[[#This Row],[ID_DataQualities]],table_DataQualities[],8,FALSE)</f>
        <v>0.88</v>
      </c>
      <c r="M106" s="10">
        <f ca="1">VLOOKUP(dict_DQ_Meth_max[[#This Row],[ID_DataQualities]],table_DataQualities[],9,FALSE)</f>
        <v>5812.8</v>
      </c>
    </row>
    <row r="107" spans="1:13" x14ac:dyDescent="0.45">
      <c r="A107" s="10">
        <v>28</v>
      </c>
      <c r="B107" s="10">
        <v>299</v>
      </c>
      <c r="C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" s="10"/>
      <c r="E107" s="10"/>
      <c r="F107" s="12">
        <f ca="1">(RANDBETWEEN(0,50)/100)*(dict_DQ_Meth_max[[#This Row],[Vergleich_ub]]-dict_DQ_Meth_max[[#This Row],[Vergleich_lb]])+dict_DQ_Meth_max[[#This Row],[Vergleich_lb]]</f>
        <v>2848.7208000000001</v>
      </c>
      <c r="G107" s="12">
        <f ca="1">(RANDBETWEEN(50,100)/100)*(dict_DQ_Meth_max[[#This Row],[Vergleich_ub]]-dict_DQ_Meth_max[[#This Row],[Vergleich_lb]])+dict_DQ_Meth_max[[#This Row],[Vergleich_lb]]</f>
        <v>5173.4888000000001</v>
      </c>
      <c r="H107" s="11" t="str">
        <f ca="1">VLOOKUP(VLOOKUP(dict_DQ_Meth_max[[#This Row],[ID_DataQualities]],table_DataQualities[],3),table_Units[],2)</f>
        <v>Hz</v>
      </c>
      <c r="I107" s="10"/>
      <c r="J107" s="10"/>
      <c r="K107" s="10"/>
      <c r="L107" s="10">
        <f ca="1">VLOOKUP(dict_DQ_Meth_max[[#This Row],[ID_DataQualities]],table_DataQualities[],8,FALSE)</f>
        <v>0.88</v>
      </c>
      <c r="M107" s="10">
        <f ca="1">VLOOKUP(dict_DQ_Meth_max[[#This Row],[ID_DataQualities]],table_DataQualities[],9,FALSE)</f>
        <v>5812.8</v>
      </c>
    </row>
    <row r="108" spans="1:13" x14ac:dyDescent="0.45">
      <c r="A108" s="10">
        <v>28</v>
      </c>
      <c r="B108" s="10">
        <v>660</v>
      </c>
      <c r="C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" s="10"/>
      <c r="E108" s="10"/>
      <c r="F108" s="12">
        <f ca="1">(RANDBETWEEN(0,50)/100)*(dict_DQ_Meth_max[[#This Row],[Vergleich_ub]]-dict_DQ_Meth_max[[#This Row],[Vergleich_lb]])+dict_DQ_Meth_max[[#This Row],[Vergleich_lb]]</f>
        <v>349.59519999999998</v>
      </c>
      <c r="G108" s="12">
        <f ca="1">(RANDBETWEEN(50,100)/100)*(dict_DQ_Meth_max[[#This Row],[Vergleich_ub]]-dict_DQ_Meth_max[[#This Row],[Vergleich_lb]])+dict_DQ_Meth_max[[#This Row],[Vergleich_lb]]</f>
        <v>4824.7735999999995</v>
      </c>
      <c r="H108" s="11" t="str">
        <f ca="1">VLOOKUP(VLOOKUP(dict_DQ_Meth_max[[#This Row],[ID_DataQualities]],table_DataQualities[],3),table_Units[],2)</f>
        <v>Hz</v>
      </c>
      <c r="I108" s="10"/>
      <c r="J108" s="10"/>
      <c r="K108" s="10"/>
      <c r="L108" s="10">
        <f ca="1">VLOOKUP(dict_DQ_Meth_max[[#This Row],[ID_DataQualities]],table_DataQualities[],8,FALSE)</f>
        <v>0.88</v>
      </c>
      <c r="M108" s="10">
        <f ca="1">VLOOKUP(dict_DQ_Meth_max[[#This Row],[ID_DataQualities]],table_DataQualities[],9,FALSE)</f>
        <v>5812.8</v>
      </c>
    </row>
    <row r="109" spans="1:13" x14ac:dyDescent="0.45">
      <c r="A109" s="10">
        <v>28</v>
      </c>
      <c r="B109" s="10">
        <v>147</v>
      </c>
      <c r="C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" s="10"/>
      <c r="E109" s="10"/>
      <c r="F109" s="12">
        <f ca="1">(RANDBETWEEN(0,50)/100)*(dict_DQ_Meth_max[[#This Row],[Vergleich_ub]]-dict_DQ_Meth_max[[#This Row],[Vergleich_lb]])+dict_DQ_Meth_max[[#This Row],[Vergleich_lb]]</f>
        <v>2267.5288</v>
      </c>
      <c r="G109" s="12">
        <f ca="1">(RANDBETWEEN(50,100)/100)*(dict_DQ_Meth_max[[#This Row],[Vergleich_ub]]-dict_DQ_Meth_max[[#This Row],[Vergleich_lb]])+dict_DQ_Meth_max[[#This Row],[Vergleich_lb]]</f>
        <v>4243.5816000000004</v>
      </c>
      <c r="H109" s="11" t="str">
        <f ca="1">VLOOKUP(VLOOKUP(dict_DQ_Meth_max[[#This Row],[ID_DataQualities]],table_DataQualities[],3),table_Units[],2)</f>
        <v>Hz</v>
      </c>
      <c r="I109" s="10"/>
      <c r="J109" s="10"/>
      <c r="K109" s="10"/>
      <c r="L109" s="10">
        <f ca="1">VLOOKUP(dict_DQ_Meth_max[[#This Row],[ID_DataQualities]],table_DataQualities[],8,FALSE)</f>
        <v>0.88</v>
      </c>
      <c r="M109" s="10">
        <f ca="1">VLOOKUP(dict_DQ_Meth_max[[#This Row],[ID_DataQualities]],table_DataQualities[],9,FALSE)</f>
        <v>5812.8</v>
      </c>
    </row>
    <row r="110" spans="1:13" x14ac:dyDescent="0.45">
      <c r="A110" s="10">
        <v>29</v>
      </c>
      <c r="B110" s="10">
        <v>438</v>
      </c>
      <c r="C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" s="10"/>
      <c r="E110" s="10"/>
      <c r="F110" s="12">
        <f ca="1">(RANDBETWEEN(0,50)/100)*(dict_DQ_Meth_max[[#This Row],[Vergleich_ub]]-dict_DQ_Meth_max[[#This Row],[Vergleich_lb]])+dict_DQ_Meth_max[[#This Row],[Vergleich_lb]]</f>
        <v>0.85340000000000005</v>
      </c>
      <c r="G110" s="12">
        <f ca="1">(RANDBETWEEN(50,100)/100)*(dict_DQ_Meth_max[[#This Row],[Vergleich_ub]]-dict_DQ_Meth_max[[#This Row],[Vergleich_lb]])+dict_DQ_Meth_max[[#This Row],[Vergleich_lb]]</f>
        <v>1.6947000000000001</v>
      </c>
      <c r="H110" s="11" t="str">
        <f ca="1">VLOOKUP(VLOOKUP(dict_DQ_Meth_max[[#This Row],[ID_DataQualities]],table_DataQualities[],3),table_Units[],2)</f>
        <v>+/- mm</v>
      </c>
      <c r="I110" s="10"/>
      <c r="J110" s="10"/>
      <c r="K110" s="10"/>
      <c r="L110" s="10">
        <f ca="1">VLOOKUP(dict_DQ_Meth_max[[#This Row],[ID_DataQualities]],table_DataQualities[],8,FALSE)</f>
        <v>0.03</v>
      </c>
      <c r="M110" s="10">
        <f ca="1">VLOOKUP(dict_DQ_Meth_max[[#This Row],[ID_DataQualities]],table_DataQualities[],9,FALSE)</f>
        <v>1.82</v>
      </c>
    </row>
    <row r="111" spans="1:13" x14ac:dyDescent="0.45">
      <c r="A111" s="10">
        <v>29</v>
      </c>
      <c r="B111" s="10">
        <v>195</v>
      </c>
      <c r="C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" s="10"/>
      <c r="E111" s="10"/>
      <c r="F111" s="12">
        <f ca="1">(RANDBETWEEN(0,50)/100)*(dict_DQ_Meth_max[[#This Row],[Vergleich_ub]]-dict_DQ_Meth_max[[#This Row],[Vergleich_lb]])+dict_DQ_Meth_max[[#This Row],[Vergleich_lb]]</f>
        <v>0.92500000000000004</v>
      </c>
      <c r="G111" s="12">
        <f ca="1">(RANDBETWEEN(50,100)/100)*(dict_DQ_Meth_max[[#This Row],[Vergleich_ub]]-dict_DQ_Meth_max[[#This Row],[Vergleich_lb]])+dict_DQ_Meth_max[[#This Row],[Vergleich_lb]]</f>
        <v>1.0682</v>
      </c>
      <c r="H111" s="11" t="str">
        <f ca="1">VLOOKUP(VLOOKUP(dict_DQ_Meth_max[[#This Row],[ID_DataQualities]],table_DataQualities[],3),table_Units[],2)</f>
        <v>+/- mm</v>
      </c>
      <c r="I111" s="10"/>
      <c r="J111" s="10"/>
      <c r="K111" s="10"/>
      <c r="L111" s="10">
        <f ca="1">VLOOKUP(dict_DQ_Meth_max[[#This Row],[ID_DataQualities]],table_DataQualities[],8,FALSE)</f>
        <v>0.03</v>
      </c>
      <c r="M111" s="10">
        <f ca="1">VLOOKUP(dict_DQ_Meth_max[[#This Row],[ID_DataQualities]],table_DataQualities[],9,FALSE)</f>
        <v>1.82</v>
      </c>
    </row>
    <row r="112" spans="1:13" x14ac:dyDescent="0.45">
      <c r="A112" s="10">
        <v>29</v>
      </c>
      <c r="B112" s="10">
        <v>383</v>
      </c>
      <c r="C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" s="10"/>
      <c r="E112" s="10"/>
      <c r="F112" s="12">
        <f ca="1">(RANDBETWEEN(0,50)/100)*(dict_DQ_Meth_max[[#This Row],[Vergleich_ub]]-dict_DQ_Meth_max[[#This Row],[Vergleich_lb]])+dict_DQ_Meth_max[[#This Row],[Vergleich_lb]]</f>
        <v>0.72810000000000008</v>
      </c>
      <c r="G112" s="12">
        <f ca="1">(RANDBETWEEN(50,100)/100)*(dict_DQ_Meth_max[[#This Row],[Vergleich_ub]]-dict_DQ_Meth_max[[#This Row],[Vergleich_lb]])+dict_DQ_Meth_max[[#This Row],[Vergleich_lb]]</f>
        <v>1.2829999999999999</v>
      </c>
      <c r="H112" s="11" t="str">
        <f ca="1">VLOOKUP(VLOOKUP(dict_DQ_Meth_max[[#This Row],[ID_DataQualities]],table_DataQualities[],3),table_Units[],2)</f>
        <v>+/- mm</v>
      </c>
      <c r="I112" s="10"/>
      <c r="J112" s="10"/>
      <c r="K112" s="10"/>
      <c r="L112" s="10">
        <f ca="1">VLOOKUP(dict_DQ_Meth_max[[#This Row],[ID_DataQualities]],table_DataQualities[],8,FALSE)</f>
        <v>0.03</v>
      </c>
      <c r="M112" s="10">
        <f ca="1">VLOOKUP(dict_DQ_Meth_max[[#This Row],[ID_DataQualities]],table_DataQualities[],9,FALSE)</f>
        <v>1.82</v>
      </c>
    </row>
    <row r="113" spans="1:13" x14ac:dyDescent="0.45">
      <c r="A113" s="10">
        <v>29</v>
      </c>
      <c r="B113" s="10">
        <v>299</v>
      </c>
      <c r="C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" s="10"/>
      <c r="E113" s="10"/>
      <c r="F113" s="12">
        <f ca="1">(RANDBETWEEN(0,50)/100)*(dict_DQ_Meth_max[[#This Row],[Vergleich_ub]]-dict_DQ_Meth_max[[#This Row],[Vergleich_lb]])+dict_DQ_Meth_max[[#This Row],[Vergleich_lb]]</f>
        <v>0.47750000000000004</v>
      </c>
      <c r="G113" s="12">
        <f ca="1">(RANDBETWEEN(50,100)/100)*(dict_DQ_Meth_max[[#This Row],[Vergleich_ub]]-dict_DQ_Meth_max[[#This Row],[Vergleich_lb]])+dict_DQ_Meth_max[[#This Row],[Vergleich_lb]]</f>
        <v>1.4262000000000001</v>
      </c>
      <c r="H113" s="11" t="str">
        <f ca="1">VLOOKUP(VLOOKUP(dict_DQ_Meth_max[[#This Row],[ID_DataQualities]],table_DataQualities[],3),table_Units[],2)</f>
        <v>+/- mm</v>
      </c>
      <c r="I113" s="10"/>
      <c r="J113" s="10"/>
      <c r="K113" s="10"/>
      <c r="L113" s="10">
        <f ca="1">VLOOKUP(dict_DQ_Meth_max[[#This Row],[ID_DataQualities]],table_DataQualities[],8,FALSE)</f>
        <v>0.03</v>
      </c>
      <c r="M113" s="10">
        <f ca="1">VLOOKUP(dict_DQ_Meth_max[[#This Row],[ID_DataQualities]],table_DataQualities[],9,FALSE)</f>
        <v>1.82</v>
      </c>
    </row>
    <row r="114" spans="1:13" x14ac:dyDescent="0.45">
      <c r="A114" s="10">
        <v>29</v>
      </c>
      <c r="B114" s="10">
        <v>660</v>
      </c>
      <c r="C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" s="10"/>
      <c r="E114" s="10"/>
      <c r="F114" s="12">
        <f ca="1">(RANDBETWEEN(0,50)/100)*(dict_DQ_Meth_max[[#This Row],[Vergleich_ub]]-dict_DQ_Meth_max[[#This Row],[Vergleich_lb]])+dict_DQ_Meth_max[[#This Row],[Vergleich_lb]]</f>
        <v>0.69230000000000003</v>
      </c>
      <c r="G114" s="12">
        <f ca="1">(RANDBETWEEN(50,100)/100)*(dict_DQ_Meth_max[[#This Row],[Vergleich_ub]]-dict_DQ_Meth_max[[#This Row],[Vergleich_lb]])+dict_DQ_Meth_max[[#This Row],[Vergleich_lb]]</f>
        <v>1.0145000000000002</v>
      </c>
      <c r="H114" s="11" t="str">
        <f ca="1">VLOOKUP(VLOOKUP(dict_DQ_Meth_max[[#This Row],[ID_DataQualities]],table_DataQualities[],3),table_Units[],2)</f>
        <v>+/- mm</v>
      </c>
      <c r="I114" s="10"/>
      <c r="J114" s="10"/>
      <c r="K114" s="10"/>
      <c r="L114" s="10">
        <f ca="1">VLOOKUP(dict_DQ_Meth_max[[#This Row],[ID_DataQualities]],table_DataQualities[],8,FALSE)</f>
        <v>0.03</v>
      </c>
      <c r="M114" s="10">
        <f ca="1">VLOOKUP(dict_DQ_Meth_max[[#This Row],[ID_DataQualities]],table_DataQualities[],9,FALSE)</f>
        <v>1.82</v>
      </c>
    </row>
    <row r="115" spans="1:13" x14ac:dyDescent="0.45">
      <c r="A115" s="10">
        <v>29</v>
      </c>
      <c r="B115" s="10">
        <v>147</v>
      </c>
      <c r="C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" s="10"/>
      <c r="E115" s="10"/>
      <c r="F115" s="12">
        <f ca="1">(RANDBETWEEN(0,50)/100)*(dict_DQ_Meth_max[[#This Row],[Vergleich_ub]]-dict_DQ_Meth_max[[#This Row],[Vergleich_lb]])+dict_DQ_Meth_max[[#This Row],[Vergleich_lb]]</f>
        <v>0.22689999999999999</v>
      </c>
      <c r="G115" s="12">
        <f ca="1">(RANDBETWEEN(50,100)/100)*(dict_DQ_Meth_max[[#This Row],[Vergleich_ub]]-dict_DQ_Meth_max[[#This Row],[Vergleich_lb]])+dict_DQ_Meth_max[[#This Row],[Vergleich_lb]]</f>
        <v>1.641</v>
      </c>
      <c r="H115" s="11" t="str">
        <f ca="1">VLOOKUP(VLOOKUP(dict_DQ_Meth_max[[#This Row],[ID_DataQualities]],table_DataQualities[],3),table_Units[],2)</f>
        <v>+/- mm</v>
      </c>
      <c r="I115" s="10"/>
      <c r="J115" s="10"/>
      <c r="K115" s="10"/>
      <c r="L115" s="10">
        <f ca="1">VLOOKUP(dict_DQ_Meth_max[[#This Row],[ID_DataQualities]],table_DataQualities[],8,FALSE)</f>
        <v>0.03</v>
      </c>
      <c r="M115" s="10">
        <f ca="1">VLOOKUP(dict_DQ_Meth_max[[#This Row],[ID_DataQualities]],table_DataQualities[],9,FALSE)</f>
        <v>1.82</v>
      </c>
    </row>
    <row r="116" spans="1:13" x14ac:dyDescent="0.45">
      <c r="A116" s="10">
        <v>30</v>
      </c>
      <c r="B116" s="10">
        <v>179</v>
      </c>
      <c r="C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" s="10"/>
      <c r="E116" s="10"/>
      <c r="F116" s="12">
        <f ca="1">(RANDBETWEEN(0,50)/100)*(dict_DQ_Meth_max[[#This Row],[Vergleich_ub]]-dict_DQ_Meth_max[[#This Row],[Vergleich_lb]])+dict_DQ_Meth_max[[#This Row],[Vergleich_lb]]</f>
        <v>38.016050000000007</v>
      </c>
      <c r="G116" s="12">
        <f ca="1">(RANDBETWEEN(50,100)/100)*(dict_DQ_Meth_max[[#This Row],[Vergleich_ub]]-dict_DQ_Meth_max[[#This Row],[Vergleich_lb]])+dict_DQ_Meth_max[[#This Row],[Vergleich_lb]]</f>
        <v>816.08810000000017</v>
      </c>
      <c r="H116" s="11" t="str">
        <f ca="1">VLOOKUP(VLOOKUP(dict_DQ_Meth_max[[#This Row],[ID_DataQualities]],table_DataQualities[],3),table_Units[],2)</f>
        <v>Hz</v>
      </c>
      <c r="I116" s="10"/>
      <c r="J116" s="10"/>
      <c r="K116" s="10"/>
      <c r="L116" s="10">
        <f ca="1">VLOOKUP(dict_DQ_Meth_max[[#This Row],[ID_DataQualities]],table_DataQualities[],8,FALSE)</f>
        <v>0.96499999999999997</v>
      </c>
      <c r="M116" s="10">
        <f ca="1">VLOOKUP(dict_DQ_Meth_max[[#This Row],[ID_DataQualities]],table_DataQualities[],9,FALSE)</f>
        <v>1236</v>
      </c>
    </row>
    <row r="117" spans="1:13" x14ac:dyDescent="0.45">
      <c r="A117" s="10">
        <v>30</v>
      </c>
      <c r="B117" s="10">
        <v>325</v>
      </c>
      <c r="C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" s="10"/>
      <c r="E117" s="10"/>
      <c r="F117" s="12">
        <f ca="1">(RANDBETWEEN(0,50)/100)*(dict_DQ_Meth_max[[#This Row],[Vergleich_ub]]-dict_DQ_Meth_max[[#This Row],[Vergleich_lb]])+dict_DQ_Meth_max[[#This Row],[Vergleich_lb]]</f>
        <v>359.12514999999996</v>
      </c>
      <c r="G117" s="12">
        <f ca="1">(RANDBETWEEN(50,100)/100)*(dict_DQ_Meth_max[[#This Row],[Vergleich_ub]]-dict_DQ_Meth_max[[#This Row],[Vergleich_lb]])+dict_DQ_Meth_max[[#This Row],[Vergleich_lb]]</f>
        <v>704.93495000000007</v>
      </c>
      <c r="H117" s="11" t="str">
        <f ca="1">VLOOKUP(VLOOKUP(dict_DQ_Meth_max[[#This Row],[ID_DataQualities]],table_DataQualities[],3),table_Units[],2)</f>
        <v>Hz</v>
      </c>
      <c r="I117" s="10"/>
      <c r="J117" s="10"/>
      <c r="K117" s="10"/>
      <c r="L117" s="10">
        <f ca="1">VLOOKUP(dict_DQ_Meth_max[[#This Row],[ID_DataQualities]],table_DataQualities[],8,FALSE)</f>
        <v>0.96499999999999997</v>
      </c>
      <c r="M117" s="10">
        <f ca="1">VLOOKUP(dict_DQ_Meth_max[[#This Row],[ID_DataQualities]],table_DataQualities[],9,FALSE)</f>
        <v>1236</v>
      </c>
    </row>
    <row r="118" spans="1:13" x14ac:dyDescent="0.45">
      <c r="A118" s="10">
        <v>31</v>
      </c>
      <c r="B118" s="10">
        <v>325</v>
      </c>
      <c r="C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" s="10"/>
      <c r="E118" s="10"/>
      <c r="F118" s="12">
        <f ca="1">(RANDBETWEEN(0,50)/100)*(dict_DQ_Meth_max[[#This Row],[Vergleich_ub]]-dict_DQ_Meth_max[[#This Row],[Vergleich_lb]])+dict_DQ_Meth_max[[#This Row],[Vergleich_lb]]</f>
        <v>2.004</v>
      </c>
      <c r="G118" s="12">
        <f ca="1">(RANDBETWEEN(50,100)/100)*(dict_DQ_Meth_max[[#This Row],[Vergleich_ub]]-dict_DQ_Meth_max[[#This Row],[Vergleich_lb]])+dict_DQ_Meth_max[[#This Row],[Vergleich_lb]]</f>
        <v>7.4385999999999992</v>
      </c>
      <c r="H118" s="11" t="str">
        <f ca="1">VLOOKUP(VLOOKUP(dict_DQ_Meth_max[[#This Row],[ID_DataQualities]],table_DataQualities[],3),table_Units[],2)</f>
        <v>+/- mm/s</v>
      </c>
      <c r="I118" s="10"/>
      <c r="J118" s="10"/>
      <c r="K118" s="10"/>
      <c r="L118" s="10">
        <f ca="1">VLOOKUP(dict_DQ_Meth_max[[#This Row],[ID_DataQualities]],table_DataQualities[],8,FALSE)</f>
        <v>0.13</v>
      </c>
      <c r="M118" s="10">
        <f ca="1">VLOOKUP(dict_DQ_Meth_max[[#This Row],[ID_DataQualities]],table_DataQualities[],9,FALSE)</f>
        <v>9.5</v>
      </c>
    </row>
    <row r="119" spans="1:13" x14ac:dyDescent="0.45">
      <c r="A119" s="10">
        <v>31</v>
      </c>
      <c r="B119" s="10">
        <v>179</v>
      </c>
      <c r="C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" s="10"/>
      <c r="E119" s="10"/>
      <c r="F119" s="12">
        <f ca="1">(RANDBETWEEN(0,50)/100)*(dict_DQ_Meth_max[[#This Row],[Vergleich_ub]]-dict_DQ_Meth_max[[#This Row],[Vergleich_lb]])+dict_DQ_Meth_max[[#This Row],[Vergleich_lb]]</f>
        <v>0.50479999999999992</v>
      </c>
      <c r="G119" s="12">
        <f ca="1">(RANDBETWEEN(50,100)/100)*(dict_DQ_Meth_max[[#This Row],[Vergleich_ub]]-dict_DQ_Meth_max[[#This Row],[Vergleich_lb]])+dict_DQ_Meth_max[[#This Row],[Vergleich_lb]]</f>
        <v>8.3756000000000004</v>
      </c>
      <c r="H119" s="11" t="str">
        <f ca="1">VLOOKUP(VLOOKUP(dict_DQ_Meth_max[[#This Row],[ID_DataQualities]],table_DataQualities[],3),table_Units[],2)</f>
        <v>+/- mm/s</v>
      </c>
      <c r="I119" s="10"/>
      <c r="J119" s="10"/>
      <c r="K119" s="10"/>
      <c r="L119" s="10">
        <f ca="1">VLOOKUP(dict_DQ_Meth_max[[#This Row],[ID_DataQualities]],table_DataQualities[],8,FALSE)</f>
        <v>0.13</v>
      </c>
      <c r="M119" s="10">
        <f ca="1">VLOOKUP(dict_DQ_Meth_max[[#This Row],[ID_DataQualities]],table_DataQualities[],9,FALSE)</f>
        <v>9.5</v>
      </c>
    </row>
    <row r="120" spans="1:13" x14ac:dyDescent="0.45">
      <c r="A120" s="10">
        <v>32</v>
      </c>
      <c r="B120" s="10">
        <v>562</v>
      </c>
      <c r="C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" s="10"/>
      <c r="E120" s="10"/>
      <c r="F120" s="12">
        <f ca="1">(RANDBETWEEN(0,50)/100)*(dict_DQ_Meth_max[[#This Row],[Vergleich_ub]]-dict_DQ_Meth_max[[#This Row],[Vergleich_lb]])+dict_DQ_Meth_max[[#This Row],[Vergleich_lb]]</f>
        <v>353.25956000000002</v>
      </c>
      <c r="G120" s="12">
        <f ca="1">(RANDBETWEEN(50,100)/100)*(dict_DQ_Meth_max[[#This Row],[Vergleich_ub]]-dict_DQ_Meth_max[[#This Row],[Vergleich_lb]])+dict_DQ_Meth_max[[#This Row],[Vergleich_lb]]</f>
        <v>914.96488999999997</v>
      </c>
      <c r="H120" s="11" t="str">
        <f ca="1">VLOOKUP(VLOOKUP(dict_DQ_Meth_max[[#This Row],[ID_DataQualities]],table_DataQualities[],3),table_Units[],2)</f>
        <v>Hz</v>
      </c>
      <c r="I120" s="10"/>
      <c r="J120" s="10"/>
      <c r="K120" s="10"/>
      <c r="L120" s="10">
        <f ca="1">VLOOKUP(dict_DQ_Meth_max[[#This Row],[ID_DataQualities]],table_DataQualities[],8,FALSE)</f>
        <v>0.81699999999999995</v>
      </c>
      <c r="M120" s="10">
        <f ca="1">VLOOKUP(dict_DQ_Meth_max[[#This Row],[ID_DataQualities]],table_DataQualities[],9,FALSE)</f>
        <v>1102.2</v>
      </c>
    </row>
    <row r="121" spans="1:13" x14ac:dyDescent="0.45">
      <c r="A121" s="10">
        <v>32</v>
      </c>
      <c r="B121" s="10">
        <v>317</v>
      </c>
      <c r="C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" s="10"/>
      <c r="E121" s="10"/>
      <c r="F121" s="12">
        <f ca="1">(RANDBETWEEN(0,50)/100)*(dict_DQ_Meth_max[[#This Row],[Vergleich_ub]]-dict_DQ_Meth_max[[#This Row],[Vergleich_lb]])+dict_DQ_Meth_max[[#This Row],[Vergleich_lb]]</f>
        <v>232.10742999999999</v>
      </c>
      <c r="G121" s="12">
        <f ca="1">(RANDBETWEEN(50,100)/100)*(dict_DQ_Meth_max[[#This Row],[Vergleich_ub]]-dict_DQ_Meth_max[[#This Row],[Vergleich_lb]])+dict_DQ_Meth_max[[#This Row],[Vergleich_lb]]</f>
        <v>683.67446000000007</v>
      </c>
      <c r="H121" s="11" t="str">
        <f ca="1">VLOOKUP(VLOOKUP(dict_DQ_Meth_max[[#This Row],[ID_DataQualities]],table_DataQualities[],3),table_Units[],2)</f>
        <v>Hz</v>
      </c>
      <c r="I121" s="10"/>
      <c r="J121" s="10"/>
      <c r="K121" s="10"/>
      <c r="L121" s="10">
        <f ca="1">VLOOKUP(dict_DQ_Meth_max[[#This Row],[ID_DataQualities]],table_DataQualities[],8,FALSE)</f>
        <v>0.81699999999999995</v>
      </c>
      <c r="M121" s="10">
        <f ca="1">VLOOKUP(dict_DQ_Meth_max[[#This Row],[ID_DataQualities]],table_DataQualities[],9,FALSE)</f>
        <v>1102.2</v>
      </c>
    </row>
    <row r="122" spans="1:13" x14ac:dyDescent="0.45">
      <c r="A122" s="10">
        <v>32</v>
      </c>
      <c r="B122" s="10">
        <v>6</v>
      </c>
      <c r="C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" s="10"/>
      <c r="E122" s="10"/>
      <c r="F122" s="12">
        <f ca="1">(RANDBETWEEN(0,50)/100)*(dict_DQ_Meth_max[[#This Row],[Vergleich_ub]]-dict_DQ_Meth_max[[#This Row],[Vergleich_lb]])+dict_DQ_Meth_max[[#This Row],[Vergleich_lb]]</f>
        <v>199.06594000000001</v>
      </c>
      <c r="G122" s="12">
        <f ca="1">(RANDBETWEEN(50,100)/100)*(dict_DQ_Meth_max[[#This Row],[Vergleich_ub]]-dict_DQ_Meth_max[[#This Row],[Vergleich_lb]])+dict_DQ_Meth_max[[#This Row],[Vergleich_lb]]</f>
        <v>826.85425000000009</v>
      </c>
      <c r="H122" s="11" t="str">
        <f ca="1">VLOOKUP(VLOOKUP(dict_DQ_Meth_max[[#This Row],[ID_DataQualities]],table_DataQualities[],3),table_Units[],2)</f>
        <v>Hz</v>
      </c>
      <c r="I122" s="10"/>
      <c r="J122" s="10"/>
      <c r="K122" s="10"/>
      <c r="L122" s="10">
        <f ca="1">VLOOKUP(dict_DQ_Meth_max[[#This Row],[ID_DataQualities]],table_DataQualities[],8,FALSE)</f>
        <v>0.81699999999999995</v>
      </c>
      <c r="M122" s="10">
        <f ca="1">VLOOKUP(dict_DQ_Meth_max[[#This Row],[ID_DataQualities]],table_DataQualities[],9,FALSE)</f>
        <v>1102.2</v>
      </c>
    </row>
    <row r="123" spans="1:13" x14ac:dyDescent="0.45">
      <c r="A123" s="10">
        <v>32</v>
      </c>
      <c r="B123" s="10">
        <v>149</v>
      </c>
      <c r="C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" s="10"/>
      <c r="E123" s="10"/>
      <c r="F123" s="12">
        <f ca="1">(RANDBETWEEN(0,50)/100)*(dict_DQ_Meth_max[[#This Row],[Vergleich_ub]]-dict_DQ_Meth_max[[#This Row],[Vergleich_lb]])+dict_DQ_Meth_max[[#This Row],[Vergleich_lb]]</f>
        <v>265.14892000000003</v>
      </c>
      <c r="G123" s="12">
        <f ca="1">(RANDBETWEEN(50,100)/100)*(dict_DQ_Meth_max[[#This Row],[Vergleich_ub]]-dict_DQ_Meth_max[[#This Row],[Vergleich_lb]])+dict_DQ_Meth_max[[#This Row],[Vergleich_lb]]</f>
        <v>1014.0893600000001</v>
      </c>
      <c r="H123" s="11" t="str">
        <f ca="1">VLOOKUP(VLOOKUP(dict_DQ_Meth_max[[#This Row],[ID_DataQualities]],table_DataQualities[],3),table_Units[],2)</f>
        <v>Hz</v>
      </c>
      <c r="I123" s="10"/>
      <c r="J123" s="10"/>
      <c r="K123" s="10"/>
      <c r="L123" s="10">
        <f ca="1">VLOOKUP(dict_DQ_Meth_max[[#This Row],[ID_DataQualities]],table_DataQualities[],8,FALSE)</f>
        <v>0.81699999999999995</v>
      </c>
      <c r="M123" s="10">
        <f ca="1">VLOOKUP(dict_DQ_Meth_max[[#This Row],[ID_DataQualities]],table_DataQualities[],9,FALSE)</f>
        <v>1102.2</v>
      </c>
    </row>
    <row r="124" spans="1:13" x14ac:dyDescent="0.45">
      <c r="A124" s="10">
        <v>33</v>
      </c>
      <c r="B124" s="10">
        <v>562</v>
      </c>
      <c r="C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" s="10"/>
      <c r="E124" s="10"/>
      <c r="F124" s="12">
        <f ca="1">(RANDBETWEEN(0,50)/100)*(dict_DQ_Meth_max[[#This Row],[Vergleich_ub]]-dict_DQ_Meth_max[[#This Row],[Vergleich_lb]])+dict_DQ_Meth_max[[#This Row],[Vergleich_lb]]</f>
        <v>1.9870000000000001</v>
      </c>
      <c r="G124" s="12">
        <f ca="1">(RANDBETWEEN(50,100)/100)*(dict_DQ_Meth_max[[#This Row],[Vergleich_ub]]-dict_DQ_Meth_max[[#This Row],[Vergleich_lb]])+dict_DQ_Meth_max[[#This Row],[Vergleich_lb]]</f>
        <v>3.5242</v>
      </c>
      <c r="H124" s="11" t="str">
        <f ca="1">VLOOKUP(VLOOKUP(dict_DQ_Meth_max[[#This Row],[ID_DataQualities]],table_DataQualities[],3),table_Units[],2)</f>
        <v>+/- mm/s</v>
      </c>
      <c r="I124" s="10"/>
      <c r="J124" s="10"/>
      <c r="K124" s="10"/>
      <c r="L124" s="10">
        <f ca="1">VLOOKUP(dict_DQ_Meth_max[[#This Row],[ID_DataQualities]],table_DataQualities[],8,FALSE)</f>
        <v>0.34</v>
      </c>
      <c r="M124" s="10">
        <f ca="1">VLOOKUP(dict_DQ_Meth_max[[#This Row],[ID_DataQualities]],table_DataQualities[],9,FALSE)</f>
        <v>4</v>
      </c>
    </row>
    <row r="125" spans="1:13" x14ac:dyDescent="0.45">
      <c r="A125" s="10">
        <v>33</v>
      </c>
      <c r="B125" s="10">
        <v>317</v>
      </c>
      <c r="C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" s="10"/>
      <c r="E125" s="10"/>
      <c r="F125" s="12">
        <f ca="1">(RANDBETWEEN(0,50)/100)*(dict_DQ_Meth_max[[#This Row],[Vergleich_ub]]-dict_DQ_Meth_max[[#This Row],[Vergleich_lb]])+dict_DQ_Meth_max[[#This Row],[Vergleich_lb]]</f>
        <v>1.1086</v>
      </c>
      <c r="G125" s="12">
        <f ca="1">(RANDBETWEEN(50,100)/100)*(dict_DQ_Meth_max[[#This Row],[Vergleich_ub]]-dict_DQ_Meth_max[[#This Row],[Vergleich_lb]])+dict_DQ_Meth_max[[#This Row],[Vergleich_lb]]</f>
        <v>2.7556000000000003</v>
      </c>
      <c r="H125" s="11" t="str">
        <f ca="1">VLOOKUP(VLOOKUP(dict_DQ_Meth_max[[#This Row],[ID_DataQualities]],table_DataQualities[],3),table_Units[],2)</f>
        <v>+/- mm/s</v>
      </c>
      <c r="I125" s="10"/>
      <c r="J125" s="10"/>
      <c r="K125" s="10"/>
      <c r="L125" s="10">
        <f ca="1">VLOOKUP(dict_DQ_Meth_max[[#This Row],[ID_DataQualities]],table_DataQualities[],8,FALSE)</f>
        <v>0.34</v>
      </c>
      <c r="M125" s="10">
        <f ca="1">VLOOKUP(dict_DQ_Meth_max[[#This Row],[ID_DataQualities]],table_DataQualities[],9,FALSE)</f>
        <v>4</v>
      </c>
    </row>
    <row r="126" spans="1:13" x14ac:dyDescent="0.45">
      <c r="A126" s="10">
        <v>33</v>
      </c>
      <c r="B126" s="10">
        <v>6</v>
      </c>
      <c r="C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" s="10"/>
      <c r="E126" s="10"/>
      <c r="F126" s="12">
        <f ca="1">(RANDBETWEEN(0,50)/100)*(dict_DQ_Meth_max[[#This Row],[Vergleich_ub]]-dict_DQ_Meth_max[[#This Row],[Vergleich_lb]])+dict_DQ_Meth_max[[#This Row],[Vergleich_lb]]</f>
        <v>2.0968</v>
      </c>
      <c r="G126" s="12">
        <f ca="1">(RANDBETWEEN(50,100)/100)*(dict_DQ_Meth_max[[#This Row],[Vergleich_ub]]-dict_DQ_Meth_max[[#This Row],[Vergleich_lb]])+dict_DQ_Meth_max[[#This Row],[Vergleich_lb]]</f>
        <v>3.6339999999999999</v>
      </c>
      <c r="H126" s="11" t="str">
        <f ca="1">VLOOKUP(VLOOKUP(dict_DQ_Meth_max[[#This Row],[ID_DataQualities]],table_DataQualities[],3),table_Units[],2)</f>
        <v>+/- mm/s</v>
      </c>
      <c r="I126" s="10"/>
      <c r="J126" s="10"/>
      <c r="K126" s="10"/>
      <c r="L126" s="10">
        <f ca="1">VLOOKUP(dict_DQ_Meth_max[[#This Row],[ID_DataQualities]],table_DataQualities[],8,FALSE)</f>
        <v>0.34</v>
      </c>
      <c r="M126" s="10">
        <f ca="1">VLOOKUP(dict_DQ_Meth_max[[#This Row],[ID_DataQualities]],table_DataQualities[],9,FALSE)</f>
        <v>4</v>
      </c>
    </row>
    <row r="127" spans="1:13" x14ac:dyDescent="0.45">
      <c r="A127" s="10">
        <v>33</v>
      </c>
      <c r="B127" s="10">
        <v>149</v>
      </c>
      <c r="C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" s="10"/>
      <c r="E127" s="10"/>
      <c r="F127" s="12">
        <f ca="1">(RANDBETWEEN(0,50)/100)*(dict_DQ_Meth_max[[#This Row],[Vergleich_ub]]-dict_DQ_Meth_max[[#This Row],[Vergleich_lb]])+dict_DQ_Meth_max[[#This Row],[Vergleich_lb]]</f>
        <v>0.74260000000000004</v>
      </c>
      <c r="G127" s="12">
        <f ca="1">(RANDBETWEEN(50,100)/100)*(dict_DQ_Meth_max[[#This Row],[Vergleich_ub]]-dict_DQ_Meth_max[[#This Row],[Vergleich_lb]])+dict_DQ_Meth_max[[#This Row],[Vergleich_lb]]</f>
        <v>3.0484</v>
      </c>
      <c r="H127" s="11" t="str">
        <f ca="1">VLOOKUP(VLOOKUP(dict_DQ_Meth_max[[#This Row],[ID_DataQualities]],table_DataQualities[],3),table_Units[],2)</f>
        <v>+/- mm/s</v>
      </c>
      <c r="I127" s="10"/>
      <c r="J127" s="10"/>
      <c r="K127" s="10"/>
      <c r="L127" s="10">
        <f ca="1">VLOOKUP(dict_DQ_Meth_max[[#This Row],[ID_DataQualities]],table_DataQualities[],8,FALSE)</f>
        <v>0.34</v>
      </c>
      <c r="M127" s="10">
        <f ca="1">VLOOKUP(dict_DQ_Meth_max[[#This Row],[ID_DataQualities]],table_DataQualities[],9,FALSE)</f>
        <v>4</v>
      </c>
    </row>
    <row r="128" spans="1:13" x14ac:dyDescent="0.45">
      <c r="A128" s="10">
        <v>34</v>
      </c>
      <c r="B128" s="10">
        <v>569</v>
      </c>
      <c r="C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" s="10"/>
      <c r="E128" s="10"/>
      <c r="F128" s="12">
        <f ca="1">(RANDBETWEEN(0,50)/100)*(dict_DQ_Meth_max[[#This Row],[Vergleich_ub]]-dict_DQ_Meth_max[[#This Row],[Vergleich_lb]])+dict_DQ_Meth_max[[#This Row],[Vergleich_lb]]</f>
        <v>2080.0386099999996</v>
      </c>
      <c r="G128" s="12">
        <f ca="1">(RANDBETWEEN(50,100)/100)*(dict_DQ_Meth_max[[#This Row],[Vergleich_ub]]-dict_DQ_Meth_max[[#This Row],[Vergleich_lb]])+dict_DQ_Meth_max[[#This Row],[Vergleich_lb]]</f>
        <v>3449.2412800000002</v>
      </c>
      <c r="H128" s="11" t="str">
        <f ca="1">VLOOKUP(VLOOKUP(dict_DQ_Meth_max[[#This Row],[ID_DataQualities]],table_DataQualities[],3),table_Units[],2)</f>
        <v>Hz</v>
      </c>
      <c r="I128" s="10"/>
      <c r="J128" s="10"/>
      <c r="K128" s="10"/>
      <c r="L128" s="10">
        <f ca="1">VLOOKUP(dict_DQ_Meth_max[[#This Row],[ID_DataQualities]],table_DataQualities[],8,FALSE)</f>
        <v>0.879</v>
      </c>
      <c r="M128" s="10">
        <f ca="1">VLOOKUP(dict_DQ_Meth_max[[#This Row],[ID_DataQualities]],table_DataQualities[],9,FALSE)</f>
        <v>5072</v>
      </c>
    </row>
    <row r="129" spans="1:13" x14ac:dyDescent="0.45">
      <c r="A129" s="10">
        <v>34</v>
      </c>
      <c r="B129" s="10">
        <v>24</v>
      </c>
      <c r="C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" s="10"/>
      <c r="E129" s="10"/>
      <c r="F129" s="12">
        <f ca="1">(RANDBETWEEN(0,50)/100)*(dict_DQ_Meth_max[[#This Row],[Vergleich_ub]]-dict_DQ_Meth_max[[#This Row],[Vergleich_lb]])+dict_DQ_Meth_max[[#This Row],[Vergleich_lb]]</f>
        <v>1826.4825599999999</v>
      </c>
      <c r="G129" s="12">
        <f ca="1">(RANDBETWEEN(50,100)/100)*(dict_DQ_Meth_max[[#This Row],[Vergleich_ub]]-dict_DQ_Meth_max[[#This Row],[Vergleich_lb]])+dict_DQ_Meth_max[[#This Row],[Vergleich_lb]]</f>
        <v>4666.3103200000005</v>
      </c>
      <c r="H129" s="11" t="str">
        <f ca="1">VLOOKUP(VLOOKUP(dict_DQ_Meth_max[[#This Row],[ID_DataQualities]],table_DataQualities[],3),table_Units[],2)</f>
        <v>Hz</v>
      </c>
      <c r="I129" s="10"/>
      <c r="J129" s="10"/>
      <c r="K129" s="10"/>
      <c r="L129" s="10">
        <f ca="1">VLOOKUP(dict_DQ_Meth_max[[#This Row],[ID_DataQualities]],table_DataQualities[],8,FALSE)</f>
        <v>0.879</v>
      </c>
      <c r="M129" s="10">
        <f ca="1">VLOOKUP(dict_DQ_Meth_max[[#This Row],[ID_DataQualities]],table_DataQualities[],9,FALSE)</f>
        <v>5072</v>
      </c>
    </row>
    <row r="130" spans="1:13" x14ac:dyDescent="0.45">
      <c r="A130" s="10">
        <v>34</v>
      </c>
      <c r="B130" s="10">
        <v>700</v>
      </c>
      <c r="C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" s="10"/>
      <c r="E130" s="10"/>
      <c r="F130" s="12">
        <f ca="1">(RANDBETWEEN(0,50)/100)*(dict_DQ_Meth_max[[#This Row],[Vergleich_ub]]-dict_DQ_Meth_max[[#This Row],[Vergleich_lb]])+dict_DQ_Meth_max[[#This Row],[Vergleich_lb]]</f>
        <v>2536.4395</v>
      </c>
      <c r="G130" s="12">
        <f ca="1">(RANDBETWEEN(50,100)/100)*(dict_DQ_Meth_max[[#This Row],[Vergleich_ub]]-dict_DQ_Meth_max[[#This Row],[Vergleich_lb]])+dict_DQ_Meth_max[[#This Row],[Vergleich_lb]]</f>
        <v>5021.2887899999996</v>
      </c>
      <c r="H130" s="11" t="str">
        <f ca="1">VLOOKUP(VLOOKUP(dict_DQ_Meth_max[[#This Row],[ID_DataQualities]],table_DataQualities[],3),table_Units[],2)</f>
        <v>Hz</v>
      </c>
      <c r="I130" s="10"/>
      <c r="J130" s="10"/>
      <c r="K130" s="10"/>
      <c r="L130" s="10">
        <f ca="1">VLOOKUP(dict_DQ_Meth_max[[#This Row],[ID_DataQualities]],table_DataQualities[],8,FALSE)</f>
        <v>0.879</v>
      </c>
      <c r="M130" s="10">
        <f ca="1">VLOOKUP(dict_DQ_Meth_max[[#This Row],[ID_DataQualities]],table_DataQualities[],9,FALSE)</f>
        <v>5072</v>
      </c>
    </row>
    <row r="131" spans="1:13" x14ac:dyDescent="0.45">
      <c r="A131" s="10">
        <v>34</v>
      </c>
      <c r="B131" s="10">
        <v>18</v>
      </c>
      <c r="C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" s="10"/>
      <c r="E131" s="10"/>
      <c r="F131" s="12">
        <f ca="1">(RANDBETWEEN(0,50)/100)*(dict_DQ_Meth_max[[#This Row],[Vergleich_ub]]-dict_DQ_Meth_max[[#This Row],[Vergleich_lb]])+dict_DQ_Meth_max[[#This Row],[Vergleich_lb]]</f>
        <v>710.83594000000005</v>
      </c>
      <c r="G131" s="12">
        <f ca="1">(RANDBETWEEN(50,100)/100)*(dict_DQ_Meth_max[[#This Row],[Vergleich_ub]]-dict_DQ_Meth_max[[#This Row],[Vergleich_lb]])+dict_DQ_Meth_max[[#This Row],[Vergleich_lb]]</f>
        <v>4818.4439499999999</v>
      </c>
      <c r="H131" s="11" t="str">
        <f ca="1">VLOOKUP(VLOOKUP(dict_DQ_Meth_max[[#This Row],[ID_DataQualities]],table_DataQualities[],3),table_Units[],2)</f>
        <v>Hz</v>
      </c>
      <c r="I131" s="10"/>
      <c r="J131" s="10"/>
      <c r="K131" s="10"/>
      <c r="L131" s="10">
        <f ca="1">VLOOKUP(dict_DQ_Meth_max[[#This Row],[ID_DataQualities]],table_DataQualities[],8,FALSE)</f>
        <v>0.879</v>
      </c>
      <c r="M131" s="10">
        <f ca="1">VLOOKUP(dict_DQ_Meth_max[[#This Row],[ID_DataQualities]],table_DataQualities[],9,FALSE)</f>
        <v>5072</v>
      </c>
    </row>
    <row r="132" spans="1:13" x14ac:dyDescent="0.45">
      <c r="A132" s="10">
        <v>34</v>
      </c>
      <c r="B132" s="10">
        <v>597</v>
      </c>
      <c r="C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" s="10"/>
      <c r="E132" s="10"/>
      <c r="F132" s="12">
        <f ca="1">(RANDBETWEEN(0,50)/100)*(dict_DQ_Meth_max[[#This Row],[Vergleich_ub]]-dict_DQ_Meth_max[[#This Row],[Vergleich_lb]])+dict_DQ_Meth_max[[#This Row],[Vergleich_lb]]</f>
        <v>2080.0386099999996</v>
      </c>
      <c r="G132" s="12">
        <f ca="1">(RANDBETWEEN(50,100)/100)*(dict_DQ_Meth_max[[#This Row],[Vergleich_ub]]-dict_DQ_Meth_max[[#This Row],[Vergleich_lb]])+dict_DQ_Meth_max[[#This Row],[Vergleich_lb]]</f>
        <v>2789.9955500000001</v>
      </c>
      <c r="H132" s="11" t="str">
        <f ca="1">VLOOKUP(VLOOKUP(dict_DQ_Meth_max[[#This Row],[ID_DataQualities]],table_DataQualities[],3),table_Units[],2)</f>
        <v>Hz</v>
      </c>
      <c r="I132" s="10"/>
      <c r="J132" s="10"/>
      <c r="K132" s="10"/>
      <c r="L132" s="10">
        <f ca="1">VLOOKUP(dict_DQ_Meth_max[[#This Row],[ID_DataQualities]],table_DataQualities[],8,FALSE)</f>
        <v>0.879</v>
      </c>
      <c r="M132" s="10">
        <f ca="1">VLOOKUP(dict_DQ_Meth_max[[#This Row],[ID_DataQualities]],table_DataQualities[],9,FALSE)</f>
        <v>5072</v>
      </c>
    </row>
    <row r="133" spans="1:13" x14ac:dyDescent="0.45">
      <c r="A133" s="10">
        <v>35</v>
      </c>
      <c r="B133" s="10">
        <v>24</v>
      </c>
      <c r="C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" s="10"/>
      <c r="E133" s="10"/>
      <c r="F133" s="12">
        <f ca="1">(RANDBETWEEN(0,50)/100)*(dict_DQ_Meth_max[[#This Row],[Vergleich_ub]]-dict_DQ_Meth_max[[#This Row],[Vergleich_lb]])+dict_DQ_Meth_max[[#This Row],[Vergleich_lb]]</f>
        <v>1.8899999999999997</v>
      </c>
      <c r="G133" s="12">
        <f ca="1">(RANDBETWEEN(50,100)/100)*(dict_DQ_Meth_max[[#This Row],[Vergleich_ub]]-dict_DQ_Meth_max[[#This Row],[Vergleich_lb]])+dict_DQ_Meth_max[[#This Row],[Vergleich_lb]]</f>
        <v>2.774</v>
      </c>
      <c r="H133" s="11" t="str">
        <f ca="1">VLOOKUP(VLOOKUP(dict_DQ_Meth_max[[#This Row],[ID_DataQualities]],table_DataQualities[],3),table_Units[],2)</f>
        <v>+/- mm/s</v>
      </c>
      <c r="I133" s="10"/>
      <c r="J133" s="10"/>
      <c r="K133" s="10"/>
      <c r="L133" s="10">
        <f ca="1">VLOOKUP(dict_DQ_Meth_max[[#This Row],[ID_DataQualities]],table_DataQualities[],8,FALSE)</f>
        <v>0.7</v>
      </c>
      <c r="M133" s="10">
        <f ca="1">VLOOKUP(dict_DQ_Meth_max[[#This Row],[ID_DataQualities]],table_DataQualities[],9,FALSE)</f>
        <v>4.0999999999999996</v>
      </c>
    </row>
    <row r="134" spans="1:13" x14ac:dyDescent="0.45">
      <c r="A134" s="10">
        <v>35</v>
      </c>
      <c r="B134" s="10">
        <v>569</v>
      </c>
      <c r="C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" s="10"/>
      <c r="E134" s="10"/>
      <c r="F134" s="12">
        <f ca="1">(RANDBETWEEN(0,50)/100)*(dict_DQ_Meth_max[[#This Row],[Vergleich_ub]]-dict_DQ_Meth_max[[#This Row],[Vergleich_lb]])+dict_DQ_Meth_max[[#This Row],[Vergleich_lb]]</f>
        <v>2.2299999999999995</v>
      </c>
      <c r="G134" s="12">
        <f ca="1">(RANDBETWEEN(50,100)/100)*(dict_DQ_Meth_max[[#This Row],[Vergleich_ub]]-dict_DQ_Meth_max[[#This Row],[Vergleich_lb]])+dict_DQ_Meth_max[[#This Row],[Vergleich_lb]]</f>
        <v>3.59</v>
      </c>
      <c r="H134" s="11" t="str">
        <f ca="1">VLOOKUP(VLOOKUP(dict_DQ_Meth_max[[#This Row],[ID_DataQualities]],table_DataQualities[],3),table_Units[],2)</f>
        <v>+/- mm/s</v>
      </c>
      <c r="I134" s="10"/>
      <c r="J134" s="10"/>
      <c r="K134" s="10"/>
      <c r="L134" s="10">
        <f ca="1">VLOOKUP(dict_DQ_Meth_max[[#This Row],[ID_DataQualities]],table_DataQualities[],8,FALSE)</f>
        <v>0.7</v>
      </c>
      <c r="M134" s="10">
        <f ca="1">VLOOKUP(dict_DQ_Meth_max[[#This Row],[ID_DataQualities]],table_DataQualities[],9,FALSE)</f>
        <v>4.0999999999999996</v>
      </c>
    </row>
    <row r="135" spans="1:13" x14ac:dyDescent="0.45">
      <c r="A135" s="10">
        <v>35</v>
      </c>
      <c r="B135" s="10">
        <v>700</v>
      </c>
      <c r="C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" s="10"/>
      <c r="E135" s="10"/>
      <c r="F135" s="12">
        <f ca="1">(RANDBETWEEN(0,50)/100)*(dict_DQ_Meth_max[[#This Row],[Vergleich_ub]]-dict_DQ_Meth_max[[#This Row],[Vergleich_lb]])+dict_DQ_Meth_max[[#This Row],[Vergleich_lb]]</f>
        <v>1.278</v>
      </c>
      <c r="G135" s="12">
        <f ca="1">(RANDBETWEEN(50,100)/100)*(dict_DQ_Meth_max[[#This Row],[Vergleich_ub]]-dict_DQ_Meth_max[[#This Row],[Vergleich_lb]])+dict_DQ_Meth_max[[#This Row],[Vergleich_lb]]</f>
        <v>3.5559999999999992</v>
      </c>
      <c r="H135" s="11" t="str">
        <f ca="1">VLOOKUP(VLOOKUP(dict_DQ_Meth_max[[#This Row],[ID_DataQualities]],table_DataQualities[],3),table_Units[],2)</f>
        <v>+/- mm/s</v>
      </c>
      <c r="I135" s="10"/>
      <c r="J135" s="10"/>
      <c r="K135" s="10"/>
      <c r="L135" s="10">
        <f ca="1">VLOOKUP(dict_DQ_Meth_max[[#This Row],[ID_DataQualities]],table_DataQualities[],8,FALSE)</f>
        <v>0.7</v>
      </c>
      <c r="M135" s="10">
        <f ca="1">VLOOKUP(dict_DQ_Meth_max[[#This Row],[ID_DataQualities]],table_DataQualities[],9,FALSE)</f>
        <v>4.0999999999999996</v>
      </c>
    </row>
    <row r="136" spans="1:13" x14ac:dyDescent="0.45">
      <c r="A136" s="10">
        <v>35</v>
      </c>
      <c r="B136" s="10">
        <v>18</v>
      </c>
      <c r="C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" s="10"/>
      <c r="E136" s="10"/>
      <c r="F136" s="12">
        <f ca="1">(RANDBETWEEN(0,50)/100)*(dict_DQ_Meth_max[[#This Row],[Vergleich_ub]]-dict_DQ_Meth_max[[#This Row],[Vergleich_lb]])+dict_DQ_Meth_max[[#This Row],[Vergleich_lb]]</f>
        <v>0.80199999999999994</v>
      </c>
      <c r="G136" s="12">
        <f ca="1">(RANDBETWEEN(50,100)/100)*(dict_DQ_Meth_max[[#This Row],[Vergleich_ub]]-dict_DQ_Meth_max[[#This Row],[Vergleich_lb]])+dict_DQ_Meth_max[[#This Row],[Vergleich_lb]]</f>
        <v>3.8279999999999994</v>
      </c>
      <c r="H136" s="11" t="str">
        <f ca="1">VLOOKUP(VLOOKUP(dict_DQ_Meth_max[[#This Row],[ID_DataQualities]],table_DataQualities[],3),table_Units[],2)</f>
        <v>+/- mm/s</v>
      </c>
      <c r="I136" s="10"/>
      <c r="J136" s="10"/>
      <c r="K136" s="10"/>
      <c r="L136" s="10">
        <f ca="1">VLOOKUP(dict_DQ_Meth_max[[#This Row],[ID_DataQualities]],table_DataQualities[],8,FALSE)</f>
        <v>0.7</v>
      </c>
      <c r="M136" s="10">
        <f ca="1">VLOOKUP(dict_DQ_Meth_max[[#This Row],[ID_DataQualities]],table_DataQualities[],9,FALSE)</f>
        <v>4.0999999999999996</v>
      </c>
    </row>
    <row r="137" spans="1:13" x14ac:dyDescent="0.45">
      <c r="A137" s="10">
        <v>35</v>
      </c>
      <c r="B137" s="10">
        <v>597</v>
      </c>
      <c r="C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" s="10"/>
      <c r="E137" s="10"/>
      <c r="F137" s="12">
        <f ca="1">(RANDBETWEEN(0,50)/100)*(dict_DQ_Meth_max[[#This Row],[Vergleich_ub]]-dict_DQ_Meth_max[[#This Row],[Vergleich_lb]])+dict_DQ_Meth_max[[#This Row],[Vergleich_lb]]</f>
        <v>0.7</v>
      </c>
      <c r="G137" s="12">
        <f ca="1">(RANDBETWEEN(50,100)/100)*(dict_DQ_Meth_max[[#This Row],[Vergleich_ub]]-dict_DQ_Meth_max[[#This Row],[Vergleich_lb]])+dict_DQ_Meth_max[[#This Row],[Vergleich_lb]]</f>
        <v>3.0799999999999992</v>
      </c>
      <c r="H137" s="11" t="str">
        <f ca="1">VLOOKUP(VLOOKUP(dict_DQ_Meth_max[[#This Row],[ID_DataQualities]],table_DataQualities[],3),table_Units[],2)</f>
        <v>+/- mm/s</v>
      </c>
      <c r="I137" s="10"/>
      <c r="J137" s="10"/>
      <c r="K137" s="10"/>
      <c r="L137" s="10">
        <f ca="1">VLOOKUP(dict_DQ_Meth_max[[#This Row],[ID_DataQualities]],table_DataQualities[],8,FALSE)</f>
        <v>0.7</v>
      </c>
      <c r="M137" s="10">
        <f ca="1">VLOOKUP(dict_DQ_Meth_max[[#This Row],[ID_DataQualities]],table_DataQualities[],9,FALSE)</f>
        <v>4.0999999999999996</v>
      </c>
    </row>
    <row r="138" spans="1:13" x14ac:dyDescent="0.45">
      <c r="A138" s="10">
        <v>36</v>
      </c>
      <c r="B138" s="10">
        <v>467</v>
      </c>
      <c r="C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" s="10"/>
      <c r="E138" s="10"/>
      <c r="F138" s="12">
        <f ca="1">(RANDBETWEEN(0,50)/100)*(dict_DQ_Meth_max[[#This Row],[Vergleich_ub]]-dict_DQ_Meth_max[[#This Row],[Vergleich_lb]])+dict_DQ_Meth_max[[#This Row],[Vergleich_lb]]</f>
        <v>1543.9393700000001</v>
      </c>
      <c r="G138" s="12">
        <f ca="1">(RANDBETWEEN(50,100)/100)*(dict_DQ_Meth_max[[#This Row],[Vergleich_ub]]-dict_DQ_Meth_max[[#This Row],[Vergleich_lb]])+dict_DQ_Meth_max[[#This Row],[Vergleich_lb]]</f>
        <v>8624.0469499999999</v>
      </c>
      <c r="H138" s="11" t="str">
        <f ca="1">VLOOKUP(VLOOKUP(dict_DQ_Meth_max[[#This Row],[ID_DataQualities]],table_DataQualities[],3),table_Units[],2)</f>
        <v>Hz</v>
      </c>
      <c r="I138" s="10"/>
      <c r="J138" s="10"/>
      <c r="K138" s="10"/>
      <c r="L138" s="10">
        <f ca="1">VLOOKUP(dict_DQ_Meth_max[[#This Row],[ID_DataQualities]],table_DataQualities[],8,FALSE)</f>
        <v>0.83899999999999997</v>
      </c>
      <c r="M138" s="10">
        <f ca="1">VLOOKUP(dict_DQ_Meth_max[[#This Row],[ID_DataQualities]],table_DataQualities[],9,FALSE)</f>
        <v>9077.9</v>
      </c>
    </row>
    <row r="139" spans="1:13" x14ac:dyDescent="0.45">
      <c r="A139" s="10">
        <v>36</v>
      </c>
      <c r="B139" s="10">
        <v>396</v>
      </c>
      <c r="C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" s="10"/>
      <c r="E139" s="10"/>
      <c r="F139" s="12">
        <f ca="1">(RANDBETWEEN(0,50)/100)*(dict_DQ_Meth_max[[#This Row],[Vergleich_ub]]-dict_DQ_Meth_max[[#This Row],[Vergleich_lb]])+dict_DQ_Meth_max[[#This Row],[Vergleich_lb]]</f>
        <v>908.54510000000005</v>
      </c>
      <c r="G139" s="12">
        <f ca="1">(RANDBETWEEN(50,100)/100)*(dict_DQ_Meth_max[[#This Row],[Vergleich_ub]]-dict_DQ_Meth_max[[#This Row],[Vergleich_lb]])+dict_DQ_Meth_max[[#This Row],[Vergleich_lb]]</f>
        <v>5810.1580400000003</v>
      </c>
      <c r="H139" s="11" t="str">
        <f ca="1">VLOOKUP(VLOOKUP(dict_DQ_Meth_max[[#This Row],[ID_DataQualities]],table_DataQualities[],3),table_Units[],2)</f>
        <v>Hz</v>
      </c>
      <c r="I139" s="10"/>
      <c r="J139" s="10"/>
      <c r="K139" s="10"/>
      <c r="L139" s="10">
        <f ca="1">VLOOKUP(dict_DQ_Meth_max[[#This Row],[ID_DataQualities]],table_DataQualities[],8,FALSE)</f>
        <v>0.83899999999999997</v>
      </c>
      <c r="M139" s="10">
        <f ca="1">VLOOKUP(dict_DQ_Meth_max[[#This Row],[ID_DataQualities]],table_DataQualities[],9,FALSE)</f>
        <v>9077.9</v>
      </c>
    </row>
    <row r="140" spans="1:13" x14ac:dyDescent="0.45">
      <c r="A140" s="10">
        <v>36</v>
      </c>
      <c r="B140" s="10">
        <v>543</v>
      </c>
      <c r="C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" s="10"/>
      <c r="E140" s="10"/>
      <c r="F140" s="12">
        <f ca="1">(RANDBETWEEN(0,50)/100)*(dict_DQ_Meth_max[[#This Row],[Vergleich_ub]]-dict_DQ_Meth_max[[#This Row],[Vergleich_lb]])+dict_DQ_Meth_max[[#This Row],[Vergleich_lb]]</f>
        <v>2905.4985200000001</v>
      </c>
      <c r="G140" s="12">
        <f ca="1">(RANDBETWEEN(50,100)/100)*(dict_DQ_Meth_max[[#This Row],[Vergleich_ub]]-dict_DQ_Meth_max[[#This Row],[Vergleich_lb]])+dict_DQ_Meth_max[[#This Row],[Vergleich_lb]]</f>
        <v>5810.1580400000003</v>
      </c>
      <c r="H140" s="11" t="str">
        <f ca="1">VLOOKUP(VLOOKUP(dict_DQ_Meth_max[[#This Row],[ID_DataQualities]],table_DataQualities[],3),table_Units[],2)</f>
        <v>Hz</v>
      </c>
      <c r="I140" s="10"/>
      <c r="J140" s="10"/>
      <c r="K140" s="10"/>
      <c r="L140" s="10">
        <f ca="1">VLOOKUP(dict_DQ_Meth_max[[#This Row],[ID_DataQualities]],table_DataQualities[],8,FALSE)</f>
        <v>0.83899999999999997</v>
      </c>
      <c r="M140" s="10">
        <f ca="1">VLOOKUP(dict_DQ_Meth_max[[#This Row],[ID_DataQualities]],table_DataQualities[],9,FALSE)</f>
        <v>9077.9</v>
      </c>
    </row>
    <row r="141" spans="1:13" x14ac:dyDescent="0.45">
      <c r="A141" s="10">
        <v>36</v>
      </c>
      <c r="B141" s="10">
        <v>292</v>
      </c>
      <c r="C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" s="10"/>
      <c r="E141" s="10"/>
      <c r="F141" s="12">
        <f ca="1">(RANDBETWEEN(0,50)/100)*(dict_DQ_Meth_max[[#This Row],[Vergleich_ub]]-dict_DQ_Meth_max[[#This Row],[Vergleich_lb]])+dict_DQ_Meth_max[[#This Row],[Vergleich_lb]]</f>
        <v>4539.3694999999998</v>
      </c>
      <c r="G141" s="12">
        <f ca="1">(RANDBETWEEN(50,100)/100)*(dict_DQ_Meth_max[[#This Row],[Vergleich_ub]]-dict_DQ_Meth_max[[#This Row],[Vergleich_lb]])+dict_DQ_Meth_max[[#This Row],[Vergleich_lb]]</f>
        <v>8079.4232899999997</v>
      </c>
      <c r="H141" s="11" t="str">
        <f ca="1">VLOOKUP(VLOOKUP(dict_DQ_Meth_max[[#This Row],[ID_DataQualities]],table_DataQualities[],3),table_Units[],2)</f>
        <v>Hz</v>
      </c>
      <c r="I141" s="10"/>
      <c r="J141" s="10"/>
      <c r="K141" s="10"/>
      <c r="L141" s="10">
        <f ca="1">VLOOKUP(dict_DQ_Meth_max[[#This Row],[ID_DataQualities]],table_DataQualities[],8,FALSE)</f>
        <v>0.83899999999999997</v>
      </c>
      <c r="M141" s="10">
        <f ca="1">VLOOKUP(dict_DQ_Meth_max[[#This Row],[ID_DataQualities]],table_DataQualities[],9,FALSE)</f>
        <v>9077.9</v>
      </c>
    </row>
    <row r="142" spans="1:13" x14ac:dyDescent="0.45">
      <c r="A142" s="10">
        <v>37</v>
      </c>
      <c r="B142" s="10">
        <v>396</v>
      </c>
      <c r="C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" s="10"/>
      <c r="E142" s="10"/>
      <c r="F142" s="12">
        <f ca="1">(RANDBETWEEN(0,50)/100)*(dict_DQ_Meth_max[[#This Row],[Vergleich_ub]]-dict_DQ_Meth_max[[#This Row],[Vergleich_lb]])+dict_DQ_Meth_max[[#This Row],[Vergleich_lb]]</f>
        <v>2.8604600000000002</v>
      </c>
      <c r="G142" s="12">
        <f ca="1">(RANDBETWEEN(50,100)/100)*(dict_DQ_Meth_max[[#This Row],[Vergleich_ub]]-dict_DQ_Meth_max[[#This Row],[Vergleich_lb]])+dict_DQ_Meth_max[[#This Row],[Vergleich_lb]]</f>
        <v>7.1760799999999989</v>
      </c>
      <c r="H142" s="11" t="str">
        <f ca="1">VLOOKUP(VLOOKUP(dict_DQ_Meth_max[[#This Row],[ID_DataQualities]],table_DataQualities[],3),table_Units[],2)</f>
        <v>+/- W</v>
      </c>
      <c r="I142" s="10"/>
      <c r="J142" s="10"/>
      <c r="K142" s="10"/>
      <c r="L142" s="10">
        <f ca="1">VLOOKUP(dict_DQ_Meth_max[[#This Row],[ID_DataQualities]],table_DataQualities[],8,FALSE)</f>
        <v>6.8000000000000005E-2</v>
      </c>
      <c r="M142" s="10">
        <f ca="1">VLOOKUP(dict_DQ_Meth_max[[#This Row],[ID_DataQualities]],table_DataQualities[],9,FALSE)</f>
        <v>8.5299999999999994</v>
      </c>
    </row>
    <row r="143" spans="1:13" x14ac:dyDescent="0.45">
      <c r="A143" s="10">
        <v>37</v>
      </c>
      <c r="B143" s="10">
        <v>292</v>
      </c>
      <c r="C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" s="10"/>
      <c r="E143" s="10"/>
      <c r="F143" s="12">
        <f ca="1">(RANDBETWEEN(0,50)/100)*(dict_DQ_Meth_max[[#This Row],[Vergleich_ub]]-dict_DQ_Meth_max[[#This Row],[Vergleich_lb]])+dict_DQ_Meth_max[[#This Row],[Vergleich_lb]]</f>
        <v>2.0988799999999999</v>
      </c>
      <c r="G143" s="12">
        <f ca="1">(RANDBETWEEN(50,100)/100)*(dict_DQ_Meth_max[[#This Row],[Vergleich_ub]]-dict_DQ_Meth_max[[#This Row],[Vergleich_lb]])+dict_DQ_Meth_max[[#This Row],[Vergleich_lb]]</f>
        <v>8.1068999999999996</v>
      </c>
      <c r="H143" s="11" t="str">
        <f ca="1">VLOOKUP(VLOOKUP(dict_DQ_Meth_max[[#This Row],[ID_DataQualities]],table_DataQualities[],3),table_Units[],2)</f>
        <v>+/- W</v>
      </c>
      <c r="I143" s="10"/>
      <c r="J143" s="10"/>
      <c r="K143" s="10"/>
      <c r="L143" s="10">
        <f ca="1">VLOOKUP(dict_DQ_Meth_max[[#This Row],[ID_DataQualities]],table_DataQualities[],8,FALSE)</f>
        <v>6.8000000000000005E-2</v>
      </c>
      <c r="M143" s="10">
        <f ca="1">VLOOKUP(dict_DQ_Meth_max[[#This Row],[ID_DataQualities]],table_DataQualities[],9,FALSE)</f>
        <v>8.5299999999999994</v>
      </c>
    </row>
    <row r="144" spans="1:13" x14ac:dyDescent="0.45">
      <c r="A144" s="10">
        <v>37</v>
      </c>
      <c r="B144" s="10">
        <v>467</v>
      </c>
      <c r="C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" s="10"/>
      <c r="E144" s="10"/>
      <c r="F144" s="12">
        <f ca="1">(RANDBETWEEN(0,50)/100)*(dict_DQ_Meth_max[[#This Row],[Vergleich_ub]]-dict_DQ_Meth_max[[#This Row],[Vergleich_lb]])+dict_DQ_Meth_max[[#This Row],[Vergleich_lb]]</f>
        <v>3.3681800000000002</v>
      </c>
      <c r="G144" s="12">
        <f ca="1">(RANDBETWEEN(50,100)/100)*(dict_DQ_Meth_max[[#This Row],[Vergleich_ub]]-dict_DQ_Meth_max[[#This Row],[Vergleich_lb]])+dict_DQ_Meth_max[[#This Row],[Vergleich_lb]]</f>
        <v>8.3607599999999991</v>
      </c>
      <c r="H144" s="11" t="str">
        <f ca="1">VLOOKUP(VLOOKUP(dict_DQ_Meth_max[[#This Row],[ID_DataQualities]],table_DataQualities[],3),table_Units[],2)</f>
        <v>+/- W</v>
      </c>
      <c r="I144" s="10"/>
      <c r="J144" s="10"/>
      <c r="K144" s="10"/>
      <c r="L144" s="10">
        <f ca="1">VLOOKUP(dict_DQ_Meth_max[[#This Row],[ID_DataQualities]],table_DataQualities[],8,FALSE)</f>
        <v>6.8000000000000005E-2</v>
      </c>
      <c r="M144" s="10">
        <f ca="1">VLOOKUP(dict_DQ_Meth_max[[#This Row],[ID_DataQualities]],table_DataQualities[],9,FALSE)</f>
        <v>8.5299999999999994</v>
      </c>
    </row>
    <row r="145" spans="1:13" x14ac:dyDescent="0.45">
      <c r="A145" s="10">
        <v>37</v>
      </c>
      <c r="B145" s="10">
        <v>543</v>
      </c>
      <c r="C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" s="10"/>
      <c r="E145" s="10"/>
      <c r="F145" s="12">
        <f ca="1">(RANDBETWEEN(0,50)/100)*(dict_DQ_Meth_max[[#This Row],[Vergleich_ub]]-dict_DQ_Meth_max[[#This Row],[Vergleich_lb]])+dict_DQ_Meth_max[[#This Row],[Vergleich_lb]]</f>
        <v>4.1297599999999992</v>
      </c>
      <c r="G145" s="12">
        <f ca="1">(RANDBETWEEN(50,100)/100)*(dict_DQ_Meth_max[[#This Row],[Vergleich_ub]]-dict_DQ_Meth_max[[#This Row],[Vergleich_lb]])+dict_DQ_Meth_max[[#This Row],[Vergleich_lb]]</f>
        <v>5.4836799999999997</v>
      </c>
      <c r="H145" s="11" t="str">
        <f ca="1">VLOOKUP(VLOOKUP(dict_DQ_Meth_max[[#This Row],[ID_DataQualities]],table_DataQualities[],3),table_Units[],2)</f>
        <v>+/- W</v>
      </c>
      <c r="I145" s="10"/>
      <c r="J145" s="10"/>
      <c r="K145" s="10"/>
      <c r="L145" s="10">
        <f ca="1">VLOOKUP(dict_DQ_Meth_max[[#This Row],[ID_DataQualities]],table_DataQualities[],8,FALSE)</f>
        <v>6.8000000000000005E-2</v>
      </c>
      <c r="M145" s="10">
        <f ca="1">VLOOKUP(dict_DQ_Meth_max[[#This Row],[ID_DataQualities]],table_DataQualities[],9,FALSE)</f>
        <v>8.5299999999999994</v>
      </c>
    </row>
    <row r="146" spans="1:13" x14ac:dyDescent="0.45">
      <c r="A146" s="10">
        <v>38</v>
      </c>
      <c r="B146" s="10">
        <v>239</v>
      </c>
      <c r="C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" s="10"/>
      <c r="E146" s="10"/>
      <c r="F146" s="12">
        <f ca="1">(RANDBETWEEN(0,50)/100)*(dict_DQ_Meth_max[[#This Row],[Vergleich_ub]]-dict_DQ_Meth_max[[#This Row],[Vergleich_lb]])+dict_DQ_Meth_max[[#This Row],[Vergleich_lb]]</f>
        <v>1241.3433599999998</v>
      </c>
      <c r="G146" s="12">
        <f ca="1">(RANDBETWEEN(50,100)/100)*(dict_DQ_Meth_max[[#This Row],[Vergleich_ub]]-dict_DQ_Meth_max[[#This Row],[Vergleich_lb]])+dict_DQ_Meth_max[[#This Row],[Vergleich_lb]]</f>
        <v>5514.8496000000005</v>
      </c>
      <c r="H146" s="11" t="str">
        <f ca="1">VLOOKUP(VLOOKUP(dict_DQ_Meth_max[[#This Row],[ID_DataQualities]],table_DataQualities[],3),table_Units[],2)</f>
        <v>Hz</v>
      </c>
      <c r="I146" s="10"/>
      <c r="J146" s="10"/>
      <c r="K146" s="10"/>
      <c r="L146" s="10">
        <f ca="1">VLOOKUP(dict_DQ_Meth_max[[#This Row],[ID_DataQualities]],table_DataQualities[],8,FALSE)</f>
        <v>0.64800000000000002</v>
      </c>
      <c r="M146" s="10">
        <f ca="1">VLOOKUP(dict_DQ_Meth_max[[#This Row],[ID_DataQualities]],table_DataQualities[],9,FALSE)</f>
        <v>6893.4</v>
      </c>
    </row>
    <row r="147" spans="1:13" x14ac:dyDescent="0.45">
      <c r="A147" s="10">
        <v>38</v>
      </c>
      <c r="B147" s="10">
        <v>320</v>
      </c>
      <c r="C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" s="10"/>
      <c r="E147" s="10"/>
      <c r="F147" s="12">
        <f ca="1">(RANDBETWEEN(0,50)/100)*(dict_DQ_Meth_max[[#This Row],[Vergleich_ub]]-dict_DQ_Meth_max[[#This Row],[Vergleich_lb]])+dict_DQ_Meth_max[[#This Row],[Vergleich_lb]]</f>
        <v>414.21312</v>
      </c>
      <c r="G147" s="12">
        <f ca="1">(RANDBETWEEN(50,100)/100)*(dict_DQ_Meth_max[[#This Row],[Vergleich_ub]]-dict_DQ_Meth_max[[#This Row],[Vergleich_lb]])+dict_DQ_Meth_max[[#This Row],[Vergleich_lb]]</f>
        <v>4687.7193600000001</v>
      </c>
      <c r="H147" s="11" t="str">
        <f ca="1">VLOOKUP(VLOOKUP(dict_DQ_Meth_max[[#This Row],[ID_DataQualities]],table_DataQualities[],3),table_Units[],2)</f>
        <v>Hz</v>
      </c>
      <c r="I147" s="10"/>
      <c r="J147" s="10"/>
      <c r="K147" s="10"/>
      <c r="L147" s="10">
        <f ca="1">VLOOKUP(dict_DQ_Meth_max[[#This Row],[ID_DataQualities]],table_DataQualities[],8,FALSE)</f>
        <v>0.64800000000000002</v>
      </c>
      <c r="M147" s="10">
        <f ca="1">VLOOKUP(dict_DQ_Meth_max[[#This Row],[ID_DataQualities]],table_DataQualities[],9,FALSE)</f>
        <v>6893.4</v>
      </c>
    </row>
    <row r="148" spans="1:13" x14ac:dyDescent="0.45">
      <c r="A148" s="10">
        <v>39</v>
      </c>
      <c r="B148" s="10">
        <v>239</v>
      </c>
      <c r="C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" s="10"/>
      <c r="E148" s="10"/>
      <c r="F148" s="12">
        <f ca="1">(RANDBETWEEN(0,50)/100)*(dict_DQ_Meth_max[[#This Row],[Vergleich_ub]]-dict_DQ_Meth_max[[#This Row],[Vergleich_lb]])+dict_DQ_Meth_max[[#This Row],[Vergleich_lb]]</f>
        <v>3.238</v>
      </c>
      <c r="G148" s="12">
        <f ca="1">(RANDBETWEEN(50,100)/100)*(dict_DQ_Meth_max[[#This Row],[Vergleich_ub]]-dict_DQ_Meth_max[[#This Row],[Vergleich_lb]])+dict_DQ_Meth_max[[#This Row],[Vergleich_lb]]</f>
        <v>6.1620000000000008</v>
      </c>
      <c r="H148" s="11" t="str">
        <f ca="1">VLOOKUP(VLOOKUP(dict_DQ_Meth_max[[#This Row],[ID_DataQualities]],table_DataQualities[],3),table_Units[],2)</f>
        <v>+/- °C</v>
      </c>
      <c r="I148" s="10"/>
      <c r="J148" s="10"/>
      <c r="K148" s="10"/>
      <c r="L148" s="10">
        <f ca="1">VLOOKUP(dict_DQ_Meth_max[[#This Row],[ID_DataQualities]],table_DataQualities[],8,FALSE)</f>
        <v>0.4</v>
      </c>
      <c r="M148" s="10">
        <f ca="1">VLOOKUP(dict_DQ_Meth_max[[#This Row],[ID_DataQualities]],table_DataQualities[],9,FALSE)</f>
        <v>9</v>
      </c>
    </row>
    <row r="149" spans="1:13" x14ac:dyDescent="0.45">
      <c r="A149" s="10">
        <v>39</v>
      </c>
      <c r="B149" s="10">
        <v>320</v>
      </c>
      <c r="C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" s="10"/>
      <c r="E149" s="10"/>
      <c r="F149" s="12">
        <f ca="1">(RANDBETWEEN(0,50)/100)*(dict_DQ_Meth_max[[#This Row],[Vergleich_ub]]-dict_DQ_Meth_max[[#This Row],[Vergleich_lb]])+dict_DQ_Meth_max[[#This Row],[Vergleich_lb]]</f>
        <v>0.48599999999999999</v>
      </c>
      <c r="G149" s="12">
        <f ca="1">(RANDBETWEEN(50,100)/100)*(dict_DQ_Meth_max[[#This Row],[Vergleich_ub]]-dict_DQ_Meth_max[[#This Row],[Vergleich_lb]])+dict_DQ_Meth_max[[#This Row],[Vergleich_lb]]</f>
        <v>6.6779999999999999</v>
      </c>
      <c r="H149" s="11" t="str">
        <f ca="1">VLOOKUP(VLOOKUP(dict_DQ_Meth_max[[#This Row],[ID_DataQualities]],table_DataQualities[],3),table_Units[],2)</f>
        <v>+/- °C</v>
      </c>
      <c r="I149" s="10"/>
      <c r="J149" s="10"/>
      <c r="K149" s="10"/>
      <c r="L149" s="10">
        <f ca="1">VLOOKUP(dict_DQ_Meth_max[[#This Row],[ID_DataQualities]],table_DataQualities[],8,FALSE)</f>
        <v>0.4</v>
      </c>
      <c r="M149" s="10">
        <f ca="1">VLOOKUP(dict_DQ_Meth_max[[#This Row],[ID_DataQualities]],table_DataQualities[],9,FALSE)</f>
        <v>9</v>
      </c>
    </row>
    <row r="150" spans="1:13" x14ac:dyDescent="0.45">
      <c r="A150" s="10">
        <v>40</v>
      </c>
      <c r="B150" s="10">
        <v>154</v>
      </c>
      <c r="C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" s="10"/>
      <c r="E150" s="10"/>
      <c r="F150" s="12">
        <f ca="1">(RANDBETWEEN(0,50)/100)*(dict_DQ_Meth_max[[#This Row],[Vergleich_ub]]-dict_DQ_Meth_max[[#This Row],[Vergleich_lb]])+dict_DQ_Meth_max[[#This Row],[Vergleich_lb]]</f>
        <v>635.09104000000002</v>
      </c>
      <c r="G150" s="12">
        <f ca="1">(RANDBETWEEN(50,100)/100)*(dict_DQ_Meth_max[[#This Row],[Vergleich_ub]]-dict_DQ_Meth_max[[#This Row],[Vergleich_lb]])+dict_DQ_Meth_max[[#This Row],[Vergleich_lb]]</f>
        <v>2017.1564800000001</v>
      </c>
      <c r="H150" s="11" t="str">
        <f ca="1">VLOOKUP(VLOOKUP(dict_DQ_Meth_max[[#This Row],[ID_DataQualities]],table_DataQualities[],3),table_Units[],2)</f>
        <v>Hz</v>
      </c>
      <c r="I150" s="10"/>
      <c r="J150" s="10"/>
      <c r="K150" s="10"/>
      <c r="L150" s="10">
        <f ca="1">VLOOKUP(dict_DQ_Meth_max[[#This Row],[ID_DataQualities]],table_DataQualities[],8,FALSE)</f>
        <v>8.7999999999999995E-2</v>
      </c>
      <c r="M150" s="10">
        <f ca="1">VLOOKUP(dict_DQ_Meth_max[[#This Row],[ID_DataQualities]],table_DataQualities[],9,FALSE)</f>
        <v>3735.4</v>
      </c>
    </row>
    <row r="151" spans="1:13" x14ac:dyDescent="0.45">
      <c r="A151" s="10">
        <v>40</v>
      </c>
      <c r="B151" s="10">
        <v>27</v>
      </c>
      <c r="C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" s="10"/>
      <c r="E151" s="10"/>
      <c r="F151" s="12">
        <f ca="1">(RANDBETWEEN(0,50)/100)*(dict_DQ_Meth_max[[#This Row],[Vergleich_ub]]-dict_DQ_Meth_max[[#This Row],[Vergleich_lb]])+dict_DQ_Meth_max[[#This Row],[Vergleich_lb]]</f>
        <v>859.20975999999996</v>
      </c>
      <c r="G151" s="12">
        <f ca="1">(RANDBETWEEN(50,100)/100)*(dict_DQ_Meth_max[[#This Row],[Vergleich_ub]]-dict_DQ_Meth_max[[#This Row],[Vergleich_lb]])+dict_DQ_Meth_max[[#This Row],[Vergleich_lb]]</f>
        <v>2950.9844800000001</v>
      </c>
      <c r="H151" s="11" t="str">
        <f ca="1">VLOOKUP(VLOOKUP(dict_DQ_Meth_max[[#This Row],[ID_DataQualities]],table_DataQualities[],3),table_Units[],2)</f>
        <v>Hz</v>
      </c>
      <c r="I151" s="10"/>
      <c r="J151" s="10"/>
      <c r="K151" s="10"/>
      <c r="L151" s="10">
        <f ca="1">VLOOKUP(dict_DQ_Meth_max[[#This Row],[ID_DataQualities]],table_DataQualities[],8,FALSE)</f>
        <v>8.7999999999999995E-2</v>
      </c>
      <c r="M151" s="10">
        <f ca="1">VLOOKUP(dict_DQ_Meth_max[[#This Row],[ID_DataQualities]],table_DataQualities[],9,FALSE)</f>
        <v>3735.4</v>
      </c>
    </row>
    <row r="152" spans="1:13" x14ac:dyDescent="0.45">
      <c r="A152" s="10">
        <v>40</v>
      </c>
      <c r="B152" s="10">
        <v>631</v>
      </c>
      <c r="C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" s="10"/>
      <c r="E152" s="10"/>
      <c r="F152" s="12">
        <f ca="1">(RANDBETWEEN(0,50)/100)*(dict_DQ_Meth_max[[#This Row],[Vergleich_ub]]-dict_DQ_Meth_max[[#This Row],[Vergleich_lb]])+dict_DQ_Meth_max[[#This Row],[Vergleich_lb]]</f>
        <v>971.26911999999993</v>
      </c>
      <c r="G152" s="12">
        <f ca="1">(RANDBETWEEN(50,100)/100)*(dict_DQ_Meth_max[[#This Row],[Vergleich_ub]]-dict_DQ_Meth_max[[#This Row],[Vergleich_lb]])+dict_DQ_Meth_max[[#This Row],[Vergleich_lb]]</f>
        <v>2278.6283200000003</v>
      </c>
      <c r="H152" s="11" t="str">
        <f ca="1">VLOOKUP(VLOOKUP(dict_DQ_Meth_max[[#This Row],[ID_DataQualities]],table_DataQualities[],3),table_Units[],2)</f>
        <v>Hz</v>
      </c>
      <c r="I152" s="10"/>
      <c r="J152" s="10"/>
      <c r="K152" s="10"/>
      <c r="L152" s="10">
        <f ca="1">VLOOKUP(dict_DQ_Meth_max[[#This Row],[ID_DataQualities]],table_DataQualities[],8,FALSE)</f>
        <v>8.7999999999999995E-2</v>
      </c>
      <c r="M152" s="10">
        <f ca="1">VLOOKUP(dict_DQ_Meth_max[[#This Row],[ID_DataQualities]],table_DataQualities[],9,FALSE)</f>
        <v>3735.4</v>
      </c>
    </row>
    <row r="153" spans="1:13" x14ac:dyDescent="0.45">
      <c r="A153" s="10">
        <v>40</v>
      </c>
      <c r="B153" s="10">
        <v>401</v>
      </c>
      <c r="C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3" s="10"/>
      <c r="E153" s="10"/>
      <c r="F153" s="12">
        <f ca="1">(RANDBETWEEN(0,50)/100)*(dict_DQ_Meth_max[[#This Row],[Vergleich_ub]]-dict_DQ_Meth_max[[#This Row],[Vergleich_lb]])+dict_DQ_Meth_max[[#This Row],[Vergleich_lb]]</f>
        <v>1344.8003199999998</v>
      </c>
      <c r="G153" s="12">
        <f ca="1">(RANDBETWEEN(50,100)/100)*(dict_DQ_Meth_max[[#This Row],[Vergleich_ub]]-dict_DQ_Meth_max[[#This Row],[Vergleich_lb]])+dict_DQ_Meth_max[[#This Row],[Vergleich_lb]]</f>
        <v>2577.4532799999997</v>
      </c>
      <c r="H153" s="11" t="str">
        <f ca="1">VLOOKUP(VLOOKUP(dict_DQ_Meth_max[[#This Row],[ID_DataQualities]],table_DataQualities[],3),table_Units[],2)</f>
        <v>Hz</v>
      </c>
      <c r="I153" s="10"/>
      <c r="J153" s="10"/>
      <c r="K153" s="10"/>
      <c r="L153" s="10">
        <f ca="1">VLOOKUP(dict_DQ_Meth_max[[#This Row],[ID_DataQualities]],table_DataQualities[],8,FALSE)</f>
        <v>8.7999999999999995E-2</v>
      </c>
      <c r="M153" s="10">
        <f ca="1">VLOOKUP(dict_DQ_Meth_max[[#This Row],[ID_DataQualities]],table_DataQualities[],9,FALSE)</f>
        <v>3735.4</v>
      </c>
    </row>
    <row r="154" spans="1:13" x14ac:dyDescent="0.45">
      <c r="A154" s="10">
        <v>41</v>
      </c>
      <c r="B154" s="10">
        <v>154</v>
      </c>
      <c r="C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4" s="10"/>
      <c r="E154" s="10"/>
      <c r="F154" s="12">
        <f ca="1">(RANDBETWEEN(0,50)/100)*(dict_DQ_Meth_max[[#This Row],[Vergleich_ub]]-dict_DQ_Meth_max[[#This Row],[Vergleich_lb]])+dict_DQ_Meth_max[[#This Row],[Vergleich_lb]]</f>
        <v>6.8459999999999997E-3</v>
      </c>
      <c r="G154" s="12">
        <f ca="1">(RANDBETWEEN(50,100)/100)*(dict_DQ_Meth_max[[#This Row],[Vergleich_ub]]-dict_DQ_Meth_max[[#This Row],[Vergleich_lb]])+dict_DQ_Meth_max[[#This Row],[Vergleich_lb]]</f>
        <v>5.8678000000000001E-2</v>
      </c>
      <c r="H154" s="11" t="str">
        <f ca="1">VLOOKUP(VLOOKUP(dict_DQ_Meth_max[[#This Row],[ID_DataQualities]],table_DataQualities[],3),table_Units[],2)</f>
        <v>+/- cm³/s</v>
      </c>
      <c r="I154" s="10"/>
      <c r="J154" s="10"/>
      <c r="K154" s="10"/>
      <c r="L154" s="10">
        <f ca="1">VLOOKUP(dict_DQ_Meth_max[[#This Row],[ID_DataQualities]],table_DataQualities[],8,FALSE)</f>
        <v>4.7999999999999996E-3</v>
      </c>
      <c r="M154" s="10">
        <f ca="1">VLOOKUP(dict_DQ_Meth_max[[#This Row],[ID_DataQualities]],table_DataQualities[],9,FALSE)</f>
        <v>7.2999999999999995E-2</v>
      </c>
    </row>
    <row r="155" spans="1:13" x14ac:dyDescent="0.45">
      <c r="A155" s="10">
        <v>41</v>
      </c>
      <c r="B155" s="10">
        <v>401</v>
      </c>
      <c r="C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5" s="10"/>
      <c r="E155" s="10"/>
      <c r="F155" s="12">
        <f ca="1">(RANDBETWEEN(0,50)/100)*(dict_DQ_Meth_max[[#This Row],[Vergleich_ub]]-dict_DQ_Meth_max[[#This Row],[Vergleich_lb]])+dict_DQ_Meth_max[[#This Row],[Vergleich_lb]]</f>
        <v>3.8899999999999997E-2</v>
      </c>
      <c r="G155" s="12">
        <f ca="1">(RANDBETWEEN(50,100)/100)*(dict_DQ_Meth_max[[#This Row],[Vergleich_ub]]-dict_DQ_Meth_max[[#This Row],[Vergleich_lb]])+dict_DQ_Meth_max[[#This Row],[Vergleich_lb]]</f>
        <v>5.4585999999999996E-2</v>
      </c>
      <c r="H155" s="11" t="str">
        <f ca="1">VLOOKUP(VLOOKUP(dict_DQ_Meth_max[[#This Row],[ID_DataQualities]],table_DataQualities[],3),table_Units[],2)</f>
        <v>+/- cm³/s</v>
      </c>
      <c r="I155" s="10"/>
      <c r="J155" s="10"/>
      <c r="K155" s="10"/>
      <c r="L155" s="10">
        <f ca="1">VLOOKUP(dict_DQ_Meth_max[[#This Row],[ID_DataQualities]],table_DataQualities[],8,FALSE)</f>
        <v>4.7999999999999996E-3</v>
      </c>
      <c r="M155" s="10">
        <f ca="1">VLOOKUP(dict_DQ_Meth_max[[#This Row],[ID_DataQualities]],table_DataQualities[],9,FALSE)</f>
        <v>7.2999999999999995E-2</v>
      </c>
    </row>
    <row r="156" spans="1:13" x14ac:dyDescent="0.45">
      <c r="A156" s="10">
        <v>41</v>
      </c>
      <c r="B156" s="10">
        <v>631</v>
      </c>
      <c r="C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6" s="10"/>
      <c r="E156" s="10"/>
      <c r="F156" s="12">
        <f ca="1">(RANDBETWEEN(0,50)/100)*(dict_DQ_Meth_max[[#This Row],[Vergleich_ub]]-dict_DQ_Meth_max[[#This Row],[Vergleich_lb]])+dict_DQ_Meth_max[[#This Row],[Vergleich_lb]]</f>
        <v>2.1167999999999996E-2</v>
      </c>
      <c r="G156" s="12">
        <f ca="1">(RANDBETWEEN(50,100)/100)*(dict_DQ_Meth_max[[#This Row],[Vergleich_ub]]-dict_DQ_Meth_max[[#This Row],[Vergleich_lb]])+dict_DQ_Meth_max[[#This Row],[Vergleich_lb]]</f>
        <v>4.0264000000000001E-2</v>
      </c>
      <c r="H156" s="11" t="str">
        <f ca="1">VLOOKUP(VLOOKUP(dict_DQ_Meth_max[[#This Row],[ID_DataQualities]],table_DataQualities[],3),table_Units[],2)</f>
        <v>+/- cm³/s</v>
      </c>
      <c r="I156" s="10"/>
      <c r="J156" s="10"/>
      <c r="K156" s="10"/>
      <c r="L156" s="10">
        <f ca="1">VLOOKUP(dict_DQ_Meth_max[[#This Row],[ID_DataQualities]],table_DataQualities[],8,FALSE)</f>
        <v>4.7999999999999996E-3</v>
      </c>
      <c r="M156" s="10">
        <f ca="1">VLOOKUP(dict_DQ_Meth_max[[#This Row],[ID_DataQualities]],table_DataQualities[],9,FALSE)</f>
        <v>7.2999999999999995E-2</v>
      </c>
    </row>
    <row r="157" spans="1:13" x14ac:dyDescent="0.45">
      <c r="A157" s="10">
        <v>41</v>
      </c>
      <c r="B157" s="10">
        <v>27</v>
      </c>
      <c r="C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7" s="10"/>
      <c r="E157" s="10"/>
      <c r="F157" s="12">
        <f ca="1">(RANDBETWEEN(0,50)/100)*(dict_DQ_Meth_max[[#This Row],[Vergleich_ub]]-dict_DQ_Meth_max[[#This Row],[Vergleich_lb]])+dict_DQ_Meth_max[[#This Row],[Vergleich_lb]]</f>
        <v>8.8919999999999989E-3</v>
      </c>
      <c r="G157" s="12">
        <f ca="1">(RANDBETWEEN(50,100)/100)*(dict_DQ_Meth_max[[#This Row],[Vergleich_ub]]-dict_DQ_Meth_max[[#This Row],[Vergleich_lb]])+dict_DQ_Meth_max[[#This Row],[Vergleich_lb]]</f>
        <v>4.231E-2</v>
      </c>
      <c r="H157" s="11" t="str">
        <f ca="1">VLOOKUP(VLOOKUP(dict_DQ_Meth_max[[#This Row],[ID_DataQualities]],table_DataQualities[],3),table_Units[],2)</f>
        <v>+/- cm³/s</v>
      </c>
      <c r="I157" s="10"/>
      <c r="J157" s="10"/>
      <c r="K157" s="10"/>
      <c r="L157" s="10">
        <f ca="1">VLOOKUP(dict_DQ_Meth_max[[#This Row],[ID_DataQualities]],table_DataQualities[],8,FALSE)</f>
        <v>4.7999999999999996E-3</v>
      </c>
      <c r="M157" s="10">
        <f ca="1">VLOOKUP(dict_DQ_Meth_max[[#This Row],[ID_DataQualities]],table_DataQualities[],9,FALSE)</f>
        <v>7.2999999999999995E-2</v>
      </c>
    </row>
    <row r="158" spans="1:13" x14ac:dyDescent="0.45">
      <c r="A158" s="10">
        <v>42</v>
      </c>
      <c r="B158" s="10">
        <v>155</v>
      </c>
      <c r="C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8" s="10"/>
      <c r="E158" s="10"/>
      <c r="F158" s="12">
        <f ca="1">(RANDBETWEEN(0,50)/100)*(dict_DQ_Meth_max[[#This Row],[Vergleich_ub]]-dict_DQ_Meth_max[[#This Row],[Vergleich_lb]])+dict_DQ_Meth_max[[#This Row],[Vergleich_lb]]</f>
        <v>500.97929999999997</v>
      </c>
      <c r="G158" s="12">
        <f ca="1">(RANDBETWEEN(50,100)/100)*(dict_DQ_Meth_max[[#This Row],[Vergleich_ub]]-dict_DQ_Meth_max[[#This Row],[Vergleich_lb]])+dict_DQ_Meth_max[[#This Row],[Vergleich_lb]]</f>
        <v>1788.5174999999999</v>
      </c>
      <c r="H158" s="11" t="str">
        <f ca="1">VLOOKUP(VLOOKUP(dict_DQ_Meth_max[[#This Row],[ID_DataQualities]],table_DataQualities[],3),table_Units[],2)</f>
        <v>Hz</v>
      </c>
      <c r="I158" s="10"/>
      <c r="J158" s="10"/>
      <c r="K158" s="10"/>
      <c r="L158" s="10">
        <f ca="1">VLOOKUP(dict_DQ_Meth_max[[#This Row],[ID_DataQualities]],table_DataQualities[],8,FALSE)</f>
        <v>0.27</v>
      </c>
      <c r="M158" s="10">
        <f ca="1">VLOOKUP(dict_DQ_Meth_max[[#This Row],[ID_DataQualities]],table_DataQualities[],9,FALSE)</f>
        <v>2384.6</v>
      </c>
    </row>
    <row r="159" spans="1:13" x14ac:dyDescent="0.45">
      <c r="A159" s="10">
        <v>42</v>
      </c>
      <c r="B159" s="10">
        <v>116</v>
      </c>
      <c r="C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9" s="10"/>
      <c r="E159" s="10"/>
      <c r="F159" s="12">
        <f ca="1">(RANDBETWEEN(0,50)/100)*(dict_DQ_Meth_max[[#This Row],[Vergleich_ub]]-dict_DQ_Meth_max[[#This Row],[Vergleich_lb]])+dict_DQ_Meth_max[[#This Row],[Vergleich_lb]]</f>
        <v>191.0164</v>
      </c>
      <c r="G159" s="12">
        <f ca="1">(RANDBETWEEN(50,100)/100)*(dict_DQ_Meth_max[[#This Row],[Vergleich_ub]]-dict_DQ_Meth_max[[#This Row],[Vergleich_lb]])+dict_DQ_Meth_max[[#This Row],[Vergleich_lb]]</f>
        <v>1478.5545999999999</v>
      </c>
      <c r="H159" s="11" t="str">
        <f ca="1">VLOOKUP(VLOOKUP(dict_DQ_Meth_max[[#This Row],[ID_DataQualities]],table_DataQualities[],3),table_Units[],2)</f>
        <v>Hz</v>
      </c>
      <c r="I159" s="10"/>
      <c r="J159" s="10"/>
      <c r="K159" s="10"/>
      <c r="L159" s="10">
        <f ca="1">VLOOKUP(dict_DQ_Meth_max[[#This Row],[ID_DataQualities]],table_DataQualities[],8,FALSE)</f>
        <v>0.27</v>
      </c>
      <c r="M159" s="10">
        <f ca="1">VLOOKUP(dict_DQ_Meth_max[[#This Row],[ID_DataQualities]],table_DataQualities[],9,FALSE)</f>
        <v>2384.6</v>
      </c>
    </row>
    <row r="160" spans="1:13" x14ac:dyDescent="0.45">
      <c r="A160" s="10">
        <v>42</v>
      </c>
      <c r="B160" s="10">
        <v>582</v>
      </c>
      <c r="C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0" s="10"/>
      <c r="E160" s="10"/>
      <c r="F160" s="12">
        <f ca="1">(RANDBETWEEN(0,50)/100)*(dict_DQ_Meth_max[[#This Row],[Vergleich_ub]]-dict_DQ_Meth_max[[#This Row],[Vergleich_lb]])+dict_DQ_Meth_max[[#This Row],[Vergleich_lb]]</f>
        <v>954.00199999999995</v>
      </c>
      <c r="G160" s="12">
        <f ca="1">(RANDBETWEEN(50,100)/100)*(dict_DQ_Meth_max[[#This Row],[Vergleich_ub]]-dict_DQ_Meth_max[[#This Row],[Vergleich_lb]])+dict_DQ_Meth_max[[#This Row],[Vergleich_lb]]</f>
        <v>1979.2638999999999</v>
      </c>
      <c r="H160" s="11" t="str">
        <f ca="1">VLOOKUP(VLOOKUP(dict_DQ_Meth_max[[#This Row],[ID_DataQualities]],table_DataQualities[],3),table_Units[],2)</f>
        <v>Hz</v>
      </c>
      <c r="I160" s="10"/>
      <c r="J160" s="10"/>
      <c r="K160" s="10"/>
      <c r="L160" s="10">
        <f ca="1">VLOOKUP(dict_DQ_Meth_max[[#This Row],[ID_DataQualities]],table_DataQualities[],8,FALSE)</f>
        <v>0.27</v>
      </c>
      <c r="M160" s="10">
        <f ca="1">VLOOKUP(dict_DQ_Meth_max[[#This Row],[ID_DataQualities]],table_DataQualities[],9,FALSE)</f>
        <v>2384.6</v>
      </c>
    </row>
    <row r="161" spans="1:13" x14ac:dyDescent="0.45">
      <c r="A161" s="10">
        <v>42</v>
      </c>
      <c r="B161" s="10">
        <v>503</v>
      </c>
      <c r="C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1" s="10"/>
      <c r="E161" s="10"/>
      <c r="F161" s="12">
        <f ca="1">(RANDBETWEEN(0,50)/100)*(dict_DQ_Meth_max[[#This Row],[Vergleich_ub]]-dict_DQ_Meth_max[[#This Row],[Vergleich_lb]])+dict_DQ_Meth_max[[#This Row],[Vergleich_lb]]</f>
        <v>334.07620000000003</v>
      </c>
      <c r="G161" s="12">
        <f ca="1">(RANDBETWEEN(50,100)/100)*(dict_DQ_Meth_max[[#This Row],[Vergleich_ub]]-dict_DQ_Meth_max[[#This Row],[Vergleich_lb]])+dict_DQ_Meth_max[[#This Row],[Vergleich_lb]]</f>
        <v>1502.3978999999999</v>
      </c>
      <c r="H161" s="11" t="str">
        <f ca="1">VLOOKUP(VLOOKUP(dict_DQ_Meth_max[[#This Row],[ID_DataQualities]],table_DataQualities[],3),table_Units[],2)</f>
        <v>Hz</v>
      </c>
      <c r="I161" s="10"/>
      <c r="J161" s="10"/>
      <c r="K161" s="10"/>
      <c r="L161" s="10">
        <f ca="1">VLOOKUP(dict_DQ_Meth_max[[#This Row],[ID_DataQualities]],table_DataQualities[],8,FALSE)</f>
        <v>0.27</v>
      </c>
      <c r="M161" s="10">
        <f ca="1">VLOOKUP(dict_DQ_Meth_max[[#This Row],[ID_DataQualities]],table_DataQualities[],9,FALSE)</f>
        <v>2384.6</v>
      </c>
    </row>
    <row r="162" spans="1:13" x14ac:dyDescent="0.45">
      <c r="A162" s="10">
        <v>43</v>
      </c>
      <c r="B162" s="10">
        <v>116</v>
      </c>
      <c r="C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2" s="10"/>
      <c r="E162" s="10"/>
      <c r="F162" s="12">
        <f ca="1">(RANDBETWEEN(0,50)/100)*(dict_DQ_Meth_max[[#This Row],[Vergleich_ub]]-dict_DQ_Meth_max[[#This Row],[Vergleich_lb]])+dict_DQ_Meth_max[[#This Row],[Vergleich_lb]]</f>
        <v>0.77239999999999998</v>
      </c>
      <c r="G162" s="12">
        <f ca="1">(RANDBETWEEN(50,100)/100)*(dict_DQ_Meth_max[[#This Row],[Vergleich_ub]]-dict_DQ_Meth_max[[#This Row],[Vergleich_lb]])+dict_DQ_Meth_max[[#This Row],[Vergleich_lb]]</f>
        <v>3.5745299999999998</v>
      </c>
      <c r="H162" s="11" t="str">
        <f ca="1">VLOOKUP(VLOOKUP(dict_DQ_Meth_max[[#This Row],[ID_DataQualities]],table_DataQualities[],3),table_Units[],2)</f>
        <v>+/- mm</v>
      </c>
      <c r="I162" s="10"/>
      <c r="J162" s="10"/>
      <c r="K162" s="10"/>
      <c r="L162" s="10">
        <f ca="1">VLOOKUP(dict_DQ_Meth_max[[#This Row],[ID_DataQualities]],table_DataQualities[],8,FALSE)</f>
        <v>6.3E-2</v>
      </c>
      <c r="M162" s="10">
        <f ca="1">VLOOKUP(dict_DQ_Meth_max[[#This Row],[ID_DataQualities]],table_DataQualities[],9,FALSE)</f>
        <v>3.61</v>
      </c>
    </row>
    <row r="163" spans="1:13" x14ac:dyDescent="0.45">
      <c r="A163" s="10">
        <v>43</v>
      </c>
      <c r="B163" s="10">
        <v>503</v>
      </c>
      <c r="C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3" s="10"/>
      <c r="E163" s="10"/>
      <c r="F163" s="12">
        <f ca="1">(RANDBETWEEN(0,50)/100)*(dict_DQ_Meth_max[[#This Row],[Vergleich_ub]]-dict_DQ_Meth_max[[#This Row],[Vergleich_lb]])+dict_DQ_Meth_max[[#This Row],[Vergleich_lb]]</f>
        <v>0.94974999999999987</v>
      </c>
      <c r="G163" s="12">
        <f ca="1">(RANDBETWEEN(50,100)/100)*(dict_DQ_Meth_max[[#This Row],[Vergleich_ub]]-dict_DQ_Meth_max[[#This Row],[Vergleich_lb]])+dict_DQ_Meth_max[[#This Row],[Vergleich_lb]]</f>
        <v>3.50359</v>
      </c>
      <c r="H163" s="11" t="str">
        <f ca="1">VLOOKUP(VLOOKUP(dict_DQ_Meth_max[[#This Row],[ID_DataQualities]],table_DataQualities[],3),table_Units[],2)</f>
        <v>+/- mm</v>
      </c>
      <c r="I163" s="10"/>
      <c r="J163" s="10"/>
      <c r="K163" s="10"/>
      <c r="L163" s="10">
        <f ca="1">VLOOKUP(dict_DQ_Meth_max[[#This Row],[ID_DataQualities]],table_DataQualities[],8,FALSE)</f>
        <v>6.3E-2</v>
      </c>
      <c r="M163" s="10">
        <f ca="1">VLOOKUP(dict_DQ_Meth_max[[#This Row],[ID_DataQualities]],table_DataQualities[],9,FALSE)</f>
        <v>3.61</v>
      </c>
    </row>
    <row r="164" spans="1:13" x14ac:dyDescent="0.45">
      <c r="A164" s="10">
        <v>43</v>
      </c>
      <c r="B164" s="10">
        <v>155</v>
      </c>
      <c r="C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4" s="10"/>
      <c r="E164" s="10"/>
      <c r="F164" s="12">
        <f ca="1">(RANDBETWEEN(0,50)/100)*(dict_DQ_Meth_max[[#This Row],[Vergleich_ub]]-dict_DQ_Meth_max[[#This Row],[Vergleich_lb]])+dict_DQ_Meth_max[[#This Row],[Vergleich_lb]]</f>
        <v>1.6591499999999999</v>
      </c>
      <c r="G164" s="12">
        <f ca="1">(RANDBETWEEN(50,100)/100)*(dict_DQ_Meth_max[[#This Row],[Vergleich_ub]]-dict_DQ_Meth_max[[#This Row],[Vergleich_lb]])+dict_DQ_Meth_max[[#This Row],[Vergleich_lb]]</f>
        <v>1.9074399999999998</v>
      </c>
      <c r="H164" s="11" t="str">
        <f ca="1">VLOOKUP(VLOOKUP(dict_DQ_Meth_max[[#This Row],[ID_DataQualities]],table_DataQualities[],3),table_Units[],2)</f>
        <v>+/- mm</v>
      </c>
      <c r="I164" s="10"/>
      <c r="J164" s="10"/>
      <c r="K164" s="10"/>
      <c r="L164" s="10">
        <f ca="1">VLOOKUP(dict_DQ_Meth_max[[#This Row],[ID_DataQualities]],table_DataQualities[],8,FALSE)</f>
        <v>6.3E-2</v>
      </c>
      <c r="M164" s="10">
        <f ca="1">VLOOKUP(dict_DQ_Meth_max[[#This Row],[ID_DataQualities]],table_DataQualities[],9,FALSE)</f>
        <v>3.61</v>
      </c>
    </row>
    <row r="165" spans="1:13" x14ac:dyDescent="0.45">
      <c r="A165" s="10">
        <v>43</v>
      </c>
      <c r="B165" s="10">
        <v>582</v>
      </c>
      <c r="C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5" s="10"/>
      <c r="E165" s="10"/>
      <c r="F165" s="12">
        <f ca="1">(RANDBETWEEN(0,50)/100)*(dict_DQ_Meth_max[[#This Row],[Vergleich_ub]]-dict_DQ_Meth_max[[#This Row],[Vergleich_lb]])+dict_DQ_Meth_max[[#This Row],[Vergleich_lb]]</f>
        <v>1.3044499999999997</v>
      </c>
      <c r="G165" s="12">
        <f ca="1">(RANDBETWEEN(50,100)/100)*(dict_DQ_Meth_max[[#This Row],[Vergleich_ub]]-dict_DQ_Meth_max[[#This Row],[Vergleich_lb]])+dict_DQ_Meth_max[[#This Row],[Vergleich_lb]]</f>
        <v>1.9429099999999999</v>
      </c>
      <c r="H165" s="11" t="str">
        <f ca="1">VLOOKUP(VLOOKUP(dict_DQ_Meth_max[[#This Row],[ID_DataQualities]],table_DataQualities[],3),table_Units[],2)</f>
        <v>+/- mm</v>
      </c>
      <c r="I165" s="10"/>
      <c r="J165" s="10"/>
      <c r="K165" s="10"/>
      <c r="L165" s="10">
        <f ca="1">VLOOKUP(dict_DQ_Meth_max[[#This Row],[ID_DataQualities]],table_DataQualities[],8,FALSE)</f>
        <v>6.3E-2</v>
      </c>
      <c r="M165" s="10">
        <f ca="1">VLOOKUP(dict_DQ_Meth_max[[#This Row],[ID_DataQualities]],table_DataQualities[],9,FALSE)</f>
        <v>3.61</v>
      </c>
    </row>
    <row r="166" spans="1:13" x14ac:dyDescent="0.45">
      <c r="A166" s="10">
        <v>44</v>
      </c>
      <c r="B166" s="10">
        <v>591</v>
      </c>
      <c r="C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6" s="10"/>
      <c r="E166" s="10"/>
      <c r="F166" s="12">
        <f ca="1">(RANDBETWEEN(0,50)/100)*(dict_DQ_Meth_max[[#This Row],[Vergleich_ub]]-dict_DQ_Meth_max[[#This Row],[Vergleich_lb]])+dict_DQ_Meth_max[[#This Row],[Vergleich_lb]]</f>
        <v>1129.80637</v>
      </c>
      <c r="G166" s="12">
        <f ca="1">(RANDBETWEEN(50,100)/100)*(dict_DQ_Meth_max[[#This Row],[Vergleich_ub]]-dict_DQ_Meth_max[[#This Row],[Vergleich_lb]])+dict_DQ_Meth_max[[#This Row],[Vergleich_lb]]</f>
        <v>3193.4424599999998</v>
      </c>
      <c r="H166" s="11" t="str">
        <f ca="1">VLOOKUP(VLOOKUP(dict_DQ_Meth_max[[#This Row],[ID_DataQualities]],table_DataQualities[],3),table_Units[],2)</f>
        <v>Hz</v>
      </c>
      <c r="I166" s="10"/>
      <c r="J166" s="10"/>
      <c r="K166" s="10"/>
      <c r="L166" s="10">
        <f ca="1">VLOOKUP(dict_DQ_Meth_max[[#This Row],[ID_DataQualities]],table_DataQualities[],8,FALSE)</f>
        <v>0.64700000000000002</v>
      </c>
      <c r="M166" s="10">
        <f ca="1">VLOOKUP(dict_DQ_Meth_max[[#This Row],[ID_DataQualities]],table_DataQualities[],9,FALSE)</f>
        <v>3894.3</v>
      </c>
    </row>
    <row r="167" spans="1:13" x14ac:dyDescent="0.45">
      <c r="A167" s="10">
        <v>44</v>
      </c>
      <c r="B167" s="10">
        <v>419</v>
      </c>
      <c r="C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7" s="10"/>
      <c r="E167" s="10"/>
      <c r="F167" s="12">
        <f ca="1">(RANDBETWEEN(0,50)/100)*(dict_DQ_Meth_max[[#This Row],[Vergleich_ub]]-dict_DQ_Meth_max[[#This Row],[Vergleich_lb]])+dict_DQ_Meth_max[[#This Row],[Vergleich_lb]]</f>
        <v>390.01230000000004</v>
      </c>
      <c r="G167" s="12">
        <f ca="1">(RANDBETWEEN(50,100)/100)*(dict_DQ_Meth_max[[#This Row],[Vergleich_ub]]-dict_DQ_Meth_max[[#This Row],[Vergleich_lb]])+dict_DQ_Meth_max[[#This Row],[Vergleich_lb]]</f>
        <v>2181.0926800000002</v>
      </c>
      <c r="H167" s="11" t="str">
        <f ca="1">VLOOKUP(VLOOKUP(dict_DQ_Meth_max[[#This Row],[ID_DataQualities]],table_DataQualities[],3),table_Units[],2)</f>
        <v>Hz</v>
      </c>
      <c r="I167" s="10"/>
      <c r="J167" s="10"/>
      <c r="K167" s="10"/>
      <c r="L167" s="10">
        <f ca="1">VLOOKUP(dict_DQ_Meth_max[[#This Row],[ID_DataQualities]],table_DataQualities[],8,FALSE)</f>
        <v>0.64700000000000002</v>
      </c>
      <c r="M167" s="10">
        <f ca="1">VLOOKUP(dict_DQ_Meth_max[[#This Row],[ID_DataQualities]],table_DataQualities[],9,FALSE)</f>
        <v>3894.3</v>
      </c>
    </row>
    <row r="168" spans="1:13" x14ac:dyDescent="0.45">
      <c r="A168" s="10">
        <v>44</v>
      </c>
      <c r="B168" s="10">
        <v>483</v>
      </c>
      <c r="C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8" s="10"/>
      <c r="E168" s="10"/>
      <c r="F168" s="12">
        <f ca="1">(RANDBETWEEN(0,50)/100)*(dict_DQ_Meth_max[[#This Row],[Vergleich_ub]]-dict_DQ_Meth_max[[#This Row],[Vergleich_lb]])+dict_DQ_Meth_max[[#This Row],[Vergleich_lb]]</f>
        <v>1324.4890200000002</v>
      </c>
      <c r="G168" s="12">
        <f ca="1">(RANDBETWEEN(50,100)/100)*(dict_DQ_Meth_max[[#This Row],[Vergleich_ub]]-dict_DQ_Meth_max[[#This Row],[Vergleich_lb]])+dict_DQ_Meth_max[[#This Row],[Vergleich_lb]]</f>
        <v>3855.3634700000002</v>
      </c>
      <c r="H168" s="11" t="str">
        <f ca="1">VLOOKUP(VLOOKUP(dict_DQ_Meth_max[[#This Row],[ID_DataQualities]],table_DataQualities[],3),table_Units[],2)</f>
        <v>Hz</v>
      </c>
      <c r="I168" s="10"/>
      <c r="J168" s="10"/>
      <c r="K168" s="10"/>
      <c r="L168" s="10">
        <f ca="1">VLOOKUP(dict_DQ_Meth_max[[#This Row],[ID_DataQualities]],table_DataQualities[],8,FALSE)</f>
        <v>0.64700000000000002</v>
      </c>
      <c r="M168" s="10">
        <f ca="1">VLOOKUP(dict_DQ_Meth_max[[#This Row],[ID_DataQualities]],table_DataQualities[],9,FALSE)</f>
        <v>3894.3</v>
      </c>
    </row>
    <row r="169" spans="1:13" x14ac:dyDescent="0.45">
      <c r="A169" s="10">
        <v>44</v>
      </c>
      <c r="B169" s="10">
        <v>652</v>
      </c>
      <c r="C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69" s="10"/>
      <c r="E169" s="10"/>
      <c r="F169" s="12">
        <f ca="1">(RANDBETWEEN(0,50)/100)*(dict_DQ_Meth_max[[#This Row],[Vergleich_ub]]-dict_DQ_Meth_max[[#This Row],[Vergleich_lb]])+dict_DQ_Meth_max[[#This Row],[Vergleich_lb]]</f>
        <v>779.37760000000014</v>
      </c>
      <c r="G169" s="12">
        <f ca="1">(RANDBETWEEN(50,100)/100)*(dict_DQ_Meth_max[[#This Row],[Vergleich_ub]]-dict_DQ_Meth_max[[#This Row],[Vergleich_lb]])+dict_DQ_Meth_max[[#This Row],[Vergleich_lb]]</f>
        <v>3855.3634700000002</v>
      </c>
      <c r="H169" s="11" t="str">
        <f ca="1">VLOOKUP(VLOOKUP(dict_DQ_Meth_max[[#This Row],[ID_DataQualities]],table_DataQualities[],3),table_Units[],2)</f>
        <v>Hz</v>
      </c>
      <c r="I169" s="10"/>
      <c r="J169" s="10"/>
      <c r="K169" s="10"/>
      <c r="L169" s="10">
        <f ca="1">VLOOKUP(dict_DQ_Meth_max[[#This Row],[ID_DataQualities]],table_DataQualities[],8,FALSE)</f>
        <v>0.64700000000000002</v>
      </c>
      <c r="M169" s="10">
        <f ca="1">VLOOKUP(dict_DQ_Meth_max[[#This Row],[ID_DataQualities]],table_DataQualities[],9,FALSE)</f>
        <v>3894.3</v>
      </c>
    </row>
    <row r="170" spans="1:13" x14ac:dyDescent="0.45">
      <c r="A170" s="10">
        <v>45</v>
      </c>
      <c r="B170" s="10">
        <v>652</v>
      </c>
      <c r="C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0" s="10"/>
      <c r="E170" s="10"/>
      <c r="F170" s="12">
        <f ca="1">(RANDBETWEEN(0,50)/100)*(dict_DQ_Meth_max[[#This Row],[Vergleich_ub]]-dict_DQ_Meth_max[[#This Row],[Vergleich_lb]])+dict_DQ_Meth_max[[#This Row],[Vergleich_lb]]</f>
        <v>2.0421</v>
      </c>
      <c r="G170" s="12">
        <f ca="1">(RANDBETWEEN(50,100)/100)*(dict_DQ_Meth_max[[#This Row],[Vergleich_ub]]-dict_DQ_Meth_max[[#This Row],[Vergleich_lb]])+dict_DQ_Meth_max[[#This Row],[Vergleich_lb]]</f>
        <v>3.3900999999999999</v>
      </c>
      <c r="H170" s="11" t="str">
        <f ca="1">VLOOKUP(VLOOKUP(dict_DQ_Meth_max[[#This Row],[ID_DataQualities]],table_DataQualities[],3),table_Units[],2)</f>
        <v>+/- mm/s</v>
      </c>
      <c r="I170" s="10"/>
      <c r="J170" s="10"/>
      <c r="K170" s="10"/>
      <c r="L170" s="10">
        <f ca="1">VLOOKUP(dict_DQ_Meth_max[[#This Row],[ID_DataQualities]],table_DataQualities[],8,FALSE)</f>
        <v>0.93</v>
      </c>
      <c r="M170" s="10">
        <f ca="1">VLOOKUP(dict_DQ_Meth_max[[#This Row],[ID_DataQualities]],table_DataQualities[],9,FALSE)</f>
        <v>4.3</v>
      </c>
    </row>
    <row r="171" spans="1:13" x14ac:dyDescent="0.45">
      <c r="A171" s="10">
        <v>45</v>
      </c>
      <c r="B171" s="10">
        <v>591</v>
      </c>
      <c r="C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1" s="10"/>
      <c r="E171" s="10"/>
      <c r="F171" s="12">
        <f ca="1">(RANDBETWEEN(0,50)/100)*(dict_DQ_Meth_max[[#This Row],[Vergleich_ub]]-dict_DQ_Meth_max[[#This Row],[Vergleich_lb]])+dict_DQ_Meth_max[[#This Row],[Vergleich_lb]]</f>
        <v>1.7051000000000001</v>
      </c>
      <c r="G171" s="12">
        <f ca="1">(RANDBETWEEN(50,100)/100)*(dict_DQ_Meth_max[[#This Row],[Vergleich_ub]]-dict_DQ_Meth_max[[#This Row],[Vergleich_lb]])+dict_DQ_Meth_max[[#This Row],[Vergleich_lb]]</f>
        <v>4.2662999999999993</v>
      </c>
      <c r="H171" s="11" t="str">
        <f ca="1">VLOOKUP(VLOOKUP(dict_DQ_Meth_max[[#This Row],[ID_DataQualities]],table_DataQualities[],3),table_Units[],2)</f>
        <v>+/- mm/s</v>
      </c>
      <c r="I171" s="10"/>
      <c r="J171" s="10"/>
      <c r="K171" s="10"/>
      <c r="L171" s="10">
        <f ca="1">VLOOKUP(dict_DQ_Meth_max[[#This Row],[ID_DataQualities]],table_DataQualities[],8,FALSE)</f>
        <v>0.93</v>
      </c>
      <c r="M171" s="10">
        <f ca="1">VLOOKUP(dict_DQ_Meth_max[[#This Row],[ID_DataQualities]],table_DataQualities[],9,FALSE)</f>
        <v>4.3</v>
      </c>
    </row>
    <row r="172" spans="1:13" x14ac:dyDescent="0.45">
      <c r="A172" s="10">
        <v>45</v>
      </c>
      <c r="B172" s="10">
        <v>419</v>
      </c>
      <c r="C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2" s="10"/>
      <c r="E172" s="10"/>
      <c r="F172" s="12">
        <f ca="1">(RANDBETWEEN(0,50)/100)*(dict_DQ_Meth_max[[#This Row],[Vergleich_ub]]-dict_DQ_Meth_max[[#This Row],[Vergleich_lb]])+dict_DQ_Meth_max[[#This Row],[Vergleich_lb]]</f>
        <v>2.5812999999999997</v>
      </c>
      <c r="G172" s="12">
        <f ca="1">(RANDBETWEEN(50,100)/100)*(dict_DQ_Meth_max[[#This Row],[Vergleich_ub]]-dict_DQ_Meth_max[[#This Row],[Vergleich_lb]])+dict_DQ_Meth_max[[#This Row],[Vergleich_lb]]</f>
        <v>3.0194000000000001</v>
      </c>
      <c r="H172" s="11" t="str">
        <f ca="1">VLOOKUP(VLOOKUP(dict_DQ_Meth_max[[#This Row],[ID_DataQualities]],table_DataQualities[],3),table_Units[],2)</f>
        <v>+/- mm/s</v>
      </c>
      <c r="I172" s="10"/>
      <c r="J172" s="10"/>
      <c r="K172" s="10"/>
      <c r="L172" s="10">
        <f ca="1">VLOOKUP(dict_DQ_Meth_max[[#This Row],[ID_DataQualities]],table_DataQualities[],8,FALSE)</f>
        <v>0.93</v>
      </c>
      <c r="M172" s="10">
        <f ca="1">VLOOKUP(dict_DQ_Meth_max[[#This Row],[ID_DataQualities]],table_DataQualities[],9,FALSE)</f>
        <v>4.3</v>
      </c>
    </row>
    <row r="173" spans="1:13" x14ac:dyDescent="0.45">
      <c r="A173" s="10">
        <v>45</v>
      </c>
      <c r="B173" s="10">
        <v>483</v>
      </c>
      <c r="C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3" s="10"/>
      <c r="E173" s="10"/>
      <c r="F173" s="12">
        <f ca="1">(RANDBETWEEN(0,50)/100)*(dict_DQ_Meth_max[[#This Row],[Vergleich_ub]]-dict_DQ_Meth_max[[#This Row],[Vergleich_lb]])+dict_DQ_Meth_max[[#This Row],[Vergleich_lb]]</f>
        <v>1.2333000000000001</v>
      </c>
      <c r="G173" s="12">
        <f ca="1">(RANDBETWEEN(50,100)/100)*(dict_DQ_Meth_max[[#This Row],[Vergleich_ub]]-dict_DQ_Meth_max[[#This Row],[Vergleich_lb]])+dict_DQ_Meth_max[[#This Row],[Vergleich_lb]]</f>
        <v>2.9857</v>
      </c>
      <c r="H173" s="11" t="str">
        <f ca="1">VLOOKUP(VLOOKUP(dict_DQ_Meth_max[[#This Row],[ID_DataQualities]],table_DataQualities[],3),table_Units[],2)</f>
        <v>+/- mm/s</v>
      </c>
      <c r="I173" s="10"/>
      <c r="J173" s="10"/>
      <c r="K173" s="10"/>
      <c r="L173" s="10">
        <f ca="1">VLOOKUP(dict_DQ_Meth_max[[#This Row],[ID_DataQualities]],table_DataQualities[],8,FALSE)</f>
        <v>0.93</v>
      </c>
      <c r="M173" s="10">
        <f ca="1">VLOOKUP(dict_DQ_Meth_max[[#This Row],[ID_DataQualities]],table_DataQualities[],9,FALSE)</f>
        <v>4.3</v>
      </c>
    </row>
    <row r="174" spans="1:13" x14ac:dyDescent="0.45">
      <c r="A174" s="10">
        <v>46</v>
      </c>
      <c r="B174" s="10">
        <v>645</v>
      </c>
      <c r="C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4" s="10"/>
      <c r="E174" s="10"/>
      <c r="F174" s="12">
        <f ca="1">(RANDBETWEEN(0,50)/100)*(dict_DQ_Meth_max[[#This Row],[Vergleich_ub]]-dict_DQ_Meth_max[[#This Row],[Vergleich_lb]])+dict_DQ_Meth_max[[#This Row],[Vergleich_lb]]</f>
        <v>957.00472000000002</v>
      </c>
      <c r="G174" s="12">
        <f ca="1">(RANDBETWEEN(50,100)/100)*(dict_DQ_Meth_max[[#This Row],[Vergleich_ub]]-dict_DQ_Meth_max[[#This Row],[Vergleich_lb]])+dict_DQ_Meth_max[[#This Row],[Vergleich_lb]]</f>
        <v>1391.96732</v>
      </c>
      <c r="H174" s="11" t="str">
        <f ca="1">VLOOKUP(VLOOKUP(dict_DQ_Meth_max[[#This Row],[ID_DataQualities]],table_DataQualities[],3),table_Units[],2)</f>
        <v>Hz</v>
      </c>
      <c r="I174" s="10"/>
      <c r="J174" s="10"/>
      <c r="K174" s="10"/>
      <c r="L174" s="10">
        <f ca="1">VLOOKUP(dict_DQ_Meth_max[[#This Row],[ID_DataQualities]],table_DataQualities[],8,FALSE)</f>
        <v>8.6999999999999994E-2</v>
      </c>
      <c r="M174" s="10">
        <f ca="1">VLOOKUP(dict_DQ_Meth_max[[#This Row],[ID_DataQualities]],table_DataQualities[],9,FALSE)</f>
        <v>2174.9</v>
      </c>
    </row>
    <row r="175" spans="1:13" x14ac:dyDescent="0.45">
      <c r="A175" s="10">
        <v>46</v>
      </c>
      <c r="B175" s="10">
        <v>397</v>
      </c>
      <c r="C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5" s="10"/>
      <c r="E175" s="10"/>
      <c r="F175" s="12">
        <f ca="1">(RANDBETWEEN(0,50)/100)*(dict_DQ_Meth_max[[#This Row],[Vergleich_ub]]-dict_DQ_Meth_max[[#This Row],[Vergleich_lb]])+dict_DQ_Meth_max[[#This Row],[Vergleich_lb]]</f>
        <v>87.079520000000002</v>
      </c>
      <c r="G175" s="12">
        <f ca="1">(RANDBETWEEN(50,100)/100)*(dict_DQ_Meth_max[[#This Row],[Vergleich_ub]]-dict_DQ_Meth_max[[#This Row],[Vergleich_lb]])+dict_DQ_Meth_max[[#This Row],[Vergleich_lb]]</f>
        <v>1870.4261800000002</v>
      </c>
      <c r="H175" s="11" t="str">
        <f ca="1">VLOOKUP(VLOOKUP(dict_DQ_Meth_max[[#This Row],[ID_DataQualities]],table_DataQualities[],3),table_Units[],2)</f>
        <v>Hz</v>
      </c>
      <c r="I175" s="10"/>
      <c r="J175" s="10"/>
      <c r="K175" s="10"/>
      <c r="L175" s="10">
        <f ca="1">VLOOKUP(dict_DQ_Meth_max[[#This Row],[ID_DataQualities]],table_DataQualities[],8,FALSE)</f>
        <v>8.6999999999999994E-2</v>
      </c>
      <c r="M175" s="10">
        <f ca="1">VLOOKUP(dict_DQ_Meth_max[[#This Row],[ID_DataQualities]],table_DataQualities[],9,FALSE)</f>
        <v>2174.9</v>
      </c>
    </row>
    <row r="176" spans="1:13" x14ac:dyDescent="0.45">
      <c r="A176" s="10">
        <v>46</v>
      </c>
      <c r="B176" s="10">
        <v>618</v>
      </c>
      <c r="C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6" s="10"/>
      <c r="E176" s="10"/>
      <c r="F176" s="12">
        <f ca="1">(RANDBETWEEN(0,50)/100)*(dict_DQ_Meth_max[[#This Row],[Vergleich_ub]]-dict_DQ_Meth_max[[#This Row],[Vergleich_lb]])+dict_DQ_Meth_max[[#This Row],[Vergleich_lb]]</f>
        <v>891.76032999999995</v>
      </c>
      <c r="G176" s="12">
        <f ca="1">(RANDBETWEEN(50,100)/100)*(dict_DQ_Meth_max[[#This Row],[Vergleich_ub]]-dict_DQ_Meth_max[[#This Row],[Vergleich_lb]])+dict_DQ_Meth_max[[#This Row],[Vergleich_lb]]</f>
        <v>1370.21919</v>
      </c>
      <c r="H176" s="11" t="str">
        <f ca="1">VLOOKUP(VLOOKUP(dict_DQ_Meth_max[[#This Row],[ID_DataQualities]],table_DataQualities[],3),table_Units[],2)</f>
        <v>Hz</v>
      </c>
      <c r="I176" s="10"/>
      <c r="J176" s="10"/>
      <c r="K176" s="10"/>
      <c r="L176" s="10">
        <f ca="1">VLOOKUP(dict_DQ_Meth_max[[#This Row],[ID_DataQualities]],table_DataQualities[],8,FALSE)</f>
        <v>8.6999999999999994E-2</v>
      </c>
      <c r="M176" s="10">
        <f ca="1">VLOOKUP(dict_DQ_Meth_max[[#This Row],[ID_DataQualities]],table_DataQualities[],9,FALSE)</f>
        <v>2174.9</v>
      </c>
    </row>
    <row r="177" spans="1:13" x14ac:dyDescent="0.45">
      <c r="A177" s="10">
        <v>47</v>
      </c>
      <c r="B177" s="10">
        <v>397</v>
      </c>
      <c r="C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7" s="10"/>
      <c r="E177" s="10"/>
      <c r="F177" s="12">
        <f ca="1">(RANDBETWEEN(0,50)/100)*(dict_DQ_Meth_max[[#This Row],[Vergleich_ub]]-dict_DQ_Meth_max[[#This Row],[Vergleich_lb]])+dict_DQ_Meth_max[[#This Row],[Vergleich_lb]]</f>
        <v>0.66890000000000005</v>
      </c>
      <c r="G177" s="12">
        <f ca="1">(RANDBETWEEN(50,100)/100)*(dict_DQ_Meth_max[[#This Row],[Vergleich_ub]]-dict_DQ_Meth_max[[#This Row],[Vergleich_lb]])+dict_DQ_Meth_max[[#This Row],[Vergleich_lb]]</f>
        <v>3.7837000000000001</v>
      </c>
      <c r="H177" s="11" t="str">
        <f ca="1">VLOOKUP(VLOOKUP(dict_DQ_Meth_max[[#This Row],[ID_DataQualities]],table_DataQualities[],3),table_Units[],2)</f>
        <v>+/- W</v>
      </c>
      <c r="I177" s="10"/>
      <c r="J177" s="10"/>
      <c r="K177" s="10"/>
      <c r="L177" s="10">
        <f ca="1">VLOOKUP(dict_DQ_Meth_max[[#This Row],[ID_DataQualities]],table_DataQualities[],8,FALSE)</f>
        <v>0.01</v>
      </c>
      <c r="M177" s="10">
        <f ca="1">VLOOKUP(dict_DQ_Meth_max[[#This Row],[ID_DataQualities]],table_DataQualities[],9,FALSE)</f>
        <v>6</v>
      </c>
    </row>
    <row r="178" spans="1:13" x14ac:dyDescent="0.45">
      <c r="A178" s="10">
        <v>47</v>
      </c>
      <c r="B178" s="10">
        <v>618</v>
      </c>
      <c r="C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8" s="10"/>
      <c r="E178" s="10"/>
      <c r="F178" s="12">
        <f ca="1">(RANDBETWEEN(0,50)/100)*(dict_DQ_Meth_max[[#This Row],[Vergleich_ub]]-dict_DQ_Meth_max[[#This Row],[Vergleich_lb]])+dict_DQ_Meth_max[[#This Row],[Vergleich_lb]]</f>
        <v>1.7470999999999999</v>
      </c>
      <c r="G178" s="12">
        <f ca="1">(RANDBETWEEN(50,100)/100)*(dict_DQ_Meth_max[[#This Row],[Vergleich_ub]]-dict_DQ_Meth_max[[#This Row],[Vergleich_lb]])+dict_DQ_Meth_max[[#This Row],[Vergleich_lb]]</f>
        <v>3.3644000000000003</v>
      </c>
      <c r="H178" s="11" t="str">
        <f ca="1">VLOOKUP(VLOOKUP(dict_DQ_Meth_max[[#This Row],[ID_DataQualities]],table_DataQualities[],3),table_Units[],2)</f>
        <v>+/- W</v>
      </c>
      <c r="I178" s="10"/>
      <c r="J178" s="10"/>
      <c r="K178" s="10"/>
      <c r="L178" s="10">
        <f ca="1">VLOOKUP(dict_DQ_Meth_max[[#This Row],[ID_DataQualities]],table_DataQualities[],8,FALSE)</f>
        <v>0.01</v>
      </c>
      <c r="M178" s="10">
        <f ca="1">VLOOKUP(dict_DQ_Meth_max[[#This Row],[ID_DataQualities]],table_DataQualities[],9,FALSE)</f>
        <v>6</v>
      </c>
    </row>
    <row r="179" spans="1:13" x14ac:dyDescent="0.45">
      <c r="A179" s="10">
        <v>47</v>
      </c>
      <c r="B179" s="10">
        <v>645</v>
      </c>
      <c r="C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79" s="10"/>
      <c r="E179" s="10"/>
      <c r="F179" s="12">
        <f ca="1">(RANDBETWEEN(0,50)/100)*(dict_DQ_Meth_max[[#This Row],[Vergleich_ub]]-dict_DQ_Meth_max[[#This Row],[Vergleich_lb]])+dict_DQ_Meth_max[[#This Row],[Vergleich_lb]]</f>
        <v>0.84860000000000013</v>
      </c>
      <c r="G179" s="12">
        <f ca="1">(RANDBETWEEN(50,100)/100)*(dict_DQ_Meth_max[[#This Row],[Vergleich_ub]]-dict_DQ_Meth_max[[#This Row],[Vergleich_lb]])+dict_DQ_Meth_max[[#This Row],[Vergleich_lb]]</f>
        <v>5.2213000000000003</v>
      </c>
      <c r="H179" s="11" t="str">
        <f ca="1">VLOOKUP(VLOOKUP(dict_DQ_Meth_max[[#This Row],[ID_DataQualities]],table_DataQualities[],3),table_Units[],2)</f>
        <v>+/- W</v>
      </c>
      <c r="I179" s="10"/>
      <c r="J179" s="10"/>
      <c r="K179" s="10"/>
      <c r="L179" s="10">
        <f ca="1">VLOOKUP(dict_DQ_Meth_max[[#This Row],[ID_DataQualities]],table_DataQualities[],8,FALSE)</f>
        <v>0.01</v>
      </c>
      <c r="M179" s="10">
        <f ca="1">VLOOKUP(dict_DQ_Meth_max[[#This Row],[ID_DataQualities]],table_DataQualities[],9,FALSE)</f>
        <v>6</v>
      </c>
    </row>
    <row r="180" spans="1:13" x14ac:dyDescent="0.45">
      <c r="A180" s="10">
        <v>48</v>
      </c>
      <c r="B180" s="10">
        <v>324</v>
      </c>
      <c r="C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0" s="10"/>
      <c r="E180" s="10"/>
      <c r="F180" s="12">
        <f ca="1">(RANDBETWEEN(0,50)/100)*(dict_DQ_Meth_max[[#This Row],[Vergleich_ub]]-dict_DQ_Meth_max[[#This Row],[Vergleich_lb]])+dict_DQ_Meth_max[[#This Row],[Vergleich_lb]]</f>
        <v>2238.44868</v>
      </c>
      <c r="G180" s="12">
        <f ca="1">(RANDBETWEEN(50,100)/100)*(dict_DQ_Meth_max[[#This Row],[Vergleich_ub]]-dict_DQ_Meth_max[[#This Row],[Vergleich_lb]])+dict_DQ_Meth_max[[#This Row],[Vergleich_lb]]</f>
        <v>6582.9</v>
      </c>
      <c r="H180" s="11" t="str">
        <f ca="1">VLOOKUP(VLOOKUP(dict_DQ_Meth_max[[#This Row],[ID_DataQualities]],table_DataQualities[],3),table_Units[],2)</f>
        <v>Hz</v>
      </c>
      <c r="I180" s="10"/>
      <c r="J180" s="10"/>
      <c r="K180" s="10"/>
      <c r="L180" s="10">
        <f ca="1">VLOOKUP(dict_DQ_Meth_max[[#This Row],[ID_DataQualities]],table_DataQualities[],8,FALSE)</f>
        <v>0.39800000000000002</v>
      </c>
      <c r="M180" s="10">
        <f ca="1">VLOOKUP(dict_DQ_Meth_max[[#This Row],[ID_DataQualities]],table_DataQualities[],9,FALSE)</f>
        <v>6582.9</v>
      </c>
    </row>
    <row r="181" spans="1:13" x14ac:dyDescent="0.45">
      <c r="A181" s="10">
        <v>48</v>
      </c>
      <c r="B181" s="10">
        <v>365</v>
      </c>
      <c r="C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1" s="10"/>
      <c r="E181" s="10"/>
      <c r="F181" s="12">
        <f ca="1">(RANDBETWEEN(0,50)/100)*(dict_DQ_Meth_max[[#This Row],[Vergleich_ub]]-dict_DQ_Meth_max[[#This Row],[Vergleich_lb]])+dict_DQ_Meth_max[[#This Row],[Vergleich_lb]]</f>
        <v>1119.4233399999998</v>
      </c>
      <c r="G181" s="12">
        <f ca="1">(RANDBETWEEN(50,100)/100)*(dict_DQ_Meth_max[[#This Row],[Vergleich_ub]]-dict_DQ_Meth_max[[#This Row],[Vergleich_lb]])+dict_DQ_Meth_max[[#This Row],[Vergleich_lb]]</f>
        <v>5595.5246999999999</v>
      </c>
      <c r="H181" s="11" t="str">
        <f ca="1">VLOOKUP(VLOOKUP(dict_DQ_Meth_max[[#This Row],[ID_DataQualities]],table_DataQualities[],3),table_Units[],2)</f>
        <v>Hz</v>
      </c>
      <c r="I181" s="10"/>
      <c r="J181" s="10"/>
      <c r="K181" s="10"/>
      <c r="L181" s="10">
        <f ca="1">VLOOKUP(dict_DQ_Meth_max[[#This Row],[ID_DataQualities]],table_DataQualities[],8,FALSE)</f>
        <v>0.39800000000000002</v>
      </c>
      <c r="M181" s="10">
        <f ca="1">VLOOKUP(dict_DQ_Meth_max[[#This Row],[ID_DataQualities]],table_DataQualities[],9,FALSE)</f>
        <v>6582.9</v>
      </c>
    </row>
    <row r="182" spans="1:13" x14ac:dyDescent="0.45">
      <c r="A182" s="10">
        <v>48</v>
      </c>
      <c r="B182" s="10">
        <v>655</v>
      </c>
      <c r="C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2" s="10"/>
      <c r="E182" s="10"/>
      <c r="F182" s="12">
        <f ca="1">(RANDBETWEEN(0,50)/100)*(dict_DQ_Meth_max[[#This Row],[Vergleich_ub]]-dict_DQ_Meth_max[[#This Row],[Vergleich_lb]])+dict_DQ_Meth_max[[#This Row],[Vergleich_lb]]</f>
        <v>1448.5484399999998</v>
      </c>
      <c r="G182" s="12">
        <f ca="1">(RANDBETWEEN(50,100)/100)*(dict_DQ_Meth_max[[#This Row],[Vergleich_ub]]-dict_DQ_Meth_max[[#This Row],[Vergleich_lb]])+dict_DQ_Meth_max[[#This Row],[Vergleich_lb]]</f>
        <v>5529.6996799999997</v>
      </c>
      <c r="H182" s="11" t="str">
        <f ca="1">VLOOKUP(VLOOKUP(dict_DQ_Meth_max[[#This Row],[ID_DataQualities]],table_DataQualities[],3),table_Units[],2)</f>
        <v>Hz</v>
      </c>
      <c r="I182" s="10"/>
      <c r="J182" s="10"/>
      <c r="K182" s="10"/>
      <c r="L182" s="10">
        <f ca="1">VLOOKUP(dict_DQ_Meth_max[[#This Row],[ID_DataQualities]],table_DataQualities[],8,FALSE)</f>
        <v>0.39800000000000002</v>
      </c>
      <c r="M182" s="10">
        <f ca="1">VLOOKUP(dict_DQ_Meth_max[[#This Row],[ID_DataQualities]],table_DataQualities[],9,FALSE)</f>
        <v>6582.9</v>
      </c>
    </row>
    <row r="183" spans="1:13" x14ac:dyDescent="0.45">
      <c r="A183" s="10">
        <v>48</v>
      </c>
      <c r="B183" s="10">
        <v>42</v>
      </c>
      <c r="C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3" s="10"/>
      <c r="E183" s="10"/>
      <c r="F183" s="12">
        <f ca="1">(RANDBETWEEN(0,50)/100)*(dict_DQ_Meth_max[[#This Row],[Vergleich_ub]]-dict_DQ_Meth_max[[#This Row],[Vergleich_lb]])+dict_DQ_Meth_max[[#This Row],[Vergleich_lb]]</f>
        <v>790.29823999999996</v>
      </c>
      <c r="G183" s="12">
        <f ca="1">(RANDBETWEEN(50,100)/100)*(dict_DQ_Meth_max[[#This Row],[Vergleich_ub]]-dict_DQ_Meth_max[[#This Row],[Vergleich_lb]])+dict_DQ_Meth_max[[#This Row],[Vergleich_lb]]</f>
        <v>6385.4249399999999</v>
      </c>
      <c r="H183" s="11" t="str">
        <f ca="1">VLOOKUP(VLOOKUP(dict_DQ_Meth_max[[#This Row],[ID_DataQualities]],table_DataQualities[],3),table_Units[],2)</f>
        <v>Hz</v>
      </c>
      <c r="I183" s="10"/>
      <c r="J183" s="10"/>
      <c r="K183" s="10"/>
      <c r="L183" s="10">
        <f ca="1">VLOOKUP(dict_DQ_Meth_max[[#This Row],[ID_DataQualities]],table_DataQualities[],8,FALSE)</f>
        <v>0.39800000000000002</v>
      </c>
      <c r="M183" s="10">
        <f ca="1">VLOOKUP(dict_DQ_Meth_max[[#This Row],[ID_DataQualities]],table_DataQualities[],9,FALSE)</f>
        <v>6582.9</v>
      </c>
    </row>
    <row r="184" spans="1:13" x14ac:dyDescent="0.45">
      <c r="A184" s="10">
        <v>49</v>
      </c>
      <c r="B184" s="10">
        <v>655</v>
      </c>
      <c r="C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4" s="10"/>
      <c r="E184" s="10"/>
      <c r="F184" s="12">
        <f ca="1">(RANDBETWEEN(0,50)/100)*(dict_DQ_Meth_max[[#This Row],[Vergleich_ub]]-dict_DQ_Meth_max[[#This Row],[Vergleich_lb]])+dict_DQ_Meth_max[[#This Row],[Vergleich_lb]]</f>
        <v>8.7625000000000008E-2</v>
      </c>
      <c r="G184" s="12">
        <f ca="1">(RANDBETWEEN(50,100)/100)*(dict_DQ_Meth_max[[#This Row],[Vergleich_ub]]-dict_DQ_Meth_max[[#This Row],[Vergleich_lb]])+dict_DQ_Meth_max[[#This Row],[Vergleich_lb]]</f>
        <v>0.23232000000000003</v>
      </c>
      <c r="H184" s="11" t="str">
        <f ca="1">VLOOKUP(VLOOKUP(dict_DQ_Meth_max[[#This Row],[ID_DataQualities]],table_DataQualities[],3),table_Units[],2)</f>
        <v>+/- cm³/s</v>
      </c>
      <c r="I184" s="10"/>
      <c r="J184" s="10"/>
      <c r="K184" s="10"/>
      <c r="L184" s="10">
        <f ca="1">VLOOKUP(dict_DQ_Meth_max[[#This Row],[ID_DataQualities]],table_DataQualities[],8,FALSE)</f>
        <v>3.5000000000000001E-3</v>
      </c>
      <c r="M184" s="10">
        <f ca="1">VLOOKUP(dict_DQ_Meth_max[[#This Row],[ID_DataQualities]],table_DataQualities[],9,FALSE)</f>
        <v>0.34</v>
      </c>
    </row>
    <row r="185" spans="1:13" x14ac:dyDescent="0.45">
      <c r="A185" s="10">
        <v>49</v>
      </c>
      <c r="B185" s="10">
        <v>42</v>
      </c>
      <c r="C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5" s="10"/>
      <c r="E185" s="10"/>
      <c r="F185" s="12">
        <f ca="1">(RANDBETWEEN(0,50)/100)*(dict_DQ_Meth_max[[#This Row],[Vergleich_ub]]-dict_DQ_Meth_max[[#This Row],[Vergleich_lb]])+dict_DQ_Meth_max[[#This Row],[Vergleich_lb]]</f>
        <v>8.0895000000000009E-2</v>
      </c>
      <c r="G185" s="12">
        <f ca="1">(RANDBETWEEN(50,100)/100)*(dict_DQ_Meth_max[[#This Row],[Vergleich_ub]]-dict_DQ_Meth_max[[#This Row],[Vergleich_lb]])+dict_DQ_Meth_max[[#This Row],[Vergleich_lb]]</f>
        <v>0.17848000000000003</v>
      </c>
      <c r="H185" s="11" t="str">
        <f ca="1">VLOOKUP(VLOOKUP(dict_DQ_Meth_max[[#This Row],[ID_DataQualities]],table_DataQualities[],3),table_Units[],2)</f>
        <v>+/- cm³/s</v>
      </c>
      <c r="I185" s="10"/>
      <c r="J185" s="10"/>
      <c r="K185" s="10"/>
      <c r="L185" s="10">
        <f ca="1">VLOOKUP(dict_DQ_Meth_max[[#This Row],[ID_DataQualities]],table_DataQualities[],8,FALSE)</f>
        <v>3.5000000000000001E-3</v>
      </c>
      <c r="M185" s="10">
        <f ca="1">VLOOKUP(dict_DQ_Meth_max[[#This Row],[ID_DataQualities]],table_DataQualities[],9,FALSE)</f>
        <v>0.34</v>
      </c>
    </row>
    <row r="186" spans="1:13" x14ac:dyDescent="0.45">
      <c r="A186" s="10">
        <v>49</v>
      </c>
      <c r="B186" s="10">
        <v>324</v>
      </c>
      <c r="C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6" s="10"/>
      <c r="E186" s="10"/>
      <c r="F186" s="12">
        <f ca="1">(RANDBETWEEN(0,50)/100)*(dict_DQ_Meth_max[[#This Row],[Vergleich_ub]]-dict_DQ_Meth_max[[#This Row],[Vergleich_lb]])+dict_DQ_Meth_max[[#This Row],[Vergleich_lb]]</f>
        <v>0.13810000000000003</v>
      </c>
      <c r="G186" s="12">
        <f ca="1">(RANDBETWEEN(50,100)/100)*(dict_DQ_Meth_max[[#This Row],[Vergleich_ub]]-dict_DQ_Meth_max[[#This Row],[Vergleich_lb]])+dict_DQ_Meth_max[[#This Row],[Vergleich_lb]]</f>
        <v>0.20876500000000001</v>
      </c>
      <c r="H186" s="11" t="str">
        <f ca="1">VLOOKUP(VLOOKUP(dict_DQ_Meth_max[[#This Row],[ID_DataQualities]],table_DataQualities[],3),table_Units[],2)</f>
        <v>+/- cm³/s</v>
      </c>
      <c r="I186" s="10"/>
      <c r="J186" s="10"/>
      <c r="K186" s="10"/>
      <c r="L186" s="10">
        <f ca="1">VLOOKUP(dict_DQ_Meth_max[[#This Row],[ID_DataQualities]],table_DataQualities[],8,FALSE)</f>
        <v>3.5000000000000001E-3</v>
      </c>
      <c r="M186" s="10">
        <f ca="1">VLOOKUP(dict_DQ_Meth_max[[#This Row],[ID_DataQualities]],table_DataQualities[],9,FALSE)</f>
        <v>0.34</v>
      </c>
    </row>
    <row r="187" spans="1:13" x14ac:dyDescent="0.45">
      <c r="A187" s="10">
        <v>49</v>
      </c>
      <c r="B187" s="10">
        <v>365</v>
      </c>
      <c r="C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7" s="10"/>
      <c r="E187" s="10"/>
      <c r="F187" s="12">
        <f ca="1">(RANDBETWEEN(0,50)/100)*(dict_DQ_Meth_max[[#This Row],[Vergleich_ub]]-dict_DQ_Meth_max[[#This Row],[Vergleich_lb]])+dict_DQ_Meth_max[[#This Row],[Vergleich_lb]]</f>
        <v>1.0230000000000001E-2</v>
      </c>
      <c r="G187" s="12">
        <f ca="1">(RANDBETWEEN(50,100)/100)*(dict_DQ_Meth_max[[#This Row],[Vergleich_ub]]-dict_DQ_Meth_max[[#This Row],[Vergleich_lb]])+dict_DQ_Meth_max[[#This Row],[Vergleich_lb]]</f>
        <v>0.29962</v>
      </c>
      <c r="H187" s="11" t="str">
        <f ca="1">VLOOKUP(VLOOKUP(dict_DQ_Meth_max[[#This Row],[ID_DataQualities]],table_DataQualities[],3),table_Units[],2)</f>
        <v>+/- cm³/s</v>
      </c>
      <c r="I187" s="10"/>
      <c r="J187" s="10"/>
      <c r="K187" s="10"/>
      <c r="L187" s="10">
        <f ca="1">VLOOKUP(dict_DQ_Meth_max[[#This Row],[ID_DataQualities]],table_DataQualities[],8,FALSE)</f>
        <v>3.5000000000000001E-3</v>
      </c>
      <c r="M187" s="10">
        <f ca="1">VLOOKUP(dict_DQ_Meth_max[[#This Row],[ID_DataQualities]],table_DataQualities[],9,FALSE)</f>
        <v>0.34</v>
      </c>
    </row>
    <row r="188" spans="1:13" x14ac:dyDescent="0.45">
      <c r="A188" s="10">
        <v>50</v>
      </c>
      <c r="B188" s="10">
        <v>45</v>
      </c>
      <c r="C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8" s="10"/>
      <c r="E188" s="10"/>
      <c r="F188" s="12">
        <f ca="1">(RANDBETWEEN(0,50)/100)*(dict_DQ_Meth_max[[#This Row],[Vergleich_ub]]-dict_DQ_Meth_max[[#This Row],[Vergleich_lb]])+dict_DQ_Meth_max[[#This Row],[Vergleich_lb]]</f>
        <v>3624.4476500000001</v>
      </c>
      <c r="G188" s="12">
        <f ca="1">(RANDBETWEEN(50,100)/100)*(dict_DQ_Meth_max[[#This Row],[Vergleich_ub]]-dict_DQ_Meth_max[[#This Row],[Vergleich_lb]])+dict_DQ_Meth_max[[#This Row],[Vergleich_lb]]</f>
        <v>6764.8356799999992</v>
      </c>
      <c r="H188" s="11" t="str">
        <f ca="1">VLOOKUP(VLOOKUP(dict_DQ_Meth_max[[#This Row],[ID_DataQualities]],table_DataQualities[],3),table_Units[],2)</f>
        <v>Hz</v>
      </c>
      <c r="I188" s="10"/>
      <c r="J188" s="10"/>
      <c r="K188" s="10"/>
      <c r="L188" s="10">
        <f ca="1">VLOOKUP(dict_DQ_Meth_max[[#This Row],[ID_DataQualities]],table_DataQualities[],8,FALSE)</f>
        <v>0.92300000000000004</v>
      </c>
      <c r="M188" s="10">
        <f ca="1">VLOOKUP(dict_DQ_Meth_max[[#This Row],[ID_DataQualities]],table_DataQualities[],9,FALSE)</f>
        <v>8053.2</v>
      </c>
    </row>
    <row r="189" spans="1:13" x14ac:dyDescent="0.45">
      <c r="A189" s="10">
        <v>50</v>
      </c>
      <c r="B189" s="10">
        <v>227</v>
      </c>
      <c r="C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89" s="10"/>
      <c r="E189" s="10"/>
      <c r="F189" s="12">
        <f ca="1">(RANDBETWEEN(0,50)/100)*(dict_DQ_Meth_max[[#This Row],[Vergleich_ub]]-dict_DQ_Meth_max[[#This Row],[Vergleich_lb]])+dict_DQ_Meth_max[[#This Row],[Vergleich_lb]]</f>
        <v>1933.46948</v>
      </c>
      <c r="G189" s="12">
        <f ca="1">(RANDBETWEEN(50,100)/100)*(dict_DQ_Meth_max[[#This Row],[Vergleich_ub]]-dict_DQ_Meth_max[[#This Row],[Vergleich_lb]])+dict_DQ_Meth_max[[#This Row],[Vergleich_lb]]</f>
        <v>6845.3584499999997</v>
      </c>
      <c r="H189" s="11" t="str">
        <f ca="1">VLOOKUP(VLOOKUP(dict_DQ_Meth_max[[#This Row],[ID_DataQualities]],table_DataQualities[],3),table_Units[],2)</f>
        <v>Hz</v>
      </c>
      <c r="I189" s="10"/>
      <c r="J189" s="10"/>
      <c r="K189" s="10"/>
      <c r="L189" s="10">
        <f ca="1">VLOOKUP(dict_DQ_Meth_max[[#This Row],[ID_DataQualities]],table_DataQualities[],8,FALSE)</f>
        <v>0.92300000000000004</v>
      </c>
      <c r="M189" s="10">
        <f ca="1">VLOOKUP(dict_DQ_Meth_max[[#This Row],[ID_DataQualities]],table_DataQualities[],9,FALSE)</f>
        <v>8053.2</v>
      </c>
    </row>
    <row r="190" spans="1:13" x14ac:dyDescent="0.45">
      <c r="A190" s="10">
        <v>50</v>
      </c>
      <c r="B190" s="10">
        <v>517</v>
      </c>
      <c r="C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0" s="10"/>
      <c r="E190" s="10"/>
      <c r="F190" s="12">
        <f ca="1">(RANDBETWEEN(0,50)/100)*(dict_DQ_Meth_max[[#This Row],[Vergleich_ub]]-dict_DQ_Meth_max[[#This Row],[Vergleich_lb]])+dict_DQ_Meth_max[[#This Row],[Vergleich_lb]]</f>
        <v>1450.33286</v>
      </c>
      <c r="G190" s="12">
        <f ca="1">(RANDBETWEEN(50,100)/100)*(dict_DQ_Meth_max[[#This Row],[Vergleich_ub]]-dict_DQ_Meth_max[[#This Row],[Vergleich_lb]])+dict_DQ_Meth_max[[#This Row],[Vergleich_lb]]</f>
        <v>5073.8575099999998</v>
      </c>
      <c r="H190" s="11" t="str">
        <f ca="1">VLOOKUP(VLOOKUP(dict_DQ_Meth_max[[#This Row],[ID_DataQualities]],table_DataQualities[],3),table_Units[],2)</f>
        <v>Hz</v>
      </c>
      <c r="I190" s="10"/>
      <c r="J190" s="10"/>
      <c r="K190" s="10"/>
      <c r="L190" s="10">
        <f ca="1">VLOOKUP(dict_DQ_Meth_max[[#This Row],[ID_DataQualities]],table_DataQualities[],8,FALSE)</f>
        <v>0.92300000000000004</v>
      </c>
      <c r="M190" s="10">
        <f ca="1">VLOOKUP(dict_DQ_Meth_max[[#This Row],[ID_DataQualities]],table_DataQualities[],9,FALSE)</f>
        <v>8053.2</v>
      </c>
    </row>
    <row r="191" spans="1:13" x14ac:dyDescent="0.45">
      <c r="A191" s="10">
        <v>50</v>
      </c>
      <c r="B191" s="10">
        <v>444</v>
      </c>
      <c r="C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1" s="10"/>
      <c r="E191" s="10"/>
      <c r="F191" s="12">
        <f ca="1">(RANDBETWEEN(0,50)/100)*(dict_DQ_Meth_max[[#This Row],[Vergleich_ub]]-dict_DQ_Meth_max[[#This Row],[Vergleich_lb]])+dict_DQ_Meth_max[[#This Row],[Vergleich_lb]]</f>
        <v>3302.3565699999995</v>
      </c>
      <c r="G191" s="12">
        <f ca="1">(RANDBETWEEN(50,100)/100)*(dict_DQ_Meth_max[[#This Row],[Vergleich_ub]]-dict_DQ_Meth_max[[#This Row],[Vergleich_lb]])+dict_DQ_Meth_max[[#This Row],[Vergleich_lb]]</f>
        <v>6120.6535199999998</v>
      </c>
      <c r="H191" s="11" t="str">
        <f ca="1">VLOOKUP(VLOOKUP(dict_DQ_Meth_max[[#This Row],[ID_DataQualities]],table_DataQualities[],3),table_Units[],2)</f>
        <v>Hz</v>
      </c>
      <c r="I191" s="10"/>
      <c r="J191" s="10"/>
      <c r="K191" s="10"/>
      <c r="L191" s="10">
        <f ca="1">VLOOKUP(dict_DQ_Meth_max[[#This Row],[ID_DataQualities]],table_DataQualities[],8,FALSE)</f>
        <v>0.92300000000000004</v>
      </c>
      <c r="M191" s="10">
        <f ca="1">VLOOKUP(dict_DQ_Meth_max[[#This Row],[ID_DataQualities]],table_DataQualities[],9,FALSE)</f>
        <v>8053.2</v>
      </c>
    </row>
    <row r="192" spans="1:13" x14ac:dyDescent="0.45">
      <c r="A192" s="10">
        <v>51</v>
      </c>
      <c r="B192" s="10">
        <v>227</v>
      </c>
      <c r="C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2" s="10"/>
      <c r="E192" s="10"/>
      <c r="F192" s="12">
        <f ca="1">(RANDBETWEEN(0,50)/100)*(dict_DQ_Meth_max[[#This Row],[Vergleich_ub]]-dict_DQ_Meth_max[[#This Row],[Vergleich_lb]])+dict_DQ_Meth_max[[#This Row],[Vergleich_lb]]</f>
        <v>2.2776600000000005</v>
      </c>
      <c r="G192" s="12">
        <f ca="1">(RANDBETWEEN(50,100)/100)*(dict_DQ_Meth_max[[#This Row],[Vergleich_ub]]-dict_DQ_Meth_max[[#This Row],[Vergleich_lb]])+dict_DQ_Meth_max[[#This Row],[Vergleich_lb]]</f>
        <v>3.1727000000000003</v>
      </c>
      <c r="H192" s="11" t="str">
        <f ca="1">VLOOKUP(VLOOKUP(dict_DQ_Meth_max[[#This Row],[ID_DataQualities]],table_DataQualities[],3),table_Units[],2)</f>
        <v>+/- mm</v>
      </c>
      <c r="I192" s="10"/>
      <c r="J192" s="10"/>
      <c r="K192" s="10"/>
      <c r="L192" s="10">
        <f ca="1">VLOOKUP(dict_DQ_Meth_max[[#This Row],[ID_DataQualities]],table_DataQualities[],8,FALSE)</f>
        <v>9.6000000000000002E-2</v>
      </c>
      <c r="M192" s="10">
        <f ca="1">VLOOKUP(dict_DQ_Meth_max[[#This Row],[ID_DataQualities]],table_DataQualities[],9,FALSE)</f>
        <v>5.69</v>
      </c>
    </row>
    <row r="193" spans="1:13" x14ac:dyDescent="0.45">
      <c r="A193" s="10">
        <v>51</v>
      </c>
      <c r="B193" s="10">
        <v>517</v>
      </c>
      <c r="C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3" s="10"/>
      <c r="E193" s="10"/>
      <c r="F193" s="12">
        <f ca="1">(RANDBETWEEN(0,50)/100)*(dict_DQ_Meth_max[[#This Row],[Vergleich_ub]]-dict_DQ_Meth_max[[#This Row],[Vergleich_lb]])+dict_DQ_Meth_max[[#This Row],[Vergleich_lb]]</f>
        <v>0.48758000000000001</v>
      </c>
      <c r="G193" s="12">
        <f ca="1">(RANDBETWEEN(50,100)/100)*(dict_DQ_Meth_max[[#This Row],[Vergleich_ub]]-dict_DQ_Meth_max[[#This Row],[Vergleich_lb]])+dict_DQ_Meth_max[[#This Row],[Vergleich_lb]]</f>
        <v>4.1236800000000002</v>
      </c>
      <c r="H193" s="11" t="str">
        <f ca="1">VLOOKUP(VLOOKUP(dict_DQ_Meth_max[[#This Row],[ID_DataQualities]],table_DataQualities[],3),table_Units[],2)</f>
        <v>+/- mm</v>
      </c>
      <c r="I193" s="10"/>
      <c r="J193" s="10"/>
      <c r="K193" s="10"/>
      <c r="L193" s="10">
        <f ca="1">VLOOKUP(dict_DQ_Meth_max[[#This Row],[ID_DataQualities]],table_DataQualities[],8,FALSE)</f>
        <v>9.6000000000000002E-2</v>
      </c>
      <c r="M193" s="10">
        <f ca="1">VLOOKUP(dict_DQ_Meth_max[[#This Row],[ID_DataQualities]],table_DataQualities[],9,FALSE)</f>
        <v>5.69</v>
      </c>
    </row>
    <row r="194" spans="1:13" x14ac:dyDescent="0.45">
      <c r="A194" s="10">
        <v>51</v>
      </c>
      <c r="B194" s="10">
        <v>45</v>
      </c>
      <c r="C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4" s="10"/>
      <c r="E194" s="10"/>
      <c r="F194" s="12">
        <f ca="1">(RANDBETWEEN(0,50)/100)*(dict_DQ_Meth_max[[#This Row],[Vergleich_ub]]-dict_DQ_Meth_max[[#This Row],[Vergleich_lb]])+dict_DQ_Meth_max[[#This Row],[Vergleich_lb]]</f>
        <v>2.3336000000000001</v>
      </c>
      <c r="G194" s="12">
        <f ca="1">(RANDBETWEEN(50,100)/100)*(dict_DQ_Meth_max[[#This Row],[Vergleich_ub]]-dict_DQ_Meth_max[[#This Row],[Vergleich_lb]])+dict_DQ_Meth_max[[#This Row],[Vergleich_lb]]</f>
        <v>4.5712000000000002</v>
      </c>
      <c r="H194" s="11" t="str">
        <f ca="1">VLOOKUP(VLOOKUP(dict_DQ_Meth_max[[#This Row],[ID_DataQualities]],table_DataQualities[],3),table_Units[],2)</f>
        <v>+/- mm</v>
      </c>
      <c r="I194" s="10"/>
      <c r="J194" s="10"/>
      <c r="K194" s="10"/>
      <c r="L194" s="10">
        <f ca="1">VLOOKUP(dict_DQ_Meth_max[[#This Row],[ID_DataQualities]],table_DataQualities[],8,FALSE)</f>
        <v>9.6000000000000002E-2</v>
      </c>
      <c r="M194" s="10">
        <f ca="1">VLOOKUP(dict_DQ_Meth_max[[#This Row],[ID_DataQualities]],table_DataQualities[],9,FALSE)</f>
        <v>5.69</v>
      </c>
    </row>
    <row r="195" spans="1:13" x14ac:dyDescent="0.45">
      <c r="A195" s="10">
        <v>51</v>
      </c>
      <c r="B195" s="10">
        <v>444</v>
      </c>
      <c r="C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5" s="10"/>
      <c r="E195" s="10"/>
      <c r="F195" s="12">
        <f ca="1">(RANDBETWEEN(0,50)/100)*(dict_DQ_Meth_max[[#This Row],[Vergleich_ub]]-dict_DQ_Meth_max[[#This Row],[Vergleich_lb]])+dict_DQ_Meth_max[[#This Row],[Vergleich_lb]]</f>
        <v>2.78112</v>
      </c>
      <c r="G195" s="12">
        <f ca="1">(RANDBETWEEN(50,100)/100)*(dict_DQ_Meth_max[[#This Row],[Vergleich_ub]]-dict_DQ_Meth_max[[#This Row],[Vergleich_lb]])+dict_DQ_Meth_max[[#This Row],[Vergleich_lb]]</f>
        <v>4.1236800000000002</v>
      </c>
      <c r="H195" s="11" t="str">
        <f ca="1">VLOOKUP(VLOOKUP(dict_DQ_Meth_max[[#This Row],[ID_DataQualities]],table_DataQualities[],3),table_Units[],2)</f>
        <v>+/- mm</v>
      </c>
      <c r="I195" s="10"/>
      <c r="J195" s="10"/>
      <c r="K195" s="10"/>
      <c r="L195" s="10">
        <f ca="1">VLOOKUP(dict_DQ_Meth_max[[#This Row],[ID_DataQualities]],table_DataQualities[],8,FALSE)</f>
        <v>9.6000000000000002E-2</v>
      </c>
      <c r="M195" s="10">
        <f ca="1">VLOOKUP(dict_DQ_Meth_max[[#This Row],[ID_DataQualities]],table_DataQualities[],9,FALSE)</f>
        <v>5.69</v>
      </c>
    </row>
    <row r="196" spans="1:13" x14ac:dyDescent="0.45">
      <c r="A196" s="10">
        <v>52</v>
      </c>
      <c r="B196" s="10">
        <v>636</v>
      </c>
      <c r="C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6" s="10"/>
      <c r="E196" s="10"/>
      <c r="F196" s="12">
        <f ca="1">(RANDBETWEEN(0,50)/100)*(dict_DQ_Meth_max[[#This Row],[Vergleich_ub]]-dict_DQ_Meth_max[[#This Row],[Vergleich_lb]])+dict_DQ_Meth_max[[#This Row],[Vergleich_lb]]</f>
        <v>2124.8023400000002</v>
      </c>
      <c r="G196" s="12">
        <f ca="1">(RANDBETWEEN(50,100)/100)*(dict_DQ_Meth_max[[#This Row],[Vergleich_ub]]-dict_DQ_Meth_max[[#This Row],[Vergleich_lb]])+dict_DQ_Meth_max[[#This Row],[Vergleich_lb]]</f>
        <v>5214.4013800000012</v>
      </c>
      <c r="H196" s="11" t="str">
        <f ca="1">VLOOKUP(VLOOKUP(dict_DQ_Meth_max[[#This Row],[ID_DataQualities]],table_DataQualities[],3),table_Units[],2)</f>
        <v>Hz</v>
      </c>
      <c r="I196" s="10"/>
      <c r="J196" s="10"/>
      <c r="K196" s="10"/>
      <c r="L196" s="10">
        <f ca="1">VLOOKUP(dict_DQ_Meth_max[[#This Row],[ID_DataQualities]],table_DataQualities[],8,FALSE)</f>
        <v>0.70299999999999996</v>
      </c>
      <c r="M196" s="10">
        <f ca="1">VLOOKUP(dict_DQ_Meth_max[[#This Row],[ID_DataQualities]],table_DataQualities[],9,FALSE)</f>
        <v>9655.7000000000007</v>
      </c>
    </row>
    <row r="197" spans="1:13" x14ac:dyDescent="0.45">
      <c r="A197" s="10">
        <v>52</v>
      </c>
      <c r="B197" s="10">
        <v>431</v>
      </c>
      <c r="C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7" s="10"/>
      <c r="E197" s="10"/>
      <c r="F197" s="12">
        <f ca="1">(RANDBETWEEN(0,50)/100)*(dict_DQ_Meth_max[[#This Row],[Vergleich_ub]]-dict_DQ_Meth_max[[#This Row],[Vergleich_lb]])+dict_DQ_Meth_max[[#This Row],[Vergleich_lb]]</f>
        <v>97.252970000000019</v>
      </c>
      <c r="G197" s="12">
        <f ca="1">(RANDBETWEEN(50,100)/100)*(dict_DQ_Meth_max[[#This Row],[Vergleich_ub]]-dict_DQ_Meth_max[[#This Row],[Vergleich_lb]])+dict_DQ_Meth_max[[#This Row],[Vergleich_lb]]</f>
        <v>7338.5007200000018</v>
      </c>
      <c r="H197" s="11" t="str">
        <f ca="1">VLOOKUP(VLOOKUP(dict_DQ_Meth_max[[#This Row],[ID_DataQualities]],table_DataQualities[],3),table_Units[],2)</f>
        <v>Hz</v>
      </c>
      <c r="I197" s="10"/>
      <c r="J197" s="10"/>
      <c r="K197" s="10"/>
      <c r="L197" s="10">
        <f ca="1">VLOOKUP(dict_DQ_Meth_max[[#This Row],[ID_DataQualities]],table_DataQualities[],8,FALSE)</f>
        <v>0.70299999999999996</v>
      </c>
      <c r="M197" s="10">
        <f ca="1">VLOOKUP(dict_DQ_Meth_max[[#This Row],[ID_DataQualities]],table_DataQualities[],9,FALSE)</f>
        <v>9655.7000000000007</v>
      </c>
    </row>
    <row r="198" spans="1:13" x14ac:dyDescent="0.45">
      <c r="A198" s="10">
        <v>52</v>
      </c>
      <c r="B198" s="10">
        <v>262</v>
      </c>
      <c r="C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8" s="10"/>
      <c r="E198" s="10"/>
      <c r="F198" s="12">
        <f ca="1">(RANDBETWEEN(0,50)/100)*(dict_DQ_Meth_max[[#This Row],[Vergleich_ub]]-dict_DQ_Meth_max[[#This Row],[Vergleich_lb]])+dict_DQ_Meth_max[[#This Row],[Vergleich_lb]]</f>
        <v>3283.4019800000005</v>
      </c>
      <c r="G198" s="12">
        <f ca="1">(RANDBETWEEN(50,100)/100)*(dict_DQ_Meth_max[[#This Row],[Vergleich_ub]]-dict_DQ_Meth_max[[#This Row],[Vergleich_lb]])+dict_DQ_Meth_max[[#This Row],[Vergleich_lb]]</f>
        <v>8400.5503900000003</v>
      </c>
      <c r="H198" s="11" t="str">
        <f ca="1">VLOOKUP(VLOOKUP(dict_DQ_Meth_max[[#This Row],[ID_DataQualities]],table_DataQualities[],3),table_Units[],2)</f>
        <v>Hz</v>
      </c>
      <c r="I198" s="10"/>
      <c r="J198" s="10"/>
      <c r="K198" s="10"/>
      <c r="L198" s="10">
        <f ca="1">VLOOKUP(dict_DQ_Meth_max[[#This Row],[ID_DataQualities]],table_DataQualities[],8,FALSE)</f>
        <v>0.70299999999999996</v>
      </c>
      <c r="M198" s="10">
        <f ca="1">VLOOKUP(dict_DQ_Meth_max[[#This Row],[ID_DataQualities]],table_DataQualities[],9,FALSE)</f>
        <v>9655.7000000000007</v>
      </c>
    </row>
    <row r="199" spans="1:13" x14ac:dyDescent="0.45">
      <c r="A199" s="10">
        <v>52</v>
      </c>
      <c r="B199" s="10">
        <v>44</v>
      </c>
      <c r="C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99" s="10"/>
      <c r="E199" s="10"/>
      <c r="F199" s="12">
        <f ca="1">(RANDBETWEEN(0,50)/100)*(dict_DQ_Meth_max[[#This Row],[Vergleich_ub]]-dict_DQ_Meth_max[[#This Row],[Vergleich_lb]])+dict_DQ_Meth_max[[#This Row],[Vergleich_lb]]</f>
        <v>97.252970000000019</v>
      </c>
      <c r="G199" s="12">
        <f ca="1">(RANDBETWEEN(50,100)/100)*(dict_DQ_Meth_max[[#This Row],[Vergleich_ub]]-dict_DQ_Meth_max[[#This Row],[Vergleich_lb]])+dict_DQ_Meth_max[[#This Row],[Vergleich_lb]]</f>
        <v>6662.6509300000007</v>
      </c>
      <c r="H199" s="11" t="str">
        <f ca="1">VLOOKUP(VLOOKUP(dict_DQ_Meth_max[[#This Row],[ID_DataQualities]],table_DataQualities[],3),table_Units[],2)</f>
        <v>Hz</v>
      </c>
      <c r="I199" s="10"/>
      <c r="J199" s="10"/>
      <c r="K199" s="10"/>
      <c r="L199" s="10">
        <f ca="1">VLOOKUP(dict_DQ_Meth_max[[#This Row],[ID_DataQualities]],table_DataQualities[],8,FALSE)</f>
        <v>0.70299999999999996</v>
      </c>
      <c r="M199" s="10">
        <f ca="1">VLOOKUP(dict_DQ_Meth_max[[#This Row],[ID_DataQualities]],table_DataQualities[],9,FALSE)</f>
        <v>9655.7000000000007</v>
      </c>
    </row>
    <row r="200" spans="1:13" x14ac:dyDescent="0.45">
      <c r="A200" s="10">
        <v>53</v>
      </c>
      <c r="B200" s="10">
        <v>431</v>
      </c>
      <c r="C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0" s="10"/>
      <c r="E200" s="10"/>
      <c r="F200" s="12">
        <f ca="1">(RANDBETWEEN(0,50)/100)*(dict_DQ_Meth_max[[#This Row],[Vergleich_ub]]-dict_DQ_Meth_max[[#This Row],[Vergleich_lb]])+dict_DQ_Meth_max[[#This Row],[Vergleich_lb]]</f>
        <v>3394.7000000000003</v>
      </c>
      <c r="G200" s="12">
        <f ca="1">(RANDBETWEEN(50,100)/100)*(dict_DQ_Meth_max[[#This Row],[Vergleich_ub]]-dict_DQ_Meth_max[[#This Row],[Vergleich_lb]])+dict_DQ_Meth_max[[#This Row],[Vergleich_lb]]</f>
        <v>6480.36</v>
      </c>
      <c r="H200" s="11" t="str">
        <f ca="1">VLOOKUP(VLOOKUP(dict_DQ_Meth_max[[#This Row],[ID_DataQualities]],table_DataQualities[],3),table_Units[],2)</f>
        <v>bit</v>
      </c>
      <c r="I200" s="10"/>
      <c r="J200" s="10"/>
      <c r="K200" s="10"/>
      <c r="L200" s="10">
        <f ca="1">VLOOKUP(dict_DQ_Meth_max[[#This Row],[ID_DataQualities]],table_DataQualities[],8,FALSE)</f>
        <v>8</v>
      </c>
      <c r="M200" s="10">
        <f ca="1">VLOOKUP(dict_DQ_Meth_max[[#This Row],[ID_DataQualities]],table_DataQualities[],9,FALSE)</f>
        <v>7534</v>
      </c>
    </row>
    <row r="201" spans="1:13" x14ac:dyDescent="0.45">
      <c r="A201" s="10">
        <v>53</v>
      </c>
      <c r="B201" s="10">
        <v>636</v>
      </c>
      <c r="C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1" s="10"/>
      <c r="E201" s="10"/>
      <c r="F201" s="12">
        <f ca="1">(RANDBETWEEN(0,50)/100)*(dict_DQ_Meth_max[[#This Row],[Vergleich_ub]]-dict_DQ_Meth_max[[#This Row],[Vergleich_lb]])+dict_DQ_Meth_max[[#This Row],[Vergleich_lb]]</f>
        <v>1513.2</v>
      </c>
      <c r="G201" s="12">
        <f ca="1">(RANDBETWEEN(50,100)/100)*(dict_DQ_Meth_max[[#This Row],[Vergleich_ub]]-dict_DQ_Meth_max[[#This Row],[Vergleich_lb]])+dict_DQ_Meth_max[[#This Row],[Vergleich_lb]]</f>
        <v>4222.5600000000004</v>
      </c>
      <c r="H201" s="11" t="str">
        <f ca="1">VLOOKUP(VLOOKUP(dict_DQ_Meth_max[[#This Row],[ID_DataQualities]],table_DataQualities[],3),table_Units[],2)</f>
        <v>bit</v>
      </c>
      <c r="I201" s="10"/>
      <c r="J201" s="10"/>
      <c r="K201" s="10"/>
      <c r="L201" s="10">
        <f ca="1">VLOOKUP(dict_DQ_Meth_max[[#This Row],[ID_DataQualities]],table_DataQualities[],8,FALSE)</f>
        <v>8</v>
      </c>
      <c r="M201" s="10">
        <f ca="1">VLOOKUP(dict_DQ_Meth_max[[#This Row],[ID_DataQualities]],table_DataQualities[],9,FALSE)</f>
        <v>7534</v>
      </c>
    </row>
    <row r="202" spans="1:13" x14ac:dyDescent="0.45">
      <c r="A202" s="10">
        <v>53</v>
      </c>
      <c r="B202" s="10">
        <v>262</v>
      </c>
      <c r="C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2" s="10"/>
      <c r="E202" s="10"/>
      <c r="F202" s="12">
        <f ca="1">(RANDBETWEEN(0,50)/100)*(dict_DQ_Meth_max[[#This Row],[Vergleich_ub]]-dict_DQ_Meth_max[[#This Row],[Vergleich_lb]])+dict_DQ_Meth_max[[#This Row],[Vergleich_lb]]</f>
        <v>233.78</v>
      </c>
      <c r="G202" s="12">
        <f ca="1">(RANDBETWEEN(50,100)/100)*(dict_DQ_Meth_max[[#This Row],[Vergleich_ub]]-dict_DQ_Meth_max[[#This Row],[Vergleich_lb]])+dict_DQ_Meth_max[[#This Row],[Vergleich_lb]]</f>
        <v>6630.88</v>
      </c>
      <c r="H202" s="11" t="str">
        <f ca="1">VLOOKUP(VLOOKUP(dict_DQ_Meth_max[[#This Row],[ID_DataQualities]],table_DataQualities[],3),table_Units[],2)</f>
        <v>bit</v>
      </c>
      <c r="I202" s="10"/>
      <c r="J202" s="10"/>
      <c r="K202" s="10"/>
      <c r="L202" s="10">
        <f ca="1">VLOOKUP(dict_DQ_Meth_max[[#This Row],[ID_DataQualities]],table_DataQualities[],8,FALSE)</f>
        <v>8</v>
      </c>
      <c r="M202" s="10">
        <f ca="1">VLOOKUP(dict_DQ_Meth_max[[#This Row],[ID_DataQualities]],table_DataQualities[],9,FALSE)</f>
        <v>7534</v>
      </c>
    </row>
    <row r="203" spans="1:13" x14ac:dyDescent="0.45">
      <c r="A203" s="10">
        <v>53</v>
      </c>
      <c r="B203" s="10">
        <v>44</v>
      </c>
      <c r="C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3" s="10"/>
      <c r="E203" s="10"/>
      <c r="F203" s="12">
        <f ca="1">(RANDBETWEEN(0,50)/100)*(dict_DQ_Meth_max[[#This Row],[Vergleich_ub]]-dict_DQ_Meth_max[[#This Row],[Vergleich_lb]])+dict_DQ_Meth_max[[#This Row],[Vergleich_lb]]</f>
        <v>309.04000000000002</v>
      </c>
      <c r="G203" s="12">
        <f ca="1">(RANDBETWEEN(50,100)/100)*(dict_DQ_Meth_max[[#This Row],[Vergleich_ub]]-dict_DQ_Meth_max[[#This Row],[Vergleich_lb]])+dict_DQ_Meth_max[[#This Row],[Vergleich_lb]]</f>
        <v>7308.2199999999993</v>
      </c>
      <c r="H203" s="11" t="str">
        <f ca="1">VLOOKUP(VLOOKUP(dict_DQ_Meth_max[[#This Row],[ID_DataQualities]],table_DataQualities[],3),table_Units[],2)</f>
        <v>bit</v>
      </c>
      <c r="I203" s="10"/>
      <c r="J203" s="10"/>
      <c r="K203" s="10"/>
      <c r="L203" s="10">
        <f ca="1">VLOOKUP(dict_DQ_Meth_max[[#This Row],[ID_DataQualities]],table_DataQualities[],8,FALSE)</f>
        <v>8</v>
      </c>
      <c r="M203" s="10">
        <f ca="1">VLOOKUP(dict_DQ_Meth_max[[#This Row],[ID_DataQualities]],table_DataQualities[],9,FALSE)</f>
        <v>7534</v>
      </c>
    </row>
    <row r="204" spans="1:13" x14ac:dyDescent="0.45">
      <c r="A204" s="10">
        <v>54</v>
      </c>
      <c r="B204" s="10">
        <v>296</v>
      </c>
      <c r="C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4" s="10"/>
      <c r="E204" s="10"/>
      <c r="F204" s="12">
        <f ca="1">(RANDBETWEEN(0,50)/100)*(dict_DQ_Meth_max[[#This Row],[Vergleich_ub]]-dict_DQ_Meth_max[[#This Row],[Vergleich_lb]])+dict_DQ_Meth_max[[#This Row],[Vergleich_lb]]</f>
        <v>1333.6455199999998</v>
      </c>
      <c r="G204" s="12">
        <f ca="1">(RANDBETWEEN(50,100)/100)*(dict_DQ_Meth_max[[#This Row],[Vergleich_ub]]-dict_DQ_Meth_max[[#This Row],[Vergleich_lb]])+dict_DQ_Meth_max[[#This Row],[Vergleich_lb]]</f>
        <v>2342.7364000000002</v>
      </c>
      <c r="H204" s="11" t="str">
        <f ca="1">VLOOKUP(VLOOKUP(dict_DQ_Meth_max[[#This Row],[ID_DataQualities]],table_DataQualities[],3),table_Units[],2)</f>
        <v>Hz</v>
      </c>
      <c r="I204" s="10"/>
      <c r="J204" s="10"/>
      <c r="K204" s="10"/>
      <c r="L204" s="10">
        <f ca="1">VLOOKUP(dict_DQ_Meth_max[[#This Row],[ID_DataQualities]],table_DataQualities[],8,FALSE)</f>
        <v>0.20399999999999999</v>
      </c>
      <c r="M204" s="10">
        <f ca="1">VLOOKUP(dict_DQ_Meth_max[[#This Row],[ID_DataQualities]],table_DataQualities[],9,FALSE)</f>
        <v>3604.1</v>
      </c>
    </row>
    <row r="205" spans="1:13" x14ac:dyDescent="0.45">
      <c r="A205" s="10">
        <v>54</v>
      </c>
      <c r="B205" s="10">
        <v>556</v>
      </c>
      <c r="C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5" s="10"/>
      <c r="E205" s="10"/>
      <c r="F205" s="12">
        <f ca="1">(RANDBETWEEN(0,50)/100)*(dict_DQ_Meth_max[[#This Row],[Vergleich_ub]]-dict_DQ_Meth_max[[#This Row],[Vergleich_lb]])+dict_DQ_Meth_max[[#This Row],[Vergleich_lb]]</f>
        <v>1189.4896799999999</v>
      </c>
      <c r="G205" s="12">
        <f ca="1">(RANDBETWEEN(50,100)/100)*(dict_DQ_Meth_max[[#This Row],[Vergleich_ub]]-dict_DQ_Meth_max[[#This Row],[Vergleich_lb]])+dict_DQ_Meth_max[[#This Row],[Vergleich_lb]]</f>
        <v>3568.06104</v>
      </c>
      <c r="H205" s="11" t="str">
        <f ca="1">VLOOKUP(VLOOKUP(dict_DQ_Meth_max[[#This Row],[ID_DataQualities]],table_DataQualities[],3),table_Units[],2)</f>
        <v>Hz</v>
      </c>
      <c r="I205" s="10"/>
      <c r="J205" s="10"/>
      <c r="K205" s="10"/>
      <c r="L205" s="10">
        <f ca="1">VLOOKUP(dict_DQ_Meth_max[[#This Row],[ID_DataQualities]],table_DataQualities[],8,FALSE)</f>
        <v>0.20399999999999999</v>
      </c>
      <c r="M205" s="10">
        <f ca="1">VLOOKUP(dict_DQ_Meth_max[[#This Row],[ID_DataQualities]],table_DataQualities[],9,FALSE)</f>
        <v>3604.1</v>
      </c>
    </row>
    <row r="206" spans="1:13" x14ac:dyDescent="0.45">
      <c r="A206" s="10">
        <v>54</v>
      </c>
      <c r="B206" s="10">
        <v>127</v>
      </c>
      <c r="C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6" s="10"/>
      <c r="E206" s="10"/>
      <c r="F206" s="12">
        <f ca="1">(RANDBETWEEN(0,50)/100)*(dict_DQ_Meth_max[[#This Row],[Vergleich_ub]]-dict_DQ_Meth_max[[#This Row],[Vergleich_lb]])+dict_DQ_Meth_max[[#This Row],[Vergleich_lb]]</f>
        <v>1730.0740799999999</v>
      </c>
      <c r="G206" s="12">
        <f ca="1">(RANDBETWEEN(50,100)/100)*(dict_DQ_Meth_max[[#This Row],[Vergleich_ub]]-dict_DQ_Meth_max[[#This Row],[Vergleich_lb]])+dict_DQ_Meth_max[[#This Row],[Vergleich_lb]]</f>
        <v>1982.3468</v>
      </c>
      <c r="H206" s="11" t="str">
        <f ca="1">VLOOKUP(VLOOKUP(dict_DQ_Meth_max[[#This Row],[ID_DataQualities]],table_DataQualities[],3),table_Units[],2)</f>
        <v>Hz</v>
      </c>
      <c r="I206" s="10"/>
      <c r="J206" s="10"/>
      <c r="K206" s="10"/>
      <c r="L206" s="10">
        <f ca="1">VLOOKUP(dict_DQ_Meth_max[[#This Row],[ID_DataQualities]],table_DataQualities[],8,FALSE)</f>
        <v>0.20399999999999999</v>
      </c>
      <c r="M206" s="10">
        <f ca="1">VLOOKUP(dict_DQ_Meth_max[[#This Row],[ID_DataQualities]],table_DataQualities[],9,FALSE)</f>
        <v>3604.1</v>
      </c>
    </row>
    <row r="207" spans="1:13" x14ac:dyDescent="0.45">
      <c r="A207" s="10">
        <v>55</v>
      </c>
      <c r="B207" s="10">
        <v>556</v>
      </c>
      <c r="C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7" s="10"/>
      <c r="E207" s="10"/>
      <c r="F207" s="12">
        <f ca="1">(RANDBETWEEN(0,50)/100)*(dict_DQ_Meth_max[[#This Row],[Vergleich_ub]]-dict_DQ_Meth_max[[#This Row],[Vergleich_lb]])+dict_DQ_Meth_max[[#This Row],[Vergleich_lb]]</f>
        <v>3.8197000000000002E-2</v>
      </c>
      <c r="G207" s="12">
        <f ca="1">(RANDBETWEEN(50,100)/100)*(dict_DQ_Meth_max[[#This Row],[Vergleich_ub]]-dict_DQ_Meth_max[[#This Row],[Vergleich_lb]])+dict_DQ_Meth_max[[#This Row],[Vergleich_lb]]</f>
        <v>0.165133</v>
      </c>
      <c r="H207" s="11" t="str">
        <f ca="1">VLOOKUP(VLOOKUP(dict_DQ_Meth_max[[#This Row],[ID_DataQualities]],table_DataQualities[],3),table_Units[],2)</f>
        <v>+/- cm³/s</v>
      </c>
      <c r="I207" s="10"/>
      <c r="J207" s="10"/>
      <c r="K207" s="10"/>
      <c r="L207" s="10">
        <f ca="1">VLOOKUP(dict_DQ_Meth_max[[#This Row],[ID_DataQualities]],table_DataQualities[],8,FALSE)</f>
        <v>4.7000000000000002E-3</v>
      </c>
      <c r="M207" s="10">
        <f ca="1">VLOOKUP(dict_DQ_Meth_max[[#This Row],[ID_DataQualities]],table_DataQualities[],9,FALSE)</f>
        <v>0.18099999999999999</v>
      </c>
    </row>
    <row r="208" spans="1:13" x14ac:dyDescent="0.45">
      <c r="A208" s="10">
        <v>55</v>
      </c>
      <c r="B208" s="10">
        <v>127</v>
      </c>
      <c r="C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8" s="10"/>
      <c r="E208" s="10"/>
      <c r="F208" s="12">
        <f ca="1">(RANDBETWEEN(0,50)/100)*(dict_DQ_Meth_max[[#This Row],[Vergleich_ub]]-dict_DQ_Meth_max[[#This Row],[Vergleich_lb]])+dict_DQ_Meth_max[[#This Row],[Vergleich_lb]]</f>
        <v>6.287899999999999E-2</v>
      </c>
      <c r="G208" s="12">
        <f ca="1">(RANDBETWEEN(50,100)/100)*(dict_DQ_Meth_max[[#This Row],[Vergleich_ub]]-dict_DQ_Meth_max[[#This Row],[Vergleich_lb]])+dict_DQ_Meth_max[[#This Row],[Vergleich_lb]]</f>
        <v>0.16336999999999999</v>
      </c>
      <c r="H208" s="11" t="str">
        <f ca="1">VLOOKUP(VLOOKUP(dict_DQ_Meth_max[[#This Row],[ID_DataQualities]],table_DataQualities[],3),table_Units[],2)</f>
        <v>+/- cm³/s</v>
      </c>
      <c r="I208" s="10"/>
      <c r="J208" s="10"/>
      <c r="K208" s="10"/>
      <c r="L208" s="10">
        <f ca="1">VLOOKUP(dict_DQ_Meth_max[[#This Row],[ID_DataQualities]],table_DataQualities[],8,FALSE)</f>
        <v>4.7000000000000002E-3</v>
      </c>
      <c r="M208" s="10">
        <f ca="1">VLOOKUP(dict_DQ_Meth_max[[#This Row],[ID_DataQualities]],table_DataQualities[],9,FALSE)</f>
        <v>0.18099999999999999</v>
      </c>
    </row>
    <row r="209" spans="1:13" x14ac:dyDescent="0.45">
      <c r="A209" s="10">
        <v>55</v>
      </c>
      <c r="B209" s="10">
        <v>296</v>
      </c>
      <c r="C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09" s="10"/>
      <c r="E209" s="10"/>
      <c r="F209" s="12">
        <f ca="1">(RANDBETWEEN(0,50)/100)*(dict_DQ_Meth_max[[#This Row],[Vergleich_ub]]-dict_DQ_Meth_max[[#This Row],[Vergleich_lb]])+dict_DQ_Meth_max[[#This Row],[Vergleich_lb]]</f>
        <v>3.2908E-2</v>
      </c>
      <c r="G209" s="12">
        <f ca="1">(RANDBETWEEN(50,100)/100)*(dict_DQ_Meth_max[[#This Row],[Vergleich_ub]]-dict_DQ_Meth_max[[#This Row],[Vergleich_lb]])+dict_DQ_Meth_max[[#This Row],[Vergleich_lb]]</f>
        <v>0.147503</v>
      </c>
      <c r="H209" s="11" t="str">
        <f ca="1">VLOOKUP(VLOOKUP(dict_DQ_Meth_max[[#This Row],[ID_DataQualities]],table_DataQualities[],3),table_Units[],2)</f>
        <v>+/- cm³/s</v>
      </c>
      <c r="I209" s="10"/>
      <c r="J209" s="10"/>
      <c r="K209" s="10"/>
      <c r="L209" s="10">
        <f ca="1">VLOOKUP(dict_DQ_Meth_max[[#This Row],[ID_DataQualities]],table_DataQualities[],8,FALSE)</f>
        <v>4.7000000000000002E-3</v>
      </c>
      <c r="M209" s="10">
        <f ca="1">VLOOKUP(dict_DQ_Meth_max[[#This Row],[ID_DataQualities]],table_DataQualities[],9,FALSE)</f>
        <v>0.18099999999999999</v>
      </c>
    </row>
    <row r="210" spans="1:13" x14ac:dyDescent="0.45">
      <c r="A210" s="10">
        <v>56</v>
      </c>
      <c r="B210" s="10">
        <v>395</v>
      </c>
      <c r="C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0" s="10"/>
      <c r="E210" s="10"/>
      <c r="F210" s="12">
        <f ca="1">(RANDBETWEEN(0,50)/100)*(dict_DQ_Meth_max[[#This Row],[Vergleich_ub]]-dict_DQ_Meth_max[[#This Row],[Vergleich_lb]])+dict_DQ_Meth_max[[#This Row],[Vergleich_lb]]</f>
        <v>2769.4188800000002</v>
      </c>
      <c r="G210" s="12">
        <f ca="1">(RANDBETWEEN(50,100)/100)*(dict_DQ_Meth_max[[#This Row],[Vergleich_ub]]-dict_DQ_Meth_max[[#This Row],[Vergleich_lb]])+dict_DQ_Meth_max[[#This Row],[Vergleich_lb]]</f>
        <v>5922.9474099999998</v>
      </c>
      <c r="H210" s="11" t="str">
        <f ca="1">VLOOKUP(VLOOKUP(dict_DQ_Meth_max[[#This Row],[ID_DataQualities]],table_DataQualities[],3),table_Units[],2)</f>
        <v>Hz</v>
      </c>
      <c r="I210" s="10"/>
      <c r="J210" s="10"/>
      <c r="K210" s="10"/>
      <c r="L210" s="10">
        <f ca="1">VLOOKUP(dict_DQ_Meth_max[[#This Row],[ID_DataQualities]],table_DataQualities[],8,FALSE)</f>
        <v>0.46700000000000003</v>
      </c>
      <c r="M210" s="10">
        <f ca="1">VLOOKUP(dict_DQ_Meth_max[[#This Row],[ID_DataQualities]],table_DataQualities[],9,FALSE)</f>
        <v>7692</v>
      </c>
    </row>
    <row r="211" spans="1:13" x14ac:dyDescent="0.45">
      <c r="A211" s="10">
        <v>56</v>
      </c>
      <c r="B211" s="10">
        <v>593</v>
      </c>
      <c r="C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1" s="10"/>
      <c r="E211" s="10"/>
      <c r="F211" s="12">
        <f ca="1">(RANDBETWEEN(0,50)/100)*(dict_DQ_Meth_max[[#This Row],[Vergleich_ub]]-dict_DQ_Meth_max[[#This Row],[Vergleich_lb]])+dict_DQ_Meth_max[[#This Row],[Vergleich_lb]]</f>
        <v>0.46700000000000003</v>
      </c>
      <c r="G211" s="12">
        <f ca="1">(RANDBETWEEN(50,100)/100)*(dict_DQ_Meth_max[[#This Row],[Vergleich_ub]]-dict_DQ_Meth_max[[#This Row],[Vergleich_lb]])+dict_DQ_Meth_max[[#This Row],[Vergleich_lb]]</f>
        <v>5692.2014199999994</v>
      </c>
      <c r="H211" s="11" t="str">
        <f ca="1">VLOOKUP(VLOOKUP(dict_DQ_Meth_max[[#This Row],[ID_DataQualities]],table_DataQualities[],3),table_Units[],2)</f>
        <v>Hz</v>
      </c>
      <c r="I211" s="10"/>
      <c r="J211" s="10"/>
      <c r="K211" s="10"/>
      <c r="L211" s="10">
        <f ca="1">VLOOKUP(dict_DQ_Meth_max[[#This Row],[ID_DataQualities]],table_DataQualities[],8,FALSE)</f>
        <v>0.46700000000000003</v>
      </c>
      <c r="M211" s="10">
        <f ca="1">VLOOKUP(dict_DQ_Meth_max[[#This Row],[ID_DataQualities]],table_DataQualities[],9,FALSE)</f>
        <v>7692</v>
      </c>
    </row>
    <row r="212" spans="1:13" x14ac:dyDescent="0.45">
      <c r="A212" s="10">
        <v>56</v>
      </c>
      <c r="B212" s="10">
        <v>92</v>
      </c>
      <c r="C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2" s="10"/>
      <c r="E212" s="10"/>
      <c r="F212" s="12">
        <f ca="1">(RANDBETWEEN(0,50)/100)*(dict_DQ_Meth_max[[#This Row],[Vergleich_ub]]-dict_DQ_Meth_max[[#This Row],[Vergleich_lb]])+dict_DQ_Meth_max[[#This Row],[Vergleich_lb]]</f>
        <v>1231.1122800000003</v>
      </c>
      <c r="G212" s="12">
        <f ca="1">(RANDBETWEEN(50,100)/100)*(dict_DQ_Meth_max[[#This Row],[Vergleich_ub]]-dict_DQ_Meth_max[[#This Row],[Vergleich_lb]])+dict_DQ_Meth_max[[#This Row],[Vergleich_lb]]</f>
        <v>4692.30213</v>
      </c>
      <c r="H212" s="11" t="str">
        <f ca="1">VLOOKUP(VLOOKUP(dict_DQ_Meth_max[[#This Row],[ID_DataQualities]],table_DataQualities[],3),table_Units[],2)</f>
        <v>Hz</v>
      </c>
      <c r="I212" s="10"/>
      <c r="J212" s="10"/>
      <c r="K212" s="10"/>
      <c r="L212" s="10">
        <f ca="1">VLOOKUP(dict_DQ_Meth_max[[#This Row],[ID_DataQualities]],table_DataQualities[],8,FALSE)</f>
        <v>0.46700000000000003</v>
      </c>
      <c r="M212" s="10">
        <f ca="1">VLOOKUP(dict_DQ_Meth_max[[#This Row],[ID_DataQualities]],table_DataQualities[],9,FALSE)</f>
        <v>7692</v>
      </c>
    </row>
    <row r="213" spans="1:13" x14ac:dyDescent="0.45">
      <c r="A213" s="10">
        <v>56</v>
      </c>
      <c r="B213" s="10">
        <v>371</v>
      </c>
      <c r="C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3" s="10"/>
      <c r="E213" s="10"/>
      <c r="F213" s="12">
        <f ca="1">(RANDBETWEEN(0,50)/100)*(dict_DQ_Meth_max[[#This Row],[Vergleich_ub]]-dict_DQ_Meth_max[[#This Row],[Vergleich_lb]])+dict_DQ_Meth_max[[#This Row],[Vergleich_lb]]</f>
        <v>2077.1809100000005</v>
      </c>
      <c r="G213" s="12">
        <f ca="1">(RANDBETWEEN(50,100)/100)*(dict_DQ_Meth_max[[#This Row],[Vergleich_ub]]-dict_DQ_Meth_max[[#This Row],[Vergleich_lb]])+dict_DQ_Meth_max[[#This Row],[Vergleich_lb]]</f>
        <v>7692</v>
      </c>
      <c r="H213" s="11" t="str">
        <f ca="1">VLOOKUP(VLOOKUP(dict_DQ_Meth_max[[#This Row],[ID_DataQualities]],table_DataQualities[],3),table_Units[],2)</f>
        <v>Hz</v>
      </c>
      <c r="I213" s="10"/>
      <c r="J213" s="10"/>
      <c r="K213" s="10"/>
      <c r="L213" s="10">
        <f ca="1">VLOOKUP(dict_DQ_Meth_max[[#This Row],[ID_DataQualities]],table_DataQualities[],8,FALSE)</f>
        <v>0.46700000000000003</v>
      </c>
      <c r="M213" s="10">
        <f ca="1">VLOOKUP(dict_DQ_Meth_max[[#This Row],[ID_DataQualities]],table_DataQualities[],9,FALSE)</f>
        <v>7692</v>
      </c>
    </row>
    <row r="214" spans="1:13" x14ac:dyDescent="0.45">
      <c r="A214" s="10">
        <v>57</v>
      </c>
      <c r="B214" s="10">
        <v>371</v>
      </c>
      <c r="C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4" s="10"/>
      <c r="E214" s="10"/>
      <c r="F214" s="12">
        <f ca="1">(RANDBETWEEN(0,50)/100)*(dict_DQ_Meth_max[[#This Row],[Vergleich_ub]]-dict_DQ_Meth_max[[#This Row],[Vergleich_lb]])+dict_DQ_Meth_max[[#This Row],[Vergleich_lb]]</f>
        <v>674.55</v>
      </c>
      <c r="G214" s="12">
        <f ca="1">(RANDBETWEEN(50,100)/100)*(dict_DQ_Meth_max[[#This Row],[Vergleich_ub]]-dict_DQ_Meth_max[[#This Row],[Vergleich_lb]])+dict_DQ_Meth_max[[#This Row],[Vergleich_lb]]</f>
        <v>1611.9199999999998</v>
      </c>
      <c r="H214" s="11" t="str">
        <f ca="1">VLOOKUP(VLOOKUP(dict_DQ_Meth_max[[#This Row],[ID_DataQualities]],table_DataQualities[],3),table_Units[],2)</f>
        <v>bit</v>
      </c>
      <c r="I214" s="10"/>
      <c r="J214" s="10"/>
      <c r="K214" s="10"/>
      <c r="L214" s="10">
        <f ca="1">VLOOKUP(dict_DQ_Meth_max[[#This Row],[ID_DataQualities]],table_DataQualities[],8,FALSE)</f>
        <v>5</v>
      </c>
      <c r="M214" s="10">
        <f ca="1">VLOOKUP(dict_DQ_Meth_max[[#This Row],[ID_DataQualities]],table_DataQualities[],9,FALSE)</f>
        <v>1918</v>
      </c>
    </row>
    <row r="215" spans="1:13" x14ac:dyDescent="0.45">
      <c r="A215" s="10">
        <v>57</v>
      </c>
      <c r="B215" s="10">
        <v>395</v>
      </c>
      <c r="C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5" s="10"/>
      <c r="E215" s="10"/>
      <c r="F215" s="12">
        <f ca="1">(RANDBETWEEN(0,50)/100)*(dict_DQ_Meth_max[[#This Row],[Vergleich_ub]]-dict_DQ_Meth_max[[#This Row],[Vergleich_lb]])+dict_DQ_Meth_max[[#This Row],[Vergleich_lb]]</f>
        <v>406.72999999999996</v>
      </c>
      <c r="G215" s="12">
        <f ca="1">(RANDBETWEEN(50,100)/100)*(dict_DQ_Meth_max[[#This Row],[Vergleich_ub]]-dict_DQ_Meth_max[[#This Row],[Vergleich_lb]])+dict_DQ_Meth_max[[#This Row],[Vergleich_lb]]</f>
        <v>1401.49</v>
      </c>
      <c r="H215" s="11" t="str">
        <f ca="1">VLOOKUP(VLOOKUP(dict_DQ_Meth_max[[#This Row],[ID_DataQualities]],table_DataQualities[],3),table_Units[],2)</f>
        <v>bit</v>
      </c>
      <c r="I215" s="10"/>
      <c r="J215" s="10"/>
      <c r="K215" s="10"/>
      <c r="L215" s="10">
        <f ca="1">VLOOKUP(dict_DQ_Meth_max[[#This Row],[ID_DataQualities]],table_DataQualities[],8,FALSE)</f>
        <v>5</v>
      </c>
      <c r="M215" s="10">
        <f ca="1">VLOOKUP(dict_DQ_Meth_max[[#This Row],[ID_DataQualities]],table_DataQualities[],9,FALSE)</f>
        <v>1918</v>
      </c>
    </row>
    <row r="216" spans="1:13" x14ac:dyDescent="0.45">
      <c r="A216" s="10">
        <v>57</v>
      </c>
      <c r="B216" s="10">
        <v>593</v>
      </c>
      <c r="C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6" s="10"/>
      <c r="E216" s="10"/>
      <c r="F216" s="12">
        <f ca="1">(RANDBETWEEN(0,50)/100)*(dict_DQ_Meth_max[[#This Row],[Vergleich_ub]]-dict_DQ_Meth_max[[#This Row],[Vergleich_lb]])+dict_DQ_Meth_max[[#This Row],[Vergleich_lb]]</f>
        <v>483.25</v>
      </c>
      <c r="G216" s="12">
        <f ca="1">(RANDBETWEEN(50,100)/100)*(dict_DQ_Meth_max[[#This Row],[Vergleich_ub]]-dict_DQ_Meth_max[[#This Row],[Vergleich_lb]])+dict_DQ_Meth_max[[#This Row],[Vergleich_lb]]</f>
        <v>1171.93</v>
      </c>
      <c r="H216" s="11" t="str">
        <f ca="1">VLOOKUP(VLOOKUP(dict_DQ_Meth_max[[#This Row],[ID_DataQualities]],table_DataQualities[],3),table_Units[],2)</f>
        <v>bit</v>
      </c>
      <c r="I216" s="10"/>
      <c r="J216" s="10"/>
      <c r="K216" s="10"/>
      <c r="L216" s="10">
        <f ca="1">VLOOKUP(dict_DQ_Meth_max[[#This Row],[ID_DataQualities]],table_DataQualities[],8,FALSE)</f>
        <v>5</v>
      </c>
      <c r="M216" s="10">
        <f ca="1">VLOOKUP(dict_DQ_Meth_max[[#This Row],[ID_DataQualities]],table_DataQualities[],9,FALSE)</f>
        <v>1918</v>
      </c>
    </row>
    <row r="217" spans="1:13" x14ac:dyDescent="0.45">
      <c r="A217" s="10">
        <v>57</v>
      </c>
      <c r="B217" s="10">
        <v>92</v>
      </c>
      <c r="C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7" s="10"/>
      <c r="E217" s="10"/>
      <c r="F217" s="12">
        <f ca="1">(RANDBETWEEN(0,50)/100)*(dict_DQ_Meth_max[[#This Row],[Vergleich_ub]]-dict_DQ_Meth_max[[#This Row],[Vergleich_lb]])+dict_DQ_Meth_max[[#This Row],[Vergleich_lb]]</f>
        <v>808.45999999999992</v>
      </c>
      <c r="G217" s="12">
        <f ca="1">(RANDBETWEEN(50,100)/100)*(dict_DQ_Meth_max[[#This Row],[Vergleich_ub]]-dict_DQ_Meth_max[[#This Row],[Vergleich_lb]])+dict_DQ_Meth_max[[#This Row],[Vergleich_lb]]</f>
        <v>1707.57</v>
      </c>
      <c r="H217" s="11" t="str">
        <f ca="1">VLOOKUP(VLOOKUP(dict_DQ_Meth_max[[#This Row],[ID_DataQualities]],table_DataQualities[],3),table_Units[],2)</f>
        <v>bit</v>
      </c>
      <c r="I217" s="10"/>
      <c r="J217" s="10"/>
      <c r="K217" s="10"/>
      <c r="L217" s="10">
        <f ca="1">VLOOKUP(dict_DQ_Meth_max[[#This Row],[ID_DataQualities]],table_DataQualities[],8,FALSE)</f>
        <v>5</v>
      </c>
      <c r="M217" s="10">
        <f ca="1">VLOOKUP(dict_DQ_Meth_max[[#This Row],[ID_DataQualities]],table_DataQualities[],9,FALSE)</f>
        <v>1918</v>
      </c>
    </row>
    <row r="218" spans="1:13" x14ac:dyDescent="0.45">
      <c r="A218" s="10">
        <v>58</v>
      </c>
      <c r="B218" s="10">
        <v>404</v>
      </c>
      <c r="C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8" s="10"/>
      <c r="E218" s="10"/>
      <c r="F218" s="12">
        <f ca="1">(RANDBETWEEN(0,50)/100)*(dict_DQ_Meth_max[[#This Row],[Vergleich_ub]]-dict_DQ_Meth_max[[#This Row],[Vergleich_lb]])+dict_DQ_Meth_max[[#This Row],[Vergleich_lb]]</f>
        <v>150.52190000000002</v>
      </c>
      <c r="G218" s="12">
        <f ca="1">(RANDBETWEEN(50,100)/100)*(dict_DQ_Meth_max[[#This Row],[Vergleich_ub]]-dict_DQ_Meth_max[[#This Row],[Vergleich_lb]])+dict_DQ_Meth_max[[#This Row],[Vergleich_lb]]</f>
        <v>5338.1799499999997</v>
      </c>
      <c r="H218" s="11" t="str">
        <f ca="1">VLOOKUP(VLOOKUP(dict_DQ_Meth_max[[#This Row],[ID_DataQualities]],table_DataQualities[],3),table_Units[],2)</f>
        <v>Hz</v>
      </c>
      <c r="I218" s="10"/>
      <c r="J218" s="10"/>
      <c r="K218" s="10"/>
      <c r="L218" s="10">
        <f ca="1">VLOOKUP(dict_DQ_Meth_max[[#This Row],[ID_DataQualities]],table_DataQualities[],8,FALSE)</f>
        <v>0.155</v>
      </c>
      <c r="M218" s="10">
        <f ca="1">VLOOKUP(dict_DQ_Meth_max[[#This Row],[ID_DataQualities]],table_DataQualities[],9,FALSE)</f>
        <v>7518.5</v>
      </c>
    </row>
    <row r="219" spans="1:13" x14ac:dyDescent="0.45">
      <c r="A219" s="10">
        <v>58</v>
      </c>
      <c r="B219" s="10">
        <v>40</v>
      </c>
      <c r="C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19" s="10"/>
      <c r="E219" s="10"/>
      <c r="F219" s="12">
        <f ca="1">(RANDBETWEEN(0,50)/100)*(dict_DQ_Meth_max[[#This Row],[Vergleich_ub]]-dict_DQ_Meth_max[[#This Row],[Vergleich_lb]])+dict_DQ_Meth_max[[#This Row],[Vergleich_lb]]</f>
        <v>902.35640000000001</v>
      </c>
      <c r="G219" s="12">
        <f ca="1">(RANDBETWEEN(50,100)/100)*(dict_DQ_Meth_max[[#This Row],[Vergleich_ub]]-dict_DQ_Meth_max[[#This Row],[Vergleich_lb]])+dict_DQ_Meth_max[[#This Row],[Vergleich_lb]]</f>
        <v>5413.3633999999993</v>
      </c>
      <c r="H219" s="11" t="str">
        <f ca="1">VLOOKUP(VLOOKUP(dict_DQ_Meth_max[[#This Row],[ID_DataQualities]],table_DataQualities[],3),table_Units[],2)</f>
        <v>Hz</v>
      </c>
      <c r="I219" s="10"/>
      <c r="J219" s="10"/>
      <c r="K219" s="10"/>
      <c r="L219" s="10">
        <f ca="1">VLOOKUP(dict_DQ_Meth_max[[#This Row],[ID_DataQualities]],table_DataQualities[],8,FALSE)</f>
        <v>0.155</v>
      </c>
      <c r="M219" s="10">
        <f ca="1">VLOOKUP(dict_DQ_Meth_max[[#This Row],[ID_DataQualities]],table_DataQualities[],9,FALSE)</f>
        <v>7518.5</v>
      </c>
    </row>
    <row r="220" spans="1:13" x14ac:dyDescent="0.45">
      <c r="A220" s="10">
        <v>58</v>
      </c>
      <c r="B220" s="10">
        <v>133</v>
      </c>
      <c r="C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0" s="10"/>
      <c r="E220" s="10"/>
      <c r="F220" s="12">
        <f ca="1">(RANDBETWEEN(0,50)/100)*(dict_DQ_Meth_max[[#This Row],[Vergleich_ub]]-dict_DQ_Meth_max[[#This Row],[Vergleich_lb]])+dict_DQ_Meth_max[[#This Row],[Vergleich_lb]]</f>
        <v>1428.6405500000001</v>
      </c>
      <c r="G220" s="12">
        <f ca="1">(RANDBETWEEN(50,100)/100)*(dict_DQ_Meth_max[[#This Row],[Vergleich_ub]]-dict_DQ_Meth_max[[#This Row],[Vergleich_lb]])+dict_DQ_Meth_max[[#This Row],[Vergleich_lb]]</f>
        <v>5262.9964999999993</v>
      </c>
      <c r="H220" s="11" t="str">
        <f ca="1">VLOOKUP(VLOOKUP(dict_DQ_Meth_max[[#This Row],[ID_DataQualities]],table_DataQualities[],3),table_Units[],2)</f>
        <v>Hz</v>
      </c>
      <c r="I220" s="10"/>
      <c r="J220" s="10"/>
      <c r="K220" s="10"/>
      <c r="L220" s="10">
        <f ca="1">VLOOKUP(dict_DQ_Meth_max[[#This Row],[ID_DataQualities]],table_DataQualities[],8,FALSE)</f>
        <v>0.155</v>
      </c>
      <c r="M220" s="10">
        <f ca="1">VLOOKUP(dict_DQ_Meth_max[[#This Row],[ID_DataQualities]],table_DataQualities[],9,FALSE)</f>
        <v>7518.5</v>
      </c>
    </row>
    <row r="221" spans="1:13" x14ac:dyDescent="0.45">
      <c r="A221" s="10">
        <v>59</v>
      </c>
      <c r="B221" s="10">
        <v>40</v>
      </c>
      <c r="C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1" s="10"/>
      <c r="E221" s="10"/>
      <c r="F221" s="12">
        <f ca="1">(RANDBETWEEN(0,50)/100)*(dict_DQ_Meth_max[[#This Row],[Vergleich_ub]]-dict_DQ_Meth_max[[#This Row],[Vergleich_lb]])+dict_DQ_Meth_max[[#This Row],[Vergleich_lb]]</f>
        <v>209.5</v>
      </c>
      <c r="G221" s="12">
        <f ca="1">(RANDBETWEEN(50,100)/100)*(dict_DQ_Meth_max[[#This Row],[Vergleich_ub]]-dict_DQ_Meth_max[[#This Row],[Vergleich_lb]])+dict_DQ_Meth_max[[#This Row],[Vergleich_lb]]</f>
        <v>1106.5</v>
      </c>
      <c r="H221" s="11" t="str">
        <f ca="1">VLOOKUP(VLOOKUP(dict_DQ_Meth_max[[#This Row],[ID_DataQualities]],table_DataQualities[],3),table_Units[],2)</f>
        <v>bit</v>
      </c>
      <c r="I221" s="10"/>
      <c r="J221" s="10"/>
      <c r="K221" s="10"/>
      <c r="L221" s="10">
        <f ca="1">VLOOKUP(dict_DQ_Meth_max[[#This Row],[ID_DataQualities]],table_DataQualities[],8,FALSE)</f>
        <v>60</v>
      </c>
      <c r="M221" s="10">
        <f ca="1">VLOOKUP(dict_DQ_Meth_max[[#This Row],[ID_DataQualities]],table_DataQualities[],9,FALSE)</f>
        <v>1555</v>
      </c>
    </row>
    <row r="222" spans="1:13" x14ac:dyDescent="0.45">
      <c r="A222" s="10">
        <v>59</v>
      </c>
      <c r="B222" s="10">
        <v>133</v>
      </c>
      <c r="C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2" s="10"/>
      <c r="E222" s="10"/>
      <c r="F222" s="12">
        <f ca="1">(RANDBETWEEN(0,50)/100)*(dict_DQ_Meth_max[[#This Row],[Vergleich_ub]]-dict_DQ_Meth_max[[#This Row],[Vergleich_lb]])+dict_DQ_Meth_max[[#This Row],[Vergleich_lb]]</f>
        <v>523.45000000000005</v>
      </c>
      <c r="G222" s="12">
        <f ca="1">(RANDBETWEEN(50,100)/100)*(dict_DQ_Meth_max[[#This Row],[Vergleich_ub]]-dict_DQ_Meth_max[[#This Row],[Vergleich_lb]])+dict_DQ_Meth_max[[#This Row],[Vergleich_lb]]</f>
        <v>867.30000000000007</v>
      </c>
      <c r="H222" s="11" t="str">
        <f ca="1">VLOOKUP(VLOOKUP(dict_DQ_Meth_max[[#This Row],[ID_DataQualities]],table_DataQualities[],3),table_Units[],2)</f>
        <v>bit</v>
      </c>
      <c r="I222" s="10"/>
      <c r="J222" s="10"/>
      <c r="K222" s="10"/>
      <c r="L222" s="10">
        <f ca="1">VLOOKUP(dict_DQ_Meth_max[[#This Row],[ID_DataQualities]],table_DataQualities[],8,FALSE)</f>
        <v>60</v>
      </c>
      <c r="M222" s="10">
        <f ca="1">VLOOKUP(dict_DQ_Meth_max[[#This Row],[ID_DataQualities]],table_DataQualities[],9,FALSE)</f>
        <v>1555</v>
      </c>
    </row>
    <row r="223" spans="1:13" x14ac:dyDescent="0.45">
      <c r="A223" s="10">
        <v>59</v>
      </c>
      <c r="B223" s="10">
        <v>404</v>
      </c>
      <c r="C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3" s="10"/>
      <c r="E223" s="10"/>
      <c r="F223" s="12">
        <f ca="1">(RANDBETWEEN(0,50)/100)*(dict_DQ_Meth_max[[#This Row],[Vergleich_ub]]-dict_DQ_Meth_max[[#This Row],[Vergleich_lb]])+dict_DQ_Meth_max[[#This Row],[Vergleich_lb]]</f>
        <v>568.29999999999995</v>
      </c>
      <c r="G223" s="12">
        <f ca="1">(RANDBETWEEN(50,100)/100)*(dict_DQ_Meth_max[[#This Row],[Vergleich_ub]]-dict_DQ_Meth_max[[#This Row],[Vergleich_lb]])+dict_DQ_Meth_max[[#This Row],[Vergleich_lb]]</f>
        <v>1106.5</v>
      </c>
      <c r="H223" s="11" t="str">
        <f ca="1">VLOOKUP(VLOOKUP(dict_DQ_Meth_max[[#This Row],[ID_DataQualities]],table_DataQualities[],3),table_Units[],2)</f>
        <v>bit</v>
      </c>
      <c r="I223" s="10"/>
      <c r="J223" s="10"/>
      <c r="K223" s="10"/>
      <c r="L223" s="10">
        <f ca="1">VLOOKUP(dict_DQ_Meth_max[[#This Row],[ID_DataQualities]],table_DataQualities[],8,FALSE)</f>
        <v>60</v>
      </c>
      <c r="M223" s="10">
        <f ca="1">VLOOKUP(dict_DQ_Meth_max[[#This Row],[ID_DataQualities]],table_DataQualities[],9,FALSE)</f>
        <v>1555</v>
      </c>
    </row>
    <row r="224" spans="1:13" x14ac:dyDescent="0.45">
      <c r="A224" s="10">
        <v>60</v>
      </c>
      <c r="B224" s="10">
        <v>6</v>
      </c>
      <c r="C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4" s="10"/>
      <c r="E224" s="10"/>
      <c r="F224" s="12">
        <f ca="1">(RANDBETWEEN(0,50)/100)*(dict_DQ_Meth_max[[#This Row],[Vergleich_ub]]-dict_DQ_Meth_max[[#This Row],[Vergleich_lb]])+dict_DQ_Meth_max[[#This Row],[Vergleich_lb]]</f>
        <v>426.91869999999994</v>
      </c>
      <c r="G224" s="12">
        <f ca="1">(RANDBETWEEN(50,100)/100)*(dict_DQ_Meth_max[[#This Row],[Vergleich_ub]]-dict_DQ_Meth_max[[#This Row],[Vergleich_lb]])+dict_DQ_Meth_max[[#This Row],[Vergleich_lb]]</f>
        <v>969.93249999999989</v>
      </c>
      <c r="H224" s="11" t="str">
        <f ca="1">VLOOKUP(VLOOKUP(dict_DQ_Meth_max[[#This Row],[ID_DataQualities]],table_DataQualities[],3),table_Units[],2)</f>
        <v>Hz</v>
      </c>
      <c r="I224" s="10"/>
      <c r="J224" s="10"/>
      <c r="K224" s="10"/>
      <c r="L224" s="10">
        <f ca="1">VLOOKUP(dict_DQ_Meth_max[[#This Row],[ID_DataQualities]],table_DataQualities[],8,FALSE)</f>
        <v>0.26500000000000001</v>
      </c>
      <c r="M224" s="10">
        <f ca="1">VLOOKUP(dict_DQ_Meth_max[[#This Row],[ID_DataQualities]],table_DataQualities[],9,FALSE)</f>
        <v>1939.6</v>
      </c>
    </row>
    <row r="225" spans="1:13" x14ac:dyDescent="0.45">
      <c r="A225" s="10">
        <v>60</v>
      </c>
      <c r="B225" s="10">
        <v>664</v>
      </c>
      <c r="C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5" s="10"/>
      <c r="E225" s="10"/>
      <c r="F225" s="12">
        <f ca="1">(RANDBETWEEN(0,50)/100)*(dict_DQ_Meth_max[[#This Row],[Vergleich_ub]]-dict_DQ_Meth_max[[#This Row],[Vergleich_lb]])+dict_DQ_Meth_max[[#This Row],[Vergleich_lb]]</f>
        <v>717.81894999999986</v>
      </c>
      <c r="G225" s="12">
        <f ca="1">(RANDBETWEEN(50,100)/100)*(dict_DQ_Meth_max[[#This Row],[Vergleich_ub]]-dict_DQ_Meth_max[[#This Row],[Vergleich_lb]])+dict_DQ_Meth_max[[#This Row],[Vergleich_lb]]</f>
        <v>1144.4726499999999</v>
      </c>
      <c r="H225" s="11" t="str">
        <f ca="1">VLOOKUP(VLOOKUP(dict_DQ_Meth_max[[#This Row],[ID_DataQualities]],table_DataQualities[],3),table_Units[],2)</f>
        <v>Hz</v>
      </c>
      <c r="I225" s="10"/>
      <c r="J225" s="10"/>
      <c r="K225" s="10"/>
      <c r="L225" s="10">
        <f ca="1">VLOOKUP(dict_DQ_Meth_max[[#This Row],[ID_DataQualities]],table_DataQualities[],8,FALSE)</f>
        <v>0.26500000000000001</v>
      </c>
      <c r="M225" s="10">
        <f ca="1">VLOOKUP(dict_DQ_Meth_max[[#This Row],[ID_DataQualities]],table_DataQualities[],9,FALSE)</f>
        <v>1939.6</v>
      </c>
    </row>
    <row r="226" spans="1:13" x14ac:dyDescent="0.45">
      <c r="A226" s="10">
        <v>60</v>
      </c>
      <c r="B226" s="10">
        <v>267</v>
      </c>
      <c r="C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6" s="10"/>
      <c r="E226" s="10"/>
      <c r="F226" s="12">
        <f ca="1">(RANDBETWEEN(0,50)/100)*(dict_DQ_Meth_max[[#This Row],[Vergleich_ub]]-dict_DQ_Meth_max[[#This Row],[Vergleich_lb]])+dict_DQ_Meth_max[[#This Row],[Vergleich_lb]]</f>
        <v>737.21229999999991</v>
      </c>
      <c r="G226" s="12">
        <f ca="1">(RANDBETWEEN(50,100)/100)*(dict_DQ_Meth_max[[#This Row],[Vergleich_ub]]-dict_DQ_Meth_max[[#This Row],[Vergleich_lb]])+dict_DQ_Meth_max[[#This Row],[Vergleich_lb]]</f>
        <v>1163.866</v>
      </c>
      <c r="H226" s="11" t="str">
        <f ca="1">VLOOKUP(VLOOKUP(dict_DQ_Meth_max[[#This Row],[ID_DataQualities]],table_DataQualities[],3),table_Units[],2)</f>
        <v>Hz</v>
      </c>
      <c r="I226" s="10"/>
      <c r="J226" s="10"/>
      <c r="K226" s="10"/>
      <c r="L226" s="10">
        <f ca="1">VLOOKUP(dict_DQ_Meth_max[[#This Row],[ID_DataQualities]],table_DataQualities[],8,FALSE)</f>
        <v>0.26500000000000001</v>
      </c>
      <c r="M226" s="10">
        <f ca="1">VLOOKUP(dict_DQ_Meth_max[[#This Row],[ID_DataQualities]],table_DataQualities[],9,FALSE)</f>
        <v>1939.6</v>
      </c>
    </row>
    <row r="227" spans="1:13" x14ac:dyDescent="0.45">
      <c r="A227" s="10">
        <v>60</v>
      </c>
      <c r="B227" s="10">
        <v>143</v>
      </c>
      <c r="C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7" s="10"/>
      <c r="E227" s="10"/>
      <c r="F227" s="12">
        <f ca="1">(RANDBETWEEN(0,50)/100)*(dict_DQ_Meth_max[[#This Row],[Vergleich_ub]]-dict_DQ_Meth_max[[#This Row],[Vergleich_lb]])+dict_DQ_Meth_max[[#This Row],[Vergleich_lb]]</f>
        <v>19.658349999999999</v>
      </c>
      <c r="G227" s="12">
        <f ca="1">(RANDBETWEEN(50,100)/100)*(dict_DQ_Meth_max[[#This Row],[Vergleich_ub]]-dict_DQ_Meth_max[[#This Row],[Vergleich_lb]])+dict_DQ_Meth_max[[#This Row],[Vergleich_lb]]</f>
        <v>1299.6194500000001</v>
      </c>
      <c r="H227" s="11" t="str">
        <f ca="1">VLOOKUP(VLOOKUP(dict_DQ_Meth_max[[#This Row],[ID_DataQualities]],table_DataQualities[],3),table_Units[],2)</f>
        <v>Hz</v>
      </c>
      <c r="I227" s="10"/>
      <c r="J227" s="10"/>
      <c r="K227" s="10"/>
      <c r="L227" s="10">
        <f ca="1">VLOOKUP(dict_DQ_Meth_max[[#This Row],[ID_DataQualities]],table_DataQualities[],8,FALSE)</f>
        <v>0.26500000000000001</v>
      </c>
      <c r="M227" s="10">
        <f ca="1">VLOOKUP(dict_DQ_Meth_max[[#This Row],[ID_DataQualities]],table_DataQualities[],9,FALSE)</f>
        <v>1939.6</v>
      </c>
    </row>
    <row r="228" spans="1:13" x14ac:dyDescent="0.45">
      <c r="A228" s="10">
        <v>60</v>
      </c>
      <c r="B228" s="10">
        <v>512</v>
      </c>
      <c r="C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8" s="10"/>
      <c r="E228" s="10"/>
      <c r="F228" s="12">
        <f ca="1">(RANDBETWEEN(0,50)/100)*(dict_DQ_Meth_max[[#This Row],[Vergleich_ub]]-dict_DQ_Meth_max[[#This Row],[Vergleich_lb]])+dict_DQ_Meth_max[[#This Row],[Vergleich_lb]]</f>
        <v>911.75244999999984</v>
      </c>
      <c r="G228" s="12">
        <f ca="1">(RANDBETWEEN(50,100)/100)*(dict_DQ_Meth_max[[#This Row],[Vergleich_ub]]-dict_DQ_Meth_max[[#This Row],[Vergleich_lb]])+dict_DQ_Meth_max[[#This Row],[Vergleich_lb]]</f>
        <v>1687.4864499999999</v>
      </c>
      <c r="H228" s="11" t="str">
        <f ca="1">VLOOKUP(VLOOKUP(dict_DQ_Meth_max[[#This Row],[ID_DataQualities]],table_DataQualities[],3),table_Units[],2)</f>
        <v>Hz</v>
      </c>
      <c r="I228" s="10"/>
      <c r="J228" s="10"/>
      <c r="K228" s="10"/>
      <c r="L228" s="10">
        <f ca="1">VLOOKUP(dict_DQ_Meth_max[[#This Row],[ID_DataQualities]],table_DataQualities[],8,FALSE)</f>
        <v>0.26500000000000001</v>
      </c>
      <c r="M228" s="10">
        <f ca="1">VLOOKUP(dict_DQ_Meth_max[[#This Row],[ID_DataQualities]],table_DataQualities[],9,FALSE)</f>
        <v>1939.6</v>
      </c>
    </row>
    <row r="229" spans="1:13" x14ac:dyDescent="0.45">
      <c r="A229" s="10">
        <v>61</v>
      </c>
      <c r="B229" s="10">
        <v>512</v>
      </c>
      <c r="C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29" s="10"/>
      <c r="E229" s="10"/>
      <c r="F229" s="12">
        <f ca="1">(RANDBETWEEN(0,50)/100)*(dict_DQ_Meth_max[[#This Row],[Vergleich_ub]]-dict_DQ_Meth_max[[#This Row],[Vergleich_lb]])+dict_DQ_Meth_max[[#This Row],[Vergleich_lb]]</f>
        <v>7.0000000000000007E-2</v>
      </c>
      <c r="G229" s="12">
        <f ca="1">(RANDBETWEEN(50,100)/100)*(dict_DQ_Meth_max[[#This Row],[Vergleich_ub]]-dict_DQ_Meth_max[[#This Row],[Vergleich_lb]])+dict_DQ_Meth_max[[#This Row],[Vergleich_lb]]</f>
        <v>0.89799999999999991</v>
      </c>
      <c r="H229" s="11" t="str">
        <f ca="1">VLOOKUP(VLOOKUP(dict_DQ_Meth_max[[#This Row],[ID_DataQualities]],table_DataQualities[],3),table_Units[],2)</f>
        <v>+/- mm</v>
      </c>
      <c r="I229" s="10"/>
      <c r="J229" s="10"/>
      <c r="K229" s="10"/>
      <c r="L229" s="10">
        <f ca="1">VLOOKUP(dict_DQ_Meth_max[[#This Row],[ID_DataQualities]],table_DataQualities[],8,FALSE)</f>
        <v>7.0000000000000007E-2</v>
      </c>
      <c r="M229" s="10">
        <f ca="1">VLOOKUP(dict_DQ_Meth_max[[#This Row],[ID_DataQualities]],table_DataQualities[],9,FALSE)</f>
        <v>1.45</v>
      </c>
    </row>
    <row r="230" spans="1:13" x14ac:dyDescent="0.45">
      <c r="A230" s="10">
        <v>61</v>
      </c>
      <c r="B230" s="10">
        <v>664</v>
      </c>
      <c r="C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0" s="10"/>
      <c r="E230" s="10"/>
      <c r="F230" s="12">
        <f ca="1">(RANDBETWEEN(0,50)/100)*(dict_DQ_Meth_max[[#This Row],[Vergleich_ub]]-dict_DQ_Meth_max[[#This Row],[Vergleich_lb]])+dict_DQ_Meth_max[[#This Row],[Vergleich_lb]]</f>
        <v>0.52539999999999998</v>
      </c>
      <c r="G230" s="12">
        <f ca="1">(RANDBETWEEN(50,100)/100)*(dict_DQ_Meth_max[[#This Row],[Vergleich_ub]]-dict_DQ_Meth_max[[#This Row],[Vergleich_lb]])+dict_DQ_Meth_max[[#This Row],[Vergleich_lb]]</f>
        <v>0.99459999999999993</v>
      </c>
      <c r="H230" s="11" t="str">
        <f ca="1">VLOOKUP(VLOOKUP(dict_DQ_Meth_max[[#This Row],[ID_DataQualities]],table_DataQualities[],3),table_Units[],2)</f>
        <v>+/- mm</v>
      </c>
      <c r="I230" s="10"/>
      <c r="J230" s="10"/>
      <c r="K230" s="10"/>
      <c r="L230" s="10">
        <f ca="1">VLOOKUP(dict_DQ_Meth_max[[#This Row],[ID_DataQualities]],table_DataQualities[],8,FALSE)</f>
        <v>7.0000000000000007E-2</v>
      </c>
      <c r="M230" s="10">
        <f ca="1">VLOOKUP(dict_DQ_Meth_max[[#This Row],[ID_DataQualities]],table_DataQualities[],9,FALSE)</f>
        <v>1.45</v>
      </c>
    </row>
    <row r="231" spans="1:13" x14ac:dyDescent="0.45">
      <c r="A231" s="10">
        <v>61</v>
      </c>
      <c r="B231" s="10">
        <v>143</v>
      </c>
      <c r="C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1" s="10"/>
      <c r="E231" s="10"/>
      <c r="F231" s="12">
        <f ca="1">(RANDBETWEEN(0,50)/100)*(dict_DQ_Meth_max[[#This Row],[Vergleich_ub]]-dict_DQ_Meth_max[[#This Row],[Vergleich_lb]])+dict_DQ_Meth_max[[#This Row],[Vergleich_lb]]</f>
        <v>0.5806</v>
      </c>
      <c r="G231" s="12">
        <f ca="1">(RANDBETWEEN(50,100)/100)*(dict_DQ_Meth_max[[#This Row],[Vergleich_ub]]-dict_DQ_Meth_max[[#This Row],[Vergleich_lb]])+dict_DQ_Meth_max[[#This Row],[Vergleich_lb]]</f>
        <v>0.88419999999999987</v>
      </c>
      <c r="H231" s="11" t="str">
        <f ca="1">VLOOKUP(VLOOKUP(dict_DQ_Meth_max[[#This Row],[ID_DataQualities]],table_DataQualities[],3),table_Units[],2)</f>
        <v>+/- mm</v>
      </c>
      <c r="I231" s="10"/>
      <c r="J231" s="10"/>
      <c r="K231" s="10"/>
      <c r="L231" s="10">
        <f ca="1">VLOOKUP(dict_DQ_Meth_max[[#This Row],[ID_DataQualities]],table_DataQualities[],8,FALSE)</f>
        <v>7.0000000000000007E-2</v>
      </c>
      <c r="M231" s="10">
        <f ca="1">VLOOKUP(dict_DQ_Meth_max[[#This Row],[ID_DataQualities]],table_DataQualities[],9,FALSE)</f>
        <v>1.45</v>
      </c>
    </row>
    <row r="232" spans="1:13" x14ac:dyDescent="0.45">
      <c r="A232" s="10">
        <v>61</v>
      </c>
      <c r="B232" s="10">
        <v>267</v>
      </c>
      <c r="C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2" s="10"/>
      <c r="E232" s="10"/>
      <c r="F232" s="12">
        <f ca="1">(RANDBETWEEN(0,50)/100)*(dict_DQ_Meth_max[[#This Row],[Vergleich_ub]]-dict_DQ_Meth_max[[#This Row],[Vergleich_lb]])+dict_DQ_Meth_max[[#This Row],[Vergleich_lb]]</f>
        <v>0.12520000000000001</v>
      </c>
      <c r="G232" s="12">
        <f ca="1">(RANDBETWEEN(50,100)/100)*(dict_DQ_Meth_max[[#This Row],[Vergleich_ub]]-dict_DQ_Meth_max[[#This Row],[Vergleich_lb]])+dict_DQ_Meth_max[[#This Row],[Vergleich_lb]]</f>
        <v>0.93940000000000001</v>
      </c>
      <c r="H232" s="11" t="str">
        <f ca="1">VLOOKUP(VLOOKUP(dict_DQ_Meth_max[[#This Row],[ID_DataQualities]],table_DataQualities[],3),table_Units[],2)</f>
        <v>+/- mm</v>
      </c>
      <c r="I232" s="10"/>
      <c r="J232" s="10"/>
      <c r="K232" s="10"/>
      <c r="L232" s="10">
        <f ca="1">VLOOKUP(dict_DQ_Meth_max[[#This Row],[ID_DataQualities]],table_DataQualities[],8,FALSE)</f>
        <v>7.0000000000000007E-2</v>
      </c>
      <c r="M232" s="10">
        <f ca="1">VLOOKUP(dict_DQ_Meth_max[[#This Row],[ID_DataQualities]],table_DataQualities[],9,FALSE)</f>
        <v>1.45</v>
      </c>
    </row>
    <row r="233" spans="1:13" x14ac:dyDescent="0.45">
      <c r="A233" s="10">
        <v>61</v>
      </c>
      <c r="B233" s="10">
        <v>6</v>
      </c>
      <c r="C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3" s="10"/>
      <c r="E233" s="10"/>
      <c r="F233" s="12">
        <f ca="1">(RANDBETWEEN(0,50)/100)*(dict_DQ_Meth_max[[#This Row],[Vergleich_ub]]-dict_DQ_Meth_max[[#This Row],[Vergleich_lb]])+dict_DQ_Meth_max[[#This Row],[Vergleich_lb]]</f>
        <v>0.44259999999999999</v>
      </c>
      <c r="G233" s="12">
        <f ca="1">(RANDBETWEEN(50,100)/100)*(dict_DQ_Meth_max[[#This Row],[Vergleich_ub]]-dict_DQ_Meth_max[[#This Row],[Vergleich_lb]])+dict_DQ_Meth_max[[#This Row],[Vergleich_lb]]</f>
        <v>1.1188</v>
      </c>
      <c r="H233" s="11" t="str">
        <f ca="1">VLOOKUP(VLOOKUP(dict_DQ_Meth_max[[#This Row],[ID_DataQualities]],table_DataQualities[],3),table_Units[],2)</f>
        <v>+/- mm</v>
      </c>
      <c r="I233" s="10"/>
      <c r="J233" s="10"/>
      <c r="K233" s="10"/>
      <c r="L233" s="10">
        <f ca="1">VLOOKUP(dict_DQ_Meth_max[[#This Row],[ID_DataQualities]],table_DataQualities[],8,FALSE)</f>
        <v>7.0000000000000007E-2</v>
      </c>
      <c r="M233" s="10">
        <f ca="1">VLOOKUP(dict_DQ_Meth_max[[#This Row],[ID_DataQualities]],table_DataQualities[],9,FALSE)</f>
        <v>1.45</v>
      </c>
    </row>
    <row r="234" spans="1:13" x14ac:dyDescent="0.45">
      <c r="A234" s="10">
        <v>62</v>
      </c>
      <c r="B234" s="10">
        <v>7</v>
      </c>
      <c r="C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4" s="10"/>
      <c r="E234" s="10"/>
      <c r="F234" s="12">
        <f ca="1">(RANDBETWEEN(0,50)/100)*(dict_DQ_Meth_max[[#This Row],[Vergleich_ub]]-dict_DQ_Meth_max[[#This Row],[Vergleich_lb]])+dict_DQ_Meth_max[[#This Row],[Vergleich_lb]]</f>
        <v>339.76046000000002</v>
      </c>
      <c r="G234" s="12">
        <f ca="1">(RANDBETWEEN(50,100)/100)*(dict_DQ_Meth_max[[#This Row],[Vergleich_ub]]-dict_DQ_Meth_max[[#This Row],[Vergleich_lb]])+dict_DQ_Meth_max[[#This Row],[Vergleich_lb]]</f>
        <v>3390.2066</v>
      </c>
      <c r="H234" s="11" t="str">
        <f ca="1">VLOOKUP(VLOOKUP(dict_DQ_Meth_max[[#This Row],[ID_DataQualities]],table_DataQualities[],3),table_Units[],2)</f>
        <v>Hz</v>
      </c>
      <c r="I234" s="10"/>
      <c r="J234" s="10"/>
      <c r="K234" s="10"/>
      <c r="L234" s="10">
        <f ca="1">VLOOKUP(dict_DQ_Meth_max[[#This Row],[ID_DataQualities]],table_DataQualities[],8,FALSE)</f>
        <v>0.82199999999999995</v>
      </c>
      <c r="M234" s="10">
        <f ca="1">VLOOKUP(dict_DQ_Meth_max[[#This Row],[ID_DataQualities]],table_DataQualities[],9,FALSE)</f>
        <v>4842.8</v>
      </c>
    </row>
    <row r="235" spans="1:13" x14ac:dyDescent="0.45">
      <c r="A235" s="10">
        <v>62</v>
      </c>
      <c r="B235" s="10">
        <v>14</v>
      </c>
      <c r="C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5" s="10"/>
      <c r="E235" s="10"/>
      <c r="F235" s="12">
        <f ca="1">(RANDBETWEEN(0,50)/100)*(dict_DQ_Meth_max[[#This Row],[Vergleich_ub]]-dict_DQ_Meth_max[[#This Row],[Vergleich_lb]])+dict_DQ_Meth_max[[#This Row],[Vergleich_lb]]</f>
        <v>678.69892000000004</v>
      </c>
      <c r="G235" s="12">
        <f ca="1">(RANDBETWEEN(50,100)/100)*(dict_DQ_Meth_max[[#This Row],[Vergleich_ub]]-dict_DQ_Meth_max[[#This Row],[Vergleich_lb]])+dict_DQ_Meth_max[[#This Row],[Vergleich_lb]]</f>
        <v>3777.5648400000005</v>
      </c>
      <c r="H235" s="11" t="str">
        <f ca="1">VLOOKUP(VLOOKUP(dict_DQ_Meth_max[[#This Row],[ID_DataQualities]],table_DataQualities[],3),table_Units[],2)</f>
        <v>Hz</v>
      </c>
      <c r="I235" s="10"/>
      <c r="J235" s="10"/>
      <c r="K235" s="10"/>
      <c r="L235" s="10">
        <f ca="1">VLOOKUP(dict_DQ_Meth_max[[#This Row],[ID_DataQualities]],table_DataQualities[],8,FALSE)</f>
        <v>0.82199999999999995</v>
      </c>
      <c r="M235" s="10">
        <f ca="1">VLOOKUP(dict_DQ_Meth_max[[#This Row],[ID_DataQualities]],table_DataQualities[],9,FALSE)</f>
        <v>4842.8</v>
      </c>
    </row>
    <row r="236" spans="1:13" x14ac:dyDescent="0.45">
      <c r="A236" s="10">
        <v>62</v>
      </c>
      <c r="B236" s="10">
        <v>417</v>
      </c>
      <c r="C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6" s="10"/>
      <c r="E236" s="10"/>
      <c r="F236" s="12">
        <f ca="1">(RANDBETWEEN(0,50)/100)*(dict_DQ_Meth_max[[#This Row],[Vergleich_ub]]-dict_DQ_Meth_max[[#This Row],[Vergleich_lb]])+dict_DQ_Meth_max[[#This Row],[Vergleich_lb]]</f>
        <v>872.37803999999994</v>
      </c>
      <c r="G236" s="12">
        <f ca="1">(RANDBETWEEN(50,100)/100)*(dict_DQ_Meth_max[[#This Row],[Vergleich_ub]]-dict_DQ_Meth_max[[#This Row],[Vergleich_lb]])+dict_DQ_Meth_max[[#This Row],[Vergleich_lb]]</f>
        <v>3293.3670400000005</v>
      </c>
      <c r="H236" s="11" t="str">
        <f ca="1">VLOOKUP(VLOOKUP(dict_DQ_Meth_max[[#This Row],[ID_DataQualities]],table_DataQualities[],3),table_Units[],2)</f>
        <v>Hz</v>
      </c>
      <c r="I236" s="10"/>
      <c r="J236" s="10"/>
      <c r="K236" s="10"/>
      <c r="L236" s="10">
        <f ca="1">VLOOKUP(dict_DQ_Meth_max[[#This Row],[ID_DataQualities]],table_DataQualities[],8,FALSE)</f>
        <v>0.82199999999999995</v>
      </c>
      <c r="M236" s="10">
        <f ca="1">VLOOKUP(dict_DQ_Meth_max[[#This Row],[ID_DataQualities]],table_DataQualities[],9,FALSE)</f>
        <v>4842.8</v>
      </c>
    </row>
    <row r="237" spans="1:13" x14ac:dyDescent="0.45">
      <c r="A237" s="10">
        <v>62</v>
      </c>
      <c r="B237" s="10">
        <v>523</v>
      </c>
      <c r="C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7" s="10"/>
      <c r="E237" s="10"/>
      <c r="F237" s="12">
        <f ca="1">(RANDBETWEEN(0,50)/100)*(dict_DQ_Meth_max[[#This Row],[Vergleich_ub]]-dict_DQ_Meth_max[[#This Row],[Vergleich_lb]])+dict_DQ_Meth_max[[#This Row],[Vergleich_lb]]</f>
        <v>1259.7362799999999</v>
      </c>
      <c r="G237" s="12">
        <f ca="1">(RANDBETWEEN(50,100)/100)*(dict_DQ_Meth_max[[#This Row],[Vergleich_ub]]-dict_DQ_Meth_max[[#This Row],[Vergleich_lb]])+dict_DQ_Meth_max[[#This Row],[Vergleich_lb]]</f>
        <v>2809.1692400000002</v>
      </c>
      <c r="H237" s="11" t="str">
        <f ca="1">VLOOKUP(VLOOKUP(dict_DQ_Meth_max[[#This Row],[ID_DataQualities]],table_DataQualities[],3),table_Units[],2)</f>
        <v>Hz</v>
      </c>
      <c r="I237" s="10"/>
      <c r="J237" s="10"/>
      <c r="K237" s="10"/>
      <c r="L237" s="10">
        <f ca="1">VLOOKUP(dict_DQ_Meth_max[[#This Row],[ID_DataQualities]],table_DataQualities[],8,FALSE)</f>
        <v>0.82199999999999995</v>
      </c>
      <c r="M237" s="10">
        <f ca="1">VLOOKUP(dict_DQ_Meth_max[[#This Row],[ID_DataQualities]],table_DataQualities[],9,FALSE)</f>
        <v>4842.8</v>
      </c>
    </row>
    <row r="238" spans="1:13" x14ac:dyDescent="0.45">
      <c r="A238" s="10">
        <v>63</v>
      </c>
      <c r="B238" s="10">
        <v>417</v>
      </c>
      <c r="C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8" s="10"/>
      <c r="E238" s="10"/>
      <c r="F238" s="12">
        <f ca="1">(RANDBETWEEN(0,50)/100)*(dict_DQ_Meth_max[[#This Row],[Vergleich_ub]]-dict_DQ_Meth_max[[#This Row],[Vergleich_lb]])+dict_DQ_Meth_max[[#This Row],[Vergleich_lb]]</f>
        <v>3.7463999999999995</v>
      </c>
      <c r="G238" s="12">
        <f ca="1">(RANDBETWEEN(50,100)/100)*(dict_DQ_Meth_max[[#This Row],[Vergleich_ub]]-dict_DQ_Meth_max[[#This Row],[Vergleich_lb]])+dict_DQ_Meth_max[[#This Row],[Vergleich_lb]]</f>
        <v>5.6813999999999991</v>
      </c>
      <c r="H238" s="11" t="str">
        <f ca="1">VLOOKUP(VLOOKUP(dict_DQ_Meth_max[[#This Row],[ID_DataQualities]],table_DataQualities[],3),table_Units[],2)</f>
        <v>+/- mm/s</v>
      </c>
      <c r="I238" s="10"/>
      <c r="J238" s="10"/>
      <c r="K238" s="10"/>
      <c r="L238" s="10">
        <f ca="1">VLOOKUP(dict_DQ_Meth_max[[#This Row],[ID_DataQualities]],table_DataQualities[],8,FALSE)</f>
        <v>0.96</v>
      </c>
      <c r="M238" s="10">
        <f ca="1">VLOOKUP(dict_DQ_Meth_max[[#This Row],[ID_DataQualities]],table_DataQualities[],9,FALSE)</f>
        <v>8.6999999999999993</v>
      </c>
    </row>
    <row r="239" spans="1:13" x14ac:dyDescent="0.45">
      <c r="A239" s="10">
        <v>63</v>
      </c>
      <c r="B239" s="10">
        <v>523</v>
      </c>
      <c r="C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39" s="10"/>
      <c r="E239" s="10"/>
      <c r="F239" s="12">
        <f ca="1">(RANDBETWEEN(0,50)/100)*(dict_DQ_Meth_max[[#This Row],[Vergleich_ub]]-dict_DQ_Meth_max[[#This Row],[Vergleich_lb]])+dict_DQ_Meth_max[[#This Row],[Vergleich_lb]]</f>
        <v>1.6565999999999999</v>
      </c>
      <c r="G239" s="12">
        <f ca="1">(RANDBETWEEN(50,100)/100)*(dict_DQ_Meth_max[[#This Row],[Vergleich_ub]]-dict_DQ_Meth_max[[#This Row],[Vergleich_lb]])+dict_DQ_Meth_max[[#This Row],[Vergleich_lb]]</f>
        <v>5.6039999999999992</v>
      </c>
      <c r="H239" s="11" t="str">
        <f ca="1">VLOOKUP(VLOOKUP(dict_DQ_Meth_max[[#This Row],[ID_DataQualities]],table_DataQualities[],3),table_Units[],2)</f>
        <v>+/- mm/s</v>
      </c>
      <c r="I239" s="10"/>
      <c r="J239" s="10"/>
      <c r="K239" s="10"/>
      <c r="L239" s="10">
        <f ca="1">VLOOKUP(dict_DQ_Meth_max[[#This Row],[ID_DataQualities]],table_DataQualities[],8,FALSE)</f>
        <v>0.96</v>
      </c>
      <c r="M239" s="10">
        <f ca="1">VLOOKUP(dict_DQ_Meth_max[[#This Row],[ID_DataQualities]],table_DataQualities[],9,FALSE)</f>
        <v>8.6999999999999993</v>
      </c>
    </row>
    <row r="240" spans="1:13" x14ac:dyDescent="0.45">
      <c r="A240" s="10">
        <v>63</v>
      </c>
      <c r="B240" s="10">
        <v>14</v>
      </c>
      <c r="C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0" s="10"/>
      <c r="E240" s="10"/>
      <c r="F240" s="12">
        <f ca="1">(RANDBETWEEN(0,50)/100)*(dict_DQ_Meth_max[[#This Row],[Vergleich_ub]]-dict_DQ_Meth_max[[#This Row],[Vergleich_lb]])+dict_DQ_Meth_max[[#This Row],[Vergleich_lb]]</f>
        <v>1.5018</v>
      </c>
      <c r="G240" s="12">
        <f ca="1">(RANDBETWEEN(50,100)/100)*(dict_DQ_Meth_max[[#This Row],[Vergleich_ub]]-dict_DQ_Meth_max[[#This Row],[Vergleich_lb]])+dict_DQ_Meth_max[[#This Row],[Vergleich_lb]]</f>
        <v>5.2169999999999996</v>
      </c>
      <c r="H240" s="11" t="str">
        <f ca="1">VLOOKUP(VLOOKUP(dict_DQ_Meth_max[[#This Row],[ID_DataQualities]],table_DataQualities[],3),table_Units[],2)</f>
        <v>+/- mm/s</v>
      </c>
      <c r="I240" s="10"/>
      <c r="J240" s="10"/>
      <c r="K240" s="10"/>
      <c r="L240" s="10">
        <f ca="1">VLOOKUP(dict_DQ_Meth_max[[#This Row],[ID_DataQualities]],table_DataQualities[],8,FALSE)</f>
        <v>0.96</v>
      </c>
      <c r="M240" s="10">
        <f ca="1">VLOOKUP(dict_DQ_Meth_max[[#This Row],[ID_DataQualities]],table_DataQualities[],9,FALSE)</f>
        <v>8.6999999999999993</v>
      </c>
    </row>
    <row r="241" spans="1:13" x14ac:dyDescent="0.45">
      <c r="A241" s="10">
        <v>63</v>
      </c>
      <c r="B241" s="10">
        <v>7</v>
      </c>
      <c r="C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1" s="10"/>
      <c r="E241" s="10"/>
      <c r="F241" s="12">
        <f ca="1">(RANDBETWEEN(0,50)/100)*(dict_DQ_Meth_max[[#This Row],[Vergleich_ub]]-dict_DQ_Meth_max[[#This Row],[Vergleich_lb]])+dict_DQ_Meth_max[[#This Row],[Vergleich_lb]]</f>
        <v>2.1209999999999996</v>
      </c>
      <c r="G241" s="12">
        <f ca="1">(RANDBETWEEN(50,100)/100)*(dict_DQ_Meth_max[[#This Row],[Vergleich_ub]]-dict_DQ_Meth_max[[#This Row],[Vergleich_lb]])+dict_DQ_Meth_max[[#This Row],[Vergleich_lb]]</f>
        <v>6.0683999999999996</v>
      </c>
      <c r="H241" s="11" t="str">
        <f ca="1">VLOOKUP(VLOOKUP(dict_DQ_Meth_max[[#This Row],[ID_DataQualities]],table_DataQualities[],3),table_Units[],2)</f>
        <v>+/- mm/s</v>
      </c>
      <c r="I241" s="10"/>
      <c r="J241" s="10"/>
      <c r="K241" s="10"/>
      <c r="L241" s="10">
        <f ca="1">VLOOKUP(dict_DQ_Meth_max[[#This Row],[ID_DataQualities]],table_DataQualities[],8,FALSE)</f>
        <v>0.96</v>
      </c>
      <c r="M241" s="10">
        <f ca="1">VLOOKUP(dict_DQ_Meth_max[[#This Row],[ID_DataQualities]],table_DataQualities[],9,FALSE)</f>
        <v>8.6999999999999993</v>
      </c>
    </row>
    <row r="242" spans="1:13" x14ac:dyDescent="0.45">
      <c r="A242" s="10">
        <v>64</v>
      </c>
      <c r="B242" s="10">
        <v>405</v>
      </c>
      <c r="C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2" s="10"/>
      <c r="E242" s="10"/>
      <c r="F242" s="12">
        <f ca="1">(RANDBETWEEN(0,50)/100)*(dict_DQ_Meth_max[[#This Row],[Vergleich_ub]]-dict_DQ_Meth_max[[#This Row],[Vergleich_lb]])+dict_DQ_Meth_max[[#This Row],[Vergleich_lb]]</f>
        <v>947.39395000000002</v>
      </c>
      <c r="G242" s="12">
        <f ca="1">(RANDBETWEEN(50,100)/100)*(dict_DQ_Meth_max[[#This Row],[Vergleich_ub]]-dict_DQ_Meth_max[[#This Row],[Vergleich_lb]])+dict_DQ_Meth_max[[#This Row],[Vergleich_lb]]</f>
        <v>2123.6080999999999</v>
      </c>
      <c r="H242" s="11" t="str">
        <f ca="1">VLOOKUP(VLOOKUP(dict_DQ_Meth_max[[#This Row],[ID_DataQualities]],table_DataQualities[],3),table_Units[],2)</f>
        <v>Hz</v>
      </c>
      <c r="I242" s="10"/>
      <c r="J242" s="10"/>
      <c r="K242" s="10"/>
      <c r="L242" s="10">
        <f ca="1">VLOOKUP(dict_DQ_Meth_max[[#This Row],[ID_DataQualities]],table_DataQualities[],8,FALSE)</f>
        <v>0.68500000000000005</v>
      </c>
      <c r="M242" s="10">
        <f ca="1">VLOOKUP(dict_DQ_Meth_max[[#This Row],[ID_DataQualities]],table_DataQualities[],9,FALSE)</f>
        <v>2869.5</v>
      </c>
    </row>
    <row r="243" spans="1:13" x14ac:dyDescent="0.45">
      <c r="A243" s="10">
        <v>64</v>
      </c>
      <c r="B243" s="10">
        <v>594</v>
      </c>
      <c r="C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3" s="10"/>
      <c r="E243" s="10"/>
      <c r="F243" s="12">
        <f ca="1">(RANDBETWEEN(0,50)/100)*(dict_DQ_Meth_max[[#This Row],[Vergleich_ub]]-dict_DQ_Meth_max[[#This Row],[Vergleich_lb]])+dict_DQ_Meth_max[[#This Row],[Vergleich_lb]]</f>
        <v>115.4376</v>
      </c>
      <c r="G243" s="12">
        <f ca="1">(RANDBETWEEN(50,100)/100)*(dict_DQ_Meth_max[[#This Row],[Vergleich_ub]]-dict_DQ_Meth_max[[#This Row],[Vergleich_lb]])+dict_DQ_Meth_max[[#This Row],[Vergleich_lb]]</f>
        <v>2381.8014499999999</v>
      </c>
      <c r="H243" s="11" t="str">
        <f ca="1">VLOOKUP(VLOOKUP(dict_DQ_Meth_max[[#This Row],[ID_DataQualities]],table_DataQualities[],3),table_Units[],2)</f>
        <v>Hz</v>
      </c>
      <c r="I243" s="10"/>
      <c r="J243" s="10"/>
      <c r="K243" s="10"/>
      <c r="L243" s="10">
        <f ca="1">VLOOKUP(dict_DQ_Meth_max[[#This Row],[ID_DataQualities]],table_DataQualities[],8,FALSE)</f>
        <v>0.68500000000000005</v>
      </c>
      <c r="M243" s="10">
        <f ca="1">VLOOKUP(dict_DQ_Meth_max[[#This Row],[ID_DataQualities]],table_DataQualities[],9,FALSE)</f>
        <v>2869.5</v>
      </c>
    </row>
    <row r="244" spans="1:13" x14ac:dyDescent="0.45">
      <c r="A244" s="10">
        <v>64</v>
      </c>
      <c r="B244" s="10">
        <v>238</v>
      </c>
      <c r="C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4" s="10"/>
      <c r="E244" s="10"/>
      <c r="F244" s="12">
        <f ca="1">(RANDBETWEEN(0,50)/100)*(dict_DQ_Meth_max[[#This Row],[Vergleich_ub]]-dict_DQ_Meth_max[[#This Row],[Vergleich_lb]])+dict_DQ_Meth_max[[#This Row],[Vergleich_lb]]</f>
        <v>1205.5872999999999</v>
      </c>
      <c r="G244" s="12">
        <f ca="1">(RANDBETWEEN(50,100)/100)*(dict_DQ_Meth_max[[#This Row],[Vergleich_ub]]-dict_DQ_Meth_max[[#This Row],[Vergleich_lb]])+dict_DQ_Meth_max[[#This Row],[Vergleich_lb]]</f>
        <v>2525.2422000000001</v>
      </c>
      <c r="H244" s="11" t="str">
        <f ca="1">VLOOKUP(VLOOKUP(dict_DQ_Meth_max[[#This Row],[ID_DataQualities]],table_DataQualities[],3),table_Units[],2)</f>
        <v>Hz</v>
      </c>
      <c r="I244" s="10"/>
      <c r="J244" s="10"/>
      <c r="K244" s="10"/>
      <c r="L244" s="10">
        <f ca="1">VLOOKUP(dict_DQ_Meth_max[[#This Row],[ID_DataQualities]],table_DataQualities[],8,FALSE)</f>
        <v>0.68500000000000005</v>
      </c>
      <c r="M244" s="10">
        <f ca="1">VLOOKUP(dict_DQ_Meth_max[[#This Row],[ID_DataQualities]],table_DataQualities[],9,FALSE)</f>
        <v>2869.5</v>
      </c>
    </row>
    <row r="245" spans="1:13" x14ac:dyDescent="0.45">
      <c r="A245" s="10">
        <v>65</v>
      </c>
      <c r="B245" s="10">
        <v>405</v>
      </c>
      <c r="C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5" s="10"/>
      <c r="E245" s="10"/>
      <c r="F245" s="12">
        <f ca="1">(RANDBETWEEN(0,50)/100)*(dict_DQ_Meth_max[[#This Row],[Vergleich_ub]]-dict_DQ_Meth_max[[#This Row],[Vergleich_lb]])+dict_DQ_Meth_max[[#This Row],[Vergleich_lb]]</f>
        <v>0.11772000000000001</v>
      </c>
      <c r="G245" s="12">
        <f ca="1">(RANDBETWEEN(50,100)/100)*(dict_DQ_Meth_max[[#This Row],[Vergleich_ub]]-dict_DQ_Meth_max[[#This Row],[Vergleich_lb]])+dict_DQ_Meth_max[[#This Row],[Vergleich_lb]]</f>
        <v>0.31175999999999998</v>
      </c>
      <c r="H245" s="11" t="str">
        <f ca="1">VLOOKUP(VLOOKUP(dict_DQ_Meth_max[[#This Row],[ID_DataQualities]],table_DataQualities[],3),table_Units[],2)</f>
        <v>+/- cm³/s</v>
      </c>
      <c r="I245" s="10"/>
      <c r="J245" s="10"/>
      <c r="K245" s="10"/>
      <c r="L245" s="10">
        <f ca="1">VLOOKUP(dict_DQ_Meth_max[[#This Row],[ID_DataQualities]],table_DataQualities[],8,FALSE)</f>
        <v>6.0000000000000001E-3</v>
      </c>
      <c r="M245" s="10">
        <f ca="1">VLOOKUP(dict_DQ_Meth_max[[#This Row],[ID_DataQualities]],table_DataQualities[],9,FALSE)</f>
        <v>0.59399999999999997</v>
      </c>
    </row>
    <row r="246" spans="1:13" x14ac:dyDescent="0.45">
      <c r="A246" s="10">
        <v>65</v>
      </c>
      <c r="B246" s="10">
        <v>594</v>
      </c>
      <c r="C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6" s="10"/>
      <c r="E246" s="10"/>
      <c r="F246" s="12">
        <f ca="1">(RANDBETWEEN(0,50)/100)*(dict_DQ_Meth_max[[#This Row],[Vergleich_ub]]-dict_DQ_Meth_max[[#This Row],[Vergleich_lb]])+dict_DQ_Meth_max[[#This Row],[Vergleich_lb]]</f>
        <v>7.0680000000000007E-2</v>
      </c>
      <c r="G246" s="12">
        <f ca="1">(RANDBETWEEN(50,100)/100)*(dict_DQ_Meth_max[[#This Row],[Vergleich_ub]]-dict_DQ_Meth_max[[#This Row],[Vergleich_lb]])+dict_DQ_Meth_max[[#This Row],[Vergleich_lb]]</f>
        <v>0.55284</v>
      </c>
      <c r="H246" s="11" t="str">
        <f ca="1">VLOOKUP(VLOOKUP(dict_DQ_Meth_max[[#This Row],[ID_DataQualities]],table_DataQualities[],3),table_Units[],2)</f>
        <v>+/- cm³/s</v>
      </c>
      <c r="I246" s="10"/>
      <c r="J246" s="10"/>
      <c r="K246" s="10"/>
      <c r="L246" s="10">
        <f ca="1">VLOOKUP(dict_DQ_Meth_max[[#This Row],[ID_DataQualities]],table_DataQualities[],8,FALSE)</f>
        <v>6.0000000000000001E-3</v>
      </c>
      <c r="M246" s="10">
        <f ca="1">VLOOKUP(dict_DQ_Meth_max[[#This Row],[ID_DataQualities]],table_DataQualities[],9,FALSE)</f>
        <v>0.59399999999999997</v>
      </c>
    </row>
    <row r="247" spans="1:13" x14ac:dyDescent="0.45">
      <c r="A247" s="10">
        <v>65</v>
      </c>
      <c r="B247" s="10">
        <v>238</v>
      </c>
      <c r="C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7" s="10"/>
      <c r="E247" s="10"/>
      <c r="F247" s="12">
        <f ca="1">(RANDBETWEEN(0,50)/100)*(dict_DQ_Meth_max[[#This Row],[Vergleich_ub]]-dict_DQ_Meth_max[[#This Row],[Vergleich_lb]])+dict_DQ_Meth_max[[#This Row],[Vergleich_lb]]</f>
        <v>0.2412</v>
      </c>
      <c r="G247" s="12">
        <f ca="1">(RANDBETWEEN(50,100)/100)*(dict_DQ_Meth_max[[#This Row],[Vergleich_ub]]-dict_DQ_Meth_max[[#This Row],[Vergleich_lb]])+dict_DQ_Meth_max[[#This Row],[Vergleich_lb]]</f>
        <v>0.38231999999999999</v>
      </c>
      <c r="H247" s="11" t="str">
        <f ca="1">VLOOKUP(VLOOKUP(dict_DQ_Meth_max[[#This Row],[ID_DataQualities]],table_DataQualities[],3),table_Units[],2)</f>
        <v>+/- cm³/s</v>
      </c>
      <c r="I247" s="10"/>
      <c r="J247" s="10"/>
      <c r="K247" s="10"/>
      <c r="L247" s="10">
        <f ca="1">VLOOKUP(dict_DQ_Meth_max[[#This Row],[ID_DataQualities]],table_DataQualities[],8,FALSE)</f>
        <v>6.0000000000000001E-3</v>
      </c>
      <c r="M247" s="10">
        <f ca="1">VLOOKUP(dict_DQ_Meth_max[[#This Row],[ID_DataQualities]],table_DataQualities[],9,FALSE)</f>
        <v>0.59399999999999997</v>
      </c>
    </row>
    <row r="248" spans="1:13" x14ac:dyDescent="0.45">
      <c r="A248" s="10">
        <v>66</v>
      </c>
      <c r="B248" s="10">
        <v>165</v>
      </c>
      <c r="C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8" s="10"/>
      <c r="E248" s="10"/>
      <c r="F248" s="12">
        <f ca="1">(RANDBETWEEN(0,50)/100)*(dict_DQ_Meth_max[[#This Row],[Vergleich_ub]]-dict_DQ_Meth_max[[#This Row],[Vergleich_lb]])+dict_DQ_Meth_max[[#This Row],[Vergleich_lb]]</f>
        <v>86.698210000000003</v>
      </c>
      <c r="G248" s="12">
        <f ca="1">(RANDBETWEEN(50,100)/100)*(dict_DQ_Meth_max[[#This Row],[Vergleich_ub]]-dict_DQ_Meth_max[[#This Row],[Vergleich_lb]])+dict_DQ_Meth_max[[#This Row],[Vergleich_lb]]</f>
        <v>833.52303999999992</v>
      </c>
      <c r="H248" s="11" t="str">
        <f ca="1">VLOOKUP(VLOOKUP(dict_DQ_Meth_max[[#This Row],[ID_DataQualities]],table_DataQualities[],3),table_Units[],2)</f>
        <v>Hz</v>
      </c>
      <c r="I248" s="10"/>
      <c r="J248" s="10"/>
      <c r="K248" s="10"/>
      <c r="L248" s="10">
        <f ca="1">VLOOKUP(dict_DQ_Meth_max[[#This Row],[ID_DataQualities]],table_DataQualities[],8,FALSE)</f>
        <v>0.997</v>
      </c>
      <c r="M248" s="10">
        <f ca="1">VLOOKUP(dict_DQ_Meth_max[[#This Row],[ID_DataQualities]],table_DataQualities[],9,FALSE)</f>
        <v>1225.3</v>
      </c>
    </row>
    <row r="249" spans="1:13" x14ac:dyDescent="0.45">
      <c r="A249" s="10">
        <v>66</v>
      </c>
      <c r="B249" s="10">
        <v>220</v>
      </c>
      <c r="C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49" s="10"/>
      <c r="E249" s="10"/>
      <c r="F249" s="12">
        <f ca="1">(RANDBETWEEN(0,50)/100)*(dict_DQ_Meth_max[[#This Row],[Vergleich_ub]]-dict_DQ_Meth_max[[#This Row],[Vergleich_lb]])+dict_DQ_Meth_max[[#This Row],[Vergleich_lb]]</f>
        <v>13.240029999999999</v>
      </c>
      <c r="G249" s="12">
        <f ca="1">(RANDBETWEEN(50,100)/100)*(dict_DQ_Meth_max[[#This Row],[Vergleich_ub]]-dict_DQ_Meth_max[[#This Row],[Vergleich_lb]])+dict_DQ_Meth_max[[#This Row],[Vergleich_lb]]</f>
        <v>882.49515999999983</v>
      </c>
      <c r="H249" s="11" t="str">
        <f ca="1">VLOOKUP(VLOOKUP(dict_DQ_Meth_max[[#This Row],[ID_DataQualities]],table_DataQualities[],3),table_Units[],2)</f>
        <v>Hz</v>
      </c>
      <c r="I249" s="10"/>
      <c r="J249" s="10"/>
      <c r="K249" s="10"/>
      <c r="L249" s="10">
        <f ca="1">VLOOKUP(dict_DQ_Meth_max[[#This Row],[ID_DataQualities]],table_DataQualities[],8,FALSE)</f>
        <v>0.997</v>
      </c>
      <c r="M249" s="10">
        <f ca="1">VLOOKUP(dict_DQ_Meth_max[[#This Row],[ID_DataQualities]],table_DataQualities[],9,FALSE)</f>
        <v>1225.3</v>
      </c>
    </row>
    <row r="250" spans="1:13" x14ac:dyDescent="0.45">
      <c r="A250" s="10">
        <v>66</v>
      </c>
      <c r="B250" s="10">
        <v>58</v>
      </c>
      <c r="C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0" s="10"/>
      <c r="E250" s="10"/>
      <c r="F250" s="12">
        <f ca="1">(RANDBETWEEN(0,50)/100)*(dict_DQ_Meth_max[[#This Row],[Vergleich_ub]]-dict_DQ_Meth_max[[#This Row],[Vergleich_lb]])+dict_DQ_Meth_max[[#This Row],[Vergleich_lb]]</f>
        <v>221.37153999999998</v>
      </c>
      <c r="G250" s="12">
        <f ca="1">(RANDBETWEEN(50,100)/100)*(dict_DQ_Meth_max[[#This Row],[Vergleich_ub]]-dict_DQ_Meth_max[[#This Row],[Vergleich_lb]])+dict_DQ_Meth_max[[#This Row],[Vergleich_lb]]</f>
        <v>906.98121999999989</v>
      </c>
      <c r="H250" s="11" t="str">
        <f ca="1">VLOOKUP(VLOOKUP(dict_DQ_Meth_max[[#This Row],[ID_DataQualities]],table_DataQualities[],3),table_Units[],2)</f>
        <v>Hz</v>
      </c>
      <c r="I250" s="10"/>
      <c r="J250" s="10"/>
      <c r="K250" s="10"/>
      <c r="L250" s="10">
        <f ca="1">VLOOKUP(dict_DQ_Meth_max[[#This Row],[ID_DataQualities]],table_DataQualities[],8,FALSE)</f>
        <v>0.997</v>
      </c>
      <c r="M250" s="10">
        <f ca="1">VLOOKUP(dict_DQ_Meth_max[[#This Row],[ID_DataQualities]],table_DataQualities[],9,FALSE)</f>
        <v>1225.3</v>
      </c>
    </row>
    <row r="251" spans="1:13" x14ac:dyDescent="0.45">
      <c r="A251" s="10">
        <v>66</v>
      </c>
      <c r="B251" s="10">
        <v>263</v>
      </c>
      <c r="C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1" s="10"/>
      <c r="E251" s="10"/>
      <c r="F251" s="12">
        <f ca="1">(RANDBETWEEN(0,50)/100)*(dict_DQ_Meth_max[[#This Row],[Vergleich_ub]]-dict_DQ_Meth_max[[#This Row],[Vergleich_lb]])+dict_DQ_Meth_max[[#This Row],[Vergleich_lb]]</f>
        <v>478.47516999999999</v>
      </c>
      <c r="G251" s="12">
        <f ca="1">(RANDBETWEEN(50,100)/100)*(dict_DQ_Meth_max[[#This Row],[Vergleich_ub]]-dict_DQ_Meth_max[[#This Row],[Vergleich_lb]])+dict_DQ_Meth_max[[#This Row],[Vergleich_lb]]</f>
        <v>1225.3</v>
      </c>
      <c r="H251" s="11" t="str">
        <f ca="1">VLOOKUP(VLOOKUP(dict_DQ_Meth_max[[#This Row],[ID_DataQualities]],table_DataQualities[],3),table_Units[],2)</f>
        <v>Hz</v>
      </c>
      <c r="I251" s="10"/>
      <c r="J251" s="10"/>
      <c r="K251" s="10"/>
      <c r="L251" s="10">
        <f ca="1">VLOOKUP(dict_DQ_Meth_max[[#This Row],[ID_DataQualities]],table_DataQualities[],8,FALSE)</f>
        <v>0.997</v>
      </c>
      <c r="M251" s="10">
        <f ca="1">VLOOKUP(dict_DQ_Meth_max[[#This Row],[ID_DataQualities]],table_DataQualities[],9,FALSE)</f>
        <v>1225.3</v>
      </c>
    </row>
    <row r="252" spans="1:13" x14ac:dyDescent="0.45">
      <c r="A252" s="10">
        <v>66</v>
      </c>
      <c r="B252" s="10">
        <v>678</v>
      </c>
      <c r="C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2" s="10"/>
      <c r="E252" s="10"/>
      <c r="F252" s="12">
        <f ca="1">(RANDBETWEEN(0,50)/100)*(dict_DQ_Meth_max[[#This Row],[Vergleich_ub]]-dict_DQ_Meth_max[[#This Row],[Vergleich_lb]])+dict_DQ_Meth_max[[#This Row],[Vergleich_lb]]</f>
        <v>0.997</v>
      </c>
      <c r="G252" s="12">
        <f ca="1">(RANDBETWEEN(50,100)/100)*(dict_DQ_Meth_max[[#This Row],[Vergleich_ub]]-dict_DQ_Meth_max[[#This Row],[Vergleich_lb]])+dict_DQ_Meth_max[[#This Row],[Vergleich_lb]]</f>
        <v>955.95333999999991</v>
      </c>
      <c r="H252" s="11" t="str">
        <f ca="1">VLOOKUP(VLOOKUP(dict_DQ_Meth_max[[#This Row],[ID_DataQualities]],table_DataQualities[],3),table_Units[],2)</f>
        <v>Hz</v>
      </c>
      <c r="I252" s="10"/>
      <c r="J252" s="10"/>
      <c r="K252" s="10"/>
      <c r="L252" s="10">
        <f ca="1">VLOOKUP(dict_DQ_Meth_max[[#This Row],[ID_DataQualities]],table_DataQualities[],8,FALSE)</f>
        <v>0.997</v>
      </c>
      <c r="M252" s="10">
        <f ca="1">VLOOKUP(dict_DQ_Meth_max[[#This Row],[ID_DataQualities]],table_DataQualities[],9,FALSE)</f>
        <v>1225.3</v>
      </c>
    </row>
    <row r="253" spans="1:13" x14ac:dyDescent="0.45">
      <c r="A253" s="10">
        <v>67</v>
      </c>
      <c r="B253" s="10">
        <v>220</v>
      </c>
      <c r="C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3" s="10"/>
      <c r="E253" s="10"/>
      <c r="F253" s="12">
        <f ca="1">(RANDBETWEEN(0,50)/100)*(dict_DQ_Meth_max[[#This Row],[Vergleich_ub]]-dict_DQ_Meth_max[[#This Row],[Vergleich_lb]])+dict_DQ_Meth_max[[#This Row],[Vergleich_lb]]</f>
        <v>9.5739999999999992E-2</v>
      </c>
      <c r="G253" s="12">
        <f ca="1">(RANDBETWEEN(50,100)/100)*(dict_DQ_Meth_max[[#This Row],[Vergleich_ub]]-dict_DQ_Meth_max[[#This Row],[Vergleich_lb]])+dict_DQ_Meth_max[[#This Row],[Vergleich_lb]]</f>
        <v>3.1424800000000004</v>
      </c>
      <c r="H253" s="11" t="str">
        <f ca="1">VLOOKUP(VLOOKUP(dict_DQ_Meth_max[[#This Row],[ID_DataQualities]],table_DataQualities[],3),table_Units[],2)</f>
        <v>+/- mm</v>
      </c>
      <c r="I253" s="10"/>
      <c r="J253" s="10"/>
      <c r="K253" s="10"/>
      <c r="L253" s="10">
        <f ca="1">VLOOKUP(dict_DQ_Meth_max[[#This Row],[ID_DataQualities]],table_DataQualities[],8,FALSE)</f>
        <v>3.5999999999999997E-2</v>
      </c>
      <c r="M253" s="10">
        <f ca="1">VLOOKUP(dict_DQ_Meth_max[[#This Row],[ID_DataQualities]],table_DataQualities[],9,FALSE)</f>
        <v>6.01</v>
      </c>
    </row>
    <row r="254" spans="1:13" x14ac:dyDescent="0.45">
      <c r="A254" s="10">
        <v>67</v>
      </c>
      <c r="B254" s="10">
        <v>165</v>
      </c>
      <c r="C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4" s="10"/>
      <c r="E254" s="10"/>
      <c r="F254" s="12">
        <f ca="1">(RANDBETWEEN(0,50)/100)*(dict_DQ_Meth_max[[#This Row],[Vergleich_ub]]-dict_DQ_Meth_max[[#This Row],[Vergleich_lb]])+dict_DQ_Meth_max[[#This Row],[Vergleich_lb]]</f>
        <v>1.29054</v>
      </c>
      <c r="G254" s="12">
        <f ca="1">(RANDBETWEEN(50,100)/100)*(dict_DQ_Meth_max[[#This Row],[Vergleich_ub]]-dict_DQ_Meth_max[[#This Row],[Vergleich_lb]])+dict_DQ_Meth_max[[#This Row],[Vergleich_lb]]</f>
        <v>4.63598</v>
      </c>
      <c r="H254" s="11" t="str">
        <f ca="1">VLOOKUP(VLOOKUP(dict_DQ_Meth_max[[#This Row],[ID_DataQualities]],table_DataQualities[],3),table_Units[],2)</f>
        <v>+/- mm</v>
      </c>
      <c r="I254" s="10"/>
      <c r="J254" s="10"/>
      <c r="K254" s="10"/>
      <c r="L254" s="10">
        <f ca="1">VLOOKUP(dict_DQ_Meth_max[[#This Row],[ID_DataQualities]],table_DataQualities[],8,FALSE)</f>
        <v>3.5999999999999997E-2</v>
      </c>
      <c r="M254" s="10">
        <f ca="1">VLOOKUP(dict_DQ_Meth_max[[#This Row],[ID_DataQualities]],table_DataQualities[],9,FALSE)</f>
        <v>6.01</v>
      </c>
    </row>
    <row r="255" spans="1:13" x14ac:dyDescent="0.45">
      <c r="A255" s="10">
        <v>67</v>
      </c>
      <c r="B255" s="10">
        <v>263</v>
      </c>
      <c r="C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5" s="10"/>
      <c r="E255" s="10"/>
      <c r="F255" s="12">
        <f ca="1">(RANDBETWEEN(0,50)/100)*(dict_DQ_Meth_max[[#This Row],[Vergleich_ub]]-dict_DQ_Meth_max[[#This Row],[Vergleich_lb]])+dict_DQ_Meth_max[[#This Row],[Vergleich_lb]]</f>
        <v>3.5999999999999997E-2</v>
      </c>
      <c r="G255" s="12">
        <f ca="1">(RANDBETWEEN(50,100)/100)*(dict_DQ_Meth_max[[#This Row],[Vergleich_ub]]-dict_DQ_Meth_max[[#This Row],[Vergleich_lb]])+dict_DQ_Meth_max[[#This Row],[Vergleich_lb]]</f>
        <v>5.47234</v>
      </c>
      <c r="H255" s="11" t="str">
        <f ca="1">VLOOKUP(VLOOKUP(dict_DQ_Meth_max[[#This Row],[ID_DataQualities]],table_DataQualities[],3),table_Units[],2)</f>
        <v>+/- mm</v>
      </c>
      <c r="I255" s="10"/>
      <c r="J255" s="10"/>
      <c r="K255" s="10"/>
      <c r="L255" s="10">
        <f ca="1">VLOOKUP(dict_DQ_Meth_max[[#This Row],[ID_DataQualities]],table_DataQualities[],8,FALSE)</f>
        <v>3.5999999999999997E-2</v>
      </c>
      <c r="M255" s="10">
        <f ca="1">VLOOKUP(dict_DQ_Meth_max[[#This Row],[ID_DataQualities]],table_DataQualities[],9,FALSE)</f>
        <v>6.01</v>
      </c>
    </row>
    <row r="256" spans="1:13" x14ac:dyDescent="0.45">
      <c r="A256" s="10">
        <v>67</v>
      </c>
      <c r="B256" s="10">
        <v>58</v>
      </c>
      <c r="C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6" s="10"/>
      <c r="E256" s="10"/>
      <c r="F256" s="12">
        <f ca="1">(RANDBETWEEN(0,50)/100)*(dict_DQ_Meth_max[[#This Row],[Vergleich_ub]]-dict_DQ_Meth_max[[#This Row],[Vergleich_lb]])+dict_DQ_Meth_max[[#This Row],[Vergleich_lb]]</f>
        <v>1.3502800000000001</v>
      </c>
      <c r="G256" s="12">
        <f ca="1">(RANDBETWEEN(50,100)/100)*(dict_DQ_Meth_max[[#This Row],[Vergleich_ub]]-dict_DQ_Meth_max[[#This Row],[Vergleich_lb]])+dict_DQ_Meth_max[[#This Row],[Vergleich_lb]]</f>
        <v>5.8307799999999999</v>
      </c>
      <c r="H256" s="11" t="str">
        <f ca="1">VLOOKUP(VLOOKUP(dict_DQ_Meth_max[[#This Row],[ID_DataQualities]],table_DataQualities[],3),table_Units[],2)</f>
        <v>+/- mm</v>
      </c>
      <c r="I256" s="10"/>
      <c r="J256" s="10"/>
      <c r="K256" s="10"/>
      <c r="L256" s="10">
        <f ca="1">VLOOKUP(dict_DQ_Meth_max[[#This Row],[ID_DataQualities]],table_DataQualities[],8,FALSE)</f>
        <v>3.5999999999999997E-2</v>
      </c>
      <c r="M256" s="10">
        <f ca="1">VLOOKUP(dict_DQ_Meth_max[[#This Row],[ID_DataQualities]],table_DataQualities[],9,FALSE)</f>
        <v>6.01</v>
      </c>
    </row>
    <row r="257" spans="1:13" x14ac:dyDescent="0.45">
      <c r="A257" s="10">
        <v>67</v>
      </c>
      <c r="B257" s="10">
        <v>678</v>
      </c>
      <c r="C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7" s="10"/>
      <c r="E257" s="10"/>
      <c r="F257" s="12">
        <f ca="1">(RANDBETWEEN(0,50)/100)*(dict_DQ_Meth_max[[#This Row],[Vergleich_ub]]-dict_DQ_Meth_max[[#This Row],[Vergleich_lb]])+dict_DQ_Meth_max[[#This Row],[Vergleich_lb]]</f>
        <v>0.21521999999999999</v>
      </c>
      <c r="G257" s="12">
        <f ca="1">(RANDBETWEEN(50,100)/100)*(dict_DQ_Meth_max[[#This Row],[Vergleich_ub]]-dict_DQ_Meth_max[[#This Row],[Vergleich_lb]])+dict_DQ_Meth_max[[#This Row],[Vergleich_lb]]</f>
        <v>3.9191000000000003</v>
      </c>
      <c r="H257" s="11" t="str">
        <f ca="1">VLOOKUP(VLOOKUP(dict_DQ_Meth_max[[#This Row],[ID_DataQualities]],table_DataQualities[],3),table_Units[],2)</f>
        <v>+/- mm</v>
      </c>
      <c r="I257" s="10"/>
      <c r="J257" s="10"/>
      <c r="K257" s="10"/>
      <c r="L257" s="10">
        <f ca="1">VLOOKUP(dict_DQ_Meth_max[[#This Row],[ID_DataQualities]],table_DataQualities[],8,FALSE)</f>
        <v>3.5999999999999997E-2</v>
      </c>
      <c r="M257" s="10">
        <f ca="1">VLOOKUP(dict_DQ_Meth_max[[#This Row],[ID_DataQualities]],table_DataQualities[],9,FALSE)</f>
        <v>6.01</v>
      </c>
    </row>
    <row r="258" spans="1:13" x14ac:dyDescent="0.45">
      <c r="A258" s="10">
        <v>68</v>
      </c>
      <c r="B258" s="10">
        <v>575</v>
      </c>
      <c r="C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8" s="10"/>
      <c r="E258" s="10"/>
      <c r="F258" s="12">
        <f ca="1">(RANDBETWEEN(0,50)/100)*(dict_DQ_Meth_max[[#This Row],[Vergleich_ub]]-dict_DQ_Meth_max[[#This Row],[Vergleich_lb]])+dict_DQ_Meth_max[[#This Row],[Vergleich_lb]]</f>
        <v>1000.1989500000001</v>
      </c>
      <c r="G258" s="12">
        <f ca="1">(RANDBETWEEN(50,100)/100)*(dict_DQ_Meth_max[[#This Row],[Vergleich_ub]]-dict_DQ_Meth_max[[#This Row],[Vergleich_lb]])+dict_DQ_Meth_max[[#This Row],[Vergleich_lb]]</f>
        <v>3798.83241</v>
      </c>
      <c r="H258" s="11" t="str">
        <f ca="1">VLOOKUP(VLOOKUP(dict_DQ_Meth_max[[#This Row],[ID_DataQualities]],table_DataQualities[],3),table_Units[],2)</f>
        <v>Hz</v>
      </c>
      <c r="I258" s="10"/>
      <c r="J258" s="10"/>
      <c r="K258" s="10"/>
      <c r="L258" s="10">
        <f ca="1">VLOOKUP(dict_DQ_Meth_max[[#This Row],[ID_DataQualities]],table_DataQualities[],8,FALSE)</f>
        <v>0.68700000000000006</v>
      </c>
      <c r="M258" s="10">
        <f ca="1">VLOOKUP(dict_DQ_Meth_max[[#This Row],[ID_DataQualities]],table_DataQualities[],9,FALSE)</f>
        <v>6664.1</v>
      </c>
    </row>
    <row r="259" spans="1:13" x14ac:dyDescent="0.45">
      <c r="A259" s="10">
        <v>68</v>
      </c>
      <c r="B259" s="10">
        <v>53</v>
      </c>
      <c r="C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59" s="10"/>
      <c r="E259" s="10"/>
      <c r="F259" s="12">
        <f ca="1">(RANDBETWEEN(0,50)/100)*(dict_DQ_Meth_max[[#This Row],[Vergleich_ub]]-dict_DQ_Meth_max[[#This Row],[Vergleich_lb]])+dict_DQ_Meth_max[[#This Row],[Vergleich_lb]]</f>
        <v>2066.34503</v>
      </c>
      <c r="G259" s="12">
        <f ca="1">(RANDBETWEEN(50,100)/100)*(dict_DQ_Meth_max[[#This Row],[Vergleich_ub]]-dict_DQ_Meth_max[[#This Row],[Vergleich_lb]])+dict_DQ_Meth_max[[#This Row],[Vergleich_lb]]</f>
        <v>5931.1245699999999</v>
      </c>
      <c r="H259" s="11" t="str">
        <f ca="1">VLOOKUP(VLOOKUP(dict_DQ_Meth_max[[#This Row],[ID_DataQualities]],table_DataQualities[],3),table_Units[],2)</f>
        <v>Hz</v>
      </c>
      <c r="I259" s="10"/>
      <c r="J259" s="10"/>
      <c r="K259" s="10"/>
      <c r="L259" s="10">
        <f ca="1">VLOOKUP(dict_DQ_Meth_max[[#This Row],[ID_DataQualities]],table_DataQualities[],8,FALSE)</f>
        <v>0.68700000000000006</v>
      </c>
      <c r="M259" s="10">
        <f ca="1">VLOOKUP(dict_DQ_Meth_max[[#This Row],[ID_DataQualities]],table_DataQualities[],9,FALSE)</f>
        <v>6664.1</v>
      </c>
    </row>
    <row r="260" spans="1:13" x14ac:dyDescent="0.45">
      <c r="A260" s="10">
        <v>68</v>
      </c>
      <c r="B260" s="10">
        <v>378</v>
      </c>
      <c r="C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0" s="10"/>
      <c r="E260" s="10"/>
      <c r="F260" s="12">
        <f ca="1">(RANDBETWEEN(0,50)/100)*(dict_DQ_Meth_max[[#This Row],[Vergleich_ub]]-dict_DQ_Meth_max[[#This Row],[Vergleich_lb]])+dict_DQ_Meth_max[[#This Row],[Vergleich_lb]]</f>
        <v>67.321129999999997</v>
      </c>
      <c r="G260" s="12">
        <f ca="1">(RANDBETWEEN(50,100)/100)*(dict_DQ_Meth_max[[#This Row],[Vergleich_ub]]-dict_DQ_Meth_max[[#This Row],[Vergleich_lb]])+dict_DQ_Meth_max[[#This Row],[Vergleich_lb]]</f>
        <v>3798.83241</v>
      </c>
      <c r="H260" s="11" t="str">
        <f ca="1">VLOOKUP(VLOOKUP(dict_DQ_Meth_max[[#This Row],[ID_DataQualities]],table_DataQualities[],3),table_Units[],2)</f>
        <v>Hz</v>
      </c>
      <c r="I260" s="10"/>
      <c r="J260" s="10"/>
      <c r="K260" s="10"/>
      <c r="L260" s="10">
        <f ca="1">VLOOKUP(dict_DQ_Meth_max[[#This Row],[ID_DataQualities]],table_DataQualities[],8,FALSE)</f>
        <v>0.68700000000000006</v>
      </c>
      <c r="M260" s="10">
        <f ca="1">VLOOKUP(dict_DQ_Meth_max[[#This Row],[ID_DataQualities]],table_DataQualities[],9,FALSE)</f>
        <v>6664.1</v>
      </c>
    </row>
    <row r="261" spans="1:13" x14ac:dyDescent="0.45">
      <c r="A261" s="10">
        <v>69</v>
      </c>
      <c r="B261" s="10">
        <v>575</v>
      </c>
      <c r="C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1" s="10"/>
      <c r="E261" s="10"/>
      <c r="F261" s="12">
        <f ca="1">(RANDBETWEEN(0,50)/100)*(dict_DQ_Meth_max[[#This Row],[Vergleich_ub]]-dict_DQ_Meth_max[[#This Row],[Vergleich_lb]])+dict_DQ_Meth_max[[#This Row],[Vergleich_lb]]</f>
        <v>1.2959999999999998</v>
      </c>
      <c r="G261" s="12">
        <f ca="1">(RANDBETWEEN(50,100)/100)*(dict_DQ_Meth_max[[#This Row],[Vergleich_ub]]-dict_DQ_Meth_max[[#This Row],[Vergleich_lb]])+dict_DQ_Meth_max[[#This Row],[Vergleich_lb]]</f>
        <v>5.16</v>
      </c>
      <c r="H261" s="11" t="str">
        <f ca="1">VLOOKUP(VLOOKUP(dict_DQ_Meth_max[[#This Row],[ID_DataQualities]],table_DataQualities[],3),table_Units[],2)</f>
        <v>+/- °C</v>
      </c>
      <c r="I261" s="10"/>
      <c r="J261" s="10"/>
      <c r="K261" s="10"/>
      <c r="L261" s="10">
        <f ca="1">VLOOKUP(dict_DQ_Meth_max[[#This Row],[ID_DataQualities]],table_DataQualities[],8,FALSE)</f>
        <v>0.4</v>
      </c>
      <c r="M261" s="10">
        <f ca="1">VLOOKUP(dict_DQ_Meth_max[[#This Row],[ID_DataQualities]],table_DataQualities[],9,FALSE)</f>
        <v>6</v>
      </c>
    </row>
    <row r="262" spans="1:13" x14ac:dyDescent="0.45">
      <c r="A262" s="10">
        <v>69</v>
      </c>
      <c r="B262" s="10">
        <v>378</v>
      </c>
      <c r="C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2" s="10"/>
      <c r="E262" s="10"/>
      <c r="F262" s="12">
        <f ca="1">(RANDBETWEEN(0,50)/100)*(dict_DQ_Meth_max[[#This Row],[Vergleich_ub]]-dict_DQ_Meth_max[[#This Row],[Vergleich_lb]])+dict_DQ_Meth_max[[#This Row],[Vergleich_lb]]</f>
        <v>1.016</v>
      </c>
      <c r="G262" s="12">
        <f ca="1">(RANDBETWEEN(50,100)/100)*(dict_DQ_Meth_max[[#This Row],[Vergleich_ub]]-dict_DQ_Meth_max[[#This Row],[Vergleich_lb]])+dict_DQ_Meth_max[[#This Row],[Vergleich_lb]]</f>
        <v>3.8719999999999999</v>
      </c>
      <c r="H262" s="11" t="str">
        <f ca="1">VLOOKUP(VLOOKUP(dict_DQ_Meth_max[[#This Row],[ID_DataQualities]],table_DataQualities[],3),table_Units[],2)</f>
        <v>+/- °C</v>
      </c>
      <c r="I262" s="10"/>
      <c r="J262" s="10"/>
      <c r="K262" s="10"/>
      <c r="L262" s="10">
        <f ca="1">VLOOKUP(dict_DQ_Meth_max[[#This Row],[ID_DataQualities]],table_DataQualities[],8,FALSE)</f>
        <v>0.4</v>
      </c>
      <c r="M262" s="10">
        <f ca="1">VLOOKUP(dict_DQ_Meth_max[[#This Row],[ID_DataQualities]],table_DataQualities[],9,FALSE)</f>
        <v>6</v>
      </c>
    </row>
    <row r="263" spans="1:13" x14ac:dyDescent="0.45">
      <c r="A263" s="10">
        <v>69</v>
      </c>
      <c r="B263" s="10">
        <v>53</v>
      </c>
      <c r="C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3" s="10"/>
      <c r="E263" s="10"/>
      <c r="F263" s="12">
        <f ca="1">(RANDBETWEEN(0,50)/100)*(dict_DQ_Meth_max[[#This Row],[Vergleich_ub]]-dict_DQ_Meth_max[[#This Row],[Vergleich_lb]])+dict_DQ_Meth_max[[#This Row],[Vergleich_lb]]</f>
        <v>1.2959999999999998</v>
      </c>
      <c r="G263" s="12">
        <f ca="1">(RANDBETWEEN(50,100)/100)*(dict_DQ_Meth_max[[#This Row],[Vergleich_ub]]-dict_DQ_Meth_max[[#This Row],[Vergleich_lb]])+dict_DQ_Meth_max[[#This Row],[Vergleich_lb]]</f>
        <v>3.9839999999999995</v>
      </c>
      <c r="H263" s="11" t="str">
        <f ca="1">VLOOKUP(VLOOKUP(dict_DQ_Meth_max[[#This Row],[ID_DataQualities]],table_DataQualities[],3),table_Units[],2)</f>
        <v>+/- °C</v>
      </c>
      <c r="I263" s="10"/>
      <c r="J263" s="10"/>
      <c r="K263" s="10"/>
      <c r="L263" s="10">
        <f ca="1">VLOOKUP(dict_DQ_Meth_max[[#This Row],[ID_DataQualities]],table_DataQualities[],8,FALSE)</f>
        <v>0.4</v>
      </c>
      <c r="M263" s="10">
        <f ca="1">VLOOKUP(dict_DQ_Meth_max[[#This Row],[ID_DataQualities]],table_DataQualities[],9,FALSE)</f>
        <v>6</v>
      </c>
    </row>
    <row r="264" spans="1:13" x14ac:dyDescent="0.45">
      <c r="A264" s="10">
        <v>70</v>
      </c>
      <c r="B264" s="10">
        <v>587</v>
      </c>
      <c r="C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4" s="10"/>
      <c r="E264" s="10"/>
      <c r="F264" s="12">
        <f ca="1">(RANDBETWEEN(0,50)/100)*(dict_DQ_Meth_max[[#This Row],[Vergleich_ub]]-dict_DQ_Meth_max[[#This Row],[Vergleich_lb]])+dict_DQ_Meth_max[[#This Row],[Vergleich_lb]]</f>
        <v>590.13054999999997</v>
      </c>
      <c r="G264" s="12">
        <f ca="1">(RANDBETWEEN(50,100)/100)*(dict_DQ_Meth_max[[#This Row],[Vergleich_ub]]-dict_DQ_Meth_max[[#This Row],[Vergleich_lb]])+dict_DQ_Meth_max[[#This Row],[Vergleich_lb]]</f>
        <v>2986.4039199999997</v>
      </c>
      <c r="H264" s="11" t="str">
        <f ca="1">VLOOKUP(VLOOKUP(dict_DQ_Meth_max[[#This Row],[ID_DataQualities]],table_DataQualities[],3),table_Units[],2)</f>
        <v>Hz</v>
      </c>
      <c r="I264" s="10"/>
      <c r="J264" s="10"/>
      <c r="K264" s="10"/>
      <c r="L264" s="10">
        <f ca="1">VLOOKUP(dict_DQ_Meth_max[[#This Row],[ID_DataQualities]],table_DataQualities[],8,FALSE)</f>
        <v>0.88300000000000001</v>
      </c>
      <c r="M264" s="10">
        <f ca="1">VLOOKUP(dict_DQ_Meth_max[[#This Row],[ID_DataQualities]],table_DataQualities[],9,FALSE)</f>
        <v>3929.2</v>
      </c>
    </row>
    <row r="265" spans="1:13" x14ac:dyDescent="0.45">
      <c r="A265" s="10">
        <v>70</v>
      </c>
      <c r="B265" s="10">
        <v>4</v>
      </c>
      <c r="C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5" s="10"/>
      <c r="E265" s="10"/>
      <c r="F265" s="12">
        <f ca="1">(RANDBETWEEN(0,50)/100)*(dict_DQ_Meth_max[[#This Row],[Vergleich_ub]]-dict_DQ_Meth_max[[#This Row],[Vergleich_lb]])+dict_DQ_Meth_max[[#This Row],[Vergleich_lb]]</f>
        <v>1729.34248</v>
      </c>
      <c r="G265" s="12">
        <f ca="1">(RANDBETWEEN(50,100)/100)*(dict_DQ_Meth_max[[#This Row],[Vergleich_ub]]-dict_DQ_Meth_max[[#This Row],[Vergleich_lb]])+dict_DQ_Meth_max[[#This Row],[Vergleich_lb]]</f>
        <v>3654.2178100000001</v>
      </c>
      <c r="H265" s="11" t="str">
        <f ca="1">VLOOKUP(VLOOKUP(dict_DQ_Meth_max[[#This Row],[ID_DataQualities]],table_DataQualities[],3),table_Units[],2)</f>
        <v>Hz</v>
      </c>
      <c r="I265" s="10"/>
      <c r="J265" s="10"/>
      <c r="K265" s="10"/>
      <c r="L265" s="10">
        <f ca="1">VLOOKUP(dict_DQ_Meth_max[[#This Row],[ID_DataQualities]],table_DataQualities[],8,FALSE)</f>
        <v>0.88300000000000001</v>
      </c>
      <c r="M265" s="10">
        <f ca="1">VLOOKUP(dict_DQ_Meth_max[[#This Row],[ID_DataQualities]],table_DataQualities[],9,FALSE)</f>
        <v>3929.2</v>
      </c>
    </row>
    <row r="266" spans="1:13" x14ac:dyDescent="0.45">
      <c r="A266" s="10">
        <v>70</v>
      </c>
      <c r="B266" s="10">
        <v>96</v>
      </c>
      <c r="C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6" s="10"/>
      <c r="E266" s="10"/>
      <c r="F266" s="12">
        <f ca="1">(RANDBETWEEN(0,50)/100)*(dict_DQ_Meth_max[[#This Row],[Vergleich_ub]]-dict_DQ_Meth_max[[#This Row],[Vergleich_lb]])+dict_DQ_Meth_max[[#This Row],[Vergleich_lb]]</f>
        <v>79.449339999999992</v>
      </c>
      <c r="G266" s="12">
        <f ca="1">(RANDBETWEEN(50,100)/100)*(dict_DQ_Meth_max[[#This Row],[Vergleich_ub]]-dict_DQ_Meth_max[[#This Row],[Vergleich_lb]])+dict_DQ_Meth_max[[#This Row],[Vergleich_lb]]</f>
        <v>3929.2</v>
      </c>
      <c r="H266" s="11" t="str">
        <f ca="1">VLOOKUP(VLOOKUP(dict_DQ_Meth_max[[#This Row],[ID_DataQualities]],table_DataQualities[],3),table_Units[],2)</f>
        <v>Hz</v>
      </c>
      <c r="I266" s="10"/>
      <c r="J266" s="10"/>
      <c r="K266" s="10"/>
      <c r="L266" s="10">
        <f ca="1">VLOOKUP(dict_DQ_Meth_max[[#This Row],[ID_DataQualities]],table_DataQualities[],8,FALSE)</f>
        <v>0.88300000000000001</v>
      </c>
      <c r="M266" s="10">
        <f ca="1">VLOOKUP(dict_DQ_Meth_max[[#This Row],[ID_DataQualities]],table_DataQualities[],9,FALSE)</f>
        <v>3929.2</v>
      </c>
    </row>
    <row r="267" spans="1:13" x14ac:dyDescent="0.45">
      <c r="A267" s="10">
        <v>71</v>
      </c>
      <c r="B267" s="10">
        <v>96</v>
      </c>
      <c r="C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7" s="10"/>
      <c r="E267" s="10"/>
      <c r="F267" s="12">
        <f ca="1">(RANDBETWEEN(0,50)/100)*(dict_DQ_Meth_max[[#This Row],[Vergleich_ub]]-dict_DQ_Meth_max[[#This Row],[Vergleich_lb]])+dict_DQ_Meth_max[[#This Row],[Vergleich_lb]]</f>
        <v>2.4964</v>
      </c>
      <c r="G267" s="12">
        <f ca="1">(RANDBETWEEN(50,100)/100)*(dict_DQ_Meth_max[[#This Row],[Vergleich_ub]]-dict_DQ_Meth_max[[#This Row],[Vergleich_lb]])+dict_DQ_Meth_max[[#This Row],[Vergleich_lb]]</f>
        <v>5.8375000000000004</v>
      </c>
      <c r="H267" s="11" t="str">
        <f ca="1">VLOOKUP(VLOOKUP(dict_DQ_Meth_max[[#This Row],[ID_DataQualities]],table_DataQualities[],3),table_Units[],2)</f>
        <v>+/- mm</v>
      </c>
      <c r="I267" s="10"/>
      <c r="J267" s="10"/>
      <c r="K267" s="10"/>
      <c r="L267" s="10">
        <f ca="1">VLOOKUP(dict_DQ_Meth_max[[#This Row],[ID_DataQualities]],table_DataQualities[],8,FALSE)</f>
        <v>0.01</v>
      </c>
      <c r="M267" s="10">
        <f ca="1">VLOOKUP(dict_DQ_Meth_max[[#This Row],[ID_DataQualities]],table_DataQualities[],9,FALSE)</f>
        <v>7.78</v>
      </c>
    </row>
    <row r="268" spans="1:13" x14ac:dyDescent="0.45">
      <c r="A268" s="10">
        <v>71</v>
      </c>
      <c r="B268" s="10">
        <v>587</v>
      </c>
      <c r="C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8" s="10"/>
      <c r="E268" s="10"/>
      <c r="F268" s="12">
        <f ca="1">(RANDBETWEEN(0,50)/100)*(dict_DQ_Meth_max[[#This Row],[Vergleich_ub]]-dict_DQ_Meth_max[[#This Row],[Vergleich_lb]])+dict_DQ_Meth_max[[#This Row],[Vergleich_lb]]</f>
        <v>1.7971000000000001</v>
      </c>
      <c r="G268" s="12">
        <f ca="1">(RANDBETWEEN(50,100)/100)*(dict_DQ_Meth_max[[#This Row],[Vergleich_ub]]-dict_DQ_Meth_max[[#This Row],[Vergleich_lb]])+dict_DQ_Meth_max[[#This Row],[Vergleich_lb]]</f>
        <v>4.8273999999999999</v>
      </c>
      <c r="H268" s="11" t="str">
        <f ca="1">VLOOKUP(VLOOKUP(dict_DQ_Meth_max[[#This Row],[ID_DataQualities]],table_DataQualities[],3),table_Units[],2)</f>
        <v>+/- mm</v>
      </c>
      <c r="I268" s="10"/>
      <c r="J268" s="10"/>
      <c r="K268" s="10"/>
      <c r="L268" s="10">
        <f ca="1">VLOOKUP(dict_DQ_Meth_max[[#This Row],[ID_DataQualities]],table_DataQualities[],8,FALSE)</f>
        <v>0.01</v>
      </c>
      <c r="M268" s="10">
        <f ca="1">VLOOKUP(dict_DQ_Meth_max[[#This Row],[ID_DataQualities]],table_DataQualities[],9,FALSE)</f>
        <v>7.78</v>
      </c>
    </row>
    <row r="269" spans="1:13" x14ac:dyDescent="0.45">
      <c r="A269" s="10">
        <v>71</v>
      </c>
      <c r="B269" s="10">
        <v>4</v>
      </c>
      <c r="C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69" s="10"/>
      <c r="E269" s="10"/>
      <c r="F269" s="12">
        <f ca="1">(RANDBETWEEN(0,50)/100)*(dict_DQ_Meth_max[[#This Row],[Vergleich_ub]]-dict_DQ_Meth_max[[#This Row],[Vergleich_lb]])+dict_DQ_Meth_max[[#This Row],[Vergleich_lb]]</f>
        <v>0.63160000000000005</v>
      </c>
      <c r="G269" s="12">
        <f ca="1">(RANDBETWEEN(50,100)/100)*(dict_DQ_Meth_max[[#This Row],[Vergleich_ub]]-dict_DQ_Meth_max[[#This Row],[Vergleich_lb]])+dict_DQ_Meth_max[[#This Row],[Vergleich_lb]]</f>
        <v>4.5942999999999996</v>
      </c>
      <c r="H269" s="11" t="str">
        <f ca="1">VLOOKUP(VLOOKUP(dict_DQ_Meth_max[[#This Row],[ID_DataQualities]],table_DataQualities[],3),table_Units[],2)</f>
        <v>+/- mm</v>
      </c>
      <c r="I269" s="10"/>
      <c r="J269" s="10"/>
      <c r="K269" s="10"/>
      <c r="L269" s="10">
        <f ca="1">VLOOKUP(dict_DQ_Meth_max[[#This Row],[ID_DataQualities]],table_DataQualities[],8,FALSE)</f>
        <v>0.01</v>
      </c>
      <c r="M269" s="10">
        <f ca="1">VLOOKUP(dict_DQ_Meth_max[[#This Row],[ID_DataQualities]],table_DataQualities[],9,FALSE)</f>
        <v>7.78</v>
      </c>
    </row>
    <row r="270" spans="1:13" x14ac:dyDescent="0.45">
      <c r="A270" s="10">
        <v>72</v>
      </c>
      <c r="B270" s="10">
        <v>304</v>
      </c>
      <c r="C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0" s="10"/>
      <c r="E270" s="10"/>
      <c r="F270" s="12">
        <f ca="1">(RANDBETWEEN(0,50)/100)*(dict_DQ_Meth_max[[#This Row],[Vergleich_ub]]-dict_DQ_Meth_max[[#This Row],[Vergleich_lb]])+dict_DQ_Meth_max[[#This Row],[Vergleich_lb]]</f>
        <v>442.95086999999995</v>
      </c>
      <c r="G270" s="12">
        <f ca="1">(RANDBETWEEN(50,100)/100)*(dict_DQ_Meth_max[[#This Row],[Vergleich_ub]]-dict_DQ_Meth_max[[#This Row],[Vergleich_lb]])+dict_DQ_Meth_max[[#This Row],[Vergleich_lb]]</f>
        <v>514.99549999999988</v>
      </c>
      <c r="H270" s="11" t="str">
        <f ca="1">VLOOKUP(VLOOKUP(dict_DQ_Meth_max[[#This Row],[ID_DataQualities]],table_DataQualities[],3),table_Units[],2)</f>
        <v>Hz</v>
      </c>
      <c r="I270" s="10"/>
      <c r="J270" s="10"/>
      <c r="K270" s="10"/>
      <c r="L270" s="10">
        <f ca="1">VLOOKUP(dict_DQ_Meth_max[[#This Row],[ID_DataQualities]],table_DataQualities[],8,FALSE)</f>
        <v>0.39100000000000001</v>
      </c>
      <c r="M270" s="10">
        <f ca="1">VLOOKUP(dict_DQ_Meth_max[[#This Row],[ID_DataQualities]],table_DataQualities[],9,FALSE)</f>
        <v>1029.5999999999999</v>
      </c>
    </row>
    <row r="271" spans="1:13" x14ac:dyDescent="0.45">
      <c r="A271" s="10">
        <v>72</v>
      </c>
      <c r="B271" s="10">
        <v>201</v>
      </c>
      <c r="C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1" s="10"/>
      <c r="E271" s="10"/>
      <c r="F271" s="12">
        <f ca="1">(RANDBETWEEN(0,50)/100)*(dict_DQ_Meth_max[[#This Row],[Vergleich_ub]]-dict_DQ_Meth_max[[#This Row],[Vergleich_lb]])+dict_DQ_Meth_max[[#This Row],[Vergleich_lb]]</f>
        <v>442.95086999999995</v>
      </c>
      <c r="G271" s="12">
        <f ca="1">(RANDBETWEEN(50,100)/100)*(dict_DQ_Meth_max[[#This Row],[Vergleich_ub]]-dict_DQ_Meth_max[[#This Row],[Vergleich_lb]])+dict_DQ_Meth_max[[#This Row],[Vergleich_lb]]</f>
        <v>762.00565999999981</v>
      </c>
      <c r="H271" s="11" t="str">
        <f ca="1">VLOOKUP(VLOOKUP(dict_DQ_Meth_max[[#This Row],[ID_DataQualities]],table_DataQualities[],3),table_Units[],2)</f>
        <v>Hz</v>
      </c>
      <c r="I271" s="10"/>
      <c r="J271" s="10"/>
      <c r="K271" s="10"/>
      <c r="L271" s="10">
        <f ca="1">VLOOKUP(dict_DQ_Meth_max[[#This Row],[ID_DataQualities]],table_DataQualities[],8,FALSE)</f>
        <v>0.39100000000000001</v>
      </c>
      <c r="M271" s="10">
        <f ca="1">VLOOKUP(dict_DQ_Meth_max[[#This Row],[ID_DataQualities]],table_DataQualities[],9,FALSE)</f>
        <v>1029.5999999999999</v>
      </c>
    </row>
    <row r="272" spans="1:13" x14ac:dyDescent="0.45">
      <c r="A272" s="10">
        <v>72</v>
      </c>
      <c r="B272" s="10">
        <v>148</v>
      </c>
      <c r="C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2" s="10"/>
      <c r="E272" s="10"/>
      <c r="F272" s="12">
        <f ca="1">(RANDBETWEEN(0,50)/100)*(dict_DQ_Meth_max[[#This Row],[Vergleich_ub]]-dict_DQ_Meth_max[[#This Row],[Vergleich_lb]])+dict_DQ_Meth_max[[#This Row],[Vergleich_lb]]</f>
        <v>288.56952000000001</v>
      </c>
      <c r="G272" s="12">
        <f ca="1">(RANDBETWEEN(50,100)/100)*(dict_DQ_Meth_max[[#This Row],[Vergleich_ub]]-dict_DQ_Meth_max[[#This Row],[Vergleich_lb]])+dict_DQ_Meth_max[[#This Row],[Vergleich_lb]]</f>
        <v>597.33221999999978</v>
      </c>
      <c r="H272" s="11" t="str">
        <f ca="1">VLOOKUP(VLOOKUP(dict_DQ_Meth_max[[#This Row],[ID_DataQualities]],table_DataQualities[],3),table_Units[],2)</f>
        <v>Hz</v>
      </c>
      <c r="I272" s="10"/>
      <c r="J272" s="10"/>
      <c r="K272" s="10"/>
      <c r="L272" s="10">
        <f ca="1">VLOOKUP(dict_DQ_Meth_max[[#This Row],[ID_DataQualities]],table_DataQualities[],8,FALSE)</f>
        <v>0.39100000000000001</v>
      </c>
      <c r="M272" s="10">
        <f ca="1">VLOOKUP(dict_DQ_Meth_max[[#This Row],[ID_DataQualities]],table_DataQualities[],9,FALSE)</f>
        <v>1029.5999999999999</v>
      </c>
    </row>
    <row r="273" spans="1:13" x14ac:dyDescent="0.45">
      <c r="A273" s="10">
        <v>72</v>
      </c>
      <c r="B273" s="10">
        <v>524</v>
      </c>
      <c r="C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3" s="10"/>
      <c r="E273" s="10"/>
      <c r="F273" s="12">
        <f ca="1">(RANDBETWEEN(0,50)/100)*(dict_DQ_Meth_max[[#This Row],[Vergleich_ub]]-dict_DQ_Meth_max[[#This Row],[Vergleich_lb]])+dict_DQ_Meth_max[[#This Row],[Vergleich_lb]]</f>
        <v>237.10906999999997</v>
      </c>
      <c r="G273" s="12">
        <f ca="1">(RANDBETWEEN(50,100)/100)*(dict_DQ_Meth_max[[#This Row],[Vergleich_ub]]-dict_DQ_Meth_max[[#This Row],[Vergleich_lb]])+dict_DQ_Meth_max[[#This Row],[Vergleich_lb]]</f>
        <v>885.51073999999983</v>
      </c>
      <c r="H273" s="11" t="str">
        <f ca="1">VLOOKUP(VLOOKUP(dict_DQ_Meth_max[[#This Row],[ID_DataQualities]],table_DataQualities[],3),table_Units[],2)</f>
        <v>Hz</v>
      </c>
      <c r="I273" s="10"/>
      <c r="J273" s="10"/>
      <c r="K273" s="10"/>
      <c r="L273" s="10">
        <f ca="1">VLOOKUP(dict_DQ_Meth_max[[#This Row],[ID_DataQualities]],table_DataQualities[],8,FALSE)</f>
        <v>0.39100000000000001</v>
      </c>
      <c r="M273" s="10">
        <f ca="1">VLOOKUP(dict_DQ_Meth_max[[#This Row],[ID_DataQualities]],table_DataQualities[],9,FALSE)</f>
        <v>1029.5999999999999</v>
      </c>
    </row>
    <row r="274" spans="1:13" x14ac:dyDescent="0.45">
      <c r="A274" s="10">
        <v>73</v>
      </c>
      <c r="B274" s="10">
        <v>201</v>
      </c>
      <c r="C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4" s="10"/>
      <c r="E274" s="10"/>
      <c r="F274" s="12">
        <f ca="1">(RANDBETWEEN(0,50)/100)*(dict_DQ_Meth_max[[#This Row],[Vergleich_ub]]-dict_DQ_Meth_max[[#This Row],[Vergleich_lb]])+dict_DQ_Meth_max[[#This Row],[Vergleich_lb]]</f>
        <v>1.0620000000000001</v>
      </c>
      <c r="G274" s="12">
        <f ca="1">(RANDBETWEEN(50,100)/100)*(dict_DQ_Meth_max[[#This Row],[Vergleich_ub]]-dict_DQ_Meth_max[[#This Row],[Vergleich_lb]])+dict_DQ_Meth_max[[#This Row],[Vergleich_lb]]</f>
        <v>3.7914999999999996</v>
      </c>
      <c r="H274" s="11" t="str">
        <f ca="1">VLOOKUP(VLOOKUP(dict_DQ_Meth_max[[#This Row],[ID_DataQualities]],table_DataQualities[],3),table_Units[],2)</f>
        <v>+/- mm/s</v>
      </c>
      <c r="I274" s="10"/>
      <c r="J274" s="10"/>
      <c r="K274" s="10"/>
      <c r="L274" s="10">
        <f ca="1">VLOOKUP(dict_DQ_Meth_max[[#This Row],[ID_DataQualities]],table_DataQualities[],8,FALSE)</f>
        <v>0.65</v>
      </c>
      <c r="M274" s="10">
        <f ca="1">VLOOKUP(dict_DQ_Meth_max[[#This Row],[ID_DataQualities]],table_DataQualities[],9,FALSE)</f>
        <v>5.8</v>
      </c>
    </row>
    <row r="275" spans="1:13" x14ac:dyDescent="0.45">
      <c r="A275" s="10">
        <v>73</v>
      </c>
      <c r="B275" s="10">
        <v>304</v>
      </c>
      <c r="C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5" s="10"/>
      <c r="E275" s="10"/>
      <c r="F275" s="12">
        <f ca="1">(RANDBETWEEN(0,50)/100)*(dict_DQ_Meth_max[[#This Row],[Vergleich_ub]]-dict_DQ_Meth_max[[#This Row],[Vergleich_lb]])+dict_DQ_Meth_max[[#This Row],[Vergleich_lb]]</f>
        <v>2.298</v>
      </c>
      <c r="G275" s="12">
        <f ca="1">(RANDBETWEEN(50,100)/100)*(dict_DQ_Meth_max[[#This Row],[Vergleich_ub]]-dict_DQ_Meth_max[[#This Row],[Vergleich_lb]])+dict_DQ_Meth_max[[#This Row],[Vergleich_lb]]</f>
        <v>4.4609999999999994</v>
      </c>
      <c r="H275" s="11" t="str">
        <f ca="1">VLOOKUP(VLOOKUP(dict_DQ_Meth_max[[#This Row],[ID_DataQualities]],table_DataQualities[],3),table_Units[],2)</f>
        <v>+/- mm/s</v>
      </c>
      <c r="I275" s="10"/>
      <c r="J275" s="10"/>
      <c r="K275" s="10"/>
      <c r="L275" s="10">
        <f ca="1">VLOOKUP(dict_DQ_Meth_max[[#This Row],[ID_DataQualities]],table_DataQualities[],8,FALSE)</f>
        <v>0.65</v>
      </c>
      <c r="M275" s="10">
        <f ca="1">VLOOKUP(dict_DQ_Meth_max[[#This Row],[ID_DataQualities]],table_DataQualities[],9,FALSE)</f>
        <v>5.8</v>
      </c>
    </row>
    <row r="276" spans="1:13" x14ac:dyDescent="0.45">
      <c r="A276" s="10">
        <v>73</v>
      </c>
      <c r="B276" s="10">
        <v>148</v>
      </c>
      <c r="C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6" s="10"/>
      <c r="E276" s="10"/>
      <c r="F276" s="12">
        <f ca="1">(RANDBETWEEN(0,50)/100)*(dict_DQ_Meth_max[[#This Row],[Vergleich_ub]]-dict_DQ_Meth_max[[#This Row],[Vergleich_lb]])+dict_DQ_Meth_max[[#This Row],[Vergleich_lb]]</f>
        <v>1.6800000000000002</v>
      </c>
      <c r="G276" s="12">
        <f ca="1">(RANDBETWEEN(50,100)/100)*(dict_DQ_Meth_max[[#This Row],[Vergleich_ub]]-dict_DQ_Meth_max[[#This Row],[Vergleich_lb]])+dict_DQ_Meth_max[[#This Row],[Vergleich_lb]]</f>
        <v>3.6884999999999994</v>
      </c>
      <c r="H276" s="11" t="str">
        <f ca="1">VLOOKUP(VLOOKUP(dict_DQ_Meth_max[[#This Row],[ID_DataQualities]],table_DataQualities[],3),table_Units[],2)</f>
        <v>+/- mm/s</v>
      </c>
      <c r="I276" s="10"/>
      <c r="J276" s="10"/>
      <c r="K276" s="10"/>
      <c r="L276" s="10">
        <f ca="1">VLOOKUP(dict_DQ_Meth_max[[#This Row],[ID_DataQualities]],table_DataQualities[],8,FALSE)</f>
        <v>0.65</v>
      </c>
      <c r="M276" s="10">
        <f ca="1">VLOOKUP(dict_DQ_Meth_max[[#This Row],[ID_DataQualities]],table_DataQualities[],9,FALSE)</f>
        <v>5.8</v>
      </c>
    </row>
    <row r="277" spans="1:13" x14ac:dyDescent="0.45">
      <c r="A277" s="10">
        <v>73</v>
      </c>
      <c r="B277" s="10">
        <v>524</v>
      </c>
      <c r="C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7" s="10"/>
      <c r="E277" s="10"/>
      <c r="F277" s="12">
        <f ca="1">(RANDBETWEEN(0,50)/100)*(dict_DQ_Meth_max[[#This Row],[Vergleich_ub]]-dict_DQ_Meth_max[[#This Row],[Vergleich_lb]])+dict_DQ_Meth_max[[#This Row],[Vergleich_lb]]</f>
        <v>2.4524999999999997</v>
      </c>
      <c r="G277" s="12">
        <f ca="1">(RANDBETWEEN(50,100)/100)*(dict_DQ_Meth_max[[#This Row],[Vergleich_ub]]-dict_DQ_Meth_max[[#This Row],[Vergleich_lb]])+dict_DQ_Meth_max[[#This Row],[Vergleich_lb]]</f>
        <v>4.2549999999999999</v>
      </c>
      <c r="H277" s="11" t="str">
        <f ca="1">VLOOKUP(VLOOKUP(dict_DQ_Meth_max[[#This Row],[ID_DataQualities]],table_DataQualities[],3),table_Units[],2)</f>
        <v>+/- mm/s</v>
      </c>
      <c r="I277" s="10"/>
      <c r="J277" s="10"/>
      <c r="K277" s="10"/>
      <c r="L277" s="10">
        <f ca="1">VLOOKUP(dict_DQ_Meth_max[[#This Row],[ID_DataQualities]],table_DataQualities[],8,FALSE)</f>
        <v>0.65</v>
      </c>
      <c r="M277" s="10">
        <f ca="1">VLOOKUP(dict_DQ_Meth_max[[#This Row],[ID_DataQualities]],table_DataQualities[],9,FALSE)</f>
        <v>5.8</v>
      </c>
    </row>
    <row r="278" spans="1:13" x14ac:dyDescent="0.45">
      <c r="A278" s="10">
        <v>74</v>
      </c>
      <c r="B278" s="10">
        <v>153</v>
      </c>
      <c r="C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8" s="10"/>
      <c r="E278" s="10"/>
      <c r="F278" s="12">
        <f ca="1">(RANDBETWEEN(0,50)/100)*(dict_DQ_Meth_max[[#This Row],[Vergleich_ub]]-dict_DQ_Meth_max[[#This Row],[Vergleich_lb]])+dict_DQ_Meth_max[[#This Row],[Vergleich_lb]]</f>
        <v>297.89706999999999</v>
      </c>
      <c r="G278" s="12">
        <f ca="1">(RANDBETWEEN(50,100)/100)*(dict_DQ_Meth_max[[#This Row],[Vergleich_ub]]-dict_DQ_Meth_max[[#This Row],[Vergleich_lb]])+dict_DQ_Meth_max[[#This Row],[Vergleich_lb]]</f>
        <v>1973.7800099999999</v>
      </c>
      <c r="H278" s="11" t="str">
        <f ca="1">VLOOKUP(VLOOKUP(dict_DQ_Meth_max[[#This Row],[ID_DataQualities]],table_DataQualities[],3),table_Units[],2)</f>
        <v>Hz</v>
      </c>
      <c r="I278" s="10"/>
      <c r="J278" s="10"/>
      <c r="K278" s="10"/>
      <c r="L278" s="10">
        <f ca="1">VLOOKUP(dict_DQ_Meth_max[[#This Row],[ID_DataQualities]],table_DataQualities[],8,FALSE)</f>
        <v>0.56299999999999994</v>
      </c>
      <c r="M278" s="10">
        <f ca="1">VLOOKUP(dict_DQ_Meth_max[[#This Row],[ID_DataQualities]],table_DataQualities[],9,FALSE)</f>
        <v>2703.6</v>
      </c>
    </row>
    <row r="279" spans="1:13" x14ac:dyDescent="0.45">
      <c r="A279" s="10">
        <v>74</v>
      </c>
      <c r="B279" s="10">
        <v>59</v>
      </c>
      <c r="C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79" s="10"/>
      <c r="E279" s="10"/>
      <c r="F279" s="12">
        <f ca="1">(RANDBETWEEN(0,50)/100)*(dict_DQ_Meth_max[[#This Row],[Vergleich_ub]]-dict_DQ_Meth_max[[#This Row],[Vergleich_lb]])+dict_DQ_Meth_max[[#This Row],[Vergleich_lb]]</f>
        <v>297.89706999999999</v>
      </c>
      <c r="G279" s="12">
        <f ca="1">(RANDBETWEEN(50,100)/100)*(dict_DQ_Meth_max[[#This Row],[Vergleich_ub]]-dict_DQ_Meth_max[[#This Row],[Vergleich_lb]])+dict_DQ_Meth_max[[#This Row],[Vergleich_lb]]</f>
        <v>2000.8103799999999</v>
      </c>
      <c r="H279" s="11" t="str">
        <f ca="1">VLOOKUP(VLOOKUP(dict_DQ_Meth_max[[#This Row],[ID_DataQualities]],table_DataQualities[],3),table_Units[],2)</f>
        <v>Hz</v>
      </c>
      <c r="I279" s="10"/>
      <c r="J279" s="10"/>
      <c r="K279" s="10"/>
      <c r="L279" s="10">
        <f ca="1">VLOOKUP(dict_DQ_Meth_max[[#This Row],[ID_DataQualities]],table_DataQualities[],8,FALSE)</f>
        <v>0.56299999999999994</v>
      </c>
      <c r="M279" s="10">
        <f ca="1">VLOOKUP(dict_DQ_Meth_max[[#This Row],[ID_DataQualities]],table_DataQualities[],9,FALSE)</f>
        <v>2703.6</v>
      </c>
    </row>
    <row r="280" spans="1:13" x14ac:dyDescent="0.45">
      <c r="A280" s="10">
        <v>74</v>
      </c>
      <c r="B280" s="10">
        <v>188</v>
      </c>
      <c r="C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0" s="10"/>
      <c r="E280" s="10"/>
      <c r="F280" s="12">
        <f ca="1">(RANDBETWEEN(0,50)/100)*(dict_DQ_Meth_max[[#This Row],[Vergleich_ub]]-dict_DQ_Meth_max[[#This Row],[Vergleich_lb]])+dict_DQ_Meth_max[[#This Row],[Vergleich_lb]]</f>
        <v>1189.8992800000001</v>
      </c>
      <c r="G280" s="12">
        <f ca="1">(RANDBETWEEN(50,100)/100)*(dict_DQ_Meth_max[[#This Row],[Vergleich_ub]]-dict_DQ_Meth_max[[#This Row],[Vergleich_lb]])+dict_DQ_Meth_max[[#This Row],[Vergleich_lb]]</f>
        <v>2244.0837099999999</v>
      </c>
      <c r="H280" s="11" t="str">
        <f ca="1">VLOOKUP(VLOOKUP(dict_DQ_Meth_max[[#This Row],[ID_DataQualities]],table_DataQualities[],3),table_Units[],2)</f>
        <v>Hz</v>
      </c>
      <c r="I280" s="10"/>
      <c r="J280" s="10"/>
      <c r="K280" s="10"/>
      <c r="L280" s="10">
        <f ca="1">VLOOKUP(dict_DQ_Meth_max[[#This Row],[ID_DataQualities]],table_DataQualities[],8,FALSE)</f>
        <v>0.56299999999999994</v>
      </c>
      <c r="M280" s="10">
        <f ca="1">VLOOKUP(dict_DQ_Meth_max[[#This Row],[ID_DataQualities]],table_DataQualities[],9,FALSE)</f>
        <v>2703.6</v>
      </c>
    </row>
    <row r="281" spans="1:13" x14ac:dyDescent="0.45">
      <c r="A281" s="10">
        <v>74</v>
      </c>
      <c r="B281" s="10">
        <v>98</v>
      </c>
      <c r="C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1" s="10"/>
      <c r="E281" s="10"/>
      <c r="F281" s="12">
        <f ca="1">(RANDBETWEEN(0,50)/100)*(dict_DQ_Meth_max[[#This Row],[Vergleich_ub]]-dict_DQ_Meth_max[[#This Row],[Vergleich_lb]])+dict_DQ_Meth_max[[#This Row],[Vergleich_lb]]</f>
        <v>81.654109999999989</v>
      </c>
      <c r="G281" s="12">
        <f ca="1">(RANDBETWEEN(50,100)/100)*(dict_DQ_Meth_max[[#This Row],[Vergleich_ub]]-dict_DQ_Meth_max[[#This Row],[Vergleich_lb]])+dict_DQ_Meth_max[[#This Row],[Vergleich_lb]]</f>
        <v>1865.6585299999999</v>
      </c>
      <c r="H281" s="11" t="str">
        <f ca="1">VLOOKUP(VLOOKUP(dict_DQ_Meth_max[[#This Row],[ID_DataQualities]],table_DataQualities[],3),table_Units[],2)</f>
        <v>Hz</v>
      </c>
      <c r="I281" s="10"/>
      <c r="J281" s="10"/>
      <c r="K281" s="10"/>
      <c r="L281" s="10">
        <f ca="1">VLOOKUP(dict_DQ_Meth_max[[#This Row],[ID_DataQualities]],table_DataQualities[],8,FALSE)</f>
        <v>0.56299999999999994</v>
      </c>
      <c r="M281" s="10">
        <f ca="1">VLOOKUP(dict_DQ_Meth_max[[#This Row],[ID_DataQualities]],table_DataQualities[],9,FALSE)</f>
        <v>2703.6</v>
      </c>
    </row>
    <row r="282" spans="1:13" x14ac:dyDescent="0.45">
      <c r="A282" s="10">
        <v>75</v>
      </c>
      <c r="B282" s="10">
        <v>188</v>
      </c>
      <c r="C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2" s="10"/>
      <c r="E282" s="10"/>
      <c r="F282" s="12">
        <f ca="1">(RANDBETWEEN(0,50)/100)*(dict_DQ_Meth_max[[#This Row],[Vergleich_ub]]-dict_DQ_Meth_max[[#This Row],[Vergleich_lb]])+dict_DQ_Meth_max[[#This Row],[Vergleich_lb]]</f>
        <v>8.9477999999999988E-2</v>
      </c>
      <c r="G282" s="12">
        <f ca="1">(RANDBETWEEN(50,100)/100)*(dict_DQ_Meth_max[[#This Row],[Vergleich_ub]]-dict_DQ_Meth_max[[#This Row],[Vergleich_lb]])+dict_DQ_Meth_max[[#This Row],[Vergleich_lb]]</f>
        <v>0.63502999999999998</v>
      </c>
      <c r="H282" s="11" t="str">
        <f ca="1">VLOOKUP(VLOOKUP(dict_DQ_Meth_max[[#This Row],[ID_DataQualities]],table_DataQualities[],3),table_Units[],2)</f>
        <v>+/- cm³/s</v>
      </c>
      <c r="I282" s="10"/>
      <c r="J282" s="10"/>
      <c r="K282" s="10"/>
      <c r="L282" s="10">
        <f ca="1">VLOOKUP(dict_DQ_Meth_max[[#This Row],[ID_DataQualities]],table_DataQualities[],8,FALSE)</f>
        <v>1.8E-3</v>
      </c>
      <c r="M282" s="10">
        <f ca="1">VLOOKUP(dict_DQ_Meth_max[[#This Row],[ID_DataQualities]],table_DataQualities[],9,FALSE)</f>
        <v>0.97599999999999998</v>
      </c>
    </row>
    <row r="283" spans="1:13" x14ac:dyDescent="0.45">
      <c r="A283" s="10">
        <v>75</v>
      </c>
      <c r="B283" s="10">
        <v>153</v>
      </c>
      <c r="C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3" s="10"/>
      <c r="E283" s="10"/>
      <c r="F283" s="12">
        <f ca="1">(RANDBETWEEN(0,50)/100)*(dict_DQ_Meth_max[[#This Row],[Vergleich_ub]]-dict_DQ_Meth_max[[#This Row],[Vergleich_lb]])+dict_DQ_Meth_max[[#This Row],[Vergleich_lb]]</f>
        <v>0.28431800000000002</v>
      </c>
      <c r="G283" s="12">
        <f ca="1">(RANDBETWEEN(50,100)/100)*(dict_DQ_Meth_max[[#This Row],[Vergleich_ub]]-dict_DQ_Meth_max[[#This Row],[Vergleich_lb]])+dict_DQ_Meth_max[[#This Row],[Vergleich_lb]]</f>
        <v>0.868838</v>
      </c>
      <c r="H283" s="11" t="str">
        <f ca="1">VLOOKUP(VLOOKUP(dict_DQ_Meth_max[[#This Row],[ID_DataQualities]],table_DataQualities[],3),table_Units[],2)</f>
        <v>+/- cm³/s</v>
      </c>
      <c r="I283" s="10"/>
      <c r="J283" s="10"/>
      <c r="K283" s="10"/>
      <c r="L283" s="10">
        <f ca="1">VLOOKUP(dict_DQ_Meth_max[[#This Row],[ID_DataQualities]],table_DataQualities[],8,FALSE)</f>
        <v>1.8E-3</v>
      </c>
      <c r="M283" s="10">
        <f ca="1">VLOOKUP(dict_DQ_Meth_max[[#This Row],[ID_DataQualities]],table_DataQualities[],9,FALSE)</f>
        <v>0.97599999999999998</v>
      </c>
    </row>
    <row r="284" spans="1:13" x14ac:dyDescent="0.45">
      <c r="A284" s="10">
        <v>75</v>
      </c>
      <c r="B284" s="10">
        <v>98</v>
      </c>
      <c r="C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4" s="10"/>
      <c r="E284" s="10"/>
      <c r="F284" s="12">
        <f ca="1">(RANDBETWEEN(0,50)/100)*(dict_DQ_Meth_max[[#This Row],[Vergleich_ub]]-dict_DQ_Meth_max[[#This Row],[Vergleich_lb]])+dict_DQ_Meth_max[[#This Row],[Vergleich_lb]]</f>
        <v>6.0252E-2</v>
      </c>
      <c r="G284" s="12">
        <f ca="1">(RANDBETWEEN(50,100)/100)*(dict_DQ_Meth_max[[#This Row],[Vergleich_ub]]-dict_DQ_Meth_max[[#This Row],[Vergleich_lb]])+dict_DQ_Meth_max[[#This Row],[Vergleich_lb]]</f>
        <v>0.87858000000000003</v>
      </c>
      <c r="H284" s="11" t="str">
        <f ca="1">VLOOKUP(VLOOKUP(dict_DQ_Meth_max[[#This Row],[ID_DataQualities]],table_DataQualities[],3),table_Units[],2)</f>
        <v>+/- cm³/s</v>
      </c>
      <c r="I284" s="10"/>
      <c r="J284" s="10"/>
      <c r="K284" s="10"/>
      <c r="L284" s="10">
        <f ca="1">VLOOKUP(dict_DQ_Meth_max[[#This Row],[ID_DataQualities]],table_DataQualities[],8,FALSE)</f>
        <v>1.8E-3</v>
      </c>
      <c r="M284" s="10">
        <f ca="1">VLOOKUP(dict_DQ_Meth_max[[#This Row],[ID_DataQualities]],table_DataQualities[],9,FALSE)</f>
        <v>0.97599999999999998</v>
      </c>
    </row>
    <row r="285" spans="1:13" x14ac:dyDescent="0.45">
      <c r="A285" s="10">
        <v>75</v>
      </c>
      <c r="B285" s="10">
        <v>59</v>
      </c>
      <c r="C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5" s="10"/>
      <c r="E285" s="10"/>
      <c r="F285" s="12">
        <f ca="1">(RANDBETWEEN(0,50)/100)*(dict_DQ_Meth_max[[#This Row],[Vergleich_ub]]-dict_DQ_Meth_max[[#This Row],[Vergleich_lb]])+dict_DQ_Meth_max[[#This Row],[Vergleich_lb]]</f>
        <v>0.22586599999999998</v>
      </c>
      <c r="G285" s="12">
        <f ca="1">(RANDBETWEEN(50,100)/100)*(dict_DQ_Meth_max[[#This Row],[Vergleich_ub]]-dict_DQ_Meth_max[[#This Row],[Vergleich_lb]])+dict_DQ_Meth_max[[#This Row],[Vergleich_lb]]</f>
        <v>0.67399799999999999</v>
      </c>
      <c r="H285" s="11" t="str">
        <f ca="1">VLOOKUP(VLOOKUP(dict_DQ_Meth_max[[#This Row],[ID_DataQualities]],table_DataQualities[],3),table_Units[],2)</f>
        <v>+/- cm³/s</v>
      </c>
      <c r="I285" s="10"/>
      <c r="J285" s="10"/>
      <c r="K285" s="10"/>
      <c r="L285" s="10">
        <f ca="1">VLOOKUP(dict_DQ_Meth_max[[#This Row],[ID_DataQualities]],table_DataQualities[],8,FALSE)</f>
        <v>1.8E-3</v>
      </c>
      <c r="M285" s="10">
        <f ca="1">VLOOKUP(dict_DQ_Meth_max[[#This Row],[ID_DataQualities]],table_DataQualities[],9,FALSE)</f>
        <v>0.97599999999999998</v>
      </c>
    </row>
    <row r="286" spans="1:13" x14ac:dyDescent="0.45">
      <c r="A286" s="10">
        <v>76</v>
      </c>
      <c r="B286" s="10">
        <v>139</v>
      </c>
      <c r="C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6" s="10"/>
      <c r="E286" s="10"/>
      <c r="F286" s="12">
        <f ca="1">(RANDBETWEEN(0,50)/100)*(dict_DQ_Meth_max[[#This Row],[Vergleich_ub]]-dict_DQ_Meth_max[[#This Row],[Vergleich_lb]])+dict_DQ_Meth_max[[#This Row],[Vergleich_lb]]</f>
        <v>1301.6917999999998</v>
      </c>
      <c r="G286" s="12">
        <f ca="1">(RANDBETWEEN(50,100)/100)*(dict_DQ_Meth_max[[#This Row],[Vergleich_ub]]-dict_DQ_Meth_max[[#This Row],[Vergleich_lb]])+dict_DQ_Meth_max[[#This Row],[Vergleich_lb]]</f>
        <v>2515.9750799999997</v>
      </c>
      <c r="H286" s="11" t="str">
        <f ca="1">VLOOKUP(VLOOKUP(dict_DQ_Meth_max[[#This Row],[ID_DataQualities]],table_DataQualities[],3),table_Units[],2)</f>
        <v>Hz</v>
      </c>
      <c r="I286" s="10"/>
      <c r="J286" s="10"/>
      <c r="K286" s="10"/>
      <c r="L286" s="10">
        <f ca="1">VLOOKUP(dict_DQ_Meth_max[[#This Row],[ID_DataQualities]],table_DataQualities[],8,FALSE)</f>
        <v>0.67400000000000004</v>
      </c>
      <c r="M286" s="10">
        <f ca="1">VLOOKUP(dict_DQ_Meth_max[[#This Row],[ID_DataQualities]],table_DataQualities[],9,FALSE)</f>
        <v>4337.3999999999996</v>
      </c>
    </row>
    <row r="287" spans="1:13" x14ac:dyDescent="0.45">
      <c r="A287" s="10">
        <v>76</v>
      </c>
      <c r="B287" s="10">
        <v>675</v>
      </c>
      <c r="C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7" s="10"/>
      <c r="E287" s="10"/>
      <c r="F287" s="12">
        <f ca="1">(RANDBETWEEN(0,50)/100)*(dict_DQ_Meth_max[[#This Row],[Vergleich_ub]]-dict_DQ_Meth_max[[#This Row],[Vergleich_lb]])+dict_DQ_Meth_max[[#This Row],[Vergleich_lb]]</f>
        <v>2038.9352199999996</v>
      </c>
      <c r="G287" s="12">
        <f ca="1">(RANDBETWEEN(50,100)/100)*(dict_DQ_Meth_max[[#This Row],[Vergleich_ub]]-dict_DQ_Meth_max[[#This Row],[Vergleich_lb]])+dict_DQ_Meth_max[[#This Row],[Vergleich_lb]]</f>
        <v>4294.0327399999996</v>
      </c>
      <c r="H287" s="11" t="str">
        <f ca="1">VLOOKUP(VLOOKUP(dict_DQ_Meth_max[[#This Row],[ID_DataQualities]],table_DataQualities[],3),table_Units[],2)</f>
        <v>Hz</v>
      </c>
      <c r="I287" s="10"/>
      <c r="J287" s="10"/>
      <c r="K287" s="10"/>
      <c r="L287" s="10">
        <f ca="1">VLOOKUP(dict_DQ_Meth_max[[#This Row],[ID_DataQualities]],table_DataQualities[],8,FALSE)</f>
        <v>0.67400000000000004</v>
      </c>
      <c r="M287" s="10">
        <f ca="1">VLOOKUP(dict_DQ_Meth_max[[#This Row],[ID_DataQualities]],table_DataQualities[],9,FALSE)</f>
        <v>4337.3999999999996</v>
      </c>
    </row>
    <row r="288" spans="1:13" x14ac:dyDescent="0.45">
      <c r="A288" s="10">
        <v>76</v>
      </c>
      <c r="B288" s="10">
        <v>310</v>
      </c>
      <c r="C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8" s="10"/>
      <c r="E288" s="10"/>
      <c r="F288" s="12">
        <f ca="1">(RANDBETWEEN(0,50)/100)*(dict_DQ_Meth_max[[#This Row],[Vergleich_ub]]-dict_DQ_Meth_max[[#This Row],[Vergleich_lb]])+dict_DQ_Meth_max[[#This Row],[Vergleich_lb]]</f>
        <v>1778.7316599999997</v>
      </c>
      <c r="G288" s="12">
        <f ca="1">(RANDBETWEEN(50,100)/100)*(dict_DQ_Meth_max[[#This Row],[Vergleich_ub]]-dict_DQ_Meth_max[[#This Row],[Vergleich_lb]])+dict_DQ_Meth_max[[#This Row],[Vergleich_lb]]</f>
        <v>4207.2982199999997</v>
      </c>
      <c r="H288" s="11" t="str">
        <f ca="1">VLOOKUP(VLOOKUP(dict_DQ_Meth_max[[#This Row],[ID_DataQualities]],table_DataQualities[],3),table_Units[],2)</f>
        <v>Hz</v>
      </c>
      <c r="I288" s="10"/>
      <c r="J288" s="10"/>
      <c r="K288" s="10"/>
      <c r="L288" s="10">
        <f ca="1">VLOOKUP(dict_DQ_Meth_max[[#This Row],[ID_DataQualities]],table_DataQualities[],8,FALSE)</f>
        <v>0.67400000000000004</v>
      </c>
      <c r="M288" s="10">
        <f ca="1">VLOOKUP(dict_DQ_Meth_max[[#This Row],[ID_DataQualities]],table_DataQualities[],9,FALSE)</f>
        <v>4337.3999999999996</v>
      </c>
    </row>
    <row r="289" spans="1:13" x14ac:dyDescent="0.45">
      <c r="A289" s="10">
        <v>76</v>
      </c>
      <c r="B289" s="10">
        <v>9</v>
      </c>
      <c r="C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89" s="10"/>
      <c r="E289" s="10"/>
      <c r="F289" s="12">
        <f ca="1">(RANDBETWEEN(0,50)/100)*(dict_DQ_Meth_max[[#This Row],[Vergleich_ub]]-dict_DQ_Meth_max[[#This Row],[Vergleich_lb]])+dict_DQ_Meth_max[[#This Row],[Vergleich_lb]]</f>
        <v>868.01919999999996</v>
      </c>
      <c r="G289" s="12">
        <f ca="1">(RANDBETWEEN(50,100)/100)*(dict_DQ_Meth_max[[#This Row],[Vergleich_ub]]-dict_DQ_Meth_max[[#This Row],[Vergleich_lb]])+dict_DQ_Meth_max[[#This Row],[Vergleich_lb]]</f>
        <v>2689.4441199999997</v>
      </c>
      <c r="H289" s="11" t="str">
        <f ca="1">VLOOKUP(VLOOKUP(dict_DQ_Meth_max[[#This Row],[ID_DataQualities]],table_DataQualities[],3),table_Units[],2)</f>
        <v>Hz</v>
      </c>
      <c r="I289" s="10"/>
      <c r="J289" s="10"/>
      <c r="K289" s="10"/>
      <c r="L289" s="10">
        <f ca="1">VLOOKUP(dict_DQ_Meth_max[[#This Row],[ID_DataQualities]],table_DataQualities[],8,FALSE)</f>
        <v>0.67400000000000004</v>
      </c>
      <c r="M289" s="10">
        <f ca="1">VLOOKUP(dict_DQ_Meth_max[[#This Row],[ID_DataQualities]],table_DataQualities[],9,FALSE)</f>
        <v>4337.3999999999996</v>
      </c>
    </row>
    <row r="290" spans="1:13" x14ac:dyDescent="0.45">
      <c r="A290" s="10">
        <v>77</v>
      </c>
      <c r="B290" s="10">
        <v>9</v>
      </c>
      <c r="C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0" s="10"/>
      <c r="E290" s="10"/>
      <c r="F290" s="12">
        <f ca="1">(RANDBETWEEN(0,50)/100)*(dict_DQ_Meth_max[[#This Row],[Vergleich_ub]]-dict_DQ_Meth_max[[#This Row],[Vergleich_lb]])+dict_DQ_Meth_max[[#This Row],[Vergleich_lb]]</f>
        <v>2.0691199999999998</v>
      </c>
      <c r="G290" s="12">
        <f ca="1">(RANDBETWEEN(50,100)/100)*(dict_DQ_Meth_max[[#This Row],[Vergleich_ub]]-dict_DQ_Meth_max[[#This Row],[Vergleich_lb]])+dict_DQ_Meth_max[[#This Row],[Vergleich_lb]]</f>
        <v>2.7401599999999999</v>
      </c>
      <c r="H290" s="11" t="str">
        <f ca="1">VLOOKUP(VLOOKUP(dict_DQ_Meth_max[[#This Row],[ID_DataQualities]],table_DataQualities[],3),table_Units[],2)</f>
        <v>+/- mm</v>
      </c>
      <c r="I290" s="10"/>
      <c r="J290" s="10"/>
      <c r="K290" s="10"/>
      <c r="L290" s="10">
        <f ca="1">VLOOKUP(dict_DQ_Meth_max[[#This Row],[ID_DataQualities]],table_DataQualities[],8,FALSE)</f>
        <v>5.6000000000000001E-2</v>
      </c>
      <c r="M290" s="10">
        <f ca="1">VLOOKUP(dict_DQ_Meth_max[[#This Row],[ID_DataQualities]],table_DataQualities[],9,FALSE)</f>
        <v>4.25</v>
      </c>
    </row>
    <row r="291" spans="1:13" x14ac:dyDescent="0.45">
      <c r="A291" s="10">
        <v>77</v>
      </c>
      <c r="B291" s="10">
        <v>675</v>
      </c>
      <c r="C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1" s="10"/>
      <c r="E291" s="10"/>
      <c r="F291" s="12">
        <f ca="1">(RANDBETWEEN(0,50)/100)*(dict_DQ_Meth_max[[#This Row],[Vergleich_ub]]-dict_DQ_Meth_max[[#This Row],[Vergleich_lb]])+dict_DQ_Meth_max[[#This Row],[Vergleich_lb]]</f>
        <v>2.02718</v>
      </c>
      <c r="G291" s="12">
        <f ca="1">(RANDBETWEEN(50,100)/100)*(dict_DQ_Meth_max[[#This Row],[Vergleich_ub]]-dict_DQ_Meth_max[[#This Row],[Vergleich_lb]])+dict_DQ_Meth_max[[#This Row],[Vergleich_lb]]</f>
        <v>3.3692600000000001</v>
      </c>
      <c r="H291" s="11" t="str">
        <f ca="1">VLOOKUP(VLOOKUP(dict_DQ_Meth_max[[#This Row],[ID_DataQualities]],table_DataQualities[],3),table_Units[],2)</f>
        <v>+/- mm</v>
      </c>
      <c r="I291" s="10"/>
      <c r="J291" s="10"/>
      <c r="K291" s="10"/>
      <c r="L291" s="10">
        <f ca="1">VLOOKUP(dict_DQ_Meth_max[[#This Row],[ID_DataQualities]],table_DataQualities[],8,FALSE)</f>
        <v>5.6000000000000001E-2</v>
      </c>
      <c r="M291" s="10">
        <f ca="1">VLOOKUP(dict_DQ_Meth_max[[#This Row],[ID_DataQualities]],table_DataQualities[],9,FALSE)</f>
        <v>4.25</v>
      </c>
    </row>
    <row r="292" spans="1:13" x14ac:dyDescent="0.45">
      <c r="A292" s="10">
        <v>77</v>
      </c>
      <c r="B292" s="10">
        <v>139</v>
      </c>
      <c r="C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2" s="10"/>
      <c r="E292" s="10"/>
      <c r="F292" s="12">
        <f ca="1">(RANDBETWEEN(0,50)/100)*(dict_DQ_Meth_max[[#This Row],[Vergleich_ub]]-dict_DQ_Meth_max[[#This Row],[Vergleich_lb]])+dict_DQ_Meth_max[[#This Row],[Vergleich_lb]]</f>
        <v>1.3142</v>
      </c>
      <c r="G292" s="12">
        <f ca="1">(RANDBETWEEN(50,100)/100)*(dict_DQ_Meth_max[[#This Row],[Vergleich_ub]]-dict_DQ_Meth_max[[#This Row],[Vergleich_lb]])+dict_DQ_Meth_max[[#This Row],[Vergleich_lb]]</f>
        <v>4.2080599999999997</v>
      </c>
      <c r="H292" s="11" t="str">
        <f ca="1">VLOOKUP(VLOOKUP(dict_DQ_Meth_max[[#This Row],[ID_DataQualities]],table_DataQualities[],3),table_Units[],2)</f>
        <v>+/- mm</v>
      </c>
      <c r="I292" s="10"/>
      <c r="J292" s="10"/>
      <c r="K292" s="10"/>
      <c r="L292" s="10">
        <f ca="1">VLOOKUP(dict_DQ_Meth_max[[#This Row],[ID_DataQualities]],table_DataQualities[],8,FALSE)</f>
        <v>5.6000000000000001E-2</v>
      </c>
      <c r="M292" s="10">
        <f ca="1">VLOOKUP(dict_DQ_Meth_max[[#This Row],[ID_DataQualities]],table_DataQualities[],9,FALSE)</f>
        <v>4.25</v>
      </c>
    </row>
    <row r="293" spans="1:13" x14ac:dyDescent="0.45">
      <c r="A293" s="10">
        <v>77</v>
      </c>
      <c r="B293" s="10">
        <v>310</v>
      </c>
      <c r="C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3" s="10"/>
      <c r="E293" s="10"/>
      <c r="F293" s="12">
        <f ca="1">(RANDBETWEEN(0,50)/100)*(dict_DQ_Meth_max[[#This Row],[Vergleich_ub]]-dict_DQ_Meth_max[[#This Row],[Vergleich_lb]])+dict_DQ_Meth_max[[#This Row],[Vergleich_lb]]</f>
        <v>1.5239</v>
      </c>
      <c r="G293" s="12">
        <f ca="1">(RANDBETWEEN(50,100)/100)*(dict_DQ_Meth_max[[#This Row],[Vergleich_ub]]-dict_DQ_Meth_max[[#This Row],[Vergleich_lb]])+dict_DQ_Meth_max[[#This Row],[Vergleich_lb]]</f>
        <v>3.8306</v>
      </c>
      <c r="H293" s="11" t="str">
        <f ca="1">VLOOKUP(VLOOKUP(dict_DQ_Meth_max[[#This Row],[ID_DataQualities]],table_DataQualities[],3),table_Units[],2)</f>
        <v>+/- mm</v>
      </c>
      <c r="I293" s="10"/>
      <c r="J293" s="10"/>
      <c r="K293" s="10"/>
      <c r="L293" s="10">
        <f ca="1">VLOOKUP(dict_DQ_Meth_max[[#This Row],[ID_DataQualities]],table_DataQualities[],8,FALSE)</f>
        <v>5.6000000000000001E-2</v>
      </c>
      <c r="M293" s="10">
        <f ca="1">VLOOKUP(dict_DQ_Meth_max[[#This Row],[ID_DataQualities]],table_DataQualities[],9,FALSE)</f>
        <v>4.25</v>
      </c>
    </row>
    <row r="294" spans="1:13" x14ac:dyDescent="0.45">
      <c r="A294" s="10">
        <v>78</v>
      </c>
      <c r="B294" s="10">
        <v>39</v>
      </c>
      <c r="C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4" s="10"/>
      <c r="E294" s="10"/>
      <c r="F294" s="12">
        <f ca="1">(RANDBETWEEN(0,50)/100)*(dict_DQ_Meth_max[[#This Row],[Vergleich_ub]]-dict_DQ_Meth_max[[#This Row],[Vergleich_lb]])+dict_DQ_Meth_max[[#This Row],[Vergleich_lb]]</f>
        <v>1153.7165799999998</v>
      </c>
      <c r="G294" s="12">
        <f ca="1">(RANDBETWEEN(50,100)/100)*(dict_DQ_Meth_max[[#This Row],[Vergleich_ub]]-dict_DQ_Meth_max[[#This Row],[Vergleich_lb]])+dict_DQ_Meth_max[[#This Row],[Vergleich_lb]]</f>
        <v>2337.7335699999999</v>
      </c>
      <c r="H294" s="11" t="str">
        <f ca="1">VLOOKUP(VLOOKUP(dict_DQ_Meth_max[[#This Row],[ID_DataQualities]],table_DataQualities[],3),table_Units[],2)</f>
        <v>Hz</v>
      </c>
      <c r="I294" s="10"/>
      <c r="J294" s="10"/>
      <c r="K294" s="10"/>
      <c r="L294" s="10">
        <f ca="1">VLOOKUP(dict_DQ_Meth_max[[#This Row],[ID_DataQualities]],table_DataQualities[],8,FALSE)</f>
        <v>5.8999999999999997E-2</v>
      </c>
      <c r="M294" s="10">
        <f ca="1">VLOOKUP(dict_DQ_Meth_max[[#This Row],[ID_DataQualities]],table_DataQualities[],9,FALSE)</f>
        <v>3036</v>
      </c>
    </row>
    <row r="295" spans="1:13" x14ac:dyDescent="0.45">
      <c r="A295" s="10">
        <v>78</v>
      </c>
      <c r="B295" s="10">
        <v>399</v>
      </c>
      <c r="C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5" s="10"/>
      <c r="E295" s="10"/>
      <c r="F295" s="12">
        <f ca="1">(RANDBETWEEN(0,50)/100)*(dict_DQ_Meth_max[[#This Row],[Vergleich_ub]]-dict_DQ_Meth_max[[#This Row],[Vergleich_lb]])+dict_DQ_Meth_max[[#This Row],[Vergleich_lb]]</f>
        <v>334.01251000000002</v>
      </c>
      <c r="G295" s="12">
        <f ca="1">(RANDBETWEEN(50,100)/100)*(dict_DQ_Meth_max[[#This Row],[Vergleich_ub]]-dict_DQ_Meth_max[[#This Row],[Vergleich_lb]])+dict_DQ_Meth_max[[#This Row],[Vergleich_lb]]</f>
        <v>2641.3276700000001</v>
      </c>
      <c r="H295" s="11" t="str">
        <f ca="1">VLOOKUP(VLOOKUP(dict_DQ_Meth_max[[#This Row],[ID_DataQualities]],table_DataQualities[],3),table_Units[],2)</f>
        <v>Hz</v>
      </c>
      <c r="I295" s="10"/>
      <c r="J295" s="10"/>
      <c r="K295" s="10"/>
      <c r="L295" s="10">
        <f ca="1">VLOOKUP(dict_DQ_Meth_max[[#This Row],[ID_DataQualities]],table_DataQualities[],8,FALSE)</f>
        <v>5.8999999999999997E-2</v>
      </c>
      <c r="M295" s="10">
        <f ca="1">VLOOKUP(dict_DQ_Meth_max[[#This Row],[ID_DataQualities]],table_DataQualities[],9,FALSE)</f>
        <v>3036</v>
      </c>
    </row>
    <row r="296" spans="1:13" x14ac:dyDescent="0.45">
      <c r="A296" s="10">
        <v>78</v>
      </c>
      <c r="B296" s="10">
        <v>630</v>
      </c>
      <c r="C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6" s="10"/>
      <c r="E296" s="10"/>
      <c r="F296" s="12">
        <f ca="1">(RANDBETWEEN(0,50)/100)*(dict_DQ_Meth_max[[#This Row],[Vergleich_ub]]-dict_DQ_Meth_max[[#This Row],[Vergleich_lb]])+dict_DQ_Meth_max[[#This Row],[Vergleich_lb]]</f>
        <v>1092.99776</v>
      </c>
      <c r="G296" s="12">
        <f ca="1">(RANDBETWEEN(50,100)/100)*(dict_DQ_Meth_max[[#This Row],[Vergleich_ub]]-dict_DQ_Meth_max[[#This Row],[Vergleich_lb]])+dict_DQ_Meth_max[[#This Row],[Vergleich_lb]]</f>
        <v>2884.2029499999999</v>
      </c>
      <c r="H296" s="11" t="str">
        <f ca="1">VLOOKUP(VLOOKUP(dict_DQ_Meth_max[[#This Row],[ID_DataQualities]],table_DataQualities[],3),table_Units[],2)</f>
        <v>Hz</v>
      </c>
      <c r="I296" s="10"/>
      <c r="J296" s="10"/>
      <c r="K296" s="10"/>
      <c r="L296" s="10">
        <f ca="1">VLOOKUP(dict_DQ_Meth_max[[#This Row],[ID_DataQualities]],table_DataQualities[],8,FALSE)</f>
        <v>5.8999999999999997E-2</v>
      </c>
      <c r="M296" s="10">
        <f ca="1">VLOOKUP(dict_DQ_Meth_max[[#This Row],[ID_DataQualities]],table_DataQualities[],9,FALSE)</f>
        <v>3036</v>
      </c>
    </row>
    <row r="297" spans="1:13" x14ac:dyDescent="0.45">
      <c r="A297" s="10">
        <v>79</v>
      </c>
      <c r="B297" s="10">
        <v>399</v>
      </c>
      <c r="C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7" s="10"/>
      <c r="E297" s="10"/>
      <c r="F297" s="12">
        <f ca="1">(RANDBETWEEN(0,50)/100)*(dict_DQ_Meth_max[[#This Row],[Vergleich_ub]]-dict_DQ_Meth_max[[#This Row],[Vergleich_lb]])+dict_DQ_Meth_max[[#This Row],[Vergleich_lb]]</f>
        <v>1.4776000000000002</v>
      </c>
      <c r="G297" s="12">
        <f ca="1">(RANDBETWEEN(50,100)/100)*(dict_DQ_Meth_max[[#This Row],[Vergleich_ub]]-dict_DQ_Meth_max[[#This Row],[Vergleich_lb]])+dict_DQ_Meth_max[[#This Row],[Vergleich_lb]]</f>
        <v>4.2904</v>
      </c>
      <c r="H297" s="11" t="str">
        <f ca="1">VLOOKUP(VLOOKUP(dict_DQ_Meth_max[[#This Row],[ID_DataQualities]],table_DataQualities[],3),table_Units[],2)</f>
        <v>+/- mm/s</v>
      </c>
      <c r="I297" s="10"/>
      <c r="J297" s="10"/>
      <c r="K297" s="10"/>
      <c r="L297" s="10">
        <f ca="1">VLOOKUP(dict_DQ_Meth_max[[#This Row],[ID_DataQualities]],table_DataQualities[],8,FALSE)</f>
        <v>0.54</v>
      </c>
      <c r="M297" s="10">
        <f ca="1">VLOOKUP(dict_DQ_Meth_max[[#This Row],[ID_DataQualities]],table_DataQualities[],9,FALSE)</f>
        <v>6.4</v>
      </c>
    </row>
    <row r="298" spans="1:13" x14ac:dyDescent="0.45">
      <c r="A298" s="10">
        <v>79</v>
      </c>
      <c r="B298" s="10">
        <v>630</v>
      </c>
      <c r="C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8" s="10"/>
      <c r="E298" s="10"/>
      <c r="F298" s="12">
        <f ca="1">(RANDBETWEEN(0,50)/100)*(dict_DQ_Meth_max[[#This Row],[Vergleich_ub]]-dict_DQ_Meth_max[[#This Row],[Vergleich_lb]])+dict_DQ_Meth_max[[#This Row],[Vergleich_lb]]</f>
        <v>0.95020000000000016</v>
      </c>
      <c r="G298" s="12">
        <f ca="1">(RANDBETWEEN(50,100)/100)*(dict_DQ_Meth_max[[#This Row],[Vergleich_ub]]-dict_DQ_Meth_max[[#This Row],[Vergleich_lb]])+dict_DQ_Meth_max[[#This Row],[Vergleich_lb]]</f>
        <v>3.47</v>
      </c>
      <c r="H298" s="11" t="str">
        <f ca="1">VLOOKUP(VLOOKUP(dict_DQ_Meth_max[[#This Row],[ID_DataQualities]],table_DataQualities[],3),table_Units[],2)</f>
        <v>+/- mm/s</v>
      </c>
      <c r="I298" s="10"/>
      <c r="J298" s="10"/>
      <c r="K298" s="10"/>
      <c r="L298" s="10">
        <f ca="1">VLOOKUP(dict_DQ_Meth_max[[#This Row],[ID_DataQualities]],table_DataQualities[],8,FALSE)</f>
        <v>0.54</v>
      </c>
      <c r="M298" s="10">
        <f ca="1">VLOOKUP(dict_DQ_Meth_max[[#This Row],[ID_DataQualities]],table_DataQualities[],9,FALSE)</f>
        <v>6.4</v>
      </c>
    </row>
    <row r="299" spans="1:13" x14ac:dyDescent="0.45">
      <c r="A299" s="10">
        <v>79</v>
      </c>
      <c r="B299" s="10">
        <v>39</v>
      </c>
      <c r="C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299" s="10"/>
      <c r="E299" s="10"/>
      <c r="F299" s="12">
        <f ca="1">(RANDBETWEEN(0,50)/100)*(dict_DQ_Meth_max[[#This Row],[Vergleich_ub]]-dict_DQ_Meth_max[[#This Row],[Vergleich_lb]])+dict_DQ_Meth_max[[#This Row],[Vergleich_lb]]</f>
        <v>1.7120000000000002</v>
      </c>
      <c r="G299" s="12">
        <f ca="1">(RANDBETWEEN(50,100)/100)*(dict_DQ_Meth_max[[#This Row],[Vergleich_ub]]-dict_DQ_Meth_max[[#This Row],[Vergleich_lb]])+dict_DQ_Meth_max[[#This Row],[Vergleich_lb]]</f>
        <v>3.8801999999999999</v>
      </c>
      <c r="H299" s="11" t="str">
        <f ca="1">VLOOKUP(VLOOKUP(dict_DQ_Meth_max[[#This Row],[ID_DataQualities]],table_DataQualities[],3),table_Units[],2)</f>
        <v>+/- mm/s</v>
      </c>
      <c r="I299" s="10"/>
      <c r="J299" s="10"/>
      <c r="K299" s="10"/>
      <c r="L299" s="10">
        <f ca="1">VLOOKUP(dict_DQ_Meth_max[[#This Row],[ID_DataQualities]],table_DataQualities[],8,FALSE)</f>
        <v>0.54</v>
      </c>
      <c r="M299" s="10">
        <f ca="1">VLOOKUP(dict_DQ_Meth_max[[#This Row],[ID_DataQualities]],table_DataQualities[],9,FALSE)</f>
        <v>6.4</v>
      </c>
    </row>
    <row r="300" spans="1:13" x14ac:dyDescent="0.45">
      <c r="A300" s="10">
        <v>80</v>
      </c>
      <c r="B300" s="10">
        <v>479</v>
      </c>
      <c r="C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0" s="10"/>
      <c r="E300" s="10"/>
      <c r="F300" s="12">
        <f ca="1">(RANDBETWEEN(0,50)/100)*(dict_DQ_Meth_max[[#This Row],[Vergleich_ub]]-dict_DQ_Meth_max[[#This Row],[Vergleich_lb]])+dict_DQ_Meth_max[[#This Row],[Vergleich_lb]]</f>
        <v>1897.9574100000002</v>
      </c>
      <c r="G300" s="12">
        <f ca="1">(RANDBETWEEN(50,100)/100)*(dict_DQ_Meth_max[[#This Row],[Vergleich_ub]]-dict_DQ_Meth_max[[#This Row],[Vergleich_lb]])+dict_DQ_Meth_max[[#This Row],[Vergleich_lb]]</f>
        <v>7589.3306400000001</v>
      </c>
      <c r="H300" s="11" t="str">
        <f ca="1">VLOOKUP(VLOOKUP(dict_DQ_Meth_max[[#This Row],[ID_DataQualities]],table_DataQualities[],3),table_Units[],2)</f>
        <v>Hz</v>
      </c>
      <c r="I300" s="10"/>
      <c r="J300" s="10"/>
      <c r="K300" s="10"/>
      <c r="L300" s="10">
        <f ca="1">VLOOKUP(dict_DQ_Meth_max[[#This Row],[ID_DataQualities]],table_DataQualities[],8,FALSE)</f>
        <v>0.83299999999999996</v>
      </c>
      <c r="M300" s="10">
        <f ca="1">VLOOKUP(dict_DQ_Meth_max[[#This Row],[ID_DataQualities]],table_DataQualities[],9,FALSE)</f>
        <v>8249.2000000000007</v>
      </c>
    </row>
    <row r="301" spans="1:13" x14ac:dyDescent="0.45">
      <c r="A301" s="10">
        <v>80</v>
      </c>
      <c r="B301" s="10">
        <v>573</v>
      </c>
      <c r="C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1" s="10"/>
      <c r="E301" s="10"/>
      <c r="F301" s="12">
        <f ca="1">(RANDBETWEEN(0,50)/100)*(dict_DQ_Meth_max[[#This Row],[Vergleich_ub]]-dict_DQ_Meth_max[[#This Row],[Vergleich_lb]])+dict_DQ_Meth_max[[#This Row],[Vergleich_lb]]</f>
        <v>83.316670000000002</v>
      </c>
      <c r="G301" s="12">
        <f ca="1">(RANDBETWEEN(50,100)/100)*(dict_DQ_Meth_max[[#This Row],[Vergleich_ub]]-dict_DQ_Meth_max[[#This Row],[Vergleich_lb]])+dict_DQ_Meth_max[[#This Row],[Vergleich_lb]]</f>
        <v>4702.4021899999989</v>
      </c>
      <c r="H301" s="11" t="str">
        <f ca="1">VLOOKUP(VLOOKUP(dict_DQ_Meth_max[[#This Row],[ID_DataQualities]],table_DataQualities[],3),table_Units[],2)</f>
        <v>Hz</v>
      </c>
      <c r="I301" s="10"/>
      <c r="J301" s="10"/>
      <c r="K301" s="10"/>
      <c r="L301" s="10">
        <f ca="1">VLOOKUP(dict_DQ_Meth_max[[#This Row],[ID_DataQualities]],table_DataQualities[],8,FALSE)</f>
        <v>0.83299999999999996</v>
      </c>
      <c r="M301" s="10">
        <f ca="1">VLOOKUP(dict_DQ_Meth_max[[#This Row],[ID_DataQualities]],table_DataQualities[],9,FALSE)</f>
        <v>8249.2000000000007</v>
      </c>
    </row>
    <row r="302" spans="1:13" x14ac:dyDescent="0.45">
      <c r="A302" s="10">
        <v>80</v>
      </c>
      <c r="B302" s="10">
        <v>15</v>
      </c>
      <c r="C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2" s="10"/>
      <c r="E302" s="10"/>
      <c r="F302" s="12">
        <f ca="1">(RANDBETWEEN(0,50)/100)*(dict_DQ_Meth_max[[#This Row],[Vergleich_ub]]-dict_DQ_Meth_max[[#This Row],[Vergleich_lb]])+dict_DQ_Meth_max[[#This Row],[Vergleich_lb]]</f>
        <v>2722.7941100000003</v>
      </c>
      <c r="G302" s="12">
        <f ca="1">(RANDBETWEEN(50,100)/100)*(dict_DQ_Meth_max[[#This Row],[Vergleich_ub]]-dict_DQ_Meth_max[[#This Row],[Vergleich_lb]])+dict_DQ_Meth_max[[#This Row],[Vergleich_lb]]</f>
        <v>8084.2326599999997</v>
      </c>
      <c r="H302" s="11" t="str">
        <f ca="1">VLOOKUP(VLOOKUP(dict_DQ_Meth_max[[#This Row],[ID_DataQualities]],table_DataQualities[],3),table_Units[],2)</f>
        <v>Hz</v>
      </c>
      <c r="I302" s="10"/>
      <c r="J302" s="10"/>
      <c r="K302" s="10"/>
      <c r="L302" s="10">
        <f ca="1">VLOOKUP(dict_DQ_Meth_max[[#This Row],[ID_DataQualities]],table_DataQualities[],8,FALSE)</f>
        <v>0.83299999999999996</v>
      </c>
      <c r="M302" s="10">
        <f ca="1">VLOOKUP(dict_DQ_Meth_max[[#This Row],[ID_DataQualities]],table_DataQualities[],9,FALSE)</f>
        <v>8249.2000000000007</v>
      </c>
    </row>
    <row r="303" spans="1:13" x14ac:dyDescent="0.45">
      <c r="A303" s="10">
        <v>80</v>
      </c>
      <c r="B303" s="10">
        <v>475</v>
      </c>
      <c r="C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3" s="10"/>
      <c r="E303" s="10"/>
      <c r="F303" s="12">
        <f ca="1">(RANDBETWEEN(0,50)/100)*(dict_DQ_Meth_max[[#This Row],[Vergleich_ub]]-dict_DQ_Meth_max[[#This Row],[Vergleich_lb]])+dict_DQ_Meth_max[[#This Row],[Vergleich_lb]]</f>
        <v>3052.7287900000001</v>
      </c>
      <c r="G303" s="12">
        <f ca="1">(RANDBETWEEN(50,100)/100)*(dict_DQ_Meth_max[[#This Row],[Vergleich_ub]]-dict_DQ_Meth_max[[#This Row],[Vergleich_lb]])+dict_DQ_Meth_max[[#This Row],[Vergleich_lb]]</f>
        <v>5279.7878799999999</v>
      </c>
      <c r="H303" s="11" t="str">
        <f ca="1">VLOOKUP(VLOOKUP(dict_DQ_Meth_max[[#This Row],[ID_DataQualities]],table_DataQualities[],3),table_Units[],2)</f>
        <v>Hz</v>
      </c>
      <c r="I303" s="10"/>
      <c r="J303" s="10"/>
      <c r="K303" s="10"/>
      <c r="L303" s="10">
        <f ca="1">VLOOKUP(dict_DQ_Meth_max[[#This Row],[ID_DataQualities]],table_DataQualities[],8,FALSE)</f>
        <v>0.83299999999999996</v>
      </c>
      <c r="M303" s="10">
        <f ca="1">VLOOKUP(dict_DQ_Meth_max[[#This Row],[ID_DataQualities]],table_DataQualities[],9,FALSE)</f>
        <v>8249.2000000000007</v>
      </c>
    </row>
    <row r="304" spans="1:13" x14ac:dyDescent="0.45">
      <c r="A304" s="10">
        <v>81</v>
      </c>
      <c r="B304" s="10">
        <v>475</v>
      </c>
      <c r="C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4" s="10"/>
      <c r="E304" s="10"/>
      <c r="F304" s="12">
        <f ca="1">(RANDBETWEEN(0,50)/100)*(dict_DQ_Meth_max[[#This Row],[Vergleich_ub]]-dict_DQ_Meth_max[[#This Row],[Vergleich_lb]])+dict_DQ_Meth_max[[#This Row],[Vergleich_lb]]</f>
        <v>8.6411000000000002E-2</v>
      </c>
      <c r="G304" s="12">
        <f ca="1">(RANDBETWEEN(50,100)/100)*(dict_DQ_Meth_max[[#This Row],[Vergleich_ub]]-dict_DQ_Meth_max[[#This Row],[Vergleich_lb]])+dict_DQ_Meth_max[[#This Row],[Vergleich_lb]]</f>
        <v>0.20002700000000001</v>
      </c>
      <c r="H304" s="11" t="str">
        <f ca="1">VLOOKUP(VLOOKUP(dict_DQ_Meth_max[[#This Row],[ID_DataQualities]],table_DataQualities[],3),table_Units[],2)</f>
        <v>+/- cm³/s</v>
      </c>
      <c r="I304" s="10"/>
      <c r="J304" s="10"/>
      <c r="K304" s="10"/>
      <c r="L304" s="10">
        <f ca="1">VLOOKUP(dict_DQ_Meth_max[[#This Row],[ID_DataQualities]],table_DataQualities[],8,FALSE)</f>
        <v>8.3000000000000001E-3</v>
      </c>
      <c r="M304" s="10">
        <f ca="1">VLOOKUP(dict_DQ_Meth_max[[#This Row],[ID_DataQualities]],table_DataQualities[],9,FALSE)</f>
        <v>0.245</v>
      </c>
    </row>
    <row r="305" spans="1:13" x14ac:dyDescent="0.45">
      <c r="A305" s="10">
        <v>81</v>
      </c>
      <c r="B305" s="10">
        <v>573</v>
      </c>
      <c r="C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5" s="10"/>
      <c r="E305" s="10"/>
      <c r="F305" s="12">
        <f ca="1">(RANDBETWEEN(0,50)/100)*(dict_DQ_Meth_max[[#This Row],[Vergleich_ub]]-dict_DQ_Meth_max[[#This Row],[Vergleich_lb]])+dict_DQ_Meth_max[[#This Row],[Vergleich_lb]]</f>
        <v>6.7474999999999993E-2</v>
      </c>
      <c r="G305" s="12">
        <f ca="1">(RANDBETWEEN(50,100)/100)*(dict_DQ_Meth_max[[#This Row],[Vergleich_ub]]-dict_DQ_Meth_max[[#This Row],[Vergleich_lb]])+dict_DQ_Meth_max[[#This Row],[Vergleich_lb]]</f>
        <v>0.19529299999999999</v>
      </c>
      <c r="H305" s="11" t="str">
        <f ca="1">VLOOKUP(VLOOKUP(dict_DQ_Meth_max[[#This Row],[ID_DataQualities]],table_DataQualities[],3),table_Units[],2)</f>
        <v>+/- cm³/s</v>
      </c>
      <c r="I305" s="10"/>
      <c r="J305" s="10"/>
      <c r="K305" s="10"/>
      <c r="L305" s="10">
        <f ca="1">VLOOKUP(dict_DQ_Meth_max[[#This Row],[ID_DataQualities]],table_DataQualities[],8,FALSE)</f>
        <v>8.3000000000000001E-3</v>
      </c>
      <c r="M305" s="10">
        <f ca="1">VLOOKUP(dict_DQ_Meth_max[[#This Row],[ID_DataQualities]],table_DataQualities[],9,FALSE)</f>
        <v>0.245</v>
      </c>
    </row>
    <row r="306" spans="1:13" x14ac:dyDescent="0.45">
      <c r="A306" s="10">
        <v>81</v>
      </c>
      <c r="B306" s="10">
        <v>15</v>
      </c>
      <c r="C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6" s="10"/>
      <c r="E306" s="10"/>
      <c r="F306" s="12">
        <f ca="1">(RANDBETWEEN(0,50)/100)*(dict_DQ_Meth_max[[#This Row],[Vergleich_ub]]-dict_DQ_Meth_max[[#This Row],[Vergleich_lb]])+dict_DQ_Meth_max[[#This Row],[Vergleich_lb]]</f>
        <v>3.1969999999999998E-2</v>
      </c>
      <c r="G306" s="12">
        <f ca="1">(RANDBETWEEN(50,100)/100)*(dict_DQ_Meth_max[[#This Row],[Vergleich_ub]]-dict_DQ_Meth_max[[#This Row],[Vergleich_lb]])+dict_DQ_Meth_max[[#This Row],[Vergleich_lb]]</f>
        <v>0.14321899999999999</v>
      </c>
      <c r="H306" s="11" t="str">
        <f ca="1">VLOOKUP(VLOOKUP(dict_DQ_Meth_max[[#This Row],[ID_DataQualities]],table_DataQualities[],3),table_Units[],2)</f>
        <v>+/- cm³/s</v>
      </c>
      <c r="I306" s="10"/>
      <c r="J306" s="10"/>
      <c r="K306" s="10"/>
      <c r="L306" s="10">
        <f ca="1">VLOOKUP(dict_DQ_Meth_max[[#This Row],[ID_DataQualities]],table_DataQualities[],8,FALSE)</f>
        <v>8.3000000000000001E-3</v>
      </c>
      <c r="M306" s="10">
        <f ca="1">VLOOKUP(dict_DQ_Meth_max[[#This Row],[ID_DataQualities]],table_DataQualities[],9,FALSE)</f>
        <v>0.245</v>
      </c>
    </row>
    <row r="307" spans="1:13" x14ac:dyDescent="0.45">
      <c r="A307" s="10">
        <v>81</v>
      </c>
      <c r="B307" s="10">
        <v>479</v>
      </c>
      <c r="C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7" s="10"/>
      <c r="E307" s="10"/>
      <c r="F307" s="12">
        <f ca="1">(RANDBETWEEN(0,50)/100)*(dict_DQ_Meth_max[[#This Row],[Vergleich_ub]]-dict_DQ_Meth_max[[#This Row],[Vergleich_lb]])+dict_DQ_Meth_max[[#This Row],[Vergleich_lb]]</f>
        <v>9.5878999999999992E-2</v>
      </c>
      <c r="G307" s="12">
        <f ca="1">(RANDBETWEEN(50,100)/100)*(dict_DQ_Meth_max[[#This Row],[Vergleich_ub]]-dict_DQ_Meth_max[[#This Row],[Vergleich_lb]])+dict_DQ_Meth_max[[#This Row],[Vergleich_lb]]</f>
        <v>0.22369700000000001</v>
      </c>
      <c r="H307" s="11" t="str">
        <f ca="1">VLOOKUP(VLOOKUP(dict_DQ_Meth_max[[#This Row],[ID_DataQualities]],table_DataQualities[],3),table_Units[],2)</f>
        <v>+/- cm³/s</v>
      </c>
      <c r="I307" s="10"/>
      <c r="J307" s="10"/>
      <c r="K307" s="10"/>
      <c r="L307" s="10">
        <f ca="1">VLOOKUP(dict_DQ_Meth_max[[#This Row],[ID_DataQualities]],table_DataQualities[],8,FALSE)</f>
        <v>8.3000000000000001E-3</v>
      </c>
      <c r="M307" s="10">
        <f ca="1">VLOOKUP(dict_DQ_Meth_max[[#This Row],[ID_DataQualities]],table_DataQualities[],9,FALSE)</f>
        <v>0.245</v>
      </c>
    </row>
    <row r="308" spans="1:13" x14ac:dyDescent="0.45">
      <c r="A308" s="10">
        <v>82</v>
      </c>
      <c r="B308" s="10">
        <v>53</v>
      </c>
      <c r="C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8" s="10"/>
      <c r="E308" s="10"/>
      <c r="F308" s="12">
        <f ca="1">(RANDBETWEEN(0,50)/100)*(dict_DQ_Meth_max[[#This Row],[Vergleich_ub]]-dict_DQ_Meth_max[[#This Row],[Vergleich_lb]])+dict_DQ_Meth_max[[#This Row],[Vergleich_lb]]</f>
        <v>312.33080000000007</v>
      </c>
      <c r="G308" s="12">
        <f ca="1">(RANDBETWEEN(50,100)/100)*(dict_DQ_Meth_max[[#This Row],[Vergleich_ub]]-dict_DQ_Meth_max[[#This Row],[Vergleich_lb]])+dict_DQ_Meth_max[[#This Row],[Vergleich_lb]]</f>
        <v>2983.7948000000006</v>
      </c>
      <c r="H308" s="11" t="str">
        <f ca="1">VLOOKUP(VLOOKUP(dict_DQ_Meth_max[[#This Row],[ID_DataQualities]],table_DataQualities[],3),table_Units[],2)</f>
        <v>Hz</v>
      </c>
      <c r="I308" s="10"/>
      <c r="J308" s="10"/>
      <c r="K308" s="10"/>
      <c r="L308" s="10">
        <f ca="1">VLOOKUP(dict_DQ_Meth_max[[#This Row],[ID_DataQualities]],table_DataQualities[],8,FALSE)</f>
        <v>0.66</v>
      </c>
      <c r="M308" s="10">
        <f ca="1">VLOOKUP(dict_DQ_Meth_max[[#This Row],[ID_DataQualities]],table_DataQualities[],9,FALSE)</f>
        <v>4453.1000000000004</v>
      </c>
    </row>
    <row r="309" spans="1:13" x14ac:dyDescent="0.45">
      <c r="A309" s="10">
        <v>82</v>
      </c>
      <c r="B309" s="10">
        <v>213</v>
      </c>
      <c r="C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09" s="10"/>
      <c r="E309" s="10"/>
      <c r="F309" s="12">
        <f ca="1">(RANDBETWEEN(0,50)/100)*(dict_DQ_Meth_max[[#This Row],[Vergleich_ub]]-dict_DQ_Meth_max[[#This Row],[Vergleich_lb]])+dict_DQ_Meth_max[[#This Row],[Vergleich_lb]]</f>
        <v>1603.5384000000001</v>
      </c>
      <c r="G309" s="12">
        <f ca="1">(RANDBETWEEN(50,100)/100)*(dict_DQ_Meth_max[[#This Row],[Vergleich_ub]]-dict_DQ_Meth_max[[#This Row],[Vergleich_lb]])+dict_DQ_Meth_max[[#This Row],[Vergleich_lb]]</f>
        <v>4319.5268000000005</v>
      </c>
      <c r="H309" s="11" t="str">
        <f ca="1">VLOOKUP(VLOOKUP(dict_DQ_Meth_max[[#This Row],[ID_DataQualities]],table_DataQualities[],3),table_Units[],2)</f>
        <v>Hz</v>
      </c>
      <c r="I309" s="10"/>
      <c r="J309" s="10"/>
      <c r="K309" s="10"/>
      <c r="L309" s="10">
        <f ca="1">VLOOKUP(dict_DQ_Meth_max[[#This Row],[ID_DataQualities]],table_DataQualities[],8,FALSE)</f>
        <v>0.66</v>
      </c>
      <c r="M309" s="10">
        <f ca="1">VLOOKUP(dict_DQ_Meth_max[[#This Row],[ID_DataQualities]],table_DataQualities[],9,FALSE)</f>
        <v>4453.1000000000004</v>
      </c>
    </row>
    <row r="310" spans="1:13" x14ac:dyDescent="0.45">
      <c r="A310" s="10">
        <v>82</v>
      </c>
      <c r="B310" s="10">
        <v>428</v>
      </c>
      <c r="C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0" s="10"/>
      <c r="E310" s="10"/>
      <c r="F310" s="12">
        <f ca="1">(RANDBETWEEN(0,50)/100)*(dict_DQ_Meth_max[[#This Row],[Vergleich_ub]]-dict_DQ_Meth_max[[#This Row],[Vergleich_lb]])+dict_DQ_Meth_max[[#This Row],[Vergleich_lb]]</f>
        <v>1915.2092000000002</v>
      </c>
      <c r="G310" s="12">
        <f ca="1">(RANDBETWEEN(50,100)/100)*(dict_DQ_Meth_max[[#This Row],[Vergleich_ub]]-dict_DQ_Meth_max[[#This Row],[Vergleich_lb]])+dict_DQ_Meth_max[[#This Row],[Vergleich_lb]]</f>
        <v>3473.5632000000005</v>
      </c>
      <c r="H310" s="11" t="str">
        <f ca="1">VLOOKUP(VLOOKUP(dict_DQ_Meth_max[[#This Row],[ID_DataQualities]],table_DataQualities[],3),table_Units[],2)</f>
        <v>Hz</v>
      </c>
      <c r="I310" s="10"/>
      <c r="J310" s="10"/>
      <c r="K310" s="10"/>
      <c r="L310" s="10">
        <f ca="1">VLOOKUP(dict_DQ_Meth_max[[#This Row],[ID_DataQualities]],table_DataQualities[],8,FALSE)</f>
        <v>0.66</v>
      </c>
      <c r="M310" s="10">
        <f ca="1">VLOOKUP(dict_DQ_Meth_max[[#This Row],[ID_DataQualities]],table_DataQualities[],9,FALSE)</f>
        <v>4453.1000000000004</v>
      </c>
    </row>
    <row r="311" spans="1:13" x14ac:dyDescent="0.45">
      <c r="A311" s="10">
        <v>82</v>
      </c>
      <c r="B311" s="10">
        <v>458</v>
      </c>
      <c r="C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1" s="10"/>
      <c r="E311" s="10"/>
      <c r="F311" s="12">
        <f ca="1">(RANDBETWEEN(0,50)/100)*(dict_DQ_Meth_max[[#This Row],[Vergleich_ub]]-dict_DQ_Meth_max[[#This Row],[Vergleich_lb]])+dict_DQ_Meth_max[[#This Row],[Vergleich_lb]]</f>
        <v>1291.8676</v>
      </c>
      <c r="G311" s="12">
        <f ca="1">(RANDBETWEEN(50,100)/100)*(dict_DQ_Meth_max[[#This Row],[Vergleich_ub]]-dict_DQ_Meth_max[[#This Row],[Vergleich_lb]])+dict_DQ_Meth_max[[#This Row],[Vergleich_lb]]</f>
        <v>3473.5632000000005</v>
      </c>
      <c r="H311" s="11" t="str">
        <f ca="1">VLOOKUP(VLOOKUP(dict_DQ_Meth_max[[#This Row],[ID_DataQualities]],table_DataQualities[],3),table_Units[],2)</f>
        <v>Hz</v>
      </c>
      <c r="I311" s="10"/>
      <c r="J311" s="10"/>
      <c r="K311" s="10"/>
      <c r="L311" s="10">
        <f ca="1">VLOOKUP(dict_DQ_Meth_max[[#This Row],[ID_DataQualities]],table_DataQualities[],8,FALSE)</f>
        <v>0.66</v>
      </c>
      <c r="M311" s="10">
        <f ca="1">VLOOKUP(dict_DQ_Meth_max[[#This Row],[ID_DataQualities]],table_DataQualities[],9,FALSE)</f>
        <v>4453.1000000000004</v>
      </c>
    </row>
    <row r="312" spans="1:13" x14ac:dyDescent="0.45">
      <c r="A312" s="10">
        <v>83</v>
      </c>
      <c r="B312" s="10">
        <v>53</v>
      </c>
      <c r="C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2" s="10"/>
      <c r="E312" s="10"/>
      <c r="F312" s="12">
        <f ca="1">(RANDBETWEEN(0,50)/100)*(dict_DQ_Meth_max[[#This Row],[Vergleich_ub]]-dict_DQ_Meth_max[[#This Row],[Vergleich_lb]])+dict_DQ_Meth_max[[#This Row],[Vergleich_lb]]</f>
        <v>1.7648E-2</v>
      </c>
      <c r="G312" s="12">
        <f ca="1">(RANDBETWEEN(50,100)/100)*(dict_DQ_Meth_max[[#This Row],[Vergleich_ub]]-dict_DQ_Meth_max[[#This Row],[Vergleich_lb]])+dict_DQ_Meth_max[[#This Row],[Vergleich_lb]]</f>
        <v>4.3248000000000002E-2</v>
      </c>
      <c r="H312" s="11" t="str">
        <f ca="1">VLOOKUP(VLOOKUP(dict_DQ_Meth_max[[#This Row],[ID_DataQualities]],table_DataQualities[],3),table_Units[],2)</f>
        <v>+/- cm³/s</v>
      </c>
      <c r="I312" s="10"/>
      <c r="J312" s="10"/>
      <c r="K312" s="10"/>
      <c r="L312" s="10">
        <f ca="1">VLOOKUP(dict_DQ_Meth_max[[#This Row],[ID_DataQualities]],table_DataQualities[],8,FALSE)</f>
        <v>2.8E-3</v>
      </c>
      <c r="M312" s="10">
        <f ca="1">VLOOKUP(dict_DQ_Meth_max[[#This Row],[ID_DataQualities]],table_DataQualities[],9,FALSE)</f>
        <v>5.3999999999999999E-2</v>
      </c>
    </row>
    <row r="313" spans="1:13" x14ac:dyDescent="0.45">
      <c r="A313" s="10">
        <v>83</v>
      </c>
      <c r="B313" s="10">
        <v>213</v>
      </c>
      <c r="C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3" s="10"/>
      <c r="E313" s="10"/>
      <c r="F313" s="12">
        <f ca="1">(RANDBETWEEN(0,50)/100)*(dict_DQ_Meth_max[[#This Row],[Vergleich_ub]]-dict_DQ_Meth_max[[#This Row],[Vergleich_lb]])+dict_DQ_Meth_max[[#This Row],[Vergleich_lb]]</f>
        <v>2.2768000000000004E-2</v>
      </c>
      <c r="G313" s="12">
        <f ca="1">(RANDBETWEEN(50,100)/100)*(dict_DQ_Meth_max[[#This Row],[Vergleich_ub]]-dict_DQ_Meth_max[[#This Row],[Vergleich_lb]])+dict_DQ_Meth_max[[#This Row],[Vergleich_lb]]</f>
        <v>3.6592E-2</v>
      </c>
      <c r="H313" s="11" t="str">
        <f ca="1">VLOOKUP(VLOOKUP(dict_DQ_Meth_max[[#This Row],[ID_DataQualities]],table_DataQualities[],3),table_Units[],2)</f>
        <v>+/- cm³/s</v>
      </c>
      <c r="I313" s="10"/>
      <c r="J313" s="10"/>
      <c r="K313" s="10"/>
      <c r="L313" s="10">
        <f ca="1">VLOOKUP(dict_DQ_Meth_max[[#This Row],[ID_DataQualities]],table_DataQualities[],8,FALSE)</f>
        <v>2.8E-3</v>
      </c>
      <c r="M313" s="10">
        <f ca="1">VLOOKUP(dict_DQ_Meth_max[[#This Row],[ID_DataQualities]],table_DataQualities[],9,FALSE)</f>
        <v>5.3999999999999999E-2</v>
      </c>
    </row>
    <row r="314" spans="1:13" x14ac:dyDescent="0.45">
      <c r="A314" s="10">
        <v>83</v>
      </c>
      <c r="B314" s="10">
        <v>458</v>
      </c>
      <c r="C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4" s="10"/>
      <c r="E314" s="10"/>
      <c r="F314" s="12">
        <f ca="1">(RANDBETWEEN(0,50)/100)*(dict_DQ_Meth_max[[#This Row],[Vergleich_ub]]-dict_DQ_Meth_max[[#This Row],[Vergleich_lb]])+dict_DQ_Meth_max[[#This Row],[Vergleich_lb]]</f>
        <v>2.8400000000000002E-2</v>
      </c>
      <c r="G314" s="12">
        <f ca="1">(RANDBETWEEN(50,100)/100)*(dict_DQ_Meth_max[[#This Row],[Vergleich_ub]]-dict_DQ_Meth_max[[#This Row],[Vergleich_lb]])+dict_DQ_Meth_max[[#This Row],[Vergleich_lb]]</f>
        <v>4.376E-2</v>
      </c>
      <c r="H314" s="11" t="str">
        <f ca="1">VLOOKUP(VLOOKUP(dict_DQ_Meth_max[[#This Row],[ID_DataQualities]],table_DataQualities[],3),table_Units[],2)</f>
        <v>+/- cm³/s</v>
      </c>
      <c r="I314" s="10"/>
      <c r="J314" s="10"/>
      <c r="K314" s="10"/>
      <c r="L314" s="10">
        <f ca="1">VLOOKUP(dict_DQ_Meth_max[[#This Row],[ID_DataQualities]],table_DataQualities[],8,FALSE)</f>
        <v>2.8E-3</v>
      </c>
      <c r="M314" s="10">
        <f ca="1">VLOOKUP(dict_DQ_Meth_max[[#This Row],[ID_DataQualities]],table_DataQualities[],9,FALSE)</f>
        <v>5.3999999999999999E-2</v>
      </c>
    </row>
    <row r="315" spans="1:13" x14ac:dyDescent="0.45">
      <c r="A315" s="10">
        <v>83</v>
      </c>
      <c r="B315" s="10">
        <v>428</v>
      </c>
      <c r="C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5" s="10"/>
      <c r="E315" s="10"/>
      <c r="F315" s="12">
        <f ca="1">(RANDBETWEEN(0,50)/100)*(dict_DQ_Meth_max[[#This Row],[Vergleich_ub]]-dict_DQ_Meth_max[[#This Row],[Vergleich_lb]])+dict_DQ_Meth_max[[#This Row],[Vergleich_lb]]</f>
        <v>1.5600000000000001E-2</v>
      </c>
      <c r="G315" s="12">
        <f ca="1">(RANDBETWEEN(50,100)/100)*(dict_DQ_Meth_max[[#This Row],[Vergleich_ub]]-dict_DQ_Meth_max[[#This Row],[Vergleich_lb]])+dict_DQ_Meth_max[[#This Row],[Vergleich_lb]]</f>
        <v>4.1711999999999999E-2</v>
      </c>
      <c r="H315" s="11" t="str">
        <f ca="1">VLOOKUP(VLOOKUP(dict_DQ_Meth_max[[#This Row],[ID_DataQualities]],table_DataQualities[],3),table_Units[],2)</f>
        <v>+/- cm³/s</v>
      </c>
      <c r="I315" s="10"/>
      <c r="J315" s="10"/>
      <c r="K315" s="10"/>
      <c r="L315" s="10">
        <f ca="1">VLOOKUP(dict_DQ_Meth_max[[#This Row],[ID_DataQualities]],table_DataQualities[],8,FALSE)</f>
        <v>2.8E-3</v>
      </c>
      <c r="M315" s="10">
        <f ca="1">VLOOKUP(dict_DQ_Meth_max[[#This Row],[ID_DataQualities]],table_DataQualities[],9,FALSE)</f>
        <v>5.3999999999999999E-2</v>
      </c>
    </row>
    <row r="316" spans="1:13" x14ac:dyDescent="0.45">
      <c r="A316" s="10">
        <v>84</v>
      </c>
      <c r="B316" s="10">
        <v>663</v>
      </c>
      <c r="C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6" s="10"/>
      <c r="E316" s="10"/>
      <c r="F316" s="12">
        <f ca="1">(RANDBETWEEN(0,50)/100)*(dict_DQ_Meth_max[[#This Row],[Vergleich_ub]]-dict_DQ_Meth_max[[#This Row],[Vergleich_lb]])+dict_DQ_Meth_max[[#This Row],[Vergleich_lb]]</f>
        <v>1634.5116799999998</v>
      </c>
      <c r="G316" s="12">
        <f ca="1">(RANDBETWEEN(50,100)/100)*(dict_DQ_Meth_max[[#This Row],[Vergleich_ub]]-dict_DQ_Meth_max[[#This Row],[Vergleich_lb]])+dict_DQ_Meth_max[[#This Row],[Vergleich_lb]]</f>
        <v>4562.3524400000006</v>
      </c>
      <c r="H316" s="11" t="str">
        <f ca="1">VLOOKUP(VLOOKUP(dict_DQ_Meth_max[[#This Row],[ID_DataQualities]],table_DataQualities[],3),table_Units[],2)</f>
        <v>Hz</v>
      </c>
      <c r="I316" s="10"/>
      <c r="J316" s="10"/>
      <c r="K316" s="10"/>
      <c r="L316" s="10">
        <f ca="1">VLOOKUP(dict_DQ_Meth_max[[#This Row],[ID_DataQualities]],table_DataQualities[],8,FALSE)</f>
        <v>0.36799999999999999</v>
      </c>
      <c r="M316" s="10">
        <f ca="1">VLOOKUP(dict_DQ_Meth_max[[#This Row],[ID_DataQualities]],table_DataQualities[],9,FALSE)</f>
        <v>6809.3</v>
      </c>
    </row>
    <row r="317" spans="1:13" x14ac:dyDescent="0.45">
      <c r="A317" s="10">
        <v>84</v>
      </c>
      <c r="B317" s="10">
        <v>57</v>
      </c>
      <c r="C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7" s="10"/>
      <c r="E317" s="10"/>
      <c r="F317" s="12">
        <f ca="1">(RANDBETWEEN(0,50)/100)*(dict_DQ_Meth_max[[#This Row],[Vergleich_ub]]-dict_DQ_Meth_max[[#This Row],[Vergleich_lb]])+dict_DQ_Meth_max[[#This Row],[Vergleich_lb]]</f>
        <v>3404.8339999999998</v>
      </c>
      <c r="G317" s="12">
        <f ca="1">(RANDBETWEEN(50,100)/100)*(dict_DQ_Meth_max[[#This Row],[Vergleich_ub]]-dict_DQ_Meth_max[[#This Row],[Vergleich_lb]])+dict_DQ_Meth_max[[#This Row],[Vergleich_lb]]</f>
        <v>5515.6029200000003</v>
      </c>
      <c r="H317" s="11" t="str">
        <f ca="1">VLOOKUP(VLOOKUP(dict_DQ_Meth_max[[#This Row],[ID_DataQualities]],table_DataQualities[],3),table_Units[],2)</f>
        <v>Hz</v>
      </c>
      <c r="I317" s="10"/>
      <c r="J317" s="10"/>
      <c r="K317" s="10"/>
      <c r="L317" s="10">
        <f ca="1">VLOOKUP(dict_DQ_Meth_max[[#This Row],[ID_DataQualities]],table_DataQualities[],8,FALSE)</f>
        <v>0.36799999999999999</v>
      </c>
      <c r="M317" s="10">
        <f ca="1">VLOOKUP(dict_DQ_Meth_max[[#This Row],[ID_DataQualities]],table_DataQualities[],9,FALSE)</f>
        <v>6809.3</v>
      </c>
    </row>
    <row r="318" spans="1:13" x14ac:dyDescent="0.45">
      <c r="A318" s="10">
        <v>85</v>
      </c>
      <c r="B318" s="10">
        <v>57</v>
      </c>
      <c r="C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8" s="10"/>
      <c r="E318" s="10"/>
      <c r="F318" s="12">
        <f ca="1">(RANDBETWEEN(0,50)/100)*(dict_DQ_Meth_max[[#This Row],[Vergleich_ub]]-dict_DQ_Meth_max[[#This Row],[Vergleich_lb]])+dict_DQ_Meth_max[[#This Row],[Vergleich_lb]]</f>
        <v>9.6240000000000006E-3</v>
      </c>
      <c r="G318" s="12">
        <f ca="1">(RANDBETWEEN(50,100)/100)*(dict_DQ_Meth_max[[#This Row],[Vergleich_ub]]-dict_DQ_Meth_max[[#This Row],[Vergleich_lb]])+dict_DQ_Meth_max[[#This Row],[Vergleich_lb]]</f>
        <v>0.11490400000000001</v>
      </c>
      <c r="H318" s="11" t="str">
        <f ca="1">VLOOKUP(VLOOKUP(dict_DQ_Meth_max[[#This Row],[ID_DataQualities]],table_DataQualities[],3),table_Units[],2)</f>
        <v>+/- cm³/s</v>
      </c>
      <c r="I318" s="10"/>
      <c r="J318" s="10"/>
      <c r="K318" s="10"/>
      <c r="L318" s="10">
        <f ca="1">VLOOKUP(dict_DQ_Meth_max[[#This Row],[ID_DataQualities]],table_DataQualities[],8,FALSE)</f>
        <v>5.9999999999999995E-4</v>
      </c>
      <c r="M318" s="10">
        <f ca="1">VLOOKUP(dict_DQ_Meth_max[[#This Row],[ID_DataQualities]],table_DataQualities[],9,FALSE)</f>
        <v>0.151</v>
      </c>
    </row>
    <row r="319" spans="1:13" x14ac:dyDescent="0.45">
      <c r="A319" s="10">
        <v>85</v>
      </c>
      <c r="B319" s="10">
        <v>663</v>
      </c>
      <c r="C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19" s="10"/>
      <c r="E319" s="10"/>
      <c r="F319" s="12">
        <f ca="1">(RANDBETWEEN(0,50)/100)*(dict_DQ_Meth_max[[#This Row],[Vergleich_ub]]-dict_DQ_Meth_max[[#This Row],[Vergleich_lb]])+dict_DQ_Meth_max[[#This Row],[Vergleich_lb]]</f>
        <v>5.925600000000001E-2</v>
      </c>
      <c r="G319" s="12">
        <f ca="1">(RANDBETWEEN(50,100)/100)*(dict_DQ_Meth_max[[#This Row],[Vergleich_ub]]-dict_DQ_Meth_max[[#This Row],[Vergleich_lb]])+dict_DQ_Meth_max[[#This Row],[Vergleich_lb]]</f>
        <v>0.11340000000000001</v>
      </c>
      <c r="H319" s="11" t="str">
        <f ca="1">VLOOKUP(VLOOKUP(dict_DQ_Meth_max[[#This Row],[ID_DataQualities]],table_DataQualities[],3),table_Units[],2)</f>
        <v>+/- cm³/s</v>
      </c>
      <c r="I319" s="10"/>
      <c r="J319" s="10"/>
      <c r="K319" s="10"/>
      <c r="L319" s="10">
        <f ca="1">VLOOKUP(dict_DQ_Meth_max[[#This Row],[ID_DataQualities]],table_DataQualities[],8,FALSE)</f>
        <v>5.9999999999999995E-4</v>
      </c>
      <c r="M319" s="10">
        <f ca="1">VLOOKUP(dict_DQ_Meth_max[[#This Row],[ID_DataQualities]],table_DataQualities[],9,FALSE)</f>
        <v>0.151</v>
      </c>
    </row>
    <row r="320" spans="1:13" x14ac:dyDescent="0.45">
      <c r="A320" s="10">
        <v>86</v>
      </c>
      <c r="B320" s="10">
        <v>504</v>
      </c>
      <c r="C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0" s="10"/>
      <c r="E320" s="10"/>
      <c r="F320" s="12">
        <f ca="1">(RANDBETWEEN(0,50)/100)*(dict_DQ_Meth_max[[#This Row],[Vergleich_ub]]-dict_DQ_Meth_max[[#This Row],[Vergleich_lb]])+dict_DQ_Meth_max[[#This Row],[Vergleich_lb]]</f>
        <v>623.25720000000001</v>
      </c>
      <c r="G320" s="12">
        <f ca="1">(RANDBETWEEN(50,100)/100)*(dict_DQ_Meth_max[[#This Row],[Vergleich_ub]]-dict_DQ_Meth_max[[#This Row],[Vergleich_lb]])+dict_DQ_Meth_max[[#This Row],[Vergleich_lb]]</f>
        <v>4023.0495999999998</v>
      </c>
      <c r="H320" s="11" t="str">
        <f ca="1">VLOOKUP(VLOOKUP(dict_DQ_Meth_max[[#This Row],[ID_DataQualities]],table_DataQualities[],3),table_Units[],2)</f>
        <v>Hz</v>
      </c>
      <c r="I320" s="10"/>
      <c r="J320" s="10"/>
      <c r="K320" s="10"/>
      <c r="L320" s="10">
        <f ca="1">VLOOKUP(dict_DQ_Meth_max[[#This Row],[ID_DataQualities]],table_DataQualities[],8,FALSE)</f>
        <v>0.76</v>
      </c>
      <c r="M320" s="10">
        <f ca="1">VLOOKUP(dict_DQ_Meth_max[[#This Row],[ID_DataQualities]],table_DataQualities[],9,FALSE)</f>
        <v>4789.2</v>
      </c>
    </row>
    <row r="321" spans="1:13" x14ac:dyDescent="0.45">
      <c r="A321" s="10">
        <v>86</v>
      </c>
      <c r="B321" s="10">
        <v>319</v>
      </c>
      <c r="C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1" s="10"/>
      <c r="E321" s="10"/>
      <c r="F321" s="12">
        <f ca="1">(RANDBETWEEN(0,50)/100)*(dict_DQ_Meth_max[[#This Row],[Vergleich_ub]]-dict_DQ_Meth_max[[#This Row],[Vergleich_lb]])+dict_DQ_Meth_max[[#This Row],[Vergleich_lb]]</f>
        <v>48.644399999999997</v>
      </c>
      <c r="G321" s="12">
        <f ca="1">(RANDBETWEEN(50,100)/100)*(dict_DQ_Meth_max[[#This Row],[Vergleich_ub]]-dict_DQ_Meth_max[[#This Row],[Vergleich_lb]])+dict_DQ_Meth_max[[#This Row],[Vergleich_lb]]</f>
        <v>3065.3616000000002</v>
      </c>
      <c r="H321" s="11" t="str">
        <f ca="1">VLOOKUP(VLOOKUP(dict_DQ_Meth_max[[#This Row],[ID_DataQualities]],table_DataQualities[],3),table_Units[],2)</f>
        <v>Hz</v>
      </c>
      <c r="I321" s="10"/>
      <c r="J321" s="10"/>
      <c r="K321" s="10"/>
      <c r="L321" s="10">
        <f ca="1">VLOOKUP(dict_DQ_Meth_max[[#This Row],[ID_DataQualities]],table_DataQualities[],8,FALSE)</f>
        <v>0.76</v>
      </c>
      <c r="M321" s="10">
        <f ca="1">VLOOKUP(dict_DQ_Meth_max[[#This Row],[ID_DataQualities]],table_DataQualities[],9,FALSE)</f>
        <v>4789.2</v>
      </c>
    </row>
    <row r="322" spans="1:13" x14ac:dyDescent="0.45">
      <c r="A322" s="10">
        <v>86</v>
      </c>
      <c r="B322" s="10">
        <v>460</v>
      </c>
      <c r="C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2" s="10"/>
      <c r="E322" s="10"/>
      <c r="F322" s="12">
        <f ca="1">(RANDBETWEEN(0,50)/100)*(dict_DQ_Meth_max[[#This Row],[Vergleich_ub]]-dict_DQ_Meth_max[[#This Row],[Vergleich_lb]])+dict_DQ_Meth_max[[#This Row],[Vergleich_lb]]</f>
        <v>719.02599999999995</v>
      </c>
      <c r="G322" s="12">
        <f ca="1">(RANDBETWEEN(50,100)/100)*(dict_DQ_Meth_max[[#This Row],[Vergleich_ub]]-dict_DQ_Meth_max[[#This Row],[Vergleich_lb]])+dict_DQ_Meth_max[[#This Row],[Vergleich_lb]]</f>
        <v>4118.8184000000001</v>
      </c>
      <c r="H322" s="11" t="str">
        <f ca="1">VLOOKUP(VLOOKUP(dict_DQ_Meth_max[[#This Row],[ID_DataQualities]],table_DataQualities[],3),table_Units[],2)</f>
        <v>Hz</v>
      </c>
      <c r="I322" s="10"/>
      <c r="J322" s="10"/>
      <c r="K322" s="10"/>
      <c r="L322" s="10">
        <f ca="1">VLOOKUP(dict_DQ_Meth_max[[#This Row],[ID_DataQualities]],table_DataQualities[],8,FALSE)</f>
        <v>0.76</v>
      </c>
      <c r="M322" s="10">
        <f ca="1">VLOOKUP(dict_DQ_Meth_max[[#This Row],[ID_DataQualities]],table_DataQualities[],9,FALSE)</f>
        <v>4789.2</v>
      </c>
    </row>
    <row r="323" spans="1:13" x14ac:dyDescent="0.45">
      <c r="A323" s="10">
        <v>86</v>
      </c>
      <c r="B323" s="10">
        <v>285</v>
      </c>
      <c r="C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3" s="10"/>
      <c r="E323" s="10"/>
      <c r="F323" s="12">
        <f ca="1">(RANDBETWEEN(0,50)/100)*(dict_DQ_Meth_max[[#This Row],[Vergleich_ub]]-dict_DQ_Meth_max[[#This Row],[Vergleich_lb]])+dict_DQ_Meth_max[[#This Row],[Vergleich_lb]]</f>
        <v>48.644399999999997</v>
      </c>
      <c r="G323" s="12">
        <f ca="1">(RANDBETWEEN(50,100)/100)*(dict_DQ_Meth_max[[#This Row],[Vergleich_ub]]-dict_DQ_Meth_max[[#This Row],[Vergleich_lb]])+dict_DQ_Meth_max[[#This Row],[Vergleich_lb]]</f>
        <v>4789.2</v>
      </c>
      <c r="H323" s="11" t="str">
        <f ca="1">VLOOKUP(VLOOKUP(dict_DQ_Meth_max[[#This Row],[ID_DataQualities]],table_DataQualities[],3),table_Units[],2)</f>
        <v>Hz</v>
      </c>
      <c r="I323" s="10"/>
      <c r="J323" s="10"/>
      <c r="K323" s="10"/>
      <c r="L323" s="10">
        <f ca="1">VLOOKUP(dict_DQ_Meth_max[[#This Row],[ID_DataQualities]],table_DataQualities[],8,FALSE)</f>
        <v>0.76</v>
      </c>
      <c r="M323" s="10">
        <f ca="1">VLOOKUP(dict_DQ_Meth_max[[#This Row],[ID_DataQualities]],table_DataQualities[],9,FALSE)</f>
        <v>4789.2</v>
      </c>
    </row>
    <row r="324" spans="1:13" x14ac:dyDescent="0.45">
      <c r="A324" s="10">
        <v>86</v>
      </c>
      <c r="B324" s="10">
        <v>199</v>
      </c>
      <c r="C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4" s="10"/>
      <c r="E324" s="10"/>
      <c r="F324" s="12">
        <f ca="1">(RANDBETWEEN(0,50)/100)*(dict_DQ_Meth_max[[#This Row],[Vergleich_ub]]-dict_DQ_Meth_max[[#This Row],[Vergleich_lb]])+dict_DQ_Meth_max[[#This Row],[Vergleich_lb]]</f>
        <v>1820.3671999999999</v>
      </c>
      <c r="G324" s="12">
        <f ca="1">(RANDBETWEEN(50,100)/100)*(dict_DQ_Meth_max[[#This Row],[Vergleich_ub]]-dict_DQ_Meth_max[[#This Row],[Vergleich_lb]])+dict_DQ_Meth_max[[#This Row],[Vergleich_lb]]</f>
        <v>4262.4715999999999</v>
      </c>
      <c r="H324" s="11" t="str">
        <f ca="1">VLOOKUP(VLOOKUP(dict_DQ_Meth_max[[#This Row],[ID_DataQualities]],table_DataQualities[],3),table_Units[],2)</f>
        <v>Hz</v>
      </c>
      <c r="I324" s="10"/>
      <c r="J324" s="10"/>
      <c r="K324" s="10"/>
      <c r="L324" s="10">
        <f ca="1">VLOOKUP(dict_DQ_Meth_max[[#This Row],[ID_DataQualities]],table_DataQualities[],8,FALSE)</f>
        <v>0.76</v>
      </c>
      <c r="M324" s="10">
        <f ca="1">VLOOKUP(dict_DQ_Meth_max[[#This Row],[ID_DataQualities]],table_DataQualities[],9,FALSE)</f>
        <v>4789.2</v>
      </c>
    </row>
    <row r="325" spans="1:13" x14ac:dyDescent="0.45">
      <c r="A325" s="10">
        <v>87</v>
      </c>
      <c r="B325" s="10">
        <v>285</v>
      </c>
      <c r="C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5" s="10"/>
      <c r="E325" s="10"/>
      <c r="F325" s="12">
        <f ca="1">(RANDBETWEEN(0,50)/100)*(dict_DQ_Meth_max[[#This Row],[Vergleich_ub]]-dict_DQ_Meth_max[[#This Row],[Vergleich_lb]])+dict_DQ_Meth_max[[#This Row],[Vergleich_lb]]</f>
        <v>1.6680000000000001</v>
      </c>
      <c r="G325" s="12">
        <f ca="1">(RANDBETWEEN(50,100)/100)*(dict_DQ_Meth_max[[#This Row],[Vergleich_ub]]-dict_DQ_Meth_max[[#This Row],[Vergleich_lb]])+dict_DQ_Meth_max[[#This Row],[Vergleich_lb]]</f>
        <v>3.1870000000000003</v>
      </c>
      <c r="H325" s="11" t="str">
        <f ca="1">VLOOKUP(VLOOKUP(dict_DQ_Meth_max[[#This Row],[ID_DataQualities]],table_DataQualities[],3),table_Units[],2)</f>
        <v>+/- °C</v>
      </c>
      <c r="I325" s="10"/>
      <c r="J325" s="10"/>
      <c r="K325" s="10"/>
      <c r="L325" s="10">
        <f ca="1">VLOOKUP(dict_DQ_Meth_max[[#This Row],[ID_DataQualities]],table_DataQualities[],8,FALSE)</f>
        <v>0.1</v>
      </c>
      <c r="M325" s="10">
        <f ca="1">VLOOKUP(dict_DQ_Meth_max[[#This Row],[ID_DataQualities]],table_DataQualities[],9,FALSE)</f>
        <v>5</v>
      </c>
    </row>
    <row r="326" spans="1:13" x14ac:dyDescent="0.45">
      <c r="A326" s="10">
        <v>87</v>
      </c>
      <c r="B326" s="10">
        <v>319</v>
      </c>
      <c r="C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6" s="10"/>
      <c r="E326" s="10"/>
      <c r="F326" s="12">
        <f ca="1">(RANDBETWEEN(0,50)/100)*(dict_DQ_Meth_max[[#This Row],[Vergleich_ub]]-dict_DQ_Meth_max[[#This Row],[Vergleich_lb]])+dict_DQ_Meth_max[[#This Row],[Vergleich_lb]]</f>
        <v>0.29600000000000004</v>
      </c>
      <c r="G326" s="12">
        <f ca="1">(RANDBETWEEN(50,100)/100)*(dict_DQ_Meth_max[[#This Row],[Vergleich_ub]]-dict_DQ_Meth_max[[#This Row],[Vergleich_lb]])+dict_DQ_Meth_max[[#This Row],[Vergleich_lb]]</f>
        <v>3.9710000000000005</v>
      </c>
      <c r="H326" s="11" t="str">
        <f ca="1">VLOOKUP(VLOOKUP(dict_DQ_Meth_max[[#This Row],[ID_DataQualities]],table_DataQualities[],3),table_Units[],2)</f>
        <v>+/- °C</v>
      </c>
      <c r="I326" s="10"/>
      <c r="J326" s="10"/>
      <c r="K326" s="10"/>
      <c r="L326" s="10">
        <f ca="1">VLOOKUP(dict_DQ_Meth_max[[#This Row],[ID_DataQualities]],table_DataQualities[],8,FALSE)</f>
        <v>0.1</v>
      </c>
      <c r="M326" s="10">
        <f ca="1">VLOOKUP(dict_DQ_Meth_max[[#This Row],[ID_DataQualities]],table_DataQualities[],9,FALSE)</f>
        <v>5</v>
      </c>
    </row>
    <row r="327" spans="1:13" x14ac:dyDescent="0.45">
      <c r="A327" s="10">
        <v>87</v>
      </c>
      <c r="B327" s="10">
        <v>460</v>
      </c>
      <c r="C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7" s="10"/>
      <c r="E327" s="10"/>
      <c r="F327" s="12">
        <f ca="1">(RANDBETWEEN(0,50)/100)*(dict_DQ_Meth_max[[#This Row],[Vergleich_ub]]-dict_DQ_Meth_max[[#This Row],[Vergleich_lb]])+dict_DQ_Meth_max[[#This Row],[Vergleich_lb]]</f>
        <v>2.2070000000000003</v>
      </c>
      <c r="G327" s="12">
        <f ca="1">(RANDBETWEEN(50,100)/100)*(dict_DQ_Meth_max[[#This Row],[Vergleich_ub]]-dict_DQ_Meth_max[[#This Row],[Vergleich_lb]])+dict_DQ_Meth_max[[#This Row],[Vergleich_lb]]</f>
        <v>4.3629999999999995</v>
      </c>
      <c r="H327" s="11" t="str">
        <f ca="1">VLOOKUP(VLOOKUP(dict_DQ_Meth_max[[#This Row],[ID_DataQualities]],table_DataQualities[],3),table_Units[],2)</f>
        <v>+/- °C</v>
      </c>
      <c r="I327" s="10"/>
      <c r="J327" s="10"/>
      <c r="K327" s="10"/>
      <c r="L327" s="10">
        <f ca="1">VLOOKUP(dict_DQ_Meth_max[[#This Row],[ID_DataQualities]],table_DataQualities[],8,FALSE)</f>
        <v>0.1</v>
      </c>
      <c r="M327" s="10">
        <f ca="1">VLOOKUP(dict_DQ_Meth_max[[#This Row],[ID_DataQualities]],table_DataQualities[],9,FALSE)</f>
        <v>5</v>
      </c>
    </row>
    <row r="328" spans="1:13" x14ac:dyDescent="0.45">
      <c r="A328" s="10">
        <v>87</v>
      </c>
      <c r="B328" s="10">
        <v>504</v>
      </c>
      <c r="C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8" s="10"/>
      <c r="E328" s="10"/>
      <c r="F328" s="12">
        <f ca="1">(RANDBETWEEN(0,50)/100)*(dict_DQ_Meth_max[[#This Row],[Vergleich_ub]]-dict_DQ_Meth_max[[#This Row],[Vergleich_lb]])+dict_DQ_Meth_max[[#This Row],[Vergleich_lb]]</f>
        <v>1.8150000000000002</v>
      </c>
      <c r="G328" s="12">
        <f ca="1">(RANDBETWEEN(50,100)/100)*(dict_DQ_Meth_max[[#This Row],[Vergleich_ub]]-dict_DQ_Meth_max[[#This Row],[Vergleich_lb]])+dict_DQ_Meth_max[[#This Row],[Vergleich_lb]]</f>
        <v>3.5790000000000002</v>
      </c>
      <c r="H328" s="11" t="str">
        <f ca="1">VLOOKUP(VLOOKUP(dict_DQ_Meth_max[[#This Row],[ID_DataQualities]],table_DataQualities[],3),table_Units[],2)</f>
        <v>+/- °C</v>
      </c>
      <c r="I328" s="10"/>
      <c r="J328" s="10"/>
      <c r="K328" s="10"/>
      <c r="L328" s="10">
        <f ca="1">VLOOKUP(dict_DQ_Meth_max[[#This Row],[ID_DataQualities]],table_DataQualities[],8,FALSE)</f>
        <v>0.1</v>
      </c>
      <c r="M328" s="10">
        <f ca="1">VLOOKUP(dict_DQ_Meth_max[[#This Row],[ID_DataQualities]],table_DataQualities[],9,FALSE)</f>
        <v>5</v>
      </c>
    </row>
    <row r="329" spans="1:13" x14ac:dyDescent="0.45">
      <c r="A329" s="10">
        <v>87</v>
      </c>
      <c r="B329" s="10">
        <v>199</v>
      </c>
      <c r="C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29" s="10"/>
      <c r="E329" s="10"/>
      <c r="F329" s="12">
        <f ca="1">(RANDBETWEEN(0,50)/100)*(dict_DQ_Meth_max[[#This Row],[Vergleich_ub]]-dict_DQ_Meth_max[[#This Row],[Vergleich_lb]])+dict_DQ_Meth_max[[#This Row],[Vergleich_lb]]</f>
        <v>0.68799999999999994</v>
      </c>
      <c r="G329" s="12">
        <f ca="1">(RANDBETWEEN(50,100)/100)*(dict_DQ_Meth_max[[#This Row],[Vergleich_ub]]-dict_DQ_Meth_max[[#This Row],[Vergleich_lb]])+dict_DQ_Meth_max[[#This Row],[Vergleich_lb]]</f>
        <v>2.9420000000000002</v>
      </c>
      <c r="H329" s="11" t="str">
        <f ca="1">VLOOKUP(VLOOKUP(dict_DQ_Meth_max[[#This Row],[ID_DataQualities]],table_DataQualities[],3),table_Units[],2)</f>
        <v>+/- °C</v>
      </c>
      <c r="I329" s="10"/>
      <c r="J329" s="10"/>
      <c r="K329" s="10"/>
      <c r="L329" s="10">
        <f ca="1">VLOOKUP(dict_DQ_Meth_max[[#This Row],[ID_DataQualities]],table_DataQualities[],8,FALSE)</f>
        <v>0.1</v>
      </c>
      <c r="M329" s="10">
        <f ca="1">VLOOKUP(dict_DQ_Meth_max[[#This Row],[ID_DataQualities]],table_DataQualities[],9,FALSE)</f>
        <v>5</v>
      </c>
    </row>
    <row r="330" spans="1:13" x14ac:dyDescent="0.45">
      <c r="A330" s="10">
        <v>88</v>
      </c>
      <c r="B330" s="10">
        <v>413</v>
      </c>
      <c r="C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0" s="10"/>
      <c r="E330" s="10"/>
      <c r="F330" s="12">
        <f ca="1">(RANDBETWEEN(0,50)/100)*(dict_DQ_Meth_max[[#This Row],[Vergleich_ub]]-dict_DQ_Meth_max[[#This Row],[Vergleich_lb]])+dict_DQ_Meth_max[[#This Row],[Vergleich_lb]]</f>
        <v>358.61391999999995</v>
      </c>
      <c r="G330" s="12">
        <f ca="1">(RANDBETWEEN(50,100)/100)*(dict_DQ_Meth_max[[#This Row],[Vergleich_ub]]-dict_DQ_Meth_max[[#This Row],[Vergleich_lb]])+dict_DQ_Meth_max[[#This Row],[Vergleich_lb]]</f>
        <v>7259.9683799999993</v>
      </c>
      <c r="H330" s="11" t="str">
        <f ca="1">VLOOKUP(VLOOKUP(dict_DQ_Meth_max[[#This Row],[ID_DataQualities]],table_DataQualities[],3),table_Units[],2)</f>
        <v>Hz</v>
      </c>
      <c r="I330" s="10"/>
      <c r="J330" s="10"/>
      <c r="K330" s="10"/>
      <c r="L330" s="10">
        <f ca="1">VLOOKUP(dict_DQ_Meth_max[[#This Row],[ID_DataQualities]],table_DataQualities[],8,FALSE)</f>
        <v>0.10199999999999999</v>
      </c>
      <c r="M330" s="10">
        <f ca="1">VLOOKUP(dict_DQ_Meth_max[[#This Row],[ID_DataQualities]],table_DataQualities[],9,FALSE)</f>
        <v>8962.9</v>
      </c>
    </row>
    <row r="331" spans="1:13" x14ac:dyDescent="0.45">
      <c r="A331" s="10">
        <v>88</v>
      </c>
      <c r="B331" s="10">
        <v>392</v>
      </c>
      <c r="C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1" s="10"/>
      <c r="E331" s="10"/>
      <c r="F331" s="12">
        <f ca="1">(RANDBETWEEN(0,50)/100)*(dict_DQ_Meth_max[[#This Row],[Vergleich_ub]]-dict_DQ_Meth_max[[#This Row],[Vergleich_lb]])+dict_DQ_Meth_max[[#This Row],[Vergleich_lb]]</f>
        <v>2688.9413999999992</v>
      </c>
      <c r="G331" s="12">
        <f ca="1">(RANDBETWEEN(50,100)/100)*(dict_DQ_Meth_max[[#This Row],[Vergleich_ub]]-dict_DQ_Meth_max[[#This Row],[Vergleich_lb]])+dict_DQ_Meth_max[[#This Row],[Vergleich_lb]]</f>
        <v>8156.2481799999987</v>
      </c>
      <c r="H331" s="11" t="str">
        <f ca="1">VLOOKUP(VLOOKUP(dict_DQ_Meth_max[[#This Row],[ID_DataQualities]],table_DataQualities[],3),table_Units[],2)</f>
        <v>Hz</v>
      </c>
      <c r="I331" s="10"/>
      <c r="J331" s="10"/>
      <c r="K331" s="10"/>
      <c r="L331" s="10">
        <f ca="1">VLOOKUP(dict_DQ_Meth_max[[#This Row],[ID_DataQualities]],table_DataQualities[],8,FALSE)</f>
        <v>0.10199999999999999</v>
      </c>
      <c r="M331" s="10">
        <f ca="1">VLOOKUP(dict_DQ_Meth_max[[#This Row],[ID_DataQualities]],table_DataQualities[],9,FALSE)</f>
        <v>8962.9</v>
      </c>
    </row>
    <row r="332" spans="1:13" x14ac:dyDescent="0.45">
      <c r="A332" s="10">
        <v>88</v>
      </c>
      <c r="B332" s="10">
        <v>642</v>
      </c>
      <c r="C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2" s="10"/>
      <c r="E332" s="10"/>
      <c r="F332" s="12">
        <f ca="1">(RANDBETWEEN(0,50)/100)*(dict_DQ_Meth_max[[#This Row],[Vergleich_ub]]-dict_DQ_Meth_max[[#This Row],[Vergleich_lb]])+dict_DQ_Meth_max[[#This Row],[Vergleich_lb]]</f>
        <v>3047.4533199999996</v>
      </c>
      <c r="G332" s="12">
        <f ca="1">(RANDBETWEEN(50,100)/100)*(dict_DQ_Meth_max[[#This Row],[Vergleich_ub]]-dict_DQ_Meth_max[[#This Row],[Vergleich_lb]])+dict_DQ_Meth_max[[#This Row],[Vergleich_lb]]</f>
        <v>7797.7362599999988</v>
      </c>
      <c r="H332" s="11" t="str">
        <f ca="1">VLOOKUP(VLOOKUP(dict_DQ_Meth_max[[#This Row],[ID_DataQualities]],table_DataQualities[],3),table_Units[],2)</f>
        <v>Hz</v>
      </c>
      <c r="I332" s="10"/>
      <c r="J332" s="10"/>
      <c r="K332" s="10"/>
      <c r="L332" s="10">
        <f ca="1">VLOOKUP(dict_DQ_Meth_max[[#This Row],[ID_DataQualities]],table_DataQualities[],8,FALSE)</f>
        <v>0.10199999999999999</v>
      </c>
      <c r="M332" s="10">
        <f ca="1">VLOOKUP(dict_DQ_Meth_max[[#This Row],[ID_DataQualities]],table_DataQualities[],9,FALSE)</f>
        <v>8962.9</v>
      </c>
    </row>
    <row r="333" spans="1:13" x14ac:dyDescent="0.45">
      <c r="A333" s="10">
        <v>88</v>
      </c>
      <c r="B333" s="10">
        <v>674</v>
      </c>
      <c r="C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3" s="10"/>
      <c r="E333" s="10"/>
      <c r="F333" s="12">
        <f ca="1">(RANDBETWEEN(0,50)/100)*(dict_DQ_Meth_max[[#This Row],[Vergleich_ub]]-dict_DQ_Meth_max[[#This Row],[Vergleich_lb]])+dict_DQ_Meth_max[[#This Row],[Vergleich_lb]]</f>
        <v>4122.9890799999994</v>
      </c>
      <c r="G333" s="12">
        <f ca="1">(RANDBETWEEN(50,100)/100)*(dict_DQ_Meth_max[[#This Row],[Vergleich_ub]]-dict_DQ_Meth_max[[#This Row],[Vergleich_lb]])+dict_DQ_Meth_max[[#This Row],[Vergleich_lb]]</f>
        <v>7349.5963599999986</v>
      </c>
      <c r="H333" s="11" t="str">
        <f ca="1">VLOOKUP(VLOOKUP(dict_DQ_Meth_max[[#This Row],[ID_DataQualities]],table_DataQualities[],3),table_Units[],2)</f>
        <v>Hz</v>
      </c>
      <c r="I333" s="10"/>
      <c r="J333" s="10"/>
      <c r="K333" s="10"/>
      <c r="L333" s="10">
        <f ca="1">VLOOKUP(dict_DQ_Meth_max[[#This Row],[ID_DataQualities]],table_DataQualities[],8,FALSE)</f>
        <v>0.10199999999999999</v>
      </c>
      <c r="M333" s="10">
        <f ca="1">VLOOKUP(dict_DQ_Meth_max[[#This Row],[ID_DataQualities]],table_DataQualities[],9,FALSE)</f>
        <v>8962.9</v>
      </c>
    </row>
    <row r="334" spans="1:13" x14ac:dyDescent="0.45">
      <c r="A334" s="10">
        <v>89</v>
      </c>
      <c r="B334" s="10">
        <v>392</v>
      </c>
      <c r="C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4" s="10"/>
      <c r="E334" s="10"/>
      <c r="F334" s="12">
        <f ca="1">(RANDBETWEEN(0,50)/100)*(dict_DQ_Meth_max[[#This Row],[Vergleich_ub]]-dict_DQ_Meth_max[[#This Row],[Vergleich_lb]])+dict_DQ_Meth_max[[#This Row],[Vergleich_lb]]</f>
        <v>1.1875199999999999</v>
      </c>
      <c r="G334" s="12">
        <f ca="1">(RANDBETWEEN(50,100)/100)*(dict_DQ_Meth_max[[#This Row],[Vergleich_ub]]-dict_DQ_Meth_max[[#This Row],[Vergleich_lb]])+dict_DQ_Meth_max[[#This Row],[Vergleich_lb]]</f>
        <v>7.6190100000000003</v>
      </c>
      <c r="H334" s="11" t="str">
        <f ca="1">VLOOKUP(VLOOKUP(dict_DQ_Meth_max[[#This Row],[ID_DataQualities]],table_DataQualities[],3),table_Units[],2)</f>
        <v>+/- mm</v>
      </c>
      <c r="I334" s="10"/>
      <c r="J334" s="10"/>
      <c r="K334" s="10"/>
      <c r="L334" s="10">
        <f ca="1">VLOOKUP(dict_DQ_Meth_max[[#This Row],[ID_DataQualities]],table_DataQualities[],8,FALSE)</f>
        <v>6.9000000000000006E-2</v>
      </c>
      <c r="M334" s="10">
        <f ca="1">VLOOKUP(dict_DQ_Meth_max[[#This Row],[ID_DataQualities]],table_DataQualities[],9,FALSE)</f>
        <v>9.39</v>
      </c>
    </row>
    <row r="335" spans="1:13" x14ac:dyDescent="0.45">
      <c r="A335" s="10">
        <v>89</v>
      </c>
      <c r="B335" s="10">
        <v>413</v>
      </c>
      <c r="C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5" s="10"/>
      <c r="E335" s="10"/>
      <c r="F335" s="12">
        <f ca="1">(RANDBETWEEN(0,50)/100)*(dict_DQ_Meth_max[[#This Row],[Vergleich_ub]]-dict_DQ_Meth_max[[#This Row],[Vergleich_lb]])+dict_DQ_Meth_max[[#This Row],[Vergleich_lb]]</f>
        <v>2.5856699999999999</v>
      </c>
      <c r="G335" s="12">
        <f ca="1">(RANDBETWEEN(50,100)/100)*(dict_DQ_Meth_max[[#This Row],[Vergleich_ub]]-dict_DQ_Meth_max[[#This Row],[Vergleich_lb]])+dict_DQ_Meth_max[[#This Row],[Vergleich_lb]]</f>
        <v>5.1023399999999999</v>
      </c>
      <c r="H335" s="11" t="str">
        <f ca="1">VLOOKUP(VLOOKUP(dict_DQ_Meth_max[[#This Row],[ID_DataQualities]],table_DataQualities[],3),table_Units[],2)</f>
        <v>+/- mm</v>
      </c>
      <c r="I335" s="10"/>
      <c r="J335" s="10"/>
      <c r="K335" s="10"/>
      <c r="L335" s="10">
        <f ca="1">VLOOKUP(dict_DQ_Meth_max[[#This Row],[ID_DataQualities]],table_DataQualities[],8,FALSE)</f>
        <v>6.9000000000000006E-2</v>
      </c>
      <c r="M335" s="10">
        <f ca="1">VLOOKUP(dict_DQ_Meth_max[[#This Row],[ID_DataQualities]],table_DataQualities[],9,FALSE)</f>
        <v>9.39</v>
      </c>
    </row>
    <row r="336" spans="1:13" x14ac:dyDescent="0.45">
      <c r="A336" s="10">
        <v>89</v>
      </c>
      <c r="B336" s="10">
        <v>642</v>
      </c>
      <c r="C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6" s="10"/>
      <c r="E336" s="10"/>
      <c r="F336" s="12">
        <f ca="1">(RANDBETWEEN(0,50)/100)*(dict_DQ_Meth_max[[#This Row],[Vergleich_ub]]-dict_DQ_Meth_max[[#This Row],[Vergleich_lb]])+dict_DQ_Meth_max[[#This Row],[Vergleich_lb]]</f>
        <v>3.8906099999999997</v>
      </c>
      <c r="G336" s="12">
        <f ca="1">(RANDBETWEEN(50,100)/100)*(dict_DQ_Meth_max[[#This Row],[Vergleich_ub]]-dict_DQ_Meth_max[[#This Row],[Vergleich_lb]])+dict_DQ_Meth_max[[#This Row],[Vergleich_lb]]</f>
        <v>5.1955499999999999</v>
      </c>
      <c r="H336" s="11" t="str">
        <f ca="1">VLOOKUP(VLOOKUP(dict_DQ_Meth_max[[#This Row],[ID_DataQualities]],table_DataQualities[],3),table_Units[],2)</f>
        <v>+/- mm</v>
      </c>
      <c r="I336" s="10"/>
      <c r="J336" s="10"/>
      <c r="K336" s="10"/>
      <c r="L336" s="10">
        <f ca="1">VLOOKUP(dict_DQ_Meth_max[[#This Row],[ID_DataQualities]],table_DataQualities[],8,FALSE)</f>
        <v>6.9000000000000006E-2</v>
      </c>
      <c r="M336" s="10">
        <f ca="1">VLOOKUP(dict_DQ_Meth_max[[#This Row],[ID_DataQualities]],table_DataQualities[],9,FALSE)</f>
        <v>9.39</v>
      </c>
    </row>
    <row r="337" spans="1:13" x14ac:dyDescent="0.45">
      <c r="A337" s="10">
        <v>89</v>
      </c>
      <c r="B337" s="10">
        <v>674</v>
      </c>
      <c r="C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7" s="10"/>
      <c r="E337" s="10"/>
      <c r="F337" s="12">
        <f ca="1">(RANDBETWEEN(0,50)/100)*(dict_DQ_Meth_max[[#This Row],[Vergleich_ub]]-dict_DQ_Meth_max[[#This Row],[Vergleich_lb]])+dict_DQ_Meth_max[[#This Row],[Vergleich_lb]]</f>
        <v>0.16221000000000002</v>
      </c>
      <c r="G337" s="12">
        <f ca="1">(RANDBETWEEN(50,100)/100)*(dict_DQ_Meth_max[[#This Row],[Vergleich_ub]]-dict_DQ_Meth_max[[#This Row],[Vergleich_lb]])+dict_DQ_Meth_max[[#This Row],[Vergleich_lb]]</f>
        <v>4.9159199999999998</v>
      </c>
      <c r="H337" s="11" t="str">
        <f ca="1">VLOOKUP(VLOOKUP(dict_DQ_Meth_max[[#This Row],[ID_DataQualities]],table_DataQualities[],3),table_Units[],2)</f>
        <v>+/- mm</v>
      </c>
      <c r="I337" s="10"/>
      <c r="J337" s="10"/>
      <c r="K337" s="10"/>
      <c r="L337" s="10">
        <f ca="1">VLOOKUP(dict_DQ_Meth_max[[#This Row],[ID_DataQualities]],table_DataQualities[],8,FALSE)</f>
        <v>6.9000000000000006E-2</v>
      </c>
      <c r="M337" s="10">
        <f ca="1">VLOOKUP(dict_DQ_Meth_max[[#This Row],[ID_DataQualities]],table_DataQualities[],9,FALSE)</f>
        <v>9.39</v>
      </c>
    </row>
    <row r="338" spans="1:13" x14ac:dyDescent="0.45">
      <c r="A338" s="10">
        <v>90</v>
      </c>
      <c r="B338" s="10">
        <v>682</v>
      </c>
      <c r="C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8" s="10"/>
      <c r="E338" s="10"/>
      <c r="F338" s="12">
        <f ca="1">(RANDBETWEEN(0,50)/100)*(dict_DQ_Meth_max[[#This Row],[Vergleich_ub]]-dict_DQ_Meth_max[[#This Row],[Vergleich_lb]])+dict_DQ_Meth_max[[#This Row],[Vergleich_lb]]</f>
        <v>1857.5509499999998</v>
      </c>
      <c r="G338" s="12">
        <f ca="1">(RANDBETWEEN(50,100)/100)*(dict_DQ_Meth_max[[#This Row],[Vergleich_ub]]-dict_DQ_Meth_max[[#This Row],[Vergleich_lb]])+dict_DQ_Meth_max[[#This Row],[Vergleich_lb]]</f>
        <v>5040.27315</v>
      </c>
      <c r="H338" s="11" t="str">
        <f ca="1">VLOOKUP(VLOOKUP(dict_DQ_Meth_max[[#This Row],[ID_DataQualities]],table_DataQualities[],3),table_Units[],2)</f>
        <v>Hz</v>
      </c>
      <c r="I338" s="10"/>
      <c r="J338" s="10"/>
      <c r="K338" s="10"/>
      <c r="L338" s="10">
        <f ca="1">VLOOKUP(dict_DQ_Meth_max[[#This Row],[ID_DataQualities]],table_DataQualities[],8,FALSE)</f>
        <v>0.96299999999999997</v>
      </c>
      <c r="M338" s="10">
        <f ca="1">VLOOKUP(dict_DQ_Meth_max[[#This Row],[ID_DataQualities]],table_DataQualities[],9,FALSE)</f>
        <v>5305.5</v>
      </c>
    </row>
    <row r="339" spans="1:13" x14ac:dyDescent="0.45">
      <c r="A339" s="10">
        <v>90</v>
      </c>
      <c r="B339" s="10">
        <v>209</v>
      </c>
      <c r="C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39" s="10"/>
      <c r="E339" s="10"/>
      <c r="F339" s="12">
        <f ca="1">(RANDBETWEEN(0,50)/100)*(dict_DQ_Meth_max[[#This Row],[Vergleich_ub]]-dict_DQ_Meth_max[[#This Row],[Vergleich_lb]])+dict_DQ_Meth_max[[#This Row],[Vergleich_lb]]</f>
        <v>478.37133</v>
      </c>
      <c r="G339" s="12">
        <f ca="1">(RANDBETWEEN(50,100)/100)*(dict_DQ_Meth_max[[#This Row],[Vergleich_ub]]-dict_DQ_Meth_max[[#This Row],[Vergleich_lb]])+dict_DQ_Meth_max[[#This Row],[Vergleich_lb]]</f>
        <v>2918.4583500000008</v>
      </c>
      <c r="H339" s="11" t="str">
        <f ca="1">VLOOKUP(VLOOKUP(dict_DQ_Meth_max[[#This Row],[ID_DataQualities]],table_DataQualities[],3),table_Units[],2)</f>
        <v>Hz</v>
      </c>
      <c r="I339" s="10"/>
      <c r="J339" s="10"/>
      <c r="K339" s="10"/>
      <c r="L339" s="10">
        <f ca="1">VLOOKUP(dict_DQ_Meth_max[[#This Row],[ID_DataQualities]],table_DataQualities[],8,FALSE)</f>
        <v>0.96299999999999997</v>
      </c>
      <c r="M339" s="10">
        <f ca="1">VLOOKUP(dict_DQ_Meth_max[[#This Row],[ID_DataQualities]],table_DataQualities[],9,FALSE)</f>
        <v>5305.5</v>
      </c>
    </row>
    <row r="340" spans="1:13" x14ac:dyDescent="0.45">
      <c r="A340" s="10">
        <v>90</v>
      </c>
      <c r="B340" s="10">
        <v>434</v>
      </c>
      <c r="C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0" s="10"/>
      <c r="E340" s="10"/>
      <c r="F340" s="12">
        <f ca="1">(RANDBETWEEN(0,50)/100)*(dict_DQ_Meth_max[[#This Row],[Vergleich_ub]]-dict_DQ_Meth_max[[#This Row],[Vergleich_lb]])+dict_DQ_Meth_max[[#This Row],[Vergleich_lb]]</f>
        <v>743.59818000000007</v>
      </c>
      <c r="G340" s="12">
        <f ca="1">(RANDBETWEEN(50,100)/100)*(dict_DQ_Meth_max[[#This Row],[Vergleich_ub]]-dict_DQ_Meth_max[[#This Row],[Vergleich_lb]])+dict_DQ_Meth_max[[#This Row],[Vergleich_lb]]</f>
        <v>4032.4111200000007</v>
      </c>
      <c r="H340" s="11" t="str">
        <f ca="1">VLOOKUP(VLOOKUP(dict_DQ_Meth_max[[#This Row],[ID_DataQualities]],table_DataQualities[],3),table_Units[],2)</f>
        <v>Hz</v>
      </c>
      <c r="I340" s="10"/>
      <c r="J340" s="10"/>
      <c r="K340" s="10"/>
      <c r="L340" s="10">
        <f ca="1">VLOOKUP(dict_DQ_Meth_max[[#This Row],[ID_DataQualities]],table_DataQualities[],8,FALSE)</f>
        <v>0.96299999999999997</v>
      </c>
      <c r="M340" s="10">
        <f ca="1">VLOOKUP(dict_DQ_Meth_max[[#This Row],[ID_DataQualities]],table_DataQualities[],9,FALSE)</f>
        <v>5305.5</v>
      </c>
    </row>
    <row r="341" spans="1:13" x14ac:dyDescent="0.45">
      <c r="A341" s="10">
        <v>91</v>
      </c>
      <c r="B341" s="10">
        <v>682</v>
      </c>
      <c r="C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1" s="10"/>
      <c r="E341" s="10"/>
      <c r="F341" s="12">
        <f ca="1">(RANDBETWEEN(0,50)/100)*(dict_DQ_Meth_max[[#This Row],[Vergleich_ub]]-dict_DQ_Meth_max[[#This Row],[Vergleich_lb]])+dict_DQ_Meth_max[[#This Row],[Vergleich_lb]]</f>
        <v>940.30000000000007</v>
      </c>
      <c r="G341" s="12">
        <f ca="1">(RANDBETWEEN(50,100)/100)*(dict_DQ_Meth_max[[#This Row],[Vergleich_ub]]-dict_DQ_Meth_max[[#This Row],[Vergleich_lb]])+dict_DQ_Meth_max[[#This Row],[Vergleich_lb]]</f>
        <v>2264</v>
      </c>
      <c r="H341" s="11" t="str">
        <f ca="1">VLOOKUP(VLOOKUP(dict_DQ_Meth_max[[#This Row],[ID_DataQualities]],table_DataQualities[],3),table_Units[],2)</f>
        <v>bit</v>
      </c>
      <c r="I341" s="10"/>
      <c r="J341" s="10"/>
      <c r="K341" s="10"/>
      <c r="L341" s="10">
        <f ca="1">VLOOKUP(dict_DQ_Meth_max[[#This Row],[ID_DataQualities]],table_DataQualities[],8,FALSE)</f>
        <v>94</v>
      </c>
      <c r="M341" s="10">
        <f ca="1">VLOOKUP(dict_DQ_Meth_max[[#This Row],[ID_DataQualities]],table_DataQualities[],9,FALSE)</f>
        <v>2264</v>
      </c>
    </row>
    <row r="342" spans="1:13" x14ac:dyDescent="0.45">
      <c r="A342" s="10">
        <v>91</v>
      </c>
      <c r="B342" s="10">
        <v>209</v>
      </c>
      <c r="C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2" s="10"/>
      <c r="E342" s="10"/>
      <c r="F342" s="12">
        <f ca="1">(RANDBETWEEN(0,50)/100)*(dict_DQ_Meth_max[[#This Row],[Vergleich_ub]]-dict_DQ_Meth_max[[#This Row],[Vergleich_lb]])+dict_DQ_Meth_max[[#This Row],[Vergleich_lb]]</f>
        <v>180.8</v>
      </c>
      <c r="G342" s="12">
        <f ca="1">(RANDBETWEEN(50,100)/100)*(dict_DQ_Meth_max[[#This Row],[Vergleich_ub]]-dict_DQ_Meth_max[[#This Row],[Vergleich_lb]])+dict_DQ_Meth_max[[#This Row],[Vergleich_lb]]</f>
        <v>2133.8000000000002</v>
      </c>
      <c r="H342" s="11" t="str">
        <f ca="1">VLOOKUP(VLOOKUP(dict_DQ_Meth_max[[#This Row],[ID_DataQualities]],table_DataQualities[],3),table_Units[],2)</f>
        <v>bit</v>
      </c>
      <c r="I342" s="10"/>
      <c r="J342" s="10"/>
      <c r="K342" s="10"/>
      <c r="L342" s="10">
        <f ca="1">VLOOKUP(dict_DQ_Meth_max[[#This Row],[ID_DataQualities]],table_DataQualities[],8,FALSE)</f>
        <v>94</v>
      </c>
      <c r="M342" s="10">
        <f ca="1">VLOOKUP(dict_DQ_Meth_max[[#This Row],[ID_DataQualities]],table_DataQualities[],9,FALSE)</f>
        <v>2264</v>
      </c>
    </row>
    <row r="343" spans="1:13" x14ac:dyDescent="0.45">
      <c r="A343" s="10">
        <v>91</v>
      </c>
      <c r="B343" s="10">
        <v>434</v>
      </c>
      <c r="C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3" s="10"/>
      <c r="E343" s="10"/>
      <c r="F343" s="12">
        <f ca="1">(RANDBETWEEN(0,50)/100)*(dict_DQ_Meth_max[[#This Row],[Vergleich_ub]]-dict_DQ_Meth_max[[#This Row],[Vergleich_lb]])+dict_DQ_Meth_max[[#This Row],[Vergleich_lb]]</f>
        <v>1027.0999999999999</v>
      </c>
      <c r="G343" s="12">
        <f ca="1">(RANDBETWEEN(50,100)/100)*(dict_DQ_Meth_max[[#This Row],[Vergleich_ub]]-dict_DQ_Meth_max[[#This Row],[Vergleich_lb]])+dict_DQ_Meth_max[[#This Row],[Vergleich_lb]]</f>
        <v>1613</v>
      </c>
      <c r="H343" s="11" t="str">
        <f ca="1">VLOOKUP(VLOOKUP(dict_DQ_Meth_max[[#This Row],[ID_DataQualities]],table_DataQualities[],3),table_Units[],2)</f>
        <v>bit</v>
      </c>
      <c r="I343" s="10"/>
      <c r="J343" s="10"/>
      <c r="K343" s="10"/>
      <c r="L343" s="10">
        <f ca="1">VLOOKUP(dict_DQ_Meth_max[[#This Row],[ID_DataQualities]],table_DataQualities[],8,FALSE)</f>
        <v>94</v>
      </c>
      <c r="M343" s="10">
        <f ca="1">VLOOKUP(dict_DQ_Meth_max[[#This Row],[ID_DataQualities]],table_DataQualities[],9,FALSE)</f>
        <v>2264</v>
      </c>
    </row>
    <row r="344" spans="1:13" x14ac:dyDescent="0.45">
      <c r="A344" s="10">
        <v>92</v>
      </c>
      <c r="B344" s="10">
        <v>389</v>
      </c>
      <c r="C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4" s="10"/>
      <c r="E344" s="10"/>
      <c r="F344" s="12">
        <f ca="1">(RANDBETWEEN(0,50)/100)*(dict_DQ_Meth_max[[#This Row],[Vergleich_ub]]-dict_DQ_Meth_max[[#This Row],[Vergleich_lb]])+dict_DQ_Meth_max[[#This Row],[Vergleich_lb]]</f>
        <v>124.93207999999998</v>
      </c>
      <c r="G344" s="12">
        <f ca="1">(RANDBETWEEN(50,100)/100)*(dict_DQ_Meth_max[[#This Row],[Vergleich_ub]]-dict_DQ_Meth_max[[#This Row],[Vergleich_lb]])+dict_DQ_Meth_max[[#This Row],[Vergleich_lb]]</f>
        <v>914.00891999999999</v>
      </c>
      <c r="H344" s="11" t="str">
        <f ca="1">VLOOKUP(VLOOKUP(dict_DQ_Meth_max[[#This Row],[ID_DataQualities]],table_DataQualities[],3),table_Units[],2)</f>
        <v>Hz</v>
      </c>
      <c r="I344" s="10"/>
      <c r="J344" s="10"/>
      <c r="K344" s="10"/>
      <c r="L344" s="10">
        <f ca="1">VLOOKUP(dict_DQ_Meth_max[[#This Row],[ID_DataQualities]],table_DataQualities[],8,FALSE)</f>
        <v>0.34100000000000003</v>
      </c>
      <c r="M344" s="10">
        <f ca="1">VLOOKUP(dict_DQ_Meth_max[[#This Row],[ID_DataQualities]],table_DataQualities[],9,FALSE)</f>
        <v>1038.5999999999999</v>
      </c>
    </row>
    <row r="345" spans="1:13" x14ac:dyDescent="0.45">
      <c r="A345" s="10">
        <v>92</v>
      </c>
      <c r="B345" s="10">
        <v>604</v>
      </c>
      <c r="C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5" s="10"/>
      <c r="E345" s="10"/>
      <c r="F345" s="12">
        <f ca="1">(RANDBETWEEN(0,50)/100)*(dict_DQ_Meth_max[[#This Row],[Vergleich_ub]]-dict_DQ_Meth_max[[#This Row],[Vergleich_lb]])+dict_DQ_Meth_max[[#This Row],[Vergleich_lb]]</f>
        <v>218.37539000000001</v>
      </c>
      <c r="G345" s="12">
        <f ca="1">(RANDBETWEEN(50,100)/100)*(dict_DQ_Meth_max[[#This Row],[Vergleich_ub]]-dict_DQ_Meth_max[[#This Row],[Vergleich_lb]])+dict_DQ_Meth_max[[#This Row],[Vergleich_lb]]</f>
        <v>747.88747999999998</v>
      </c>
      <c r="H345" s="11" t="str">
        <f ca="1">VLOOKUP(VLOOKUP(dict_DQ_Meth_max[[#This Row],[ID_DataQualities]],table_DataQualities[],3),table_Units[],2)</f>
        <v>Hz</v>
      </c>
      <c r="I345" s="10"/>
      <c r="J345" s="10"/>
      <c r="K345" s="10"/>
      <c r="L345" s="10">
        <f ca="1">VLOOKUP(dict_DQ_Meth_max[[#This Row],[ID_DataQualities]],table_DataQualities[],8,FALSE)</f>
        <v>0.34100000000000003</v>
      </c>
      <c r="M345" s="10">
        <f ca="1">VLOOKUP(dict_DQ_Meth_max[[#This Row],[ID_DataQualities]],table_DataQualities[],9,FALSE)</f>
        <v>1038.5999999999999</v>
      </c>
    </row>
    <row r="346" spans="1:13" x14ac:dyDescent="0.45">
      <c r="A346" s="10">
        <v>92</v>
      </c>
      <c r="B346" s="10">
        <v>309</v>
      </c>
      <c r="C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6" s="10"/>
      <c r="E346" s="10"/>
      <c r="F346" s="12">
        <f ca="1">(RANDBETWEEN(0,50)/100)*(dict_DQ_Meth_max[[#This Row],[Vergleich_ub]]-dict_DQ_Meth_max[[#This Row],[Vergleich_lb]])+dict_DQ_Meth_max[[#This Row],[Vergleich_lb]]</f>
        <v>249.52315999999999</v>
      </c>
      <c r="G346" s="12">
        <f ca="1">(RANDBETWEEN(50,100)/100)*(dict_DQ_Meth_max[[#This Row],[Vergleich_ub]]-dict_DQ_Meth_max[[#This Row],[Vergleich_lb]])+dict_DQ_Meth_max[[#This Row],[Vergleich_lb]]</f>
        <v>581.76604000000009</v>
      </c>
      <c r="H346" s="11" t="str">
        <f ca="1">VLOOKUP(VLOOKUP(dict_DQ_Meth_max[[#This Row],[ID_DataQualities]],table_DataQualities[],3),table_Units[],2)</f>
        <v>Hz</v>
      </c>
      <c r="I346" s="10"/>
      <c r="J346" s="10"/>
      <c r="K346" s="10"/>
      <c r="L346" s="10">
        <f ca="1">VLOOKUP(dict_DQ_Meth_max[[#This Row],[ID_DataQualities]],table_DataQualities[],8,FALSE)</f>
        <v>0.34100000000000003</v>
      </c>
      <c r="M346" s="10">
        <f ca="1">VLOOKUP(dict_DQ_Meth_max[[#This Row],[ID_DataQualities]],table_DataQualities[],9,FALSE)</f>
        <v>1038.5999999999999</v>
      </c>
    </row>
    <row r="347" spans="1:13" x14ac:dyDescent="0.45">
      <c r="A347" s="10">
        <v>92</v>
      </c>
      <c r="B347" s="10">
        <v>511</v>
      </c>
      <c r="C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7" s="10"/>
      <c r="E347" s="10"/>
      <c r="F347" s="12">
        <f ca="1">(RANDBETWEEN(0,50)/100)*(dict_DQ_Meth_max[[#This Row],[Vergleich_ub]]-dict_DQ_Meth_max[[#This Row],[Vergleich_lb]])+dict_DQ_Meth_max[[#This Row],[Vergleich_lb]]</f>
        <v>270.28834000000001</v>
      </c>
      <c r="G347" s="12">
        <f ca="1">(RANDBETWEEN(50,100)/100)*(dict_DQ_Meth_max[[#This Row],[Vergleich_ub]]-dict_DQ_Meth_max[[#This Row],[Vergleich_lb]])+dict_DQ_Meth_max[[#This Row],[Vergleich_lb]]</f>
        <v>540.23568</v>
      </c>
      <c r="H347" s="11" t="str">
        <f ca="1">VLOOKUP(VLOOKUP(dict_DQ_Meth_max[[#This Row],[ID_DataQualities]],table_DataQualities[],3),table_Units[],2)</f>
        <v>Hz</v>
      </c>
      <c r="I347" s="10"/>
      <c r="J347" s="10"/>
      <c r="K347" s="10"/>
      <c r="L347" s="10">
        <f ca="1">VLOOKUP(dict_DQ_Meth_max[[#This Row],[ID_DataQualities]],table_DataQualities[],8,FALSE)</f>
        <v>0.34100000000000003</v>
      </c>
      <c r="M347" s="10">
        <f ca="1">VLOOKUP(dict_DQ_Meth_max[[#This Row],[ID_DataQualities]],table_DataQualities[],9,FALSE)</f>
        <v>1038.5999999999999</v>
      </c>
    </row>
    <row r="348" spans="1:13" x14ac:dyDescent="0.45">
      <c r="A348" s="10">
        <v>92</v>
      </c>
      <c r="B348" s="10">
        <v>332</v>
      </c>
      <c r="C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8" s="10"/>
      <c r="E348" s="10"/>
      <c r="F348" s="12">
        <f ca="1">(RANDBETWEEN(0,50)/100)*(dict_DQ_Meth_max[[#This Row],[Vergleich_ub]]-dict_DQ_Meth_max[[#This Row],[Vergleich_lb]])+dict_DQ_Meth_max[[#This Row],[Vergleich_lb]]</f>
        <v>93.784309999999991</v>
      </c>
      <c r="G348" s="12">
        <f ca="1">(RANDBETWEEN(50,100)/100)*(dict_DQ_Meth_max[[#This Row],[Vergleich_ub]]-dict_DQ_Meth_max[[#This Row],[Vergleich_lb]])+dict_DQ_Meth_max[[#This Row],[Vergleich_lb]]</f>
        <v>934.77410000000009</v>
      </c>
      <c r="H348" s="11" t="str">
        <f ca="1">VLOOKUP(VLOOKUP(dict_DQ_Meth_max[[#This Row],[ID_DataQualities]],table_DataQualities[],3),table_Units[],2)</f>
        <v>Hz</v>
      </c>
      <c r="I348" s="10"/>
      <c r="J348" s="10"/>
      <c r="K348" s="10"/>
      <c r="L348" s="10">
        <f ca="1">VLOOKUP(dict_DQ_Meth_max[[#This Row],[ID_DataQualities]],table_DataQualities[],8,FALSE)</f>
        <v>0.34100000000000003</v>
      </c>
      <c r="M348" s="10">
        <f ca="1">VLOOKUP(dict_DQ_Meth_max[[#This Row],[ID_DataQualities]],table_DataQualities[],9,FALSE)</f>
        <v>1038.5999999999999</v>
      </c>
    </row>
    <row r="349" spans="1:13" x14ac:dyDescent="0.45">
      <c r="A349" s="10">
        <v>93</v>
      </c>
      <c r="B349" s="10">
        <v>389</v>
      </c>
      <c r="C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49" s="10"/>
      <c r="E349" s="10"/>
      <c r="F349" s="12">
        <f ca="1">(RANDBETWEEN(0,50)/100)*(dict_DQ_Meth_max[[#This Row],[Vergleich_ub]]-dict_DQ_Meth_max[[#This Row],[Vergleich_lb]])+dict_DQ_Meth_max[[#This Row],[Vergleich_lb]]</f>
        <v>2.3544800000000001</v>
      </c>
      <c r="G349" s="12">
        <f ca="1">(RANDBETWEEN(50,100)/100)*(dict_DQ_Meth_max[[#This Row],[Vergleich_ub]]-dict_DQ_Meth_max[[#This Row],[Vergleich_lb]])+dict_DQ_Meth_max[[#This Row],[Vergleich_lb]]</f>
        <v>6.024519999999999</v>
      </c>
      <c r="H349" s="11" t="str">
        <f ca="1">VLOOKUP(VLOOKUP(dict_DQ_Meth_max[[#This Row],[ID_DataQualities]],table_DataQualities[],3),table_Units[],2)</f>
        <v>+/- mm</v>
      </c>
      <c r="I349" s="10"/>
      <c r="J349" s="10"/>
      <c r="K349" s="10"/>
      <c r="L349" s="10">
        <f ca="1">VLOOKUP(dict_DQ_Meth_max[[#This Row],[ID_DataQualities]],table_DataQualities[],8,FALSE)</f>
        <v>1.9E-2</v>
      </c>
      <c r="M349" s="10">
        <f ca="1">VLOOKUP(dict_DQ_Meth_max[[#This Row],[ID_DataQualities]],table_DataQualities[],9,FALSE)</f>
        <v>8.36</v>
      </c>
    </row>
    <row r="350" spans="1:13" x14ac:dyDescent="0.45">
      <c r="A350" s="10">
        <v>93</v>
      </c>
      <c r="B350" s="10">
        <v>332</v>
      </c>
      <c r="C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0" s="10"/>
      <c r="E350" s="10"/>
      <c r="F350" s="12">
        <f ca="1">(RANDBETWEEN(0,50)/100)*(dict_DQ_Meth_max[[#This Row],[Vergleich_ub]]-dict_DQ_Meth_max[[#This Row],[Vergleich_lb]])+dict_DQ_Meth_max[[#This Row],[Vergleich_lb]]</f>
        <v>2.0208399999999997</v>
      </c>
      <c r="G350" s="12">
        <f ca="1">(RANDBETWEEN(50,100)/100)*(dict_DQ_Meth_max[[#This Row],[Vergleich_ub]]-dict_DQ_Meth_max[[#This Row],[Vergleich_lb]])+dict_DQ_Meth_max[[#This Row],[Vergleich_lb]]</f>
        <v>7.0254399999999997</v>
      </c>
      <c r="H350" s="11" t="str">
        <f ca="1">VLOOKUP(VLOOKUP(dict_DQ_Meth_max[[#This Row],[ID_DataQualities]],table_DataQualities[],3),table_Units[],2)</f>
        <v>+/- mm</v>
      </c>
      <c r="I350" s="10"/>
      <c r="J350" s="10"/>
      <c r="K350" s="10"/>
      <c r="L350" s="10">
        <f ca="1">VLOOKUP(dict_DQ_Meth_max[[#This Row],[ID_DataQualities]],table_DataQualities[],8,FALSE)</f>
        <v>1.9E-2</v>
      </c>
      <c r="M350" s="10">
        <f ca="1">VLOOKUP(dict_DQ_Meth_max[[#This Row],[ID_DataQualities]],table_DataQualities[],9,FALSE)</f>
        <v>8.36</v>
      </c>
    </row>
    <row r="351" spans="1:13" x14ac:dyDescent="0.45">
      <c r="A351" s="10">
        <v>93</v>
      </c>
      <c r="B351" s="10">
        <v>511</v>
      </c>
      <c r="C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1" s="10"/>
      <c r="E351" s="10"/>
      <c r="F351" s="12">
        <f ca="1">(RANDBETWEEN(0,50)/100)*(dict_DQ_Meth_max[[#This Row],[Vergleich_ub]]-dict_DQ_Meth_max[[#This Row],[Vergleich_lb]])+dict_DQ_Meth_max[[#This Row],[Vergleich_lb]]</f>
        <v>1.7706099999999998</v>
      </c>
      <c r="G351" s="12">
        <f ca="1">(RANDBETWEEN(50,100)/100)*(dict_DQ_Meth_max[[#This Row],[Vergleich_ub]]-dict_DQ_Meth_max[[#This Row],[Vergleich_lb]])+dict_DQ_Meth_max[[#This Row],[Vergleich_lb]]</f>
        <v>8.1097699999999993</v>
      </c>
      <c r="H351" s="11" t="str">
        <f ca="1">VLOOKUP(VLOOKUP(dict_DQ_Meth_max[[#This Row],[ID_DataQualities]],table_DataQualities[],3),table_Units[],2)</f>
        <v>+/- mm</v>
      </c>
      <c r="I351" s="10"/>
      <c r="J351" s="10"/>
      <c r="K351" s="10"/>
      <c r="L351" s="10">
        <f ca="1">VLOOKUP(dict_DQ_Meth_max[[#This Row],[ID_DataQualities]],table_DataQualities[],8,FALSE)</f>
        <v>1.9E-2</v>
      </c>
      <c r="M351" s="10">
        <f ca="1">VLOOKUP(dict_DQ_Meth_max[[#This Row],[ID_DataQualities]],table_DataQualities[],9,FALSE)</f>
        <v>8.36</v>
      </c>
    </row>
    <row r="352" spans="1:13" x14ac:dyDescent="0.45">
      <c r="A352" s="10">
        <v>93</v>
      </c>
      <c r="B352" s="10">
        <v>604</v>
      </c>
      <c r="C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2" s="10"/>
      <c r="E352" s="10"/>
      <c r="F352" s="12">
        <f ca="1">(RANDBETWEEN(0,50)/100)*(dict_DQ_Meth_max[[#This Row],[Vergleich_ub]]-dict_DQ_Meth_max[[#This Row],[Vergleich_lb]])+dict_DQ_Meth_max[[#This Row],[Vergleich_lb]]</f>
        <v>0.26922999999999997</v>
      </c>
      <c r="G352" s="12">
        <f ca="1">(RANDBETWEEN(50,100)/100)*(dict_DQ_Meth_max[[#This Row],[Vergleich_ub]]-dict_DQ_Meth_max[[#This Row],[Vergleich_lb]])+dict_DQ_Meth_max[[#This Row],[Vergleich_lb]]</f>
        <v>5.7742899999999988</v>
      </c>
      <c r="H352" s="11" t="str">
        <f ca="1">VLOOKUP(VLOOKUP(dict_DQ_Meth_max[[#This Row],[ID_DataQualities]],table_DataQualities[],3),table_Units[],2)</f>
        <v>+/- mm</v>
      </c>
      <c r="I352" s="10"/>
      <c r="J352" s="10"/>
      <c r="K352" s="10"/>
      <c r="L352" s="10">
        <f ca="1">VLOOKUP(dict_DQ_Meth_max[[#This Row],[ID_DataQualities]],table_DataQualities[],8,FALSE)</f>
        <v>1.9E-2</v>
      </c>
      <c r="M352" s="10">
        <f ca="1">VLOOKUP(dict_DQ_Meth_max[[#This Row],[ID_DataQualities]],table_DataQualities[],9,FALSE)</f>
        <v>8.36</v>
      </c>
    </row>
    <row r="353" spans="1:13" x14ac:dyDescent="0.45">
      <c r="A353" s="10">
        <v>93</v>
      </c>
      <c r="B353" s="10">
        <v>309</v>
      </c>
      <c r="C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3" s="10"/>
      <c r="E353" s="10"/>
      <c r="F353" s="12">
        <f ca="1">(RANDBETWEEN(0,50)/100)*(dict_DQ_Meth_max[[#This Row],[Vergleich_ub]]-dict_DQ_Meth_max[[#This Row],[Vergleich_lb]])+dict_DQ_Meth_max[[#This Row],[Vergleich_lb]]</f>
        <v>1.7706099999999998</v>
      </c>
      <c r="G353" s="12">
        <f ca="1">(RANDBETWEEN(50,100)/100)*(dict_DQ_Meth_max[[#This Row],[Vergleich_ub]]-dict_DQ_Meth_max[[#This Row],[Vergleich_lb]])+dict_DQ_Meth_max[[#This Row],[Vergleich_lb]]</f>
        <v>6.024519999999999</v>
      </c>
      <c r="H353" s="11" t="str">
        <f ca="1">VLOOKUP(VLOOKUP(dict_DQ_Meth_max[[#This Row],[ID_DataQualities]],table_DataQualities[],3),table_Units[],2)</f>
        <v>+/- mm</v>
      </c>
      <c r="I353" s="10"/>
      <c r="J353" s="10"/>
      <c r="K353" s="10"/>
      <c r="L353" s="10">
        <f ca="1">VLOOKUP(dict_DQ_Meth_max[[#This Row],[ID_DataQualities]],table_DataQualities[],8,FALSE)</f>
        <v>1.9E-2</v>
      </c>
      <c r="M353" s="10">
        <f ca="1">VLOOKUP(dict_DQ_Meth_max[[#This Row],[ID_DataQualities]],table_DataQualities[],9,FALSE)</f>
        <v>8.36</v>
      </c>
    </row>
    <row r="354" spans="1:13" x14ac:dyDescent="0.45">
      <c r="A354" s="10">
        <v>94</v>
      </c>
      <c r="B354" s="10">
        <v>9</v>
      </c>
      <c r="C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4" s="10"/>
      <c r="E354" s="10"/>
      <c r="F354" s="12">
        <f ca="1">(RANDBETWEEN(0,50)/100)*(dict_DQ_Meth_max[[#This Row],[Vergleich_ub]]-dict_DQ_Meth_max[[#This Row],[Vergleich_lb]])+dict_DQ_Meth_max[[#This Row],[Vergleich_lb]]</f>
        <v>972.09480000000008</v>
      </c>
      <c r="G354" s="12">
        <f ca="1">(RANDBETWEEN(50,100)/100)*(dict_DQ_Meth_max[[#This Row],[Vergleich_ub]]-dict_DQ_Meth_max[[#This Row],[Vergleich_lb]])+dict_DQ_Meth_max[[#This Row],[Vergleich_lb]]</f>
        <v>7287.643</v>
      </c>
      <c r="H354" s="11" t="str">
        <f ca="1">VLOOKUP(VLOOKUP(dict_DQ_Meth_max[[#This Row],[ID_DataQualities]],table_DataQualities[],3),table_Units[],2)</f>
        <v>Hz</v>
      </c>
      <c r="I354" s="10"/>
      <c r="J354" s="10"/>
      <c r="K354" s="10"/>
      <c r="L354" s="10">
        <f ca="1">VLOOKUP(dict_DQ_Meth_max[[#This Row],[ID_DataQualities]],table_DataQualities[],8,FALSE)</f>
        <v>0.47199999999999998</v>
      </c>
      <c r="M354" s="10">
        <f ca="1">VLOOKUP(dict_DQ_Meth_max[[#This Row],[ID_DataQualities]],table_DataQualities[],9,FALSE)</f>
        <v>9716.7000000000007</v>
      </c>
    </row>
    <row r="355" spans="1:13" x14ac:dyDescent="0.45">
      <c r="A355" s="10">
        <v>94</v>
      </c>
      <c r="B355" s="10">
        <v>8</v>
      </c>
      <c r="C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5" s="10"/>
      <c r="E355" s="10"/>
      <c r="F355" s="12">
        <f ca="1">(RANDBETWEEN(0,50)/100)*(dict_DQ_Meth_max[[#This Row],[Vergleich_ub]]-dict_DQ_Meth_max[[#This Row],[Vergleich_lb]])+dict_DQ_Meth_max[[#This Row],[Vergleich_lb]]</f>
        <v>1652.2307600000004</v>
      </c>
      <c r="G355" s="12">
        <f ca="1">(RANDBETWEEN(50,100)/100)*(dict_DQ_Meth_max[[#This Row],[Vergleich_ub]]-dict_DQ_Meth_max[[#This Row],[Vergleich_lb]])+dict_DQ_Meth_max[[#This Row],[Vergleich_lb]]</f>
        <v>5150.0728400000007</v>
      </c>
      <c r="H355" s="11" t="str">
        <f ca="1">VLOOKUP(VLOOKUP(dict_DQ_Meth_max[[#This Row],[ID_DataQualities]],table_DataQualities[],3),table_Units[],2)</f>
        <v>Hz</v>
      </c>
      <c r="I355" s="10"/>
      <c r="J355" s="10"/>
      <c r="K355" s="10"/>
      <c r="L355" s="10">
        <f ca="1">VLOOKUP(dict_DQ_Meth_max[[#This Row],[ID_DataQualities]],table_DataQualities[],8,FALSE)</f>
        <v>0.47199999999999998</v>
      </c>
      <c r="M355" s="10">
        <f ca="1">VLOOKUP(dict_DQ_Meth_max[[#This Row],[ID_DataQualities]],table_DataQualities[],9,FALSE)</f>
        <v>9716.7000000000007</v>
      </c>
    </row>
    <row r="356" spans="1:13" x14ac:dyDescent="0.45">
      <c r="A356" s="10">
        <v>95</v>
      </c>
      <c r="B356" s="10">
        <v>9</v>
      </c>
      <c r="C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6" s="10"/>
      <c r="E356" s="10"/>
      <c r="F356" s="12">
        <f ca="1">(RANDBETWEEN(0,50)/100)*(dict_DQ_Meth_max[[#This Row],[Vergleich_ub]]-dict_DQ_Meth_max[[#This Row],[Vergleich_lb]])+dict_DQ_Meth_max[[#This Row],[Vergleich_lb]]</f>
        <v>9.4079999999999997E-2</v>
      </c>
      <c r="G356" s="12">
        <f ca="1">(RANDBETWEEN(50,100)/100)*(dict_DQ_Meth_max[[#This Row],[Vergleich_ub]]-dict_DQ_Meth_max[[#This Row],[Vergleich_lb]])+dict_DQ_Meth_max[[#This Row],[Vergleich_lb]]</f>
        <v>0.27072000000000002</v>
      </c>
      <c r="H356" s="11" t="str">
        <f ca="1">VLOOKUP(VLOOKUP(dict_DQ_Meth_max[[#This Row],[ID_DataQualities]],table_DataQualities[],3),table_Units[],2)</f>
        <v>+/- mm</v>
      </c>
      <c r="I356" s="10"/>
      <c r="J356" s="10"/>
      <c r="K356" s="10"/>
      <c r="L356" s="10">
        <f ca="1">VLOOKUP(dict_DQ_Meth_max[[#This Row],[ID_DataQualities]],table_DataQualities[],8,FALSE)</f>
        <v>7.1999999999999995E-2</v>
      </c>
      <c r="M356" s="10">
        <f ca="1">VLOOKUP(dict_DQ_Meth_max[[#This Row],[ID_DataQualities]],table_DataQualities[],9,FALSE)</f>
        <v>0.44</v>
      </c>
    </row>
    <row r="357" spans="1:13" x14ac:dyDescent="0.45">
      <c r="A357" s="10">
        <v>95</v>
      </c>
      <c r="B357" s="10">
        <v>8</v>
      </c>
      <c r="C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7" s="10"/>
      <c r="E357" s="10"/>
      <c r="F357" s="12">
        <f ca="1">(RANDBETWEEN(0,50)/100)*(dict_DQ_Meth_max[[#This Row],[Vergleich_ub]]-dict_DQ_Meth_max[[#This Row],[Vergleich_lb]])+dict_DQ_Meth_max[[#This Row],[Vergleich_lb]]</f>
        <v>0.18608</v>
      </c>
      <c r="G357" s="12">
        <f ca="1">(RANDBETWEEN(50,100)/100)*(dict_DQ_Meth_max[[#This Row],[Vergleich_ub]]-dict_DQ_Meth_max[[#This Row],[Vergleich_lb]])+dict_DQ_Meth_max[[#This Row],[Vergleich_lb]]</f>
        <v>0.40688000000000002</v>
      </c>
      <c r="H357" s="11" t="str">
        <f ca="1">VLOOKUP(VLOOKUP(dict_DQ_Meth_max[[#This Row],[ID_DataQualities]],table_DataQualities[],3),table_Units[],2)</f>
        <v>+/- mm</v>
      </c>
      <c r="I357" s="10"/>
      <c r="J357" s="10"/>
      <c r="K357" s="10"/>
      <c r="L357" s="10">
        <f ca="1">VLOOKUP(dict_DQ_Meth_max[[#This Row],[ID_DataQualities]],table_DataQualities[],8,FALSE)</f>
        <v>7.1999999999999995E-2</v>
      </c>
      <c r="M357" s="10">
        <f ca="1">VLOOKUP(dict_DQ_Meth_max[[#This Row],[ID_DataQualities]],table_DataQualities[],9,FALSE)</f>
        <v>0.44</v>
      </c>
    </row>
    <row r="358" spans="1:13" x14ac:dyDescent="0.45">
      <c r="A358" s="10">
        <v>96</v>
      </c>
      <c r="B358" s="10">
        <v>258</v>
      </c>
      <c r="C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8" s="10"/>
      <c r="E358" s="10"/>
      <c r="F358" s="12">
        <f ca="1">(RANDBETWEEN(0,50)/100)*(dict_DQ_Meth_max[[#This Row],[Vergleich_ub]]-dict_DQ_Meth_max[[#This Row],[Vergleich_lb]])+dict_DQ_Meth_max[[#This Row],[Vergleich_lb]]</f>
        <v>2855.34204</v>
      </c>
      <c r="G358" s="12">
        <f ca="1">(RANDBETWEEN(50,100)/100)*(dict_DQ_Meth_max[[#This Row],[Vergleich_ub]]-dict_DQ_Meth_max[[#This Row],[Vergleich_lb]])+dict_DQ_Meth_max[[#This Row],[Vergleich_lb]]</f>
        <v>3093.2849600000004</v>
      </c>
      <c r="H358" s="11" t="str">
        <f ca="1">VLOOKUP(VLOOKUP(dict_DQ_Meth_max[[#This Row],[ID_DataQualities]],table_DataQualities[],3),table_Units[],2)</f>
        <v>Hz</v>
      </c>
      <c r="I358" s="10"/>
      <c r="J358" s="10"/>
      <c r="K358" s="10"/>
      <c r="L358" s="10">
        <f ca="1">VLOOKUP(dict_DQ_Meth_max[[#This Row],[ID_DataQualities]],table_DataQualities[],8,FALSE)</f>
        <v>2.7E-2</v>
      </c>
      <c r="M358" s="10">
        <f ca="1">VLOOKUP(dict_DQ_Meth_max[[#This Row],[ID_DataQualities]],table_DataQualities[],9,FALSE)</f>
        <v>5948.6</v>
      </c>
    </row>
    <row r="359" spans="1:13" x14ac:dyDescent="0.45">
      <c r="A359" s="10">
        <v>96</v>
      </c>
      <c r="B359" s="10">
        <v>454</v>
      </c>
      <c r="C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59" s="10"/>
      <c r="E359" s="10"/>
      <c r="F359" s="12">
        <f ca="1">(RANDBETWEEN(0,50)/100)*(dict_DQ_Meth_max[[#This Row],[Vergleich_ub]]-dict_DQ_Meth_max[[#This Row],[Vergleich_lb]])+dict_DQ_Meth_max[[#This Row],[Vergleich_lb]]</f>
        <v>2498.4276600000003</v>
      </c>
      <c r="G359" s="12">
        <f ca="1">(RANDBETWEEN(50,100)/100)*(dict_DQ_Meth_max[[#This Row],[Vergleich_ub]]-dict_DQ_Meth_max[[#This Row],[Vergleich_lb]])+dict_DQ_Meth_max[[#This Row],[Vergleich_lb]]</f>
        <v>3093.2849600000004</v>
      </c>
      <c r="H359" s="11" t="str">
        <f ca="1">VLOOKUP(VLOOKUP(dict_DQ_Meth_max[[#This Row],[ID_DataQualities]],table_DataQualities[],3),table_Units[],2)</f>
        <v>Hz</v>
      </c>
      <c r="I359" s="10"/>
      <c r="J359" s="10"/>
      <c r="K359" s="10"/>
      <c r="L359" s="10">
        <f ca="1">VLOOKUP(dict_DQ_Meth_max[[#This Row],[ID_DataQualities]],table_DataQualities[],8,FALSE)</f>
        <v>2.7E-2</v>
      </c>
      <c r="M359" s="10">
        <f ca="1">VLOOKUP(dict_DQ_Meth_max[[#This Row],[ID_DataQualities]],table_DataQualities[],9,FALSE)</f>
        <v>5948.6</v>
      </c>
    </row>
    <row r="360" spans="1:13" x14ac:dyDescent="0.45">
      <c r="A360" s="10">
        <v>96</v>
      </c>
      <c r="B360" s="10">
        <v>619</v>
      </c>
      <c r="C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0" s="10"/>
      <c r="E360" s="10"/>
      <c r="F360" s="12">
        <f ca="1">(RANDBETWEEN(0,50)/100)*(dict_DQ_Meth_max[[#This Row],[Vergleich_ub]]-dict_DQ_Meth_max[[#This Row],[Vergleich_lb]])+dict_DQ_Meth_max[[#This Row],[Vergleich_lb]]</f>
        <v>237.96992</v>
      </c>
      <c r="G360" s="12">
        <f ca="1">(RANDBETWEEN(50,100)/100)*(dict_DQ_Meth_max[[#This Row],[Vergleich_ub]]-dict_DQ_Meth_max[[#This Row],[Vergleich_lb]])+dict_DQ_Meth_max[[#This Row],[Vergleich_lb]]</f>
        <v>4223.5138299999999</v>
      </c>
      <c r="H360" s="11" t="str">
        <f ca="1">VLOOKUP(VLOOKUP(dict_DQ_Meth_max[[#This Row],[ID_DataQualities]],table_DataQualities[],3),table_Units[],2)</f>
        <v>Hz</v>
      </c>
      <c r="I360" s="10"/>
      <c r="J360" s="10"/>
      <c r="K360" s="10"/>
      <c r="L360" s="10">
        <f ca="1">VLOOKUP(dict_DQ_Meth_max[[#This Row],[ID_DataQualities]],table_DataQualities[],8,FALSE)</f>
        <v>2.7E-2</v>
      </c>
      <c r="M360" s="10">
        <f ca="1">VLOOKUP(dict_DQ_Meth_max[[#This Row],[ID_DataQualities]],table_DataQualities[],9,FALSE)</f>
        <v>5948.6</v>
      </c>
    </row>
    <row r="361" spans="1:13" x14ac:dyDescent="0.45">
      <c r="A361" s="10">
        <v>96</v>
      </c>
      <c r="B361" s="10">
        <v>463</v>
      </c>
      <c r="C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1" s="10"/>
      <c r="E361" s="10"/>
      <c r="F361" s="12">
        <f ca="1">(RANDBETWEEN(0,50)/100)*(dict_DQ_Meth_max[[#This Row],[Vergleich_ub]]-dict_DQ_Meth_max[[#This Row],[Vergleich_lb]])+dict_DQ_Meth_max[[#This Row],[Vergleich_lb]]</f>
        <v>2498.4276600000003</v>
      </c>
      <c r="G361" s="12">
        <f ca="1">(RANDBETWEEN(50,100)/100)*(dict_DQ_Meth_max[[#This Row],[Vergleich_ub]]-dict_DQ_Meth_max[[#This Row],[Vergleich_lb]])+dict_DQ_Meth_max[[#This Row],[Vergleich_lb]]</f>
        <v>4104.5423700000001</v>
      </c>
      <c r="H361" s="11" t="str">
        <f ca="1">VLOOKUP(VLOOKUP(dict_DQ_Meth_max[[#This Row],[ID_DataQualities]],table_DataQualities[],3),table_Units[],2)</f>
        <v>Hz</v>
      </c>
      <c r="I361" s="10"/>
      <c r="J361" s="10"/>
      <c r="K361" s="10"/>
      <c r="L361" s="10">
        <f ca="1">VLOOKUP(dict_DQ_Meth_max[[#This Row],[ID_DataQualities]],table_DataQualities[],8,FALSE)</f>
        <v>2.7E-2</v>
      </c>
      <c r="M361" s="10">
        <f ca="1">VLOOKUP(dict_DQ_Meth_max[[#This Row],[ID_DataQualities]],table_DataQualities[],9,FALSE)</f>
        <v>5948.6</v>
      </c>
    </row>
    <row r="362" spans="1:13" x14ac:dyDescent="0.45">
      <c r="A362" s="10">
        <v>97</v>
      </c>
      <c r="B362" s="10">
        <v>258</v>
      </c>
      <c r="C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2" s="10"/>
      <c r="E362" s="10"/>
      <c r="F362" s="12">
        <f ca="1">(RANDBETWEEN(0,50)/100)*(dict_DQ_Meth_max[[#This Row],[Vergleich_ub]]-dict_DQ_Meth_max[[#This Row],[Vergleich_lb]])+dict_DQ_Meth_max[[#This Row],[Vergleich_lb]]</f>
        <v>2.5341000000000002E-2</v>
      </c>
      <c r="G362" s="12">
        <f ca="1">(RANDBETWEEN(50,100)/100)*(dict_DQ_Meth_max[[#This Row],[Vergleich_ub]]-dict_DQ_Meth_max[[#This Row],[Vergleich_lb]])+dict_DQ_Meth_max[[#This Row],[Vergleich_lb]]</f>
        <v>3.6168000000000006E-2</v>
      </c>
      <c r="H362" s="11" t="str">
        <f ca="1">VLOOKUP(VLOOKUP(dict_DQ_Meth_max[[#This Row],[ID_DataQualities]],table_DataQualities[],3),table_Units[],2)</f>
        <v>+/- cm³/s</v>
      </c>
      <c r="I362" s="10"/>
      <c r="J362" s="10"/>
      <c r="K362" s="10"/>
      <c r="L362" s="10">
        <f ca="1">VLOOKUP(dict_DQ_Meth_max[[#This Row],[ID_DataQualities]],table_DataQualities[],8,FALSE)</f>
        <v>8.8999999999999999E-3</v>
      </c>
      <c r="M362" s="10">
        <f ca="1">VLOOKUP(dict_DQ_Meth_max[[#This Row],[ID_DataQualities]],table_DataQualities[],9,FALSE)</f>
        <v>4.9000000000000002E-2</v>
      </c>
    </row>
    <row r="363" spans="1:13" x14ac:dyDescent="0.45">
      <c r="A363" s="10">
        <v>97</v>
      </c>
      <c r="B363" s="10">
        <v>619</v>
      </c>
      <c r="C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3" s="10"/>
      <c r="E363" s="10"/>
      <c r="F363" s="12">
        <f ca="1">(RANDBETWEEN(0,50)/100)*(dict_DQ_Meth_max[[#This Row],[Vergleich_ub]]-dict_DQ_Meth_max[[#This Row],[Vergleich_lb]])+dict_DQ_Meth_max[[#This Row],[Vergleich_lb]]</f>
        <v>1.6118E-2</v>
      </c>
      <c r="G363" s="12">
        <f ca="1">(RANDBETWEEN(50,100)/100)*(dict_DQ_Meth_max[[#This Row],[Vergleich_ub]]-dict_DQ_Meth_max[[#This Row],[Vergleich_lb]])+dict_DQ_Meth_max[[#This Row],[Vergleich_lb]]</f>
        <v>3.5767000000000007E-2</v>
      </c>
      <c r="H363" s="11" t="str">
        <f ca="1">VLOOKUP(VLOOKUP(dict_DQ_Meth_max[[#This Row],[ID_DataQualities]],table_DataQualities[],3),table_Units[],2)</f>
        <v>+/- cm³/s</v>
      </c>
      <c r="I363" s="10"/>
      <c r="J363" s="10"/>
      <c r="K363" s="10"/>
      <c r="L363" s="10">
        <f ca="1">VLOOKUP(dict_DQ_Meth_max[[#This Row],[ID_DataQualities]],table_DataQualities[],8,FALSE)</f>
        <v>8.8999999999999999E-3</v>
      </c>
      <c r="M363" s="10">
        <f ca="1">VLOOKUP(dict_DQ_Meth_max[[#This Row],[ID_DataQualities]],table_DataQualities[],9,FALSE)</f>
        <v>4.9000000000000002E-2</v>
      </c>
    </row>
    <row r="364" spans="1:13" x14ac:dyDescent="0.45">
      <c r="A364" s="10">
        <v>97</v>
      </c>
      <c r="B364" s="10">
        <v>463</v>
      </c>
      <c r="C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4" s="10"/>
      <c r="E364" s="10"/>
      <c r="F364" s="12">
        <f ca="1">(RANDBETWEEN(0,50)/100)*(dict_DQ_Meth_max[[#This Row],[Vergleich_ub]]-dict_DQ_Meth_max[[#This Row],[Vergleich_lb]])+dict_DQ_Meth_max[[#This Row],[Vergleich_lb]]</f>
        <v>2.1732000000000001E-2</v>
      </c>
      <c r="G364" s="12">
        <f ca="1">(RANDBETWEEN(50,100)/100)*(dict_DQ_Meth_max[[#This Row],[Vergleich_ub]]-dict_DQ_Meth_max[[#This Row],[Vergleich_lb]])+dict_DQ_Meth_max[[#This Row],[Vergleich_lb]]</f>
        <v>3.1356000000000002E-2</v>
      </c>
      <c r="H364" s="11" t="str">
        <f ca="1">VLOOKUP(VLOOKUP(dict_DQ_Meth_max[[#This Row],[ID_DataQualities]],table_DataQualities[],3),table_Units[],2)</f>
        <v>+/- cm³/s</v>
      </c>
      <c r="I364" s="10"/>
      <c r="J364" s="10"/>
      <c r="K364" s="10"/>
      <c r="L364" s="10">
        <f ca="1">VLOOKUP(dict_DQ_Meth_max[[#This Row],[ID_DataQualities]],table_DataQualities[],8,FALSE)</f>
        <v>8.8999999999999999E-3</v>
      </c>
      <c r="M364" s="10">
        <f ca="1">VLOOKUP(dict_DQ_Meth_max[[#This Row],[ID_DataQualities]],table_DataQualities[],9,FALSE)</f>
        <v>4.9000000000000002E-2</v>
      </c>
    </row>
    <row r="365" spans="1:13" x14ac:dyDescent="0.45">
      <c r="A365" s="10">
        <v>97</v>
      </c>
      <c r="B365" s="10">
        <v>454</v>
      </c>
      <c r="C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5" s="10"/>
      <c r="E365" s="10"/>
      <c r="F365" s="12">
        <f ca="1">(RANDBETWEEN(0,50)/100)*(dict_DQ_Meth_max[[#This Row],[Vergleich_ub]]-dict_DQ_Meth_max[[#This Row],[Vergleich_lb]])+dict_DQ_Meth_max[[#This Row],[Vergleich_lb]]</f>
        <v>1.9326000000000003E-2</v>
      </c>
      <c r="G365" s="12">
        <f ca="1">(RANDBETWEEN(50,100)/100)*(dict_DQ_Meth_max[[#This Row],[Vergleich_ub]]-dict_DQ_Meth_max[[#This Row],[Vergleich_lb]])+dict_DQ_Meth_max[[#This Row],[Vergleich_lb]]</f>
        <v>4.2985000000000002E-2</v>
      </c>
      <c r="H365" s="11" t="str">
        <f ca="1">VLOOKUP(VLOOKUP(dict_DQ_Meth_max[[#This Row],[ID_DataQualities]],table_DataQualities[],3),table_Units[],2)</f>
        <v>+/- cm³/s</v>
      </c>
      <c r="I365" s="10"/>
      <c r="J365" s="10"/>
      <c r="K365" s="10"/>
      <c r="L365" s="10">
        <f ca="1">VLOOKUP(dict_DQ_Meth_max[[#This Row],[ID_DataQualities]],table_DataQualities[],8,FALSE)</f>
        <v>8.8999999999999999E-3</v>
      </c>
      <c r="M365" s="10">
        <f ca="1">VLOOKUP(dict_DQ_Meth_max[[#This Row],[ID_DataQualities]],table_DataQualities[],9,FALSE)</f>
        <v>4.9000000000000002E-2</v>
      </c>
    </row>
    <row r="366" spans="1:13" x14ac:dyDescent="0.45">
      <c r="A366" s="10">
        <v>98</v>
      </c>
      <c r="B366" s="10">
        <v>357</v>
      </c>
      <c r="C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6" s="10"/>
      <c r="E366" s="10"/>
      <c r="F366" s="12">
        <f ca="1">(RANDBETWEEN(0,50)/100)*(dict_DQ_Meth_max[[#This Row],[Vergleich_ub]]-dict_DQ_Meth_max[[#This Row],[Vergleich_lb]])+dict_DQ_Meth_max[[#This Row],[Vergleich_lb]]</f>
        <v>1182.8335999999999</v>
      </c>
      <c r="G366" s="12">
        <f ca="1">(RANDBETWEEN(50,100)/100)*(dict_DQ_Meth_max[[#This Row],[Vergleich_ub]]-dict_DQ_Meth_max[[#This Row],[Vergleich_lb]])+dict_DQ_Meth_max[[#This Row],[Vergleich_lb]]</f>
        <v>3142.22208</v>
      </c>
      <c r="H366" s="11" t="str">
        <f ca="1">VLOOKUP(VLOOKUP(dict_DQ_Meth_max[[#This Row],[ID_DataQualities]],table_DataQualities[],3),table_Units[],2)</f>
        <v>Hz</v>
      </c>
      <c r="I366" s="10"/>
      <c r="J366" s="10"/>
      <c r="K366" s="10"/>
      <c r="L366" s="10">
        <f ca="1">VLOOKUP(dict_DQ_Meth_max[[#This Row],[ID_DataQualities]],table_DataQualities[],8,FALSE)</f>
        <v>0.44400000000000001</v>
      </c>
      <c r="M366" s="10">
        <f ca="1">VLOOKUP(dict_DQ_Meth_max[[#This Row],[ID_DataQualities]],table_DataQualities[],9,FALSE)</f>
        <v>3378.7</v>
      </c>
    </row>
    <row r="367" spans="1:13" x14ac:dyDescent="0.45">
      <c r="A367" s="10">
        <v>98</v>
      </c>
      <c r="B367" s="10">
        <v>38</v>
      </c>
      <c r="C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7" s="10"/>
      <c r="E367" s="10"/>
      <c r="F367" s="12">
        <f ca="1">(RANDBETWEEN(0,50)/100)*(dict_DQ_Meth_max[[#This Row],[Vergleich_ub]]-dict_DQ_Meth_max[[#This Row],[Vergleich_lb]])+dict_DQ_Meth_max[[#This Row],[Vergleich_lb]]</f>
        <v>1351.7464</v>
      </c>
      <c r="G367" s="12">
        <f ca="1">(RANDBETWEEN(50,100)/100)*(dict_DQ_Meth_max[[#This Row],[Vergleich_ub]]-dict_DQ_Meth_max[[#This Row],[Vergleich_lb]])+dict_DQ_Meth_max[[#This Row],[Vergleich_lb]]</f>
        <v>3040.8743999999997</v>
      </c>
      <c r="H367" s="11" t="str">
        <f ca="1">VLOOKUP(VLOOKUP(dict_DQ_Meth_max[[#This Row],[ID_DataQualities]],table_DataQualities[],3),table_Units[],2)</f>
        <v>Hz</v>
      </c>
      <c r="I367" s="10"/>
      <c r="J367" s="10"/>
      <c r="K367" s="10"/>
      <c r="L367" s="10">
        <f ca="1">VLOOKUP(dict_DQ_Meth_max[[#This Row],[ID_DataQualities]],table_DataQualities[],8,FALSE)</f>
        <v>0.44400000000000001</v>
      </c>
      <c r="M367" s="10">
        <f ca="1">VLOOKUP(dict_DQ_Meth_max[[#This Row],[ID_DataQualities]],table_DataQualities[],9,FALSE)</f>
        <v>3378.7</v>
      </c>
    </row>
    <row r="368" spans="1:13" x14ac:dyDescent="0.45">
      <c r="A368" s="10">
        <v>98</v>
      </c>
      <c r="B368" s="10">
        <v>136</v>
      </c>
      <c r="C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8" s="10"/>
      <c r="E368" s="10"/>
      <c r="F368" s="12">
        <f ca="1">(RANDBETWEEN(0,50)/100)*(dict_DQ_Meth_max[[#This Row],[Vergleich_ub]]-dict_DQ_Meth_max[[#This Row],[Vergleich_lb]])+dict_DQ_Meth_max[[#This Row],[Vergleich_lb]]</f>
        <v>1081.4859199999999</v>
      </c>
      <c r="G368" s="12">
        <f ca="1">(RANDBETWEEN(50,100)/100)*(dict_DQ_Meth_max[[#This Row],[Vergleich_ub]]-dict_DQ_Meth_max[[#This Row],[Vergleich_lb]])+dict_DQ_Meth_max[[#This Row],[Vergleich_lb]]</f>
        <v>2331.4406399999998</v>
      </c>
      <c r="H368" s="11" t="str">
        <f ca="1">VLOOKUP(VLOOKUP(dict_DQ_Meth_max[[#This Row],[ID_DataQualities]],table_DataQualities[],3),table_Units[],2)</f>
        <v>Hz</v>
      </c>
      <c r="I368" s="10"/>
      <c r="J368" s="10"/>
      <c r="K368" s="10"/>
      <c r="L368" s="10">
        <f ca="1">VLOOKUP(dict_DQ_Meth_max[[#This Row],[ID_DataQualities]],table_DataQualities[],8,FALSE)</f>
        <v>0.44400000000000001</v>
      </c>
      <c r="M368" s="10">
        <f ca="1">VLOOKUP(dict_DQ_Meth_max[[#This Row],[ID_DataQualities]],table_DataQualities[],9,FALSE)</f>
        <v>3378.7</v>
      </c>
    </row>
    <row r="369" spans="1:13" x14ac:dyDescent="0.45">
      <c r="A369" s="10">
        <v>98</v>
      </c>
      <c r="B369" s="10">
        <v>535</v>
      </c>
      <c r="C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69" s="10"/>
      <c r="E369" s="10"/>
      <c r="F369" s="12">
        <f ca="1">(RANDBETWEEN(0,50)/100)*(dict_DQ_Meth_max[[#This Row],[Vergleich_ub]]-dict_DQ_Meth_max[[#This Row],[Vergleich_lb]])+dict_DQ_Meth_max[[#This Row],[Vergleich_lb]]</f>
        <v>304.48703999999998</v>
      </c>
      <c r="G369" s="12">
        <f ca="1">(RANDBETWEEN(50,100)/100)*(dict_DQ_Meth_max[[#This Row],[Vergleich_ub]]-dict_DQ_Meth_max[[#This Row],[Vergleich_lb]])+dict_DQ_Meth_max[[#This Row],[Vergleich_lb]]</f>
        <v>2669.2662399999999</v>
      </c>
      <c r="H369" s="11" t="str">
        <f ca="1">VLOOKUP(VLOOKUP(dict_DQ_Meth_max[[#This Row],[ID_DataQualities]],table_DataQualities[],3),table_Units[],2)</f>
        <v>Hz</v>
      </c>
      <c r="I369" s="10"/>
      <c r="J369" s="10"/>
      <c r="K369" s="10"/>
      <c r="L369" s="10">
        <f ca="1">VLOOKUP(dict_DQ_Meth_max[[#This Row],[ID_DataQualities]],table_DataQualities[],8,FALSE)</f>
        <v>0.44400000000000001</v>
      </c>
      <c r="M369" s="10">
        <f ca="1">VLOOKUP(dict_DQ_Meth_max[[#This Row],[ID_DataQualities]],table_DataQualities[],9,FALSE)</f>
        <v>3378.7</v>
      </c>
    </row>
    <row r="370" spans="1:13" x14ac:dyDescent="0.45">
      <c r="A370" s="10">
        <v>99</v>
      </c>
      <c r="B370" s="10">
        <v>357</v>
      </c>
      <c r="C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0" s="10"/>
      <c r="E370" s="10"/>
      <c r="F370" s="12">
        <f ca="1">(RANDBETWEEN(0,50)/100)*(dict_DQ_Meth_max[[#This Row],[Vergleich_ub]]-dict_DQ_Meth_max[[#This Row],[Vergleich_lb]])+dict_DQ_Meth_max[[#This Row],[Vergleich_lb]]</f>
        <v>0.13223000000000001</v>
      </c>
      <c r="G370" s="12">
        <f ca="1">(RANDBETWEEN(50,100)/100)*(dict_DQ_Meth_max[[#This Row],[Vergleich_ub]]-dict_DQ_Meth_max[[#This Row],[Vergleich_lb]])+dict_DQ_Meth_max[[#This Row],[Vergleich_lb]]</f>
        <v>0.52607000000000004</v>
      </c>
      <c r="H370" s="11" t="str">
        <f ca="1">VLOOKUP(VLOOKUP(dict_DQ_Meth_max[[#This Row],[ID_DataQualities]],table_DataQualities[],3),table_Units[],2)</f>
        <v>+/- W</v>
      </c>
      <c r="I370" s="10"/>
      <c r="J370" s="10"/>
      <c r="K370" s="10"/>
      <c r="L370" s="10">
        <f ca="1">VLOOKUP(dict_DQ_Meth_max[[#This Row],[ID_DataQualities]],table_DataQualities[],8,FALSE)</f>
        <v>8.3000000000000004E-2</v>
      </c>
      <c r="M370" s="10">
        <f ca="1">VLOOKUP(dict_DQ_Meth_max[[#This Row],[ID_DataQualities]],table_DataQualities[],9,FALSE)</f>
        <v>0.63</v>
      </c>
    </row>
    <row r="371" spans="1:13" x14ac:dyDescent="0.45">
      <c r="A371" s="10">
        <v>99</v>
      </c>
      <c r="B371" s="10">
        <v>535</v>
      </c>
      <c r="C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1" s="10"/>
      <c r="E371" s="10"/>
      <c r="F371" s="12">
        <f ca="1">(RANDBETWEEN(0,50)/100)*(dict_DQ_Meth_max[[#This Row],[Vergleich_ub]]-dict_DQ_Meth_max[[#This Row],[Vergleich_lb]])+dict_DQ_Meth_max[[#This Row],[Vergleich_lb]]</f>
        <v>0.25804000000000005</v>
      </c>
      <c r="G371" s="12">
        <f ca="1">(RANDBETWEEN(50,100)/100)*(dict_DQ_Meth_max[[#This Row],[Vergleich_ub]]-dict_DQ_Meth_max[[#This Row],[Vergleich_lb]])+dict_DQ_Meth_max[[#This Row],[Vergleich_lb]]</f>
        <v>0.45496000000000009</v>
      </c>
      <c r="H371" s="11" t="str">
        <f ca="1">VLOOKUP(VLOOKUP(dict_DQ_Meth_max[[#This Row],[ID_DataQualities]],table_DataQualities[],3),table_Units[],2)</f>
        <v>+/- W</v>
      </c>
      <c r="I371" s="10"/>
      <c r="J371" s="10"/>
      <c r="K371" s="10"/>
      <c r="L371" s="10">
        <f ca="1">VLOOKUP(dict_DQ_Meth_max[[#This Row],[ID_DataQualities]],table_DataQualities[],8,FALSE)</f>
        <v>8.3000000000000004E-2</v>
      </c>
      <c r="M371" s="10">
        <f ca="1">VLOOKUP(dict_DQ_Meth_max[[#This Row],[ID_DataQualities]],table_DataQualities[],9,FALSE)</f>
        <v>0.63</v>
      </c>
    </row>
    <row r="372" spans="1:13" x14ac:dyDescent="0.45">
      <c r="A372" s="10">
        <v>99</v>
      </c>
      <c r="B372" s="10">
        <v>136</v>
      </c>
      <c r="C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2" s="10"/>
      <c r="E372" s="10"/>
      <c r="F372" s="12">
        <f ca="1">(RANDBETWEEN(0,50)/100)*(dict_DQ_Meth_max[[#This Row],[Vergleich_ub]]-dict_DQ_Meth_max[[#This Row],[Vergleich_lb]])+dict_DQ_Meth_max[[#This Row],[Vergleich_lb]]</f>
        <v>0.10488</v>
      </c>
      <c r="G372" s="12">
        <f ca="1">(RANDBETWEEN(50,100)/100)*(dict_DQ_Meth_max[[#This Row],[Vergleich_ub]]-dict_DQ_Meth_max[[#This Row],[Vergleich_lb]])+dict_DQ_Meth_max[[#This Row],[Vergleich_lb]]</f>
        <v>0.45496000000000009</v>
      </c>
      <c r="H372" s="11" t="str">
        <f ca="1">VLOOKUP(VLOOKUP(dict_DQ_Meth_max[[#This Row],[ID_DataQualities]],table_DataQualities[],3),table_Units[],2)</f>
        <v>+/- W</v>
      </c>
      <c r="I372" s="10"/>
      <c r="J372" s="10"/>
      <c r="K372" s="10"/>
      <c r="L372" s="10">
        <f ca="1">VLOOKUP(dict_DQ_Meth_max[[#This Row],[ID_DataQualities]],table_DataQualities[],8,FALSE)</f>
        <v>8.3000000000000004E-2</v>
      </c>
      <c r="M372" s="10">
        <f ca="1">VLOOKUP(dict_DQ_Meth_max[[#This Row],[ID_DataQualities]],table_DataQualities[],9,FALSE)</f>
        <v>0.63</v>
      </c>
    </row>
    <row r="373" spans="1:13" x14ac:dyDescent="0.45">
      <c r="A373" s="10">
        <v>99</v>
      </c>
      <c r="B373" s="10">
        <v>38</v>
      </c>
      <c r="C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3" s="10"/>
      <c r="E373" s="10"/>
      <c r="F373" s="12">
        <f ca="1">(RANDBETWEEN(0,50)/100)*(dict_DQ_Meth_max[[#This Row],[Vergleich_ub]]-dict_DQ_Meth_max[[#This Row],[Vergleich_lb]])+dict_DQ_Meth_max[[#This Row],[Vergleich_lb]]</f>
        <v>0.17052</v>
      </c>
      <c r="G373" s="12">
        <f ca="1">(RANDBETWEEN(50,100)/100)*(dict_DQ_Meth_max[[#This Row],[Vergleich_ub]]-dict_DQ_Meth_max[[#This Row],[Vergleich_lb]])+dict_DQ_Meth_max[[#This Row],[Vergleich_lb]]</f>
        <v>0.61358999999999997</v>
      </c>
      <c r="H373" s="11" t="str">
        <f ca="1">VLOOKUP(VLOOKUP(dict_DQ_Meth_max[[#This Row],[ID_DataQualities]],table_DataQualities[],3),table_Units[],2)</f>
        <v>+/- W</v>
      </c>
      <c r="I373" s="10"/>
      <c r="J373" s="10"/>
      <c r="K373" s="10"/>
      <c r="L373" s="10">
        <f ca="1">VLOOKUP(dict_DQ_Meth_max[[#This Row],[ID_DataQualities]],table_DataQualities[],8,FALSE)</f>
        <v>8.3000000000000004E-2</v>
      </c>
      <c r="M373" s="10">
        <f ca="1">VLOOKUP(dict_DQ_Meth_max[[#This Row],[ID_DataQualities]],table_DataQualities[],9,FALSE)</f>
        <v>0.63</v>
      </c>
    </row>
    <row r="374" spans="1:13" x14ac:dyDescent="0.45">
      <c r="A374" s="10">
        <v>100</v>
      </c>
      <c r="B374" s="10">
        <v>19</v>
      </c>
      <c r="C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4" s="10"/>
      <c r="E374" s="10"/>
      <c r="F374" s="12">
        <f ca="1">(RANDBETWEEN(0,50)/100)*(dict_DQ_Meth_max[[#This Row],[Vergleich_ub]]-dict_DQ_Meth_max[[#This Row],[Vergleich_lb]])+dict_DQ_Meth_max[[#This Row],[Vergleich_lb]]</f>
        <v>301.43892</v>
      </c>
      <c r="G374" s="12">
        <f ca="1">(RANDBETWEEN(50,100)/100)*(dict_DQ_Meth_max[[#This Row],[Vergleich_ub]]-dict_DQ_Meth_max[[#This Row],[Vergleich_lb]])+dict_DQ_Meth_max[[#This Row],[Vergleich_lb]]</f>
        <v>752.60429999999997</v>
      </c>
      <c r="H374" s="11" t="str">
        <f ca="1">VLOOKUP(VLOOKUP(dict_DQ_Meth_max[[#This Row],[ID_DataQualities]],table_DataQualities[],3),table_Units[],2)</f>
        <v>Hz</v>
      </c>
      <c r="I374" s="10"/>
      <c r="J374" s="10"/>
      <c r="K374" s="10"/>
      <c r="L374" s="10">
        <f ca="1">VLOOKUP(dict_DQ_Meth_max[[#This Row],[ID_DataQualities]],table_DataQualities[],8,FALSE)</f>
        <v>0.66200000000000003</v>
      </c>
      <c r="M374" s="10">
        <f ca="1">VLOOKUP(dict_DQ_Meth_max[[#This Row],[ID_DataQualities]],table_DataQualities[],9,FALSE)</f>
        <v>885.3</v>
      </c>
    </row>
    <row r="375" spans="1:13" x14ac:dyDescent="0.45">
      <c r="A375" s="10">
        <v>100</v>
      </c>
      <c r="B375" s="10">
        <v>548</v>
      </c>
      <c r="C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5" s="10"/>
      <c r="E375" s="10"/>
      <c r="F375" s="12">
        <f ca="1">(RANDBETWEEN(0,50)/100)*(dict_DQ_Meth_max[[#This Row],[Vergleich_ub]]-dict_DQ_Meth_max[[#This Row],[Vergleich_lb]])+dict_DQ_Meth_max[[#This Row],[Vergleich_lb]]</f>
        <v>372.20995999999991</v>
      </c>
      <c r="G375" s="12">
        <f ca="1">(RANDBETWEEN(50,100)/100)*(dict_DQ_Meth_max[[#This Row],[Vergleich_ub]]-dict_DQ_Meth_max[[#This Row],[Vergleich_lb]])+dict_DQ_Meth_max[[#This Row],[Vergleich_lb]]</f>
        <v>628.75497999999993</v>
      </c>
      <c r="H375" s="11" t="str">
        <f ca="1">VLOOKUP(VLOOKUP(dict_DQ_Meth_max[[#This Row],[ID_DataQualities]],table_DataQualities[],3),table_Units[],2)</f>
        <v>Hz</v>
      </c>
      <c r="I375" s="10"/>
      <c r="J375" s="10"/>
      <c r="K375" s="10"/>
      <c r="L375" s="10">
        <f ca="1">VLOOKUP(dict_DQ_Meth_max[[#This Row],[ID_DataQualities]],table_DataQualities[],8,FALSE)</f>
        <v>0.66200000000000003</v>
      </c>
      <c r="M375" s="10">
        <f ca="1">VLOOKUP(dict_DQ_Meth_max[[#This Row],[ID_DataQualities]],table_DataQualities[],9,FALSE)</f>
        <v>885.3</v>
      </c>
    </row>
    <row r="376" spans="1:13" x14ac:dyDescent="0.45">
      <c r="A376" s="10">
        <v>100</v>
      </c>
      <c r="B376" s="10">
        <v>358</v>
      </c>
      <c r="C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6" s="10"/>
      <c r="E376" s="10"/>
      <c r="F376" s="12">
        <f ca="1">(RANDBETWEEN(0,50)/100)*(dict_DQ_Meth_max[[#This Row],[Vergleich_ub]]-dict_DQ_Meth_max[[#This Row],[Vergleich_lb]])+dict_DQ_Meth_max[[#This Row],[Vergleich_lb]]</f>
        <v>212.97511999999998</v>
      </c>
      <c r="G376" s="12">
        <f ca="1">(RANDBETWEEN(50,100)/100)*(dict_DQ_Meth_max[[#This Row],[Vergleich_ub]]-dict_DQ_Meth_max[[#This Row],[Vergleich_lb]])+dict_DQ_Meth_max[[#This Row],[Vergleich_lb]]</f>
        <v>664.14049999999997</v>
      </c>
      <c r="H376" s="11" t="str">
        <f ca="1">VLOOKUP(VLOOKUP(dict_DQ_Meth_max[[#This Row],[ID_DataQualities]],table_DataQualities[],3),table_Units[],2)</f>
        <v>Hz</v>
      </c>
      <c r="I376" s="10"/>
      <c r="J376" s="10"/>
      <c r="K376" s="10"/>
      <c r="L376" s="10">
        <f ca="1">VLOOKUP(dict_DQ_Meth_max[[#This Row],[ID_DataQualities]],table_DataQualities[],8,FALSE)</f>
        <v>0.66200000000000003</v>
      </c>
      <c r="M376" s="10">
        <f ca="1">VLOOKUP(dict_DQ_Meth_max[[#This Row],[ID_DataQualities]],table_DataQualities[],9,FALSE)</f>
        <v>885.3</v>
      </c>
    </row>
    <row r="377" spans="1:13" x14ac:dyDescent="0.45">
      <c r="A377" s="10">
        <v>100</v>
      </c>
      <c r="B377" s="10">
        <v>43</v>
      </c>
      <c r="C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7" s="10"/>
      <c r="E377" s="10"/>
      <c r="F377" s="12">
        <f ca="1">(RANDBETWEEN(0,50)/100)*(dict_DQ_Meth_max[[#This Row],[Vergleich_ub]]-dict_DQ_Meth_max[[#This Row],[Vergleich_lb]])+dict_DQ_Meth_max[[#This Row],[Vergleich_lb]]</f>
        <v>363.3635799999999</v>
      </c>
      <c r="G377" s="12">
        <f ca="1">(RANDBETWEEN(50,100)/100)*(dict_DQ_Meth_max[[#This Row],[Vergleich_ub]]-dict_DQ_Meth_max[[#This Row],[Vergleich_lb]])+dict_DQ_Meth_max[[#This Row],[Vergleich_lb]]</f>
        <v>442.98099999999994</v>
      </c>
      <c r="H377" s="11" t="str">
        <f ca="1">VLOOKUP(VLOOKUP(dict_DQ_Meth_max[[#This Row],[ID_DataQualities]],table_DataQualities[],3),table_Units[],2)</f>
        <v>Hz</v>
      </c>
      <c r="I377" s="10"/>
      <c r="J377" s="10"/>
      <c r="K377" s="10"/>
      <c r="L377" s="10">
        <f ca="1">VLOOKUP(dict_DQ_Meth_max[[#This Row],[ID_DataQualities]],table_DataQualities[],8,FALSE)</f>
        <v>0.66200000000000003</v>
      </c>
      <c r="M377" s="10">
        <f ca="1">VLOOKUP(dict_DQ_Meth_max[[#This Row],[ID_DataQualities]],table_DataQualities[],9,FALSE)</f>
        <v>885.3</v>
      </c>
    </row>
    <row r="378" spans="1:13" x14ac:dyDescent="0.45">
      <c r="A378" s="10">
        <v>101</v>
      </c>
      <c r="B378" s="10">
        <v>548</v>
      </c>
      <c r="C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8" s="10"/>
      <c r="E378" s="10"/>
      <c r="F378" s="12">
        <f ca="1">(RANDBETWEEN(0,50)/100)*(dict_DQ_Meth_max[[#This Row],[Vergleich_ub]]-dict_DQ_Meth_max[[#This Row],[Vergleich_lb]])+dict_DQ_Meth_max[[#This Row],[Vergleich_lb]]</f>
        <v>2.3559700000000001</v>
      </c>
      <c r="G378" s="12">
        <f ca="1">(RANDBETWEEN(50,100)/100)*(dict_DQ_Meth_max[[#This Row],[Vergleich_ub]]-dict_DQ_Meth_max[[#This Row],[Vergleich_lb]])+dict_DQ_Meth_max[[#This Row],[Vergleich_lb]]</f>
        <v>5.2610399999999995</v>
      </c>
      <c r="H378" s="11" t="str">
        <f ca="1">VLOOKUP(VLOOKUP(dict_DQ_Meth_max[[#This Row],[ID_DataQualities]],table_DataQualities[],3),table_Units[],2)</f>
        <v>+/- W</v>
      </c>
      <c r="I378" s="10"/>
      <c r="J378" s="10"/>
      <c r="K378" s="10"/>
      <c r="L378" s="10">
        <f ca="1">VLOOKUP(dict_DQ_Meth_max[[#This Row],[ID_DataQualities]],table_DataQualities[],8,FALSE)</f>
        <v>6.9000000000000006E-2</v>
      </c>
      <c r="M378" s="10">
        <f ca="1">VLOOKUP(dict_DQ_Meth_max[[#This Row],[ID_DataQualities]],table_DataQualities[],9,FALSE)</f>
        <v>6.25</v>
      </c>
    </row>
    <row r="379" spans="1:13" x14ac:dyDescent="0.45">
      <c r="A379" s="10">
        <v>101</v>
      </c>
      <c r="B379" s="10">
        <v>358</v>
      </c>
      <c r="C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79" s="10"/>
      <c r="E379" s="10"/>
      <c r="F379" s="12">
        <f ca="1">(RANDBETWEEN(0,50)/100)*(dict_DQ_Meth_max[[#This Row],[Vergleich_ub]]-dict_DQ_Meth_max[[#This Row],[Vergleich_lb]])+dict_DQ_Meth_max[[#This Row],[Vergleich_lb]]</f>
        <v>2.9122600000000003</v>
      </c>
      <c r="G379" s="12">
        <f ca="1">(RANDBETWEEN(50,100)/100)*(dict_DQ_Meth_max[[#This Row],[Vergleich_ub]]-dict_DQ_Meth_max[[#This Row],[Vergleich_lb]])+dict_DQ_Meth_max[[#This Row],[Vergleich_lb]]</f>
        <v>4.0866500000000006</v>
      </c>
      <c r="H379" s="11" t="str">
        <f ca="1">VLOOKUP(VLOOKUP(dict_DQ_Meth_max[[#This Row],[ID_DataQualities]],table_DataQualities[],3),table_Units[],2)</f>
        <v>+/- W</v>
      </c>
      <c r="I379" s="10"/>
      <c r="J379" s="10"/>
      <c r="K379" s="10"/>
      <c r="L379" s="10">
        <f ca="1">VLOOKUP(dict_DQ_Meth_max[[#This Row],[ID_DataQualities]],table_DataQualities[],8,FALSE)</f>
        <v>6.9000000000000006E-2</v>
      </c>
      <c r="M379" s="10">
        <f ca="1">VLOOKUP(dict_DQ_Meth_max[[#This Row],[ID_DataQualities]],table_DataQualities[],9,FALSE)</f>
        <v>6.25</v>
      </c>
    </row>
    <row r="380" spans="1:13" x14ac:dyDescent="0.45">
      <c r="A380" s="10">
        <v>101</v>
      </c>
      <c r="B380" s="10">
        <v>19</v>
      </c>
      <c r="C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0" s="10"/>
      <c r="E380" s="10"/>
      <c r="F380" s="12">
        <f ca="1">(RANDBETWEEN(0,50)/100)*(dict_DQ_Meth_max[[#This Row],[Vergleich_ub]]-dict_DQ_Meth_max[[#This Row],[Vergleich_lb]])+dict_DQ_Meth_max[[#This Row],[Vergleich_lb]]</f>
        <v>2.7268300000000001</v>
      </c>
      <c r="G380" s="12">
        <f ca="1">(RANDBETWEEN(50,100)/100)*(dict_DQ_Meth_max[[#This Row],[Vergleich_ub]]-dict_DQ_Meth_max[[#This Row],[Vergleich_lb]])+dict_DQ_Meth_max[[#This Row],[Vergleich_lb]]</f>
        <v>4.3956999999999997</v>
      </c>
      <c r="H380" s="11" t="str">
        <f ca="1">VLOOKUP(VLOOKUP(dict_DQ_Meth_max[[#This Row],[ID_DataQualities]],table_DataQualities[],3),table_Units[],2)</f>
        <v>+/- W</v>
      </c>
      <c r="I380" s="10"/>
      <c r="J380" s="10"/>
      <c r="K380" s="10"/>
      <c r="L380" s="10">
        <f ca="1">VLOOKUP(dict_DQ_Meth_max[[#This Row],[ID_DataQualities]],table_DataQualities[],8,FALSE)</f>
        <v>6.9000000000000006E-2</v>
      </c>
      <c r="M380" s="10">
        <f ca="1">VLOOKUP(dict_DQ_Meth_max[[#This Row],[ID_DataQualities]],table_DataQualities[],9,FALSE)</f>
        <v>6.25</v>
      </c>
    </row>
    <row r="381" spans="1:13" x14ac:dyDescent="0.45">
      <c r="A381" s="10">
        <v>101</v>
      </c>
      <c r="B381" s="10">
        <v>43</v>
      </c>
      <c r="C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1" s="10"/>
      <c r="E381" s="10"/>
      <c r="F381" s="12">
        <f ca="1">(RANDBETWEEN(0,50)/100)*(dict_DQ_Meth_max[[#This Row],[Vergleich_ub]]-dict_DQ_Meth_max[[#This Row],[Vergleich_lb]])+dict_DQ_Meth_max[[#This Row],[Vergleich_lb]]</f>
        <v>3.1595</v>
      </c>
      <c r="G381" s="12">
        <f ca="1">(RANDBETWEEN(50,100)/100)*(dict_DQ_Meth_max[[#This Row],[Vergleich_ub]]-dict_DQ_Meth_max[[#This Row],[Vergleich_lb]])+dict_DQ_Meth_max[[#This Row],[Vergleich_lb]]</f>
        <v>5.3228499999999999</v>
      </c>
      <c r="H381" s="11" t="str">
        <f ca="1">VLOOKUP(VLOOKUP(dict_DQ_Meth_max[[#This Row],[ID_DataQualities]],table_DataQualities[],3),table_Units[],2)</f>
        <v>+/- W</v>
      </c>
      <c r="I381" s="10"/>
      <c r="J381" s="10"/>
      <c r="K381" s="10"/>
      <c r="L381" s="10">
        <f ca="1">VLOOKUP(dict_DQ_Meth_max[[#This Row],[ID_DataQualities]],table_DataQualities[],8,FALSE)</f>
        <v>6.9000000000000006E-2</v>
      </c>
      <c r="M381" s="10">
        <f ca="1">VLOOKUP(dict_DQ_Meth_max[[#This Row],[ID_DataQualities]],table_DataQualities[],9,FALSE)</f>
        <v>6.25</v>
      </c>
    </row>
    <row r="382" spans="1:13" x14ac:dyDescent="0.45">
      <c r="A382" s="10">
        <v>102</v>
      </c>
      <c r="B382" s="10">
        <v>478</v>
      </c>
      <c r="C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2" s="10"/>
      <c r="E382" s="10"/>
      <c r="F382" s="12">
        <f ca="1">(RANDBETWEEN(0,50)/100)*(dict_DQ_Meth_max[[#This Row],[Vergleich_ub]]-dict_DQ_Meth_max[[#This Row],[Vergleich_lb]])+dict_DQ_Meth_max[[#This Row],[Vergleich_lb]]</f>
        <v>2813.0272</v>
      </c>
      <c r="G382" s="12">
        <f ca="1">(RANDBETWEEN(50,100)/100)*(dict_DQ_Meth_max[[#This Row],[Vergleich_ub]]-dict_DQ_Meth_max[[#This Row],[Vergleich_lb]])+dict_DQ_Meth_max[[#This Row],[Vergleich_lb]]</f>
        <v>6117.4975599999998</v>
      </c>
      <c r="H382" s="11" t="str">
        <f ca="1">VLOOKUP(VLOOKUP(dict_DQ_Meth_max[[#This Row],[ID_DataQualities]],table_DataQualities[],3),table_Units[],2)</f>
        <v>Hz</v>
      </c>
      <c r="I382" s="10"/>
      <c r="J382" s="10"/>
      <c r="K382" s="10"/>
      <c r="L382" s="10">
        <f ca="1">VLOOKUP(dict_DQ_Meth_max[[#This Row],[ID_DataQualities]],table_DataQualities[],8,FALSE)</f>
        <v>0.71199999999999997</v>
      </c>
      <c r="M382" s="10">
        <f ca="1">VLOOKUP(dict_DQ_Meth_max[[#This Row],[ID_DataQualities]],table_DataQualities[],9,FALSE)</f>
        <v>7031.5</v>
      </c>
    </row>
    <row r="383" spans="1:13" x14ac:dyDescent="0.45">
      <c r="A383" s="10">
        <v>102</v>
      </c>
      <c r="B383" s="10">
        <v>0</v>
      </c>
      <c r="C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3" s="10"/>
      <c r="E383" s="10"/>
      <c r="F383" s="12">
        <f ca="1">(RANDBETWEEN(0,50)/100)*(dict_DQ_Meth_max[[#This Row],[Vergleich_ub]]-dict_DQ_Meth_max[[#This Row],[Vergleich_lb]])+dict_DQ_Meth_max[[#This Row],[Vergleich_lb]]</f>
        <v>3164.5665999999997</v>
      </c>
      <c r="G383" s="12">
        <f ca="1">(RANDBETWEEN(50,100)/100)*(dict_DQ_Meth_max[[#This Row],[Vergleich_ub]]-dict_DQ_Meth_max[[#This Row],[Vergleich_lb]])+dict_DQ_Meth_max[[#This Row],[Vergleich_lb]]</f>
        <v>5203.4951200000005</v>
      </c>
      <c r="H383" s="11" t="str">
        <f ca="1">VLOOKUP(VLOOKUP(dict_DQ_Meth_max[[#This Row],[ID_DataQualities]],table_DataQualities[],3),table_Units[],2)</f>
        <v>Hz</v>
      </c>
      <c r="I383" s="10"/>
      <c r="J383" s="10"/>
      <c r="K383" s="10"/>
      <c r="L383" s="10">
        <f ca="1">VLOOKUP(dict_DQ_Meth_max[[#This Row],[ID_DataQualities]],table_DataQualities[],8,FALSE)</f>
        <v>0.71199999999999997</v>
      </c>
      <c r="M383" s="10">
        <f ca="1">VLOOKUP(dict_DQ_Meth_max[[#This Row],[ID_DataQualities]],table_DataQualities[],9,FALSE)</f>
        <v>7031.5</v>
      </c>
    </row>
    <row r="384" spans="1:13" x14ac:dyDescent="0.45">
      <c r="A384" s="10">
        <v>102</v>
      </c>
      <c r="B384" s="10">
        <v>567</v>
      </c>
      <c r="C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4" s="10"/>
      <c r="E384" s="10"/>
      <c r="F384" s="12">
        <f ca="1">(RANDBETWEEN(0,50)/100)*(dict_DQ_Meth_max[[#This Row],[Vergleich_ub]]-dict_DQ_Meth_max[[#This Row],[Vergleich_lb]])+dict_DQ_Meth_max[[#This Row],[Vergleich_lb]]</f>
        <v>0.71199999999999997</v>
      </c>
      <c r="G384" s="12">
        <f ca="1">(RANDBETWEEN(50,100)/100)*(dict_DQ_Meth_max[[#This Row],[Vergleich_ub]]-dict_DQ_Meth_max[[#This Row],[Vergleich_lb]])+dict_DQ_Meth_max[[#This Row],[Vergleich_lb]]</f>
        <v>4570.7242000000006</v>
      </c>
      <c r="H384" s="11" t="str">
        <f ca="1">VLOOKUP(VLOOKUP(dict_DQ_Meth_max[[#This Row],[ID_DataQualities]],table_DataQualities[],3),table_Units[],2)</f>
        <v>Hz</v>
      </c>
      <c r="I384" s="10"/>
      <c r="J384" s="10"/>
      <c r="K384" s="10"/>
      <c r="L384" s="10">
        <f ca="1">VLOOKUP(dict_DQ_Meth_max[[#This Row],[ID_DataQualities]],table_DataQualities[],8,FALSE)</f>
        <v>0.71199999999999997</v>
      </c>
      <c r="M384" s="10">
        <f ca="1">VLOOKUP(dict_DQ_Meth_max[[#This Row],[ID_DataQualities]],table_DataQualities[],9,FALSE)</f>
        <v>7031.5</v>
      </c>
    </row>
    <row r="385" spans="1:13" x14ac:dyDescent="0.45">
      <c r="A385" s="10">
        <v>102</v>
      </c>
      <c r="B385" s="10">
        <v>541</v>
      </c>
      <c r="C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5" s="10"/>
      <c r="E385" s="10"/>
      <c r="F385" s="12">
        <f ca="1">(RANDBETWEEN(0,50)/100)*(dict_DQ_Meth_max[[#This Row],[Vergleich_ub]]-dict_DQ_Meth_max[[#This Row],[Vergleich_lb]])+dict_DQ_Meth_max[[#This Row],[Vergleich_lb]]</f>
        <v>141.32775999999998</v>
      </c>
      <c r="G385" s="12">
        <f ca="1">(RANDBETWEEN(50,100)/100)*(dict_DQ_Meth_max[[#This Row],[Vergleich_ub]]-dict_DQ_Meth_max[[#This Row],[Vergleich_lb]])+dict_DQ_Meth_max[[#This Row],[Vergleich_lb]]</f>
        <v>3937.9532800000002</v>
      </c>
      <c r="H385" s="11" t="str">
        <f ca="1">VLOOKUP(VLOOKUP(dict_DQ_Meth_max[[#This Row],[ID_DataQualities]],table_DataQualities[],3),table_Units[],2)</f>
        <v>Hz</v>
      </c>
      <c r="I385" s="10"/>
      <c r="J385" s="10"/>
      <c r="K385" s="10"/>
      <c r="L385" s="10">
        <f ca="1">VLOOKUP(dict_DQ_Meth_max[[#This Row],[ID_DataQualities]],table_DataQualities[],8,FALSE)</f>
        <v>0.71199999999999997</v>
      </c>
      <c r="M385" s="10">
        <f ca="1">VLOOKUP(dict_DQ_Meth_max[[#This Row],[ID_DataQualities]],table_DataQualities[],9,FALSE)</f>
        <v>7031.5</v>
      </c>
    </row>
    <row r="386" spans="1:13" x14ac:dyDescent="0.45">
      <c r="A386" s="10">
        <v>102</v>
      </c>
      <c r="B386" s="10">
        <v>564</v>
      </c>
      <c r="C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6" s="10"/>
      <c r="E386" s="10"/>
      <c r="F386" s="12">
        <f ca="1">(RANDBETWEEN(0,50)/100)*(dict_DQ_Meth_max[[#This Row],[Vergleich_ub]]-dict_DQ_Meth_max[[#This Row],[Vergleich_lb]])+dict_DQ_Meth_max[[#This Row],[Vergleich_lb]]</f>
        <v>2391.17992</v>
      </c>
      <c r="G386" s="12">
        <f ca="1">(RANDBETWEEN(50,100)/100)*(dict_DQ_Meth_max[[#This Row],[Vergleich_ub]]-dict_DQ_Meth_max[[#This Row],[Vergleich_lb]])+dict_DQ_Meth_max[[#This Row],[Vergleich_lb]]</f>
        <v>4008.2611599999996</v>
      </c>
      <c r="H386" s="11" t="str">
        <f ca="1">VLOOKUP(VLOOKUP(dict_DQ_Meth_max[[#This Row],[ID_DataQualities]],table_DataQualities[],3),table_Units[],2)</f>
        <v>Hz</v>
      </c>
      <c r="I386" s="10"/>
      <c r="J386" s="10"/>
      <c r="K386" s="10"/>
      <c r="L386" s="10">
        <f ca="1">VLOOKUP(dict_DQ_Meth_max[[#This Row],[ID_DataQualities]],table_DataQualities[],8,FALSE)</f>
        <v>0.71199999999999997</v>
      </c>
      <c r="M386" s="10">
        <f ca="1">VLOOKUP(dict_DQ_Meth_max[[#This Row],[ID_DataQualities]],table_DataQualities[],9,FALSE)</f>
        <v>7031.5</v>
      </c>
    </row>
    <row r="387" spans="1:13" x14ac:dyDescent="0.45">
      <c r="A387" s="10">
        <v>103</v>
      </c>
      <c r="B387" s="10">
        <v>541</v>
      </c>
      <c r="C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7" s="10"/>
      <c r="E387" s="10"/>
      <c r="F387" s="12">
        <f ca="1">(RANDBETWEEN(0,50)/100)*(dict_DQ_Meth_max[[#This Row],[Vergleich_ub]]-dict_DQ_Meth_max[[#This Row],[Vergleich_lb]])+dict_DQ_Meth_max[[#This Row],[Vergleich_lb]]</f>
        <v>2.5150000000000001</v>
      </c>
      <c r="G387" s="12">
        <f ca="1">(RANDBETWEEN(50,100)/100)*(dict_DQ_Meth_max[[#This Row],[Vergleich_ub]]-dict_DQ_Meth_max[[#This Row],[Vergleich_lb]])+dict_DQ_Meth_max[[#This Row],[Vergleich_lb]]</f>
        <v>6.8049999999999997</v>
      </c>
      <c r="H387" s="11" t="str">
        <f ca="1">VLOOKUP(VLOOKUP(dict_DQ_Meth_max[[#This Row],[ID_DataQualities]],table_DataQualities[],3),table_Units[],2)</f>
        <v>+/- °C</v>
      </c>
      <c r="I387" s="10"/>
      <c r="J387" s="10"/>
      <c r="K387" s="10"/>
      <c r="L387" s="10">
        <f ca="1">VLOOKUP(dict_DQ_Meth_max[[#This Row],[ID_DataQualities]],table_DataQualities[],8,FALSE)</f>
        <v>0.5</v>
      </c>
      <c r="M387" s="10">
        <f ca="1">VLOOKUP(dict_DQ_Meth_max[[#This Row],[ID_DataQualities]],table_DataQualities[],9,FALSE)</f>
        <v>7</v>
      </c>
    </row>
    <row r="388" spans="1:13" x14ac:dyDescent="0.45">
      <c r="A388" s="10">
        <v>103</v>
      </c>
      <c r="B388" s="10">
        <v>478</v>
      </c>
      <c r="C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8" s="10"/>
      <c r="E388" s="10"/>
      <c r="F388" s="12">
        <f ca="1">(RANDBETWEEN(0,50)/100)*(dict_DQ_Meth_max[[#This Row],[Vergleich_ub]]-dict_DQ_Meth_max[[#This Row],[Vergleich_lb]])+dict_DQ_Meth_max[[#This Row],[Vergleich_lb]]</f>
        <v>1.54</v>
      </c>
      <c r="G388" s="12">
        <f ca="1">(RANDBETWEEN(50,100)/100)*(dict_DQ_Meth_max[[#This Row],[Vergleich_ub]]-dict_DQ_Meth_max[[#This Row],[Vergleich_lb]])+dict_DQ_Meth_max[[#This Row],[Vergleich_lb]]</f>
        <v>6.8049999999999997</v>
      </c>
      <c r="H388" s="11" t="str">
        <f ca="1">VLOOKUP(VLOOKUP(dict_DQ_Meth_max[[#This Row],[ID_DataQualities]],table_DataQualities[],3),table_Units[],2)</f>
        <v>+/- °C</v>
      </c>
      <c r="I388" s="10"/>
      <c r="J388" s="10"/>
      <c r="K388" s="10"/>
      <c r="L388" s="10">
        <f ca="1">VLOOKUP(dict_DQ_Meth_max[[#This Row],[ID_DataQualities]],table_DataQualities[],8,FALSE)</f>
        <v>0.5</v>
      </c>
      <c r="M388" s="10">
        <f ca="1">VLOOKUP(dict_DQ_Meth_max[[#This Row],[ID_DataQualities]],table_DataQualities[],9,FALSE)</f>
        <v>7</v>
      </c>
    </row>
    <row r="389" spans="1:13" x14ac:dyDescent="0.45">
      <c r="A389" s="10">
        <v>103</v>
      </c>
      <c r="B389" s="10">
        <v>0</v>
      </c>
      <c r="C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89" s="10"/>
      <c r="E389" s="10"/>
      <c r="F389" s="12">
        <f ca="1">(RANDBETWEEN(0,50)/100)*(dict_DQ_Meth_max[[#This Row],[Vergleich_ub]]-dict_DQ_Meth_max[[#This Row],[Vergleich_lb]])+dict_DQ_Meth_max[[#This Row],[Vergleich_lb]]</f>
        <v>2.4500000000000002</v>
      </c>
      <c r="G389" s="12">
        <f ca="1">(RANDBETWEEN(50,100)/100)*(dict_DQ_Meth_max[[#This Row],[Vergleich_ub]]-dict_DQ_Meth_max[[#This Row],[Vergleich_lb]])+dict_DQ_Meth_max[[#This Row],[Vergleich_lb]]</f>
        <v>5.05</v>
      </c>
      <c r="H389" s="11" t="str">
        <f ca="1">VLOOKUP(VLOOKUP(dict_DQ_Meth_max[[#This Row],[ID_DataQualities]],table_DataQualities[],3),table_Units[],2)</f>
        <v>+/- °C</v>
      </c>
      <c r="I389" s="10"/>
      <c r="J389" s="10"/>
      <c r="K389" s="10"/>
      <c r="L389" s="10">
        <f ca="1">VLOOKUP(dict_DQ_Meth_max[[#This Row],[ID_DataQualities]],table_DataQualities[],8,FALSE)</f>
        <v>0.5</v>
      </c>
      <c r="M389" s="10">
        <f ca="1">VLOOKUP(dict_DQ_Meth_max[[#This Row],[ID_DataQualities]],table_DataQualities[],9,FALSE)</f>
        <v>7</v>
      </c>
    </row>
    <row r="390" spans="1:13" x14ac:dyDescent="0.45">
      <c r="A390" s="10">
        <v>103</v>
      </c>
      <c r="B390" s="10">
        <v>564</v>
      </c>
      <c r="C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0" s="10"/>
      <c r="E390" s="10"/>
      <c r="F390" s="12">
        <f ca="1">(RANDBETWEEN(0,50)/100)*(dict_DQ_Meth_max[[#This Row],[Vergleich_ub]]-dict_DQ_Meth_max[[#This Row],[Vergleich_lb]])+dict_DQ_Meth_max[[#This Row],[Vergleich_lb]]</f>
        <v>2.4500000000000002</v>
      </c>
      <c r="G390" s="12">
        <f ca="1">(RANDBETWEEN(50,100)/100)*(dict_DQ_Meth_max[[#This Row],[Vergleich_ub]]-dict_DQ_Meth_max[[#This Row],[Vergleich_lb]])+dict_DQ_Meth_max[[#This Row],[Vergleich_lb]]</f>
        <v>4.0750000000000002</v>
      </c>
      <c r="H390" s="11" t="str">
        <f ca="1">VLOOKUP(VLOOKUP(dict_DQ_Meth_max[[#This Row],[ID_DataQualities]],table_DataQualities[],3),table_Units[],2)</f>
        <v>+/- °C</v>
      </c>
      <c r="I390" s="10"/>
      <c r="J390" s="10"/>
      <c r="K390" s="10"/>
      <c r="L390" s="10">
        <f ca="1">VLOOKUP(dict_DQ_Meth_max[[#This Row],[ID_DataQualities]],table_DataQualities[],8,FALSE)</f>
        <v>0.5</v>
      </c>
      <c r="M390" s="10">
        <f ca="1">VLOOKUP(dict_DQ_Meth_max[[#This Row],[ID_DataQualities]],table_DataQualities[],9,FALSE)</f>
        <v>7</v>
      </c>
    </row>
    <row r="391" spans="1:13" x14ac:dyDescent="0.45">
      <c r="A391" s="10">
        <v>103</v>
      </c>
      <c r="B391" s="10">
        <v>567</v>
      </c>
      <c r="C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1" s="10"/>
      <c r="E391" s="10"/>
      <c r="F391" s="12">
        <f ca="1">(RANDBETWEEN(0,50)/100)*(dict_DQ_Meth_max[[#This Row],[Vergleich_ub]]-dict_DQ_Meth_max[[#This Row],[Vergleich_lb]])+dict_DQ_Meth_max[[#This Row],[Vergleich_lb]]</f>
        <v>0.82499999999999996</v>
      </c>
      <c r="G391" s="12">
        <f ca="1">(RANDBETWEEN(50,100)/100)*(dict_DQ_Meth_max[[#This Row],[Vergleich_ub]]-dict_DQ_Meth_max[[#This Row],[Vergleich_lb]])+dict_DQ_Meth_max[[#This Row],[Vergleich_lb]]</f>
        <v>5.83</v>
      </c>
      <c r="H391" s="11" t="str">
        <f ca="1">VLOOKUP(VLOOKUP(dict_DQ_Meth_max[[#This Row],[ID_DataQualities]],table_DataQualities[],3),table_Units[],2)</f>
        <v>+/- °C</v>
      </c>
      <c r="I391" s="10"/>
      <c r="J391" s="10"/>
      <c r="K391" s="10"/>
      <c r="L391" s="10">
        <f ca="1">VLOOKUP(dict_DQ_Meth_max[[#This Row],[ID_DataQualities]],table_DataQualities[],8,FALSE)</f>
        <v>0.5</v>
      </c>
      <c r="M391" s="10">
        <f ca="1">VLOOKUP(dict_DQ_Meth_max[[#This Row],[ID_DataQualities]],table_DataQualities[],9,FALSE)</f>
        <v>7</v>
      </c>
    </row>
    <row r="392" spans="1:13" x14ac:dyDescent="0.45">
      <c r="A392" s="10">
        <v>104</v>
      </c>
      <c r="B392" s="10">
        <v>668</v>
      </c>
      <c r="C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2" s="10"/>
      <c r="E392" s="10"/>
      <c r="F392" s="12">
        <f ca="1">(RANDBETWEEN(0,50)/100)*(dict_DQ_Meth_max[[#This Row],[Vergleich_ub]]-dict_DQ_Meth_max[[#This Row],[Vergleich_lb]])+dict_DQ_Meth_max[[#This Row],[Vergleich_lb]]</f>
        <v>79.025859999999994</v>
      </c>
      <c r="G392" s="12">
        <f ca="1">(RANDBETWEEN(50,100)/100)*(dict_DQ_Meth_max[[#This Row],[Vergleich_ub]]-dict_DQ_Meth_max[[#This Row],[Vergleich_lb]])+dict_DQ_Meth_max[[#This Row],[Vergleich_lb]]</f>
        <v>5293.8086199999998</v>
      </c>
      <c r="H392" s="11" t="str">
        <f ca="1">VLOOKUP(VLOOKUP(dict_DQ_Meth_max[[#This Row],[ID_DataQualities]],table_DataQualities[],3),table_Units[],2)</f>
        <v>Hz</v>
      </c>
      <c r="I392" s="10"/>
      <c r="J392" s="10"/>
      <c r="K392" s="10"/>
      <c r="L392" s="10">
        <f ca="1">VLOOKUP(dict_DQ_Meth_max[[#This Row],[ID_DataQualities]],table_DataQualities[],8,FALSE)</f>
        <v>1.4E-2</v>
      </c>
      <c r="M392" s="10">
        <f ca="1">VLOOKUP(dict_DQ_Meth_max[[#This Row],[ID_DataQualities]],table_DataQualities[],9,FALSE)</f>
        <v>7901.2</v>
      </c>
    </row>
    <row r="393" spans="1:13" x14ac:dyDescent="0.45">
      <c r="A393" s="10">
        <v>104</v>
      </c>
      <c r="B393" s="10">
        <v>341</v>
      </c>
      <c r="C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3" s="10"/>
      <c r="E393" s="10"/>
      <c r="F393" s="12">
        <f ca="1">(RANDBETWEEN(0,50)/100)*(dict_DQ_Meth_max[[#This Row],[Vergleich_ub]]-dict_DQ_Meth_max[[#This Row],[Vergleich_lb]])+dict_DQ_Meth_max[[#This Row],[Vergleich_lb]]</f>
        <v>3318.5121199999999</v>
      </c>
      <c r="G393" s="12">
        <f ca="1">(RANDBETWEEN(50,100)/100)*(dict_DQ_Meth_max[[#This Row],[Vergleich_ub]]-dict_DQ_Meth_max[[#This Row],[Vergleich_lb]])+dict_DQ_Meth_max[[#This Row],[Vergleich_lb]]</f>
        <v>5530.8441999999995</v>
      </c>
      <c r="H393" s="11" t="str">
        <f ca="1">VLOOKUP(VLOOKUP(dict_DQ_Meth_max[[#This Row],[ID_DataQualities]],table_DataQualities[],3),table_Units[],2)</f>
        <v>Hz</v>
      </c>
      <c r="I393" s="10"/>
      <c r="J393" s="10"/>
      <c r="K393" s="10"/>
      <c r="L393" s="10">
        <f ca="1">VLOOKUP(dict_DQ_Meth_max[[#This Row],[ID_DataQualities]],table_DataQualities[],8,FALSE)</f>
        <v>1.4E-2</v>
      </c>
      <c r="M393" s="10">
        <f ca="1">VLOOKUP(dict_DQ_Meth_max[[#This Row],[ID_DataQualities]],table_DataQualities[],9,FALSE)</f>
        <v>7901.2</v>
      </c>
    </row>
    <row r="394" spans="1:13" x14ac:dyDescent="0.45">
      <c r="A394" s="10">
        <v>105</v>
      </c>
      <c r="B394" s="10">
        <v>668</v>
      </c>
      <c r="C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4" s="10"/>
      <c r="E394" s="10"/>
      <c r="F394" s="12">
        <f ca="1">(RANDBETWEEN(0,50)/100)*(dict_DQ_Meth_max[[#This Row],[Vergleich_ub]]-dict_DQ_Meth_max[[#This Row],[Vergleich_lb]])+dict_DQ_Meth_max[[#This Row],[Vergleich_lb]]</f>
        <v>3.0981000000000001</v>
      </c>
      <c r="G394" s="12">
        <f ca="1">(RANDBETWEEN(50,100)/100)*(dict_DQ_Meth_max[[#This Row],[Vergleich_ub]]-dict_DQ_Meth_max[[#This Row],[Vergleich_lb]])+dict_DQ_Meth_max[[#This Row],[Vergleich_lb]]</f>
        <v>4.5615000000000006</v>
      </c>
      <c r="H394" s="11" t="str">
        <f ca="1">VLOOKUP(VLOOKUP(dict_DQ_Meth_max[[#This Row],[ID_DataQualities]],table_DataQualities[],3),table_Units[],2)</f>
        <v>+/- W</v>
      </c>
      <c r="I394" s="10"/>
      <c r="J394" s="10"/>
      <c r="K394" s="10"/>
      <c r="L394" s="10">
        <f ca="1">VLOOKUP(dict_DQ_Meth_max[[#This Row],[ID_DataQualities]],table_DataQualities[],8,FALSE)</f>
        <v>0.09</v>
      </c>
      <c r="M394" s="10">
        <f ca="1">VLOOKUP(dict_DQ_Meth_max[[#This Row],[ID_DataQualities]],table_DataQualities[],9,FALSE)</f>
        <v>8.2200000000000006</v>
      </c>
    </row>
    <row r="395" spans="1:13" x14ac:dyDescent="0.45">
      <c r="A395" s="10">
        <v>105</v>
      </c>
      <c r="B395" s="10">
        <v>341</v>
      </c>
      <c r="C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5" s="10"/>
      <c r="E395" s="10"/>
      <c r="F395" s="12">
        <f ca="1">(RANDBETWEEN(0,50)/100)*(dict_DQ_Meth_max[[#This Row],[Vergleich_ub]]-dict_DQ_Meth_max[[#This Row],[Vergleich_lb]])+dict_DQ_Meth_max[[#This Row],[Vergleich_lb]]</f>
        <v>3.9923999999999999</v>
      </c>
      <c r="G395" s="12">
        <f ca="1">(RANDBETWEEN(50,100)/100)*(dict_DQ_Meth_max[[#This Row],[Vergleich_ub]]-dict_DQ_Meth_max[[#This Row],[Vergleich_lb]])+dict_DQ_Meth_max[[#This Row],[Vergleich_lb]]</f>
        <v>5.7809999999999997</v>
      </c>
      <c r="H395" s="11" t="str">
        <f ca="1">VLOOKUP(VLOOKUP(dict_DQ_Meth_max[[#This Row],[ID_DataQualities]],table_DataQualities[],3),table_Units[],2)</f>
        <v>+/- W</v>
      </c>
      <c r="I395" s="10"/>
      <c r="J395" s="10"/>
      <c r="K395" s="10"/>
      <c r="L395" s="10">
        <f ca="1">VLOOKUP(dict_DQ_Meth_max[[#This Row],[ID_DataQualities]],table_DataQualities[],8,FALSE)</f>
        <v>0.09</v>
      </c>
      <c r="M395" s="10">
        <f ca="1">VLOOKUP(dict_DQ_Meth_max[[#This Row],[ID_DataQualities]],table_DataQualities[],9,FALSE)</f>
        <v>8.2200000000000006</v>
      </c>
    </row>
    <row r="396" spans="1:13" x14ac:dyDescent="0.45">
      <c r="A396" s="10">
        <v>106</v>
      </c>
      <c r="B396" s="10">
        <v>88</v>
      </c>
      <c r="C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6" s="10"/>
      <c r="E396" s="10"/>
      <c r="F396" s="12">
        <f ca="1">(RANDBETWEEN(0,50)/100)*(dict_DQ_Meth_max[[#This Row],[Vergleich_ub]]-dict_DQ_Meth_max[[#This Row],[Vergleich_lb]])+dict_DQ_Meth_max[[#This Row],[Vergleich_lb]]</f>
        <v>3474.1855200000005</v>
      </c>
      <c r="G396" s="12">
        <f ca="1">(RANDBETWEEN(50,100)/100)*(dict_DQ_Meth_max[[#This Row],[Vergleich_ub]]-dict_DQ_Meth_max[[#This Row],[Vergleich_lb]])+dict_DQ_Meth_max[[#This Row],[Vergleich_lb]]</f>
        <v>6790.2463800000005</v>
      </c>
      <c r="H396" s="11" t="str">
        <f ca="1">VLOOKUP(VLOOKUP(dict_DQ_Meth_max[[#This Row],[ID_DataQualities]],table_DataQualities[],3),table_Units[],2)</f>
        <v>Hz</v>
      </c>
      <c r="I396" s="10"/>
      <c r="J396" s="10"/>
      <c r="K396" s="10"/>
      <c r="L396" s="10">
        <f ca="1">VLOOKUP(dict_DQ_Meth_max[[#This Row],[ID_DataQualities]],table_DataQualities[],8,FALSE)</f>
        <v>0.217</v>
      </c>
      <c r="M396" s="10">
        <f ca="1">VLOOKUP(dict_DQ_Meth_max[[#This Row],[ID_DataQualities]],table_DataQualities[],9,FALSE)</f>
        <v>7895.6</v>
      </c>
    </row>
    <row r="397" spans="1:13" x14ac:dyDescent="0.45">
      <c r="A397" s="10">
        <v>106</v>
      </c>
      <c r="B397" s="10">
        <v>93</v>
      </c>
      <c r="C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7" s="10"/>
      <c r="E397" s="10"/>
      <c r="F397" s="12">
        <f ca="1">(RANDBETWEEN(0,50)/100)*(dict_DQ_Meth_max[[#This Row],[Vergleich_ub]]-dict_DQ_Meth_max[[#This Row],[Vergleich_lb]])+dict_DQ_Meth_max[[#This Row],[Vergleich_lb]]</f>
        <v>3474.1855200000005</v>
      </c>
      <c r="G397" s="12">
        <f ca="1">(RANDBETWEEN(50,100)/100)*(dict_DQ_Meth_max[[#This Row],[Vergleich_ub]]-dict_DQ_Meth_max[[#This Row],[Vergleich_lb]])+dict_DQ_Meth_max[[#This Row],[Vergleich_lb]]</f>
        <v>4816.4006300000001</v>
      </c>
      <c r="H397" s="11" t="str">
        <f ca="1">VLOOKUP(VLOOKUP(dict_DQ_Meth_max[[#This Row],[ID_DataQualities]],table_DataQualities[],3),table_Units[],2)</f>
        <v>Hz</v>
      </c>
      <c r="I397" s="10"/>
      <c r="J397" s="10"/>
      <c r="K397" s="10"/>
      <c r="L397" s="10">
        <f ca="1">VLOOKUP(dict_DQ_Meth_max[[#This Row],[ID_DataQualities]],table_DataQualities[],8,FALSE)</f>
        <v>0.217</v>
      </c>
      <c r="M397" s="10">
        <f ca="1">VLOOKUP(dict_DQ_Meth_max[[#This Row],[ID_DataQualities]],table_DataQualities[],9,FALSE)</f>
        <v>7895.6</v>
      </c>
    </row>
    <row r="398" spans="1:13" x14ac:dyDescent="0.45">
      <c r="A398" s="10">
        <v>106</v>
      </c>
      <c r="B398" s="10">
        <v>259</v>
      </c>
      <c r="C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8" s="10"/>
      <c r="E398" s="10"/>
      <c r="F398" s="12">
        <f ca="1">(RANDBETWEEN(0,50)/100)*(dict_DQ_Meth_max[[#This Row],[Vergleich_ub]]-dict_DQ_Meth_max[[#This Row],[Vergleich_lb]])+dict_DQ_Meth_max[[#This Row],[Vergleich_lb]]</f>
        <v>1579.2936000000004</v>
      </c>
      <c r="G398" s="12">
        <f ca="1">(RANDBETWEEN(50,100)/100)*(dict_DQ_Meth_max[[#This Row],[Vergleich_ub]]-dict_DQ_Meth_max[[#This Row],[Vergleich_lb]])+dict_DQ_Meth_max[[#This Row],[Vergleich_lb]]</f>
        <v>4184.7699900000007</v>
      </c>
      <c r="H398" s="11" t="str">
        <f ca="1">VLOOKUP(VLOOKUP(dict_DQ_Meth_max[[#This Row],[ID_DataQualities]],table_DataQualities[],3),table_Units[],2)</f>
        <v>Hz</v>
      </c>
      <c r="I398" s="10"/>
      <c r="J398" s="10"/>
      <c r="K398" s="10"/>
      <c r="L398" s="10">
        <f ca="1">VLOOKUP(dict_DQ_Meth_max[[#This Row],[ID_DataQualities]],table_DataQualities[],8,FALSE)</f>
        <v>0.217</v>
      </c>
      <c r="M398" s="10">
        <f ca="1">VLOOKUP(dict_DQ_Meth_max[[#This Row],[ID_DataQualities]],table_DataQualities[],9,FALSE)</f>
        <v>7895.6</v>
      </c>
    </row>
    <row r="399" spans="1:13" x14ac:dyDescent="0.45">
      <c r="A399" s="10">
        <v>106</v>
      </c>
      <c r="B399" s="10">
        <v>62</v>
      </c>
      <c r="C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399" s="10"/>
      <c r="E399" s="10"/>
      <c r="F399" s="12">
        <f ca="1">(RANDBETWEEN(0,50)/100)*(dict_DQ_Meth_max[[#This Row],[Vergleich_ub]]-dict_DQ_Meth_max[[#This Row],[Vergleich_lb]])+dict_DQ_Meth_max[[#This Row],[Vergleich_lb]]</f>
        <v>1895.1089200000001</v>
      </c>
      <c r="G399" s="12">
        <f ca="1">(RANDBETWEEN(50,100)/100)*(dict_DQ_Meth_max[[#This Row],[Vergleich_ub]]-dict_DQ_Meth_max[[#This Row],[Vergleich_lb]])+dict_DQ_Meth_max[[#This Row],[Vergleich_lb]]</f>
        <v>6474.4310599999999</v>
      </c>
      <c r="H399" s="11" t="str">
        <f ca="1">VLOOKUP(VLOOKUP(dict_DQ_Meth_max[[#This Row],[ID_DataQualities]],table_DataQualities[],3),table_Units[],2)</f>
        <v>Hz</v>
      </c>
      <c r="I399" s="10"/>
      <c r="J399" s="10"/>
      <c r="K399" s="10"/>
      <c r="L399" s="10">
        <f ca="1">VLOOKUP(dict_DQ_Meth_max[[#This Row],[ID_DataQualities]],table_DataQualities[],8,FALSE)</f>
        <v>0.217</v>
      </c>
      <c r="M399" s="10">
        <f ca="1">VLOOKUP(dict_DQ_Meth_max[[#This Row],[ID_DataQualities]],table_DataQualities[],9,FALSE)</f>
        <v>7895.6</v>
      </c>
    </row>
    <row r="400" spans="1:13" x14ac:dyDescent="0.45">
      <c r="A400" s="10">
        <v>107</v>
      </c>
      <c r="B400" s="10">
        <v>88</v>
      </c>
      <c r="C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0" s="10"/>
      <c r="E400" s="10"/>
      <c r="F400" s="12">
        <f ca="1">(RANDBETWEEN(0,50)/100)*(dict_DQ_Meth_max[[#This Row],[Vergleich_ub]]-dict_DQ_Meth_max[[#This Row],[Vergleich_lb]])+dict_DQ_Meth_max[[#This Row],[Vergleich_lb]]</f>
        <v>0.29616000000000003</v>
      </c>
      <c r="G400" s="12">
        <f ca="1">(RANDBETWEEN(50,100)/100)*(dict_DQ_Meth_max[[#This Row],[Vergleich_ub]]-dict_DQ_Meth_max[[#This Row],[Vergleich_lb]])+dict_DQ_Meth_max[[#This Row],[Vergleich_lb]]</f>
        <v>0.60236500000000004</v>
      </c>
      <c r="H400" s="11" t="str">
        <f ca="1">VLOOKUP(VLOOKUP(dict_DQ_Meth_max[[#This Row],[ID_DataQualities]],table_DataQualities[],3),table_Units[],2)</f>
        <v>+/- cm³/s</v>
      </c>
      <c r="I400" s="10"/>
      <c r="J400" s="10"/>
      <c r="K400" s="10"/>
      <c r="L400" s="10">
        <f ca="1">VLOOKUP(dict_DQ_Meth_max[[#This Row],[ID_DataQualities]],table_DataQualities[],8,FALSE)</f>
        <v>9.4999999999999998E-3</v>
      </c>
      <c r="M400" s="10">
        <f ca="1">VLOOKUP(dict_DQ_Meth_max[[#This Row],[ID_DataQualities]],table_DataQualities[],9,FALSE)</f>
        <v>0.66100000000000003</v>
      </c>
    </row>
    <row r="401" spans="1:13" x14ac:dyDescent="0.45">
      <c r="A401" s="10">
        <v>107</v>
      </c>
      <c r="B401" s="10">
        <v>62</v>
      </c>
      <c r="C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1" s="10"/>
      <c r="E401" s="10"/>
      <c r="F401" s="12">
        <f ca="1">(RANDBETWEEN(0,50)/100)*(dict_DQ_Meth_max[[#This Row],[Vergleich_ub]]-dict_DQ_Meth_max[[#This Row],[Vergleich_lb]])+dict_DQ_Meth_max[[#This Row],[Vergleich_lb]]</f>
        <v>0.20495000000000002</v>
      </c>
      <c r="G401" s="12">
        <f ca="1">(RANDBETWEEN(50,100)/100)*(dict_DQ_Meth_max[[#This Row],[Vergleich_ub]]-dict_DQ_Meth_max[[#This Row],[Vergleich_lb]])+dict_DQ_Meth_max[[#This Row],[Vergleich_lb]]</f>
        <v>0.51115500000000003</v>
      </c>
      <c r="H401" s="11" t="str">
        <f ca="1">VLOOKUP(VLOOKUP(dict_DQ_Meth_max[[#This Row],[ID_DataQualities]],table_DataQualities[],3),table_Units[],2)</f>
        <v>+/- cm³/s</v>
      </c>
      <c r="I401" s="10"/>
      <c r="J401" s="10"/>
      <c r="K401" s="10"/>
      <c r="L401" s="10">
        <f ca="1">VLOOKUP(dict_DQ_Meth_max[[#This Row],[ID_DataQualities]],table_DataQualities[],8,FALSE)</f>
        <v>9.4999999999999998E-3</v>
      </c>
      <c r="M401" s="10">
        <f ca="1">VLOOKUP(dict_DQ_Meth_max[[#This Row],[ID_DataQualities]],table_DataQualities[],9,FALSE)</f>
        <v>0.66100000000000003</v>
      </c>
    </row>
    <row r="402" spans="1:13" x14ac:dyDescent="0.45">
      <c r="A402" s="10">
        <v>107</v>
      </c>
      <c r="B402" s="10">
        <v>93</v>
      </c>
      <c r="C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2" s="10"/>
      <c r="E402" s="10"/>
      <c r="F402" s="12">
        <f ca="1">(RANDBETWEEN(0,50)/100)*(dict_DQ_Meth_max[[#This Row],[Vergleich_ub]]-dict_DQ_Meth_max[[#This Row],[Vergleich_lb]])+dict_DQ_Meth_max[[#This Row],[Vergleich_lb]]</f>
        <v>6.8135000000000001E-2</v>
      </c>
      <c r="G402" s="12">
        <f ca="1">(RANDBETWEEN(50,100)/100)*(dict_DQ_Meth_max[[#This Row],[Vergleich_ub]]-dict_DQ_Meth_max[[#This Row],[Vergleich_lb]])+dict_DQ_Meth_max[[#This Row],[Vergleich_lb]]</f>
        <v>0.64797000000000005</v>
      </c>
      <c r="H402" s="11" t="str">
        <f ca="1">VLOOKUP(VLOOKUP(dict_DQ_Meth_max[[#This Row],[ID_DataQualities]],table_DataQualities[],3),table_Units[],2)</f>
        <v>+/- cm³/s</v>
      </c>
      <c r="I402" s="10"/>
      <c r="J402" s="10"/>
      <c r="K402" s="10"/>
      <c r="L402" s="10">
        <f ca="1">VLOOKUP(dict_DQ_Meth_max[[#This Row],[ID_DataQualities]],table_DataQualities[],8,FALSE)</f>
        <v>9.4999999999999998E-3</v>
      </c>
      <c r="M402" s="10">
        <f ca="1">VLOOKUP(dict_DQ_Meth_max[[#This Row],[ID_DataQualities]],table_DataQualities[],9,FALSE)</f>
        <v>0.66100000000000003</v>
      </c>
    </row>
    <row r="403" spans="1:13" x14ac:dyDescent="0.45">
      <c r="A403" s="10">
        <v>107</v>
      </c>
      <c r="B403" s="10">
        <v>259</v>
      </c>
      <c r="C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3" s="10"/>
      <c r="E403" s="10"/>
      <c r="F403" s="12">
        <f ca="1">(RANDBETWEEN(0,50)/100)*(dict_DQ_Meth_max[[#This Row],[Vergleich_ub]]-dict_DQ_Meth_max[[#This Row],[Vergleich_lb]])+dict_DQ_Meth_max[[#This Row],[Vergleich_lb]]</f>
        <v>0.13980000000000004</v>
      </c>
      <c r="G403" s="12">
        <f ca="1">(RANDBETWEEN(50,100)/100)*(dict_DQ_Meth_max[[#This Row],[Vergleich_ub]]-dict_DQ_Meth_max[[#This Row],[Vergleich_lb]])+dict_DQ_Meth_max[[#This Row],[Vergleich_lb]]</f>
        <v>0.40040000000000003</v>
      </c>
      <c r="H403" s="11" t="str">
        <f ca="1">VLOOKUP(VLOOKUP(dict_DQ_Meth_max[[#This Row],[ID_DataQualities]],table_DataQualities[],3),table_Units[],2)</f>
        <v>+/- cm³/s</v>
      </c>
      <c r="I403" s="10"/>
      <c r="J403" s="10"/>
      <c r="K403" s="10"/>
      <c r="L403" s="10">
        <f ca="1">VLOOKUP(dict_DQ_Meth_max[[#This Row],[ID_DataQualities]],table_DataQualities[],8,FALSE)</f>
        <v>9.4999999999999998E-3</v>
      </c>
      <c r="M403" s="10">
        <f ca="1">VLOOKUP(dict_DQ_Meth_max[[#This Row],[ID_DataQualities]],table_DataQualities[],9,FALSE)</f>
        <v>0.66100000000000003</v>
      </c>
    </row>
    <row r="404" spans="1:13" x14ac:dyDescent="0.45">
      <c r="A404" s="10">
        <v>108</v>
      </c>
      <c r="B404" s="10">
        <v>464</v>
      </c>
      <c r="C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4" s="10"/>
      <c r="E404" s="10"/>
      <c r="F404" s="12">
        <f ca="1">(RANDBETWEEN(0,50)/100)*(dict_DQ_Meth_max[[#This Row],[Vergleich_ub]]-dict_DQ_Meth_max[[#This Row],[Vergleich_lb]])+dict_DQ_Meth_max[[#This Row],[Vergleich_lb]]</f>
        <v>298.98570000000001</v>
      </c>
      <c r="G404" s="12">
        <f ca="1">(RANDBETWEEN(50,100)/100)*(dict_DQ_Meth_max[[#This Row],[Vergleich_ub]]-dict_DQ_Meth_max[[#This Row],[Vergleich_lb]])+dict_DQ_Meth_max[[#This Row],[Vergleich_lb]]</f>
        <v>923.94119999999998</v>
      </c>
      <c r="H404" s="11" t="str">
        <f ca="1">VLOOKUP(VLOOKUP(dict_DQ_Meth_max[[#This Row],[ID_DataQualities]],table_DataQualities[],3),table_Units[],2)</f>
        <v>Hz</v>
      </c>
      <c r="I404" s="10"/>
      <c r="J404" s="10"/>
      <c r="K404" s="10"/>
      <c r="L404" s="10">
        <f ca="1">VLOOKUP(dict_DQ_Meth_max[[#This Row],[ID_DataQualities]],table_DataQualities[],8,FALSE)</f>
        <v>0.93</v>
      </c>
      <c r="M404" s="10">
        <f ca="1">VLOOKUP(dict_DQ_Meth_max[[#This Row],[ID_DataQualities]],table_DataQualities[],9,FALSE)</f>
        <v>962.4</v>
      </c>
    </row>
    <row r="405" spans="1:13" x14ac:dyDescent="0.45">
      <c r="A405" s="10">
        <v>108</v>
      </c>
      <c r="B405" s="10">
        <v>19</v>
      </c>
      <c r="C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5" s="10"/>
      <c r="E405" s="10"/>
      <c r="F405" s="12">
        <f ca="1">(RANDBETWEEN(0,50)/100)*(dict_DQ_Meth_max[[#This Row],[Vergleich_ub]]-dict_DQ_Meth_max[[#This Row],[Vergleich_lb]])+dict_DQ_Meth_max[[#This Row],[Vergleich_lb]]</f>
        <v>260.52690000000001</v>
      </c>
      <c r="G405" s="12">
        <f ca="1">(RANDBETWEEN(50,100)/100)*(dict_DQ_Meth_max[[#This Row],[Vergleich_ub]]-dict_DQ_Meth_max[[#This Row],[Vergleich_lb]])+dict_DQ_Meth_max[[#This Row],[Vergleich_lb]]</f>
        <v>837.40890000000002</v>
      </c>
      <c r="H405" s="11" t="str">
        <f ca="1">VLOOKUP(VLOOKUP(dict_DQ_Meth_max[[#This Row],[ID_DataQualities]],table_DataQualities[],3),table_Units[],2)</f>
        <v>Hz</v>
      </c>
      <c r="I405" s="10"/>
      <c r="J405" s="10"/>
      <c r="K405" s="10"/>
      <c r="L405" s="10">
        <f ca="1">VLOOKUP(dict_DQ_Meth_max[[#This Row],[ID_DataQualities]],table_DataQualities[],8,FALSE)</f>
        <v>0.93</v>
      </c>
      <c r="M405" s="10">
        <f ca="1">VLOOKUP(dict_DQ_Meth_max[[#This Row],[ID_DataQualities]],table_DataQualities[],9,FALSE)</f>
        <v>962.4</v>
      </c>
    </row>
    <row r="406" spans="1:13" x14ac:dyDescent="0.45">
      <c r="A406" s="10">
        <v>108</v>
      </c>
      <c r="B406" s="10">
        <v>146</v>
      </c>
      <c r="C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6" s="10"/>
      <c r="E406" s="10"/>
      <c r="F406" s="12">
        <f ca="1">(RANDBETWEEN(0,50)/100)*(dict_DQ_Meth_max[[#This Row],[Vergleich_ub]]-dict_DQ_Meth_max[[#This Row],[Vergleich_lb]])+dict_DQ_Meth_max[[#This Row],[Vergleich_lb]]</f>
        <v>135.53580000000002</v>
      </c>
      <c r="G406" s="12">
        <f ca="1">(RANDBETWEEN(50,100)/100)*(dict_DQ_Meth_max[[#This Row],[Vergleich_ub]]-dict_DQ_Meth_max[[#This Row],[Vergleich_lb]])+dict_DQ_Meth_max[[#This Row],[Vergleich_lb]]</f>
        <v>923.94119999999998</v>
      </c>
      <c r="H406" s="11" t="str">
        <f ca="1">VLOOKUP(VLOOKUP(dict_DQ_Meth_max[[#This Row],[ID_DataQualities]],table_DataQualities[],3),table_Units[],2)</f>
        <v>Hz</v>
      </c>
      <c r="I406" s="10"/>
      <c r="J406" s="10"/>
      <c r="K406" s="10"/>
      <c r="L406" s="10">
        <f ca="1">VLOOKUP(dict_DQ_Meth_max[[#This Row],[ID_DataQualities]],table_DataQualities[],8,FALSE)</f>
        <v>0.93</v>
      </c>
      <c r="M406" s="10">
        <f ca="1">VLOOKUP(dict_DQ_Meth_max[[#This Row],[ID_DataQualities]],table_DataQualities[],9,FALSE)</f>
        <v>962.4</v>
      </c>
    </row>
    <row r="407" spans="1:13" x14ac:dyDescent="0.45">
      <c r="A407" s="10">
        <v>108</v>
      </c>
      <c r="B407" s="10">
        <v>225</v>
      </c>
      <c r="C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7" s="10"/>
      <c r="E407" s="10"/>
      <c r="F407" s="12">
        <f ca="1">(RANDBETWEEN(0,50)/100)*(dict_DQ_Meth_max[[#This Row],[Vergleich_ub]]-dict_DQ_Meth_max[[#This Row],[Vergleich_lb]])+dict_DQ_Meth_max[[#This Row],[Vergleich_lb]]</f>
        <v>58.618200000000002</v>
      </c>
      <c r="G407" s="12">
        <f ca="1">(RANDBETWEEN(50,100)/100)*(dict_DQ_Meth_max[[#This Row],[Vergleich_ub]]-dict_DQ_Meth_max[[#This Row],[Vergleich_lb]])+dict_DQ_Meth_max[[#This Row],[Vergleich_lb]]</f>
        <v>856.63829999999996</v>
      </c>
      <c r="H407" s="11" t="str">
        <f ca="1">VLOOKUP(VLOOKUP(dict_DQ_Meth_max[[#This Row],[ID_DataQualities]],table_DataQualities[],3),table_Units[],2)</f>
        <v>Hz</v>
      </c>
      <c r="I407" s="10"/>
      <c r="J407" s="10"/>
      <c r="K407" s="10"/>
      <c r="L407" s="10">
        <f ca="1">VLOOKUP(dict_DQ_Meth_max[[#This Row],[ID_DataQualities]],table_DataQualities[],8,FALSE)</f>
        <v>0.93</v>
      </c>
      <c r="M407" s="10">
        <f ca="1">VLOOKUP(dict_DQ_Meth_max[[#This Row],[ID_DataQualities]],table_DataQualities[],9,FALSE)</f>
        <v>962.4</v>
      </c>
    </row>
    <row r="408" spans="1:13" x14ac:dyDescent="0.45">
      <c r="A408" s="10">
        <v>109</v>
      </c>
      <c r="B408" s="10">
        <v>464</v>
      </c>
      <c r="C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8" s="10"/>
      <c r="E408" s="10"/>
      <c r="F408" s="12">
        <f ca="1">(RANDBETWEEN(0,50)/100)*(dict_DQ_Meth_max[[#This Row],[Vergleich_ub]]-dict_DQ_Meth_max[[#This Row],[Vergleich_lb]])+dict_DQ_Meth_max[[#This Row],[Vergleich_lb]]</f>
        <v>2065.6099999999997</v>
      </c>
      <c r="G408" s="12">
        <f ca="1">(RANDBETWEEN(50,100)/100)*(dict_DQ_Meth_max[[#This Row],[Vergleich_ub]]-dict_DQ_Meth_max[[#This Row],[Vergleich_lb]])+dict_DQ_Meth_max[[#This Row],[Vergleich_lb]]</f>
        <v>3801.9799999999996</v>
      </c>
      <c r="H408" s="11" t="str">
        <f ca="1">VLOOKUP(VLOOKUP(dict_DQ_Meth_max[[#This Row],[ID_DataQualities]],table_DataQualities[],3),table_Units[],2)</f>
        <v>bit</v>
      </c>
      <c r="I408" s="10"/>
      <c r="J408" s="10"/>
      <c r="K408" s="10"/>
      <c r="L408" s="10">
        <f ca="1">VLOOKUP(dict_DQ_Meth_max[[#This Row],[ID_DataQualities]],table_DataQualities[],8,FALSE)</f>
        <v>72</v>
      </c>
      <c r="M408" s="10">
        <f ca="1">VLOOKUP(dict_DQ_Meth_max[[#This Row],[ID_DataQualities]],table_DataQualities[],9,FALSE)</f>
        <v>6503</v>
      </c>
    </row>
    <row r="409" spans="1:13" x14ac:dyDescent="0.45">
      <c r="A409" s="10">
        <v>109</v>
      </c>
      <c r="B409" s="10">
        <v>146</v>
      </c>
      <c r="C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09" s="10"/>
      <c r="E409" s="10"/>
      <c r="F409" s="12">
        <f ca="1">(RANDBETWEEN(0,50)/100)*(dict_DQ_Meth_max[[#This Row],[Vergleich_ub]]-dict_DQ_Meth_max[[#This Row],[Vergleich_lb]])+dict_DQ_Meth_max[[#This Row],[Vergleich_lb]]</f>
        <v>457.86</v>
      </c>
      <c r="G409" s="12">
        <f ca="1">(RANDBETWEEN(50,100)/100)*(dict_DQ_Meth_max[[#This Row],[Vergleich_ub]]-dict_DQ_Meth_max[[#This Row],[Vergleich_lb]])+dict_DQ_Meth_max[[#This Row],[Vergleich_lb]]</f>
        <v>6117.1399999999994</v>
      </c>
      <c r="H409" s="11" t="str">
        <f ca="1">VLOOKUP(VLOOKUP(dict_DQ_Meth_max[[#This Row],[ID_DataQualities]],table_DataQualities[],3),table_Units[],2)</f>
        <v>bit</v>
      </c>
      <c r="I409" s="10"/>
      <c r="J409" s="10"/>
      <c r="K409" s="10"/>
      <c r="L409" s="10">
        <f ca="1">VLOOKUP(dict_DQ_Meth_max[[#This Row],[ID_DataQualities]],table_DataQualities[],8,FALSE)</f>
        <v>72</v>
      </c>
      <c r="M409" s="10">
        <f ca="1">VLOOKUP(dict_DQ_Meth_max[[#This Row],[ID_DataQualities]],table_DataQualities[],9,FALSE)</f>
        <v>6503</v>
      </c>
    </row>
    <row r="410" spans="1:13" x14ac:dyDescent="0.45">
      <c r="A410" s="10">
        <v>109</v>
      </c>
      <c r="B410" s="10">
        <v>19</v>
      </c>
      <c r="C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0" s="10"/>
      <c r="E410" s="10"/>
      <c r="F410" s="12">
        <f ca="1">(RANDBETWEEN(0,50)/100)*(dict_DQ_Meth_max[[#This Row],[Vergleich_ub]]-dict_DQ_Meth_max[[#This Row],[Vergleich_lb]])+dict_DQ_Meth_max[[#This Row],[Vergleich_lb]]</f>
        <v>2451.4699999999998</v>
      </c>
      <c r="G410" s="12">
        <f ca="1">(RANDBETWEEN(50,100)/100)*(dict_DQ_Meth_max[[#This Row],[Vergleich_ub]]-dict_DQ_Meth_max[[#This Row],[Vergleich_lb]])+dict_DQ_Meth_max[[#This Row],[Vergleich_lb]]</f>
        <v>3866.29</v>
      </c>
      <c r="H410" s="11" t="str">
        <f ca="1">VLOOKUP(VLOOKUP(dict_DQ_Meth_max[[#This Row],[ID_DataQualities]],table_DataQualities[],3),table_Units[],2)</f>
        <v>bit</v>
      </c>
      <c r="I410" s="10"/>
      <c r="J410" s="10"/>
      <c r="K410" s="10"/>
      <c r="L410" s="10">
        <f ca="1">VLOOKUP(dict_DQ_Meth_max[[#This Row],[ID_DataQualities]],table_DataQualities[],8,FALSE)</f>
        <v>72</v>
      </c>
      <c r="M410" s="10">
        <f ca="1">VLOOKUP(dict_DQ_Meth_max[[#This Row],[ID_DataQualities]],table_DataQualities[],9,FALSE)</f>
        <v>6503</v>
      </c>
    </row>
    <row r="411" spans="1:13" x14ac:dyDescent="0.45">
      <c r="A411" s="10">
        <v>109</v>
      </c>
      <c r="B411" s="10">
        <v>225</v>
      </c>
      <c r="C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1" s="10"/>
      <c r="E411" s="10"/>
      <c r="F411" s="12">
        <f ca="1">(RANDBETWEEN(0,50)/100)*(dict_DQ_Meth_max[[#This Row],[Vergleich_ub]]-dict_DQ_Meth_max[[#This Row],[Vergleich_lb]])+dict_DQ_Meth_max[[#This Row],[Vergleich_lb]]</f>
        <v>2194.23</v>
      </c>
      <c r="G411" s="12">
        <f ca="1">(RANDBETWEEN(50,100)/100)*(dict_DQ_Meth_max[[#This Row],[Vergleich_ub]]-dict_DQ_Meth_max[[#This Row],[Vergleich_lb]])+dict_DQ_Meth_max[[#This Row],[Vergleich_lb]]</f>
        <v>4123.5300000000007</v>
      </c>
      <c r="H411" s="11" t="str">
        <f ca="1">VLOOKUP(VLOOKUP(dict_DQ_Meth_max[[#This Row],[ID_DataQualities]],table_DataQualities[],3),table_Units[],2)</f>
        <v>bit</v>
      </c>
      <c r="I411" s="10"/>
      <c r="J411" s="10"/>
      <c r="K411" s="10"/>
      <c r="L411" s="10">
        <f ca="1">VLOOKUP(dict_DQ_Meth_max[[#This Row],[ID_DataQualities]],table_DataQualities[],8,FALSE)</f>
        <v>72</v>
      </c>
      <c r="M411" s="10">
        <f ca="1">VLOOKUP(dict_DQ_Meth_max[[#This Row],[ID_DataQualities]],table_DataQualities[],9,FALSE)</f>
        <v>6503</v>
      </c>
    </row>
    <row r="412" spans="1:13" x14ac:dyDescent="0.45">
      <c r="A412" s="10">
        <v>110</v>
      </c>
      <c r="B412" s="10">
        <v>163</v>
      </c>
      <c r="C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2" s="10"/>
      <c r="E412" s="10"/>
      <c r="F412" s="12">
        <f ca="1">(RANDBETWEEN(0,50)/100)*(dict_DQ_Meth_max[[#This Row],[Vergleich_ub]]-dict_DQ_Meth_max[[#This Row],[Vergleich_lb]])+dict_DQ_Meth_max[[#This Row],[Vergleich_lb]]</f>
        <v>3866.5008000000003</v>
      </c>
      <c r="G412" s="12">
        <f ca="1">(RANDBETWEEN(50,100)/100)*(dict_DQ_Meth_max[[#This Row],[Vergleich_ub]]-dict_DQ_Meth_max[[#This Row],[Vergleich_lb]])+dict_DQ_Meth_max[[#This Row],[Vergleich_lb]]</f>
        <v>8312.0935200000004</v>
      </c>
      <c r="H412" s="11" t="str">
        <f ca="1">VLOOKUP(VLOOKUP(dict_DQ_Meth_max[[#This Row],[ID_DataQualities]],table_DataQualities[],3),table_Units[],2)</f>
        <v>Hz</v>
      </c>
      <c r="I412" s="10"/>
      <c r="J412" s="10"/>
      <c r="K412" s="10"/>
      <c r="L412" s="10">
        <f ca="1">VLOOKUP(dict_DQ_Meth_max[[#This Row],[ID_DataQualities]],table_DataQualities[],8,FALSE)</f>
        <v>0.76800000000000002</v>
      </c>
      <c r="M412" s="10">
        <f ca="1">VLOOKUP(dict_DQ_Meth_max[[#This Row],[ID_DataQualities]],table_DataQualities[],9,FALSE)</f>
        <v>9665.1</v>
      </c>
    </row>
    <row r="413" spans="1:13" x14ac:dyDescent="0.45">
      <c r="A413" s="10">
        <v>110</v>
      </c>
      <c r="B413" s="10">
        <v>592</v>
      </c>
      <c r="C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3" s="10"/>
      <c r="E413" s="10"/>
      <c r="F413" s="12">
        <f ca="1">(RANDBETWEEN(0,50)/100)*(dict_DQ_Meth_max[[#This Row],[Vergleich_ub]]-dict_DQ_Meth_max[[#This Row],[Vergleich_lb]])+dict_DQ_Meth_max[[#This Row],[Vergleich_lb]]</f>
        <v>1933.6344000000001</v>
      </c>
      <c r="G413" s="12">
        <f ca="1">(RANDBETWEEN(50,100)/100)*(dict_DQ_Meth_max[[#This Row],[Vergleich_ub]]-dict_DQ_Meth_max[[#This Row],[Vergleich_lb]])+dict_DQ_Meth_max[[#This Row],[Vergleich_lb]]</f>
        <v>5219.5072800000007</v>
      </c>
      <c r="H413" s="11" t="str">
        <f ca="1">VLOOKUP(VLOOKUP(dict_DQ_Meth_max[[#This Row],[ID_DataQualities]],table_DataQualities[],3),table_Units[],2)</f>
        <v>Hz</v>
      </c>
      <c r="I413" s="10"/>
      <c r="J413" s="10"/>
      <c r="K413" s="10"/>
      <c r="L413" s="10">
        <f ca="1">VLOOKUP(dict_DQ_Meth_max[[#This Row],[ID_DataQualities]],table_DataQualities[],8,FALSE)</f>
        <v>0.76800000000000002</v>
      </c>
      <c r="M413" s="10">
        <f ca="1">VLOOKUP(dict_DQ_Meth_max[[#This Row],[ID_DataQualities]],table_DataQualities[],9,FALSE)</f>
        <v>9665.1</v>
      </c>
    </row>
    <row r="414" spans="1:13" x14ac:dyDescent="0.45">
      <c r="A414" s="10">
        <v>110</v>
      </c>
      <c r="B414" s="10">
        <v>322</v>
      </c>
      <c r="C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4" s="10"/>
      <c r="E414" s="10"/>
      <c r="F414" s="12">
        <f ca="1">(RANDBETWEEN(0,50)/100)*(dict_DQ_Meth_max[[#This Row],[Vergleich_ub]]-dict_DQ_Meth_max[[#This Row],[Vergleich_lb]])+dict_DQ_Meth_max[[#This Row],[Vergleich_lb]]</f>
        <v>194.05464000000001</v>
      </c>
      <c r="G414" s="12">
        <f ca="1">(RANDBETWEEN(50,100)/100)*(dict_DQ_Meth_max[[#This Row],[Vergleich_ub]]-dict_DQ_Meth_max[[#This Row],[Vergleich_lb]])+dict_DQ_Meth_max[[#This Row],[Vergleich_lb]]</f>
        <v>7152.3736800000006</v>
      </c>
      <c r="H414" s="11" t="str">
        <f ca="1">VLOOKUP(VLOOKUP(dict_DQ_Meth_max[[#This Row],[ID_DataQualities]],table_DataQualities[],3),table_Units[],2)</f>
        <v>Hz</v>
      </c>
      <c r="I414" s="10"/>
      <c r="J414" s="10"/>
      <c r="K414" s="10"/>
      <c r="L414" s="10">
        <f ca="1">VLOOKUP(dict_DQ_Meth_max[[#This Row],[ID_DataQualities]],table_DataQualities[],8,FALSE)</f>
        <v>0.76800000000000002</v>
      </c>
      <c r="M414" s="10">
        <f ca="1">VLOOKUP(dict_DQ_Meth_max[[#This Row],[ID_DataQualities]],table_DataQualities[],9,FALSE)</f>
        <v>9665.1</v>
      </c>
    </row>
    <row r="415" spans="1:13" x14ac:dyDescent="0.45">
      <c r="A415" s="10">
        <v>111</v>
      </c>
      <c r="B415" s="10">
        <v>592</v>
      </c>
      <c r="C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5" s="10"/>
      <c r="E415" s="10"/>
      <c r="F415" s="12">
        <f ca="1">(RANDBETWEEN(0,50)/100)*(dict_DQ_Meth_max[[#This Row],[Vergleich_ub]]-dict_DQ_Meth_max[[#This Row],[Vergleich_lb]])+dict_DQ_Meth_max[[#This Row],[Vergleich_lb]]</f>
        <v>0.186</v>
      </c>
      <c r="G415" s="12">
        <f ca="1">(RANDBETWEEN(50,100)/100)*(dict_DQ_Meth_max[[#This Row],[Vergleich_ub]]-dict_DQ_Meth_max[[#This Row],[Vergleich_lb]])+dict_DQ_Meth_max[[#This Row],[Vergleich_lb]]</f>
        <v>0.69</v>
      </c>
      <c r="H415" s="11" t="str">
        <f ca="1">VLOOKUP(VLOOKUP(dict_DQ_Meth_max[[#This Row],[ID_DataQualities]],table_DataQualities[],3),table_Units[],2)</f>
        <v>+/- W</v>
      </c>
      <c r="I415" s="10"/>
      <c r="J415" s="10"/>
      <c r="K415" s="10"/>
      <c r="L415" s="10">
        <f ca="1">VLOOKUP(dict_DQ_Meth_max[[#This Row],[ID_DataQualities]],table_DataQualities[],8,FALSE)</f>
        <v>0.06</v>
      </c>
      <c r="M415" s="10">
        <f ca="1">VLOOKUP(dict_DQ_Meth_max[[#This Row],[ID_DataQualities]],table_DataQualities[],9,FALSE)</f>
        <v>0.76</v>
      </c>
    </row>
    <row r="416" spans="1:13" x14ac:dyDescent="0.45">
      <c r="A416" s="10">
        <v>111</v>
      </c>
      <c r="B416" s="10">
        <v>163</v>
      </c>
      <c r="C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6" s="10"/>
      <c r="E416" s="10"/>
      <c r="F416" s="12">
        <f ca="1">(RANDBETWEEN(0,50)/100)*(dict_DQ_Meth_max[[#This Row],[Vergleich_ub]]-dict_DQ_Meth_max[[#This Row],[Vergleich_lb]])+dict_DQ_Meth_max[[#This Row],[Vergleich_lb]]</f>
        <v>9.5000000000000001E-2</v>
      </c>
      <c r="G416" s="12">
        <f ca="1">(RANDBETWEEN(50,100)/100)*(dict_DQ_Meth_max[[#This Row],[Vergleich_ub]]-dict_DQ_Meth_max[[#This Row],[Vergleich_lb]])+dict_DQ_Meth_max[[#This Row],[Vergleich_lb]]</f>
        <v>0.627</v>
      </c>
      <c r="H416" s="11" t="str">
        <f ca="1">VLOOKUP(VLOOKUP(dict_DQ_Meth_max[[#This Row],[ID_DataQualities]],table_DataQualities[],3),table_Units[],2)</f>
        <v>+/- W</v>
      </c>
      <c r="I416" s="10"/>
      <c r="J416" s="10"/>
      <c r="K416" s="10"/>
      <c r="L416" s="10">
        <f ca="1">VLOOKUP(dict_DQ_Meth_max[[#This Row],[ID_DataQualities]],table_DataQualities[],8,FALSE)</f>
        <v>0.06</v>
      </c>
      <c r="M416" s="10">
        <f ca="1">VLOOKUP(dict_DQ_Meth_max[[#This Row],[ID_DataQualities]],table_DataQualities[],9,FALSE)</f>
        <v>0.76</v>
      </c>
    </row>
    <row r="417" spans="1:13" x14ac:dyDescent="0.45">
      <c r="A417" s="10">
        <v>111</v>
      </c>
      <c r="B417" s="10">
        <v>322</v>
      </c>
      <c r="C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7" s="10"/>
      <c r="E417" s="10"/>
      <c r="F417" s="12">
        <f ca="1">(RANDBETWEEN(0,50)/100)*(dict_DQ_Meth_max[[#This Row],[Vergleich_ub]]-dict_DQ_Meth_max[[#This Row],[Vergleich_lb]])+dict_DQ_Meth_max[[#This Row],[Vergleich_lb]]</f>
        <v>8.0999999999999989E-2</v>
      </c>
      <c r="G417" s="12">
        <f ca="1">(RANDBETWEEN(50,100)/100)*(dict_DQ_Meth_max[[#This Row],[Vergleich_ub]]-dict_DQ_Meth_max[[#This Row],[Vergleich_lb]])+dict_DQ_Meth_max[[#This Row],[Vergleich_lb]]</f>
        <v>0.627</v>
      </c>
      <c r="H417" s="11" t="str">
        <f ca="1">VLOOKUP(VLOOKUP(dict_DQ_Meth_max[[#This Row],[ID_DataQualities]],table_DataQualities[],3),table_Units[],2)</f>
        <v>+/- W</v>
      </c>
      <c r="I417" s="10"/>
      <c r="J417" s="10"/>
      <c r="K417" s="10"/>
      <c r="L417" s="10">
        <f ca="1">VLOOKUP(dict_DQ_Meth_max[[#This Row],[ID_DataQualities]],table_DataQualities[],8,FALSE)</f>
        <v>0.06</v>
      </c>
      <c r="M417" s="10">
        <f ca="1">VLOOKUP(dict_DQ_Meth_max[[#This Row],[ID_DataQualities]],table_DataQualities[],9,FALSE)</f>
        <v>0.76</v>
      </c>
    </row>
    <row r="418" spans="1:13" x14ac:dyDescent="0.45">
      <c r="A418" s="10">
        <v>112</v>
      </c>
      <c r="B418" s="10">
        <v>36</v>
      </c>
      <c r="C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8" s="10"/>
      <c r="E418" s="10"/>
      <c r="F418" s="12">
        <f ca="1">(RANDBETWEEN(0,50)/100)*(dict_DQ_Meth_max[[#This Row],[Vergleich_ub]]-dict_DQ_Meth_max[[#This Row],[Vergleich_lb]])+dict_DQ_Meth_max[[#This Row],[Vergleich_lb]]</f>
        <v>1076.0696</v>
      </c>
      <c r="G418" s="12">
        <f ca="1">(RANDBETWEEN(50,100)/100)*(dict_DQ_Meth_max[[#This Row],[Vergleich_ub]]-dict_DQ_Meth_max[[#This Row],[Vergleich_lb]])+dict_DQ_Meth_max[[#This Row],[Vergleich_lb]]</f>
        <v>6545.2258999999995</v>
      </c>
      <c r="H418" s="11" t="str">
        <f ca="1">VLOOKUP(VLOOKUP(dict_DQ_Meth_max[[#This Row],[ID_DataQualities]],table_DataQualities[],3),table_Units[],2)</f>
        <v>Hz</v>
      </c>
      <c r="I418" s="10"/>
      <c r="J418" s="10"/>
      <c r="K418" s="10"/>
      <c r="L418" s="10">
        <f ca="1">VLOOKUP(dict_DQ_Meth_max[[#This Row],[ID_DataQualities]],table_DataQualities[],8,FALSE)</f>
        <v>0.17</v>
      </c>
      <c r="M418" s="10">
        <f ca="1">VLOOKUP(dict_DQ_Meth_max[[#This Row],[ID_DataQualities]],table_DataQualities[],9,FALSE)</f>
        <v>8966</v>
      </c>
    </row>
    <row r="419" spans="1:13" x14ac:dyDescent="0.45">
      <c r="A419" s="10">
        <v>112</v>
      </c>
      <c r="B419" s="10">
        <v>205</v>
      </c>
      <c r="C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19" s="10"/>
      <c r="E419" s="10"/>
      <c r="F419" s="12">
        <f ca="1">(RANDBETWEEN(0,50)/100)*(dict_DQ_Meth_max[[#This Row],[Vergleich_ub]]-dict_DQ_Meth_max[[#This Row],[Vergleich_lb]])+dict_DQ_Meth_max[[#This Row],[Vergleich_lb]]</f>
        <v>1614.0193999999999</v>
      </c>
      <c r="G419" s="12">
        <f ca="1">(RANDBETWEEN(50,100)/100)*(dict_DQ_Meth_max[[#This Row],[Vergleich_ub]]-dict_DQ_Meth_max[[#This Row],[Vergleich_lb]])+dict_DQ_Meth_max[[#This Row],[Vergleich_lb]]</f>
        <v>7262.4923000000008</v>
      </c>
      <c r="H419" s="11" t="str">
        <f ca="1">VLOOKUP(VLOOKUP(dict_DQ_Meth_max[[#This Row],[ID_DataQualities]],table_DataQualities[],3),table_Units[],2)</f>
        <v>Hz</v>
      </c>
      <c r="I419" s="10"/>
      <c r="J419" s="10"/>
      <c r="K419" s="10"/>
      <c r="L419" s="10">
        <f ca="1">VLOOKUP(dict_DQ_Meth_max[[#This Row],[ID_DataQualities]],table_DataQualities[],8,FALSE)</f>
        <v>0.17</v>
      </c>
      <c r="M419" s="10">
        <f ca="1">VLOOKUP(dict_DQ_Meth_max[[#This Row],[ID_DataQualities]],table_DataQualities[],9,FALSE)</f>
        <v>8966</v>
      </c>
    </row>
    <row r="420" spans="1:13" x14ac:dyDescent="0.45">
      <c r="A420" s="10">
        <v>112</v>
      </c>
      <c r="B420" s="10">
        <v>75</v>
      </c>
      <c r="C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0" s="10"/>
      <c r="E420" s="10"/>
      <c r="F420" s="12">
        <f ca="1">(RANDBETWEEN(0,50)/100)*(dict_DQ_Meth_max[[#This Row],[Vergleich_ub]]-dict_DQ_Meth_max[[#This Row],[Vergleich_lb]])+dict_DQ_Meth_max[[#This Row],[Vergleich_lb]]</f>
        <v>2958.8939</v>
      </c>
      <c r="G420" s="12">
        <f ca="1">(RANDBETWEEN(50,100)/100)*(dict_DQ_Meth_max[[#This Row],[Vergleich_ub]]-dict_DQ_Meth_max[[#This Row],[Vergleich_lb]])+dict_DQ_Meth_max[[#This Row],[Vergleich_lb]]</f>
        <v>4662.4016000000001</v>
      </c>
      <c r="H420" s="11" t="str">
        <f ca="1">VLOOKUP(VLOOKUP(dict_DQ_Meth_max[[#This Row],[ID_DataQualities]],table_DataQualities[],3),table_Units[],2)</f>
        <v>Hz</v>
      </c>
      <c r="I420" s="10"/>
      <c r="J420" s="10"/>
      <c r="K420" s="10"/>
      <c r="L420" s="10">
        <f ca="1">VLOOKUP(dict_DQ_Meth_max[[#This Row],[ID_DataQualities]],table_DataQualities[],8,FALSE)</f>
        <v>0.17</v>
      </c>
      <c r="M420" s="10">
        <f ca="1">VLOOKUP(dict_DQ_Meth_max[[#This Row],[ID_DataQualities]],table_DataQualities[],9,FALSE)</f>
        <v>8966</v>
      </c>
    </row>
    <row r="421" spans="1:13" x14ac:dyDescent="0.45">
      <c r="A421" s="10">
        <v>112</v>
      </c>
      <c r="B421" s="10">
        <v>525</v>
      </c>
      <c r="C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1" s="10"/>
      <c r="E421" s="10"/>
      <c r="F421" s="12">
        <f ca="1">(RANDBETWEEN(0,50)/100)*(dict_DQ_Meth_max[[#This Row],[Vergleich_ub]]-dict_DQ_Meth_max[[#This Row],[Vergleich_lb]])+dict_DQ_Meth_max[[#This Row],[Vergleich_lb]]</f>
        <v>717.43639999999994</v>
      </c>
      <c r="G421" s="12">
        <f ca="1">(RANDBETWEEN(50,100)/100)*(dict_DQ_Meth_max[[#This Row],[Vergleich_ub]]-dict_DQ_Meth_max[[#This Row],[Vergleich_lb]])+dict_DQ_Meth_max[[#This Row],[Vergleich_lb]]</f>
        <v>6634.8841999999995</v>
      </c>
      <c r="H421" s="11" t="str">
        <f ca="1">VLOOKUP(VLOOKUP(dict_DQ_Meth_max[[#This Row],[ID_DataQualities]],table_DataQualities[],3),table_Units[],2)</f>
        <v>Hz</v>
      </c>
      <c r="I421" s="10"/>
      <c r="J421" s="10"/>
      <c r="K421" s="10"/>
      <c r="L421" s="10">
        <f ca="1">VLOOKUP(dict_DQ_Meth_max[[#This Row],[ID_DataQualities]],table_DataQualities[],8,FALSE)</f>
        <v>0.17</v>
      </c>
      <c r="M421" s="10">
        <f ca="1">VLOOKUP(dict_DQ_Meth_max[[#This Row],[ID_DataQualities]],table_DataQualities[],9,FALSE)</f>
        <v>8966</v>
      </c>
    </row>
    <row r="422" spans="1:13" x14ac:dyDescent="0.45">
      <c r="A422" s="10">
        <v>113</v>
      </c>
      <c r="B422" s="10">
        <v>75</v>
      </c>
      <c r="C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2" s="10"/>
      <c r="E422" s="10"/>
      <c r="F422" s="12">
        <f ca="1">(RANDBETWEEN(0,50)/100)*(dict_DQ_Meth_max[[#This Row],[Vergleich_ub]]-dict_DQ_Meth_max[[#This Row],[Vergleich_lb]])+dict_DQ_Meth_max[[#This Row],[Vergleich_lb]]</f>
        <v>0.15976599999999999</v>
      </c>
      <c r="G422" s="12">
        <f ca="1">(RANDBETWEEN(50,100)/100)*(dict_DQ_Meth_max[[#This Row],[Vergleich_ub]]-dict_DQ_Meth_max[[#This Row],[Vergleich_lb]])+dict_DQ_Meth_max[[#This Row],[Vergleich_lb]]</f>
        <v>0.45342400000000005</v>
      </c>
      <c r="H422" s="11" t="str">
        <f ca="1">VLOOKUP(VLOOKUP(dict_DQ_Meth_max[[#This Row],[ID_DataQualities]],table_DataQualities[],3),table_Units[],2)</f>
        <v>+/- cm³/s</v>
      </c>
      <c r="I422" s="10"/>
      <c r="J422" s="10"/>
      <c r="K422" s="10"/>
      <c r="L422" s="10">
        <f ca="1">VLOOKUP(dict_DQ_Meth_max[[#This Row],[ID_DataQualities]],table_DataQualities[],8,FALSE)</f>
        <v>4.3E-3</v>
      </c>
      <c r="M422" s="10">
        <f ca="1">VLOOKUP(dict_DQ_Meth_max[[#This Row],[ID_DataQualities]],table_DataQualities[],9,FALSE)</f>
        <v>0.86799999999999999</v>
      </c>
    </row>
    <row r="423" spans="1:13" x14ac:dyDescent="0.45">
      <c r="A423" s="10">
        <v>113</v>
      </c>
      <c r="B423" s="10">
        <v>36</v>
      </c>
      <c r="C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3" s="10"/>
      <c r="E423" s="10"/>
      <c r="F423" s="12">
        <f ca="1">(RANDBETWEEN(0,50)/100)*(dict_DQ_Meth_max[[#This Row],[Vergleich_ub]]-dict_DQ_Meth_max[[#This Row],[Vergleich_lb]])+dict_DQ_Meth_max[[#This Row],[Vergleich_lb]]</f>
        <v>0.20295100000000002</v>
      </c>
      <c r="G423" s="12">
        <f ca="1">(RANDBETWEEN(50,100)/100)*(dict_DQ_Meth_max[[#This Row],[Vergleich_ub]]-dict_DQ_Meth_max[[#This Row],[Vergleich_lb]])+dict_DQ_Meth_max[[#This Row],[Vergleich_lb]]</f>
        <v>0.60888999999999993</v>
      </c>
      <c r="H423" s="11" t="str">
        <f ca="1">VLOOKUP(VLOOKUP(dict_DQ_Meth_max[[#This Row],[ID_DataQualities]],table_DataQualities[],3),table_Units[],2)</f>
        <v>+/- cm³/s</v>
      </c>
      <c r="I423" s="10"/>
      <c r="J423" s="10"/>
      <c r="K423" s="10"/>
      <c r="L423" s="10">
        <f ca="1">VLOOKUP(dict_DQ_Meth_max[[#This Row],[ID_DataQualities]],table_DataQualities[],8,FALSE)</f>
        <v>4.3E-3</v>
      </c>
      <c r="M423" s="10">
        <f ca="1">VLOOKUP(dict_DQ_Meth_max[[#This Row],[ID_DataQualities]],table_DataQualities[],9,FALSE)</f>
        <v>0.86799999999999999</v>
      </c>
    </row>
    <row r="424" spans="1:13" x14ac:dyDescent="0.45">
      <c r="A424" s="10">
        <v>113</v>
      </c>
      <c r="B424" s="10">
        <v>205</v>
      </c>
      <c r="C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4" s="10"/>
      <c r="E424" s="10"/>
      <c r="F424" s="12">
        <f ca="1">(RANDBETWEEN(0,50)/100)*(dict_DQ_Meth_max[[#This Row],[Vergleich_ub]]-dict_DQ_Meth_max[[#This Row],[Vergleich_lb]])+dict_DQ_Meth_max[[#This Row],[Vergleich_lb]]</f>
        <v>0.34114300000000003</v>
      </c>
      <c r="G424" s="12">
        <f ca="1">(RANDBETWEEN(50,100)/100)*(dict_DQ_Meth_max[[#This Row],[Vergleich_ub]]-dict_DQ_Meth_max[[#This Row],[Vergleich_lb]])+dict_DQ_Meth_max[[#This Row],[Vergleich_lb]]</f>
        <v>0.50524599999999997</v>
      </c>
      <c r="H424" s="11" t="str">
        <f ca="1">VLOOKUP(VLOOKUP(dict_DQ_Meth_max[[#This Row],[ID_DataQualities]],table_DataQualities[],3),table_Units[],2)</f>
        <v>+/- cm³/s</v>
      </c>
      <c r="I424" s="10"/>
      <c r="J424" s="10"/>
      <c r="K424" s="10"/>
      <c r="L424" s="10">
        <f ca="1">VLOOKUP(dict_DQ_Meth_max[[#This Row],[ID_DataQualities]],table_DataQualities[],8,FALSE)</f>
        <v>4.3E-3</v>
      </c>
      <c r="M424" s="10">
        <f ca="1">VLOOKUP(dict_DQ_Meth_max[[#This Row],[ID_DataQualities]],table_DataQualities[],9,FALSE)</f>
        <v>0.86799999999999999</v>
      </c>
    </row>
    <row r="425" spans="1:13" x14ac:dyDescent="0.45">
      <c r="A425" s="10">
        <v>113</v>
      </c>
      <c r="B425" s="10">
        <v>525</v>
      </c>
      <c r="C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5" s="10"/>
      <c r="E425" s="10"/>
      <c r="F425" s="12">
        <f ca="1">(RANDBETWEEN(0,50)/100)*(dict_DQ_Meth_max[[#This Row],[Vergleich_ub]]-dict_DQ_Meth_max[[#This Row],[Vergleich_lb]])+dict_DQ_Meth_max[[#This Row],[Vergleich_lb]]</f>
        <v>0.15112900000000001</v>
      </c>
      <c r="G425" s="12">
        <f ca="1">(RANDBETWEEN(50,100)/100)*(dict_DQ_Meth_max[[#This Row],[Vergleich_ub]]-dict_DQ_Meth_max[[#This Row],[Vergleich_lb]])+dict_DQ_Meth_max[[#This Row],[Vergleich_lb]]</f>
        <v>0.75571900000000003</v>
      </c>
      <c r="H425" s="11" t="str">
        <f ca="1">VLOOKUP(VLOOKUP(dict_DQ_Meth_max[[#This Row],[ID_DataQualities]],table_DataQualities[],3),table_Units[],2)</f>
        <v>+/- cm³/s</v>
      </c>
      <c r="I425" s="10"/>
      <c r="J425" s="10"/>
      <c r="K425" s="10"/>
      <c r="L425" s="10">
        <f ca="1">VLOOKUP(dict_DQ_Meth_max[[#This Row],[ID_DataQualities]],table_DataQualities[],8,FALSE)</f>
        <v>4.3E-3</v>
      </c>
      <c r="M425" s="10">
        <f ca="1">VLOOKUP(dict_DQ_Meth_max[[#This Row],[ID_DataQualities]],table_DataQualities[],9,FALSE)</f>
        <v>0.86799999999999999</v>
      </c>
    </row>
    <row r="426" spans="1:13" x14ac:dyDescent="0.45">
      <c r="A426" s="10">
        <v>114</v>
      </c>
      <c r="B426" s="10">
        <v>26</v>
      </c>
      <c r="C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6" s="10"/>
      <c r="E426" s="10"/>
      <c r="F426" s="12">
        <f ca="1">(RANDBETWEEN(0,50)/100)*(dict_DQ_Meth_max[[#This Row],[Vergleich_ub]]-dict_DQ_Meth_max[[#This Row],[Vergleich_lb]])+dict_DQ_Meth_max[[#This Row],[Vergleich_lb]]</f>
        <v>582.59287000000006</v>
      </c>
      <c r="G426" s="12">
        <f ca="1">(RANDBETWEEN(50,100)/100)*(dict_DQ_Meth_max[[#This Row],[Vergleich_ub]]-dict_DQ_Meth_max[[#This Row],[Vergleich_lb]])+dict_DQ_Meth_max[[#This Row],[Vergleich_lb]]</f>
        <v>1670.6085400000004</v>
      </c>
      <c r="H426" s="11" t="str">
        <f ca="1">VLOOKUP(VLOOKUP(dict_DQ_Meth_max[[#This Row],[ID_DataQualities]],table_DataQualities[],3),table_Units[],2)</f>
        <v>Hz</v>
      </c>
      <c r="I426" s="10"/>
      <c r="J426" s="10"/>
      <c r="K426" s="10"/>
      <c r="L426" s="10">
        <f ca="1">VLOOKUP(dict_DQ_Meth_max[[#This Row],[ID_DataQualities]],table_DataQualities[],8,FALSE)</f>
        <v>0.63100000000000001</v>
      </c>
      <c r="M426" s="10">
        <f ca="1">VLOOKUP(dict_DQ_Meth_max[[#This Row],[ID_DataQualities]],table_DataQualities[],9,FALSE)</f>
        <v>2530.9</v>
      </c>
    </row>
    <row r="427" spans="1:13" x14ac:dyDescent="0.45">
      <c r="A427" s="10">
        <v>114</v>
      </c>
      <c r="B427" s="10">
        <v>178</v>
      </c>
      <c r="C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7" s="10"/>
      <c r="E427" s="10"/>
      <c r="F427" s="12">
        <f ca="1">(RANDBETWEEN(0,50)/100)*(dict_DQ_Meth_max[[#This Row],[Vergleich_ub]]-dict_DQ_Meth_max[[#This Row],[Vergleich_lb]])+dict_DQ_Meth_max[[#This Row],[Vergleich_lb]]</f>
        <v>1215.1601200000002</v>
      </c>
      <c r="G427" s="12">
        <f ca="1">(RANDBETWEEN(50,100)/100)*(dict_DQ_Meth_max[[#This Row],[Vergleich_ub]]-dict_DQ_Meth_max[[#This Row],[Vergleich_lb]])+dict_DQ_Meth_max[[#This Row],[Vergleich_lb]]</f>
        <v>1645.3058500000002</v>
      </c>
      <c r="H427" s="11" t="str">
        <f ca="1">VLOOKUP(VLOOKUP(dict_DQ_Meth_max[[#This Row],[ID_DataQualities]],table_DataQualities[],3),table_Units[],2)</f>
        <v>Hz</v>
      </c>
      <c r="I427" s="10"/>
      <c r="J427" s="10"/>
      <c r="K427" s="10"/>
      <c r="L427" s="10">
        <f ca="1">VLOOKUP(dict_DQ_Meth_max[[#This Row],[ID_DataQualities]],table_DataQualities[],8,FALSE)</f>
        <v>0.63100000000000001</v>
      </c>
      <c r="M427" s="10">
        <f ca="1">VLOOKUP(dict_DQ_Meth_max[[#This Row],[ID_DataQualities]],table_DataQualities[],9,FALSE)</f>
        <v>2530.9</v>
      </c>
    </row>
    <row r="428" spans="1:13" x14ac:dyDescent="0.45">
      <c r="A428" s="10">
        <v>114</v>
      </c>
      <c r="B428" s="10">
        <v>16</v>
      </c>
      <c r="C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8" s="10"/>
      <c r="E428" s="10"/>
      <c r="F428" s="12">
        <f ca="1">(RANDBETWEEN(0,50)/100)*(dict_DQ_Meth_max[[#This Row],[Vergleich_ub]]-dict_DQ_Meth_max[[#This Row],[Vergleich_lb]])+dict_DQ_Meth_max[[#This Row],[Vergleich_lb]]</f>
        <v>481.38211000000001</v>
      </c>
      <c r="G428" s="12">
        <f ca="1">(RANDBETWEEN(50,100)/100)*(dict_DQ_Meth_max[[#This Row],[Vergleich_ub]]-dict_DQ_Meth_max[[#This Row],[Vergleich_lb]])+dict_DQ_Meth_max[[#This Row],[Vergleich_lb]]</f>
        <v>2303.1757900000002</v>
      </c>
      <c r="H428" s="11" t="str">
        <f ca="1">VLOOKUP(VLOOKUP(dict_DQ_Meth_max[[#This Row],[ID_DataQualities]],table_DataQualities[],3),table_Units[],2)</f>
        <v>Hz</v>
      </c>
      <c r="I428" s="10"/>
      <c r="J428" s="10"/>
      <c r="K428" s="10"/>
      <c r="L428" s="10">
        <f ca="1">VLOOKUP(dict_DQ_Meth_max[[#This Row],[ID_DataQualities]],table_DataQualities[],8,FALSE)</f>
        <v>0.63100000000000001</v>
      </c>
      <c r="M428" s="10">
        <f ca="1">VLOOKUP(dict_DQ_Meth_max[[#This Row],[ID_DataQualities]],table_DataQualities[],9,FALSE)</f>
        <v>2530.9</v>
      </c>
    </row>
    <row r="429" spans="1:13" x14ac:dyDescent="0.45">
      <c r="A429" s="10">
        <v>114</v>
      </c>
      <c r="B429" s="10">
        <v>144</v>
      </c>
      <c r="C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29" s="10"/>
      <c r="E429" s="10"/>
      <c r="F429" s="12">
        <f ca="1">(RANDBETWEEN(0,50)/100)*(dict_DQ_Meth_max[[#This Row],[Vergleich_ub]]-dict_DQ_Meth_max[[#This Row],[Vergleich_lb]])+dict_DQ_Meth_max[[#This Row],[Vergleich_lb]]</f>
        <v>177.74983000000003</v>
      </c>
      <c r="G429" s="12">
        <f ca="1">(RANDBETWEEN(50,100)/100)*(dict_DQ_Meth_max[[#This Row],[Vergleich_ub]]-dict_DQ_Meth_max[[#This Row],[Vergleich_lb]])+dict_DQ_Meth_max[[#This Row],[Vergleich_lb]]</f>
        <v>1265.7655000000002</v>
      </c>
      <c r="H429" s="11" t="str">
        <f ca="1">VLOOKUP(VLOOKUP(dict_DQ_Meth_max[[#This Row],[ID_DataQualities]],table_DataQualities[],3),table_Units[],2)</f>
        <v>Hz</v>
      </c>
      <c r="I429" s="10"/>
      <c r="J429" s="10"/>
      <c r="K429" s="10"/>
      <c r="L429" s="10">
        <f ca="1">VLOOKUP(dict_DQ_Meth_max[[#This Row],[ID_DataQualities]],table_DataQualities[],8,FALSE)</f>
        <v>0.63100000000000001</v>
      </c>
      <c r="M429" s="10">
        <f ca="1">VLOOKUP(dict_DQ_Meth_max[[#This Row],[ID_DataQualities]],table_DataQualities[],9,FALSE)</f>
        <v>2530.9</v>
      </c>
    </row>
    <row r="430" spans="1:13" x14ac:dyDescent="0.45">
      <c r="A430" s="10">
        <v>114</v>
      </c>
      <c r="B430" s="10">
        <v>100</v>
      </c>
      <c r="C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0" s="10"/>
      <c r="E430" s="10"/>
      <c r="F430" s="12">
        <f ca="1">(RANDBETWEEN(0,50)/100)*(dict_DQ_Meth_max[[#This Row],[Vergleich_ub]]-dict_DQ_Meth_max[[#This Row],[Vergleich_lb]])+dict_DQ_Meth_max[[#This Row],[Vergleich_lb]]</f>
        <v>911.52783999999997</v>
      </c>
      <c r="G430" s="12">
        <f ca="1">(RANDBETWEEN(50,100)/100)*(dict_DQ_Meth_max[[#This Row],[Vergleich_ub]]-dict_DQ_Meth_max[[#This Row],[Vergleich_lb]])+dict_DQ_Meth_max[[#This Row],[Vergleich_lb]]</f>
        <v>1999.5435100000004</v>
      </c>
      <c r="H430" s="11" t="str">
        <f ca="1">VLOOKUP(VLOOKUP(dict_DQ_Meth_max[[#This Row],[ID_DataQualities]],table_DataQualities[],3),table_Units[],2)</f>
        <v>Hz</v>
      </c>
      <c r="I430" s="10"/>
      <c r="J430" s="10"/>
      <c r="K430" s="10"/>
      <c r="L430" s="10">
        <f ca="1">VLOOKUP(dict_DQ_Meth_max[[#This Row],[ID_DataQualities]],table_DataQualities[],8,FALSE)</f>
        <v>0.63100000000000001</v>
      </c>
      <c r="M430" s="10">
        <f ca="1">VLOOKUP(dict_DQ_Meth_max[[#This Row],[ID_DataQualities]],table_DataQualities[],9,FALSE)</f>
        <v>2530.9</v>
      </c>
    </row>
    <row r="431" spans="1:13" x14ac:dyDescent="0.45">
      <c r="A431" s="10">
        <v>115</v>
      </c>
      <c r="B431" s="10">
        <v>26</v>
      </c>
      <c r="C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1" s="10"/>
      <c r="E431" s="10"/>
      <c r="F431" s="12">
        <f ca="1">(RANDBETWEEN(0,50)/100)*(dict_DQ_Meth_max[[#This Row],[Vergleich_ub]]-dict_DQ_Meth_max[[#This Row],[Vergleich_lb]])+dict_DQ_Meth_max[[#This Row],[Vergleich_lb]]</f>
        <v>0.51</v>
      </c>
      <c r="G431" s="12">
        <f ca="1">(RANDBETWEEN(50,100)/100)*(dict_DQ_Meth_max[[#This Row],[Vergleich_ub]]-dict_DQ_Meth_max[[#This Row],[Vergleich_lb]])+dict_DQ_Meth_max[[#This Row],[Vergleich_lb]]</f>
        <v>1.9956999999999998</v>
      </c>
      <c r="H431" s="11" t="str">
        <f ca="1">VLOOKUP(VLOOKUP(dict_DQ_Meth_max[[#This Row],[ID_DataQualities]],table_DataQualities[],3),table_Units[],2)</f>
        <v>+/- mm/s</v>
      </c>
      <c r="I431" s="10"/>
      <c r="J431" s="10"/>
      <c r="K431" s="10"/>
      <c r="L431" s="10">
        <f ca="1">VLOOKUP(dict_DQ_Meth_max[[#This Row],[ID_DataQualities]],table_DataQualities[],8,FALSE)</f>
        <v>0.51</v>
      </c>
      <c r="M431" s="10">
        <f ca="1">VLOOKUP(dict_DQ_Meth_max[[#This Row],[ID_DataQualities]],table_DataQualities[],9,FALSE)</f>
        <v>2.2999999999999998</v>
      </c>
    </row>
    <row r="432" spans="1:13" x14ac:dyDescent="0.45">
      <c r="A432" s="10">
        <v>115</v>
      </c>
      <c r="B432" s="10">
        <v>100</v>
      </c>
      <c r="C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2" s="10"/>
      <c r="E432" s="10"/>
      <c r="F432" s="12">
        <f ca="1">(RANDBETWEEN(0,50)/100)*(dict_DQ_Meth_max[[#This Row],[Vergleich_ub]]-dict_DQ_Meth_max[[#This Row],[Vergleich_lb]])+dict_DQ_Meth_max[[#This Row],[Vergleich_lb]]</f>
        <v>0.52790000000000004</v>
      </c>
      <c r="G432" s="12">
        <f ca="1">(RANDBETWEEN(50,100)/100)*(dict_DQ_Meth_max[[#This Row],[Vergleich_ub]]-dict_DQ_Meth_max[[#This Row],[Vergleich_lb]])+dict_DQ_Meth_max[[#This Row],[Vergleich_lb]]</f>
        <v>2.1746999999999996</v>
      </c>
      <c r="H432" s="11" t="str">
        <f ca="1">VLOOKUP(VLOOKUP(dict_DQ_Meth_max[[#This Row],[ID_DataQualities]],table_DataQualities[],3),table_Units[],2)</f>
        <v>+/- mm/s</v>
      </c>
      <c r="I432" s="10"/>
      <c r="J432" s="10"/>
      <c r="K432" s="10"/>
      <c r="L432" s="10">
        <f ca="1">VLOOKUP(dict_DQ_Meth_max[[#This Row],[ID_DataQualities]],table_DataQualities[],8,FALSE)</f>
        <v>0.51</v>
      </c>
      <c r="M432" s="10">
        <f ca="1">VLOOKUP(dict_DQ_Meth_max[[#This Row],[ID_DataQualities]],table_DataQualities[],9,FALSE)</f>
        <v>2.2999999999999998</v>
      </c>
    </row>
    <row r="433" spans="1:13" x14ac:dyDescent="0.45">
      <c r="A433" s="10">
        <v>115</v>
      </c>
      <c r="B433" s="10">
        <v>16</v>
      </c>
      <c r="C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3" s="10"/>
      <c r="E433" s="10"/>
      <c r="F433" s="12">
        <f ca="1">(RANDBETWEEN(0,50)/100)*(dict_DQ_Meth_max[[#This Row],[Vergleich_ub]]-dict_DQ_Meth_max[[#This Row],[Vergleich_lb]])+dict_DQ_Meth_max[[#This Row],[Vergleich_lb]]</f>
        <v>0.7964</v>
      </c>
      <c r="G433" s="12">
        <f ca="1">(RANDBETWEEN(50,100)/100)*(dict_DQ_Meth_max[[#This Row],[Vergleich_ub]]-dict_DQ_Meth_max[[#This Row],[Vergleich_lb]])+dict_DQ_Meth_max[[#This Row],[Vergleich_lb]]</f>
        <v>1.6735</v>
      </c>
      <c r="H433" s="11" t="str">
        <f ca="1">VLOOKUP(VLOOKUP(dict_DQ_Meth_max[[#This Row],[ID_DataQualities]],table_DataQualities[],3),table_Units[],2)</f>
        <v>+/- mm/s</v>
      </c>
      <c r="I433" s="10"/>
      <c r="J433" s="10"/>
      <c r="K433" s="10"/>
      <c r="L433" s="10">
        <f ca="1">VLOOKUP(dict_DQ_Meth_max[[#This Row],[ID_DataQualities]],table_DataQualities[],8,FALSE)</f>
        <v>0.51</v>
      </c>
      <c r="M433" s="10">
        <f ca="1">VLOOKUP(dict_DQ_Meth_max[[#This Row],[ID_DataQualities]],table_DataQualities[],9,FALSE)</f>
        <v>2.2999999999999998</v>
      </c>
    </row>
    <row r="434" spans="1:13" x14ac:dyDescent="0.45">
      <c r="A434" s="10">
        <v>115</v>
      </c>
      <c r="B434" s="10">
        <v>144</v>
      </c>
      <c r="C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4" s="10"/>
      <c r="E434" s="10"/>
      <c r="F434" s="12">
        <f ca="1">(RANDBETWEEN(0,50)/100)*(dict_DQ_Meth_max[[#This Row],[Vergleich_ub]]-dict_DQ_Meth_max[[#This Row],[Vergleich_lb]])+dict_DQ_Meth_max[[#This Row],[Vergleich_lb]]</f>
        <v>0.63529999999999998</v>
      </c>
      <c r="G434" s="12">
        <f ca="1">(RANDBETWEEN(50,100)/100)*(dict_DQ_Meth_max[[#This Row],[Vergleich_ub]]-dict_DQ_Meth_max[[#This Row],[Vergleich_lb]])+dict_DQ_Meth_max[[#This Row],[Vergleich_lb]]</f>
        <v>2.1567999999999996</v>
      </c>
      <c r="H434" s="11" t="str">
        <f ca="1">VLOOKUP(VLOOKUP(dict_DQ_Meth_max[[#This Row],[ID_DataQualities]],table_DataQualities[],3),table_Units[],2)</f>
        <v>+/- mm/s</v>
      </c>
      <c r="I434" s="10"/>
      <c r="J434" s="10"/>
      <c r="K434" s="10"/>
      <c r="L434" s="10">
        <f ca="1">VLOOKUP(dict_DQ_Meth_max[[#This Row],[ID_DataQualities]],table_DataQualities[],8,FALSE)</f>
        <v>0.51</v>
      </c>
      <c r="M434" s="10">
        <f ca="1">VLOOKUP(dict_DQ_Meth_max[[#This Row],[ID_DataQualities]],table_DataQualities[],9,FALSE)</f>
        <v>2.2999999999999998</v>
      </c>
    </row>
    <row r="435" spans="1:13" x14ac:dyDescent="0.45">
      <c r="A435" s="10">
        <v>115</v>
      </c>
      <c r="B435" s="10">
        <v>178</v>
      </c>
      <c r="C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5" s="10"/>
      <c r="E435" s="10"/>
      <c r="F435" s="12">
        <f ca="1">(RANDBETWEEN(0,50)/100)*(dict_DQ_Meth_max[[#This Row],[Vergleich_ub]]-dict_DQ_Meth_max[[#This Row],[Vergleich_lb]])+dict_DQ_Meth_max[[#This Row],[Vergleich_lb]]</f>
        <v>1.0469999999999999</v>
      </c>
      <c r="G435" s="12">
        <f ca="1">(RANDBETWEEN(50,100)/100)*(dict_DQ_Meth_max[[#This Row],[Vergleich_ub]]-dict_DQ_Meth_max[[#This Row],[Vergleich_lb]])+dict_DQ_Meth_max[[#This Row],[Vergleich_lb]]</f>
        <v>2.0493999999999999</v>
      </c>
      <c r="H435" s="11" t="str">
        <f ca="1">VLOOKUP(VLOOKUP(dict_DQ_Meth_max[[#This Row],[ID_DataQualities]],table_DataQualities[],3),table_Units[],2)</f>
        <v>+/- mm/s</v>
      </c>
      <c r="I435" s="10"/>
      <c r="J435" s="10"/>
      <c r="K435" s="10"/>
      <c r="L435" s="10">
        <f ca="1">VLOOKUP(dict_DQ_Meth_max[[#This Row],[ID_DataQualities]],table_DataQualities[],8,FALSE)</f>
        <v>0.51</v>
      </c>
      <c r="M435" s="10">
        <f ca="1">VLOOKUP(dict_DQ_Meth_max[[#This Row],[ID_DataQualities]],table_DataQualities[],9,FALSE)</f>
        <v>2.2999999999999998</v>
      </c>
    </row>
    <row r="436" spans="1:13" x14ac:dyDescent="0.45">
      <c r="A436" s="10">
        <v>116</v>
      </c>
      <c r="B436" s="10">
        <v>637</v>
      </c>
      <c r="C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6" s="10"/>
      <c r="E436" s="10"/>
      <c r="F436" s="12">
        <f ca="1">(RANDBETWEEN(0,50)/100)*(dict_DQ_Meth_max[[#This Row],[Vergleich_ub]]-dict_DQ_Meth_max[[#This Row],[Vergleich_lb]])+dict_DQ_Meth_max[[#This Row],[Vergleich_lb]]</f>
        <v>3933.6868399999998</v>
      </c>
      <c r="G436" s="12">
        <f ca="1">(RANDBETWEEN(50,100)/100)*(dict_DQ_Meth_max[[#This Row],[Vergleich_ub]]-dict_DQ_Meth_max[[#This Row],[Vergleich_lb]])+dict_DQ_Meth_max[[#This Row],[Vergleich_lb]]</f>
        <v>4435.7411600000005</v>
      </c>
      <c r="H436" s="11" t="str">
        <f ca="1">VLOOKUP(VLOOKUP(dict_DQ_Meth_max[[#This Row],[ID_DataQualities]],table_DataQualities[],3),table_Units[],2)</f>
        <v>Hz</v>
      </c>
      <c r="I436" s="10"/>
      <c r="J436" s="10"/>
      <c r="K436" s="10"/>
      <c r="L436" s="10">
        <f ca="1">VLOOKUP(dict_DQ_Meth_max[[#This Row],[ID_DataQualities]],table_DataQualities[],8,FALSE)</f>
        <v>0.92800000000000005</v>
      </c>
      <c r="M436" s="10">
        <f ca="1">VLOOKUP(dict_DQ_Meth_max[[#This Row],[ID_DataQualities]],table_DataQualities[],9,FALSE)</f>
        <v>8368.5</v>
      </c>
    </row>
    <row r="437" spans="1:13" x14ac:dyDescent="0.45">
      <c r="A437" s="10">
        <v>116</v>
      </c>
      <c r="B437" s="10">
        <v>472</v>
      </c>
      <c r="C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7" s="10"/>
      <c r="E437" s="10"/>
      <c r="F437" s="12">
        <f ca="1">(RANDBETWEEN(0,50)/100)*(dict_DQ_Meth_max[[#This Row],[Vergleich_ub]]-dict_DQ_Meth_max[[#This Row],[Vergleich_lb]])+dict_DQ_Meth_max[[#This Row],[Vergleich_lb]]</f>
        <v>419.3066</v>
      </c>
      <c r="G437" s="12">
        <f ca="1">(RANDBETWEEN(50,100)/100)*(dict_DQ_Meth_max[[#This Row],[Vergleich_ub]]-dict_DQ_Meth_max[[#This Row],[Vergleich_lb]])+dict_DQ_Meth_max[[#This Row],[Vergleich_lb]]</f>
        <v>7699.0942400000004</v>
      </c>
      <c r="H437" s="11" t="str">
        <f ca="1">VLOOKUP(VLOOKUP(dict_DQ_Meth_max[[#This Row],[ID_DataQualities]],table_DataQualities[],3),table_Units[],2)</f>
        <v>Hz</v>
      </c>
      <c r="I437" s="10"/>
      <c r="J437" s="10"/>
      <c r="K437" s="10"/>
      <c r="L437" s="10">
        <f ca="1">VLOOKUP(dict_DQ_Meth_max[[#This Row],[ID_DataQualities]],table_DataQualities[],8,FALSE)</f>
        <v>0.92800000000000005</v>
      </c>
      <c r="M437" s="10">
        <f ca="1">VLOOKUP(dict_DQ_Meth_max[[#This Row],[ID_DataQualities]],table_DataQualities[],9,FALSE)</f>
        <v>8368.5</v>
      </c>
    </row>
    <row r="438" spans="1:13" x14ac:dyDescent="0.45">
      <c r="A438" s="10">
        <v>116</v>
      </c>
      <c r="B438" s="10">
        <v>590</v>
      </c>
      <c r="C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8" s="10"/>
      <c r="E438" s="10"/>
      <c r="F438" s="12">
        <f ca="1">(RANDBETWEEN(0,50)/100)*(dict_DQ_Meth_max[[#This Row],[Vergleich_ub]]-dict_DQ_Meth_max[[#This Row],[Vergleich_lb]])+dict_DQ_Meth_max[[#This Row],[Vergleich_lb]]</f>
        <v>3850.0111200000001</v>
      </c>
      <c r="G438" s="12">
        <f ca="1">(RANDBETWEEN(50,100)/100)*(dict_DQ_Meth_max[[#This Row],[Vergleich_ub]]-dict_DQ_Meth_max[[#This Row],[Vergleich_lb]])+dict_DQ_Meth_max[[#This Row],[Vergleich_lb]]</f>
        <v>4603.0925999999999</v>
      </c>
      <c r="H438" s="11" t="str">
        <f ca="1">VLOOKUP(VLOOKUP(dict_DQ_Meth_max[[#This Row],[ID_DataQualities]],table_DataQualities[],3),table_Units[],2)</f>
        <v>Hz</v>
      </c>
      <c r="I438" s="10"/>
      <c r="J438" s="10"/>
      <c r="K438" s="10"/>
      <c r="L438" s="10">
        <f ca="1">VLOOKUP(dict_DQ_Meth_max[[#This Row],[ID_DataQualities]],table_DataQualities[],8,FALSE)</f>
        <v>0.92800000000000005</v>
      </c>
      <c r="M438" s="10">
        <f ca="1">VLOOKUP(dict_DQ_Meth_max[[#This Row],[ID_DataQualities]],table_DataQualities[],9,FALSE)</f>
        <v>8368.5</v>
      </c>
    </row>
    <row r="439" spans="1:13" x14ac:dyDescent="0.45">
      <c r="A439" s="10">
        <v>117</v>
      </c>
      <c r="B439" s="10">
        <v>590</v>
      </c>
      <c r="C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39" s="10"/>
      <c r="E439" s="10"/>
      <c r="F439" s="12">
        <f ca="1">(RANDBETWEEN(0,50)/100)*(dict_DQ_Meth_max[[#This Row],[Vergleich_ub]]-dict_DQ_Meth_max[[#This Row],[Vergleich_lb]])+dict_DQ_Meth_max[[#This Row],[Vergleich_lb]]</f>
        <v>0.26295999999999997</v>
      </c>
      <c r="G439" s="12">
        <f ca="1">(RANDBETWEEN(50,100)/100)*(dict_DQ_Meth_max[[#This Row],[Vergleich_ub]]-dict_DQ_Meth_max[[#This Row],[Vergleich_lb]])+dict_DQ_Meth_max[[#This Row],[Vergleich_lb]]</f>
        <v>0.45202999999999999</v>
      </c>
      <c r="H439" s="11" t="str">
        <f ca="1">VLOOKUP(VLOOKUP(dict_DQ_Meth_max[[#This Row],[ID_DataQualities]],table_DataQualities[],3),table_Units[],2)</f>
        <v>+/- W</v>
      </c>
      <c r="I439" s="10"/>
      <c r="J439" s="10"/>
      <c r="K439" s="10"/>
      <c r="L439" s="10">
        <f ca="1">VLOOKUP(dict_DQ_Meth_max[[#This Row],[ID_DataQualities]],table_DataQualities[],8,FALSE)</f>
        <v>7.9000000000000001E-2</v>
      </c>
      <c r="M439" s="10">
        <f ca="1">VLOOKUP(dict_DQ_Meth_max[[#This Row],[ID_DataQualities]],table_DataQualities[],9,FALSE)</f>
        <v>0.59</v>
      </c>
    </row>
    <row r="440" spans="1:13" x14ac:dyDescent="0.45">
      <c r="A440" s="10">
        <v>117</v>
      </c>
      <c r="B440" s="10">
        <v>637</v>
      </c>
      <c r="C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0" s="10"/>
      <c r="E440" s="10"/>
      <c r="F440" s="12">
        <f ca="1">(RANDBETWEEN(0,50)/100)*(dict_DQ_Meth_max[[#This Row],[Vergleich_ub]]-dict_DQ_Meth_max[[#This Row],[Vergleich_lb]])+dict_DQ_Meth_max[[#This Row],[Vergleich_lb]]</f>
        <v>0.19142000000000001</v>
      </c>
      <c r="G440" s="12">
        <f ca="1">(RANDBETWEEN(50,100)/100)*(dict_DQ_Meth_max[[#This Row],[Vergleich_ub]]-dict_DQ_Meth_max[[#This Row],[Vergleich_lb]])+dict_DQ_Meth_max[[#This Row],[Vergleich_lb]]</f>
        <v>0.34983000000000003</v>
      </c>
      <c r="H440" s="11" t="str">
        <f ca="1">VLOOKUP(VLOOKUP(dict_DQ_Meth_max[[#This Row],[ID_DataQualities]],table_DataQualities[],3),table_Units[],2)</f>
        <v>+/- W</v>
      </c>
      <c r="I440" s="10"/>
      <c r="J440" s="10"/>
      <c r="K440" s="10"/>
      <c r="L440" s="10">
        <f ca="1">VLOOKUP(dict_DQ_Meth_max[[#This Row],[ID_DataQualities]],table_DataQualities[],8,FALSE)</f>
        <v>7.9000000000000001E-2</v>
      </c>
      <c r="M440" s="10">
        <f ca="1">VLOOKUP(dict_DQ_Meth_max[[#This Row],[ID_DataQualities]],table_DataQualities[],9,FALSE)</f>
        <v>0.59</v>
      </c>
    </row>
    <row r="441" spans="1:13" x14ac:dyDescent="0.45">
      <c r="A441" s="10">
        <v>117</v>
      </c>
      <c r="B441" s="10">
        <v>472</v>
      </c>
      <c r="C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1" s="10"/>
      <c r="E441" s="10"/>
      <c r="F441" s="12">
        <f ca="1">(RANDBETWEEN(0,50)/100)*(dict_DQ_Meth_max[[#This Row],[Vergleich_ub]]-dict_DQ_Meth_max[[#This Row],[Vergleich_lb]])+dict_DQ_Meth_max[[#This Row],[Vergleich_lb]]</f>
        <v>0.14032</v>
      </c>
      <c r="G441" s="12">
        <f ca="1">(RANDBETWEEN(50,100)/100)*(dict_DQ_Meth_max[[#This Row],[Vergleich_ub]]-dict_DQ_Meth_max[[#This Row],[Vergleich_lb]])+dict_DQ_Meth_max[[#This Row],[Vergleich_lb]]</f>
        <v>0.42137000000000002</v>
      </c>
      <c r="H441" s="11" t="str">
        <f ca="1">VLOOKUP(VLOOKUP(dict_DQ_Meth_max[[#This Row],[ID_DataQualities]],table_DataQualities[],3),table_Units[],2)</f>
        <v>+/- W</v>
      </c>
      <c r="I441" s="10"/>
      <c r="J441" s="10"/>
      <c r="K441" s="10"/>
      <c r="L441" s="10">
        <f ca="1">VLOOKUP(dict_DQ_Meth_max[[#This Row],[ID_DataQualities]],table_DataQualities[],8,FALSE)</f>
        <v>7.9000000000000001E-2</v>
      </c>
      <c r="M441" s="10">
        <f ca="1">VLOOKUP(dict_DQ_Meth_max[[#This Row],[ID_DataQualities]],table_DataQualities[],9,FALSE)</f>
        <v>0.59</v>
      </c>
    </row>
    <row r="442" spans="1:13" x14ac:dyDescent="0.45">
      <c r="A442" s="10">
        <v>118</v>
      </c>
      <c r="B442" s="10">
        <v>216</v>
      </c>
      <c r="C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2" s="10"/>
      <c r="E442" s="10"/>
      <c r="F442" s="12">
        <f ca="1">(RANDBETWEEN(0,50)/100)*(dict_DQ_Meth_max[[#This Row],[Vergleich_ub]]-dict_DQ_Meth_max[[#This Row],[Vergleich_lb]])+dict_DQ_Meth_max[[#This Row],[Vergleich_lb]]</f>
        <v>58.871220000000001</v>
      </c>
      <c r="G442" s="12">
        <f ca="1">(RANDBETWEEN(50,100)/100)*(dict_DQ_Meth_max[[#This Row],[Vergleich_ub]]-dict_DQ_Meth_max[[#This Row],[Vergleich_lb]])+dict_DQ_Meth_max[[#This Row],[Vergleich_lb]]</f>
        <v>152.6344</v>
      </c>
      <c r="H442" s="11" t="str">
        <f ca="1">VLOOKUP(VLOOKUP(dict_DQ_Meth_max[[#This Row],[ID_DataQualities]],table_DataQualities[],3),table_Units[],2)</f>
        <v>Hz</v>
      </c>
      <c r="I442" s="10"/>
      <c r="J442" s="10"/>
      <c r="K442" s="10"/>
      <c r="L442" s="10">
        <f ca="1">VLOOKUP(dict_DQ_Meth_max[[#This Row],[ID_DataQualities]],table_DataQualities[],8,FALSE)</f>
        <v>0.58599999999999997</v>
      </c>
      <c r="M442" s="10">
        <f ca="1">VLOOKUP(dict_DQ_Meth_max[[#This Row],[ID_DataQualities]],table_DataQualities[],9,FALSE)</f>
        <v>254</v>
      </c>
    </row>
    <row r="443" spans="1:13" x14ac:dyDescent="0.45">
      <c r="A443" s="10">
        <v>118</v>
      </c>
      <c r="B443" s="10">
        <v>486</v>
      </c>
      <c r="C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3" s="10"/>
      <c r="E443" s="10"/>
      <c r="F443" s="12">
        <f ca="1">(RANDBETWEEN(0,50)/100)*(dict_DQ_Meth_max[[#This Row],[Vergleich_ub]]-dict_DQ_Meth_max[[#This Row],[Vergleich_lb]])+dict_DQ_Meth_max[[#This Row],[Vergleich_lb]]</f>
        <v>33.529820000000001</v>
      </c>
      <c r="G443" s="12">
        <f ca="1">(RANDBETWEEN(50,100)/100)*(dict_DQ_Meth_max[[#This Row],[Vergleich_ub]]-dict_DQ_Meth_max[[#This Row],[Vergleich_lb]])+dict_DQ_Meth_max[[#This Row],[Vergleich_lb]]</f>
        <v>190.6465</v>
      </c>
      <c r="H443" s="11" t="str">
        <f ca="1">VLOOKUP(VLOOKUP(dict_DQ_Meth_max[[#This Row],[ID_DataQualities]],table_DataQualities[],3),table_Units[],2)</f>
        <v>Hz</v>
      </c>
      <c r="I443" s="10"/>
      <c r="J443" s="10"/>
      <c r="K443" s="10"/>
      <c r="L443" s="10">
        <f ca="1">VLOOKUP(dict_DQ_Meth_max[[#This Row],[ID_DataQualities]],table_DataQualities[],8,FALSE)</f>
        <v>0.58599999999999997</v>
      </c>
      <c r="M443" s="10">
        <f ca="1">VLOOKUP(dict_DQ_Meth_max[[#This Row],[ID_DataQualities]],table_DataQualities[],9,FALSE)</f>
        <v>254</v>
      </c>
    </row>
    <row r="444" spans="1:13" x14ac:dyDescent="0.45">
      <c r="A444" s="10">
        <v>118</v>
      </c>
      <c r="B444" s="10">
        <v>28</v>
      </c>
      <c r="C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4" s="10"/>
      <c r="E444" s="10"/>
      <c r="F444" s="12">
        <f ca="1">(RANDBETWEEN(0,50)/100)*(dict_DQ_Meth_max[[#This Row],[Vergleich_ub]]-dict_DQ_Meth_max[[#This Row],[Vergleich_lb]])+dict_DQ_Meth_max[[#This Row],[Vergleich_lb]]</f>
        <v>5.65428</v>
      </c>
      <c r="G444" s="12">
        <f ca="1">(RANDBETWEEN(50,100)/100)*(dict_DQ_Meth_max[[#This Row],[Vergleich_ub]]-dict_DQ_Meth_max[[#This Row],[Vergleich_lb]])+dict_DQ_Meth_max[[#This Row],[Vergleich_lb]]</f>
        <v>155.16854000000001</v>
      </c>
      <c r="H444" s="11" t="str">
        <f ca="1">VLOOKUP(VLOOKUP(dict_DQ_Meth_max[[#This Row],[ID_DataQualities]],table_DataQualities[],3),table_Units[],2)</f>
        <v>Hz</v>
      </c>
      <c r="I444" s="10"/>
      <c r="J444" s="10"/>
      <c r="K444" s="10"/>
      <c r="L444" s="10">
        <f ca="1">VLOOKUP(dict_DQ_Meth_max[[#This Row],[ID_DataQualities]],table_DataQualities[],8,FALSE)</f>
        <v>0.58599999999999997</v>
      </c>
      <c r="M444" s="10">
        <f ca="1">VLOOKUP(dict_DQ_Meth_max[[#This Row],[ID_DataQualities]],table_DataQualities[],9,FALSE)</f>
        <v>254</v>
      </c>
    </row>
    <row r="445" spans="1:13" x14ac:dyDescent="0.45">
      <c r="A445" s="10">
        <v>118</v>
      </c>
      <c r="B445" s="10">
        <v>28</v>
      </c>
      <c r="C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5" s="10"/>
      <c r="E445" s="10"/>
      <c r="F445" s="12">
        <f ca="1">(RANDBETWEEN(0,50)/100)*(dict_DQ_Meth_max[[#This Row],[Vergleich_ub]]-dict_DQ_Meth_max[[#This Row],[Vergleich_lb]])+dict_DQ_Meth_max[[#This Row],[Vergleich_lb]]</f>
        <v>10.72256</v>
      </c>
      <c r="G445" s="12">
        <f ca="1">(RANDBETWEEN(50,100)/100)*(dict_DQ_Meth_max[[#This Row],[Vergleich_ub]]-dict_DQ_Meth_max[[#This Row],[Vergleich_lb]])+dict_DQ_Meth_max[[#This Row],[Vergleich_lb]]</f>
        <v>127.29299999999999</v>
      </c>
      <c r="H445" s="11" t="str">
        <f ca="1">VLOOKUP(VLOOKUP(dict_DQ_Meth_max[[#This Row],[ID_DataQualities]],table_DataQualities[],3),table_Units[],2)</f>
        <v>Hz</v>
      </c>
      <c r="I445" s="10"/>
      <c r="J445" s="10"/>
      <c r="K445" s="10"/>
      <c r="L445" s="10">
        <f ca="1">VLOOKUP(dict_DQ_Meth_max[[#This Row],[ID_DataQualities]],table_DataQualities[],8,FALSE)</f>
        <v>0.58599999999999997</v>
      </c>
      <c r="M445" s="10">
        <f ca="1">VLOOKUP(dict_DQ_Meth_max[[#This Row],[ID_DataQualities]],table_DataQualities[],9,FALSE)</f>
        <v>254</v>
      </c>
    </row>
    <row r="446" spans="1:13" x14ac:dyDescent="0.45">
      <c r="A446" s="10">
        <v>119</v>
      </c>
      <c r="B446" s="10">
        <v>216</v>
      </c>
      <c r="C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6" s="10"/>
      <c r="E446" s="10"/>
      <c r="F446" s="12">
        <f ca="1">(RANDBETWEEN(0,50)/100)*(dict_DQ_Meth_max[[#This Row],[Vergleich_ub]]-dict_DQ_Meth_max[[#This Row],[Vergleich_lb]])+dict_DQ_Meth_max[[#This Row],[Vergleich_lb]]</f>
        <v>0.121449</v>
      </c>
      <c r="G446" s="12">
        <f ca="1">(RANDBETWEEN(50,100)/100)*(dict_DQ_Meth_max[[#This Row],[Vergleich_ub]]-dict_DQ_Meth_max[[#This Row],[Vergleich_lb]])+dict_DQ_Meth_max[[#This Row],[Vergleich_lb]]</f>
        <v>0.53829000000000005</v>
      </c>
      <c r="H446" s="11" t="str">
        <f ca="1">VLOOKUP(VLOOKUP(dict_DQ_Meth_max[[#This Row],[ID_DataQualities]],table_DataQualities[],3),table_Units[],2)</f>
        <v>+/- cm³/s</v>
      </c>
      <c r="I446" s="10"/>
      <c r="J446" s="10"/>
      <c r="K446" s="10"/>
      <c r="L446" s="10">
        <f ca="1">VLOOKUP(dict_DQ_Meth_max[[#This Row],[ID_DataQualities]],table_DataQualities[],8,FALSE)</f>
        <v>9.9000000000000008E-3</v>
      </c>
      <c r="M446" s="10">
        <f ca="1">VLOOKUP(dict_DQ_Meth_max[[#This Row],[ID_DataQualities]],table_DataQualities[],9,FALSE)</f>
        <v>0.59699999999999998</v>
      </c>
    </row>
    <row r="447" spans="1:13" x14ac:dyDescent="0.45">
      <c r="A447" s="10">
        <v>119</v>
      </c>
      <c r="B447" s="10">
        <v>486</v>
      </c>
      <c r="C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7" s="10"/>
      <c r="E447" s="10"/>
      <c r="F447" s="12">
        <f ca="1">(RANDBETWEEN(0,50)/100)*(dict_DQ_Meth_max[[#This Row],[Vergleich_ub]]-dict_DQ_Meth_max[[#This Row],[Vergleich_lb]])+dict_DQ_Meth_max[[#This Row],[Vergleich_lb]]</f>
        <v>0.19190099999999999</v>
      </c>
      <c r="G447" s="12">
        <f ca="1">(RANDBETWEEN(50,100)/100)*(dict_DQ_Meth_max[[#This Row],[Vergleich_ub]]-dict_DQ_Meth_max[[#This Row],[Vergleich_lb]])+dict_DQ_Meth_max[[#This Row],[Vergleich_lb]]</f>
        <v>0.42674099999999998</v>
      </c>
      <c r="H447" s="11" t="str">
        <f ca="1">VLOOKUP(VLOOKUP(dict_DQ_Meth_max[[#This Row],[ID_DataQualities]],table_DataQualities[],3),table_Units[],2)</f>
        <v>+/- cm³/s</v>
      </c>
      <c r="I447" s="10"/>
      <c r="J447" s="10"/>
      <c r="K447" s="10"/>
      <c r="L447" s="10">
        <f ca="1">VLOOKUP(dict_DQ_Meth_max[[#This Row],[ID_DataQualities]],table_DataQualities[],8,FALSE)</f>
        <v>9.9000000000000008E-3</v>
      </c>
      <c r="M447" s="10">
        <f ca="1">VLOOKUP(dict_DQ_Meth_max[[#This Row],[ID_DataQualities]],table_DataQualities[],9,FALSE)</f>
        <v>0.59699999999999998</v>
      </c>
    </row>
    <row r="448" spans="1:13" x14ac:dyDescent="0.45">
      <c r="A448" s="10">
        <v>119</v>
      </c>
      <c r="B448" s="10">
        <v>28</v>
      </c>
      <c r="C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8" s="10"/>
      <c r="E448" s="10"/>
      <c r="F448" s="12">
        <f ca="1">(RANDBETWEEN(0,50)/100)*(dict_DQ_Meth_max[[#This Row],[Vergleich_ub]]-dict_DQ_Meth_max[[#This Row],[Vergleich_lb]])+dict_DQ_Meth_max[[#This Row],[Vergleich_lb]]</f>
        <v>0.25648199999999999</v>
      </c>
      <c r="G448" s="12">
        <f ca="1">(RANDBETWEEN(50,100)/100)*(dict_DQ_Meth_max[[#This Row],[Vergleich_ub]]-dict_DQ_Meth_max[[#This Row],[Vergleich_lb]])+dict_DQ_Meth_max[[#This Row],[Vergleich_lb]]</f>
        <v>0.50893499999999992</v>
      </c>
      <c r="H448" s="11" t="str">
        <f ca="1">VLOOKUP(VLOOKUP(dict_DQ_Meth_max[[#This Row],[ID_DataQualities]],table_DataQualities[],3),table_Units[],2)</f>
        <v>+/- cm³/s</v>
      </c>
      <c r="I448" s="10"/>
      <c r="J448" s="10"/>
      <c r="K448" s="10"/>
      <c r="L448" s="10">
        <f ca="1">VLOOKUP(dict_DQ_Meth_max[[#This Row],[ID_DataQualities]],table_DataQualities[],8,FALSE)</f>
        <v>9.9000000000000008E-3</v>
      </c>
      <c r="M448" s="10">
        <f ca="1">VLOOKUP(dict_DQ_Meth_max[[#This Row],[ID_DataQualities]],table_DataQualities[],9,FALSE)</f>
        <v>0.59699999999999998</v>
      </c>
    </row>
    <row r="449" spans="1:13" x14ac:dyDescent="0.45">
      <c r="A449" s="10">
        <v>119</v>
      </c>
      <c r="B449" s="10">
        <v>28</v>
      </c>
      <c r="C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49" s="10"/>
      <c r="E449" s="10"/>
      <c r="F449" s="12">
        <f ca="1">(RANDBETWEEN(0,50)/100)*(dict_DQ_Meth_max[[#This Row],[Vergleich_ub]]-dict_DQ_Meth_max[[#This Row],[Vergleich_lb]])+dict_DQ_Meth_max[[#This Row],[Vergleich_lb]]</f>
        <v>0.15080399999999997</v>
      </c>
      <c r="G449" s="12">
        <f ca="1">(RANDBETWEEN(50,100)/100)*(dict_DQ_Meth_max[[#This Row],[Vergleich_ub]]-dict_DQ_Meth_max[[#This Row],[Vergleich_lb]])+dict_DQ_Meth_max[[#This Row],[Vergleich_lb]]</f>
        <v>0.35041799999999995</v>
      </c>
      <c r="H449" s="11" t="str">
        <f ca="1">VLOOKUP(VLOOKUP(dict_DQ_Meth_max[[#This Row],[ID_DataQualities]],table_DataQualities[],3),table_Units[],2)</f>
        <v>+/- cm³/s</v>
      </c>
      <c r="I449" s="10"/>
      <c r="J449" s="10"/>
      <c r="K449" s="10"/>
      <c r="L449" s="10">
        <f ca="1">VLOOKUP(dict_DQ_Meth_max[[#This Row],[ID_DataQualities]],table_DataQualities[],8,FALSE)</f>
        <v>9.9000000000000008E-3</v>
      </c>
      <c r="M449" s="10">
        <f ca="1">VLOOKUP(dict_DQ_Meth_max[[#This Row],[ID_DataQualities]],table_DataQualities[],9,FALSE)</f>
        <v>0.59699999999999998</v>
      </c>
    </row>
    <row r="450" spans="1:13" x14ac:dyDescent="0.45">
      <c r="A450" s="10">
        <v>120</v>
      </c>
      <c r="B450" s="10">
        <v>661</v>
      </c>
      <c r="C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0" s="10"/>
      <c r="E450" s="10"/>
      <c r="F450" s="12">
        <f ca="1">(RANDBETWEEN(0,50)/100)*(dict_DQ_Meth_max[[#This Row],[Vergleich_ub]]-dict_DQ_Meth_max[[#This Row],[Vergleich_lb]])+dict_DQ_Meth_max[[#This Row],[Vergleich_lb]]</f>
        <v>831.42232999999999</v>
      </c>
      <c r="G450" s="12">
        <f ca="1">(RANDBETWEEN(50,100)/100)*(dict_DQ_Meth_max[[#This Row],[Vergleich_ub]]-dict_DQ_Meth_max[[#This Row],[Vergleich_lb]])+dict_DQ_Meth_max[[#This Row],[Vergleich_lb]]</f>
        <v>2117.4589700000001</v>
      </c>
      <c r="H450" s="11" t="str">
        <f ca="1">VLOOKUP(VLOOKUP(dict_DQ_Meth_max[[#This Row],[ID_DataQualities]],table_DataQualities[],3),table_Units[],2)</f>
        <v>Hz</v>
      </c>
      <c r="I450" s="10"/>
      <c r="J450" s="10"/>
      <c r="K450" s="10"/>
      <c r="L450" s="10">
        <f ca="1">VLOOKUP(dict_DQ_Meth_max[[#This Row],[ID_DataQualities]],table_DataQualities[],8,FALSE)</f>
        <v>0.85699999999999998</v>
      </c>
      <c r="M450" s="10">
        <f ca="1">VLOOKUP(dict_DQ_Meth_max[[#This Row],[ID_DataQualities]],table_DataQualities[],9,FALSE)</f>
        <v>2680.1</v>
      </c>
    </row>
    <row r="451" spans="1:13" x14ac:dyDescent="0.45">
      <c r="A451" s="10">
        <v>120</v>
      </c>
      <c r="B451" s="10">
        <v>625</v>
      </c>
      <c r="C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1" s="10"/>
      <c r="E451" s="10"/>
      <c r="F451" s="12">
        <f ca="1">(RANDBETWEEN(0,50)/100)*(dict_DQ_Meth_max[[#This Row],[Vergleich_ub]]-dict_DQ_Meth_max[[#This Row],[Vergleich_lb]])+dict_DQ_Meth_max[[#This Row],[Vergleich_lb]]</f>
        <v>108.02672</v>
      </c>
      <c r="G451" s="12">
        <f ca="1">(RANDBETWEEN(50,100)/100)*(dict_DQ_Meth_max[[#This Row],[Vergleich_ub]]-dict_DQ_Meth_max[[#This Row],[Vergleich_lb]])+dict_DQ_Meth_max[[#This Row],[Vergleich_lb]]</f>
        <v>1929.9119599999999</v>
      </c>
      <c r="H451" s="11" t="str">
        <f ca="1">VLOOKUP(VLOOKUP(dict_DQ_Meth_max[[#This Row],[ID_DataQualities]],table_DataQualities[],3),table_Units[],2)</f>
        <v>Hz</v>
      </c>
      <c r="I451" s="10"/>
      <c r="J451" s="10"/>
      <c r="K451" s="10"/>
      <c r="L451" s="10">
        <f ca="1">VLOOKUP(dict_DQ_Meth_max[[#This Row],[ID_DataQualities]],table_DataQualities[],8,FALSE)</f>
        <v>0.85699999999999998</v>
      </c>
      <c r="M451" s="10">
        <f ca="1">VLOOKUP(dict_DQ_Meth_max[[#This Row],[ID_DataQualities]],table_DataQualities[],9,FALSE)</f>
        <v>2680.1</v>
      </c>
    </row>
    <row r="452" spans="1:13" x14ac:dyDescent="0.45">
      <c r="A452" s="10">
        <v>120</v>
      </c>
      <c r="B452" s="10">
        <v>151</v>
      </c>
      <c r="C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2" s="10"/>
      <c r="E452" s="10"/>
      <c r="F452" s="12">
        <f ca="1">(RANDBETWEEN(0,50)/100)*(dict_DQ_Meth_max[[#This Row],[Vergleich_ub]]-dict_DQ_Meth_max[[#This Row],[Vergleich_lb]])+dict_DQ_Meth_max[[#This Row],[Vergleich_lb]]</f>
        <v>885.00719000000004</v>
      </c>
      <c r="G452" s="12">
        <f ca="1">(RANDBETWEEN(50,100)/100)*(dict_DQ_Meth_max[[#This Row],[Vergleich_ub]]-dict_DQ_Meth_max[[#This Row],[Vergleich_lb]])+dict_DQ_Meth_max[[#This Row],[Vergleich_lb]]</f>
        <v>2412.1756999999998</v>
      </c>
      <c r="H452" s="11" t="str">
        <f ca="1">VLOOKUP(VLOOKUP(dict_DQ_Meth_max[[#This Row],[ID_DataQualities]],table_DataQualities[],3),table_Units[],2)</f>
        <v>Hz</v>
      </c>
      <c r="I452" s="10"/>
      <c r="J452" s="10"/>
      <c r="K452" s="10"/>
      <c r="L452" s="10">
        <f ca="1">VLOOKUP(dict_DQ_Meth_max[[#This Row],[ID_DataQualities]],table_DataQualities[],8,FALSE)</f>
        <v>0.85699999999999998</v>
      </c>
      <c r="M452" s="10">
        <f ca="1">VLOOKUP(dict_DQ_Meth_max[[#This Row],[ID_DataQualities]],table_DataQualities[],9,FALSE)</f>
        <v>2680.1</v>
      </c>
    </row>
    <row r="453" spans="1:13" x14ac:dyDescent="0.45">
      <c r="A453" s="10">
        <v>120</v>
      </c>
      <c r="B453" s="10">
        <v>500</v>
      </c>
      <c r="C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3" s="10"/>
      <c r="E453" s="10"/>
      <c r="F453" s="12">
        <f ca="1">(RANDBETWEEN(0,50)/100)*(dict_DQ_Meth_max[[#This Row],[Vergleich_ub]]-dict_DQ_Meth_max[[#This Row],[Vergleich_lb]])+dict_DQ_Meth_max[[#This Row],[Vergleich_lb]]</f>
        <v>108.02672</v>
      </c>
      <c r="G453" s="12">
        <f ca="1">(RANDBETWEEN(50,100)/100)*(dict_DQ_Meth_max[[#This Row],[Vergleich_ub]]-dict_DQ_Meth_max[[#This Row],[Vergleich_lb]])+dict_DQ_Meth_max[[#This Row],[Vergleich_lb]]</f>
        <v>2438.9681300000002</v>
      </c>
      <c r="H453" s="11" t="str">
        <f ca="1">VLOOKUP(VLOOKUP(dict_DQ_Meth_max[[#This Row],[ID_DataQualities]],table_DataQualities[],3),table_Units[],2)</f>
        <v>Hz</v>
      </c>
      <c r="I453" s="10"/>
      <c r="J453" s="10"/>
      <c r="K453" s="10"/>
      <c r="L453" s="10">
        <f ca="1">VLOOKUP(dict_DQ_Meth_max[[#This Row],[ID_DataQualities]],table_DataQualities[],8,FALSE)</f>
        <v>0.85699999999999998</v>
      </c>
      <c r="M453" s="10">
        <f ca="1">VLOOKUP(dict_DQ_Meth_max[[#This Row],[ID_DataQualities]],table_DataQualities[],9,FALSE)</f>
        <v>2680.1</v>
      </c>
    </row>
    <row r="454" spans="1:13" x14ac:dyDescent="0.45">
      <c r="A454" s="10">
        <v>121</v>
      </c>
      <c r="B454" s="10">
        <v>625</v>
      </c>
      <c r="C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4" s="10"/>
      <c r="E454" s="10"/>
      <c r="F454" s="12">
        <f ca="1">(RANDBETWEEN(0,50)/100)*(dict_DQ_Meth_max[[#This Row],[Vergleich_ub]]-dict_DQ_Meth_max[[#This Row],[Vergleich_lb]])+dict_DQ_Meth_max[[#This Row],[Vergleich_lb]]</f>
        <v>2.3401799999999997</v>
      </c>
      <c r="G454" s="12">
        <f ca="1">(RANDBETWEEN(50,100)/100)*(dict_DQ_Meth_max[[#This Row],[Vergleich_ub]]-dict_DQ_Meth_max[[#This Row],[Vergleich_lb]])+dict_DQ_Meth_max[[#This Row],[Vergleich_lb]]</f>
        <v>4.1349</v>
      </c>
      <c r="H454" s="11" t="str">
        <f ca="1">VLOOKUP(VLOOKUP(dict_DQ_Meth_max[[#This Row],[ID_DataQualities]],table_DataQualities[],3),table_Units[],2)</f>
        <v>+/- mm</v>
      </c>
      <c r="I454" s="10"/>
      <c r="J454" s="10"/>
      <c r="K454" s="10"/>
      <c r="L454" s="10">
        <f ca="1">VLOOKUP(dict_DQ_Meth_max[[#This Row],[ID_DataQualities]],table_DataQualities[],8,FALSE)</f>
        <v>2.1999999999999999E-2</v>
      </c>
      <c r="M454" s="10">
        <f ca="1">VLOOKUP(dict_DQ_Meth_max[[#This Row],[ID_DataQualities]],table_DataQualities[],9,FALSE)</f>
        <v>7.5</v>
      </c>
    </row>
    <row r="455" spans="1:13" x14ac:dyDescent="0.45">
      <c r="A455" s="10">
        <v>121</v>
      </c>
      <c r="B455" s="10">
        <v>661</v>
      </c>
      <c r="C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5" s="10"/>
      <c r="E455" s="10"/>
      <c r="F455" s="12">
        <f ca="1">(RANDBETWEEN(0,50)/100)*(dict_DQ_Meth_max[[#This Row],[Vergleich_ub]]-dict_DQ_Meth_max[[#This Row],[Vergleich_lb]])+dict_DQ_Meth_max[[#This Row],[Vergleich_lb]]</f>
        <v>0.69501999999999997</v>
      </c>
      <c r="G455" s="12">
        <f ca="1">(RANDBETWEEN(50,100)/100)*(dict_DQ_Meth_max[[#This Row],[Vergleich_ub]]-dict_DQ_Meth_max[[#This Row],[Vergleich_lb]])+dict_DQ_Meth_max[[#This Row],[Vergleich_lb]]</f>
        <v>3.8357799999999997</v>
      </c>
      <c r="H455" s="11" t="str">
        <f ca="1">VLOOKUP(VLOOKUP(dict_DQ_Meth_max[[#This Row],[ID_DataQualities]],table_DataQualities[],3),table_Units[],2)</f>
        <v>+/- mm</v>
      </c>
      <c r="I455" s="10"/>
      <c r="J455" s="10"/>
      <c r="K455" s="10"/>
      <c r="L455" s="10">
        <f ca="1">VLOOKUP(dict_DQ_Meth_max[[#This Row],[ID_DataQualities]],table_DataQualities[],8,FALSE)</f>
        <v>2.1999999999999999E-2</v>
      </c>
      <c r="M455" s="10">
        <f ca="1">VLOOKUP(dict_DQ_Meth_max[[#This Row],[ID_DataQualities]],table_DataQualities[],9,FALSE)</f>
        <v>7.5</v>
      </c>
    </row>
    <row r="456" spans="1:13" x14ac:dyDescent="0.45">
      <c r="A456" s="10">
        <v>121</v>
      </c>
      <c r="B456" s="10">
        <v>500</v>
      </c>
      <c r="C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6" s="10"/>
      <c r="E456" s="10"/>
      <c r="F456" s="12">
        <f ca="1">(RANDBETWEEN(0,50)/100)*(dict_DQ_Meth_max[[#This Row],[Vergleich_ub]]-dict_DQ_Meth_max[[#This Row],[Vergleich_lb]])+dict_DQ_Meth_max[[#This Row],[Vergleich_lb]]</f>
        <v>2.7888599999999997</v>
      </c>
      <c r="G456" s="12">
        <f ca="1">(RANDBETWEEN(50,100)/100)*(dict_DQ_Meth_max[[#This Row],[Vergleich_ub]]-dict_DQ_Meth_max[[#This Row],[Vergleich_lb]])+dict_DQ_Meth_max[[#This Row],[Vergleich_lb]]</f>
        <v>6.9017600000000003</v>
      </c>
      <c r="H456" s="11" t="str">
        <f ca="1">VLOOKUP(VLOOKUP(dict_DQ_Meth_max[[#This Row],[ID_DataQualities]],table_DataQualities[],3),table_Units[],2)</f>
        <v>+/- mm</v>
      </c>
      <c r="I456" s="10"/>
      <c r="J456" s="10"/>
      <c r="K456" s="10"/>
      <c r="L456" s="10">
        <f ca="1">VLOOKUP(dict_DQ_Meth_max[[#This Row],[ID_DataQualities]],table_DataQualities[],8,FALSE)</f>
        <v>2.1999999999999999E-2</v>
      </c>
      <c r="M456" s="10">
        <f ca="1">VLOOKUP(dict_DQ_Meth_max[[#This Row],[ID_DataQualities]],table_DataQualities[],9,FALSE)</f>
        <v>7.5</v>
      </c>
    </row>
    <row r="457" spans="1:13" x14ac:dyDescent="0.45">
      <c r="A457" s="10">
        <v>121</v>
      </c>
      <c r="B457" s="10">
        <v>151</v>
      </c>
      <c r="C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7" s="10"/>
      <c r="E457" s="10"/>
      <c r="F457" s="12">
        <f ca="1">(RANDBETWEEN(0,50)/100)*(dict_DQ_Meth_max[[#This Row],[Vergleich_ub]]-dict_DQ_Meth_max[[#This Row],[Vergleich_lb]])+dict_DQ_Meth_max[[#This Row],[Vergleich_lb]]</f>
        <v>3.4618799999999998</v>
      </c>
      <c r="G457" s="12">
        <f ca="1">(RANDBETWEEN(50,100)/100)*(dict_DQ_Meth_max[[#This Row],[Vergleich_ub]]-dict_DQ_Meth_max[[#This Row],[Vergleich_lb]])+dict_DQ_Meth_max[[#This Row],[Vergleich_lb]]</f>
        <v>6.5278600000000004</v>
      </c>
      <c r="H457" s="11" t="str">
        <f ca="1">VLOOKUP(VLOOKUP(dict_DQ_Meth_max[[#This Row],[ID_DataQualities]],table_DataQualities[],3),table_Units[],2)</f>
        <v>+/- mm</v>
      </c>
      <c r="I457" s="10"/>
      <c r="J457" s="10"/>
      <c r="K457" s="10"/>
      <c r="L457" s="10">
        <f ca="1">VLOOKUP(dict_DQ_Meth_max[[#This Row],[ID_DataQualities]],table_DataQualities[],8,FALSE)</f>
        <v>2.1999999999999999E-2</v>
      </c>
      <c r="M457" s="10">
        <f ca="1">VLOOKUP(dict_DQ_Meth_max[[#This Row],[ID_DataQualities]],table_DataQualities[],9,FALSE)</f>
        <v>7.5</v>
      </c>
    </row>
    <row r="458" spans="1:13" x14ac:dyDescent="0.45">
      <c r="A458" s="10">
        <v>122</v>
      </c>
      <c r="B458" s="10">
        <v>156</v>
      </c>
      <c r="C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8" s="10"/>
      <c r="E458" s="10"/>
      <c r="F458" s="12">
        <f ca="1">(RANDBETWEEN(0,50)/100)*(dict_DQ_Meth_max[[#This Row],[Vergleich_ub]]-dict_DQ_Meth_max[[#This Row],[Vergleich_lb]])+dict_DQ_Meth_max[[#This Row],[Vergleich_lb]]</f>
        <v>280.91190000000006</v>
      </c>
      <c r="G458" s="12">
        <f ca="1">(RANDBETWEEN(50,100)/100)*(dict_DQ_Meth_max[[#This Row],[Vergleich_ub]]-dict_DQ_Meth_max[[#This Row],[Vergleich_lb]])+dict_DQ_Meth_max[[#This Row],[Vergleich_lb]]</f>
        <v>2775.76791</v>
      </c>
      <c r="H458" s="11" t="str">
        <f ca="1">VLOOKUP(VLOOKUP(dict_DQ_Meth_max[[#This Row],[ID_DataQualities]],table_DataQualities[],3),table_Units[],2)</f>
        <v>Hz</v>
      </c>
      <c r="I458" s="10"/>
      <c r="J458" s="10"/>
      <c r="K458" s="10"/>
      <c r="L458" s="10">
        <f ca="1">VLOOKUP(dict_DQ_Meth_max[[#This Row],[ID_DataQualities]],table_DataQualities[],8,FALSE)</f>
        <v>0.59099999999999997</v>
      </c>
      <c r="M458" s="10">
        <f ca="1">VLOOKUP(dict_DQ_Meth_max[[#This Row],[ID_DataQualities]],table_DataQualities[],9,FALSE)</f>
        <v>2803.8</v>
      </c>
    </row>
    <row r="459" spans="1:13" x14ac:dyDescent="0.45">
      <c r="A459" s="10">
        <v>122</v>
      </c>
      <c r="B459" s="10">
        <v>696</v>
      </c>
      <c r="C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59" s="10"/>
      <c r="E459" s="10"/>
      <c r="F459" s="12">
        <f ca="1">(RANDBETWEEN(0,50)/100)*(dict_DQ_Meth_max[[#This Row],[Vergleich_ub]]-dict_DQ_Meth_max[[#This Row],[Vergleich_lb]])+dict_DQ_Meth_max[[#This Row],[Vergleich_lb]]</f>
        <v>28.623090000000005</v>
      </c>
      <c r="G459" s="12">
        <f ca="1">(RANDBETWEEN(50,100)/100)*(dict_DQ_Meth_max[[#This Row],[Vergleich_ub]]-dict_DQ_Meth_max[[#This Row],[Vergleich_lb]])+dict_DQ_Meth_max[[#This Row],[Vergleich_lb]]</f>
        <v>2159.0619300000003</v>
      </c>
      <c r="H459" s="11" t="str">
        <f ca="1">VLOOKUP(VLOOKUP(dict_DQ_Meth_max[[#This Row],[ID_DataQualities]],table_DataQualities[],3),table_Units[],2)</f>
        <v>Hz</v>
      </c>
      <c r="I459" s="10"/>
      <c r="J459" s="10"/>
      <c r="K459" s="10"/>
      <c r="L459" s="10">
        <f ca="1">VLOOKUP(dict_DQ_Meth_max[[#This Row],[ID_DataQualities]],table_DataQualities[],8,FALSE)</f>
        <v>0.59099999999999997</v>
      </c>
      <c r="M459" s="10">
        <f ca="1">VLOOKUP(dict_DQ_Meth_max[[#This Row],[ID_DataQualities]],table_DataQualities[],9,FALSE)</f>
        <v>2803.8</v>
      </c>
    </row>
    <row r="460" spans="1:13" x14ac:dyDescent="0.45">
      <c r="A460" s="10">
        <v>122</v>
      </c>
      <c r="B460" s="10">
        <v>516</v>
      </c>
      <c r="C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0" s="10"/>
      <c r="E460" s="10"/>
      <c r="F460" s="12">
        <f ca="1">(RANDBETWEEN(0,50)/100)*(dict_DQ_Meth_max[[#This Row],[Vergleich_ub]]-dict_DQ_Meth_max[[#This Row],[Vergleich_lb]])+dict_DQ_Meth_max[[#This Row],[Vergleich_lb]]</f>
        <v>533.20071000000007</v>
      </c>
      <c r="G460" s="12">
        <f ca="1">(RANDBETWEEN(50,100)/100)*(dict_DQ_Meth_max[[#This Row],[Vergleich_ub]]-dict_DQ_Meth_max[[#This Row],[Vergleich_lb]])+dict_DQ_Meth_max[[#This Row],[Vergleich_lb]]</f>
        <v>2271.1902900000005</v>
      </c>
      <c r="H460" s="11" t="str">
        <f ca="1">VLOOKUP(VLOOKUP(dict_DQ_Meth_max[[#This Row],[ID_DataQualities]],table_DataQualities[],3),table_Units[],2)</f>
        <v>Hz</v>
      </c>
      <c r="I460" s="10"/>
      <c r="J460" s="10"/>
      <c r="K460" s="10"/>
      <c r="L460" s="10">
        <f ca="1">VLOOKUP(dict_DQ_Meth_max[[#This Row],[ID_DataQualities]],table_DataQualities[],8,FALSE)</f>
        <v>0.59099999999999997</v>
      </c>
      <c r="M460" s="10">
        <f ca="1">VLOOKUP(dict_DQ_Meth_max[[#This Row],[ID_DataQualities]],table_DataQualities[],9,FALSE)</f>
        <v>2803.8</v>
      </c>
    </row>
    <row r="461" spans="1:13" x14ac:dyDescent="0.45">
      <c r="A461" s="10">
        <v>123</v>
      </c>
      <c r="B461" s="10">
        <v>156</v>
      </c>
      <c r="C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1" s="10"/>
      <c r="E461" s="10"/>
      <c r="F461" s="12">
        <f ca="1">(RANDBETWEEN(0,50)/100)*(dict_DQ_Meth_max[[#This Row],[Vergleich_ub]]-dict_DQ_Meth_max[[#This Row],[Vergleich_lb]])+dict_DQ_Meth_max[[#This Row],[Vergleich_lb]]</f>
        <v>0.37687999999999999</v>
      </c>
      <c r="G461" s="12">
        <f ca="1">(RANDBETWEEN(50,100)/100)*(dict_DQ_Meth_max[[#This Row],[Vergleich_ub]]-dict_DQ_Meth_max[[#This Row],[Vergleich_lb]])+dict_DQ_Meth_max[[#This Row],[Vergleich_lb]]</f>
        <v>0.58045999999999998</v>
      </c>
      <c r="H461" s="11" t="str">
        <f ca="1">VLOOKUP(VLOOKUP(dict_DQ_Meth_max[[#This Row],[ID_DataQualities]],table_DataQualities[],3),table_Units[],2)</f>
        <v>+/- mm</v>
      </c>
      <c r="I461" s="10"/>
      <c r="J461" s="10"/>
      <c r="K461" s="10"/>
      <c r="L461" s="10">
        <f ca="1">VLOOKUP(dict_DQ_Meth_max[[#This Row],[ID_DataQualities]],table_DataQualities[],8,FALSE)</f>
        <v>6.8000000000000005E-2</v>
      </c>
      <c r="M461" s="10">
        <f ca="1">VLOOKUP(dict_DQ_Meth_max[[#This Row],[ID_DataQualities]],table_DataQualities[],9,FALSE)</f>
        <v>0.77</v>
      </c>
    </row>
    <row r="462" spans="1:13" x14ac:dyDescent="0.45">
      <c r="A462" s="10">
        <v>123</v>
      </c>
      <c r="B462" s="10">
        <v>696</v>
      </c>
      <c r="C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2" s="10"/>
      <c r="E462" s="10"/>
      <c r="F462" s="12">
        <f ca="1">(RANDBETWEEN(0,50)/100)*(dict_DQ_Meth_max[[#This Row],[Vergleich_ub]]-dict_DQ_Meth_max[[#This Row],[Vergleich_lb]])+dict_DQ_Meth_max[[#This Row],[Vergleich_lb]]</f>
        <v>0.34177999999999997</v>
      </c>
      <c r="G462" s="12">
        <f ca="1">(RANDBETWEEN(50,100)/100)*(dict_DQ_Meth_max[[#This Row],[Vergleich_ub]]-dict_DQ_Meth_max[[#This Row],[Vergleich_lb]])+dict_DQ_Meth_max[[#This Row],[Vergleich_lb]]</f>
        <v>0.58748</v>
      </c>
      <c r="H462" s="11" t="str">
        <f ca="1">VLOOKUP(VLOOKUP(dict_DQ_Meth_max[[#This Row],[ID_DataQualities]],table_DataQualities[],3),table_Units[],2)</f>
        <v>+/- mm</v>
      </c>
      <c r="I462" s="10"/>
      <c r="J462" s="10"/>
      <c r="K462" s="10"/>
      <c r="L462" s="10">
        <f ca="1">VLOOKUP(dict_DQ_Meth_max[[#This Row],[ID_DataQualities]],table_DataQualities[],8,FALSE)</f>
        <v>6.8000000000000005E-2</v>
      </c>
      <c r="M462" s="10">
        <f ca="1">VLOOKUP(dict_DQ_Meth_max[[#This Row],[ID_DataQualities]],table_DataQualities[],9,FALSE)</f>
        <v>0.77</v>
      </c>
    </row>
    <row r="463" spans="1:13" x14ac:dyDescent="0.45">
      <c r="A463" s="10">
        <v>123</v>
      </c>
      <c r="B463" s="10">
        <v>516</v>
      </c>
      <c r="C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3" s="10"/>
      <c r="E463" s="10"/>
      <c r="F463" s="12">
        <f ca="1">(RANDBETWEEN(0,50)/100)*(dict_DQ_Meth_max[[#This Row],[Vergleich_ub]]-dict_DQ_Meth_max[[#This Row],[Vergleich_lb]])+dict_DQ_Meth_max[[#This Row],[Vergleich_lb]]</f>
        <v>0.28561999999999999</v>
      </c>
      <c r="G463" s="12">
        <f ca="1">(RANDBETWEEN(50,100)/100)*(dict_DQ_Meth_max[[#This Row],[Vergleich_ub]]-dict_DQ_Meth_max[[#This Row],[Vergleich_lb]])+dict_DQ_Meth_max[[#This Row],[Vergleich_lb]]</f>
        <v>0.49621999999999999</v>
      </c>
      <c r="H463" s="11" t="str">
        <f ca="1">VLOOKUP(VLOOKUP(dict_DQ_Meth_max[[#This Row],[ID_DataQualities]],table_DataQualities[],3),table_Units[],2)</f>
        <v>+/- mm</v>
      </c>
      <c r="I463" s="10"/>
      <c r="J463" s="10"/>
      <c r="K463" s="10"/>
      <c r="L463" s="10">
        <f ca="1">VLOOKUP(dict_DQ_Meth_max[[#This Row],[ID_DataQualities]],table_DataQualities[],8,FALSE)</f>
        <v>6.8000000000000005E-2</v>
      </c>
      <c r="M463" s="10">
        <f ca="1">VLOOKUP(dict_DQ_Meth_max[[#This Row],[ID_DataQualities]],table_DataQualities[],9,FALSE)</f>
        <v>0.77</v>
      </c>
    </row>
    <row r="464" spans="1:13" x14ac:dyDescent="0.45">
      <c r="A464" s="10">
        <v>124</v>
      </c>
      <c r="B464" s="10">
        <v>451</v>
      </c>
      <c r="C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4" s="10"/>
      <c r="E464" s="10"/>
      <c r="F464" s="12">
        <f ca="1">(RANDBETWEEN(0,50)/100)*(dict_DQ_Meth_max[[#This Row],[Vergleich_ub]]-dict_DQ_Meth_max[[#This Row],[Vergleich_lb]])+dict_DQ_Meth_max[[#This Row],[Vergleich_lb]]</f>
        <v>180.69379000000001</v>
      </c>
      <c r="G464" s="12">
        <f ca="1">(RANDBETWEEN(50,100)/100)*(dict_DQ_Meth_max[[#This Row],[Vergleich_ub]]-dict_DQ_Meth_max[[#This Row],[Vergleich_lb]])+dict_DQ_Meth_max[[#This Row],[Vergleich_lb]]</f>
        <v>3836.3585200000002</v>
      </c>
      <c r="H464" s="11" t="str">
        <f ca="1">VLOOKUP(VLOOKUP(dict_DQ_Meth_max[[#This Row],[ID_DataQualities]],table_DataQualities[],3),table_Units[],2)</f>
        <v>Hz</v>
      </c>
      <c r="I464" s="10"/>
      <c r="J464" s="10"/>
      <c r="K464" s="10"/>
      <c r="L464" s="10">
        <f ca="1">VLOOKUP(dict_DQ_Meth_max[[#This Row],[ID_DataQualities]],table_DataQualities[],8,FALSE)</f>
        <v>0.90700000000000003</v>
      </c>
      <c r="M464" s="10">
        <f ca="1">VLOOKUP(dict_DQ_Meth_max[[#This Row],[ID_DataQualities]],table_DataQualities[],9,FALSE)</f>
        <v>5993.8</v>
      </c>
    </row>
    <row r="465" spans="1:13" x14ac:dyDescent="0.45">
      <c r="A465" s="10">
        <v>124</v>
      </c>
      <c r="B465" s="10">
        <v>484</v>
      </c>
      <c r="C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5" s="10"/>
      <c r="E465" s="10"/>
      <c r="F465" s="12">
        <f ca="1">(RANDBETWEEN(0,50)/100)*(dict_DQ_Meth_max[[#This Row],[Vergleich_ub]]-dict_DQ_Meth_max[[#This Row],[Vergleich_lb]])+dict_DQ_Meth_max[[#This Row],[Vergleich_lb]]</f>
        <v>1439.2013199999999</v>
      </c>
      <c r="G465" s="12">
        <f ca="1">(RANDBETWEEN(50,100)/100)*(dict_DQ_Meth_max[[#This Row],[Vergleich_ub]]-dict_DQ_Meth_max[[#This Row],[Vergleich_lb]])+dict_DQ_Meth_max[[#This Row],[Vergleich_lb]]</f>
        <v>4975.0081899999996</v>
      </c>
      <c r="H465" s="11" t="str">
        <f ca="1">VLOOKUP(VLOOKUP(dict_DQ_Meth_max[[#This Row],[ID_DataQualities]],table_DataQualities[],3),table_Units[],2)</f>
        <v>Hz</v>
      </c>
      <c r="I465" s="10"/>
      <c r="J465" s="10"/>
      <c r="K465" s="10"/>
      <c r="L465" s="10">
        <f ca="1">VLOOKUP(dict_DQ_Meth_max[[#This Row],[ID_DataQualities]],table_DataQualities[],8,FALSE)</f>
        <v>0.90700000000000003</v>
      </c>
      <c r="M465" s="10">
        <f ca="1">VLOOKUP(dict_DQ_Meth_max[[#This Row],[ID_DataQualities]],table_DataQualities[],9,FALSE)</f>
        <v>5993.8</v>
      </c>
    </row>
    <row r="466" spans="1:13" x14ac:dyDescent="0.45">
      <c r="A466" s="10">
        <v>124</v>
      </c>
      <c r="B466" s="10">
        <v>613</v>
      </c>
      <c r="C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6" s="10"/>
      <c r="E466" s="10"/>
      <c r="F466" s="12">
        <f ca="1">(RANDBETWEEN(0,50)/100)*(dict_DQ_Meth_max[[#This Row],[Vergleich_ub]]-dict_DQ_Meth_max[[#This Row],[Vergleich_lb]])+dict_DQ_Meth_max[[#This Row],[Vergleich_lb]]</f>
        <v>2158.3484800000001</v>
      </c>
      <c r="G466" s="12">
        <f ca="1">(RANDBETWEEN(50,100)/100)*(dict_DQ_Meth_max[[#This Row],[Vergleich_ub]]-dict_DQ_Meth_max[[#This Row],[Vergleich_lb]])+dict_DQ_Meth_max[[#This Row],[Vergleich_lb]]</f>
        <v>5454.4396300000008</v>
      </c>
      <c r="H466" s="11" t="str">
        <f ca="1">VLOOKUP(VLOOKUP(dict_DQ_Meth_max[[#This Row],[ID_DataQualities]],table_DataQualities[],3),table_Units[],2)</f>
        <v>Hz</v>
      </c>
      <c r="I466" s="10"/>
      <c r="J466" s="10"/>
      <c r="K466" s="10"/>
      <c r="L466" s="10">
        <f ca="1">VLOOKUP(dict_DQ_Meth_max[[#This Row],[ID_DataQualities]],table_DataQualities[],8,FALSE)</f>
        <v>0.90700000000000003</v>
      </c>
      <c r="M466" s="10">
        <f ca="1">VLOOKUP(dict_DQ_Meth_max[[#This Row],[ID_DataQualities]],table_DataQualities[],9,FALSE)</f>
        <v>5993.8</v>
      </c>
    </row>
    <row r="467" spans="1:13" x14ac:dyDescent="0.45">
      <c r="A467" s="10">
        <v>124</v>
      </c>
      <c r="B467" s="10">
        <v>27</v>
      </c>
      <c r="C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7" s="10"/>
      <c r="E467" s="10"/>
      <c r="F467" s="12">
        <f ca="1">(RANDBETWEEN(0,50)/100)*(dict_DQ_Meth_max[[#This Row],[Vergleich_ub]]-dict_DQ_Meth_max[[#This Row],[Vergleich_lb]])+dict_DQ_Meth_max[[#This Row],[Vergleich_lb]]</f>
        <v>2338.1352700000002</v>
      </c>
      <c r="G467" s="12">
        <f ca="1">(RANDBETWEEN(50,100)/100)*(dict_DQ_Meth_max[[#This Row],[Vergleich_ub]]-dict_DQ_Meth_max[[#This Row],[Vergleich_lb]])+dict_DQ_Meth_max[[#This Row],[Vergleich_lb]]</f>
        <v>5993.8</v>
      </c>
      <c r="H467" s="11" t="str">
        <f ca="1">VLOOKUP(VLOOKUP(dict_DQ_Meth_max[[#This Row],[ID_DataQualities]],table_DataQualities[],3),table_Units[],2)</f>
        <v>Hz</v>
      </c>
      <c r="I467" s="10"/>
      <c r="J467" s="10"/>
      <c r="K467" s="10"/>
      <c r="L467" s="10">
        <f ca="1">VLOOKUP(dict_DQ_Meth_max[[#This Row],[ID_DataQualities]],table_DataQualities[],8,FALSE)</f>
        <v>0.90700000000000003</v>
      </c>
      <c r="M467" s="10">
        <f ca="1">VLOOKUP(dict_DQ_Meth_max[[#This Row],[ID_DataQualities]],table_DataQualities[],9,FALSE)</f>
        <v>5993.8</v>
      </c>
    </row>
    <row r="468" spans="1:13" x14ac:dyDescent="0.45">
      <c r="A468" s="10">
        <v>125</v>
      </c>
      <c r="B468" s="10">
        <v>484</v>
      </c>
      <c r="C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8" s="10"/>
      <c r="E468" s="10"/>
      <c r="F468" s="12">
        <f ca="1">(RANDBETWEEN(0,50)/100)*(dict_DQ_Meth_max[[#This Row],[Vergleich_ub]]-dict_DQ_Meth_max[[#This Row],[Vergleich_lb]])+dict_DQ_Meth_max[[#This Row],[Vergleich_lb]]</f>
        <v>2.4575</v>
      </c>
      <c r="G468" s="12">
        <f ca="1">(RANDBETWEEN(50,100)/100)*(dict_DQ_Meth_max[[#This Row],[Vergleich_ub]]-dict_DQ_Meth_max[[#This Row],[Vergleich_lb]])+dict_DQ_Meth_max[[#This Row],[Vergleich_lb]]</f>
        <v>8.9917999999999996</v>
      </c>
      <c r="H468" s="11" t="str">
        <f ca="1">VLOOKUP(VLOOKUP(dict_DQ_Meth_max[[#This Row],[ID_DataQualities]],table_DataQualities[],3),table_Units[],2)</f>
        <v>+/- W</v>
      </c>
      <c r="I468" s="10"/>
      <c r="J468" s="10"/>
      <c r="K468" s="10"/>
      <c r="L468" s="10">
        <f ca="1">VLOOKUP(dict_DQ_Meth_max[[#This Row],[ID_DataQualities]],table_DataQualities[],8,FALSE)</f>
        <v>0.09</v>
      </c>
      <c r="M468" s="10">
        <f ca="1">VLOOKUP(dict_DQ_Meth_max[[#This Row],[ID_DataQualities]],table_DataQualities[],9,FALSE)</f>
        <v>9.56</v>
      </c>
    </row>
    <row r="469" spans="1:13" x14ac:dyDescent="0.45">
      <c r="A469" s="10">
        <v>125</v>
      </c>
      <c r="B469" s="10">
        <v>451</v>
      </c>
      <c r="C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69" s="10"/>
      <c r="E469" s="10"/>
      <c r="F469" s="12">
        <f ca="1">(RANDBETWEEN(0,50)/100)*(dict_DQ_Meth_max[[#This Row],[Vergleich_ub]]-dict_DQ_Meth_max[[#This Row],[Vergleich_lb]])+dict_DQ_Meth_max[[#This Row],[Vergleich_lb]]</f>
        <v>3.2151000000000001</v>
      </c>
      <c r="G469" s="12">
        <f ca="1">(RANDBETWEEN(50,100)/100)*(dict_DQ_Meth_max[[#This Row],[Vergleich_ub]]-dict_DQ_Meth_max[[#This Row],[Vergleich_lb]])+dict_DQ_Meth_max[[#This Row],[Vergleich_lb]]</f>
        <v>8.0448000000000004</v>
      </c>
      <c r="H469" s="11" t="str">
        <f ca="1">VLOOKUP(VLOOKUP(dict_DQ_Meth_max[[#This Row],[ID_DataQualities]],table_DataQualities[],3),table_Units[],2)</f>
        <v>+/- W</v>
      </c>
      <c r="I469" s="10"/>
      <c r="J469" s="10"/>
      <c r="K469" s="10"/>
      <c r="L469" s="10">
        <f ca="1">VLOOKUP(dict_DQ_Meth_max[[#This Row],[ID_DataQualities]],table_DataQualities[],8,FALSE)</f>
        <v>0.09</v>
      </c>
      <c r="M469" s="10">
        <f ca="1">VLOOKUP(dict_DQ_Meth_max[[#This Row],[ID_DataQualities]],table_DataQualities[],9,FALSE)</f>
        <v>9.56</v>
      </c>
    </row>
    <row r="470" spans="1:13" x14ac:dyDescent="0.45">
      <c r="A470" s="10">
        <v>125</v>
      </c>
      <c r="B470" s="10">
        <v>27</v>
      </c>
      <c r="C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0" s="10"/>
      <c r="E470" s="10"/>
      <c r="F470" s="12">
        <f ca="1">(RANDBETWEEN(0,50)/100)*(dict_DQ_Meth_max[[#This Row],[Vergleich_ub]]-dict_DQ_Meth_max[[#This Row],[Vergleich_lb]])+dict_DQ_Meth_max[[#This Row],[Vergleich_lb]]</f>
        <v>4.4462000000000002</v>
      </c>
      <c r="G470" s="12">
        <f ca="1">(RANDBETWEEN(50,100)/100)*(dict_DQ_Meth_max[[#This Row],[Vergleich_ub]]-dict_DQ_Meth_max[[#This Row],[Vergleich_lb]])+dict_DQ_Meth_max[[#This Row],[Vergleich_lb]]</f>
        <v>7.0030999999999999</v>
      </c>
      <c r="H470" s="11" t="str">
        <f ca="1">VLOOKUP(VLOOKUP(dict_DQ_Meth_max[[#This Row],[ID_DataQualities]],table_DataQualities[],3),table_Units[],2)</f>
        <v>+/- W</v>
      </c>
      <c r="I470" s="10"/>
      <c r="J470" s="10"/>
      <c r="K470" s="10"/>
      <c r="L470" s="10">
        <f ca="1">VLOOKUP(dict_DQ_Meth_max[[#This Row],[ID_DataQualities]],table_DataQualities[],8,FALSE)</f>
        <v>0.09</v>
      </c>
      <c r="M470" s="10">
        <f ca="1">VLOOKUP(dict_DQ_Meth_max[[#This Row],[ID_DataQualities]],table_DataQualities[],9,FALSE)</f>
        <v>9.56</v>
      </c>
    </row>
    <row r="471" spans="1:13" x14ac:dyDescent="0.45">
      <c r="A471" s="10">
        <v>125</v>
      </c>
      <c r="B471" s="10">
        <v>613</v>
      </c>
      <c r="C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1" s="10"/>
      <c r="E471" s="10"/>
      <c r="F471" s="12">
        <f ca="1">(RANDBETWEEN(0,50)/100)*(dict_DQ_Meth_max[[#This Row],[Vergleich_ub]]-dict_DQ_Meth_max[[#This Row],[Vergleich_lb]])+dict_DQ_Meth_max[[#This Row],[Vergleich_lb]]</f>
        <v>0.37409999999999999</v>
      </c>
      <c r="G471" s="12">
        <f ca="1">(RANDBETWEEN(50,100)/100)*(dict_DQ_Meth_max[[#This Row],[Vergleich_ub]]-dict_DQ_Meth_max[[#This Row],[Vergleich_lb]])+dict_DQ_Meth_max[[#This Row],[Vergleich_lb]]</f>
        <v>6.1508000000000003</v>
      </c>
      <c r="H471" s="11" t="str">
        <f ca="1">VLOOKUP(VLOOKUP(dict_DQ_Meth_max[[#This Row],[ID_DataQualities]],table_DataQualities[],3),table_Units[],2)</f>
        <v>+/- W</v>
      </c>
      <c r="I471" s="10"/>
      <c r="J471" s="10"/>
      <c r="K471" s="10"/>
      <c r="L471" s="10">
        <f ca="1">VLOOKUP(dict_DQ_Meth_max[[#This Row],[ID_DataQualities]],table_DataQualities[],8,FALSE)</f>
        <v>0.09</v>
      </c>
      <c r="M471" s="10">
        <f ca="1">VLOOKUP(dict_DQ_Meth_max[[#This Row],[ID_DataQualities]],table_DataQualities[],9,FALSE)</f>
        <v>9.56</v>
      </c>
    </row>
    <row r="472" spans="1:13" x14ac:dyDescent="0.45">
      <c r="A472" s="10">
        <v>126</v>
      </c>
      <c r="B472" s="10">
        <v>278</v>
      </c>
      <c r="C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2" s="10"/>
      <c r="E472" s="10"/>
      <c r="F472" s="12">
        <f ca="1">(RANDBETWEEN(0,50)/100)*(dict_DQ_Meth_max[[#This Row],[Vergleich_ub]]-dict_DQ_Meth_max[[#This Row],[Vergleich_lb]])+dict_DQ_Meth_max[[#This Row],[Vergleich_lb]]</f>
        <v>219.62488000000002</v>
      </c>
      <c r="G472" s="12">
        <f ca="1">(RANDBETWEEN(50,100)/100)*(dict_DQ_Meth_max[[#This Row],[Vergleich_ub]]-dict_DQ_Meth_max[[#This Row],[Vergleich_lb]])+dict_DQ_Meth_max[[#This Row],[Vergleich_lb]]</f>
        <v>314.10750999999999</v>
      </c>
      <c r="H472" s="11" t="str">
        <f ca="1">VLOOKUP(VLOOKUP(dict_DQ_Meth_max[[#This Row],[ID_DataQualities]],table_DataQualities[],3),table_Units[],2)</f>
        <v>Hz</v>
      </c>
      <c r="I472" s="10"/>
      <c r="J472" s="10"/>
      <c r="K472" s="10"/>
      <c r="L472" s="10">
        <f ca="1">VLOOKUP(dict_DQ_Meth_max[[#This Row],[ID_DataQualities]],table_DataQualities[],8,FALSE)</f>
        <v>0.82299999999999995</v>
      </c>
      <c r="M472" s="10">
        <f ca="1">VLOOKUP(dict_DQ_Meth_max[[#This Row],[ID_DataQualities]],table_DataQualities[],9,FALSE)</f>
        <v>498.1</v>
      </c>
    </row>
    <row r="473" spans="1:13" x14ac:dyDescent="0.45">
      <c r="A473" s="10">
        <v>126</v>
      </c>
      <c r="B473" s="10">
        <v>215</v>
      </c>
      <c r="C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3" s="10"/>
      <c r="E473" s="10"/>
      <c r="F473" s="12">
        <f ca="1">(RANDBETWEEN(0,50)/100)*(dict_DQ_Meth_max[[#This Row],[Vergleich_ub]]-dict_DQ_Meth_max[[#This Row],[Vergleich_lb]])+dict_DQ_Meth_max[[#This Row],[Vergleich_lb]]</f>
        <v>199.73380000000003</v>
      </c>
      <c r="G473" s="12">
        <f ca="1">(RANDBETWEEN(50,100)/100)*(dict_DQ_Meth_max[[#This Row],[Vergleich_ub]]-dict_DQ_Meth_max[[#This Row],[Vergleich_lb]])+dict_DQ_Meth_max[[#This Row],[Vergleich_lb]]</f>
        <v>329.02582000000001</v>
      </c>
      <c r="H473" s="11" t="str">
        <f ca="1">VLOOKUP(VLOOKUP(dict_DQ_Meth_max[[#This Row],[ID_DataQualities]],table_DataQualities[],3),table_Units[],2)</f>
        <v>Hz</v>
      </c>
      <c r="I473" s="10"/>
      <c r="J473" s="10"/>
      <c r="K473" s="10"/>
      <c r="L473" s="10">
        <f ca="1">VLOOKUP(dict_DQ_Meth_max[[#This Row],[ID_DataQualities]],table_DataQualities[],8,FALSE)</f>
        <v>0.82299999999999995</v>
      </c>
      <c r="M473" s="10">
        <f ca="1">VLOOKUP(dict_DQ_Meth_max[[#This Row],[ID_DataQualities]],table_DataQualities[],9,FALSE)</f>
        <v>498.1</v>
      </c>
    </row>
    <row r="474" spans="1:13" x14ac:dyDescent="0.45">
      <c r="A474" s="10">
        <v>126</v>
      </c>
      <c r="B474" s="10">
        <v>607</v>
      </c>
      <c r="C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4" s="10"/>
      <c r="E474" s="10"/>
      <c r="F474" s="12">
        <f ca="1">(RANDBETWEEN(0,50)/100)*(dict_DQ_Meth_max[[#This Row],[Vergleich_ub]]-dict_DQ_Meth_max[[#This Row],[Vergleich_lb]])+dict_DQ_Meth_max[[#This Row],[Vergleich_lb]]</f>
        <v>90.332859999999997</v>
      </c>
      <c r="G474" s="12">
        <f ca="1">(RANDBETWEEN(50,100)/100)*(dict_DQ_Meth_max[[#This Row],[Vergleich_ub]]-dict_DQ_Meth_max[[#This Row],[Vergleich_lb]])+dict_DQ_Meth_max[[#This Row],[Vergleich_lb]]</f>
        <v>453.34507000000002</v>
      </c>
      <c r="H474" s="11" t="str">
        <f ca="1">VLOOKUP(VLOOKUP(dict_DQ_Meth_max[[#This Row],[ID_DataQualities]],table_DataQualities[],3),table_Units[],2)</f>
        <v>Hz</v>
      </c>
      <c r="I474" s="10"/>
      <c r="J474" s="10"/>
      <c r="K474" s="10"/>
      <c r="L474" s="10">
        <f ca="1">VLOOKUP(dict_DQ_Meth_max[[#This Row],[ID_DataQualities]],table_DataQualities[],8,FALSE)</f>
        <v>0.82299999999999995</v>
      </c>
      <c r="M474" s="10">
        <f ca="1">VLOOKUP(dict_DQ_Meth_max[[#This Row],[ID_DataQualities]],table_DataQualities[],9,FALSE)</f>
        <v>498.1</v>
      </c>
    </row>
    <row r="475" spans="1:13" x14ac:dyDescent="0.45">
      <c r="A475" s="10">
        <v>126</v>
      </c>
      <c r="B475" s="10">
        <v>269</v>
      </c>
      <c r="C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5" s="10"/>
      <c r="E475" s="10"/>
      <c r="F475" s="12">
        <f ca="1">(RANDBETWEEN(0,50)/100)*(dict_DQ_Meth_max[[#This Row],[Vergleich_ub]]-dict_DQ_Meth_max[[#This Row],[Vergleich_lb]])+dict_DQ_Meth_max[[#This Row],[Vergleich_lb]]</f>
        <v>130.11502000000002</v>
      </c>
      <c r="G475" s="12">
        <f ca="1">(RANDBETWEEN(50,100)/100)*(dict_DQ_Meth_max[[#This Row],[Vergleich_ub]]-dict_DQ_Meth_max[[#This Row],[Vergleich_lb]])+dict_DQ_Meth_max[[#This Row],[Vergleich_lb]]</f>
        <v>413.56290999999999</v>
      </c>
      <c r="H475" s="11" t="str">
        <f ca="1">VLOOKUP(VLOOKUP(dict_DQ_Meth_max[[#This Row],[ID_DataQualities]],table_DataQualities[],3),table_Units[],2)</f>
        <v>Hz</v>
      </c>
      <c r="I475" s="10"/>
      <c r="J475" s="10"/>
      <c r="K475" s="10"/>
      <c r="L475" s="10">
        <f ca="1">VLOOKUP(dict_DQ_Meth_max[[#This Row],[ID_DataQualities]],table_DataQualities[],8,FALSE)</f>
        <v>0.82299999999999995</v>
      </c>
      <c r="M475" s="10">
        <f ca="1">VLOOKUP(dict_DQ_Meth_max[[#This Row],[ID_DataQualities]],table_DataQualities[],9,FALSE)</f>
        <v>498.1</v>
      </c>
    </row>
    <row r="476" spans="1:13" x14ac:dyDescent="0.45">
      <c r="A476" s="10">
        <v>126</v>
      </c>
      <c r="B476" s="10">
        <v>455</v>
      </c>
      <c r="C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6" s="10"/>
      <c r="E476" s="10"/>
      <c r="F476" s="12">
        <f ca="1">(RANDBETWEEN(0,50)/100)*(dict_DQ_Meth_max[[#This Row],[Vergleich_ub]]-dict_DQ_Meth_max[[#This Row],[Vergleich_lb]])+dict_DQ_Meth_max[[#This Row],[Vergleich_lb]]</f>
        <v>135.08779000000004</v>
      </c>
      <c r="G476" s="12">
        <f ca="1">(RANDBETWEEN(50,100)/100)*(dict_DQ_Meth_max[[#This Row],[Vergleich_ub]]-dict_DQ_Meth_max[[#This Row],[Vergleich_lb]])+dict_DQ_Meth_max[[#This Row],[Vergleich_lb]]</f>
        <v>269.35258000000005</v>
      </c>
      <c r="H476" s="11" t="str">
        <f ca="1">VLOOKUP(VLOOKUP(dict_DQ_Meth_max[[#This Row],[ID_DataQualities]],table_DataQualities[],3),table_Units[],2)</f>
        <v>Hz</v>
      </c>
      <c r="I476" s="10"/>
      <c r="J476" s="10"/>
      <c r="K476" s="10"/>
      <c r="L476" s="10">
        <f ca="1">VLOOKUP(dict_DQ_Meth_max[[#This Row],[ID_DataQualities]],table_DataQualities[],8,FALSE)</f>
        <v>0.82299999999999995</v>
      </c>
      <c r="M476" s="10">
        <f ca="1">VLOOKUP(dict_DQ_Meth_max[[#This Row],[ID_DataQualities]],table_DataQualities[],9,FALSE)</f>
        <v>498.1</v>
      </c>
    </row>
    <row r="477" spans="1:13" x14ac:dyDescent="0.45">
      <c r="A477" s="10">
        <v>127</v>
      </c>
      <c r="B477" s="10">
        <v>278</v>
      </c>
      <c r="C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7" s="10"/>
      <c r="E477" s="10"/>
      <c r="F477" s="12">
        <f ca="1">(RANDBETWEEN(0,50)/100)*(dict_DQ_Meth_max[[#This Row],[Vergleich_ub]]-dict_DQ_Meth_max[[#This Row],[Vergleich_lb]])+dict_DQ_Meth_max[[#This Row],[Vergleich_lb]]</f>
        <v>0.99699999999999989</v>
      </c>
      <c r="G477" s="12">
        <f ca="1">(RANDBETWEEN(50,100)/100)*(dict_DQ_Meth_max[[#This Row],[Vergleich_ub]]-dict_DQ_Meth_max[[#This Row],[Vergleich_lb]])+dict_DQ_Meth_max[[#This Row],[Vergleich_lb]]</f>
        <v>3.5049999999999999</v>
      </c>
      <c r="H477" s="11" t="str">
        <f ca="1">VLOOKUP(VLOOKUP(dict_DQ_Meth_max[[#This Row],[ID_DataQualities]],table_DataQualities[],3),table_Units[],2)</f>
        <v>+/- °C</v>
      </c>
      <c r="I477" s="10"/>
      <c r="J477" s="10"/>
      <c r="K477" s="10"/>
      <c r="L477" s="10">
        <f ca="1">VLOOKUP(dict_DQ_Meth_max[[#This Row],[ID_DataQualities]],table_DataQualities[],8,FALSE)</f>
        <v>0.7</v>
      </c>
      <c r="M477" s="10">
        <f ca="1">VLOOKUP(dict_DQ_Meth_max[[#This Row],[ID_DataQualities]],table_DataQualities[],9,FALSE)</f>
        <v>4</v>
      </c>
    </row>
    <row r="478" spans="1:13" x14ac:dyDescent="0.45">
      <c r="A478" s="10">
        <v>127</v>
      </c>
      <c r="B478" s="10">
        <v>455</v>
      </c>
      <c r="C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8" s="10"/>
      <c r="E478" s="10"/>
      <c r="F478" s="12">
        <f ca="1">(RANDBETWEEN(0,50)/100)*(dict_DQ_Meth_max[[#This Row],[Vergleich_ub]]-dict_DQ_Meth_max[[#This Row],[Vergleich_lb]])+dict_DQ_Meth_max[[#This Row],[Vergleich_lb]]</f>
        <v>2.1189999999999998</v>
      </c>
      <c r="G478" s="12">
        <f ca="1">(RANDBETWEEN(50,100)/100)*(dict_DQ_Meth_max[[#This Row],[Vergleich_ub]]-dict_DQ_Meth_max[[#This Row],[Vergleich_lb]])+dict_DQ_Meth_max[[#This Row],[Vergleich_lb]]</f>
        <v>3.1419999999999995</v>
      </c>
      <c r="H478" s="11" t="str">
        <f ca="1">VLOOKUP(VLOOKUP(dict_DQ_Meth_max[[#This Row],[ID_DataQualities]],table_DataQualities[],3),table_Units[],2)</f>
        <v>+/- °C</v>
      </c>
      <c r="I478" s="10"/>
      <c r="J478" s="10"/>
      <c r="K478" s="10"/>
      <c r="L478" s="10">
        <f ca="1">VLOOKUP(dict_DQ_Meth_max[[#This Row],[ID_DataQualities]],table_DataQualities[],8,FALSE)</f>
        <v>0.7</v>
      </c>
      <c r="M478" s="10">
        <f ca="1">VLOOKUP(dict_DQ_Meth_max[[#This Row],[ID_DataQualities]],table_DataQualities[],9,FALSE)</f>
        <v>4</v>
      </c>
    </row>
    <row r="479" spans="1:13" x14ac:dyDescent="0.45">
      <c r="A479" s="10">
        <v>127</v>
      </c>
      <c r="B479" s="10">
        <v>607</v>
      </c>
      <c r="C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79" s="10"/>
      <c r="E479" s="10"/>
      <c r="F479" s="12">
        <f ca="1">(RANDBETWEEN(0,50)/100)*(dict_DQ_Meth_max[[#This Row],[Vergleich_ub]]-dict_DQ_Meth_max[[#This Row],[Vergleich_lb]])+dict_DQ_Meth_max[[#This Row],[Vergleich_lb]]</f>
        <v>1.7229999999999999</v>
      </c>
      <c r="G479" s="12">
        <f ca="1">(RANDBETWEEN(50,100)/100)*(dict_DQ_Meth_max[[#This Row],[Vergleich_ub]]-dict_DQ_Meth_max[[#This Row],[Vergleich_lb]])+dict_DQ_Meth_max[[#This Row],[Vergleich_lb]]</f>
        <v>3.01</v>
      </c>
      <c r="H479" s="11" t="str">
        <f ca="1">VLOOKUP(VLOOKUP(dict_DQ_Meth_max[[#This Row],[ID_DataQualities]],table_DataQualities[],3),table_Units[],2)</f>
        <v>+/- °C</v>
      </c>
      <c r="I479" s="10"/>
      <c r="J479" s="10"/>
      <c r="K479" s="10"/>
      <c r="L479" s="10">
        <f ca="1">VLOOKUP(dict_DQ_Meth_max[[#This Row],[ID_DataQualities]],table_DataQualities[],8,FALSE)</f>
        <v>0.7</v>
      </c>
      <c r="M479" s="10">
        <f ca="1">VLOOKUP(dict_DQ_Meth_max[[#This Row],[ID_DataQualities]],table_DataQualities[],9,FALSE)</f>
        <v>4</v>
      </c>
    </row>
    <row r="480" spans="1:13" x14ac:dyDescent="0.45">
      <c r="A480" s="10">
        <v>127</v>
      </c>
      <c r="B480" s="10">
        <v>269</v>
      </c>
      <c r="C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0" s="10"/>
      <c r="E480" s="10"/>
      <c r="F480" s="12">
        <f ca="1">(RANDBETWEEN(0,50)/100)*(dict_DQ_Meth_max[[#This Row],[Vergleich_ub]]-dict_DQ_Meth_max[[#This Row],[Vergleich_lb]])+dict_DQ_Meth_max[[#This Row],[Vergleich_lb]]</f>
        <v>2.3499999999999996</v>
      </c>
      <c r="G480" s="12">
        <f ca="1">(RANDBETWEEN(50,100)/100)*(dict_DQ_Meth_max[[#This Row],[Vergleich_ub]]-dict_DQ_Meth_max[[#This Row],[Vergleich_lb]])+dict_DQ_Meth_max[[#This Row],[Vergleich_lb]]</f>
        <v>3.5379999999999994</v>
      </c>
      <c r="H480" s="11" t="str">
        <f ca="1">VLOOKUP(VLOOKUP(dict_DQ_Meth_max[[#This Row],[ID_DataQualities]],table_DataQualities[],3),table_Units[],2)</f>
        <v>+/- °C</v>
      </c>
      <c r="I480" s="10"/>
      <c r="J480" s="10"/>
      <c r="K480" s="10"/>
      <c r="L480" s="10">
        <f ca="1">VLOOKUP(dict_DQ_Meth_max[[#This Row],[ID_DataQualities]],table_DataQualities[],8,FALSE)</f>
        <v>0.7</v>
      </c>
      <c r="M480" s="10">
        <f ca="1">VLOOKUP(dict_DQ_Meth_max[[#This Row],[ID_DataQualities]],table_DataQualities[],9,FALSE)</f>
        <v>4</v>
      </c>
    </row>
    <row r="481" spans="1:13" x14ac:dyDescent="0.45">
      <c r="A481" s="10">
        <v>127</v>
      </c>
      <c r="B481" s="10">
        <v>215</v>
      </c>
      <c r="C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1" s="10"/>
      <c r="E481" s="10"/>
      <c r="F481" s="12">
        <f ca="1">(RANDBETWEEN(0,50)/100)*(dict_DQ_Meth_max[[#This Row],[Vergleich_ub]]-dict_DQ_Meth_max[[#This Row],[Vergleich_lb]])+dict_DQ_Meth_max[[#This Row],[Vergleich_lb]]</f>
        <v>0.83199999999999996</v>
      </c>
      <c r="G481" s="12">
        <f ca="1">(RANDBETWEEN(50,100)/100)*(dict_DQ_Meth_max[[#This Row],[Vergleich_ub]]-dict_DQ_Meth_max[[#This Row],[Vergleich_lb]])+dict_DQ_Meth_max[[#This Row],[Vergleich_lb]]</f>
        <v>3.5379999999999994</v>
      </c>
      <c r="H481" s="11" t="str">
        <f ca="1">VLOOKUP(VLOOKUP(dict_DQ_Meth_max[[#This Row],[ID_DataQualities]],table_DataQualities[],3),table_Units[],2)</f>
        <v>+/- °C</v>
      </c>
      <c r="I481" s="10"/>
      <c r="J481" s="10"/>
      <c r="K481" s="10"/>
      <c r="L481" s="10">
        <f ca="1">VLOOKUP(dict_DQ_Meth_max[[#This Row],[ID_DataQualities]],table_DataQualities[],8,FALSE)</f>
        <v>0.7</v>
      </c>
      <c r="M481" s="10">
        <f ca="1">VLOOKUP(dict_DQ_Meth_max[[#This Row],[ID_DataQualities]],table_DataQualities[],9,FALSE)</f>
        <v>4</v>
      </c>
    </row>
    <row r="482" spans="1:13" x14ac:dyDescent="0.45">
      <c r="A482" s="10">
        <v>128</v>
      </c>
      <c r="B482" s="10">
        <v>230</v>
      </c>
      <c r="C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2" s="10"/>
      <c r="E482" s="10"/>
      <c r="F482" s="12">
        <f ca="1">(RANDBETWEEN(0,50)/100)*(dict_DQ_Meth_max[[#This Row],[Vergleich_ub]]-dict_DQ_Meth_max[[#This Row],[Vergleich_lb]])+dict_DQ_Meth_max[[#This Row],[Vergleich_lb]]</f>
        <v>282.49934000000002</v>
      </c>
      <c r="G482" s="12">
        <f ca="1">(RANDBETWEEN(50,100)/100)*(dict_DQ_Meth_max[[#This Row],[Vergleich_ub]]-dict_DQ_Meth_max[[#This Row],[Vergleich_lb]])+dict_DQ_Meth_max[[#This Row],[Vergleich_lb]]</f>
        <v>680.49191000000008</v>
      </c>
      <c r="H482" s="11" t="str">
        <f ca="1">VLOOKUP(VLOOKUP(dict_DQ_Meth_max[[#This Row],[ID_DataQualities]],table_DataQualities[],3),table_Units[],2)</f>
        <v>Hz</v>
      </c>
      <c r="I482" s="10"/>
      <c r="J482" s="10"/>
      <c r="K482" s="10"/>
      <c r="L482" s="10">
        <f ca="1">VLOOKUP(dict_DQ_Meth_max[[#This Row],[ID_DataQualities]],table_DataQualities[],8,FALSE)</f>
        <v>5.2999999999999999E-2</v>
      </c>
      <c r="M482" s="10">
        <f ca="1">VLOOKUP(dict_DQ_Meth_max[[#This Row],[ID_DataQualities]],table_DataQualities[],9,FALSE)</f>
        <v>1283.9000000000001</v>
      </c>
    </row>
    <row r="483" spans="1:13" x14ac:dyDescent="0.45">
      <c r="A483" s="10">
        <v>128</v>
      </c>
      <c r="B483" s="10">
        <v>499</v>
      </c>
      <c r="C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3" s="10"/>
      <c r="E483" s="10"/>
      <c r="F483" s="12">
        <f ca="1">(RANDBETWEEN(0,50)/100)*(dict_DQ_Meth_max[[#This Row],[Vergleich_ub]]-dict_DQ_Meth_max[[#This Row],[Vergleich_lb]])+dict_DQ_Meth_max[[#This Row],[Vergleich_lb]]</f>
        <v>64.245350000000002</v>
      </c>
      <c r="G483" s="12">
        <f ca="1">(RANDBETWEEN(50,100)/100)*(dict_DQ_Meth_max[[#This Row],[Vergleich_ub]]-dict_DQ_Meth_max[[#This Row],[Vergleich_lb]])+dict_DQ_Meth_max[[#This Row],[Vergleich_lb]]</f>
        <v>1206.8691799999999</v>
      </c>
      <c r="H483" s="11" t="str">
        <f ca="1">VLOOKUP(VLOOKUP(dict_DQ_Meth_max[[#This Row],[ID_DataQualities]],table_DataQualities[],3),table_Units[],2)</f>
        <v>Hz</v>
      </c>
      <c r="I483" s="10"/>
      <c r="J483" s="10"/>
      <c r="K483" s="10"/>
      <c r="L483" s="10">
        <f ca="1">VLOOKUP(dict_DQ_Meth_max[[#This Row],[ID_DataQualities]],table_DataQualities[],8,FALSE)</f>
        <v>5.2999999999999999E-2</v>
      </c>
      <c r="M483" s="10">
        <f ca="1">VLOOKUP(dict_DQ_Meth_max[[#This Row],[ID_DataQualities]],table_DataQualities[],9,FALSE)</f>
        <v>1283.9000000000001</v>
      </c>
    </row>
    <row r="484" spans="1:13" x14ac:dyDescent="0.45">
      <c r="A484" s="10">
        <v>128</v>
      </c>
      <c r="B484" s="10">
        <v>338</v>
      </c>
      <c r="C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4" s="10"/>
      <c r="E484" s="10"/>
      <c r="F484" s="12">
        <f ca="1">(RANDBETWEEN(0,50)/100)*(dict_DQ_Meth_max[[#This Row],[Vergleich_ub]]-dict_DQ_Meth_max[[#This Row],[Vergleich_lb]])+dict_DQ_Meth_max[[#This Row],[Vergleich_lb]]</f>
        <v>487.91485999999998</v>
      </c>
      <c r="G484" s="12">
        <f ca="1">(RANDBETWEEN(50,100)/100)*(dict_DQ_Meth_max[[#This Row],[Vergleich_ub]]-dict_DQ_Meth_max[[#This Row],[Vergleich_lb]])+dict_DQ_Meth_max[[#This Row],[Vergleich_lb]]</f>
        <v>1142.6768300000001</v>
      </c>
      <c r="H484" s="11" t="str">
        <f ca="1">VLOOKUP(VLOOKUP(dict_DQ_Meth_max[[#This Row],[ID_DataQualities]],table_DataQualities[],3),table_Units[],2)</f>
        <v>Hz</v>
      </c>
      <c r="I484" s="10"/>
      <c r="J484" s="10"/>
      <c r="K484" s="10"/>
      <c r="L484" s="10">
        <f ca="1">VLOOKUP(dict_DQ_Meth_max[[#This Row],[ID_DataQualities]],table_DataQualities[],8,FALSE)</f>
        <v>5.2999999999999999E-2</v>
      </c>
      <c r="M484" s="10">
        <f ca="1">VLOOKUP(dict_DQ_Meth_max[[#This Row],[ID_DataQualities]],table_DataQualities[],9,FALSE)</f>
        <v>1283.9000000000001</v>
      </c>
    </row>
    <row r="485" spans="1:13" x14ac:dyDescent="0.45">
      <c r="A485" s="10">
        <v>128</v>
      </c>
      <c r="B485" s="10">
        <v>474</v>
      </c>
      <c r="C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5" s="10"/>
      <c r="E485" s="10"/>
      <c r="F485" s="12">
        <f ca="1">(RANDBETWEEN(0,50)/100)*(dict_DQ_Meth_max[[#This Row],[Vergleich_ub]]-dict_DQ_Meth_max[[#This Row],[Vergleich_lb]])+dict_DQ_Meth_max[[#This Row],[Vergleich_lb]]</f>
        <v>192.63004999999998</v>
      </c>
      <c r="G485" s="12">
        <f ca="1">(RANDBETWEEN(50,100)/100)*(dict_DQ_Meth_max[[#This Row],[Vergleich_ub]]-dict_DQ_Meth_max[[#This Row],[Vergleich_lb]])+dict_DQ_Meth_max[[#This Row],[Vergleich_lb]]</f>
        <v>693.33037999999999</v>
      </c>
      <c r="H485" s="11" t="str">
        <f ca="1">VLOOKUP(VLOOKUP(dict_DQ_Meth_max[[#This Row],[ID_DataQualities]],table_DataQualities[],3),table_Units[],2)</f>
        <v>Hz</v>
      </c>
      <c r="I485" s="10"/>
      <c r="J485" s="10"/>
      <c r="K485" s="10"/>
      <c r="L485" s="10">
        <f ca="1">VLOOKUP(dict_DQ_Meth_max[[#This Row],[ID_DataQualities]],table_DataQualities[],8,FALSE)</f>
        <v>5.2999999999999999E-2</v>
      </c>
      <c r="M485" s="10">
        <f ca="1">VLOOKUP(dict_DQ_Meth_max[[#This Row],[ID_DataQualities]],table_DataQualities[],9,FALSE)</f>
        <v>1283.9000000000001</v>
      </c>
    </row>
    <row r="486" spans="1:13" x14ac:dyDescent="0.45">
      <c r="A486" s="10">
        <v>129</v>
      </c>
      <c r="B486" s="10">
        <v>499</v>
      </c>
      <c r="C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6" s="10"/>
      <c r="E486" s="10"/>
      <c r="F486" s="12">
        <f ca="1">(RANDBETWEEN(0,50)/100)*(dict_DQ_Meth_max[[#This Row],[Vergleich_ub]]-dict_DQ_Meth_max[[#This Row],[Vergleich_lb]])+dict_DQ_Meth_max[[#This Row],[Vergleich_lb]]</f>
        <v>0.23238000000000003</v>
      </c>
      <c r="G486" s="12">
        <f ca="1">(RANDBETWEEN(50,100)/100)*(dict_DQ_Meth_max[[#This Row],[Vergleich_ub]]-dict_DQ_Meth_max[[#This Row],[Vergleich_lb]])+dict_DQ_Meth_max[[#This Row],[Vergleich_lb]]</f>
        <v>0.74119000000000002</v>
      </c>
      <c r="H486" s="11" t="str">
        <f ca="1">VLOOKUP(VLOOKUP(dict_DQ_Meth_max[[#This Row],[ID_DataQualities]],table_DataQualities[],3),table_Units[],2)</f>
        <v>+/- mm</v>
      </c>
      <c r="I486" s="10"/>
      <c r="J486" s="10"/>
      <c r="K486" s="10"/>
      <c r="L486" s="10">
        <f ca="1">VLOOKUP(dict_DQ_Meth_max[[#This Row],[ID_DataQualities]],table_DataQualities[],8,FALSE)</f>
        <v>8.9999999999999993E-3</v>
      </c>
      <c r="M486" s="10">
        <f ca="1">VLOOKUP(dict_DQ_Meth_max[[#This Row],[ID_DataQualities]],table_DataQualities[],9,FALSE)</f>
        <v>1.25</v>
      </c>
    </row>
    <row r="487" spans="1:13" x14ac:dyDescent="0.45">
      <c r="A487" s="10">
        <v>129</v>
      </c>
      <c r="B487" s="10">
        <v>338</v>
      </c>
      <c r="C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7" s="10"/>
      <c r="E487" s="10"/>
      <c r="F487" s="12">
        <f ca="1">(RANDBETWEEN(0,50)/100)*(dict_DQ_Meth_max[[#This Row],[Vergleich_ub]]-dict_DQ_Meth_max[[#This Row],[Vergleich_lb]])+dict_DQ_Meth_max[[#This Row],[Vergleich_lb]]</f>
        <v>0.56745000000000012</v>
      </c>
      <c r="G487" s="12">
        <f ca="1">(RANDBETWEEN(50,100)/100)*(dict_DQ_Meth_max[[#This Row],[Vergleich_ub]]-dict_DQ_Meth_max[[#This Row],[Vergleich_lb]])+dict_DQ_Meth_max[[#This Row],[Vergleich_lb]]</f>
        <v>1.15072</v>
      </c>
      <c r="H487" s="11" t="str">
        <f ca="1">VLOOKUP(VLOOKUP(dict_DQ_Meth_max[[#This Row],[ID_DataQualities]],table_DataQualities[],3),table_Units[],2)</f>
        <v>+/- mm</v>
      </c>
      <c r="I487" s="10"/>
      <c r="J487" s="10"/>
      <c r="K487" s="10"/>
      <c r="L487" s="10">
        <f ca="1">VLOOKUP(dict_DQ_Meth_max[[#This Row],[ID_DataQualities]],table_DataQualities[],8,FALSE)</f>
        <v>8.9999999999999993E-3</v>
      </c>
      <c r="M487" s="10">
        <f ca="1">VLOOKUP(dict_DQ_Meth_max[[#This Row],[ID_DataQualities]],table_DataQualities[],9,FALSE)</f>
        <v>1.25</v>
      </c>
    </row>
    <row r="488" spans="1:13" x14ac:dyDescent="0.45">
      <c r="A488" s="10">
        <v>129</v>
      </c>
      <c r="B488" s="10">
        <v>474</v>
      </c>
      <c r="C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8" s="10"/>
      <c r="E488" s="10"/>
      <c r="F488" s="12">
        <f ca="1">(RANDBETWEEN(0,50)/100)*(dict_DQ_Meth_max[[#This Row],[Vergleich_ub]]-dict_DQ_Meth_max[[#This Row],[Vergleich_lb]])+dict_DQ_Meth_max[[#This Row],[Vergleich_lb]]</f>
        <v>3.3820000000000003E-2</v>
      </c>
      <c r="G488" s="12">
        <f ca="1">(RANDBETWEEN(50,100)/100)*(dict_DQ_Meth_max[[#This Row],[Vergleich_ub]]-dict_DQ_Meth_max[[#This Row],[Vergleich_lb]])+dict_DQ_Meth_max[[#This Row],[Vergleich_lb]]</f>
        <v>1.1259000000000001</v>
      </c>
      <c r="H488" s="11" t="str">
        <f ca="1">VLOOKUP(VLOOKUP(dict_DQ_Meth_max[[#This Row],[ID_DataQualities]],table_DataQualities[],3),table_Units[],2)</f>
        <v>+/- mm</v>
      </c>
      <c r="I488" s="10"/>
      <c r="J488" s="10"/>
      <c r="K488" s="10"/>
      <c r="L488" s="10">
        <f ca="1">VLOOKUP(dict_DQ_Meth_max[[#This Row],[ID_DataQualities]],table_DataQualities[],8,FALSE)</f>
        <v>8.9999999999999993E-3</v>
      </c>
      <c r="M488" s="10">
        <f ca="1">VLOOKUP(dict_DQ_Meth_max[[#This Row],[ID_DataQualities]],table_DataQualities[],9,FALSE)</f>
        <v>1.25</v>
      </c>
    </row>
    <row r="489" spans="1:13" x14ac:dyDescent="0.45">
      <c r="A489" s="10">
        <v>129</v>
      </c>
      <c r="B489" s="10">
        <v>230</v>
      </c>
      <c r="C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89" s="10"/>
      <c r="E489" s="10"/>
      <c r="F489" s="12">
        <f ca="1">(RANDBETWEEN(0,50)/100)*(dict_DQ_Meth_max[[#This Row],[Vergleich_ub]]-dict_DQ_Meth_max[[#This Row],[Vergleich_lb]])+dict_DQ_Meth_max[[#This Row],[Vergleich_lb]]</f>
        <v>0.24479000000000004</v>
      </c>
      <c r="G489" s="12">
        <f ca="1">(RANDBETWEEN(50,100)/100)*(dict_DQ_Meth_max[[#This Row],[Vergleich_ub]]-dict_DQ_Meth_max[[#This Row],[Vergleich_lb]])+dict_DQ_Meth_max[[#This Row],[Vergleich_lb]]</f>
        <v>0.82806000000000013</v>
      </c>
      <c r="H489" s="11" t="str">
        <f ca="1">VLOOKUP(VLOOKUP(dict_DQ_Meth_max[[#This Row],[ID_DataQualities]],table_DataQualities[],3),table_Units[],2)</f>
        <v>+/- mm</v>
      </c>
      <c r="I489" s="10"/>
      <c r="J489" s="10"/>
      <c r="K489" s="10"/>
      <c r="L489" s="10">
        <f ca="1">VLOOKUP(dict_DQ_Meth_max[[#This Row],[ID_DataQualities]],table_DataQualities[],8,FALSE)</f>
        <v>8.9999999999999993E-3</v>
      </c>
      <c r="M489" s="10">
        <f ca="1">VLOOKUP(dict_DQ_Meth_max[[#This Row],[ID_DataQualities]],table_DataQualities[],9,FALSE)</f>
        <v>1.25</v>
      </c>
    </row>
    <row r="490" spans="1:13" x14ac:dyDescent="0.45">
      <c r="A490" s="10">
        <v>130</v>
      </c>
      <c r="B490" s="10">
        <v>126</v>
      </c>
      <c r="C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0" s="10"/>
      <c r="E490" s="10"/>
      <c r="F490" s="12">
        <f ca="1">(RANDBETWEEN(0,50)/100)*(dict_DQ_Meth_max[[#This Row],[Vergleich_ub]]-dict_DQ_Meth_max[[#This Row],[Vergleich_lb]])+dict_DQ_Meth_max[[#This Row],[Vergleich_lb]]</f>
        <v>288.64874000000003</v>
      </c>
      <c r="G490" s="12">
        <f ca="1">(RANDBETWEEN(50,100)/100)*(dict_DQ_Meth_max[[#This Row],[Vergleich_ub]]-dict_DQ_Meth_max[[#This Row],[Vergleich_lb]])+dict_DQ_Meth_max[[#This Row],[Vergleich_lb]]</f>
        <v>1120.0471</v>
      </c>
      <c r="H490" s="11" t="str">
        <f ca="1">VLOOKUP(VLOOKUP(dict_DQ_Meth_max[[#This Row],[ID_DataQualities]],table_DataQualities[],3),table_Units[],2)</f>
        <v>Hz</v>
      </c>
      <c r="I490" s="10"/>
      <c r="J490" s="10"/>
      <c r="K490" s="10"/>
      <c r="L490" s="10">
        <f ca="1">VLOOKUP(dict_DQ_Meth_max[[#This Row],[ID_DataQualities]],table_DataQualities[],8,FALSE)</f>
        <v>0.85699999999999998</v>
      </c>
      <c r="M490" s="10">
        <f ca="1">VLOOKUP(dict_DQ_Meth_max[[#This Row],[ID_DataQualities]],table_DataQualities[],9,FALSE)</f>
        <v>1599.7</v>
      </c>
    </row>
    <row r="491" spans="1:13" x14ac:dyDescent="0.45">
      <c r="A491" s="10">
        <v>131</v>
      </c>
      <c r="B491" s="10">
        <v>126</v>
      </c>
      <c r="C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1" s="10"/>
      <c r="E491" s="10"/>
      <c r="F491" s="12">
        <f ca="1">(RANDBETWEEN(0,50)/100)*(dict_DQ_Meth_max[[#This Row],[Vergleich_ub]]-dict_DQ_Meth_max[[#This Row],[Vergleich_lb]])+dict_DQ_Meth_max[[#This Row],[Vergleich_lb]]</f>
        <v>0.27735399999999999</v>
      </c>
      <c r="G491" s="12">
        <f ca="1">(RANDBETWEEN(50,100)/100)*(dict_DQ_Meth_max[[#This Row],[Vergleich_ub]]-dict_DQ_Meth_max[[#This Row],[Vergleich_lb]])+dict_DQ_Meth_max[[#This Row],[Vergleich_lb]]</f>
        <v>0.72278799999999999</v>
      </c>
      <c r="H491" s="11" t="str">
        <f ca="1">VLOOKUP(VLOOKUP(dict_DQ_Meth_max[[#This Row],[ID_DataQualities]],table_DataQualities[],3),table_Units[],2)</f>
        <v>+/- cm³/s</v>
      </c>
      <c r="I491" s="10"/>
      <c r="J491" s="10"/>
      <c r="K491" s="10"/>
      <c r="L491" s="10">
        <f ca="1">VLOOKUP(dict_DQ_Meth_max[[#This Row],[ID_DataQualities]],table_DataQualities[],8,FALSE)</f>
        <v>6.6E-3</v>
      </c>
      <c r="M491" s="10">
        <f ca="1">VLOOKUP(dict_DQ_Meth_max[[#This Row],[ID_DataQualities]],table_DataQualities[],9,FALSE)</f>
        <v>0.88</v>
      </c>
    </row>
    <row r="492" spans="1:13" x14ac:dyDescent="0.45">
      <c r="A492" s="10">
        <v>132</v>
      </c>
      <c r="B492" s="10">
        <v>659</v>
      </c>
      <c r="C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2" s="10"/>
      <c r="E492" s="10"/>
      <c r="F492" s="12">
        <f ca="1">(RANDBETWEEN(0,50)/100)*(dict_DQ_Meth_max[[#This Row],[Vergleich_ub]]-dict_DQ_Meth_max[[#This Row],[Vergleich_lb]])+dict_DQ_Meth_max[[#This Row],[Vergleich_lb]]</f>
        <v>195.76098000000002</v>
      </c>
      <c r="G492" s="12">
        <f ca="1">(RANDBETWEEN(50,100)/100)*(dict_DQ_Meth_max[[#This Row],[Vergleich_ub]]-dict_DQ_Meth_max[[#This Row],[Vergleich_lb]])+dict_DQ_Meth_max[[#This Row],[Vergleich_lb]]</f>
        <v>320.48117999999999</v>
      </c>
      <c r="H492" s="11" t="str">
        <f ca="1">VLOOKUP(VLOOKUP(dict_DQ_Meth_max[[#This Row],[ID_DataQualities]],table_DataQualities[],3),table_Units[],2)</f>
        <v>Hz</v>
      </c>
      <c r="I492" s="10"/>
      <c r="J492" s="10"/>
      <c r="K492" s="10"/>
      <c r="L492" s="10">
        <f ca="1">VLOOKUP(dict_DQ_Meth_max[[#This Row],[ID_DataQualities]],table_DataQualities[],8,FALSE)</f>
        <v>0.36599999999999999</v>
      </c>
      <c r="M492" s="10">
        <f ca="1">VLOOKUP(dict_DQ_Meth_max[[#This Row],[ID_DataQualities]],table_DataQualities[],9,FALSE)</f>
        <v>416.1</v>
      </c>
    </row>
    <row r="493" spans="1:13" x14ac:dyDescent="0.45">
      <c r="A493" s="10">
        <v>132</v>
      </c>
      <c r="B493" s="10">
        <v>608</v>
      </c>
      <c r="C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3" s="10"/>
      <c r="E493" s="10"/>
      <c r="F493" s="12">
        <f ca="1">(RANDBETWEEN(0,50)/100)*(dict_DQ_Meth_max[[#This Row],[Vergleich_ub]]-dict_DQ_Meth_max[[#This Row],[Vergleich_lb]])+dict_DQ_Meth_max[[#This Row],[Vergleich_lb]]</f>
        <v>112.61418000000002</v>
      </c>
      <c r="G493" s="12">
        <f ca="1">(RANDBETWEEN(50,100)/100)*(dict_DQ_Meth_max[[#This Row],[Vergleich_ub]]-dict_DQ_Meth_max[[#This Row],[Vergleich_lb]])+dict_DQ_Meth_max[[#This Row],[Vergleich_lb]]</f>
        <v>324.63852000000003</v>
      </c>
      <c r="H493" s="11" t="str">
        <f ca="1">VLOOKUP(VLOOKUP(dict_DQ_Meth_max[[#This Row],[ID_DataQualities]],table_DataQualities[],3),table_Units[],2)</f>
        <v>Hz</v>
      </c>
      <c r="I493" s="10"/>
      <c r="J493" s="10"/>
      <c r="K493" s="10"/>
      <c r="L493" s="10">
        <f ca="1">VLOOKUP(dict_DQ_Meth_max[[#This Row],[ID_DataQualities]],table_DataQualities[],8,FALSE)</f>
        <v>0.36599999999999999</v>
      </c>
      <c r="M493" s="10">
        <f ca="1">VLOOKUP(dict_DQ_Meth_max[[#This Row],[ID_DataQualities]],table_DataQualities[],9,FALSE)</f>
        <v>416.1</v>
      </c>
    </row>
    <row r="494" spans="1:13" x14ac:dyDescent="0.45">
      <c r="A494" s="10">
        <v>132</v>
      </c>
      <c r="B494" s="10">
        <v>688</v>
      </c>
      <c r="C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4" s="10"/>
      <c r="E494" s="10"/>
      <c r="F494" s="12">
        <f ca="1">(RANDBETWEEN(0,50)/100)*(dict_DQ_Meth_max[[#This Row],[Vergleich_ub]]-dict_DQ_Meth_max[[#This Row],[Vergleich_lb]])+dict_DQ_Meth_max[[#This Row],[Vergleich_lb]]</f>
        <v>62.726100000000002</v>
      </c>
      <c r="G494" s="12">
        <f ca="1">(RANDBETWEEN(50,100)/100)*(dict_DQ_Meth_max[[#This Row],[Vergleich_ub]]-dict_DQ_Meth_max[[#This Row],[Vergleich_lb]])+dict_DQ_Meth_max[[#This Row],[Vergleich_lb]]</f>
        <v>249.80640000000002</v>
      </c>
      <c r="H494" s="11" t="str">
        <f ca="1">VLOOKUP(VLOOKUP(dict_DQ_Meth_max[[#This Row],[ID_DataQualities]],table_DataQualities[],3),table_Units[],2)</f>
        <v>Hz</v>
      </c>
      <c r="I494" s="10"/>
      <c r="J494" s="10"/>
      <c r="K494" s="10"/>
      <c r="L494" s="10">
        <f ca="1">VLOOKUP(dict_DQ_Meth_max[[#This Row],[ID_DataQualities]],table_DataQualities[],8,FALSE)</f>
        <v>0.36599999999999999</v>
      </c>
      <c r="M494" s="10">
        <f ca="1">VLOOKUP(dict_DQ_Meth_max[[#This Row],[ID_DataQualities]],table_DataQualities[],9,FALSE)</f>
        <v>416.1</v>
      </c>
    </row>
    <row r="495" spans="1:13" x14ac:dyDescent="0.45">
      <c r="A495" s="10">
        <v>132</v>
      </c>
      <c r="B495" s="10">
        <v>256</v>
      </c>
      <c r="C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5" s="10"/>
      <c r="E495" s="10"/>
      <c r="F495" s="12">
        <f ca="1">(RANDBETWEEN(0,50)/100)*(dict_DQ_Meth_max[[#This Row],[Vergleich_ub]]-dict_DQ_Meth_max[[#This Row],[Vergleich_lb]])+dict_DQ_Meth_max[[#This Row],[Vergleich_lb]]</f>
        <v>112.61418000000002</v>
      </c>
      <c r="G495" s="12">
        <f ca="1">(RANDBETWEEN(50,100)/100)*(dict_DQ_Meth_max[[#This Row],[Vergleich_ub]]-dict_DQ_Meth_max[[#This Row],[Vergleich_lb]])+dict_DQ_Meth_max[[#This Row],[Vergleich_lb]]</f>
        <v>295.53714000000002</v>
      </c>
      <c r="H495" s="11" t="str">
        <f ca="1">VLOOKUP(VLOOKUP(dict_DQ_Meth_max[[#This Row],[ID_DataQualities]],table_DataQualities[],3),table_Units[],2)</f>
        <v>Hz</v>
      </c>
      <c r="I495" s="10"/>
      <c r="J495" s="10"/>
      <c r="K495" s="10"/>
      <c r="L495" s="10">
        <f ca="1">VLOOKUP(dict_DQ_Meth_max[[#This Row],[ID_DataQualities]],table_DataQualities[],8,FALSE)</f>
        <v>0.36599999999999999</v>
      </c>
      <c r="M495" s="10">
        <f ca="1">VLOOKUP(dict_DQ_Meth_max[[#This Row],[ID_DataQualities]],table_DataQualities[],9,FALSE)</f>
        <v>416.1</v>
      </c>
    </row>
    <row r="496" spans="1:13" x14ac:dyDescent="0.45">
      <c r="A496" s="10">
        <v>132</v>
      </c>
      <c r="B496" s="10">
        <v>39</v>
      </c>
      <c r="C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6" s="10"/>
      <c r="E496" s="10"/>
      <c r="F496" s="12">
        <f ca="1">(RANDBETWEEN(0,50)/100)*(dict_DQ_Meth_max[[#This Row],[Vergleich_ub]]-dict_DQ_Meth_max[[#This Row],[Vergleich_lb]])+dict_DQ_Meth_max[[#This Row],[Vergleich_lb]]</f>
        <v>79.355460000000008</v>
      </c>
      <c r="G496" s="12">
        <f ca="1">(RANDBETWEEN(50,100)/100)*(dict_DQ_Meth_max[[#This Row],[Vergleich_ub]]-dict_DQ_Meth_max[[#This Row],[Vergleich_lb]])+dict_DQ_Meth_max[[#This Row],[Vergleich_lb]]</f>
        <v>366.21192000000002</v>
      </c>
      <c r="H496" s="11" t="str">
        <f ca="1">VLOOKUP(VLOOKUP(dict_DQ_Meth_max[[#This Row],[ID_DataQualities]],table_DataQualities[],3),table_Units[],2)</f>
        <v>Hz</v>
      </c>
      <c r="I496" s="10"/>
      <c r="J496" s="10"/>
      <c r="K496" s="10"/>
      <c r="L496" s="10">
        <f ca="1">VLOOKUP(dict_DQ_Meth_max[[#This Row],[ID_DataQualities]],table_DataQualities[],8,FALSE)</f>
        <v>0.36599999999999999</v>
      </c>
      <c r="M496" s="10">
        <f ca="1">VLOOKUP(dict_DQ_Meth_max[[#This Row],[ID_DataQualities]],table_DataQualities[],9,FALSE)</f>
        <v>416.1</v>
      </c>
    </row>
    <row r="497" spans="1:13" x14ac:dyDescent="0.45">
      <c r="A497" s="10">
        <v>133</v>
      </c>
      <c r="B497" s="10">
        <v>608</v>
      </c>
      <c r="C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7" s="10"/>
      <c r="E497" s="10"/>
      <c r="F497" s="12">
        <f ca="1">(RANDBETWEEN(0,50)/100)*(dict_DQ_Meth_max[[#This Row],[Vergleich_ub]]-dict_DQ_Meth_max[[#This Row],[Vergleich_lb]])+dict_DQ_Meth_max[[#This Row],[Vergleich_lb]]</f>
        <v>2.2288000000000001</v>
      </c>
      <c r="G497" s="12">
        <f ca="1">(RANDBETWEEN(50,100)/100)*(dict_DQ_Meth_max[[#This Row],[Vergleich_ub]]-dict_DQ_Meth_max[[#This Row],[Vergleich_lb]])+dict_DQ_Meth_max[[#This Row],[Vergleich_lb]]</f>
        <v>3.9356000000000004</v>
      </c>
      <c r="H497" s="11" t="str">
        <f ca="1">VLOOKUP(VLOOKUP(dict_DQ_Meth_max[[#This Row],[ID_DataQualities]],table_DataQualities[],3),table_Units[],2)</f>
        <v>+/- W</v>
      </c>
      <c r="I497" s="10"/>
      <c r="J497" s="10"/>
      <c r="K497" s="10"/>
      <c r="L497" s="10">
        <f ca="1">VLOOKUP(dict_DQ_Meth_max[[#This Row],[ID_DataQualities]],table_DataQualities[],8,FALSE)</f>
        <v>0.02</v>
      </c>
      <c r="M497" s="10">
        <f ca="1">VLOOKUP(dict_DQ_Meth_max[[#This Row],[ID_DataQualities]],table_DataQualities[],9,FALSE)</f>
        <v>5.04</v>
      </c>
    </row>
    <row r="498" spans="1:13" x14ac:dyDescent="0.45">
      <c r="A498" s="10">
        <v>133</v>
      </c>
      <c r="B498" s="10">
        <v>256</v>
      </c>
      <c r="C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8" s="10"/>
      <c r="E498" s="10"/>
      <c r="F498" s="12">
        <f ca="1">(RANDBETWEEN(0,50)/100)*(dict_DQ_Meth_max[[#This Row],[Vergleich_ub]]-dict_DQ_Meth_max[[#This Row],[Vergleich_lb]])+dict_DQ_Meth_max[[#This Row],[Vergleich_lb]]</f>
        <v>1.1244000000000001</v>
      </c>
      <c r="G498" s="12">
        <f ca="1">(RANDBETWEEN(50,100)/100)*(dict_DQ_Meth_max[[#This Row],[Vergleich_ub]]-dict_DQ_Meth_max[[#This Row],[Vergleich_lb]])+dict_DQ_Meth_max[[#This Row],[Vergleich_lb]]</f>
        <v>3.6846000000000001</v>
      </c>
      <c r="H498" s="11" t="str">
        <f ca="1">VLOOKUP(VLOOKUP(dict_DQ_Meth_max[[#This Row],[ID_DataQualities]],table_DataQualities[],3),table_Units[],2)</f>
        <v>+/- W</v>
      </c>
      <c r="I498" s="10"/>
      <c r="J498" s="10"/>
      <c r="K498" s="10"/>
      <c r="L498" s="10">
        <f ca="1">VLOOKUP(dict_DQ_Meth_max[[#This Row],[ID_DataQualities]],table_DataQualities[],8,FALSE)</f>
        <v>0.02</v>
      </c>
      <c r="M498" s="10">
        <f ca="1">VLOOKUP(dict_DQ_Meth_max[[#This Row],[ID_DataQualities]],table_DataQualities[],9,FALSE)</f>
        <v>5.04</v>
      </c>
    </row>
    <row r="499" spans="1:13" x14ac:dyDescent="0.45">
      <c r="A499" s="10">
        <v>133</v>
      </c>
      <c r="B499" s="10">
        <v>688</v>
      </c>
      <c r="C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499" s="10"/>
      <c r="E499" s="10"/>
      <c r="F499" s="12">
        <f ca="1">(RANDBETWEEN(0,50)/100)*(dict_DQ_Meth_max[[#This Row],[Vergleich_ub]]-dict_DQ_Meth_max[[#This Row],[Vergleich_lb]])+dict_DQ_Meth_max[[#This Row],[Vergleich_lb]]</f>
        <v>0.92360000000000009</v>
      </c>
      <c r="G499" s="12">
        <f ca="1">(RANDBETWEEN(50,100)/100)*(dict_DQ_Meth_max[[#This Row],[Vergleich_ub]]-dict_DQ_Meth_max[[#This Row],[Vergleich_lb]])+dict_DQ_Meth_max[[#This Row],[Vergleich_lb]]</f>
        <v>4.5882000000000005</v>
      </c>
      <c r="H499" s="11" t="str">
        <f ca="1">VLOOKUP(VLOOKUP(dict_DQ_Meth_max[[#This Row],[ID_DataQualities]],table_DataQualities[],3),table_Units[],2)</f>
        <v>+/- W</v>
      </c>
      <c r="I499" s="10"/>
      <c r="J499" s="10"/>
      <c r="K499" s="10"/>
      <c r="L499" s="10">
        <f ca="1">VLOOKUP(dict_DQ_Meth_max[[#This Row],[ID_DataQualities]],table_DataQualities[],8,FALSE)</f>
        <v>0.02</v>
      </c>
      <c r="M499" s="10">
        <f ca="1">VLOOKUP(dict_DQ_Meth_max[[#This Row],[ID_DataQualities]],table_DataQualities[],9,FALSE)</f>
        <v>5.04</v>
      </c>
    </row>
    <row r="500" spans="1:13" x14ac:dyDescent="0.45">
      <c r="A500" s="10">
        <v>133</v>
      </c>
      <c r="B500" s="10">
        <v>659</v>
      </c>
      <c r="C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0" s="10"/>
      <c r="E500" s="10"/>
      <c r="F500" s="12">
        <f ca="1">(RANDBETWEEN(0,50)/100)*(dict_DQ_Meth_max[[#This Row],[Vergleich_ub]]-dict_DQ_Meth_max[[#This Row],[Vergleich_lb]])+dict_DQ_Meth_max[[#This Row],[Vergleich_lb]]</f>
        <v>7.0200000000000012E-2</v>
      </c>
      <c r="G500" s="12">
        <f ca="1">(RANDBETWEEN(50,100)/100)*(dict_DQ_Meth_max[[#This Row],[Vergleich_ub]]-dict_DQ_Meth_max[[#This Row],[Vergleich_lb]])+dict_DQ_Meth_max[[#This Row],[Vergleich_lb]]</f>
        <v>3.7348000000000003</v>
      </c>
      <c r="H500" s="11" t="str">
        <f ca="1">VLOOKUP(VLOOKUP(dict_DQ_Meth_max[[#This Row],[ID_DataQualities]],table_DataQualities[],3),table_Units[],2)</f>
        <v>+/- W</v>
      </c>
      <c r="I500" s="10"/>
      <c r="J500" s="10"/>
      <c r="K500" s="10"/>
      <c r="L500" s="10">
        <f ca="1">VLOOKUP(dict_DQ_Meth_max[[#This Row],[ID_DataQualities]],table_DataQualities[],8,FALSE)</f>
        <v>0.02</v>
      </c>
      <c r="M500" s="10">
        <f ca="1">VLOOKUP(dict_DQ_Meth_max[[#This Row],[ID_DataQualities]],table_DataQualities[],9,FALSE)</f>
        <v>5.04</v>
      </c>
    </row>
    <row r="501" spans="1:13" x14ac:dyDescent="0.45">
      <c r="A501" s="10">
        <v>133</v>
      </c>
      <c r="B501" s="10">
        <v>39</v>
      </c>
      <c r="C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1" s="10"/>
      <c r="E501" s="10"/>
      <c r="F501" s="12">
        <f ca="1">(RANDBETWEEN(0,50)/100)*(dict_DQ_Meth_max[[#This Row],[Vergleich_ub]]-dict_DQ_Meth_max[[#This Row],[Vergleich_lb]])+dict_DQ_Meth_max[[#This Row],[Vergleich_lb]]</f>
        <v>1.8774000000000002</v>
      </c>
      <c r="G501" s="12">
        <f ca="1">(RANDBETWEEN(50,100)/100)*(dict_DQ_Meth_max[[#This Row],[Vergleich_ub]]-dict_DQ_Meth_max[[#This Row],[Vergleich_lb]])+dict_DQ_Meth_max[[#This Row],[Vergleich_lb]]</f>
        <v>3.9858000000000007</v>
      </c>
      <c r="H501" s="11" t="str">
        <f ca="1">VLOOKUP(VLOOKUP(dict_DQ_Meth_max[[#This Row],[ID_DataQualities]],table_DataQualities[],3),table_Units[],2)</f>
        <v>+/- W</v>
      </c>
      <c r="I501" s="10"/>
      <c r="J501" s="10"/>
      <c r="K501" s="10"/>
      <c r="L501" s="10">
        <f ca="1">VLOOKUP(dict_DQ_Meth_max[[#This Row],[ID_DataQualities]],table_DataQualities[],8,FALSE)</f>
        <v>0.02</v>
      </c>
      <c r="M501" s="10">
        <f ca="1">VLOOKUP(dict_DQ_Meth_max[[#This Row],[ID_DataQualities]],table_DataQualities[],9,FALSE)</f>
        <v>5.04</v>
      </c>
    </row>
    <row r="502" spans="1:13" x14ac:dyDescent="0.45">
      <c r="A502" s="10">
        <v>134</v>
      </c>
      <c r="B502" s="10">
        <v>421</v>
      </c>
      <c r="C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2" s="10"/>
      <c r="E502" s="10"/>
      <c r="F502" s="12">
        <f ca="1">(RANDBETWEEN(0,50)/100)*(dict_DQ_Meth_max[[#This Row],[Vergleich_ub]]-dict_DQ_Meth_max[[#This Row],[Vergleich_lb]])+dict_DQ_Meth_max[[#This Row],[Vergleich_lb]]</f>
        <v>287.74848000000003</v>
      </c>
      <c r="G502" s="12">
        <f ca="1">(RANDBETWEEN(50,100)/100)*(dict_DQ_Meth_max[[#This Row],[Vergleich_ub]]-dict_DQ_Meth_max[[#This Row],[Vergleich_lb]])+dict_DQ_Meth_max[[#This Row],[Vergleich_lb]]</f>
        <v>4307.9952000000003</v>
      </c>
      <c r="H502" s="11" t="str">
        <f ca="1">VLOOKUP(VLOOKUP(dict_DQ_Meth_max[[#This Row],[ID_DataQualities]],table_DataQualities[],3),table_Units[],2)</f>
        <v>Hz</v>
      </c>
      <c r="I502" s="10"/>
      <c r="J502" s="10"/>
      <c r="K502" s="10"/>
      <c r="L502" s="10">
        <f ca="1">VLOOKUP(dict_DQ_Meth_max[[#This Row],[ID_DataQualities]],table_DataQualities[],8,FALSE)</f>
        <v>0.58799999999999997</v>
      </c>
      <c r="M502" s="10">
        <f ca="1">VLOOKUP(dict_DQ_Meth_max[[#This Row],[ID_DataQualities]],table_DataQualities[],9,FALSE)</f>
        <v>7179.6</v>
      </c>
    </row>
    <row r="503" spans="1:13" x14ac:dyDescent="0.45">
      <c r="A503" s="10">
        <v>134</v>
      </c>
      <c r="B503" s="10">
        <v>14</v>
      </c>
      <c r="C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3" s="10"/>
      <c r="E503" s="10"/>
      <c r="F503" s="12">
        <f ca="1">(RANDBETWEEN(0,50)/100)*(dict_DQ_Meth_max[[#This Row],[Vergleich_ub]]-dict_DQ_Meth_max[[#This Row],[Vergleich_lb]])+dict_DQ_Meth_max[[#This Row],[Vergleich_lb]]</f>
        <v>287.74848000000003</v>
      </c>
      <c r="G503" s="12">
        <f ca="1">(RANDBETWEEN(50,100)/100)*(dict_DQ_Meth_max[[#This Row],[Vergleich_ub]]-dict_DQ_Meth_max[[#This Row],[Vergleich_lb]])+dict_DQ_Meth_max[[#This Row],[Vergleich_lb]]</f>
        <v>3590.0940000000005</v>
      </c>
      <c r="H503" s="11" t="str">
        <f ca="1">VLOOKUP(VLOOKUP(dict_DQ_Meth_max[[#This Row],[ID_DataQualities]],table_DataQualities[],3),table_Units[],2)</f>
        <v>Hz</v>
      </c>
      <c r="I503" s="10"/>
      <c r="J503" s="10"/>
      <c r="K503" s="10"/>
      <c r="L503" s="10">
        <f ca="1">VLOOKUP(dict_DQ_Meth_max[[#This Row],[ID_DataQualities]],table_DataQualities[],8,FALSE)</f>
        <v>0.58799999999999997</v>
      </c>
      <c r="M503" s="10">
        <f ca="1">VLOOKUP(dict_DQ_Meth_max[[#This Row],[ID_DataQualities]],table_DataQualities[],9,FALSE)</f>
        <v>7179.6</v>
      </c>
    </row>
    <row r="504" spans="1:13" x14ac:dyDescent="0.45">
      <c r="A504" s="10">
        <v>134</v>
      </c>
      <c r="B504" s="10">
        <v>249</v>
      </c>
      <c r="C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4" s="10"/>
      <c r="E504" s="10"/>
      <c r="F504" s="12">
        <f ca="1">(RANDBETWEEN(0,50)/100)*(dict_DQ_Meth_max[[#This Row],[Vergleich_ub]]-dict_DQ_Meth_max[[#This Row],[Vergleich_lb]])+dict_DQ_Meth_max[[#This Row],[Vergleich_lb]]</f>
        <v>862.06943999999999</v>
      </c>
      <c r="G504" s="12">
        <f ca="1">(RANDBETWEEN(50,100)/100)*(dict_DQ_Meth_max[[#This Row],[Vergleich_ub]]-dict_DQ_Meth_max[[#This Row],[Vergleich_lb]])+dict_DQ_Meth_max[[#This Row],[Vergleich_lb]]</f>
        <v>5384.8469999999998</v>
      </c>
      <c r="H504" s="11" t="str">
        <f ca="1">VLOOKUP(VLOOKUP(dict_DQ_Meth_max[[#This Row],[ID_DataQualities]],table_DataQualities[],3),table_Units[],2)</f>
        <v>Hz</v>
      </c>
      <c r="I504" s="10"/>
      <c r="J504" s="10"/>
      <c r="K504" s="10"/>
      <c r="L504" s="10">
        <f ca="1">VLOOKUP(dict_DQ_Meth_max[[#This Row],[ID_DataQualities]],table_DataQualities[],8,FALSE)</f>
        <v>0.58799999999999997</v>
      </c>
      <c r="M504" s="10">
        <f ca="1">VLOOKUP(dict_DQ_Meth_max[[#This Row],[ID_DataQualities]],table_DataQualities[],9,FALSE)</f>
        <v>7179.6</v>
      </c>
    </row>
    <row r="505" spans="1:13" x14ac:dyDescent="0.45">
      <c r="A505" s="10">
        <v>134</v>
      </c>
      <c r="B505" s="10">
        <v>482</v>
      </c>
      <c r="C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5" s="10"/>
      <c r="E505" s="10"/>
      <c r="F505" s="12">
        <f ca="1">(RANDBETWEEN(0,50)/100)*(dict_DQ_Meth_max[[#This Row],[Vergleich_ub]]-dict_DQ_Meth_max[[#This Row],[Vergleich_lb]])+dict_DQ_Meth_max[[#This Row],[Vergleich_lb]]</f>
        <v>2226.0817200000006</v>
      </c>
      <c r="G505" s="12">
        <f ca="1">(RANDBETWEEN(50,100)/100)*(dict_DQ_Meth_max[[#This Row],[Vergleich_ub]]-dict_DQ_Meth_max[[#This Row],[Vergleich_lb]])+dict_DQ_Meth_max[[#This Row],[Vergleich_lb]]</f>
        <v>6389.9086800000005</v>
      </c>
      <c r="H505" s="11" t="str">
        <f ca="1">VLOOKUP(VLOOKUP(dict_DQ_Meth_max[[#This Row],[ID_DataQualities]],table_DataQualities[],3),table_Units[],2)</f>
        <v>Hz</v>
      </c>
      <c r="I505" s="10"/>
      <c r="J505" s="10"/>
      <c r="K505" s="10"/>
      <c r="L505" s="10">
        <f ca="1">VLOOKUP(dict_DQ_Meth_max[[#This Row],[ID_DataQualities]],table_DataQualities[],8,FALSE)</f>
        <v>0.58799999999999997</v>
      </c>
      <c r="M505" s="10">
        <f ca="1">VLOOKUP(dict_DQ_Meth_max[[#This Row],[ID_DataQualities]],table_DataQualities[],9,FALSE)</f>
        <v>7179.6</v>
      </c>
    </row>
    <row r="506" spans="1:13" x14ac:dyDescent="0.45">
      <c r="A506" s="10">
        <v>134</v>
      </c>
      <c r="B506" s="10">
        <v>38</v>
      </c>
      <c r="C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6" s="10"/>
      <c r="E506" s="10"/>
      <c r="F506" s="12">
        <f ca="1">(RANDBETWEEN(0,50)/100)*(dict_DQ_Meth_max[[#This Row],[Vergleich_ub]]-dict_DQ_Meth_max[[#This Row],[Vergleich_lb]])+dict_DQ_Meth_max[[#This Row],[Vergleich_lb]]</f>
        <v>431.32872000000003</v>
      </c>
      <c r="G506" s="12">
        <f ca="1">(RANDBETWEEN(50,100)/100)*(dict_DQ_Meth_max[[#This Row],[Vergleich_ub]]-dict_DQ_Meth_max[[#This Row],[Vergleich_lb]])+dict_DQ_Meth_max[[#This Row],[Vergleich_lb]]</f>
        <v>3805.4643600000009</v>
      </c>
      <c r="H506" s="11" t="str">
        <f ca="1">VLOOKUP(VLOOKUP(dict_DQ_Meth_max[[#This Row],[ID_DataQualities]],table_DataQualities[],3),table_Units[],2)</f>
        <v>Hz</v>
      </c>
      <c r="I506" s="10"/>
      <c r="J506" s="10"/>
      <c r="K506" s="10"/>
      <c r="L506" s="10">
        <f ca="1">VLOOKUP(dict_DQ_Meth_max[[#This Row],[ID_DataQualities]],table_DataQualities[],8,FALSE)</f>
        <v>0.58799999999999997</v>
      </c>
      <c r="M506" s="10">
        <f ca="1">VLOOKUP(dict_DQ_Meth_max[[#This Row],[ID_DataQualities]],table_DataQualities[],9,FALSE)</f>
        <v>7179.6</v>
      </c>
    </row>
    <row r="507" spans="1:13" x14ac:dyDescent="0.45">
      <c r="A507" s="10">
        <v>135</v>
      </c>
      <c r="B507" s="10">
        <v>38</v>
      </c>
      <c r="C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7" s="10"/>
      <c r="E507" s="10"/>
      <c r="F507" s="12">
        <f ca="1">(RANDBETWEEN(0,50)/100)*(dict_DQ_Meth_max[[#This Row],[Vergleich_ub]]-dict_DQ_Meth_max[[#This Row],[Vergleich_lb]])+dict_DQ_Meth_max[[#This Row],[Vergleich_lb]]</f>
        <v>1.1168800000000001</v>
      </c>
      <c r="G507" s="12">
        <f ca="1">(RANDBETWEEN(50,100)/100)*(dict_DQ_Meth_max[[#This Row],[Vergleich_ub]]-dict_DQ_Meth_max[[#This Row],[Vergleich_lb]])+dict_DQ_Meth_max[[#This Row],[Vergleich_lb]]</f>
        <v>2.06616</v>
      </c>
      <c r="H507" s="11" t="str">
        <f ca="1">VLOOKUP(VLOOKUP(dict_DQ_Meth_max[[#This Row],[ID_DataQualities]],table_DataQualities[],3),table_Units[],2)</f>
        <v>+/- mm</v>
      </c>
      <c r="I507" s="10"/>
      <c r="J507" s="10"/>
      <c r="K507" s="10"/>
      <c r="L507" s="10">
        <f ca="1">VLOOKUP(dict_DQ_Meth_max[[#This Row],[ID_DataQualities]],table_DataQualities[],8,FALSE)</f>
        <v>2.8000000000000001E-2</v>
      </c>
      <c r="M507" s="10">
        <f ca="1">VLOOKUP(dict_DQ_Meth_max[[#This Row],[ID_DataQualities]],table_DataQualities[],9,FALSE)</f>
        <v>2.82</v>
      </c>
    </row>
    <row r="508" spans="1:13" x14ac:dyDescent="0.45">
      <c r="A508" s="10">
        <v>135</v>
      </c>
      <c r="B508" s="10">
        <v>421</v>
      </c>
      <c r="C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8" s="10"/>
      <c r="E508" s="10"/>
      <c r="F508" s="12">
        <f ca="1">(RANDBETWEEN(0,50)/100)*(dict_DQ_Meth_max[[#This Row],[Vergleich_ub]]-dict_DQ_Meth_max[[#This Row],[Vergleich_lb]])+dict_DQ_Meth_max[[#This Row],[Vergleich_lb]]</f>
        <v>1.0051999999999999</v>
      </c>
      <c r="G508" s="12">
        <f ca="1">(RANDBETWEEN(50,100)/100)*(dict_DQ_Meth_max[[#This Row],[Vergleich_ub]]-dict_DQ_Meth_max[[#This Row],[Vergleich_lb]])+dict_DQ_Meth_max[[#This Row],[Vergleich_lb]]</f>
        <v>2.1778399999999998</v>
      </c>
      <c r="H508" s="11" t="str">
        <f ca="1">VLOOKUP(VLOOKUP(dict_DQ_Meth_max[[#This Row],[ID_DataQualities]],table_DataQualities[],3),table_Units[],2)</f>
        <v>+/- mm</v>
      </c>
      <c r="I508" s="10"/>
      <c r="J508" s="10"/>
      <c r="K508" s="10"/>
      <c r="L508" s="10">
        <f ca="1">VLOOKUP(dict_DQ_Meth_max[[#This Row],[ID_DataQualities]],table_DataQualities[],8,FALSE)</f>
        <v>2.8000000000000001E-2</v>
      </c>
      <c r="M508" s="10">
        <f ca="1">VLOOKUP(dict_DQ_Meth_max[[#This Row],[ID_DataQualities]],table_DataQualities[],9,FALSE)</f>
        <v>2.82</v>
      </c>
    </row>
    <row r="509" spans="1:13" x14ac:dyDescent="0.45">
      <c r="A509" s="10">
        <v>135</v>
      </c>
      <c r="B509" s="10">
        <v>14</v>
      </c>
      <c r="C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09" s="10"/>
      <c r="E509" s="10"/>
      <c r="F509" s="12">
        <f ca="1">(RANDBETWEEN(0,50)/100)*(dict_DQ_Meth_max[[#This Row],[Vergleich_ub]]-dict_DQ_Meth_max[[#This Row],[Vergleich_lb]])+dict_DQ_Meth_max[[#This Row],[Vergleich_lb]]</f>
        <v>0.41888000000000003</v>
      </c>
      <c r="G509" s="12">
        <f ca="1">(RANDBETWEEN(50,100)/100)*(dict_DQ_Meth_max[[#This Row],[Vergleich_ub]]-dict_DQ_Meth_max[[#This Row],[Vergleich_lb]])+dict_DQ_Meth_max[[#This Row],[Vergleich_lb]]</f>
        <v>1.6194399999999998</v>
      </c>
      <c r="H509" s="11" t="str">
        <f ca="1">VLOOKUP(VLOOKUP(dict_DQ_Meth_max[[#This Row],[ID_DataQualities]],table_DataQualities[],3),table_Units[],2)</f>
        <v>+/- mm</v>
      </c>
      <c r="I509" s="10"/>
      <c r="J509" s="10"/>
      <c r="K509" s="10"/>
      <c r="L509" s="10">
        <f ca="1">VLOOKUP(dict_DQ_Meth_max[[#This Row],[ID_DataQualities]],table_DataQualities[],8,FALSE)</f>
        <v>2.8000000000000001E-2</v>
      </c>
      <c r="M509" s="10">
        <f ca="1">VLOOKUP(dict_DQ_Meth_max[[#This Row],[ID_DataQualities]],table_DataQualities[],9,FALSE)</f>
        <v>2.82</v>
      </c>
    </row>
    <row r="510" spans="1:13" x14ac:dyDescent="0.45">
      <c r="A510" s="10">
        <v>135</v>
      </c>
      <c r="B510" s="10">
        <v>249</v>
      </c>
      <c r="C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0" s="10"/>
      <c r="E510" s="10"/>
      <c r="F510" s="12">
        <f ca="1">(RANDBETWEEN(0,50)/100)*(dict_DQ_Meth_max[[#This Row],[Vergleich_ub]]-dict_DQ_Meth_max[[#This Row],[Vergleich_lb]])+dict_DQ_Meth_max[[#This Row],[Vergleich_lb]]</f>
        <v>1.3123199999999999</v>
      </c>
      <c r="G510" s="12">
        <f ca="1">(RANDBETWEEN(50,100)/100)*(dict_DQ_Meth_max[[#This Row],[Vergleich_ub]]-dict_DQ_Meth_max[[#This Row],[Vergleich_lb]])+dict_DQ_Meth_max[[#This Row],[Vergleich_lb]]</f>
        <v>2.2057600000000002</v>
      </c>
      <c r="H510" s="11" t="str">
        <f ca="1">VLOOKUP(VLOOKUP(dict_DQ_Meth_max[[#This Row],[ID_DataQualities]],table_DataQualities[],3),table_Units[],2)</f>
        <v>+/- mm</v>
      </c>
      <c r="I510" s="10"/>
      <c r="J510" s="10"/>
      <c r="K510" s="10"/>
      <c r="L510" s="10">
        <f ca="1">VLOOKUP(dict_DQ_Meth_max[[#This Row],[ID_DataQualities]],table_DataQualities[],8,FALSE)</f>
        <v>2.8000000000000001E-2</v>
      </c>
      <c r="M510" s="10">
        <f ca="1">VLOOKUP(dict_DQ_Meth_max[[#This Row],[ID_DataQualities]],table_DataQualities[],9,FALSE)</f>
        <v>2.82</v>
      </c>
    </row>
    <row r="511" spans="1:13" x14ac:dyDescent="0.45">
      <c r="A511" s="10">
        <v>135</v>
      </c>
      <c r="B511" s="10">
        <v>482</v>
      </c>
      <c r="C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1" s="10"/>
      <c r="E511" s="10"/>
      <c r="F511" s="12">
        <f ca="1">(RANDBETWEEN(0,50)/100)*(dict_DQ_Meth_max[[#This Row],[Vergleich_ub]]-dict_DQ_Meth_max[[#This Row],[Vergleich_lb]])+dict_DQ_Meth_max[[#This Row],[Vergleich_lb]]</f>
        <v>0.53055999999999992</v>
      </c>
      <c r="G511" s="12">
        <f ca="1">(RANDBETWEEN(50,100)/100)*(dict_DQ_Meth_max[[#This Row],[Vergleich_ub]]-dict_DQ_Meth_max[[#This Row],[Vergleich_lb]])+dict_DQ_Meth_max[[#This Row],[Vergleich_lb]]</f>
        <v>1.9544799999999998</v>
      </c>
      <c r="H511" s="11" t="str">
        <f ca="1">VLOOKUP(VLOOKUP(dict_DQ_Meth_max[[#This Row],[ID_DataQualities]],table_DataQualities[],3),table_Units[],2)</f>
        <v>+/- mm</v>
      </c>
      <c r="I511" s="10"/>
      <c r="J511" s="10"/>
      <c r="K511" s="10"/>
      <c r="L511" s="10">
        <f ca="1">VLOOKUP(dict_DQ_Meth_max[[#This Row],[ID_DataQualities]],table_DataQualities[],8,FALSE)</f>
        <v>2.8000000000000001E-2</v>
      </c>
      <c r="M511" s="10">
        <f ca="1">VLOOKUP(dict_DQ_Meth_max[[#This Row],[ID_DataQualities]],table_DataQualities[],9,FALSE)</f>
        <v>2.82</v>
      </c>
    </row>
    <row r="512" spans="1:13" x14ac:dyDescent="0.45">
      <c r="A512" s="10">
        <v>136</v>
      </c>
      <c r="B512" s="10">
        <v>349</v>
      </c>
      <c r="C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2" s="10"/>
      <c r="E512" s="10"/>
      <c r="F512" s="12">
        <f ca="1">(RANDBETWEEN(0,50)/100)*(dict_DQ_Meth_max[[#This Row],[Vergleich_ub]]-dict_DQ_Meth_max[[#This Row],[Vergleich_lb]])+dict_DQ_Meth_max[[#This Row],[Vergleich_lb]]</f>
        <v>1235.6725300000001</v>
      </c>
      <c r="G512" s="12">
        <f ca="1">(RANDBETWEEN(50,100)/100)*(dict_DQ_Meth_max[[#This Row],[Vergleich_ub]]-dict_DQ_Meth_max[[#This Row],[Vergleich_lb]])+dict_DQ_Meth_max[[#This Row],[Vergleich_lb]]</f>
        <v>1419.6044600000002</v>
      </c>
      <c r="H512" s="11" t="str">
        <f ca="1">VLOOKUP(VLOOKUP(dict_DQ_Meth_max[[#This Row],[ID_DataQualities]],table_DataQualities[],3),table_Units[],2)</f>
        <v>Hz</v>
      </c>
      <c r="I512" s="10"/>
      <c r="J512" s="10"/>
      <c r="K512" s="10"/>
      <c r="L512" s="10">
        <f ca="1">VLOOKUP(dict_DQ_Meth_max[[#This Row],[ID_DataQualities]],table_DataQualities[],8,FALSE)</f>
        <v>0.70099999999999996</v>
      </c>
      <c r="M512" s="10">
        <f ca="1">VLOOKUP(dict_DQ_Meth_max[[#This Row],[ID_DataQualities]],table_DataQualities[],9,FALSE)</f>
        <v>2628.3</v>
      </c>
    </row>
    <row r="513" spans="1:13" x14ac:dyDescent="0.45">
      <c r="A513" s="10">
        <v>136</v>
      </c>
      <c r="B513" s="10">
        <v>627</v>
      </c>
      <c r="C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3" s="10"/>
      <c r="E513" s="10"/>
      <c r="F513" s="12">
        <f ca="1">(RANDBETWEEN(0,50)/100)*(dict_DQ_Meth_max[[#This Row],[Vergleich_ub]]-dict_DQ_Meth_max[[#This Row],[Vergleich_lb]])+dict_DQ_Meth_max[[#This Row],[Vergleich_lb]]</f>
        <v>762.70470999999998</v>
      </c>
      <c r="G513" s="12">
        <f ca="1">(RANDBETWEEN(50,100)/100)*(dict_DQ_Meth_max[[#This Row],[Vergleich_ub]]-dict_DQ_Meth_max[[#This Row],[Vergleich_lb]])+dict_DQ_Meth_max[[#This Row],[Vergleich_lb]]</f>
        <v>2444.3680700000004</v>
      </c>
      <c r="H513" s="11" t="str">
        <f ca="1">VLOOKUP(VLOOKUP(dict_DQ_Meth_max[[#This Row],[ID_DataQualities]],table_DataQualities[],3),table_Units[],2)</f>
        <v>Hz</v>
      </c>
      <c r="I513" s="10"/>
      <c r="J513" s="10"/>
      <c r="K513" s="10"/>
      <c r="L513" s="10">
        <f ca="1">VLOOKUP(dict_DQ_Meth_max[[#This Row],[ID_DataQualities]],table_DataQualities[],8,FALSE)</f>
        <v>0.70099999999999996</v>
      </c>
      <c r="M513" s="10">
        <f ca="1">VLOOKUP(dict_DQ_Meth_max[[#This Row],[ID_DataQualities]],table_DataQualities[],9,FALSE)</f>
        <v>2628.3</v>
      </c>
    </row>
    <row r="514" spans="1:13" x14ac:dyDescent="0.45">
      <c r="A514" s="10">
        <v>137</v>
      </c>
      <c r="B514" s="10">
        <v>627</v>
      </c>
      <c r="C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4" s="10"/>
      <c r="E514" s="10"/>
      <c r="F514" s="12">
        <f ca="1">(RANDBETWEEN(0,50)/100)*(dict_DQ_Meth_max[[#This Row],[Vergleich_ub]]-dict_DQ_Meth_max[[#This Row],[Vergleich_lb]])+dict_DQ_Meth_max[[#This Row],[Vergleich_lb]]</f>
        <v>2.12</v>
      </c>
      <c r="G514" s="12">
        <f ca="1">(RANDBETWEEN(50,100)/100)*(dict_DQ_Meth_max[[#This Row],[Vergleich_ub]]-dict_DQ_Meth_max[[#This Row],[Vergleich_lb]])+dict_DQ_Meth_max[[#This Row],[Vergleich_lb]]</f>
        <v>6.6339999999999995</v>
      </c>
      <c r="H514" s="11" t="str">
        <f ca="1">VLOOKUP(VLOOKUP(dict_DQ_Meth_max[[#This Row],[ID_DataQualities]],table_DataQualities[],3),table_Units[],2)</f>
        <v>+/- °C</v>
      </c>
      <c r="I514" s="10"/>
      <c r="J514" s="10"/>
      <c r="K514" s="10"/>
      <c r="L514" s="10">
        <f ca="1">VLOOKUP(dict_DQ_Meth_max[[#This Row],[ID_DataQualities]],table_DataQualities[],8,FALSE)</f>
        <v>0.9</v>
      </c>
      <c r="M514" s="10">
        <f ca="1">VLOOKUP(dict_DQ_Meth_max[[#This Row],[ID_DataQualities]],table_DataQualities[],9,FALSE)</f>
        <v>7</v>
      </c>
    </row>
    <row r="515" spans="1:13" x14ac:dyDescent="0.45">
      <c r="A515" s="10">
        <v>137</v>
      </c>
      <c r="B515" s="10">
        <v>349</v>
      </c>
      <c r="C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5" s="10"/>
      <c r="E515" s="10"/>
      <c r="F515" s="12">
        <f ca="1">(RANDBETWEEN(0,50)/100)*(dict_DQ_Meth_max[[#This Row],[Vergleich_ub]]-dict_DQ_Meth_max[[#This Row],[Vergleich_lb]])+dict_DQ_Meth_max[[#This Row],[Vergleich_lb]]</f>
        <v>3.34</v>
      </c>
      <c r="G515" s="12">
        <f ca="1">(RANDBETWEEN(50,100)/100)*(dict_DQ_Meth_max[[#This Row],[Vergleich_ub]]-dict_DQ_Meth_max[[#This Row],[Vergleich_lb]])+dict_DQ_Meth_max[[#This Row],[Vergleich_lb]]</f>
        <v>4.5599999999999996</v>
      </c>
      <c r="H515" s="11" t="str">
        <f ca="1">VLOOKUP(VLOOKUP(dict_DQ_Meth_max[[#This Row],[ID_DataQualities]],table_DataQualities[],3),table_Units[],2)</f>
        <v>+/- °C</v>
      </c>
      <c r="I515" s="10"/>
      <c r="J515" s="10"/>
      <c r="K515" s="10"/>
      <c r="L515" s="10">
        <f ca="1">VLOOKUP(dict_DQ_Meth_max[[#This Row],[ID_DataQualities]],table_DataQualities[],8,FALSE)</f>
        <v>0.9</v>
      </c>
      <c r="M515" s="10">
        <f ca="1">VLOOKUP(dict_DQ_Meth_max[[#This Row],[ID_DataQualities]],table_DataQualities[],9,FALSE)</f>
        <v>7</v>
      </c>
    </row>
    <row r="516" spans="1:13" x14ac:dyDescent="0.45">
      <c r="A516" s="10">
        <v>138</v>
      </c>
      <c r="B516" s="10">
        <v>584</v>
      </c>
      <c r="C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6" s="10"/>
      <c r="E516" s="10"/>
      <c r="F516" s="12">
        <f ca="1">(RANDBETWEEN(0,50)/100)*(dict_DQ_Meth_max[[#This Row],[Vergleich_ub]]-dict_DQ_Meth_max[[#This Row],[Vergleich_lb]])+dict_DQ_Meth_max[[#This Row],[Vergleich_lb]]</f>
        <v>1469.5596</v>
      </c>
      <c r="G516" s="12">
        <f ca="1">(RANDBETWEEN(50,100)/100)*(dict_DQ_Meth_max[[#This Row],[Vergleich_ub]]-dict_DQ_Meth_max[[#This Row],[Vergleich_lb]])+dict_DQ_Meth_max[[#This Row],[Vergleich_lb]]</f>
        <v>7346.6939999999995</v>
      </c>
      <c r="H516" s="11" t="str">
        <f ca="1">VLOOKUP(VLOOKUP(dict_DQ_Meth_max[[#This Row],[ID_DataQualities]],table_DataQualities[],3),table_Units[],2)</f>
        <v>Hz</v>
      </c>
      <c r="I516" s="10"/>
      <c r="J516" s="10"/>
      <c r="K516" s="10"/>
      <c r="L516" s="10">
        <f ca="1">VLOOKUP(dict_DQ_Meth_max[[#This Row],[ID_DataQualities]],table_DataQualities[],8,FALSE)</f>
        <v>0.27600000000000002</v>
      </c>
      <c r="M516" s="10">
        <f ca="1">VLOOKUP(dict_DQ_Meth_max[[#This Row],[ID_DataQualities]],table_DataQualities[],9,FALSE)</f>
        <v>9795.5</v>
      </c>
    </row>
    <row r="517" spans="1:13" x14ac:dyDescent="0.45">
      <c r="A517" s="10">
        <v>138</v>
      </c>
      <c r="B517" s="10">
        <v>31</v>
      </c>
      <c r="C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7" s="10"/>
      <c r="E517" s="10"/>
      <c r="F517" s="12">
        <f ca="1">(RANDBETWEEN(0,50)/100)*(dict_DQ_Meth_max[[#This Row],[Vergleich_ub]]-dict_DQ_Meth_max[[#This Row],[Vergleich_lb]])+dict_DQ_Meth_max[[#This Row],[Vergleich_lb]]</f>
        <v>685.94168000000002</v>
      </c>
      <c r="G517" s="12">
        <f ca="1">(RANDBETWEEN(50,100)/100)*(dict_DQ_Meth_max[[#This Row],[Vergleich_ub]]-dict_DQ_Meth_max[[#This Row],[Vergleich_lb]])+dict_DQ_Meth_max[[#This Row],[Vergleich_lb]]</f>
        <v>7346.6939999999995</v>
      </c>
      <c r="H517" s="11" t="str">
        <f ca="1">VLOOKUP(VLOOKUP(dict_DQ_Meth_max[[#This Row],[ID_DataQualities]],table_DataQualities[],3),table_Units[],2)</f>
        <v>Hz</v>
      </c>
      <c r="I517" s="10"/>
      <c r="J517" s="10"/>
      <c r="K517" s="10"/>
      <c r="L517" s="10">
        <f ca="1">VLOOKUP(dict_DQ_Meth_max[[#This Row],[ID_DataQualities]],table_DataQualities[],8,FALSE)</f>
        <v>0.27600000000000002</v>
      </c>
      <c r="M517" s="10">
        <f ca="1">VLOOKUP(dict_DQ_Meth_max[[#This Row],[ID_DataQualities]],table_DataQualities[],9,FALSE)</f>
        <v>9795.5</v>
      </c>
    </row>
    <row r="518" spans="1:13" x14ac:dyDescent="0.45">
      <c r="A518" s="10">
        <v>138</v>
      </c>
      <c r="B518" s="10">
        <v>124</v>
      </c>
      <c r="C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8" s="10"/>
      <c r="E518" s="10"/>
      <c r="F518" s="12">
        <f ca="1">(RANDBETWEEN(0,50)/100)*(dict_DQ_Meth_max[[#This Row],[Vergleich_ub]]-dict_DQ_Meth_max[[#This Row],[Vergleich_lb]])+dict_DQ_Meth_max[[#This Row],[Vergleich_lb]]</f>
        <v>1959.3208000000002</v>
      </c>
      <c r="G518" s="12">
        <f ca="1">(RANDBETWEEN(50,100)/100)*(dict_DQ_Meth_max[[#This Row],[Vergleich_ub]]-dict_DQ_Meth_max[[#This Row],[Vergleich_lb]])+dict_DQ_Meth_max[[#This Row],[Vergleich_lb]]</f>
        <v>6758.9805599999991</v>
      </c>
      <c r="H518" s="11" t="str">
        <f ca="1">VLOOKUP(VLOOKUP(dict_DQ_Meth_max[[#This Row],[ID_DataQualities]],table_DataQualities[],3),table_Units[],2)</f>
        <v>Hz</v>
      </c>
      <c r="I518" s="10"/>
      <c r="J518" s="10"/>
      <c r="K518" s="10"/>
      <c r="L518" s="10">
        <f ca="1">VLOOKUP(dict_DQ_Meth_max[[#This Row],[ID_DataQualities]],table_DataQualities[],8,FALSE)</f>
        <v>0.27600000000000002</v>
      </c>
      <c r="M518" s="10">
        <f ca="1">VLOOKUP(dict_DQ_Meth_max[[#This Row],[ID_DataQualities]],table_DataQualities[],9,FALSE)</f>
        <v>9795.5</v>
      </c>
    </row>
    <row r="519" spans="1:13" x14ac:dyDescent="0.45">
      <c r="A519" s="10">
        <v>139</v>
      </c>
      <c r="B519" s="10">
        <v>584</v>
      </c>
      <c r="C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19" s="10"/>
      <c r="E519" s="10"/>
      <c r="F519" s="12">
        <f ca="1">(RANDBETWEEN(0,50)/100)*(dict_DQ_Meth_max[[#This Row],[Vergleich_ub]]-dict_DQ_Meth_max[[#This Row],[Vergleich_lb]])+dict_DQ_Meth_max[[#This Row],[Vergleich_lb]]</f>
        <v>0.52400000000000002</v>
      </c>
      <c r="G519" s="12">
        <f ca="1">(RANDBETWEEN(50,100)/100)*(dict_DQ_Meth_max[[#This Row],[Vergleich_ub]]-dict_DQ_Meth_max[[#This Row],[Vergleich_lb]])+dict_DQ_Meth_max[[#This Row],[Vergleich_lb]]</f>
        <v>1.982</v>
      </c>
      <c r="H519" s="11" t="str">
        <f ca="1">VLOOKUP(VLOOKUP(dict_DQ_Meth_max[[#This Row],[ID_DataQualities]],table_DataQualities[],3),table_Units[],2)</f>
        <v>+/- °C</v>
      </c>
      <c r="I519" s="10"/>
      <c r="J519" s="10"/>
      <c r="K519" s="10"/>
      <c r="L519" s="10">
        <f ca="1">VLOOKUP(dict_DQ_Meth_max[[#This Row],[ID_DataQualities]],table_DataQualities[],8,FALSE)</f>
        <v>0.2</v>
      </c>
      <c r="M519" s="10">
        <f ca="1">VLOOKUP(dict_DQ_Meth_max[[#This Row],[ID_DataQualities]],table_DataQualities[],9,FALSE)</f>
        <v>2</v>
      </c>
    </row>
    <row r="520" spans="1:13" x14ac:dyDescent="0.45">
      <c r="A520" s="10">
        <v>139</v>
      </c>
      <c r="B520" s="10">
        <v>124</v>
      </c>
      <c r="C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0" s="10"/>
      <c r="E520" s="10"/>
      <c r="F520" s="12">
        <f ca="1">(RANDBETWEEN(0,50)/100)*(dict_DQ_Meth_max[[#This Row],[Vergleich_ub]]-dict_DQ_Meth_max[[#This Row],[Vergleich_lb]])+dict_DQ_Meth_max[[#This Row],[Vergleich_lb]]</f>
        <v>0.23600000000000002</v>
      </c>
      <c r="G520" s="12">
        <f ca="1">(RANDBETWEEN(50,100)/100)*(dict_DQ_Meth_max[[#This Row],[Vergleich_ub]]-dict_DQ_Meth_max[[#This Row],[Vergleich_lb]])+dict_DQ_Meth_max[[#This Row],[Vergleich_lb]]</f>
        <v>1.964</v>
      </c>
      <c r="H520" s="11" t="str">
        <f ca="1">VLOOKUP(VLOOKUP(dict_DQ_Meth_max[[#This Row],[ID_DataQualities]],table_DataQualities[],3),table_Units[],2)</f>
        <v>+/- °C</v>
      </c>
      <c r="I520" s="10"/>
      <c r="J520" s="10"/>
      <c r="K520" s="10"/>
      <c r="L520" s="10">
        <f ca="1">VLOOKUP(dict_DQ_Meth_max[[#This Row],[ID_DataQualities]],table_DataQualities[],8,FALSE)</f>
        <v>0.2</v>
      </c>
      <c r="M520" s="10">
        <f ca="1">VLOOKUP(dict_DQ_Meth_max[[#This Row],[ID_DataQualities]],table_DataQualities[],9,FALSE)</f>
        <v>2</v>
      </c>
    </row>
    <row r="521" spans="1:13" x14ac:dyDescent="0.45">
      <c r="A521" s="10">
        <v>139</v>
      </c>
      <c r="B521" s="10">
        <v>31</v>
      </c>
      <c r="C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1" s="10"/>
      <c r="E521" s="10"/>
      <c r="F521" s="12">
        <f ca="1">(RANDBETWEEN(0,50)/100)*(dict_DQ_Meth_max[[#This Row],[Vergleich_ub]]-dict_DQ_Meth_max[[#This Row],[Vergleich_lb]])+dict_DQ_Meth_max[[#This Row],[Vergleich_lb]]</f>
        <v>0.66800000000000004</v>
      </c>
      <c r="G521" s="12">
        <f ca="1">(RANDBETWEEN(50,100)/100)*(dict_DQ_Meth_max[[#This Row],[Vergleich_ub]]-dict_DQ_Meth_max[[#This Row],[Vergleich_lb]])+dict_DQ_Meth_max[[#This Row],[Vergleich_lb]]</f>
        <v>1.478</v>
      </c>
      <c r="H521" s="11" t="str">
        <f ca="1">VLOOKUP(VLOOKUP(dict_DQ_Meth_max[[#This Row],[ID_DataQualities]],table_DataQualities[],3),table_Units[],2)</f>
        <v>+/- °C</v>
      </c>
      <c r="I521" s="10"/>
      <c r="J521" s="10"/>
      <c r="K521" s="10"/>
      <c r="L521" s="10">
        <f ca="1">VLOOKUP(dict_DQ_Meth_max[[#This Row],[ID_DataQualities]],table_DataQualities[],8,FALSE)</f>
        <v>0.2</v>
      </c>
      <c r="M521" s="10">
        <f ca="1">VLOOKUP(dict_DQ_Meth_max[[#This Row],[ID_DataQualities]],table_DataQualities[],9,FALSE)</f>
        <v>2</v>
      </c>
    </row>
    <row r="522" spans="1:13" x14ac:dyDescent="0.45">
      <c r="A522" s="10">
        <v>140</v>
      </c>
      <c r="B522" s="10">
        <v>228</v>
      </c>
      <c r="C5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2" s="10"/>
      <c r="E522" s="10"/>
      <c r="F522" s="12">
        <f ca="1">(RANDBETWEEN(0,50)/100)*(dict_DQ_Meth_max[[#This Row],[Vergleich_ub]]-dict_DQ_Meth_max[[#This Row],[Vergleich_lb]])+dict_DQ_Meth_max[[#This Row],[Vergleich_lb]]</f>
        <v>650.43324999999993</v>
      </c>
      <c r="G522" s="12">
        <f ca="1">(RANDBETWEEN(50,100)/100)*(dict_DQ_Meth_max[[#This Row],[Vergleich_ub]]-dict_DQ_Meth_max[[#This Row],[Vergleich_lb]])+dict_DQ_Meth_max[[#This Row],[Vergleich_lb]]</f>
        <v>3682.1717500000004</v>
      </c>
      <c r="H522" s="11" t="str">
        <f ca="1">VLOOKUP(VLOOKUP(dict_DQ_Meth_max[[#This Row],[ID_DataQualities]],table_DataQualities[],3),table_Units[],2)</f>
        <v>Hz</v>
      </c>
      <c r="I522" s="10"/>
      <c r="J522" s="10"/>
      <c r="K522" s="10"/>
      <c r="L522" s="10">
        <f ca="1">VLOOKUP(dict_DQ_Meth_max[[#This Row],[ID_DataQualities]],table_DataQualities[],8,FALSE)</f>
        <v>0.77500000000000002</v>
      </c>
      <c r="M522" s="10">
        <f ca="1">VLOOKUP(dict_DQ_Meth_max[[#This Row],[ID_DataQualities]],table_DataQualities[],9,FALSE)</f>
        <v>7219.2</v>
      </c>
    </row>
    <row r="523" spans="1:13" x14ac:dyDescent="0.45">
      <c r="A523" s="10">
        <v>140</v>
      </c>
      <c r="B523" s="10">
        <v>340</v>
      </c>
      <c r="C5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3" s="10"/>
      <c r="E523" s="10"/>
      <c r="F523" s="12">
        <f ca="1">(RANDBETWEEN(0,50)/100)*(dict_DQ_Meth_max[[#This Row],[Vergleich_ub]]-dict_DQ_Meth_max[[#This Row],[Vergleich_lb]])+dict_DQ_Meth_max[[#This Row],[Vergleich_lb]]</f>
        <v>866.98599999999999</v>
      </c>
      <c r="G523" s="12">
        <f ca="1">(RANDBETWEEN(50,100)/100)*(dict_DQ_Meth_max[[#This Row],[Vergleich_ub]]-dict_DQ_Meth_max[[#This Row],[Vergleich_lb]])+dict_DQ_Meth_max[[#This Row],[Vergleich_lb]]</f>
        <v>6641.7259999999997</v>
      </c>
      <c r="H523" s="11" t="str">
        <f ca="1">VLOOKUP(VLOOKUP(dict_DQ_Meth_max[[#This Row],[ID_DataQualities]],table_DataQualities[],3),table_Units[],2)</f>
        <v>Hz</v>
      </c>
      <c r="I523" s="10"/>
      <c r="J523" s="10"/>
      <c r="K523" s="10"/>
      <c r="L523" s="10">
        <f ca="1">VLOOKUP(dict_DQ_Meth_max[[#This Row],[ID_DataQualities]],table_DataQualities[],8,FALSE)</f>
        <v>0.77500000000000002</v>
      </c>
      <c r="M523" s="10">
        <f ca="1">VLOOKUP(dict_DQ_Meth_max[[#This Row],[ID_DataQualities]],table_DataQualities[],9,FALSE)</f>
        <v>7219.2</v>
      </c>
    </row>
    <row r="524" spans="1:13" x14ac:dyDescent="0.45">
      <c r="A524" s="10">
        <v>140</v>
      </c>
      <c r="B524" s="10">
        <v>275</v>
      </c>
      <c r="C5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4" s="10"/>
      <c r="E524" s="10"/>
      <c r="F524" s="12">
        <f ca="1">(RANDBETWEEN(0,50)/100)*(dict_DQ_Meth_max[[#This Row],[Vergleich_ub]]-dict_DQ_Meth_max[[#This Row],[Vergleich_lb]])+dict_DQ_Meth_max[[#This Row],[Vergleich_lb]]</f>
        <v>1155.7230000000002</v>
      </c>
      <c r="G524" s="12">
        <f ca="1">(RANDBETWEEN(50,100)/100)*(dict_DQ_Meth_max[[#This Row],[Vergleich_ub]]-dict_DQ_Meth_max[[#This Row],[Vergleich_lb]])+dict_DQ_Meth_max[[#This Row],[Vergleich_lb]]</f>
        <v>6930.4629999999997</v>
      </c>
      <c r="H524" s="11" t="str">
        <f ca="1">VLOOKUP(VLOOKUP(dict_DQ_Meth_max[[#This Row],[ID_DataQualities]],table_DataQualities[],3),table_Units[],2)</f>
        <v>Hz</v>
      </c>
      <c r="I524" s="10"/>
      <c r="J524" s="10"/>
      <c r="K524" s="10"/>
      <c r="L524" s="10">
        <f ca="1">VLOOKUP(dict_DQ_Meth_max[[#This Row],[ID_DataQualities]],table_DataQualities[],8,FALSE)</f>
        <v>0.77500000000000002</v>
      </c>
      <c r="M524" s="10">
        <f ca="1">VLOOKUP(dict_DQ_Meth_max[[#This Row],[ID_DataQualities]],table_DataQualities[],9,FALSE)</f>
        <v>7219.2</v>
      </c>
    </row>
    <row r="525" spans="1:13" x14ac:dyDescent="0.45">
      <c r="A525" s="10">
        <v>140</v>
      </c>
      <c r="B525" s="10">
        <v>91</v>
      </c>
      <c r="C5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5" s="10"/>
      <c r="E525" s="10"/>
      <c r="F525" s="12">
        <f ca="1">(RANDBETWEEN(0,50)/100)*(dict_DQ_Meth_max[[#This Row],[Vergleich_ub]]-dict_DQ_Meth_max[[#This Row],[Vergleich_lb]])+dict_DQ_Meth_max[[#This Row],[Vergleich_lb]]</f>
        <v>289.512</v>
      </c>
      <c r="G525" s="12">
        <f ca="1">(RANDBETWEEN(50,100)/100)*(dict_DQ_Meth_max[[#This Row],[Vergleich_ub]]-dict_DQ_Meth_max[[#This Row],[Vergleich_lb]])+dict_DQ_Meth_max[[#This Row],[Vergleich_lb]]</f>
        <v>5270.2252499999995</v>
      </c>
      <c r="H525" s="11" t="str">
        <f ca="1">VLOOKUP(VLOOKUP(dict_DQ_Meth_max[[#This Row],[ID_DataQualities]],table_DataQualities[],3),table_Units[],2)</f>
        <v>Hz</v>
      </c>
      <c r="I525" s="10"/>
      <c r="J525" s="10"/>
      <c r="K525" s="10"/>
      <c r="L525" s="10">
        <f ca="1">VLOOKUP(dict_DQ_Meth_max[[#This Row],[ID_DataQualities]],table_DataQualities[],8,FALSE)</f>
        <v>0.77500000000000002</v>
      </c>
      <c r="M525" s="10">
        <f ca="1">VLOOKUP(dict_DQ_Meth_max[[#This Row],[ID_DataQualities]],table_DataQualities[],9,FALSE)</f>
        <v>7219.2</v>
      </c>
    </row>
    <row r="526" spans="1:13" x14ac:dyDescent="0.45">
      <c r="A526" s="10">
        <v>140</v>
      </c>
      <c r="B526" s="10">
        <v>651</v>
      </c>
      <c r="C5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6" s="10"/>
      <c r="E526" s="10"/>
      <c r="F526" s="12">
        <f ca="1">(RANDBETWEEN(0,50)/100)*(dict_DQ_Meth_max[[#This Row],[Vergleich_ub]]-dict_DQ_Meth_max[[#This Row],[Vergleich_lb]])+dict_DQ_Meth_max[[#This Row],[Vergleich_lb]]</f>
        <v>217.32775000000001</v>
      </c>
      <c r="G526" s="12">
        <f ca="1">(RANDBETWEEN(50,100)/100)*(dict_DQ_Meth_max[[#This Row],[Vergleich_ub]]-dict_DQ_Meth_max[[#This Row],[Vergleich_lb]])+dict_DQ_Meth_max[[#This Row],[Vergleich_lb]]</f>
        <v>4331.83</v>
      </c>
      <c r="H526" s="11" t="str">
        <f ca="1">VLOOKUP(VLOOKUP(dict_DQ_Meth_max[[#This Row],[ID_DataQualities]],table_DataQualities[],3),table_Units[],2)</f>
        <v>Hz</v>
      </c>
      <c r="I526" s="10"/>
      <c r="J526" s="10"/>
      <c r="K526" s="10"/>
      <c r="L526" s="10">
        <f ca="1">VLOOKUP(dict_DQ_Meth_max[[#This Row],[ID_DataQualities]],table_DataQualities[],8,FALSE)</f>
        <v>0.77500000000000002</v>
      </c>
      <c r="M526" s="10">
        <f ca="1">VLOOKUP(dict_DQ_Meth_max[[#This Row],[ID_DataQualities]],table_DataQualities[],9,FALSE)</f>
        <v>7219.2</v>
      </c>
    </row>
    <row r="527" spans="1:13" x14ac:dyDescent="0.45">
      <c r="A527" s="10">
        <v>141</v>
      </c>
      <c r="B527" s="10">
        <v>91</v>
      </c>
      <c r="C5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7" s="10"/>
      <c r="E527" s="10"/>
      <c r="F527" s="12">
        <f ca="1">(RANDBETWEEN(0,50)/100)*(dict_DQ_Meth_max[[#This Row],[Vergleich_ub]]-dict_DQ_Meth_max[[#This Row],[Vergleich_lb]])+dict_DQ_Meth_max[[#This Row],[Vergleich_lb]]</f>
        <v>1547.2</v>
      </c>
      <c r="G527" s="12">
        <f ca="1">(RANDBETWEEN(50,100)/100)*(dict_DQ_Meth_max[[#This Row],[Vergleich_ub]]-dict_DQ_Meth_max[[#This Row],[Vergleich_lb]])+dict_DQ_Meth_max[[#This Row],[Vergleich_lb]]</f>
        <v>3683.34</v>
      </c>
      <c r="H527" s="11" t="str">
        <f ca="1">VLOOKUP(VLOOKUP(dict_DQ_Meth_max[[#This Row],[ID_DataQualities]],table_DataQualities[],3),table_Units[],2)</f>
        <v>bit</v>
      </c>
      <c r="I527" s="10"/>
      <c r="J527" s="10"/>
      <c r="K527" s="10"/>
      <c r="L527" s="10">
        <f ca="1">VLOOKUP(dict_DQ_Meth_max[[#This Row],[ID_DataQualities]],table_DataQualities[],8,FALSE)</f>
        <v>74</v>
      </c>
      <c r="M527" s="10">
        <f ca="1">VLOOKUP(dict_DQ_Meth_max[[#This Row],[ID_DataQualities]],table_DataQualities[],9,FALSE)</f>
        <v>3757</v>
      </c>
    </row>
    <row r="528" spans="1:13" x14ac:dyDescent="0.45">
      <c r="A528" s="10">
        <v>141</v>
      </c>
      <c r="B528" s="10">
        <v>228</v>
      </c>
      <c r="C5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8" s="10"/>
      <c r="E528" s="10"/>
      <c r="F528" s="12">
        <f ca="1">(RANDBETWEEN(0,50)/100)*(dict_DQ_Meth_max[[#This Row],[Vergleich_ub]]-dict_DQ_Meth_max[[#This Row],[Vergleich_lb]])+dict_DQ_Meth_max[[#This Row],[Vergleich_lb]]</f>
        <v>589.62</v>
      </c>
      <c r="G528" s="12">
        <f ca="1">(RANDBETWEEN(50,100)/100)*(dict_DQ_Meth_max[[#This Row],[Vergleich_ub]]-dict_DQ_Meth_max[[#This Row],[Vergleich_lb]])+dict_DQ_Meth_max[[#This Row],[Vergleich_lb]]</f>
        <v>3757</v>
      </c>
      <c r="H528" s="11" t="str">
        <f ca="1">VLOOKUP(VLOOKUP(dict_DQ_Meth_max[[#This Row],[ID_DataQualities]],table_DataQualities[],3),table_Units[],2)</f>
        <v>bit</v>
      </c>
      <c r="I528" s="10"/>
      <c r="J528" s="10"/>
      <c r="K528" s="10"/>
      <c r="L528" s="10">
        <f ca="1">VLOOKUP(dict_DQ_Meth_max[[#This Row],[ID_DataQualities]],table_DataQualities[],8,FALSE)</f>
        <v>74</v>
      </c>
      <c r="M528" s="10">
        <f ca="1">VLOOKUP(dict_DQ_Meth_max[[#This Row],[ID_DataQualities]],table_DataQualities[],9,FALSE)</f>
        <v>3757</v>
      </c>
    </row>
    <row r="529" spans="1:13" x14ac:dyDescent="0.45">
      <c r="A529" s="10">
        <v>141</v>
      </c>
      <c r="B529" s="10">
        <v>340</v>
      </c>
      <c r="C5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29" s="10"/>
      <c r="E529" s="10"/>
      <c r="F529" s="12">
        <f ca="1">(RANDBETWEEN(0,50)/100)*(dict_DQ_Meth_max[[#This Row],[Vergleich_ub]]-dict_DQ_Meth_max[[#This Row],[Vergleich_lb]])+dict_DQ_Meth_max[[#This Row],[Vergleich_lb]]</f>
        <v>1547.2</v>
      </c>
      <c r="G529" s="12">
        <f ca="1">(RANDBETWEEN(50,100)/100)*(dict_DQ_Meth_max[[#This Row],[Vergleich_ub]]-dict_DQ_Meth_max[[#This Row],[Vergleich_lb]])+dict_DQ_Meth_max[[#This Row],[Vergleich_lb]]</f>
        <v>2504.7800000000002</v>
      </c>
      <c r="H529" s="11" t="str">
        <f ca="1">VLOOKUP(VLOOKUP(dict_DQ_Meth_max[[#This Row],[ID_DataQualities]],table_DataQualities[],3),table_Units[],2)</f>
        <v>bit</v>
      </c>
      <c r="I529" s="10"/>
      <c r="J529" s="10"/>
      <c r="K529" s="10"/>
      <c r="L529" s="10">
        <f ca="1">VLOOKUP(dict_DQ_Meth_max[[#This Row],[ID_DataQualities]],table_DataQualities[],8,FALSE)</f>
        <v>74</v>
      </c>
      <c r="M529" s="10">
        <f ca="1">VLOOKUP(dict_DQ_Meth_max[[#This Row],[ID_DataQualities]],table_DataQualities[],9,FALSE)</f>
        <v>3757</v>
      </c>
    </row>
    <row r="530" spans="1:13" x14ac:dyDescent="0.45">
      <c r="A530" s="10">
        <v>141</v>
      </c>
      <c r="B530" s="10">
        <v>275</v>
      </c>
      <c r="C5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0" s="10"/>
      <c r="E530" s="10"/>
      <c r="F530" s="12">
        <f ca="1">(RANDBETWEEN(0,50)/100)*(dict_DQ_Meth_max[[#This Row],[Vergleich_ub]]-dict_DQ_Meth_max[[#This Row],[Vergleich_lb]])+dict_DQ_Meth_max[[#This Row],[Vergleich_lb]]</f>
        <v>1031.58</v>
      </c>
      <c r="G530" s="12">
        <f ca="1">(RANDBETWEEN(50,100)/100)*(dict_DQ_Meth_max[[#This Row],[Vergleich_ub]]-dict_DQ_Meth_max[[#This Row],[Vergleich_lb]])+dict_DQ_Meth_max[[#This Row],[Vergleich_lb]]</f>
        <v>3388.7000000000003</v>
      </c>
      <c r="H530" s="11" t="str">
        <f ca="1">VLOOKUP(VLOOKUP(dict_DQ_Meth_max[[#This Row],[ID_DataQualities]],table_DataQualities[],3),table_Units[],2)</f>
        <v>bit</v>
      </c>
      <c r="I530" s="10"/>
      <c r="J530" s="10"/>
      <c r="K530" s="10"/>
      <c r="L530" s="10">
        <f ca="1">VLOOKUP(dict_DQ_Meth_max[[#This Row],[ID_DataQualities]],table_DataQualities[],8,FALSE)</f>
        <v>74</v>
      </c>
      <c r="M530" s="10">
        <f ca="1">VLOOKUP(dict_DQ_Meth_max[[#This Row],[ID_DataQualities]],table_DataQualities[],9,FALSE)</f>
        <v>3757</v>
      </c>
    </row>
    <row r="531" spans="1:13" x14ac:dyDescent="0.45">
      <c r="A531" s="10">
        <v>141</v>
      </c>
      <c r="B531" s="10">
        <v>651</v>
      </c>
      <c r="C5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1" s="10"/>
      <c r="E531" s="10"/>
      <c r="F531" s="12">
        <f ca="1">(RANDBETWEEN(0,50)/100)*(dict_DQ_Meth_max[[#This Row],[Vergleich_ub]]-dict_DQ_Meth_max[[#This Row],[Vergleich_lb]])+dict_DQ_Meth_max[[#This Row],[Vergleich_lb]]</f>
        <v>1731.3500000000001</v>
      </c>
      <c r="G531" s="12">
        <f ca="1">(RANDBETWEEN(50,100)/100)*(dict_DQ_Meth_max[[#This Row],[Vergleich_ub]]-dict_DQ_Meth_max[[#This Row],[Vergleich_lb]])+dict_DQ_Meth_max[[#This Row],[Vergleich_lb]]</f>
        <v>2062.8200000000002</v>
      </c>
      <c r="H531" s="11" t="str">
        <f ca="1">VLOOKUP(VLOOKUP(dict_DQ_Meth_max[[#This Row],[ID_DataQualities]],table_DataQualities[],3),table_Units[],2)</f>
        <v>bit</v>
      </c>
      <c r="I531" s="10"/>
      <c r="J531" s="10"/>
      <c r="K531" s="10"/>
      <c r="L531" s="10">
        <f ca="1">VLOOKUP(dict_DQ_Meth_max[[#This Row],[ID_DataQualities]],table_DataQualities[],8,FALSE)</f>
        <v>74</v>
      </c>
      <c r="M531" s="10">
        <f ca="1">VLOOKUP(dict_DQ_Meth_max[[#This Row],[ID_DataQualities]],table_DataQualities[],9,FALSE)</f>
        <v>3757</v>
      </c>
    </row>
    <row r="532" spans="1:13" x14ac:dyDescent="0.45">
      <c r="A532" s="10">
        <v>142</v>
      </c>
      <c r="B532" s="10">
        <v>159</v>
      </c>
      <c r="C5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2" s="10"/>
      <c r="E532" s="10"/>
      <c r="F532" s="12">
        <f ca="1">(RANDBETWEEN(0,50)/100)*(dict_DQ_Meth_max[[#This Row],[Vergleich_ub]]-dict_DQ_Meth_max[[#This Row],[Vergleich_lb]])+dict_DQ_Meth_max[[#This Row],[Vergleich_lb]]</f>
        <v>541.12870000000009</v>
      </c>
      <c r="G532" s="12">
        <f ca="1">(RANDBETWEEN(50,100)/100)*(dict_DQ_Meth_max[[#This Row],[Vergleich_ub]]-dict_DQ_Meth_max[[#This Row],[Vergleich_lb]])+dict_DQ_Meth_max[[#This Row],[Vergleich_lb]]</f>
        <v>2918.8257800000001</v>
      </c>
      <c r="H532" s="11" t="str">
        <f ca="1">VLOOKUP(VLOOKUP(dict_DQ_Meth_max[[#This Row],[ID_DataQualities]],table_DataQualities[],3),table_Units[],2)</f>
        <v>Hz</v>
      </c>
      <c r="I532" s="10"/>
      <c r="J532" s="10"/>
      <c r="K532" s="10"/>
      <c r="L532" s="10">
        <f ca="1">VLOOKUP(dict_DQ_Meth_max[[#This Row],[ID_DataQualities]],table_DataQualities[],8,FALSE)</f>
        <v>0.74299999999999999</v>
      </c>
      <c r="M532" s="10">
        <f ca="1">VLOOKUP(dict_DQ_Meth_max[[#This Row],[ID_DataQualities]],table_DataQualities[],9,FALSE)</f>
        <v>5404.6</v>
      </c>
    </row>
    <row r="533" spans="1:13" x14ac:dyDescent="0.45">
      <c r="A533" s="10">
        <v>142</v>
      </c>
      <c r="B533" s="10">
        <v>328</v>
      </c>
      <c r="C5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3" s="10"/>
      <c r="E533" s="10"/>
      <c r="F533" s="12">
        <f ca="1">(RANDBETWEEN(0,50)/100)*(dict_DQ_Meth_max[[#This Row],[Vergleich_ub]]-dict_DQ_Meth_max[[#This Row],[Vergleich_lb]])+dict_DQ_Meth_max[[#This Row],[Vergleich_lb]]</f>
        <v>433.05155999999999</v>
      </c>
      <c r="G533" s="12">
        <f ca="1">(RANDBETWEEN(50,100)/100)*(dict_DQ_Meth_max[[#This Row],[Vergleich_ub]]-dict_DQ_Meth_max[[#This Row],[Vergleich_lb]])+dict_DQ_Meth_max[[#This Row],[Vergleich_lb]]</f>
        <v>5296.52286</v>
      </c>
      <c r="H533" s="11" t="str">
        <f ca="1">VLOOKUP(VLOOKUP(dict_DQ_Meth_max[[#This Row],[ID_DataQualities]],table_DataQualities[],3),table_Units[],2)</f>
        <v>Hz</v>
      </c>
      <c r="I533" s="10"/>
      <c r="J533" s="10"/>
      <c r="K533" s="10"/>
      <c r="L533" s="10">
        <f ca="1">VLOOKUP(dict_DQ_Meth_max[[#This Row],[ID_DataQualities]],table_DataQualities[],8,FALSE)</f>
        <v>0.74299999999999999</v>
      </c>
      <c r="M533" s="10">
        <f ca="1">VLOOKUP(dict_DQ_Meth_max[[#This Row],[ID_DataQualities]],table_DataQualities[],9,FALSE)</f>
        <v>5404.6</v>
      </c>
    </row>
    <row r="534" spans="1:13" x14ac:dyDescent="0.45">
      <c r="A534" s="10">
        <v>142</v>
      </c>
      <c r="B534" s="10">
        <v>354</v>
      </c>
      <c r="C5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4" s="10"/>
      <c r="E534" s="10"/>
      <c r="F534" s="12">
        <f ca="1">(RANDBETWEEN(0,50)/100)*(dict_DQ_Meth_max[[#This Row],[Vergleich_ub]]-dict_DQ_Meth_max[[#This Row],[Vergleich_lb]])+dict_DQ_Meth_max[[#This Row],[Vergleich_lb]]</f>
        <v>2594.5943600000001</v>
      </c>
      <c r="G534" s="12">
        <f ca="1">(RANDBETWEEN(50,100)/100)*(dict_DQ_Meth_max[[#This Row],[Vergleich_ub]]-dict_DQ_Meth_max[[#This Row],[Vergleich_lb]])+dict_DQ_Meth_max[[#This Row],[Vergleich_lb]]</f>
        <v>2702.6714999999999</v>
      </c>
      <c r="H534" s="11" t="str">
        <f ca="1">VLOOKUP(VLOOKUP(dict_DQ_Meth_max[[#This Row],[ID_DataQualities]],table_DataQualities[],3),table_Units[],2)</f>
        <v>Hz</v>
      </c>
      <c r="I534" s="10"/>
      <c r="J534" s="10"/>
      <c r="K534" s="10"/>
      <c r="L534" s="10">
        <f ca="1">VLOOKUP(dict_DQ_Meth_max[[#This Row],[ID_DataQualities]],table_DataQualities[],8,FALSE)</f>
        <v>0.74299999999999999</v>
      </c>
      <c r="M534" s="10">
        <f ca="1">VLOOKUP(dict_DQ_Meth_max[[#This Row],[ID_DataQualities]],table_DataQualities[],9,FALSE)</f>
        <v>5404.6</v>
      </c>
    </row>
    <row r="535" spans="1:13" x14ac:dyDescent="0.45">
      <c r="A535" s="10">
        <v>142</v>
      </c>
      <c r="B535" s="10">
        <v>236</v>
      </c>
      <c r="C5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5" s="10"/>
      <c r="E535" s="10"/>
      <c r="F535" s="12">
        <f ca="1">(RANDBETWEEN(0,50)/100)*(dict_DQ_Meth_max[[#This Row],[Vergleich_ub]]-dict_DQ_Meth_max[[#This Row],[Vergleich_lb]])+dict_DQ_Meth_max[[#This Row],[Vergleich_lb]]</f>
        <v>1297.66868</v>
      </c>
      <c r="G535" s="12">
        <f ca="1">(RANDBETWEEN(50,100)/100)*(dict_DQ_Meth_max[[#This Row],[Vergleich_ub]]-dict_DQ_Meth_max[[#This Row],[Vergleich_lb]])+dict_DQ_Meth_max[[#This Row],[Vergleich_lb]]</f>
        <v>5404.6</v>
      </c>
      <c r="H535" s="11" t="str">
        <f ca="1">VLOOKUP(VLOOKUP(dict_DQ_Meth_max[[#This Row],[ID_DataQualities]],table_DataQualities[],3),table_Units[],2)</f>
        <v>Hz</v>
      </c>
      <c r="I535" s="10"/>
      <c r="J535" s="10"/>
      <c r="K535" s="10"/>
      <c r="L535" s="10">
        <f ca="1">VLOOKUP(dict_DQ_Meth_max[[#This Row],[ID_DataQualities]],table_DataQualities[],8,FALSE)</f>
        <v>0.74299999999999999</v>
      </c>
      <c r="M535" s="10">
        <f ca="1">VLOOKUP(dict_DQ_Meth_max[[#This Row],[ID_DataQualities]],table_DataQualities[],9,FALSE)</f>
        <v>5404.6</v>
      </c>
    </row>
    <row r="536" spans="1:13" x14ac:dyDescent="0.45">
      <c r="A536" s="10">
        <v>143</v>
      </c>
      <c r="B536" s="10">
        <v>236</v>
      </c>
      <c r="C5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6" s="10"/>
      <c r="E536" s="10"/>
      <c r="F536" s="12">
        <f ca="1">(RANDBETWEEN(0,50)/100)*(dict_DQ_Meth_max[[#This Row],[Vergleich_ub]]-dict_DQ_Meth_max[[#This Row],[Vergleich_lb]])+dict_DQ_Meth_max[[#This Row],[Vergleich_lb]]</f>
        <v>0.9</v>
      </c>
      <c r="G536" s="12">
        <f ca="1">(RANDBETWEEN(50,100)/100)*(dict_DQ_Meth_max[[#This Row],[Vergleich_ub]]-dict_DQ_Meth_max[[#This Row],[Vergleich_lb]])+dict_DQ_Meth_max[[#This Row],[Vergleich_lb]]</f>
        <v>4.8760000000000003</v>
      </c>
      <c r="H536" s="11" t="str">
        <f ca="1">VLOOKUP(VLOOKUP(dict_DQ_Meth_max[[#This Row],[ID_DataQualities]],table_DataQualities[],3),table_Units[],2)</f>
        <v>+/- °C</v>
      </c>
      <c r="I536" s="10"/>
      <c r="J536" s="10"/>
      <c r="K536" s="10"/>
      <c r="L536" s="10">
        <f ca="1">VLOOKUP(dict_DQ_Meth_max[[#This Row],[ID_DataQualities]],table_DataQualities[],8,FALSE)</f>
        <v>0.9</v>
      </c>
      <c r="M536" s="10">
        <f ca="1">VLOOKUP(dict_DQ_Meth_max[[#This Row],[ID_DataQualities]],table_DataQualities[],9,FALSE)</f>
        <v>8</v>
      </c>
    </row>
    <row r="537" spans="1:13" x14ac:dyDescent="0.45">
      <c r="A537" s="10">
        <v>143</v>
      </c>
      <c r="B537" s="10">
        <v>159</v>
      </c>
      <c r="C5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7" s="10"/>
      <c r="E537" s="10"/>
      <c r="F537" s="12">
        <f ca="1">(RANDBETWEEN(0,50)/100)*(dict_DQ_Meth_max[[#This Row],[Vergleich_ub]]-dict_DQ_Meth_max[[#This Row],[Vergleich_lb]])+dict_DQ_Meth_max[[#This Row],[Vergleich_lb]]</f>
        <v>3.4559999999999995</v>
      </c>
      <c r="G537" s="12">
        <f ca="1">(RANDBETWEEN(50,100)/100)*(dict_DQ_Meth_max[[#This Row],[Vergleich_ub]]-dict_DQ_Meth_max[[#This Row],[Vergleich_lb]])+dict_DQ_Meth_max[[#This Row],[Vergleich_lb]]</f>
        <v>4.45</v>
      </c>
      <c r="H537" s="11" t="str">
        <f ca="1">VLOOKUP(VLOOKUP(dict_DQ_Meth_max[[#This Row],[ID_DataQualities]],table_DataQualities[],3),table_Units[],2)</f>
        <v>+/- °C</v>
      </c>
      <c r="I537" s="10"/>
      <c r="J537" s="10"/>
      <c r="K537" s="10"/>
      <c r="L537" s="10">
        <f ca="1">VLOOKUP(dict_DQ_Meth_max[[#This Row],[ID_DataQualities]],table_DataQualities[],8,FALSE)</f>
        <v>0.9</v>
      </c>
      <c r="M537" s="10">
        <f ca="1">VLOOKUP(dict_DQ_Meth_max[[#This Row],[ID_DataQualities]],table_DataQualities[],9,FALSE)</f>
        <v>8</v>
      </c>
    </row>
    <row r="538" spans="1:13" x14ac:dyDescent="0.45">
      <c r="A538" s="10">
        <v>143</v>
      </c>
      <c r="B538" s="10">
        <v>354</v>
      </c>
      <c r="C5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8" s="10"/>
      <c r="E538" s="10"/>
      <c r="F538" s="12">
        <f ca="1">(RANDBETWEEN(0,50)/100)*(dict_DQ_Meth_max[[#This Row],[Vergleich_ub]]-dict_DQ_Meth_max[[#This Row],[Vergleich_lb]])+dict_DQ_Meth_max[[#This Row],[Vergleich_lb]]</f>
        <v>1.5389999999999999</v>
      </c>
      <c r="G538" s="12">
        <f ca="1">(RANDBETWEEN(50,100)/100)*(dict_DQ_Meth_max[[#This Row],[Vergleich_ub]]-dict_DQ_Meth_max[[#This Row],[Vergleich_lb]])+dict_DQ_Meth_max[[#This Row],[Vergleich_lb]]</f>
        <v>7.3610000000000007</v>
      </c>
      <c r="H538" s="11" t="str">
        <f ca="1">VLOOKUP(VLOOKUP(dict_DQ_Meth_max[[#This Row],[ID_DataQualities]],table_DataQualities[],3),table_Units[],2)</f>
        <v>+/- °C</v>
      </c>
      <c r="I538" s="10"/>
      <c r="J538" s="10"/>
      <c r="K538" s="10"/>
      <c r="L538" s="10">
        <f ca="1">VLOOKUP(dict_DQ_Meth_max[[#This Row],[ID_DataQualities]],table_DataQualities[],8,FALSE)</f>
        <v>0.9</v>
      </c>
      <c r="M538" s="10">
        <f ca="1">VLOOKUP(dict_DQ_Meth_max[[#This Row],[ID_DataQualities]],table_DataQualities[],9,FALSE)</f>
        <v>8</v>
      </c>
    </row>
    <row r="539" spans="1:13" x14ac:dyDescent="0.45">
      <c r="A539" s="10">
        <v>143</v>
      </c>
      <c r="B539" s="10">
        <v>328</v>
      </c>
      <c r="C5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39" s="10"/>
      <c r="E539" s="10"/>
      <c r="F539" s="12">
        <f ca="1">(RANDBETWEEN(0,50)/100)*(dict_DQ_Meth_max[[#This Row],[Vergleich_ub]]-dict_DQ_Meth_max[[#This Row],[Vergleich_lb]])+dict_DQ_Meth_max[[#This Row],[Vergleich_lb]]</f>
        <v>4.3789999999999996</v>
      </c>
      <c r="G539" s="12">
        <f ca="1">(RANDBETWEEN(50,100)/100)*(dict_DQ_Meth_max[[#This Row],[Vergleich_ub]]-dict_DQ_Meth_max[[#This Row],[Vergleich_lb]])+dict_DQ_Meth_max[[#This Row],[Vergleich_lb]]</f>
        <v>5.0179999999999998</v>
      </c>
      <c r="H539" s="11" t="str">
        <f ca="1">VLOOKUP(VLOOKUP(dict_DQ_Meth_max[[#This Row],[ID_DataQualities]],table_DataQualities[],3),table_Units[],2)</f>
        <v>+/- °C</v>
      </c>
      <c r="I539" s="10"/>
      <c r="J539" s="10"/>
      <c r="K539" s="10"/>
      <c r="L539" s="10">
        <f ca="1">VLOOKUP(dict_DQ_Meth_max[[#This Row],[ID_DataQualities]],table_DataQualities[],8,FALSE)</f>
        <v>0.9</v>
      </c>
      <c r="M539" s="10">
        <f ca="1">VLOOKUP(dict_DQ_Meth_max[[#This Row],[ID_DataQualities]],table_DataQualities[],9,FALSE)</f>
        <v>8</v>
      </c>
    </row>
    <row r="540" spans="1:13" x14ac:dyDescent="0.45">
      <c r="A540" s="10">
        <v>144</v>
      </c>
      <c r="B540" s="10">
        <v>509</v>
      </c>
      <c r="C5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0" s="10"/>
      <c r="E540" s="10"/>
      <c r="F540" s="12">
        <f ca="1">(RANDBETWEEN(0,50)/100)*(dict_DQ_Meth_max[[#This Row],[Vergleich_ub]]-dict_DQ_Meth_max[[#This Row],[Vergleich_lb]])+dict_DQ_Meth_max[[#This Row],[Vergleich_lb]]</f>
        <v>2223.78692</v>
      </c>
      <c r="G540" s="12">
        <f ca="1">(RANDBETWEEN(50,100)/100)*(dict_DQ_Meth_max[[#This Row],[Vergleich_ub]]-dict_DQ_Meth_max[[#This Row],[Vergleich_lb]])+dict_DQ_Meth_max[[#This Row],[Vergleich_lb]]</f>
        <v>3145.7669599999999</v>
      </c>
      <c r="H540" s="11" t="str">
        <f ca="1">VLOOKUP(VLOOKUP(dict_DQ_Meth_max[[#This Row],[ID_DataQualities]],table_DataQualities[],3),table_Units[],2)</f>
        <v>Hz</v>
      </c>
      <c r="I540" s="10"/>
      <c r="J540" s="10"/>
      <c r="K540" s="10"/>
      <c r="L540" s="10">
        <f ca="1">VLOOKUP(dict_DQ_Meth_max[[#This Row],[ID_DataQualities]],table_DataQualities[],8,FALSE)</f>
        <v>0.188</v>
      </c>
      <c r="M540" s="10">
        <f ca="1">VLOOKUP(dict_DQ_Meth_max[[#This Row],[ID_DataQualities]],table_DataQualities[],9,FALSE)</f>
        <v>5423.6</v>
      </c>
    </row>
    <row r="541" spans="1:13" x14ac:dyDescent="0.45">
      <c r="A541" s="10">
        <v>144</v>
      </c>
      <c r="B541" s="10">
        <v>427</v>
      </c>
      <c r="C5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1" s="10"/>
      <c r="E541" s="10"/>
      <c r="F541" s="12">
        <f ca="1">(RANDBETWEEN(0,50)/100)*(dict_DQ_Meth_max[[#This Row],[Vergleich_ub]]-dict_DQ_Meth_max[[#This Row],[Vergleich_lb]])+dict_DQ_Meth_max[[#This Row],[Vergleich_lb]]</f>
        <v>488.29507999999998</v>
      </c>
      <c r="G541" s="12">
        <f ca="1">(RANDBETWEEN(50,100)/100)*(dict_DQ_Meth_max[[#This Row],[Vergleich_ub]]-dict_DQ_Meth_max[[#This Row],[Vergleich_lb]])+dict_DQ_Meth_max[[#This Row],[Vergleich_lb]]</f>
        <v>2928.8304800000005</v>
      </c>
      <c r="H541" s="11" t="str">
        <f ca="1">VLOOKUP(VLOOKUP(dict_DQ_Meth_max[[#This Row],[ID_DataQualities]],table_DataQualities[],3),table_Units[],2)</f>
        <v>Hz</v>
      </c>
      <c r="I541" s="10"/>
      <c r="J541" s="10"/>
      <c r="K541" s="10"/>
      <c r="L541" s="10">
        <f ca="1">VLOOKUP(dict_DQ_Meth_max[[#This Row],[ID_DataQualities]],table_DataQualities[],8,FALSE)</f>
        <v>0.188</v>
      </c>
      <c r="M541" s="10">
        <f ca="1">VLOOKUP(dict_DQ_Meth_max[[#This Row],[ID_DataQualities]],table_DataQualities[],9,FALSE)</f>
        <v>5423.6</v>
      </c>
    </row>
    <row r="542" spans="1:13" x14ac:dyDescent="0.45">
      <c r="A542" s="10">
        <v>144</v>
      </c>
      <c r="B542" s="10">
        <v>572</v>
      </c>
      <c r="C5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2" s="10"/>
      <c r="E542" s="10"/>
      <c r="F542" s="12">
        <f ca="1">(RANDBETWEEN(0,50)/100)*(dict_DQ_Meth_max[[#This Row],[Vergleich_ub]]-dict_DQ_Meth_max[[#This Row],[Vergleich_lb]])+dict_DQ_Meth_max[[#This Row],[Vergleich_lb]]</f>
        <v>2223.78692</v>
      </c>
      <c r="G542" s="12">
        <f ca="1">(RANDBETWEEN(50,100)/100)*(dict_DQ_Meth_max[[#This Row],[Vergleich_ub]]-dict_DQ_Meth_max[[#This Row],[Vergleich_lb]])+dict_DQ_Meth_max[[#This Row],[Vergleich_lb]]</f>
        <v>4121.9811200000004</v>
      </c>
      <c r="H542" s="11" t="str">
        <f ca="1">VLOOKUP(VLOOKUP(dict_DQ_Meth_max[[#This Row],[ID_DataQualities]],table_DataQualities[],3),table_Units[],2)</f>
        <v>Hz</v>
      </c>
      <c r="I542" s="10"/>
      <c r="J542" s="10"/>
      <c r="K542" s="10"/>
      <c r="L542" s="10">
        <f ca="1">VLOOKUP(dict_DQ_Meth_max[[#This Row],[ID_DataQualities]],table_DataQualities[],8,FALSE)</f>
        <v>0.188</v>
      </c>
      <c r="M542" s="10">
        <f ca="1">VLOOKUP(dict_DQ_Meth_max[[#This Row],[ID_DataQualities]],table_DataQualities[],9,FALSE)</f>
        <v>5423.6</v>
      </c>
    </row>
    <row r="543" spans="1:13" x14ac:dyDescent="0.45">
      <c r="A543" s="10">
        <v>144</v>
      </c>
      <c r="B543" s="10">
        <v>10</v>
      </c>
      <c r="C5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3" s="10"/>
      <c r="E543" s="10"/>
      <c r="F543" s="12">
        <f ca="1">(RANDBETWEEN(0,50)/100)*(dict_DQ_Meth_max[[#This Row],[Vergleich_ub]]-dict_DQ_Meth_max[[#This Row],[Vergleich_lb]])+dict_DQ_Meth_max[[#This Row],[Vergleich_lb]]</f>
        <v>2278.0210400000001</v>
      </c>
      <c r="G543" s="12">
        <f ca="1">(RANDBETWEEN(50,100)/100)*(dict_DQ_Meth_max[[#This Row],[Vergleich_ub]]-dict_DQ_Meth_max[[#This Row],[Vergleich_lb]])+dict_DQ_Meth_max[[#This Row],[Vergleich_lb]]</f>
        <v>4067.7470000000003</v>
      </c>
      <c r="H543" s="11" t="str">
        <f ca="1">VLOOKUP(VLOOKUP(dict_DQ_Meth_max[[#This Row],[ID_DataQualities]],table_DataQualities[],3),table_Units[],2)</f>
        <v>Hz</v>
      </c>
      <c r="I543" s="10"/>
      <c r="J543" s="10"/>
      <c r="K543" s="10"/>
      <c r="L543" s="10">
        <f ca="1">VLOOKUP(dict_DQ_Meth_max[[#This Row],[ID_DataQualities]],table_DataQualities[],8,FALSE)</f>
        <v>0.188</v>
      </c>
      <c r="M543" s="10">
        <f ca="1">VLOOKUP(dict_DQ_Meth_max[[#This Row],[ID_DataQualities]],table_DataQualities[],9,FALSE)</f>
        <v>5423.6</v>
      </c>
    </row>
    <row r="544" spans="1:13" x14ac:dyDescent="0.45">
      <c r="A544" s="10">
        <v>145</v>
      </c>
      <c r="B544" s="10">
        <v>427</v>
      </c>
      <c r="C5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4" s="10"/>
      <c r="E544" s="10"/>
      <c r="F544" s="12">
        <f ca="1">(RANDBETWEEN(0,50)/100)*(dict_DQ_Meth_max[[#This Row],[Vergleich_ub]]-dict_DQ_Meth_max[[#This Row],[Vergleich_lb]])+dict_DQ_Meth_max[[#This Row],[Vergleich_lb]]</f>
        <v>3686</v>
      </c>
      <c r="G544" s="12">
        <f ca="1">(RANDBETWEEN(50,100)/100)*(dict_DQ_Meth_max[[#This Row],[Vergleich_ub]]-dict_DQ_Meth_max[[#This Row],[Vergleich_lb]])+dict_DQ_Meth_max[[#This Row],[Vergleich_lb]]</f>
        <v>6874.5</v>
      </c>
      <c r="H544" s="11" t="str">
        <f ca="1">VLOOKUP(VLOOKUP(dict_DQ_Meth_max[[#This Row],[ID_DataQualities]],table_DataQualities[],3),table_Units[],2)</f>
        <v>bit</v>
      </c>
      <c r="I544" s="10"/>
      <c r="J544" s="10"/>
      <c r="K544" s="10"/>
      <c r="L544" s="10">
        <f ca="1">VLOOKUP(dict_DQ_Meth_max[[#This Row],[ID_DataQualities]],table_DataQualities[],8,FALSE)</f>
        <v>42</v>
      </c>
      <c r="M544" s="10">
        <f ca="1">VLOOKUP(dict_DQ_Meth_max[[#This Row],[ID_DataQualities]],table_DataQualities[],9,FALSE)</f>
        <v>9152</v>
      </c>
    </row>
    <row r="545" spans="1:13" x14ac:dyDescent="0.45">
      <c r="A545" s="10">
        <v>145</v>
      </c>
      <c r="B545" s="10">
        <v>509</v>
      </c>
      <c r="C5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5" s="10"/>
      <c r="E545" s="10"/>
      <c r="F545" s="12">
        <f ca="1">(RANDBETWEEN(0,50)/100)*(dict_DQ_Meth_max[[#This Row],[Vergleich_ub]]-dict_DQ_Meth_max[[#This Row],[Vergleich_lb]])+dict_DQ_Meth_max[[#This Row],[Vergleich_lb]]</f>
        <v>2957.2000000000003</v>
      </c>
      <c r="G545" s="12">
        <f ca="1">(RANDBETWEEN(50,100)/100)*(dict_DQ_Meth_max[[#This Row],[Vergleich_ub]]-dict_DQ_Meth_max[[#This Row],[Vergleich_lb]])+dict_DQ_Meth_max[[#This Row],[Vergleich_lb]]</f>
        <v>6874.5</v>
      </c>
      <c r="H545" s="11" t="str">
        <f ca="1">VLOOKUP(VLOOKUP(dict_DQ_Meth_max[[#This Row],[ID_DataQualities]],table_DataQualities[],3),table_Units[],2)</f>
        <v>bit</v>
      </c>
      <c r="I545" s="10"/>
      <c r="J545" s="10"/>
      <c r="K545" s="10"/>
      <c r="L545" s="10">
        <f ca="1">VLOOKUP(dict_DQ_Meth_max[[#This Row],[ID_DataQualities]],table_DataQualities[],8,FALSE)</f>
        <v>42</v>
      </c>
      <c r="M545" s="10">
        <f ca="1">VLOOKUP(dict_DQ_Meth_max[[#This Row],[ID_DataQualities]],table_DataQualities[],9,FALSE)</f>
        <v>9152</v>
      </c>
    </row>
    <row r="546" spans="1:13" x14ac:dyDescent="0.45">
      <c r="A546" s="10">
        <v>145</v>
      </c>
      <c r="B546" s="10">
        <v>10</v>
      </c>
      <c r="C5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6" s="10"/>
      <c r="E546" s="10"/>
      <c r="F546" s="12">
        <f ca="1">(RANDBETWEEN(0,50)/100)*(dict_DQ_Meth_max[[#This Row],[Vergleich_ub]]-dict_DQ_Meth_max[[#This Row],[Vergleich_lb]])+dict_DQ_Meth_max[[#This Row],[Vergleich_lb]]</f>
        <v>3321.6</v>
      </c>
      <c r="G546" s="12">
        <f ca="1">(RANDBETWEEN(50,100)/100)*(dict_DQ_Meth_max[[#This Row],[Vergleich_ub]]-dict_DQ_Meth_max[[#This Row],[Vergleich_lb]])+dict_DQ_Meth_max[[#This Row],[Vergleich_lb]]</f>
        <v>6692.3</v>
      </c>
      <c r="H546" s="11" t="str">
        <f ca="1">VLOOKUP(VLOOKUP(dict_DQ_Meth_max[[#This Row],[ID_DataQualities]],table_DataQualities[],3),table_Units[],2)</f>
        <v>bit</v>
      </c>
      <c r="I546" s="10"/>
      <c r="J546" s="10"/>
      <c r="K546" s="10"/>
      <c r="L546" s="10">
        <f ca="1">VLOOKUP(dict_DQ_Meth_max[[#This Row],[ID_DataQualities]],table_DataQualities[],8,FALSE)</f>
        <v>42</v>
      </c>
      <c r="M546" s="10">
        <f ca="1">VLOOKUP(dict_DQ_Meth_max[[#This Row],[ID_DataQualities]],table_DataQualities[],9,FALSE)</f>
        <v>9152</v>
      </c>
    </row>
    <row r="547" spans="1:13" x14ac:dyDescent="0.45">
      <c r="A547" s="10">
        <v>145</v>
      </c>
      <c r="B547" s="10">
        <v>572</v>
      </c>
      <c r="C5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7" s="10"/>
      <c r="E547" s="10"/>
      <c r="F547" s="12">
        <f ca="1">(RANDBETWEEN(0,50)/100)*(dict_DQ_Meth_max[[#This Row],[Vergleich_ub]]-dict_DQ_Meth_max[[#This Row],[Vergleich_lb]])+dict_DQ_Meth_max[[#This Row],[Vergleich_lb]]</f>
        <v>4050.4</v>
      </c>
      <c r="G547" s="12">
        <f ca="1">(RANDBETWEEN(50,100)/100)*(dict_DQ_Meth_max[[#This Row],[Vergleich_ub]]-dict_DQ_Meth_max[[#This Row],[Vergleich_lb]])+dict_DQ_Meth_max[[#This Row],[Vergleich_lb]]</f>
        <v>5508</v>
      </c>
      <c r="H547" s="11" t="str">
        <f ca="1">VLOOKUP(VLOOKUP(dict_DQ_Meth_max[[#This Row],[ID_DataQualities]],table_DataQualities[],3),table_Units[],2)</f>
        <v>bit</v>
      </c>
      <c r="I547" s="10"/>
      <c r="J547" s="10"/>
      <c r="K547" s="10"/>
      <c r="L547" s="10">
        <f ca="1">VLOOKUP(dict_DQ_Meth_max[[#This Row],[ID_DataQualities]],table_DataQualities[],8,FALSE)</f>
        <v>42</v>
      </c>
      <c r="M547" s="10">
        <f ca="1">VLOOKUP(dict_DQ_Meth_max[[#This Row],[ID_DataQualities]],table_DataQualities[],9,FALSE)</f>
        <v>9152</v>
      </c>
    </row>
    <row r="548" spans="1:13" x14ac:dyDescent="0.45">
      <c r="A548" s="10">
        <v>146</v>
      </c>
      <c r="B548" s="10">
        <v>671</v>
      </c>
      <c r="C5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8" s="10"/>
      <c r="E548" s="10"/>
      <c r="F548" s="12">
        <f ca="1">(RANDBETWEEN(0,50)/100)*(dict_DQ_Meth_max[[#This Row],[Vergleich_ub]]-dict_DQ_Meth_max[[#This Row],[Vergleich_lb]])+dict_DQ_Meth_max[[#This Row],[Vergleich_lb]]</f>
        <v>1943.6151200000002</v>
      </c>
      <c r="G548" s="12">
        <f ca="1">(RANDBETWEEN(50,100)/100)*(dict_DQ_Meth_max[[#This Row],[Vergleich_ub]]-dict_DQ_Meth_max[[#This Row],[Vergleich_lb]])+dict_DQ_Meth_max[[#This Row],[Vergleich_lb]]</f>
        <v>4704.9180800000004</v>
      </c>
      <c r="H548" s="11" t="str">
        <f ca="1">VLOOKUP(VLOOKUP(dict_DQ_Meth_max[[#This Row],[ID_DataQualities]],table_DataQualities[],3),table_Units[],2)</f>
        <v>Hz</v>
      </c>
      <c r="I548" s="10"/>
      <c r="J548" s="10"/>
      <c r="K548" s="10"/>
      <c r="L548" s="10">
        <f ca="1">VLOOKUP(dict_DQ_Meth_max[[#This Row],[ID_DataQualities]],table_DataQualities[],8,FALSE)</f>
        <v>0.47599999999999998</v>
      </c>
      <c r="M548" s="10">
        <f ca="1">VLOOKUP(dict_DQ_Meth_max[[#This Row],[ID_DataQualities]],table_DataQualities[],9,FALSE)</f>
        <v>5114</v>
      </c>
    </row>
    <row r="549" spans="1:13" x14ac:dyDescent="0.45">
      <c r="A549" s="10">
        <v>146</v>
      </c>
      <c r="B549" s="10">
        <v>430</v>
      </c>
      <c r="C5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49" s="10"/>
      <c r="E549" s="10"/>
      <c r="F549" s="12">
        <f ca="1">(RANDBETWEEN(0,50)/100)*(dict_DQ_Meth_max[[#This Row],[Vergleich_ub]]-dict_DQ_Meth_max[[#This Row],[Vergleich_lb]])+dict_DQ_Meth_max[[#This Row],[Vergleich_lb]]</f>
        <v>614.09888000000001</v>
      </c>
      <c r="G549" s="12">
        <f ca="1">(RANDBETWEEN(50,100)/100)*(dict_DQ_Meth_max[[#This Row],[Vergleich_ub]]-dict_DQ_Meth_max[[#This Row],[Vergleich_lb]])+dict_DQ_Meth_max[[#This Row],[Vergleich_lb]]</f>
        <v>4142.4304400000001</v>
      </c>
      <c r="H549" s="11" t="str">
        <f ca="1">VLOOKUP(VLOOKUP(dict_DQ_Meth_max[[#This Row],[ID_DataQualities]],table_DataQualities[],3),table_Units[],2)</f>
        <v>Hz</v>
      </c>
      <c r="I549" s="10"/>
      <c r="J549" s="10"/>
      <c r="K549" s="10"/>
      <c r="L549" s="10">
        <f ca="1">VLOOKUP(dict_DQ_Meth_max[[#This Row],[ID_DataQualities]],table_DataQualities[],8,FALSE)</f>
        <v>0.47599999999999998</v>
      </c>
      <c r="M549" s="10">
        <f ca="1">VLOOKUP(dict_DQ_Meth_max[[#This Row],[ID_DataQualities]],table_DataQualities[],9,FALSE)</f>
        <v>5114</v>
      </c>
    </row>
    <row r="550" spans="1:13" x14ac:dyDescent="0.45">
      <c r="A550" s="10">
        <v>146</v>
      </c>
      <c r="B550" s="10">
        <v>123</v>
      </c>
      <c r="C5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0" s="10"/>
      <c r="E550" s="10"/>
      <c r="F550" s="12">
        <f ca="1">(RANDBETWEEN(0,50)/100)*(dict_DQ_Meth_max[[#This Row],[Vergleich_ub]]-dict_DQ_Meth_max[[#This Row],[Vergleich_lb]])+dict_DQ_Meth_max[[#This Row],[Vergleich_lb]]</f>
        <v>2403.8322800000001</v>
      </c>
      <c r="G550" s="12">
        <f ca="1">(RANDBETWEEN(50,100)/100)*(dict_DQ_Meth_max[[#This Row],[Vergleich_ub]]-dict_DQ_Meth_max[[#This Row],[Vergleich_lb]])+dict_DQ_Meth_max[[#This Row],[Vergleich_lb]]</f>
        <v>2915.1846799999998</v>
      </c>
      <c r="H550" s="11" t="str">
        <f ca="1">VLOOKUP(VLOOKUP(dict_DQ_Meth_max[[#This Row],[ID_DataQualities]],table_DataQualities[],3),table_Units[],2)</f>
        <v>Hz</v>
      </c>
      <c r="I550" s="10"/>
      <c r="J550" s="10"/>
      <c r="K550" s="10"/>
      <c r="L550" s="10">
        <f ca="1">VLOOKUP(dict_DQ_Meth_max[[#This Row],[ID_DataQualities]],table_DataQualities[],8,FALSE)</f>
        <v>0.47599999999999998</v>
      </c>
      <c r="M550" s="10">
        <f ca="1">VLOOKUP(dict_DQ_Meth_max[[#This Row],[ID_DataQualities]],table_DataQualities[],9,FALSE)</f>
        <v>5114</v>
      </c>
    </row>
    <row r="551" spans="1:13" x14ac:dyDescent="0.45">
      <c r="A551" s="10">
        <v>147</v>
      </c>
      <c r="B551" s="10">
        <v>123</v>
      </c>
      <c r="C5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1" s="10"/>
      <c r="E551" s="10"/>
      <c r="F551" s="12">
        <f ca="1">(RANDBETWEEN(0,50)/100)*(dict_DQ_Meth_max[[#This Row],[Vergleich_ub]]-dict_DQ_Meth_max[[#This Row],[Vergleich_lb]])+dict_DQ_Meth_max[[#This Row],[Vergleich_lb]]</f>
        <v>169.36</v>
      </c>
      <c r="G551" s="12">
        <f ca="1">(RANDBETWEEN(50,100)/100)*(dict_DQ_Meth_max[[#This Row],[Vergleich_ub]]-dict_DQ_Meth_max[[#This Row],[Vergleich_lb]])+dict_DQ_Meth_max[[#This Row],[Vergleich_lb]]</f>
        <v>2624.64</v>
      </c>
      <c r="H551" s="11" t="str">
        <f ca="1">VLOOKUP(VLOOKUP(dict_DQ_Meth_max[[#This Row],[ID_DataQualities]],table_DataQualities[],3),table_Units[],2)</f>
        <v>bit</v>
      </c>
      <c r="I551" s="10"/>
      <c r="J551" s="10"/>
      <c r="K551" s="10"/>
      <c r="L551" s="10">
        <f ca="1">VLOOKUP(dict_DQ_Meth_max[[#This Row],[ID_DataQualities]],table_DataQualities[],8,FALSE)</f>
        <v>91</v>
      </c>
      <c r="M551" s="10">
        <f ca="1">VLOOKUP(dict_DQ_Meth_max[[#This Row],[ID_DataQualities]],table_DataQualities[],9,FALSE)</f>
        <v>2703</v>
      </c>
    </row>
    <row r="552" spans="1:13" x14ac:dyDescent="0.45">
      <c r="A552" s="10">
        <v>147</v>
      </c>
      <c r="B552" s="10">
        <v>671</v>
      </c>
      <c r="C5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2" s="10"/>
      <c r="E552" s="10"/>
      <c r="F552" s="12">
        <f ca="1">(RANDBETWEEN(0,50)/100)*(dict_DQ_Meth_max[[#This Row],[Vergleich_ub]]-dict_DQ_Meth_max[[#This Row],[Vergleich_lb]])+dict_DQ_Meth_max[[#This Row],[Vergleich_lb]]</f>
        <v>952.96</v>
      </c>
      <c r="G552" s="12">
        <f ca="1">(RANDBETWEEN(50,100)/100)*(dict_DQ_Meth_max[[#This Row],[Vergleich_ub]]-dict_DQ_Meth_max[[#This Row],[Vergleich_lb]])+dict_DQ_Meth_max[[#This Row],[Vergleich_lb]]</f>
        <v>1579.84</v>
      </c>
      <c r="H552" s="11" t="str">
        <f ca="1">VLOOKUP(VLOOKUP(dict_DQ_Meth_max[[#This Row],[ID_DataQualities]],table_DataQualities[],3),table_Units[],2)</f>
        <v>bit</v>
      </c>
      <c r="I552" s="10"/>
      <c r="J552" s="10"/>
      <c r="K552" s="10"/>
      <c r="L552" s="10">
        <f ca="1">VLOOKUP(dict_DQ_Meth_max[[#This Row],[ID_DataQualities]],table_DataQualities[],8,FALSE)</f>
        <v>91</v>
      </c>
      <c r="M552" s="10">
        <f ca="1">VLOOKUP(dict_DQ_Meth_max[[#This Row],[ID_DataQualities]],table_DataQualities[],9,FALSE)</f>
        <v>2703</v>
      </c>
    </row>
    <row r="553" spans="1:13" x14ac:dyDescent="0.45">
      <c r="A553" s="10">
        <v>147</v>
      </c>
      <c r="B553" s="10">
        <v>430</v>
      </c>
      <c r="C5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3" s="10"/>
      <c r="E553" s="10"/>
      <c r="F553" s="12">
        <f ca="1">(RANDBETWEEN(0,50)/100)*(dict_DQ_Meth_max[[#This Row],[Vergleich_ub]]-dict_DQ_Meth_max[[#This Row],[Vergleich_lb]])+dict_DQ_Meth_max[[#This Row],[Vergleich_lb]]</f>
        <v>352.2</v>
      </c>
      <c r="G553" s="12">
        <f ca="1">(RANDBETWEEN(50,100)/100)*(dict_DQ_Meth_max[[#This Row],[Vergleich_ub]]-dict_DQ_Meth_max[[#This Row],[Vergleich_lb]])+dict_DQ_Meth_max[[#This Row],[Vergleich_lb]]</f>
        <v>2703</v>
      </c>
      <c r="H553" s="11" t="str">
        <f ca="1">VLOOKUP(VLOOKUP(dict_DQ_Meth_max[[#This Row],[ID_DataQualities]],table_DataQualities[],3),table_Units[],2)</f>
        <v>bit</v>
      </c>
      <c r="I553" s="10"/>
      <c r="J553" s="10"/>
      <c r="K553" s="10"/>
      <c r="L553" s="10">
        <f ca="1">VLOOKUP(dict_DQ_Meth_max[[#This Row],[ID_DataQualities]],table_DataQualities[],8,FALSE)</f>
        <v>91</v>
      </c>
      <c r="M553" s="10">
        <f ca="1">VLOOKUP(dict_DQ_Meth_max[[#This Row],[ID_DataQualities]],table_DataQualities[],9,FALSE)</f>
        <v>2703</v>
      </c>
    </row>
    <row r="554" spans="1:13" x14ac:dyDescent="0.45">
      <c r="A554" s="10">
        <v>148</v>
      </c>
      <c r="B554" s="10">
        <v>388</v>
      </c>
      <c r="C5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4" s="10"/>
      <c r="E554" s="10"/>
      <c r="F554" s="12">
        <f ca="1">(RANDBETWEEN(0,50)/100)*(dict_DQ_Meth_max[[#This Row],[Vergleich_ub]]-dict_DQ_Meth_max[[#This Row],[Vergleich_lb]])+dict_DQ_Meth_max[[#This Row],[Vergleich_lb]]</f>
        <v>119.87309000000002</v>
      </c>
      <c r="G554" s="12">
        <f ca="1">(RANDBETWEEN(50,100)/100)*(dict_DQ_Meth_max[[#This Row],[Vergleich_ub]]-dict_DQ_Meth_max[[#This Row],[Vergleich_lb]])+dict_DQ_Meth_max[[#This Row],[Vergleich_lb]]</f>
        <v>1523.9484299999999</v>
      </c>
      <c r="H554" s="11" t="str">
        <f ca="1">VLOOKUP(VLOOKUP(dict_DQ_Meth_max[[#This Row],[ID_DataQualities]],table_DataQualities[],3),table_Units[],2)</f>
        <v>Hz</v>
      </c>
      <c r="I554" s="10"/>
      <c r="J554" s="10"/>
      <c r="K554" s="10"/>
      <c r="L554" s="10">
        <f ca="1">VLOOKUP(dict_DQ_Meth_max[[#This Row],[ID_DataQualities]],table_DataQualities[],8,FALSE)</f>
        <v>1.2999999999999999E-2</v>
      </c>
      <c r="M554" s="10">
        <f ca="1">VLOOKUP(dict_DQ_Meth_max[[#This Row],[ID_DataQualities]],table_DataQualities[],9,FALSE)</f>
        <v>1712.3</v>
      </c>
    </row>
    <row r="555" spans="1:13" x14ac:dyDescent="0.45">
      <c r="A555" s="10">
        <v>148</v>
      </c>
      <c r="B555" s="10">
        <v>33</v>
      </c>
      <c r="C5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5" s="10"/>
      <c r="E555" s="10"/>
      <c r="F555" s="12">
        <f ca="1">(RANDBETWEEN(0,50)/100)*(dict_DQ_Meth_max[[#This Row],[Vergleich_ub]]-dict_DQ_Meth_max[[#This Row],[Vergleich_lb]])+dict_DQ_Meth_max[[#This Row],[Vergleich_lb]]</f>
        <v>684.92780000000005</v>
      </c>
      <c r="G555" s="12">
        <f ca="1">(RANDBETWEEN(50,100)/100)*(dict_DQ_Meth_max[[#This Row],[Vergleich_ub]]-dict_DQ_Meth_max[[#This Row],[Vergleich_lb]])+dict_DQ_Meth_max[[#This Row],[Vergleich_lb]]</f>
        <v>1541.0713000000001</v>
      </c>
      <c r="H555" s="11" t="str">
        <f ca="1">VLOOKUP(VLOOKUP(dict_DQ_Meth_max[[#This Row],[ID_DataQualities]],table_DataQualities[],3),table_Units[],2)</f>
        <v>Hz</v>
      </c>
      <c r="I555" s="10"/>
      <c r="J555" s="10"/>
      <c r="K555" s="10"/>
      <c r="L555" s="10">
        <f ca="1">VLOOKUP(dict_DQ_Meth_max[[#This Row],[ID_DataQualities]],table_DataQualities[],8,FALSE)</f>
        <v>1.2999999999999999E-2</v>
      </c>
      <c r="M555" s="10">
        <f ca="1">VLOOKUP(dict_DQ_Meth_max[[#This Row],[ID_DataQualities]],table_DataQualities[],9,FALSE)</f>
        <v>1712.3</v>
      </c>
    </row>
    <row r="556" spans="1:13" x14ac:dyDescent="0.45">
      <c r="A556" s="10">
        <v>148</v>
      </c>
      <c r="B556" s="10">
        <v>122</v>
      </c>
      <c r="C5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6" s="10"/>
      <c r="E556" s="10"/>
      <c r="F556" s="12">
        <f ca="1">(RANDBETWEEN(0,50)/100)*(dict_DQ_Meth_max[[#This Row],[Vergleich_ub]]-dict_DQ_Meth_max[[#This Row],[Vergleich_lb]])+dict_DQ_Meth_max[[#This Row],[Vergleich_lb]]</f>
        <v>256.85604999999998</v>
      </c>
      <c r="G556" s="12">
        <f ca="1">(RANDBETWEEN(50,100)/100)*(dict_DQ_Meth_max[[#This Row],[Vergleich_ub]]-dict_DQ_Meth_max[[#This Row],[Vergleich_lb]])+dict_DQ_Meth_max[[#This Row],[Vergleich_lb]]</f>
        <v>856.15650000000005</v>
      </c>
      <c r="H556" s="11" t="str">
        <f ca="1">VLOOKUP(VLOOKUP(dict_DQ_Meth_max[[#This Row],[ID_DataQualities]],table_DataQualities[],3),table_Units[],2)</f>
        <v>Hz</v>
      </c>
      <c r="I556" s="10"/>
      <c r="J556" s="10"/>
      <c r="K556" s="10"/>
      <c r="L556" s="10">
        <f ca="1">VLOOKUP(dict_DQ_Meth_max[[#This Row],[ID_DataQualities]],table_DataQualities[],8,FALSE)</f>
        <v>1.2999999999999999E-2</v>
      </c>
      <c r="M556" s="10">
        <f ca="1">VLOOKUP(dict_DQ_Meth_max[[#This Row],[ID_DataQualities]],table_DataQualities[],9,FALSE)</f>
        <v>1712.3</v>
      </c>
    </row>
    <row r="557" spans="1:13" x14ac:dyDescent="0.45">
      <c r="A557" s="10">
        <v>149</v>
      </c>
      <c r="B557" s="10">
        <v>33</v>
      </c>
      <c r="C5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7" s="10"/>
      <c r="E557" s="10"/>
      <c r="F557" s="12">
        <f ca="1">(RANDBETWEEN(0,50)/100)*(dict_DQ_Meth_max[[#This Row],[Vergleich_ub]]-dict_DQ_Meth_max[[#This Row],[Vergleich_lb]])+dict_DQ_Meth_max[[#This Row],[Vergleich_lb]]</f>
        <v>0.18781</v>
      </c>
      <c r="G557" s="12">
        <f ca="1">(RANDBETWEEN(50,100)/100)*(dict_DQ_Meth_max[[#This Row],[Vergleich_ub]]-dict_DQ_Meth_max[[#This Row],[Vergleich_lb]])+dict_DQ_Meth_max[[#This Row],[Vergleich_lb]]</f>
        <v>2.2800400000000001</v>
      </c>
      <c r="H557" s="11" t="str">
        <f ca="1">VLOOKUP(VLOOKUP(dict_DQ_Meth_max[[#This Row],[ID_DataQualities]],table_DataQualities[],3),table_Units[],2)</f>
        <v>+/- W</v>
      </c>
      <c r="I557" s="10"/>
      <c r="J557" s="10"/>
      <c r="K557" s="10"/>
      <c r="L557" s="10">
        <f ca="1">VLOOKUP(dict_DQ_Meth_max[[#This Row],[ID_DataQualities]],table_DataQualities[],8,FALSE)</f>
        <v>7.0000000000000001E-3</v>
      </c>
      <c r="M557" s="10">
        <f ca="1">VLOOKUP(dict_DQ_Meth_max[[#This Row],[ID_DataQualities]],table_DataQualities[],9,FALSE)</f>
        <v>2.59</v>
      </c>
    </row>
    <row r="558" spans="1:13" x14ac:dyDescent="0.45">
      <c r="A558" s="10">
        <v>149</v>
      </c>
      <c r="B558" s="10">
        <v>122</v>
      </c>
      <c r="C5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8" s="10"/>
      <c r="E558" s="10"/>
      <c r="F558" s="12">
        <f ca="1">(RANDBETWEEN(0,50)/100)*(dict_DQ_Meth_max[[#This Row],[Vergleich_ub]]-dict_DQ_Meth_max[[#This Row],[Vergleich_lb]])+dict_DQ_Meth_max[[#This Row],[Vergleich_lb]]</f>
        <v>1.1176899999999999</v>
      </c>
      <c r="G558" s="12">
        <f ca="1">(RANDBETWEEN(50,100)/100)*(dict_DQ_Meth_max[[#This Row],[Vergleich_ub]]-dict_DQ_Meth_max[[#This Row],[Vergleich_lb]])+dict_DQ_Meth_max[[#This Row],[Vergleich_lb]]</f>
        <v>1.4276499999999999</v>
      </c>
      <c r="H558" s="11" t="str">
        <f ca="1">VLOOKUP(VLOOKUP(dict_DQ_Meth_max[[#This Row],[ID_DataQualities]],table_DataQualities[],3),table_Units[],2)</f>
        <v>+/- W</v>
      </c>
      <c r="I558" s="10"/>
      <c r="J558" s="10"/>
      <c r="K558" s="10"/>
      <c r="L558" s="10">
        <f ca="1">VLOOKUP(dict_DQ_Meth_max[[#This Row],[ID_DataQualities]],table_DataQualities[],8,FALSE)</f>
        <v>7.0000000000000001E-3</v>
      </c>
      <c r="M558" s="10">
        <f ca="1">VLOOKUP(dict_DQ_Meth_max[[#This Row],[ID_DataQualities]],table_DataQualities[],9,FALSE)</f>
        <v>2.59</v>
      </c>
    </row>
    <row r="559" spans="1:13" x14ac:dyDescent="0.45">
      <c r="A559" s="10">
        <v>149</v>
      </c>
      <c r="B559" s="10">
        <v>388</v>
      </c>
      <c r="C5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59" s="10"/>
      <c r="E559" s="10"/>
      <c r="F559" s="12">
        <f ca="1">(RANDBETWEEN(0,50)/100)*(dict_DQ_Meth_max[[#This Row],[Vergleich_ub]]-dict_DQ_Meth_max[[#This Row],[Vergleich_lb]])+dict_DQ_Meth_max[[#This Row],[Vergleich_lb]]</f>
        <v>0.26529999999999998</v>
      </c>
      <c r="G559" s="12">
        <f ca="1">(RANDBETWEEN(50,100)/100)*(dict_DQ_Meth_max[[#This Row],[Vergleich_ub]]-dict_DQ_Meth_max[[#This Row],[Vergleich_lb]])+dict_DQ_Meth_max[[#This Row],[Vergleich_lb]]</f>
        <v>2.20255</v>
      </c>
      <c r="H559" s="11" t="str">
        <f ca="1">VLOOKUP(VLOOKUP(dict_DQ_Meth_max[[#This Row],[ID_DataQualities]],table_DataQualities[],3),table_Units[],2)</f>
        <v>+/- W</v>
      </c>
      <c r="I559" s="10"/>
      <c r="J559" s="10"/>
      <c r="K559" s="10"/>
      <c r="L559" s="10">
        <f ca="1">VLOOKUP(dict_DQ_Meth_max[[#This Row],[ID_DataQualities]],table_DataQualities[],8,FALSE)</f>
        <v>7.0000000000000001E-3</v>
      </c>
      <c r="M559" s="10">
        <f ca="1">VLOOKUP(dict_DQ_Meth_max[[#This Row],[ID_DataQualities]],table_DataQualities[],9,FALSE)</f>
        <v>2.59</v>
      </c>
    </row>
    <row r="560" spans="1:13" x14ac:dyDescent="0.45">
      <c r="A560" s="10">
        <v>150</v>
      </c>
      <c r="B560" s="10">
        <v>628</v>
      </c>
      <c r="C5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0" s="10"/>
      <c r="E560" s="10"/>
      <c r="F560" s="12">
        <f ca="1">(RANDBETWEEN(0,50)/100)*(dict_DQ_Meth_max[[#This Row],[Vergleich_ub]]-dict_DQ_Meth_max[[#This Row],[Vergleich_lb]])+dict_DQ_Meth_max[[#This Row],[Vergleich_lb]]</f>
        <v>386.6335400000001</v>
      </c>
      <c r="G560" s="12">
        <f ca="1">(RANDBETWEEN(50,100)/100)*(dict_DQ_Meth_max[[#This Row],[Vergleich_ub]]-dict_DQ_Meth_max[[#This Row],[Vergleich_lb]])+dict_DQ_Meth_max[[#This Row],[Vergleich_lb]]</f>
        <v>1001.7494</v>
      </c>
      <c r="H560" s="11" t="str">
        <f ca="1">VLOOKUP(VLOOKUP(dict_DQ_Meth_max[[#This Row],[ID_DataQualities]],table_DataQualities[],3),table_Units[],2)</f>
        <v>Hz</v>
      </c>
      <c r="I560" s="10"/>
      <c r="J560" s="10"/>
      <c r="K560" s="10"/>
      <c r="L560" s="10">
        <f ca="1">VLOOKUP(dict_DQ_Meth_max[[#This Row],[ID_DataQualities]],table_DataQualities[],8,FALSE)</f>
        <v>0.39800000000000002</v>
      </c>
      <c r="M560" s="10">
        <f ca="1">VLOOKUP(dict_DQ_Meth_max[[#This Row],[ID_DataQualities]],table_DataQualities[],9,FALSE)</f>
        <v>1430.9</v>
      </c>
    </row>
    <row r="561" spans="1:13" x14ac:dyDescent="0.45">
      <c r="A561" s="10">
        <v>150</v>
      </c>
      <c r="B561" s="10">
        <v>690</v>
      </c>
      <c r="C5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1" s="10"/>
      <c r="E561" s="10"/>
      <c r="F561" s="12">
        <f ca="1">(RANDBETWEEN(0,50)/100)*(dict_DQ_Meth_max[[#This Row],[Vergleich_ub]]-dict_DQ_Meth_max[[#This Row],[Vergleich_lb]])+dict_DQ_Meth_max[[#This Row],[Vergleich_lb]]</f>
        <v>572.5988000000001</v>
      </c>
      <c r="G561" s="12">
        <f ca="1">(RANDBETWEEN(50,100)/100)*(dict_DQ_Meth_max[[#This Row],[Vergleich_ub]]-dict_DQ_Meth_max[[#This Row],[Vergleich_lb]])+dict_DQ_Meth_max[[#This Row],[Vergleich_lb]]</f>
        <v>787.17410000000018</v>
      </c>
      <c r="H561" s="11" t="str">
        <f ca="1">VLOOKUP(VLOOKUP(dict_DQ_Meth_max[[#This Row],[ID_DataQualities]],table_DataQualities[],3),table_Units[],2)</f>
        <v>Hz</v>
      </c>
      <c r="I561" s="10"/>
      <c r="J561" s="10"/>
      <c r="K561" s="10"/>
      <c r="L561" s="10">
        <f ca="1">VLOOKUP(dict_DQ_Meth_max[[#This Row],[ID_DataQualities]],table_DataQualities[],8,FALSE)</f>
        <v>0.39800000000000002</v>
      </c>
      <c r="M561" s="10">
        <f ca="1">VLOOKUP(dict_DQ_Meth_max[[#This Row],[ID_DataQualities]],table_DataQualities[],9,FALSE)</f>
        <v>1430.9</v>
      </c>
    </row>
    <row r="562" spans="1:13" x14ac:dyDescent="0.45">
      <c r="A562" s="10">
        <v>150</v>
      </c>
      <c r="B562" s="10">
        <v>12</v>
      </c>
      <c r="C5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2" s="10"/>
      <c r="E562" s="10"/>
      <c r="F562" s="12">
        <f ca="1">(RANDBETWEEN(0,50)/100)*(dict_DQ_Meth_max[[#This Row],[Vergleich_ub]]-dict_DQ_Meth_max[[#This Row],[Vergleich_lb]])+dict_DQ_Meth_max[[#This Row],[Vergleich_lb]]</f>
        <v>472.46366000000012</v>
      </c>
      <c r="G562" s="12">
        <f ca="1">(RANDBETWEEN(50,100)/100)*(dict_DQ_Meth_max[[#This Row],[Vergleich_ub]]-dict_DQ_Meth_max[[#This Row],[Vergleich_lb]])+dict_DQ_Meth_max[[#This Row],[Vergleich_lb]]</f>
        <v>772.86908000000017</v>
      </c>
      <c r="H562" s="11" t="str">
        <f ca="1">VLOOKUP(VLOOKUP(dict_DQ_Meth_max[[#This Row],[ID_DataQualities]],table_DataQualities[],3),table_Units[],2)</f>
        <v>Hz</v>
      </c>
      <c r="I562" s="10"/>
      <c r="J562" s="10"/>
      <c r="K562" s="10"/>
      <c r="L562" s="10">
        <f ca="1">VLOOKUP(dict_DQ_Meth_max[[#This Row],[ID_DataQualities]],table_DataQualities[],8,FALSE)</f>
        <v>0.39800000000000002</v>
      </c>
      <c r="M562" s="10">
        <f ca="1">VLOOKUP(dict_DQ_Meth_max[[#This Row],[ID_DataQualities]],table_DataQualities[],9,FALSE)</f>
        <v>1430.9</v>
      </c>
    </row>
    <row r="563" spans="1:13" x14ac:dyDescent="0.45">
      <c r="A563" s="10">
        <v>150</v>
      </c>
      <c r="B563" s="10">
        <v>101</v>
      </c>
      <c r="C5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3" s="10"/>
      <c r="E563" s="10"/>
      <c r="F563" s="12">
        <f ca="1">(RANDBETWEEN(0,50)/100)*(dict_DQ_Meth_max[[#This Row],[Vergleich_ub]]-dict_DQ_Meth_max[[#This Row],[Vergleich_lb]])+dict_DQ_Meth_max[[#This Row],[Vergleich_lb]]</f>
        <v>257.88836000000003</v>
      </c>
      <c r="G563" s="12">
        <f ca="1">(RANDBETWEEN(50,100)/100)*(dict_DQ_Meth_max[[#This Row],[Vergleich_ub]]-dict_DQ_Meth_max[[#This Row],[Vergleich_lb]])+dict_DQ_Meth_max[[#This Row],[Vergleich_lb]]</f>
        <v>1259.2397600000002</v>
      </c>
      <c r="H563" s="11" t="str">
        <f ca="1">VLOOKUP(VLOOKUP(dict_DQ_Meth_max[[#This Row],[ID_DataQualities]],table_DataQualities[],3),table_Units[],2)</f>
        <v>Hz</v>
      </c>
      <c r="I563" s="10"/>
      <c r="J563" s="10"/>
      <c r="K563" s="10"/>
      <c r="L563" s="10">
        <f ca="1">VLOOKUP(dict_DQ_Meth_max[[#This Row],[ID_DataQualities]],table_DataQualities[],8,FALSE)</f>
        <v>0.39800000000000002</v>
      </c>
      <c r="M563" s="10">
        <f ca="1">VLOOKUP(dict_DQ_Meth_max[[#This Row],[ID_DataQualities]],table_DataQualities[],9,FALSE)</f>
        <v>1430.9</v>
      </c>
    </row>
    <row r="564" spans="1:13" x14ac:dyDescent="0.45">
      <c r="A564" s="10">
        <v>150</v>
      </c>
      <c r="B564" s="10">
        <v>40</v>
      </c>
      <c r="C5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4" s="10"/>
      <c r="E564" s="10"/>
      <c r="F564" s="12">
        <f ca="1">(RANDBETWEEN(0,50)/100)*(dict_DQ_Meth_max[[#This Row],[Vergleich_ub]]-dict_DQ_Meth_max[[#This Row],[Vergleich_lb]])+dict_DQ_Meth_max[[#This Row],[Vergleich_lb]]</f>
        <v>715.64900000000011</v>
      </c>
      <c r="G564" s="12">
        <f ca="1">(RANDBETWEEN(50,100)/100)*(dict_DQ_Meth_max[[#This Row],[Vergleich_ub]]-dict_DQ_Meth_max[[#This Row],[Vergleich_lb]])+dict_DQ_Meth_max[[#This Row],[Vergleich_lb]]</f>
        <v>1244.9347400000001</v>
      </c>
      <c r="H564" s="11" t="str">
        <f ca="1">VLOOKUP(VLOOKUP(dict_DQ_Meth_max[[#This Row],[ID_DataQualities]],table_DataQualities[],3),table_Units[],2)</f>
        <v>Hz</v>
      </c>
      <c r="I564" s="10"/>
      <c r="J564" s="10"/>
      <c r="K564" s="10"/>
      <c r="L564" s="10">
        <f ca="1">VLOOKUP(dict_DQ_Meth_max[[#This Row],[ID_DataQualities]],table_DataQualities[],8,FALSE)</f>
        <v>0.39800000000000002</v>
      </c>
      <c r="M564" s="10">
        <f ca="1">VLOOKUP(dict_DQ_Meth_max[[#This Row],[ID_DataQualities]],table_DataQualities[],9,FALSE)</f>
        <v>1430.9</v>
      </c>
    </row>
    <row r="565" spans="1:13" x14ac:dyDescent="0.45">
      <c r="A565" s="10">
        <v>151</v>
      </c>
      <c r="B565" s="10">
        <v>690</v>
      </c>
      <c r="C5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5" s="10"/>
      <c r="E565" s="10"/>
      <c r="F565" s="12">
        <f ca="1">(RANDBETWEEN(0,50)/100)*(dict_DQ_Meth_max[[#This Row],[Vergleich_ub]]-dict_DQ_Meth_max[[#This Row],[Vergleich_lb]])+dict_DQ_Meth_max[[#This Row],[Vergleich_lb]]</f>
        <v>0.40123000000000009</v>
      </c>
      <c r="G565" s="12">
        <f ca="1">(RANDBETWEEN(50,100)/100)*(dict_DQ_Meth_max[[#This Row],[Vergleich_ub]]-dict_DQ_Meth_max[[#This Row],[Vergleich_lb]])+dict_DQ_Meth_max[[#This Row],[Vergleich_lb]]</f>
        <v>2.7812800000000006</v>
      </c>
      <c r="H565" s="11" t="str">
        <f ca="1">VLOOKUP(VLOOKUP(dict_DQ_Meth_max[[#This Row],[ID_DataQualities]],table_DataQualities[],3),table_Units[],2)</f>
        <v>+/- mm</v>
      </c>
      <c r="I565" s="10"/>
      <c r="J565" s="10"/>
      <c r="K565" s="10"/>
      <c r="L565" s="10">
        <f ca="1">VLOOKUP(dict_DQ_Meth_max[[#This Row],[ID_DataQualities]],table_DataQualities[],8,FALSE)</f>
        <v>3.1E-2</v>
      </c>
      <c r="M565" s="10">
        <f ca="1">VLOOKUP(dict_DQ_Meth_max[[#This Row],[ID_DataQualities]],table_DataQualities[],9,FALSE)</f>
        <v>5.32</v>
      </c>
    </row>
    <row r="566" spans="1:13" x14ac:dyDescent="0.45">
      <c r="A566" s="10">
        <v>151</v>
      </c>
      <c r="B566" s="10">
        <v>12</v>
      </c>
      <c r="C5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6" s="10"/>
      <c r="E566" s="10"/>
      <c r="F566" s="12">
        <f ca="1">(RANDBETWEEN(0,50)/100)*(dict_DQ_Meth_max[[#This Row],[Vergleich_ub]]-dict_DQ_Meth_max[[#This Row],[Vergleich_lb]])+dict_DQ_Meth_max[[#This Row],[Vergleich_lb]]</f>
        <v>2.6755000000000004</v>
      </c>
      <c r="G566" s="12">
        <f ca="1">(RANDBETWEEN(50,100)/100)*(dict_DQ_Meth_max[[#This Row],[Vergleich_ub]]-dict_DQ_Meth_max[[#This Row],[Vergleich_lb]])+dict_DQ_Meth_max[[#This Row],[Vergleich_lb]]</f>
        <v>3.9977500000000004</v>
      </c>
      <c r="H566" s="11" t="str">
        <f ca="1">VLOOKUP(VLOOKUP(dict_DQ_Meth_max[[#This Row],[ID_DataQualities]],table_DataQualities[],3),table_Units[],2)</f>
        <v>+/- mm</v>
      </c>
      <c r="I566" s="10"/>
      <c r="J566" s="10"/>
      <c r="K566" s="10"/>
      <c r="L566" s="10">
        <f ca="1">VLOOKUP(dict_DQ_Meth_max[[#This Row],[ID_DataQualities]],table_DataQualities[],8,FALSE)</f>
        <v>3.1E-2</v>
      </c>
      <c r="M566" s="10">
        <f ca="1">VLOOKUP(dict_DQ_Meth_max[[#This Row],[ID_DataQualities]],table_DataQualities[],9,FALSE)</f>
        <v>5.32</v>
      </c>
    </row>
    <row r="567" spans="1:13" x14ac:dyDescent="0.45">
      <c r="A567" s="10">
        <v>151</v>
      </c>
      <c r="B567" s="10">
        <v>101</v>
      </c>
      <c r="C5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7" s="10"/>
      <c r="E567" s="10"/>
      <c r="F567" s="12">
        <f ca="1">(RANDBETWEEN(0,50)/100)*(dict_DQ_Meth_max[[#This Row],[Vergleich_ub]]-dict_DQ_Meth_max[[#This Row],[Vergleich_lb]])+dict_DQ_Meth_max[[#This Row],[Vergleich_lb]]</f>
        <v>2.6226100000000003</v>
      </c>
      <c r="G567" s="12">
        <f ca="1">(RANDBETWEEN(50,100)/100)*(dict_DQ_Meth_max[[#This Row],[Vergleich_ub]]-dict_DQ_Meth_max[[#This Row],[Vergleich_lb]])+dict_DQ_Meth_max[[#This Row],[Vergleich_lb]]</f>
        <v>5.2142200000000001</v>
      </c>
      <c r="H567" s="11" t="str">
        <f ca="1">VLOOKUP(VLOOKUP(dict_DQ_Meth_max[[#This Row],[ID_DataQualities]],table_DataQualities[],3),table_Units[],2)</f>
        <v>+/- mm</v>
      </c>
      <c r="I567" s="10"/>
      <c r="J567" s="10"/>
      <c r="K567" s="10"/>
      <c r="L567" s="10">
        <f ca="1">VLOOKUP(dict_DQ_Meth_max[[#This Row],[ID_DataQualities]],table_DataQualities[],8,FALSE)</f>
        <v>3.1E-2</v>
      </c>
      <c r="M567" s="10">
        <f ca="1">VLOOKUP(dict_DQ_Meth_max[[#This Row],[ID_DataQualities]],table_DataQualities[],9,FALSE)</f>
        <v>5.32</v>
      </c>
    </row>
    <row r="568" spans="1:13" x14ac:dyDescent="0.45">
      <c r="A568" s="10">
        <v>151</v>
      </c>
      <c r="B568" s="10">
        <v>40</v>
      </c>
      <c r="C5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8" s="10"/>
      <c r="E568" s="10"/>
      <c r="F568" s="12">
        <f ca="1">(RANDBETWEEN(0,50)/100)*(dict_DQ_Meth_max[[#This Row],[Vergleich_ub]]-dict_DQ_Meth_max[[#This Row],[Vergleich_lb]])+dict_DQ_Meth_max[[#This Row],[Vergleich_lb]]</f>
        <v>0.98302000000000012</v>
      </c>
      <c r="G568" s="12">
        <f ca="1">(RANDBETWEEN(50,100)/100)*(dict_DQ_Meth_max[[#This Row],[Vergleich_ub]]-dict_DQ_Meth_max[[#This Row],[Vergleich_lb]])+dict_DQ_Meth_max[[#This Row],[Vergleich_lb]]</f>
        <v>4.0506400000000005</v>
      </c>
      <c r="H568" s="11" t="str">
        <f ca="1">VLOOKUP(VLOOKUP(dict_DQ_Meth_max[[#This Row],[ID_DataQualities]],table_DataQualities[],3),table_Units[],2)</f>
        <v>+/- mm</v>
      </c>
      <c r="I568" s="10"/>
      <c r="J568" s="10"/>
      <c r="K568" s="10"/>
      <c r="L568" s="10">
        <f ca="1">VLOOKUP(dict_DQ_Meth_max[[#This Row],[ID_DataQualities]],table_DataQualities[],8,FALSE)</f>
        <v>3.1E-2</v>
      </c>
      <c r="M568" s="10">
        <f ca="1">VLOOKUP(dict_DQ_Meth_max[[#This Row],[ID_DataQualities]],table_DataQualities[],9,FALSE)</f>
        <v>5.32</v>
      </c>
    </row>
    <row r="569" spans="1:13" x14ac:dyDescent="0.45">
      <c r="A569" s="10">
        <v>151</v>
      </c>
      <c r="B569" s="10">
        <v>628</v>
      </c>
      <c r="C5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69" s="10"/>
      <c r="E569" s="10"/>
      <c r="F569" s="12">
        <f ca="1">(RANDBETWEEN(0,50)/100)*(dict_DQ_Meth_max[[#This Row],[Vergleich_ub]]-dict_DQ_Meth_max[[#This Row],[Vergleich_lb]])+dict_DQ_Meth_max[[#This Row],[Vergleich_lb]]</f>
        <v>2.1994900000000004</v>
      </c>
      <c r="G569" s="12">
        <f ca="1">(RANDBETWEEN(50,100)/100)*(dict_DQ_Meth_max[[#This Row],[Vergleich_ub]]-dict_DQ_Meth_max[[#This Row],[Vergleich_lb]])+dict_DQ_Meth_max[[#This Row],[Vergleich_lb]]</f>
        <v>4.6324300000000003</v>
      </c>
      <c r="H569" s="11" t="str">
        <f ca="1">VLOOKUP(VLOOKUP(dict_DQ_Meth_max[[#This Row],[ID_DataQualities]],table_DataQualities[],3),table_Units[],2)</f>
        <v>+/- mm</v>
      </c>
      <c r="I569" s="10"/>
      <c r="J569" s="10"/>
      <c r="K569" s="10"/>
      <c r="L569" s="10">
        <f ca="1">VLOOKUP(dict_DQ_Meth_max[[#This Row],[ID_DataQualities]],table_DataQualities[],8,FALSE)</f>
        <v>3.1E-2</v>
      </c>
      <c r="M569" s="10">
        <f ca="1">VLOOKUP(dict_DQ_Meth_max[[#This Row],[ID_DataQualities]],table_DataQualities[],9,FALSE)</f>
        <v>5.32</v>
      </c>
    </row>
    <row r="570" spans="1:13" x14ac:dyDescent="0.45">
      <c r="A570" s="10">
        <v>152</v>
      </c>
      <c r="B570" s="10">
        <v>82</v>
      </c>
      <c r="C5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0" s="10"/>
      <c r="E570" s="10"/>
      <c r="F570" s="12">
        <f ca="1">(RANDBETWEEN(0,50)/100)*(dict_DQ_Meth_max[[#This Row],[Vergleich_ub]]-dict_DQ_Meth_max[[#This Row],[Vergleich_lb]])+dict_DQ_Meth_max[[#This Row],[Vergleich_lb]]</f>
        <v>456.39280000000002</v>
      </c>
      <c r="G570" s="12">
        <f ca="1">(RANDBETWEEN(50,100)/100)*(dict_DQ_Meth_max[[#This Row],[Vergleich_ub]]-dict_DQ_Meth_max[[#This Row],[Vergleich_lb]])+dict_DQ_Meth_max[[#This Row],[Vergleich_lb]]</f>
        <v>2119.52187</v>
      </c>
      <c r="H570" s="11" t="str">
        <f ca="1">VLOOKUP(VLOOKUP(dict_DQ_Meth_max[[#This Row],[ID_DataQualities]],table_DataQualities[],3),table_Units[],2)</f>
        <v>Hz</v>
      </c>
      <c r="I570" s="10"/>
      <c r="J570" s="10"/>
      <c r="K570" s="10"/>
      <c r="L570" s="10">
        <f ca="1">VLOOKUP(dict_DQ_Meth_max[[#This Row],[ID_DataQualities]],table_DataQualities[],8,FALSE)</f>
        <v>0.74099999999999999</v>
      </c>
      <c r="M570" s="10">
        <f ca="1">VLOOKUP(dict_DQ_Meth_max[[#This Row],[ID_DataQualities]],table_DataQualities[],9,FALSE)</f>
        <v>2279</v>
      </c>
    </row>
    <row r="571" spans="1:13" x14ac:dyDescent="0.45">
      <c r="A571" s="10">
        <v>152</v>
      </c>
      <c r="B571" s="10">
        <v>273</v>
      </c>
      <c r="C5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1" s="10"/>
      <c r="E571" s="10"/>
      <c r="F571" s="12">
        <f ca="1">(RANDBETWEEN(0,50)/100)*(dict_DQ_Meth_max[[#This Row],[Vergleich_ub]]-dict_DQ_Meth_max[[#This Row],[Vergleich_lb]])+dict_DQ_Meth_max[[#This Row],[Vergleich_lb]]</f>
        <v>319.69726000000003</v>
      </c>
      <c r="G571" s="12">
        <f ca="1">(RANDBETWEEN(50,100)/100)*(dict_DQ_Meth_max[[#This Row],[Vergleich_ub]]-dict_DQ_Meth_max[[#This Row],[Vergleich_lb]])+dict_DQ_Meth_max[[#This Row],[Vergleich_lb]]</f>
        <v>2142.3044599999998</v>
      </c>
      <c r="H571" s="11" t="str">
        <f ca="1">VLOOKUP(VLOOKUP(dict_DQ_Meth_max[[#This Row],[ID_DataQualities]],table_DataQualities[],3),table_Units[],2)</f>
        <v>Hz</v>
      </c>
      <c r="I571" s="10"/>
      <c r="J571" s="10"/>
      <c r="K571" s="10"/>
      <c r="L571" s="10">
        <f ca="1">VLOOKUP(dict_DQ_Meth_max[[#This Row],[ID_DataQualities]],table_DataQualities[],8,FALSE)</f>
        <v>0.74099999999999999</v>
      </c>
      <c r="M571" s="10">
        <f ca="1">VLOOKUP(dict_DQ_Meth_max[[#This Row],[ID_DataQualities]],table_DataQualities[],9,FALSE)</f>
        <v>2279</v>
      </c>
    </row>
    <row r="572" spans="1:13" x14ac:dyDescent="0.45">
      <c r="A572" s="10">
        <v>153</v>
      </c>
      <c r="B572" s="10">
        <v>82</v>
      </c>
      <c r="C5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2" s="10"/>
      <c r="E572" s="10"/>
      <c r="F572" s="12">
        <f ca="1">(RANDBETWEEN(0,50)/100)*(dict_DQ_Meth_max[[#This Row],[Vergleich_ub]]-dict_DQ_Meth_max[[#This Row],[Vergleich_lb]])+dict_DQ_Meth_max[[#This Row],[Vergleich_lb]]</f>
        <v>0.36587699999999995</v>
      </c>
      <c r="G572" s="12">
        <f ca="1">(RANDBETWEEN(50,100)/100)*(dict_DQ_Meth_max[[#This Row],[Vergleich_ub]]-dict_DQ_Meth_max[[#This Row],[Vergleich_lb]])+dict_DQ_Meth_max[[#This Row],[Vergleich_lb]]</f>
        <v>0.67027199999999998</v>
      </c>
      <c r="H572" s="11" t="str">
        <f ca="1">VLOOKUP(VLOOKUP(dict_DQ_Meth_max[[#This Row],[ID_DataQualities]],table_DataQualities[],3),table_Units[],2)</f>
        <v>+/- cm³/s</v>
      </c>
      <c r="I572" s="10"/>
      <c r="J572" s="10"/>
      <c r="K572" s="10"/>
      <c r="L572" s="10">
        <f ca="1">VLOOKUP(dict_DQ_Meth_max[[#This Row],[ID_DataQualities]],table_DataQualities[],8,FALSE)</f>
        <v>9.2999999999999992E-3</v>
      </c>
      <c r="M572" s="10">
        <f ca="1">VLOOKUP(dict_DQ_Meth_max[[#This Row],[ID_DataQualities]],table_DataQualities[],9,FALSE)</f>
        <v>0.879</v>
      </c>
    </row>
    <row r="573" spans="1:13" x14ac:dyDescent="0.45">
      <c r="A573" s="10">
        <v>153</v>
      </c>
      <c r="B573" s="10">
        <v>273</v>
      </c>
      <c r="C5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3" s="10"/>
      <c r="E573" s="10"/>
      <c r="F573" s="12">
        <f ca="1">(RANDBETWEEN(0,50)/100)*(dict_DQ_Meth_max[[#This Row],[Vergleich_ub]]-dict_DQ_Meth_max[[#This Row],[Vergleich_lb]])+dict_DQ_Meth_max[[#This Row],[Vergleich_lb]]</f>
        <v>0.27890699999999996</v>
      </c>
      <c r="G573" s="12">
        <f ca="1">(RANDBETWEEN(50,100)/100)*(dict_DQ_Meth_max[[#This Row],[Vergleich_ub]]-dict_DQ_Meth_max[[#This Row],[Vergleich_lb]])+dict_DQ_Meth_max[[#This Row],[Vergleich_lb]]</f>
        <v>0.75724199999999997</v>
      </c>
      <c r="H573" s="11" t="str">
        <f ca="1">VLOOKUP(VLOOKUP(dict_DQ_Meth_max[[#This Row],[ID_DataQualities]],table_DataQualities[],3),table_Units[],2)</f>
        <v>+/- cm³/s</v>
      </c>
      <c r="I573" s="10"/>
      <c r="J573" s="10"/>
      <c r="K573" s="10"/>
      <c r="L573" s="10">
        <f ca="1">VLOOKUP(dict_DQ_Meth_max[[#This Row],[ID_DataQualities]],table_DataQualities[],8,FALSE)</f>
        <v>9.2999999999999992E-3</v>
      </c>
      <c r="M573" s="10">
        <f ca="1">VLOOKUP(dict_DQ_Meth_max[[#This Row],[ID_DataQualities]],table_DataQualities[],9,FALSE)</f>
        <v>0.879</v>
      </c>
    </row>
    <row r="574" spans="1:13" x14ac:dyDescent="0.45">
      <c r="A574" s="10">
        <v>154</v>
      </c>
      <c r="B574" s="10">
        <v>283</v>
      </c>
      <c r="C5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4" s="10"/>
      <c r="E574" s="10"/>
      <c r="F574" s="12">
        <f ca="1">(RANDBETWEEN(0,50)/100)*(dict_DQ_Meth_max[[#This Row],[Vergleich_ub]]-dict_DQ_Meth_max[[#This Row],[Vergleich_lb]])+dict_DQ_Meth_max[[#This Row],[Vergleich_lb]]</f>
        <v>1127.8010000000002</v>
      </c>
      <c r="G574" s="12">
        <f ca="1">(RANDBETWEEN(50,100)/100)*(dict_DQ_Meth_max[[#This Row],[Vergleich_ub]]-dict_DQ_Meth_max[[#This Row],[Vergleich_lb]])+dict_DQ_Meth_max[[#This Row],[Vergleich_lb]]</f>
        <v>2155.4975000000004</v>
      </c>
      <c r="H574" s="11" t="str">
        <f ca="1">VLOOKUP(VLOOKUP(dict_DQ_Meth_max[[#This Row],[ID_DataQualities]],table_DataQualities[],3),table_Units[],2)</f>
        <v>Hz</v>
      </c>
      <c r="I574" s="10"/>
      <c r="J574" s="10"/>
      <c r="K574" s="10"/>
      <c r="L574" s="10">
        <f ca="1">VLOOKUP(dict_DQ_Meth_max[[#This Row],[ID_DataQualities]],table_DataQualities[],8,FALSE)</f>
        <v>0.65</v>
      </c>
      <c r="M574" s="10">
        <f ca="1">VLOOKUP(dict_DQ_Meth_max[[#This Row],[ID_DataQualities]],table_DataQualities[],9,FALSE)</f>
        <v>3315.8</v>
      </c>
    </row>
    <row r="575" spans="1:13" x14ac:dyDescent="0.45">
      <c r="A575" s="10">
        <v>154</v>
      </c>
      <c r="B575" s="10">
        <v>46</v>
      </c>
      <c r="C5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5" s="10"/>
      <c r="E575" s="10"/>
      <c r="F575" s="12">
        <f ca="1">(RANDBETWEEN(0,50)/100)*(dict_DQ_Meth_max[[#This Row],[Vergleich_ub]]-dict_DQ_Meth_max[[#This Row],[Vergleich_lb]])+dict_DQ_Meth_max[[#This Row],[Vergleich_lb]]</f>
        <v>962.04349999999988</v>
      </c>
      <c r="G575" s="12">
        <f ca="1">(RANDBETWEEN(50,100)/100)*(dict_DQ_Meth_max[[#This Row],[Vergleich_ub]]-dict_DQ_Meth_max[[#This Row],[Vergleich_lb]])+dict_DQ_Meth_max[[#This Row],[Vergleich_lb]]</f>
        <v>2652.7700000000004</v>
      </c>
      <c r="H575" s="11" t="str">
        <f ca="1">VLOOKUP(VLOOKUP(dict_DQ_Meth_max[[#This Row],[ID_DataQualities]],table_DataQualities[],3),table_Units[],2)</f>
        <v>Hz</v>
      </c>
      <c r="I575" s="10"/>
      <c r="J575" s="10"/>
      <c r="K575" s="10"/>
      <c r="L575" s="10">
        <f ca="1">VLOOKUP(dict_DQ_Meth_max[[#This Row],[ID_DataQualities]],table_DataQualities[],8,FALSE)</f>
        <v>0.65</v>
      </c>
      <c r="M575" s="10">
        <f ca="1">VLOOKUP(dict_DQ_Meth_max[[#This Row],[ID_DataQualities]],table_DataQualities[],9,FALSE)</f>
        <v>3315.8</v>
      </c>
    </row>
    <row r="576" spans="1:13" x14ac:dyDescent="0.45">
      <c r="A576" s="10">
        <v>154</v>
      </c>
      <c r="B576" s="10">
        <v>554</v>
      </c>
      <c r="C5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6" s="10"/>
      <c r="E576" s="10"/>
      <c r="F576" s="12">
        <f ca="1">(RANDBETWEEN(0,50)/100)*(dict_DQ_Meth_max[[#This Row],[Vergleich_ub]]-dict_DQ_Meth_max[[#This Row],[Vergleich_lb]])+dict_DQ_Meth_max[[#This Row],[Vergleich_lb]]</f>
        <v>1293.5585000000001</v>
      </c>
      <c r="G576" s="12">
        <f ca="1">(RANDBETWEEN(50,100)/100)*(dict_DQ_Meth_max[[#This Row],[Vergleich_ub]]-dict_DQ_Meth_max[[#This Row],[Vergleich_lb]])+dict_DQ_Meth_max[[#This Row],[Vergleich_lb]]</f>
        <v>2685.9215000000004</v>
      </c>
      <c r="H576" s="11" t="str">
        <f ca="1">VLOOKUP(VLOOKUP(dict_DQ_Meth_max[[#This Row],[ID_DataQualities]],table_DataQualities[],3),table_Units[],2)</f>
        <v>Hz</v>
      </c>
      <c r="I576" s="10"/>
      <c r="J576" s="10"/>
      <c r="K576" s="10"/>
      <c r="L576" s="10">
        <f ca="1">VLOOKUP(dict_DQ_Meth_max[[#This Row],[ID_DataQualities]],table_DataQualities[],8,FALSE)</f>
        <v>0.65</v>
      </c>
      <c r="M576" s="10">
        <f ca="1">VLOOKUP(dict_DQ_Meth_max[[#This Row],[ID_DataQualities]],table_DataQualities[],9,FALSE)</f>
        <v>3315.8</v>
      </c>
    </row>
    <row r="577" spans="1:13" x14ac:dyDescent="0.45">
      <c r="A577" s="10">
        <v>154</v>
      </c>
      <c r="B577" s="10">
        <v>63</v>
      </c>
      <c r="C5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7" s="10"/>
      <c r="E577" s="10"/>
      <c r="F577" s="12">
        <f ca="1">(RANDBETWEEN(0,50)/100)*(dict_DQ_Meth_max[[#This Row],[Vergleich_ub]]-dict_DQ_Meth_max[[#This Row],[Vergleich_lb]])+dict_DQ_Meth_max[[#This Row],[Vergleich_lb]]</f>
        <v>1260.4070000000002</v>
      </c>
      <c r="G577" s="12">
        <f ca="1">(RANDBETWEEN(50,100)/100)*(dict_DQ_Meth_max[[#This Row],[Vergleich_ub]]-dict_DQ_Meth_max[[#This Row],[Vergleich_lb]])+dict_DQ_Meth_max[[#This Row],[Vergleich_lb]]</f>
        <v>2321.2550000000001</v>
      </c>
      <c r="H577" s="11" t="str">
        <f ca="1">VLOOKUP(VLOOKUP(dict_DQ_Meth_max[[#This Row],[ID_DataQualities]],table_DataQualities[],3),table_Units[],2)</f>
        <v>Hz</v>
      </c>
      <c r="I577" s="10"/>
      <c r="J577" s="10"/>
      <c r="K577" s="10"/>
      <c r="L577" s="10">
        <f ca="1">VLOOKUP(dict_DQ_Meth_max[[#This Row],[ID_DataQualities]],table_DataQualities[],8,FALSE)</f>
        <v>0.65</v>
      </c>
      <c r="M577" s="10">
        <f ca="1">VLOOKUP(dict_DQ_Meth_max[[#This Row],[ID_DataQualities]],table_DataQualities[],9,FALSE)</f>
        <v>3315.8</v>
      </c>
    </row>
    <row r="578" spans="1:13" x14ac:dyDescent="0.45">
      <c r="A578" s="10">
        <v>154</v>
      </c>
      <c r="B578" s="10">
        <v>381</v>
      </c>
      <c r="C5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8" s="10"/>
      <c r="E578" s="10"/>
      <c r="F578" s="12">
        <f ca="1">(RANDBETWEEN(0,50)/100)*(dict_DQ_Meth_max[[#This Row],[Vergleich_ub]]-dict_DQ_Meth_max[[#This Row],[Vergleich_lb]])+dict_DQ_Meth_max[[#This Row],[Vergleich_lb]]</f>
        <v>1591.922</v>
      </c>
      <c r="G578" s="12">
        <f ca="1">(RANDBETWEEN(50,100)/100)*(dict_DQ_Meth_max[[#This Row],[Vergleich_ub]]-dict_DQ_Meth_max[[#This Row],[Vergleich_lb]])+dict_DQ_Meth_max[[#This Row],[Vergleich_lb]]</f>
        <v>2818.5275000000001</v>
      </c>
      <c r="H578" s="11" t="str">
        <f ca="1">VLOOKUP(VLOOKUP(dict_DQ_Meth_max[[#This Row],[ID_DataQualities]],table_DataQualities[],3),table_Units[],2)</f>
        <v>Hz</v>
      </c>
      <c r="I578" s="10"/>
      <c r="J578" s="10"/>
      <c r="K578" s="10"/>
      <c r="L578" s="10">
        <f ca="1">VLOOKUP(dict_DQ_Meth_max[[#This Row],[ID_DataQualities]],table_DataQualities[],8,FALSE)</f>
        <v>0.65</v>
      </c>
      <c r="M578" s="10">
        <f ca="1">VLOOKUP(dict_DQ_Meth_max[[#This Row],[ID_DataQualities]],table_DataQualities[],9,FALSE)</f>
        <v>3315.8</v>
      </c>
    </row>
    <row r="579" spans="1:13" x14ac:dyDescent="0.45">
      <c r="A579" s="10">
        <v>155</v>
      </c>
      <c r="B579" s="10">
        <v>63</v>
      </c>
      <c r="C5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79" s="10"/>
      <c r="E579" s="10"/>
      <c r="F579" s="12">
        <f ca="1">(RANDBETWEEN(0,50)/100)*(dict_DQ_Meth_max[[#This Row],[Vergleich_ub]]-dict_DQ_Meth_max[[#This Row],[Vergleich_lb]])+dict_DQ_Meth_max[[#This Row],[Vergleich_lb]]</f>
        <v>0.92288999999999999</v>
      </c>
      <c r="G579" s="12">
        <f ca="1">(RANDBETWEEN(50,100)/100)*(dict_DQ_Meth_max[[#This Row],[Vergleich_ub]]-dict_DQ_Meth_max[[#This Row],[Vergleich_lb]])+dict_DQ_Meth_max[[#This Row],[Vergleich_lb]]</f>
        <v>1.2624200000000001</v>
      </c>
      <c r="H579" s="11" t="str">
        <f ca="1">VLOOKUP(VLOOKUP(dict_DQ_Meth_max[[#This Row],[ID_DataQualities]],table_DataQualities[],3),table_Units[],2)</f>
        <v>+/- W</v>
      </c>
      <c r="I579" s="10"/>
      <c r="J579" s="10"/>
      <c r="K579" s="10"/>
      <c r="L579" s="10">
        <f ca="1">VLOOKUP(dict_DQ_Meth_max[[#This Row],[ID_DataQualities]],table_DataQualities[],8,FALSE)</f>
        <v>8.3000000000000004E-2</v>
      </c>
      <c r="M579" s="10">
        <f ca="1">VLOOKUP(dict_DQ_Meth_max[[#This Row],[ID_DataQualities]],table_DataQualities[],9,FALSE)</f>
        <v>1.87</v>
      </c>
    </row>
    <row r="580" spans="1:13" x14ac:dyDescent="0.45">
      <c r="A580" s="10">
        <v>155</v>
      </c>
      <c r="B580" s="10">
        <v>554</v>
      </c>
      <c r="C5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0" s="10"/>
      <c r="E580" s="10"/>
      <c r="F580" s="12">
        <f ca="1">(RANDBETWEEN(0,50)/100)*(dict_DQ_Meth_max[[#This Row],[Vergleich_ub]]-dict_DQ_Meth_max[[#This Row],[Vergleich_lb]])+dict_DQ_Meth_max[[#This Row],[Vergleich_lb]]</f>
        <v>0.77993000000000001</v>
      </c>
      <c r="G580" s="12">
        <f ca="1">(RANDBETWEEN(50,100)/100)*(dict_DQ_Meth_max[[#This Row],[Vergleich_ub]]-dict_DQ_Meth_max[[#This Row],[Vergleich_lb]])+dict_DQ_Meth_max[[#This Row],[Vergleich_lb]]</f>
        <v>1.1552</v>
      </c>
      <c r="H580" s="11" t="str">
        <f ca="1">VLOOKUP(VLOOKUP(dict_DQ_Meth_max[[#This Row],[ID_DataQualities]],table_DataQualities[],3),table_Units[],2)</f>
        <v>+/- W</v>
      </c>
      <c r="I580" s="10"/>
      <c r="J580" s="10"/>
      <c r="K580" s="10"/>
      <c r="L580" s="10">
        <f ca="1">VLOOKUP(dict_DQ_Meth_max[[#This Row],[ID_DataQualities]],table_DataQualities[],8,FALSE)</f>
        <v>8.3000000000000004E-2</v>
      </c>
      <c r="M580" s="10">
        <f ca="1">VLOOKUP(dict_DQ_Meth_max[[#This Row],[ID_DataQualities]],table_DataQualities[],9,FALSE)</f>
        <v>1.87</v>
      </c>
    </row>
    <row r="581" spans="1:13" x14ac:dyDescent="0.45">
      <c r="A581" s="10">
        <v>155</v>
      </c>
      <c r="B581" s="10">
        <v>46</v>
      </c>
      <c r="C5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1" s="10"/>
      <c r="E581" s="10"/>
      <c r="F581" s="12">
        <f ca="1">(RANDBETWEEN(0,50)/100)*(dict_DQ_Meth_max[[#This Row],[Vergleich_ub]]-dict_DQ_Meth_max[[#This Row],[Vergleich_lb]])+dict_DQ_Meth_max[[#This Row],[Vergleich_lb]]</f>
        <v>0.22595999999999999</v>
      </c>
      <c r="G581" s="12">
        <f ca="1">(RANDBETWEEN(50,100)/100)*(dict_DQ_Meth_max[[#This Row],[Vergleich_ub]]-dict_DQ_Meth_max[[#This Row],[Vergleich_lb]])+dict_DQ_Meth_max[[#This Row],[Vergleich_lb]]</f>
        <v>1.8521300000000001</v>
      </c>
      <c r="H581" s="11" t="str">
        <f ca="1">VLOOKUP(VLOOKUP(dict_DQ_Meth_max[[#This Row],[ID_DataQualities]],table_DataQualities[],3),table_Units[],2)</f>
        <v>+/- W</v>
      </c>
      <c r="I581" s="10"/>
      <c r="J581" s="10"/>
      <c r="K581" s="10"/>
      <c r="L581" s="10">
        <f ca="1">VLOOKUP(dict_DQ_Meth_max[[#This Row],[ID_DataQualities]],table_DataQualities[],8,FALSE)</f>
        <v>8.3000000000000004E-2</v>
      </c>
      <c r="M581" s="10">
        <f ca="1">VLOOKUP(dict_DQ_Meth_max[[#This Row],[ID_DataQualities]],table_DataQualities[],9,FALSE)</f>
        <v>1.87</v>
      </c>
    </row>
    <row r="582" spans="1:13" x14ac:dyDescent="0.45">
      <c r="A582" s="10">
        <v>155</v>
      </c>
      <c r="B582" s="10">
        <v>381</v>
      </c>
      <c r="C5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2" s="10"/>
      <c r="E582" s="10"/>
      <c r="F582" s="12">
        <f ca="1">(RANDBETWEEN(0,50)/100)*(dict_DQ_Meth_max[[#This Row],[Vergleich_ub]]-dict_DQ_Meth_max[[#This Row],[Vergleich_lb]])+dict_DQ_Meth_max[[#This Row],[Vergleich_lb]]</f>
        <v>0.13661000000000001</v>
      </c>
      <c r="G582" s="12">
        <f ca="1">(RANDBETWEEN(50,100)/100)*(dict_DQ_Meth_max[[#This Row],[Vergleich_ub]]-dict_DQ_Meth_max[[#This Row],[Vergleich_lb]])+dict_DQ_Meth_max[[#This Row],[Vergleich_lb]]</f>
        <v>1.1909400000000001</v>
      </c>
      <c r="H582" s="11" t="str">
        <f ca="1">VLOOKUP(VLOOKUP(dict_DQ_Meth_max[[#This Row],[ID_DataQualities]],table_DataQualities[],3),table_Units[],2)</f>
        <v>+/- W</v>
      </c>
      <c r="I582" s="10"/>
      <c r="J582" s="10"/>
      <c r="K582" s="10"/>
      <c r="L582" s="10">
        <f ca="1">VLOOKUP(dict_DQ_Meth_max[[#This Row],[ID_DataQualities]],table_DataQualities[],8,FALSE)</f>
        <v>8.3000000000000004E-2</v>
      </c>
      <c r="M582" s="10">
        <f ca="1">VLOOKUP(dict_DQ_Meth_max[[#This Row],[ID_DataQualities]],table_DataQualities[],9,FALSE)</f>
        <v>1.87</v>
      </c>
    </row>
    <row r="583" spans="1:13" x14ac:dyDescent="0.45">
      <c r="A583" s="10">
        <v>155</v>
      </c>
      <c r="B583" s="10">
        <v>283</v>
      </c>
      <c r="C5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3" s="10"/>
      <c r="E583" s="10"/>
      <c r="F583" s="12">
        <f ca="1">(RANDBETWEEN(0,50)/100)*(dict_DQ_Meth_max[[#This Row],[Vergleich_ub]]-dict_DQ_Meth_max[[#This Row],[Vergleich_lb]])+dict_DQ_Meth_max[[#This Row],[Vergleich_lb]]</f>
        <v>0.24382999999999999</v>
      </c>
      <c r="G583" s="12">
        <f ca="1">(RANDBETWEEN(50,100)/100)*(dict_DQ_Meth_max[[#This Row],[Vergleich_ub]]-dict_DQ_Meth_max[[#This Row],[Vergleich_lb]])+dict_DQ_Meth_max[[#This Row],[Vergleich_lb]]</f>
        <v>1.54834</v>
      </c>
      <c r="H583" s="11" t="str">
        <f ca="1">VLOOKUP(VLOOKUP(dict_DQ_Meth_max[[#This Row],[ID_DataQualities]],table_DataQualities[],3),table_Units[],2)</f>
        <v>+/- W</v>
      </c>
      <c r="I583" s="10"/>
      <c r="J583" s="10"/>
      <c r="K583" s="10"/>
      <c r="L583" s="10">
        <f ca="1">VLOOKUP(dict_DQ_Meth_max[[#This Row],[ID_DataQualities]],table_DataQualities[],8,FALSE)</f>
        <v>8.3000000000000004E-2</v>
      </c>
      <c r="M583" s="10">
        <f ca="1">VLOOKUP(dict_DQ_Meth_max[[#This Row],[ID_DataQualities]],table_DataQualities[],9,FALSE)</f>
        <v>1.87</v>
      </c>
    </row>
    <row r="584" spans="1:13" x14ac:dyDescent="0.45">
      <c r="A584" s="10">
        <v>156</v>
      </c>
      <c r="B584" s="10">
        <v>114</v>
      </c>
      <c r="C5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4" s="10"/>
      <c r="E584" s="10"/>
      <c r="F584" s="12">
        <f ca="1">(RANDBETWEEN(0,50)/100)*(dict_DQ_Meth_max[[#This Row],[Vergleich_ub]]-dict_DQ_Meth_max[[#This Row],[Vergleich_lb]])+dict_DQ_Meth_max[[#This Row],[Vergleich_lb]]</f>
        <v>2138.2307599999999</v>
      </c>
      <c r="G584" s="12">
        <f ca="1">(RANDBETWEEN(50,100)/100)*(dict_DQ_Meth_max[[#This Row],[Vergleich_ub]]-dict_DQ_Meth_max[[#This Row],[Vergleich_lb]])+dict_DQ_Meth_max[[#This Row],[Vergleich_lb]]</f>
        <v>5745.7239799999998</v>
      </c>
      <c r="H584" s="11" t="str">
        <f ca="1">VLOOKUP(VLOOKUP(dict_DQ_Meth_max[[#This Row],[ID_DataQualities]],table_DataQualities[],3),table_Units[],2)</f>
        <v>Hz</v>
      </c>
      <c r="I584" s="10"/>
      <c r="J584" s="10"/>
      <c r="K584" s="10"/>
      <c r="L584" s="10">
        <f ca="1">VLOOKUP(dict_DQ_Meth_max[[#This Row],[ID_DataQualities]],table_DataQualities[],8,FALSE)</f>
        <v>0.45700000000000002</v>
      </c>
      <c r="M584" s="10">
        <f ca="1">VLOOKUP(dict_DQ_Meth_max[[#This Row],[ID_DataQualities]],table_DataQualities[],9,FALSE)</f>
        <v>6681</v>
      </c>
    </row>
    <row r="585" spans="1:13" x14ac:dyDescent="0.45">
      <c r="A585" s="10">
        <v>156</v>
      </c>
      <c r="B585" s="10">
        <v>436</v>
      </c>
      <c r="C5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5" s="10"/>
      <c r="E585" s="10"/>
      <c r="F585" s="12">
        <f ca="1">(RANDBETWEEN(0,50)/100)*(dict_DQ_Meth_max[[#This Row],[Vergleich_ub]]-dict_DQ_Meth_max[[#This Row],[Vergleich_lb]])+dict_DQ_Meth_max[[#This Row],[Vergleich_lb]]</f>
        <v>2004.6198999999999</v>
      </c>
      <c r="G585" s="12">
        <f ca="1">(RANDBETWEEN(50,100)/100)*(dict_DQ_Meth_max[[#This Row],[Vergleich_ub]]-dict_DQ_Meth_max[[#This Row],[Vergleich_lb]])+dict_DQ_Meth_max[[#This Row],[Vergleich_lb]]</f>
        <v>4008.7827999999995</v>
      </c>
      <c r="H585" s="11" t="str">
        <f ca="1">VLOOKUP(VLOOKUP(dict_DQ_Meth_max[[#This Row],[ID_DataQualities]],table_DataQualities[],3),table_Units[],2)</f>
        <v>Hz</v>
      </c>
      <c r="I585" s="10"/>
      <c r="J585" s="10"/>
      <c r="K585" s="10"/>
      <c r="L585" s="10">
        <f ca="1">VLOOKUP(dict_DQ_Meth_max[[#This Row],[ID_DataQualities]],table_DataQualities[],8,FALSE)</f>
        <v>0.45700000000000002</v>
      </c>
      <c r="M585" s="10">
        <f ca="1">VLOOKUP(dict_DQ_Meth_max[[#This Row],[ID_DataQualities]],table_DataQualities[],9,FALSE)</f>
        <v>6681</v>
      </c>
    </row>
    <row r="586" spans="1:13" x14ac:dyDescent="0.45">
      <c r="A586" s="10">
        <v>156</v>
      </c>
      <c r="B586" s="10">
        <v>187</v>
      </c>
      <c r="C5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6" s="10"/>
      <c r="E586" s="10"/>
      <c r="F586" s="12">
        <f ca="1">(RANDBETWEEN(0,50)/100)*(dict_DQ_Meth_max[[#This Row],[Vergleich_ub]]-dict_DQ_Meth_max[[#This Row],[Vergleich_lb]])+dict_DQ_Meth_max[[#This Row],[Vergleich_lb]]</f>
        <v>2004.6198999999999</v>
      </c>
      <c r="G586" s="12">
        <f ca="1">(RANDBETWEEN(50,100)/100)*(dict_DQ_Meth_max[[#This Row],[Vergleich_ub]]-dict_DQ_Meth_max[[#This Row],[Vergleich_lb]])+dict_DQ_Meth_max[[#This Row],[Vergleich_lb]]</f>
        <v>5278.0859700000001</v>
      </c>
      <c r="H586" s="11" t="str">
        <f ca="1">VLOOKUP(VLOOKUP(dict_DQ_Meth_max[[#This Row],[ID_DataQualities]],table_DataQualities[],3),table_Units[],2)</f>
        <v>Hz</v>
      </c>
      <c r="I586" s="10"/>
      <c r="J586" s="10"/>
      <c r="K586" s="10"/>
      <c r="L586" s="10">
        <f ca="1">VLOOKUP(dict_DQ_Meth_max[[#This Row],[ID_DataQualities]],table_DataQualities[],8,FALSE)</f>
        <v>0.45700000000000002</v>
      </c>
      <c r="M586" s="10">
        <f ca="1">VLOOKUP(dict_DQ_Meth_max[[#This Row],[ID_DataQualities]],table_DataQualities[],9,FALSE)</f>
        <v>6681</v>
      </c>
    </row>
    <row r="587" spans="1:13" x14ac:dyDescent="0.45">
      <c r="A587" s="10">
        <v>156</v>
      </c>
      <c r="B587" s="10">
        <v>74</v>
      </c>
      <c r="C5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7" s="10"/>
      <c r="E587" s="10"/>
      <c r="F587" s="12">
        <f ca="1">(RANDBETWEEN(0,50)/100)*(dict_DQ_Meth_max[[#This Row],[Vergleich_ub]]-dict_DQ_Meth_max[[#This Row],[Vergleich_lb]])+dict_DQ_Meth_max[[#This Row],[Vergleich_lb]]</f>
        <v>3140.3122099999996</v>
      </c>
      <c r="G587" s="12">
        <f ca="1">(RANDBETWEEN(50,100)/100)*(dict_DQ_Meth_max[[#This Row],[Vergleich_ub]]-dict_DQ_Meth_max[[#This Row],[Vergleich_lb]])+dict_DQ_Meth_max[[#This Row],[Vergleich_lb]]</f>
        <v>4543.2262400000009</v>
      </c>
      <c r="H587" s="11" t="str">
        <f ca="1">VLOOKUP(VLOOKUP(dict_DQ_Meth_max[[#This Row],[ID_DataQualities]],table_DataQualities[],3),table_Units[],2)</f>
        <v>Hz</v>
      </c>
      <c r="I587" s="10"/>
      <c r="J587" s="10"/>
      <c r="K587" s="10"/>
      <c r="L587" s="10">
        <f ca="1">VLOOKUP(dict_DQ_Meth_max[[#This Row],[ID_DataQualities]],table_DataQualities[],8,FALSE)</f>
        <v>0.45700000000000002</v>
      </c>
      <c r="M587" s="10">
        <f ca="1">VLOOKUP(dict_DQ_Meth_max[[#This Row],[ID_DataQualities]],table_DataQualities[],9,FALSE)</f>
        <v>6681</v>
      </c>
    </row>
    <row r="588" spans="1:13" x14ac:dyDescent="0.45">
      <c r="A588" s="10">
        <v>157</v>
      </c>
      <c r="B588" s="10">
        <v>114</v>
      </c>
      <c r="C5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8" s="10"/>
      <c r="E588" s="10"/>
      <c r="F588" s="12">
        <f ca="1">(RANDBETWEEN(0,50)/100)*(dict_DQ_Meth_max[[#This Row],[Vergleich_ub]]-dict_DQ_Meth_max[[#This Row],[Vergleich_lb]])+dict_DQ_Meth_max[[#This Row],[Vergleich_lb]]</f>
        <v>4.4160000000000005E-2</v>
      </c>
      <c r="G588" s="12">
        <f ca="1">(RANDBETWEEN(50,100)/100)*(dict_DQ_Meth_max[[#This Row],[Vergleich_ub]]-dict_DQ_Meth_max[[#This Row],[Vergleich_lb]])+dict_DQ_Meth_max[[#This Row],[Vergleich_lb]]</f>
        <v>0.40893000000000002</v>
      </c>
      <c r="H588" s="11" t="str">
        <f ca="1">VLOOKUP(VLOOKUP(dict_DQ_Meth_max[[#This Row],[ID_DataQualities]],table_DataQualities[],3),table_Units[],2)</f>
        <v>+/- W</v>
      </c>
      <c r="I588" s="10"/>
      <c r="J588" s="10"/>
      <c r="K588" s="10"/>
      <c r="L588" s="10">
        <f ca="1">VLOOKUP(dict_DQ_Meth_max[[#This Row],[ID_DataQualities]],table_DataQualities[],8,FALSE)</f>
        <v>2.1000000000000001E-2</v>
      </c>
      <c r="M588" s="10">
        <f ca="1">VLOOKUP(dict_DQ_Meth_max[[#This Row],[ID_DataQualities]],table_DataQualities[],9,FALSE)</f>
        <v>0.6</v>
      </c>
    </row>
    <row r="589" spans="1:13" x14ac:dyDescent="0.45">
      <c r="A589" s="10">
        <v>157</v>
      </c>
      <c r="B589" s="10">
        <v>436</v>
      </c>
      <c r="C5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89" s="10"/>
      <c r="E589" s="10"/>
      <c r="F589" s="12">
        <f ca="1">(RANDBETWEEN(0,50)/100)*(dict_DQ_Meth_max[[#This Row],[Vergleich_ub]]-dict_DQ_Meth_max[[#This Row],[Vergleich_lb]])+dict_DQ_Meth_max[[#This Row],[Vergleich_lb]]</f>
        <v>7.8899999999999998E-2</v>
      </c>
      <c r="G589" s="12">
        <f ca="1">(RANDBETWEEN(50,100)/100)*(dict_DQ_Meth_max[[#This Row],[Vergleich_ub]]-dict_DQ_Meth_max[[#This Row],[Vergleich_lb]])+dict_DQ_Meth_max[[#This Row],[Vergleich_lb]]</f>
        <v>0.36260999999999999</v>
      </c>
      <c r="H589" s="11" t="str">
        <f ca="1">VLOOKUP(VLOOKUP(dict_DQ_Meth_max[[#This Row],[ID_DataQualities]],table_DataQualities[],3),table_Units[],2)</f>
        <v>+/- W</v>
      </c>
      <c r="I589" s="10"/>
      <c r="J589" s="10"/>
      <c r="K589" s="10"/>
      <c r="L589" s="10">
        <f ca="1">VLOOKUP(dict_DQ_Meth_max[[#This Row],[ID_DataQualities]],table_DataQualities[],8,FALSE)</f>
        <v>2.1000000000000001E-2</v>
      </c>
      <c r="M589" s="10">
        <f ca="1">VLOOKUP(dict_DQ_Meth_max[[#This Row],[ID_DataQualities]],table_DataQualities[],9,FALSE)</f>
        <v>0.6</v>
      </c>
    </row>
    <row r="590" spans="1:13" x14ac:dyDescent="0.45">
      <c r="A590" s="10">
        <v>157</v>
      </c>
      <c r="B590" s="10">
        <v>74</v>
      </c>
      <c r="C5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0" s="10"/>
      <c r="E590" s="10"/>
      <c r="F590" s="12">
        <f ca="1">(RANDBETWEEN(0,50)/100)*(dict_DQ_Meth_max[[#This Row],[Vergleich_ub]]-dict_DQ_Meth_max[[#This Row],[Vergleich_lb]])+dict_DQ_Meth_max[[#This Row],[Vergleich_lb]]</f>
        <v>0.3105</v>
      </c>
      <c r="G590" s="12">
        <f ca="1">(RANDBETWEEN(50,100)/100)*(dict_DQ_Meth_max[[#This Row],[Vergleich_ub]]-dict_DQ_Meth_max[[#This Row],[Vergleich_lb]])+dict_DQ_Meth_max[[#This Row],[Vergleich_lb]]</f>
        <v>0.36260999999999999</v>
      </c>
      <c r="H590" s="11" t="str">
        <f ca="1">VLOOKUP(VLOOKUP(dict_DQ_Meth_max[[#This Row],[ID_DataQualities]],table_DataQualities[],3),table_Units[],2)</f>
        <v>+/- W</v>
      </c>
      <c r="I590" s="10"/>
      <c r="J590" s="10"/>
      <c r="K590" s="10"/>
      <c r="L590" s="10">
        <f ca="1">VLOOKUP(dict_DQ_Meth_max[[#This Row],[ID_DataQualities]],table_DataQualities[],8,FALSE)</f>
        <v>2.1000000000000001E-2</v>
      </c>
      <c r="M590" s="10">
        <f ca="1">VLOOKUP(dict_DQ_Meth_max[[#This Row],[ID_DataQualities]],table_DataQualities[],9,FALSE)</f>
        <v>0.6</v>
      </c>
    </row>
    <row r="591" spans="1:13" x14ac:dyDescent="0.45">
      <c r="A591" s="10">
        <v>157</v>
      </c>
      <c r="B591" s="10">
        <v>187</v>
      </c>
      <c r="C5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1" s="10"/>
      <c r="E591" s="10"/>
      <c r="F591" s="12">
        <f ca="1">(RANDBETWEEN(0,50)/100)*(dict_DQ_Meth_max[[#This Row],[Vergleich_ub]]-dict_DQ_Meth_max[[#This Row],[Vergleich_lb]])+dict_DQ_Meth_max[[#This Row],[Vergleich_lb]]</f>
        <v>0.23522999999999997</v>
      </c>
      <c r="G591" s="12">
        <f ca="1">(RANDBETWEEN(50,100)/100)*(dict_DQ_Meth_max[[#This Row],[Vergleich_ub]]-dict_DQ_Meth_max[[#This Row],[Vergleich_lb]])+dict_DQ_Meth_max[[#This Row],[Vergleich_lb]]</f>
        <v>0.3105</v>
      </c>
      <c r="H591" s="11" t="str">
        <f ca="1">VLOOKUP(VLOOKUP(dict_DQ_Meth_max[[#This Row],[ID_DataQualities]],table_DataQualities[],3),table_Units[],2)</f>
        <v>+/- W</v>
      </c>
      <c r="I591" s="10"/>
      <c r="J591" s="10"/>
      <c r="K591" s="10"/>
      <c r="L591" s="10">
        <f ca="1">VLOOKUP(dict_DQ_Meth_max[[#This Row],[ID_DataQualities]],table_DataQualities[],8,FALSE)</f>
        <v>2.1000000000000001E-2</v>
      </c>
      <c r="M591" s="10">
        <f ca="1">VLOOKUP(dict_DQ_Meth_max[[#This Row],[ID_DataQualities]],table_DataQualities[],9,FALSE)</f>
        <v>0.6</v>
      </c>
    </row>
    <row r="592" spans="1:13" x14ac:dyDescent="0.45">
      <c r="A592" s="10">
        <v>158</v>
      </c>
      <c r="B592" s="10">
        <v>493</v>
      </c>
      <c r="C5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2" s="10"/>
      <c r="E592" s="10"/>
      <c r="F592" s="12">
        <f ca="1">(RANDBETWEEN(0,50)/100)*(dict_DQ_Meth_max[[#This Row],[Vergleich_ub]]-dict_DQ_Meth_max[[#This Row],[Vergleich_lb]])+dict_DQ_Meth_max[[#This Row],[Vergleich_lb]]</f>
        <v>0.34699999999999998</v>
      </c>
      <c r="G592" s="12">
        <f ca="1">(RANDBETWEEN(50,100)/100)*(dict_DQ_Meth_max[[#This Row],[Vergleich_ub]]-dict_DQ_Meth_max[[#This Row],[Vergleich_lb]])+dict_DQ_Meth_max[[#This Row],[Vergleich_lb]]</f>
        <v>1534.8994700000001</v>
      </c>
      <c r="H592" s="11" t="str">
        <f ca="1">VLOOKUP(VLOOKUP(dict_DQ_Meth_max[[#This Row],[ID_DataQualities]],table_DataQualities[],3),table_Units[],2)</f>
        <v>Hz</v>
      </c>
      <c r="I592" s="10"/>
      <c r="J592" s="10"/>
      <c r="K592" s="10"/>
      <c r="L592" s="10">
        <f ca="1">VLOOKUP(dict_DQ_Meth_max[[#This Row],[ID_DataQualities]],table_DataQualities[],8,FALSE)</f>
        <v>0.34699999999999998</v>
      </c>
      <c r="M592" s="10">
        <f ca="1">VLOOKUP(dict_DQ_Meth_max[[#This Row],[ID_DataQualities]],table_DataQualities[],9,FALSE)</f>
        <v>1550.4</v>
      </c>
    </row>
    <row r="593" spans="1:13" x14ac:dyDescent="0.45">
      <c r="A593" s="10">
        <v>158</v>
      </c>
      <c r="B593" s="10">
        <v>166</v>
      </c>
      <c r="C5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3" s="10"/>
      <c r="E593" s="10"/>
      <c r="F593" s="12">
        <f ca="1">(RANDBETWEEN(0,50)/100)*(dict_DQ_Meth_max[[#This Row],[Vergleich_ub]]-dict_DQ_Meth_max[[#This Row],[Vergleich_lb]])+dict_DQ_Meth_max[[#This Row],[Vergleich_lb]]</f>
        <v>713.37138000000004</v>
      </c>
      <c r="G593" s="12">
        <f ca="1">(RANDBETWEEN(50,100)/100)*(dict_DQ_Meth_max[[#This Row],[Vergleich_ub]]-dict_DQ_Meth_max[[#This Row],[Vergleich_lb]])+dict_DQ_Meth_max[[#This Row],[Vergleich_lb]]</f>
        <v>775.37350000000004</v>
      </c>
      <c r="H593" s="11" t="str">
        <f ca="1">VLOOKUP(VLOOKUP(dict_DQ_Meth_max[[#This Row],[ID_DataQualities]],table_DataQualities[],3),table_Units[],2)</f>
        <v>Hz</v>
      </c>
      <c r="I593" s="10"/>
      <c r="J593" s="10"/>
      <c r="K593" s="10"/>
      <c r="L593" s="10">
        <f ca="1">VLOOKUP(dict_DQ_Meth_max[[#This Row],[ID_DataQualities]],table_DataQualities[],8,FALSE)</f>
        <v>0.34699999999999998</v>
      </c>
      <c r="M593" s="10">
        <f ca="1">VLOOKUP(dict_DQ_Meth_max[[#This Row],[ID_DataQualities]],table_DataQualities[],9,FALSE)</f>
        <v>1550.4</v>
      </c>
    </row>
    <row r="594" spans="1:13" x14ac:dyDescent="0.45">
      <c r="A594" s="10">
        <v>158</v>
      </c>
      <c r="B594" s="10">
        <v>488</v>
      </c>
      <c r="C5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4" s="10"/>
      <c r="E594" s="10"/>
      <c r="F594" s="12">
        <f ca="1">(RANDBETWEEN(0,50)/100)*(dict_DQ_Meth_max[[#This Row],[Vergleich_ub]]-dict_DQ_Meth_max[[#This Row],[Vergleich_lb]])+dict_DQ_Meth_max[[#This Row],[Vergleich_lb]]</f>
        <v>279.35654</v>
      </c>
      <c r="G594" s="12">
        <f ca="1">(RANDBETWEEN(50,100)/100)*(dict_DQ_Meth_max[[#This Row],[Vergleich_ub]]-dict_DQ_Meth_max[[#This Row],[Vergleich_lb]])+dict_DQ_Meth_max[[#This Row],[Vergleich_lb]]</f>
        <v>961.37986000000001</v>
      </c>
      <c r="H594" s="11" t="str">
        <f ca="1">VLOOKUP(VLOOKUP(dict_DQ_Meth_max[[#This Row],[ID_DataQualities]],table_DataQualities[],3),table_Units[],2)</f>
        <v>Hz</v>
      </c>
      <c r="I594" s="10"/>
      <c r="J594" s="10"/>
      <c r="K594" s="10"/>
      <c r="L594" s="10">
        <f ca="1">VLOOKUP(dict_DQ_Meth_max[[#This Row],[ID_DataQualities]],table_DataQualities[],8,FALSE)</f>
        <v>0.34699999999999998</v>
      </c>
      <c r="M594" s="10">
        <f ca="1">VLOOKUP(dict_DQ_Meth_max[[#This Row],[ID_DataQualities]],table_DataQualities[],9,FALSE)</f>
        <v>1550.4</v>
      </c>
    </row>
    <row r="595" spans="1:13" x14ac:dyDescent="0.45">
      <c r="A595" s="10">
        <v>158</v>
      </c>
      <c r="B595" s="10">
        <v>345</v>
      </c>
      <c r="C5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5" s="10"/>
      <c r="E595" s="10"/>
      <c r="F595" s="12">
        <f ca="1">(RANDBETWEEN(0,50)/100)*(dict_DQ_Meth_max[[#This Row],[Vergleich_ub]]-dict_DQ_Meth_max[[#This Row],[Vergleich_lb]])+dict_DQ_Meth_max[[#This Row],[Vergleich_lb]]</f>
        <v>325.85813000000002</v>
      </c>
      <c r="G595" s="12">
        <f ca="1">(RANDBETWEEN(50,100)/100)*(dict_DQ_Meth_max[[#This Row],[Vergleich_ub]]-dict_DQ_Meth_max[[#This Row],[Vergleich_lb]])+dict_DQ_Meth_max[[#This Row],[Vergleich_lb]]</f>
        <v>992.38092000000006</v>
      </c>
      <c r="H595" s="11" t="str">
        <f ca="1">VLOOKUP(VLOOKUP(dict_DQ_Meth_max[[#This Row],[ID_DataQualities]],table_DataQualities[],3),table_Units[],2)</f>
        <v>Hz</v>
      </c>
      <c r="I595" s="10"/>
      <c r="J595" s="10"/>
      <c r="K595" s="10"/>
      <c r="L595" s="10">
        <f ca="1">VLOOKUP(dict_DQ_Meth_max[[#This Row],[ID_DataQualities]],table_DataQualities[],8,FALSE)</f>
        <v>0.34699999999999998</v>
      </c>
      <c r="M595" s="10">
        <f ca="1">VLOOKUP(dict_DQ_Meth_max[[#This Row],[ID_DataQualities]],table_DataQualities[],9,FALSE)</f>
        <v>1550.4</v>
      </c>
    </row>
    <row r="596" spans="1:13" x14ac:dyDescent="0.45">
      <c r="A596" s="10">
        <v>158</v>
      </c>
      <c r="B596" s="10">
        <v>497</v>
      </c>
      <c r="C5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6" s="10"/>
      <c r="E596" s="10"/>
      <c r="F596" s="12">
        <f ca="1">(RANDBETWEEN(0,50)/100)*(dict_DQ_Meth_max[[#This Row],[Vergleich_ub]]-dict_DQ_Meth_max[[#This Row],[Vergleich_lb]])+dict_DQ_Meth_max[[#This Row],[Vergleich_lb]]</f>
        <v>248.35548000000003</v>
      </c>
      <c r="G596" s="12">
        <f ca="1">(RANDBETWEEN(50,100)/100)*(dict_DQ_Meth_max[[#This Row],[Vergleich_ub]]-dict_DQ_Meth_max[[#This Row],[Vergleich_lb]])+dict_DQ_Meth_max[[#This Row],[Vergleich_lb]]</f>
        <v>1286.8909900000001</v>
      </c>
      <c r="H596" s="11" t="str">
        <f ca="1">VLOOKUP(VLOOKUP(dict_DQ_Meth_max[[#This Row],[ID_DataQualities]],table_DataQualities[],3),table_Units[],2)</f>
        <v>Hz</v>
      </c>
      <c r="I596" s="10"/>
      <c r="J596" s="10"/>
      <c r="K596" s="10"/>
      <c r="L596" s="10">
        <f ca="1">VLOOKUP(dict_DQ_Meth_max[[#This Row],[ID_DataQualities]],table_DataQualities[],8,FALSE)</f>
        <v>0.34699999999999998</v>
      </c>
      <c r="M596" s="10">
        <f ca="1">VLOOKUP(dict_DQ_Meth_max[[#This Row],[ID_DataQualities]],table_DataQualities[],9,FALSE)</f>
        <v>1550.4</v>
      </c>
    </row>
    <row r="597" spans="1:13" x14ac:dyDescent="0.45">
      <c r="A597" s="10">
        <v>159</v>
      </c>
      <c r="B597" s="10">
        <v>488</v>
      </c>
      <c r="C5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7" s="10"/>
      <c r="E597" s="10"/>
      <c r="F597" s="12">
        <f ca="1">(RANDBETWEEN(0,50)/100)*(dict_DQ_Meth_max[[#This Row],[Vergleich_ub]]-dict_DQ_Meth_max[[#This Row],[Vergleich_lb]])+dict_DQ_Meth_max[[#This Row],[Vergleich_lb]]</f>
        <v>0.32074999999999998</v>
      </c>
      <c r="G597" s="12">
        <f ca="1">(RANDBETWEEN(50,100)/100)*(dict_DQ_Meth_max[[#This Row],[Vergleich_ub]]-dict_DQ_Meth_max[[#This Row],[Vergleich_lb]])+dict_DQ_Meth_max[[#This Row],[Vergleich_lb]]</f>
        <v>0.72640000000000005</v>
      </c>
      <c r="H597" s="11" t="str">
        <f ca="1">VLOOKUP(VLOOKUP(dict_DQ_Meth_max[[#This Row],[ID_DataQualities]],table_DataQualities[],3),table_Units[],2)</f>
        <v>+/- W</v>
      </c>
      <c r="I597" s="10"/>
      <c r="J597" s="10"/>
      <c r="K597" s="10"/>
      <c r="L597" s="10">
        <f ca="1">VLOOKUP(dict_DQ_Meth_max[[#This Row],[ID_DataQualities]],table_DataQualities[],8,FALSE)</f>
        <v>3.1E-2</v>
      </c>
      <c r="M597" s="10">
        <f ca="1">VLOOKUP(dict_DQ_Meth_max[[#This Row],[ID_DataQualities]],table_DataQualities[],9,FALSE)</f>
        <v>1.19</v>
      </c>
    </row>
    <row r="598" spans="1:13" x14ac:dyDescent="0.45">
      <c r="A598" s="10">
        <v>159</v>
      </c>
      <c r="B598" s="10">
        <v>345</v>
      </c>
      <c r="C5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8" s="10"/>
      <c r="E598" s="10"/>
      <c r="F598" s="12">
        <f ca="1">(RANDBETWEEN(0,50)/100)*(dict_DQ_Meth_max[[#This Row],[Vergleich_ub]]-dict_DQ_Meth_max[[#This Row],[Vergleich_lb]])+dict_DQ_Meth_max[[#This Row],[Vergleich_lb]]</f>
        <v>0.13530999999999999</v>
      </c>
      <c r="G598" s="12">
        <f ca="1">(RANDBETWEEN(50,100)/100)*(dict_DQ_Meth_max[[#This Row],[Vergleich_ub]]-dict_DQ_Meth_max[[#This Row],[Vergleich_lb]])+dict_DQ_Meth_max[[#This Row],[Vergleich_lb]]</f>
        <v>0.87707000000000002</v>
      </c>
      <c r="H598" s="11" t="str">
        <f ca="1">VLOOKUP(VLOOKUP(dict_DQ_Meth_max[[#This Row],[ID_DataQualities]],table_DataQualities[],3),table_Units[],2)</f>
        <v>+/- W</v>
      </c>
      <c r="I598" s="10"/>
      <c r="J598" s="10"/>
      <c r="K598" s="10"/>
      <c r="L598" s="10">
        <f ca="1">VLOOKUP(dict_DQ_Meth_max[[#This Row],[ID_DataQualities]],table_DataQualities[],8,FALSE)</f>
        <v>3.1E-2</v>
      </c>
      <c r="M598" s="10">
        <f ca="1">VLOOKUP(dict_DQ_Meth_max[[#This Row],[ID_DataQualities]],table_DataQualities[],9,FALSE)</f>
        <v>1.19</v>
      </c>
    </row>
    <row r="599" spans="1:13" x14ac:dyDescent="0.45">
      <c r="A599" s="10">
        <v>159</v>
      </c>
      <c r="B599" s="10">
        <v>493</v>
      </c>
      <c r="C5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599" s="10"/>
      <c r="E599" s="10"/>
      <c r="F599" s="12">
        <f ca="1">(RANDBETWEEN(0,50)/100)*(dict_DQ_Meth_max[[#This Row],[Vergleich_ub]]-dict_DQ_Meth_max[[#This Row],[Vergleich_lb]])+dict_DQ_Meth_max[[#This Row],[Vergleich_lb]]</f>
        <v>0.37870000000000004</v>
      </c>
      <c r="G599" s="12">
        <f ca="1">(RANDBETWEEN(50,100)/100)*(dict_DQ_Meth_max[[#This Row],[Vergleich_ub]]-dict_DQ_Meth_max[[#This Row],[Vergleich_lb]])+dict_DQ_Meth_max[[#This Row],[Vergleich_lb]]</f>
        <v>0.61050000000000004</v>
      </c>
      <c r="H599" s="11" t="str">
        <f ca="1">VLOOKUP(VLOOKUP(dict_DQ_Meth_max[[#This Row],[ID_DataQualities]],table_DataQualities[],3),table_Units[],2)</f>
        <v>+/- W</v>
      </c>
      <c r="I599" s="10"/>
      <c r="J599" s="10"/>
      <c r="K599" s="10"/>
      <c r="L599" s="10">
        <f ca="1">VLOOKUP(dict_DQ_Meth_max[[#This Row],[ID_DataQualities]],table_DataQualities[],8,FALSE)</f>
        <v>3.1E-2</v>
      </c>
      <c r="M599" s="10">
        <f ca="1">VLOOKUP(dict_DQ_Meth_max[[#This Row],[ID_DataQualities]],table_DataQualities[],9,FALSE)</f>
        <v>1.19</v>
      </c>
    </row>
    <row r="600" spans="1:13" x14ac:dyDescent="0.45">
      <c r="A600" s="10">
        <v>159</v>
      </c>
      <c r="B600" s="10">
        <v>497</v>
      </c>
      <c r="C6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0" s="10"/>
      <c r="E600" s="10"/>
      <c r="F600" s="12">
        <f ca="1">(RANDBETWEEN(0,50)/100)*(dict_DQ_Meth_max[[#This Row],[Vergleich_ub]]-dict_DQ_Meth_max[[#This Row],[Vergleich_lb]])+dict_DQ_Meth_max[[#This Row],[Vergleich_lb]]</f>
        <v>0.37870000000000004</v>
      </c>
      <c r="G600" s="12">
        <f ca="1">(RANDBETWEEN(50,100)/100)*(dict_DQ_Meth_max[[#This Row],[Vergleich_ub]]-dict_DQ_Meth_max[[#This Row],[Vergleich_lb]])+dict_DQ_Meth_max[[#This Row],[Vergleich_lb]]</f>
        <v>0.71481000000000006</v>
      </c>
      <c r="H600" s="11" t="str">
        <f ca="1">VLOOKUP(VLOOKUP(dict_DQ_Meth_max[[#This Row],[ID_DataQualities]],table_DataQualities[],3),table_Units[],2)</f>
        <v>+/- W</v>
      </c>
      <c r="I600" s="10"/>
      <c r="J600" s="10"/>
      <c r="K600" s="10"/>
      <c r="L600" s="10">
        <f ca="1">VLOOKUP(dict_DQ_Meth_max[[#This Row],[ID_DataQualities]],table_DataQualities[],8,FALSE)</f>
        <v>3.1E-2</v>
      </c>
      <c r="M600" s="10">
        <f ca="1">VLOOKUP(dict_DQ_Meth_max[[#This Row],[ID_DataQualities]],table_DataQualities[],9,FALSE)</f>
        <v>1.19</v>
      </c>
    </row>
    <row r="601" spans="1:13" x14ac:dyDescent="0.45">
      <c r="A601" s="10">
        <v>159</v>
      </c>
      <c r="B601" s="10">
        <v>166</v>
      </c>
      <c r="C6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1" s="10"/>
      <c r="E601" s="10"/>
      <c r="F601" s="12">
        <f ca="1">(RANDBETWEEN(0,50)/100)*(dict_DQ_Meth_max[[#This Row],[Vergleich_ub]]-dict_DQ_Meth_max[[#This Row],[Vergleich_lb]])+dict_DQ_Meth_max[[#This Row],[Vergleich_lb]]</f>
        <v>0.15848999999999999</v>
      </c>
      <c r="G601" s="12">
        <f ca="1">(RANDBETWEEN(50,100)/100)*(dict_DQ_Meth_max[[#This Row],[Vergleich_ub]]-dict_DQ_Meth_max[[#This Row],[Vergleich_lb]])+dict_DQ_Meth_max[[#This Row],[Vergleich_lb]]</f>
        <v>0.63368000000000002</v>
      </c>
      <c r="H601" s="11" t="str">
        <f ca="1">VLOOKUP(VLOOKUP(dict_DQ_Meth_max[[#This Row],[ID_DataQualities]],table_DataQualities[],3),table_Units[],2)</f>
        <v>+/- W</v>
      </c>
      <c r="I601" s="10"/>
      <c r="J601" s="10"/>
      <c r="K601" s="10"/>
      <c r="L601" s="10">
        <f ca="1">VLOOKUP(dict_DQ_Meth_max[[#This Row],[ID_DataQualities]],table_DataQualities[],8,FALSE)</f>
        <v>3.1E-2</v>
      </c>
      <c r="M601" s="10">
        <f ca="1">VLOOKUP(dict_DQ_Meth_max[[#This Row],[ID_DataQualities]],table_DataQualities[],9,FALSE)</f>
        <v>1.19</v>
      </c>
    </row>
    <row r="602" spans="1:13" x14ac:dyDescent="0.45">
      <c r="A602" s="10">
        <v>160</v>
      </c>
      <c r="B602" s="10">
        <v>531</v>
      </c>
      <c r="C6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2" s="10"/>
      <c r="E602" s="10"/>
      <c r="F602" s="12">
        <f ca="1">(RANDBETWEEN(0,50)/100)*(dict_DQ_Meth_max[[#This Row],[Vergleich_ub]]-dict_DQ_Meth_max[[#This Row],[Vergleich_lb]])+dict_DQ_Meth_max[[#This Row],[Vergleich_lb]]</f>
        <v>2485.0144299999997</v>
      </c>
      <c r="G602" s="12">
        <f ca="1">(RANDBETWEEN(50,100)/100)*(dict_DQ_Meth_max[[#This Row],[Vergleich_ub]]-dict_DQ_Meth_max[[#This Row],[Vergleich_lb]])+dict_DQ_Meth_max[[#This Row],[Vergleich_lb]]</f>
        <v>3636.5708</v>
      </c>
      <c r="H602" s="11" t="str">
        <f ca="1">VLOOKUP(VLOOKUP(dict_DQ_Meth_max[[#This Row],[ID_DataQualities]],table_DataQualities[],3),table_Units[],2)</f>
        <v>Hz</v>
      </c>
      <c r="I602" s="10"/>
      <c r="J602" s="10"/>
      <c r="K602" s="10"/>
      <c r="L602" s="10">
        <f ca="1">VLOOKUP(dict_DQ_Meth_max[[#This Row],[ID_DataQualities]],table_DataQualities[],8,FALSE)</f>
        <v>7.6999999999999999E-2</v>
      </c>
      <c r="M602" s="10">
        <f ca="1">VLOOKUP(dict_DQ_Meth_max[[#This Row],[ID_DataQualities]],table_DataQualities[],9,FALSE)</f>
        <v>6060.9</v>
      </c>
    </row>
    <row r="603" spans="1:13" x14ac:dyDescent="0.45">
      <c r="A603" s="10">
        <v>160</v>
      </c>
      <c r="B603" s="10">
        <v>254</v>
      </c>
      <c r="C6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3" s="10"/>
      <c r="E603" s="10"/>
      <c r="F603" s="12">
        <f ca="1">(RANDBETWEEN(0,50)/100)*(dict_DQ_Meth_max[[#This Row],[Vergleich_ub]]-dict_DQ_Meth_max[[#This Row],[Vergleich_lb]])+dict_DQ_Meth_max[[#This Row],[Vergleich_lb]]</f>
        <v>2909.2720399999998</v>
      </c>
      <c r="G603" s="12">
        <f ca="1">(RANDBETWEEN(50,100)/100)*(dict_DQ_Meth_max[[#This Row],[Vergleich_ub]]-dict_DQ_Meth_max[[#This Row],[Vergleich_lb]])+dict_DQ_Meth_max[[#This Row],[Vergleich_lb]]</f>
        <v>3030.4884999999999</v>
      </c>
      <c r="H603" s="11" t="str">
        <f ca="1">VLOOKUP(VLOOKUP(dict_DQ_Meth_max[[#This Row],[ID_DataQualities]],table_DataQualities[],3),table_Units[],2)</f>
        <v>Hz</v>
      </c>
      <c r="I603" s="10"/>
      <c r="J603" s="10"/>
      <c r="K603" s="10"/>
      <c r="L603" s="10">
        <f ca="1">VLOOKUP(dict_DQ_Meth_max[[#This Row],[ID_DataQualities]],table_DataQualities[],8,FALSE)</f>
        <v>7.6999999999999999E-2</v>
      </c>
      <c r="M603" s="10">
        <f ca="1">VLOOKUP(dict_DQ_Meth_max[[#This Row],[ID_DataQualities]],table_DataQualities[],9,FALSE)</f>
        <v>6060.9</v>
      </c>
    </row>
    <row r="604" spans="1:13" x14ac:dyDescent="0.45">
      <c r="A604" s="10">
        <v>161</v>
      </c>
      <c r="B604" s="10">
        <v>531</v>
      </c>
      <c r="C6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4" s="10"/>
      <c r="E604" s="10"/>
      <c r="F604" s="12">
        <f ca="1">(RANDBETWEEN(0,50)/100)*(dict_DQ_Meth_max[[#This Row],[Vergleich_ub]]-dict_DQ_Meth_max[[#This Row],[Vergleich_lb]])+dict_DQ_Meth_max[[#This Row],[Vergleich_lb]]</f>
        <v>1.5277499999999997</v>
      </c>
      <c r="G604" s="12">
        <f ca="1">(RANDBETWEEN(50,100)/100)*(dict_DQ_Meth_max[[#This Row],[Vergleich_ub]]-dict_DQ_Meth_max[[#This Row],[Vergleich_lb]])+dict_DQ_Meth_max[[#This Row],[Vergleich_lb]]</f>
        <v>4.6122499999999995</v>
      </c>
      <c r="H604" s="11" t="str">
        <f ca="1">VLOOKUP(VLOOKUP(dict_DQ_Meth_max[[#This Row],[ID_DataQualities]],table_DataQualities[],3),table_Units[],2)</f>
        <v>+/- W</v>
      </c>
      <c r="I604" s="10"/>
      <c r="J604" s="10"/>
      <c r="K604" s="10"/>
      <c r="L604" s="10">
        <f ca="1">VLOOKUP(dict_DQ_Meth_max[[#This Row],[ID_DataQualities]],table_DataQualities[],8,FALSE)</f>
        <v>8.5000000000000006E-2</v>
      </c>
      <c r="M604" s="10">
        <f ca="1">VLOOKUP(dict_DQ_Meth_max[[#This Row],[ID_DataQualities]],table_DataQualities[],9,FALSE)</f>
        <v>5.0599999999999996</v>
      </c>
    </row>
    <row r="605" spans="1:13" x14ac:dyDescent="0.45">
      <c r="A605" s="10">
        <v>161</v>
      </c>
      <c r="B605" s="10">
        <v>254</v>
      </c>
      <c r="C6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5" s="10"/>
      <c r="E605" s="10"/>
      <c r="F605" s="12">
        <f ca="1">(RANDBETWEEN(0,50)/100)*(dict_DQ_Meth_max[[#This Row],[Vergleich_ub]]-dict_DQ_Meth_max[[#This Row],[Vergleich_lb]])+dict_DQ_Meth_max[[#This Row],[Vergleich_lb]]</f>
        <v>0.23425000000000001</v>
      </c>
      <c r="G605" s="12">
        <f ca="1">(RANDBETWEEN(50,100)/100)*(dict_DQ_Meth_max[[#This Row],[Vergleich_ub]]-dict_DQ_Meth_max[[#This Row],[Vergleich_lb]])+dict_DQ_Meth_max[[#This Row],[Vergleich_lb]]</f>
        <v>5.0102499999999992</v>
      </c>
      <c r="H605" s="11" t="str">
        <f ca="1">VLOOKUP(VLOOKUP(dict_DQ_Meth_max[[#This Row],[ID_DataQualities]],table_DataQualities[],3),table_Units[],2)</f>
        <v>+/- W</v>
      </c>
      <c r="I605" s="10"/>
      <c r="J605" s="10"/>
      <c r="K605" s="10"/>
      <c r="L605" s="10">
        <f ca="1">VLOOKUP(dict_DQ_Meth_max[[#This Row],[ID_DataQualities]],table_DataQualities[],8,FALSE)</f>
        <v>8.5000000000000006E-2</v>
      </c>
      <c r="M605" s="10">
        <f ca="1">VLOOKUP(dict_DQ_Meth_max[[#This Row],[ID_DataQualities]],table_DataQualities[],9,FALSE)</f>
        <v>5.0599999999999996</v>
      </c>
    </row>
    <row r="606" spans="1:13" x14ac:dyDescent="0.45">
      <c r="A606" s="10">
        <v>162</v>
      </c>
      <c r="B606" s="10">
        <v>437</v>
      </c>
      <c r="C6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6" s="10"/>
      <c r="E606" s="10"/>
      <c r="F606" s="12">
        <f ca="1">(RANDBETWEEN(0,50)/100)*(dict_DQ_Meth_max[[#This Row],[Vergleich_ub]]-dict_DQ_Meth_max[[#This Row],[Vergleich_lb]])+dict_DQ_Meth_max[[#This Row],[Vergleich_lb]]</f>
        <v>657.68454000000008</v>
      </c>
      <c r="G606" s="12">
        <f ca="1">(RANDBETWEEN(50,100)/100)*(dict_DQ_Meth_max[[#This Row],[Vergleich_ub]]-dict_DQ_Meth_max[[#This Row],[Vergleich_lb]])+dict_DQ_Meth_max[[#This Row],[Vergleich_lb]]</f>
        <v>4697.2</v>
      </c>
      <c r="H606" s="11" t="str">
        <f ca="1">VLOOKUP(VLOOKUP(dict_DQ_Meth_max[[#This Row],[ID_DataQualities]],table_DataQualities[],3),table_Units[],2)</f>
        <v>Hz</v>
      </c>
      <c r="I606" s="10"/>
      <c r="J606" s="10"/>
      <c r="K606" s="10"/>
      <c r="L606" s="10">
        <f ca="1">VLOOKUP(dict_DQ_Meth_max[[#This Row],[ID_DataQualities]],table_DataQualities[],8,FALSE)</f>
        <v>8.8999999999999996E-2</v>
      </c>
      <c r="M606" s="10">
        <f ca="1">VLOOKUP(dict_DQ_Meth_max[[#This Row],[ID_DataQualities]],table_DataQualities[],9,FALSE)</f>
        <v>4697.2</v>
      </c>
    </row>
    <row r="607" spans="1:13" x14ac:dyDescent="0.45">
      <c r="A607" s="10">
        <v>162</v>
      </c>
      <c r="B607" s="10">
        <v>255</v>
      </c>
      <c r="C6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7" s="10"/>
      <c r="E607" s="10"/>
      <c r="F607" s="12">
        <f ca="1">(RANDBETWEEN(0,50)/100)*(dict_DQ_Meth_max[[#This Row],[Vergleich_ub]]-dict_DQ_Meth_max[[#This Row],[Vergleich_lb]])+dict_DQ_Meth_max[[#This Row],[Vergleich_lb]]</f>
        <v>1597.1067399999999</v>
      </c>
      <c r="G607" s="12">
        <f ca="1">(RANDBETWEEN(50,100)/100)*(dict_DQ_Meth_max[[#This Row],[Vergleich_ub]]-dict_DQ_Meth_max[[#This Row],[Vergleich_lb]])+dict_DQ_Meth_max[[#This Row],[Vergleich_lb]]</f>
        <v>2771.3844899999999</v>
      </c>
      <c r="H607" s="11" t="str">
        <f ca="1">VLOOKUP(VLOOKUP(dict_DQ_Meth_max[[#This Row],[ID_DataQualities]],table_DataQualities[],3),table_Units[],2)</f>
        <v>Hz</v>
      </c>
      <c r="I607" s="10"/>
      <c r="J607" s="10"/>
      <c r="K607" s="10"/>
      <c r="L607" s="10">
        <f ca="1">VLOOKUP(dict_DQ_Meth_max[[#This Row],[ID_DataQualities]],table_DataQualities[],8,FALSE)</f>
        <v>8.8999999999999996E-2</v>
      </c>
      <c r="M607" s="10">
        <f ca="1">VLOOKUP(dict_DQ_Meth_max[[#This Row],[ID_DataQualities]],table_DataQualities[],9,FALSE)</f>
        <v>4697.2</v>
      </c>
    </row>
    <row r="608" spans="1:13" x14ac:dyDescent="0.45">
      <c r="A608" s="10">
        <v>162</v>
      </c>
      <c r="B608" s="10">
        <v>279</v>
      </c>
      <c r="C6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8" s="10"/>
      <c r="E608" s="10"/>
      <c r="F608" s="12">
        <f ca="1">(RANDBETWEEN(0,50)/100)*(dict_DQ_Meth_max[[#This Row],[Vergleich_ub]]-dict_DQ_Meth_max[[#This Row],[Vergleich_lb]])+dict_DQ_Meth_max[[#This Row],[Vergleich_lb]]</f>
        <v>986.48230999999998</v>
      </c>
      <c r="G608" s="12">
        <f ca="1">(RANDBETWEEN(50,100)/100)*(dict_DQ_Meth_max[[#This Row],[Vergleich_ub]]-dict_DQ_Meth_max[[#This Row],[Vergleich_lb]])+dict_DQ_Meth_max[[#This Row],[Vergleich_lb]]</f>
        <v>4415.3733399999992</v>
      </c>
      <c r="H608" s="11" t="str">
        <f ca="1">VLOOKUP(VLOOKUP(dict_DQ_Meth_max[[#This Row],[ID_DataQualities]],table_DataQualities[],3),table_Units[],2)</f>
        <v>Hz</v>
      </c>
      <c r="I608" s="10"/>
      <c r="J608" s="10"/>
      <c r="K608" s="10"/>
      <c r="L608" s="10">
        <f ca="1">VLOOKUP(dict_DQ_Meth_max[[#This Row],[ID_DataQualities]],table_DataQualities[],8,FALSE)</f>
        <v>8.8999999999999996E-2</v>
      </c>
      <c r="M608" s="10">
        <f ca="1">VLOOKUP(dict_DQ_Meth_max[[#This Row],[ID_DataQualities]],table_DataQualities[],9,FALSE)</f>
        <v>4697.2</v>
      </c>
    </row>
    <row r="609" spans="1:13" x14ac:dyDescent="0.45">
      <c r="A609" s="10">
        <v>162</v>
      </c>
      <c r="B609" s="10">
        <v>424</v>
      </c>
      <c r="C6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09" s="10"/>
      <c r="E609" s="10"/>
      <c r="F609" s="12">
        <f ca="1">(RANDBETWEEN(0,50)/100)*(dict_DQ_Meth_max[[#This Row],[Vergleich_ub]]-dict_DQ_Meth_max[[#This Row],[Vergleich_lb]])+dict_DQ_Meth_max[[#This Row],[Vergleich_lb]]</f>
        <v>234.94454999999999</v>
      </c>
      <c r="G609" s="12">
        <f ca="1">(RANDBETWEEN(50,100)/100)*(dict_DQ_Meth_max[[#This Row],[Vergleich_ub]]-dict_DQ_Meth_max[[#This Row],[Vergleich_lb]])+dict_DQ_Meth_max[[#This Row],[Vergleich_lb]]</f>
        <v>3428.9800299999997</v>
      </c>
      <c r="H609" s="11" t="str">
        <f ca="1">VLOOKUP(VLOOKUP(dict_DQ_Meth_max[[#This Row],[ID_DataQualities]],table_DataQualities[],3),table_Units[],2)</f>
        <v>Hz</v>
      </c>
      <c r="I609" s="10"/>
      <c r="J609" s="10"/>
      <c r="K609" s="10"/>
      <c r="L609" s="10">
        <f ca="1">VLOOKUP(dict_DQ_Meth_max[[#This Row],[ID_DataQualities]],table_DataQualities[],8,FALSE)</f>
        <v>8.8999999999999996E-2</v>
      </c>
      <c r="M609" s="10">
        <f ca="1">VLOOKUP(dict_DQ_Meth_max[[#This Row],[ID_DataQualities]],table_DataQualities[],9,FALSE)</f>
        <v>4697.2</v>
      </c>
    </row>
    <row r="610" spans="1:13" x14ac:dyDescent="0.45">
      <c r="A610" s="10">
        <v>163</v>
      </c>
      <c r="B610" s="10">
        <v>424</v>
      </c>
      <c r="C6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0" s="10"/>
      <c r="E610" s="10"/>
      <c r="F610" s="12">
        <f ca="1">(RANDBETWEEN(0,50)/100)*(dict_DQ_Meth_max[[#This Row],[Vergleich_ub]]-dict_DQ_Meth_max[[#This Row],[Vergleich_lb]])+dict_DQ_Meth_max[[#This Row],[Vergleich_lb]]</f>
        <v>1.355</v>
      </c>
      <c r="G610" s="12">
        <f ca="1">(RANDBETWEEN(50,100)/100)*(dict_DQ_Meth_max[[#This Row],[Vergleich_ub]]-dict_DQ_Meth_max[[#This Row],[Vergleich_lb]])+dict_DQ_Meth_max[[#This Row],[Vergleich_lb]]</f>
        <v>6.2</v>
      </c>
      <c r="H610" s="11" t="str">
        <f ca="1">VLOOKUP(VLOOKUP(dict_DQ_Meth_max[[#This Row],[ID_DataQualities]],table_DataQualities[],3),table_Units[],2)</f>
        <v>+/- °C</v>
      </c>
      <c r="I610" s="10"/>
      <c r="J610" s="10"/>
      <c r="K610" s="10"/>
      <c r="L610" s="10">
        <f ca="1">VLOOKUP(dict_DQ_Meth_max[[#This Row],[ID_DataQualities]],table_DataQualities[],8,FALSE)</f>
        <v>0.5</v>
      </c>
      <c r="M610" s="10">
        <f ca="1">VLOOKUP(dict_DQ_Meth_max[[#This Row],[ID_DataQualities]],table_DataQualities[],9,FALSE)</f>
        <v>10</v>
      </c>
    </row>
    <row r="611" spans="1:13" x14ac:dyDescent="0.45">
      <c r="A611" s="10">
        <v>163</v>
      </c>
      <c r="B611" s="10">
        <v>255</v>
      </c>
      <c r="C6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1" s="10"/>
      <c r="E611" s="10"/>
      <c r="F611" s="12">
        <f ca="1">(RANDBETWEEN(0,50)/100)*(dict_DQ_Meth_max[[#This Row],[Vergleich_ub]]-dict_DQ_Meth_max[[#This Row],[Vergleich_lb]])+dict_DQ_Meth_max[[#This Row],[Vergleich_lb]]</f>
        <v>1.7350000000000001</v>
      </c>
      <c r="G611" s="12">
        <f ca="1">(RANDBETWEEN(50,100)/100)*(dict_DQ_Meth_max[[#This Row],[Vergleich_ub]]-dict_DQ_Meth_max[[#This Row],[Vergleich_lb]])+dict_DQ_Meth_max[[#This Row],[Vergleich_lb]]</f>
        <v>5.82</v>
      </c>
      <c r="H611" s="11" t="str">
        <f ca="1">VLOOKUP(VLOOKUP(dict_DQ_Meth_max[[#This Row],[ID_DataQualities]],table_DataQualities[],3),table_Units[],2)</f>
        <v>+/- °C</v>
      </c>
      <c r="I611" s="10"/>
      <c r="J611" s="10"/>
      <c r="K611" s="10"/>
      <c r="L611" s="10">
        <f ca="1">VLOOKUP(dict_DQ_Meth_max[[#This Row],[ID_DataQualities]],table_DataQualities[],8,FALSE)</f>
        <v>0.5</v>
      </c>
      <c r="M611" s="10">
        <f ca="1">VLOOKUP(dict_DQ_Meth_max[[#This Row],[ID_DataQualities]],table_DataQualities[],9,FALSE)</f>
        <v>10</v>
      </c>
    </row>
    <row r="612" spans="1:13" x14ac:dyDescent="0.45">
      <c r="A612" s="10">
        <v>163</v>
      </c>
      <c r="B612" s="10">
        <v>279</v>
      </c>
      <c r="C6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2" s="10"/>
      <c r="E612" s="10"/>
      <c r="F612" s="12">
        <f ca="1">(RANDBETWEEN(0,50)/100)*(dict_DQ_Meth_max[[#This Row],[Vergleich_ub]]-dict_DQ_Meth_max[[#This Row],[Vergleich_lb]])+dict_DQ_Meth_max[[#This Row],[Vergleich_lb]]</f>
        <v>2.4000000000000004</v>
      </c>
      <c r="G612" s="12">
        <f ca="1">(RANDBETWEEN(50,100)/100)*(dict_DQ_Meth_max[[#This Row],[Vergleich_ub]]-dict_DQ_Meth_max[[#This Row],[Vergleich_lb]])+dict_DQ_Meth_max[[#This Row],[Vergleich_lb]]</f>
        <v>7.8150000000000004</v>
      </c>
      <c r="H612" s="11" t="str">
        <f ca="1">VLOOKUP(VLOOKUP(dict_DQ_Meth_max[[#This Row],[ID_DataQualities]],table_DataQualities[],3),table_Units[],2)</f>
        <v>+/- °C</v>
      </c>
      <c r="I612" s="10"/>
      <c r="J612" s="10"/>
      <c r="K612" s="10"/>
      <c r="L612" s="10">
        <f ca="1">VLOOKUP(dict_DQ_Meth_max[[#This Row],[ID_DataQualities]],table_DataQualities[],8,FALSE)</f>
        <v>0.5</v>
      </c>
      <c r="M612" s="10">
        <f ca="1">VLOOKUP(dict_DQ_Meth_max[[#This Row],[ID_DataQualities]],table_DataQualities[],9,FALSE)</f>
        <v>10</v>
      </c>
    </row>
    <row r="613" spans="1:13" x14ac:dyDescent="0.45">
      <c r="A613" s="10">
        <v>163</v>
      </c>
      <c r="B613" s="10">
        <v>437</v>
      </c>
      <c r="C6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3" s="10"/>
      <c r="E613" s="10"/>
      <c r="F613" s="12">
        <f ca="1">(RANDBETWEEN(0,50)/100)*(dict_DQ_Meth_max[[#This Row],[Vergleich_ub]]-dict_DQ_Meth_max[[#This Row],[Vergleich_lb]])+dict_DQ_Meth_max[[#This Row],[Vergleich_lb]]</f>
        <v>5.25</v>
      </c>
      <c r="G613" s="12">
        <f ca="1">(RANDBETWEEN(50,100)/100)*(dict_DQ_Meth_max[[#This Row],[Vergleich_ub]]-dict_DQ_Meth_max[[#This Row],[Vergleich_lb]])+dict_DQ_Meth_max[[#This Row],[Vergleich_lb]]</f>
        <v>9.5250000000000004</v>
      </c>
      <c r="H613" s="11" t="str">
        <f ca="1">VLOOKUP(VLOOKUP(dict_DQ_Meth_max[[#This Row],[ID_DataQualities]],table_DataQualities[],3),table_Units[],2)</f>
        <v>+/- °C</v>
      </c>
      <c r="I613" s="10"/>
      <c r="J613" s="10"/>
      <c r="K613" s="10"/>
      <c r="L613" s="10">
        <f ca="1">VLOOKUP(dict_DQ_Meth_max[[#This Row],[ID_DataQualities]],table_DataQualities[],8,FALSE)</f>
        <v>0.5</v>
      </c>
      <c r="M613" s="10">
        <f ca="1">VLOOKUP(dict_DQ_Meth_max[[#This Row],[ID_DataQualities]],table_DataQualities[],9,FALSE)</f>
        <v>10</v>
      </c>
    </row>
    <row r="614" spans="1:13" x14ac:dyDescent="0.45">
      <c r="A614" s="10">
        <v>164</v>
      </c>
      <c r="B614" s="10">
        <v>152</v>
      </c>
      <c r="C6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4" s="10"/>
      <c r="E614" s="10"/>
      <c r="F614" s="12">
        <f ca="1">(RANDBETWEEN(0,50)/100)*(dict_DQ_Meth_max[[#This Row],[Vergleich_ub]]-dict_DQ_Meth_max[[#This Row],[Vergleich_lb]])+dict_DQ_Meth_max[[#This Row],[Vergleich_lb]]</f>
        <v>2914.18876</v>
      </c>
      <c r="G614" s="12">
        <f ca="1">(RANDBETWEEN(50,100)/100)*(dict_DQ_Meth_max[[#This Row],[Vergleich_ub]]-dict_DQ_Meth_max[[#This Row],[Vergleich_lb]])+dict_DQ_Meth_max[[#This Row],[Vergleich_lb]]</f>
        <v>4718.0110400000003</v>
      </c>
      <c r="H614" s="11" t="str">
        <f ca="1">VLOOKUP(VLOOKUP(dict_DQ_Meth_max[[#This Row],[ID_DataQualities]],table_DataQualities[],3),table_Units[],2)</f>
        <v>Hz</v>
      </c>
      <c r="I614" s="10"/>
      <c r="J614" s="10"/>
      <c r="K614" s="10"/>
      <c r="L614" s="10">
        <f ca="1">VLOOKUP(dict_DQ_Meth_max[[#This Row],[ID_DataQualities]],table_DataQualities[],8,FALSE)</f>
        <v>0.32200000000000001</v>
      </c>
      <c r="M614" s="10">
        <f ca="1">VLOOKUP(dict_DQ_Meth_max[[#This Row],[ID_DataQualities]],table_DataQualities[],9,FALSE)</f>
        <v>6938.1</v>
      </c>
    </row>
    <row r="615" spans="1:13" x14ac:dyDescent="0.45">
      <c r="A615" s="10">
        <v>164</v>
      </c>
      <c r="B615" s="10">
        <v>640</v>
      </c>
      <c r="C6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5" s="10"/>
      <c r="E615" s="10"/>
      <c r="F615" s="12">
        <f ca="1">(RANDBETWEEN(0,50)/100)*(dict_DQ_Meth_max[[#This Row],[Vergleich_ub]]-dict_DQ_Meth_max[[#This Row],[Vergleich_lb]])+dict_DQ_Meth_max[[#This Row],[Vergleich_lb]]</f>
        <v>902.23314000000005</v>
      </c>
      <c r="G615" s="12">
        <f ca="1">(RANDBETWEEN(50,100)/100)*(dict_DQ_Meth_max[[#This Row],[Vergleich_ub]]-dict_DQ_Meth_max[[#This Row],[Vergleich_lb]])+dict_DQ_Meth_max[[#This Row],[Vergleich_lb]]</f>
        <v>5758.6777400000001</v>
      </c>
      <c r="H615" s="11" t="str">
        <f ca="1">VLOOKUP(VLOOKUP(dict_DQ_Meth_max[[#This Row],[ID_DataQualities]],table_DataQualities[],3),table_Units[],2)</f>
        <v>Hz</v>
      </c>
      <c r="I615" s="10"/>
      <c r="J615" s="10"/>
      <c r="K615" s="10"/>
      <c r="L615" s="10">
        <f ca="1">VLOOKUP(dict_DQ_Meth_max[[#This Row],[ID_DataQualities]],table_DataQualities[],8,FALSE)</f>
        <v>0.32200000000000001</v>
      </c>
      <c r="M615" s="10">
        <f ca="1">VLOOKUP(dict_DQ_Meth_max[[#This Row],[ID_DataQualities]],table_DataQualities[],9,FALSE)</f>
        <v>6938.1</v>
      </c>
    </row>
    <row r="616" spans="1:13" x14ac:dyDescent="0.45">
      <c r="A616" s="10">
        <v>164</v>
      </c>
      <c r="B616" s="10">
        <v>615</v>
      </c>
      <c r="C6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6" s="10"/>
      <c r="E616" s="10"/>
      <c r="F616" s="12">
        <f ca="1">(RANDBETWEEN(0,50)/100)*(dict_DQ_Meth_max[[#This Row],[Vergleich_ub]]-dict_DQ_Meth_max[[#This Row],[Vergleich_lb]])+dict_DQ_Meth_max[[#This Row],[Vergleich_lb]]</f>
        <v>1734.7665</v>
      </c>
      <c r="G616" s="12">
        <f ca="1">(RANDBETWEEN(50,100)/100)*(dict_DQ_Meth_max[[#This Row],[Vergleich_ub]]-dict_DQ_Meth_max[[#This Row],[Vergleich_lb]])+dict_DQ_Meth_max[[#This Row],[Vergleich_lb]]</f>
        <v>4371.1221400000004</v>
      </c>
      <c r="H616" s="11" t="str">
        <f ca="1">VLOOKUP(VLOOKUP(dict_DQ_Meth_max[[#This Row],[ID_DataQualities]],table_DataQualities[],3),table_Units[],2)</f>
        <v>Hz</v>
      </c>
      <c r="I616" s="10"/>
      <c r="J616" s="10"/>
      <c r="K616" s="10"/>
      <c r="L616" s="10">
        <f ca="1">VLOOKUP(dict_DQ_Meth_max[[#This Row],[ID_DataQualities]],table_DataQualities[],8,FALSE)</f>
        <v>0.32200000000000001</v>
      </c>
      <c r="M616" s="10">
        <f ca="1">VLOOKUP(dict_DQ_Meth_max[[#This Row],[ID_DataQualities]],table_DataQualities[],9,FALSE)</f>
        <v>6938.1</v>
      </c>
    </row>
    <row r="617" spans="1:13" x14ac:dyDescent="0.45">
      <c r="A617" s="10">
        <v>165</v>
      </c>
      <c r="B617" s="10">
        <v>640</v>
      </c>
      <c r="C6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7" s="10"/>
      <c r="E617" s="10"/>
      <c r="F617" s="12">
        <f ca="1">(RANDBETWEEN(0,50)/100)*(dict_DQ_Meth_max[[#This Row],[Vergleich_ub]]-dict_DQ_Meth_max[[#This Row],[Vergleich_lb]])+dict_DQ_Meth_max[[#This Row],[Vergleich_lb]]</f>
        <v>1.3164</v>
      </c>
      <c r="G617" s="12">
        <f ca="1">(RANDBETWEEN(50,100)/100)*(dict_DQ_Meth_max[[#This Row],[Vergleich_ub]]-dict_DQ_Meth_max[[#This Row],[Vergleich_lb]])+dict_DQ_Meth_max[[#This Row],[Vergleich_lb]]</f>
        <v>1.7027999999999999</v>
      </c>
      <c r="H617" s="11" t="str">
        <f ca="1">VLOOKUP(VLOOKUP(dict_DQ_Meth_max[[#This Row],[ID_DataQualities]],table_DataQualities[],3),table_Units[],2)</f>
        <v>+/- mm/s</v>
      </c>
      <c r="I617" s="10"/>
      <c r="J617" s="10"/>
      <c r="K617" s="10"/>
      <c r="L617" s="10">
        <f ca="1">VLOOKUP(dict_DQ_Meth_max[[#This Row],[ID_DataQualities]],table_DataQualities[],8,FALSE)</f>
        <v>0.24</v>
      </c>
      <c r="M617" s="10">
        <f ca="1">VLOOKUP(dict_DQ_Meth_max[[#This Row],[ID_DataQualities]],table_DataQualities[],9,FALSE)</f>
        <v>3</v>
      </c>
    </row>
    <row r="618" spans="1:13" x14ac:dyDescent="0.45">
      <c r="A618" s="10">
        <v>165</v>
      </c>
      <c r="B618" s="10">
        <v>152</v>
      </c>
      <c r="C6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8" s="10"/>
      <c r="E618" s="10"/>
      <c r="F618" s="12">
        <f ca="1">(RANDBETWEEN(0,50)/100)*(dict_DQ_Meth_max[[#This Row],[Vergleich_ub]]-dict_DQ_Meth_max[[#This Row],[Vergleich_lb]])+dict_DQ_Meth_max[[#This Row],[Vergleich_lb]]</f>
        <v>1.1507999999999998</v>
      </c>
      <c r="G618" s="12">
        <f ca="1">(RANDBETWEEN(50,100)/100)*(dict_DQ_Meth_max[[#This Row],[Vergleich_ub]]-dict_DQ_Meth_max[[#This Row],[Vergleich_lb]])+dict_DQ_Meth_max[[#This Row],[Vergleich_lb]]</f>
        <v>2.5583999999999998</v>
      </c>
      <c r="H618" s="11" t="str">
        <f ca="1">VLOOKUP(VLOOKUP(dict_DQ_Meth_max[[#This Row],[ID_DataQualities]],table_DataQualities[],3),table_Units[],2)</f>
        <v>+/- mm/s</v>
      </c>
      <c r="I618" s="10"/>
      <c r="J618" s="10"/>
      <c r="K618" s="10"/>
      <c r="L618" s="10">
        <f ca="1">VLOOKUP(dict_DQ_Meth_max[[#This Row],[ID_DataQualities]],table_DataQualities[],8,FALSE)</f>
        <v>0.24</v>
      </c>
      <c r="M618" s="10">
        <f ca="1">VLOOKUP(dict_DQ_Meth_max[[#This Row],[ID_DataQualities]],table_DataQualities[],9,FALSE)</f>
        <v>3</v>
      </c>
    </row>
    <row r="619" spans="1:13" x14ac:dyDescent="0.45">
      <c r="A619" s="10">
        <v>165</v>
      </c>
      <c r="B619" s="10">
        <v>615</v>
      </c>
      <c r="C6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19" s="10"/>
      <c r="E619" s="10"/>
      <c r="F619" s="12">
        <f ca="1">(RANDBETWEEN(0,50)/100)*(dict_DQ_Meth_max[[#This Row],[Vergleich_ub]]-dict_DQ_Meth_max[[#This Row],[Vergleich_lb]])+dict_DQ_Meth_max[[#This Row],[Vergleich_lb]]</f>
        <v>1.4543999999999999</v>
      </c>
      <c r="G619" s="12">
        <f ca="1">(RANDBETWEEN(50,100)/100)*(dict_DQ_Meth_max[[#This Row],[Vergleich_ub]]-dict_DQ_Meth_max[[#This Row],[Vergleich_lb]])+dict_DQ_Meth_max[[#This Row],[Vergleich_lb]]</f>
        <v>2.6963999999999997</v>
      </c>
      <c r="H619" s="11" t="str">
        <f ca="1">VLOOKUP(VLOOKUP(dict_DQ_Meth_max[[#This Row],[ID_DataQualities]],table_DataQualities[],3),table_Units[],2)</f>
        <v>+/- mm/s</v>
      </c>
      <c r="I619" s="10"/>
      <c r="J619" s="10"/>
      <c r="K619" s="10"/>
      <c r="L619" s="10">
        <f ca="1">VLOOKUP(dict_DQ_Meth_max[[#This Row],[ID_DataQualities]],table_DataQualities[],8,FALSE)</f>
        <v>0.24</v>
      </c>
      <c r="M619" s="10">
        <f ca="1">VLOOKUP(dict_DQ_Meth_max[[#This Row],[ID_DataQualities]],table_DataQualities[],9,FALSE)</f>
        <v>3</v>
      </c>
    </row>
    <row r="620" spans="1:13" x14ac:dyDescent="0.45">
      <c r="A620" s="10">
        <v>166</v>
      </c>
      <c r="B620" s="10">
        <v>264</v>
      </c>
      <c r="C6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0" s="10"/>
      <c r="E620" s="10"/>
      <c r="F620" s="12">
        <f ca="1">(RANDBETWEEN(0,50)/100)*(dict_DQ_Meth_max[[#This Row],[Vergleich_ub]]-dict_DQ_Meth_max[[#This Row],[Vergleich_lb]])+dict_DQ_Meth_max[[#This Row],[Vergleich_lb]]</f>
        <v>856.8574000000001</v>
      </c>
      <c r="G620" s="12">
        <f ca="1">(RANDBETWEEN(50,100)/100)*(dict_DQ_Meth_max[[#This Row],[Vergleich_ub]]-dict_DQ_Meth_max[[#This Row],[Vergleich_lb]])+dict_DQ_Meth_max[[#This Row],[Vergleich_lb]]</f>
        <v>9136.5256000000008</v>
      </c>
      <c r="H620" s="11" t="str">
        <f ca="1">VLOOKUP(VLOOKUP(dict_DQ_Meth_max[[#This Row],[ID_DataQualities]],table_DataQualities[],3),table_Units[],2)</f>
        <v>Hz</v>
      </c>
      <c r="I620" s="10"/>
      <c r="J620" s="10"/>
      <c r="K620" s="10"/>
      <c r="L620" s="10">
        <f ca="1">VLOOKUP(dict_DQ_Meth_max[[#This Row],[ID_DataQualities]],table_DataQualities[],8,FALSE)</f>
        <v>0.34</v>
      </c>
      <c r="M620" s="10">
        <f ca="1">VLOOKUP(dict_DQ_Meth_max[[#This Row],[ID_DataQualities]],table_DataQualities[],9,FALSE)</f>
        <v>9517.2000000000007</v>
      </c>
    </row>
    <row r="621" spans="1:13" x14ac:dyDescent="0.45">
      <c r="A621" s="10">
        <v>166</v>
      </c>
      <c r="B621" s="10">
        <v>344</v>
      </c>
      <c r="C6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1" s="10"/>
      <c r="E621" s="10"/>
      <c r="F621" s="12">
        <f ca="1">(RANDBETWEEN(0,50)/100)*(dict_DQ_Meth_max[[#This Row],[Vergleich_ub]]-dict_DQ_Meth_max[[#This Row],[Vergleich_lb]])+dict_DQ_Meth_max[[#This Row],[Vergleich_lb]]</f>
        <v>3711.9154000000003</v>
      </c>
      <c r="G621" s="12">
        <f ca="1">(RANDBETWEEN(50,100)/100)*(dict_DQ_Meth_max[[#This Row],[Vergleich_ub]]-dict_DQ_Meth_max[[#This Row],[Vergleich_lb]])+dict_DQ_Meth_max[[#This Row],[Vergleich_lb]]</f>
        <v>7708.9966000000013</v>
      </c>
      <c r="H621" s="11" t="str">
        <f ca="1">VLOOKUP(VLOOKUP(dict_DQ_Meth_max[[#This Row],[ID_DataQualities]],table_DataQualities[],3),table_Units[],2)</f>
        <v>Hz</v>
      </c>
      <c r="I621" s="10"/>
      <c r="J621" s="10"/>
      <c r="K621" s="10"/>
      <c r="L621" s="10">
        <f ca="1">VLOOKUP(dict_DQ_Meth_max[[#This Row],[ID_DataQualities]],table_DataQualities[],8,FALSE)</f>
        <v>0.34</v>
      </c>
      <c r="M621" s="10">
        <f ca="1">VLOOKUP(dict_DQ_Meth_max[[#This Row],[ID_DataQualities]],table_DataQualities[],9,FALSE)</f>
        <v>9517.2000000000007</v>
      </c>
    </row>
    <row r="622" spans="1:13" x14ac:dyDescent="0.45">
      <c r="A622" s="10">
        <v>166</v>
      </c>
      <c r="B622" s="10">
        <v>540</v>
      </c>
      <c r="C6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2" s="10"/>
      <c r="E622" s="10"/>
      <c r="F622" s="12">
        <f ca="1">(RANDBETWEEN(0,50)/100)*(dict_DQ_Meth_max[[#This Row],[Vergleich_ub]]-dict_DQ_Meth_max[[#This Row],[Vergleich_lb]])+dict_DQ_Meth_max[[#This Row],[Vergleich_lb]]</f>
        <v>3711.9154000000003</v>
      </c>
      <c r="G622" s="12">
        <f ca="1">(RANDBETWEEN(50,100)/100)*(dict_DQ_Meth_max[[#This Row],[Vergleich_ub]]-dict_DQ_Meth_max[[#This Row],[Vergleich_lb]])+dict_DQ_Meth_max[[#This Row],[Vergleich_lb]]</f>
        <v>6091.1304000000009</v>
      </c>
      <c r="H622" s="11" t="str">
        <f ca="1">VLOOKUP(VLOOKUP(dict_DQ_Meth_max[[#This Row],[ID_DataQualities]],table_DataQualities[],3),table_Units[],2)</f>
        <v>Hz</v>
      </c>
      <c r="I622" s="10"/>
      <c r="J622" s="10"/>
      <c r="K622" s="10"/>
      <c r="L622" s="10">
        <f ca="1">VLOOKUP(dict_DQ_Meth_max[[#This Row],[ID_DataQualities]],table_DataQualities[],8,FALSE)</f>
        <v>0.34</v>
      </c>
      <c r="M622" s="10">
        <f ca="1">VLOOKUP(dict_DQ_Meth_max[[#This Row],[ID_DataQualities]],table_DataQualities[],9,FALSE)</f>
        <v>9517.2000000000007</v>
      </c>
    </row>
    <row r="623" spans="1:13" x14ac:dyDescent="0.45">
      <c r="A623" s="10">
        <v>166</v>
      </c>
      <c r="B623" s="10">
        <v>406</v>
      </c>
      <c r="C6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3" s="10"/>
      <c r="E623" s="10"/>
      <c r="F623" s="12">
        <f ca="1">(RANDBETWEEN(0,50)/100)*(dict_DQ_Meth_max[[#This Row],[Vergleich_ub]]-dict_DQ_Meth_max[[#This Row],[Vergleich_lb]])+dict_DQ_Meth_max[[#This Row],[Vergleich_lb]]</f>
        <v>3997.4212000000002</v>
      </c>
      <c r="G623" s="12">
        <f ca="1">(RANDBETWEEN(50,100)/100)*(dict_DQ_Meth_max[[#This Row],[Vergleich_ub]]-dict_DQ_Meth_max[[#This Row],[Vergleich_lb]])+dict_DQ_Meth_max[[#This Row],[Vergleich_lb]]</f>
        <v>6852.4792000000007</v>
      </c>
      <c r="H623" s="11" t="str">
        <f ca="1">VLOOKUP(VLOOKUP(dict_DQ_Meth_max[[#This Row],[ID_DataQualities]],table_DataQualities[],3),table_Units[],2)</f>
        <v>Hz</v>
      </c>
      <c r="I623" s="10"/>
      <c r="J623" s="10"/>
      <c r="K623" s="10"/>
      <c r="L623" s="10">
        <f ca="1">VLOOKUP(dict_DQ_Meth_max[[#This Row],[ID_DataQualities]],table_DataQualities[],8,FALSE)</f>
        <v>0.34</v>
      </c>
      <c r="M623" s="10">
        <f ca="1">VLOOKUP(dict_DQ_Meth_max[[#This Row],[ID_DataQualities]],table_DataQualities[],9,FALSE)</f>
        <v>9517.2000000000007</v>
      </c>
    </row>
    <row r="624" spans="1:13" x14ac:dyDescent="0.45">
      <c r="A624" s="10">
        <v>167</v>
      </c>
      <c r="B624" s="10">
        <v>344</v>
      </c>
      <c r="C6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4" s="10"/>
      <c r="E624" s="10"/>
      <c r="F624" s="12">
        <f ca="1">(RANDBETWEEN(0,50)/100)*(dict_DQ_Meth_max[[#This Row],[Vergleich_ub]]-dict_DQ_Meth_max[[#This Row],[Vergleich_lb]])+dict_DQ_Meth_max[[#This Row],[Vergleich_lb]]</f>
        <v>1.52</v>
      </c>
      <c r="G624" s="12">
        <f ca="1">(RANDBETWEEN(50,100)/100)*(dict_DQ_Meth_max[[#This Row],[Vergleich_ub]]-dict_DQ_Meth_max[[#This Row],[Vergleich_lb]])+dict_DQ_Meth_max[[#This Row],[Vergleich_lb]]</f>
        <v>4.2799999999999994</v>
      </c>
      <c r="H624" s="11" t="str">
        <f ca="1">VLOOKUP(VLOOKUP(dict_DQ_Meth_max[[#This Row],[ID_DataQualities]],table_DataQualities[],3),table_Units[],2)</f>
        <v>+/- °C</v>
      </c>
      <c r="I624" s="10"/>
      <c r="J624" s="10"/>
      <c r="K624" s="10"/>
      <c r="L624" s="10">
        <f ca="1">VLOOKUP(dict_DQ_Meth_max[[#This Row],[ID_DataQualities]],table_DataQualities[],8,FALSE)</f>
        <v>1</v>
      </c>
      <c r="M624" s="10">
        <f ca="1">VLOOKUP(dict_DQ_Meth_max[[#This Row],[ID_DataQualities]],table_DataQualities[],9,FALSE)</f>
        <v>5</v>
      </c>
    </row>
    <row r="625" spans="1:13" x14ac:dyDescent="0.45">
      <c r="A625" s="10">
        <v>167</v>
      </c>
      <c r="B625" s="10">
        <v>540</v>
      </c>
      <c r="C6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5" s="10"/>
      <c r="E625" s="10"/>
      <c r="F625" s="12">
        <f ca="1">(RANDBETWEEN(0,50)/100)*(dict_DQ_Meth_max[[#This Row],[Vergleich_ub]]-dict_DQ_Meth_max[[#This Row],[Vergleich_lb]])+dict_DQ_Meth_max[[#This Row],[Vergleich_lb]]</f>
        <v>2.7199999999999998</v>
      </c>
      <c r="G625" s="12">
        <f ca="1">(RANDBETWEEN(50,100)/100)*(dict_DQ_Meth_max[[#This Row],[Vergleich_ub]]-dict_DQ_Meth_max[[#This Row],[Vergleich_lb]])+dict_DQ_Meth_max[[#This Row],[Vergleich_lb]]</f>
        <v>4.2799999999999994</v>
      </c>
      <c r="H625" s="11" t="str">
        <f ca="1">VLOOKUP(VLOOKUP(dict_DQ_Meth_max[[#This Row],[ID_DataQualities]],table_DataQualities[],3),table_Units[],2)</f>
        <v>+/- °C</v>
      </c>
      <c r="I625" s="10"/>
      <c r="J625" s="10"/>
      <c r="K625" s="10"/>
      <c r="L625" s="10">
        <f ca="1">VLOOKUP(dict_DQ_Meth_max[[#This Row],[ID_DataQualities]],table_DataQualities[],8,FALSE)</f>
        <v>1</v>
      </c>
      <c r="M625" s="10">
        <f ca="1">VLOOKUP(dict_DQ_Meth_max[[#This Row],[ID_DataQualities]],table_DataQualities[],9,FALSE)</f>
        <v>5</v>
      </c>
    </row>
    <row r="626" spans="1:13" x14ac:dyDescent="0.45">
      <c r="A626" s="10">
        <v>167</v>
      </c>
      <c r="B626" s="10">
        <v>264</v>
      </c>
      <c r="C6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6" s="10"/>
      <c r="E626" s="10"/>
      <c r="F626" s="12">
        <f ca="1">(RANDBETWEEN(0,50)/100)*(dict_DQ_Meth_max[[#This Row],[Vergleich_ub]]-dict_DQ_Meth_max[[#This Row],[Vergleich_lb]])+dict_DQ_Meth_max[[#This Row],[Vergleich_lb]]</f>
        <v>1.04</v>
      </c>
      <c r="G626" s="12">
        <f ca="1">(RANDBETWEEN(50,100)/100)*(dict_DQ_Meth_max[[#This Row],[Vergleich_ub]]-dict_DQ_Meth_max[[#This Row],[Vergleich_lb]])+dict_DQ_Meth_max[[#This Row],[Vergleich_lb]]</f>
        <v>3.8</v>
      </c>
      <c r="H626" s="11" t="str">
        <f ca="1">VLOOKUP(VLOOKUP(dict_DQ_Meth_max[[#This Row],[ID_DataQualities]],table_DataQualities[],3),table_Units[],2)</f>
        <v>+/- °C</v>
      </c>
      <c r="I626" s="10"/>
      <c r="J626" s="10"/>
      <c r="K626" s="10"/>
      <c r="L626" s="10">
        <f ca="1">VLOOKUP(dict_DQ_Meth_max[[#This Row],[ID_DataQualities]],table_DataQualities[],8,FALSE)</f>
        <v>1</v>
      </c>
      <c r="M626" s="10">
        <f ca="1">VLOOKUP(dict_DQ_Meth_max[[#This Row],[ID_DataQualities]],table_DataQualities[],9,FALSE)</f>
        <v>5</v>
      </c>
    </row>
    <row r="627" spans="1:13" x14ac:dyDescent="0.45">
      <c r="A627" s="10">
        <v>167</v>
      </c>
      <c r="B627" s="10">
        <v>406</v>
      </c>
      <c r="C6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7" s="10"/>
      <c r="E627" s="10"/>
      <c r="F627" s="12">
        <f ca="1">(RANDBETWEEN(0,50)/100)*(dict_DQ_Meth_max[[#This Row],[Vergleich_ub]]-dict_DQ_Meth_max[[#This Row],[Vergleich_lb]])+dict_DQ_Meth_max[[#This Row],[Vergleich_lb]]</f>
        <v>1.76</v>
      </c>
      <c r="G627" s="12">
        <f ca="1">(RANDBETWEEN(50,100)/100)*(dict_DQ_Meth_max[[#This Row],[Vergleich_ub]]-dict_DQ_Meth_max[[#This Row],[Vergleich_lb]])+dict_DQ_Meth_max[[#This Row],[Vergleich_lb]]</f>
        <v>4.7200000000000006</v>
      </c>
      <c r="H627" s="11" t="str">
        <f ca="1">VLOOKUP(VLOOKUP(dict_DQ_Meth_max[[#This Row],[ID_DataQualities]],table_DataQualities[],3),table_Units[],2)</f>
        <v>+/- °C</v>
      </c>
      <c r="I627" s="10"/>
      <c r="J627" s="10"/>
      <c r="K627" s="10"/>
      <c r="L627" s="10">
        <f ca="1">VLOOKUP(dict_DQ_Meth_max[[#This Row],[ID_DataQualities]],table_DataQualities[],8,FALSE)</f>
        <v>1</v>
      </c>
      <c r="M627" s="10">
        <f ca="1">VLOOKUP(dict_DQ_Meth_max[[#This Row],[ID_DataQualities]],table_DataQualities[],9,FALSE)</f>
        <v>5</v>
      </c>
    </row>
    <row r="628" spans="1:13" x14ac:dyDescent="0.45">
      <c r="A628" s="10">
        <v>168</v>
      </c>
      <c r="B628" s="10">
        <v>657</v>
      </c>
      <c r="C6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8" s="10"/>
      <c r="E628" s="10"/>
      <c r="F628" s="12">
        <f ca="1">(RANDBETWEEN(0,50)/100)*(dict_DQ_Meth_max[[#This Row],[Vergleich_ub]]-dict_DQ_Meth_max[[#This Row],[Vergleich_lb]])+dict_DQ_Meth_max[[#This Row],[Vergleich_lb]]</f>
        <v>170.72268000000003</v>
      </c>
      <c r="G628" s="12">
        <f ca="1">(RANDBETWEEN(50,100)/100)*(dict_DQ_Meth_max[[#This Row],[Vergleich_ub]]-dict_DQ_Meth_max[[#This Row],[Vergleich_lb]])+dict_DQ_Meth_max[[#This Row],[Vergleich_lb]]</f>
        <v>573.46444000000008</v>
      </c>
      <c r="H628" s="11" t="str">
        <f ca="1">VLOOKUP(VLOOKUP(dict_DQ_Meth_max[[#This Row],[ID_DataQualities]],table_DataQualities[],3),table_Units[],2)</f>
        <v>Hz</v>
      </c>
      <c r="I628" s="10"/>
      <c r="J628" s="10"/>
      <c r="K628" s="10"/>
      <c r="L628" s="10">
        <f ca="1">VLOOKUP(dict_DQ_Meth_max[[#This Row],[ID_DataQualities]],table_DataQualities[],8,FALSE)</f>
        <v>0.81599999999999995</v>
      </c>
      <c r="M628" s="10">
        <f ca="1">VLOOKUP(dict_DQ_Meth_max[[#This Row],[ID_DataQualities]],table_DataQualities[],9,FALSE)</f>
        <v>630.1</v>
      </c>
    </row>
    <row r="629" spans="1:13" x14ac:dyDescent="0.45">
      <c r="A629" s="10">
        <v>168</v>
      </c>
      <c r="B629" s="10">
        <v>17</v>
      </c>
      <c r="C6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29" s="10"/>
      <c r="E629" s="10"/>
      <c r="F629" s="12">
        <f ca="1">(RANDBETWEEN(0,50)/100)*(dict_DQ_Meth_max[[#This Row],[Vergleich_ub]]-dict_DQ_Meth_max[[#This Row],[Vergleich_lb]])+dict_DQ_Meth_max[[#This Row],[Vergleich_lb]]</f>
        <v>120.37996</v>
      </c>
      <c r="G629" s="12">
        <f ca="1">(RANDBETWEEN(50,100)/100)*(dict_DQ_Meth_max[[#This Row],[Vergleich_ub]]-dict_DQ_Meth_max[[#This Row],[Vergleich_lb]])+dict_DQ_Meth_max[[#This Row],[Vergleich_lb]]</f>
        <v>359.50787999999994</v>
      </c>
      <c r="H629" s="11" t="str">
        <f ca="1">VLOOKUP(VLOOKUP(dict_DQ_Meth_max[[#This Row],[ID_DataQualities]],table_DataQualities[],3),table_Units[],2)</f>
        <v>Hz</v>
      </c>
      <c r="I629" s="10"/>
      <c r="J629" s="10"/>
      <c r="K629" s="10"/>
      <c r="L629" s="10">
        <f ca="1">VLOOKUP(dict_DQ_Meth_max[[#This Row],[ID_DataQualities]],table_DataQualities[],8,FALSE)</f>
        <v>0.81599999999999995</v>
      </c>
      <c r="M629" s="10">
        <f ca="1">VLOOKUP(dict_DQ_Meth_max[[#This Row],[ID_DataQualities]],table_DataQualities[],9,FALSE)</f>
        <v>630.1</v>
      </c>
    </row>
    <row r="630" spans="1:13" x14ac:dyDescent="0.45">
      <c r="A630" s="10">
        <v>168</v>
      </c>
      <c r="B630" s="10">
        <v>626</v>
      </c>
      <c r="C6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0" s="10"/>
      <c r="E630" s="10"/>
      <c r="F630" s="12">
        <f ca="1">(RANDBETWEEN(0,50)/100)*(dict_DQ_Meth_max[[#This Row],[Vergleich_ub]]-dict_DQ_Meth_max[[#This Row],[Vergleich_lb]])+dict_DQ_Meth_max[[#This Row],[Vergleich_lb]]</f>
        <v>271.40811999999994</v>
      </c>
      <c r="G630" s="12">
        <f ca="1">(RANDBETWEEN(50,100)/100)*(dict_DQ_Meth_max[[#This Row],[Vergleich_ub]]-dict_DQ_Meth_max[[#This Row],[Vergleich_lb]])+dict_DQ_Meth_max[[#This Row],[Vergleich_lb]]</f>
        <v>529.41456000000005</v>
      </c>
      <c r="H630" s="11" t="str">
        <f ca="1">VLOOKUP(VLOOKUP(dict_DQ_Meth_max[[#This Row],[ID_DataQualities]],table_DataQualities[],3),table_Units[],2)</f>
        <v>Hz</v>
      </c>
      <c r="I630" s="10"/>
      <c r="J630" s="10"/>
      <c r="K630" s="10"/>
      <c r="L630" s="10">
        <f ca="1">VLOOKUP(dict_DQ_Meth_max[[#This Row],[ID_DataQualities]],table_DataQualities[],8,FALSE)</f>
        <v>0.81599999999999995</v>
      </c>
      <c r="M630" s="10">
        <f ca="1">VLOOKUP(dict_DQ_Meth_max[[#This Row],[ID_DataQualities]],table_DataQualities[],9,FALSE)</f>
        <v>630.1</v>
      </c>
    </row>
    <row r="631" spans="1:13" x14ac:dyDescent="0.45">
      <c r="A631" s="10">
        <v>168</v>
      </c>
      <c r="B631" s="10">
        <v>30</v>
      </c>
      <c r="C6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1" s="10"/>
      <c r="E631" s="10"/>
      <c r="F631" s="12">
        <f ca="1">(RANDBETWEEN(0,50)/100)*(dict_DQ_Meth_max[[#This Row],[Vergleich_ub]]-dict_DQ_Meth_max[[#This Row],[Vergleich_lb]])+dict_DQ_Meth_max[[#This Row],[Vergleich_lb]]</f>
        <v>233.65108000000001</v>
      </c>
      <c r="G631" s="12">
        <f ca="1">(RANDBETWEEN(50,100)/100)*(dict_DQ_Meth_max[[#This Row],[Vergleich_ub]]-dict_DQ_Meth_max[[#This Row],[Vergleich_lb]])+dict_DQ_Meth_max[[#This Row],[Vergleich_lb]]</f>
        <v>390.97207999999995</v>
      </c>
      <c r="H631" s="11" t="str">
        <f ca="1">VLOOKUP(VLOOKUP(dict_DQ_Meth_max[[#This Row],[ID_DataQualities]],table_DataQualities[],3),table_Units[],2)</f>
        <v>Hz</v>
      </c>
      <c r="I631" s="10"/>
      <c r="J631" s="10"/>
      <c r="K631" s="10"/>
      <c r="L631" s="10">
        <f ca="1">VLOOKUP(dict_DQ_Meth_max[[#This Row],[ID_DataQualities]],table_DataQualities[],8,FALSE)</f>
        <v>0.81599999999999995</v>
      </c>
      <c r="M631" s="10">
        <f ca="1">VLOOKUP(dict_DQ_Meth_max[[#This Row],[ID_DataQualities]],table_DataQualities[],9,FALSE)</f>
        <v>630.1</v>
      </c>
    </row>
    <row r="632" spans="1:13" x14ac:dyDescent="0.45">
      <c r="A632" s="10">
        <v>169</v>
      </c>
      <c r="B632" s="10">
        <v>30</v>
      </c>
      <c r="C6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2" s="10"/>
      <c r="E632" s="10"/>
      <c r="F632" s="12">
        <f ca="1">(RANDBETWEEN(0,50)/100)*(dict_DQ_Meth_max[[#This Row],[Vergleich_ub]]-dict_DQ_Meth_max[[#This Row],[Vergleich_lb]])+dict_DQ_Meth_max[[#This Row],[Vergleich_lb]]</f>
        <v>0.53</v>
      </c>
      <c r="G632" s="12">
        <f ca="1">(RANDBETWEEN(50,100)/100)*(dict_DQ_Meth_max[[#This Row],[Vergleich_ub]]-dict_DQ_Meth_max[[#This Row],[Vergleich_lb]])+dict_DQ_Meth_max[[#This Row],[Vergleich_lb]]</f>
        <v>0.7390000000000001</v>
      </c>
      <c r="H632" s="11" t="str">
        <f ca="1">VLOOKUP(VLOOKUP(dict_DQ_Meth_max[[#This Row],[ID_DataQualities]],table_DataQualities[],3),table_Units[],2)</f>
        <v>+/- mm/s</v>
      </c>
      <c r="I632" s="10"/>
      <c r="J632" s="10"/>
      <c r="K632" s="10"/>
      <c r="L632" s="10">
        <f ca="1">VLOOKUP(dict_DQ_Meth_max[[#This Row],[ID_DataQualities]],table_DataQualities[],8,FALSE)</f>
        <v>0.15</v>
      </c>
      <c r="M632" s="10">
        <f ca="1">VLOOKUP(dict_DQ_Meth_max[[#This Row],[ID_DataQualities]],table_DataQualities[],9,FALSE)</f>
        <v>1.1000000000000001</v>
      </c>
    </row>
    <row r="633" spans="1:13" x14ac:dyDescent="0.45">
      <c r="A633" s="10">
        <v>169</v>
      </c>
      <c r="B633" s="10">
        <v>17</v>
      </c>
      <c r="C6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3" s="10"/>
      <c r="E633" s="10"/>
      <c r="F633" s="12">
        <f ca="1">(RANDBETWEEN(0,50)/100)*(dict_DQ_Meth_max[[#This Row],[Vergleich_ub]]-dict_DQ_Meth_max[[#This Row],[Vergleich_lb]])+dict_DQ_Meth_max[[#This Row],[Vergleich_lb]]</f>
        <v>0.2545</v>
      </c>
      <c r="G633" s="12">
        <f ca="1">(RANDBETWEEN(50,100)/100)*(dict_DQ_Meth_max[[#This Row],[Vergleich_ub]]-dict_DQ_Meth_max[[#This Row],[Vergleich_lb]])+dict_DQ_Meth_max[[#This Row],[Vergleich_lb]]</f>
        <v>0.87200000000000011</v>
      </c>
      <c r="H633" s="11" t="str">
        <f ca="1">VLOOKUP(VLOOKUP(dict_DQ_Meth_max[[#This Row],[ID_DataQualities]],table_DataQualities[],3),table_Units[],2)</f>
        <v>+/- mm/s</v>
      </c>
      <c r="I633" s="10"/>
      <c r="J633" s="10"/>
      <c r="K633" s="10"/>
      <c r="L633" s="10">
        <f ca="1">VLOOKUP(dict_DQ_Meth_max[[#This Row],[ID_DataQualities]],table_DataQualities[],8,FALSE)</f>
        <v>0.15</v>
      </c>
      <c r="M633" s="10">
        <f ca="1">VLOOKUP(dict_DQ_Meth_max[[#This Row],[ID_DataQualities]],table_DataQualities[],9,FALSE)</f>
        <v>1.1000000000000001</v>
      </c>
    </row>
    <row r="634" spans="1:13" x14ac:dyDescent="0.45">
      <c r="A634" s="10">
        <v>169</v>
      </c>
      <c r="B634" s="10">
        <v>657</v>
      </c>
      <c r="C6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4" s="10"/>
      <c r="E634" s="10"/>
      <c r="F634" s="12">
        <f ca="1">(RANDBETWEEN(0,50)/100)*(dict_DQ_Meth_max[[#This Row],[Vergleich_ub]]-dict_DQ_Meth_max[[#This Row],[Vergleich_lb]])+dict_DQ_Meth_max[[#This Row],[Vergleich_lb]]</f>
        <v>0.36850000000000005</v>
      </c>
      <c r="G634" s="12">
        <f ca="1">(RANDBETWEEN(50,100)/100)*(dict_DQ_Meth_max[[#This Row],[Vergleich_ub]]-dict_DQ_Meth_max[[#This Row],[Vergleich_lb]])+dict_DQ_Meth_max[[#This Row],[Vergleich_lb]]</f>
        <v>1.0620000000000001</v>
      </c>
      <c r="H634" s="11" t="str">
        <f ca="1">VLOOKUP(VLOOKUP(dict_DQ_Meth_max[[#This Row],[ID_DataQualities]],table_DataQualities[],3),table_Units[],2)</f>
        <v>+/- mm/s</v>
      </c>
      <c r="I634" s="10"/>
      <c r="J634" s="10"/>
      <c r="K634" s="10"/>
      <c r="L634" s="10">
        <f ca="1">VLOOKUP(dict_DQ_Meth_max[[#This Row],[ID_DataQualities]],table_DataQualities[],8,FALSE)</f>
        <v>0.15</v>
      </c>
      <c r="M634" s="10">
        <f ca="1">VLOOKUP(dict_DQ_Meth_max[[#This Row],[ID_DataQualities]],table_DataQualities[],9,FALSE)</f>
        <v>1.1000000000000001</v>
      </c>
    </row>
    <row r="635" spans="1:13" x14ac:dyDescent="0.45">
      <c r="A635" s="10">
        <v>169</v>
      </c>
      <c r="B635" s="10">
        <v>626</v>
      </c>
      <c r="C6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5" s="10"/>
      <c r="E635" s="10"/>
      <c r="F635" s="12">
        <f ca="1">(RANDBETWEEN(0,50)/100)*(dict_DQ_Meth_max[[#This Row],[Vergleich_ub]]-dict_DQ_Meth_max[[#This Row],[Vergleich_lb]])+dict_DQ_Meth_max[[#This Row],[Vergleich_lb]]</f>
        <v>0.20699999999999999</v>
      </c>
      <c r="G635" s="12">
        <f ca="1">(RANDBETWEEN(50,100)/100)*(dict_DQ_Meth_max[[#This Row],[Vergleich_ub]]-dict_DQ_Meth_max[[#This Row],[Vergleich_lb]])+dict_DQ_Meth_max[[#This Row],[Vergleich_lb]]</f>
        <v>0.95750000000000002</v>
      </c>
      <c r="H635" s="11" t="str">
        <f ca="1">VLOOKUP(VLOOKUP(dict_DQ_Meth_max[[#This Row],[ID_DataQualities]],table_DataQualities[],3),table_Units[],2)</f>
        <v>+/- mm/s</v>
      </c>
      <c r="I635" s="10"/>
      <c r="J635" s="10"/>
      <c r="K635" s="10"/>
      <c r="L635" s="10">
        <f ca="1">VLOOKUP(dict_DQ_Meth_max[[#This Row],[ID_DataQualities]],table_DataQualities[],8,FALSE)</f>
        <v>0.15</v>
      </c>
      <c r="M635" s="10">
        <f ca="1">VLOOKUP(dict_DQ_Meth_max[[#This Row],[ID_DataQualities]],table_DataQualities[],9,FALSE)</f>
        <v>1.1000000000000001</v>
      </c>
    </row>
    <row r="636" spans="1:13" x14ac:dyDescent="0.45">
      <c r="A636" s="10">
        <v>170</v>
      </c>
      <c r="B636" s="10">
        <v>522</v>
      </c>
      <c r="C6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6" s="10"/>
      <c r="E636" s="10"/>
      <c r="F636" s="12">
        <f ca="1">(RANDBETWEEN(0,50)/100)*(dict_DQ_Meth_max[[#This Row],[Vergleich_ub]]-dict_DQ_Meth_max[[#This Row],[Vergleich_lb]])+dict_DQ_Meth_max[[#This Row],[Vergleich_lb]]</f>
        <v>623.28025000000014</v>
      </c>
      <c r="G636" s="12">
        <f ca="1">(RANDBETWEEN(50,100)/100)*(dict_DQ_Meth_max[[#This Row],[Vergleich_ub]]-dict_DQ_Meth_max[[#This Row],[Vergleich_lb]])+dict_DQ_Meth_max[[#This Row],[Vergleich_lb]]</f>
        <v>2366.8829500000002</v>
      </c>
      <c r="H636" s="11" t="str">
        <f ca="1">VLOOKUP(VLOOKUP(dict_DQ_Meth_max[[#This Row],[ID_DataQualities]],table_DataQualities[],3),table_Units[],2)</f>
        <v>Hz</v>
      </c>
      <c r="I636" s="10"/>
      <c r="J636" s="10"/>
      <c r="K636" s="10"/>
      <c r="L636" s="10">
        <f ca="1">VLOOKUP(dict_DQ_Meth_max[[#This Row],[ID_DataQualities]],table_DataQualities[],8,FALSE)</f>
        <v>0.56499999999999995</v>
      </c>
      <c r="M636" s="10">
        <f ca="1">VLOOKUP(dict_DQ_Meth_max[[#This Row],[ID_DataQualities]],table_DataQualities[],9,FALSE)</f>
        <v>4152</v>
      </c>
    </row>
    <row r="637" spans="1:13" x14ac:dyDescent="0.45">
      <c r="A637" s="10">
        <v>170</v>
      </c>
      <c r="B637" s="10">
        <v>78</v>
      </c>
      <c r="C6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7" s="10"/>
      <c r="E637" s="10"/>
      <c r="F637" s="12">
        <f ca="1">(RANDBETWEEN(0,50)/100)*(dict_DQ_Meth_max[[#This Row],[Vergleich_ub]]-dict_DQ_Meth_max[[#This Row],[Vergleich_lb]])+dict_DQ_Meth_max[[#This Row],[Vergleich_lb]]</f>
        <v>1578.1103000000003</v>
      </c>
      <c r="G637" s="12">
        <f ca="1">(RANDBETWEEN(50,100)/100)*(dict_DQ_Meth_max[[#This Row],[Vergleich_ub]]-dict_DQ_Meth_max[[#This Row],[Vergleich_lb]])+dict_DQ_Meth_max[[#This Row],[Vergleich_lb]]</f>
        <v>2076.2825000000003</v>
      </c>
      <c r="H637" s="11" t="str">
        <f ca="1">VLOOKUP(VLOOKUP(dict_DQ_Meth_max[[#This Row],[ID_DataQualities]],table_DataQualities[],3),table_Units[],2)</f>
        <v>Hz</v>
      </c>
      <c r="I637" s="10"/>
      <c r="J637" s="10"/>
      <c r="K637" s="10"/>
      <c r="L637" s="10">
        <f ca="1">VLOOKUP(dict_DQ_Meth_max[[#This Row],[ID_DataQualities]],table_DataQualities[],8,FALSE)</f>
        <v>0.56499999999999995</v>
      </c>
      <c r="M637" s="10">
        <f ca="1">VLOOKUP(dict_DQ_Meth_max[[#This Row],[ID_DataQualities]],table_DataQualities[],9,FALSE)</f>
        <v>4152</v>
      </c>
    </row>
    <row r="638" spans="1:13" x14ac:dyDescent="0.45">
      <c r="A638" s="10">
        <v>170</v>
      </c>
      <c r="B638" s="10">
        <v>330</v>
      </c>
      <c r="C6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8" s="10"/>
      <c r="E638" s="10"/>
      <c r="F638" s="12">
        <f ca="1">(RANDBETWEEN(0,50)/100)*(dict_DQ_Meth_max[[#This Row],[Vergleich_ub]]-dict_DQ_Meth_max[[#This Row],[Vergleich_lb]])+dict_DQ_Meth_max[[#This Row],[Vergleich_lb]]</f>
        <v>1038.4237500000002</v>
      </c>
      <c r="G638" s="12">
        <f ca="1">(RANDBETWEEN(50,100)/100)*(dict_DQ_Meth_max[[#This Row],[Vergleich_ub]]-dict_DQ_Meth_max[[#This Row],[Vergleich_lb]])+dict_DQ_Meth_max[[#This Row],[Vergleich_lb]]</f>
        <v>4110.4856499999996</v>
      </c>
      <c r="H638" s="11" t="str">
        <f ca="1">VLOOKUP(VLOOKUP(dict_DQ_Meth_max[[#This Row],[ID_DataQualities]],table_DataQualities[],3),table_Units[],2)</f>
        <v>Hz</v>
      </c>
      <c r="I638" s="10"/>
      <c r="J638" s="10"/>
      <c r="K638" s="10"/>
      <c r="L638" s="10">
        <f ca="1">VLOOKUP(dict_DQ_Meth_max[[#This Row],[ID_DataQualities]],table_DataQualities[],8,FALSE)</f>
        <v>0.56499999999999995</v>
      </c>
      <c r="M638" s="10">
        <f ca="1">VLOOKUP(dict_DQ_Meth_max[[#This Row],[ID_DataQualities]],table_DataQualities[],9,FALSE)</f>
        <v>4152</v>
      </c>
    </row>
    <row r="639" spans="1:13" x14ac:dyDescent="0.45">
      <c r="A639" s="10">
        <v>170</v>
      </c>
      <c r="B639" s="10">
        <v>694</v>
      </c>
      <c r="C6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39" s="10"/>
      <c r="E639" s="10"/>
      <c r="F639" s="12">
        <f ca="1">(RANDBETWEEN(0,50)/100)*(dict_DQ_Meth_max[[#This Row],[Vergleich_ub]]-dict_DQ_Meth_max[[#This Row],[Vergleich_lb]])+dict_DQ_Meth_max[[#This Row],[Vergleich_lb]]</f>
        <v>623.28025000000014</v>
      </c>
      <c r="G639" s="12">
        <f ca="1">(RANDBETWEEN(50,100)/100)*(dict_DQ_Meth_max[[#This Row],[Vergleich_ub]]-dict_DQ_Meth_max[[#This Row],[Vergleich_lb]])+dict_DQ_Meth_max[[#This Row],[Vergleich_lb]]</f>
        <v>2532.9403500000003</v>
      </c>
      <c r="H639" s="11" t="str">
        <f ca="1">VLOOKUP(VLOOKUP(dict_DQ_Meth_max[[#This Row],[ID_DataQualities]],table_DataQualities[],3),table_Units[],2)</f>
        <v>Hz</v>
      </c>
      <c r="I639" s="10"/>
      <c r="J639" s="10"/>
      <c r="K639" s="10"/>
      <c r="L639" s="10">
        <f ca="1">VLOOKUP(dict_DQ_Meth_max[[#This Row],[ID_DataQualities]],table_DataQualities[],8,FALSE)</f>
        <v>0.56499999999999995</v>
      </c>
      <c r="M639" s="10">
        <f ca="1">VLOOKUP(dict_DQ_Meth_max[[#This Row],[ID_DataQualities]],table_DataQualities[],9,FALSE)</f>
        <v>4152</v>
      </c>
    </row>
    <row r="640" spans="1:13" x14ac:dyDescent="0.45">
      <c r="A640" s="10">
        <v>170</v>
      </c>
      <c r="B640" s="10">
        <v>72</v>
      </c>
      <c r="C6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0" s="10"/>
      <c r="E640" s="10"/>
      <c r="F640" s="12">
        <f ca="1">(RANDBETWEEN(0,50)/100)*(dict_DQ_Meth_max[[#This Row],[Vergleich_ub]]-dict_DQ_Meth_max[[#This Row],[Vergleich_lb]])+dict_DQ_Meth_max[[#This Row],[Vergleich_lb]]</f>
        <v>1038.4237500000002</v>
      </c>
      <c r="G640" s="12">
        <f ca="1">(RANDBETWEEN(50,100)/100)*(dict_DQ_Meth_max[[#This Row],[Vergleich_ub]]-dict_DQ_Meth_max[[#This Row],[Vergleich_lb]])+dict_DQ_Meth_max[[#This Row],[Vergleich_lb]]</f>
        <v>2491.4260000000004</v>
      </c>
      <c r="H640" s="11" t="str">
        <f ca="1">VLOOKUP(VLOOKUP(dict_DQ_Meth_max[[#This Row],[ID_DataQualities]],table_DataQualities[],3),table_Units[],2)</f>
        <v>Hz</v>
      </c>
      <c r="I640" s="10"/>
      <c r="J640" s="10"/>
      <c r="K640" s="10"/>
      <c r="L640" s="10">
        <f ca="1">VLOOKUP(dict_DQ_Meth_max[[#This Row],[ID_DataQualities]],table_DataQualities[],8,FALSE)</f>
        <v>0.56499999999999995</v>
      </c>
      <c r="M640" s="10">
        <f ca="1">VLOOKUP(dict_DQ_Meth_max[[#This Row],[ID_DataQualities]],table_DataQualities[],9,FALSE)</f>
        <v>4152</v>
      </c>
    </row>
    <row r="641" spans="1:13" x14ac:dyDescent="0.45">
      <c r="A641" s="10">
        <v>171</v>
      </c>
      <c r="B641" s="10">
        <v>522</v>
      </c>
      <c r="C6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1" s="10"/>
      <c r="E641" s="10"/>
      <c r="F641" s="12">
        <f ca="1">(RANDBETWEEN(0,50)/100)*(dict_DQ_Meth_max[[#This Row],[Vergleich_ub]]-dict_DQ_Meth_max[[#This Row],[Vergleich_lb]])+dict_DQ_Meth_max[[#This Row],[Vergleich_lb]]</f>
        <v>0.20057999999999998</v>
      </c>
      <c r="G641" s="12">
        <f ca="1">(RANDBETWEEN(50,100)/100)*(dict_DQ_Meth_max[[#This Row],[Vergleich_ub]]-dict_DQ_Meth_max[[#This Row],[Vergleich_lb]])+dict_DQ_Meth_max[[#This Row],[Vergleich_lb]]</f>
        <v>1.4120999999999999</v>
      </c>
      <c r="H641" s="11" t="str">
        <f ca="1">VLOOKUP(VLOOKUP(dict_DQ_Meth_max[[#This Row],[ID_DataQualities]],table_DataQualities[],3),table_Units[],2)</f>
        <v>+/- mm</v>
      </c>
      <c r="I641" s="10"/>
      <c r="J641" s="10"/>
      <c r="K641" s="10"/>
      <c r="L641" s="10">
        <f ca="1">VLOOKUP(dict_DQ_Meth_max[[#This Row],[ID_DataQualities]],table_DataQualities[],8,FALSE)</f>
        <v>8.6999999999999994E-2</v>
      </c>
      <c r="M641" s="10">
        <f ca="1">VLOOKUP(dict_DQ_Meth_max[[#This Row],[ID_DataQualities]],table_DataQualities[],9,FALSE)</f>
        <v>1.98</v>
      </c>
    </row>
    <row r="642" spans="1:13" x14ac:dyDescent="0.45">
      <c r="A642" s="10">
        <v>171</v>
      </c>
      <c r="B642" s="10">
        <v>694</v>
      </c>
      <c r="C6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2" s="10"/>
      <c r="E642" s="10"/>
      <c r="F642" s="12">
        <f ca="1">(RANDBETWEEN(0,50)/100)*(dict_DQ_Meth_max[[#This Row],[Vergleich_ub]]-dict_DQ_Meth_max[[#This Row],[Vergleich_lb]])+dict_DQ_Meth_max[[#This Row],[Vergleich_lb]]</f>
        <v>0.42774000000000001</v>
      </c>
      <c r="G642" s="12">
        <f ca="1">(RANDBETWEEN(50,100)/100)*(dict_DQ_Meth_max[[#This Row],[Vergleich_ub]]-dict_DQ_Meth_max[[#This Row],[Vergleich_lb]])+dict_DQ_Meth_max[[#This Row],[Vergleich_lb]]</f>
        <v>1.6581899999999998</v>
      </c>
      <c r="H642" s="11" t="str">
        <f ca="1">VLOOKUP(VLOOKUP(dict_DQ_Meth_max[[#This Row],[ID_DataQualities]],table_DataQualities[],3),table_Units[],2)</f>
        <v>+/- mm</v>
      </c>
      <c r="I642" s="10"/>
      <c r="J642" s="10"/>
      <c r="K642" s="10"/>
      <c r="L642" s="10">
        <f ca="1">VLOOKUP(dict_DQ_Meth_max[[#This Row],[ID_DataQualities]],table_DataQualities[],8,FALSE)</f>
        <v>8.6999999999999994E-2</v>
      </c>
      <c r="M642" s="10">
        <f ca="1">VLOOKUP(dict_DQ_Meth_max[[#This Row],[ID_DataQualities]],table_DataQualities[],9,FALSE)</f>
        <v>1.98</v>
      </c>
    </row>
    <row r="643" spans="1:13" x14ac:dyDescent="0.45">
      <c r="A643" s="10">
        <v>171</v>
      </c>
      <c r="B643" s="10">
        <v>330</v>
      </c>
      <c r="C6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3" s="10"/>
      <c r="E643" s="10"/>
      <c r="F643" s="12">
        <f ca="1">(RANDBETWEEN(0,50)/100)*(dict_DQ_Meth_max[[#This Row],[Vergleich_ub]]-dict_DQ_Meth_max[[#This Row],[Vergleich_lb]])+dict_DQ_Meth_max[[#This Row],[Vergleich_lb]]</f>
        <v>1.01457</v>
      </c>
      <c r="G643" s="12">
        <f ca="1">(RANDBETWEEN(50,100)/100)*(dict_DQ_Meth_max[[#This Row],[Vergleich_ub]]-dict_DQ_Meth_max[[#This Row],[Vergleich_lb]])+dict_DQ_Meth_max[[#This Row],[Vergleich_lb]]</f>
        <v>1.50675</v>
      </c>
      <c r="H643" s="11" t="str">
        <f ca="1">VLOOKUP(VLOOKUP(dict_DQ_Meth_max[[#This Row],[ID_DataQualities]],table_DataQualities[],3),table_Units[],2)</f>
        <v>+/- mm</v>
      </c>
      <c r="I643" s="10"/>
      <c r="J643" s="10"/>
      <c r="K643" s="10"/>
      <c r="L643" s="10">
        <f ca="1">VLOOKUP(dict_DQ_Meth_max[[#This Row],[ID_DataQualities]],table_DataQualities[],8,FALSE)</f>
        <v>8.6999999999999994E-2</v>
      </c>
      <c r="M643" s="10">
        <f ca="1">VLOOKUP(dict_DQ_Meth_max[[#This Row],[ID_DataQualities]],table_DataQualities[],9,FALSE)</f>
        <v>1.98</v>
      </c>
    </row>
    <row r="644" spans="1:13" x14ac:dyDescent="0.45">
      <c r="A644" s="10">
        <v>171</v>
      </c>
      <c r="B644" s="10">
        <v>72</v>
      </c>
      <c r="C6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4" s="10"/>
      <c r="E644" s="10"/>
      <c r="F644" s="12">
        <f ca="1">(RANDBETWEEN(0,50)/100)*(dict_DQ_Meth_max[[#This Row],[Vergleich_ub]]-dict_DQ_Meth_max[[#This Row],[Vergleich_lb]])+dict_DQ_Meth_max[[#This Row],[Vergleich_lb]]</f>
        <v>1.01457</v>
      </c>
      <c r="G644" s="12">
        <f ca="1">(RANDBETWEEN(50,100)/100)*(dict_DQ_Meth_max[[#This Row],[Vergleich_ub]]-dict_DQ_Meth_max[[#This Row],[Vergleich_lb]])+dict_DQ_Meth_max[[#This Row],[Vergleich_lb]]</f>
        <v>1.4310299999999998</v>
      </c>
      <c r="H644" s="11" t="str">
        <f ca="1">VLOOKUP(VLOOKUP(dict_DQ_Meth_max[[#This Row],[ID_DataQualities]],table_DataQualities[],3),table_Units[],2)</f>
        <v>+/- mm</v>
      </c>
      <c r="I644" s="10"/>
      <c r="J644" s="10"/>
      <c r="K644" s="10"/>
      <c r="L644" s="10">
        <f ca="1">VLOOKUP(dict_DQ_Meth_max[[#This Row],[ID_DataQualities]],table_DataQualities[],8,FALSE)</f>
        <v>8.6999999999999994E-2</v>
      </c>
      <c r="M644" s="10">
        <f ca="1">VLOOKUP(dict_DQ_Meth_max[[#This Row],[ID_DataQualities]],table_DataQualities[],9,FALSE)</f>
        <v>1.98</v>
      </c>
    </row>
    <row r="645" spans="1:13" x14ac:dyDescent="0.45">
      <c r="A645" s="10">
        <v>171</v>
      </c>
      <c r="B645" s="10">
        <v>78</v>
      </c>
      <c r="C6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5" s="10"/>
      <c r="E645" s="10"/>
      <c r="F645" s="12">
        <f ca="1">(RANDBETWEEN(0,50)/100)*(dict_DQ_Meth_max[[#This Row],[Vergleich_ub]]-dict_DQ_Meth_max[[#This Row],[Vergleich_lb]])+dict_DQ_Meth_max[[#This Row],[Vergleich_lb]]</f>
        <v>8.6999999999999994E-2</v>
      </c>
      <c r="G645" s="12">
        <f ca="1">(RANDBETWEEN(50,100)/100)*(dict_DQ_Meth_max[[#This Row],[Vergleich_ub]]-dict_DQ_Meth_max[[#This Row],[Vergleich_lb]])+dict_DQ_Meth_max[[#This Row],[Vergleich_lb]]</f>
        <v>1.20387</v>
      </c>
      <c r="H645" s="11" t="str">
        <f ca="1">VLOOKUP(VLOOKUP(dict_DQ_Meth_max[[#This Row],[ID_DataQualities]],table_DataQualities[],3),table_Units[],2)</f>
        <v>+/- mm</v>
      </c>
      <c r="I645" s="10"/>
      <c r="J645" s="10"/>
      <c r="K645" s="10"/>
      <c r="L645" s="10">
        <f ca="1">VLOOKUP(dict_DQ_Meth_max[[#This Row],[ID_DataQualities]],table_DataQualities[],8,FALSE)</f>
        <v>8.6999999999999994E-2</v>
      </c>
      <c r="M645" s="10">
        <f ca="1">VLOOKUP(dict_DQ_Meth_max[[#This Row],[ID_DataQualities]],table_DataQualities[],9,FALSE)</f>
        <v>1.98</v>
      </c>
    </row>
    <row r="646" spans="1:13" x14ac:dyDescent="0.45">
      <c r="A646" s="10">
        <v>172</v>
      </c>
      <c r="B646" s="10">
        <v>13</v>
      </c>
      <c r="C6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6" s="10"/>
      <c r="E646" s="10"/>
      <c r="F646" s="12">
        <f ca="1">(RANDBETWEEN(0,50)/100)*(dict_DQ_Meth_max[[#This Row],[Vergleich_ub]]-dict_DQ_Meth_max[[#This Row],[Vergleich_lb]])+dict_DQ_Meth_max[[#This Row],[Vergleich_lb]]</f>
        <v>1025.6607399999998</v>
      </c>
      <c r="G646" s="12">
        <f ca="1">(RANDBETWEEN(50,100)/100)*(dict_DQ_Meth_max[[#This Row],[Vergleich_ub]]-dict_DQ_Meth_max[[#This Row],[Vergleich_lb]])+dict_DQ_Meth_max[[#This Row],[Vergleich_lb]]</f>
        <v>5469.5102799999995</v>
      </c>
      <c r="H646" s="11" t="str">
        <f ca="1">VLOOKUP(VLOOKUP(dict_DQ_Meth_max[[#This Row],[ID_DataQualities]],table_DataQualities[],3),table_Units[],2)</f>
        <v>Hz</v>
      </c>
      <c r="I646" s="10"/>
      <c r="J646" s="10"/>
      <c r="K646" s="10"/>
      <c r="L646" s="10">
        <f ca="1">VLOOKUP(dict_DQ_Meth_max[[#This Row],[ID_DataQualities]],table_DataQualities[],8,FALSE)</f>
        <v>0.157</v>
      </c>
      <c r="M646" s="10">
        <f ca="1">VLOOKUP(dict_DQ_Meth_max[[#This Row],[ID_DataQualities]],table_DataQualities[],9,FALSE)</f>
        <v>5697.4</v>
      </c>
    </row>
    <row r="647" spans="1:13" x14ac:dyDescent="0.45">
      <c r="A647" s="10">
        <v>172</v>
      </c>
      <c r="B647" s="10">
        <v>233</v>
      </c>
      <c r="C6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7" s="10"/>
      <c r="E647" s="10"/>
      <c r="F647" s="12">
        <f ca="1">(RANDBETWEEN(0,50)/100)*(dict_DQ_Meth_max[[#This Row],[Vergleich_ub]]-dict_DQ_Meth_max[[#This Row],[Vergleich_lb]])+dict_DQ_Meth_max[[#This Row],[Vergleich_lb]]</f>
        <v>2051.1644799999999</v>
      </c>
      <c r="G647" s="12">
        <f ca="1">(RANDBETWEEN(50,100)/100)*(dict_DQ_Meth_max[[#This Row],[Vergleich_ub]]-dict_DQ_Meth_max[[#This Row],[Vergleich_lb]])+dict_DQ_Meth_max[[#This Row],[Vergleich_lb]]</f>
        <v>5583.4551399999991</v>
      </c>
      <c r="H647" s="11" t="str">
        <f ca="1">VLOOKUP(VLOOKUP(dict_DQ_Meth_max[[#This Row],[ID_DataQualities]],table_DataQualities[],3),table_Units[],2)</f>
        <v>Hz</v>
      </c>
      <c r="I647" s="10"/>
      <c r="J647" s="10"/>
      <c r="K647" s="10"/>
      <c r="L647" s="10">
        <f ca="1">VLOOKUP(dict_DQ_Meth_max[[#This Row],[ID_DataQualities]],table_DataQualities[],8,FALSE)</f>
        <v>0.157</v>
      </c>
      <c r="M647" s="10">
        <f ca="1">VLOOKUP(dict_DQ_Meth_max[[#This Row],[ID_DataQualities]],table_DataQualities[],9,FALSE)</f>
        <v>5697.4</v>
      </c>
    </row>
    <row r="648" spans="1:13" x14ac:dyDescent="0.45">
      <c r="A648" s="10">
        <v>172</v>
      </c>
      <c r="B648" s="10">
        <v>234</v>
      </c>
      <c r="C6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8" s="10"/>
      <c r="E648" s="10"/>
      <c r="F648" s="12">
        <f ca="1">(RANDBETWEEN(0,50)/100)*(dict_DQ_Meth_max[[#This Row],[Vergleich_ub]]-dict_DQ_Meth_max[[#This Row],[Vergleich_lb]])+dict_DQ_Meth_max[[#This Row],[Vergleich_lb]]</f>
        <v>740.79858999999999</v>
      </c>
      <c r="G648" s="12">
        <f ca="1">(RANDBETWEEN(50,100)/100)*(dict_DQ_Meth_max[[#This Row],[Vergleich_ub]]-dict_DQ_Meth_max[[#This Row],[Vergleich_lb]])+dict_DQ_Meth_max[[#This Row],[Vergleich_lb]]</f>
        <v>4273.08925</v>
      </c>
      <c r="H648" s="11" t="str">
        <f ca="1">VLOOKUP(VLOOKUP(dict_DQ_Meth_max[[#This Row],[ID_DataQualities]],table_DataQualities[],3),table_Units[],2)</f>
        <v>Hz</v>
      </c>
      <c r="I648" s="10"/>
      <c r="J648" s="10"/>
      <c r="K648" s="10"/>
      <c r="L648" s="10">
        <f ca="1">VLOOKUP(dict_DQ_Meth_max[[#This Row],[ID_DataQualities]],table_DataQualities[],8,FALSE)</f>
        <v>0.157</v>
      </c>
      <c r="M648" s="10">
        <f ca="1">VLOOKUP(dict_DQ_Meth_max[[#This Row],[ID_DataQualities]],table_DataQualities[],9,FALSE)</f>
        <v>5697.4</v>
      </c>
    </row>
    <row r="649" spans="1:13" x14ac:dyDescent="0.45">
      <c r="A649" s="10">
        <v>173</v>
      </c>
      <c r="B649" s="10">
        <v>234</v>
      </c>
      <c r="C6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49" s="10"/>
      <c r="E649" s="10"/>
      <c r="F649" s="12">
        <f ca="1">(RANDBETWEEN(0,50)/100)*(dict_DQ_Meth_max[[#This Row],[Vergleich_ub]]-dict_DQ_Meth_max[[#This Row],[Vergleich_lb]])+dict_DQ_Meth_max[[#This Row],[Vergleich_lb]]</f>
        <v>332.52</v>
      </c>
      <c r="G649" s="12">
        <f ca="1">(RANDBETWEEN(50,100)/100)*(dict_DQ_Meth_max[[#This Row],[Vergleich_ub]]-dict_DQ_Meth_max[[#This Row],[Vergleich_lb]])+dict_DQ_Meth_max[[#This Row],[Vergleich_lb]]</f>
        <v>2784.84</v>
      </c>
      <c r="H649" s="11" t="str">
        <f ca="1">VLOOKUP(VLOOKUP(dict_DQ_Meth_max[[#This Row],[ID_DataQualities]],table_DataQualities[],3),table_Units[],2)</f>
        <v>bit</v>
      </c>
      <c r="I649" s="10"/>
      <c r="J649" s="10"/>
      <c r="K649" s="10"/>
      <c r="L649" s="10">
        <f ca="1">VLOOKUP(dict_DQ_Meth_max[[#This Row],[ID_DataQualities]],table_DataQualities[],8,FALSE)</f>
        <v>81</v>
      </c>
      <c r="M649" s="10">
        <f ca="1">VLOOKUP(dict_DQ_Meth_max[[#This Row],[ID_DataQualities]],table_DataQualities[],9,FALSE)</f>
        <v>3225</v>
      </c>
    </row>
    <row r="650" spans="1:13" x14ac:dyDescent="0.45">
      <c r="A650" s="10">
        <v>173</v>
      </c>
      <c r="B650" s="10">
        <v>233</v>
      </c>
      <c r="C6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0" s="10"/>
      <c r="E650" s="10"/>
      <c r="F650" s="12">
        <f ca="1">(RANDBETWEEN(0,50)/100)*(dict_DQ_Meth_max[[#This Row],[Vergleich_ub]]-dict_DQ_Meth_max[[#This Row],[Vergleich_lb]])+dict_DQ_Meth_max[[#This Row],[Vergleich_lb]]</f>
        <v>1527.24</v>
      </c>
      <c r="G650" s="12">
        <f ca="1">(RANDBETWEEN(50,100)/100)*(dict_DQ_Meth_max[[#This Row],[Vergleich_ub]]-dict_DQ_Meth_max[[#This Row],[Vergleich_lb]])+dict_DQ_Meth_max[[#This Row],[Vergleich_lb]]</f>
        <v>2030.28</v>
      </c>
      <c r="H650" s="11" t="str">
        <f ca="1">VLOOKUP(VLOOKUP(dict_DQ_Meth_max[[#This Row],[ID_DataQualities]],table_DataQualities[],3),table_Units[],2)</f>
        <v>bit</v>
      </c>
      <c r="I650" s="10"/>
      <c r="J650" s="10"/>
      <c r="K650" s="10"/>
      <c r="L650" s="10">
        <f ca="1">VLOOKUP(dict_DQ_Meth_max[[#This Row],[ID_DataQualities]],table_DataQualities[],8,FALSE)</f>
        <v>81</v>
      </c>
      <c r="M650" s="10">
        <f ca="1">VLOOKUP(dict_DQ_Meth_max[[#This Row],[ID_DataQualities]],table_DataQualities[],9,FALSE)</f>
        <v>3225</v>
      </c>
    </row>
    <row r="651" spans="1:13" x14ac:dyDescent="0.45">
      <c r="A651" s="10">
        <v>173</v>
      </c>
      <c r="B651" s="10">
        <v>13</v>
      </c>
      <c r="C6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1" s="10"/>
      <c r="E651" s="10"/>
      <c r="F651" s="12">
        <f ca="1">(RANDBETWEEN(0,50)/100)*(dict_DQ_Meth_max[[#This Row],[Vergleich_ub]]-dict_DQ_Meth_max[[#This Row],[Vergleich_lb]])+dict_DQ_Meth_max[[#This Row],[Vergleich_lb]]</f>
        <v>804.12</v>
      </c>
      <c r="G651" s="12">
        <f ca="1">(RANDBETWEEN(50,100)/100)*(dict_DQ_Meth_max[[#This Row],[Vergleich_ub]]-dict_DQ_Meth_max[[#This Row],[Vergleich_lb]])+dict_DQ_Meth_max[[#This Row],[Vergleich_lb]]</f>
        <v>2407.56</v>
      </c>
      <c r="H651" s="11" t="str">
        <f ca="1">VLOOKUP(VLOOKUP(dict_DQ_Meth_max[[#This Row],[ID_DataQualities]],table_DataQualities[],3),table_Units[],2)</f>
        <v>bit</v>
      </c>
      <c r="I651" s="10"/>
      <c r="J651" s="10"/>
      <c r="K651" s="10"/>
      <c r="L651" s="10">
        <f ca="1">VLOOKUP(dict_DQ_Meth_max[[#This Row],[ID_DataQualities]],table_DataQualities[],8,FALSE)</f>
        <v>81</v>
      </c>
      <c r="M651" s="10">
        <f ca="1">VLOOKUP(dict_DQ_Meth_max[[#This Row],[ID_DataQualities]],table_DataQualities[],9,FALSE)</f>
        <v>3225</v>
      </c>
    </row>
    <row r="652" spans="1:13" x14ac:dyDescent="0.45">
      <c r="A652" s="10">
        <v>174</v>
      </c>
      <c r="B652" s="10">
        <v>620</v>
      </c>
      <c r="C6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2" s="10"/>
      <c r="E652" s="10"/>
      <c r="F652" s="12">
        <f ca="1">(RANDBETWEEN(0,50)/100)*(dict_DQ_Meth_max[[#This Row],[Vergleich_ub]]-dict_DQ_Meth_max[[#This Row],[Vergleich_lb]])+dict_DQ_Meth_max[[#This Row],[Vergleich_lb]]</f>
        <v>141.66880000000003</v>
      </c>
      <c r="G652" s="12">
        <f ca="1">(RANDBETWEEN(50,100)/100)*(dict_DQ_Meth_max[[#This Row],[Vergleich_ub]]-dict_DQ_Meth_max[[#This Row],[Vergleich_lb]])+dict_DQ_Meth_max[[#This Row],[Vergleich_lb]]</f>
        <v>678.92344000000003</v>
      </c>
      <c r="H652" s="11" t="str">
        <f ca="1">VLOOKUP(VLOOKUP(dict_DQ_Meth_max[[#This Row],[ID_DataQualities]],table_DataQualities[],3),table_Units[],2)</f>
        <v>Hz</v>
      </c>
      <c r="I652" s="10"/>
      <c r="J652" s="10"/>
      <c r="K652" s="10"/>
      <c r="L652" s="10">
        <f ca="1">VLOOKUP(dict_DQ_Meth_max[[#This Row],[ID_DataQualities]],table_DataQualities[],8,FALSE)</f>
        <v>0.28599999999999998</v>
      </c>
      <c r="M652" s="10">
        <f ca="1">VLOOKUP(dict_DQ_Meth_max[[#This Row],[ID_DataQualities]],table_DataQualities[],9,FALSE)</f>
        <v>707.2</v>
      </c>
    </row>
    <row r="653" spans="1:13" x14ac:dyDescent="0.45">
      <c r="A653" s="10">
        <v>174</v>
      </c>
      <c r="B653" s="10">
        <v>623</v>
      </c>
      <c r="C6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3" s="10"/>
      <c r="E653" s="10"/>
      <c r="F653" s="12">
        <f ca="1">(RANDBETWEEN(0,50)/100)*(dict_DQ_Meth_max[[#This Row],[Vergleich_ub]]-dict_DQ_Meth_max[[#This Row],[Vergleich_lb]])+dict_DQ_Meth_max[[#This Row],[Vergleich_lb]]</f>
        <v>332.53558000000004</v>
      </c>
      <c r="G653" s="12">
        <f ca="1">(RANDBETWEEN(50,100)/100)*(dict_DQ_Meth_max[[#This Row],[Vergleich_ub]]-dict_DQ_Meth_max[[#This Row],[Vergleich_lb]])+dict_DQ_Meth_max[[#This Row],[Vergleich_lb]]</f>
        <v>360.81214000000006</v>
      </c>
      <c r="H653" s="11" t="str">
        <f ca="1">VLOOKUP(VLOOKUP(dict_DQ_Meth_max[[#This Row],[ID_DataQualities]],table_DataQualities[],3),table_Units[],2)</f>
        <v>Hz</v>
      </c>
      <c r="I653" s="10"/>
      <c r="J653" s="10"/>
      <c r="K653" s="10"/>
      <c r="L653" s="10">
        <f ca="1">VLOOKUP(dict_DQ_Meth_max[[#This Row],[ID_DataQualities]],table_DataQualities[],8,FALSE)</f>
        <v>0.28599999999999998</v>
      </c>
      <c r="M653" s="10">
        <f ca="1">VLOOKUP(dict_DQ_Meth_max[[#This Row],[ID_DataQualities]],table_DataQualities[],9,FALSE)</f>
        <v>707.2</v>
      </c>
    </row>
    <row r="654" spans="1:13" x14ac:dyDescent="0.45">
      <c r="A654" s="10">
        <v>174</v>
      </c>
      <c r="B654" s="10">
        <v>681</v>
      </c>
      <c r="C6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4" s="10"/>
      <c r="E654" s="10"/>
      <c r="F654" s="12">
        <f ca="1">(RANDBETWEEN(0,50)/100)*(dict_DQ_Meth_max[[#This Row],[Vergleich_ub]]-dict_DQ_Meth_max[[#This Row],[Vergleich_lb]])+dict_DQ_Meth_max[[#This Row],[Vergleich_lb]]</f>
        <v>56.839120000000008</v>
      </c>
      <c r="G654" s="12">
        <f ca="1">(RANDBETWEEN(50,100)/100)*(dict_DQ_Meth_max[[#This Row],[Vergleich_ub]]-dict_DQ_Meth_max[[#This Row],[Vergleich_lb]])+dict_DQ_Meth_max[[#This Row],[Vergleich_lb]]</f>
        <v>509.26408000000004</v>
      </c>
      <c r="H654" s="11" t="str">
        <f ca="1">VLOOKUP(VLOOKUP(dict_DQ_Meth_max[[#This Row],[ID_DataQualities]],table_DataQualities[],3),table_Units[],2)</f>
        <v>Hz</v>
      </c>
      <c r="I654" s="10"/>
      <c r="J654" s="10"/>
      <c r="K654" s="10"/>
      <c r="L654" s="10">
        <f ca="1">VLOOKUP(dict_DQ_Meth_max[[#This Row],[ID_DataQualities]],table_DataQualities[],8,FALSE)</f>
        <v>0.28599999999999998</v>
      </c>
      <c r="M654" s="10">
        <f ca="1">VLOOKUP(dict_DQ_Meth_max[[#This Row],[ID_DataQualities]],table_DataQualities[],9,FALSE)</f>
        <v>707.2</v>
      </c>
    </row>
    <row r="655" spans="1:13" x14ac:dyDescent="0.45">
      <c r="A655" s="10">
        <v>175</v>
      </c>
      <c r="B655" s="10">
        <v>623</v>
      </c>
      <c r="C6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5" s="10"/>
      <c r="E655" s="10"/>
      <c r="F655" s="12">
        <f ca="1">(RANDBETWEEN(0,50)/100)*(dict_DQ_Meth_max[[#This Row],[Vergleich_ub]]-dict_DQ_Meth_max[[#This Row],[Vergleich_lb]])+dict_DQ_Meth_max[[#This Row],[Vergleich_lb]]</f>
        <v>614.52</v>
      </c>
      <c r="G655" s="12">
        <f ca="1">(RANDBETWEEN(50,100)/100)*(dict_DQ_Meth_max[[#This Row],[Vergleich_ub]]-dict_DQ_Meth_max[[#This Row],[Vergleich_lb]])+dict_DQ_Meth_max[[#This Row],[Vergleich_lb]]</f>
        <v>1373.8799999999999</v>
      </c>
      <c r="H655" s="11" t="str">
        <f ca="1">VLOOKUP(VLOOKUP(dict_DQ_Meth_max[[#This Row],[ID_DataQualities]],table_DataQualities[],3),table_Units[],2)</f>
        <v>bit</v>
      </c>
      <c r="I655" s="10"/>
      <c r="J655" s="10"/>
      <c r="K655" s="10"/>
      <c r="L655" s="10">
        <f ca="1">VLOOKUP(dict_DQ_Meth_max[[#This Row],[ID_DataQualities]],table_DataQualities[],8,FALSE)</f>
        <v>45</v>
      </c>
      <c r="M655" s="10">
        <f ca="1">VLOOKUP(dict_DQ_Meth_max[[#This Row],[ID_DataQualities]],table_DataQualities[],9,FALSE)</f>
        <v>1627</v>
      </c>
    </row>
    <row r="656" spans="1:13" x14ac:dyDescent="0.45">
      <c r="A656" s="10">
        <v>175</v>
      </c>
      <c r="B656" s="10">
        <v>681</v>
      </c>
      <c r="C6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6" s="10"/>
      <c r="E656" s="10"/>
      <c r="F656" s="12">
        <f ca="1">(RANDBETWEEN(0,50)/100)*(dict_DQ_Meth_max[[#This Row],[Vergleich_ub]]-dict_DQ_Meth_max[[#This Row],[Vergleich_lb]])+dict_DQ_Meth_max[[#This Row],[Vergleich_lb]]</f>
        <v>282.29999999999995</v>
      </c>
      <c r="G656" s="12">
        <f ca="1">(RANDBETWEEN(50,100)/100)*(dict_DQ_Meth_max[[#This Row],[Vergleich_ub]]-dict_DQ_Meth_max[[#This Row],[Vergleich_lb]])+dict_DQ_Meth_max[[#This Row],[Vergleich_lb]]</f>
        <v>1104.94</v>
      </c>
      <c r="H656" s="11" t="str">
        <f ca="1">VLOOKUP(VLOOKUP(dict_DQ_Meth_max[[#This Row],[ID_DataQualities]],table_DataQualities[],3),table_Units[],2)</f>
        <v>bit</v>
      </c>
      <c r="I656" s="10"/>
      <c r="J656" s="10"/>
      <c r="K656" s="10"/>
      <c r="L656" s="10">
        <f ca="1">VLOOKUP(dict_DQ_Meth_max[[#This Row],[ID_DataQualities]],table_DataQualities[],8,FALSE)</f>
        <v>45</v>
      </c>
      <c r="M656" s="10">
        <f ca="1">VLOOKUP(dict_DQ_Meth_max[[#This Row],[ID_DataQualities]],table_DataQualities[],9,FALSE)</f>
        <v>1627</v>
      </c>
    </row>
    <row r="657" spans="1:13" x14ac:dyDescent="0.45">
      <c r="A657" s="10">
        <v>175</v>
      </c>
      <c r="B657" s="10">
        <v>620</v>
      </c>
      <c r="C6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7" s="10"/>
      <c r="E657" s="10"/>
      <c r="F657" s="12">
        <f ca="1">(RANDBETWEEN(0,50)/100)*(dict_DQ_Meth_max[[#This Row],[Vergleich_ub]]-dict_DQ_Meth_max[[#This Row],[Vergleich_lb]])+dict_DQ_Meth_max[[#This Row],[Vergleich_lb]]</f>
        <v>361.40000000000003</v>
      </c>
      <c r="G657" s="12">
        <f ca="1">(RANDBETWEEN(50,100)/100)*(dict_DQ_Meth_max[[#This Row],[Vergleich_ub]]-dict_DQ_Meth_max[[#This Row],[Vergleich_lb]])+dict_DQ_Meth_max[[#This Row],[Vergleich_lb]]</f>
        <v>1152.3999999999999</v>
      </c>
      <c r="H657" s="11" t="str">
        <f ca="1">VLOOKUP(VLOOKUP(dict_DQ_Meth_max[[#This Row],[ID_DataQualities]],table_DataQualities[],3),table_Units[],2)</f>
        <v>bit</v>
      </c>
      <c r="I657" s="10"/>
      <c r="J657" s="10"/>
      <c r="K657" s="10"/>
      <c r="L657" s="10">
        <f ca="1">VLOOKUP(dict_DQ_Meth_max[[#This Row],[ID_DataQualities]],table_DataQualities[],8,FALSE)</f>
        <v>45</v>
      </c>
      <c r="M657" s="10">
        <f ca="1">VLOOKUP(dict_DQ_Meth_max[[#This Row],[ID_DataQualities]],table_DataQualities[],9,FALSE)</f>
        <v>1627</v>
      </c>
    </row>
    <row r="658" spans="1:13" x14ac:dyDescent="0.45">
      <c r="A658" s="10">
        <v>176</v>
      </c>
      <c r="B658" s="10">
        <v>113</v>
      </c>
      <c r="C6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8" s="10"/>
      <c r="E658" s="10"/>
      <c r="F658" s="12">
        <f ca="1">(RANDBETWEEN(0,50)/100)*(dict_DQ_Meth_max[[#This Row],[Vergleich_ub]]-dict_DQ_Meth_max[[#This Row],[Vergleich_lb]])+dict_DQ_Meth_max[[#This Row],[Vergleich_lb]]</f>
        <v>186.02384000000001</v>
      </c>
      <c r="G658" s="12">
        <f ca="1">(RANDBETWEEN(50,100)/100)*(dict_DQ_Meth_max[[#This Row],[Vergleich_ub]]-dict_DQ_Meth_max[[#This Row],[Vergleich_lb]])+dict_DQ_Meth_max[[#This Row],[Vergleich_lb]]</f>
        <v>1329.9765200000002</v>
      </c>
      <c r="H658" s="11" t="str">
        <f ca="1">VLOOKUP(VLOOKUP(dict_DQ_Meth_max[[#This Row],[ID_DataQualities]],table_DataQualities[],3),table_Units[],2)</f>
        <v>Hz</v>
      </c>
      <c r="I658" s="10"/>
      <c r="J658" s="10"/>
      <c r="K658" s="10"/>
      <c r="L658" s="10">
        <f ca="1">VLOOKUP(dict_DQ_Meth_max[[#This Row],[ID_DataQualities]],table_DataQualities[],8,FALSE)</f>
        <v>0.51800000000000002</v>
      </c>
      <c r="M658" s="10">
        <f ca="1">VLOOKUP(dict_DQ_Meth_max[[#This Row],[ID_DataQualities]],table_DataQualities[],9,FALSE)</f>
        <v>1546.4</v>
      </c>
    </row>
    <row r="659" spans="1:13" x14ac:dyDescent="0.45">
      <c r="A659" s="10">
        <v>176</v>
      </c>
      <c r="B659" s="10">
        <v>560</v>
      </c>
      <c r="C6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59" s="10"/>
      <c r="E659" s="10"/>
      <c r="F659" s="12">
        <f ca="1">(RANDBETWEEN(0,50)/100)*(dict_DQ_Meth_max[[#This Row],[Vergleich_ub]]-dict_DQ_Meth_max[[#This Row],[Vergleich_lb]])+dict_DQ_Meth_max[[#This Row],[Vergleich_lb]]</f>
        <v>77.812100000000015</v>
      </c>
      <c r="G659" s="12">
        <f ca="1">(RANDBETWEEN(50,100)/100)*(dict_DQ_Meth_max[[#This Row],[Vergleich_ub]]-dict_DQ_Meth_max[[#This Row],[Vergleich_lb]])+dict_DQ_Meth_max[[#This Row],[Vergleich_lb]]</f>
        <v>1500.0235400000001</v>
      </c>
      <c r="H659" s="11" t="str">
        <f ca="1">VLOOKUP(VLOOKUP(dict_DQ_Meth_max[[#This Row],[ID_DataQualities]],table_DataQualities[],3),table_Units[],2)</f>
        <v>Hz</v>
      </c>
      <c r="I659" s="10"/>
      <c r="J659" s="10"/>
      <c r="K659" s="10"/>
      <c r="L659" s="10">
        <f ca="1">VLOOKUP(dict_DQ_Meth_max[[#This Row],[ID_DataQualities]],table_DataQualities[],8,FALSE)</f>
        <v>0.51800000000000002</v>
      </c>
      <c r="M659" s="10">
        <f ca="1">VLOOKUP(dict_DQ_Meth_max[[#This Row],[ID_DataQualities]],table_DataQualities[],9,FALSE)</f>
        <v>1546.4</v>
      </c>
    </row>
    <row r="660" spans="1:13" x14ac:dyDescent="0.45">
      <c r="A660" s="10">
        <v>176</v>
      </c>
      <c r="B660" s="10">
        <v>638</v>
      </c>
      <c r="C6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0" s="10"/>
      <c r="E660" s="10"/>
      <c r="F660" s="12">
        <f ca="1">(RANDBETWEEN(0,50)/100)*(dict_DQ_Meth_max[[#This Row],[Vergleich_ub]]-dict_DQ_Meth_max[[#This Row],[Vergleich_lb]])+dict_DQ_Meth_max[[#This Row],[Vergleich_lb]]</f>
        <v>31.435640000000003</v>
      </c>
      <c r="G660" s="12">
        <f ca="1">(RANDBETWEEN(50,100)/100)*(dict_DQ_Meth_max[[#This Row],[Vergleich_ub]]-dict_DQ_Meth_max[[#This Row],[Vergleich_lb]])+dict_DQ_Meth_max[[#This Row],[Vergleich_lb]]</f>
        <v>1283.60006</v>
      </c>
      <c r="H660" s="11" t="str">
        <f ca="1">VLOOKUP(VLOOKUP(dict_DQ_Meth_max[[#This Row],[ID_DataQualities]],table_DataQualities[],3),table_Units[],2)</f>
        <v>Hz</v>
      </c>
      <c r="I660" s="10"/>
      <c r="J660" s="10"/>
      <c r="K660" s="10"/>
      <c r="L660" s="10">
        <f ca="1">VLOOKUP(dict_DQ_Meth_max[[#This Row],[ID_DataQualities]],table_DataQualities[],8,FALSE)</f>
        <v>0.51800000000000002</v>
      </c>
      <c r="M660" s="10">
        <f ca="1">VLOOKUP(dict_DQ_Meth_max[[#This Row],[ID_DataQualities]],table_DataQualities[],9,FALSE)</f>
        <v>1546.4</v>
      </c>
    </row>
    <row r="661" spans="1:13" x14ac:dyDescent="0.45">
      <c r="A661" s="10">
        <v>176</v>
      </c>
      <c r="B661" s="10">
        <v>68</v>
      </c>
      <c r="C6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1" s="10"/>
      <c r="E661" s="10"/>
      <c r="F661" s="12">
        <f ca="1">(RANDBETWEEN(0,50)/100)*(dict_DQ_Meth_max[[#This Row],[Vergleich_ub]]-dict_DQ_Meth_max[[#This Row],[Vergleich_lb]])+dict_DQ_Meth_max[[#This Row],[Vergleich_lb]]</f>
        <v>93.270920000000004</v>
      </c>
      <c r="G661" s="12">
        <f ca="1">(RANDBETWEEN(50,100)/100)*(dict_DQ_Meth_max[[#This Row],[Vergleich_ub]]-dict_DQ_Meth_max[[#This Row],[Vergleich_lb]])+dict_DQ_Meth_max[[#This Row],[Vergleich_lb]]</f>
        <v>866.21192000000019</v>
      </c>
      <c r="H661" s="11" t="str">
        <f ca="1">VLOOKUP(VLOOKUP(dict_DQ_Meth_max[[#This Row],[ID_DataQualities]],table_DataQualities[],3),table_Units[],2)</f>
        <v>Hz</v>
      </c>
      <c r="I661" s="10"/>
      <c r="J661" s="10"/>
      <c r="K661" s="10"/>
      <c r="L661" s="10">
        <f ca="1">VLOOKUP(dict_DQ_Meth_max[[#This Row],[ID_DataQualities]],table_DataQualities[],8,FALSE)</f>
        <v>0.51800000000000002</v>
      </c>
      <c r="M661" s="10">
        <f ca="1">VLOOKUP(dict_DQ_Meth_max[[#This Row],[ID_DataQualities]],table_DataQualities[],9,FALSE)</f>
        <v>1546.4</v>
      </c>
    </row>
    <row r="662" spans="1:13" x14ac:dyDescent="0.45">
      <c r="A662" s="10">
        <v>176</v>
      </c>
      <c r="B662" s="10">
        <v>335</v>
      </c>
      <c r="C6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2" s="10"/>
      <c r="E662" s="10"/>
      <c r="F662" s="12">
        <f ca="1">(RANDBETWEEN(0,50)/100)*(dict_DQ_Meth_max[[#This Row],[Vergleich_ub]]-dict_DQ_Meth_max[[#This Row],[Vergleich_lb]])+dict_DQ_Meth_max[[#This Row],[Vergleich_lb]]</f>
        <v>448.82377999999994</v>
      </c>
      <c r="G662" s="12">
        <f ca="1">(RANDBETWEEN(50,100)/100)*(dict_DQ_Meth_max[[#This Row],[Vergleich_ub]]-dict_DQ_Meth_max[[#This Row],[Vergleich_lb]])+dict_DQ_Meth_max[[#This Row],[Vergleich_lb]]</f>
        <v>1376.3529800000001</v>
      </c>
      <c r="H662" s="11" t="str">
        <f ca="1">VLOOKUP(VLOOKUP(dict_DQ_Meth_max[[#This Row],[ID_DataQualities]],table_DataQualities[],3),table_Units[],2)</f>
        <v>Hz</v>
      </c>
      <c r="I662" s="10"/>
      <c r="J662" s="10"/>
      <c r="K662" s="10"/>
      <c r="L662" s="10">
        <f ca="1">VLOOKUP(dict_DQ_Meth_max[[#This Row],[ID_DataQualities]],table_DataQualities[],8,FALSE)</f>
        <v>0.51800000000000002</v>
      </c>
      <c r="M662" s="10">
        <f ca="1">VLOOKUP(dict_DQ_Meth_max[[#This Row],[ID_DataQualities]],table_DataQualities[],9,FALSE)</f>
        <v>1546.4</v>
      </c>
    </row>
    <row r="663" spans="1:13" x14ac:dyDescent="0.45">
      <c r="A663" s="10">
        <v>177</v>
      </c>
      <c r="B663" s="10">
        <v>560</v>
      </c>
      <c r="C6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3" s="10"/>
      <c r="E663" s="10"/>
      <c r="F663" s="12">
        <f ca="1">(RANDBETWEEN(0,50)/100)*(dict_DQ_Meth_max[[#This Row],[Vergleich_ub]]-dict_DQ_Meth_max[[#This Row],[Vergleich_lb]])+dict_DQ_Meth_max[[#This Row],[Vergleich_lb]]</f>
        <v>1469.31</v>
      </c>
      <c r="G663" s="12">
        <f ca="1">(RANDBETWEEN(50,100)/100)*(dict_DQ_Meth_max[[#This Row],[Vergleich_ub]]-dict_DQ_Meth_max[[#This Row],[Vergleich_lb]])+dict_DQ_Meth_max[[#This Row],[Vergleich_lb]]</f>
        <v>5528.75</v>
      </c>
      <c r="H663" s="11" t="str">
        <f ca="1">VLOOKUP(VLOOKUP(dict_DQ_Meth_max[[#This Row],[ID_DataQualities]],table_DataQualities[],3),table_Units[],2)</f>
        <v>bit</v>
      </c>
      <c r="I663" s="10"/>
      <c r="J663" s="10"/>
      <c r="K663" s="10"/>
      <c r="L663" s="10">
        <f ca="1">VLOOKUP(dict_DQ_Meth_max[[#This Row],[ID_DataQualities]],table_DataQualities[],8,FALSE)</f>
        <v>92</v>
      </c>
      <c r="M663" s="10">
        <f ca="1">VLOOKUP(dict_DQ_Meth_max[[#This Row],[ID_DataQualities]],table_DataQualities[],9,FALSE)</f>
        <v>7341</v>
      </c>
    </row>
    <row r="664" spans="1:13" x14ac:dyDescent="0.45">
      <c r="A664" s="10">
        <v>177</v>
      </c>
      <c r="B664" s="10">
        <v>68</v>
      </c>
      <c r="C6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4" s="10"/>
      <c r="E664" s="10"/>
      <c r="F664" s="12">
        <f ca="1">(RANDBETWEEN(0,50)/100)*(dict_DQ_Meth_max[[#This Row],[Vergleich_ub]]-dict_DQ_Meth_max[[#This Row],[Vergleich_lb]])+dict_DQ_Meth_max[[#This Row],[Vergleich_lb]]</f>
        <v>3716.5</v>
      </c>
      <c r="G664" s="12">
        <f ca="1">(RANDBETWEEN(50,100)/100)*(dict_DQ_Meth_max[[#This Row],[Vergleich_ub]]-dict_DQ_Meth_max[[#This Row],[Vergleich_lb]])+dict_DQ_Meth_max[[#This Row],[Vergleich_lb]]</f>
        <v>4586.38</v>
      </c>
      <c r="H664" s="11" t="str">
        <f ca="1">VLOOKUP(VLOOKUP(dict_DQ_Meth_max[[#This Row],[ID_DataQualities]],table_DataQualities[],3),table_Units[],2)</f>
        <v>bit</v>
      </c>
      <c r="I664" s="10"/>
      <c r="J664" s="10"/>
      <c r="K664" s="10"/>
      <c r="L664" s="10">
        <f ca="1">VLOOKUP(dict_DQ_Meth_max[[#This Row],[ID_DataQualities]],table_DataQualities[],8,FALSE)</f>
        <v>92</v>
      </c>
      <c r="M664" s="10">
        <f ca="1">VLOOKUP(dict_DQ_Meth_max[[#This Row],[ID_DataQualities]],table_DataQualities[],9,FALSE)</f>
        <v>7341</v>
      </c>
    </row>
    <row r="665" spans="1:13" x14ac:dyDescent="0.45">
      <c r="A665" s="10">
        <v>177</v>
      </c>
      <c r="B665" s="10">
        <v>638</v>
      </c>
      <c r="C6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5" s="10"/>
      <c r="E665" s="10"/>
      <c r="F665" s="12">
        <f ca="1">(RANDBETWEEN(0,50)/100)*(dict_DQ_Meth_max[[#This Row],[Vergleich_ub]]-dict_DQ_Meth_max[[#This Row],[Vergleich_lb]])+dict_DQ_Meth_max[[#This Row],[Vergleich_lb]]</f>
        <v>92</v>
      </c>
      <c r="G665" s="12">
        <f ca="1">(RANDBETWEEN(50,100)/100)*(dict_DQ_Meth_max[[#This Row],[Vergleich_ub]]-dict_DQ_Meth_max[[#This Row],[Vergleich_lb]])+dict_DQ_Meth_max[[#This Row],[Vergleich_lb]]</f>
        <v>6253.65</v>
      </c>
      <c r="H665" s="11" t="str">
        <f ca="1">VLOOKUP(VLOOKUP(dict_DQ_Meth_max[[#This Row],[ID_DataQualities]],table_DataQualities[],3),table_Units[],2)</f>
        <v>bit</v>
      </c>
      <c r="I665" s="10"/>
      <c r="J665" s="10"/>
      <c r="K665" s="10"/>
      <c r="L665" s="10">
        <f ca="1">VLOOKUP(dict_DQ_Meth_max[[#This Row],[ID_DataQualities]],table_DataQualities[],8,FALSE)</f>
        <v>92</v>
      </c>
      <c r="M665" s="10">
        <f ca="1">VLOOKUP(dict_DQ_Meth_max[[#This Row],[ID_DataQualities]],table_DataQualities[],9,FALSE)</f>
        <v>7341</v>
      </c>
    </row>
    <row r="666" spans="1:13" x14ac:dyDescent="0.45">
      <c r="A666" s="10">
        <v>177</v>
      </c>
      <c r="B666" s="10">
        <v>113</v>
      </c>
      <c r="C6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6" s="10"/>
      <c r="E666" s="10"/>
      <c r="F666" s="12">
        <f ca="1">(RANDBETWEEN(0,50)/100)*(dict_DQ_Meth_max[[#This Row],[Vergleich_ub]]-dict_DQ_Meth_max[[#This Row],[Vergleich_lb]])+dict_DQ_Meth_max[[#This Row],[Vergleich_lb]]</f>
        <v>2484.17</v>
      </c>
      <c r="G666" s="12">
        <f ca="1">(RANDBETWEEN(50,100)/100)*(dict_DQ_Meth_max[[#This Row],[Vergleich_ub]]-dict_DQ_Meth_max[[#This Row],[Vergleich_lb]])+dict_DQ_Meth_max[[#This Row],[Vergleich_lb]]</f>
        <v>4223.9299999999994</v>
      </c>
      <c r="H666" s="11" t="str">
        <f ca="1">VLOOKUP(VLOOKUP(dict_DQ_Meth_max[[#This Row],[ID_DataQualities]],table_DataQualities[],3),table_Units[],2)</f>
        <v>bit</v>
      </c>
      <c r="I666" s="10"/>
      <c r="J666" s="10"/>
      <c r="K666" s="10"/>
      <c r="L666" s="10">
        <f ca="1">VLOOKUP(dict_DQ_Meth_max[[#This Row],[ID_DataQualities]],table_DataQualities[],8,FALSE)</f>
        <v>92</v>
      </c>
      <c r="M666" s="10">
        <f ca="1">VLOOKUP(dict_DQ_Meth_max[[#This Row],[ID_DataQualities]],table_DataQualities[],9,FALSE)</f>
        <v>7341</v>
      </c>
    </row>
    <row r="667" spans="1:13" x14ac:dyDescent="0.45">
      <c r="A667" s="10">
        <v>177</v>
      </c>
      <c r="B667" s="10">
        <v>335</v>
      </c>
      <c r="C6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7" s="10"/>
      <c r="E667" s="10"/>
      <c r="F667" s="12">
        <f ca="1">(RANDBETWEEN(0,50)/100)*(dict_DQ_Meth_max[[#This Row],[Vergleich_ub]]-dict_DQ_Meth_max[[#This Row],[Vergleich_lb]])+dict_DQ_Meth_max[[#This Row],[Vergleich_lb]]</f>
        <v>2121.7200000000003</v>
      </c>
      <c r="G667" s="12">
        <f ca="1">(RANDBETWEEN(50,100)/100)*(dict_DQ_Meth_max[[#This Row],[Vergleich_ub]]-dict_DQ_Meth_max[[#This Row],[Vergleich_lb]])+dict_DQ_Meth_max[[#This Row],[Vergleich_lb]]</f>
        <v>6398.63</v>
      </c>
      <c r="H667" s="11" t="str">
        <f ca="1">VLOOKUP(VLOOKUP(dict_DQ_Meth_max[[#This Row],[ID_DataQualities]],table_DataQualities[],3),table_Units[],2)</f>
        <v>bit</v>
      </c>
      <c r="I667" s="10"/>
      <c r="J667" s="10"/>
      <c r="K667" s="10"/>
      <c r="L667" s="10">
        <f ca="1">VLOOKUP(dict_DQ_Meth_max[[#This Row],[ID_DataQualities]],table_DataQualities[],8,FALSE)</f>
        <v>92</v>
      </c>
      <c r="M667" s="10">
        <f ca="1">VLOOKUP(dict_DQ_Meth_max[[#This Row],[ID_DataQualities]],table_DataQualities[],9,FALSE)</f>
        <v>7341</v>
      </c>
    </row>
    <row r="668" spans="1:13" x14ac:dyDescent="0.45">
      <c r="A668" s="10">
        <v>178</v>
      </c>
      <c r="B668" s="10">
        <v>570</v>
      </c>
      <c r="C6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8" s="10"/>
      <c r="E668" s="10"/>
      <c r="F668" s="12">
        <f ca="1">(RANDBETWEEN(0,50)/100)*(dict_DQ_Meth_max[[#This Row],[Vergleich_ub]]-dict_DQ_Meth_max[[#This Row],[Vergleich_lb]])+dict_DQ_Meth_max[[#This Row],[Vergleich_lb]]</f>
        <v>0.83899999999999997</v>
      </c>
      <c r="G668" s="12">
        <f ca="1">(RANDBETWEEN(50,100)/100)*(dict_DQ_Meth_max[[#This Row],[Vergleich_ub]]-dict_DQ_Meth_max[[#This Row],[Vergleich_lb]])+dict_DQ_Meth_max[[#This Row],[Vergleich_lb]]</f>
        <v>3603.6194999999998</v>
      </c>
      <c r="H668" s="11" t="str">
        <f ca="1">VLOOKUP(VLOOKUP(dict_DQ_Meth_max[[#This Row],[ID_DataQualities]],table_DataQualities[],3),table_Units[],2)</f>
        <v>Hz</v>
      </c>
      <c r="I668" s="10"/>
      <c r="J668" s="10"/>
      <c r="K668" s="10"/>
      <c r="L668" s="10">
        <f ca="1">VLOOKUP(dict_DQ_Meth_max[[#This Row],[ID_DataQualities]],table_DataQualities[],8,FALSE)</f>
        <v>0.83899999999999997</v>
      </c>
      <c r="M668" s="10">
        <f ca="1">VLOOKUP(dict_DQ_Meth_max[[#This Row],[ID_DataQualities]],table_DataQualities[],9,FALSE)</f>
        <v>7206.4</v>
      </c>
    </row>
    <row r="669" spans="1:13" x14ac:dyDescent="0.45">
      <c r="A669" s="10">
        <v>178</v>
      </c>
      <c r="B669" s="10">
        <v>168</v>
      </c>
      <c r="C6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69" s="10"/>
      <c r="E669" s="10"/>
      <c r="F669" s="12">
        <f ca="1">(RANDBETWEEN(0,50)/100)*(dict_DQ_Meth_max[[#This Row],[Vergleich_ub]]-dict_DQ_Meth_max[[#This Row],[Vergleich_lb]])+dict_DQ_Meth_max[[#This Row],[Vergleich_lb]]</f>
        <v>793.45071000000007</v>
      </c>
      <c r="G669" s="12">
        <f ca="1">(RANDBETWEEN(50,100)/100)*(dict_DQ_Meth_max[[#This Row],[Vergleich_ub]]-dict_DQ_Meth_max[[#This Row],[Vergleich_lb]])+dict_DQ_Meth_max[[#This Row],[Vergleich_lb]]</f>
        <v>4396.2312099999999</v>
      </c>
      <c r="H669" s="11" t="str">
        <f ca="1">VLOOKUP(VLOOKUP(dict_DQ_Meth_max[[#This Row],[ID_DataQualities]],table_DataQualities[],3),table_Units[],2)</f>
        <v>Hz</v>
      </c>
      <c r="I669" s="10"/>
      <c r="J669" s="10"/>
      <c r="K669" s="10"/>
      <c r="L669" s="10">
        <f ca="1">VLOOKUP(dict_DQ_Meth_max[[#This Row],[ID_DataQualities]],table_DataQualities[],8,FALSE)</f>
        <v>0.83899999999999997</v>
      </c>
      <c r="M669" s="10">
        <f ca="1">VLOOKUP(dict_DQ_Meth_max[[#This Row],[ID_DataQualities]],table_DataQualities[],9,FALSE)</f>
        <v>7206.4</v>
      </c>
    </row>
    <row r="670" spans="1:13" x14ac:dyDescent="0.45">
      <c r="A670" s="10">
        <v>178</v>
      </c>
      <c r="B670" s="10">
        <v>184</v>
      </c>
      <c r="C6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0" s="10"/>
      <c r="E670" s="10"/>
      <c r="F670" s="12">
        <f ca="1">(RANDBETWEEN(0,50)/100)*(dict_DQ_Meth_max[[#This Row],[Vergleich_ub]]-dict_DQ_Meth_max[[#This Row],[Vergleich_lb]])+dict_DQ_Meth_max[[#This Row],[Vergleich_lb]]</f>
        <v>2090.4516899999999</v>
      </c>
      <c r="G670" s="12">
        <f ca="1">(RANDBETWEEN(50,100)/100)*(dict_DQ_Meth_max[[#This Row],[Vergleich_ub]]-dict_DQ_Meth_max[[#This Row],[Vergleich_lb]])+dict_DQ_Meth_max[[#This Row],[Vergleich_lb]]</f>
        <v>6702.01073</v>
      </c>
      <c r="H670" s="11" t="str">
        <f ca="1">VLOOKUP(VLOOKUP(dict_DQ_Meth_max[[#This Row],[ID_DataQualities]],table_DataQualities[],3),table_Units[],2)</f>
        <v>Hz</v>
      </c>
      <c r="I670" s="10"/>
      <c r="J670" s="10"/>
      <c r="K670" s="10"/>
      <c r="L670" s="10">
        <f ca="1">VLOOKUP(dict_DQ_Meth_max[[#This Row],[ID_DataQualities]],table_DataQualities[],8,FALSE)</f>
        <v>0.83899999999999997</v>
      </c>
      <c r="M670" s="10">
        <f ca="1">VLOOKUP(dict_DQ_Meth_max[[#This Row],[ID_DataQualities]],table_DataQualities[],9,FALSE)</f>
        <v>7206.4</v>
      </c>
    </row>
    <row r="671" spans="1:13" x14ac:dyDescent="0.45">
      <c r="A671" s="10">
        <v>178</v>
      </c>
      <c r="B671" s="10">
        <v>177</v>
      </c>
      <c r="C6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1" s="10"/>
      <c r="E671" s="10"/>
      <c r="F671" s="12">
        <f ca="1">(RANDBETWEEN(0,50)/100)*(dict_DQ_Meth_max[[#This Row],[Vergleich_ub]]-dict_DQ_Meth_max[[#This Row],[Vergleich_lb]])+dict_DQ_Meth_max[[#This Row],[Vergleich_lb]]</f>
        <v>144.95022</v>
      </c>
      <c r="G671" s="12">
        <f ca="1">(RANDBETWEEN(50,100)/100)*(dict_DQ_Meth_max[[#This Row],[Vergleich_ub]]-dict_DQ_Meth_max[[#This Row],[Vergleich_lb]])+dict_DQ_Meth_max[[#This Row],[Vergleich_lb]]</f>
        <v>5693.2321899999997</v>
      </c>
      <c r="H671" s="11" t="str">
        <f ca="1">VLOOKUP(VLOOKUP(dict_DQ_Meth_max[[#This Row],[ID_DataQualities]],table_DataQualities[],3),table_Units[],2)</f>
        <v>Hz</v>
      </c>
      <c r="I671" s="10"/>
      <c r="J671" s="10"/>
      <c r="K671" s="10"/>
      <c r="L671" s="10">
        <f ca="1">VLOOKUP(dict_DQ_Meth_max[[#This Row],[ID_DataQualities]],table_DataQualities[],8,FALSE)</f>
        <v>0.83899999999999997</v>
      </c>
      <c r="M671" s="10">
        <f ca="1">VLOOKUP(dict_DQ_Meth_max[[#This Row],[ID_DataQualities]],table_DataQualities[],9,FALSE)</f>
        <v>7206.4</v>
      </c>
    </row>
    <row r="672" spans="1:13" x14ac:dyDescent="0.45">
      <c r="A672" s="10">
        <v>179</v>
      </c>
      <c r="B672" s="10">
        <v>168</v>
      </c>
      <c r="C6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2" s="10"/>
      <c r="E672" s="10"/>
      <c r="F672" s="12">
        <f ca="1">(RANDBETWEEN(0,50)/100)*(dict_DQ_Meth_max[[#This Row],[Vergleich_ub]]-dict_DQ_Meth_max[[#This Row],[Vergleich_lb]])+dict_DQ_Meth_max[[#This Row],[Vergleich_lb]]</f>
        <v>1.6842199999999998</v>
      </c>
      <c r="G672" s="12">
        <f ca="1">(RANDBETWEEN(50,100)/100)*(dict_DQ_Meth_max[[#This Row],[Vergleich_ub]]-dict_DQ_Meth_max[[#This Row],[Vergleich_lb]])+dict_DQ_Meth_max[[#This Row],[Vergleich_lb]]</f>
        <v>4.0045400000000004</v>
      </c>
      <c r="H672" s="11" t="str">
        <f ca="1">VLOOKUP(VLOOKUP(dict_DQ_Meth_max[[#This Row],[ID_DataQualities]],table_DataQualities[],3),table_Units[],2)</f>
        <v>+/- W</v>
      </c>
      <c r="I672" s="10"/>
      <c r="J672" s="10"/>
      <c r="K672" s="10"/>
      <c r="L672" s="10">
        <f ca="1">VLOOKUP(dict_DQ_Meth_max[[#This Row],[ID_DataQualities]],table_DataQualities[],8,FALSE)</f>
        <v>8.8999999999999996E-2</v>
      </c>
      <c r="M672" s="10">
        <f ca="1">VLOOKUP(dict_DQ_Meth_max[[#This Row],[ID_DataQualities]],table_DataQualities[],9,FALSE)</f>
        <v>7.34</v>
      </c>
    </row>
    <row r="673" spans="1:13" x14ac:dyDescent="0.45">
      <c r="A673" s="10">
        <v>179</v>
      </c>
      <c r="B673" s="10">
        <v>570</v>
      </c>
      <c r="C6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3" s="10"/>
      <c r="E673" s="10"/>
      <c r="F673" s="12">
        <f ca="1">(RANDBETWEEN(0,50)/100)*(dict_DQ_Meth_max[[#This Row],[Vergleich_ub]]-dict_DQ_Meth_max[[#This Row],[Vergleich_lb]])+dict_DQ_Meth_max[[#This Row],[Vergleich_lb]]</f>
        <v>2.7718699999999998</v>
      </c>
      <c r="G673" s="12">
        <f ca="1">(RANDBETWEEN(50,100)/100)*(dict_DQ_Meth_max[[#This Row],[Vergleich_ub]]-dict_DQ_Meth_max[[#This Row],[Vergleich_lb]])+dict_DQ_Meth_max[[#This Row],[Vergleich_lb]]</f>
        <v>6.5423900000000001</v>
      </c>
      <c r="H673" s="11" t="str">
        <f ca="1">VLOOKUP(VLOOKUP(dict_DQ_Meth_max[[#This Row],[ID_DataQualities]],table_DataQualities[],3),table_Units[],2)</f>
        <v>+/- W</v>
      </c>
      <c r="I673" s="10"/>
      <c r="J673" s="10"/>
      <c r="K673" s="10"/>
      <c r="L673" s="10">
        <f ca="1">VLOOKUP(dict_DQ_Meth_max[[#This Row],[ID_DataQualities]],table_DataQualities[],8,FALSE)</f>
        <v>8.8999999999999996E-2</v>
      </c>
      <c r="M673" s="10">
        <f ca="1">VLOOKUP(dict_DQ_Meth_max[[#This Row],[ID_DataQualities]],table_DataQualities[],9,FALSE)</f>
        <v>7.34</v>
      </c>
    </row>
    <row r="674" spans="1:13" x14ac:dyDescent="0.45">
      <c r="A674" s="10">
        <v>179</v>
      </c>
      <c r="B674" s="10">
        <v>184</v>
      </c>
      <c r="C6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4" s="10"/>
      <c r="E674" s="10"/>
      <c r="F674" s="12">
        <f ca="1">(RANDBETWEEN(0,50)/100)*(dict_DQ_Meth_max[[#This Row],[Vergleich_ub]]-dict_DQ_Meth_max[[#This Row],[Vergleich_lb]])+dict_DQ_Meth_max[[#This Row],[Vergleich_lb]]</f>
        <v>0.81409999999999993</v>
      </c>
      <c r="G674" s="12">
        <f ca="1">(RANDBETWEEN(50,100)/100)*(dict_DQ_Meth_max[[#This Row],[Vergleich_ub]]-dict_DQ_Meth_max[[#This Row],[Vergleich_lb]])+dict_DQ_Meth_max[[#This Row],[Vergleich_lb]]</f>
        <v>4.1495600000000001</v>
      </c>
      <c r="H674" s="11" t="str">
        <f ca="1">VLOOKUP(VLOOKUP(dict_DQ_Meth_max[[#This Row],[ID_DataQualities]],table_DataQualities[],3),table_Units[],2)</f>
        <v>+/- W</v>
      </c>
      <c r="I674" s="10"/>
      <c r="J674" s="10"/>
      <c r="K674" s="10"/>
      <c r="L674" s="10">
        <f ca="1">VLOOKUP(dict_DQ_Meth_max[[#This Row],[ID_DataQualities]],table_DataQualities[],8,FALSE)</f>
        <v>8.8999999999999996E-2</v>
      </c>
      <c r="M674" s="10">
        <f ca="1">VLOOKUP(dict_DQ_Meth_max[[#This Row],[ID_DataQualities]],table_DataQualities[],9,FALSE)</f>
        <v>7.34</v>
      </c>
    </row>
    <row r="675" spans="1:13" x14ac:dyDescent="0.45">
      <c r="A675" s="10">
        <v>179</v>
      </c>
      <c r="B675" s="10">
        <v>177</v>
      </c>
      <c r="C6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5" s="10"/>
      <c r="E675" s="10"/>
      <c r="F675" s="12">
        <f ca="1">(RANDBETWEEN(0,50)/100)*(dict_DQ_Meth_max[[#This Row],[Vergleich_ub]]-dict_DQ_Meth_max[[#This Row],[Vergleich_lb]])+dict_DQ_Meth_max[[#This Row],[Vergleich_lb]]</f>
        <v>0.6690799999999999</v>
      </c>
      <c r="G675" s="12">
        <f ca="1">(RANDBETWEEN(50,100)/100)*(dict_DQ_Meth_max[[#This Row],[Vergleich_ub]]-dict_DQ_Meth_max[[#This Row],[Vergleich_lb]])+dict_DQ_Meth_max[[#This Row],[Vergleich_lb]]</f>
        <v>5.1646999999999998</v>
      </c>
      <c r="H675" s="11" t="str">
        <f ca="1">VLOOKUP(VLOOKUP(dict_DQ_Meth_max[[#This Row],[ID_DataQualities]],table_DataQualities[],3),table_Units[],2)</f>
        <v>+/- W</v>
      </c>
      <c r="I675" s="10"/>
      <c r="J675" s="10"/>
      <c r="K675" s="10"/>
      <c r="L675" s="10">
        <f ca="1">VLOOKUP(dict_DQ_Meth_max[[#This Row],[ID_DataQualities]],table_DataQualities[],8,FALSE)</f>
        <v>8.8999999999999996E-2</v>
      </c>
      <c r="M675" s="10">
        <f ca="1">VLOOKUP(dict_DQ_Meth_max[[#This Row],[ID_DataQualities]],table_DataQualities[],9,FALSE)</f>
        <v>7.34</v>
      </c>
    </row>
    <row r="676" spans="1:13" x14ac:dyDescent="0.45">
      <c r="A676" s="10">
        <v>180</v>
      </c>
      <c r="B676" s="10">
        <v>150</v>
      </c>
      <c r="C6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6" s="10"/>
      <c r="E676" s="10"/>
      <c r="F676" s="12">
        <f ca="1">(RANDBETWEEN(0,50)/100)*(dict_DQ_Meth_max[[#This Row],[Vergleich_ub]]-dict_DQ_Meth_max[[#This Row],[Vergleich_lb]])+dict_DQ_Meth_max[[#This Row],[Vergleich_lb]]</f>
        <v>2864.4495999999995</v>
      </c>
      <c r="G676" s="12">
        <f ca="1">(RANDBETWEEN(50,100)/100)*(dict_DQ_Meth_max[[#This Row],[Vergleich_ub]]-dict_DQ_Meth_max[[#This Row],[Vergleich_lb]])+dict_DQ_Meth_max[[#This Row],[Vergleich_lb]]</f>
        <v>5791.0267999999996</v>
      </c>
      <c r="H676" s="11" t="str">
        <f ca="1">VLOOKUP(VLOOKUP(dict_DQ_Meth_max[[#This Row],[ID_DataQualities]],table_DataQualities[],3),table_Units[],2)</f>
        <v>Hz</v>
      </c>
      <c r="I676" s="10"/>
      <c r="J676" s="10"/>
      <c r="K676" s="10"/>
      <c r="L676" s="10">
        <f ca="1">VLOOKUP(dict_DQ_Meth_max[[#This Row],[ID_DataQualities]],table_DataQualities[],8,FALSE)</f>
        <v>0.14000000000000001</v>
      </c>
      <c r="M676" s="10">
        <f ca="1">VLOOKUP(dict_DQ_Meth_max[[#This Row],[ID_DataQualities]],table_DataQualities[],9,FALSE)</f>
        <v>6226.9</v>
      </c>
    </row>
    <row r="677" spans="1:13" x14ac:dyDescent="0.45">
      <c r="A677" s="10">
        <v>180</v>
      </c>
      <c r="B677" s="10">
        <v>544</v>
      </c>
      <c r="C6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7" s="10"/>
      <c r="E677" s="10"/>
      <c r="F677" s="12">
        <f ca="1">(RANDBETWEEN(0,50)/100)*(dict_DQ_Meth_max[[#This Row],[Vergleich_ub]]-dict_DQ_Meth_max[[#This Row],[Vergleich_lb]])+dict_DQ_Meth_max[[#This Row],[Vergleich_lb]]</f>
        <v>1245.492</v>
      </c>
      <c r="G677" s="12">
        <f ca="1">(RANDBETWEEN(50,100)/100)*(dict_DQ_Meth_max[[#This Row],[Vergleich_ub]]-dict_DQ_Meth_max[[#This Row],[Vergleich_lb]])+dict_DQ_Meth_max[[#This Row],[Vergleich_lb]]</f>
        <v>3424.8579999999997</v>
      </c>
      <c r="H677" s="11" t="str">
        <f ca="1">VLOOKUP(VLOOKUP(dict_DQ_Meth_max[[#This Row],[ID_DataQualities]],table_DataQualities[],3),table_Units[],2)</f>
        <v>Hz</v>
      </c>
      <c r="I677" s="10"/>
      <c r="J677" s="10"/>
      <c r="K677" s="10"/>
      <c r="L677" s="10">
        <f ca="1">VLOOKUP(dict_DQ_Meth_max[[#This Row],[ID_DataQualities]],table_DataQualities[],8,FALSE)</f>
        <v>0.14000000000000001</v>
      </c>
      <c r="M677" s="10">
        <f ca="1">VLOOKUP(dict_DQ_Meth_max[[#This Row],[ID_DataQualities]],table_DataQualities[],9,FALSE)</f>
        <v>6226.9</v>
      </c>
    </row>
    <row r="678" spans="1:13" x14ac:dyDescent="0.45">
      <c r="A678" s="10">
        <v>180</v>
      </c>
      <c r="B678" s="10">
        <v>182</v>
      </c>
      <c r="C6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8" s="10"/>
      <c r="E678" s="10"/>
      <c r="F678" s="12">
        <f ca="1">(RANDBETWEEN(0,50)/100)*(dict_DQ_Meth_max[[#This Row],[Vergleich_ub]]-dict_DQ_Meth_max[[#This Row],[Vergleich_lb]])+dict_DQ_Meth_max[[#This Row],[Vergleich_lb]]</f>
        <v>2677.6467999999995</v>
      </c>
      <c r="G678" s="12">
        <f ca="1">(RANDBETWEEN(50,100)/100)*(dict_DQ_Meth_max[[#This Row],[Vergleich_ub]]-dict_DQ_Meth_max[[#This Row],[Vergleich_lb]])+dict_DQ_Meth_max[[#This Row],[Vergleich_lb]]</f>
        <v>5043.8155999999999</v>
      </c>
      <c r="H678" s="11" t="str">
        <f ca="1">VLOOKUP(VLOOKUP(dict_DQ_Meth_max[[#This Row],[ID_DataQualities]],table_DataQualities[],3),table_Units[],2)</f>
        <v>Hz</v>
      </c>
      <c r="I678" s="10"/>
      <c r="J678" s="10"/>
      <c r="K678" s="10"/>
      <c r="L678" s="10">
        <f ca="1">VLOOKUP(dict_DQ_Meth_max[[#This Row],[ID_DataQualities]],table_DataQualities[],8,FALSE)</f>
        <v>0.14000000000000001</v>
      </c>
      <c r="M678" s="10">
        <f ca="1">VLOOKUP(dict_DQ_Meth_max[[#This Row],[ID_DataQualities]],table_DataQualities[],9,FALSE)</f>
        <v>6226.9</v>
      </c>
    </row>
    <row r="679" spans="1:13" x14ac:dyDescent="0.45">
      <c r="A679" s="10">
        <v>180</v>
      </c>
      <c r="B679" s="10">
        <v>37</v>
      </c>
      <c r="C6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79" s="10"/>
      <c r="E679" s="10"/>
      <c r="F679" s="12">
        <f ca="1">(RANDBETWEEN(0,50)/100)*(dict_DQ_Meth_max[[#This Row],[Vergleich_ub]]-dict_DQ_Meth_max[[#This Row],[Vergleich_lb]])+dict_DQ_Meth_max[[#This Row],[Vergleich_lb]]</f>
        <v>685.08359999999993</v>
      </c>
      <c r="G679" s="12">
        <f ca="1">(RANDBETWEEN(50,100)/100)*(dict_DQ_Meth_max[[#This Row],[Vergleich_ub]]-dict_DQ_Meth_max[[#This Row],[Vergleich_lb]])+dict_DQ_Meth_max[[#This Row],[Vergleich_lb]]</f>
        <v>5355.1535999999996</v>
      </c>
      <c r="H679" s="11" t="str">
        <f ca="1">VLOOKUP(VLOOKUP(dict_DQ_Meth_max[[#This Row],[ID_DataQualities]],table_DataQualities[],3),table_Units[],2)</f>
        <v>Hz</v>
      </c>
      <c r="I679" s="10"/>
      <c r="J679" s="10"/>
      <c r="K679" s="10"/>
      <c r="L679" s="10">
        <f ca="1">VLOOKUP(dict_DQ_Meth_max[[#This Row],[ID_DataQualities]],table_DataQualities[],8,FALSE)</f>
        <v>0.14000000000000001</v>
      </c>
      <c r="M679" s="10">
        <f ca="1">VLOOKUP(dict_DQ_Meth_max[[#This Row],[ID_DataQualities]],table_DataQualities[],9,FALSE)</f>
        <v>6226.9</v>
      </c>
    </row>
    <row r="680" spans="1:13" x14ac:dyDescent="0.45">
      <c r="A680" s="10">
        <v>181</v>
      </c>
      <c r="B680" s="10">
        <v>182</v>
      </c>
      <c r="C6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0" s="10"/>
      <c r="E680" s="10"/>
      <c r="F680" s="12">
        <f ca="1">(RANDBETWEEN(0,50)/100)*(dict_DQ_Meth_max[[#This Row],[Vergleich_ub]]-dict_DQ_Meth_max[[#This Row],[Vergleich_lb]])+dict_DQ_Meth_max[[#This Row],[Vergleich_lb]]</f>
        <v>3.3454299999999999</v>
      </c>
      <c r="G680" s="12">
        <f ca="1">(RANDBETWEEN(50,100)/100)*(dict_DQ_Meth_max[[#This Row],[Vergleich_ub]]-dict_DQ_Meth_max[[#This Row],[Vergleich_lb]])+dict_DQ_Meth_max[[#This Row],[Vergleich_lb]]</f>
        <v>8.136099999999999</v>
      </c>
      <c r="H680" s="11" t="str">
        <f ca="1">VLOOKUP(VLOOKUP(dict_DQ_Meth_max[[#This Row],[ID_DataQualities]],table_DataQualities[],3),table_Units[],2)</f>
        <v>+/- W</v>
      </c>
      <c r="I680" s="10"/>
      <c r="J680" s="10"/>
      <c r="K680" s="10"/>
      <c r="L680" s="10">
        <f ca="1">VLOOKUP(dict_DQ_Meth_max[[#This Row],[ID_DataQualities]],table_DataQualities[],8,FALSE)</f>
        <v>1E-3</v>
      </c>
      <c r="M680" s="10">
        <f ca="1">VLOOKUP(dict_DQ_Meth_max[[#This Row],[ID_DataQualities]],table_DataQualities[],9,FALSE)</f>
        <v>9.0399999999999991</v>
      </c>
    </row>
    <row r="681" spans="1:13" x14ac:dyDescent="0.45">
      <c r="A681" s="10">
        <v>181</v>
      </c>
      <c r="B681" s="10">
        <v>544</v>
      </c>
      <c r="C6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1" s="10"/>
      <c r="E681" s="10"/>
      <c r="F681" s="12">
        <f ca="1">(RANDBETWEEN(0,50)/100)*(dict_DQ_Meth_max[[#This Row],[Vergleich_ub]]-dict_DQ_Meth_max[[#This Row],[Vergleich_lb]])+dict_DQ_Meth_max[[#This Row],[Vergleich_lb]]</f>
        <v>2.98387</v>
      </c>
      <c r="G681" s="12">
        <f ca="1">(RANDBETWEEN(50,100)/100)*(dict_DQ_Meth_max[[#This Row],[Vergleich_ub]]-dict_DQ_Meth_max[[#This Row],[Vergleich_lb]])+dict_DQ_Meth_max[[#This Row],[Vergleich_lb]]</f>
        <v>4.8820600000000001</v>
      </c>
      <c r="H681" s="11" t="str">
        <f ca="1">VLOOKUP(VLOOKUP(dict_DQ_Meth_max[[#This Row],[ID_DataQualities]],table_DataQualities[],3),table_Units[],2)</f>
        <v>+/- W</v>
      </c>
      <c r="I681" s="10"/>
      <c r="J681" s="10"/>
      <c r="K681" s="10"/>
      <c r="L681" s="10">
        <f ca="1">VLOOKUP(dict_DQ_Meth_max[[#This Row],[ID_DataQualities]],table_DataQualities[],8,FALSE)</f>
        <v>1E-3</v>
      </c>
      <c r="M681" s="10">
        <f ca="1">VLOOKUP(dict_DQ_Meth_max[[#This Row],[ID_DataQualities]],table_DataQualities[],9,FALSE)</f>
        <v>9.0399999999999991</v>
      </c>
    </row>
    <row r="682" spans="1:13" x14ac:dyDescent="0.45">
      <c r="A682" s="10">
        <v>181</v>
      </c>
      <c r="B682" s="10">
        <v>150</v>
      </c>
      <c r="C6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2" s="10"/>
      <c r="E682" s="10"/>
      <c r="F682" s="12">
        <f ca="1">(RANDBETWEEN(0,50)/100)*(dict_DQ_Meth_max[[#This Row],[Vergleich_ub]]-dict_DQ_Meth_max[[#This Row],[Vergleich_lb]])+dict_DQ_Meth_max[[#This Row],[Vergleich_lb]]</f>
        <v>4.43011</v>
      </c>
      <c r="G682" s="12">
        <f ca="1">(RANDBETWEEN(50,100)/100)*(dict_DQ_Meth_max[[#This Row],[Vergleich_ub]]-dict_DQ_Meth_max[[#This Row],[Vergleich_lb]])+dict_DQ_Meth_max[[#This Row],[Vergleich_lb]]</f>
        <v>5.1532299999999998</v>
      </c>
      <c r="H682" s="11" t="str">
        <f ca="1">VLOOKUP(VLOOKUP(dict_DQ_Meth_max[[#This Row],[ID_DataQualities]],table_DataQualities[],3),table_Units[],2)</f>
        <v>+/- W</v>
      </c>
      <c r="I682" s="10"/>
      <c r="J682" s="10"/>
      <c r="K682" s="10"/>
      <c r="L682" s="10">
        <f ca="1">VLOOKUP(dict_DQ_Meth_max[[#This Row],[ID_DataQualities]],table_DataQualities[],8,FALSE)</f>
        <v>1E-3</v>
      </c>
      <c r="M682" s="10">
        <f ca="1">VLOOKUP(dict_DQ_Meth_max[[#This Row],[ID_DataQualities]],table_DataQualities[],9,FALSE)</f>
        <v>9.0399999999999991</v>
      </c>
    </row>
    <row r="683" spans="1:13" x14ac:dyDescent="0.45">
      <c r="A683" s="10">
        <v>181</v>
      </c>
      <c r="B683" s="10">
        <v>37</v>
      </c>
      <c r="C6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3" s="10"/>
      <c r="E683" s="10"/>
      <c r="F683" s="12">
        <f ca="1">(RANDBETWEEN(0,50)/100)*(dict_DQ_Meth_max[[#This Row],[Vergleich_ub]]-dict_DQ_Meth_max[[#This Row],[Vergleich_lb]])+dict_DQ_Meth_max[[#This Row],[Vergleich_lb]]</f>
        <v>2.2607499999999998</v>
      </c>
      <c r="G683" s="12">
        <f ca="1">(RANDBETWEEN(50,100)/100)*(dict_DQ_Meth_max[[#This Row],[Vergleich_ub]]-dict_DQ_Meth_max[[#This Row],[Vergleich_lb]])+dict_DQ_Meth_max[[#This Row],[Vergleich_lb]]</f>
        <v>4.8820600000000001</v>
      </c>
      <c r="H683" s="11" t="str">
        <f ca="1">VLOOKUP(VLOOKUP(dict_DQ_Meth_max[[#This Row],[ID_DataQualities]],table_DataQualities[],3),table_Units[],2)</f>
        <v>+/- W</v>
      </c>
      <c r="I683" s="10"/>
      <c r="J683" s="10"/>
      <c r="K683" s="10"/>
      <c r="L683" s="10">
        <f ca="1">VLOOKUP(dict_DQ_Meth_max[[#This Row],[ID_DataQualities]],table_DataQualities[],8,FALSE)</f>
        <v>1E-3</v>
      </c>
      <c r="M683" s="10">
        <f ca="1">VLOOKUP(dict_DQ_Meth_max[[#This Row],[ID_DataQualities]],table_DataQualities[],9,FALSE)</f>
        <v>9.0399999999999991</v>
      </c>
    </row>
    <row r="684" spans="1:13" x14ac:dyDescent="0.45">
      <c r="A684" s="10">
        <v>182</v>
      </c>
      <c r="B684" s="10">
        <v>206</v>
      </c>
      <c r="C6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4" s="10"/>
      <c r="E684" s="10"/>
      <c r="F684" s="12">
        <f ca="1">(RANDBETWEEN(0,50)/100)*(dict_DQ_Meth_max[[#This Row],[Vergleich_ub]]-dict_DQ_Meth_max[[#This Row],[Vergleich_lb]])+dict_DQ_Meth_max[[#This Row],[Vergleich_lb]]</f>
        <v>212.56870999999998</v>
      </c>
      <c r="G684" s="12">
        <f ca="1">(RANDBETWEEN(50,100)/100)*(dict_DQ_Meth_max[[#This Row],[Vergleich_ub]]-dict_DQ_Meth_max[[#This Row],[Vergleich_lb]])+dict_DQ_Meth_max[[#This Row],[Vergleich_lb]]</f>
        <v>1272.5072599999999</v>
      </c>
      <c r="H684" s="11" t="str">
        <f ca="1">VLOOKUP(VLOOKUP(dict_DQ_Meth_max[[#This Row],[ID_DataQualities]],table_DataQualities[],3),table_Units[],2)</f>
        <v>Hz</v>
      </c>
      <c r="I684" s="10"/>
      <c r="J684" s="10"/>
      <c r="K684" s="10"/>
      <c r="L684" s="10">
        <f ca="1">VLOOKUP(dict_DQ_Meth_max[[#This Row],[ID_DataQualities]],table_DataQualities[],8,FALSE)</f>
        <v>0.58099999999999996</v>
      </c>
      <c r="M684" s="10">
        <f ca="1">VLOOKUP(dict_DQ_Meth_max[[#This Row],[ID_DataQualities]],table_DataQualities[],9,FALSE)</f>
        <v>2356</v>
      </c>
    </row>
    <row r="685" spans="1:13" x14ac:dyDescent="0.45">
      <c r="A685" s="10">
        <v>182</v>
      </c>
      <c r="B685" s="10">
        <v>3</v>
      </c>
      <c r="C6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5" s="10"/>
      <c r="E685" s="10"/>
      <c r="F685" s="12">
        <f ca="1">(RANDBETWEEN(0,50)/100)*(dict_DQ_Meth_max[[#This Row],[Vergleich_ub]]-dict_DQ_Meth_max[[#This Row],[Vergleich_lb]])+dict_DQ_Meth_max[[#This Row],[Vergleich_lb]]</f>
        <v>565.88155999999992</v>
      </c>
      <c r="G685" s="12">
        <f ca="1">(RANDBETWEEN(50,100)/100)*(dict_DQ_Meth_max[[#This Row],[Vergleich_ub]]-dict_DQ_Meth_max[[#This Row],[Vergleich_lb]])+dict_DQ_Meth_max[[#This Row],[Vergleich_lb]]</f>
        <v>1296.0614499999999</v>
      </c>
      <c r="H685" s="11" t="str">
        <f ca="1">VLOOKUP(VLOOKUP(dict_DQ_Meth_max[[#This Row],[ID_DataQualities]],table_DataQualities[],3),table_Units[],2)</f>
        <v>Hz</v>
      </c>
      <c r="I685" s="10"/>
      <c r="J685" s="10"/>
      <c r="K685" s="10"/>
      <c r="L685" s="10">
        <f ca="1">VLOOKUP(dict_DQ_Meth_max[[#This Row],[ID_DataQualities]],table_DataQualities[],8,FALSE)</f>
        <v>0.58099999999999996</v>
      </c>
      <c r="M685" s="10">
        <f ca="1">VLOOKUP(dict_DQ_Meth_max[[#This Row],[ID_DataQualities]],table_DataQualities[],9,FALSE)</f>
        <v>2356</v>
      </c>
    </row>
    <row r="686" spans="1:13" x14ac:dyDescent="0.45">
      <c r="A686" s="10">
        <v>182</v>
      </c>
      <c r="B686" s="10">
        <v>476</v>
      </c>
      <c r="C6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6" s="10"/>
      <c r="E686" s="10"/>
      <c r="F686" s="12">
        <f ca="1">(RANDBETWEEN(0,50)/100)*(dict_DQ_Meth_max[[#This Row],[Vergleich_ub]]-dict_DQ_Meth_max[[#This Row],[Vergleich_lb]])+dict_DQ_Meth_max[[#This Row],[Vergleich_lb]]</f>
        <v>636.54413</v>
      </c>
      <c r="G686" s="12">
        <f ca="1">(RANDBETWEEN(50,100)/100)*(dict_DQ_Meth_max[[#This Row],[Vergleich_ub]]-dict_DQ_Meth_max[[#This Row],[Vergleich_lb]])+dict_DQ_Meth_max[[#This Row],[Vergleich_lb]]</f>
        <v>1837.8078199999998</v>
      </c>
      <c r="H686" s="11" t="str">
        <f ca="1">VLOOKUP(VLOOKUP(dict_DQ_Meth_max[[#This Row],[ID_DataQualities]],table_DataQualities[],3),table_Units[],2)</f>
        <v>Hz</v>
      </c>
      <c r="I686" s="10"/>
      <c r="J686" s="10"/>
      <c r="K686" s="10"/>
      <c r="L686" s="10">
        <f ca="1">VLOOKUP(dict_DQ_Meth_max[[#This Row],[ID_DataQualities]],table_DataQualities[],8,FALSE)</f>
        <v>0.58099999999999996</v>
      </c>
      <c r="M686" s="10">
        <f ca="1">VLOOKUP(dict_DQ_Meth_max[[#This Row],[ID_DataQualities]],table_DataQualities[],9,FALSE)</f>
        <v>2356</v>
      </c>
    </row>
    <row r="687" spans="1:13" x14ac:dyDescent="0.45">
      <c r="A687" s="10">
        <v>183</v>
      </c>
      <c r="B687" s="10">
        <v>3</v>
      </c>
      <c r="C6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7" s="10"/>
      <c r="E687" s="10"/>
      <c r="F687" s="12">
        <f ca="1">(RANDBETWEEN(0,50)/100)*(dict_DQ_Meth_max[[#This Row],[Vergleich_ub]]-dict_DQ_Meth_max[[#This Row],[Vergleich_lb]])+dict_DQ_Meth_max[[#This Row],[Vergleich_lb]]</f>
        <v>2.3278599999999998</v>
      </c>
      <c r="G687" s="12">
        <f ca="1">(RANDBETWEEN(50,100)/100)*(dict_DQ_Meth_max[[#This Row],[Vergleich_ub]]-dict_DQ_Meth_max[[#This Row],[Vergleich_lb]])+dict_DQ_Meth_max[[#This Row],[Vergleich_lb]]</f>
        <v>5.65374</v>
      </c>
      <c r="H687" s="11" t="str">
        <f ca="1">VLOOKUP(VLOOKUP(dict_DQ_Meth_max[[#This Row],[ID_DataQualities]],table_DataQualities[],3),table_Units[],2)</f>
        <v>+/- mm</v>
      </c>
      <c r="I687" s="10"/>
      <c r="J687" s="10"/>
      <c r="K687" s="10"/>
      <c r="L687" s="10">
        <f ca="1">VLOOKUP(dict_DQ_Meth_max[[#This Row],[ID_DataQualities]],table_DataQualities[],8,FALSE)</f>
        <v>7.8E-2</v>
      </c>
      <c r="M687" s="10">
        <f ca="1">VLOOKUP(dict_DQ_Meth_max[[#This Row],[ID_DataQualities]],table_DataQualities[],9,FALSE)</f>
        <v>9.86</v>
      </c>
    </row>
    <row r="688" spans="1:13" x14ac:dyDescent="0.45">
      <c r="A688" s="10">
        <v>183</v>
      </c>
      <c r="B688" s="10">
        <v>476</v>
      </c>
      <c r="C6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8" s="10"/>
      <c r="E688" s="10"/>
      <c r="F688" s="12">
        <f ca="1">(RANDBETWEEN(0,50)/100)*(dict_DQ_Meth_max[[#This Row],[Vergleich_ub]]-dict_DQ_Meth_max[[#This Row],[Vergleich_lb]])+dict_DQ_Meth_max[[#This Row],[Vergleich_lb]]</f>
        <v>4.7733600000000003</v>
      </c>
      <c r="G688" s="12">
        <f ca="1">(RANDBETWEEN(50,100)/100)*(dict_DQ_Meth_max[[#This Row],[Vergleich_ub]]-dict_DQ_Meth_max[[#This Row],[Vergleich_lb]])+dict_DQ_Meth_max[[#This Row],[Vergleich_lb]]</f>
        <v>9.2730799999999984</v>
      </c>
      <c r="H688" s="11" t="str">
        <f ca="1">VLOOKUP(VLOOKUP(dict_DQ_Meth_max[[#This Row],[ID_DataQualities]],table_DataQualities[],3),table_Units[],2)</f>
        <v>+/- mm</v>
      </c>
      <c r="I688" s="10"/>
      <c r="J688" s="10"/>
      <c r="K688" s="10"/>
      <c r="L688" s="10">
        <f ca="1">VLOOKUP(dict_DQ_Meth_max[[#This Row],[ID_DataQualities]],table_DataQualities[],8,FALSE)</f>
        <v>7.8E-2</v>
      </c>
      <c r="M688" s="10">
        <f ca="1">VLOOKUP(dict_DQ_Meth_max[[#This Row],[ID_DataQualities]],table_DataQualities[],9,FALSE)</f>
        <v>9.86</v>
      </c>
    </row>
    <row r="689" spans="1:13" x14ac:dyDescent="0.45">
      <c r="A689" s="10">
        <v>183</v>
      </c>
      <c r="B689" s="10">
        <v>206</v>
      </c>
      <c r="C6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89" s="10"/>
      <c r="E689" s="10"/>
      <c r="F689" s="12">
        <f ca="1">(RANDBETWEEN(0,50)/100)*(dict_DQ_Meth_max[[#This Row],[Vergleich_ub]]-dict_DQ_Meth_max[[#This Row],[Vergleich_lb]])+dict_DQ_Meth_max[[#This Row],[Vergleich_lb]]</f>
        <v>1.0562</v>
      </c>
      <c r="G689" s="12">
        <f ca="1">(RANDBETWEEN(50,100)/100)*(dict_DQ_Meth_max[[#This Row],[Vergleich_ub]]-dict_DQ_Meth_max[[#This Row],[Vergleich_lb]])+dict_DQ_Meth_max[[#This Row],[Vergleich_lb]]</f>
        <v>7.1210399999999998</v>
      </c>
      <c r="H689" s="11" t="str">
        <f ca="1">VLOOKUP(VLOOKUP(dict_DQ_Meth_max[[#This Row],[ID_DataQualities]],table_DataQualities[],3),table_Units[],2)</f>
        <v>+/- mm</v>
      </c>
      <c r="I689" s="10"/>
      <c r="J689" s="10"/>
      <c r="K689" s="10"/>
      <c r="L689" s="10">
        <f ca="1">VLOOKUP(dict_DQ_Meth_max[[#This Row],[ID_DataQualities]],table_DataQualities[],8,FALSE)</f>
        <v>7.8E-2</v>
      </c>
      <c r="M689" s="10">
        <f ca="1">VLOOKUP(dict_DQ_Meth_max[[#This Row],[ID_DataQualities]],table_DataQualities[],9,FALSE)</f>
        <v>9.86</v>
      </c>
    </row>
    <row r="690" spans="1:13" x14ac:dyDescent="0.45">
      <c r="A690" s="10">
        <v>184</v>
      </c>
      <c r="B690" s="10">
        <v>528</v>
      </c>
      <c r="C6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0" s="10"/>
      <c r="E690" s="10"/>
      <c r="F690" s="12">
        <f ca="1">(RANDBETWEEN(0,50)/100)*(dict_DQ_Meth_max[[#This Row],[Vergleich_ub]]-dict_DQ_Meth_max[[#This Row],[Vergleich_lb]])+dict_DQ_Meth_max[[#This Row],[Vergleich_lb]]</f>
        <v>555.77736000000004</v>
      </c>
      <c r="G690" s="12">
        <f ca="1">(RANDBETWEEN(50,100)/100)*(dict_DQ_Meth_max[[#This Row],[Vergleich_ub]]-dict_DQ_Meth_max[[#This Row],[Vergleich_lb]])+dict_DQ_Meth_max[[#This Row],[Vergleich_lb]]</f>
        <v>1289.51955</v>
      </c>
      <c r="H690" s="11" t="str">
        <f ca="1">VLOOKUP(VLOOKUP(dict_DQ_Meth_max[[#This Row],[ID_DataQualities]],table_DataQualities[],3),table_Units[],2)</f>
        <v>Hz</v>
      </c>
      <c r="I690" s="10"/>
      <c r="J690" s="10"/>
      <c r="K690" s="10"/>
      <c r="L690" s="10">
        <f ca="1">VLOOKUP(dict_DQ_Meth_max[[#This Row],[ID_DataQualities]],table_DataQualities[],8,FALSE)</f>
        <v>0.51300000000000001</v>
      </c>
      <c r="M690" s="10">
        <f ca="1">VLOOKUP(dict_DQ_Meth_max[[#This Row],[ID_DataQualities]],table_DataQualities[],9,FALSE)</f>
        <v>1983.6</v>
      </c>
    </row>
    <row r="691" spans="1:13" x14ac:dyDescent="0.45">
      <c r="A691" s="10">
        <v>184</v>
      </c>
      <c r="B691" s="10">
        <v>20</v>
      </c>
      <c r="C6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1" s="10"/>
      <c r="E691" s="10"/>
      <c r="F691" s="12">
        <f ca="1">(RANDBETWEEN(0,50)/100)*(dict_DQ_Meth_max[[#This Row],[Vergleich_ub]]-dict_DQ_Meth_max[[#This Row],[Vergleich_lb]])+dict_DQ_Meth_max[[#This Row],[Vergleich_lb]]</f>
        <v>773.91693000000009</v>
      </c>
      <c r="G691" s="12">
        <f ca="1">(RANDBETWEEN(50,100)/100)*(dict_DQ_Meth_max[[#This Row],[Vergleich_ub]]-dict_DQ_Meth_max[[#This Row],[Vergleich_lb]])+dict_DQ_Meth_max[[#This Row],[Vergleich_lb]]</f>
        <v>1487.82825</v>
      </c>
      <c r="H691" s="11" t="str">
        <f ca="1">VLOOKUP(VLOOKUP(dict_DQ_Meth_max[[#This Row],[ID_DataQualities]],table_DataQualities[],3),table_Units[],2)</f>
        <v>Hz</v>
      </c>
      <c r="I691" s="10"/>
      <c r="J691" s="10"/>
      <c r="K691" s="10"/>
      <c r="L691" s="10">
        <f ca="1">VLOOKUP(dict_DQ_Meth_max[[#This Row],[ID_DataQualities]],table_DataQualities[],8,FALSE)</f>
        <v>0.51300000000000001</v>
      </c>
      <c r="M691" s="10">
        <f ca="1">VLOOKUP(dict_DQ_Meth_max[[#This Row],[ID_DataQualities]],table_DataQualities[],9,FALSE)</f>
        <v>1983.6</v>
      </c>
    </row>
    <row r="692" spans="1:13" x14ac:dyDescent="0.45">
      <c r="A692" s="10">
        <v>184</v>
      </c>
      <c r="B692" s="10">
        <v>351</v>
      </c>
      <c r="C6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2" s="10"/>
      <c r="E692" s="10"/>
      <c r="F692" s="12">
        <f ca="1">(RANDBETWEEN(0,50)/100)*(dict_DQ_Meth_max[[#This Row],[Vergleich_ub]]-dict_DQ_Meth_max[[#This Row],[Vergleich_lb]])+dict_DQ_Meth_max[[#This Row],[Vergleich_lb]]</f>
        <v>892.90215000000001</v>
      </c>
      <c r="G692" s="12">
        <f ca="1">(RANDBETWEEN(50,100)/100)*(dict_DQ_Meth_max[[#This Row],[Vergleich_ub]]-dict_DQ_Meth_max[[#This Row],[Vergleich_lb]])+dict_DQ_Meth_max[[#This Row],[Vergleich_lb]]</f>
        <v>1170.53433</v>
      </c>
      <c r="H692" s="11" t="str">
        <f ca="1">VLOOKUP(VLOOKUP(dict_DQ_Meth_max[[#This Row],[ID_DataQualities]],table_DataQualities[],3),table_Units[],2)</f>
        <v>Hz</v>
      </c>
      <c r="I692" s="10"/>
      <c r="J692" s="10"/>
      <c r="K692" s="10"/>
      <c r="L692" s="10">
        <f ca="1">VLOOKUP(dict_DQ_Meth_max[[#This Row],[ID_DataQualities]],table_DataQualities[],8,FALSE)</f>
        <v>0.51300000000000001</v>
      </c>
      <c r="M692" s="10">
        <f ca="1">VLOOKUP(dict_DQ_Meth_max[[#This Row],[ID_DataQualities]],table_DataQualities[],9,FALSE)</f>
        <v>1983.6</v>
      </c>
    </row>
    <row r="693" spans="1:13" x14ac:dyDescent="0.45">
      <c r="A693" s="10">
        <v>185</v>
      </c>
      <c r="B693" s="10">
        <v>528</v>
      </c>
      <c r="C6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3" s="10"/>
      <c r="E693" s="10"/>
      <c r="F693" s="12">
        <f ca="1">(RANDBETWEEN(0,50)/100)*(dict_DQ_Meth_max[[#This Row],[Vergleich_ub]]-dict_DQ_Meth_max[[#This Row],[Vergleich_lb]])+dict_DQ_Meth_max[[#This Row],[Vergleich_lb]]</f>
        <v>0.17551999999999998</v>
      </c>
      <c r="G693" s="12">
        <f ca="1">(RANDBETWEEN(50,100)/100)*(dict_DQ_Meth_max[[#This Row],[Vergleich_ub]]-dict_DQ_Meth_max[[#This Row],[Vergleich_lb]])+dict_DQ_Meth_max[[#This Row],[Vergleich_lb]]</f>
        <v>5.2793599999999996</v>
      </c>
      <c r="H693" s="11" t="str">
        <f ca="1">VLOOKUP(VLOOKUP(dict_DQ_Meth_max[[#This Row],[ID_DataQualities]],table_DataQualities[],3),table_Units[],2)</f>
        <v>+/- mm</v>
      </c>
      <c r="I693" s="10"/>
      <c r="J693" s="10"/>
      <c r="K693" s="10"/>
      <c r="L693" s="10">
        <f ca="1">VLOOKUP(dict_DQ_Meth_max[[#This Row],[ID_DataQualities]],table_DataQualities[],8,FALSE)</f>
        <v>5.3999999999999999E-2</v>
      </c>
      <c r="M693" s="10">
        <f ca="1">VLOOKUP(dict_DQ_Meth_max[[#This Row],[ID_DataQualities]],table_DataQualities[],9,FALSE)</f>
        <v>6.13</v>
      </c>
    </row>
    <row r="694" spans="1:13" x14ac:dyDescent="0.45">
      <c r="A694" s="10">
        <v>185</v>
      </c>
      <c r="B694" s="10">
        <v>351</v>
      </c>
      <c r="C6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4" s="10"/>
      <c r="E694" s="10"/>
      <c r="F694" s="12">
        <f ca="1">(RANDBETWEEN(0,50)/100)*(dict_DQ_Meth_max[[#This Row],[Vergleich_ub]]-dict_DQ_Meth_max[[#This Row],[Vergleich_lb]])+dict_DQ_Meth_max[[#This Row],[Vergleich_lb]]</f>
        <v>0.41855999999999993</v>
      </c>
      <c r="G694" s="12">
        <f ca="1">(RANDBETWEEN(50,100)/100)*(dict_DQ_Meth_max[[#This Row],[Vergleich_ub]]-dict_DQ_Meth_max[[#This Row],[Vergleich_lb]])+dict_DQ_Meth_max[[#This Row],[Vergleich_lb]]</f>
        <v>4.9755600000000006</v>
      </c>
      <c r="H694" s="11" t="str">
        <f ca="1">VLOOKUP(VLOOKUP(dict_DQ_Meth_max[[#This Row],[ID_DataQualities]],table_DataQualities[],3),table_Units[],2)</f>
        <v>+/- mm</v>
      </c>
      <c r="I694" s="10"/>
      <c r="J694" s="10"/>
      <c r="K694" s="10"/>
      <c r="L694" s="10">
        <f ca="1">VLOOKUP(dict_DQ_Meth_max[[#This Row],[ID_DataQualities]],table_DataQualities[],8,FALSE)</f>
        <v>5.3999999999999999E-2</v>
      </c>
      <c r="M694" s="10">
        <f ca="1">VLOOKUP(dict_DQ_Meth_max[[#This Row],[ID_DataQualities]],table_DataQualities[],9,FALSE)</f>
        <v>6.13</v>
      </c>
    </row>
    <row r="695" spans="1:13" x14ac:dyDescent="0.45">
      <c r="A695" s="10">
        <v>185</v>
      </c>
      <c r="B695" s="10">
        <v>20</v>
      </c>
      <c r="C6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5" s="10"/>
      <c r="E695" s="10"/>
      <c r="F695" s="12">
        <f ca="1">(RANDBETWEEN(0,50)/100)*(dict_DQ_Meth_max[[#This Row],[Vergleich_ub]]-dict_DQ_Meth_max[[#This Row],[Vergleich_lb]])+dict_DQ_Meth_max[[#This Row],[Vergleich_lb]]</f>
        <v>2.0590799999999998</v>
      </c>
      <c r="G695" s="12">
        <f ca="1">(RANDBETWEEN(50,100)/100)*(dict_DQ_Meth_max[[#This Row],[Vergleich_ub]]-dict_DQ_Meth_max[[#This Row],[Vergleich_lb]])+dict_DQ_Meth_max[[#This Row],[Vergleich_lb]]</f>
        <v>3.2742799999999996</v>
      </c>
      <c r="H695" s="11" t="str">
        <f ca="1">VLOOKUP(VLOOKUP(dict_DQ_Meth_max[[#This Row],[ID_DataQualities]],table_DataQualities[],3),table_Units[],2)</f>
        <v>+/- mm</v>
      </c>
      <c r="I695" s="10"/>
      <c r="J695" s="10"/>
      <c r="K695" s="10"/>
      <c r="L695" s="10">
        <f ca="1">VLOOKUP(dict_DQ_Meth_max[[#This Row],[ID_DataQualities]],table_DataQualities[],8,FALSE)</f>
        <v>5.3999999999999999E-2</v>
      </c>
      <c r="M695" s="10">
        <f ca="1">VLOOKUP(dict_DQ_Meth_max[[#This Row],[ID_DataQualities]],table_DataQualities[],9,FALSE)</f>
        <v>6.13</v>
      </c>
    </row>
    <row r="696" spans="1:13" x14ac:dyDescent="0.45">
      <c r="A696" s="10">
        <v>186</v>
      </c>
      <c r="B696" s="10">
        <v>52</v>
      </c>
      <c r="C6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6" s="10"/>
      <c r="E696" s="10"/>
      <c r="F696" s="12">
        <f ca="1">(RANDBETWEEN(0,50)/100)*(dict_DQ_Meth_max[[#This Row],[Vergleich_ub]]-dict_DQ_Meth_max[[#This Row],[Vergleich_lb]])+dict_DQ_Meth_max[[#This Row],[Vergleich_lb]]</f>
        <v>196.01700000000002</v>
      </c>
      <c r="G696" s="12">
        <f ca="1">(RANDBETWEEN(50,100)/100)*(dict_DQ_Meth_max[[#This Row],[Vergleich_ub]]-dict_DQ_Meth_max[[#This Row],[Vergleich_lb]])+dict_DQ_Meth_max[[#This Row],[Vergleich_lb]]</f>
        <v>1904.3845000000001</v>
      </c>
      <c r="H696" s="11" t="str">
        <f ca="1">VLOOKUP(VLOOKUP(dict_DQ_Meth_max[[#This Row],[ID_DataQualities]],table_DataQualities[],3),table_Units[],2)</f>
        <v>Hz</v>
      </c>
      <c r="I696" s="10"/>
      <c r="J696" s="10"/>
      <c r="K696" s="10"/>
      <c r="L696" s="10">
        <f ca="1">VLOOKUP(dict_DQ_Meth_max[[#This Row],[ID_DataQualities]],table_DataQualities[],8,FALSE)</f>
        <v>0.77500000000000002</v>
      </c>
      <c r="M696" s="10">
        <f ca="1">VLOOKUP(dict_DQ_Meth_max[[#This Row],[ID_DataQualities]],table_DataQualities[],9,FALSE)</f>
        <v>2441.3000000000002</v>
      </c>
    </row>
    <row r="697" spans="1:13" x14ac:dyDescent="0.45">
      <c r="A697" s="10">
        <v>186</v>
      </c>
      <c r="B697" s="10">
        <v>377</v>
      </c>
      <c r="C6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7" s="10"/>
      <c r="E697" s="10"/>
      <c r="F697" s="12">
        <f ca="1">(RANDBETWEEN(0,50)/100)*(dict_DQ_Meth_max[[#This Row],[Vergleich_ub]]-dict_DQ_Meth_max[[#This Row],[Vergleich_lb]])+dict_DQ_Meth_max[[#This Row],[Vergleich_lb]]</f>
        <v>415.66425000000004</v>
      </c>
      <c r="G697" s="12">
        <f ca="1">(RANDBETWEEN(50,100)/100)*(dict_DQ_Meth_max[[#This Row],[Vergleich_ub]]-dict_DQ_Meth_max[[#This Row],[Vergleich_lb]])+dict_DQ_Meth_max[[#This Row],[Vergleich_lb]]</f>
        <v>2270.4632500000002</v>
      </c>
      <c r="H697" s="11" t="str">
        <f ca="1">VLOOKUP(VLOOKUP(dict_DQ_Meth_max[[#This Row],[ID_DataQualities]],table_DataQualities[],3),table_Units[],2)</f>
        <v>Hz</v>
      </c>
      <c r="I697" s="10"/>
      <c r="J697" s="10"/>
      <c r="K697" s="10"/>
      <c r="L697" s="10">
        <f ca="1">VLOOKUP(dict_DQ_Meth_max[[#This Row],[ID_DataQualities]],table_DataQualities[],8,FALSE)</f>
        <v>0.77500000000000002</v>
      </c>
      <c r="M697" s="10">
        <f ca="1">VLOOKUP(dict_DQ_Meth_max[[#This Row],[ID_DataQualities]],table_DataQualities[],9,FALSE)</f>
        <v>2441.3000000000002</v>
      </c>
    </row>
    <row r="698" spans="1:13" x14ac:dyDescent="0.45">
      <c r="A698" s="10">
        <v>186</v>
      </c>
      <c r="B698" s="10">
        <v>290</v>
      </c>
      <c r="C6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8" s="10"/>
      <c r="E698" s="10"/>
      <c r="F698" s="12">
        <f ca="1">(RANDBETWEEN(0,50)/100)*(dict_DQ_Meth_max[[#This Row],[Vergleich_ub]]-dict_DQ_Meth_max[[#This Row],[Vergleich_lb]])+dict_DQ_Meth_max[[#This Row],[Vergleich_lb]]</f>
        <v>537.69050000000004</v>
      </c>
      <c r="G698" s="12">
        <f ca="1">(RANDBETWEEN(50,100)/100)*(dict_DQ_Meth_max[[#This Row],[Vergleich_ub]]-dict_DQ_Meth_max[[#This Row],[Vergleich_lb]])+dict_DQ_Meth_max[[#This Row],[Vergleich_lb]]</f>
        <v>2172.8422500000001</v>
      </c>
      <c r="H698" s="11" t="str">
        <f ca="1">VLOOKUP(VLOOKUP(dict_DQ_Meth_max[[#This Row],[ID_DataQualities]],table_DataQualities[],3),table_Units[],2)</f>
        <v>Hz</v>
      </c>
      <c r="I698" s="10"/>
      <c r="J698" s="10"/>
      <c r="K698" s="10"/>
      <c r="L698" s="10">
        <f ca="1">VLOOKUP(dict_DQ_Meth_max[[#This Row],[ID_DataQualities]],table_DataQualities[],8,FALSE)</f>
        <v>0.77500000000000002</v>
      </c>
      <c r="M698" s="10">
        <f ca="1">VLOOKUP(dict_DQ_Meth_max[[#This Row],[ID_DataQualities]],table_DataQualities[],9,FALSE)</f>
        <v>2441.3000000000002</v>
      </c>
    </row>
    <row r="699" spans="1:13" x14ac:dyDescent="0.45">
      <c r="A699" s="10">
        <v>186</v>
      </c>
      <c r="B699" s="10">
        <v>221</v>
      </c>
      <c r="C6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699" s="10"/>
      <c r="E699" s="10"/>
      <c r="F699" s="12">
        <f ca="1">(RANDBETWEEN(0,50)/100)*(dict_DQ_Meth_max[[#This Row],[Vergleich_ub]]-dict_DQ_Meth_max[[#This Row],[Vergleich_lb]])+dict_DQ_Meth_max[[#This Row],[Vergleich_lb]]</f>
        <v>366.85374999999999</v>
      </c>
      <c r="G699" s="12">
        <f ca="1">(RANDBETWEEN(50,100)/100)*(dict_DQ_Meth_max[[#This Row],[Vergleich_ub]]-dict_DQ_Meth_max[[#This Row],[Vergleich_lb]])+dict_DQ_Meth_max[[#This Row],[Vergleich_lb]]</f>
        <v>2368.0842500000003</v>
      </c>
      <c r="H699" s="11" t="str">
        <f ca="1">VLOOKUP(VLOOKUP(dict_DQ_Meth_max[[#This Row],[ID_DataQualities]],table_DataQualities[],3),table_Units[],2)</f>
        <v>Hz</v>
      </c>
      <c r="I699" s="10"/>
      <c r="J699" s="10"/>
      <c r="K699" s="10"/>
      <c r="L699" s="10">
        <f ca="1">VLOOKUP(dict_DQ_Meth_max[[#This Row],[ID_DataQualities]],table_DataQualities[],8,FALSE)</f>
        <v>0.77500000000000002</v>
      </c>
      <c r="M699" s="10">
        <f ca="1">VLOOKUP(dict_DQ_Meth_max[[#This Row],[ID_DataQualities]],table_DataQualities[],9,FALSE)</f>
        <v>2441.3000000000002</v>
      </c>
    </row>
    <row r="700" spans="1:13" x14ac:dyDescent="0.45">
      <c r="A700" s="10">
        <v>186</v>
      </c>
      <c r="B700" s="10">
        <v>25</v>
      </c>
      <c r="C7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0" s="10"/>
      <c r="E700" s="10"/>
      <c r="F700" s="12">
        <f ca="1">(RANDBETWEEN(0,50)/100)*(dict_DQ_Meth_max[[#This Row],[Vergleich_ub]]-dict_DQ_Meth_max[[#This Row],[Vergleich_lb]])+dict_DQ_Meth_max[[#This Row],[Vergleich_lb]]</f>
        <v>854.95875000000001</v>
      </c>
      <c r="G700" s="12">
        <f ca="1">(RANDBETWEEN(50,100)/100)*(dict_DQ_Meth_max[[#This Row],[Vergleich_ub]]-dict_DQ_Meth_max[[#This Row],[Vergleich_lb]])+dict_DQ_Meth_max[[#This Row],[Vergleich_lb]]</f>
        <v>2416.8947500000004</v>
      </c>
      <c r="H700" s="11" t="str">
        <f ca="1">VLOOKUP(VLOOKUP(dict_DQ_Meth_max[[#This Row],[ID_DataQualities]],table_DataQualities[],3),table_Units[],2)</f>
        <v>Hz</v>
      </c>
      <c r="I700" s="10"/>
      <c r="J700" s="10"/>
      <c r="K700" s="10"/>
      <c r="L700" s="10">
        <f ca="1">VLOOKUP(dict_DQ_Meth_max[[#This Row],[ID_DataQualities]],table_DataQualities[],8,FALSE)</f>
        <v>0.77500000000000002</v>
      </c>
      <c r="M700" s="10">
        <f ca="1">VLOOKUP(dict_DQ_Meth_max[[#This Row],[ID_DataQualities]],table_DataQualities[],9,FALSE)</f>
        <v>2441.3000000000002</v>
      </c>
    </row>
    <row r="701" spans="1:13" x14ac:dyDescent="0.45">
      <c r="A701" s="10">
        <v>187</v>
      </c>
      <c r="B701" s="10">
        <v>377</v>
      </c>
      <c r="C7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1" s="10"/>
      <c r="E701" s="10"/>
      <c r="F701" s="12">
        <f ca="1">(RANDBETWEEN(0,50)/100)*(dict_DQ_Meth_max[[#This Row],[Vergleich_ub]]-dict_DQ_Meth_max[[#This Row],[Vergleich_lb]])+dict_DQ_Meth_max[[#This Row],[Vergleich_lb]]</f>
        <v>1.1973200000000002</v>
      </c>
      <c r="G701" s="12">
        <f ca="1">(RANDBETWEEN(50,100)/100)*(dict_DQ_Meth_max[[#This Row],[Vergleich_ub]]-dict_DQ_Meth_max[[#This Row],[Vergleich_lb]])+dict_DQ_Meth_max[[#This Row],[Vergleich_lb]]</f>
        <v>2.5718000000000001</v>
      </c>
      <c r="H701" s="11" t="str">
        <f ca="1">VLOOKUP(VLOOKUP(dict_DQ_Meth_max[[#This Row],[ID_DataQualities]],table_DataQualities[],3),table_Units[],2)</f>
        <v>+/- mm</v>
      </c>
      <c r="I701" s="10"/>
      <c r="J701" s="10"/>
      <c r="K701" s="10"/>
      <c r="L701" s="10">
        <f ca="1">VLOOKUP(dict_DQ_Meth_max[[#This Row],[ID_DataQualities]],table_DataQualities[],8,FALSE)</f>
        <v>3.2000000000000001E-2</v>
      </c>
      <c r="M701" s="10">
        <f ca="1">VLOOKUP(dict_DQ_Meth_max[[#This Row],[ID_DataQualities]],table_DataQualities[],9,FALSE)</f>
        <v>3.02</v>
      </c>
    </row>
    <row r="702" spans="1:13" x14ac:dyDescent="0.45">
      <c r="A702" s="10">
        <v>187</v>
      </c>
      <c r="B702" s="10">
        <v>290</v>
      </c>
      <c r="C7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2" s="10"/>
      <c r="E702" s="10"/>
      <c r="F702" s="12">
        <f ca="1">(RANDBETWEEN(0,50)/100)*(dict_DQ_Meth_max[[#This Row],[Vergleich_ub]]-dict_DQ_Meth_max[[#This Row],[Vergleich_lb]])+dict_DQ_Meth_max[[#This Row],[Vergleich_lb]]</f>
        <v>1.2869599999999999</v>
      </c>
      <c r="G702" s="12">
        <f ca="1">(RANDBETWEEN(50,100)/100)*(dict_DQ_Meth_max[[#This Row],[Vergleich_ub]]-dict_DQ_Meth_max[[#This Row],[Vergleich_lb]])+dict_DQ_Meth_max[[#This Row],[Vergleich_lb]]</f>
        <v>1.8546799999999999</v>
      </c>
      <c r="H702" s="11" t="str">
        <f ca="1">VLOOKUP(VLOOKUP(dict_DQ_Meth_max[[#This Row],[ID_DataQualities]],table_DataQualities[],3),table_Units[],2)</f>
        <v>+/- mm</v>
      </c>
      <c r="I702" s="10"/>
      <c r="J702" s="10"/>
      <c r="K702" s="10"/>
      <c r="L702" s="10">
        <f ca="1">VLOOKUP(dict_DQ_Meth_max[[#This Row],[ID_DataQualities]],table_DataQualities[],8,FALSE)</f>
        <v>3.2000000000000001E-2</v>
      </c>
      <c r="M702" s="10">
        <f ca="1">VLOOKUP(dict_DQ_Meth_max[[#This Row],[ID_DataQualities]],table_DataQualities[],9,FALSE)</f>
        <v>3.02</v>
      </c>
    </row>
    <row r="703" spans="1:13" x14ac:dyDescent="0.45">
      <c r="A703" s="10">
        <v>187</v>
      </c>
      <c r="B703" s="10">
        <v>52</v>
      </c>
      <c r="C7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3" s="10"/>
      <c r="E703" s="10"/>
      <c r="F703" s="12">
        <f ca="1">(RANDBETWEEN(0,50)/100)*(dict_DQ_Meth_max[[#This Row],[Vergleich_ub]]-dict_DQ_Meth_max[[#This Row],[Vergleich_lb]])+dict_DQ_Meth_max[[#This Row],[Vergleich_lb]]</f>
        <v>1.0777999999999999</v>
      </c>
      <c r="G703" s="12">
        <f ca="1">(RANDBETWEEN(50,100)/100)*(dict_DQ_Meth_max[[#This Row],[Vergleich_ub]]-dict_DQ_Meth_max[[#This Row],[Vergleich_lb]])+dict_DQ_Meth_max[[#This Row],[Vergleich_lb]]</f>
        <v>1.7351599999999998</v>
      </c>
      <c r="H703" s="11" t="str">
        <f ca="1">VLOOKUP(VLOOKUP(dict_DQ_Meth_max[[#This Row],[ID_DataQualities]],table_DataQualities[],3),table_Units[],2)</f>
        <v>+/- mm</v>
      </c>
      <c r="I703" s="10"/>
      <c r="J703" s="10"/>
      <c r="K703" s="10"/>
      <c r="L703" s="10">
        <f ca="1">VLOOKUP(dict_DQ_Meth_max[[#This Row],[ID_DataQualities]],table_DataQualities[],8,FALSE)</f>
        <v>3.2000000000000001E-2</v>
      </c>
      <c r="M703" s="10">
        <f ca="1">VLOOKUP(dict_DQ_Meth_max[[#This Row],[ID_DataQualities]],table_DataQualities[],9,FALSE)</f>
        <v>3.02</v>
      </c>
    </row>
    <row r="704" spans="1:13" x14ac:dyDescent="0.45">
      <c r="A704" s="10">
        <v>187</v>
      </c>
      <c r="B704" s="10">
        <v>221</v>
      </c>
      <c r="C7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4" s="10"/>
      <c r="E704" s="10"/>
      <c r="F704" s="12">
        <f ca="1">(RANDBETWEEN(0,50)/100)*(dict_DQ_Meth_max[[#This Row],[Vergleich_ub]]-dict_DQ_Meth_max[[#This Row],[Vergleich_lb]])+dict_DQ_Meth_max[[#This Row],[Vergleich_lb]]</f>
        <v>1.0777999999999999</v>
      </c>
      <c r="G704" s="12">
        <f ca="1">(RANDBETWEEN(50,100)/100)*(dict_DQ_Meth_max[[#This Row],[Vergleich_ub]]-dict_DQ_Meth_max[[#This Row],[Vergleich_lb]])+dict_DQ_Meth_max[[#This Row],[Vergleich_lb]]</f>
        <v>2.1235999999999997</v>
      </c>
      <c r="H704" s="11" t="str">
        <f ca="1">VLOOKUP(VLOOKUP(dict_DQ_Meth_max[[#This Row],[ID_DataQualities]],table_DataQualities[],3),table_Units[],2)</f>
        <v>+/- mm</v>
      </c>
      <c r="I704" s="10"/>
      <c r="J704" s="10"/>
      <c r="K704" s="10"/>
      <c r="L704" s="10">
        <f ca="1">VLOOKUP(dict_DQ_Meth_max[[#This Row],[ID_DataQualities]],table_DataQualities[],8,FALSE)</f>
        <v>3.2000000000000001E-2</v>
      </c>
      <c r="M704" s="10">
        <f ca="1">VLOOKUP(dict_DQ_Meth_max[[#This Row],[ID_DataQualities]],table_DataQualities[],9,FALSE)</f>
        <v>3.02</v>
      </c>
    </row>
    <row r="705" spans="1:13" x14ac:dyDescent="0.45">
      <c r="A705" s="10">
        <v>187</v>
      </c>
      <c r="B705" s="10">
        <v>25</v>
      </c>
      <c r="C7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5" s="10"/>
      <c r="E705" s="10"/>
      <c r="F705" s="12">
        <f ca="1">(RANDBETWEEN(0,50)/100)*(dict_DQ_Meth_max[[#This Row],[Vergleich_ub]]-dict_DQ_Meth_max[[#This Row],[Vergleich_lb]])+dict_DQ_Meth_max[[#This Row],[Vergleich_lb]]</f>
        <v>1.4064800000000002</v>
      </c>
      <c r="G705" s="12">
        <f ca="1">(RANDBETWEEN(50,100)/100)*(dict_DQ_Meth_max[[#This Row],[Vergleich_ub]]-dict_DQ_Meth_max[[#This Row],[Vergleich_lb]])+dict_DQ_Meth_max[[#This Row],[Vergleich_lb]]</f>
        <v>2.03396</v>
      </c>
      <c r="H705" s="11" t="str">
        <f ca="1">VLOOKUP(VLOOKUP(dict_DQ_Meth_max[[#This Row],[ID_DataQualities]],table_DataQualities[],3),table_Units[],2)</f>
        <v>+/- mm</v>
      </c>
      <c r="I705" s="10"/>
      <c r="J705" s="10"/>
      <c r="K705" s="10"/>
      <c r="L705" s="10">
        <f ca="1">VLOOKUP(dict_DQ_Meth_max[[#This Row],[ID_DataQualities]],table_DataQualities[],8,FALSE)</f>
        <v>3.2000000000000001E-2</v>
      </c>
      <c r="M705" s="10">
        <f ca="1">VLOOKUP(dict_DQ_Meth_max[[#This Row],[ID_DataQualities]],table_DataQualities[],9,FALSE)</f>
        <v>3.02</v>
      </c>
    </row>
    <row r="706" spans="1:13" x14ac:dyDescent="0.45">
      <c r="A706" s="10">
        <v>188</v>
      </c>
      <c r="B706" s="10">
        <v>293</v>
      </c>
      <c r="C7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6" s="10"/>
      <c r="E706" s="10"/>
      <c r="F706" s="12">
        <f ca="1">(RANDBETWEEN(0,50)/100)*(dict_DQ_Meth_max[[#This Row],[Vergleich_ub]]-dict_DQ_Meth_max[[#This Row],[Vergleich_lb]])+dict_DQ_Meth_max[[#This Row],[Vergleich_lb]]</f>
        <v>393.95040999999998</v>
      </c>
      <c r="G706" s="12">
        <f ca="1">(RANDBETWEEN(50,100)/100)*(dict_DQ_Meth_max[[#This Row],[Vergleich_ub]]-dict_DQ_Meth_max[[#This Row],[Vergleich_lb]])+dict_DQ_Meth_max[[#This Row],[Vergleich_lb]]</f>
        <v>1442.6741700000002</v>
      </c>
      <c r="H706" s="11" t="str">
        <f ca="1">VLOOKUP(VLOOKUP(dict_DQ_Meth_max[[#This Row],[ID_DataQualities]],table_DataQualities[],3),table_Units[],2)</f>
        <v>Hz</v>
      </c>
      <c r="I706" s="10"/>
      <c r="J706" s="10"/>
      <c r="K706" s="10"/>
      <c r="L706" s="10">
        <f ca="1">VLOOKUP(dict_DQ_Meth_max[[#This Row],[ID_DataQualities]],table_DataQualities[],8,FALSE)</f>
        <v>0.67900000000000005</v>
      </c>
      <c r="M706" s="10">
        <f ca="1">VLOOKUP(dict_DQ_Meth_max[[#This Row],[ID_DataQualities]],table_DataQualities[],9,FALSE)</f>
        <v>1873.4</v>
      </c>
    </row>
    <row r="707" spans="1:13" x14ac:dyDescent="0.45">
      <c r="A707" s="10">
        <v>188</v>
      </c>
      <c r="B707" s="10">
        <v>598</v>
      </c>
      <c r="C7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7" s="10"/>
      <c r="E707" s="10"/>
      <c r="F707" s="12">
        <f ca="1">(RANDBETWEEN(0,50)/100)*(dict_DQ_Meth_max[[#This Row],[Vergleich_ub]]-dict_DQ_Meth_max[[#This Row],[Vergleich_lb]])+dict_DQ_Meth_max[[#This Row],[Vergleich_lb]]</f>
        <v>38.133420000000001</v>
      </c>
      <c r="G707" s="12">
        <f ca="1">(RANDBETWEEN(50,100)/100)*(dict_DQ_Meth_max[[#This Row],[Vergleich_ub]]-dict_DQ_Meth_max[[#This Row],[Vergleich_lb]])+dict_DQ_Meth_max[[#This Row],[Vergleich_lb]]</f>
        <v>1555.0374300000001</v>
      </c>
      <c r="H707" s="11" t="str">
        <f ca="1">VLOOKUP(VLOOKUP(dict_DQ_Meth_max[[#This Row],[ID_DataQualities]],table_DataQualities[],3),table_Units[],2)</f>
        <v>Hz</v>
      </c>
      <c r="I707" s="10"/>
      <c r="J707" s="10"/>
      <c r="K707" s="10"/>
      <c r="L707" s="10">
        <f ca="1">VLOOKUP(dict_DQ_Meth_max[[#This Row],[ID_DataQualities]],table_DataQualities[],8,FALSE)</f>
        <v>0.67900000000000005</v>
      </c>
      <c r="M707" s="10">
        <f ca="1">VLOOKUP(dict_DQ_Meth_max[[#This Row],[ID_DataQualities]],table_DataQualities[],9,FALSE)</f>
        <v>1873.4</v>
      </c>
    </row>
    <row r="708" spans="1:13" x14ac:dyDescent="0.45">
      <c r="A708" s="10">
        <v>188</v>
      </c>
      <c r="B708" s="10">
        <v>41</v>
      </c>
      <c r="C7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8" s="10"/>
      <c r="E708" s="10"/>
      <c r="F708" s="12">
        <f ca="1">(RANDBETWEEN(0,50)/100)*(dict_DQ_Meth_max[[#This Row],[Vergleich_ub]]-dict_DQ_Meth_max[[#This Row],[Vergleich_lb]])+dict_DQ_Meth_max[[#This Row],[Vergleich_lb]]</f>
        <v>824.67624000000001</v>
      </c>
      <c r="G708" s="12">
        <f ca="1">(RANDBETWEEN(50,100)/100)*(dict_DQ_Meth_max[[#This Row],[Vergleich_ub]]-dict_DQ_Meth_max[[#This Row],[Vergleich_lb]])+dict_DQ_Meth_max[[#This Row],[Vergleich_lb]]</f>
        <v>1536.3102200000001</v>
      </c>
      <c r="H708" s="11" t="str">
        <f ca="1">VLOOKUP(VLOOKUP(dict_DQ_Meth_max[[#This Row],[ID_DataQualities]],table_DataQualities[],3),table_Units[],2)</f>
        <v>Hz</v>
      </c>
      <c r="I708" s="10"/>
      <c r="J708" s="10"/>
      <c r="K708" s="10"/>
      <c r="L708" s="10">
        <f ca="1">VLOOKUP(dict_DQ_Meth_max[[#This Row],[ID_DataQualities]],table_DataQualities[],8,FALSE)</f>
        <v>0.67900000000000005</v>
      </c>
      <c r="M708" s="10">
        <f ca="1">VLOOKUP(dict_DQ_Meth_max[[#This Row],[ID_DataQualities]],table_DataQualities[],9,FALSE)</f>
        <v>1873.4</v>
      </c>
    </row>
    <row r="709" spans="1:13" x14ac:dyDescent="0.45">
      <c r="A709" s="10">
        <v>189</v>
      </c>
      <c r="B709" s="10">
        <v>293</v>
      </c>
      <c r="C7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09" s="10"/>
      <c r="E709" s="10"/>
      <c r="F709" s="12">
        <f ca="1">(RANDBETWEEN(0,50)/100)*(dict_DQ_Meth_max[[#This Row],[Vergleich_ub]]-dict_DQ_Meth_max[[#This Row],[Vergleich_lb]])+dict_DQ_Meth_max[[#This Row],[Vergleich_lb]]</f>
        <v>1.476</v>
      </c>
      <c r="G709" s="12">
        <f ca="1">(RANDBETWEEN(50,100)/100)*(dict_DQ_Meth_max[[#This Row],[Vergleich_ub]]-dict_DQ_Meth_max[[#This Row],[Vergleich_lb]])+dict_DQ_Meth_max[[#This Row],[Vergleich_lb]]</f>
        <v>3.38</v>
      </c>
      <c r="H709" s="11" t="str">
        <f ca="1">VLOOKUP(VLOOKUP(dict_DQ_Meth_max[[#This Row],[ID_DataQualities]],table_DataQualities[],3),table_Units[],2)</f>
        <v>+/- mm/s</v>
      </c>
      <c r="I709" s="10"/>
      <c r="J709" s="10"/>
      <c r="K709" s="10"/>
      <c r="L709" s="10">
        <f ca="1">VLOOKUP(dict_DQ_Meth_max[[#This Row],[ID_DataQualities]],table_DataQualities[],8,FALSE)</f>
        <v>1</v>
      </c>
      <c r="M709" s="10">
        <f ca="1">VLOOKUP(dict_DQ_Meth_max[[#This Row],[ID_DataQualities]],table_DataQualities[],9,FALSE)</f>
        <v>3.8</v>
      </c>
    </row>
    <row r="710" spans="1:13" x14ac:dyDescent="0.45">
      <c r="A710" s="10">
        <v>189</v>
      </c>
      <c r="B710" s="10">
        <v>598</v>
      </c>
      <c r="C7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0" s="10"/>
      <c r="E710" s="10"/>
      <c r="F710" s="12">
        <f ca="1">(RANDBETWEEN(0,50)/100)*(dict_DQ_Meth_max[[#This Row],[Vergleich_ub]]-dict_DQ_Meth_max[[#This Row],[Vergleich_lb]])+dict_DQ_Meth_max[[#This Row],[Vergleich_lb]]</f>
        <v>1.728</v>
      </c>
      <c r="G710" s="12">
        <f ca="1">(RANDBETWEEN(50,100)/100)*(dict_DQ_Meth_max[[#This Row],[Vergleich_ub]]-dict_DQ_Meth_max[[#This Row],[Vergleich_lb]])+dict_DQ_Meth_max[[#This Row],[Vergleich_lb]]</f>
        <v>2.9319999999999995</v>
      </c>
      <c r="H710" s="11" t="str">
        <f ca="1">VLOOKUP(VLOOKUP(dict_DQ_Meth_max[[#This Row],[ID_DataQualities]],table_DataQualities[],3),table_Units[],2)</f>
        <v>+/- mm/s</v>
      </c>
      <c r="I710" s="10"/>
      <c r="J710" s="10"/>
      <c r="K710" s="10"/>
      <c r="L710" s="10">
        <f ca="1">VLOOKUP(dict_DQ_Meth_max[[#This Row],[ID_DataQualities]],table_DataQualities[],8,FALSE)</f>
        <v>1</v>
      </c>
      <c r="M710" s="10">
        <f ca="1">VLOOKUP(dict_DQ_Meth_max[[#This Row],[ID_DataQualities]],table_DataQualities[],9,FALSE)</f>
        <v>3.8</v>
      </c>
    </row>
    <row r="711" spans="1:13" x14ac:dyDescent="0.45">
      <c r="A711" s="10">
        <v>189</v>
      </c>
      <c r="B711" s="10">
        <v>41</v>
      </c>
      <c r="C7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1" s="10"/>
      <c r="E711" s="10"/>
      <c r="F711" s="12">
        <f ca="1">(RANDBETWEEN(0,50)/100)*(dict_DQ_Meth_max[[#This Row],[Vergleich_ub]]-dict_DQ_Meth_max[[#This Row],[Vergleich_lb]])+dict_DQ_Meth_max[[#This Row],[Vergleich_lb]]</f>
        <v>1.1399999999999999</v>
      </c>
      <c r="G711" s="12">
        <f ca="1">(RANDBETWEEN(50,100)/100)*(dict_DQ_Meth_max[[#This Row],[Vergleich_ub]]-dict_DQ_Meth_max[[#This Row],[Vergleich_lb]])+dict_DQ_Meth_max[[#This Row],[Vergleich_lb]]</f>
        <v>3.7439999999999998</v>
      </c>
      <c r="H711" s="11" t="str">
        <f ca="1">VLOOKUP(VLOOKUP(dict_DQ_Meth_max[[#This Row],[ID_DataQualities]],table_DataQualities[],3),table_Units[],2)</f>
        <v>+/- mm/s</v>
      </c>
      <c r="I711" s="10"/>
      <c r="J711" s="10"/>
      <c r="K711" s="10"/>
      <c r="L711" s="10">
        <f ca="1">VLOOKUP(dict_DQ_Meth_max[[#This Row],[ID_DataQualities]],table_DataQualities[],8,FALSE)</f>
        <v>1</v>
      </c>
      <c r="M711" s="10">
        <f ca="1">VLOOKUP(dict_DQ_Meth_max[[#This Row],[ID_DataQualities]],table_DataQualities[],9,FALSE)</f>
        <v>3.8</v>
      </c>
    </row>
    <row r="712" spans="1:13" x14ac:dyDescent="0.45">
      <c r="A712" s="10">
        <v>190</v>
      </c>
      <c r="B712" s="10">
        <v>565</v>
      </c>
      <c r="C7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2" s="10"/>
      <c r="E712" s="10"/>
      <c r="F712" s="12">
        <f ca="1">(RANDBETWEEN(0,50)/100)*(dict_DQ_Meth_max[[#This Row],[Vergleich_ub]]-dict_DQ_Meth_max[[#This Row],[Vergleich_lb]])+dict_DQ_Meth_max[[#This Row],[Vergleich_lb]]</f>
        <v>3981.2837800000002</v>
      </c>
      <c r="G712" s="12">
        <f ca="1">(RANDBETWEEN(50,100)/100)*(dict_DQ_Meth_max[[#This Row],[Vergleich_ub]]-dict_DQ_Meth_max[[#This Row],[Vergleich_lb]])+dict_DQ_Meth_max[[#This Row],[Vergleich_lb]]</f>
        <v>6117.4525400000002</v>
      </c>
      <c r="H712" s="11" t="str">
        <f ca="1">VLOOKUP(VLOOKUP(dict_DQ_Meth_max[[#This Row],[ID_DataQualities]],table_DataQualities[],3),table_Units[],2)</f>
        <v>Hz</v>
      </c>
      <c r="I712" s="10"/>
      <c r="J712" s="10"/>
      <c r="K712" s="10"/>
      <c r="L712" s="10">
        <f ca="1">VLOOKUP(dict_DQ_Meth_max[[#This Row],[ID_DataQualities]],table_DataQualities[],8,FALSE)</f>
        <v>0.24199999999999999</v>
      </c>
      <c r="M712" s="10">
        <f ca="1">VLOOKUP(dict_DQ_Meth_max[[#This Row],[ID_DataQualities]],table_DataQualities[],9,FALSE)</f>
        <v>9710.1</v>
      </c>
    </row>
    <row r="713" spans="1:13" x14ac:dyDescent="0.45">
      <c r="A713" s="10">
        <v>190</v>
      </c>
      <c r="B713" s="10">
        <v>183</v>
      </c>
      <c r="C7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3" s="10"/>
      <c r="E713" s="10"/>
      <c r="F713" s="12">
        <f ca="1">(RANDBETWEEN(0,50)/100)*(dict_DQ_Meth_max[[#This Row],[Vergleich_ub]]-dict_DQ_Meth_max[[#This Row],[Vergleich_lb]])+dict_DQ_Meth_max[[#This Row],[Vergleich_lb]]</f>
        <v>1553.8192799999999</v>
      </c>
      <c r="G713" s="12">
        <f ca="1">(RANDBETWEEN(50,100)/100)*(dict_DQ_Meth_max[[#This Row],[Vergleich_ub]]-dict_DQ_Meth_max[[#This Row],[Vergleich_lb]])+dict_DQ_Meth_max[[#This Row],[Vergleich_lb]]</f>
        <v>5243.5653200000006</v>
      </c>
      <c r="H713" s="11" t="str">
        <f ca="1">VLOOKUP(VLOOKUP(dict_DQ_Meth_max[[#This Row],[ID_DataQualities]],table_DataQualities[],3),table_Units[],2)</f>
        <v>Hz</v>
      </c>
      <c r="I713" s="10"/>
      <c r="J713" s="10"/>
      <c r="K713" s="10"/>
      <c r="L713" s="10">
        <f ca="1">VLOOKUP(dict_DQ_Meth_max[[#This Row],[ID_DataQualities]],table_DataQualities[],8,FALSE)</f>
        <v>0.24199999999999999</v>
      </c>
      <c r="M713" s="10">
        <f ca="1">VLOOKUP(dict_DQ_Meth_max[[#This Row],[ID_DataQualities]],table_DataQualities[],9,FALSE)</f>
        <v>9710.1</v>
      </c>
    </row>
    <row r="714" spans="1:13" x14ac:dyDescent="0.45">
      <c r="A714" s="10">
        <v>190</v>
      </c>
      <c r="B714" s="10">
        <v>218</v>
      </c>
      <c r="C7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4" s="10"/>
      <c r="E714" s="10"/>
      <c r="F714" s="12">
        <f ca="1">(RANDBETWEEN(0,50)/100)*(dict_DQ_Meth_max[[#This Row],[Vergleich_ub]]-dict_DQ_Meth_max[[#This Row],[Vergleich_lb]])+dict_DQ_Meth_max[[#This Row],[Vergleich_lb]]</f>
        <v>4758.0724200000004</v>
      </c>
      <c r="G714" s="12">
        <f ca="1">(RANDBETWEEN(50,100)/100)*(dict_DQ_Meth_max[[#This Row],[Vergleich_ub]]-dict_DQ_Meth_max[[#This Row],[Vergleich_lb]])+dict_DQ_Meth_max[[#This Row],[Vergleich_lb]]</f>
        <v>8253.6213000000007</v>
      </c>
      <c r="H714" s="11" t="str">
        <f ca="1">VLOOKUP(VLOOKUP(dict_DQ_Meth_max[[#This Row],[ID_DataQualities]],table_DataQualities[],3),table_Units[],2)</f>
        <v>Hz</v>
      </c>
      <c r="I714" s="10"/>
      <c r="J714" s="10"/>
      <c r="K714" s="10"/>
      <c r="L714" s="10">
        <f ca="1">VLOOKUP(dict_DQ_Meth_max[[#This Row],[ID_DataQualities]],table_DataQualities[],8,FALSE)</f>
        <v>0.24199999999999999</v>
      </c>
      <c r="M714" s="10">
        <f ca="1">VLOOKUP(dict_DQ_Meth_max[[#This Row],[ID_DataQualities]],table_DataQualities[],9,FALSE)</f>
        <v>9710.1</v>
      </c>
    </row>
    <row r="715" spans="1:13" x14ac:dyDescent="0.45">
      <c r="A715" s="10">
        <v>190</v>
      </c>
      <c r="B715" s="10">
        <v>97</v>
      </c>
      <c r="C7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5" s="10"/>
      <c r="E715" s="10"/>
      <c r="F715" s="12">
        <f ca="1">(RANDBETWEEN(0,50)/100)*(dict_DQ_Meth_max[[#This Row],[Vergleich_ub]]-dict_DQ_Meth_max[[#This Row],[Vergleich_lb]])+dict_DQ_Meth_max[[#This Row],[Vergleich_lb]]</f>
        <v>1262.5235400000001</v>
      </c>
      <c r="G715" s="12">
        <f ca="1">(RANDBETWEEN(50,100)/100)*(dict_DQ_Meth_max[[#This Row],[Vergleich_ub]]-dict_DQ_Meth_max[[#This Row],[Vergleich_lb]])+dict_DQ_Meth_max[[#This Row],[Vergleich_lb]]</f>
        <v>5729.0582199999999</v>
      </c>
      <c r="H715" s="11" t="str">
        <f ca="1">VLOOKUP(VLOOKUP(dict_DQ_Meth_max[[#This Row],[ID_DataQualities]],table_DataQualities[],3),table_Units[],2)</f>
        <v>Hz</v>
      </c>
      <c r="I715" s="10"/>
      <c r="J715" s="10"/>
      <c r="K715" s="10"/>
      <c r="L715" s="10">
        <f ca="1">VLOOKUP(dict_DQ_Meth_max[[#This Row],[ID_DataQualities]],table_DataQualities[],8,FALSE)</f>
        <v>0.24199999999999999</v>
      </c>
      <c r="M715" s="10">
        <f ca="1">VLOOKUP(dict_DQ_Meth_max[[#This Row],[ID_DataQualities]],table_DataQualities[],9,FALSE)</f>
        <v>9710.1</v>
      </c>
    </row>
    <row r="716" spans="1:13" x14ac:dyDescent="0.45">
      <c r="A716" s="10">
        <v>191</v>
      </c>
      <c r="B716" s="10">
        <v>97</v>
      </c>
      <c r="C7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6" s="10"/>
      <c r="E716" s="10"/>
      <c r="F716" s="12">
        <f ca="1">(RANDBETWEEN(0,50)/100)*(dict_DQ_Meth_max[[#This Row],[Vergleich_ub]]-dict_DQ_Meth_max[[#This Row],[Vergleich_lb]])+dict_DQ_Meth_max[[#This Row],[Vergleich_lb]]</f>
        <v>2.6909000000000005</v>
      </c>
      <c r="G716" s="12">
        <f ca="1">(RANDBETWEEN(50,100)/100)*(dict_DQ_Meth_max[[#This Row],[Vergleich_ub]]-dict_DQ_Meth_max[[#This Row],[Vergleich_lb]])+dict_DQ_Meth_max[[#This Row],[Vergleich_lb]]</f>
        <v>5.1681000000000008</v>
      </c>
      <c r="H716" s="11" t="str">
        <f ca="1">VLOOKUP(VLOOKUP(dict_DQ_Meth_max[[#This Row],[ID_DataQualities]],table_DataQualities[],3),table_Units[],2)</f>
        <v>+/- mm/s</v>
      </c>
      <c r="I716" s="10"/>
      <c r="J716" s="10"/>
      <c r="K716" s="10"/>
      <c r="L716" s="10">
        <f ca="1">VLOOKUP(dict_DQ_Meth_max[[#This Row],[ID_DataQualities]],table_DataQualities[],8,FALSE)</f>
        <v>0.27</v>
      </c>
      <c r="M716" s="10">
        <f ca="1">VLOOKUP(dict_DQ_Meth_max[[#This Row],[ID_DataQualities]],table_DataQualities[],9,FALSE)</f>
        <v>5.9</v>
      </c>
    </row>
    <row r="717" spans="1:13" x14ac:dyDescent="0.45">
      <c r="A717" s="10">
        <v>191</v>
      </c>
      <c r="B717" s="10">
        <v>565</v>
      </c>
      <c r="C7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7" s="10"/>
      <c r="E717" s="10"/>
      <c r="F717" s="12">
        <f ca="1">(RANDBETWEEN(0,50)/100)*(dict_DQ_Meth_max[[#This Row],[Vergleich_ub]]-dict_DQ_Meth_max[[#This Row],[Vergleich_lb]])+dict_DQ_Meth_max[[#This Row],[Vergleich_lb]]</f>
        <v>0.43890000000000007</v>
      </c>
      <c r="G717" s="12">
        <f ca="1">(RANDBETWEEN(50,100)/100)*(dict_DQ_Meth_max[[#This Row],[Vergleich_ub]]-dict_DQ_Meth_max[[#This Row],[Vergleich_lb]])+dict_DQ_Meth_max[[#This Row],[Vergleich_lb]]</f>
        <v>4.9992000000000001</v>
      </c>
      <c r="H717" s="11" t="str">
        <f ca="1">VLOOKUP(VLOOKUP(dict_DQ_Meth_max[[#This Row],[ID_DataQualities]],table_DataQualities[],3),table_Units[],2)</f>
        <v>+/- mm/s</v>
      </c>
      <c r="I717" s="10"/>
      <c r="J717" s="10"/>
      <c r="K717" s="10"/>
      <c r="L717" s="10">
        <f ca="1">VLOOKUP(dict_DQ_Meth_max[[#This Row],[ID_DataQualities]],table_DataQualities[],8,FALSE)</f>
        <v>0.27</v>
      </c>
      <c r="M717" s="10">
        <f ca="1">VLOOKUP(dict_DQ_Meth_max[[#This Row],[ID_DataQualities]],table_DataQualities[],9,FALSE)</f>
        <v>5.9</v>
      </c>
    </row>
    <row r="718" spans="1:13" x14ac:dyDescent="0.45">
      <c r="A718" s="10">
        <v>191</v>
      </c>
      <c r="B718" s="10">
        <v>183</v>
      </c>
      <c r="C7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8" s="10"/>
      <c r="E718" s="10"/>
      <c r="F718" s="12">
        <f ca="1">(RANDBETWEEN(0,50)/100)*(dict_DQ_Meth_max[[#This Row],[Vergleich_ub]]-dict_DQ_Meth_max[[#This Row],[Vergleich_lb]])+dict_DQ_Meth_max[[#This Row],[Vergleich_lb]]</f>
        <v>2.9724000000000004</v>
      </c>
      <c r="G718" s="12">
        <f ca="1">(RANDBETWEEN(50,100)/100)*(dict_DQ_Meth_max[[#This Row],[Vergleich_ub]]-dict_DQ_Meth_max[[#This Row],[Vergleich_lb]])+dict_DQ_Meth_max[[#This Row],[Vergleich_lb]]</f>
        <v>5.0555000000000003</v>
      </c>
      <c r="H718" s="11" t="str">
        <f ca="1">VLOOKUP(VLOOKUP(dict_DQ_Meth_max[[#This Row],[ID_DataQualities]],table_DataQualities[],3),table_Units[],2)</f>
        <v>+/- mm/s</v>
      </c>
      <c r="I718" s="10"/>
      <c r="J718" s="10"/>
      <c r="K718" s="10"/>
      <c r="L718" s="10">
        <f ca="1">VLOOKUP(dict_DQ_Meth_max[[#This Row],[ID_DataQualities]],table_DataQualities[],8,FALSE)</f>
        <v>0.27</v>
      </c>
      <c r="M718" s="10">
        <f ca="1">VLOOKUP(dict_DQ_Meth_max[[#This Row],[ID_DataQualities]],table_DataQualities[],9,FALSE)</f>
        <v>5.9</v>
      </c>
    </row>
    <row r="719" spans="1:13" x14ac:dyDescent="0.45">
      <c r="A719" s="10">
        <v>191</v>
      </c>
      <c r="B719" s="10">
        <v>218</v>
      </c>
      <c r="C7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19" s="10"/>
      <c r="E719" s="10"/>
      <c r="F719" s="12">
        <f ca="1">(RANDBETWEEN(0,50)/100)*(dict_DQ_Meth_max[[#This Row],[Vergleich_ub]]-dict_DQ_Meth_max[[#This Row],[Vergleich_lb]])+dict_DQ_Meth_max[[#This Row],[Vergleich_lb]]</f>
        <v>0.94560000000000011</v>
      </c>
      <c r="G719" s="12">
        <f ca="1">(RANDBETWEEN(50,100)/100)*(dict_DQ_Meth_max[[#This Row],[Vergleich_ub]]-dict_DQ_Meth_max[[#This Row],[Vergleich_lb]])+dict_DQ_Meth_max[[#This Row],[Vergleich_lb]]</f>
        <v>4.4362000000000013</v>
      </c>
      <c r="H719" s="11" t="str">
        <f ca="1">VLOOKUP(VLOOKUP(dict_DQ_Meth_max[[#This Row],[ID_DataQualities]],table_DataQualities[],3),table_Units[],2)</f>
        <v>+/- mm/s</v>
      </c>
      <c r="I719" s="10"/>
      <c r="J719" s="10"/>
      <c r="K719" s="10"/>
      <c r="L719" s="10">
        <f ca="1">VLOOKUP(dict_DQ_Meth_max[[#This Row],[ID_DataQualities]],table_DataQualities[],8,FALSE)</f>
        <v>0.27</v>
      </c>
      <c r="M719" s="10">
        <f ca="1">VLOOKUP(dict_DQ_Meth_max[[#This Row],[ID_DataQualities]],table_DataQualities[],9,FALSE)</f>
        <v>5.9</v>
      </c>
    </row>
    <row r="720" spans="1:13" x14ac:dyDescent="0.45">
      <c r="A720" s="10">
        <v>192</v>
      </c>
      <c r="B720" s="10">
        <v>432</v>
      </c>
      <c r="C7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0" s="10"/>
      <c r="E720" s="10"/>
      <c r="F720" s="12">
        <f ca="1">(RANDBETWEEN(0,50)/100)*(dict_DQ_Meth_max[[#This Row],[Vergleich_ub]]-dict_DQ_Meth_max[[#This Row],[Vergleich_lb]])+dict_DQ_Meth_max[[#This Row],[Vergleich_lb]]</f>
        <v>1853.913</v>
      </c>
      <c r="G720" s="12">
        <f ca="1">(RANDBETWEEN(50,100)/100)*(dict_DQ_Meth_max[[#This Row],[Vergleich_ub]]-dict_DQ_Meth_max[[#This Row],[Vergleich_lb]])+dict_DQ_Meth_max[[#This Row],[Vergleich_lb]]</f>
        <v>3489.498</v>
      </c>
      <c r="H720" s="11" t="str">
        <f ca="1">VLOOKUP(VLOOKUP(dict_DQ_Meth_max[[#This Row],[ID_DataQualities]],table_DataQualities[],3),table_Units[],2)</f>
        <v>Hz</v>
      </c>
      <c r="I720" s="10"/>
      <c r="J720" s="10"/>
      <c r="K720" s="10"/>
      <c r="L720" s="10">
        <f ca="1">VLOOKUP(dict_DQ_Meth_max[[#This Row],[ID_DataQualities]],table_DataQualities[],8,FALSE)</f>
        <v>0.25</v>
      </c>
      <c r="M720" s="10">
        <f ca="1">VLOOKUP(dict_DQ_Meth_max[[#This Row],[ID_DataQualities]],table_DataQualities[],9,FALSE)</f>
        <v>5452.2</v>
      </c>
    </row>
    <row r="721" spans="1:13" x14ac:dyDescent="0.45">
      <c r="A721" s="10">
        <v>192</v>
      </c>
      <c r="B721" s="10">
        <v>301</v>
      </c>
      <c r="C7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1" s="10"/>
      <c r="E721" s="10"/>
      <c r="F721" s="12">
        <f ca="1">(RANDBETWEEN(0,50)/100)*(dict_DQ_Meth_max[[#This Row],[Vergleich_ub]]-dict_DQ_Meth_max[[#This Row],[Vergleich_lb]])+dict_DQ_Meth_max[[#This Row],[Vergleich_lb]]</f>
        <v>2181.0300000000002</v>
      </c>
      <c r="G721" s="12">
        <f ca="1">(RANDBETWEEN(50,100)/100)*(dict_DQ_Meth_max[[#This Row],[Vergleich_ub]]-dict_DQ_Meth_max[[#This Row],[Vergleich_lb]])+dict_DQ_Meth_max[[#This Row],[Vergleich_lb]]</f>
        <v>4688.9269999999997</v>
      </c>
      <c r="H721" s="11" t="str">
        <f ca="1">VLOOKUP(VLOOKUP(dict_DQ_Meth_max[[#This Row],[ID_DataQualities]],table_DataQualities[],3),table_Units[],2)</f>
        <v>Hz</v>
      </c>
      <c r="I721" s="10"/>
      <c r="J721" s="10"/>
      <c r="K721" s="10"/>
      <c r="L721" s="10">
        <f ca="1">VLOOKUP(dict_DQ_Meth_max[[#This Row],[ID_DataQualities]],table_DataQualities[],8,FALSE)</f>
        <v>0.25</v>
      </c>
      <c r="M721" s="10">
        <f ca="1">VLOOKUP(dict_DQ_Meth_max[[#This Row],[ID_DataQualities]],table_DataQualities[],9,FALSE)</f>
        <v>5452.2</v>
      </c>
    </row>
    <row r="722" spans="1:13" x14ac:dyDescent="0.45">
      <c r="A722" s="10">
        <v>192</v>
      </c>
      <c r="B722" s="10">
        <v>520</v>
      </c>
      <c r="C7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2" s="10"/>
      <c r="E722" s="10"/>
      <c r="F722" s="12">
        <f ca="1">(RANDBETWEEN(0,50)/100)*(dict_DQ_Meth_max[[#This Row],[Vergleich_ub]]-dict_DQ_Meth_max[[#This Row],[Vergleich_lb]])+dict_DQ_Meth_max[[#This Row],[Vergleich_lb]]</f>
        <v>272.84750000000003</v>
      </c>
      <c r="G722" s="12">
        <f ca="1">(RANDBETWEEN(50,100)/100)*(dict_DQ_Meth_max[[#This Row],[Vergleich_ub]]-dict_DQ_Meth_max[[#This Row],[Vergleich_lb]])+dict_DQ_Meth_max[[#This Row],[Vergleich_lb]]</f>
        <v>3871.1344999999997</v>
      </c>
      <c r="H722" s="11" t="str">
        <f ca="1">VLOOKUP(VLOOKUP(dict_DQ_Meth_max[[#This Row],[ID_DataQualities]],table_DataQualities[],3),table_Units[],2)</f>
        <v>Hz</v>
      </c>
      <c r="I722" s="10"/>
      <c r="J722" s="10"/>
      <c r="K722" s="10"/>
      <c r="L722" s="10">
        <f ca="1">VLOOKUP(dict_DQ_Meth_max[[#This Row],[ID_DataQualities]],table_DataQualities[],8,FALSE)</f>
        <v>0.25</v>
      </c>
      <c r="M722" s="10">
        <f ca="1">VLOOKUP(dict_DQ_Meth_max[[#This Row],[ID_DataQualities]],table_DataQualities[],9,FALSE)</f>
        <v>5452.2</v>
      </c>
    </row>
    <row r="723" spans="1:13" x14ac:dyDescent="0.45">
      <c r="A723" s="10">
        <v>192</v>
      </c>
      <c r="B723" s="10">
        <v>414</v>
      </c>
      <c r="C7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3" s="10"/>
      <c r="E723" s="10"/>
      <c r="F723" s="12">
        <f ca="1">(RANDBETWEEN(0,50)/100)*(dict_DQ_Meth_max[[#This Row],[Vergleich_ub]]-dict_DQ_Meth_max[[#This Row],[Vergleich_lb]])+dict_DQ_Meth_max[[#This Row],[Vergleich_lb]]</f>
        <v>381.88650000000001</v>
      </c>
      <c r="G723" s="12">
        <f ca="1">(RANDBETWEEN(50,100)/100)*(dict_DQ_Meth_max[[#This Row],[Vergleich_ub]]-dict_DQ_Meth_max[[#This Row],[Vergleich_lb]])+dict_DQ_Meth_max[[#This Row],[Vergleich_lb]]</f>
        <v>4852.4854999999998</v>
      </c>
      <c r="H723" s="11" t="str">
        <f ca="1">VLOOKUP(VLOOKUP(dict_DQ_Meth_max[[#This Row],[ID_DataQualities]],table_DataQualities[],3),table_Units[],2)</f>
        <v>Hz</v>
      </c>
      <c r="I723" s="10"/>
      <c r="J723" s="10"/>
      <c r="K723" s="10"/>
      <c r="L723" s="10">
        <f ca="1">VLOOKUP(dict_DQ_Meth_max[[#This Row],[ID_DataQualities]],table_DataQualities[],8,FALSE)</f>
        <v>0.25</v>
      </c>
      <c r="M723" s="10">
        <f ca="1">VLOOKUP(dict_DQ_Meth_max[[#This Row],[ID_DataQualities]],table_DataQualities[],9,FALSE)</f>
        <v>5452.2</v>
      </c>
    </row>
    <row r="724" spans="1:13" x14ac:dyDescent="0.45">
      <c r="A724" s="10">
        <v>193</v>
      </c>
      <c r="B724" s="10">
        <v>520</v>
      </c>
      <c r="C7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4" s="10"/>
      <c r="E724" s="10"/>
      <c r="F724" s="12">
        <f ca="1">(RANDBETWEEN(0,50)/100)*(dict_DQ_Meth_max[[#This Row],[Vergleich_ub]]-dict_DQ_Meth_max[[#This Row],[Vergleich_lb]])+dict_DQ_Meth_max[[#This Row],[Vergleich_lb]]</f>
        <v>0.39780000000000004</v>
      </c>
      <c r="G724" s="12">
        <f ca="1">(RANDBETWEEN(50,100)/100)*(dict_DQ_Meth_max[[#This Row],[Vergleich_ub]]-dict_DQ_Meth_max[[#This Row],[Vergleich_lb]])+dict_DQ_Meth_max[[#This Row],[Vergleich_lb]]</f>
        <v>3.6025000000000005</v>
      </c>
      <c r="H724" s="11" t="str">
        <f ca="1">VLOOKUP(VLOOKUP(dict_DQ_Meth_max[[#This Row],[ID_DataQualities]],table_DataQualities[],3),table_Units[],2)</f>
        <v>+/- mm/s</v>
      </c>
      <c r="I724" s="10"/>
      <c r="J724" s="10"/>
      <c r="K724" s="10"/>
      <c r="L724" s="10">
        <f ca="1">VLOOKUP(dict_DQ_Meth_max[[#This Row],[ID_DataQualities]],table_DataQualities[],8,FALSE)</f>
        <v>0.31</v>
      </c>
      <c r="M724" s="10">
        <f ca="1">VLOOKUP(dict_DQ_Meth_max[[#This Row],[ID_DataQualities]],table_DataQualities[],9,FALSE)</f>
        <v>4.7</v>
      </c>
    </row>
    <row r="725" spans="1:13" x14ac:dyDescent="0.45">
      <c r="A725" s="10">
        <v>193</v>
      </c>
      <c r="B725" s="10">
        <v>432</v>
      </c>
      <c r="C7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5" s="10"/>
      <c r="E725" s="10"/>
      <c r="F725" s="12">
        <f ca="1">(RANDBETWEEN(0,50)/100)*(dict_DQ_Meth_max[[#This Row],[Vergleich_ub]]-dict_DQ_Meth_max[[#This Row],[Vergleich_lb]])+dict_DQ_Meth_max[[#This Row],[Vergleich_lb]]</f>
        <v>1.6270000000000002</v>
      </c>
      <c r="G725" s="12">
        <f ca="1">(RANDBETWEEN(50,100)/100)*(dict_DQ_Meth_max[[#This Row],[Vergleich_ub]]-dict_DQ_Meth_max[[#This Row],[Vergleich_lb]])+dict_DQ_Meth_max[[#This Row],[Vergleich_lb]]</f>
        <v>3.3391000000000002</v>
      </c>
      <c r="H725" s="11" t="str">
        <f ca="1">VLOOKUP(VLOOKUP(dict_DQ_Meth_max[[#This Row],[ID_DataQualities]],table_DataQualities[],3),table_Units[],2)</f>
        <v>+/- mm/s</v>
      </c>
      <c r="I725" s="10"/>
      <c r="J725" s="10"/>
      <c r="K725" s="10"/>
      <c r="L725" s="10">
        <f ca="1">VLOOKUP(dict_DQ_Meth_max[[#This Row],[ID_DataQualities]],table_DataQualities[],8,FALSE)</f>
        <v>0.31</v>
      </c>
      <c r="M725" s="10">
        <f ca="1">VLOOKUP(dict_DQ_Meth_max[[#This Row],[ID_DataQualities]],table_DataQualities[],9,FALSE)</f>
        <v>4.7</v>
      </c>
    </row>
    <row r="726" spans="1:13" x14ac:dyDescent="0.45">
      <c r="A726" s="10">
        <v>193</v>
      </c>
      <c r="B726" s="10">
        <v>414</v>
      </c>
      <c r="C7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6" s="10"/>
      <c r="E726" s="10"/>
      <c r="F726" s="12">
        <f ca="1">(RANDBETWEEN(0,50)/100)*(dict_DQ_Meth_max[[#This Row],[Vergleich_ub]]-dict_DQ_Meth_max[[#This Row],[Vergleich_lb]])+dict_DQ_Meth_max[[#This Row],[Vergleich_lb]]</f>
        <v>1.6709000000000003</v>
      </c>
      <c r="G726" s="12">
        <f ca="1">(RANDBETWEEN(50,100)/100)*(dict_DQ_Meth_max[[#This Row],[Vergleich_ub]]-dict_DQ_Meth_max[[#This Row],[Vergleich_lb]])+dict_DQ_Meth_max[[#This Row],[Vergleich_lb]]</f>
        <v>4.1732000000000005</v>
      </c>
      <c r="H726" s="11" t="str">
        <f ca="1">VLOOKUP(VLOOKUP(dict_DQ_Meth_max[[#This Row],[ID_DataQualities]],table_DataQualities[],3),table_Units[],2)</f>
        <v>+/- mm/s</v>
      </c>
      <c r="I726" s="10"/>
      <c r="J726" s="10"/>
      <c r="K726" s="10"/>
      <c r="L726" s="10">
        <f ca="1">VLOOKUP(dict_DQ_Meth_max[[#This Row],[ID_DataQualities]],table_DataQualities[],8,FALSE)</f>
        <v>0.31</v>
      </c>
      <c r="M726" s="10">
        <f ca="1">VLOOKUP(dict_DQ_Meth_max[[#This Row],[ID_DataQualities]],table_DataQualities[],9,FALSE)</f>
        <v>4.7</v>
      </c>
    </row>
    <row r="727" spans="1:13" x14ac:dyDescent="0.45">
      <c r="A727" s="10">
        <v>193</v>
      </c>
      <c r="B727" s="10">
        <v>301</v>
      </c>
      <c r="C7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7" s="10"/>
      <c r="E727" s="10"/>
      <c r="F727" s="12">
        <f ca="1">(RANDBETWEEN(0,50)/100)*(dict_DQ_Meth_max[[#This Row],[Vergleich_ub]]-dict_DQ_Meth_max[[#This Row],[Vergleich_lb]])+dict_DQ_Meth_max[[#This Row],[Vergleich_lb]]</f>
        <v>0.66120000000000001</v>
      </c>
      <c r="G727" s="12">
        <f ca="1">(RANDBETWEEN(50,100)/100)*(dict_DQ_Meth_max[[#This Row],[Vergleich_ub]]-dict_DQ_Meth_max[[#This Row],[Vergleich_lb]])+dict_DQ_Meth_max[[#This Row],[Vergleich_lb]]</f>
        <v>3.2513000000000005</v>
      </c>
      <c r="H727" s="11" t="str">
        <f ca="1">VLOOKUP(VLOOKUP(dict_DQ_Meth_max[[#This Row],[ID_DataQualities]],table_DataQualities[],3),table_Units[],2)</f>
        <v>+/- mm/s</v>
      </c>
      <c r="I727" s="10"/>
      <c r="J727" s="10"/>
      <c r="K727" s="10"/>
      <c r="L727" s="10">
        <f ca="1">VLOOKUP(dict_DQ_Meth_max[[#This Row],[ID_DataQualities]],table_DataQualities[],8,FALSE)</f>
        <v>0.31</v>
      </c>
      <c r="M727" s="10">
        <f ca="1">VLOOKUP(dict_DQ_Meth_max[[#This Row],[ID_DataQualities]],table_DataQualities[],9,FALSE)</f>
        <v>4.7</v>
      </c>
    </row>
    <row r="728" spans="1:13" x14ac:dyDescent="0.45">
      <c r="A728" s="10">
        <v>194</v>
      </c>
      <c r="B728" s="10">
        <v>408</v>
      </c>
      <c r="C7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8" s="10"/>
      <c r="E728" s="10"/>
      <c r="F728" s="12">
        <f ca="1">(RANDBETWEEN(0,50)/100)*(dict_DQ_Meth_max[[#This Row],[Vergleich_ub]]-dict_DQ_Meth_max[[#This Row],[Vergleich_lb]])+dict_DQ_Meth_max[[#This Row],[Vergleich_lb]]</f>
        <v>646.77454000000012</v>
      </c>
      <c r="G728" s="12">
        <f ca="1">(RANDBETWEEN(50,100)/100)*(dict_DQ_Meth_max[[#This Row],[Vergleich_ub]]-dict_DQ_Meth_max[[#This Row],[Vergleich_lb]])+dict_DQ_Meth_max[[#This Row],[Vergleich_lb]]</f>
        <v>4616.2</v>
      </c>
      <c r="H728" s="11" t="str">
        <f ca="1">VLOOKUP(VLOOKUP(dict_DQ_Meth_max[[#This Row],[ID_DataQualities]],table_DataQualities[],3),table_Units[],2)</f>
        <v>Hz</v>
      </c>
      <c r="I728" s="10"/>
      <c r="J728" s="10"/>
      <c r="K728" s="10"/>
      <c r="L728" s="10">
        <f ca="1">VLOOKUP(dict_DQ_Meth_max[[#This Row],[ID_DataQualities]],table_DataQualities[],8,FALSE)</f>
        <v>0.58899999999999997</v>
      </c>
      <c r="M728" s="10">
        <f ca="1">VLOOKUP(dict_DQ_Meth_max[[#This Row],[ID_DataQualities]],table_DataQualities[],9,FALSE)</f>
        <v>4616.2</v>
      </c>
    </row>
    <row r="729" spans="1:13" x14ac:dyDescent="0.45">
      <c r="A729" s="10">
        <v>194</v>
      </c>
      <c r="B729" s="10">
        <v>248</v>
      </c>
      <c r="C7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29" s="10"/>
      <c r="E729" s="10"/>
      <c r="F729" s="12">
        <f ca="1">(RANDBETWEEN(0,50)/100)*(dict_DQ_Meth_max[[#This Row],[Vergleich_ub]]-dict_DQ_Meth_max[[#This Row],[Vergleich_lb]])+dict_DQ_Meth_max[[#This Row],[Vergleich_lb]]</f>
        <v>1431.42841</v>
      </c>
      <c r="G729" s="12">
        <f ca="1">(RANDBETWEEN(50,100)/100)*(dict_DQ_Meth_max[[#This Row],[Vergleich_ub]]-dict_DQ_Meth_max[[#This Row],[Vergleich_lb]])+dict_DQ_Meth_max[[#This Row],[Vergleich_lb]]</f>
        <v>2954.5800399999998</v>
      </c>
      <c r="H729" s="11" t="str">
        <f ca="1">VLOOKUP(VLOOKUP(dict_DQ_Meth_max[[#This Row],[ID_DataQualities]],table_DataQualities[],3),table_Units[],2)</f>
        <v>Hz</v>
      </c>
      <c r="I729" s="10"/>
      <c r="J729" s="10"/>
      <c r="K729" s="10"/>
      <c r="L729" s="10">
        <f ca="1">VLOOKUP(dict_DQ_Meth_max[[#This Row],[ID_DataQualities]],table_DataQualities[],8,FALSE)</f>
        <v>0.58899999999999997</v>
      </c>
      <c r="M729" s="10">
        <f ca="1">VLOOKUP(dict_DQ_Meth_max[[#This Row],[ID_DataQualities]],table_DataQualities[],9,FALSE)</f>
        <v>4616.2</v>
      </c>
    </row>
    <row r="730" spans="1:13" x14ac:dyDescent="0.45">
      <c r="A730" s="10">
        <v>194</v>
      </c>
      <c r="B730" s="10">
        <v>533</v>
      </c>
      <c r="C7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0" s="10"/>
      <c r="E730" s="10"/>
      <c r="F730" s="12">
        <f ca="1">(RANDBETWEEN(0,50)/100)*(dict_DQ_Meth_max[[#This Row],[Vergleich_ub]]-dict_DQ_Meth_max[[#This Row],[Vergleich_lb]])+dict_DQ_Meth_max[[#This Row],[Vergleich_lb]]</f>
        <v>831.39898000000005</v>
      </c>
      <c r="G730" s="12">
        <f ca="1">(RANDBETWEEN(50,100)/100)*(dict_DQ_Meth_max[[#This Row],[Vergleich_ub]]-dict_DQ_Meth_max[[#This Row],[Vergleich_lb]])+dict_DQ_Meth_max[[#This Row],[Vergleich_lb]]</f>
        <v>2908.4239299999999</v>
      </c>
      <c r="H730" s="11" t="str">
        <f ca="1">VLOOKUP(VLOOKUP(dict_DQ_Meth_max[[#This Row],[ID_DataQualities]],table_DataQualities[],3),table_Units[],2)</f>
        <v>Hz</v>
      </c>
      <c r="I730" s="10"/>
      <c r="J730" s="10"/>
      <c r="K730" s="10"/>
      <c r="L730" s="10">
        <f ca="1">VLOOKUP(dict_DQ_Meth_max[[#This Row],[ID_DataQualities]],table_DataQualities[],8,FALSE)</f>
        <v>0.58899999999999997</v>
      </c>
      <c r="M730" s="10">
        <f ca="1">VLOOKUP(dict_DQ_Meth_max[[#This Row],[ID_DataQualities]],table_DataQualities[],9,FALSE)</f>
        <v>4616.2</v>
      </c>
    </row>
    <row r="731" spans="1:13" x14ac:dyDescent="0.45">
      <c r="A731" s="10">
        <v>195</v>
      </c>
      <c r="B731" s="10">
        <v>533</v>
      </c>
      <c r="C7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1" s="10"/>
      <c r="E731" s="10"/>
      <c r="F731" s="12">
        <f ca="1">(RANDBETWEEN(0,50)/100)*(dict_DQ_Meth_max[[#This Row],[Vergleich_ub]]-dict_DQ_Meth_max[[#This Row],[Vergleich_lb]])+dict_DQ_Meth_max[[#This Row],[Vergleich_lb]]</f>
        <v>0.81890000000000007</v>
      </c>
      <c r="G731" s="12">
        <f ca="1">(RANDBETWEEN(50,100)/100)*(dict_DQ_Meth_max[[#This Row],[Vergleich_ub]]-dict_DQ_Meth_max[[#This Row],[Vergleich_lb]])+dict_DQ_Meth_max[[#This Row],[Vergleich_lb]]</f>
        <v>4.9000399999999997</v>
      </c>
      <c r="H731" s="11" t="str">
        <f ca="1">VLOOKUP(VLOOKUP(dict_DQ_Meth_max[[#This Row],[ID_DataQualities]],table_DataQualities[],3),table_Units[],2)</f>
        <v>+/- W</v>
      </c>
      <c r="I731" s="10"/>
      <c r="J731" s="10"/>
      <c r="K731" s="10"/>
      <c r="L731" s="10">
        <f ca="1">VLOOKUP(dict_DQ_Meth_max[[#This Row],[ID_DataQualities]],table_DataQualities[],8,FALSE)</f>
        <v>4.3999999999999997E-2</v>
      </c>
      <c r="M731" s="10">
        <f ca="1">VLOOKUP(dict_DQ_Meth_max[[#This Row],[ID_DataQualities]],table_DataQualities[],9,FALSE)</f>
        <v>5.21</v>
      </c>
    </row>
    <row r="732" spans="1:13" x14ac:dyDescent="0.45">
      <c r="A732" s="10">
        <v>195</v>
      </c>
      <c r="B732" s="10">
        <v>408</v>
      </c>
      <c r="C7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2" s="10"/>
      <c r="E732" s="10"/>
      <c r="F732" s="12">
        <f ca="1">(RANDBETWEEN(0,50)/100)*(dict_DQ_Meth_max[[#This Row],[Vergleich_ub]]-dict_DQ_Meth_max[[#This Row],[Vergleich_lb]])+dict_DQ_Meth_max[[#This Row],[Vergleich_lb]]</f>
        <v>1.1805200000000002</v>
      </c>
      <c r="G732" s="12">
        <f ca="1">(RANDBETWEEN(50,100)/100)*(dict_DQ_Meth_max[[#This Row],[Vergleich_ub]]-dict_DQ_Meth_max[[#This Row],[Vergleich_lb]])+dict_DQ_Meth_max[[#This Row],[Vergleich_lb]]</f>
        <v>3.2985800000000003</v>
      </c>
      <c r="H732" s="11" t="str">
        <f ca="1">VLOOKUP(VLOOKUP(dict_DQ_Meth_max[[#This Row],[ID_DataQualities]],table_DataQualities[],3),table_Units[],2)</f>
        <v>+/- W</v>
      </c>
      <c r="I732" s="10"/>
      <c r="J732" s="10"/>
      <c r="K732" s="10"/>
      <c r="L732" s="10">
        <f ca="1">VLOOKUP(dict_DQ_Meth_max[[#This Row],[ID_DataQualities]],table_DataQualities[],8,FALSE)</f>
        <v>4.3999999999999997E-2</v>
      </c>
      <c r="M732" s="10">
        <f ca="1">VLOOKUP(dict_DQ_Meth_max[[#This Row],[ID_DataQualities]],table_DataQualities[],9,FALSE)</f>
        <v>5.21</v>
      </c>
    </row>
    <row r="733" spans="1:13" x14ac:dyDescent="0.45">
      <c r="A733" s="10">
        <v>195</v>
      </c>
      <c r="B733" s="10">
        <v>248</v>
      </c>
      <c r="C7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3" s="10"/>
      <c r="E733" s="10"/>
      <c r="F733" s="12">
        <f ca="1">(RANDBETWEEN(0,50)/100)*(dict_DQ_Meth_max[[#This Row],[Vergleich_ub]]-dict_DQ_Meth_max[[#This Row],[Vergleich_lb]])+dict_DQ_Meth_max[[#This Row],[Vergleich_lb]]</f>
        <v>1.5938000000000001</v>
      </c>
      <c r="G733" s="12">
        <f ca="1">(RANDBETWEEN(50,100)/100)*(dict_DQ_Meth_max[[#This Row],[Vergleich_ub]]-dict_DQ_Meth_max[[#This Row],[Vergleich_lb]])+dict_DQ_Meth_max[[#This Row],[Vergleich_lb]]</f>
        <v>4.6417400000000004</v>
      </c>
      <c r="H733" s="11" t="str">
        <f ca="1">VLOOKUP(VLOOKUP(dict_DQ_Meth_max[[#This Row],[ID_DataQualities]],table_DataQualities[],3),table_Units[],2)</f>
        <v>+/- W</v>
      </c>
      <c r="I733" s="10"/>
      <c r="J733" s="10"/>
      <c r="K733" s="10"/>
      <c r="L733" s="10">
        <f ca="1">VLOOKUP(dict_DQ_Meth_max[[#This Row],[ID_DataQualities]],table_DataQualities[],8,FALSE)</f>
        <v>4.3999999999999997E-2</v>
      </c>
      <c r="M733" s="10">
        <f ca="1">VLOOKUP(dict_DQ_Meth_max[[#This Row],[ID_DataQualities]],table_DataQualities[],9,FALSE)</f>
        <v>5.21</v>
      </c>
    </row>
    <row r="734" spans="1:13" x14ac:dyDescent="0.45">
      <c r="A734" s="10">
        <v>196</v>
      </c>
      <c r="B734" s="10">
        <v>665</v>
      </c>
      <c r="C7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4" s="10"/>
      <c r="E734" s="10"/>
      <c r="F734" s="12">
        <f ca="1">(RANDBETWEEN(0,50)/100)*(dict_DQ_Meth_max[[#This Row],[Vergleich_ub]]-dict_DQ_Meth_max[[#This Row],[Vergleich_lb]])+dict_DQ_Meth_max[[#This Row],[Vergleich_lb]]</f>
        <v>2339.53397</v>
      </c>
      <c r="G734" s="12">
        <f ca="1">(RANDBETWEEN(50,100)/100)*(dict_DQ_Meth_max[[#This Row],[Vergleich_ub]]-dict_DQ_Meth_max[[#This Row],[Vergleich_lb]])+dict_DQ_Meth_max[[#This Row],[Vergleich_lb]]</f>
        <v>4607.6968500000003</v>
      </c>
      <c r="H734" s="11" t="str">
        <f ca="1">VLOOKUP(VLOOKUP(dict_DQ_Meth_max[[#This Row],[ID_DataQualities]],table_DataQualities[],3),table_Units[],2)</f>
        <v>Hz</v>
      </c>
      <c r="I734" s="10"/>
      <c r="J734" s="10"/>
      <c r="K734" s="10"/>
      <c r="L734" s="10">
        <f ca="1">VLOOKUP(dict_DQ_Meth_max[[#This Row],[ID_DataQualities]],table_DataQualities[],8,FALSE)</f>
        <v>0.49099999999999999</v>
      </c>
      <c r="M734" s="10">
        <f ca="1">VLOOKUP(dict_DQ_Meth_max[[#This Row],[ID_DataQualities]],table_DataQualities[],9,FALSE)</f>
        <v>7088.5</v>
      </c>
    </row>
    <row r="735" spans="1:13" x14ac:dyDescent="0.45">
      <c r="A735" s="10">
        <v>196</v>
      </c>
      <c r="B735" s="10">
        <v>112</v>
      </c>
      <c r="C7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5" s="10"/>
      <c r="E735" s="10"/>
      <c r="F735" s="12">
        <f ca="1">(RANDBETWEEN(0,50)/100)*(dict_DQ_Meth_max[[#This Row],[Vergleich_ub]]-dict_DQ_Meth_max[[#This Row],[Vergleich_lb]])+dict_DQ_Meth_max[[#This Row],[Vergleich_lb]]</f>
        <v>2623.0543299999999</v>
      </c>
      <c r="G735" s="12">
        <f ca="1">(RANDBETWEEN(50,100)/100)*(dict_DQ_Meth_max[[#This Row],[Vergleich_ub]]-dict_DQ_Meth_max[[#This Row],[Vergleich_lb]])+dict_DQ_Meth_max[[#This Row],[Vergleich_lb]]</f>
        <v>6804.9796399999996</v>
      </c>
      <c r="H735" s="11" t="str">
        <f ca="1">VLOOKUP(VLOOKUP(dict_DQ_Meth_max[[#This Row],[ID_DataQualities]],table_DataQualities[],3),table_Units[],2)</f>
        <v>Hz</v>
      </c>
      <c r="I735" s="10"/>
      <c r="J735" s="10"/>
      <c r="K735" s="10"/>
      <c r="L735" s="10">
        <f ca="1">VLOOKUP(dict_DQ_Meth_max[[#This Row],[ID_DataQualities]],table_DataQualities[],8,FALSE)</f>
        <v>0.49099999999999999</v>
      </c>
      <c r="M735" s="10">
        <f ca="1">VLOOKUP(dict_DQ_Meth_max[[#This Row],[ID_DataQualities]],table_DataQualities[],9,FALSE)</f>
        <v>7088.5</v>
      </c>
    </row>
    <row r="736" spans="1:13" x14ac:dyDescent="0.45">
      <c r="A736" s="10">
        <v>196</v>
      </c>
      <c r="B736" s="10">
        <v>128</v>
      </c>
      <c r="C7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6" s="10"/>
      <c r="E736" s="10"/>
      <c r="F736" s="12">
        <f ca="1">(RANDBETWEEN(0,50)/100)*(dict_DQ_Meth_max[[#This Row],[Vergleich_ub]]-dict_DQ_Meth_max[[#This Row],[Vergleich_lb]])+dict_DQ_Meth_max[[#This Row],[Vergleich_lb]]</f>
        <v>2764.8145100000002</v>
      </c>
      <c r="G736" s="12">
        <f ca="1">(RANDBETWEEN(50,100)/100)*(dict_DQ_Meth_max[[#This Row],[Vergleich_ub]]-dict_DQ_Meth_max[[#This Row],[Vergleich_lb]])+dict_DQ_Meth_max[[#This Row],[Vergleich_lb]]</f>
        <v>6450.5791900000004</v>
      </c>
      <c r="H736" s="11" t="str">
        <f ca="1">VLOOKUP(VLOOKUP(dict_DQ_Meth_max[[#This Row],[ID_DataQualities]],table_DataQualities[],3),table_Units[],2)</f>
        <v>Hz</v>
      </c>
      <c r="I736" s="10"/>
      <c r="J736" s="10"/>
      <c r="K736" s="10"/>
      <c r="L736" s="10">
        <f ca="1">VLOOKUP(dict_DQ_Meth_max[[#This Row],[ID_DataQualities]],table_DataQualities[],8,FALSE)</f>
        <v>0.49099999999999999</v>
      </c>
      <c r="M736" s="10">
        <f ca="1">VLOOKUP(dict_DQ_Meth_max[[#This Row],[ID_DataQualities]],table_DataQualities[],9,FALSE)</f>
        <v>7088.5</v>
      </c>
    </row>
    <row r="737" spans="1:13" x14ac:dyDescent="0.45">
      <c r="A737" s="10">
        <v>196</v>
      </c>
      <c r="B737" s="10">
        <v>110</v>
      </c>
      <c r="C7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7" s="10"/>
      <c r="E737" s="10"/>
      <c r="F737" s="12">
        <f ca="1">(RANDBETWEEN(0,50)/100)*(dict_DQ_Meth_max[[#This Row],[Vergleich_ub]]-dict_DQ_Meth_max[[#This Row],[Vergleich_lb]])+dict_DQ_Meth_max[[#This Row],[Vergleich_lb]]</f>
        <v>2764.8145100000002</v>
      </c>
      <c r="G737" s="12">
        <f ca="1">(RANDBETWEEN(50,100)/100)*(dict_DQ_Meth_max[[#This Row],[Vergleich_ub]]-dict_DQ_Meth_max[[#This Row],[Vergleich_lb]])+dict_DQ_Meth_max[[#This Row],[Vergleich_lb]]</f>
        <v>4182.4163099999996</v>
      </c>
      <c r="H737" s="11" t="str">
        <f ca="1">VLOOKUP(VLOOKUP(dict_DQ_Meth_max[[#This Row],[ID_DataQualities]],table_DataQualities[],3),table_Units[],2)</f>
        <v>Hz</v>
      </c>
      <c r="I737" s="10"/>
      <c r="J737" s="10"/>
      <c r="K737" s="10"/>
      <c r="L737" s="10">
        <f ca="1">VLOOKUP(dict_DQ_Meth_max[[#This Row],[ID_DataQualities]],table_DataQualities[],8,FALSE)</f>
        <v>0.49099999999999999</v>
      </c>
      <c r="M737" s="10">
        <f ca="1">VLOOKUP(dict_DQ_Meth_max[[#This Row],[ID_DataQualities]],table_DataQualities[],9,FALSE)</f>
        <v>7088.5</v>
      </c>
    </row>
    <row r="738" spans="1:13" x14ac:dyDescent="0.45">
      <c r="A738" s="10">
        <v>196</v>
      </c>
      <c r="B738" s="10">
        <v>66</v>
      </c>
      <c r="C7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8" s="10"/>
      <c r="E738" s="10"/>
      <c r="F738" s="12">
        <f ca="1">(RANDBETWEEN(0,50)/100)*(dict_DQ_Meth_max[[#This Row],[Vergleich_ub]]-dict_DQ_Meth_max[[#This Row],[Vergleich_lb]])+dict_DQ_Meth_max[[#This Row],[Vergleich_lb]]</f>
        <v>3048.3348700000001</v>
      </c>
      <c r="G738" s="12">
        <f ca="1">(RANDBETWEEN(50,100)/100)*(dict_DQ_Meth_max[[#This Row],[Vergleich_ub]]-dict_DQ_Meth_max[[#This Row],[Vergleich_lb]])+dict_DQ_Meth_max[[#This Row],[Vergleich_lb]]</f>
        <v>6096.1787400000003</v>
      </c>
      <c r="H738" s="11" t="str">
        <f ca="1">VLOOKUP(VLOOKUP(dict_DQ_Meth_max[[#This Row],[ID_DataQualities]],table_DataQualities[],3),table_Units[],2)</f>
        <v>Hz</v>
      </c>
      <c r="I738" s="10"/>
      <c r="J738" s="10"/>
      <c r="K738" s="10"/>
      <c r="L738" s="10">
        <f ca="1">VLOOKUP(dict_DQ_Meth_max[[#This Row],[ID_DataQualities]],table_DataQualities[],8,FALSE)</f>
        <v>0.49099999999999999</v>
      </c>
      <c r="M738" s="10">
        <f ca="1">VLOOKUP(dict_DQ_Meth_max[[#This Row],[ID_DataQualities]],table_DataQualities[],9,FALSE)</f>
        <v>7088.5</v>
      </c>
    </row>
    <row r="739" spans="1:13" x14ac:dyDescent="0.45">
      <c r="A739" s="10">
        <v>197</v>
      </c>
      <c r="B739" s="10">
        <v>665</v>
      </c>
      <c r="C7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39" s="10"/>
      <c r="E739" s="10"/>
      <c r="F739" s="12">
        <f ca="1">(RANDBETWEEN(0,50)/100)*(dict_DQ_Meth_max[[#This Row],[Vergleich_ub]]-dict_DQ_Meth_max[[#This Row],[Vergleich_lb]])+dict_DQ_Meth_max[[#This Row],[Vergleich_lb]]</f>
        <v>350.95000000000005</v>
      </c>
      <c r="G739" s="12">
        <f ca="1">(RANDBETWEEN(50,100)/100)*(dict_DQ_Meth_max[[#This Row],[Vergleich_ub]]-dict_DQ_Meth_max[[#This Row],[Vergleich_lb]])+dict_DQ_Meth_max[[#This Row],[Vergleich_lb]]</f>
        <v>2849.0499999999997</v>
      </c>
      <c r="H739" s="11" t="str">
        <f ca="1">VLOOKUP(VLOOKUP(dict_DQ_Meth_max[[#This Row],[ID_DataQualities]],table_DataQualities[],3),table_Units[],2)</f>
        <v>bit</v>
      </c>
      <c r="I739" s="10"/>
      <c r="J739" s="10"/>
      <c r="K739" s="10"/>
      <c r="L739" s="10">
        <f ca="1">VLOOKUP(dict_DQ_Meth_max[[#This Row],[ID_DataQualities]],table_DataQualities[],8,FALSE)</f>
        <v>86</v>
      </c>
      <c r="M739" s="10">
        <f ca="1">VLOOKUP(dict_DQ_Meth_max[[#This Row],[ID_DataQualities]],table_DataQualities[],9,FALSE)</f>
        <v>3871</v>
      </c>
    </row>
    <row r="740" spans="1:13" x14ac:dyDescent="0.45">
      <c r="A740" s="10">
        <v>197</v>
      </c>
      <c r="B740" s="10">
        <v>66</v>
      </c>
      <c r="C7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0" s="10"/>
      <c r="E740" s="10"/>
      <c r="F740" s="12">
        <f ca="1">(RANDBETWEEN(0,50)/100)*(dict_DQ_Meth_max[[#This Row],[Vergleich_ub]]-dict_DQ_Meth_max[[#This Row],[Vergleich_lb]])+dict_DQ_Meth_max[[#This Row],[Vergleich_lb]]</f>
        <v>1410.75</v>
      </c>
      <c r="G740" s="12">
        <f ca="1">(RANDBETWEEN(50,100)/100)*(dict_DQ_Meth_max[[#This Row],[Vergleich_ub]]-dict_DQ_Meth_max[[#This Row],[Vergleich_lb]])+dict_DQ_Meth_max[[#This Row],[Vergleich_lb]]</f>
        <v>2092.0500000000002</v>
      </c>
      <c r="H740" s="11" t="str">
        <f ca="1">VLOOKUP(VLOOKUP(dict_DQ_Meth_max[[#This Row],[ID_DataQualities]],table_DataQualities[],3),table_Units[],2)</f>
        <v>bit</v>
      </c>
      <c r="I740" s="10"/>
      <c r="J740" s="10"/>
      <c r="K740" s="10"/>
      <c r="L740" s="10">
        <f ca="1">VLOOKUP(dict_DQ_Meth_max[[#This Row],[ID_DataQualities]],table_DataQualities[],8,FALSE)</f>
        <v>86</v>
      </c>
      <c r="M740" s="10">
        <f ca="1">VLOOKUP(dict_DQ_Meth_max[[#This Row],[ID_DataQualities]],table_DataQualities[],9,FALSE)</f>
        <v>3871</v>
      </c>
    </row>
    <row r="741" spans="1:13" x14ac:dyDescent="0.45">
      <c r="A741" s="10">
        <v>197</v>
      </c>
      <c r="B741" s="10">
        <v>128</v>
      </c>
      <c r="C7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1" s="10"/>
      <c r="E741" s="10"/>
      <c r="F741" s="12">
        <f ca="1">(RANDBETWEEN(0,50)/100)*(dict_DQ_Meth_max[[#This Row],[Vergleich_ub]]-dict_DQ_Meth_max[[#This Row],[Vergleich_lb]])+dict_DQ_Meth_max[[#This Row],[Vergleich_lb]]</f>
        <v>123.85</v>
      </c>
      <c r="G741" s="12">
        <f ca="1">(RANDBETWEEN(50,100)/100)*(dict_DQ_Meth_max[[#This Row],[Vergleich_ub]]-dict_DQ_Meth_max[[#This Row],[Vergleich_lb]])+dict_DQ_Meth_max[[#This Row],[Vergleich_lb]]</f>
        <v>3833.15</v>
      </c>
      <c r="H741" s="11" t="str">
        <f ca="1">VLOOKUP(VLOOKUP(dict_DQ_Meth_max[[#This Row],[ID_DataQualities]],table_DataQualities[],3),table_Units[],2)</f>
        <v>bit</v>
      </c>
      <c r="I741" s="10"/>
      <c r="J741" s="10"/>
      <c r="K741" s="10"/>
      <c r="L741" s="10">
        <f ca="1">VLOOKUP(dict_DQ_Meth_max[[#This Row],[ID_DataQualities]],table_DataQualities[],8,FALSE)</f>
        <v>86</v>
      </c>
      <c r="M741" s="10">
        <f ca="1">VLOOKUP(dict_DQ_Meth_max[[#This Row],[ID_DataQualities]],table_DataQualities[],9,FALSE)</f>
        <v>3871</v>
      </c>
    </row>
    <row r="742" spans="1:13" x14ac:dyDescent="0.45">
      <c r="A742" s="10">
        <v>197</v>
      </c>
      <c r="B742" s="10">
        <v>110</v>
      </c>
      <c r="C7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2" s="10"/>
      <c r="E742" s="10"/>
      <c r="F742" s="12">
        <f ca="1">(RANDBETWEEN(0,50)/100)*(dict_DQ_Meth_max[[#This Row],[Vergleich_ub]]-dict_DQ_Meth_max[[#This Row],[Vergleich_lb]])+dict_DQ_Meth_max[[#This Row],[Vergleich_lb]]</f>
        <v>653.75</v>
      </c>
      <c r="G742" s="12">
        <f ca="1">(RANDBETWEEN(50,100)/100)*(dict_DQ_Meth_max[[#This Row],[Vergleich_ub]]-dict_DQ_Meth_max[[#This Row],[Vergleich_lb]])+dict_DQ_Meth_max[[#This Row],[Vergleich_lb]]</f>
        <v>2394.85</v>
      </c>
      <c r="H742" s="11" t="str">
        <f ca="1">VLOOKUP(VLOOKUP(dict_DQ_Meth_max[[#This Row],[ID_DataQualities]],table_DataQualities[],3),table_Units[],2)</f>
        <v>bit</v>
      </c>
      <c r="I742" s="10"/>
      <c r="J742" s="10"/>
      <c r="K742" s="10"/>
      <c r="L742" s="10">
        <f ca="1">VLOOKUP(dict_DQ_Meth_max[[#This Row],[ID_DataQualities]],table_DataQualities[],8,FALSE)</f>
        <v>86</v>
      </c>
      <c r="M742" s="10">
        <f ca="1">VLOOKUP(dict_DQ_Meth_max[[#This Row],[ID_DataQualities]],table_DataQualities[],9,FALSE)</f>
        <v>3871</v>
      </c>
    </row>
    <row r="743" spans="1:13" x14ac:dyDescent="0.45">
      <c r="A743" s="10">
        <v>197</v>
      </c>
      <c r="B743" s="10">
        <v>112</v>
      </c>
      <c r="C7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3" s="10"/>
      <c r="E743" s="10"/>
      <c r="F743" s="12">
        <f ca="1">(RANDBETWEEN(0,50)/100)*(dict_DQ_Meth_max[[#This Row],[Vergleich_ub]]-dict_DQ_Meth_max[[#This Row],[Vergleich_lb]])+dict_DQ_Meth_max[[#This Row],[Vergleich_lb]]</f>
        <v>1448.6</v>
      </c>
      <c r="G743" s="12">
        <f ca="1">(RANDBETWEEN(50,100)/100)*(dict_DQ_Meth_max[[#This Row],[Vergleich_ub]]-dict_DQ_Meth_max[[#This Row],[Vergleich_lb]])+dict_DQ_Meth_max[[#This Row],[Vergleich_lb]]</f>
        <v>2357</v>
      </c>
      <c r="H743" s="11" t="str">
        <f ca="1">VLOOKUP(VLOOKUP(dict_DQ_Meth_max[[#This Row],[ID_DataQualities]],table_DataQualities[],3),table_Units[],2)</f>
        <v>bit</v>
      </c>
      <c r="I743" s="10"/>
      <c r="J743" s="10"/>
      <c r="K743" s="10"/>
      <c r="L743" s="10">
        <f ca="1">VLOOKUP(dict_DQ_Meth_max[[#This Row],[ID_DataQualities]],table_DataQualities[],8,FALSE)</f>
        <v>86</v>
      </c>
      <c r="M743" s="10">
        <f ca="1">VLOOKUP(dict_DQ_Meth_max[[#This Row],[ID_DataQualities]],table_DataQualities[],9,FALSE)</f>
        <v>3871</v>
      </c>
    </row>
    <row r="744" spans="1:13" x14ac:dyDescent="0.45">
      <c r="A744" s="10">
        <v>198</v>
      </c>
      <c r="B744" s="10">
        <v>691</v>
      </c>
      <c r="C7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4" s="10"/>
      <c r="E744" s="10"/>
      <c r="F744" s="12">
        <f ca="1">(RANDBETWEEN(0,50)/100)*(dict_DQ_Meth_max[[#This Row],[Vergleich_ub]]-dict_DQ_Meth_max[[#This Row],[Vergleich_lb]])+dict_DQ_Meth_max[[#This Row],[Vergleich_lb]]</f>
        <v>1010.2428199999999</v>
      </c>
      <c r="G744" s="12">
        <f ca="1">(RANDBETWEEN(50,100)/100)*(dict_DQ_Meth_max[[#This Row],[Vergleich_ub]]-dict_DQ_Meth_max[[#This Row],[Vergleich_lb]])+dict_DQ_Meth_max[[#This Row],[Vergleich_lb]]</f>
        <v>3979.9158200000002</v>
      </c>
      <c r="H744" s="11" t="str">
        <f ca="1">VLOOKUP(VLOOKUP(dict_DQ_Meth_max[[#This Row],[ID_DataQualities]],table_DataQualities[],3),table_Units[],2)</f>
        <v>Hz</v>
      </c>
      <c r="I744" s="10"/>
      <c r="J744" s="10"/>
      <c r="K744" s="10"/>
      <c r="L744" s="10">
        <f ca="1">VLOOKUP(dict_DQ_Meth_max[[#This Row],[ID_DataQualities]],table_DataQualities[],8,FALSE)</f>
        <v>0.55400000000000005</v>
      </c>
      <c r="M744" s="10">
        <f ca="1">VLOOKUP(dict_DQ_Meth_max[[#This Row],[ID_DataQualities]],table_DataQualities[],9,FALSE)</f>
        <v>5939.9</v>
      </c>
    </row>
    <row r="745" spans="1:13" x14ac:dyDescent="0.45">
      <c r="A745" s="10">
        <v>198</v>
      </c>
      <c r="B745" s="10">
        <v>605</v>
      </c>
      <c r="C7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5" s="10"/>
      <c r="E745" s="10"/>
      <c r="F745" s="12">
        <f ca="1">(RANDBETWEEN(0,50)/100)*(dict_DQ_Meth_max[[#This Row],[Vergleich_ub]]-dict_DQ_Meth_max[[#This Row],[Vergleich_lb]])+dict_DQ_Meth_max[[#This Row],[Vergleich_lb]]</f>
        <v>2198.11202</v>
      </c>
      <c r="G745" s="12">
        <f ca="1">(RANDBETWEEN(50,100)/100)*(dict_DQ_Meth_max[[#This Row],[Vergleich_ub]]-dict_DQ_Meth_max[[#This Row],[Vergleich_lb]])+dict_DQ_Meth_max[[#This Row],[Vergleich_lb]]</f>
        <v>3029.6204600000001</v>
      </c>
      <c r="H745" s="11" t="str">
        <f ca="1">VLOOKUP(VLOOKUP(dict_DQ_Meth_max[[#This Row],[ID_DataQualities]],table_DataQualities[],3),table_Units[],2)</f>
        <v>Hz</v>
      </c>
      <c r="I745" s="10"/>
      <c r="J745" s="10"/>
      <c r="K745" s="10"/>
      <c r="L745" s="10">
        <f ca="1">VLOOKUP(dict_DQ_Meth_max[[#This Row],[ID_DataQualities]],table_DataQualities[],8,FALSE)</f>
        <v>0.55400000000000005</v>
      </c>
      <c r="M745" s="10">
        <f ca="1">VLOOKUP(dict_DQ_Meth_max[[#This Row],[ID_DataQualities]],table_DataQualities[],9,FALSE)</f>
        <v>5939.9</v>
      </c>
    </row>
    <row r="746" spans="1:13" x14ac:dyDescent="0.45">
      <c r="A746" s="10">
        <v>199</v>
      </c>
      <c r="B746" s="10">
        <v>691</v>
      </c>
      <c r="C7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6" s="10"/>
      <c r="E746" s="10"/>
      <c r="F746" s="12">
        <f ca="1">(RANDBETWEEN(0,50)/100)*(dict_DQ_Meth_max[[#This Row],[Vergleich_ub]]-dict_DQ_Meth_max[[#This Row],[Vergleich_lb]])+dict_DQ_Meth_max[[#This Row],[Vergleich_lb]]</f>
        <v>0.55000000000000004</v>
      </c>
      <c r="G746" s="12">
        <f ca="1">(RANDBETWEEN(50,100)/100)*(dict_DQ_Meth_max[[#This Row],[Vergleich_ub]]-dict_DQ_Meth_max[[#This Row],[Vergleich_lb]])+dict_DQ_Meth_max[[#This Row],[Vergleich_lb]]</f>
        <v>2.8499999999999996</v>
      </c>
      <c r="H746" s="11" t="str">
        <f ca="1">VLOOKUP(VLOOKUP(dict_DQ_Meth_max[[#This Row],[ID_DataQualities]],table_DataQualities[],3),table_Units[],2)</f>
        <v>+/- °C</v>
      </c>
      <c r="I746" s="10"/>
      <c r="J746" s="10"/>
      <c r="K746" s="10"/>
      <c r="L746" s="10">
        <f ca="1">VLOOKUP(dict_DQ_Meth_max[[#This Row],[ID_DataQualities]],table_DataQualities[],8,FALSE)</f>
        <v>0.5</v>
      </c>
      <c r="M746" s="10">
        <f ca="1">VLOOKUP(dict_DQ_Meth_max[[#This Row],[ID_DataQualities]],table_DataQualities[],9,FALSE)</f>
        <v>3</v>
      </c>
    </row>
    <row r="747" spans="1:13" x14ac:dyDescent="0.45">
      <c r="A747" s="10">
        <v>199</v>
      </c>
      <c r="B747" s="10">
        <v>605</v>
      </c>
      <c r="C7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7" s="10"/>
      <c r="E747" s="10"/>
      <c r="F747" s="12">
        <f ca="1">(RANDBETWEEN(0,50)/100)*(dict_DQ_Meth_max[[#This Row],[Vergleich_ub]]-dict_DQ_Meth_max[[#This Row],[Vergleich_lb]])+dict_DQ_Meth_max[[#This Row],[Vergleich_lb]]</f>
        <v>1.5249999999999999</v>
      </c>
      <c r="G747" s="12">
        <f ca="1">(RANDBETWEEN(50,100)/100)*(dict_DQ_Meth_max[[#This Row],[Vergleich_ub]]-dict_DQ_Meth_max[[#This Row],[Vergleich_lb]])+dict_DQ_Meth_max[[#This Row],[Vergleich_lb]]</f>
        <v>2</v>
      </c>
      <c r="H747" s="11" t="str">
        <f ca="1">VLOOKUP(VLOOKUP(dict_DQ_Meth_max[[#This Row],[ID_DataQualities]],table_DataQualities[],3),table_Units[],2)</f>
        <v>+/- °C</v>
      </c>
      <c r="I747" s="10"/>
      <c r="J747" s="10"/>
      <c r="K747" s="10"/>
      <c r="L747" s="10">
        <f ca="1">VLOOKUP(dict_DQ_Meth_max[[#This Row],[ID_DataQualities]],table_DataQualities[],8,FALSE)</f>
        <v>0.5</v>
      </c>
      <c r="M747" s="10">
        <f ca="1">VLOOKUP(dict_DQ_Meth_max[[#This Row],[ID_DataQualities]],table_DataQualities[],9,FALSE)</f>
        <v>3</v>
      </c>
    </row>
    <row r="748" spans="1:13" x14ac:dyDescent="0.45">
      <c r="A748" s="10">
        <v>200</v>
      </c>
      <c r="B748" s="10">
        <v>305</v>
      </c>
      <c r="C7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8" s="10"/>
      <c r="E748" s="10"/>
      <c r="F748" s="12">
        <f ca="1">(RANDBETWEEN(0,50)/100)*(dict_DQ_Meth_max[[#This Row],[Vergleich_ub]]-dict_DQ_Meth_max[[#This Row],[Vergleich_lb]])+dict_DQ_Meth_max[[#This Row],[Vergleich_lb]]</f>
        <v>534.65550000000007</v>
      </c>
      <c r="G748" s="12">
        <f ca="1">(RANDBETWEEN(50,100)/100)*(dict_DQ_Meth_max[[#This Row],[Vergleich_ub]]-dict_DQ_Meth_max[[#This Row],[Vergleich_lb]])+dict_DQ_Meth_max[[#This Row],[Vergleich_lb]]</f>
        <v>1206.3287</v>
      </c>
      <c r="H748" s="11" t="str">
        <f ca="1">VLOOKUP(VLOOKUP(dict_DQ_Meth_max[[#This Row],[ID_DataQualities]],table_DataQualities[],3),table_Units[],2)</f>
        <v>Hz</v>
      </c>
      <c r="I748" s="10"/>
      <c r="J748" s="10"/>
      <c r="K748" s="10"/>
      <c r="L748" s="10">
        <f ca="1">VLOOKUP(dict_DQ_Meth_max[[#This Row],[ID_DataQualities]],table_DataQualities[],8,FALSE)</f>
        <v>0.37</v>
      </c>
      <c r="M748" s="10">
        <f ca="1">VLOOKUP(dict_DQ_Meth_max[[#This Row],[ID_DataQualities]],table_DataQualities[],9,FALSE)</f>
        <v>1526.9</v>
      </c>
    </row>
    <row r="749" spans="1:13" x14ac:dyDescent="0.45">
      <c r="A749" s="10">
        <v>200</v>
      </c>
      <c r="B749" s="10">
        <v>610</v>
      </c>
      <c r="C7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49" s="10"/>
      <c r="E749" s="10"/>
      <c r="F749" s="12">
        <f ca="1">(RANDBETWEEN(0,50)/100)*(dict_DQ_Meth_max[[#This Row],[Vergleich_ub]]-dict_DQ_Meth_max[[#This Row],[Vergleich_lb]])+dict_DQ_Meth_max[[#This Row],[Vergleich_lb]]</f>
        <v>0.37</v>
      </c>
      <c r="G749" s="12">
        <f ca="1">(RANDBETWEEN(50,100)/100)*(dict_DQ_Meth_max[[#This Row],[Vergleich_ub]]-dict_DQ_Meth_max[[#This Row],[Vergleich_lb]])+dict_DQ_Meth_max[[#This Row],[Vergleich_lb]]</f>
        <v>1420.0429000000001</v>
      </c>
      <c r="H749" s="11" t="str">
        <f ca="1">VLOOKUP(VLOOKUP(dict_DQ_Meth_max[[#This Row],[ID_DataQualities]],table_DataQualities[],3),table_Units[],2)</f>
        <v>Hz</v>
      </c>
      <c r="I749" s="10"/>
      <c r="J749" s="10"/>
      <c r="K749" s="10"/>
      <c r="L749" s="10">
        <f ca="1">VLOOKUP(dict_DQ_Meth_max[[#This Row],[ID_DataQualities]],table_DataQualities[],8,FALSE)</f>
        <v>0.37</v>
      </c>
      <c r="M749" s="10">
        <f ca="1">VLOOKUP(dict_DQ_Meth_max[[#This Row],[ID_DataQualities]],table_DataQualities[],9,FALSE)</f>
        <v>1526.9</v>
      </c>
    </row>
    <row r="750" spans="1:13" x14ac:dyDescent="0.45">
      <c r="A750" s="10">
        <v>200</v>
      </c>
      <c r="B750" s="10">
        <v>22</v>
      </c>
      <c r="C7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0" s="10"/>
      <c r="E750" s="10"/>
      <c r="F750" s="12">
        <f ca="1">(RANDBETWEEN(0,50)/100)*(dict_DQ_Meth_max[[#This Row],[Vergleich_ub]]-dict_DQ_Meth_max[[#This Row],[Vergleich_lb]])+dict_DQ_Meth_max[[#This Row],[Vergleich_lb]]</f>
        <v>626.2473</v>
      </c>
      <c r="G750" s="12">
        <f ca="1">(RANDBETWEEN(50,100)/100)*(dict_DQ_Meth_max[[#This Row],[Vergleich_ub]]-dict_DQ_Meth_max[[#This Row],[Vergleich_lb]])+dict_DQ_Meth_max[[#This Row],[Vergleich_lb]]</f>
        <v>1206.3287</v>
      </c>
      <c r="H750" s="11" t="str">
        <f ca="1">VLOOKUP(VLOOKUP(dict_DQ_Meth_max[[#This Row],[ID_DataQualities]],table_DataQualities[],3),table_Units[],2)</f>
        <v>Hz</v>
      </c>
      <c r="I750" s="10"/>
      <c r="J750" s="10"/>
      <c r="K750" s="10"/>
      <c r="L750" s="10">
        <f ca="1">VLOOKUP(dict_DQ_Meth_max[[#This Row],[ID_DataQualities]],table_DataQualities[],8,FALSE)</f>
        <v>0.37</v>
      </c>
      <c r="M750" s="10">
        <f ca="1">VLOOKUP(dict_DQ_Meth_max[[#This Row],[ID_DataQualities]],table_DataQualities[],9,FALSE)</f>
        <v>1526.9</v>
      </c>
    </row>
    <row r="751" spans="1:13" x14ac:dyDescent="0.45">
      <c r="A751" s="10">
        <v>200</v>
      </c>
      <c r="B751" s="10">
        <v>447</v>
      </c>
      <c r="C7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1" s="10"/>
      <c r="E751" s="10"/>
      <c r="F751" s="12">
        <f ca="1">(RANDBETWEEN(0,50)/100)*(dict_DQ_Meth_max[[#This Row],[Vergleich_ub]]-dict_DQ_Meth_max[[#This Row],[Vergleich_lb]])+dict_DQ_Meth_max[[#This Row],[Vergleich_lb]]</f>
        <v>198.81890000000004</v>
      </c>
      <c r="G751" s="12">
        <f ca="1">(RANDBETWEEN(50,100)/100)*(dict_DQ_Meth_max[[#This Row],[Vergleich_ub]]-dict_DQ_Meth_max[[#This Row],[Vergleich_lb]])+dict_DQ_Meth_max[[#This Row],[Vergleich_lb]]</f>
        <v>1526.9</v>
      </c>
      <c r="H751" s="11" t="str">
        <f ca="1">VLOOKUP(VLOOKUP(dict_DQ_Meth_max[[#This Row],[ID_DataQualities]],table_DataQualities[],3),table_Units[],2)</f>
        <v>Hz</v>
      </c>
      <c r="I751" s="10"/>
      <c r="J751" s="10"/>
      <c r="K751" s="10"/>
      <c r="L751" s="10">
        <f ca="1">VLOOKUP(dict_DQ_Meth_max[[#This Row],[ID_DataQualities]],table_DataQualities[],8,FALSE)</f>
        <v>0.37</v>
      </c>
      <c r="M751" s="10">
        <f ca="1">VLOOKUP(dict_DQ_Meth_max[[#This Row],[ID_DataQualities]],table_DataQualities[],9,FALSE)</f>
        <v>1526.9</v>
      </c>
    </row>
    <row r="752" spans="1:13" x14ac:dyDescent="0.45">
      <c r="A752" s="10">
        <v>201</v>
      </c>
      <c r="B752" s="10">
        <v>610</v>
      </c>
      <c r="C7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2" s="10"/>
      <c r="E752" s="10"/>
      <c r="F752" s="12">
        <f ca="1">(RANDBETWEEN(0,50)/100)*(dict_DQ_Meth_max[[#This Row],[Vergleich_ub]]-dict_DQ_Meth_max[[#This Row],[Vergleich_lb]])+dict_DQ_Meth_max[[#This Row],[Vergleich_lb]]</f>
        <v>2.5214E-2</v>
      </c>
      <c r="G752" s="12">
        <f ca="1">(RANDBETWEEN(50,100)/100)*(dict_DQ_Meth_max[[#This Row],[Vergleich_ub]]-dict_DQ_Meth_max[[#This Row],[Vergleich_lb]])+dict_DQ_Meth_max[[#This Row],[Vergleich_lb]]</f>
        <v>4.2264000000000003E-2</v>
      </c>
      <c r="H752" s="11" t="str">
        <f ca="1">VLOOKUP(VLOOKUP(dict_DQ_Meth_max[[#This Row],[ID_DataQualities]],table_DataQualities[],3),table_Units[],2)</f>
        <v>+/- cm³/s</v>
      </c>
      <c r="I752" s="10"/>
      <c r="J752" s="10"/>
      <c r="K752" s="10"/>
      <c r="L752" s="10">
        <f ca="1">VLOOKUP(dict_DQ_Meth_max[[#This Row],[ID_DataQualities]],table_DataQualities[],8,FALSE)</f>
        <v>6.7999999999999996E-3</v>
      </c>
      <c r="M752" s="10">
        <f ca="1">VLOOKUP(dict_DQ_Meth_max[[#This Row],[ID_DataQualities]],table_DataQualities[],9,FALSE)</f>
        <v>7.4999999999999997E-2</v>
      </c>
    </row>
    <row r="753" spans="1:13" x14ac:dyDescent="0.45">
      <c r="A753" s="10">
        <v>201</v>
      </c>
      <c r="B753" s="10">
        <v>305</v>
      </c>
      <c r="C7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3" s="10"/>
      <c r="E753" s="10"/>
      <c r="F753" s="12">
        <f ca="1">(RANDBETWEEN(0,50)/100)*(dict_DQ_Meth_max[[#This Row],[Vergleich_ub]]-dict_DQ_Meth_max[[#This Row],[Vergleich_lb]])+dict_DQ_Meth_max[[#This Row],[Vergleich_lb]]</f>
        <v>3.8171999999999998E-2</v>
      </c>
      <c r="G753" s="12">
        <f ca="1">(RANDBETWEEN(50,100)/100)*(dict_DQ_Meth_max[[#This Row],[Vergleich_ub]]-dict_DQ_Meth_max[[#This Row],[Vergleich_lb]])+dict_DQ_Meth_max[[#This Row],[Vergleich_lb]]</f>
        <v>6.0678000000000003E-2</v>
      </c>
      <c r="H753" s="11" t="str">
        <f ca="1">VLOOKUP(VLOOKUP(dict_DQ_Meth_max[[#This Row],[ID_DataQualities]],table_DataQualities[],3),table_Units[],2)</f>
        <v>+/- cm³/s</v>
      </c>
      <c r="I753" s="10"/>
      <c r="J753" s="10"/>
      <c r="K753" s="10"/>
      <c r="L753" s="10">
        <f ca="1">VLOOKUP(dict_DQ_Meth_max[[#This Row],[ID_DataQualities]],table_DataQualities[],8,FALSE)</f>
        <v>6.7999999999999996E-3</v>
      </c>
      <c r="M753" s="10">
        <f ca="1">VLOOKUP(dict_DQ_Meth_max[[#This Row],[ID_DataQualities]],table_DataQualities[],9,FALSE)</f>
        <v>7.4999999999999997E-2</v>
      </c>
    </row>
    <row r="754" spans="1:13" x14ac:dyDescent="0.45">
      <c r="A754" s="10">
        <v>201</v>
      </c>
      <c r="B754" s="10">
        <v>22</v>
      </c>
      <c r="C7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4" s="10"/>
      <c r="E754" s="10"/>
      <c r="F754" s="12">
        <f ca="1">(RANDBETWEEN(0,50)/100)*(dict_DQ_Meth_max[[#This Row],[Vergleich_ub]]-dict_DQ_Meth_max[[#This Row],[Vergleich_lb]])+dict_DQ_Meth_max[[#This Row],[Vergleich_lb]]</f>
        <v>4.0217999999999997E-2</v>
      </c>
      <c r="G754" s="12">
        <f ca="1">(RANDBETWEEN(50,100)/100)*(dict_DQ_Meth_max[[#This Row],[Vergleich_ub]]-dict_DQ_Meth_max[[#This Row],[Vergleich_lb]])+dict_DQ_Meth_max[[#This Row],[Vergleich_lb]]</f>
        <v>5.5221999999999993E-2</v>
      </c>
      <c r="H754" s="11" t="str">
        <f ca="1">VLOOKUP(VLOOKUP(dict_DQ_Meth_max[[#This Row],[ID_DataQualities]],table_DataQualities[],3),table_Units[],2)</f>
        <v>+/- cm³/s</v>
      </c>
      <c r="I754" s="10"/>
      <c r="J754" s="10"/>
      <c r="K754" s="10"/>
      <c r="L754" s="10">
        <f ca="1">VLOOKUP(dict_DQ_Meth_max[[#This Row],[ID_DataQualities]],table_DataQualities[],8,FALSE)</f>
        <v>6.7999999999999996E-3</v>
      </c>
      <c r="M754" s="10">
        <f ca="1">VLOOKUP(dict_DQ_Meth_max[[#This Row],[ID_DataQualities]],table_DataQualities[],9,FALSE)</f>
        <v>7.4999999999999997E-2</v>
      </c>
    </row>
    <row r="755" spans="1:13" x14ac:dyDescent="0.45">
      <c r="A755" s="10">
        <v>201</v>
      </c>
      <c r="B755" s="10">
        <v>447</v>
      </c>
      <c r="C7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5" s="10"/>
      <c r="E755" s="10"/>
      <c r="F755" s="12">
        <f ca="1">(RANDBETWEEN(0,50)/100)*(dict_DQ_Meth_max[[#This Row],[Vergleich_ub]]-dict_DQ_Meth_max[[#This Row],[Vergleich_lb]])+dict_DQ_Meth_max[[#This Row],[Vergleich_lb]]</f>
        <v>1.4983999999999997E-2</v>
      </c>
      <c r="G755" s="12">
        <f ca="1">(RANDBETWEEN(50,100)/100)*(dict_DQ_Meth_max[[#This Row],[Vergleich_ub]]-dict_DQ_Meth_max[[#This Row],[Vergleich_lb]])+dict_DQ_Meth_max[[#This Row],[Vergleich_lb]]</f>
        <v>4.2945999999999998E-2</v>
      </c>
      <c r="H755" s="11" t="str">
        <f ca="1">VLOOKUP(VLOOKUP(dict_DQ_Meth_max[[#This Row],[ID_DataQualities]],table_DataQualities[],3),table_Units[],2)</f>
        <v>+/- cm³/s</v>
      </c>
      <c r="I755" s="10"/>
      <c r="J755" s="10"/>
      <c r="K755" s="10"/>
      <c r="L755" s="10">
        <f ca="1">VLOOKUP(dict_DQ_Meth_max[[#This Row],[ID_DataQualities]],table_DataQualities[],8,FALSE)</f>
        <v>6.7999999999999996E-3</v>
      </c>
      <c r="M755" s="10">
        <f ca="1">VLOOKUP(dict_DQ_Meth_max[[#This Row],[ID_DataQualities]],table_DataQualities[],9,FALSE)</f>
        <v>7.4999999999999997E-2</v>
      </c>
    </row>
    <row r="756" spans="1:13" x14ac:dyDescent="0.45">
      <c r="A756" s="10">
        <v>202</v>
      </c>
      <c r="B756" s="10">
        <v>644</v>
      </c>
      <c r="C7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6" s="10"/>
      <c r="E756" s="10"/>
      <c r="F756" s="12">
        <f ca="1">(RANDBETWEEN(0,50)/100)*(dict_DQ_Meth_max[[#This Row],[Vergleich_ub]]-dict_DQ_Meth_max[[#This Row],[Vergleich_lb]])+dict_DQ_Meth_max[[#This Row],[Vergleich_lb]]</f>
        <v>3895.2861000000003</v>
      </c>
      <c r="G756" s="12">
        <f ca="1">(RANDBETWEEN(50,100)/100)*(dict_DQ_Meth_max[[#This Row],[Vergleich_ub]]-dict_DQ_Meth_max[[#This Row],[Vergleich_lb]])+dict_DQ_Meth_max[[#This Row],[Vergleich_lb]]</f>
        <v>8222.9351000000006</v>
      </c>
      <c r="H756" s="11" t="str">
        <f ca="1">VLOOKUP(VLOOKUP(dict_DQ_Meth_max[[#This Row],[ID_DataQualities]],table_DataQualities[],3),table_Units[],2)</f>
        <v>Hz</v>
      </c>
      <c r="I756" s="10"/>
      <c r="J756" s="10"/>
      <c r="K756" s="10"/>
      <c r="L756" s="10">
        <f ca="1">VLOOKUP(dict_DQ_Meth_max[[#This Row],[ID_DataQualities]],table_DataQualities[],8,FALSE)</f>
        <v>0.40200000000000002</v>
      </c>
      <c r="M756" s="10">
        <f ca="1">VLOOKUP(dict_DQ_Meth_max[[#This Row],[ID_DataQualities]],table_DataQualities[],9,FALSE)</f>
        <v>8655.7000000000007</v>
      </c>
    </row>
    <row r="757" spans="1:13" x14ac:dyDescent="0.45">
      <c r="A757" s="10">
        <v>202</v>
      </c>
      <c r="B757" s="10">
        <v>194</v>
      </c>
      <c r="C7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7" s="10"/>
      <c r="E757" s="10"/>
      <c r="F757" s="12">
        <f ca="1">(RANDBETWEEN(0,50)/100)*(dict_DQ_Meth_max[[#This Row],[Vergleich_ub]]-dict_DQ_Meth_max[[#This Row],[Vergleich_lb]])+dict_DQ_Meth_max[[#This Row],[Vergleich_lb]]</f>
        <v>3029.7563</v>
      </c>
      <c r="G757" s="12">
        <f ca="1">(RANDBETWEEN(50,100)/100)*(dict_DQ_Meth_max[[#This Row],[Vergleich_ub]]-dict_DQ_Meth_max[[#This Row],[Vergleich_lb]])+dict_DQ_Meth_max[[#This Row],[Vergleich_lb]]</f>
        <v>6145.6635800000004</v>
      </c>
      <c r="H757" s="11" t="str">
        <f ca="1">VLOOKUP(VLOOKUP(dict_DQ_Meth_max[[#This Row],[ID_DataQualities]],table_DataQualities[],3),table_Units[],2)</f>
        <v>Hz</v>
      </c>
      <c r="I757" s="10"/>
      <c r="J757" s="10"/>
      <c r="K757" s="10"/>
      <c r="L757" s="10">
        <f ca="1">VLOOKUP(dict_DQ_Meth_max[[#This Row],[ID_DataQualities]],table_DataQualities[],8,FALSE)</f>
        <v>0.40200000000000002</v>
      </c>
      <c r="M757" s="10">
        <f ca="1">VLOOKUP(dict_DQ_Meth_max[[#This Row],[ID_DataQualities]],table_DataQualities[],9,FALSE)</f>
        <v>8655.7000000000007</v>
      </c>
    </row>
    <row r="758" spans="1:13" x14ac:dyDescent="0.45">
      <c r="A758" s="10">
        <v>202</v>
      </c>
      <c r="B758" s="10">
        <v>289</v>
      </c>
      <c r="C7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8" s="10"/>
      <c r="E758" s="10"/>
      <c r="F758" s="12">
        <f ca="1">(RANDBETWEEN(0,50)/100)*(dict_DQ_Meth_max[[#This Row],[Vergleich_ub]]-dict_DQ_Meth_max[[#This Row],[Vergleich_lb]])+dict_DQ_Meth_max[[#This Row],[Vergleich_lb]]</f>
        <v>2510.43842</v>
      </c>
      <c r="G758" s="12">
        <f ca="1">(RANDBETWEEN(50,100)/100)*(dict_DQ_Meth_max[[#This Row],[Vergleich_ub]]-dict_DQ_Meth_max[[#This Row],[Vergleich_lb]])+dict_DQ_Meth_max[[#This Row],[Vergleich_lb]]</f>
        <v>8655.7000000000007</v>
      </c>
      <c r="H758" s="11" t="str">
        <f ca="1">VLOOKUP(VLOOKUP(dict_DQ_Meth_max[[#This Row],[ID_DataQualities]],table_DataQualities[],3),table_Units[],2)</f>
        <v>Hz</v>
      </c>
      <c r="I758" s="10"/>
      <c r="J758" s="10"/>
      <c r="K758" s="10"/>
      <c r="L758" s="10">
        <f ca="1">VLOOKUP(dict_DQ_Meth_max[[#This Row],[ID_DataQualities]],table_DataQualities[],8,FALSE)</f>
        <v>0.40200000000000002</v>
      </c>
      <c r="M758" s="10">
        <f ca="1">VLOOKUP(dict_DQ_Meth_max[[#This Row],[ID_DataQualities]],table_DataQualities[],9,FALSE)</f>
        <v>8655.7000000000007</v>
      </c>
    </row>
    <row r="759" spans="1:13" x14ac:dyDescent="0.45">
      <c r="A759" s="10">
        <v>202</v>
      </c>
      <c r="B759" s="10">
        <v>589</v>
      </c>
      <c r="C7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59" s="10"/>
      <c r="E759" s="10"/>
      <c r="F759" s="12">
        <f ca="1">(RANDBETWEEN(0,50)/100)*(dict_DQ_Meth_max[[#This Row],[Vergleich_ub]]-dict_DQ_Meth_max[[#This Row],[Vergleich_lb]])+dict_DQ_Meth_max[[#This Row],[Vergleich_lb]]</f>
        <v>692.82584000000008</v>
      </c>
      <c r="G759" s="12">
        <f ca="1">(RANDBETWEEN(50,100)/100)*(dict_DQ_Meth_max[[#This Row],[Vergleich_ub]]-dict_DQ_Meth_max[[#This Row],[Vergleich_lb]])+dict_DQ_Meth_max[[#This Row],[Vergleich_lb]]</f>
        <v>5972.5576200000005</v>
      </c>
      <c r="H759" s="11" t="str">
        <f ca="1">VLOOKUP(VLOOKUP(dict_DQ_Meth_max[[#This Row],[ID_DataQualities]],table_DataQualities[],3),table_Units[],2)</f>
        <v>Hz</v>
      </c>
      <c r="I759" s="10"/>
      <c r="J759" s="10"/>
      <c r="K759" s="10"/>
      <c r="L759" s="10">
        <f ca="1">VLOOKUP(dict_DQ_Meth_max[[#This Row],[ID_DataQualities]],table_DataQualities[],8,FALSE)</f>
        <v>0.40200000000000002</v>
      </c>
      <c r="M759" s="10">
        <f ca="1">VLOOKUP(dict_DQ_Meth_max[[#This Row],[ID_DataQualities]],table_DataQualities[],9,FALSE)</f>
        <v>8655.7000000000007</v>
      </c>
    </row>
    <row r="760" spans="1:13" x14ac:dyDescent="0.45">
      <c r="A760" s="10">
        <v>203</v>
      </c>
      <c r="B760" s="10">
        <v>644</v>
      </c>
      <c r="C7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0" s="10"/>
      <c r="E760" s="10"/>
      <c r="F760" s="12">
        <f ca="1">(RANDBETWEEN(0,50)/100)*(dict_DQ_Meth_max[[#This Row],[Vergleich_ub]]-dict_DQ_Meth_max[[#This Row],[Vergleich_lb]])+dict_DQ_Meth_max[[#This Row],[Vergleich_lb]]</f>
        <v>1481.29</v>
      </c>
      <c r="G760" s="12">
        <f ca="1">(RANDBETWEEN(50,100)/100)*(dict_DQ_Meth_max[[#This Row],[Vergleich_ub]]-dict_DQ_Meth_max[[#This Row],[Vergleich_lb]])+dict_DQ_Meth_max[[#This Row],[Vergleich_lb]]</f>
        <v>3671.02</v>
      </c>
      <c r="H760" s="11" t="str">
        <f ca="1">VLOOKUP(VLOOKUP(dict_DQ_Meth_max[[#This Row],[ID_DataQualities]],table_DataQualities[],3),table_Units[],2)</f>
        <v>bit</v>
      </c>
      <c r="I760" s="10"/>
      <c r="J760" s="10"/>
      <c r="K760" s="10"/>
      <c r="L760" s="10">
        <f ca="1">VLOOKUP(dict_DQ_Meth_max[[#This Row],[ID_DataQualities]],table_DataQualities[],8,FALSE)</f>
        <v>37</v>
      </c>
      <c r="M760" s="10">
        <f ca="1">VLOOKUP(dict_DQ_Meth_max[[#This Row],[ID_DataQualities]],table_DataQualities[],9,FALSE)</f>
        <v>4696</v>
      </c>
    </row>
    <row r="761" spans="1:13" x14ac:dyDescent="0.45">
      <c r="A761" s="10">
        <v>203</v>
      </c>
      <c r="B761" s="10">
        <v>194</v>
      </c>
      <c r="C7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1" s="10"/>
      <c r="E761" s="10"/>
      <c r="F761" s="12">
        <f ca="1">(RANDBETWEEN(0,50)/100)*(dict_DQ_Meth_max[[#This Row],[Vergleich_ub]]-dict_DQ_Meth_max[[#This Row],[Vergleich_lb]])+dict_DQ_Meth_max[[#This Row],[Vergleich_lb]]</f>
        <v>1201.75</v>
      </c>
      <c r="G761" s="12">
        <f ca="1">(RANDBETWEEN(50,100)/100)*(dict_DQ_Meth_max[[#This Row],[Vergleich_ub]]-dict_DQ_Meth_max[[#This Row],[Vergleich_lb]])+dict_DQ_Meth_max[[#This Row],[Vergleich_lb]]</f>
        <v>2413.09</v>
      </c>
      <c r="H761" s="11" t="str">
        <f ca="1">VLOOKUP(VLOOKUP(dict_DQ_Meth_max[[#This Row],[ID_DataQualities]],table_DataQualities[],3),table_Units[],2)</f>
        <v>bit</v>
      </c>
      <c r="I761" s="10"/>
      <c r="J761" s="10"/>
      <c r="K761" s="10"/>
      <c r="L761" s="10">
        <f ca="1">VLOOKUP(dict_DQ_Meth_max[[#This Row],[ID_DataQualities]],table_DataQualities[],8,FALSE)</f>
        <v>37</v>
      </c>
      <c r="M761" s="10">
        <f ca="1">VLOOKUP(dict_DQ_Meth_max[[#This Row],[ID_DataQualities]],table_DataQualities[],9,FALSE)</f>
        <v>4696</v>
      </c>
    </row>
    <row r="762" spans="1:13" x14ac:dyDescent="0.45">
      <c r="A762" s="10">
        <v>203</v>
      </c>
      <c r="B762" s="10">
        <v>289</v>
      </c>
      <c r="C7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2" s="10"/>
      <c r="E762" s="10"/>
      <c r="F762" s="12">
        <f ca="1">(RANDBETWEEN(0,50)/100)*(dict_DQ_Meth_max[[#This Row],[Vergleich_ub]]-dict_DQ_Meth_max[[#This Row],[Vergleich_lb]])+dict_DQ_Meth_max[[#This Row],[Vergleich_lb]]</f>
        <v>829.03000000000009</v>
      </c>
      <c r="G762" s="12">
        <f ca="1">(RANDBETWEEN(50,100)/100)*(dict_DQ_Meth_max[[#This Row],[Vergleich_ub]]-dict_DQ_Meth_max[[#This Row],[Vergleich_lb]])+dict_DQ_Meth_max[[#This Row],[Vergleich_lb]]</f>
        <v>3298.2999999999997</v>
      </c>
      <c r="H762" s="11" t="str">
        <f ca="1">VLOOKUP(VLOOKUP(dict_DQ_Meth_max[[#This Row],[ID_DataQualities]],table_DataQualities[],3),table_Units[],2)</f>
        <v>bit</v>
      </c>
      <c r="I762" s="10"/>
      <c r="J762" s="10"/>
      <c r="K762" s="10"/>
      <c r="L762" s="10">
        <f ca="1">VLOOKUP(dict_DQ_Meth_max[[#This Row],[ID_DataQualities]],table_DataQualities[],8,FALSE)</f>
        <v>37</v>
      </c>
      <c r="M762" s="10">
        <f ca="1">VLOOKUP(dict_DQ_Meth_max[[#This Row],[ID_DataQualities]],table_DataQualities[],9,FALSE)</f>
        <v>4696</v>
      </c>
    </row>
    <row r="763" spans="1:13" x14ac:dyDescent="0.45">
      <c r="A763" s="10">
        <v>203</v>
      </c>
      <c r="B763" s="10">
        <v>589</v>
      </c>
      <c r="C7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3" s="10"/>
      <c r="E763" s="10"/>
      <c r="F763" s="12">
        <f ca="1">(RANDBETWEEN(0,50)/100)*(dict_DQ_Meth_max[[#This Row],[Vergleich_ub]]-dict_DQ_Meth_max[[#This Row],[Vergleich_lb]])+dict_DQ_Meth_max[[#This Row],[Vergleich_lb]]</f>
        <v>735.85</v>
      </c>
      <c r="G763" s="12">
        <f ca="1">(RANDBETWEEN(50,100)/100)*(dict_DQ_Meth_max[[#This Row],[Vergleich_ub]]-dict_DQ_Meth_max[[#This Row],[Vergleich_lb]])+dict_DQ_Meth_max[[#This Row],[Vergleich_lb]]</f>
        <v>2366.5</v>
      </c>
      <c r="H763" s="11" t="str">
        <f ca="1">VLOOKUP(VLOOKUP(dict_DQ_Meth_max[[#This Row],[ID_DataQualities]],table_DataQualities[],3),table_Units[],2)</f>
        <v>bit</v>
      </c>
      <c r="I763" s="10"/>
      <c r="J763" s="10"/>
      <c r="K763" s="10"/>
      <c r="L763" s="10">
        <f ca="1">VLOOKUP(dict_DQ_Meth_max[[#This Row],[ID_DataQualities]],table_DataQualities[],8,FALSE)</f>
        <v>37</v>
      </c>
      <c r="M763" s="10">
        <f ca="1">VLOOKUP(dict_DQ_Meth_max[[#This Row],[ID_DataQualities]],table_DataQualities[],9,FALSE)</f>
        <v>4696</v>
      </c>
    </row>
    <row r="764" spans="1:13" x14ac:dyDescent="0.45">
      <c r="A764" s="10">
        <v>204</v>
      </c>
      <c r="B764" s="10">
        <v>407</v>
      </c>
      <c r="C7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4" s="10"/>
      <c r="E764" s="10"/>
      <c r="F764" s="12">
        <f ca="1">(RANDBETWEEN(0,50)/100)*(dict_DQ_Meth_max[[#This Row],[Vergleich_ub]]-dict_DQ_Meth_max[[#This Row],[Vergleich_lb]])+dict_DQ_Meth_max[[#This Row],[Vergleich_lb]]</f>
        <v>754.72260000000006</v>
      </c>
      <c r="G764" s="12">
        <f ca="1">(RANDBETWEEN(50,100)/100)*(dict_DQ_Meth_max[[#This Row],[Vergleich_ub]]-dict_DQ_Meth_max[[#This Row],[Vergleich_lb]])+dict_DQ_Meth_max[[#This Row],[Vergleich_lb]]</f>
        <v>2957.9702000000002</v>
      </c>
      <c r="H764" s="11" t="str">
        <f ca="1">VLOOKUP(VLOOKUP(dict_DQ_Meth_max[[#This Row],[ID_DataQualities]],table_DataQualities[],3),table_Units[],2)</f>
        <v>Hz</v>
      </c>
      <c r="I764" s="10"/>
      <c r="J764" s="10"/>
      <c r="K764" s="10"/>
      <c r="L764" s="10">
        <f ca="1">VLOOKUP(dict_DQ_Meth_max[[#This Row],[ID_DataQualities]],table_DataQualities[],8,FALSE)</f>
        <v>0.98</v>
      </c>
      <c r="M764" s="10">
        <f ca="1">VLOOKUP(dict_DQ_Meth_max[[#This Row],[ID_DataQualities]],table_DataQualities[],9,FALSE)</f>
        <v>5799</v>
      </c>
    </row>
    <row r="765" spans="1:13" x14ac:dyDescent="0.45">
      <c r="A765" s="10">
        <v>204</v>
      </c>
      <c r="B765" s="10">
        <v>600</v>
      </c>
      <c r="C7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5" s="10"/>
      <c r="E765" s="10"/>
      <c r="F765" s="12">
        <f ca="1">(RANDBETWEEN(0,50)/100)*(dict_DQ_Meth_max[[#This Row],[Vergleich_ub]]-dict_DQ_Meth_max[[#This Row],[Vergleich_lb]])+dict_DQ_Meth_max[[#This Row],[Vergleich_lb]]</f>
        <v>638.76220000000012</v>
      </c>
      <c r="G765" s="12">
        <f ca="1">(RANDBETWEEN(50,100)/100)*(dict_DQ_Meth_max[[#This Row],[Vergleich_ub]]-dict_DQ_Meth_max[[#This Row],[Vergleich_lb]])+dict_DQ_Meth_max[[#This Row],[Vergleich_lb]]</f>
        <v>3015.9504000000002</v>
      </c>
      <c r="H765" s="11" t="str">
        <f ca="1">VLOOKUP(VLOOKUP(dict_DQ_Meth_max[[#This Row],[ID_DataQualities]],table_DataQualities[],3),table_Units[],2)</f>
        <v>Hz</v>
      </c>
      <c r="I765" s="10"/>
      <c r="J765" s="10"/>
      <c r="K765" s="10"/>
      <c r="L765" s="10">
        <f ca="1">VLOOKUP(dict_DQ_Meth_max[[#This Row],[ID_DataQualities]],table_DataQualities[],8,FALSE)</f>
        <v>0.98</v>
      </c>
      <c r="M765" s="10">
        <f ca="1">VLOOKUP(dict_DQ_Meth_max[[#This Row],[ID_DataQualities]],table_DataQualities[],9,FALSE)</f>
        <v>5799</v>
      </c>
    </row>
    <row r="766" spans="1:13" x14ac:dyDescent="0.45">
      <c r="A766" s="10">
        <v>204</v>
      </c>
      <c r="B766" s="10">
        <v>298</v>
      </c>
      <c r="C7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6" s="10"/>
      <c r="E766" s="10"/>
      <c r="F766" s="12">
        <f ca="1">(RANDBETWEEN(0,50)/100)*(dict_DQ_Meth_max[[#This Row],[Vergleich_ub]]-dict_DQ_Meth_max[[#This Row],[Vergleich_lb]])+dict_DQ_Meth_max[[#This Row],[Vergleich_lb]]</f>
        <v>2784.0296000000003</v>
      </c>
      <c r="G766" s="12">
        <f ca="1">(RANDBETWEEN(50,100)/100)*(dict_DQ_Meth_max[[#This Row],[Vergleich_ub]]-dict_DQ_Meth_max[[#This Row],[Vergleich_lb]])+dict_DQ_Meth_max[[#This Row],[Vergleich_lb]]</f>
        <v>4233.5346</v>
      </c>
      <c r="H766" s="11" t="str">
        <f ca="1">VLOOKUP(VLOOKUP(dict_DQ_Meth_max[[#This Row],[ID_DataQualities]],table_DataQualities[],3),table_Units[],2)</f>
        <v>Hz</v>
      </c>
      <c r="I766" s="10"/>
      <c r="J766" s="10"/>
      <c r="K766" s="10"/>
      <c r="L766" s="10">
        <f ca="1">VLOOKUP(dict_DQ_Meth_max[[#This Row],[ID_DataQualities]],table_DataQualities[],8,FALSE)</f>
        <v>0.98</v>
      </c>
      <c r="M766" s="10">
        <f ca="1">VLOOKUP(dict_DQ_Meth_max[[#This Row],[ID_DataQualities]],table_DataQualities[],9,FALSE)</f>
        <v>5799</v>
      </c>
    </row>
    <row r="767" spans="1:13" x14ac:dyDescent="0.45">
      <c r="A767" s="10">
        <v>204</v>
      </c>
      <c r="B767" s="10">
        <v>240</v>
      </c>
      <c r="C7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7" s="10"/>
      <c r="E767" s="10"/>
      <c r="F767" s="12">
        <f ca="1">(RANDBETWEEN(0,50)/100)*(dict_DQ_Meth_max[[#This Row],[Vergleich_ub]]-dict_DQ_Meth_max[[#This Row],[Vergleich_lb]])+dict_DQ_Meth_max[[#This Row],[Vergleich_lb]]</f>
        <v>986.64340000000016</v>
      </c>
      <c r="G767" s="12">
        <f ca="1">(RANDBETWEEN(50,100)/100)*(dict_DQ_Meth_max[[#This Row],[Vergleich_ub]]-dict_DQ_Meth_max[[#This Row],[Vergleich_lb]])+dict_DQ_Meth_max[[#This Row],[Vergleich_lb]]</f>
        <v>5741.0198</v>
      </c>
      <c r="H767" s="11" t="str">
        <f ca="1">VLOOKUP(VLOOKUP(dict_DQ_Meth_max[[#This Row],[ID_DataQualities]],table_DataQualities[],3),table_Units[],2)</f>
        <v>Hz</v>
      </c>
      <c r="I767" s="10"/>
      <c r="J767" s="10"/>
      <c r="K767" s="10"/>
      <c r="L767" s="10">
        <f ca="1">VLOOKUP(dict_DQ_Meth_max[[#This Row],[ID_DataQualities]],table_DataQualities[],8,FALSE)</f>
        <v>0.98</v>
      </c>
      <c r="M767" s="10">
        <f ca="1">VLOOKUP(dict_DQ_Meth_max[[#This Row],[ID_DataQualities]],table_DataQualities[],9,FALSE)</f>
        <v>5799</v>
      </c>
    </row>
    <row r="768" spans="1:13" x14ac:dyDescent="0.45">
      <c r="A768" s="10">
        <v>205</v>
      </c>
      <c r="B768" s="10">
        <v>298</v>
      </c>
      <c r="C7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8" s="10"/>
      <c r="E768" s="10"/>
      <c r="F768" s="12">
        <f ca="1">(RANDBETWEEN(0,50)/100)*(dict_DQ_Meth_max[[#This Row],[Vergleich_ub]]-dict_DQ_Meth_max[[#This Row],[Vergleich_lb]])+dict_DQ_Meth_max[[#This Row],[Vergleich_lb]]</f>
        <v>3.7267000000000002E-2</v>
      </c>
      <c r="G768" s="12">
        <f ca="1">(RANDBETWEEN(50,100)/100)*(dict_DQ_Meth_max[[#This Row],[Vergleich_ub]]-dict_DQ_Meth_max[[#This Row],[Vergleich_lb]])+dict_DQ_Meth_max[[#This Row],[Vergleich_lb]]</f>
        <v>8.9252999999999999E-2</v>
      </c>
      <c r="H768" s="11" t="str">
        <f ca="1">VLOOKUP(VLOOKUP(dict_DQ_Meth_max[[#This Row],[ID_DataQualities]],table_DataQualities[],3),table_Units[],2)</f>
        <v>+/- cm³/s</v>
      </c>
      <c r="I768" s="10"/>
      <c r="J768" s="10"/>
      <c r="K768" s="10"/>
      <c r="L768" s="10">
        <f ca="1">VLOOKUP(dict_DQ_Meth_max[[#This Row],[ID_DataQualities]],table_DataQualities[],8,FALSE)</f>
        <v>2.0999999999999999E-3</v>
      </c>
      <c r="M768" s="10">
        <f ca="1">VLOOKUP(dict_DQ_Meth_max[[#This Row],[ID_DataQualities]],table_DataQualities[],9,FALSE)</f>
        <v>0.155</v>
      </c>
    </row>
    <row r="769" spans="1:13" x14ac:dyDescent="0.45">
      <c r="A769" s="10">
        <v>205</v>
      </c>
      <c r="B769" s="10">
        <v>600</v>
      </c>
      <c r="C7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69" s="10"/>
      <c r="E769" s="10"/>
      <c r="F769" s="12">
        <f ca="1">(RANDBETWEEN(0,50)/100)*(dict_DQ_Meth_max[[#This Row],[Vergleich_ub]]-dict_DQ_Meth_max[[#This Row],[Vergleich_lb]])+dict_DQ_Meth_max[[#This Row],[Vergleich_lb]]</f>
        <v>7.5492000000000004E-2</v>
      </c>
      <c r="G769" s="12">
        <f ca="1">(RANDBETWEEN(50,100)/100)*(dict_DQ_Meth_max[[#This Row],[Vergleich_ub]]-dict_DQ_Meth_max[[#This Row],[Vergleich_lb]])+dict_DQ_Meth_max[[#This Row],[Vergleich_lb]]</f>
        <v>8.9252999999999999E-2</v>
      </c>
      <c r="H769" s="11" t="str">
        <f ca="1">VLOOKUP(VLOOKUP(dict_DQ_Meth_max[[#This Row],[ID_DataQualities]],table_DataQualities[],3),table_Units[],2)</f>
        <v>+/- cm³/s</v>
      </c>
      <c r="I769" s="10"/>
      <c r="J769" s="10"/>
      <c r="K769" s="10"/>
      <c r="L769" s="10">
        <f ca="1">VLOOKUP(dict_DQ_Meth_max[[#This Row],[ID_DataQualities]],table_DataQualities[],8,FALSE)</f>
        <v>2.0999999999999999E-3</v>
      </c>
      <c r="M769" s="10">
        <f ca="1">VLOOKUP(dict_DQ_Meth_max[[#This Row],[ID_DataQualities]],table_DataQualities[],9,FALSE)</f>
        <v>0.155</v>
      </c>
    </row>
    <row r="770" spans="1:13" x14ac:dyDescent="0.45">
      <c r="A770" s="10">
        <v>205</v>
      </c>
      <c r="B770" s="10">
        <v>407</v>
      </c>
      <c r="C7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0" s="10"/>
      <c r="E770" s="10"/>
      <c r="F770" s="12">
        <f ca="1">(RANDBETWEEN(0,50)/100)*(dict_DQ_Meth_max[[#This Row],[Vergleich_ub]]-dict_DQ_Meth_max[[#This Row],[Vergleich_lb]])+dict_DQ_Meth_max[[#This Row],[Vergleich_lb]]</f>
        <v>4.0325E-2</v>
      </c>
      <c r="G770" s="12">
        <f ca="1">(RANDBETWEEN(50,100)/100)*(dict_DQ_Meth_max[[#This Row],[Vergleich_ub]]-dict_DQ_Meth_max[[#This Row],[Vergleich_lb]])+dict_DQ_Meth_max[[#This Row],[Vergleich_lb]]</f>
        <v>0.14735499999999999</v>
      </c>
      <c r="H770" s="11" t="str">
        <f ca="1">VLOOKUP(VLOOKUP(dict_DQ_Meth_max[[#This Row],[ID_DataQualities]],table_DataQualities[],3),table_Units[],2)</f>
        <v>+/- cm³/s</v>
      </c>
      <c r="I770" s="10"/>
      <c r="J770" s="10"/>
      <c r="K770" s="10"/>
      <c r="L770" s="10">
        <f ca="1">VLOOKUP(dict_DQ_Meth_max[[#This Row],[ID_DataQualities]],table_DataQualities[],8,FALSE)</f>
        <v>2.0999999999999999E-3</v>
      </c>
      <c r="M770" s="10">
        <f ca="1">VLOOKUP(dict_DQ_Meth_max[[#This Row],[ID_DataQualities]],table_DataQualities[],9,FALSE)</f>
        <v>0.155</v>
      </c>
    </row>
    <row r="771" spans="1:13" x14ac:dyDescent="0.45">
      <c r="A771" s="10">
        <v>205</v>
      </c>
      <c r="B771" s="10">
        <v>240</v>
      </c>
      <c r="C7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1" s="10"/>
      <c r="E771" s="10"/>
      <c r="F771" s="12">
        <f ca="1">(RANDBETWEEN(0,50)/100)*(dict_DQ_Meth_max[[#This Row],[Vergleich_ub]]-dict_DQ_Meth_max[[#This Row],[Vergleich_lb]])+dict_DQ_Meth_max[[#This Row],[Vergleich_lb]]</f>
        <v>4.4912000000000007E-2</v>
      </c>
      <c r="G771" s="12">
        <f ca="1">(RANDBETWEEN(50,100)/100)*(dict_DQ_Meth_max[[#This Row],[Vergleich_ub]]-dict_DQ_Meth_max[[#This Row],[Vergleich_lb]])+dict_DQ_Meth_max[[#This Row],[Vergleich_lb]]</f>
        <v>9.0782000000000002E-2</v>
      </c>
      <c r="H771" s="11" t="str">
        <f ca="1">VLOOKUP(VLOOKUP(dict_DQ_Meth_max[[#This Row],[ID_DataQualities]],table_DataQualities[],3),table_Units[],2)</f>
        <v>+/- cm³/s</v>
      </c>
      <c r="I771" s="10"/>
      <c r="J771" s="10"/>
      <c r="K771" s="10"/>
      <c r="L771" s="10">
        <f ca="1">VLOOKUP(dict_DQ_Meth_max[[#This Row],[ID_DataQualities]],table_DataQualities[],8,FALSE)</f>
        <v>2.0999999999999999E-3</v>
      </c>
      <c r="M771" s="10">
        <f ca="1">VLOOKUP(dict_DQ_Meth_max[[#This Row],[ID_DataQualities]],table_DataQualities[],9,FALSE)</f>
        <v>0.155</v>
      </c>
    </row>
    <row r="772" spans="1:13" x14ac:dyDescent="0.45">
      <c r="A772" s="10">
        <v>206</v>
      </c>
      <c r="B772" s="10">
        <v>485</v>
      </c>
      <c r="C7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2" s="10"/>
      <c r="E772" s="10"/>
      <c r="F772" s="12">
        <f ca="1">(RANDBETWEEN(0,50)/100)*(dict_DQ_Meth_max[[#This Row],[Vergleich_ub]]-dict_DQ_Meth_max[[#This Row],[Vergleich_lb]])+dict_DQ_Meth_max[[#This Row],[Vergleich_lb]]</f>
        <v>2078.4525600000002</v>
      </c>
      <c r="G772" s="12">
        <f ca="1">(RANDBETWEEN(50,100)/100)*(dict_DQ_Meth_max[[#This Row],[Vergleich_ub]]-dict_DQ_Meth_max[[#This Row],[Vergleich_lb]])+dict_DQ_Meth_max[[#This Row],[Vergleich_lb]]</f>
        <v>6328.4991600000012</v>
      </c>
      <c r="H772" s="11" t="str">
        <f ca="1">VLOOKUP(VLOOKUP(dict_DQ_Meth_max[[#This Row],[ID_DataQualities]],table_DataQualities[],3),table_Units[],2)</f>
        <v>Hz</v>
      </c>
      <c r="I772" s="10"/>
      <c r="J772" s="10"/>
      <c r="K772" s="10"/>
      <c r="L772" s="10">
        <f ca="1">VLOOKUP(dict_DQ_Meth_max[[#This Row],[ID_DataQualities]],table_DataQualities[],8,FALSE)</f>
        <v>0.65200000000000002</v>
      </c>
      <c r="M772" s="10">
        <f ca="1">VLOOKUP(dict_DQ_Meth_max[[#This Row],[ID_DataQualities]],table_DataQualities[],9,FALSE)</f>
        <v>9445.2000000000007</v>
      </c>
    </row>
    <row r="773" spans="1:13" x14ac:dyDescent="0.45">
      <c r="A773" s="10">
        <v>206</v>
      </c>
      <c r="B773" s="10">
        <v>699</v>
      </c>
      <c r="C7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3" s="10"/>
      <c r="E773" s="10"/>
      <c r="F773" s="12">
        <f ca="1">(RANDBETWEEN(0,50)/100)*(dict_DQ_Meth_max[[#This Row],[Vergleich_ub]]-dict_DQ_Meth_max[[#This Row],[Vergleich_lb]])+dict_DQ_Meth_max[[#This Row],[Vergleich_lb]]</f>
        <v>3967.3621600000001</v>
      </c>
      <c r="G773" s="12">
        <f ca="1">(RANDBETWEEN(50,100)/100)*(dict_DQ_Meth_max[[#This Row],[Vergleich_ub]]-dict_DQ_Meth_max[[#This Row],[Vergleich_lb]])+dict_DQ_Meth_max[[#This Row],[Vergleich_lb]]</f>
        <v>6328.4991600000012</v>
      </c>
      <c r="H773" s="11" t="str">
        <f ca="1">VLOOKUP(VLOOKUP(dict_DQ_Meth_max[[#This Row],[ID_DataQualities]],table_DataQualities[],3),table_Units[],2)</f>
        <v>Hz</v>
      </c>
      <c r="I773" s="10"/>
      <c r="J773" s="10"/>
      <c r="K773" s="10"/>
      <c r="L773" s="10">
        <f ca="1">VLOOKUP(dict_DQ_Meth_max[[#This Row],[ID_DataQualities]],table_DataQualities[],8,FALSE)</f>
        <v>0.65200000000000002</v>
      </c>
      <c r="M773" s="10">
        <f ca="1">VLOOKUP(dict_DQ_Meth_max[[#This Row],[ID_DataQualities]],table_DataQualities[],9,FALSE)</f>
        <v>9445.2000000000007</v>
      </c>
    </row>
    <row r="774" spans="1:13" x14ac:dyDescent="0.45">
      <c r="A774" s="10">
        <v>206</v>
      </c>
      <c r="B774" s="10">
        <v>94</v>
      </c>
      <c r="C7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4" s="10"/>
      <c r="E774" s="10"/>
      <c r="F774" s="12">
        <f ca="1">(RANDBETWEEN(0,50)/100)*(dict_DQ_Meth_max[[#This Row],[Vergleich_ub]]-dict_DQ_Meth_max[[#This Row],[Vergleich_lb]])+dict_DQ_Meth_max[[#This Row],[Vergleich_lb]]</f>
        <v>1700.67064</v>
      </c>
      <c r="G774" s="12">
        <f ca="1">(RANDBETWEEN(50,100)/100)*(dict_DQ_Meth_max[[#This Row],[Vergleich_ub]]-dict_DQ_Meth_max[[#This Row],[Vergleich_lb]])+dict_DQ_Meth_max[[#This Row],[Vergleich_lb]]</f>
        <v>7839.6268399999999</v>
      </c>
      <c r="H774" s="11" t="str">
        <f ca="1">VLOOKUP(VLOOKUP(dict_DQ_Meth_max[[#This Row],[ID_DataQualities]],table_DataQualities[],3),table_Units[],2)</f>
        <v>Hz</v>
      </c>
      <c r="I774" s="10"/>
      <c r="J774" s="10"/>
      <c r="K774" s="10"/>
      <c r="L774" s="10">
        <f ca="1">VLOOKUP(dict_DQ_Meth_max[[#This Row],[ID_DataQualities]],table_DataQualities[],8,FALSE)</f>
        <v>0.65200000000000002</v>
      </c>
      <c r="M774" s="10">
        <f ca="1">VLOOKUP(dict_DQ_Meth_max[[#This Row],[ID_DataQualities]],table_DataQualities[],9,FALSE)</f>
        <v>9445.2000000000007</v>
      </c>
    </row>
    <row r="775" spans="1:13" x14ac:dyDescent="0.45">
      <c r="A775" s="10">
        <v>206</v>
      </c>
      <c r="B775" s="10">
        <v>367</v>
      </c>
      <c r="C7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5" s="10"/>
      <c r="E775" s="10"/>
      <c r="F775" s="12">
        <f ca="1">(RANDBETWEEN(0,50)/100)*(dict_DQ_Meth_max[[#This Row],[Vergleich_ub]]-dict_DQ_Meth_max[[#This Row],[Vergleich_lb]])+dict_DQ_Meth_max[[#This Row],[Vergleich_lb]]</f>
        <v>3778.4712000000004</v>
      </c>
      <c r="G775" s="12">
        <f ca="1">(RANDBETWEEN(50,100)/100)*(dict_DQ_Meth_max[[#This Row],[Vergleich_ub]]-dict_DQ_Meth_max[[#This Row],[Vergleich_lb]])+dict_DQ_Meth_max[[#This Row],[Vergleich_lb]]</f>
        <v>5478.4898400000002</v>
      </c>
      <c r="H775" s="11" t="str">
        <f ca="1">VLOOKUP(VLOOKUP(dict_DQ_Meth_max[[#This Row],[ID_DataQualities]],table_DataQualities[],3),table_Units[],2)</f>
        <v>Hz</v>
      </c>
      <c r="I775" s="10"/>
      <c r="J775" s="10"/>
      <c r="K775" s="10"/>
      <c r="L775" s="10">
        <f ca="1">VLOOKUP(dict_DQ_Meth_max[[#This Row],[ID_DataQualities]],table_DataQualities[],8,FALSE)</f>
        <v>0.65200000000000002</v>
      </c>
      <c r="M775" s="10">
        <f ca="1">VLOOKUP(dict_DQ_Meth_max[[#This Row],[ID_DataQualities]],table_DataQualities[],9,FALSE)</f>
        <v>9445.2000000000007</v>
      </c>
    </row>
    <row r="776" spans="1:13" x14ac:dyDescent="0.45">
      <c r="A776" s="10">
        <v>207</v>
      </c>
      <c r="B776" s="10">
        <v>699</v>
      </c>
      <c r="C7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6" s="10"/>
      <c r="E776" s="10"/>
      <c r="F776" s="12">
        <f ca="1">(RANDBETWEEN(0,50)/100)*(dict_DQ_Meth_max[[#This Row],[Vergleich_ub]]-dict_DQ_Meth_max[[#This Row],[Vergleich_lb]])+dict_DQ_Meth_max[[#This Row],[Vergleich_lb]]</f>
        <v>1.7939000000000001</v>
      </c>
      <c r="G776" s="12">
        <f ca="1">(RANDBETWEEN(50,100)/100)*(dict_DQ_Meth_max[[#This Row],[Vergleich_ub]]-dict_DQ_Meth_max[[#This Row],[Vergleich_lb]])+dict_DQ_Meth_max[[#This Row],[Vergleich_lb]]</f>
        <v>4.2886999999999995</v>
      </c>
      <c r="H776" s="11" t="str">
        <f ca="1">VLOOKUP(VLOOKUP(dict_DQ_Meth_max[[#This Row],[ID_DataQualities]],table_DataQualities[],3),table_Units[],2)</f>
        <v>+/- mm/s</v>
      </c>
      <c r="I776" s="10"/>
      <c r="J776" s="10"/>
      <c r="K776" s="10"/>
      <c r="L776" s="10">
        <f ca="1">VLOOKUP(dict_DQ_Meth_max[[#This Row],[ID_DataQualities]],table_DataQualities[],8,FALSE)</f>
        <v>0.83</v>
      </c>
      <c r="M776" s="10">
        <f ca="1">VLOOKUP(dict_DQ_Meth_max[[#This Row],[ID_DataQualities]],table_DataQualities[],9,FALSE)</f>
        <v>6.5</v>
      </c>
    </row>
    <row r="777" spans="1:13" x14ac:dyDescent="0.45">
      <c r="A777" s="10">
        <v>207</v>
      </c>
      <c r="B777" s="10">
        <v>485</v>
      </c>
      <c r="C7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7" s="10"/>
      <c r="E777" s="10"/>
      <c r="F777" s="12">
        <f ca="1">(RANDBETWEEN(0,50)/100)*(dict_DQ_Meth_max[[#This Row],[Vergleich_ub]]-dict_DQ_Meth_max[[#This Row],[Vergleich_lb]])+dict_DQ_Meth_max[[#This Row],[Vergleich_lb]]</f>
        <v>3.5516000000000001</v>
      </c>
      <c r="G777" s="12">
        <f ca="1">(RANDBETWEEN(50,100)/100)*(dict_DQ_Meth_max[[#This Row],[Vergleich_ub]]-dict_DQ_Meth_max[[#This Row],[Vergleich_lb]])+dict_DQ_Meth_max[[#This Row],[Vergleich_lb]]</f>
        <v>5.5927999999999995</v>
      </c>
      <c r="H777" s="11" t="str">
        <f ca="1">VLOOKUP(VLOOKUP(dict_DQ_Meth_max[[#This Row],[ID_DataQualities]],table_DataQualities[],3),table_Units[],2)</f>
        <v>+/- mm/s</v>
      </c>
      <c r="I777" s="10"/>
      <c r="J777" s="10"/>
      <c r="K777" s="10"/>
      <c r="L777" s="10">
        <f ca="1">VLOOKUP(dict_DQ_Meth_max[[#This Row],[ID_DataQualities]],table_DataQualities[],8,FALSE)</f>
        <v>0.83</v>
      </c>
      <c r="M777" s="10">
        <f ca="1">VLOOKUP(dict_DQ_Meth_max[[#This Row],[ID_DataQualities]],table_DataQualities[],9,FALSE)</f>
        <v>6.5</v>
      </c>
    </row>
    <row r="778" spans="1:13" x14ac:dyDescent="0.45">
      <c r="A778" s="10">
        <v>207</v>
      </c>
      <c r="B778" s="10">
        <v>94</v>
      </c>
      <c r="C7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8" s="10"/>
      <c r="E778" s="10"/>
      <c r="F778" s="12">
        <f ca="1">(RANDBETWEEN(0,50)/100)*(dict_DQ_Meth_max[[#This Row],[Vergleich_ub]]-dict_DQ_Meth_max[[#This Row],[Vergleich_lb]])+dict_DQ_Meth_max[[#This Row],[Vergleich_lb]]</f>
        <v>1.397</v>
      </c>
      <c r="G778" s="12">
        <f ca="1">(RANDBETWEEN(50,100)/100)*(dict_DQ_Meth_max[[#This Row],[Vergleich_ub]]-dict_DQ_Meth_max[[#This Row],[Vergleich_lb]])+dict_DQ_Meth_max[[#This Row],[Vergleich_lb]]</f>
        <v>3.9485000000000001</v>
      </c>
      <c r="H778" s="11" t="str">
        <f ca="1">VLOOKUP(VLOOKUP(dict_DQ_Meth_max[[#This Row],[ID_DataQualities]],table_DataQualities[],3),table_Units[],2)</f>
        <v>+/- mm/s</v>
      </c>
      <c r="I778" s="10"/>
      <c r="J778" s="10"/>
      <c r="K778" s="10"/>
      <c r="L778" s="10">
        <f ca="1">VLOOKUP(dict_DQ_Meth_max[[#This Row],[ID_DataQualities]],table_DataQualities[],8,FALSE)</f>
        <v>0.83</v>
      </c>
      <c r="M778" s="10">
        <f ca="1">VLOOKUP(dict_DQ_Meth_max[[#This Row],[ID_DataQualities]],table_DataQualities[],9,FALSE)</f>
        <v>6.5</v>
      </c>
    </row>
    <row r="779" spans="1:13" x14ac:dyDescent="0.45">
      <c r="A779" s="10">
        <v>207</v>
      </c>
      <c r="B779" s="10">
        <v>367</v>
      </c>
      <c r="C7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79" s="10"/>
      <c r="E779" s="10"/>
      <c r="F779" s="12">
        <f ca="1">(RANDBETWEEN(0,50)/100)*(dict_DQ_Meth_max[[#This Row],[Vergleich_ub]]-dict_DQ_Meth_max[[#This Row],[Vergleich_lb]])+dict_DQ_Meth_max[[#This Row],[Vergleich_lb]]</f>
        <v>2.2475000000000001</v>
      </c>
      <c r="G779" s="12">
        <f ca="1">(RANDBETWEEN(50,100)/100)*(dict_DQ_Meth_max[[#This Row],[Vergleich_ub]]-dict_DQ_Meth_max[[#This Row],[Vergleich_lb]])+dict_DQ_Meth_max[[#This Row],[Vergleich_lb]]</f>
        <v>3.8351000000000002</v>
      </c>
      <c r="H779" s="11" t="str">
        <f ca="1">VLOOKUP(VLOOKUP(dict_DQ_Meth_max[[#This Row],[ID_DataQualities]],table_DataQualities[],3),table_Units[],2)</f>
        <v>+/- mm/s</v>
      </c>
      <c r="I779" s="10"/>
      <c r="J779" s="10"/>
      <c r="K779" s="10"/>
      <c r="L779" s="10">
        <f ca="1">VLOOKUP(dict_DQ_Meth_max[[#This Row],[ID_DataQualities]],table_DataQualities[],8,FALSE)</f>
        <v>0.83</v>
      </c>
      <c r="M779" s="10">
        <f ca="1">VLOOKUP(dict_DQ_Meth_max[[#This Row],[ID_DataQualities]],table_DataQualities[],9,FALSE)</f>
        <v>6.5</v>
      </c>
    </row>
    <row r="780" spans="1:13" x14ac:dyDescent="0.45">
      <c r="A780" s="10">
        <v>208</v>
      </c>
      <c r="B780" s="10">
        <v>624</v>
      </c>
      <c r="C7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0" s="10"/>
      <c r="E780" s="10"/>
      <c r="F780" s="12">
        <f ca="1">(RANDBETWEEN(0,50)/100)*(dict_DQ_Meth_max[[#This Row],[Vergleich_ub]]-dict_DQ_Meth_max[[#This Row],[Vergleich_lb]])+dict_DQ_Meth_max[[#This Row],[Vergleich_lb]]</f>
        <v>2148.4174400000002</v>
      </c>
      <c r="G780" s="12">
        <f ca="1">(RANDBETWEEN(50,100)/100)*(dict_DQ_Meth_max[[#This Row],[Vergleich_ub]]-dict_DQ_Meth_max[[#This Row],[Vergleich_lb]])+dict_DQ_Meth_max[[#This Row],[Vergleich_lb]]</f>
        <v>4767.80944</v>
      </c>
      <c r="H780" s="11" t="str">
        <f ca="1">VLOOKUP(VLOOKUP(dict_DQ_Meth_max[[#This Row],[ID_DataQualities]],table_DataQualities[],3),table_Units[],2)</f>
        <v>Hz</v>
      </c>
      <c r="I780" s="10"/>
      <c r="J780" s="10"/>
      <c r="K780" s="10"/>
      <c r="L780" s="10">
        <f ca="1">VLOOKUP(dict_DQ_Meth_max[[#This Row],[ID_DataQualities]],table_DataQualities[],8,FALSE)</f>
        <v>0.51600000000000001</v>
      </c>
      <c r="M780" s="10">
        <f ca="1">VLOOKUP(dict_DQ_Meth_max[[#This Row],[ID_DataQualities]],table_DataQualities[],9,FALSE)</f>
        <v>5239.3</v>
      </c>
    </row>
    <row r="781" spans="1:13" x14ac:dyDescent="0.45">
      <c r="A781" s="10">
        <v>208</v>
      </c>
      <c r="B781" s="10">
        <v>559</v>
      </c>
      <c r="C7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1" s="10"/>
      <c r="E781" s="10"/>
      <c r="F781" s="12">
        <f ca="1">(RANDBETWEEN(0,50)/100)*(dict_DQ_Meth_max[[#This Row],[Vergleich_ub]]-dict_DQ_Meth_max[[#This Row],[Vergleich_lb]])+dict_DQ_Meth_max[[#This Row],[Vergleich_lb]]</f>
        <v>2043.6417600000004</v>
      </c>
      <c r="G781" s="12">
        <f ca="1">(RANDBETWEEN(50,100)/100)*(dict_DQ_Meth_max[[#This Row],[Vergleich_ub]]-dict_DQ_Meth_max[[#This Row],[Vergleich_lb]])+dict_DQ_Meth_max[[#This Row],[Vergleich_lb]]</f>
        <v>3615.2769600000001</v>
      </c>
      <c r="H781" s="11" t="str">
        <f ca="1">VLOOKUP(VLOOKUP(dict_DQ_Meth_max[[#This Row],[ID_DataQualities]],table_DataQualities[],3),table_Units[],2)</f>
        <v>Hz</v>
      </c>
      <c r="I781" s="10"/>
      <c r="J781" s="10"/>
      <c r="K781" s="10"/>
      <c r="L781" s="10">
        <f ca="1">VLOOKUP(dict_DQ_Meth_max[[#This Row],[ID_DataQualities]],table_DataQualities[],8,FALSE)</f>
        <v>0.51600000000000001</v>
      </c>
      <c r="M781" s="10">
        <f ca="1">VLOOKUP(dict_DQ_Meth_max[[#This Row],[ID_DataQualities]],table_DataQualities[],9,FALSE)</f>
        <v>5239.3</v>
      </c>
    </row>
    <row r="782" spans="1:13" x14ac:dyDescent="0.45">
      <c r="A782" s="10">
        <v>209</v>
      </c>
      <c r="B782" s="10">
        <v>624</v>
      </c>
      <c r="C7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2" s="10"/>
      <c r="E782" s="10"/>
      <c r="F782" s="12">
        <f ca="1">(RANDBETWEEN(0,50)/100)*(dict_DQ_Meth_max[[#This Row],[Vergleich_ub]]-dict_DQ_Meth_max[[#This Row],[Vergleich_lb]])+dict_DQ_Meth_max[[#This Row],[Vergleich_lb]]</f>
        <v>1.6229</v>
      </c>
      <c r="G782" s="12">
        <f ca="1">(RANDBETWEEN(50,100)/100)*(dict_DQ_Meth_max[[#This Row],[Vergleich_ub]]-dict_DQ_Meth_max[[#This Row],[Vergleich_lb]])+dict_DQ_Meth_max[[#This Row],[Vergleich_lb]]</f>
        <v>3.9204999999999997</v>
      </c>
      <c r="H782" s="11" t="str">
        <f ca="1">VLOOKUP(VLOOKUP(dict_DQ_Meth_max[[#This Row],[ID_DataQualities]],table_DataQualities[],3),table_Units[],2)</f>
        <v>+/- mm/s</v>
      </c>
      <c r="I782" s="10"/>
      <c r="J782" s="10"/>
      <c r="K782" s="10"/>
      <c r="L782" s="10">
        <f ca="1">VLOOKUP(dict_DQ_Meth_max[[#This Row],[ID_DataQualities]],table_DataQualities[],8,FALSE)</f>
        <v>0.51</v>
      </c>
      <c r="M782" s="10">
        <f ca="1">VLOOKUP(dict_DQ_Meth_max[[#This Row],[ID_DataQualities]],table_DataQualities[],9,FALSE)</f>
        <v>4.0999999999999996</v>
      </c>
    </row>
    <row r="783" spans="1:13" x14ac:dyDescent="0.45">
      <c r="A783" s="10">
        <v>209</v>
      </c>
      <c r="B783" s="10">
        <v>559</v>
      </c>
      <c r="C7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3" s="10"/>
      <c r="E783" s="10"/>
      <c r="F783" s="12">
        <f ca="1">(RANDBETWEEN(0,50)/100)*(dict_DQ_Meth_max[[#This Row],[Vergleich_ub]]-dict_DQ_Meth_max[[#This Row],[Vergleich_lb]])+dict_DQ_Meth_max[[#This Row],[Vergleich_lb]]</f>
        <v>2.2332000000000001</v>
      </c>
      <c r="G783" s="12">
        <f ca="1">(RANDBETWEEN(50,100)/100)*(dict_DQ_Meth_max[[#This Row],[Vergleich_ub]]-dict_DQ_Meth_max[[#This Row],[Vergleich_lb]])+dict_DQ_Meth_max[[#This Row],[Vergleich_lb]]</f>
        <v>3.3460999999999999</v>
      </c>
      <c r="H783" s="11" t="str">
        <f ca="1">VLOOKUP(VLOOKUP(dict_DQ_Meth_max[[#This Row],[ID_DataQualities]],table_DataQualities[],3),table_Units[],2)</f>
        <v>+/- mm/s</v>
      </c>
      <c r="I783" s="10"/>
      <c r="J783" s="10"/>
      <c r="K783" s="10"/>
      <c r="L783" s="10">
        <f ca="1">VLOOKUP(dict_DQ_Meth_max[[#This Row],[ID_DataQualities]],table_DataQualities[],8,FALSE)</f>
        <v>0.51</v>
      </c>
      <c r="M783" s="10">
        <f ca="1">VLOOKUP(dict_DQ_Meth_max[[#This Row],[ID_DataQualities]],table_DataQualities[],9,FALSE)</f>
        <v>4.0999999999999996</v>
      </c>
    </row>
    <row r="784" spans="1:13" x14ac:dyDescent="0.45">
      <c r="A784" s="10">
        <v>210</v>
      </c>
      <c r="B784" s="10">
        <v>51</v>
      </c>
      <c r="C7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4" s="10"/>
      <c r="E784" s="10"/>
      <c r="F784" s="12">
        <f ca="1">(RANDBETWEEN(0,50)/100)*(dict_DQ_Meth_max[[#This Row],[Vergleich_ub]]-dict_DQ_Meth_max[[#This Row],[Vergleich_lb]])+dict_DQ_Meth_max[[#This Row],[Vergleich_lb]]</f>
        <v>4070.0860300000004</v>
      </c>
      <c r="G784" s="12">
        <f ca="1">(RANDBETWEEN(50,100)/100)*(dict_DQ_Meth_max[[#This Row],[Vergleich_ub]]-dict_DQ_Meth_max[[#This Row],[Vergleich_lb]])+dict_DQ_Meth_max[[#This Row],[Vergleich_lb]]</f>
        <v>5369.0333800000008</v>
      </c>
      <c r="H784" s="11" t="str">
        <f ca="1">VLOOKUP(VLOOKUP(dict_DQ_Meth_max[[#This Row],[ID_DataQualities]],table_DataQualities[],3),table_Units[],2)</f>
        <v>Hz</v>
      </c>
      <c r="I784" s="10"/>
      <c r="J784" s="10"/>
      <c r="K784" s="10"/>
      <c r="L784" s="10">
        <f ca="1">VLOOKUP(dict_DQ_Meth_max[[#This Row],[ID_DataQualities]],table_DataQualities[],8,FALSE)</f>
        <v>5.0999999999999997E-2</v>
      </c>
      <c r="M784" s="10">
        <f ca="1">VLOOKUP(dict_DQ_Meth_max[[#This Row],[ID_DataQualities]],table_DataQualities[],9,FALSE)</f>
        <v>8659.7000000000007</v>
      </c>
    </row>
    <row r="785" spans="1:13" x14ac:dyDescent="0.45">
      <c r="A785" s="10">
        <v>210</v>
      </c>
      <c r="B785" s="10">
        <v>508</v>
      </c>
      <c r="C7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5" s="10"/>
      <c r="E785" s="10"/>
      <c r="F785" s="12">
        <f ca="1">(RANDBETWEEN(0,50)/100)*(dict_DQ_Meth_max[[#This Row],[Vergleich_ub]]-dict_DQ_Meth_max[[#This Row],[Vergleich_lb]])+dict_DQ_Meth_max[[#This Row],[Vergleich_lb]]</f>
        <v>2424.7527200000004</v>
      </c>
      <c r="G785" s="12">
        <f ca="1">(RANDBETWEEN(50,100)/100)*(dict_DQ_Meth_max[[#This Row],[Vergleich_ub]]-dict_DQ_Meth_max[[#This Row],[Vergleich_lb]])+dict_DQ_Meth_max[[#This Row],[Vergleich_lb]]</f>
        <v>7533.9456300000011</v>
      </c>
      <c r="H785" s="11" t="str">
        <f ca="1">VLOOKUP(VLOOKUP(dict_DQ_Meth_max[[#This Row],[ID_DataQualities]],table_DataQualities[],3),table_Units[],2)</f>
        <v>Hz</v>
      </c>
      <c r="I785" s="10"/>
      <c r="J785" s="10"/>
      <c r="K785" s="10"/>
      <c r="L785" s="10">
        <f ca="1">VLOOKUP(dict_DQ_Meth_max[[#This Row],[ID_DataQualities]],table_DataQualities[],8,FALSE)</f>
        <v>5.0999999999999997E-2</v>
      </c>
      <c r="M785" s="10">
        <f ca="1">VLOOKUP(dict_DQ_Meth_max[[#This Row],[ID_DataQualities]],table_DataQualities[],9,FALSE)</f>
        <v>8659.7000000000007</v>
      </c>
    </row>
    <row r="786" spans="1:13" x14ac:dyDescent="0.45">
      <c r="A786" s="10">
        <v>210</v>
      </c>
      <c r="B786" s="10">
        <v>50</v>
      </c>
      <c r="C7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6" s="10"/>
      <c r="E786" s="10"/>
      <c r="F786" s="12">
        <f ca="1">(RANDBETWEEN(0,50)/100)*(dict_DQ_Meth_max[[#This Row],[Vergleich_ub]]-dict_DQ_Meth_max[[#This Row],[Vergleich_lb]])+dict_DQ_Meth_max[[#This Row],[Vergleich_lb]]</f>
        <v>3983.4895400000005</v>
      </c>
      <c r="G786" s="12">
        <f ca="1">(RANDBETWEEN(50,100)/100)*(dict_DQ_Meth_max[[#This Row],[Vergleich_ub]]-dict_DQ_Meth_max[[#This Row],[Vergleich_lb]])+dict_DQ_Meth_max[[#This Row],[Vergleich_lb]]</f>
        <v>6754.5772200000019</v>
      </c>
      <c r="H786" s="11" t="str">
        <f ca="1">VLOOKUP(VLOOKUP(dict_DQ_Meth_max[[#This Row],[ID_DataQualities]],table_DataQualities[],3),table_Units[],2)</f>
        <v>Hz</v>
      </c>
      <c r="I786" s="10"/>
      <c r="J786" s="10"/>
      <c r="K786" s="10"/>
      <c r="L786" s="10">
        <f ca="1">VLOOKUP(dict_DQ_Meth_max[[#This Row],[ID_DataQualities]],table_DataQualities[],8,FALSE)</f>
        <v>5.0999999999999997E-2</v>
      </c>
      <c r="M786" s="10">
        <f ca="1">VLOOKUP(dict_DQ_Meth_max[[#This Row],[ID_DataQualities]],table_DataQualities[],9,FALSE)</f>
        <v>8659.7000000000007</v>
      </c>
    </row>
    <row r="787" spans="1:13" x14ac:dyDescent="0.45">
      <c r="A787" s="10">
        <v>210</v>
      </c>
      <c r="B787" s="10">
        <v>462</v>
      </c>
      <c r="C7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7" s="10"/>
      <c r="E787" s="10"/>
      <c r="F787" s="12">
        <f ca="1">(RANDBETWEEN(0,50)/100)*(dict_DQ_Meth_max[[#This Row],[Vergleich_ub]]-dict_DQ_Meth_max[[#This Row],[Vergleich_lb]])+dict_DQ_Meth_max[[#This Row],[Vergleich_lb]]</f>
        <v>1125.80537</v>
      </c>
      <c r="G787" s="12">
        <f ca="1">(RANDBETWEEN(50,100)/100)*(dict_DQ_Meth_max[[#This Row],[Vergleich_ub]]-dict_DQ_Meth_max[[#This Row],[Vergleich_lb]])+dict_DQ_Meth_max[[#This Row],[Vergleich_lb]]</f>
        <v>7880.3315900000016</v>
      </c>
      <c r="H787" s="11" t="str">
        <f ca="1">VLOOKUP(VLOOKUP(dict_DQ_Meth_max[[#This Row],[ID_DataQualities]],table_DataQualities[],3),table_Units[],2)</f>
        <v>Hz</v>
      </c>
      <c r="I787" s="10"/>
      <c r="J787" s="10"/>
      <c r="K787" s="10"/>
      <c r="L787" s="10">
        <f ca="1">VLOOKUP(dict_DQ_Meth_max[[#This Row],[ID_DataQualities]],table_DataQualities[],8,FALSE)</f>
        <v>5.0999999999999997E-2</v>
      </c>
      <c r="M787" s="10">
        <f ca="1">VLOOKUP(dict_DQ_Meth_max[[#This Row],[ID_DataQualities]],table_DataQualities[],9,FALSE)</f>
        <v>8659.7000000000007</v>
      </c>
    </row>
    <row r="788" spans="1:13" x14ac:dyDescent="0.45">
      <c r="A788" s="10">
        <v>210</v>
      </c>
      <c r="B788" s="10">
        <v>212</v>
      </c>
      <c r="C7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8" s="10"/>
      <c r="E788" s="10"/>
      <c r="F788" s="12">
        <f ca="1">(RANDBETWEEN(0,50)/100)*(dict_DQ_Meth_max[[#This Row],[Vergleich_ub]]-dict_DQ_Meth_max[[#This Row],[Vergleich_lb]])+dict_DQ_Meth_max[[#This Row],[Vergleich_lb]]</f>
        <v>3896.8930500000006</v>
      </c>
      <c r="G788" s="12">
        <f ca="1">(RANDBETWEEN(50,100)/100)*(dict_DQ_Meth_max[[#This Row],[Vergleich_ub]]-dict_DQ_Meth_max[[#This Row],[Vergleich_lb]])+dict_DQ_Meth_max[[#This Row],[Vergleich_lb]]</f>
        <v>7187.5596700000015</v>
      </c>
      <c r="H788" s="11" t="str">
        <f ca="1">VLOOKUP(VLOOKUP(dict_DQ_Meth_max[[#This Row],[ID_DataQualities]],table_DataQualities[],3),table_Units[],2)</f>
        <v>Hz</v>
      </c>
      <c r="I788" s="10"/>
      <c r="J788" s="10"/>
      <c r="K788" s="10"/>
      <c r="L788" s="10">
        <f ca="1">VLOOKUP(dict_DQ_Meth_max[[#This Row],[ID_DataQualities]],table_DataQualities[],8,FALSE)</f>
        <v>5.0999999999999997E-2</v>
      </c>
      <c r="M788" s="10">
        <f ca="1">VLOOKUP(dict_DQ_Meth_max[[#This Row],[ID_DataQualities]],table_DataQualities[],9,FALSE)</f>
        <v>8659.7000000000007</v>
      </c>
    </row>
    <row r="789" spans="1:13" x14ac:dyDescent="0.45">
      <c r="A789" s="10">
        <v>210</v>
      </c>
      <c r="B789" s="10">
        <v>181</v>
      </c>
      <c r="C7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89" s="10"/>
      <c r="E789" s="10"/>
      <c r="F789" s="12">
        <f ca="1">(RANDBETWEEN(0,50)/100)*(dict_DQ_Meth_max[[#This Row],[Vergleich_ub]]-dict_DQ_Meth_max[[#This Row],[Vergleich_lb]])+dict_DQ_Meth_max[[#This Row],[Vergleich_lb]]</f>
        <v>2684.5421900000001</v>
      </c>
      <c r="G789" s="12">
        <f ca="1">(RANDBETWEEN(50,100)/100)*(dict_DQ_Meth_max[[#This Row],[Vergleich_ub]]-dict_DQ_Meth_max[[#This Row],[Vergleich_lb]])+dict_DQ_Meth_max[[#This Row],[Vergleich_lb]]</f>
        <v>8226.7175499999994</v>
      </c>
      <c r="H789" s="11" t="str">
        <f ca="1">VLOOKUP(VLOOKUP(dict_DQ_Meth_max[[#This Row],[ID_DataQualities]],table_DataQualities[],3),table_Units[],2)</f>
        <v>Hz</v>
      </c>
      <c r="I789" s="10"/>
      <c r="J789" s="10"/>
      <c r="K789" s="10"/>
      <c r="L789" s="10">
        <f ca="1">VLOOKUP(dict_DQ_Meth_max[[#This Row],[ID_DataQualities]],table_DataQualities[],8,FALSE)</f>
        <v>5.0999999999999997E-2</v>
      </c>
      <c r="M789" s="10">
        <f ca="1">VLOOKUP(dict_DQ_Meth_max[[#This Row],[ID_DataQualities]],table_DataQualities[],9,FALSE)</f>
        <v>8659.7000000000007</v>
      </c>
    </row>
    <row r="790" spans="1:13" x14ac:dyDescent="0.45">
      <c r="A790" s="10">
        <v>211</v>
      </c>
      <c r="B790" s="10">
        <v>508</v>
      </c>
      <c r="C7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0" s="10"/>
      <c r="E790" s="10"/>
      <c r="F790" s="12">
        <f ca="1">(RANDBETWEEN(0,50)/100)*(dict_DQ_Meth_max[[#This Row],[Vergleich_ub]]-dict_DQ_Meth_max[[#This Row],[Vergleich_lb]])+dict_DQ_Meth_max[[#This Row],[Vergleich_lb]]</f>
        <v>2015.14</v>
      </c>
      <c r="G790" s="12">
        <f ca="1">(RANDBETWEEN(50,100)/100)*(dict_DQ_Meth_max[[#This Row],[Vergleich_ub]]-dict_DQ_Meth_max[[#This Row],[Vergleich_lb]])+dict_DQ_Meth_max[[#This Row],[Vergleich_lb]]</f>
        <v>6725.25</v>
      </c>
      <c r="H790" s="11" t="str">
        <f ca="1">VLOOKUP(VLOOKUP(dict_DQ_Meth_max[[#This Row],[ID_DataQualities]],table_DataQualities[],3),table_Units[],2)</f>
        <v>bit</v>
      </c>
      <c r="I790" s="10"/>
      <c r="J790" s="10"/>
      <c r="K790" s="10"/>
      <c r="L790" s="10">
        <f ca="1">VLOOKUP(dict_DQ_Meth_max[[#This Row],[ID_DataQualities]],table_DataQualities[],8,FALSE)</f>
        <v>60</v>
      </c>
      <c r="M790" s="10">
        <f ca="1">VLOOKUP(dict_DQ_Meth_max[[#This Row],[ID_DataQualities]],table_DataQualities[],9,FALSE)</f>
        <v>8947</v>
      </c>
    </row>
    <row r="791" spans="1:13" x14ac:dyDescent="0.45">
      <c r="A791" s="10">
        <v>211</v>
      </c>
      <c r="B791" s="10">
        <v>51</v>
      </c>
      <c r="C7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1" s="10"/>
      <c r="E791" s="10"/>
      <c r="F791" s="12">
        <f ca="1">(RANDBETWEEN(0,50)/100)*(dict_DQ_Meth_max[[#This Row],[Vergleich_ub]]-dict_DQ_Meth_max[[#This Row],[Vergleich_lb]])+dict_DQ_Meth_max[[#This Row],[Vergleich_lb]]</f>
        <v>1926.27</v>
      </c>
      <c r="G791" s="12">
        <f ca="1">(RANDBETWEEN(50,100)/100)*(dict_DQ_Meth_max[[#This Row],[Vergleich_ub]]-dict_DQ_Meth_max[[#This Row],[Vergleich_lb]])+dict_DQ_Meth_max[[#This Row],[Vergleich_lb]]</f>
        <v>8058.3</v>
      </c>
      <c r="H791" s="11" t="str">
        <f ca="1">VLOOKUP(VLOOKUP(dict_DQ_Meth_max[[#This Row],[ID_DataQualities]],table_DataQualities[],3),table_Units[],2)</f>
        <v>bit</v>
      </c>
      <c r="I791" s="10"/>
      <c r="J791" s="10"/>
      <c r="K791" s="10"/>
      <c r="L791" s="10">
        <f ca="1">VLOOKUP(dict_DQ_Meth_max[[#This Row],[ID_DataQualities]],table_DataQualities[],8,FALSE)</f>
        <v>60</v>
      </c>
      <c r="M791" s="10">
        <f ca="1">VLOOKUP(dict_DQ_Meth_max[[#This Row],[ID_DataQualities]],table_DataQualities[],9,FALSE)</f>
        <v>8947</v>
      </c>
    </row>
    <row r="792" spans="1:13" x14ac:dyDescent="0.45">
      <c r="A792" s="10">
        <v>211</v>
      </c>
      <c r="B792" s="10">
        <v>181</v>
      </c>
      <c r="C7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2" s="10"/>
      <c r="E792" s="10"/>
      <c r="F792" s="12">
        <f ca="1">(RANDBETWEEN(0,50)/100)*(dict_DQ_Meth_max[[#This Row],[Vergleich_ub]]-dict_DQ_Meth_max[[#This Row],[Vergleich_lb]])+dict_DQ_Meth_max[[#This Row],[Vergleich_lb]]</f>
        <v>593.22</v>
      </c>
      <c r="G792" s="12">
        <f ca="1">(RANDBETWEEN(50,100)/100)*(dict_DQ_Meth_max[[#This Row],[Vergleich_ub]]-dict_DQ_Meth_max[[#This Row],[Vergleich_lb]])+dict_DQ_Meth_max[[#This Row],[Vergleich_lb]]</f>
        <v>6902.99</v>
      </c>
      <c r="H792" s="11" t="str">
        <f ca="1">VLOOKUP(VLOOKUP(dict_DQ_Meth_max[[#This Row],[ID_DataQualities]],table_DataQualities[],3),table_Units[],2)</f>
        <v>bit</v>
      </c>
      <c r="I792" s="10"/>
      <c r="J792" s="10"/>
      <c r="K792" s="10"/>
      <c r="L792" s="10">
        <f ca="1">VLOOKUP(dict_DQ_Meth_max[[#This Row],[ID_DataQualities]],table_DataQualities[],8,FALSE)</f>
        <v>60</v>
      </c>
      <c r="M792" s="10">
        <f ca="1">VLOOKUP(dict_DQ_Meth_max[[#This Row],[ID_DataQualities]],table_DataQualities[],9,FALSE)</f>
        <v>8947</v>
      </c>
    </row>
    <row r="793" spans="1:13" x14ac:dyDescent="0.45">
      <c r="A793" s="10">
        <v>211</v>
      </c>
      <c r="B793" s="10">
        <v>212</v>
      </c>
      <c r="C7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3" s="10"/>
      <c r="E793" s="10"/>
      <c r="F793" s="12">
        <f ca="1">(RANDBETWEEN(0,50)/100)*(dict_DQ_Meth_max[[#This Row],[Vergleich_ub]]-dict_DQ_Meth_max[[#This Row],[Vergleich_lb]])+dict_DQ_Meth_max[[#This Row],[Vergleich_lb]]</f>
        <v>4414.63</v>
      </c>
      <c r="G793" s="12">
        <f ca="1">(RANDBETWEEN(50,100)/100)*(dict_DQ_Meth_max[[#This Row],[Vergleich_ub]]-dict_DQ_Meth_max[[#This Row],[Vergleich_lb]])+dict_DQ_Meth_max[[#This Row],[Vergleich_lb]]</f>
        <v>5925.42</v>
      </c>
      <c r="H793" s="11" t="str">
        <f ca="1">VLOOKUP(VLOOKUP(dict_DQ_Meth_max[[#This Row],[ID_DataQualities]],table_DataQualities[],3),table_Units[],2)</f>
        <v>bit</v>
      </c>
      <c r="I793" s="10"/>
      <c r="J793" s="10"/>
      <c r="K793" s="10"/>
      <c r="L793" s="10">
        <f ca="1">VLOOKUP(dict_DQ_Meth_max[[#This Row],[ID_DataQualities]],table_DataQualities[],8,FALSE)</f>
        <v>60</v>
      </c>
      <c r="M793" s="10">
        <f ca="1">VLOOKUP(dict_DQ_Meth_max[[#This Row],[ID_DataQualities]],table_DataQualities[],9,FALSE)</f>
        <v>8947</v>
      </c>
    </row>
    <row r="794" spans="1:13" x14ac:dyDescent="0.45">
      <c r="A794" s="10">
        <v>211</v>
      </c>
      <c r="B794" s="10">
        <v>462</v>
      </c>
      <c r="C7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4" s="10"/>
      <c r="E794" s="10"/>
      <c r="F794" s="12">
        <f ca="1">(RANDBETWEEN(0,50)/100)*(dict_DQ_Meth_max[[#This Row],[Vergleich_ub]]-dict_DQ_Meth_max[[#This Row],[Vergleich_lb]])+dict_DQ_Meth_max[[#This Row],[Vergleich_lb]]</f>
        <v>237.74</v>
      </c>
      <c r="G794" s="12">
        <f ca="1">(RANDBETWEEN(50,100)/100)*(dict_DQ_Meth_max[[#This Row],[Vergleich_ub]]-dict_DQ_Meth_max[[#This Row],[Vergleich_lb]])+dict_DQ_Meth_max[[#This Row],[Vergleich_lb]]</f>
        <v>7525.08</v>
      </c>
      <c r="H794" s="11" t="str">
        <f ca="1">VLOOKUP(VLOOKUP(dict_DQ_Meth_max[[#This Row],[ID_DataQualities]],table_DataQualities[],3),table_Units[],2)</f>
        <v>bit</v>
      </c>
      <c r="I794" s="10"/>
      <c r="J794" s="10"/>
      <c r="K794" s="10"/>
      <c r="L794" s="10">
        <f ca="1">VLOOKUP(dict_DQ_Meth_max[[#This Row],[ID_DataQualities]],table_DataQualities[],8,FALSE)</f>
        <v>60</v>
      </c>
      <c r="M794" s="10">
        <f ca="1">VLOOKUP(dict_DQ_Meth_max[[#This Row],[ID_DataQualities]],table_DataQualities[],9,FALSE)</f>
        <v>8947</v>
      </c>
    </row>
    <row r="795" spans="1:13" x14ac:dyDescent="0.45">
      <c r="A795" s="10">
        <v>211</v>
      </c>
      <c r="B795" s="10">
        <v>50</v>
      </c>
      <c r="C7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5" s="10"/>
      <c r="E795" s="10"/>
      <c r="F795" s="12">
        <f ca="1">(RANDBETWEEN(0,50)/100)*(dict_DQ_Meth_max[[#This Row],[Vergleich_ub]]-dict_DQ_Meth_max[[#This Row],[Vergleich_lb]])+dict_DQ_Meth_max[[#This Row],[Vergleich_lb]]</f>
        <v>2903.84</v>
      </c>
      <c r="G795" s="12">
        <f ca="1">(RANDBETWEEN(50,100)/100)*(dict_DQ_Meth_max[[#This Row],[Vergleich_ub]]-dict_DQ_Meth_max[[#This Row],[Vergleich_lb]])+dict_DQ_Meth_max[[#This Row],[Vergleich_lb]]</f>
        <v>8591.52</v>
      </c>
      <c r="H795" s="11" t="str">
        <f ca="1">VLOOKUP(VLOOKUP(dict_DQ_Meth_max[[#This Row],[ID_DataQualities]],table_DataQualities[],3),table_Units[],2)</f>
        <v>bit</v>
      </c>
      <c r="I795" s="10"/>
      <c r="J795" s="10"/>
      <c r="K795" s="10"/>
      <c r="L795" s="10">
        <f ca="1">VLOOKUP(dict_DQ_Meth_max[[#This Row],[ID_DataQualities]],table_DataQualities[],8,FALSE)</f>
        <v>60</v>
      </c>
      <c r="M795" s="10">
        <f ca="1">VLOOKUP(dict_DQ_Meth_max[[#This Row],[ID_DataQualities]],table_DataQualities[],9,FALSE)</f>
        <v>8947</v>
      </c>
    </row>
    <row r="796" spans="1:13" x14ac:dyDescent="0.45">
      <c r="A796" s="10">
        <v>212</v>
      </c>
      <c r="B796" s="10">
        <v>418</v>
      </c>
      <c r="C7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6" s="10"/>
      <c r="E796" s="10"/>
      <c r="F796" s="12">
        <f ca="1">(RANDBETWEEN(0,50)/100)*(dict_DQ_Meth_max[[#This Row],[Vergleich_ub]]-dict_DQ_Meth_max[[#This Row],[Vergleich_lb]])+dict_DQ_Meth_max[[#This Row],[Vergleich_lb]]</f>
        <v>485.14985000000007</v>
      </c>
      <c r="G796" s="12">
        <f ca="1">(RANDBETWEEN(50,100)/100)*(dict_DQ_Meth_max[[#This Row],[Vergleich_ub]]-dict_DQ_Meth_max[[#This Row],[Vergleich_lb]])+dict_DQ_Meth_max[[#This Row],[Vergleich_lb]]</f>
        <v>9308.27052</v>
      </c>
      <c r="H796" s="11" t="str">
        <f ca="1">VLOOKUP(VLOOKUP(dict_DQ_Meth_max[[#This Row],[ID_DataQualities]],table_DataQualities[],3),table_Units[],2)</f>
        <v>Hz</v>
      </c>
      <c r="I796" s="10"/>
      <c r="J796" s="10"/>
      <c r="K796" s="10"/>
      <c r="L796" s="10">
        <f ca="1">VLOOKUP(dict_DQ_Meth_max[[#This Row],[ID_DataQualities]],table_DataQualities[],8,FALSE)</f>
        <v>0.36299999999999999</v>
      </c>
      <c r="M796" s="10">
        <f ca="1">VLOOKUP(dict_DQ_Meth_max[[#This Row],[ID_DataQualities]],table_DataQualities[],9,FALSE)</f>
        <v>9696.1</v>
      </c>
    </row>
    <row r="797" spans="1:13" x14ac:dyDescent="0.45">
      <c r="A797" s="10">
        <v>212</v>
      </c>
      <c r="B797" s="10">
        <v>132</v>
      </c>
      <c r="C7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7" s="10"/>
      <c r="E797" s="10"/>
      <c r="F797" s="12">
        <f ca="1">(RANDBETWEEN(0,50)/100)*(dict_DQ_Meth_max[[#This Row],[Vergleich_ub]]-dict_DQ_Meth_max[[#This Row],[Vergleich_lb]])+dict_DQ_Meth_max[[#This Row],[Vergleich_lb]]</f>
        <v>4460.4020200000014</v>
      </c>
      <c r="G797" s="12">
        <f ca="1">(RANDBETWEEN(50,100)/100)*(dict_DQ_Meth_max[[#This Row],[Vergleich_ub]]-dict_DQ_Meth_max[[#This Row],[Vergleich_lb]])+dict_DQ_Meth_max[[#This Row],[Vergleich_lb]]</f>
        <v>9017.3984100000016</v>
      </c>
      <c r="H797" s="11" t="str">
        <f ca="1">VLOOKUP(VLOOKUP(dict_DQ_Meth_max[[#This Row],[ID_DataQualities]],table_DataQualities[],3),table_Units[],2)</f>
        <v>Hz</v>
      </c>
      <c r="I797" s="10"/>
      <c r="J797" s="10"/>
      <c r="K797" s="10"/>
      <c r="L797" s="10">
        <f ca="1">VLOOKUP(dict_DQ_Meth_max[[#This Row],[ID_DataQualities]],table_DataQualities[],8,FALSE)</f>
        <v>0.36299999999999999</v>
      </c>
      <c r="M797" s="10">
        <f ca="1">VLOOKUP(dict_DQ_Meth_max[[#This Row],[ID_DataQualities]],table_DataQualities[],9,FALSE)</f>
        <v>9696.1</v>
      </c>
    </row>
    <row r="798" spans="1:13" x14ac:dyDescent="0.45">
      <c r="A798" s="10">
        <v>212</v>
      </c>
      <c r="B798" s="10">
        <v>359</v>
      </c>
      <c r="C7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8" s="10"/>
      <c r="E798" s="10"/>
      <c r="F798" s="12">
        <f ca="1">(RANDBETWEEN(0,50)/100)*(dict_DQ_Meth_max[[#This Row],[Vergleich_ub]]-dict_DQ_Meth_max[[#This Row],[Vergleich_lb]])+dict_DQ_Meth_max[[#This Row],[Vergleich_lb]]</f>
        <v>3975.61517</v>
      </c>
      <c r="G798" s="12">
        <f ca="1">(RANDBETWEEN(50,100)/100)*(dict_DQ_Meth_max[[#This Row],[Vergleich_ub]]-dict_DQ_Meth_max[[#This Row],[Vergleich_lb]])+dict_DQ_Meth_max[[#This Row],[Vergleich_lb]]</f>
        <v>6981.2936400000008</v>
      </c>
      <c r="H798" s="11" t="str">
        <f ca="1">VLOOKUP(VLOOKUP(dict_DQ_Meth_max[[#This Row],[ID_DataQualities]],table_DataQualities[],3),table_Units[],2)</f>
        <v>Hz</v>
      </c>
      <c r="I798" s="10"/>
      <c r="J798" s="10"/>
      <c r="K798" s="10"/>
      <c r="L798" s="10">
        <f ca="1">VLOOKUP(dict_DQ_Meth_max[[#This Row],[ID_DataQualities]],table_DataQualities[],8,FALSE)</f>
        <v>0.36299999999999999</v>
      </c>
      <c r="M798" s="10">
        <f ca="1">VLOOKUP(dict_DQ_Meth_max[[#This Row],[ID_DataQualities]],table_DataQualities[],9,FALSE)</f>
        <v>9696.1</v>
      </c>
    </row>
    <row r="799" spans="1:13" x14ac:dyDescent="0.45">
      <c r="A799" s="10">
        <v>213</v>
      </c>
      <c r="B799" s="10">
        <v>418</v>
      </c>
      <c r="C7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799" s="10"/>
      <c r="E799" s="10"/>
      <c r="F799" s="12">
        <f ca="1">(RANDBETWEEN(0,50)/100)*(dict_DQ_Meth_max[[#This Row],[Vergleich_ub]]-dict_DQ_Meth_max[[#This Row],[Vergleich_lb]])+dict_DQ_Meth_max[[#This Row],[Vergleich_lb]]</f>
        <v>0.79600000000000004</v>
      </c>
      <c r="G799" s="12">
        <f ca="1">(RANDBETWEEN(50,100)/100)*(dict_DQ_Meth_max[[#This Row],[Vergleich_ub]]-dict_DQ_Meth_max[[#This Row],[Vergleich_lb]])+dict_DQ_Meth_max[[#This Row],[Vergleich_lb]]</f>
        <v>3.7839999999999998</v>
      </c>
      <c r="H799" s="11" t="str">
        <f ca="1">VLOOKUP(VLOOKUP(dict_DQ_Meth_max[[#This Row],[ID_DataQualities]],table_DataQualities[],3),table_Units[],2)</f>
        <v>+/- °C</v>
      </c>
      <c r="I799" s="10"/>
      <c r="J799" s="10"/>
      <c r="K799" s="10"/>
      <c r="L799" s="10">
        <f ca="1">VLOOKUP(dict_DQ_Meth_max[[#This Row],[ID_DataQualities]],table_DataQualities[],8,FALSE)</f>
        <v>0.4</v>
      </c>
      <c r="M799" s="10">
        <f ca="1">VLOOKUP(dict_DQ_Meth_max[[#This Row],[ID_DataQualities]],table_DataQualities[],9,FALSE)</f>
        <v>4</v>
      </c>
    </row>
    <row r="800" spans="1:13" x14ac:dyDescent="0.45">
      <c r="A800" s="10">
        <v>213</v>
      </c>
      <c r="B800" s="10">
        <v>359</v>
      </c>
      <c r="C8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0" s="10"/>
      <c r="E800" s="10"/>
      <c r="F800" s="12">
        <f ca="1">(RANDBETWEEN(0,50)/100)*(dict_DQ_Meth_max[[#This Row],[Vergleich_ub]]-dict_DQ_Meth_max[[#This Row],[Vergleich_lb]])+dict_DQ_Meth_max[[#This Row],[Vergleich_lb]]</f>
        <v>1.984</v>
      </c>
      <c r="G800" s="12">
        <f ca="1">(RANDBETWEEN(50,100)/100)*(dict_DQ_Meth_max[[#This Row],[Vergleich_ub]]-dict_DQ_Meth_max[[#This Row],[Vergleich_lb]])+dict_DQ_Meth_max[[#This Row],[Vergleich_lb]]</f>
        <v>2.992</v>
      </c>
      <c r="H800" s="11" t="str">
        <f ca="1">VLOOKUP(VLOOKUP(dict_DQ_Meth_max[[#This Row],[ID_DataQualities]],table_DataQualities[],3),table_Units[],2)</f>
        <v>+/- °C</v>
      </c>
      <c r="I800" s="10"/>
      <c r="J800" s="10"/>
      <c r="K800" s="10"/>
      <c r="L800" s="10">
        <f ca="1">VLOOKUP(dict_DQ_Meth_max[[#This Row],[ID_DataQualities]],table_DataQualities[],8,FALSE)</f>
        <v>0.4</v>
      </c>
      <c r="M800" s="10">
        <f ca="1">VLOOKUP(dict_DQ_Meth_max[[#This Row],[ID_DataQualities]],table_DataQualities[],9,FALSE)</f>
        <v>4</v>
      </c>
    </row>
    <row r="801" spans="1:13" x14ac:dyDescent="0.45">
      <c r="A801" s="10">
        <v>213</v>
      </c>
      <c r="B801" s="10">
        <v>132</v>
      </c>
      <c r="C8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1" s="10"/>
      <c r="E801" s="10"/>
      <c r="F801" s="12">
        <f ca="1">(RANDBETWEEN(0,50)/100)*(dict_DQ_Meth_max[[#This Row],[Vergleich_ub]]-dict_DQ_Meth_max[[#This Row],[Vergleich_lb]])+dict_DQ_Meth_max[[#This Row],[Vergleich_lb]]</f>
        <v>1.984</v>
      </c>
      <c r="G801" s="12">
        <f ca="1">(RANDBETWEEN(50,100)/100)*(dict_DQ_Meth_max[[#This Row],[Vergleich_ub]]-dict_DQ_Meth_max[[#This Row],[Vergleich_lb]])+dict_DQ_Meth_max[[#This Row],[Vergleich_lb]]</f>
        <v>2.92</v>
      </c>
      <c r="H801" s="11" t="str">
        <f ca="1">VLOOKUP(VLOOKUP(dict_DQ_Meth_max[[#This Row],[ID_DataQualities]],table_DataQualities[],3),table_Units[],2)</f>
        <v>+/- °C</v>
      </c>
      <c r="I801" s="10"/>
      <c r="J801" s="10"/>
      <c r="K801" s="10"/>
      <c r="L801" s="10">
        <f ca="1">VLOOKUP(dict_DQ_Meth_max[[#This Row],[ID_DataQualities]],table_DataQualities[],8,FALSE)</f>
        <v>0.4</v>
      </c>
      <c r="M801" s="10">
        <f ca="1">VLOOKUP(dict_DQ_Meth_max[[#This Row],[ID_DataQualities]],table_DataQualities[],9,FALSE)</f>
        <v>4</v>
      </c>
    </row>
    <row r="802" spans="1:13" x14ac:dyDescent="0.45">
      <c r="A802" s="10">
        <v>214</v>
      </c>
      <c r="B802" s="10">
        <v>411</v>
      </c>
      <c r="C8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2" s="10"/>
      <c r="E802" s="10"/>
      <c r="F802" s="12">
        <f ca="1">(RANDBETWEEN(0,50)/100)*(dict_DQ_Meth_max[[#This Row],[Vergleich_ub]]-dict_DQ_Meth_max[[#This Row],[Vergleich_lb]])+dict_DQ_Meth_max[[#This Row],[Vergleich_lb]]</f>
        <v>461.91178000000002</v>
      </c>
      <c r="G802" s="12">
        <f ca="1">(RANDBETWEEN(50,100)/100)*(dict_DQ_Meth_max[[#This Row],[Vergleich_ub]]-dict_DQ_Meth_max[[#This Row],[Vergleich_lb]])+dict_DQ_Meth_max[[#This Row],[Vergleich_lb]]</f>
        <v>1867.2696100000001</v>
      </c>
      <c r="H802" s="11" t="str">
        <f ca="1">VLOOKUP(VLOOKUP(dict_DQ_Meth_max[[#This Row],[ID_DataQualities]],table_DataQualities[],3),table_Units[],2)</f>
        <v>Hz</v>
      </c>
      <c r="I802" s="10"/>
      <c r="J802" s="10"/>
      <c r="K802" s="10"/>
      <c r="L802" s="10">
        <f ca="1">VLOOKUP(dict_DQ_Meth_max[[#This Row],[ID_DataQualities]],table_DataQualities[],8,FALSE)</f>
        <v>0.45100000000000001</v>
      </c>
      <c r="M802" s="10">
        <f ca="1">VLOOKUP(dict_DQ_Meth_max[[#This Row],[ID_DataQualities]],table_DataQualities[],9,FALSE)</f>
        <v>2098</v>
      </c>
    </row>
    <row r="803" spans="1:13" x14ac:dyDescent="0.45">
      <c r="A803" s="10">
        <v>214</v>
      </c>
      <c r="B803" s="10">
        <v>496</v>
      </c>
      <c r="C8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3" s="10"/>
      <c r="E803" s="10"/>
      <c r="F803" s="12">
        <f ca="1">(RANDBETWEEN(0,50)/100)*(dict_DQ_Meth_max[[#This Row],[Vergleich_ub]]-dict_DQ_Meth_max[[#This Row],[Vergleich_lb]])+dict_DQ_Meth_max[[#This Row],[Vergleich_lb]]</f>
        <v>881.42157999999995</v>
      </c>
      <c r="G803" s="12">
        <f ca="1">(RANDBETWEEN(50,100)/100)*(dict_DQ_Meth_max[[#This Row],[Vergleich_ub]]-dict_DQ_Meth_max[[#This Row],[Vergleich_lb]])+dict_DQ_Meth_max[[#This Row],[Vergleich_lb]]</f>
        <v>1091.1764800000001</v>
      </c>
      <c r="H803" s="11" t="str">
        <f ca="1">VLOOKUP(VLOOKUP(dict_DQ_Meth_max[[#This Row],[ID_DataQualities]],table_DataQualities[],3),table_Units[],2)</f>
        <v>Hz</v>
      </c>
      <c r="I803" s="10"/>
      <c r="J803" s="10"/>
      <c r="K803" s="10"/>
      <c r="L803" s="10">
        <f ca="1">VLOOKUP(dict_DQ_Meth_max[[#This Row],[ID_DataQualities]],table_DataQualities[],8,FALSE)</f>
        <v>0.45100000000000001</v>
      </c>
      <c r="M803" s="10">
        <f ca="1">VLOOKUP(dict_DQ_Meth_max[[#This Row],[ID_DataQualities]],table_DataQualities[],9,FALSE)</f>
        <v>2098</v>
      </c>
    </row>
    <row r="804" spans="1:13" x14ac:dyDescent="0.45">
      <c r="A804" s="10">
        <v>214</v>
      </c>
      <c r="B804" s="10">
        <v>291</v>
      </c>
      <c r="C8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4" s="10"/>
      <c r="E804" s="10"/>
      <c r="F804" s="12">
        <f ca="1">(RANDBETWEEN(0,50)/100)*(dict_DQ_Meth_max[[#This Row],[Vergleich_ub]]-dict_DQ_Meth_max[[#This Row],[Vergleich_lb]])+dict_DQ_Meth_max[[#This Row],[Vergleich_lb]]</f>
        <v>168.25492</v>
      </c>
      <c r="G804" s="12">
        <f ca="1">(RANDBETWEEN(50,100)/100)*(dict_DQ_Meth_max[[#This Row],[Vergleich_ub]]-dict_DQ_Meth_max[[#This Row],[Vergleich_lb]])+dict_DQ_Meth_max[[#This Row],[Vergleich_lb]]</f>
        <v>1993.1225499999998</v>
      </c>
      <c r="H804" s="11" t="str">
        <f ca="1">VLOOKUP(VLOOKUP(dict_DQ_Meth_max[[#This Row],[ID_DataQualities]],table_DataQualities[],3),table_Units[],2)</f>
        <v>Hz</v>
      </c>
      <c r="I804" s="10"/>
      <c r="J804" s="10"/>
      <c r="K804" s="10"/>
      <c r="L804" s="10">
        <f ca="1">VLOOKUP(dict_DQ_Meth_max[[#This Row],[ID_DataQualities]],table_DataQualities[],8,FALSE)</f>
        <v>0.45100000000000001</v>
      </c>
      <c r="M804" s="10">
        <f ca="1">VLOOKUP(dict_DQ_Meth_max[[#This Row],[ID_DataQualities]],table_DataQualities[],9,FALSE)</f>
        <v>2098</v>
      </c>
    </row>
    <row r="805" spans="1:13" x14ac:dyDescent="0.45">
      <c r="A805" s="10">
        <v>215</v>
      </c>
      <c r="B805" s="10">
        <v>411</v>
      </c>
      <c r="C8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5" s="10"/>
      <c r="E805" s="10"/>
      <c r="F805" s="12">
        <f ca="1">(RANDBETWEEN(0,50)/100)*(dict_DQ_Meth_max[[#This Row],[Vergleich_ub]]-dict_DQ_Meth_max[[#This Row],[Vergleich_lb]])+dict_DQ_Meth_max[[#This Row],[Vergleich_lb]]</f>
        <v>2523.6800000000003</v>
      </c>
      <c r="G805" s="12">
        <f ca="1">(RANDBETWEEN(50,100)/100)*(dict_DQ_Meth_max[[#This Row],[Vergleich_ub]]-dict_DQ_Meth_max[[#This Row],[Vergleich_lb]])+dict_DQ_Meth_max[[#This Row],[Vergleich_lb]]</f>
        <v>3929.7599999999998</v>
      </c>
      <c r="H805" s="11" t="str">
        <f ca="1">VLOOKUP(VLOOKUP(dict_DQ_Meth_max[[#This Row],[ID_DataQualities]],table_DataQualities[],3),table_Units[],2)</f>
        <v>bit</v>
      </c>
      <c r="I805" s="10"/>
      <c r="J805" s="10"/>
      <c r="K805" s="10"/>
      <c r="L805" s="10">
        <f ca="1">VLOOKUP(dict_DQ_Meth_max[[#This Row],[ID_DataQualities]],table_DataQualities[],8,FALSE)</f>
        <v>36</v>
      </c>
      <c r="M805" s="10">
        <f ca="1">VLOOKUP(dict_DQ_Meth_max[[#This Row],[ID_DataQualities]],table_DataQualities[],9,FALSE)</f>
        <v>5444</v>
      </c>
    </row>
    <row r="806" spans="1:13" x14ac:dyDescent="0.45">
      <c r="A806" s="10">
        <v>215</v>
      </c>
      <c r="B806" s="10">
        <v>291</v>
      </c>
      <c r="C8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6" s="10"/>
      <c r="E806" s="10"/>
      <c r="F806" s="12">
        <f ca="1">(RANDBETWEEN(0,50)/100)*(dict_DQ_Meth_max[[#This Row],[Vergleich_ub]]-dict_DQ_Meth_max[[#This Row],[Vergleich_lb]])+dict_DQ_Meth_max[[#This Row],[Vergleich_lb]]</f>
        <v>1928.8</v>
      </c>
      <c r="G806" s="12">
        <f ca="1">(RANDBETWEEN(50,100)/100)*(dict_DQ_Meth_max[[#This Row],[Vergleich_ub]]-dict_DQ_Meth_max[[#This Row],[Vergleich_lb]])+dict_DQ_Meth_max[[#This Row],[Vergleich_lb]]</f>
        <v>3443.04</v>
      </c>
      <c r="H806" s="11" t="str">
        <f ca="1">VLOOKUP(VLOOKUP(dict_DQ_Meth_max[[#This Row],[ID_DataQualities]],table_DataQualities[],3),table_Units[],2)</f>
        <v>bit</v>
      </c>
      <c r="I806" s="10"/>
      <c r="J806" s="10"/>
      <c r="K806" s="10"/>
      <c r="L806" s="10">
        <f ca="1">VLOOKUP(dict_DQ_Meth_max[[#This Row],[ID_DataQualities]],table_DataQualities[],8,FALSE)</f>
        <v>36</v>
      </c>
      <c r="M806" s="10">
        <f ca="1">VLOOKUP(dict_DQ_Meth_max[[#This Row],[ID_DataQualities]],table_DataQualities[],9,FALSE)</f>
        <v>5444</v>
      </c>
    </row>
    <row r="807" spans="1:13" x14ac:dyDescent="0.45">
      <c r="A807" s="10">
        <v>215</v>
      </c>
      <c r="B807" s="10">
        <v>496</v>
      </c>
      <c r="C8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7" s="10"/>
      <c r="E807" s="10"/>
      <c r="F807" s="12">
        <f ca="1">(RANDBETWEEN(0,50)/100)*(dict_DQ_Meth_max[[#This Row],[Vergleich_ub]]-dict_DQ_Meth_max[[#This Row],[Vergleich_lb]])+dict_DQ_Meth_max[[#This Row],[Vergleich_lb]]</f>
        <v>36</v>
      </c>
      <c r="G807" s="12">
        <f ca="1">(RANDBETWEEN(50,100)/100)*(dict_DQ_Meth_max[[#This Row],[Vergleich_ub]]-dict_DQ_Meth_max[[#This Row],[Vergleich_lb]])+dict_DQ_Meth_max[[#This Row],[Vergleich_lb]]</f>
        <v>5281.76</v>
      </c>
      <c r="H807" s="11" t="str">
        <f ca="1">VLOOKUP(VLOOKUP(dict_DQ_Meth_max[[#This Row],[ID_DataQualities]],table_DataQualities[],3),table_Units[],2)</f>
        <v>bit</v>
      </c>
      <c r="I807" s="10"/>
      <c r="J807" s="10"/>
      <c r="K807" s="10"/>
      <c r="L807" s="10">
        <f ca="1">VLOOKUP(dict_DQ_Meth_max[[#This Row],[ID_DataQualities]],table_DataQualities[],8,FALSE)</f>
        <v>36</v>
      </c>
      <c r="M807" s="10">
        <f ca="1">VLOOKUP(dict_DQ_Meth_max[[#This Row],[ID_DataQualities]],table_DataQualities[],9,FALSE)</f>
        <v>5444</v>
      </c>
    </row>
    <row r="808" spans="1:13" x14ac:dyDescent="0.45">
      <c r="A808" s="10">
        <v>216</v>
      </c>
      <c r="B808" s="10">
        <v>180</v>
      </c>
      <c r="C8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8" s="10"/>
      <c r="E808" s="10"/>
      <c r="F808" s="12">
        <f ca="1">(RANDBETWEEN(0,50)/100)*(dict_DQ_Meth_max[[#This Row],[Vergleich_ub]]-dict_DQ_Meth_max[[#This Row],[Vergleich_lb]])+dict_DQ_Meth_max[[#This Row],[Vergleich_lb]]</f>
        <v>214.86099999999999</v>
      </c>
      <c r="G808" s="12">
        <f ca="1">(RANDBETWEEN(50,100)/100)*(dict_DQ_Meth_max[[#This Row],[Vergleich_ub]]-dict_DQ_Meth_max[[#This Row],[Vergleich_lb]])+dict_DQ_Meth_max[[#This Row],[Vergleich_lb]]</f>
        <v>445.58394999999996</v>
      </c>
      <c r="H808" s="11" t="str">
        <f ca="1">VLOOKUP(VLOOKUP(dict_DQ_Meth_max[[#This Row],[ID_DataQualities]],table_DataQualities[],3),table_Units[],2)</f>
        <v>Hz</v>
      </c>
      <c r="I808" s="10"/>
      <c r="J808" s="10"/>
      <c r="K808" s="10"/>
      <c r="L808" s="10">
        <f ca="1">VLOOKUP(dict_DQ_Meth_max[[#This Row],[ID_DataQualities]],table_DataQualities[],8,FALSE)</f>
        <v>0.23499999999999999</v>
      </c>
      <c r="M808" s="10">
        <f ca="1">VLOOKUP(dict_DQ_Meth_max[[#This Row],[ID_DataQualities]],table_DataQualities[],9,FALSE)</f>
        <v>536.79999999999995</v>
      </c>
    </row>
    <row r="809" spans="1:13" x14ac:dyDescent="0.45">
      <c r="A809" s="10">
        <v>216</v>
      </c>
      <c r="B809" s="10">
        <v>574</v>
      </c>
      <c r="C8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09" s="10"/>
      <c r="E809" s="10"/>
      <c r="F809" s="12">
        <f ca="1">(RANDBETWEEN(0,50)/100)*(dict_DQ_Meth_max[[#This Row],[Vergleich_ub]]-dict_DQ_Meth_max[[#This Row],[Vergleich_lb]])+dict_DQ_Meth_max[[#This Row],[Vergleich_lb]]</f>
        <v>27.063249999999996</v>
      </c>
      <c r="G809" s="12">
        <f ca="1">(RANDBETWEEN(50,100)/100)*(dict_DQ_Meth_max[[#This Row],[Vergleich_ub]]-dict_DQ_Meth_max[[#This Row],[Vergleich_lb]])+dict_DQ_Meth_max[[#This Row],[Vergleich_lb]]</f>
        <v>509.97174999999993</v>
      </c>
      <c r="H809" s="11" t="str">
        <f ca="1">VLOOKUP(VLOOKUP(dict_DQ_Meth_max[[#This Row],[ID_DataQualities]],table_DataQualities[],3),table_Units[],2)</f>
        <v>Hz</v>
      </c>
      <c r="I809" s="10"/>
      <c r="J809" s="10"/>
      <c r="K809" s="10"/>
      <c r="L809" s="10">
        <f ca="1">VLOOKUP(dict_DQ_Meth_max[[#This Row],[ID_DataQualities]],table_DataQualities[],8,FALSE)</f>
        <v>0.23499999999999999</v>
      </c>
      <c r="M809" s="10">
        <f ca="1">VLOOKUP(dict_DQ_Meth_max[[#This Row],[ID_DataQualities]],table_DataQualities[],9,FALSE)</f>
        <v>536.79999999999995</v>
      </c>
    </row>
    <row r="810" spans="1:13" x14ac:dyDescent="0.45">
      <c r="A810" s="10">
        <v>216</v>
      </c>
      <c r="B810" s="10">
        <v>495</v>
      </c>
      <c r="C8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0" s="10"/>
      <c r="E810" s="10"/>
      <c r="F810" s="12">
        <f ca="1">(RANDBETWEEN(0,50)/100)*(dict_DQ_Meth_max[[#This Row],[Vergleich_ub]]-dict_DQ_Meth_max[[#This Row],[Vergleich_lb]])+dict_DQ_Meth_max[[#This Row],[Vergleich_lb]]</f>
        <v>193.39839999999998</v>
      </c>
      <c r="G810" s="12">
        <f ca="1">(RANDBETWEEN(50,100)/100)*(dict_DQ_Meth_max[[#This Row],[Vergleich_ub]]-dict_DQ_Meth_max[[#This Row],[Vergleich_lb]])+dict_DQ_Meth_max[[#This Row],[Vergleich_lb]]</f>
        <v>370.46484999999996</v>
      </c>
      <c r="H810" s="11" t="str">
        <f ca="1">VLOOKUP(VLOOKUP(dict_DQ_Meth_max[[#This Row],[ID_DataQualities]],table_DataQualities[],3),table_Units[],2)</f>
        <v>Hz</v>
      </c>
      <c r="I810" s="10"/>
      <c r="J810" s="10"/>
      <c r="K810" s="10"/>
      <c r="L810" s="10">
        <f ca="1">VLOOKUP(dict_DQ_Meth_max[[#This Row],[ID_DataQualities]],table_DataQualities[],8,FALSE)</f>
        <v>0.23499999999999999</v>
      </c>
      <c r="M810" s="10">
        <f ca="1">VLOOKUP(dict_DQ_Meth_max[[#This Row],[ID_DataQualities]],table_DataQualities[],9,FALSE)</f>
        <v>536.79999999999995</v>
      </c>
    </row>
    <row r="811" spans="1:13" x14ac:dyDescent="0.45">
      <c r="A811" s="10">
        <v>217</v>
      </c>
      <c r="B811" s="10">
        <v>574</v>
      </c>
      <c r="C8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1" s="10"/>
      <c r="E811" s="10"/>
      <c r="F811" s="12">
        <f ca="1">(RANDBETWEEN(0,50)/100)*(dict_DQ_Meth_max[[#This Row],[Vergleich_ub]]-dict_DQ_Meth_max[[#This Row],[Vergleich_lb]])+dict_DQ_Meth_max[[#This Row],[Vergleich_lb]]</f>
        <v>2456.1400000000003</v>
      </c>
      <c r="G811" s="12">
        <f ca="1">(RANDBETWEEN(50,100)/100)*(dict_DQ_Meth_max[[#This Row],[Vergleich_ub]]-dict_DQ_Meth_max[[#This Row],[Vergleich_lb]])+dict_DQ_Meth_max[[#This Row],[Vergleich_lb]]</f>
        <v>3889.5699999999997</v>
      </c>
      <c r="H811" s="11" t="str">
        <f ca="1">VLOOKUP(VLOOKUP(dict_DQ_Meth_max[[#This Row],[ID_DataQualities]],table_DataQualities[],3),table_Units[],2)</f>
        <v>bit</v>
      </c>
      <c r="I811" s="10"/>
      <c r="J811" s="10"/>
      <c r="K811" s="10"/>
      <c r="L811" s="10">
        <f ca="1">VLOOKUP(dict_DQ_Meth_max[[#This Row],[ID_DataQualities]],table_DataQualities[],8,FALSE)</f>
        <v>14</v>
      </c>
      <c r="M811" s="10">
        <f ca="1">VLOOKUP(dict_DQ_Meth_max[[#This Row],[ID_DataQualities]],table_DataQualities[],9,FALSE)</f>
        <v>5323</v>
      </c>
    </row>
    <row r="812" spans="1:13" x14ac:dyDescent="0.45">
      <c r="A812" s="10">
        <v>217</v>
      </c>
      <c r="B812" s="10">
        <v>180</v>
      </c>
      <c r="C8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2" s="10"/>
      <c r="E812" s="10"/>
      <c r="F812" s="12">
        <f ca="1">(RANDBETWEEN(0,50)/100)*(dict_DQ_Meth_max[[#This Row],[Vergleich_ub]]-dict_DQ_Meth_max[[#This Row],[Vergleich_lb]])+dict_DQ_Meth_max[[#This Row],[Vergleich_lb]]</f>
        <v>2668.5</v>
      </c>
      <c r="G812" s="12">
        <f ca="1">(RANDBETWEEN(50,100)/100)*(dict_DQ_Meth_max[[#This Row],[Vergleich_ub]]-dict_DQ_Meth_max[[#This Row],[Vergleich_lb]])+dict_DQ_Meth_max[[#This Row],[Vergleich_lb]]</f>
        <v>2827.77</v>
      </c>
      <c r="H812" s="11" t="str">
        <f ca="1">VLOOKUP(VLOOKUP(dict_DQ_Meth_max[[#This Row],[ID_DataQualities]],table_DataQualities[],3),table_Units[],2)</f>
        <v>bit</v>
      </c>
      <c r="I812" s="10"/>
      <c r="J812" s="10"/>
      <c r="K812" s="10"/>
      <c r="L812" s="10">
        <f ca="1">VLOOKUP(dict_DQ_Meth_max[[#This Row],[ID_DataQualities]],table_DataQualities[],8,FALSE)</f>
        <v>14</v>
      </c>
      <c r="M812" s="10">
        <f ca="1">VLOOKUP(dict_DQ_Meth_max[[#This Row],[ID_DataQualities]],table_DataQualities[],9,FALSE)</f>
        <v>5323</v>
      </c>
    </row>
    <row r="813" spans="1:13" x14ac:dyDescent="0.45">
      <c r="A813" s="10">
        <v>217</v>
      </c>
      <c r="B813" s="10">
        <v>495</v>
      </c>
      <c r="C8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3" s="10"/>
      <c r="E813" s="10"/>
      <c r="F813" s="12">
        <f ca="1">(RANDBETWEEN(0,50)/100)*(dict_DQ_Meth_max[[#This Row],[Vergleich_ub]]-dict_DQ_Meth_max[[#This Row],[Vergleich_lb]])+dict_DQ_Meth_max[[#This Row],[Vergleich_lb]]</f>
        <v>757.2600000000001</v>
      </c>
      <c r="G813" s="12">
        <f ca="1">(RANDBETWEEN(50,100)/100)*(dict_DQ_Meth_max[[#This Row],[Vergleich_ub]]-dict_DQ_Meth_max[[#This Row],[Vergleich_lb]])+dict_DQ_Meth_max[[#This Row],[Vergleich_lb]]</f>
        <v>3146.31</v>
      </c>
      <c r="H813" s="11" t="str">
        <f ca="1">VLOOKUP(VLOOKUP(dict_DQ_Meth_max[[#This Row],[ID_DataQualities]],table_DataQualities[],3),table_Units[],2)</f>
        <v>bit</v>
      </c>
      <c r="I813" s="10"/>
      <c r="J813" s="10"/>
      <c r="K813" s="10"/>
      <c r="L813" s="10">
        <f ca="1">VLOOKUP(dict_DQ_Meth_max[[#This Row],[ID_DataQualities]],table_DataQualities[],8,FALSE)</f>
        <v>14</v>
      </c>
      <c r="M813" s="10">
        <f ca="1">VLOOKUP(dict_DQ_Meth_max[[#This Row],[ID_DataQualities]],table_DataQualities[],9,FALSE)</f>
        <v>5323</v>
      </c>
    </row>
    <row r="814" spans="1:13" x14ac:dyDescent="0.45">
      <c r="A814" s="10">
        <v>218</v>
      </c>
      <c r="B814" s="10">
        <v>12</v>
      </c>
      <c r="C8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4" s="10"/>
      <c r="E814" s="10"/>
      <c r="F814" s="12">
        <f ca="1">(RANDBETWEEN(0,50)/100)*(dict_DQ_Meth_max[[#This Row],[Vergleich_ub]]-dict_DQ_Meth_max[[#This Row],[Vergleich_lb]])+dict_DQ_Meth_max[[#This Row],[Vergleich_lb]]</f>
        <v>390.78440000000006</v>
      </c>
      <c r="G814" s="12">
        <f ca="1">(RANDBETWEEN(50,100)/100)*(dict_DQ_Meth_max[[#This Row],[Vergleich_ub]]-dict_DQ_Meth_max[[#This Row],[Vergleich_lb]])+dict_DQ_Meth_max[[#This Row],[Vergleich_lb]]</f>
        <v>953.62779999999998</v>
      </c>
      <c r="H814" s="11" t="str">
        <f ca="1">VLOOKUP(VLOOKUP(dict_DQ_Meth_max[[#This Row],[ID_DataQualities]],table_DataQualities[],3),table_Units[],2)</f>
        <v>Hz</v>
      </c>
      <c r="I814" s="10"/>
      <c r="J814" s="10"/>
      <c r="K814" s="10"/>
      <c r="L814" s="10">
        <f ca="1">VLOOKUP(dict_DQ_Meth_max[[#This Row],[ID_DataQualities]],table_DataQualities[],8,FALSE)</f>
        <v>0.24</v>
      </c>
      <c r="M814" s="10">
        <f ca="1">VLOOKUP(dict_DQ_Meth_max[[#This Row],[ID_DataQualities]],table_DataQualities[],9,FALSE)</f>
        <v>1148.9000000000001</v>
      </c>
    </row>
    <row r="815" spans="1:13" x14ac:dyDescent="0.45">
      <c r="A815" s="10">
        <v>218</v>
      </c>
      <c r="B815" s="10">
        <v>30</v>
      </c>
      <c r="C8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5" s="10"/>
      <c r="E815" s="10"/>
      <c r="F815" s="12">
        <f ca="1">(RANDBETWEEN(0,50)/100)*(dict_DQ_Meth_max[[#This Row],[Vergleich_ub]]-dict_DQ_Meth_max[[#This Row],[Vergleich_lb]])+dict_DQ_Meth_max[[#This Row],[Vergleich_lb]]</f>
        <v>310.37820000000005</v>
      </c>
      <c r="G815" s="12">
        <f ca="1">(RANDBETWEEN(50,100)/100)*(dict_DQ_Meth_max[[#This Row],[Vergleich_ub]]-dict_DQ_Meth_max[[#This Row],[Vergleich_lb]])+dict_DQ_Meth_max[[#This Row],[Vergleich_lb]]</f>
        <v>988.08760000000007</v>
      </c>
      <c r="H815" s="11" t="str">
        <f ca="1">VLOOKUP(VLOOKUP(dict_DQ_Meth_max[[#This Row],[ID_DataQualities]],table_DataQualities[],3),table_Units[],2)</f>
        <v>Hz</v>
      </c>
      <c r="I815" s="10"/>
      <c r="J815" s="10"/>
      <c r="K815" s="10"/>
      <c r="L815" s="10">
        <f ca="1">VLOOKUP(dict_DQ_Meth_max[[#This Row],[ID_DataQualities]],table_DataQualities[],8,FALSE)</f>
        <v>0.24</v>
      </c>
      <c r="M815" s="10">
        <f ca="1">VLOOKUP(dict_DQ_Meth_max[[#This Row],[ID_DataQualities]],table_DataQualities[],9,FALSE)</f>
        <v>1148.9000000000001</v>
      </c>
    </row>
    <row r="816" spans="1:13" x14ac:dyDescent="0.45">
      <c r="A816" s="10">
        <v>218</v>
      </c>
      <c r="B816" s="10">
        <v>441</v>
      </c>
      <c r="C8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6" s="10"/>
      <c r="E816" s="10"/>
      <c r="F816" s="12">
        <f ca="1">(RANDBETWEEN(0,50)/100)*(dict_DQ_Meth_max[[#This Row],[Vergleich_ub]]-dict_DQ_Meth_max[[#This Row],[Vergleich_lb]])+dict_DQ_Meth_max[[#This Row],[Vergleich_lb]]</f>
        <v>528.62360000000012</v>
      </c>
      <c r="G816" s="12">
        <f ca="1">(RANDBETWEEN(50,100)/100)*(dict_DQ_Meth_max[[#This Row],[Vergleich_ub]]-dict_DQ_Meth_max[[#This Row],[Vergleich_lb]])+dict_DQ_Meth_max[[#This Row],[Vergleich_lb]]</f>
        <v>620.51640000000009</v>
      </c>
      <c r="H816" s="11" t="str">
        <f ca="1">VLOOKUP(VLOOKUP(dict_DQ_Meth_max[[#This Row],[ID_DataQualities]],table_DataQualities[],3),table_Units[],2)</f>
        <v>Hz</v>
      </c>
      <c r="I816" s="10"/>
      <c r="J816" s="10"/>
      <c r="K816" s="10"/>
      <c r="L816" s="10">
        <f ca="1">VLOOKUP(dict_DQ_Meth_max[[#This Row],[ID_DataQualities]],table_DataQualities[],8,FALSE)</f>
        <v>0.24</v>
      </c>
      <c r="M816" s="10">
        <f ca="1">VLOOKUP(dict_DQ_Meth_max[[#This Row],[ID_DataQualities]],table_DataQualities[],9,FALSE)</f>
        <v>1148.9000000000001</v>
      </c>
    </row>
    <row r="817" spans="1:13" x14ac:dyDescent="0.45">
      <c r="A817" s="10">
        <v>218</v>
      </c>
      <c r="B817" s="10">
        <v>629</v>
      </c>
      <c r="C8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7" s="10"/>
      <c r="E817" s="10"/>
      <c r="F817" s="12">
        <f ca="1">(RANDBETWEEN(0,50)/100)*(dict_DQ_Meth_max[[#This Row],[Vergleich_ub]]-dict_DQ_Meth_max[[#This Row],[Vergleich_lb]])+dict_DQ_Meth_max[[#This Row],[Vergleich_lb]]</f>
        <v>494.16380000000004</v>
      </c>
      <c r="G817" s="12">
        <f ca="1">(RANDBETWEEN(50,100)/100)*(dict_DQ_Meth_max[[#This Row],[Vergleich_ub]]-dict_DQ_Meth_max[[#This Row],[Vergleich_lb]])+dict_DQ_Meth_max[[#This Row],[Vergleich_lb]]</f>
        <v>999.57420000000002</v>
      </c>
      <c r="H817" s="11" t="str">
        <f ca="1">VLOOKUP(VLOOKUP(dict_DQ_Meth_max[[#This Row],[ID_DataQualities]],table_DataQualities[],3),table_Units[],2)</f>
        <v>Hz</v>
      </c>
      <c r="I817" s="10"/>
      <c r="J817" s="10"/>
      <c r="K817" s="10"/>
      <c r="L817" s="10">
        <f ca="1">VLOOKUP(dict_DQ_Meth_max[[#This Row],[ID_DataQualities]],table_DataQualities[],8,FALSE)</f>
        <v>0.24</v>
      </c>
      <c r="M817" s="10">
        <f ca="1">VLOOKUP(dict_DQ_Meth_max[[#This Row],[ID_DataQualities]],table_DataQualities[],9,FALSE)</f>
        <v>1148.9000000000001</v>
      </c>
    </row>
    <row r="818" spans="1:13" x14ac:dyDescent="0.45">
      <c r="A818" s="10">
        <v>218</v>
      </c>
      <c r="B818" s="10">
        <v>81</v>
      </c>
      <c r="C8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8" s="10"/>
      <c r="E818" s="10"/>
      <c r="F818" s="12">
        <f ca="1">(RANDBETWEEN(0,50)/100)*(dict_DQ_Meth_max[[#This Row],[Vergleich_ub]]-dict_DQ_Meth_max[[#This Row],[Vergleich_lb]])+dict_DQ_Meth_max[[#This Row],[Vergleich_lb]]</f>
        <v>333.35140000000001</v>
      </c>
      <c r="G818" s="12">
        <f ca="1">(RANDBETWEEN(50,100)/100)*(dict_DQ_Meth_max[[#This Row],[Vergleich_ub]]-dict_DQ_Meth_max[[#This Row],[Vergleich_lb]])+dict_DQ_Meth_max[[#This Row],[Vergleich_lb]]</f>
        <v>769.84220000000016</v>
      </c>
      <c r="H818" s="11" t="str">
        <f ca="1">VLOOKUP(VLOOKUP(dict_DQ_Meth_max[[#This Row],[ID_DataQualities]],table_DataQualities[],3),table_Units[],2)</f>
        <v>Hz</v>
      </c>
      <c r="I818" s="10"/>
      <c r="J818" s="10"/>
      <c r="K818" s="10"/>
      <c r="L818" s="10">
        <f ca="1">VLOOKUP(dict_DQ_Meth_max[[#This Row],[ID_DataQualities]],table_DataQualities[],8,FALSE)</f>
        <v>0.24</v>
      </c>
      <c r="M818" s="10">
        <f ca="1">VLOOKUP(dict_DQ_Meth_max[[#This Row],[ID_DataQualities]],table_DataQualities[],9,FALSE)</f>
        <v>1148.9000000000001</v>
      </c>
    </row>
    <row r="819" spans="1:13" x14ac:dyDescent="0.45">
      <c r="A819" s="10">
        <v>219</v>
      </c>
      <c r="B819" s="10">
        <v>12</v>
      </c>
      <c r="C8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19" s="10"/>
      <c r="E819" s="10"/>
      <c r="F819" s="12">
        <f ca="1">(RANDBETWEEN(0,50)/100)*(dict_DQ_Meth_max[[#This Row],[Vergleich_ub]]-dict_DQ_Meth_max[[#This Row],[Vergleich_lb]])+dict_DQ_Meth_max[[#This Row],[Vergleich_lb]]</f>
        <v>2.6520000000000001</v>
      </c>
      <c r="G819" s="12">
        <f ca="1">(RANDBETWEEN(50,100)/100)*(dict_DQ_Meth_max[[#This Row],[Vergleich_ub]]-dict_DQ_Meth_max[[#This Row],[Vergleich_lb]])+dict_DQ_Meth_max[[#This Row],[Vergleich_lb]]</f>
        <v>3.4080000000000004</v>
      </c>
      <c r="H819" s="11" t="str">
        <f ca="1">VLOOKUP(VLOOKUP(dict_DQ_Meth_max[[#This Row],[ID_DataQualities]],table_DataQualities[],3),table_Units[],2)</f>
        <v>+/- °C</v>
      </c>
      <c r="I819" s="10"/>
      <c r="J819" s="10"/>
      <c r="K819" s="10"/>
      <c r="L819" s="10">
        <f ca="1">VLOOKUP(dict_DQ_Meth_max[[#This Row],[ID_DataQualities]],table_DataQualities[],8,FALSE)</f>
        <v>0.6</v>
      </c>
      <c r="M819" s="10">
        <f ca="1">VLOOKUP(dict_DQ_Meth_max[[#This Row],[ID_DataQualities]],table_DataQualities[],9,FALSE)</f>
        <v>6</v>
      </c>
    </row>
    <row r="820" spans="1:13" x14ac:dyDescent="0.45">
      <c r="A820" s="10">
        <v>219</v>
      </c>
      <c r="B820" s="10">
        <v>629</v>
      </c>
      <c r="C8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0" s="10"/>
      <c r="E820" s="10"/>
      <c r="F820" s="12">
        <f ca="1">(RANDBETWEEN(0,50)/100)*(dict_DQ_Meth_max[[#This Row],[Vergleich_ub]]-dict_DQ_Meth_max[[#This Row],[Vergleich_lb]])+dict_DQ_Meth_max[[#This Row],[Vergleich_lb]]</f>
        <v>3.0840000000000005</v>
      </c>
      <c r="G820" s="12">
        <f ca="1">(RANDBETWEEN(50,100)/100)*(dict_DQ_Meth_max[[#This Row],[Vergleich_ub]]-dict_DQ_Meth_max[[#This Row],[Vergleich_lb]])+dict_DQ_Meth_max[[#This Row],[Vergleich_lb]]</f>
        <v>3.786</v>
      </c>
      <c r="H820" s="11" t="str">
        <f ca="1">VLOOKUP(VLOOKUP(dict_DQ_Meth_max[[#This Row],[ID_DataQualities]],table_DataQualities[],3),table_Units[],2)</f>
        <v>+/- °C</v>
      </c>
      <c r="I820" s="10"/>
      <c r="J820" s="10"/>
      <c r="K820" s="10"/>
      <c r="L820" s="10">
        <f ca="1">VLOOKUP(dict_DQ_Meth_max[[#This Row],[ID_DataQualities]],table_DataQualities[],8,FALSE)</f>
        <v>0.6</v>
      </c>
      <c r="M820" s="10">
        <f ca="1">VLOOKUP(dict_DQ_Meth_max[[#This Row],[ID_DataQualities]],table_DataQualities[],9,FALSE)</f>
        <v>6</v>
      </c>
    </row>
    <row r="821" spans="1:13" x14ac:dyDescent="0.45">
      <c r="A821" s="10">
        <v>219</v>
      </c>
      <c r="B821" s="10">
        <v>30</v>
      </c>
      <c r="C8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1" s="10"/>
      <c r="E821" s="10"/>
      <c r="F821" s="12">
        <f ca="1">(RANDBETWEEN(0,50)/100)*(dict_DQ_Meth_max[[#This Row],[Vergleich_ub]]-dict_DQ_Meth_max[[#This Row],[Vergleich_lb]])+dict_DQ_Meth_max[[#This Row],[Vergleich_lb]]</f>
        <v>1.7880000000000003</v>
      </c>
      <c r="G821" s="12">
        <f ca="1">(RANDBETWEEN(50,100)/100)*(dict_DQ_Meth_max[[#This Row],[Vergleich_ub]]-dict_DQ_Meth_max[[#This Row],[Vergleich_lb]])+dict_DQ_Meth_max[[#This Row],[Vergleich_lb]]</f>
        <v>4.38</v>
      </c>
      <c r="H821" s="11" t="str">
        <f ca="1">VLOOKUP(VLOOKUP(dict_DQ_Meth_max[[#This Row],[ID_DataQualities]],table_DataQualities[],3),table_Units[],2)</f>
        <v>+/- °C</v>
      </c>
      <c r="I821" s="10"/>
      <c r="J821" s="10"/>
      <c r="K821" s="10"/>
      <c r="L821" s="10">
        <f ca="1">VLOOKUP(dict_DQ_Meth_max[[#This Row],[ID_DataQualities]],table_DataQualities[],8,FALSE)</f>
        <v>0.6</v>
      </c>
      <c r="M821" s="10">
        <f ca="1">VLOOKUP(dict_DQ_Meth_max[[#This Row],[ID_DataQualities]],table_DataQualities[],9,FALSE)</f>
        <v>6</v>
      </c>
    </row>
    <row r="822" spans="1:13" x14ac:dyDescent="0.45">
      <c r="A822" s="10">
        <v>219</v>
      </c>
      <c r="B822" s="10">
        <v>81</v>
      </c>
      <c r="C8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2" s="10"/>
      <c r="E822" s="10"/>
      <c r="F822" s="12">
        <f ca="1">(RANDBETWEEN(0,50)/100)*(dict_DQ_Meth_max[[#This Row],[Vergleich_ub]]-dict_DQ_Meth_max[[#This Row],[Vergleich_lb]])+dict_DQ_Meth_max[[#This Row],[Vergleich_lb]]</f>
        <v>0.92399999999999993</v>
      </c>
      <c r="G822" s="12">
        <f ca="1">(RANDBETWEEN(50,100)/100)*(dict_DQ_Meth_max[[#This Row],[Vergleich_ub]]-dict_DQ_Meth_max[[#This Row],[Vergleich_lb]])+dict_DQ_Meth_max[[#This Row],[Vergleich_lb]]</f>
        <v>4.4340000000000002</v>
      </c>
      <c r="H822" s="11" t="str">
        <f ca="1">VLOOKUP(VLOOKUP(dict_DQ_Meth_max[[#This Row],[ID_DataQualities]],table_DataQualities[],3),table_Units[],2)</f>
        <v>+/- °C</v>
      </c>
      <c r="I822" s="10"/>
      <c r="J822" s="10"/>
      <c r="K822" s="10"/>
      <c r="L822" s="10">
        <f ca="1">VLOOKUP(dict_DQ_Meth_max[[#This Row],[ID_DataQualities]],table_DataQualities[],8,FALSE)</f>
        <v>0.6</v>
      </c>
      <c r="M822" s="10">
        <f ca="1">VLOOKUP(dict_DQ_Meth_max[[#This Row],[ID_DataQualities]],table_DataQualities[],9,FALSE)</f>
        <v>6</v>
      </c>
    </row>
    <row r="823" spans="1:13" x14ac:dyDescent="0.45">
      <c r="A823" s="10">
        <v>219</v>
      </c>
      <c r="B823" s="10">
        <v>441</v>
      </c>
      <c r="C8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3" s="10"/>
      <c r="E823" s="10"/>
      <c r="F823" s="12">
        <f ca="1">(RANDBETWEEN(0,50)/100)*(dict_DQ_Meth_max[[#This Row],[Vergleich_ub]]-dict_DQ_Meth_max[[#This Row],[Vergleich_lb]])+dict_DQ_Meth_max[[#This Row],[Vergleich_lb]]</f>
        <v>0.81600000000000006</v>
      </c>
      <c r="G823" s="12">
        <f ca="1">(RANDBETWEEN(50,100)/100)*(dict_DQ_Meth_max[[#This Row],[Vergleich_ub]]-dict_DQ_Meth_max[[#This Row],[Vergleich_lb]])+dict_DQ_Meth_max[[#This Row],[Vergleich_lb]]</f>
        <v>3.3000000000000003</v>
      </c>
      <c r="H823" s="11" t="str">
        <f ca="1">VLOOKUP(VLOOKUP(dict_DQ_Meth_max[[#This Row],[ID_DataQualities]],table_DataQualities[],3),table_Units[],2)</f>
        <v>+/- °C</v>
      </c>
      <c r="I823" s="10"/>
      <c r="J823" s="10"/>
      <c r="K823" s="10"/>
      <c r="L823" s="10">
        <f ca="1">VLOOKUP(dict_DQ_Meth_max[[#This Row],[ID_DataQualities]],table_DataQualities[],8,FALSE)</f>
        <v>0.6</v>
      </c>
      <c r="M823" s="10">
        <f ca="1">VLOOKUP(dict_DQ_Meth_max[[#This Row],[ID_DataQualities]],table_DataQualities[],9,FALSE)</f>
        <v>6</v>
      </c>
    </row>
    <row r="824" spans="1:13" x14ac:dyDescent="0.45">
      <c r="A824" s="10">
        <v>220</v>
      </c>
      <c r="B824" s="10">
        <v>55</v>
      </c>
      <c r="C8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4" s="10"/>
      <c r="E824" s="10"/>
      <c r="F824" s="12">
        <f ca="1">(RANDBETWEEN(0,50)/100)*(dict_DQ_Meth_max[[#This Row],[Vergleich_ub]]-dict_DQ_Meth_max[[#This Row],[Vergleich_lb]])+dict_DQ_Meth_max[[#This Row],[Vergleich_lb]]</f>
        <v>244.81719999999999</v>
      </c>
      <c r="G824" s="12">
        <f ca="1">(RANDBETWEEN(50,100)/100)*(dict_DQ_Meth_max[[#This Row],[Vergleich_ub]]-dict_DQ_Meth_max[[#This Row],[Vergleich_lb]])+dict_DQ_Meth_max[[#This Row],[Vergleich_lb]]</f>
        <v>465.00687999999991</v>
      </c>
      <c r="H824" s="11" t="str">
        <f ca="1">VLOOKUP(VLOOKUP(dict_DQ_Meth_max[[#This Row],[ID_DataQualities]],table_DataQualities[],3),table_Units[],2)</f>
        <v>Hz</v>
      </c>
      <c r="I824" s="10"/>
      <c r="J824" s="10"/>
      <c r="K824" s="10"/>
      <c r="L824" s="10">
        <f ca="1">VLOOKUP(dict_DQ_Meth_max[[#This Row],[ID_DataQualities]],table_DataQualities[],8,FALSE)</f>
        <v>0.16200000000000001</v>
      </c>
      <c r="M824" s="10">
        <f ca="1">VLOOKUP(dict_DQ_Meth_max[[#This Row],[ID_DataQualities]],table_DataQualities[],9,FALSE)</f>
        <v>611.79999999999995</v>
      </c>
    </row>
    <row r="825" spans="1:13" x14ac:dyDescent="0.45">
      <c r="A825" s="10">
        <v>220</v>
      </c>
      <c r="B825" s="10">
        <v>250</v>
      </c>
      <c r="C8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5" s="10"/>
      <c r="E825" s="10"/>
      <c r="F825" s="12">
        <f ca="1">(RANDBETWEEN(0,50)/100)*(dict_DQ_Meth_max[[#This Row],[Vergleich_ub]]-dict_DQ_Meth_max[[#This Row],[Vergleich_lb]])+dict_DQ_Meth_max[[#This Row],[Vergleich_lb]]</f>
        <v>0.16200000000000001</v>
      </c>
      <c r="G825" s="12">
        <f ca="1">(RANDBETWEEN(50,100)/100)*(dict_DQ_Meth_max[[#This Row],[Vergleich_ub]]-dict_DQ_Meth_max[[#This Row],[Vergleich_lb]])+dict_DQ_Meth_max[[#This Row],[Vergleich_lb]]</f>
        <v>373.26117999999991</v>
      </c>
      <c r="H825" s="11" t="str">
        <f ca="1">VLOOKUP(VLOOKUP(dict_DQ_Meth_max[[#This Row],[ID_DataQualities]],table_DataQualities[],3),table_Units[],2)</f>
        <v>Hz</v>
      </c>
      <c r="I825" s="10"/>
      <c r="J825" s="10"/>
      <c r="K825" s="10"/>
      <c r="L825" s="10">
        <f ca="1">VLOOKUP(dict_DQ_Meth_max[[#This Row],[ID_DataQualities]],table_DataQualities[],8,FALSE)</f>
        <v>0.16200000000000001</v>
      </c>
      <c r="M825" s="10">
        <f ca="1">VLOOKUP(dict_DQ_Meth_max[[#This Row],[ID_DataQualities]],table_DataQualities[],9,FALSE)</f>
        <v>611.79999999999995</v>
      </c>
    </row>
    <row r="826" spans="1:13" x14ac:dyDescent="0.45">
      <c r="A826" s="10">
        <v>220</v>
      </c>
      <c r="B826" s="10">
        <v>616</v>
      </c>
      <c r="C8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6" s="10"/>
      <c r="E826" s="10"/>
      <c r="F826" s="12">
        <f ca="1">(RANDBETWEEN(0,50)/100)*(dict_DQ_Meth_max[[#This Row],[Vergleich_ub]]-dict_DQ_Meth_max[[#This Row],[Vergleich_lb]])+dict_DQ_Meth_max[[#This Row],[Vergleich_lb]]</f>
        <v>226.46805999999998</v>
      </c>
      <c r="G826" s="12">
        <f ca="1">(RANDBETWEEN(50,100)/100)*(dict_DQ_Meth_max[[#This Row],[Vergleich_ub]]-dict_DQ_Meth_max[[#This Row],[Vergleich_lb]])+dict_DQ_Meth_max[[#This Row],[Vergleich_lb]]</f>
        <v>587.33447999999999</v>
      </c>
      <c r="H826" s="11" t="str">
        <f ca="1">VLOOKUP(VLOOKUP(dict_DQ_Meth_max[[#This Row],[ID_DataQualities]],table_DataQualities[],3),table_Units[],2)</f>
        <v>Hz</v>
      </c>
      <c r="I826" s="10"/>
      <c r="J826" s="10"/>
      <c r="K826" s="10"/>
      <c r="L826" s="10">
        <f ca="1">VLOOKUP(dict_DQ_Meth_max[[#This Row],[ID_DataQualities]],table_DataQualities[],8,FALSE)</f>
        <v>0.16200000000000001</v>
      </c>
      <c r="M826" s="10">
        <f ca="1">VLOOKUP(dict_DQ_Meth_max[[#This Row],[ID_DataQualities]],table_DataQualities[],9,FALSE)</f>
        <v>611.79999999999995</v>
      </c>
    </row>
    <row r="827" spans="1:13" x14ac:dyDescent="0.45">
      <c r="A827" s="10">
        <v>220</v>
      </c>
      <c r="B827" s="10">
        <v>412</v>
      </c>
      <c r="C8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7" s="10"/>
      <c r="E827" s="10"/>
      <c r="F827" s="12">
        <f ca="1">(RANDBETWEEN(0,50)/100)*(dict_DQ_Meth_max[[#This Row],[Vergleich_ub]]-dict_DQ_Meth_max[[#This Row],[Vergleich_lb]])+dict_DQ_Meth_max[[#This Row],[Vergleich_lb]]</f>
        <v>146.95511999999999</v>
      </c>
      <c r="G827" s="12">
        <f ca="1">(RANDBETWEEN(50,100)/100)*(dict_DQ_Meth_max[[#This Row],[Vergleich_ub]]-dict_DQ_Meth_max[[#This Row],[Vergleich_lb]])+dict_DQ_Meth_max[[#This Row],[Vergleich_lb]]</f>
        <v>367.14479999999992</v>
      </c>
      <c r="H827" s="11" t="str">
        <f ca="1">VLOOKUP(VLOOKUP(dict_DQ_Meth_max[[#This Row],[ID_DataQualities]],table_DataQualities[],3),table_Units[],2)</f>
        <v>Hz</v>
      </c>
      <c r="I827" s="10"/>
      <c r="J827" s="10"/>
      <c r="K827" s="10"/>
      <c r="L827" s="10">
        <f ca="1">VLOOKUP(dict_DQ_Meth_max[[#This Row],[ID_DataQualities]],table_DataQualities[],8,FALSE)</f>
        <v>0.16200000000000001</v>
      </c>
      <c r="M827" s="10">
        <f ca="1">VLOOKUP(dict_DQ_Meth_max[[#This Row],[ID_DataQualities]],table_DataQualities[],9,FALSE)</f>
        <v>611.79999999999995</v>
      </c>
    </row>
    <row r="828" spans="1:13" x14ac:dyDescent="0.45">
      <c r="A828" s="10">
        <v>220</v>
      </c>
      <c r="B828" s="10">
        <v>612</v>
      </c>
      <c r="C8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8" s="10"/>
      <c r="E828" s="10"/>
      <c r="F828" s="12">
        <f ca="1">(RANDBETWEEN(0,50)/100)*(dict_DQ_Meth_max[[#This Row],[Vergleich_ub]]-dict_DQ_Meth_max[[#This Row],[Vergleich_lb]])+dict_DQ_Meth_max[[#This Row],[Vergleich_lb]]</f>
        <v>165.30426</v>
      </c>
      <c r="G828" s="12">
        <f ca="1">(RANDBETWEEN(50,100)/100)*(dict_DQ_Meth_max[[#This Row],[Vergleich_ub]]-dict_DQ_Meth_max[[#This Row],[Vergleich_lb]])+dict_DQ_Meth_max[[#This Row],[Vergleich_lb]]</f>
        <v>568.98533999999995</v>
      </c>
      <c r="H828" s="11" t="str">
        <f ca="1">VLOOKUP(VLOOKUP(dict_DQ_Meth_max[[#This Row],[ID_DataQualities]],table_DataQualities[],3),table_Units[],2)</f>
        <v>Hz</v>
      </c>
      <c r="I828" s="10"/>
      <c r="J828" s="10"/>
      <c r="K828" s="10"/>
      <c r="L828" s="10">
        <f ca="1">VLOOKUP(dict_DQ_Meth_max[[#This Row],[ID_DataQualities]],table_DataQualities[],8,FALSE)</f>
        <v>0.16200000000000001</v>
      </c>
      <c r="M828" s="10">
        <f ca="1">VLOOKUP(dict_DQ_Meth_max[[#This Row],[ID_DataQualities]],table_DataQualities[],9,FALSE)</f>
        <v>611.79999999999995</v>
      </c>
    </row>
    <row r="829" spans="1:13" x14ac:dyDescent="0.45">
      <c r="A829" s="10">
        <v>221</v>
      </c>
      <c r="B829" s="10">
        <v>55</v>
      </c>
      <c r="C8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29" s="10"/>
      <c r="E829" s="10"/>
      <c r="F829" s="12">
        <f ca="1">(RANDBETWEEN(0,50)/100)*(dict_DQ_Meth_max[[#This Row],[Vergleich_ub]]-dict_DQ_Meth_max[[#This Row],[Vergleich_lb]])+dict_DQ_Meth_max[[#This Row],[Vergleich_lb]]</f>
        <v>1734.44</v>
      </c>
      <c r="G829" s="12">
        <f ca="1">(RANDBETWEEN(50,100)/100)*(dict_DQ_Meth_max[[#This Row],[Vergleich_ub]]-dict_DQ_Meth_max[[#This Row],[Vergleich_lb]])+dict_DQ_Meth_max[[#This Row],[Vergleich_lb]]</f>
        <v>7573.64</v>
      </c>
      <c r="H829" s="11" t="str">
        <f ca="1">VLOOKUP(VLOOKUP(dict_DQ_Meth_max[[#This Row],[ID_DataQualities]],table_DataQualities[],3),table_Units[],2)</f>
        <v>bit</v>
      </c>
      <c r="I829" s="10"/>
      <c r="J829" s="10"/>
      <c r="K829" s="10"/>
      <c r="L829" s="10">
        <f ca="1">VLOOKUP(dict_DQ_Meth_max[[#This Row],[ID_DataQualities]],table_DataQualities[],8,FALSE)</f>
        <v>80</v>
      </c>
      <c r="M829" s="10">
        <f ca="1">VLOOKUP(dict_DQ_Meth_max[[#This Row],[ID_DataQualities]],table_DataQualities[],9,FALSE)</f>
        <v>9812</v>
      </c>
    </row>
    <row r="830" spans="1:13" x14ac:dyDescent="0.45">
      <c r="A830" s="10">
        <v>221</v>
      </c>
      <c r="B830" s="10">
        <v>250</v>
      </c>
      <c r="C8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0" s="10"/>
      <c r="E830" s="10"/>
      <c r="F830" s="12">
        <f ca="1">(RANDBETWEEN(0,50)/100)*(dict_DQ_Meth_max[[#This Row],[Vergleich_ub]]-dict_DQ_Meth_max[[#This Row],[Vergleich_lb]])+dict_DQ_Meth_max[[#This Row],[Vergleich_lb]]</f>
        <v>663.92</v>
      </c>
      <c r="G830" s="12">
        <f ca="1">(RANDBETWEEN(50,100)/100)*(dict_DQ_Meth_max[[#This Row],[Vergleich_ub]]-dict_DQ_Meth_max[[#This Row],[Vergleich_lb]])+dict_DQ_Meth_max[[#This Row],[Vergleich_lb]]</f>
        <v>9617.36</v>
      </c>
      <c r="H830" s="11" t="str">
        <f ca="1">VLOOKUP(VLOOKUP(dict_DQ_Meth_max[[#This Row],[ID_DataQualities]],table_DataQualities[],3),table_Units[],2)</f>
        <v>bit</v>
      </c>
      <c r="I830" s="10"/>
      <c r="J830" s="10"/>
      <c r="K830" s="10"/>
      <c r="L830" s="10">
        <f ca="1">VLOOKUP(dict_DQ_Meth_max[[#This Row],[ID_DataQualities]],table_DataQualities[],8,FALSE)</f>
        <v>80</v>
      </c>
      <c r="M830" s="10">
        <f ca="1">VLOOKUP(dict_DQ_Meth_max[[#This Row],[ID_DataQualities]],table_DataQualities[],9,FALSE)</f>
        <v>9812</v>
      </c>
    </row>
    <row r="831" spans="1:13" x14ac:dyDescent="0.45">
      <c r="A831" s="10">
        <v>221</v>
      </c>
      <c r="B831" s="10">
        <v>612</v>
      </c>
      <c r="C8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1" s="10"/>
      <c r="E831" s="10"/>
      <c r="F831" s="12">
        <f ca="1">(RANDBETWEEN(0,50)/100)*(dict_DQ_Meth_max[[#This Row],[Vergleich_ub]]-dict_DQ_Meth_max[[#This Row],[Vergleich_lb]])+dict_DQ_Meth_max[[#This Row],[Vergleich_lb]]</f>
        <v>2415.6799999999998</v>
      </c>
      <c r="G831" s="12">
        <f ca="1">(RANDBETWEEN(50,100)/100)*(dict_DQ_Meth_max[[#This Row],[Vergleich_ub]]-dict_DQ_Meth_max[[#This Row],[Vergleich_lb]])+dict_DQ_Meth_max[[#This Row],[Vergleich_lb]]</f>
        <v>9033.44</v>
      </c>
      <c r="H831" s="11" t="str">
        <f ca="1">VLOOKUP(VLOOKUP(dict_DQ_Meth_max[[#This Row],[ID_DataQualities]],table_DataQualities[],3),table_Units[],2)</f>
        <v>bit</v>
      </c>
      <c r="I831" s="10"/>
      <c r="J831" s="10"/>
      <c r="K831" s="10"/>
      <c r="L831" s="10">
        <f ca="1">VLOOKUP(dict_DQ_Meth_max[[#This Row],[ID_DataQualities]],table_DataQualities[],8,FALSE)</f>
        <v>80</v>
      </c>
      <c r="M831" s="10">
        <f ca="1">VLOOKUP(dict_DQ_Meth_max[[#This Row],[ID_DataQualities]],table_DataQualities[],9,FALSE)</f>
        <v>9812</v>
      </c>
    </row>
    <row r="832" spans="1:13" x14ac:dyDescent="0.45">
      <c r="A832" s="10">
        <v>221</v>
      </c>
      <c r="B832" s="10">
        <v>616</v>
      </c>
      <c r="C8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2" s="10"/>
      <c r="E832" s="10"/>
      <c r="F832" s="12">
        <f ca="1">(RANDBETWEEN(0,50)/100)*(dict_DQ_Meth_max[[#This Row],[Vergleich_ub]]-dict_DQ_Meth_max[[#This Row],[Vergleich_lb]])+dict_DQ_Meth_max[[#This Row],[Vergleich_lb]]</f>
        <v>2610.3200000000002</v>
      </c>
      <c r="G832" s="12">
        <f ca="1">(RANDBETWEEN(50,100)/100)*(dict_DQ_Meth_max[[#This Row],[Vergleich_ub]]-dict_DQ_Meth_max[[#This Row],[Vergleich_lb]])+dict_DQ_Meth_max[[#This Row],[Vergleich_lb]]</f>
        <v>9520.0399999999991</v>
      </c>
      <c r="H832" s="11" t="str">
        <f ca="1">VLOOKUP(VLOOKUP(dict_DQ_Meth_max[[#This Row],[ID_DataQualities]],table_DataQualities[],3),table_Units[],2)</f>
        <v>bit</v>
      </c>
      <c r="I832" s="10"/>
      <c r="J832" s="10"/>
      <c r="K832" s="10"/>
      <c r="L832" s="10">
        <f ca="1">VLOOKUP(dict_DQ_Meth_max[[#This Row],[ID_DataQualities]],table_DataQualities[],8,FALSE)</f>
        <v>80</v>
      </c>
      <c r="M832" s="10">
        <f ca="1">VLOOKUP(dict_DQ_Meth_max[[#This Row],[ID_DataQualities]],table_DataQualities[],9,FALSE)</f>
        <v>9812</v>
      </c>
    </row>
    <row r="833" spans="1:13" x14ac:dyDescent="0.45">
      <c r="A833" s="10">
        <v>221</v>
      </c>
      <c r="B833" s="10">
        <v>412</v>
      </c>
      <c r="C8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3" s="10"/>
      <c r="E833" s="10"/>
      <c r="F833" s="12">
        <f ca="1">(RANDBETWEEN(0,50)/100)*(dict_DQ_Meth_max[[#This Row],[Vergleich_ub]]-dict_DQ_Meth_max[[#This Row],[Vergleich_lb]])+dict_DQ_Meth_max[[#This Row],[Vergleich_lb]]</f>
        <v>4167.4400000000005</v>
      </c>
      <c r="G833" s="12">
        <f ca="1">(RANDBETWEEN(50,100)/100)*(dict_DQ_Meth_max[[#This Row],[Vergleich_ub]]-dict_DQ_Meth_max[[#This Row],[Vergleich_lb]])+dict_DQ_Meth_max[[#This Row],[Vergleich_lb]]</f>
        <v>8644.16</v>
      </c>
      <c r="H833" s="11" t="str">
        <f ca="1">VLOOKUP(VLOOKUP(dict_DQ_Meth_max[[#This Row],[ID_DataQualities]],table_DataQualities[],3),table_Units[],2)</f>
        <v>bit</v>
      </c>
      <c r="I833" s="10"/>
      <c r="J833" s="10"/>
      <c r="K833" s="10"/>
      <c r="L833" s="10">
        <f ca="1">VLOOKUP(dict_DQ_Meth_max[[#This Row],[ID_DataQualities]],table_DataQualities[],8,FALSE)</f>
        <v>80</v>
      </c>
      <c r="M833" s="10">
        <f ca="1">VLOOKUP(dict_DQ_Meth_max[[#This Row],[ID_DataQualities]],table_DataQualities[],9,FALSE)</f>
        <v>9812</v>
      </c>
    </row>
    <row r="834" spans="1:13" x14ac:dyDescent="0.45">
      <c r="A834" s="10">
        <v>222</v>
      </c>
      <c r="B834" s="10">
        <v>403</v>
      </c>
      <c r="C8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4" s="10"/>
      <c r="E834" s="10"/>
      <c r="F834" s="12">
        <f ca="1">(RANDBETWEEN(0,50)/100)*(dict_DQ_Meth_max[[#This Row],[Vergleich_ub]]-dict_DQ_Meth_max[[#This Row],[Vergleich_lb]])+dict_DQ_Meth_max[[#This Row],[Vergleich_lb]]</f>
        <v>1664.6506199999999</v>
      </c>
      <c r="G834" s="12">
        <f ca="1">(RANDBETWEEN(50,100)/100)*(dict_DQ_Meth_max[[#This Row],[Vergleich_ub]]-dict_DQ_Meth_max[[#This Row],[Vergleich_lb]])+dict_DQ_Meth_max[[#This Row],[Vergleich_lb]]</f>
        <v>3329.1032399999995</v>
      </c>
      <c r="H834" s="11" t="str">
        <f ca="1">VLOOKUP(VLOOKUP(dict_DQ_Meth_max[[#This Row],[ID_DataQualities]],table_DataQualities[],3),table_Units[],2)</f>
        <v>Hz</v>
      </c>
      <c r="I834" s="10"/>
      <c r="J834" s="10"/>
      <c r="K834" s="10"/>
      <c r="L834" s="10">
        <f ca="1">VLOOKUP(dict_DQ_Meth_max[[#This Row],[ID_DataQualities]],table_DataQualities[],8,FALSE)</f>
        <v>0.19800000000000001</v>
      </c>
      <c r="M834" s="10">
        <f ca="1">VLOOKUP(dict_DQ_Meth_max[[#This Row],[ID_DataQualities]],table_DataQualities[],9,FALSE)</f>
        <v>5369.4</v>
      </c>
    </row>
    <row r="835" spans="1:13" x14ac:dyDescent="0.45">
      <c r="A835" s="10">
        <v>222</v>
      </c>
      <c r="B835" s="10">
        <v>568</v>
      </c>
      <c r="C8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5" s="10"/>
      <c r="E835" s="10"/>
      <c r="F835" s="12">
        <f ca="1">(RANDBETWEEN(0,50)/100)*(dict_DQ_Meth_max[[#This Row],[Vergleich_ub]]-dict_DQ_Meth_max[[#This Row],[Vergleich_lb]])+dict_DQ_Meth_max[[#This Row],[Vergleich_lb]]</f>
        <v>2094.1867799999995</v>
      </c>
      <c r="G835" s="12">
        <f ca="1">(RANDBETWEEN(50,100)/100)*(dict_DQ_Meth_max[[#This Row],[Vergleich_ub]]-dict_DQ_Meth_max[[#This Row],[Vergleich_lb]])+dict_DQ_Meth_max[[#This Row],[Vergleich_lb]]</f>
        <v>4241.8675800000001</v>
      </c>
      <c r="H835" s="11" t="str">
        <f ca="1">VLOOKUP(VLOOKUP(dict_DQ_Meth_max[[#This Row],[ID_DataQualities]],table_DataQualities[],3),table_Units[],2)</f>
        <v>Hz</v>
      </c>
      <c r="I835" s="10"/>
      <c r="J835" s="10"/>
      <c r="K835" s="10"/>
      <c r="L835" s="10">
        <f ca="1">VLOOKUP(dict_DQ_Meth_max[[#This Row],[ID_DataQualities]],table_DataQualities[],8,FALSE)</f>
        <v>0.19800000000000001</v>
      </c>
      <c r="M835" s="10">
        <f ca="1">VLOOKUP(dict_DQ_Meth_max[[#This Row],[ID_DataQualities]],table_DataQualities[],9,FALSE)</f>
        <v>5369.4</v>
      </c>
    </row>
    <row r="836" spans="1:13" x14ac:dyDescent="0.45">
      <c r="A836" s="10">
        <v>222</v>
      </c>
      <c r="B836" s="10">
        <v>577</v>
      </c>
      <c r="C8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6" s="10"/>
      <c r="E836" s="10"/>
      <c r="F836" s="12">
        <f ca="1">(RANDBETWEEN(0,50)/100)*(dict_DQ_Meth_max[[#This Row],[Vergleich_ub]]-dict_DQ_Meth_max[[#This Row],[Vergleich_lb]])+dict_DQ_Meth_max[[#This Row],[Vergleich_lb]]</f>
        <v>483.42617999999987</v>
      </c>
      <c r="G836" s="12">
        <f ca="1">(RANDBETWEEN(50,100)/100)*(dict_DQ_Meth_max[[#This Row],[Vergleich_ub]]-dict_DQ_Meth_max[[#This Row],[Vergleich_lb]])+dict_DQ_Meth_max[[#This Row],[Vergleich_lb]]</f>
        <v>2899.5670799999998</v>
      </c>
      <c r="H836" s="11" t="str">
        <f ca="1">VLOOKUP(VLOOKUP(dict_DQ_Meth_max[[#This Row],[ID_DataQualities]],table_DataQualities[],3),table_Units[],2)</f>
        <v>Hz</v>
      </c>
      <c r="I836" s="10"/>
      <c r="J836" s="10"/>
      <c r="K836" s="10"/>
      <c r="L836" s="10">
        <f ca="1">VLOOKUP(dict_DQ_Meth_max[[#This Row],[ID_DataQualities]],table_DataQualities[],8,FALSE)</f>
        <v>0.19800000000000001</v>
      </c>
      <c r="M836" s="10">
        <f ca="1">VLOOKUP(dict_DQ_Meth_max[[#This Row],[ID_DataQualities]],table_DataQualities[],9,FALSE)</f>
        <v>5369.4</v>
      </c>
    </row>
    <row r="837" spans="1:13" x14ac:dyDescent="0.45">
      <c r="A837" s="10">
        <v>223</v>
      </c>
      <c r="B837" s="10">
        <v>568</v>
      </c>
      <c r="C8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7" s="10"/>
      <c r="E837" s="10"/>
      <c r="F837" s="12">
        <f ca="1">(RANDBETWEEN(0,50)/100)*(dict_DQ_Meth_max[[#This Row],[Vergleich_ub]]-dict_DQ_Meth_max[[#This Row],[Vergleich_lb]])+dict_DQ_Meth_max[[#This Row],[Vergleich_lb]]</f>
        <v>1.7491399999999999</v>
      </c>
      <c r="G837" s="12">
        <f ca="1">(RANDBETWEEN(50,100)/100)*(dict_DQ_Meth_max[[#This Row],[Vergleich_ub]]-dict_DQ_Meth_max[[#This Row],[Vergleich_lb]])+dict_DQ_Meth_max[[#This Row],[Vergleich_lb]]</f>
        <v>3.1226400000000001</v>
      </c>
      <c r="H837" s="11" t="str">
        <f ca="1">VLOOKUP(VLOOKUP(dict_DQ_Meth_max[[#This Row],[ID_DataQualities]],table_DataQualities[],3),table_Units[],2)</f>
        <v>+/- W</v>
      </c>
      <c r="I837" s="10"/>
      <c r="J837" s="10"/>
      <c r="K837" s="10"/>
      <c r="L837" s="10">
        <f ca="1">VLOOKUP(dict_DQ_Meth_max[[#This Row],[ID_DataQualities]],table_DataQualities[],8,FALSE)</f>
        <v>4.5999999999999999E-2</v>
      </c>
      <c r="M837" s="10">
        <f ca="1">VLOOKUP(dict_DQ_Meth_max[[#This Row],[ID_DataQualities]],table_DataQualities[],9,FALSE)</f>
        <v>5.54</v>
      </c>
    </row>
    <row r="838" spans="1:13" x14ac:dyDescent="0.45">
      <c r="A838" s="10">
        <v>223</v>
      </c>
      <c r="B838" s="10">
        <v>577</v>
      </c>
      <c r="C8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8" s="10"/>
      <c r="E838" s="10"/>
      <c r="F838" s="12">
        <f ca="1">(RANDBETWEEN(0,50)/100)*(dict_DQ_Meth_max[[#This Row],[Vergleich_ub]]-dict_DQ_Meth_max[[#This Row],[Vergleich_lb]])+dict_DQ_Meth_max[[#This Row],[Vergleich_lb]]</f>
        <v>0.92503999999999997</v>
      </c>
      <c r="G838" s="12">
        <f ca="1">(RANDBETWEEN(50,100)/100)*(dict_DQ_Meth_max[[#This Row],[Vergleich_ub]]-dict_DQ_Meth_max[[#This Row],[Vergleich_lb]])+dict_DQ_Meth_max[[#This Row],[Vergleich_lb]]</f>
        <v>5.1554200000000003</v>
      </c>
      <c r="H838" s="11" t="str">
        <f ca="1">VLOOKUP(VLOOKUP(dict_DQ_Meth_max[[#This Row],[ID_DataQualities]],table_DataQualities[],3),table_Units[],2)</f>
        <v>+/- W</v>
      </c>
      <c r="I838" s="10"/>
      <c r="J838" s="10"/>
      <c r="K838" s="10"/>
      <c r="L838" s="10">
        <f ca="1">VLOOKUP(dict_DQ_Meth_max[[#This Row],[ID_DataQualities]],table_DataQualities[],8,FALSE)</f>
        <v>4.5999999999999999E-2</v>
      </c>
      <c r="M838" s="10">
        <f ca="1">VLOOKUP(dict_DQ_Meth_max[[#This Row],[ID_DataQualities]],table_DataQualities[],9,FALSE)</f>
        <v>5.54</v>
      </c>
    </row>
    <row r="839" spans="1:13" x14ac:dyDescent="0.45">
      <c r="A839" s="10">
        <v>223</v>
      </c>
      <c r="B839" s="10">
        <v>403</v>
      </c>
      <c r="C8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39" s="10"/>
      <c r="E839" s="10"/>
      <c r="F839" s="12">
        <f ca="1">(RANDBETWEEN(0,50)/100)*(dict_DQ_Meth_max[[#This Row],[Vergleich_ub]]-dict_DQ_Meth_max[[#This Row],[Vergleich_lb]])+dict_DQ_Meth_max[[#This Row],[Vergleich_lb]]</f>
        <v>2.3534799999999998</v>
      </c>
      <c r="G839" s="12">
        <f ca="1">(RANDBETWEEN(50,100)/100)*(dict_DQ_Meth_max[[#This Row],[Vergleich_ub]]-dict_DQ_Meth_max[[#This Row],[Vergleich_lb]])+dict_DQ_Meth_max[[#This Row],[Vergleich_lb]]</f>
        <v>3.2874599999999994</v>
      </c>
      <c r="H839" s="11" t="str">
        <f ca="1">VLOOKUP(VLOOKUP(dict_DQ_Meth_max[[#This Row],[ID_DataQualities]],table_DataQualities[],3),table_Units[],2)</f>
        <v>+/- W</v>
      </c>
      <c r="I839" s="10"/>
      <c r="J839" s="10"/>
      <c r="K839" s="10"/>
      <c r="L839" s="10">
        <f ca="1">VLOOKUP(dict_DQ_Meth_max[[#This Row],[ID_DataQualities]],table_DataQualities[],8,FALSE)</f>
        <v>4.5999999999999999E-2</v>
      </c>
      <c r="M839" s="10">
        <f ca="1">VLOOKUP(dict_DQ_Meth_max[[#This Row],[ID_DataQualities]],table_DataQualities[],9,FALSE)</f>
        <v>5.54</v>
      </c>
    </row>
    <row r="840" spans="1:13" x14ac:dyDescent="0.45">
      <c r="A840" s="10">
        <v>224</v>
      </c>
      <c r="B840" s="10">
        <v>29</v>
      </c>
      <c r="C8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0" s="10"/>
      <c r="E840" s="10"/>
      <c r="F840" s="12">
        <f ca="1">(RANDBETWEEN(0,50)/100)*(dict_DQ_Meth_max[[#This Row],[Vergleich_ub]]-dict_DQ_Meth_max[[#This Row],[Vergleich_lb]])+dict_DQ_Meth_max[[#This Row],[Vergleich_lb]]</f>
        <v>2177.9200600000004</v>
      </c>
      <c r="G840" s="12">
        <f ca="1">(RANDBETWEEN(50,100)/100)*(dict_DQ_Meth_max[[#This Row],[Vergleich_ub]]-dict_DQ_Meth_max[[#This Row],[Vergleich_lb]])+dict_DQ_Meth_max[[#This Row],[Vergleich_lb]]</f>
        <v>6533.1161800000009</v>
      </c>
      <c r="H840" s="11" t="str">
        <f ca="1">VLOOKUP(VLOOKUP(dict_DQ_Meth_max[[#This Row],[ID_DataQualities]],table_DataQualities[],3),table_Units[],2)</f>
        <v>Hz</v>
      </c>
      <c r="I840" s="10"/>
      <c r="J840" s="10"/>
      <c r="K840" s="10"/>
      <c r="L840" s="10">
        <f ca="1">VLOOKUP(dict_DQ_Meth_max[[#This Row],[ID_DataQualities]],table_DataQualities[],8,FALSE)</f>
        <v>0.32200000000000001</v>
      </c>
      <c r="M840" s="10">
        <f ca="1">VLOOKUP(dict_DQ_Meth_max[[#This Row],[ID_DataQualities]],table_DataQualities[],9,FALSE)</f>
        <v>8065.5</v>
      </c>
    </row>
    <row r="841" spans="1:13" x14ac:dyDescent="0.45">
      <c r="A841" s="10">
        <v>224</v>
      </c>
      <c r="B841" s="10">
        <v>121</v>
      </c>
      <c r="C8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1" s="10"/>
      <c r="E841" s="10"/>
      <c r="F841" s="12">
        <f ca="1">(RANDBETWEEN(0,50)/100)*(dict_DQ_Meth_max[[#This Row],[Vergleich_ub]]-dict_DQ_Meth_max[[#This Row],[Vergleich_lb]])+dict_DQ_Meth_max[[#This Row],[Vergleich_lb]]</f>
        <v>2742.4825200000005</v>
      </c>
      <c r="G841" s="12">
        <f ca="1">(RANDBETWEEN(50,100)/100)*(dict_DQ_Meth_max[[#This Row],[Vergleich_ub]]-dict_DQ_Meth_max[[#This Row],[Vergleich_lb]])+dict_DQ_Meth_max[[#This Row],[Vergleich_lb]]</f>
        <v>4920.0805799999998</v>
      </c>
      <c r="H841" s="11" t="str">
        <f ca="1">VLOOKUP(VLOOKUP(dict_DQ_Meth_max[[#This Row],[ID_DataQualities]],table_DataQualities[],3),table_Units[],2)</f>
        <v>Hz</v>
      </c>
      <c r="I841" s="10"/>
      <c r="J841" s="10"/>
      <c r="K841" s="10"/>
      <c r="L841" s="10">
        <f ca="1">VLOOKUP(dict_DQ_Meth_max[[#This Row],[ID_DataQualities]],table_DataQualities[],8,FALSE)</f>
        <v>0.32200000000000001</v>
      </c>
      <c r="M841" s="10">
        <f ca="1">VLOOKUP(dict_DQ_Meth_max[[#This Row],[ID_DataQualities]],table_DataQualities[],9,FALSE)</f>
        <v>8065.5</v>
      </c>
    </row>
    <row r="842" spans="1:13" x14ac:dyDescent="0.45">
      <c r="A842" s="10">
        <v>225</v>
      </c>
      <c r="B842" s="10">
        <v>121</v>
      </c>
      <c r="C8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2" s="10"/>
      <c r="E842" s="10"/>
      <c r="F842" s="12">
        <f ca="1">(RANDBETWEEN(0,50)/100)*(dict_DQ_Meth_max[[#This Row],[Vergleich_ub]]-dict_DQ_Meth_max[[#This Row],[Vergleich_lb]])+dict_DQ_Meth_max[[#This Row],[Vergleich_lb]]</f>
        <v>1.6265000000000002E-2</v>
      </c>
      <c r="G842" s="12">
        <f ca="1">(RANDBETWEEN(50,100)/100)*(dict_DQ_Meth_max[[#This Row],[Vergleich_ub]]-dict_DQ_Meth_max[[#This Row],[Vergleich_lb]])+dict_DQ_Meth_max[[#This Row],[Vergleich_lb]]</f>
        <v>6.1706000000000004E-2</v>
      </c>
      <c r="H842" s="11" t="str">
        <f ca="1">VLOOKUP(VLOOKUP(dict_DQ_Meth_max[[#This Row],[ID_DataQualities]],table_DataQualities[],3),table_Units[],2)</f>
        <v>+/- cm³/s</v>
      </c>
      <c r="I842" s="10"/>
      <c r="J842" s="10"/>
      <c r="K842" s="10"/>
      <c r="L842" s="10">
        <f ca="1">VLOOKUP(dict_DQ_Meth_max[[#This Row],[ID_DataQualities]],table_DataQualities[],8,FALSE)</f>
        <v>2.8999999999999998E-3</v>
      </c>
      <c r="M842" s="10">
        <f ca="1">VLOOKUP(dict_DQ_Meth_max[[#This Row],[ID_DataQualities]],table_DataQualities[],9,FALSE)</f>
        <v>9.1999999999999998E-2</v>
      </c>
    </row>
    <row r="843" spans="1:13" x14ac:dyDescent="0.45">
      <c r="A843" s="10">
        <v>225</v>
      </c>
      <c r="B843" s="10">
        <v>29</v>
      </c>
      <c r="C8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3" s="10"/>
      <c r="E843" s="10"/>
      <c r="F843" s="12">
        <f ca="1">(RANDBETWEEN(0,50)/100)*(dict_DQ_Meth_max[[#This Row],[Vergleich_ub]]-dict_DQ_Meth_max[[#This Row],[Vergleich_lb]])+dict_DQ_Meth_max[[#This Row],[Vergleich_lb]]</f>
        <v>3.5866999999999996E-2</v>
      </c>
      <c r="G843" s="12">
        <f ca="1">(RANDBETWEEN(50,100)/100)*(dict_DQ_Meth_max[[#This Row],[Vergleich_ub]]-dict_DQ_Meth_max[[#This Row],[Vergleich_lb]])+dict_DQ_Meth_max[[#This Row],[Vergleich_lb]]</f>
        <v>8.4872000000000003E-2</v>
      </c>
      <c r="H843" s="11" t="str">
        <f ca="1">VLOOKUP(VLOOKUP(dict_DQ_Meth_max[[#This Row],[ID_DataQualities]],table_DataQualities[],3),table_Units[],2)</f>
        <v>+/- cm³/s</v>
      </c>
      <c r="I843" s="10"/>
      <c r="J843" s="10"/>
      <c r="K843" s="10"/>
      <c r="L843" s="10">
        <f ca="1">VLOOKUP(dict_DQ_Meth_max[[#This Row],[ID_DataQualities]],table_DataQualities[],8,FALSE)</f>
        <v>2.8999999999999998E-3</v>
      </c>
      <c r="M843" s="10">
        <f ca="1">VLOOKUP(dict_DQ_Meth_max[[#This Row],[ID_DataQualities]],table_DataQualities[],9,FALSE)</f>
        <v>9.1999999999999998E-2</v>
      </c>
    </row>
    <row r="844" spans="1:13" x14ac:dyDescent="0.45">
      <c r="A844" s="10">
        <v>226</v>
      </c>
      <c r="B844" s="10">
        <v>198</v>
      </c>
      <c r="C8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4" s="10"/>
      <c r="E844" s="10"/>
      <c r="F844" s="12">
        <f ca="1">(RANDBETWEEN(0,50)/100)*(dict_DQ_Meth_max[[#This Row],[Vergleich_ub]]-dict_DQ_Meth_max[[#This Row],[Vergleich_lb]])+dict_DQ_Meth_max[[#This Row],[Vergleich_lb]]</f>
        <v>851.33559000000002</v>
      </c>
      <c r="G844" s="12">
        <f ca="1">(RANDBETWEEN(50,100)/100)*(dict_DQ_Meth_max[[#This Row],[Vergleich_ub]]-dict_DQ_Meth_max[[#This Row],[Vergleich_lb]])+dict_DQ_Meth_max[[#This Row],[Vergleich_lb]]</f>
        <v>5490.9969899999996</v>
      </c>
      <c r="H844" s="11" t="str">
        <f ca="1">VLOOKUP(VLOOKUP(dict_DQ_Meth_max[[#This Row],[ID_DataQualities]],table_DataQualities[],3),table_Units[],2)</f>
        <v>Hz</v>
      </c>
      <c r="I844" s="10"/>
      <c r="J844" s="10"/>
      <c r="K844" s="10"/>
      <c r="L844" s="10">
        <f ca="1">VLOOKUP(dict_DQ_Meth_max[[#This Row],[ID_DataQualities]],table_DataQualities[],8,FALSE)</f>
        <v>0.73099999999999998</v>
      </c>
      <c r="M844" s="10">
        <f ca="1">VLOOKUP(dict_DQ_Meth_max[[#This Row],[ID_DataQualities]],table_DataQualities[],9,FALSE)</f>
        <v>7733.5</v>
      </c>
    </row>
    <row r="845" spans="1:13" x14ac:dyDescent="0.45">
      <c r="A845" s="10">
        <v>226</v>
      </c>
      <c r="B845" s="10">
        <v>261</v>
      </c>
      <c r="C8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5" s="10"/>
      <c r="E845" s="10"/>
      <c r="F845" s="12">
        <f ca="1">(RANDBETWEEN(0,50)/100)*(dict_DQ_Meth_max[[#This Row],[Vergleich_ub]]-dict_DQ_Meth_max[[#This Row],[Vergleich_lb]])+dict_DQ_Meth_max[[#This Row],[Vergleich_lb]]</f>
        <v>2243.2340100000001</v>
      </c>
      <c r="G845" s="12">
        <f ca="1">(RANDBETWEEN(50,100)/100)*(dict_DQ_Meth_max[[#This Row],[Vergleich_ub]]-dict_DQ_Meth_max[[#This Row],[Vergleich_lb]])+dict_DQ_Meth_max[[#This Row],[Vergleich_lb]]</f>
        <v>7346.8615499999996</v>
      </c>
      <c r="H845" s="11" t="str">
        <f ca="1">VLOOKUP(VLOOKUP(dict_DQ_Meth_max[[#This Row],[ID_DataQualities]],table_DataQualities[],3),table_Units[],2)</f>
        <v>Hz</v>
      </c>
      <c r="I845" s="10"/>
      <c r="J845" s="10"/>
      <c r="K845" s="10"/>
      <c r="L845" s="10">
        <f ca="1">VLOOKUP(dict_DQ_Meth_max[[#This Row],[ID_DataQualities]],table_DataQualities[],8,FALSE)</f>
        <v>0.73099999999999998</v>
      </c>
      <c r="M845" s="10">
        <f ca="1">VLOOKUP(dict_DQ_Meth_max[[#This Row],[ID_DataQualities]],table_DataQualities[],9,FALSE)</f>
        <v>7733.5</v>
      </c>
    </row>
    <row r="846" spans="1:13" x14ac:dyDescent="0.45">
      <c r="A846" s="10">
        <v>226</v>
      </c>
      <c r="B846" s="10">
        <v>83</v>
      </c>
      <c r="C8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6" s="10"/>
      <c r="E846" s="10"/>
      <c r="F846" s="12">
        <f ca="1">(RANDBETWEEN(0,50)/100)*(dict_DQ_Meth_max[[#This Row],[Vergleich_ub]]-dict_DQ_Meth_max[[#This Row],[Vergleich_lb]])+dict_DQ_Meth_max[[#This Row],[Vergleich_lb]]</f>
        <v>1933.9232500000001</v>
      </c>
      <c r="G846" s="12">
        <f ca="1">(RANDBETWEEN(50,100)/100)*(dict_DQ_Meth_max[[#This Row],[Vergleich_ub]]-dict_DQ_Meth_max[[#This Row],[Vergleich_lb]])+dict_DQ_Meth_max[[#This Row],[Vergleich_lb]]</f>
        <v>4253.7539500000003</v>
      </c>
      <c r="H846" s="11" t="str">
        <f ca="1">VLOOKUP(VLOOKUP(dict_DQ_Meth_max[[#This Row],[ID_DataQualities]],table_DataQualities[],3),table_Units[],2)</f>
        <v>Hz</v>
      </c>
      <c r="I846" s="10"/>
      <c r="J846" s="10"/>
      <c r="K846" s="10"/>
      <c r="L846" s="10">
        <f ca="1">VLOOKUP(dict_DQ_Meth_max[[#This Row],[ID_DataQualities]],table_DataQualities[],8,FALSE)</f>
        <v>0.73099999999999998</v>
      </c>
      <c r="M846" s="10">
        <f ca="1">VLOOKUP(dict_DQ_Meth_max[[#This Row],[ID_DataQualities]],table_DataQualities[],9,FALSE)</f>
        <v>7733.5</v>
      </c>
    </row>
    <row r="847" spans="1:13" x14ac:dyDescent="0.45">
      <c r="A847" s="10">
        <v>226</v>
      </c>
      <c r="B847" s="10">
        <v>545</v>
      </c>
      <c r="C8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7" s="10"/>
      <c r="E847" s="10"/>
      <c r="F847" s="12">
        <f ca="1">(RANDBETWEEN(0,50)/100)*(dict_DQ_Meth_max[[#This Row],[Vergleich_ub]]-dict_DQ_Meth_max[[#This Row],[Vergleich_lb]])+dict_DQ_Meth_max[[#This Row],[Vergleich_lb]]</f>
        <v>2707.2001500000001</v>
      </c>
      <c r="G847" s="12">
        <f ca="1">(RANDBETWEEN(50,100)/100)*(dict_DQ_Meth_max[[#This Row],[Vergleich_ub]]-dict_DQ_Meth_max[[#This Row],[Vergleich_lb]])+dict_DQ_Meth_max[[#This Row],[Vergleich_lb]]</f>
        <v>5104.3585400000002</v>
      </c>
      <c r="H847" s="11" t="str">
        <f ca="1">VLOOKUP(VLOOKUP(dict_DQ_Meth_max[[#This Row],[ID_DataQualities]],table_DataQualities[],3),table_Units[],2)</f>
        <v>Hz</v>
      </c>
      <c r="I847" s="10"/>
      <c r="J847" s="10"/>
      <c r="K847" s="10"/>
      <c r="L847" s="10">
        <f ca="1">VLOOKUP(dict_DQ_Meth_max[[#This Row],[ID_DataQualities]],table_DataQualities[],8,FALSE)</f>
        <v>0.73099999999999998</v>
      </c>
      <c r="M847" s="10">
        <f ca="1">VLOOKUP(dict_DQ_Meth_max[[#This Row],[ID_DataQualities]],table_DataQualities[],9,FALSE)</f>
        <v>7733.5</v>
      </c>
    </row>
    <row r="848" spans="1:13" x14ac:dyDescent="0.45">
      <c r="A848" s="10">
        <v>227</v>
      </c>
      <c r="B848" s="10">
        <v>261</v>
      </c>
      <c r="C8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8" s="10"/>
      <c r="E848" s="10"/>
      <c r="F848" s="12">
        <f ca="1">(RANDBETWEEN(0,50)/100)*(dict_DQ_Meth_max[[#This Row],[Vergleich_ub]]-dict_DQ_Meth_max[[#This Row],[Vergleich_lb]])+dict_DQ_Meth_max[[#This Row],[Vergleich_lb]]</f>
        <v>0.10807199999999997</v>
      </c>
      <c r="G848" s="12">
        <f ca="1">(RANDBETWEEN(50,100)/100)*(dict_DQ_Meth_max[[#This Row],[Vergleich_ub]]-dict_DQ_Meth_max[[#This Row],[Vergleich_lb]])+dict_DQ_Meth_max[[#This Row],[Vergleich_lb]]</f>
        <v>0.25272</v>
      </c>
      <c r="H848" s="11" t="str">
        <f ca="1">VLOOKUP(VLOOKUP(dict_DQ_Meth_max[[#This Row],[ID_DataQualities]],table_DataQualities[],3),table_Units[],2)</f>
        <v>+/- cm³/s</v>
      </c>
      <c r="I848" s="10"/>
      <c r="J848" s="10"/>
      <c r="K848" s="10"/>
      <c r="L848" s="10">
        <f ca="1">VLOOKUP(dict_DQ_Meth_max[[#This Row],[ID_DataQualities]],table_DataQualities[],8,FALSE)</f>
        <v>1.8E-3</v>
      </c>
      <c r="M848" s="10">
        <f ca="1">VLOOKUP(dict_DQ_Meth_max[[#This Row],[ID_DataQualities]],table_DataQualities[],9,FALSE)</f>
        <v>0.29699999999999999</v>
      </c>
    </row>
    <row r="849" spans="1:13" x14ac:dyDescent="0.45">
      <c r="A849" s="10">
        <v>227</v>
      </c>
      <c r="B849" s="10">
        <v>83</v>
      </c>
      <c r="C8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49" s="10"/>
      <c r="E849" s="10"/>
      <c r="F849" s="12">
        <f ca="1">(RANDBETWEEN(0,50)/100)*(dict_DQ_Meth_max[[#This Row],[Vergleich_ub]]-dict_DQ_Meth_max[[#This Row],[Vergleich_lb]])+dict_DQ_Meth_max[[#This Row],[Vergleich_lb]]</f>
        <v>9.9215999999999985E-2</v>
      </c>
      <c r="G849" s="12">
        <f ca="1">(RANDBETWEEN(50,100)/100)*(dict_DQ_Meth_max[[#This Row],[Vergleich_ub]]-dict_DQ_Meth_max[[#This Row],[Vergleich_lb]])+dict_DQ_Meth_max[[#This Row],[Vergleich_lb]]</f>
        <v>0.29699999999999999</v>
      </c>
      <c r="H849" s="11" t="str">
        <f ca="1">VLOOKUP(VLOOKUP(dict_DQ_Meth_max[[#This Row],[ID_DataQualities]],table_DataQualities[],3),table_Units[],2)</f>
        <v>+/- cm³/s</v>
      </c>
      <c r="I849" s="10"/>
      <c r="J849" s="10"/>
      <c r="K849" s="10"/>
      <c r="L849" s="10">
        <f ca="1">VLOOKUP(dict_DQ_Meth_max[[#This Row],[ID_DataQualities]],table_DataQualities[],8,FALSE)</f>
        <v>1.8E-3</v>
      </c>
      <c r="M849" s="10">
        <f ca="1">VLOOKUP(dict_DQ_Meth_max[[#This Row],[ID_DataQualities]],table_DataQualities[],9,FALSE)</f>
        <v>0.29699999999999999</v>
      </c>
    </row>
    <row r="850" spans="1:13" x14ac:dyDescent="0.45">
      <c r="A850" s="10">
        <v>227</v>
      </c>
      <c r="B850" s="10">
        <v>198</v>
      </c>
      <c r="C8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0" s="10"/>
      <c r="E850" s="10"/>
      <c r="F850" s="12">
        <f ca="1">(RANDBETWEEN(0,50)/100)*(dict_DQ_Meth_max[[#This Row],[Vergleich_ub]]-dict_DQ_Meth_max[[#This Row],[Vergleich_lb]])+dict_DQ_Meth_max[[#This Row],[Vergleich_lb]]</f>
        <v>7.703999999999999E-3</v>
      </c>
      <c r="G850" s="12">
        <f ca="1">(RANDBETWEEN(50,100)/100)*(dict_DQ_Meth_max[[#This Row],[Vergleich_ub]]-dict_DQ_Meth_max[[#This Row],[Vergleich_lb]])+dict_DQ_Meth_max[[#This Row],[Vergleich_lb]]</f>
        <v>0.19663199999999997</v>
      </c>
      <c r="H850" s="11" t="str">
        <f ca="1">VLOOKUP(VLOOKUP(dict_DQ_Meth_max[[#This Row],[ID_DataQualities]],table_DataQualities[],3),table_Units[],2)</f>
        <v>+/- cm³/s</v>
      </c>
      <c r="I850" s="10"/>
      <c r="J850" s="10"/>
      <c r="K850" s="10"/>
      <c r="L850" s="10">
        <f ca="1">VLOOKUP(dict_DQ_Meth_max[[#This Row],[ID_DataQualities]],table_DataQualities[],8,FALSE)</f>
        <v>1.8E-3</v>
      </c>
      <c r="M850" s="10">
        <f ca="1">VLOOKUP(dict_DQ_Meth_max[[#This Row],[ID_DataQualities]],table_DataQualities[],9,FALSE)</f>
        <v>0.29699999999999999</v>
      </c>
    </row>
    <row r="851" spans="1:13" x14ac:dyDescent="0.45">
      <c r="A851" s="10">
        <v>227</v>
      </c>
      <c r="B851" s="10">
        <v>545</v>
      </c>
      <c r="C8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1" s="10"/>
      <c r="E851" s="10"/>
      <c r="F851" s="12">
        <f ca="1">(RANDBETWEEN(0,50)/100)*(dict_DQ_Meth_max[[#This Row],[Vergleich_ub]]-dict_DQ_Meth_max[[#This Row],[Vergleich_lb]])+dict_DQ_Meth_max[[#This Row],[Vergleich_lb]]</f>
        <v>5.7887999999999995E-2</v>
      </c>
      <c r="G851" s="12">
        <f ca="1">(RANDBETWEEN(50,100)/100)*(dict_DQ_Meth_max[[#This Row],[Vergleich_ub]]-dict_DQ_Meth_max[[#This Row],[Vergleich_lb]])+dict_DQ_Meth_max[[#This Row],[Vergleich_lb]]</f>
        <v>0.26157599999999998</v>
      </c>
      <c r="H851" s="11" t="str">
        <f ca="1">VLOOKUP(VLOOKUP(dict_DQ_Meth_max[[#This Row],[ID_DataQualities]],table_DataQualities[],3),table_Units[],2)</f>
        <v>+/- cm³/s</v>
      </c>
      <c r="I851" s="10"/>
      <c r="J851" s="10"/>
      <c r="K851" s="10"/>
      <c r="L851" s="10">
        <f ca="1">VLOOKUP(dict_DQ_Meth_max[[#This Row],[ID_DataQualities]],table_DataQualities[],8,FALSE)</f>
        <v>1.8E-3</v>
      </c>
      <c r="M851" s="10">
        <f ca="1">VLOOKUP(dict_DQ_Meth_max[[#This Row],[ID_DataQualities]],table_DataQualities[],9,FALSE)</f>
        <v>0.29699999999999999</v>
      </c>
    </row>
    <row r="852" spans="1:13" x14ac:dyDescent="0.45">
      <c r="A852" s="10">
        <v>228</v>
      </c>
      <c r="B852" s="10">
        <v>49</v>
      </c>
      <c r="C8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2" s="10"/>
      <c r="E852" s="10"/>
      <c r="F852" s="12">
        <f ca="1">(RANDBETWEEN(0,50)/100)*(dict_DQ_Meth_max[[#This Row],[Vergleich_ub]]-dict_DQ_Meth_max[[#This Row],[Vergleich_lb]])+dict_DQ_Meth_max[[#This Row],[Vergleich_lb]]</f>
        <v>728.73706999999979</v>
      </c>
      <c r="G852" s="12">
        <f ca="1">(RANDBETWEEN(50,100)/100)*(dict_DQ_Meth_max[[#This Row],[Vergleich_ub]]-dict_DQ_Meth_max[[#This Row],[Vergleich_lb]])+dict_DQ_Meth_max[[#This Row],[Vergleich_lb]]</f>
        <v>1582.9812899999997</v>
      </c>
      <c r="H852" s="11" t="str">
        <f ca="1">VLOOKUP(VLOOKUP(dict_DQ_Meth_max[[#This Row],[ID_DataQualities]],table_DataQualities[],3),table_Units[],2)</f>
        <v>Hz</v>
      </c>
      <c r="I852" s="10"/>
      <c r="J852" s="10"/>
      <c r="K852" s="10"/>
      <c r="L852" s="10">
        <f ca="1">VLOOKUP(dict_DQ_Meth_max[[#This Row],[ID_DataQualities]],table_DataQualities[],8,FALSE)</f>
        <v>0.11700000000000001</v>
      </c>
      <c r="M852" s="10">
        <f ca="1">VLOOKUP(dict_DQ_Meth_max[[#This Row],[ID_DataQualities]],table_DataQualities[],9,FALSE)</f>
        <v>2512.6</v>
      </c>
    </row>
    <row r="853" spans="1:13" x14ac:dyDescent="0.45">
      <c r="A853" s="10">
        <v>228</v>
      </c>
      <c r="B853" s="10">
        <v>356</v>
      </c>
      <c r="C8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3" s="10"/>
      <c r="E853" s="10"/>
      <c r="F853" s="12">
        <f ca="1">(RANDBETWEEN(0,50)/100)*(dict_DQ_Meth_max[[#This Row],[Vergleich_ub]]-dict_DQ_Meth_max[[#This Row],[Vergleich_lb]])+dict_DQ_Meth_max[[#This Row],[Vergleich_lb]]</f>
        <v>778.98672999999985</v>
      </c>
      <c r="G853" s="12">
        <f ca="1">(RANDBETWEEN(50,100)/100)*(dict_DQ_Meth_max[[#This Row],[Vergleich_ub]]-dict_DQ_Meth_max[[#This Row],[Vergleich_lb]])+dict_DQ_Meth_max[[#This Row],[Vergleich_lb]]</f>
        <v>1482.4819699999998</v>
      </c>
      <c r="H853" s="11" t="str">
        <f ca="1">VLOOKUP(VLOOKUP(dict_DQ_Meth_max[[#This Row],[ID_DataQualities]],table_DataQualities[],3),table_Units[],2)</f>
        <v>Hz</v>
      </c>
      <c r="I853" s="10"/>
      <c r="J853" s="10"/>
      <c r="K853" s="10"/>
      <c r="L853" s="10">
        <f ca="1">VLOOKUP(dict_DQ_Meth_max[[#This Row],[ID_DataQualities]],table_DataQualities[],8,FALSE)</f>
        <v>0.11700000000000001</v>
      </c>
      <c r="M853" s="10">
        <f ca="1">VLOOKUP(dict_DQ_Meth_max[[#This Row],[ID_DataQualities]],table_DataQualities[],9,FALSE)</f>
        <v>2512.6</v>
      </c>
    </row>
    <row r="854" spans="1:13" x14ac:dyDescent="0.45">
      <c r="A854" s="10">
        <v>228</v>
      </c>
      <c r="B854" s="10">
        <v>532</v>
      </c>
      <c r="C8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4" s="10"/>
      <c r="E854" s="10"/>
      <c r="F854" s="12">
        <f ca="1">(RANDBETWEEN(0,50)/100)*(dict_DQ_Meth_max[[#This Row],[Vergleich_ub]]-dict_DQ_Meth_max[[#This Row],[Vergleich_lb]])+dict_DQ_Meth_max[[#This Row],[Vergleich_lb]]</f>
        <v>1231.2336699999998</v>
      </c>
      <c r="G854" s="12">
        <f ca="1">(RANDBETWEEN(50,100)/100)*(dict_DQ_Meth_max[[#This Row],[Vergleich_ub]]-dict_DQ_Meth_max[[#This Row],[Vergleich_lb]])+dict_DQ_Meth_max[[#This Row],[Vergleich_lb]]</f>
        <v>1909.6040799999998</v>
      </c>
      <c r="H854" s="11" t="str">
        <f ca="1">VLOOKUP(VLOOKUP(dict_DQ_Meth_max[[#This Row],[ID_DataQualities]],table_DataQualities[],3),table_Units[],2)</f>
        <v>Hz</v>
      </c>
      <c r="I854" s="10"/>
      <c r="J854" s="10"/>
      <c r="K854" s="10"/>
      <c r="L854" s="10">
        <f ca="1">VLOOKUP(dict_DQ_Meth_max[[#This Row],[ID_DataQualities]],table_DataQualities[],8,FALSE)</f>
        <v>0.11700000000000001</v>
      </c>
      <c r="M854" s="10">
        <f ca="1">VLOOKUP(dict_DQ_Meth_max[[#This Row],[ID_DataQualities]],table_DataQualities[],9,FALSE)</f>
        <v>2512.6</v>
      </c>
    </row>
    <row r="855" spans="1:13" x14ac:dyDescent="0.45">
      <c r="A855" s="10">
        <v>228</v>
      </c>
      <c r="B855" s="10">
        <v>448</v>
      </c>
      <c r="C8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5" s="10"/>
      <c r="E855" s="10"/>
      <c r="F855" s="12">
        <f ca="1">(RANDBETWEEN(0,50)/100)*(dict_DQ_Meth_max[[#This Row],[Vergleich_ub]]-dict_DQ_Meth_max[[#This Row],[Vergleich_lb]])+dict_DQ_Meth_max[[#This Row],[Vergleich_lb]]</f>
        <v>979.98536999999988</v>
      </c>
      <c r="G855" s="12">
        <f ca="1">(RANDBETWEEN(50,100)/100)*(dict_DQ_Meth_max[[#This Row],[Vergleich_ub]]-dict_DQ_Meth_max[[#This Row],[Vergleich_lb]])+dict_DQ_Meth_max[[#This Row],[Vergleich_lb]]</f>
        <v>2236.22687</v>
      </c>
      <c r="H855" s="11" t="str">
        <f ca="1">VLOOKUP(VLOOKUP(dict_DQ_Meth_max[[#This Row],[ID_DataQualities]],table_DataQualities[],3),table_Units[],2)</f>
        <v>Hz</v>
      </c>
      <c r="I855" s="10"/>
      <c r="J855" s="10"/>
      <c r="K855" s="10"/>
      <c r="L855" s="10">
        <f ca="1">VLOOKUP(dict_DQ_Meth_max[[#This Row],[ID_DataQualities]],table_DataQualities[],8,FALSE)</f>
        <v>0.11700000000000001</v>
      </c>
      <c r="M855" s="10">
        <f ca="1">VLOOKUP(dict_DQ_Meth_max[[#This Row],[ID_DataQualities]],table_DataQualities[],9,FALSE)</f>
        <v>2512.6</v>
      </c>
    </row>
    <row r="856" spans="1:13" x14ac:dyDescent="0.45">
      <c r="A856" s="10">
        <v>229</v>
      </c>
      <c r="B856" s="10">
        <v>49</v>
      </c>
      <c r="C8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6" s="10"/>
      <c r="E856" s="10"/>
      <c r="F856" s="12">
        <f ca="1">(RANDBETWEEN(0,50)/100)*(dict_DQ_Meth_max[[#This Row],[Vergleich_ub]]-dict_DQ_Meth_max[[#This Row],[Vergleich_lb]])+dict_DQ_Meth_max[[#This Row],[Vergleich_lb]]</f>
        <v>0.80059999999999998</v>
      </c>
      <c r="G856" s="12">
        <f ca="1">(RANDBETWEEN(50,100)/100)*(dict_DQ_Meth_max[[#This Row],[Vergleich_ub]]-dict_DQ_Meth_max[[#This Row],[Vergleich_lb]])+dict_DQ_Meth_max[[#This Row],[Vergleich_lb]]</f>
        <v>2.0602999999999998</v>
      </c>
      <c r="H856" s="11" t="str">
        <f ca="1">VLOOKUP(VLOOKUP(dict_DQ_Meth_max[[#This Row],[ID_DataQualities]],table_DataQualities[],3),table_Units[],2)</f>
        <v>+/- W</v>
      </c>
      <c r="I856" s="10"/>
      <c r="J856" s="10"/>
      <c r="K856" s="10"/>
      <c r="L856" s="10">
        <f ca="1">VLOOKUP(dict_DQ_Meth_max[[#This Row],[ID_DataQualities]],table_DataQualities[],8,FALSE)</f>
        <v>5.0000000000000001E-3</v>
      </c>
      <c r="M856" s="10">
        <f ca="1">VLOOKUP(dict_DQ_Meth_max[[#This Row],[ID_DataQualities]],table_DataQualities[],9,FALSE)</f>
        <v>3.32</v>
      </c>
    </row>
    <row r="857" spans="1:13" x14ac:dyDescent="0.45">
      <c r="A857" s="10">
        <v>229</v>
      </c>
      <c r="B857" s="10">
        <v>532</v>
      </c>
      <c r="C8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7" s="10"/>
      <c r="E857" s="10"/>
      <c r="F857" s="12">
        <f ca="1">(RANDBETWEEN(0,50)/100)*(dict_DQ_Meth_max[[#This Row],[Vergleich_ub]]-dict_DQ_Meth_max[[#This Row],[Vergleich_lb]])+dict_DQ_Meth_max[[#This Row],[Vergleich_lb]]</f>
        <v>0.36964999999999998</v>
      </c>
      <c r="G857" s="12">
        <f ca="1">(RANDBETWEEN(50,100)/100)*(dict_DQ_Meth_max[[#This Row],[Vergleich_ub]]-dict_DQ_Meth_max[[#This Row],[Vergleich_lb]])+dict_DQ_Meth_max[[#This Row],[Vergleich_lb]]</f>
        <v>2.0934499999999998</v>
      </c>
      <c r="H857" s="11" t="str">
        <f ca="1">VLOOKUP(VLOOKUP(dict_DQ_Meth_max[[#This Row],[ID_DataQualities]],table_DataQualities[],3),table_Units[],2)</f>
        <v>+/- W</v>
      </c>
      <c r="I857" s="10"/>
      <c r="J857" s="10"/>
      <c r="K857" s="10"/>
      <c r="L857" s="10">
        <f ca="1">VLOOKUP(dict_DQ_Meth_max[[#This Row],[ID_DataQualities]],table_DataQualities[],8,FALSE)</f>
        <v>5.0000000000000001E-3</v>
      </c>
      <c r="M857" s="10">
        <f ca="1">VLOOKUP(dict_DQ_Meth_max[[#This Row],[ID_DataQualities]],table_DataQualities[],9,FALSE)</f>
        <v>3.32</v>
      </c>
    </row>
    <row r="858" spans="1:13" x14ac:dyDescent="0.45">
      <c r="A858" s="10">
        <v>229</v>
      </c>
      <c r="B858" s="10">
        <v>356</v>
      </c>
      <c r="C8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8" s="10"/>
      <c r="E858" s="10"/>
      <c r="F858" s="12">
        <f ca="1">(RANDBETWEEN(0,50)/100)*(dict_DQ_Meth_max[[#This Row],[Vergleich_ub]]-dict_DQ_Meth_max[[#This Row],[Vergleich_lb]])+dict_DQ_Meth_max[[#This Row],[Vergleich_lb]]</f>
        <v>0.56855</v>
      </c>
      <c r="G858" s="12">
        <f ca="1">(RANDBETWEEN(50,100)/100)*(dict_DQ_Meth_max[[#This Row],[Vergleich_ub]]-dict_DQ_Meth_max[[#This Row],[Vergleich_lb]])+dict_DQ_Meth_max[[#This Row],[Vergleich_lb]]</f>
        <v>3.2536999999999998</v>
      </c>
      <c r="H858" s="11" t="str">
        <f ca="1">VLOOKUP(VLOOKUP(dict_DQ_Meth_max[[#This Row],[ID_DataQualities]],table_DataQualities[],3),table_Units[],2)</f>
        <v>+/- W</v>
      </c>
      <c r="I858" s="10"/>
      <c r="J858" s="10"/>
      <c r="K858" s="10"/>
      <c r="L858" s="10">
        <f ca="1">VLOOKUP(dict_DQ_Meth_max[[#This Row],[ID_DataQualities]],table_DataQualities[],8,FALSE)</f>
        <v>5.0000000000000001E-3</v>
      </c>
      <c r="M858" s="10">
        <f ca="1">VLOOKUP(dict_DQ_Meth_max[[#This Row],[ID_DataQualities]],table_DataQualities[],9,FALSE)</f>
        <v>3.32</v>
      </c>
    </row>
    <row r="859" spans="1:13" x14ac:dyDescent="0.45">
      <c r="A859" s="10">
        <v>229</v>
      </c>
      <c r="B859" s="10">
        <v>448</v>
      </c>
      <c r="C8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59" s="10"/>
      <c r="E859" s="10"/>
      <c r="F859" s="12">
        <f ca="1">(RANDBETWEEN(0,50)/100)*(dict_DQ_Meth_max[[#This Row],[Vergleich_ub]]-dict_DQ_Meth_max[[#This Row],[Vergleich_lb]])+dict_DQ_Meth_max[[#This Row],[Vergleich_lb]]</f>
        <v>1.6624999999999999</v>
      </c>
      <c r="G859" s="12">
        <f ca="1">(RANDBETWEEN(50,100)/100)*(dict_DQ_Meth_max[[#This Row],[Vergleich_ub]]-dict_DQ_Meth_max[[#This Row],[Vergleich_lb]])+dict_DQ_Meth_max[[#This Row],[Vergleich_lb]]</f>
        <v>2.49125</v>
      </c>
      <c r="H859" s="11" t="str">
        <f ca="1">VLOOKUP(VLOOKUP(dict_DQ_Meth_max[[#This Row],[ID_DataQualities]],table_DataQualities[],3),table_Units[],2)</f>
        <v>+/- W</v>
      </c>
      <c r="I859" s="10"/>
      <c r="J859" s="10"/>
      <c r="K859" s="10"/>
      <c r="L859" s="10">
        <f ca="1">VLOOKUP(dict_DQ_Meth_max[[#This Row],[ID_DataQualities]],table_DataQualities[],8,FALSE)</f>
        <v>5.0000000000000001E-3</v>
      </c>
      <c r="M859" s="10">
        <f ca="1">VLOOKUP(dict_DQ_Meth_max[[#This Row],[ID_DataQualities]],table_DataQualities[],9,FALSE)</f>
        <v>3.32</v>
      </c>
    </row>
    <row r="860" spans="1:13" x14ac:dyDescent="0.45">
      <c r="A860" s="10">
        <v>230</v>
      </c>
      <c r="B860" s="10">
        <v>196</v>
      </c>
      <c r="C8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0" s="10"/>
      <c r="E860" s="10"/>
      <c r="F860" s="12">
        <f ca="1">(RANDBETWEEN(0,50)/100)*(dict_DQ_Meth_max[[#This Row],[Vergleich_ub]]-dict_DQ_Meth_max[[#This Row],[Vergleich_lb]])+dict_DQ_Meth_max[[#This Row],[Vergleich_lb]]</f>
        <v>428.20059999999995</v>
      </c>
      <c r="G860" s="12">
        <f ca="1">(RANDBETWEEN(50,100)/100)*(dict_DQ_Meth_max[[#This Row],[Vergleich_ub]]-dict_DQ_Meth_max[[#This Row],[Vergleich_lb]])+dict_DQ_Meth_max[[#This Row],[Vergleich_lb]]</f>
        <v>1111.7887599999999</v>
      </c>
      <c r="H860" s="11" t="str">
        <f ca="1">VLOOKUP(VLOOKUP(dict_DQ_Meth_max[[#This Row],[ID_DataQualities]],table_DataQualities[],3),table_Units[],2)</f>
        <v>Hz</v>
      </c>
      <c r="I860" s="10"/>
      <c r="J860" s="10"/>
      <c r="K860" s="10"/>
      <c r="L860" s="10">
        <f ca="1">VLOOKUP(dict_DQ_Meth_max[[#This Row],[ID_DataQualities]],table_DataQualities[],8,FALSE)</f>
        <v>0.95799999999999996</v>
      </c>
      <c r="M860" s="10">
        <f ca="1">VLOOKUP(dict_DQ_Meth_max[[#This Row],[ID_DataQualities]],table_DataQualities[],9,FALSE)</f>
        <v>1425.1</v>
      </c>
    </row>
    <row r="861" spans="1:13" x14ac:dyDescent="0.45">
      <c r="A861" s="10">
        <v>230</v>
      </c>
      <c r="B861" s="10">
        <v>502</v>
      </c>
      <c r="C8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1" s="10"/>
      <c r="E861" s="10"/>
      <c r="F861" s="12">
        <f ca="1">(RANDBETWEEN(0,50)/100)*(dict_DQ_Meth_max[[#This Row],[Vergleich_ub]]-dict_DQ_Meth_max[[#This Row],[Vergleich_lb]])+dict_DQ_Meth_max[[#This Row],[Vergleich_lb]]</f>
        <v>15.199419999999998</v>
      </c>
      <c r="G861" s="12">
        <f ca="1">(RANDBETWEEN(50,100)/100)*(dict_DQ_Meth_max[[#This Row],[Vergleich_ub]]-dict_DQ_Meth_max[[#This Row],[Vergleich_lb]])+dict_DQ_Meth_max[[#This Row],[Vergleich_lb]]</f>
        <v>1425.1</v>
      </c>
      <c r="H861" s="11" t="str">
        <f ca="1">VLOOKUP(VLOOKUP(dict_DQ_Meth_max[[#This Row],[ID_DataQualities]],table_DataQualities[],3),table_Units[],2)</f>
        <v>Hz</v>
      </c>
      <c r="I861" s="10"/>
      <c r="J861" s="10"/>
      <c r="K861" s="10"/>
      <c r="L861" s="10">
        <f ca="1">VLOOKUP(dict_DQ_Meth_max[[#This Row],[ID_DataQualities]],table_DataQualities[],8,FALSE)</f>
        <v>0.95799999999999996</v>
      </c>
      <c r="M861" s="10">
        <f ca="1">VLOOKUP(dict_DQ_Meth_max[[#This Row],[ID_DataQualities]],table_DataQualities[],9,FALSE)</f>
        <v>1425.1</v>
      </c>
    </row>
    <row r="862" spans="1:13" x14ac:dyDescent="0.45">
      <c r="A862" s="10">
        <v>230</v>
      </c>
      <c r="B862" s="10">
        <v>490</v>
      </c>
      <c r="C8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2" s="10"/>
      <c r="E862" s="10"/>
      <c r="F862" s="12">
        <f ca="1">(RANDBETWEEN(0,50)/100)*(dict_DQ_Meth_max[[#This Row],[Vergleich_ub]]-dict_DQ_Meth_max[[#This Row],[Vergleich_lb]])+dict_DQ_Meth_max[[#This Row],[Vergleich_lb]]</f>
        <v>100.64793999999999</v>
      </c>
      <c r="G862" s="12">
        <f ca="1">(RANDBETWEEN(50,100)/100)*(dict_DQ_Meth_max[[#This Row],[Vergleich_ub]]-dict_DQ_Meth_max[[#This Row],[Vergleich_lb]])+dict_DQ_Meth_max[[#This Row],[Vergleich_lb]]</f>
        <v>1140.2716</v>
      </c>
      <c r="H862" s="11" t="str">
        <f ca="1">VLOOKUP(VLOOKUP(dict_DQ_Meth_max[[#This Row],[ID_DataQualities]],table_DataQualities[],3),table_Units[],2)</f>
        <v>Hz</v>
      </c>
      <c r="I862" s="10"/>
      <c r="J862" s="10"/>
      <c r="K862" s="10"/>
      <c r="L862" s="10">
        <f ca="1">VLOOKUP(dict_DQ_Meth_max[[#This Row],[ID_DataQualities]],table_DataQualities[],8,FALSE)</f>
        <v>0.95799999999999996</v>
      </c>
      <c r="M862" s="10">
        <f ca="1">VLOOKUP(dict_DQ_Meth_max[[#This Row],[ID_DataQualities]],table_DataQualities[],9,FALSE)</f>
        <v>1425.1</v>
      </c>
    </row>
    <row r="863" spans="1:13" x14ac:dyDescent="0.45">
      <c r="A863" s="10">
        <v>230</v>
      </c>
      <c r="B863" s="10">
        <v>656</v>
      </c>
      <c r="C8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3" s="10"/>
      <c r="E863" s="10"/>
      <c r="F863" s="12">
        <f ca="1">(RANDBETWEEN(0,50)/100)*(dict_DQ_Meth_max[[#This Row],[Vergleich_ub]]-dict_DQ_Meth_max[[#This Row],[Vergleich_lb]])+dict_DQ_Meth_max[[#This Row],[Vergleich_lb]]</f>
        <v>656.06331999999986</v>
      </c>
      <c r="G863" s="12">
        <f ca="1">(RANDBETWEEN(50,100)/100)*(dict_DQ_Meth_max[[#This Row],[Vergleich_ub]]-dict_DQ_Meth_max[[#This Row],[Vergleich_lb]])+dict_DQ_Meth_max[[#This Row],[Vergleich_lb]]</f>
        <v>1168.7544399999999</v>
      </c>
      <c r="H863" s="11" t="str">
        <f ca="1">VLOOKUP(VLOOKUP(dict_DQ_Meth_max[[#This Row],[ID_DataQualities]],table_DataQualities[],3),table_Units[],2)</f>
        <v>Hz</v>
      </c>
      <c r="I863" s="10"/>
      <c r="J863" s="10"/>
      <c r="K863" s="10"/>
      <c r="L863" s="10">
        <f ca="1">VLOOKUP(dict_DQ_Meth_max[[#This Row],[ID_DataQualities]],table_DataQualities[],8,FALSE)</f>
        <v>0.95799999999999996</v>
      </c>
      <c r="M863" s="10">
        <f ca="1">VLOOKUP(dict_DQ_Meth_max[[#This Row],[ID_DataQualities]],table_DataQualities[],9,FALSE)</f>
        <v>1425.1</v>
      </c>
    </row>
    <row r="864" spans="1:13" x14ac:dyDescent="0.45">
      <c r="A864" s="10">
        <v>231</v>
      </c>
      <c r="B864" s="10">
        <v>490</v>
      </c>
      <c r="C8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4" s="10"/>
      <c r="E864" s="10"/>
      <c r="F864" s="12">
        <f ca="1">(RANDBETWEEN(0,50)/100)*(dict_DQ_Meth_max[[#This Row],[Vergleich_ub]]-dict_DQ_Meth_max[[#This Row],[Vergleich_lb]])+dict_DQ_Meth_max[[#This Row],[Vergleich_lb]]</f>
        <v>2.76</v>
      </c>
      <c r="G864" s="12">
        <f ca="1">(RANDBETWEEN(50,100)/100)*(dict_DQ_Meth_max[[#This Row],[Vergleich_ub]]-dict_DQ_Meth_max[[#This Row],[Vergleich_lb]])+dict_DQ_Meth_max[[#This Row],[Vergleich_lb]]</f>
        <v>4.08</v>
      </c>
      <c r="H864" s="11" t="str">
        <f ca="1">VLOOKUP(VLOOKUP(dict_DQ_Meth_max[[#This Row],[ID_DataQualities]],table_DataQualities[],3),table_Units[],2)</f>
        <v>+/- °C</v>
      </c>
      <c r="I864" s="10"/>
      <c r="J864" s="10"/>
      <c r="K864" s="10"/>
      <c r="L864" s="10">
        <f ca="1">VLOOKUP(dict_DQ_Meth_max[[#This Row],[ID_DataQualities]],table_DataQualities[],8,FALSE)</f>
        <v>1</v>
      </c>
      <c r="M864" s="10">
        <f ca="1">VLOOKUP(dict_DQ_Meth_max[[#This Row],[ID_DataQualities]],table_DataQualities[],9,FALSE)</f>
        <v>5</v>
      </c>
    </row>
    <row r="865" spans="1:13" x14ac:dyDescent="0.45">
      <c r="A865" s="10">
        <v>231</v>
      </c>
      <c r="B865" s="10">
        <v>656</v>
      </c>
      <c r="C8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5" s="10"/>
      <c r="E865" s="10"/>
      <c r="F865" s="12">
        <f ca="1">(RANDBETWEEN(0,50)/100)*(dict_DQ_Meth_max[[#This Row],[Vergleich_ub]]-dict_DQ_Meth_max[[#This Row],[Vergleich_lb]])+dict_DQ_Meth_max[[#This Row],[Vergleich_lb]]</f>
        <v>2.2000000000000002</v>
      </c>
      <c r="G865" s="12">
        <f ca="1">(RANDBETWEEN(50,100)/100)*(dict_DQ_Meth_max[[#This Row],[Vergleich_ub]]-dict_DQ_Meth_max[[#This Row],[Vergleich_lb]])+dict_DQ_Meth_max[[#This Row],[Vergleich_lb]]</f>
        <v>4.24</v>
      </c>
      <c r="H865" s="11" t="str">
        <f ca="1">VLOOKUP(VLOOKUP(dict_DQ_Meth_max[[#This Row],[ID_DataQualities]],table_DataQualities[],3),table_Units[],2)</f>
        <v>+/- °C</v>
      </c>
      <c r="I865" s="10"/>
      <c r="J865" s="10"/>
      <c r="K865" s="10"/>
      <c r="L865" s="10">
        <f ca="1">VLOOKUP(dict_DQ_Meth_max[[#This Row],[ID_DataQualities]],table_DataQualities[],8,FALSE)</f>
        <v>1</v>
      </c>
      <c r="M865" s="10">
        <f ca="1">VLOOKUP(dict_DQ_Meth_max[[#This Row],[ID_DataQualities]],table_DataQualities[],9,FALSE)</f>
        <v>5</v>
      </c>
    </row>
    <row r="866" spans="1:13" x14ac:dyDescent="0.45">
      <c r="A866" s="10">
        <v>231</v>
      </c>
      <c r="B866" s="10">
        <v>502</v>
      </c>
      <c r="C8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6" s="10"/>
      <c r="E866" s="10"/>
      <c r="F866" s="12">
        <f ca="1">(RANDBETWEEN(0,50)/100)*(dict_DQ_Meth_max[[#This Row],[Vergleich_ub]]-dict_DQ_Meth_max[[#This Row],[Vergleich_lb]])+dict_DQ_Meth_max[[#This Row],[Vergleich_lb]]</f>
        <v>1.32</v>
      </c>
      <c r="G866" s="12">
        <f ca="1">(RANDBETWEEN(50,100)/100)*(dict_DQ_Meth_max[[#This Row],[Vergleich_ub]]-dict_DQ_Meth_max[[#This Row],[Vergleich_lb]])+dict_DQ_Meth_max[[#This Row],[Vergleich_lb]]</f>
        <v>3.32</v>
      </c>
      <c r="H866" s="11" t="str">
        <f ca="1">VLOOKUP(VLOOKUP(dict_DQ_Meth_max[[#This Row],[ID_DataQualities]],table_DataQualities[],3),table_Units[],2)</f>
        <v>+/- °C</v>
      </c>
      <c r="I866" s="10"/>
      <c r="J866" s="10"/>
      <c r="K866" s="10"/>
      <c r="L866" s="10">
        <f ca="1">VLOOKUP(dict_DQ_Meth_max[[#This Row],[ID_DataQualities]],table_DataQualities[],8,FALSE)</f>
        <v>1</v>
      </c>
      <c r="M866" s="10">
        <f ca="1">VLOOKUP(dict_DQ_Meth_max[[#This Row],[ID_DataQualities]],table_DataQualities[],9,FALSE)</f>
        <v>5</v>
      </c>
    </row>
    <row r="867" spans="1:13" x14ac:dyDescent="0.45">
      <c r="A867" s="10">
        <v>231</v>
      </c>
      <c r="B867" s="10">
        <v>196</v>
      </c>
      <c r="C8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7" s="10"/>
      <c r="E867" s="10"/>
      <c r="F867" s="12">
        <f ca="1">(RANDBETWEEN(0,50)/100)*(dict_DQ_Meth_max[[#This Row],[Vergleich_ub]]-dict_DQ_Meth_max[[#This Row],[Vergleich_lb]])+dict_DQ_Meth_max[[#This Row],[Vergleich_lb]]</f>
        <v>3</v>
      </c>
      <c r="G867" s="12">
        <f ca="1">(RANDBETWEEN(50,100)/100)*(dict_DQ_Meth_max[[#This Row],[Vergleich_ub]]-dict_DQ_Meth_max[[#This Row],[Vergleich_lb]])+dict_DQ_Meth_max[[#This Row],[Vergleich_lb]]</f>
        <v>4.32</v>
      </c>
      <c r="H867" s="11" t="str">
        <f ca="1">VLOOKUP(VLOOKUP(dict_DQ_Meth_max[[#This Row],[ID_DataQualities]],table_DataQualities[],3),table_Units[],2)</f>
        <v>+/- °C</v>
      </c>
      <c r="I867" s="10"/>
      <c r="J867" s="10"/>
      <c r="K867" s="10"/>
      <c r="L867" s="10">
        <f ca="1">VLOOKUP(dict_DQ_Meth_max[[#This Row],[ID_DataQualities]],table_DataQualities[],8,FALSE)</f>
        <v>1</v>
      </c>
      <c r="M867" s="10">
        <f ca="1">VLOOKUP(dict_DQ_Meth_max[[#This Row],[ID_DataQualities]],table_DataQualities[],9,FALSE)</f>
        <v>5</v>
      </c>
    </row>
    <row r="868" spans="1:13" x14ac:dyDescent="0.45">
      <c r="A868" s="10">
        <v>232</v>
      </c>
      <c r="B868" s="10">
        <v>58</v>
      </c>
      <c r="C8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8" s="10"/>
      <c r="E868" s="10"/>
      <c r="F868" s="12">
        <f ca="1">(RANDBETWEEN(0,50)/100)*(dict_DQ_Meth_max[[#This Row],[Vergleich_ub]]-dict_DQ_Meth_max[[#This Row],[Vergleich_lb]])+dict_DQ_Meth_max[[#This Row],[Vergleich_lb]]</f>
        <v>264.45151999999996</v>
      </c>
      <c r="G868" s="12">
        <f ca="1">(RANDBETWEEN(50,100)/100)*(dict_DQ_Meth_max[[#This Row],[Vergleich_ub]]-dict_DQ_Meth_max[[#This Row],[Vergleich_lb]])+dict_DQ_Meth_max[[#This Row],[Vergleich_lb]]</f>
        <v>5866.2600700000003</v>
      </c>
      <c r="H868" s="11" t="str">
        <f ca="1">VLOOKUP(VLOOKUP(dict_DQ_Meth_max[[#This Row],[ID_DataQualities]],table_DataQualities[],3),table_Units[],2)</f>
        <v>Hz</v>
      </c>
      <c r="I868" s="10"/>
      <c r="J868" s="10"/>
      <c r="K868" s="10"/>
      <c r="L868" s="10">
        <f ca="1">VLOOKUP(dict_DQ_Meth_max[[#This Row],[ID_DataQualities]],table_DataQualities[],8,FALSE)</f>
        <v>0.83699999999999997</v>
      </c>
      <c r="M868" s="10">
        <f ca="1">VLOOKUP(dict_DQ_Meth_max[[#This Row],[ID_DataQualities]],table_DataQualities[],9,FALSE)</f>
        <v>6591.2</v>
      </c>
    </row>
    <row r="869" spans="1:13" x14ac:dyDescent="0.45">
      <c r="A869" s="10">
        <v>232</v>
      </c>
      <c r="B869" s="10">
        <v>118</v>
      </c>
      <c r="C8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69" s="10"/>
      <c r="E869" s="10"/>
      <c r="F869" s="12">
        <f ca="1">(RANDBETWEEN(0,50)/100)*(dict_DQ_Meth_max[[#This Row],[Vergleich_ub]]-dict_DQ_Meth_max[[#This Row],[Vergleich_lb]])+dict_DQ_Meth_max[[#This Row],[Vergleich_lb]]</f>
        <v>396.25877999999994</v>
      </c>
      <c r="G869" s="12">
        <f ca="1">(RANDBETWEEN(50,100)/100)*(dict_DQ_Meth_max[[#This Row],[Vergleich_ub]]-dict_DQ_Meth_max[[#This Row],[Vergleich_lb]])+dict_DQ_Meth_max[[#This Row],[Vergleich_lb]]</f>
        <v>5141.3201399999998</v>
      </c>
      <c r="H869" s="11" t="str">
        <f ca="1">VLOOKUP(VLOOKUP(dict_DQ_Meth_max[[#This Row],[ID_DataQualities]],table_DataQualities[],3),table_Units[],2)</f>
        <v>Hz</v>
      </c>
      <c r="I869" s="10"/>
      <c r="J869" s="10"/>
      <c r="K869" s="10"/>
      <c r="L869" s="10">
        <f ca="1">VLOOKUP(dict_DQ_Meth_max[[#This Row],[ID_DataQualities]],table_DataQualities[],8,FALSE)</f>
        <v>0.83699999999999997</v>
      </c>
      <c r="M869" s="10">
        <f ca="1">VLOOKUP(dict_DQ_Meth_max[[#This Row],[ID_DataQualities]],table_DataQualities[],9,FALSE)</f>
        <v>6591.2</v>
      </c>
    </row>
    <row r="870" spans="1:13" x14ac:dyDescent="0.45">
      <c r="A870" s="10">
        <v>232</v>
      </c>
      <c r="B870" s="10">
        <v>326</v>
      </c>
      <c r="C8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0" s="10"/>
      <c r="E870" s="10"/>
      <c r="F870" s="12">
        <f ca="1">(RANDBETWEEN(0,50)/100)*(dict_DQ_Meth_max[[#This Row],[Vergleich_ub]]-dict_DQ_Meth_max[[#This Row],[Vergleich_lb]])+dict_DQ_Meth_max[[#This Row],[Vergleich_lb]]</f>
        <v>330.35514999999998</v>
      </c>
      <c r="G870" s="12">
        <f ca="1">(RANDBETWEEN(50,100)/100)*(dict_DQ_Meth_max[[#This Row],[Vergleich_ub]]-dict_DQ_Meth_max[[#This Row],[Vergleich_lb]])+dict_DQ_Meth_max[[#This Row],[Vergleich_lb]]</f>
        <v>3889.1511699999996</v>
      </c>
      <c r="H870" s="11" t="str">
        <f ca="1">VLOOKUP(VLOOKUP(dict_DQ_Meth_max[[#This Row],[ID_DataQualities]],table_DataQualities[],3),table_Units[],2)</f>
        <v>Hz</v>
      </c>
      <c r="I870" s="10"/>
      <c r="J870" s="10"/>
      <c r="K870" s="10"/>
      <c r="L870" s="10">
        <f ca="1">VLOOKUP(dict_DQ_Meth_max[[#This Row],[ID_DataQualities]],table_DataQualities[],8,FALSE)</f>
        <v>0.83699999999999997</v>
      </c>
      <c r="M870" s="10">
        <f ca="1">VLOOKUP(dict_DQ_Meth_max[[#This Row],[ID_DataQualities]],table_DataQualities[],9,FALSE)</f>
        <v>6591.2</v>
      </c>
    </row>
    <row r="871" spans="1:13" x14ac:dyDescent="0.45">
      <c r="A871" s="10">
        <v>232</v>
      </c>
      <c r="B871" s="10">
        <v>102</v>
      </c>
      <c r="C8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1" s="10"/>
      <c r="E871" s="10"/>
      <c r="F871" s="12">
        <f ca="1">(RANDBETWEEN(0,50)/100)*(dict_DQ_Meth_max[[#This Row],[Vergleich_ub]]-dict_DQ_Meth_max[[#This Row],[Vergleich_lb]])+dict_DQ_Meth_max[[#This Row],[Vergleich_lb]]</f>
        <v>2834.6930899999998</v>
      </c>
      <c r="G871" s="12">
        <f ca="1">(RANDBETWEEN(50,100)/100)*(dict_DQ_Meth_max[[#This Row],[Vergleich_ub]]-dict_DQ_Meth_max[[#This Row],[Vergleich_lb]])+dict_DQ_Meth_max[[#This Row],[Vergleich_lb]]</f>
        <v>4943.6092500000004</v>
      </c>
      <c r="H871" s="11" t="str">
        <f ca="1">VLOOKUP(VLOOKUP(dict_DQ_Meth_max[[#This Row],[ID_DataQualities]],table_DataQualities[],3),table_Units[],2)</f>
        <v>Hz</v>
      </c>
      <c r="I871" s="10"/>
      <c r="J871" s="10"/>
      <c r="K871" s="10"/>
      <c r="L871" s="10">
        <f ca="1">VLOOKUP(dict_DQ_Meth_max[[#This Row],[ID_DataQualities]],table_DataQualities[],8,FALSE)</f>
        <v>0.83699999999999997</v>
      </c>
      <c r="M871" s="10">
        <f ca="1">VLOOKUP(dict_DQ_Meth_max[[#This Row],[ID_DataQualities]],table_DataQualities[],9,FALSE)</f>
        <v>6591.2</v>
      </c>
    </row>
    <row r="872" spans="1:13" x14ac:dyDescent="0.45">
      <c r="A872" s="10">
        <v>232</v>
      </c>
      <c r="B872" s="10">
        <v>420</v>
      </c>
      <c r="C8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2" s="10"/>
      <c r="E872" s="10"/>
      <c r="F872" s="12">
        <f ca="1">(RANDBETWEEN(0,50)/100)*(dict_DQ_Meth_max[[#This Row],[Vergleich_ub]]-dict_DQ_Meth_max[[#This Row],[Vergleich_lb]])+dict_DQ_Meth_max[[#This Row],[Vergleich_lb]]</f>
        <v>2768.7894599999995</v>
      </c>
      <c r="G872" s="12">
        <f ca="1">(RANDBETWEEN(50,100)/100)*(dict_DQ_Meth_max[[#This Row],[Vergleich_ub]]-dict_DQ_Meth_max[[#This Row],[Vergleich_lb]])+dict_DQ_Meth_max[[#This Row],[Vergleich_lb]]</f>
        <v>4086.8620599999995</v>
      </c>
      <c r="H872" s="11" t="str">
        <f ca="1">VLOOKUP(VLOOKUP(dict_DQ_Meth_max[[#This Row],[ID_DataQualities]],table_DataQualities[],3),table_Units[],2)</f>
        <v>Hz</v>
      </c>
      <c r="I872" s="10"/>
      <c r="J872" s="10"/>
      <c r="K872" s="10"/>
      <c r="L872" s="10">
        <f ca="1">VLOOKUP(dict_DQ_Meth_max[[#This Row],[ID_DataQualities]],table_DataQualities[],8,FALSE)</f>
        <v>0.83699999999999997</v>
      </c>
      <c r="M872" s="10">
        <f ca="1">VLOOKUP(dict_DQ_Meth_max[[#This Row],[ID_DataQualities]],table_DataQualities[],9,FALSE)</f>
        <v>6591.2</v>
      </c>
    </row>
    <row r="873" spans="1:13" x14ac:dyDescent="0.45">
      <c r="A873" s="10">
        <v>233</v>
      </c>
      <c r="B873" s="10">
        <v>102</v>
      </c>
      <c r="C8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3" s="10"/>
      <c r="E873" s="10"/>
      <c r="F873" s="12">
        <f ca="1">(RANDBETWEEN(0,50)/100)*(dict_DQ_Meth_max[[#This Row],[Vergleich_ub]]-dict_DQ_Meth_max[[#This Row],[Vergleich_lb]])+dict_DQ_Meth_max[[#This Row],[Vergleich_lb]]</f>
        <v>1.2</v>
      </c>
      <c r="G873" s="12">
        <f ca="1">(RANDBETWEEN(50,100)/100)*(dict_DQ_Meth_max[[#This Row],[Vergleich_ub]]-dict_DQ_Meth_max[[#This Row],[Vergleich_lb]])+dict_DQ_Meth_max[[#This Row],[Vergleich_lb]]</f>
        <v>3</v>
      </c>
      <c r="H873" s="11" t="str">
        <f ca="1">VLOOKUP(VLOOKUP(dict_DQ_Meth_max[[#This Row],[ID_DataQualities]],table_DataQualities[],3),table_Units[],2)</f>
        <v>+/- °C</v>
      </c>
      <c r="I873" s="10"/>
      <c r="J873" s="10"/>
      <c r="K873" s="10"/>
      <c r="L873" s="10">
        <f ca="1">VLOOKUP(dict_DQ_Meth_max[[#This Row],[ID_DataQualities]],table_DataQualities[],8,FALSE)</f>
        <v>0.6</v>
      </c>
      <c r="M873" s="10">
        <f ca="1">VLOOKUP(dict_DQ_Meth_max[[#This Row],[ID_DataQualities]],table_DataQualities[],9,FALSE)</f>
        <v>3</v>
      </c>
    </row>
    <row r="874" spans="1:13" x14ac:dyDescent="0.45">
      <c r="A874" s="10">
        <v>233</v>
      </c>
      <c r="B874" s="10">
        <v>118</v>
      </c>
      <c r="C8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4" s="10"/>
      <c r="E874" s="10"/>
      <c r="F874" s="12">
        <f ca="1">(RANDBETWEEN(0,50)/100)*(dict_DQ_Meth_max[[#This Row],[Vergleich_ub]]-dict_DQ_Meth_max[[#This Row],[Vergleich_lb]])+dict_DQ_Meth_max[[#This Row],[Vergleich_lb]]</f>
        <v>0.76800000000000002</v>
      </c>
      <c r="G874" s="12">
        <f ca="1">(RANDBETWEEN(50,100)/100)*(dict_DQ_Meth_max[[#This Row],[Vergleich_ub]]-dict_DQ_Meth_max[[#This Row],[Vergleich_lb]])+dict_DQ_Meth_max[[#This Row],[Vergleich_lb]]</f>
        <v>2.2559999999999998</v>
      </c>
      <c r="H874" s="11" t="str">
        <f ca="1">VLOOKUP(VLOOKUP(dict_DQ_Meth_max[[#This Row],[ID_DataQualities]],table_DataQualities[],3),table_Units[],2)</f>
        <v>+/- °C</v>
      </c>
      <c r="I874" s="10"/>
      <c r="J874" s="10"/>
      <c r="K874" s="10"/>
      <c r="L874" s="10">
        <f ca="1">VLOOKUP(dict_DQ_Meth_max[[#This Row],[ID_DataQualities]],table_DataQualities[],8,FALSE)</f>
        <v>0.6</v>
      </c>
      <c r="M874" s="10">
        <f ca="1">VLOOKUP(dict_DQ_Meth_max[[#This Row],[ID_DataQualities]],table_DataQualities[],9,FALSE)</f>
        <v>3</v>
      </c>
    </row>
    <row r="875" spans="1:13" x14ac:dyDescent="0.45">
      <c r="A875" s="10">
        <v>233</v>
      </c>
      <c r="B875" s="10">
        <v>326</v>
      </c>
      <c r="C8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5" s="10"/>
      <c r="E875" s="10"/>
      <c r="F875" s="12">
        <f ca="1">(RANDBETWEEN(0,50)/100)*(dict_DQ_Meth_max[[#This Row],[Vergleich_ub]]-dict_DQ_Meth_max[[#This Row],[Vergleich_lb]])+dict_DQ_Meth_max[[#This Row],[Vergleich_lb]]</f>
        <v>0.72</v>
      </c>
      <c r="G875" s="12">
        <f ca="1">(RANDBETWEEN(50,100)/100)*(dict_DQ_Meth_max[[#This Row],[Vergleich_ub]]-dict_DQ_Meth_max[[#This Row],[Vergleich_lb]])+dict_DQ_Meth_max[[#This Row],[Vergleich_lb]]</f>
        <v>2.5679999999999996</v>
      </c>
      <c r="H875" s="11" t="str">
        <f ca="1">VLOOKUP(VLOOKUP(dict_DQ_Meth_max[[#This Row],[ID_DataQualities]],table_DataQualities[],3),table_Units[],2)</f>
        <v>+/- °C</v>
      </c>
      <c r="I875" s="10"/>
      <c r="J875" s="10"/>
      <c r="K875" s="10"/>
      <c r="L875" s="10">
        <f ca="1">VLOOKUP(dict_DQ_Meth_max[[#This Row],[ID_DataQualities]],table_DataQualities[],8,FALSE)</f>
        <v>0.6</v>
      </c>
      <c r="M875" s="10">
        <f ca="1">VLOOKUP(dict_DQ_Meth_max[[#This Row],[ID_DataQualities]],table_DataQualities[],9,FALSE)</f>
        <v>3</v>
      </c>
    </row>
    <row r="876" spans="1:13" x14ac:dyDescent="0.45">
      <c r="A876" s="10">
        <v>233</v>
      </c>
      <c r="B876" s="10">
        <v>58</v>
      </c>
      <c r="C8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6" s="10"/>
      <c r="E876" s="10"/>
      <c r="F876" s="12">
        <f ca="1">(RANDBETWEEN(0,50)/100)*(dict_DQ_Meth_max[[#This Row],[Vergleich_ub]]-dict_DQ_Meth_max[[#This Row],[Vergleich_lb]])+dict_DQ_Meth_max[[#This Row],[Vergleich_lb]]</f>
        <v>1.7040000000000002</v>
      </c>
      <c r="G876" s="12">
        <f ca="1">(RANDBETWEEN(50,100)/100)*(dict_DQ_Meth_max[[#This Row],[Vergleich_ub]]-dict_DQ_Meth_max[[#This Row],[Vergleich_lb]])+dict_DQ_Meth_max[[#This Row],[Vergleich_lb]]</f>
        <v>2.952</v>
      </c>
      <c r="H876" s="11" t="str">
        <f ca="1">VLOOKUP(VLOOKUP(dict_DQ_Meth_max[[#This Row],[ID_DataQualities]],table_DataQualities[],3),table_Units[],2)</f>
        <v>+/- °C</v>
      </c>
      <c r="I876" s="10"/>
      <c r="J876" s="10"/>
      <c r="K876" s="10"/>
      <c r="L876" s="10">
        <f ca="1">VLOOKUP(dict_DQ_Meth_max[[#This Row],[ID_DataQualities]],table_DataQualities[],8,FALSE)</f>
        <v>0.6</v>
      </c>
      <c r="M876" s="10">
        <f ca="1">VLOOKUP(dict_DQ_Meth_max[[#This Row],[ID_DataQualities]],table_DataQualities[],9,FALSE)</f>
        <v>3</v>
      </c>
    </row>
    <row r="877" spans="1:13" x14ac:dyDescent="0.45">
      <c r="A877" s="10">
        <v>233</v>
      </c>
      <c r="B877" s="10">
        <v>420</v>
      </c>
      <c r="C8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7" s="10"/>
      <c r="E877" s="10"/>
      <c r="F877" s="12">
        <f ca="1">(RANDBETWEEN(0,50)/100)*(dict_DQ_Meth_max[[#This Row],[Vergleich_ub]]-dict_DQ_Meth_max[[#This Row],[Vergleich_lb]])+dict_DQ_Meth_max[[#This Row],[Vergleich_lb]]</f>
        <v>1.2</v>
      </c>
      <c r="G877" s="12">
        <f ca="1">(RANDBETWEEN(50,100)/100)*(dict_DQ_Meth_max[[#This Row],[Vergleich_ub]]-dict_DQ_Meth_max[[#This Row],[Vergleich_lb]])+dict_DQ_Meth_max[[#This Row],[Vergleich_lb]]</f>
        <v>2.5919999999999996</v>
      </c>
      <c r="H877" s="11" t="str">
        <f ca="1">VLOOKUP(VLOOKUP(dict_DQ_Meth_max[[#This Row],[ID_DataQualities]],table_DataQualities[],3),table_Units[],2)</f>
        <v>+/- °C</v>
      </c>
      <c r="I877" s="10"/>
      <c r="J877" s="10"/>
      <c r="K877" s="10"/>
      <c r="L877" s="10">
        <f ca="1">VLOOKUP(dict_DQ_Meth_max[[#This Row],[ID_DataQualities]],table_DataQualities[],8,FALSE)</f>
        <v>0.6</v>
      </c>
      <c r="M877" s="10">
        <f ca="1">VLOOKUP(dict_DQ_Meth_max[[#This Row],[ID_DataQualities]],table_DataQualities[],9,FALSE)</f>
        <v>3</v>
      </c>
    </row>
    <row r="878" spans="1:13" x14ac:dyDescent="0.45">
      <c r="A878" s="10">
        <v>234</v>
      </c>
      <c r="B878" s="10">
        <v>70</v>
      </c>
      <c r="C8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8" s="10"/>
      <c r="E878" s="10"/>
      <c r="F878" s="12">
        <f ca="1">(RANDBETWEEN(0,50)/100)*(dict_DQ_Meth_max[[#This Row],[Vergleich_ub]]-dict_DQ_Meth_max[[#This Row],[Vergleich_lb]])+dict_DQ_Meth_max[[#This Row],[Vergleich_lb]]</f>
        <v>432.27422000000001</v>
      </c>
      <c r="G878" s="12">
        <f ca="1">(RANDBETWEEN(50,100)/100)*(dict_DQ_Meth_max[[#This Row],[Vergleich_ub]]-dict_DQ_Meth_max[[#This Row],[Vergleich_lb]])+dict_DQ_Meth_max[[#This Row],[Vergleich_lb]]</f>
        <v>884.12825999999995</v>
      </c>
      <c r="H878" s="11" t="str">
        <f ca="1">VLOOKUP(VLOOKUP(dict_DQ_Meth_max[[#This Row],[ID_DataQualities]],table_DataQualities[],3),table_Units[],2)</f>
        <v>Hz</v>
      </c>
      <c r="I878" s="10"/>
      <c r="J878" s="10"/>
      <c r="K878" s="10"/>
      <c r="L878" s="10">
        <f ca="1">VLOOKUP(dict_DQ_Meth_max[[#This Row],[ID_DataQualities]],table_DataQualities[],8,FALSE)</f>
        <v>0.95899999999999996</v>
      </c>
      <c r="M878" s="10">
        <f ca="1">VLOOKUP(dict_DQ_Meth_max[[#This Row],[ID_DataQualities]],table_DataQualities[],9,FALSE)</f>
        <v>1027.9000000000001</v>
      </c>
    </row>
    <row r="879" spans="1:13" x14ac:dyDescent="0.45">
      <c r="A879" s="10">
        <v>234</v>
      </c>
      <c r="B879" s="10">
        <v>676</v>
      </c>
      <c r="C8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79" s="10"/>
      <c r="E879" s="10"/>
      <c r="F879" s="12">
        <f ca="1">(RANDBETWEEN(0,50)/100)*(dict_DQ_Meth_max[[#This Row],[Vergleich_ub]]-dict_DQ_Meth_max[[#This Row],[Vergleich_lb]])+dict_DQ_Meth_max[[#This Row],[Vergleich_lb]]</f>
        <v>31.767229999999998</v>
      </c>
      <c r="G879" s="12">
        <f ca="1">(RANDBETWEEN(50,100)/100)*(dict_DQ_Meth_max[[#This Row],[Vergleich_ub]]-dict_DQ_Meth_max[[#This Row],[Vergleich_lb]])+dict_DQ_Meth_max[[#This Row],[Vergleich_lb]]</f>
        <v>884.12825999999995</v>
      </c>
      <c r="H879" s="11" t="str">
        <f ca="1">VLOOKUP(VLOOKUP(dict_DQ_Meth_max[[#This Row],[ID_DataQualities]],table_DataQualities[],3),table_Units[],2)</f>
        <v>Hz</v>
      </c>
      <c r="I879" s="10"/>
      <c r="J879" s="10"/>
      <c r="K879" s="10"/>
      <c r="L879" s="10">
        <f ca="1">VLOOKUP(dict_DQ_Meth_max[[#This Row],[ID_DataQualities]],table_DataQualities[],8,FALSE)</f>
        <v>0.95899999999999996</v>
      </c>
      <c r="M879" s="10">
        <f ca="1">VLOOKUP(dict_DQ_Meth_max[[#This Row],[ID_DataQualities]],table_DataQualities[],9,FALSE)</f>
        <v>1027.9000000000001</v>
      </c>
    </row>
    <row r="880" spans="1:13" x14ac:dyDescent="0.45">
      <c r="A880" s="10">
        <v>234</v>
      </c>
      <c r="B880" s="10">
        <v>611</v>
      </c>
      <c r="C8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0" s="10"/>
      <c r="E880" s="10"/>
      <c r="F880" s="12">
        <f ca="1">(RANDBETWEEN(0,50)/100)*(dict_DQ_Meth_max[[#This Row],[Vergleich_ub]]-dict_DQ_Meth_max[[#This Row],[Vergleich_lb]])+dict_DQ_Meth_max[[#This Row],[Vergleich_lb]]</f>
        <v>31.767229999999998</v>
      </c>
      <c r="G880" s="12">
        <f ca="1">(RANDBETWEEN(50,100)/100)*(dict_DQ_Meth_max[[#This Row],[Vergleich_ub]]-dict_DQ_Meth_max[[#This Row],[Vergleich_lb]])+dict_DQ_Meth_max[[#This Row],[Vergleich_lb]]</f>
        <v>873.85884999999996</v>
      </c>
      <c r="H880" s="11" t="str">
        <f ca="1">VLOOKUP(VLOOKUP(dict_DQ_Meth_max[[#This Row],[ID_DataQualities]],table_DataQualities[],3),table_Units[],2)</f>
        <v>Hz</v>
      </c>
      <c r="I880" s="10"/>
      <c r="J880" s="10"/>
      <c r="K880" s="10"/>
      <c r="L880" s="10">
        <f ca="1">VLOOKUP(dict_DQ_Meth_max[[#This Row],[ID_DataQualities]],table_DataQualities[],8,FALSE)</f>
        <v>0.95899999999999996</v>
      </c>
      <c r="M880" s="10">
        <f ca="1">VLOOKUP(dict_DQ_Meth_max[[#This Row],[ID_DataQualities]],table_DataQualities[],9,FALSE)</f>
        <v>1027.9000000000001</v>
      </c>
    </row>
    <row r="881" spans="1:13" x14ac:dyDescent="0.45">
      <c r="A881" s="10">
        <v>235</v>
      </c>
      <c r="B881" s="10">
        <v>676</v>
      </c>
      <c r="C8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1" s="10"/>
      <c r="E881" s="10"/>
      <c r="F881" s="12">
        <f ca="1">(RANDBETWEEN(0,50)/100)*(dict_DQ_Meth_max[[#This Row],[Vergleich_ub]]-dict_DQ_Meth_max[[#This Row],[Vergleich_lb]])+dict_DQ_Meth_max[[#This Row],[Vergleich_lb]]</f>
        <v>9.1287999999999994E-2</v>
      </c>
      <c r="G881" s="12">
        <f ca="1">(RANDBETWEEN(50,100)/100)*(dict_DQ_Meth_max[[#This Row],[Vergleich_ub]]-dict_DQ_Meth_max[[#This Row],[Vergleich_lb]])+dict_DQ_Meth_max[[#This Row],[Vergleich_lb]]</f>
        <v>0.213612</v>
      </c>
      <c r="H881" s="11" t="str">
        <f ca="1">VLOOKUP(VLOOKUP(dict_DQ_Meth_max[[#This Row],[ID_DataQualities]],table_DataQualities[],3),table_Units[],2)</f>
        <v>+/- cm³/s</v>
      </c>
      <c r="I881" s="10"/>
      <c r="J881" s="10"/>
      <c r="K881" s="10"/>
      <c r="L881" s="10">
        <f ca="1">VLOOKUP(dict_DQ_Meth_max[[#This Row],[ID_DataQualities]],table_DataQualities[],8,FALSE)</f>
        <v>8.2000000000000007E-3</v>
      </c>
      <c r="M881" s="10">
        <f ca="1">VLOOKUP(dict_DQ_Meth_max[[#This Row],[ID_DataQualities]],table_DataQualities[],9,FALSE)</f>
        <v>0.23899999999999999</v>
      </c>
    </row>
    <row r="882" spans="1:13" x14ac:dyDescent="0.45">
      <c r="A882" s="10">
        <v>235</v>
      </c>
      <c r="B882" s="10">
        <v>70</v>
      </c>
      <c r="C8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2" s="10"/>
      <c r="E882" s="10"/>
      <c r="F882" s="12">
        <f ca="1">(RANDBETWEEN(0,50)/100)*(dict_DQ_Meth_max[[#This Row],[Vergleich_ub]]-dict_DQ_Meth_max[[#This Row],[Vergleich_lb]])+dict_DQ_Meth_max[[#This Row],[Vergleich_lb]]</f>
        <v>1.7432E-2</v>
      </c>
      <c r="G882" s="12">
        <f ca="1">(RANDBETWEEN(50,100)/100)*(dict_DQ_Meth_max[[#This Row],[Vergleich_ub]]-dict_DQ_Meth_max[[#This Row],[Vergleich_lb]])+dict_DQ_Meth_max[[#This Row],[Vergleich_lb]]</f>
        <v>0.14668</v>
      </c>
      <c r="H882" s="11" t="str">
        <f ca="1">VLOOKUP(VLOOKUP(dict_DQ_Meth_max[[#This Row],[ID_DataQualities]],table_DataQualities[],3),table_Units[],2)</f>
        <v>+/- cm³/s</v>
      </c>
      <c r="I882" s="10"/>
      <c r="J882" s="10"/>
      <c r="K882" s="10"/>
      <c r="L882" s="10">
        <f ca="1">VLOOKUP(dict_DQ_Meth_max[[#This Row],[ID_DataQualities]],table_DataQualities[],8,FALSE)</f>
        <v>8.2000000000000007E-3</v>
      </c>
      <c r="M882" s="10">
        <f ca="1">VLOOKUP(dict_DQ_Meth_max[[#This Row],[ID_DataQualities]],table_DataQualities[],9,FALSE)</f>
        <v>0.23899999999999999</v>
      </c>
    </row>
    <row r="883" spans="1:13" x14ac:dyDescent="0.45">
      <c r="A883" s="10">
        <v>235</v>
      </c>
      <c r="B883" s="10">
        <v>611</v>
      </c>
      <c r="C8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3" s="10"/>
      <c r="E883" s="10"/>
      <c r="F883" s="12">
        <f ca="1">(RANDBETWEEN(0,50)/100)*(dict_DQ_Meth_max[[#This Row],[Vergleich_ub]]-dict_DQ_Meth_max[[#This Row],[Vergleich_lb]])+dict_DQ_Meth_max[[#This Row],[Vergleich_lb]]</f>
        <v>8.205599999999999E-2</v>
      </c>
      <c r="G883" s="12">
        <f ca="1">(RANDBETWEEN(50,100)/100)*(dict_DQ_Meth_max[[#This Row],[Vergleich_ub]]-dict_DQ_Meth_max[[#This Row],[Vergleich_lb]])+dict_DQ_Meth_max[[#This Row],[Vergleich_lb]]</f>
        <v>0.12590799999999999</v>
      </c>
      <c r="H883" s="11" t="str">
        <f ca="1">VLOOKUP(VLOOKUP(dict_DQ_Meth_max[[#This Row],[ID_DataQualities]],table_DataQualities[],3),table_Units[],2)</f>
        <v>+/- cm³/s</v>
      </c>
      <c r="I883" s="10"/>
      <c r="J883" s="10"/>
      <c r="K883" s="10"/>
      <c r="L883" s="10">
        <f ca="1">VLOOKUP(dict_DQ_Meth_max[[#This Row],[ID_DataQualities]],table_DataQualities[],8,FALSE)</f>
        <v>8.2000000000000007E-3</v>
      </c>
      <c r="M883" s="10">
        <f ca="1">VLOOKUP(dict_DQ_Meth_max[[#This Row],[ID_DataQualities]],table_DataQualities[],9,FALSE)</f>
        <v>0.23899999999999999</v>
      </c>
    </row>
    <row r="884" spans="1:13" x14ac:dyDescent="0.45">
      <c r="A884" s="10">
        <v>236</v>
      </c>
      <c r="B884" s="10">
        <v>583</v>
      </c>
      <c r="C8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4" s="10"/>
      <c r="E884" s="10"/>
      <c r="F884" s="12">
        <f ca="1">(RANDBETWEEN(0,50)/100)*(dict_DQ_Meth_max[[#This Row],[Vergleich_ub]]-dict_DQ_Meth_max[[#This Row],[Vergleich_lb]])+dict_DQ_Meth_max[[#This Row],[Vergleich_lb]]</f>
        <v>1478.76712</v>
      </c>
      <c r="G884" s="12">
        <f ca="1">(RANDBETWEEN(50,100)/100)*(dict_DQ_Meth_max[[#This Row],[Vergleich_ub]]-dict_DQ_Meth_max[[#This Row],[Vergleich_lb]])+dict_DQ_Meth_max[[#This Row],[Vergleich_lb]]</f>
        <v>4032.8215999999998</v>
      </c>
      <c r="H884" s="11" t="str">
        <f ca="1">VLOOKUP(VLOOKUP(dict_DQ_Meth_max[[#This Row],[ID_DataQualities]],table_DataQualities[],3),table_Units[],2)</f>
        <v>Hz</v>
      </c>
      <c r="I884" s="10"/>
      <c r="J884" s="10"/>
      <c r="K884" s="10"/>
      <c r="L884" s="10">
        <f ca="1">VLOOKUP(dict_DQ_Meth_max[[#This Row],[ID_DataQualities]],table_DataQualities[],8,FALSE)</f>
        <v>0.104</v>
      </c>
      <c r="M884" s="10">
        <f ca="1">VLOOKUP(dict_DQ_Meth_max[[#This Row],[ID_DataQualities]],table_DataQualities[],9,FALSE)</f>
        <v>6721.3</v>
      </c>
    </row>
    <row r="885" spans="1:13" x14ac:dyDescent="0.45">
      <c r="A885" s="10">
        <v>236</v>
      </c>
      <c r="B885" s="10">
        <v>601</v>
      </c>
      <c r="C8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5" s="10"/>
      <c r="E885" s="10"/>
      <c r="F885" s="12">
        <f ca="1">(RANDBETWEEN(0,50)/100)*(dict_DQ_Meth_max[[#This Row],[Vergleich_ub]]-dict_DQ_Meth_max[[#This Row],[Vergleich_lb]])+dict_DQ_Meth_max[[#This Row],[Vergleich_lb]]</f>
        <v>201.73988</v>
      </c>
      <c r="G885" s="12">
        <f ca="1">(RANDBETWEEN(50,100)/100)*(dict_DQ_Meth_max[[#This Row],[Vergleich_ub]]-dict_DQ_Meth_max[[#This Row],[Vergleich_lb]])+dict_DQ_Meth_max[[#This Row],[Vergleich_lb]]</f>
        <v>5444.2727600000007</v>
      </c>
      <c r="H885" s="11" t="str">
        <f ca="1">VLOOKUP(VLOOKUP(dict_DQ_Meth_max[[#This Row],[ID_DataQualities]],table_DataQualities[],3),table_Units[],2)</f>
        <v>Hz</v>
      </c>
      <c r="I885" s="10"/>
      <c r="J885" s="10"/>
      <c r="K885" s="10"/>
      <c r="L885" s="10">
        <f ca="1">VLOOKUP(dict_DQ_Meth_max[[#This Row],[ID_DataQualities]],table_DataQualities[],8,FALSE)</f>
        <v>0.104</v>
      </c>
      <c r="M885" s="10">
        <f ca="1">VLOOKUP(dict_DQ_Meth_max[[#This Row],[ID_DataQualities]],table_DataQualities[],9,FALSE)</f>
        <v>6721.3</v>
      </c>
    </row>
    <row r="886" spans="1:13" x14ac:dyDescent="0.45">
      <c r="A886" s="10">
        <v>236</v>
      </c>
      <c r="B886" s="10">
        <v>32</v>
      </c>
      <c r="C8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6" s="10"/>
      <c r="E886" s="10"/>
      <c r="F886" s="12">
        <f ca="1">(RANDBETWEEN(0,50)/100)*(dict_DQ_Meth_max[[#This Row],[Vergleich_ub]]-dict_DQ_Meth_max[[#This Row],[Vergleich_lb]])+dict_DQ_Meth_max[[#This Row],[Vergleich_lb]]</f>
        <v>3226.2780799999996</v>
      </c>
      <c r="G886" s="12">
        <f ca="1">(RANDBETWEEN(50,100)/100)*(dict_DQ_Meth_max[[#This Row],[Vergleich_ub]]-dict_DQ_Meth_max[[#This Row],[Vergleich_lb]])+dict_DQ_Meth_max[[#This Row],[Vergleich_lb]]</f>
        <v>5309.8488400000006</v>
      </c>
      <c r="H886" s="11" t="str">
        <f ca="1">VLOOKUP(VLOOKUP(dict_DQ_Meth_max[[#This Row],[ID_DataQualities]],table_DataQualities[],3),table_Units[],2)</f>
        <v>Hz</v>
      </c>
      <c r="I886" s="10"/>
      <c r="J886" s="10"/>
      <c r="K886" s="10"/>
      <c r="L886" s="10">
        <f ca="1">VLOOKUP(dict_DQ_Meth_max[[#This Row],[ID_DataQualities]],table_DataQualities[],8,FALSE)</f>
        <v>0.104</v>
      </c>
      <c r="M886" s="10">
        <f ca="1">VLOOKUP(dict_DQ_Meth_max[[#This Row],[ID_DataQualities]],table_DataQualities[],9,FALSE)</f>
        <v>6721.3</v>
      </c>
    </row>
    <row r="887" spans="1:13" x14ac:dyDescent="0.45">
      <c r="A887" s="10">
        <v>236</v>
      </c>
      <c r="B887" s="10">
        <v>368</v>
      </c>
      <c r="C8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7" s="10"/>
      <c r="E887" s="10"/>
      <c r="F887" s="12">
        <f ca="1">(RANDBETWEEN(0,50)/100)*(dict_DQ_Meth_max[[#This Row],[Vergleich_ub]]-dict_DQ_Meth_max[[#This Row],[Vergleich_lb]])+dict_DQ_Meth_max[[#This Row],[Vergleich_lb]]</f>
        <v>672.22360000000003</v>
      </c>
      <c r="G887" s="12">
        <f ca="1">(RANDBETWEEN(50,100)/100)*(dict_DQ_Meth_max[[#This Row],[Vergleich_ub]]-dict_DQ_Meth_max[[#This Row],[Vergleich_lb]])+dict_DQ_Meth_max[[#This Row],[Vergleich_lb]]</f>
        <v>4301.6694400000006</v>
      </c>
      <c r="H887" s="11" t="str">
        <f ca="1">VLOOKUP(VLOOKUP(dict_DQ_Meth_max[[#This Row],[ID_DataQualities]],table_DataQualities[],3),table_Units[],2)</f>
        <v>Hz</v>
      </c>
      <c r="I887" s="10"/>
      <c r="J887" s="10"/>
      <c r="K887" s="10"/>
      <c r="L887" s="10">
        <f ca="1">VLOOKUP(dict_DQ_Meth_max[[#This Row],[ID_DataQualities]],table_DataQualities[],8,FALSE)</f>
        <v>0.104</v>
      </c>
      <c r="M887" s="10">
        <f ca="1">VLOOKUP(dict_DQ_Meth_max[[#This Row],[ID_DataQualities]],table_DataQualities[],9,FALSE)</f>
        <v>6721.3</v>
      </c>
    </row>
    <row r="888" spans="1:13" x14ac:dyDescent="0.45">
      <c r="A888" s="10">
        <v>237</v>
      </c>
      <c r="B888" s="10">
        <v>32</v>
      </c>
      <c r="C8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8" s="10"/>
      <c r="E888" s="10"/>
      <c r="F888" s="12">
        <f ca="1">(RANDBETWEEN(0,50)/100)*(dict_DQ_Meth_max[[#This Row],[Vergleich_ub]]-dict_DQ_Meth_max[[#This Row],[Vergleich_lb]])+dict_DQ_Meth_max[[#This Row],[Vergleich_lb]]</f>
        <v>0.98420000000000007</v>
      </c>
      <c r="G888" s="12">
        <f ca="1">(RANDBETWEEN(50,100)/100)*(dict_DQ_Meth_max[[#This Row],[Vergleich_ub]]-dict_DQ_Meth_max[[#This Row],[Vergleich_lb]])+dict_DQ_Meth_max[[#This Row],[Vergleich_lb]]</f>
        <v>1.9916899999999997</v>
      </c>
      <c r="H888" s="11" t="str">
        <f ca="1">VLOOKUP(VLOOKUP(dict_DQ_Meth_max[[#This Row],[ID_DataQualities]],table_DataQualities[],3),table_Units[],2)</f>
        <v>+/- mm</v>
      </c>
      <c r="I888" s="10"/>
      <c r="J888" s="10"/>
      <c r="K888" s="10"/>
      <c r="L888" s="10">
        <f ca="1">VLOOKUP(dict_DQ_Meth_max[[#This Row],[ID_DataQualities]],table_DataQualities[],8,FALSE)</f>
        <v>4.7E-2</v>
      </c>
      <c r="M888" s="10">
        <f ca="1">VLOOKUP(dict_DQ_Meth_max[[#This Row],[ID_DataQualities]],table_DataQualities[],9,FALSE)</f>
        <v>2.39</v>
      </c>
    </row>
    <row r="889" spans="1:13" x14ac:dyDescent="0.45">
      <c r="A889" s="10">
        <v>237</v>
      </c>
      <c r="B889" s="10">
        <v>368</v>
      </c>
      <c r="C8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89" s="10"/>
      <c r="E889" s="10"/>
      <c r="F889" s="12">
        <f ca="1">(RANDBETWEEN(0,50)/100)*(dict_DQ_Meth_max[[#This Row],[Vergleich_ub]]-dict_DQ_Meth_max[[#This Row],[Vergleich_lb]])+dict_DQ_Meth_max[[#This Row],[Vergleich_lb]]</f>
        <v>0.91391</v>
      </c>
      <c r="G889" s="12">
        <f ca="1">(RANDBETWEEN(50,100)/100)*(dict_DQ_Meth_max[[#This Row],[Vergleich_ub]]-dict_DQ_Meth_max[[#This Row],[Vergleich_lb]])+dict_DQ_Meth_max[[#This Row],[Vergleich_lb]]</f>
        <v>2.2025600000000001</v>
      </c>
      <c r="H889" s="11" t="str">
        <f ca="1">VLOOKUP(VLOOKUP(dict_DQ_Meth_max[[#This Row],[ID_DataQualities]],table_DataQualities[],3),table_Units[],2)</f>
        <v>+/- mm</v>
      </c>
      <c r="I889" s="10"/>
      <c r="J889" s="10"/>
      <c r="K889" s="10"/>
      <c r="L889" s="10">
        <f ca="1">VLOOKUP(dict_DQ_Meth_max[[#This Row],[ID_DataQualities]],table_DataQualities[],8,FALSE)</f>
        <v>4.7E-2</v>
      </c>
      <c r="M889" s="10">
        <f ca="1">VLOOKUP(dict_DQ_Meth_max[[#This Row],[ID_DataQualities]],table_DataQualities[],9,FALSE)</f>
        <v>2.39</v>
      </c>
    </row>
    <row r="890" spans="1:13" x14ac:dyDescent="0.45">
      <c r="A890" s="10">
        <v>237</v>
      </c>
      <c r="B890" s="10">
        <v>601</v>
      </c>
      <c r="C8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0" s="10"/>
      <c r="E890" s="10"/>
      <c r="F890" s="12">
        <f ca="1">(RANDBETWEEN(0,50)/100)*(dict_DQ_Meth_max[[#This Row],[Vergleich_ub]]-dict_DQ_Meth_max[[#This Row],[Vergleich_lb]])+dict_DQ_Meth_max[[#This Row],[Vergleich_lb]]</f>
        <v>0.14072000000000001</v>
      </c>
      <c r="G890" s="12">
        <f ca="1">(RANDBETWEEN(50,100)/100)*(dict_DQ_Meth_max[[#This Row],[Vergleich_ub]]-dict_DQ_Meth_max[[#This Row],[Vergleich_lb]])+dict_DQ_Meth_max[[#This Row],[Vergleich_lb]]</f>
        <v>1.59338</v>
      </c>
      <c r="H890" s="11" t="str">
        <f ca="1">VLOOKUP(VLOOKUP(dict_DQ_Meth_max[[#This Row],[ID_DataQualities]],table_DataQualities[],3),table_Units[],2)</f>
        <v>+/- mm</v>
      </c>
      <c r="I890" s="10"/>
      <c r="J890" s="10"/>
      <c r="K890" s="10"/>
      <c r="L890" s="10">
        <f ca="1">VLOOKUP(dict_DQ_Meth_max[[#This Row],[ID_DataQualities]],table_DataQualities[],8,FALSE)</f>
        <v>4.7E-2</v>
      </c>
      <c r="M890" s="10">
        <f ca="1">VLOOKUP(dict_DQ_Meth_max[[#This Row],[ID_DataQualities]],table_DataQualities[],9,FALSE)</f>
        <v>2.39</v>
      </c>
    </row>
    <row r="891" spans="1:13" x14ac:dyDescent="0.45">
      <c r="A891" s="10">
        <v>237</v>
      </c>
      <c r="B891" s="10">
        <v>583</v>
      </c>
      <c r="C8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1" s="10"/>
      <c r="E891" s="10"/>
      <c r="F891" s="12">
        <f ca="1">(RANDBETWEEN(0,50)/100)*(dict_DQ_Meth_max[[#This Row],[Vergleich_ub]]-dict_DQ_Meth_max[[#This Row],[Vergleich_lb]])+dict_DQ_Meth_max[[#This Row],[Vergleich_lb]]</f>
        <v>0.18757999999999997</v>
      </c>
      <c r="G891" s="12">
        <f ca="1">(RANDBETWEEN(50,100)/100)*(dict_DQ_Meth_max[[#This Row],[Vergleich_ub]]-dict_DQ_Meth_max[[#This Row],[Vergleich_lb]])+dict_DQ_Meth_max[[#This Row],[Vergleich_lb]]</f>
        <v>1.9916899999999997</v>
      </c>
      <c r="H891" s="11" t="str">
        <f ca="1">VLOOKUP(VLOOKUP(dict_DQ_Meth_max[[#This Row],[ID_DataQualities]],table_DataQualities[],3),table_Units[],2)</f>
        <v>+/- mm</v>
      </c>
      <c r="I891" s="10"/>
      <c r="J891" s="10"/>
      <c r="K891" s="10"/>
      <c r="L891" s="10">
        <f ca="1">VLOOKUP(dict_DQ_Meth_max[[#This Row],[ID_DataQualities]],table_DataQualities[],8,FALSE)</f>
        <v>4.7E-2</v>
      </c>
      <c r="M891" s="10">
        <f ca="1">VLOOKUP(dict_DQ_Meth_max[[#This Row],[ID_DataQualities]],table_DataQualities[],9,FALSE)</f>
        <v>2.39</v>
      </c>
    </row>
    <row r="892" spans="1:13" x14ac:dyDescent="0.45">
      <c r="A892" s="10">
        <v>238</v>
      </c>
      <c r="B892" s="10">
        <v>119</v>
      </c>
      <c r="C8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2" s="10"/>
      <c r="E892" s="10"/>
      <c r="F892" s="12">
        <f ca="1">(RANDBETWEEN(0,50)/100)*(dict_DQ_Meth_max[[#This Row],[Vergleich_ub]]-dict_DQ_Meth_max[[#This Row],[Vergleich_lb]])+dict_DQ_Meth_max[[#This Row],[Vergleich_lb]]</f>
        <v>1130.39597</v>
      </c>
      <c r="G892" s="12">
        <f ca="1">(RANDBETWEEN(50,100)/100)*(dict_DQ_Meth_max[[#This Row],[Vergleich_ub]]-dict_DQ_Meth_max[[#This Row],[Vergleich_lb]])+dict_DQ_Meth_max[[#This Row],[Vergleich_lb]]</f>
        <v>1791.9840500000003</v>
      </c>
      <c r="H892" s="11" t="str">
        <f ca="1">VLOOKUP(VLOOKUP(dict_DQ_Meth_max[[#This Row],[ID_DataQualities]],table_DataQualities[],3),table_Units[],2)</f>
        <v>Hz</v>
      </c>
      <c r="I892" s="10"/>
      <c r="J892" s="10"/>
      <c r="K892" s="10"/>
      <c r="L892" s="10">
        <f ca="1">VLOOKUP(dict_DQ_Meth_max[[#This Row],[ID_DataQualities]],table_DataQualities[],8,FALSE)</f>
        <v>0.183</v>
      </c>
      <c r="M892" s="10">
        <f ca="1">VLOOKUP(dict_DQ_Meth_max[[#This Row],[ID_DataQualities]],table_DataQualities[],9,FALSE)</f>
        <v>2756.8</v>
      </c>
    </row>
    <row r="893" spans="1:13" x14ac:dyDescent="0.45">
      <c r="A893" s="10">
        <v>238</v>
      </c>
      <c r="B893" s="10">
        <v>606</v>
      </c>
      <c r="C8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3" s="10"/>
      <c r="E893" s="10"/>
      <c r="F893" s="12">
        <f ca="1">(RANDBETWEEN(0,50)/100)*(dict_DQ_Meth_max[[#This Row],[Vergleich_ub]]-dict_DQ_Meth_max[[#This Row],[Vergleich_lb]])+dict_DQ_Meth_max[[#This Row],[Vergleich_lb]]</f>
        <v>248.27852999999999</v>
      </c>
      <c r="G893" s="12">
        <f ca="1">(RANDBETWEEN(50,100)/100)*(dict_DQ_Meth_max[[#This Row],[Vergleich_ub]]-dict_DQ_Meth_max[[#This Row],[Vergleich_lb]])+dict_DQ_Meth_max[[#This Row],[Vergleich_lb]]</f>
        <v>1488.7561800000001</v>
      </c>
      <c r="H893" s="11" t="str">
        <f ca="1">VLOOKUP(VLOOKUP(dict_DQ_Meth_max[[#This Row],[ID_DataQualities]],table_DataQualities[],3),table_Units[],2)</f>
        <v>Hz</v>
      </c>
      <c r="I893" s="10"/>
      <c r="J893" s="10"/>
      <c r="K893" s="10"/>
      <c r="L893" s="10">
        <f ca="1">VLOOKUP(dict_DQ_Meth_max[[#This Row],[ID_DataQualities]],table_DataQualities[],8,FALSE)</f>
        <v>0.183</v>
      </c>
      <c r="M893" s="10">
        <f ca="1">VLOOKUP(dict_DQ_Meth_max[[#This Row],[ID_DataQualities]],table_DataQualities[],9,FALSE)</f>
        <v>2756.8</v>
      </c>
    </row>
    <row r="894" spans="1:13" x14ac:dyDescent="0.45">
      <c r="A894" s="10">
        <v>238</v>
      </c>
      <c r="B894" s="10">
        <v>103</v>
      </c>
      <c r="C8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4" s="10"/>
      <c r="E894" s="10"/>
      <c r="F894" s="12">
        <f ca="1">(RANDBETWEEN(0,50)/100)*(dict_DQ_Meth_max[[#This Row],[Vergleich_ub]]-dict_DQ_Meth_max[[#This Row],[Vergleich_lb]])+dict_DQ_Meth_max[[#This Row],[Vergleich_lb]]</f>
        <v>909.86661000000015</v>
      </c>
      <c r="G894" s="12">
        <f ca="1">(RANDBETWEEN(50,100)/100)*(dict_DQ_Meth_max[[#This Row],[Vergleich_ub]]-dict_DQ_Meth_max[[#This Row],[Vergleich_lb]])+dict_DQ_Meth_max[[#This Row],[Vergleich_lb]]</f>
        <v>2122.7780900000002</v>
      </c>
      <c r="H894" s="11" t="str">
        <f ca="1">VLOOKUP(VLOOKUP(dict_DQ_Meth_max[[#This Row],[ID_DataQualities]],table_DataQualities[],3),table_Units[],2)</f>
        <v>Hz</v>
      </c>
      <c r="I894" s="10"/>
      <c r="J894" s="10"/>
      <c r="K894" s="10"/>
      <c r="L894" s="10">
        <f ca="1">VLOOKUP(dict_DQ_Meth_max[[#This Row],[ID_DataQualities]],table_DataQualities[],8,FALSE)</f>
        <v>0.183</v>
      </c>
      <c r="M894" s="10">
        <f ca="1">VLOOKUP(dict_DQ_Meth_max[[#This Row],[ID_DataQualities]],table_DataQualities[],9,FALSE)</f>
        <v>2756.8</v>
      </c>
    </row>
    <row r="895" spans="1:13" x14ac:dyDescent="0.45">
      <c r="A895" s="10">
        <v>239</v>
      </c>
      <c r="B895" s="10">
        <v>119</v>
      </c>
      <c r="C8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5" s="10"/>
      <c r="E895" s="10"/>
      <c r="F895" s="12">
        <f ca="1">(RANDBETWEEN(0,50)/100)*(dict_DQ_Meth_max[[#This Row],[Vergleich_ub]]-dict_DQ_Meth_max[[#This Row],[Vergleich_lb]])+dict_DQ_Meth_max[[#This Row],[Vergleich_lb]]</f>
        <v>1.6320000000000001</v>
      </c>
      <c r="G895" s="12">
        <f ca="1">(RANDBETWEEN(50,100)/100)*(dict_DQ_Meth_max[[#This Row],[Vergleich_ub]]-dict_DQ_Meth_max[[#This Row],[Vergleich_lb]])+dict_DQ_Meth_max[[#This Row],[Vergleich_lb]]</f>
        <v>7.2552000000000012</v>
      </c>
      <c r="H895" s="11" t="str">
        <f ca="1">VLOOKUP(VLOOKUP(dict_DQ_Meth_max[[#This Row],[ID_DataQualities]],table_DataQualities[],3),table_Units[],2)</f>
        <v>+/- mm/s</v>
      </c>
      <c r="I895" s="10"/>
      <c r="J895" s="10"/>
      <c r="K895" s="10"/>
      <c r="L895" s="10">
        <f ca="1">VLOOKUP(dict_DQ_Meth_max[[#This Row],[ID_DataQualities]],table_DataQualities[],8,FALSE)</f>
        <v>0.78</v>
      </c>
      <c r="M895" s="10">
        <f ca="1">VLOOKUP(dict_DQ_Meth_max[[#This Row],[ID_DataQualities]],table_DataQualities[],9,FALSE)</f>
        <v>9.3000000000000007</v>
      </c>
    </row>
    <row r="896" spans="1:13" x14ac:dyDescent="0.45">
      <c r="A896" s="10">
        <v>239</v>
      </c>
      <c r="B896" s="10">
        <v>606</v>
      </c>
      <c r="C8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6" s="10"/>
      <c r="E896" s="10"/>
      <c r="F896" s="12">
        <f ca="1">(RANDBETWEEN(0,50)/100)*(dict_DQ_Meth_max[[#This Row],[Vergleich_ub]]-dict_DQ_Meth_max[[#This Row],[Vergleich_lb]])+dict_DQ_Meth_max[[#This Row],[Vergleich_lb]]</f>
        <v>1.2060000000000002</v>
      </c>
      <c r="G896" s="12">
        <f ca="1">(RANDBETWEEN(50,100)/100)*(dict_DQ_Meth_max[[#This Row],[Vergleich_ub]]-dict_DQ_Meth_max[[#This Row],[Vergleich_lb]])+dict_DQ_Meth_max[[#This Row],[Vergleich_lb]]</f>
        <v>8.6184000000000012</v>
      </c>
      <c r="H896" s="11" t="str">
        <f ca="1">VLOOKUP(VLOOKUP(dict_DQ_Meth_max[[#This Row],[ID_DataQualities]],table_DataQualities[],3),table_Units[],2)</f>
        <v>+/- mm/s</v>
      </c>
      <c r="I896" s="10"/>
      <c r="J896" s="10"/>
      <c r="K896" s="10"/>
      <c r="L896" s="10">
        <f ca="1">VLOOKUP(dict_DQ_Meth_max[[#This Row],[ID_DataQualities]],table_DataQualities[],8,FALSE)</f>
        <v>0.78</v>
      </c>
      <c r="M896" s="10">
        <f ca="1">VLOOKUP(dict_DQ_Meth_max[[#This Row],[ID_DataQualities]],table_DataQualities[],9,FALSE)</f>
        <v>9.3000000000000007</v>
      </c>
    </row>
    <row r="897" spans="1:13" x14ac:dyDescent="0.45">
      <c r="A897" s="10">
        <v>239</v>
      </c>
      <c r="B897" s="10">
        <v>103</v>
      </c>
      <c r="C8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7" s="10"/>
      <c r="E897" s="10"/>
      <c r="F897" s="12">
        <f ca="1">(RANDBETWEEN(0,50)/100)*(dict_DQ_Meth_max[[#This Row],[Vergleich_ub]]-dict_DQ_Meth_max[[#This Row],[Vergleich_lb]])+dict_DQ_Meth_max[[#This Row],[Vergleich_lb]]</f>
        <v>2.3988000000000005</v>
      </c>
      <c r="G897" s="12">
        <f ca="1">(RANDBETWEEN(50,100)/100)*(dict_DQ_Meth_max[[#This Row],[Vergleich_ub]]-dict_DQ_Meth_max[[#This Row],[Vergleich_lb]])+dict_DQ_Meth_max[[#This Row],[Vergleich_lb]]</f>
        <v>8.1072000000000006</v>
      </c>
      <c r="H897" s="11" t="str">
        <f ca="1">VLOOKUP(VLOOKUP(dict_DQ_Meth_max[[#This Row],[ID_DataQualities]],table_DataQualities[],3),table_Units[],2)</f>
        <v>+/- mm/s</v>
      </c>
      <c r="I897" s="10"/>
      <c r="J897" s="10"/>
      <c r="K897" s="10"/>
      <c r="L897" s="10">
        <f ca="1">VLOOKUP(dict_DQ_Meth_max[[#This Row],[ID_DataQualities]],table_DataQualities[],8,FALSE)</f>
        <v>0.78</v>
      </c>
      <c r="M897" s="10">
        <f ca="1">VLOOKUP(dict_DQ_Meth_max[[#This Row],[ID_DataQualities]],table_DataQualities[],9,FALSE)</f>
        <v>9.3000000000000007</v>
      </c>
    </row>
    <row r="898" spans="1:13" x14ac:dyDescent="0.45">
      <c r="A898" s="10">
        <v>240</v>
      </c>
      <c r="B898" s="10">
        <v>666</v>
      </c>
      <c r="C8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8" s="10"/>
      <c r="E898" s="10"/>
      <c r="F898" s="12">
        <f ca="1">(RANDBETWEEN(0,50)/100)*(dict_DQ_Meth_max[[#This Row],[Vergleich_ub]]-dict_DQ_Meth_max[[#This Row],[Vergleich_lb]])+dict_DQ_Meth_max[[#This Row],[Vergleich_lb]]</f>
        <v>159.46064000000001</v>
      </c>
      <c r="G898" s="12">
        <f ca="1">(RANDBETWEEN(50,100)/100)*(dict_DQ_Meth_max[[#This Row],[Vergleich_ub]]-dict_DQ_Meth_max[[#This Row],[Vergleich_lb]])+dict_DQ_Meth_max[[#This Row],[Vergleich_lb]]</f>
        <v>766.65708000000006</v>
      </c>
      <c r="H898" s="11" t="str">
        <f ca="1">VLOOKUP(VLOOKUP(dict_DQ_Meth_max[[#This Row],[ID_DataQualities]],table_DataQualities[],3),table_Units[],2)</f>
        <v>Hz</v>
      </c>
      <c r="I898" s="10"/>
      <c r="J898" s="10"/>
      <c r="K898" s="10"/>
      <c r="L898" s="10">
        <f ca="1">VLOOKUP(dict_DQ_Meth_max[[#This Row],[ID_DataQualities]],table_DataQualities[],8,FALSE)</f>
        <v>0.19600000000000001</v>
      </c>
      <c r="M898" s="10">
        <f ca="1">VLOOKUP(dict_DQ_Meth_max[[#This Row],[ID_DataQualities]],table_DataQualities[],9,FALSE)</f>
        <v>995.6</v>
      </c>
    </row>
    <row r="899" spans="1:13" x14ac:dyDescent="0.45">
      <c r="A899" s="10">
        <v>240</v>
      </c>
      <c r="B899" s="10">
        <v>443</v>
      </c>
      <c r="C8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899" s="10"/>
      <c r="E899" s="10"/>
      <c r="F899" s="12">
        <f ca="1">(RANDBETWEEN(0,50)/100)*(dict_DQ_Meth_max[[#This Row],[Vergleich_ub]]-dict_DQ_Meth_max[[#This Row],[Vergleich_lb]])+dict_DQ_Meth_max[[#This Row],[Vergleich_lb]]</f>
        <v>199.27680000000001</v>
      </c>
      <c r="G899" s="12">
        <f ca="1">(RANDBETWEEN(50,100)/100)*(dict_DQ_Meth_max[[#This Row],[Vergleich_ub]]-dict_DQ_Meth_max[[#This Row],[Vergleich_lb]])+dict_DQ_Meth_max[[#This Row],[Vergleich_lb]]</f>
        <v>597.4384</v>
      </c>
      <c r="H899" s="11" t="str">
        <f ca="1">VLOOKUP(VLOOKUP(dict_DQ_Meth_max[[#This Row],[ID_DataQualities]],table_DataQualities[],3),table_Units[],2)</f>
        <v>Hz</v>
      </c>
      <c r="I899" s="10"/>
      <c r="J899" s="10"/>
      <c r="K899" s="10"/>
      <c r="L899" s="10">
        <f ca="1">VLOOKUP(dict_DQ_Meth_max[[#This Row],[ID_DataQualities]],table_DataQualities[],8,FALSE)</f>
        <v>0.19600000000000001</v>
      </c>
      <c r="M899" s="10">
        <f ca="1">VLOOKUP(dict_DQ_Meth_max[[#This Row],[ID_DataQualities]],table_DataQualities[],9,FALSE)</f>
        <v>995.6</v>
      </c>
    </row>
    <row r="900" spans="1:13" x14ac:dyDescent="0.45">
      <c r="A900" s="10">
        <v>240</v>
      </c>
      <c r="B900" s="10">
        <v>281</v>
      </c>
      <c r="C9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0" s="10"/>
      <c r="E900" s="10"/>
      <c r="F900" s="12">
        <f ca="1">(RANDBETWEEN(0,50)/100)*(dict_DQ_Meth_max[[#This Row],[Vergleich_ub]]-dict_DQ_Meth_max[[#This Row],[Vergleich_lb]])+dict_DQ_Meth_max[[#This Row],[Vergleich_lb]]</f>
        <v>219.18487999999999</v>
      </c>
      <c r="G900" s="12">
        <f ca="1">(RANDBETWEEN(50,100)/100)*(dict_DQ_Meth_max[[#This Row],[Vergleich_ub]]-dict_DQ_Meth_max[[#This Row],[Vergleich_lb]])+dict_DQ_Meth_max[[#This Row],[Vergleich_lb]]</f>
        <v>647.20860000000005</v>
      </c>
      <c r="H900" s="11" t="str">
        <f ca="1">VLOOKUP(VLOOKUP(dict_DQ_Meth_max[[#This Row],[ID_DataQualities]],table_DataQualities[],3),table_Units[],2)</f>
        <v>Hz</v>
      </c>
      <c r="I900" s="10"/>
      <c r="J900" s="10"/>
      <c r="K900" s="10"/>
      <c r="L900" s="10">
        <f ca="1">VLOOKUP(dict_DQ_Meth_max[[#This Row],[ID_DataQualities]],table_DataQualities[],8,FALSE)</f>
        <v>0.19600000000000001</v>
      </c>
      <c r="M900" s="10">
        <f ca="1">VLOOKUP(dict_DQ_Meth_max[[#This Row],[ID_DataQualities]],table_DataQualities[],9,FALSE)</f>
        <v>995.6</v>
      </c>
    </row>
    <row r="901" spans="1:13" x14ac:dyDescent="0.45">
      <c r="A901" s="10">
        <v>240</v>
      </c>
      <c r="B901" s="10">
        <v>223</v>
      </c>
      <c r="C9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1" s="10"/>
      <c r="E901" s="10"/>
      <c r="F901" s="12">
        <f ca="1">(RANDBETWEEN(0,50)/100)*(dict_DQ_Meth_max[[#This Row],[Vergleich_ub]]-dict_DQ_Meth_max[[#This Row],[Vergleich_lb]])+dict_DQ_Meth_max[[#This Row],[Vergleich_lb]]</f>
        <v>268.95508000000007</v>
      </c>
      <c r="G901" s="12">
        <f ca="1">(RANDBETWEEN(50,100)/100)*(dict_DQ_Meth_max[[#This Row],[Vergleich_ub]]-dict_DQ_Meth_max[[#This Row],[Vergleich_lb]])+dict_DQ_Meth_max[[#This Row],[Vergleich_lb]]</f>
        <v>915.96768000000009</v>
      </c>
      <c r="H901" s="11" t="str">
        <f ca="1">VLOOKUP(VLOOKUP(dict_DQ_Meth_max[[#This Row],[ID_DataQualities]],table_DataQualities[],3),table_Units[],2)</f>
        <v>Hz</v>
      </c>
      <c r="I901" s="10"/>
      <c r="J901" s="10"/>
      <c r="K901" s="10"/>
      <c r="L901" s="10">
        <f ca="1">VLOOKUP(dict_DQ_Meth_max[[#This Row],[ID_DataQualities]],table_DataQualities[],8,FALSE)</f>
        <v>0.19600000000000001</v>
      </c>
      <c r="M901" s="10">
        <f ca="1">VLOOKUP(dict_DQ_Meth_max[[#This Row],[ID_DataQualities]],table_DataQualities[],9,FALSE)</f>
        <v>995.6</v>
      </c>
    </row>
    <row r="902" spans="1:13" x14ac:dyDescent="0.45">
      <c r="A902" s="10">
        <v>241</v>
      </c>
      <c r="B902" s="10">
        <v>666</v>
      </c>
      <c r="C9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2" s="10"/>
      <c r="E902" s="10"/>
      <c r="F902" s="12">
        <f ca="1">(RANDBETWEEN(0,50)/100)*(dict_DQ_Meth_max[[#This Row],[Vergleich_ub]]-dict_DQ_Meth_max[[#This Row],[Vergleich_lb]])+dict_DQ_Meth_max[[#This Row],[Vergleich_lb]]</f>
        <v>660.01</v>
      </c>
      <c r="G902" s="12">
        <f ca="1">(RANDBETWEEN(50,100)/100)*(dict_DQ_Meth_max[[#This Row],[Vergleich_ub]]-dict_DQ_Meth_max[[#This Row],[Vergleich_lb]])+dict_DQ_Meth_max[[#This Row],[Vergleich_lb]]</f>
        <v>816.85</v>
      </c>
      <c r="H902" s="11" t="str">
        <f ca="1">VLOOKUP(VLOOKUP(dict_DQ_Meth_max[[#This Row],[ID_DataQualities]],table_DataQualities[],3),table_Units[],2)</f>
        <v>bit</v>
      </c>
      <c r="I902" s="10"/>
      <c r="J902" s="10"/>
      <c r="K902" s="10"/>
      <c r="L902" s="10">
        <f ca="1">VLOOKUP(dict_DQ_Meth_max[[#This Row],[ID_DataQualities]],table_DataQualities[],8,FALSE)</f>
        <v>98</v>
      </c>
      <c r="M902" s="10">
        <f ca="1">VLOOKUP(dict_DQ_Meth_max[[#This Row],[ID_DataQualities]],table_DataQualities[],9,FALSE)</f>
        <v>1405</v>
      </c>
    </row>
    <row r="903" spans="1:13" x14ac:dyDescent="0.45">
      <c r="A903" s="10">
        <v>241</v>
      </c>
      <c r="B903" s="10">
        <v>443</v>
      </c>
      <c r="C9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3" s="10"/>
      <c r="E903" s="10"/>
      <c r="F903" s="12">
        <f ca="1">(RANDBETWEEN(0,50)/100)*(dict_DQ_Meth_max[[#This Row],[Vergleich_ub]]-dict_DQ_Meth_max[[#This Row],[Vergleich_lb]])+dict_DQ_Meth_max[[#This Row],[Vergleich_lb]]</f>
        <v>163.35000000000002</v>
      </c>
      <c r="G903" s="12">
        <f ca="1">(RANDBETWEEN(50,100)/100)*(dict_DQ_Meth_max[[#This Row],[Vergleich_ub]]-dict_DQ_Meth_max[[#This Row],[Vergleich_lb]])+dict_DQ_Meth_max[[#This Row],[Vergleich_lb]]</f>
        <v>764.57</v>
      </c>
      <c r="H903" s="11" t="str">
        <f ca="1">VLOOKUP(VLOOKUP(dict_DQ_Meth_max[[#This Row],[ID_DataQualities]],table_DataQualities[],3),table_Units[],2)</f>
        <v>bit</v>
      </c>
      <c r="I903" s="10"/>
      <c r="J903" s="10"/>
      <c r="K903" s="10"/>
      <c r="L903" s="10">
        <f ca="1">VLOOKUP(dict_DQ_Meth_max[[#This Row],[ID_DataQualities]],table_DataQualities[],8,FALSE)</f>
        <v>98</v>
      </c>
      <c r="M903" s="10">
        <f ca="1">VLOOKUP(dict_DQ_Meth_max[[#This Row],[ID_DataQualities]],table_DataQualities[],9,FALSE)</f>
        <v>1405</v>
      </c>
    </row>
    <row r="904" spans="1:13" x14ac:dyDescent="0.45">
      <c r="A904" s="10">
        <v>241</v>
      </c>
      <c r="B904" s="10">
        <v>281</v>
      </c>
      <c r="C9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4" s="10"/>
      <c r="E904" s="10"/>
      <c r="F904" s="12">
        <f ca="1">(RANDBETWEEN(0,50)/100)*(dict_DQ_Meth_max[[#This Row],[Vergleich_ub]]-dict_DQ_Meth_max[[#This Row],[Vergleich_lb]])+dict_DQ_Meth_max[[#This Row],[Vergleich_lb]]</f>
        <v>463.96000000000004</v>
      </c>
      <c r="G904" s="12">
        <f ca="1">(RANDBETWEEN(50,100)/100)*(dict_DQ_Meth_max[[#This Row],[Vergleich_ub]]-dict_DQ_Meth_max[[#This Row],[Vergleich_lb]])+dict_DQ_Meth_max[[#This Row],[Vergleich_lb]]</f>
        <v>1405</v>
      </c>
      <c r="H904" s="11" t="str">
        <f ca="1">VLOOKUP(VLOOKUP(dict_DQ_Meth_max[[#This Row],[ID_DataQualities]],table_DataQualities[],3),table_Units[],2)</f>
        <v>bit</v>
      </c>
      <c r="I904" s="10"/>
      <c r="J904" s="10"/>
      <c r="K904" s="10"/>
      <c r="L904" s="10">
        <f ca="1">VLOOKUP(dict_DQ_Meth_max[[#This Row],[ID_DataQualities]],table_DataQualities[],8,FALSE)</f>
        <v>98</v>
      </c>
      <c r="M904" s="10">
        <f ca="1">VLOOKUP(dict_DQ_Meth_max[[#This Row],[ID_DataQualities]],table_DataQualities[],9,FALSE)</f>
        <v>1405</v>
      </c>
    </row>
    <row r="905" spans="1:13" x14ac:dyDescent="0.45">
      <c r="A905" s="10">
        <v>241</v>
      </c>
      <c r="B905" s="10">
        <v>223</v>
      </c>
      <c r="C9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5" s="10"/>
      <c r="E905" s="10"/>
      <c r="F905" s="12">
        <f ca="1">(RANDBETWEEN(0,50)/100)*(dict_DQ_Meth_max[[#This Row],[Vergleich_ub]]-dict_DQ_Meth_max[[#This Row],[Vergleich_lb]])+dict_DQ_Meth_max[[#This Row],[Vergleich_lb]]</f>
        <v>503.17</v>
      </c>
      <c r="G905" s="12">
        <f ca="1">(RANDBETWEEN(50,100)/100)*(dict_DQ_Meth_max[[#This Row],[Vergleich_ub]]-dict_DQ_Meth_max[[#This Row],[Vergleich_lb]])+dict_DQ_Meth_max[[#This Row],[Vergleich_lb]]</f>
        <v>1222.02</v>
      </c>
      <c r="H905" s="11" t="str">
        <f ca="1">VLOOKUP(VLOOKUP(dict_DQ_Meth_max[[#This Row],[ID_DataQualities]],table_DataQualities[],3),table_Units[],2)</f>
        <v>bit</v>
      </c>
      <c r="I905" s="10"/>
      <c r="J905" s="10"/>
      <c r="K905" s="10"/>
      <c r="L905" s="10">
        <f ca="1">VLOOKUP(dict_DQ_Meth_max[[#This Row],[ID_DataQualities]],table_DataQualities[],8,FALSE)</f>
        <v>98</v>
      </c>
      <c r="M905" s="10">
        <f ca="1">VLOOKUP(dict_DQ_Meth_max[[#This Row],[ID_DataQualities]],table_DataQualities[],9,FALSE)</f>
        <v>1405</v>
      </c>
    </row>
    <row r="906" spans="1:13" x14ac:dyDescent="0.45">
      <c r="A906" s="10">
        <v>242</v>
      </c>
      <c r="B906" s="10">
        <v>55</v>
      </c>
      <c r="C9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6" s="10"/>
      <c r="E906" s="10"/>
      <c r="F906" s="12">
        <f ca="1">(RANDBETWEEN(0,50)/100)*(dict_DQ_Meth_max[[#This Row],[Vergleich_ub]]-dict_DQ_Meth_max[[#This Row],[Vergleich_lb]])+dict_DQ_Meth_max[[#This Row],[Vergleich_lb]]</f>
        <v>665.36067000000003</v>
      </c>
      <c r="G906" s="12">
        <f ca="1">(RANDBETWEEN(50,100)/100)*(dict_DQ_Meth_max[[#This Row],[Vergleich_ub]]-dict_DQ_Meth_max[[#This Row],[Vergleich_lb]])+dict_DQ_Meth_max[[#This Row],[Vergleich_lb]]</f>
        <v>7318.7773699999998</v>
      </c>
      <c r="H906" s="11" t="str">
        <f ca="1">VLOOKUP(VLOOKUP(dict_DQ_Meth_max[[#This Row],[ID_DataQualities]],table_DataQualities[],3),table_Units[],2)</f>
        <v>Hz</v>
      </c>
      <c r="I906" s="10"/>
      <c r="J906" s="10"/>
      <c r="K906" s="10"/>
      <c r="L906" s="10">
        <f ca="1">VLOOKUP(dict_DQ_Meth_max[[#This Row],[ID_DataQualities]],table_DataQualities[],8,FALSE)</f>
        <v>1.9E-2</v>
      </c>
      <c r="M906" s="10">
        <f ca="1">VLOOKUP(dict_DQ_Meth_max[[#This Row],[ID_DataQualities]],table_DataQualities[],9,FALSE)</f>
        <v>9504.9</v>
      </c>
    </row>
    <row r="907" spans="1:13" x14ac:dyDescent="0.45">
      <c r="A907" s="10">
        <v>242</v>
      </c>
      <c r="B907" s="10">
        <v>115</v>
      </c>
      <c r="C9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7" s="10"/>
      <c r="E907" s="10"/>
      <c r="F907" s="12">
        <f ca="1">(RANDBETWEEN(0,50)/100)*(dict_DQ_Meth_max[[#This Row],[Vergleich_ub]]-dict_DQ_Meth_max[[#This Row],[Vergleich_lb]])+dict_DQ_Meth_max[[#This Row],[Vergleich_lb]]</f>
        <v>1805.9463899999998</v>
      </c>
      <c r="G907" s="12">
        <f ca="1">(RANDBETWEEN(50,100)/100)*(dict_DQ_Meth_max[[#This Row],[Vergleich_ub]]-dict_DQ_Meth_max[[#This Row],[Vergleich_lb]])+dict_DQ_Meth_max[[#This Row],[Vergleich_lb]]</f>
        <v>5512.84998</v>
      </c>
      <c r="H907" s="11" t="str">
        <f ca="1">VLOOKUP(VLOOKUP(dict_DQ_Meth_max[[#This Row],[ID_DataQualities]],table_DataQualities[],3),table_Units[],2)</f>
        <v>Hz</v>
      </c>
      <c r="I907" s="10"/>
      <c r="J907" s="10"/>
      <c r="K907" s="10"/>
      <c r="L907" s="10">
        <f ca="1">VLOOKUP(dict_DQ_Meth_max[[#This Row],[ID_DataQualities]],table_DataQualities[],8,FALSE)</f>
        <v>1.9E-2</v>
      </c>
      <c r="M907" s="10">
        <f ca="1">VLOOKUP(dict_DQ_Meth_max[[#This Row],[ID_DataQualities]],table_DataQualities[],9,FALSE)</f>
        <v>9504.9</v>
      </c>
    </row>
    <row r="908" spans="1:13" x14ac:dyDescent="0.45">
      <c r="A908" s="10">
        <v>242</v>
      </c>
      <c r="B908" s="10">
        <v>46</v>
      </c>
      <c r="C9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8" s="10"/>
      <c r="E908" s="10"/>
      <c r="F908" s="12">
        <f ca="1">(RANDBETWEEN(0,50)/100)*(dict_DQ_Meth_max[[#This Row],[Vergleich_ub]]-dict_DQ_Meth_max[[#This Row],[Vergleich_lb]])+dict_DQ_Meth_max[[#This Row],[Vergleich_lb]]</f>
        <v>3136.6297299999997</v>
      </c>
      <c r="G908" s="12">
        <f ca="1">(RANDBETWEEN(50,100)/100)*(dict_DQ_Meth_max[[#This Row],[Vergleich_ub]]-dict_DQ_Meth_max[[#This Row],[Vergleich_lb]])+dict_DQ_Meth_max[[#This Row],[Vergleich_lb]]</f>
        <v>9124.7047599999987</v>
      </c>
      <c r="H908" s="11" t="str">
        <f ca="1">VLOOKUP(VLOOKUP(dict_DQ_Meth_max[[#This Row],[ID_DataQualities]],table_DataQualities[],3),table_Units[],2)</f>
        <v>Hz</v>
      </c>
      <c r="I908" s="10"/>
      <c r="J908" s="10"/>
      <c r="K908" s="10"/>
      <c r="L908" s="10">
        <f ca="1">VLOOKUP(dict_DQ_Meth_max[[#This Row],[ID_DataQualities]],table_DataQualities[],8,FALSE)</f>
        <v>1.9E-2</v>
      </c>
      <c r="M908" s="10">
        <f ca="1">VLOOKUP(dict_DQ_Meth_max[[#This Row],[ID_DataQualities]],table_DataQualities[],9,FALSE)</f>
        <v>9504.9</v>
      </c>
    </row>
    <row r="909" spans="1:13" x14ac:dyDescent="0.45">
      <c r="A909" s="10">
        <v>242</v>
      </c>
      <c r="B909" s="10">
        <v>282</v>
      </c>
      <c r="C9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09" s="10"/>
      <c r="E909" s="10"/>
      <c r="F909" s="12">
        <f ca="1">(RANDBETWEEN(0,50)/100)*(dict_DQ_Meth_max[[#This Row],[Vergleich_ub]]-dict_DQ_Meth_max[[#This Row],[Vergleich_lb]])+dict_DQ_Meth_max[[#This Row],[Vergleich_lb]]</f>
        <v>4657.4106899999997</v>
      </c>
      <c r="G909" s="12">
        <f ca="1">(RANDBETWEEN(50,100)/100)*(dict_DQ_Meth_max[[#This Row],[Vergleich_ub]]-dict_DQ_Meth_max[[#This Row],[Vergleich_lb]])+dict_DQ_Meth_max[[#This Row],[Vergleich_lb]]</f>
        <v>9219.7535699999989</v>
      </c>
      <c r="H909" s="11" t="str">
        <f ca="1">VLOOKUP(VLOOKUP(dict_DQ_Meth_max[[#This Row],[ID_DataQualities]],table_DataQualities[],3),table_Units[],2)</f>
        <v>Hz</v>
      </c>
      <c r="I909" s="10"/>
      <c r="J909" s="10"/>
      <c r="K909" s="10"/>
      <c r="L909" s="10">
        <f ca="1">VLOOKUP(dict_DQ_Meth_max[[#This Row],[ID_DataQualities]],table_DataQualities[],8,FALSE)</f>
        <v>1.9E-2</v>
      </c>
      <c r="M909" s="10">
        <f ca="1">VLOOKUP(dict_DQ_Meth_max[[#This Row],[ID_DataQualities]],table_DataQualities[],9,FALSE)</f>
        <v>9504.9</v>
      </c>
    </row>
    <row r="910" spans="1:13" x14ac:dyDescent="0.45">
      <c r="A910" s="10">
        <v>243</v>
      </c>
      <c r="B910" s="10">
        <v>46</v>
      </c>
      <c r="C9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0" s="10"/>
      <c r="E910" s="10"/>
      <c r="F910" s="12">
        <f ca="1">(RANDBETWEEN(0,50)/100)*(dict_DQ_Meth_max[[#This Row],[Vergleich_ub]]-dict_DQ_Meth_max[[#This Row],[Vergleich_lb]])+dict_DQ_Meth_max[[#This Row],[Vergleich_lb]]</f>
        <v>1039.2</v>
      </c>
      <c r="G910" s="12">
        <f ca="1">(RANDBETWEEN(50,100)/100)*(dict_DQ_Meth_max[[#This Row],[Vergleich_ub]]-dict_DQ_Meth_max[[#This Row],[Vergleich_lb]])+dict_DQ_Meth_max[[#This Row],[Vergleich_lb]]</f>
        <v>6426.4</v>
      </c>
      <c r="H910" s="11" t="str">
        <f ca="1">VLOOKUP(VLOOKUP(dict_DQ_Meth_max[[#This Row],[ID_DataQualities]],table_DataQualities[],3),table_Units[],2)</f>
        <v>bit</v>
      </c>
      <c r="I910" s="10"/>
      <c r="J910" s="10"/>
      <c r="K910" s="10"/>
      <c r="L910" s="10">
        <f ca="1">VLOOKUP(dict_DQ_Meth_max[[#This Row],[ID_DataQualities]],table_DataQualities[],8,FALSE)</f>
        <v>20</v>
      </c>
      <c r="M910" s="10">
        <f ca="1">VLOOKUP(dict_DQ_Meth_max[[#This Row],[ID_DataQualities]],table_DataQualities[],9,FALSE)</f>
        <v>7300</v>
      </c>
    </row>
    <row r="911" spans="1:13" x14ac:dyDescent="0.45">
      <c r="A911" s="10">
        <v>243</v>
      </c>
      <c r="B911" s="10">
        <v>115</v>
      </c>
      <c r="C9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1" s="10"/>
      <c r="E911" s="10"/>
      <c r="F911" s="12">
        <f ca="1">(RANDBETWEEN(0,50)/100)*(dict_DQ_Meth_max[[#This Row],[Vergleich_ub]]-dict_DQ_Meth_max[[#This Row],[Vergleich_lb]])+dict_DQ_Meth_max[[#This Row],[Vergleich_lb]]</f>
        <v>3296</v>
      </c>
      <c r="G911" s="12">
        <f ca="1">(RANDBETWEEN(50,100)/100)*(dict_DQ_Meth_max[[#This Row],[Vergleich_ub]]-dict_DQ_Meth_max[[#This Row],[Vergleich_lb]])+dict_DQ_Meth_max[[#This Row],[Vergleich_lb]]</f>
        <v>6062.4</v>
      </c>
      <c r="H911" s="11" t="str">
        <f ca="1">VLOOKUP(VLOOKUP(dict_DQ_Meth_max[[#This Row],[ID_DataQualities]],table_DataQualities[],3),table_Units[],2)</f>
        <v>bit</v>
      </c>
      <c r="I911" s="10"/>
      <c r="J911" s="10"/>
      <c r="K911" s="10"/>
      <c r="L911" s="10">
        <f ca="1">VLOOKUP(dict_DQ_Meth_max[[#This Row],[ID_DataQualities]],table_DataQualities[],8,FALSE)</f>
        <v>20</v>
      </c>
      <c r="M911" s="10">
        <f ca="1">VLOOKUP(dict_DQ_Meth_max[[#This Row],[ID_DataQualities]],table_DataQualities[],9,FALSE)</f>
        <v>7300</v>
      </c>
    </row>
    <row r="912" spans="1:13" x14ac:dyDescent="0.45">
      <c r="A912" s="10">
        <v>243</v>
      </c>
      <c r="B912" s="10">
        <v>55</v>
      </c>
      <c r="C9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2" s="10"/>
      <c r="E912" s="10"/>
      <c r="F912" s="12">
        <f ca="1">(RANDBETWEEN(0,50)/100)*(dict_DQ_Meth_max[[#This Row],[Vergleich_ub]]-dict_DQ_Meth_max[[#This Row],[Vergleich_lb]])+dict_DQ_Meth_max[[#This Row],[Vergleich_lb]]</f>
        <v>2495.2000000000003</v>
      </c>
      <c r="G912" s="12">
        <f ca="1">(RANDBETWEEN(50,100)/100)*(dict_DQ_Meth_max[[#This Row],[Vergleich_ub]]-dict_DQ_Meth_max[[#This Row],[Vergleich_lb]])+dict_DQ_Meth_max[[#This Row],[Vergleich_lb]]</f>
        <v>5771.2</v>
      </c>
      <c r="H912" s="11" t="str">
        <f ca="1">VLOOKUP(VLOOKUP(dict_DQ_Meth_max[[#This Row],[ID_DataQualities]],table_DataQualities[],3),table_Units[],2)</f>
        <v>bit</v>
      </c>
      <c r="I912" s="10"/>
      <c r="J912" s="10"/>
      <c r="K912" s="10"/>
      <c r="L912" s="10">
        <f ca="1">VLOOKUP(dict_DQ_Meth_max[[#This Row],[ID_DataQualities]],table_DataQualities[],8,FALSE)</f>
        <v>20</v>
      </c>
      <c r="M912" s="10">
        <f ca="1">VLOOKUP(dict_DQ_Meth_max[[#This Row],[ID_DataQualities]],table_DataQualities[],9,FALSE)</f>
        <v>7300</v>
      </c>
    </row>
    <row r="913" spans="1:13" x14ac:dyDescent="0.45">
      <c r="A913" s="10">
        <v>243</v>
      </c>
      <c r="B913" s="10">
        <v>282</v>
      </c>
      <c r="C9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3" s="10"/>
      <c r="E913" s="10"/>
      <c r="F913" s="12">
        <f ca="1">(RANDBETWEEN(0,50)/100)*(dict_DQ_Meth_max[[#This Row],[Vergleich_ub]]-dict_DQ_Meth_max[[#This Row],[Vergleich_lb]])+dict_DQ_Meth_max[[#This Row],[Vergleich_lb]]</f>
        <v>1257.6000000000001</v>
      </c>
      <c r="G913" s="12">
        <f ca="1">(RANDBETWEEN(50,100)/100)*(dict_DQ_Meth_max[[#This Row],[Vergleich_ub]]-dict_DQ_Meth_max[[#This Row],[Vergleich_lb]])+dict_DQ_Meth_max[[#This Row],[Vergleich_lb]]</f>
        <v>6644.8</v>
      </c>
      <c r="H913" s="11" t="str">
        <f ca="1">VLOOKUP(VLOOKUP(dict_DQ_Meth_max[[#This Row],[ID_DataQualities]],table_DataQualities[],3),table_Units[],2)</f>
        <v>bit</v>
      </c>
      <c r="I913" s="10"/>
      <c r="J913" s="10"/>
      <c r="K913" s="10"/>
      <c r="L913" s="10">
        <f ca="1">VLOOKUP(dict_DQ_Meth_max[[#This Row],[ID_DataQualities]],table_DataQualities[],8,FALSE)</f>
        <v>20</v>
      </c>
      <c r="M913" s="10">
        <f ca="1">VLOOKUP(dict_DQ_Meth_max[[#This Row],[ID_DataQualities]],table_DataQualities[],9,FALSE)</f>
        <v>7300</v>
      </c>
    </row>
    <row r="914" spans="1:13" x14ac:dyDescent="0.45">
      <c r="A914" s="10">
        <v>244</v>
      </c>
      <c r="B914" s="10">
        <v>372</v>
      </c>
      <c r="C9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4" s="10"/>
      <c r="E914" s="10"/>
      <c r="F914" s="12">
        <f ca="1">(RANDBETWEEN(0,50)/100)*(dict_DQ_Meth_max[[#This Row],[Vergleich_ub]]-dict_DQ_Meth_max[[#This Row],[Vergleich_lb]])+dict_DQ_Meth_max[[#This Row],[Vergleich_lb]]</f>
        <v>353.36721999999997</v>
      </c>
      <c r="G914" s="12">
        <f ca="1">(RANDBETWEEN(50,100)/100)*(dict_DQ_Meth_max[[#This Row],[Vergleich_ub]]-dict_DQ_Meth_max[[#This Row],[Vergleich_lb]])+dict_DQ_Meth_max[[#This Row],[Vergleich_lb]]</f>
        <v>840.35899999999992</v>
      </c>
      <c r="H914" s="11" t="str">
        <f ca="1">VLOOKUP(VLOOKUP(dict_DQ_Meth_max[[#This Row],[ID_DataQualities]],table_DataQualities[],3),table_Units[],2)</f>
        <v>Hz</v>
      </c>
      <c r="I914" s="10"/>
      <c r="J914" s="10"/>
      <c r="K914" s="10"/>
      <c r="L914" s="10">
        <f ca="1">VLOOKUP(dict_DQ_Meth_max[[#This Row],[ID_DataQualities]],table_DataQualities[],8,FALSE)</f>
        <v>0.71799999999999997</v>
      </c>
      <c r="M914" s="10">
        <f ca="1">VLOOKUP(dict_DQ_Meth_max[[#This Row],[ID_DataQualities]],table_DataQualities[],9,FALSE)</f>
        <v>1680</v>
      </c>
    </row>
    <row r="915" spans="1:13" x14ac:dyDescent="0.45">
      <c r="A915" s="10">
        <v>244</v>
      </c>
      <c r="B915" s="10">
        <v>241</v>
      </c>
      <c r="C9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5" s="10"/>
      <c r="E915" s="10"/>
      <c r="F915" s="12">
        <f ca="1">(RANDBETWEEN(0,50)/100)*(dict_DQ_Meth_max[[#This Row],[Vergleich_ub]]-dict_DQ_Meth_max[[#This Row],[Vergleich_lb]])+dict_DQ_Meth_max[[#This Row],[Vergleich_lb]]</f>
        <v>655.63797999999997</v>
      </c>
      <c r="G915" s="12">
        <f ca="1">(RANDBETWEEN(50,100)/100)*(dict_DQ_Meth_max[[#This Row],[Vergleich_ub]]-dict_DQ_Meth_max[[#This Row],[Vergleich_lb]])+dict_DQ_Meth_max[[#This Row],[Vergleich_lb]]</f>
        <v>1512.0717999999999</v>
      </c>
      <c r="H915" s="11" t="str">
        <f ca="1">VLOOKUP(VLOOKUP(dict_DQ_Meth_max[[#This Row],[ID_DataQualities]],table_DataQualities[],3),table_Units[],2)</f>
        <v>Hz</v>
      </c>
      <c r="I915" s="10"/>
      <c r="J915" s="10"/>
      <c r="K915" s="10"/>
      <c r="L915" s="10">
        <f ca="1">VLOOKUP(dict_DQ_Meth_max[[#This Row],[ID_DataQualities]],table_DataQualities[],8,FALSE)</f>
        <v>0.71799999999999997</v>
      </c>
      <c r="M915" s="10">
        <f ca="1">VLOOKUP(dict_DQ_Meth_max[[#This Row],[ID_DataQualities]],table_DataQualities[],9,FALSE)</f>
        <v>1680</v>
      </c>
    </row>
    <row r="916" spans="1:13" x14ac:dyDescent="0.45">
      <c r="A916" s="10">
        <v>244</v>
      </c>
      <c r="B916" s="10">
        <v>373</v>
      </c>
      <c r="C9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6" s="10"/>
      <c r="E916" s="10"/>
      <c r="F916" s="12">
        <f ca="1">(RANDBETWEEN(0,50)/100)*(dict_DQ_Meth_max[[#This Row],[Vergleich_ub]]-dict_DQ_Meth_max[[#This Row],[Vergleich_lb]])+dict_DQ_Meth_max[[#This Row],[Vergleich_lb]]</f>
        <v>806.77335999999991</v>
      </c>
      <c r="G916" s="12">
        <f ca="1">(RANDBETWEEN(50,100)/100)*(dict_DQ_Meth_max[[#This Row],[Vergleich_ub]]-dict_DQ_Meth_max[[#This Row],[Vergleich_lb]])+dict_DQ_Meth_max[[#This Row],[Vergleich_lb]]</f>
        <v>1461.69334</v>
      </c>
      <c r="H916" s="11" t="str">
        <f ca="1">VLOOKUP(VLOOKUP(dict_DQ_Meth_max[[#This Row],[ID_DataQualities]],table_DataQualities[],3),table_Units[],2)</f>
        <v>Hz</v>
      </c>
      <c r="I916" s="10"/>
      <c r="J916" s="10"/>
      <c r="K916" s="10"/>
      <c r="L916" s="10">
        <f ca="1">VLOOKUP(dict_DQ_Meth_max[[#This Row],[ID_DataQualities]],table_DataQualities[],8,FALSE)</f>
        <v>0.71799999999999997</v>
      </c>
      <c r="M916" s="10">
        <f ca="1">VLOOKUP(dict_DQ_Meth_max[[#This Row],[ID_DataQualities]],table_DataQualities[],9,FALSE)</f>
        <v>1680</v>
      </c>
    </row>
    <row r="917" spans="1:13" x14ac:dyDescent="0.45">
      <c r="A917" s="10">
        <v>244</v>
      </c>
      <c r="B917" s="10">
        <v>632</v>
      </c>
      <c r="C9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7" s="10"/>
      <c r="E917" s="10"/>
      <c r="F917" s="12">
        <f ca="1">(RANDBETWEEN(0,50)/100)*(dict_DQ_Meth_max[[#This Row],[Vergleich_ub]]-dict_DQ_Meth_max[[#This Row],[Vergleich_lb]])+dict_DQ_Meth_max[[#This Row],[Vergleich_lb]]</f>
        <v>403.74567999999999</v>
      </c>
      <c r="G917" s="12">
        <f ca="1">(RANDBETWEEN(50,100)/100)*(dict_DQ_Meth_max[[#This Row],[Vergleich_ub]]-dict_DQ_Meth_max[[#This Row],[Vergleich_lb]])+dict_DQ_Meth_max[[#This Row],[Vergleich_lb]]</f>
        <v>1243.3866800000001</v>
      </c>
      <c r="H917" s="11" t="str">
        <f ca="1">VLOOKUP(VLOOKUP(dict_DQ_Meth_max[[#This Row],[ID_DataQualities]],table_DataQualities[],3),table_Units[],2)</f>
        <v>Hz</v>
      </c>
      <c r="I917" s="10"/>
      <c r="J917" s="10"/>
      <c r="K917" s="10"/>
      <c r="L917" s="10">
        <f ca="1">VLOOKUP(dict_DQ_Meth_max[[#This Row],[ID_DataQualities]],table_DataQualities[],8,FALSE)</f>
        <v>0.71799999999999997</v>
      </c>
      <c r="M917" s="10">
        <f ca="1">VLOOKUP(dict_DQ_Meth_max[[#This Row],[ID_DataQualities]],table_DataQualities[],9,FALSE)</f>
        <v>1680</v>
      </c>
    </row>
    <row r="918" spans="1:13" x14ac:dyDescent="0.45">
      <c r="A918" s="10">
        <v>244</v>
      </c>
      <c r="B918" s="10">
        <v>537</v>
      </c>
      <c r="C9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8" s="10"/>
      <c r="E918" s="10"/>
      <c r="F918" s="12">
        <f ca="1">(RANDBETWEEN(0,50)/100)*(dict_DQ_Meth_max[[#This Row],[Vergleich_ub]]-dict_DQ_Meth_max[[#This Row],[Vergleich_lb]])+dict_DQ_Meth_max[[#This Row],[Vergleich_lb]]</f>
        <v>34.303640000000001</v>
      </c>
      <c r="G918" s="12">
        <f ca="1">(RANDBETWEEN(50,100)/100)*(dict_DQ_Meth_max[[#This Row],[Vergleich_ub]]-dict_DQ_Meth_max[[#This Row],[Vergleich_lb]])+dict_DQ_Meth_max[[#This Row],[Vergleich_lb]]</f>
        <v>1142.62976</v>
      </c>
      <c r="H918" s="11" t="str">
        <f ca="1">VLOOKUP(VLOOKUP(dict_DQ_Meth_max[[#This Row],[ID_DataQualities]],table_DataQualities[],3),table_Units[],2)</f>
        <v>Hz</v>
      </c>
      <c r="I918" s="10"/>
      <c r="J918" s="10"/>
      <c r="K918" s="10"/>
      <c r="L918" s="10">
        <f ca="1">VLOOKUP(dict_DQ_Meth_max[[#This Row],[ID_DataQualities]],table_DataQualities[],8,FALSE)</f>
        <v>0.71799999999999997</v>
      </c>
      <c r="M918" s="10">
        <f ca="1">VLOOKUP(dict_DQ_Meth_max[[#This Row],[ID_DataQualities]],table_DataQualities[],9,FALSE)</f>
        <v>1680</v>
      </c>
    </row>
    <row r="919" spans="1:13" x14ac:dyDescent="0.45">
      <c r="A919" s="10">
        <v>245</v>
      </c>
      <c r="B919" s="10">
        <v>372</v>
      </c>
      <c r="C9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19" s="10"/>
      <c r="E919" s="10"/>
      <c r="F919" s="12">
        <f ca="1">(RANDBETWEEN(0,50)/100)*(dict_DQ_Meth_max[[#This Row],[Vergleich_ub]]-dict_DQ_Meth_max[[#This Row],[Vergleich_lb]])+dict_DQ_Meth_max[[#This Row],[Vergleich_lb]]</f>
        <v>0.41810000000000003</v>
      </c>
      <c r="G919" s="12">
        <f ca="1">(RANDBETWEEN(50,100)/100)*(dict_DQ_Meth_max[[#This Row],[Vergleich_ub]]-dict_DQ_Meth_max[[#This Row],[Vergleich_lb]])+dict_DQ_Meth_max[[#This Row],[Vergleich_lb]]</f>
        <v>2.1320399999999999</v>
      </c>
      <c r="H919" s="11" t="str">
        <f ca="1">VLOOKUP(VLOOKUP(dict_DQ_Meth_max[[#This Row],[ID_DataQualities]],table_DataQualities[],3),table_Units[],2)</f>
        <v>+/- mm</v>
      </c>
      <c r="I919" s="10"/>
      <c r="J919" s="10"/>
      <c r="K919" s="10"/>
      <c r="L919" s="10">
        <f ca="1">VLOOKUP(dict_DQ_Meth_max[[#This Row],[ID_DataQualities]],table_DataQualities[],8,FALSE)</f>
        <v>5.6000000000000001E-2</v>
      </c>
      <c r="M919" s="10">
        <f ca="1">VLOOKUP(dict_DQ_Meth_max[[#This Row],[ID_DataQualities]],table_DataQualities[],9,FALSE)</f>
        <v>2.4700000000000002</v>
      </c>
    </row>
    <row r="920" spans="1:13" x14ac:dyDescent="0.45">
      <c r="A920" s="10">
        <v>245</v>
      </c>
      <c r="B920" s="10">
        <v>241</v>
      </c>
      <c r="C9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0" s="10"/>
      <c r="E920" s="10"/>
      <c r="F920" s="12">
        <f ca="1">(RANDBETWEEN(0,50)/100)*(dict_DQ_Meth_max[[#This Row],[Vergleich_ub]]-dict_DQ_Meth_max[[#This Row],[Vergleich_lb]])+dict_DQ_Meth_max[[#This Row],[Vergleich_lb]]</f>
        <v>0.10428000000000001</v>
      </c>
      <c r="G920" s="12">
        <f ca="1">(RANDBETWEEN(50,100)/100)*(dict_DQ_Meth_max[[#This Row],[Vergleich_ub]]-dict_DQ_Meth_max[[#This Row],[Vergleich_lb]])+dict_DQ_Meth_max[[#This Row],[Vergleich_lb]]</f>
        <v>2.0113400000000001</v>
      </c>
      <c r="H920" s="11" t="str">
        <f ca="1">VLOOKUP(VLOOKUP(dict_DQ_Meth_max[[#This Row],[ID_DataQualities]],table_DataQualities[],3),table_Units[],2)</f>
        <v>+/- mm</v>
      </c>
      <c r="I920" s="10"/>
      <c r="J920" s="10"/>
      <c r="K920" s="10"/>
      <c r="L920" s="10">
        <f ca="1">VLOOKUP(dict_DQ_Meth_max[[#This Row],[ID_DataQualities]],table_DataQualities[],8,FALSE)</f>
        <v>5.6000000000000001E-2</v>
      </c>
      <c r="M920" s="10">
        <f ca="1">VLOOKUP(dict_DQ_Meth_max[[#This Row],[ID_DataQualities]],table_DataQualities[],9,FALSE)</f>
        <v>2.4700000000000002</v>
      </c>
    </row>
    <row r="921" spans="1:13" x14ac:dyDescent="0.45">
      <c r="A921" s="10">
        <v>245</v>
      </c>
      <c r="B921" s="10">
        <v>373</v>
      </c>
      <c r="C9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1" s="10"/>
      <c r="E921" s="10"/>
      <c r="F921" s="12">
        <f ca="1">(RANDBETWEEN(0,50)/100)*(dict_DQ_Meth_max[[#This Row],[Vergleich_ub]]-dict_DQ_Meth_max[[#This Row],[Vergleich_lb]])+dict_DQ_Meth_max[[#This Row],[Vergleich_lb]]</f>
        <v>1.1423000000000001</v>
      </c>
      <c r="G921" s="12">
        <f ca="1">(RANDBETWEEN(50,100)/100)*(dict_DQ_Meth_max[[#This Row],[Vergleich_ub]]-dict_DQ_Meth_max[[#This Row],[Vergleich_lb]])+dict_DQ_Meth_max[[#This Row],[Vergleich_lb]]</f>
        <v>1.9872000000000003</v>
      </c>
      <c r="H921" s="11" t="str">
        <f ca="1">VLOOKUP(VLOOKUP(dict_DQ_Meth_max[[#This Row],[ID_DataQualities]],table_DataQualities[],3),table_Units[],2)</f>
        <v>+/- mm</v>
      </c>
      <c r="I921" s="10"/>
      <c r="J921" s="10"/>
      <c r="K921" s="10"/>
      <c r="L921" s="10">
        <f ca="1">VLOOKUP(dict_DQ_Meth_max[[#This Row],[ID_DataQualities]],table_DataQualities[],8,FALSE)</f>
        <v>5.6000000000000001E-2</v>
      </c>
      <c r="M921" s="10">
        <f ca="1">VLOOKUP(dict_DQ_Meth_max[[#This Row],[ID_DataQualities]],table_DataQualities[],9,FALSE)</f>
        <v>2.4700000000000002</v>
      </c>
    </row>
    <row r="922" spans="1:13" x14ac:dyDescent="0.45">
      <c r="A922" s="10">
        <v>245</v>
      </c>
      <c r="B922" s="10">
        <v>632</v>
      </c>
      <c r="C9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2" s="10"/>
      <c r="E922" s="10"/>
      <c r="F922" s="12">
        <f ca="1">(RANDBETWEEN(0,50)/100)*(dict_DQ_Meth_max[[#This Row],[Vergleich_ub]]-dict_DQ_Meth_max[[#This Row],[Vergleich_lb]])+dict_DQ_Meth_max[[#This Row],[Vergleich_lb]]</f>
        <v>0.22498000000000001</v>
      </c>
      <c r="G922" s="12">
        <f ca="1">(RANDBETWEEN(50,100)/100)*(dict_DQ_Meth_max[[#This Row],[Vergleich_ub]]-dict_DQ_Meth_max[[#This Row],[Vergleich_lb]])+dict_DQ_Meth_max[[#This Row],[Vergleich_lb]]</f>
        <v>1.7458</v>
      </c>
      <c r="H922" s="11" t="str">
        <f ca="1">VLOOKUP(VLOOKUP(dict_DQ_Meth_max[[#This Row],[ID_DataQualities]],table_DataQualities[],3),table_Units[],2)</f>
        <v>+/- mm</v>
      </c>
      <c r="I922" s="10"/>
      <c r="J922" s="10"/>
      <c r="K922" s="10"/>
      <c r="L922" s="10">
        <f ca="1">VLOOKUP(dict_DQ_Meth_max[[#This Row],[ID_DataQualities]],table_DataQualities[],8,FALSE)</f>
        <v>5.6000000000000001E-2</v>
      </c>
      <c r="M922" s="10">
        <f ca="1">VLOOKUP(dict_DQ_Meth_max[[#This Row],[ID_DataQualities]],table_DataQualities[],9,FALSE)</f>
        <v>2.4700000000000002</v>
      </c>
    </row>
    <row r="923" spans="1:13" x14ac:dyDescent="0.45">
      <c r="A923" s="10">
        <v>245</v>
      </c>
      <c r="B923" s="10">
        <v>537</v>
      </c>
      <c r="C9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3" s="10"/>
      <c r="E923" s="10"/>
      <c r="F923" s="12">
        <f ca="1">(RANDBETWEEN(0,50)/100)*(dict_DQ_Meth_max[[#This Row],[Vergleich_ub]]-dict_DQ_Meth_max[[#This Row],[Vergleich_lb]])+dict_DQ_Meth_max[[#This Row],[Vergleich_lb]]</f>
        <v>0.12842000000000001</v>
      </c>
      <c r="G923" s="12">
        <f ca="1">(RANDBETWEEN(50,100)/100)*(dict_DQ_Meth_max[[#This Row],[Vergleich_ub]]-dict_DQ_Meth_max[[#This Row],[Vergleich_lb]])+dict_DQ_Meth_max[[#This Row],[Vergleich_lb]]</f>
        <v>2.0596200000000002</v>
      </c>
      <c r="H923" s="11" t="str">
        <f ca="1">VLOOKUP(VLOOKUP(dict_DQ_Meth_max[[#This Row],[ID_DataQualities]],table_DataQualities[],3),table_Units[],2)</f>
        <v>+/- mm</v>
      </c>
      <c r="I923" s="10"/>
      <c r="J923" s="10"/>
      <c r="K923" s="10"/>
      <c r="L923" s="10">
        <f ca="1">VLOOKUP(dict_DQ_Meth_max[[#This Row],[ID_DataQualities]],table_DataQualities[],8,FALSE)</f>
        <v>5.6000000000000001E-2</v>
      </c>
      <c r="M923" s="10">
        <f ca="1">VLOOKUP(dict_DQ_Meth_max[[#This Row],[ID_DataQualities]],table_DataQualities[],9,FALSE)</f>
        <v>2.4700000000000002</v>
      </c>
    </row>
    <row r="924" spans="1:13" x14ac:dyDescent="0.45">
      <c r="A924" s="10">
        <v>246</v>
      </c>
      <c r="B924" s="10">
        <v>450</v>
      </c>
      <c r="C9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4" s="10"/>
      <c r="E924" s="10"/>
      <c r="F924" s="12">
        <f ca="1">(RANDBETWEEN(0,50)/100)*(dict_DQ_Meth_max[[#This Row],[Vergleich_ub]]-dict_DQ_Meth_max[[#This Row],[Vergleich_lb]])+dict_DQ_Meth_max[[#This Row],[Vergleich_lb]]</f>
        <v>147.37271999999999</v>
      </c>
      <c r="G924" s="12">
        <f ca="1">(RANDBETWEEN(50,100)/100)*(dict_DQ_Meth_max[[#This Row],[Vergleich_ub]]-dict_DQ_Meth_max[[#This Row],[Vergleich_lb]])+dict_DQ_Meth_max[[#This Row],[Vergleich_lb]]</f>
        <v>6460.14768</v>
      </c>
      <c r="H924" s="11" t="str">
        <f ca="1">VLOOKUP(VLOOKUP(dict_DQ_Meth_max[[#This Row],[ID_DataQualities]],table_DataQualities[],3),table_Units[],2)</f>
        <v>Hz</v>
      </c>
      <c r="I924" s="10"/>
      <c r="J924" s="10"/>
      <c r="K924" s="10"/>
      <c r="L924" s="10">
        <f ca="1">VLOOKUP(dict_DQ_Meth_max[[#This Row],[ID_DataQualities]],table_DataQualities[],8,FALSE)</f>
        <v>0.56399999999999995</v>
      </c>
      <c r="M924" s="10">
        <f ca="1">VLOOKUP(dict_DQ_Meth_max[[#This Row],[ID_DataQualities]],table_DataQualities[],9,FALSE)</f>
        <v>7341</v>
      </c>
    </row>
    <row r="925" spans="1:13" x14ac:dyDescent="0.45">
      <c r="A925" s="10">
        <v>247</v>
      </c>
      <c r="B925" s="10">
        <v>450</v>
      </c>
      <c r="C9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5" s="10"/>
      <c r="E925" s="10"/>
      <c r="F925" s="12">
        <f ca="1">(RANDBETWEEN(0,50)/100)*(dict_DQ_Meth_max[[#This Row],[Vergleich_ub]]-dict_DQ_Meth_max[[#This Row],[Vergleich_lb]])+dict_DQ_Meth_max[[#This Row],[Vergleich_lb]]</f>
        <v>8.1395999999999996E-2</v>
      </c>
      <c r="G925" s="12">
        <f ca="1">(RANDBETWEEN(50,100)/100)*(dict_DQ_Meth_max[[#This Row],[Vergleich_ub]]-dict_DQ_Meth_max[[#This Row],[Vergleich_lb]])+dict_DQ_Meth_max[[#This Row],[Vergleich_lb]]</f>
        <v>0.141595</v>
      </c>
      <c r="H925" s="11" t="str">
        <f ca="1">VLOOKUP(VLOOKUP(dict_DQ_Meth_max[[#This Row],[ID_DataQualities]],table_DataQualities[],3),table_Units[],2)</f>
        <v>+/- cm³/s</v>
      </c>
      <c r="I925" s="10"/>
      <c r="J925" s="10"/>
      <c r="K925" s="10"/>
      <c r="L925" s="10">
        <f ca="1">VLOOKUP(dict_DQ_Meth_max[[#This Row],[ID_DataQualities]],table_DataQualities[],8,FALSE)</f>
        <v>3.3E-3</v>
      </c>
      <c r="M925" s="10">
        <f ca="1">VLOOKUP(dict_DQ_Meth_max[[#This Row],[ID_DataQualities]],table_DataQualities[],9,FALSE)</f>
        <v>0.16600000000000001</v>
      </c>
    </row>
    <row r="926" spans="1:13" x14ac:dyDescent="0.45">
      <c r="A926" s="10">
        <v>248</v>
      </c>
      <c r="B926" s="10">
        <v>56</v>
      </c>
      <c r="C9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6" s="10"/>
      <c r="E926" s="10"/>
      <c r="F926" s="12">
        <f ca="1">(RANDBETWEEN(0,50)/100)*(dict_DQ_Meth_max[[#This Row],[Vergleich_ub]]-dict_DQ_Meth_max[[#This Row],[Vergleich_lb]])+dict_DQ_Meth_max[[#This Row],[Vergleich_lb]]</f>
        <v>124.48908</v>
      </c>
      <c r="G926" s="12">
        <f ca="1">(RANDBETWEEN(50,100)/100)*(dict_DQ_Meth_max[[#This Row],[Vergleich_ub]]-dict_DQ_Meth_max[[#This Row],[Vergleich_lb]])+dict_DQ_Meth_max[[#This Row],[Vergleich_lb]]</f>
        <v>1086.5746999999999</v>
      </c>
      <c r="H926" s="11" t="str">
        <f ca="1">VLOOKUP(VLOOKUP(dict_DQ_Meth_max[[#This Row],[ID_DataQualities]],table_DataQualities[],3),table_Units[],2)</f>
        <v>Hz</v>
      </c>
      <c r="I926" s="10"/>
      <c r="J926" s="10"/>
      <c r="K926" s="10"/>
      <c r="L926" s="10">
        <f ca="1">VLOOKUP(dict_DQ_Meth_max[[#This Row],[ID_DataQualities]],table_DataQualities[],8,FALSE)</f>
        <v>0.34899999999999998</v>
      </c>
      <c r="M926" s="10">
        <f ca="1">VLOOKUP(dict_DQ_Meth_max[[#This Row],[ID_DataQualities]],table_DataQualities[],9,FALSE)</f>
        <v>1552.1</v>
      </c>
    </row>
    <row r="927" spans="1:13" x14ac:dyDescent="0.45">
      <c r="A927" s="10">
        <v>248</v>
      </c>
      <c r="B927" s="10">
        <v>34</v>
      </c>
      <c r="C9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7" s="10"/>
      <c r="E927" s="10"/>
      <c r="F927" s="12">
        <f ca="1">(RANDBETWEEN(0,50)/100)*(dict_DQ_Meth_max[[#This Row],[Vergleich_ub]]-dict_DQ_Meth_max[[#This Row],[Vergleich_lb]])+dict_DQ_Meth_max[[#This Row],[Vergleich_lb]]</f>
        <v>714.15446000000009</v>
      </c>
      <c r="G927" s="12">
        <f ca="1">(RANDBETWEEN(50,100)/100)*(dict_DQ_Meth_max[[#This Row],[Vergleich_ub]]-dict_DQ_Meth_max[[#This Row],[Vergleich_lb]])+dict_DQ_Meth_max[[#This Row],[Vergleich_lb]]</f>
        <v>1350.3723699999998</v>
      </c>
      <c r="H927" s="11" t="str">
        <f ca="1">VLOOKUP(VLOOKUP(dict_DQ_Meth_max[[#This Row],[ID_DataQualities]],table_DataQualities[],3),table_Units[],2)</f>
        <v>Hz</v>
      </c>
      <c r="I927" s="10"/>
      <c r="J927" s="10"/>
      <c r="K927" s="10"/>
      <c r="L927" s="10">
        <f ca="1">VLOOKUP(dict_DQ_Meth_max[[#This Row],[ID_DataQualities]],table_DataQualities[],8,FALSE)</f>
        <v>0.34899999999999998</v>
      </c>
      <c r="M927" s="10">
        <f ca="1">VLOOKUP(dict_DQ_Meth_max[[#This Row],[ID_DataQualities]],table_DataQualities[],9,FALSE)</f>
        <v>1552.1</v>
      </c>
    </row>
    <row r="928" spans="1:13" x14ac:dyDescent="0.45">
      <c r="A928" s="10">
        <v>248</v>
      </c>
      <c r="B928" s="10">
        <v>61</v>
      </c>
      <c r="C9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8" s="10"/>
      <c r="E928" s="10"/>
      <c r="F928" s="12">
        <f ca="1">(RANDBETWEEN(0,50)/100)*(dict_DQ_Meth_max[[#This Row],[Vergleich_ub]]-dict_DQ_Meth_max[[#This Row],[Vergleich_lb]])+dict_DQ_Meth_max[[#This Row],[Vergleich_lb]]</f>
        <v>15.86651</v>
      </c>
      <c r="G928" s="12">
        <f ca="1">(RANDBETWEEN(50,100)/100)*(dict_DQ_Meth_max[[#This Row],[Vergleich_ub]]-dict_DQ_Meth_max[[#This Row],[Vergleich_lb]])+dict_DQ_Meth_max[[#This Row],[Vergleich_lb]]</f>
        <v>946.91710999999998</v>
      </c>
      <c r="H928" s="11" t="str">
        <f ca="1">VLOOKUP(VLOOKUP(dict_DQ_Meth_max[[#This Row],[ID_DataQualities]],table_DataQualities[],3),table_Units[],2)</f>
        <v>Hz</v>
      </c>
      <c r="I928" s="10"/>
      <c r="J928" s="10"/>
      <c r="K928" s="10"/>
      <c r="L928" s="10">
        <f ca="1">VLOOKUP(dict_DQ_Meth_max[[#This Row],[ID_DataQualities]],table_DataQualities[],8,FALSE)</f>
        <v>0.34899999999999998</v>
      </c>
      <c r="M928" s="10">
        <f ca="1">VLOOKUP(dict_DQ_Meth_max[[#This Row],[ID_DataQualities]],table_DataQualities[],9,FALSE)</f>
        <v>1552.1</v>
      </c>
    </row>
    <row r="929" spans="1:13" x14ac:dyDescent="0.45">
      <c r="A929" s="10">
        <v>248</v>
      </c>
      <c r="B929" s="10">
        <v>491</v>
      </c>
      <c r="C9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29" s="10"/>
      <c r="E929" s="10"/>
      <c r="F929" s="12">
        <f ca="1">(RANDBETWEEN(0,50)/100)*(dict_DQ_Meth_max[[#This Row],[Vergleich_ub]]-dict_DQ_Meth_max[[#This Row],[Vergleich_lb]])+dict_DQ_Meth_max[[#This Row],[Vergleich_lb]]</f>
        <v>62.419039999999995</v>
      </c>
      <c r="G929" s="12">
        <f ca="1">(RANDBETWEEN(50,100)/100)*(dict_DQ_Meth_max[[#This Row],[Vergleich_ub]]-dict_DQ_Meth_max[[#This Row],[Vergleich_lb]])+dict_DQ_Meth_max[[#This Row],[Vergleich_lb]]</f>
        <v>931.39959999999996</v>
      </c>
      <c r="H929" s="11" t="str">
        <f ca="1">VLOOKUP(VLOOKUP(dict_DQ_Meth_max[[#This Row],[ID_DataQualities]],table_DataQualities[],3),table_Units[],2)</f>
        <v>Hz</v>
      </c>
      <c r="I929" s="10"/>
      <c r="J929" s="10"/>
      <c r="K929" s="10"/>
      <c r="L929" s="10">
        <f ca="1">VLOOKUP(dict_DQ_Meth_max[[#This Row],[ID_DataQualities]],table_DataQualities[],8,FALSE)</f>
        <v>0.34899999999999998</v>
      </c>
      <c r="M929" s="10">
        <f ca="1">VLOOKUP(dict_DQ_Meth_max[[#This Row],[ID_DataQualities]],table_DataQualities[],9,FALSE)</f>
        <v>1552.1</v>
      </c>
    </row>
    <row r="930" spans="1:13" x14ac:dyDescent="0.45">
      <c r="A930" s="10">
        <v>248</v>
      </c>
      <c r="B930" s="10">
        <v>295</v>
      </c>
      <c r="C9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0" s="10"/>
      <c r="E930" s="10"/>
      <c r="F930" s="12">
        <f ca="1">(RANDBETWEEN(0,50)/100)*(dict_DQ_Meth_max[[#This Row],[Vergleich_ub]]-dict_DQ_Meth_max[[#This Row],[Vergleich_lb]])+dict_DQ_Meth_max[[#This Row],[Vergleich_lb]]</f>
        <v>31.38402</v>
      </c>
      <c r="G930" s="12">
        <f ca="1">(RANDBETWEEN(50,100)/100)*(dict_DQ_Meth_max[[#This Row],[Vergleich_ub]]-dict_DQ_Meth_max[[#This Row],[Vergleich_lb]])+dict_DQ_Meth_max[[#This Row],[Vergleich_lb]]</f>
        <v>1443.4774299999999</v>
      </c>
      <c r="H930" s="11" t="str">
        <f ca="1">VLOOKUP(VLOOKUP(dict_DQ_Meth_max[[#This Row],[ID_DataQualities]],table_DataQualities[],3),table_Units[],2)</f>
        <v>Hz</v>
      </c>
      <c r="I930" s="10"/>
      <c r="J930" s="10"/>
      <c r="K930" s="10"/>
      <c r="L930" s="10">
        <f ca="1">VLOOKUP(dict_DQ_Meth_max[[#This Row],[ID_DataQualities]],table_DataQualities[],8,FALSE)</f>
        <v>0.34899999999999998</v>
      </c>
      <c r="M930" s="10">
        <f ca="1">VLOOKUP(dict_DQ_Meth_max[[#This Row],[ID_DataQualities]],table_DataQualities[],9,FALSE)</f>
        <v>1552.1</v>
      </c>
    </row>
    <row r="931" spans="1:13" x14ac:dyDescent="0.45">
      <c r="A931" s="10">
        <v>249</v>
      </c>
      <c r="B931" s="10">
        <v>34</v>
      </c>
      <c r="C9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1" s="10"/>
      <c r="E931" s="10"/>
      <c r="F931" s="12">
        <f ca="1">(RANDBETWEEN(0,50)/100)*(dict_DQ_Meth_max[[#This Row],[Vergleich_ub]]-dict_DQ_Meth_max[[#This Row],[Vergleich_lb]])+dict_DQ_Meth_max[[#This Row],[Vergleich_lb]]</f>
        <v>0.45129600000000003</v>
      </c>
      <c r="G931" s="12">
        <f ca="1">(RANDBETWEEN(50,100)/100)*(dict_DQ_Meth_max[[#This Row],[Vergleich_ub]]-dict_DQ_Meth_max[[#This Row],[Vergleich_lb]])+dict_DQ_Meth_max[[#This Row],[Vergleich_lb]]</f>
        <v>0.84198000000000006</v>
      </c>
      <c r="H931" s="11" t="str">
        <f ca="1">VLOOKUP(VLOOKUP(dict_DQ_Meth_max[[#This Row],[ID_DataQualities]],table_DataQualities[],3),table_Units[],2)</f>
        <v>+/- cm³/s</v>
      </c>
      <c r="I931" s="10"/>
      <c r="J931" s="10"/>
      <c r="K931" s="10"/>
      <c r="L931" s="10">
        <f ca="1">VLOOKUP(dict_DQ_Meth_max[[#This Row],[ID_DataQualities]],table_DataQualities[],8,FALSE)</f>
        <v>4.7999999999999996E-3</v>
      </c>
      <c r="M931" s="10">
        <f ca="1">VLOOKUP(dict_DQ_Meth_max[[#This Row],[ID_DataQualities]],table_DataQualities[],9,FALSE)</f>
        <v>0.93500000000000005</v>
      </c>
    </row>
    <row r="932" spans="1:13" x14ac:dyDescent="0.45">
      <c r="A932" s="10">
        <v>249</v>
      </c>
      <c r="B932" s="10">
        <v>56</v>
      </c>
      <c r="C9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2" s="10"/>
      <c r="E932" s="10"/>
      <c r="F932" s="12">
        <f ca="1">(RANDBETWEEN(0,50)/100)*(dict_DQ_Meth_max[[#This Row],[Vergleich_ub]]-dict_DQ_Meth_max[[#This Row],[Vergleich_lb]])+dict_DQ_Meth_max[[#This Row],[Vergleich_lb]]</f>
        <v>0.181538</v>
      </c>
      <c r="G932" s="12">
        <f ca="1">(RANDBETWEEN(50,100)/100)*(dict_DQ_Meth_max[[#This Row],[Vergleich_ub]]-dict_DQ_Meth_max[[#This Row],[Vergleich_lb]])+dict_DQ_Meth_max[[#This Row],[Vergleich_lb]]</f>
        <v>0.78616799999999998</v>
      </c>
      <c r="H932" s="11" t="str">
        <f ca="1">VLOOKUP(VLOOKUP(dict_DQ_Meth_max[[#This Row],[ID_DataQualities]],table_DataQualities[],3),table_Units[],2)</f>
        <v>+/- cm³/s</v>
      </c>
      <c r="I932" s="10"/>
      <c r="J932" s="10"/>
      <c r="K932" s="10"/>
      <c r="L932" s="10">
        <f ca="1">VLOOKUP(dict_DQ_Meth_max[[#This Row],[ID_DataQualities]],table_DataQualities[],8,FALSE)</f>
        <v>4.7999999999999996E-3</v>
      </c>
      <c r="M932" s="10">
        <f ca="1">VLOOKUP(dict_DQ_Meth_max[[#This Row],[ID_DataQualities]],table_DataQualities[],9,FALSE)</f>
        <v>0.93500000000000005</v>
      </c>
    </row>
    <row r="933" spans="1:13" x14ac:dyDescent="0.45">
      <c r="A933" s="10">
        <v>249</v>
      </c>
      <c r="B933" s="10">
        <v>491</v>
      </c>
      <c r="C9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3" s="10"/>
      <c r="E933" s="10"/>
      <c r="F933" s="12">
        <f ca="1">(RANDBETWEEN(0,50)/100)*(dict_DQ_Meth_max[[#This Row],[Vergleich_ub]]-dict_DQ_Meth_max[[#This Row],[Vergleich_lb]])+dict_DQ_Meth_max[[#This Row],[Vergleich_lb]]</f>
        <v>2.3404000000000001E-2</v>
      </c>
      <c r="G933" s="12">
        <f ca="1">(RANDBETWEEN(50,100)/100)*(dict_DQ_Meth_max[[#This Row],[Vergleich_ub]]-dict_DQ_Meth_max[[#This Row],[Vergleich_lb]])+dict_DQ_Meth_max[[#This Row],[Vergleich_lb]]</f>
        <v>0.78616799999999998</v>
      </c>
      <c r="H933" s="11" t="str">
        <f ca="1">VLOOKUP(VLOOKUP(dict_DQ_Meth_max[[#This Row],[ID_DataQualities]],table_DataQualities[],3),table_Units[],2)</f>
        <v>+/- cm³/s</v>
      </c>
      <c r="I933" s="10"/>
      <c r="J933" s="10"/>
      <c r="K933" s="10"/>
      <c r="L933" s="10">
        <f ca="1">VLOOKUP(dict_DQ_Meth_max[[#This Row],[ID_DataQualities]],table_DataQualities[],8,FALSE)</f>
        <v>4.7999999999999996E-3</v>
      </c>
      <c r="M933" s="10">
        <f ca="1">VLOOKUP(dict_DQ_Meth_max[[#This Row],[ID_DataQualities]],table_DataQualities[],9,FALSE)</f>
        <v>0.93500000000000005</v>
      </c>
    </row>
    <row r="934" spans="1:13" x14ac:dyDescent="0.45">
      <c r="A934" s="10">
        <v>249</v>
      </c>
      <c r="B934" s="10">
        <v>61</v>
      </c>
      <c r="C9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4" s="10"/>
      <c r="E934" s="10"/>
      <c r="F934" s="12">
        <f ca="1">(RANDBETWEEN(0,50)/100)*(dict_DQ_Meth_max[[#This Row],[Vergleich_ub]]-dict_DQ_Meth_max[[#This Row],[Vergleich_lb]])+dict_DQ_Meth_max[[#This Row],[Vergleich_lb]]</f>
        <v>0.16293400000000002</v>
      </c>
      <c r="G934" s="12">
        <f ca="1">(RANDBETWEEN(50,100)/100)*(dict_DQ_Meth_max[[#This Row],[Vergleich_ub]]-dict_DQ_Meth_max[[#This Row],[Vergleich_lb]])+dict_DQ_Meth_max[[#This Row],[Vergleich_lb]]</f>
        <v>0.74896000000000007</v>
      </c>
      <c r="H934" s="11" t="str">
        <f ca="1">VLOOKUP(VLOOKUP(dict_DQ_Meth_max[[#This Row],[ID_DataQualities]],table_DataQualities[],3),table_Units[],2)</f>
        <v>+/- cm³/s</v>
      </c>
      <c r="I934" s="10"/>
      <c r="J934" s="10"/>
      <c r="K934" s="10"/>
      <c r="L934" s="10">
        <f ca="1">VLOOKUP(dict_DQ_Meth_max[[#This Row],[ID_DataQualities]],table_DataQualities[],8,FALSE)</f>
        <v>4.7999999999999996E-3</v>
      </c>
      <c r="M934" s="10">
        <f ca="1">VLOOKUP(dict_DQ_Meth_max[[#This Row],[ID_DataQualities]],table_DataQualities[],9,FALSE)</f>
        <v>0.93500000000000005</v>
      </c>
    </row>
    <row r="935" spans="1:13" x14ac:dyDescent="0.45">
      <c r="A935" s="10">
        <v>249</v>
      </c>
      <c r="B935" s="10">
        <v>295</v>
      </c>
      <c r="C9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5" s="10"/>
      <c r="E935" s="10"/>
      <c r="F935" s="12">
        <f ca="1">(RANDBETWEEN(0,50)/100)*(dict_DQ_Meth_max[[#This Row],[Vergleich_ub]]-dict_DQ_Meth_max[[#This Row],[Vergleich_lb]])+dict_DQ_Meth_max[[#This Row],[Vergleich_lb]]</f>
        <v>0.40478600000000003</v>
      </c>
      <c r="G935" s="12">
        <f ca="1">(RANDBETWEEN(50,100)/100)*(dict_DQ_Meth_max[[#This Row],[Vergleich_ub]]-dict_DQ_Meth_max[[#This Row],[Vergleich_lb]])+dict_DQ_Meth_max[[#This Row],[Vergleich_lb]]</f>
        <v>0.86988600000000005</v>
      </c>
      <c r="H935" s="11" t="str">
        <f ca="1">VLOOKUP(VLOOKUP(dict_DQ_Meth_max[[#This Row],[ID_DataQualities]],table_DataQualities[],3),table_Units[],2)</f>
        <v>+/- cm³/s</v>
      </c>
      <c r="I935" s="10"/>
      <c r="J935" s="10"/>
      <c r="K935" s="10"/>
      <c r="L935" s="10">
        <f ca="1">VLOOKUP(dict_DQ_Meth_max[[#This Row],[ID_DataQualities]],table_DataQualities[],8,FALSE)</f>
        <v>4.7999999999999996E-3</v>
      </c>
      <c r="M935" s="10">
        <f ca="1">VLOOKUP(dict_DQ_Meth_max[[#This Row],[ID_DataQualities]],table_DataQualities[],9,FALSE)</f>
        <v>0.93500000000000005</v>
      </c>
    </row>
    <row r="936" spans="1:13" x14ac:dyDescent="0.45">
      <c r="A936" s="10">
        <v>250</v>
      </c>
      <c r="B936" s="10">
        <v>5</v>
      </c>
      <c r="C9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6" s="10"/>
      <c r="E936" s="10"/>
      <c r="F936" s="12">
        <f ca="1">(RANDBETWEEN(0,50)/100)*(dict_DQ_Meth_max[[#This Row],[Vergleich_ub]]-dict_DQ_Meth_max[[#This Row],[Vergleich_lb]])+dict_DQ_Meth_max[[#This Row],[Vergleich_lb]]</f>
        <v>1667.7696699999999</v>
      </c>
      <c r="G936" s="12">
        <f ca="1">(RANDBETWEEN(50,100)/100)*(dict_DQ_Meth_max[[#This Row],[Vergleich_ub]]-dict_DQ_Meth_max[[#This Row],[Vergleich_lb]])+dict_DQ_Meth_max[[#This Row],[Vergleich_lb]]</f>
        <v>2589.9015300000001</v>
      </c>
      <c r="H936" s="11" t="str">
        <f ca="1">VLOOKUP(VLOOKUP(dict_DQ_Meth_max[[#This Row],[ID_DataQualities]],table_DataQualities[],3),table_Units[],2)</f>
        <v>Hz</v>
      </c>
      <c r="I936" s="10"/>
      <c r="J936" s="10"/>
      <c r="K936" s="10"/>
      <c r="L936" s="10">
        <f ca="1">VLOOKUP(dict_DQ_Meth_max[[#This Row],[ID_DataQualities]],table_DataQualities[],8,FALSE)</f>
        <v>0.83899999999999997</v>
      </c>
      <c r="M936" s="10">
        <f ca="1">VLOOKUP(dict_DQ_Meth_max[[#This Row],[ID_DataQualities]],table_DataQualities[],9,FALSE)</f>
        <v>3547.5</v>
      </c>
    </row>
    <row r="937" spans="1:13" x14ac:dyDescent="0.45">
      <c r="A937" s="10">
        <v>250</v>
      </c>
      <c r="B937" s="10">
        <v>18</v>
      </c>
      <c r="C9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7" s="10"/>
      <c r="E937" s="10"/>
      <c r="F937" s="12">
        <f ca="1">(RANDBETWEEN(0,50)/100)*(dict_DQ_Meth_max[[#This Row],[Vergleich_ub]]-dict_DQ_Meth_max[[#This Row],[Vergleich_lb]])+dict_DQ_Meth_max[[#This Row],[Vergleich_lb]]</f>
        <v>781.10442000000012</v>
      </c>
      <c r="G937" s="12">
        <f ca="1">(RANDBETWEEN(50,100)/100)*(dict_DQ_Meth_max[[#This Row],[Vergleich_ub]]-dict_DQ_Meth_max[[#This Row],[Vergleich_lb]])+dict_DQ_Meth_max[[#This Row],[Vergleich_lb]]</f>
        <v>2909.1010199999996</v>
      </c>
      <c r="H937" s="11" t="str">
        <f ca="1">VLOOKUP(VLOOKUP(dict_DQ_Meth_max[[#This Row],[ID_DataQualities]],table_DataQualities[],3),table_Units[],2)</f>
        <v>Hz</v>
      </c>
      <c r="I937" s="10"/>
      <c r="J937" s="10"/>
      <c r="K937" s="10"/>
      <c r="L937" s="10">
        <f ca="1">VLOOKUP(dict_DQ_Meth_max[[#This Row],[ID_DataQualities]],table_DataQualities[],8,FALSE)</f>
        <v>0.83899999999999997</v>
      </c>
      <c r="M937" s="10">
        <f ca="1">VLOOKUP(dict_DQ_Meth_max[[#This Row],[ID_DataQualities]],table_DataQualities[],9,FALSE)</f>
        <v>3547.5</v>
      </c>
    </row>
    <row r="938" spans="1:13" x14ac:dyDescent="0.45">
      <c r="A938" s="10">
        <v>250</v>
      </c>
      <c r="B938" s="10">
        <v>697</v>
      </c>
      <c r="C9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8" s="10"/>
      <c r="E938" s="10"/>
      <c r="F938" s="12">
        <f ca="1">(RANDBETWEEN(0,50)/100)*(dict_DQ_Meth_max[[#This Row],[Vergleich_ub]]-dict_DQ_Meth_max[[#This Row],[Vergleich_lb]])+dict_DQ_Meth_max[[#This Row],[Vergleich_lb]]</f>
        <v>1206.7037400000002</v>
      </c>
      <c r="G938" s="12">
        <f ca="1">(RANDBETWEEN(50,100)/100)*(dict_DQ_Meth_max[[#This Row],[Vergleich_ub]]-dict_DQ_Meth_max[[#This Row],[Vergleich_lb]])+dict_DQ_Meth_max[[#This Row],[Vergleich_lb]]</f>
        <v>3157.3672900000001</v>
      </c>
      <c r="H938" s="11" t="str">
        <f ca="1">VLOOKUP(VLOOKUP(dict_DQ_Meth_max[[#This Row],[ID_DataQualities]],table_DataQualities[],3),table_Units[],2)</f>
        <v>Hz</v>
      </c>
      <c r="I938" s="10"/>
      <c r="J938" s="10"/>
      <c r="K938" s="10"/>
      <c r="L938" s="10">
        <f ca="1">VLOOKUP(dict_DQ_Meth_max[[#This Row],[ID_DataQualities]],table_DataQualities[],8,FALSE)</f>
        <v>0.83899999999999997</v>
      </c>
      <c r="M938" s="10">
        <f ca="1">VLOOKUP(dict_DQ_Meth_max[[#This Row],[ID_DataQualities]],table_DataQualities[],9,FALSE)</f>
        <v>3547.5</v>
      </c>
    </row>
    <row r="939" spans="1:13" x14ac:dyDescent="0.45">
      <c r="A939" s="10">
        <v>251</v>
      </c>
      <c r="B939" s="10">
        <v>18</v>
      </c>
      <c r="C9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39" s="10"/>
      <c r="E939" s="10"/>
      <c r="F939" s="12">
        <f ca="1">(RANDBETWEEN(0,50)/100)*(dict_DQ_Meth_max[[#This Row],[Vergleich_ub]]-dict_DQ_Meth_max[[#This Row],[Vergleich_lb]])+dict_DQ_Meth_max[[#This Row],[Vergleich_lb]]</f>
        <v>0.31600000000000006</v>
      </c>
      <c r="G939" s="12">
        <f ca="1">(RANDBETWEEN(50,100)/100)*(dict_DQ_Meth_max[[#This Row],[Vergleich_ub]]-dict_DQ_Meth_max[[#This Row],[Vergleich_lb]])+dict_DQ_Meth_max[[#This Row],[Vergleich_lb]]</f>
        <v>4.0785</v>
      </c>
      <c r="H939" s="11" t="str">
        <f ca="1">VLOOKUP(VLOOKUP(dict_DQ_Meth_max[[#This Row],[ID_DataQualities]],table_DataQualities[],3),table_Units[],2)</f>
        <v>+/- W</v>
      </c>
      <c r="I939" s="10"/>
      <c r="J939" s="10"/>
      <c r="K939" s="10"/>
      <c r="L939" s="10">
        <f ca="1">VLOOKUP(dict_DQ_Meth_max[[#This Row],[ID_DataQualities]],table_DataQualities[],8,FALSE)</f>
        <v>1.4999999999999999E-2</v>
      </c>
      <c r="M939" s="10">
        <f ca="1">VLOOKUP(dict_DQ_Meth_max[[#This Row],[ID_DataQualities]],table_DataQualities[],9,FALSE)</f>
        <v>7.54</v>
      </c>
    </row>
    <row r="940" spans="1:13" x14ac:dyDescent="0.45">
      <c r="A940" s="10">
        <v>251</v>
      </c>
      <c r="B940" s="10">
        <v>5</v>
      </c>
      <c r="C9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0" s="10"/>
      <c r="E940" s="10"/>
      <c r="F940" s="12">
        <f ca="1">(RANDBETWEEN(0,50)/100)*(dict_DQ_Meth_max[[#This Row],[Vergleich_ub]]-dict_DQ_Meth_max[[#This Row],[Vergleich_lb]])+dict_DQ_Meth_max[[#This Row],[Vergleich_lb]]</f>
        <v>1.52</v>
      </c>
      <c r="G940" s="12">
        <f ca="1">(RANDBETWEEN(50,100)/100)*(dict_DQ_Meth_max[[#This Row],[Vergleich_ub]]-dict_DQ_Meth_max[[#This Row],[Vergleich_lb]])+dict_DQ_Meth_max[[#This Row],[Vergleich_lb]]</f>
        <v>4.8310000000000004</v>
      </c>
      <c r="H940" s="11" t="str">
        <f ca="1">VLOOKUP(VLOOKUP(dict_DQ_Meth_max[[#This Row],[ID_DataQualities]],table_DataQualities[],3),table_Units[],2)</f>
        <v>+/- W</v>
      </c>
      <c r="I940" s="10"/>
      <c r="J940" s="10"/>
      <c r="K940" s="10"/>
      <c r="L940" s="10">
        <f ca="1">VLOOKUP(dict_DQ_Meth_max[[#This Row],[ID_DataQualities]],table_DataQualities[],8,FALSE)</f>
        <v>1.4999999999999999E-2</v>
      </c>
      <c r="M940" s="10">
        <f ca="1">VLOOKUP(dict_DQ_Meth_max[[#This Row],[ID_DataQualities]],table_DataQualities[],9,FALSE)</f>
        <v>7.54</v>
      </c>
    </row>
    <row r="941" spans="1:13" x14ac:dyDescent="0.45">
      <c r="A941" s="10">
        <v>251</v>
      </c>
      <c r="B941" s="10">
        <v>697</v>
      </c>
      <c r="C9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1" s="10"/>
      <c r="E941" s="10"/>
      <c r="F941" s="12">
        <f ca="1">(RANDBETWEEN(0,50)/100)*(dict_DQ_Meth_max[[#This Row],[Vergleich_ub]]-dict_DQ_Meth_max[[#This Row],[Vergleich_lb]])+dict_DQ_Meth_max[[#This Row],[Vergleich_lb]]</f>
        <v>1.2942500000000001</v>
      </c>
      <c r="G941" s="12">
        <f ca="1">(RANDBETWEEN(50,100)/100)*(dict_DQ_Meth_max[[#This Row],[Vergleich_ub]]-dict_DQ_Meth_max[[#This Row],[Vergleich_lb]])+dict_DQ_Meth_max[[#This Row],[Vergleich_lb]]</f>
        <v>3.9280000000000004</v>
      </c>
      <c r="H941" s="11" t="str">
        <f ca="1">VLOOKUP(VLOOKUP(dict_DQ_Meth_max[[#This Row],[ID_DataQualities]],table_DataQualities[],3),table_Units[],2)</f>
        <v>+/- W</v>
      </c>
      <c r="I941" s="10"/>
      <c r="J941" s="10"/>
      <c r="K941" s="10"/>
      <c r="L941" s="10">
        <f ca="1">VLOOKUP(dict_DQ_Meth_max[[#This Row],[ID_DataQualities]],table_DataQualities[],8,FALSE)</f>
        <v>1.4999999999999999E-2</v>
      </c>
      <c r="M941" s="10">
        <f ca="1">VLOOKUP(dict_DQ_Meth_max[[#This Row],[ID_DataQualities]],table_DataQualities[],9,FALSE)</f>
        <v>7.54</v>
      </c>
    </row>
    <row r="942" spans="1:13" x14ac:dyDescent="0.45">
      <c r="A942" s="10">
        <v>252</v>
      </c>
      <c r="B942" s="10">
        <v>21</v>
      </c>
      <c r="C9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2" s="10"/>
      <c r="E942" s="10"/>
      <c r="F942" s="12">
        <f ca="1">(RANDBETWEEN(0,50)/100)*(dict_DQ_Meth_max[[#This Row],[Vergleich_ub]]-dict_DQ_Meth_max[[#This Row],[Vergleich_lb]])+dict_DQ_Meth_max[[#This Row],[Vergleich_lb]]</f>
        <v>2147.3000799999995</v>
      </c>
      <c r="G942" s="12">
        <f ca="1">(RANDBETWEEN(50,100)/100)*(dict_DQ_Meth_max[[#This Row],[Vergleich_ub]]-dict_DQ_Meth_max[[#This Row],[Vergleich_lb]])+dict_DQ_Meth_max[[#This Row],[Vergleich_lb]]</f>
        <v>4920.8211000000001</v>
      </c>
      <c r="H942" s="11" t="str">
        <f ca="1">VLOOKUP(VLOOKUP(dict_DQ_Meth_max[[#This Row],[ID_DataQualities]],table_DataQualities[],3),table_Units[],2)</f>
        <v>Hz</v>
      </c>
      <c r="I942" s="10"/>
      <c r="J942" s="10"/>
      <c r="K942" s="10"/>
      <c r="L942" s="10">
        <f ca="1">VLOOKUP(dict_DQ_Meth_max[[#This Row],[ID_DataQualities]],table_DataQualities[],8,FALSE)</f>
        <v>5.8000000000000003E-2</v>
      </c>
      <c r="M942" s="10">
        <f ca="1">VLOOKUP(dict_DQ_Meth_max[[#This Row],[ID_DataQualities]],table_DataQualities[],9,FALSE)</f>
        <v>8946.9</v>
      </c>
    </row>
    <row r="943" spans="1:13" x14ac:dyDescent="0.45">
      <c r="A943" s="10">
        <v>252</v>
      </c>
      <c r="B943" s="10">
        <v>48</v>
      </c>
      <c r="C9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3" s="10"/>
      <c r="E943" s="10"/>
      <c r="F943" s="12">
        <f ca="1">(RANDBETWEEN(0,50)/100)*(dict_DQ_Meth_max[[#This Row],[Vergleich_ub]]-dict_DQ_Meth_max[[#This Row],[Vergleich_lb]])+dict_DQ_Meth_max[[#This Row],[Vergleich_lb]]</f>
        <v>4473.4789999999994</v>
      </c>
      <c r="G943" s="12">
        <f ca="1">(RANDBETWEEN(50,100)/100)*(dict_DQ_Meth_max[[#This Row],[Vergleich_ub]]-dict_DQ_Meth_max[[#This Row],[Vergleich_lb]])+dict_DQ_Meth_max[[#This Row],[Vergleich_lb]]</f>
        <v>8946.9</v>
      </c>
      <c r="H943" s="11" t="str">
        <f ca="1">VLOOKUP(VLOOKUP(dict_DQ_Meth_max[[#This Row],[ID_DataQualities]],table_DataQualities[],3),table_Units[],2)</f>
        <v>Hz</v>
      </c>
      <c r="I943" s="10"/>
      <c r="J943" s="10"/>
      <c r="K943" s="10"/>
      <c r="L943" s="10">
        <f ca="1">VLOOKUP(dict_DQ_Meth_max[[#This Row],[ID_DataQualities]],table_DataQualities[],8,FALSE)</f>
        <v>5.8000000000000003E-2</v>
      </c>
      <c r="M943" s="10">
        <f ca="1">VLOOKUP(dict_DQ_Meth_max[[#This Row],[ID_DataQualities]],table_DataQualities[],9,FALSE)</f>
        <v>8946.9</v>
      </c>
    </row>
    <row r="944" spans="1:13" x14ac:dyDescent="0.45">
      <c r="A944" s="10">
        <v>252</v>
      </c>
      <c r="B944" s="10">
        <v>634</v>
      </c>
      <c r="C9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4" s="10"/>
      <c r="E944" s="10"/>
      <c r="F944" s="12">
        <f ca="1">(RANDBETWEEN(0,50)/100)*(dict_DQ_Meth_max[[#This Row],[Vergleich_ub]]-dict_DQ_Meth_max[[#This Row],[Vergleich_lb]])+dict_DQ_Meth_max[[#This Row],[Vergleich_lb]]</f>
        <v>4384.0105799999992</v>
      </c>
      <c r="G944" s="12">
        <f ca="1">(RANDBETWEEN(50,100)/100)*(dict_DQ_Meth_max[[#This Row],[Vergleich_ub]]-dict_DQ_Meth_max[[#This Row],[Vergleich_lb]])+dict_DQ_Meth_max[[#This Row],[Vergleich_lb]]</f>
        <v>8410.0894799999987</v>
      </c>
      <c r="H944" s="11" t="str">
        <f ca="1">VLOOKUP(VLOOKUP(dict_DQ_Meth_max[[#This Row],[ID_DataQualities]],table_DataQualities[],3),table_Units[],2)</f>
        <v>Hz</v>
      </c>
      <c r="I944" s="10"/>
      <c r="J944" s="10"/>
      <c r="K944" s="10"/>
      <c r="L944" s="10">
        <f ca="1">VLOOKUP(dict_DQ_Meth_max[[#This Row],[ID_DataQualities]],table_DataQualities[],8,FALSE)</f>
        <v>5.8000000000000003E-2</v>
      </c>
      <c r="M944" s="10">
        <f ca="1">VLOOKUP(dict_DQ_Meth_max[[#This Row],[ID_DataQualities]],table_DataQualities[],9,FALSE)</f>
        <v>8946.9</v>
      </c>
    </row>
    <row r="945" spans="1:13" x14ac:dyDescent="0.45">
      <c r="A945" s="10">
        <v>253</v>
      </c>
      <c r="B945" s="10">
        <v>634</v>
      </c>
      <c r="C9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5" s="10"/>
      <c r="E945" s="10"/>
      <c r="F945" s="12">
        <f ca="1">(RANDBETWEEN(0,50)/100)*(dict_DQ_Meth_max[[#This Row],[Vergleich_ub]]-dict_DQ_Meth_max[[#This Row],[Vergleich_lb]])+dict_DQ_Meth_max[[#This Row],[Vergleich_lb]]</f>
        <v>1.9254E-2</v>
      </c>
      <c r="G945" s="12">
        <f ca="1">(RANDBETWEEN(50,100)/100)*(dict_DQ_Meth_max[[#This Row],[Vergleich_ub]]-dict_DQ_Meth_max[[#This Row],[Vergleich_lb]])+dict_DQ_Meth_max[[#This Row],[Vergleich_lb]]</f>
        <v>0.69503399999999993</v>
      </c>
      <c r="H945" s="11" t="str">
        <f ca="1">VLOOKUP(VLOOKUP(dict_DQ_Meth_max[[#This Row],[ID_DataQualities]],table_DataQualities[],3),table_Units[],2)</f>
        <v>+/- cm³/s</v>
      </c>
      <c r="I945" s="10"/>
      <c r="J945" s="10"/>
      <c r="K945" s="10"/>
      <c r="L945" s="10">
        <f ca="1">VLOOKUP(dict_DQ_Meth_max[[#This Row],[ID_DataQualities]],table_DataQualities[],8,FALSE)</f>
        <v>9.5999999999999992E-3</v>
      </c>
      <c r="M945" s="10">
        <f ca="1">VLOOKUP(dict_DQ_Meth_max[[#This Row],[ID_DataQualities]],table_DataQualities[],9,FALSE)</f>
        <v>0.97499999999999998</v>
      </c>
    </row>
    <row r="946" spans="1:13" x14ac:dyDescent="0.45">
      <c r="A946" s="10">
        <v>253</v>
      </c>
      <c r="B946" s="10">
        <v>48</v>
      </c>
      <c r="C9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6" s="10"/>
      <c r="E946" s="10"/>
      <c r="F946" s="12">
        <f ca="1">(RANDBETWEEN(0,50)/100)*(dict_DQ_Meth_max[[#This Row],[Vergleich_ub]]-dict_DQ_Meth_max[[#This Row],[Vergleich_lb]])+dict_DQ_Meth_max[[#This Row],[Vergleich_lb]]</f>
        <v>0.40541399999999994</v>
      </c>
      <c r="G946" s="12">
        <f ca="1">(RANDBETWEEN(50,100)/100)*(dict_DQ_Meth_max[[#This Row],[Vergleich_ub]]-dict_DQ_Meth_max[[#This Row],[Vergleich_lb]])+dict_DQ_Meth_max[[#This Row],[Vergleich_lb]]</f>
        <v>0.70468799999999998</v>
      </c>
      <c r="H946" s="11" t="str">
        <f ca="1">VLOOKUP(VLOOKUP(dict_DQ_Meth_max[[#This Row],[ID_DataQualities]],table_DataQualities[],3),table_Units[],2)</f>
        <v>+/- cm³/s</v>
      </c>
      <c r="I946" s="10"/>
      <c r="J946" s="10"/>
      <c r="K946" s="10"/>
      <c r="L946" s="10">
        <f ca="1">VLOOKUP(dict_DQ_Meth_max[[#This Row],[ID_DataQualities]],table_DataQualities[],8,FALSE)</f>
        <v>9.5999999999999992E-3</v>
      </c>
      <c r="M946" s="10">
        <f ca="1">VLOOKUP(dict_DQ_Meth_max[[#This Row],[ID_DataQualities]],table_DataQualities[],9,FALSE)</f>
        <v>0.97499999999999998</v>
      </c>
    </row>
    <row r="947" spans="1:13" x14ac:dyDescent="0.45">
      <c r="A947" s="10">
        <v>253</v>
      </c>
      <c r="B947" s="10">
        <v>21</v>
      </c>
      <c r="C9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7" s="10"/>
      <c r="E947" s="10"/>
      <c r="F947" s="12">
        <f ca="1">(RANDBETWEEN(0,50)/100)*(dict_DQ_Meth_max[[#This Row],[Vergleich_ub]]-dict_DQ_Meth_max[[#This Row],[Vergleich_lb]])+dict_DQ_Meth_max[[#This Row],[Vergleich_lb]]</f>
        <v>0.42472199999999993</v>
      </c>
      <c r="G947" s="12">
        <f ca="1">(RANDBETWEEN(50,100)/100)*(dict_DQ_Meth_max[[#This Row],[Vergleich_ub]]-dict_DQ_Meth_max[[#This Row],[Vergleich_lb]])+dict_DQ_Meth_max[[#This Row],[Vergleich_lb]]</f>
        <v>0.74330399999999996</v>
      </c>
      <c r="H947" s="11" t="str">
        <f ca="1">VLOOKUP(VLOOKUP(dict_DQ_Meth_max[[#This Row],[ID_DataQualities]],table_DataQualities[],3),table_Units[],2)</f>
        <v>+/- cm³/s</v>
      </c>
      <c r="I947" s="10"/>
      <c r="J947" s="10"/>
      <c r="K947" s="10"/>
      <c r="L947" s="10">
        <f ca="1">VLOOKUP(dict_DQ_Meth_max[[#This Row],[ID_DataQualities]],table_DataQualities[],8,FALSE)</f>
        <v>9.5999999999999992E-3</v>
      </c>
      <c r="M947" s="10">
        <f ca="1">VLOOKUP(dict_DQ_Meth_max[[#This Row],[ID_DataQualities]],table_DataQualities[],9,FALSE)</f>
        <v>0.97499999999999998</v>
      </c>
    </row>
    <row r="948" spans="1:13" x14ac:dyDescent="0.45">
      <c r="A948" s="10">
        <v>254</v>
      </c>
      <c r="B948" s="10">
        <v>32</v>
      </c>
      <c r="C9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8" s="10"/>
      <c r="E948" s="10"/>
      <c r="F948" s="12">
        <f ca="1">(RANDBETWEEN(0,50)/100)*(dict_DQ_Meth_max[[#This Row],[Vergleich_ub]]-dict_DQ_Meth_max[[#This Row],[Vergleich_lb]])+dict_DQ_Meth_max[[#This Row],[Vergleich_lb]]</f>
        <v>2140.9366</v>
      </c>
      <c r="G948" s="12">
        <f ca="1">(RANDBETWEEN(50,100)/100)*(dict_DQ_Meth_max[[#This Row],[Vergleich_ub]]-dict_DQ_Meth_max[[#This Row],[Vergleich_lb]])+dict_DQ_Meth_max[[#This Row],[Vergleich_lb]]</f>
        <v>6635.7736599999998</v>
      </c>
      <c r="H948" s="11" t="str">
        <f ca="1">VLOOKUP(VLOOKUP(dict_DQ_Meth_max[[#This Row],[ID_DataQualities]],table_DataQualities[],3),table_Units[],2)</f>
        <v>Hz</v>
      </c>
      <c r="I948" s="10"/>
      <c r="J948" s="10"/>
      <c r="K948" s="10"/>
      <c r="L948" s="10">
        <f ca="1">VLOOKUP(dict_DQ_Meth_max[[#This Row],[ID_DataQualities]],table_DataQualities[],8,FALSE)</f>
        <v>0.53800000000000003</v>
      </c>
      <c r="M948" s="10">
        <f ca="1">VLOOKUP(dict_DQ_Meth_max[[#This Row],[ID_DataQualities]],table_DataQualities[],9,FALSE)</f>
        <v>7135.2</v>
      </c>
    </row>
    <row r="949" spans="1:13" x14ac:dyDescent="0.45">
      <c r="A949" s="10">
        <v>254</v>
      </c>
      <c r="B949" s="10">
        <v>346</v>
      </c>
      <c r="C9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49" s="10"/>
      <c r="E949" s="10"/>
      <c r="F949" s="12">
        <f ca="1">(RANDBETWEEN(0,50)/100)*(dict_DQ_Meth_max[[#This Row],[Vergleich_ub]]-dict_DQ_Meth_max[[#This Row],[Vergleich_lb]])+dict_DQ_Meth_max[[#This Row],[Vergleich_lb]]</f>
        <v>357.27110000000005</v>
      </c>
      <c r="G949" s="12">
        <f ca="1">(RANDBETWEEN(50,100)/100)*(dict_DQ_Meth_max[[#This Row],[Vergleich_ub]]-dict_DQ_Meth_max[[#This Row],[Vergleich_lb]])+dict_DQ_Meth_max[[#This Row],[Vergleich_lb]]</f>
        <v>6992.5067599999993</v>
      </c>
      <c r="H949" s="11" t="str">
        <f ca="1">VLOOKUP(VLOOKUP(dict_DQ_Meth_max[[#This Row],[ID_DataQualities]],table_DataQualities[],3),table_Units[],2)</f>
        <v>Hz</v>
      </c>
      <c r="I949" s="10"/>
      <c r="J949" s="10"/>
      <c r="K949" s="10"/>
      <c r="L949" s="10">
        <f ca="1">VLOOKUP(dict_DQ_Meth_max[[#This Row],[ID_DataQualities]],table_DataQualities[],8,FALSE)</f>
        <v>0.53800000000000003</v>
      </c>
      <c r="M949" s="10">
        <f ca="1">VLOOKUP(dict_DQ_Meth_max[[#This Row],[ID_DataQualities]],table_DataQualities[],9,FALSE)</f>
        <v>7135.2</v>
      </c>
    </row>
    <row r="950" spans="1:13" x14ac:dyDescent="0.45">
      <c r="A950" s="10">
        <v>254</v>
      </c>
      <c r="B950" s="10">
        <v>20</v>
      </c>
      <c r="C9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0" s="10"/>
      <c r="E950" s="10"/>
      <c r="F950" s="12">
        <f ca="1">(RANDBETWEEN(0,50)/100)*(dict_DQ_Meth_max[[#This Row],[Vergleich_ub]]-dict_DQ_Meth_max[[#This Row],[Vergleich_lb]])+dict_DQ_Meth_max[[#This Row],[Vergleich_lb]]</f>
        <v>1427.4704000000002</v>
      </c>
      <c r="G950" s="12">
        <f ca="1">(RANDBETWEEN(50,100)/100)*(dict_DQ_Meth_max[[#This Row],[Vergleich_ub]]-dict_DQ_Meth_max[[#This Row],[Vergleich_lb]])+dict_DQ_Meth_max[[#This Row],[Vergleich_lb]]</f>
        <v>6707.1202799999992</v>
      </c>
      <c r="H950" s="11" t="str">
        <f ca="1">VLOOKUP(VLOOKUP(dict_DQ_Meth_max[[#This Row],[ID_DataQualities]],table_DataQualities[],3),table_Units[],2)</f>
        <v>Hz</v>
      </c>
      <c r="I950" s="10"/>
      <c r="J950" s="10"/>
      <c r="K950" s="10"/>
      <c r="L950" s="10">
        <f ca="1">VLOOKUP(dict_DQ_Meth_max[[#This Row],[ID_DataQualities]],table_DataQualities[],8,FALSE)</f>
        <v>0.53800000000000003</v>
      </c>
      <c r="M950" s="10">
        <f ca="1">VLOOKUP(dict_DQ_Meth_max[[#This Row],[ID_DataQualities]],table_DataQualities[],9,FALSE)</f>
        <v>7135.2</v>
      </c>
    </row>
    <row r="951" spans="1:13" x14ac:dyDescent="0.45">
      <c r="A951" s="10">
        <v>254</v>
      </c>
      <c r="B951" s="10">
        <v>175</v>
      </c>
      <c r="C9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1" s="10"/>
      <c r="E951" s="10"/>
      <c r="F951" s="12">
        <f ca="1">(RANDBETWEEN(0,50)/100)*(dict_DQ_Meth_max[[#This Row],[Vergleich_ub]]-dict_DQ_Meth_max[[#This Row],[Vergleich_lb]])+dict_DQ_Meth_max[[#This Row],[Vergleich_lb]]</f>
        <v>2925.7494200000001</v>
      </c>
      <c r="G951" s="12">
        <f ca="1">(RANDBETWEEN(50,100)/100)*(dict_DQ_Meth_max[[#This Row],[Vergleich_ub]]-dict_DQ_Meth_max[[#This Row],[Vergleich_lb]])+dict_DQ_Meth_max[[#This Row],[Vergleich_lb]]</f>
        <v>5993.6540799999993</v>
      </c>
      <c r="H951" s="11" t="str">
        <f ca="1">VLOOKUP(VLOOKUP(dict_DQ_Meth_max[[#This Row],[ID_DataQualities]],table_DataQualities[],3),table_Units[],2)</f>
        <v>Hz</v>
      </c>
      <c r="I951" s="10"/>
      <c r="J951" s="10"/>
      <c r="K951" s="10"/>
      <c r="L951" s="10">
        <f ca="1">VLOOKUP(dict_DQ_Meth_max[[#This Row],[ID_DataQualities]],table_DataQualities[],8,FALSE)</f>
        <v>0.53800000000000003</v>
      </c>
      <c r="M951" s="10">
        <f ca="1">VLOOKUP(dict_DQ_Meth_max[[#This Row],[ID_DataQualities]],table_DataQualities[],9,FALSE)</f>
        <v>7135.2</v>
      </c>
    </row>
    <row r="952" spans="1:13" x14ac:dyDescent="0.45">
      <c r="A952" s="10">
        <v>254</v>
      </c>
      <c r="B952" s="10">
        <v>379</v>
      </c>
      <c r="C9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2" s="10"/>
      <c r="E952" s="10"/>
      <c r="F952" s="12">
        <f ca="1">(RANDBETWEEN(0,50)/100)*(dict_DQ_Meth_max[[#This Row],[Vergleich_ub]]-dict_DQ_Meth_max[[#This Row],[Vergleich_lb]])+dict_DQ_Meth_max[[#This Row],[Vergleich_lb]]</f>
        <v>214.57786000000002</v>
      </c>
      <c r="G952" s="12">
        <f ca="1">(RANDBETWEEN(50,100)/100)*(dict_DQ_Meth_max[[#This Row],[Vergleich_ub]]-dict_DQ_Meth_max[[#This Row],[Vergleich_lb]])+dict_DQ_Meth_max[[#This Row],[Vergleich_lb]]</f>
        <v>3995.9487200000003</v>
      </c>
      <c r="H952" s="11" t="str">
        <f ca="1">VLOOKUP(VLOOKUP(dict_DQ_Meth_max[[#This Row],[ID_DataQualities]],table_DataQualities[],3),table_Units[],2)</f>
        <v>Hz</v>
      </c>
      <c r="I952" s="10"/>
      <c r="J952" s="10"/>
      <c r="K952" s="10"/>
      <c r="L952" s="10">
        <f ca="1">VLOOKUP(dict_DQ_Meth_max[[#This Row],[ID_DataQualities]],table_DataQualities[],8,FALSE)</f>
        <v>0.53800000000000003</v>
      </c>
      <c r="M952" s="10">
        <f ca="1">VLOOKUP(dict_DQ_Meth_max[[#This Row],[ID_DataQualities]],table_DataQualities[],9,FALSE)</f>
        <v>7135.2</v>
      </c>
    </row>
    <row r="953" spans="1:13" x14ac:dyDescent="0.45">
      <c r="A953" s="10">
        <v>255</v>
      </c>
      <c r="B953" s="10">
        <v>346</v>
      </c>
      <c r="C9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3" s="10"/>
      <c r="E953" s="10"/>
      <c r="F953" s="12">
        <f ca="1">(RANDBETWEEN(0,50)/100)*(dict_DQ_Meth_max[[#This Row],[Vergleich_ub]]-dict_DQ_Meth_max[[#This Row],[Vergleich_lb]])+dict_DQ_Meth_max[[#This Row],[Vergleich_lb]]</f>
        <v>1.4762599999999999</v>
      </c>
      <c r="G953" s="12">
        <f ca="1">(RANDBETWEEN(50,100)/100)*(dict_DQ_Meth_max[[#This Row],[Vergleich_ub]]-dict_DQ_Meth_max[[#This Row],[Vergleich_lb]])+dict_DQ_Meth_max[[#This Row],[Vergleich_lb]]</f>
        <v>5.8540400000000004</v>
      </c>
      <c r="H953" s="11" t="str">
        <f ca="1">VLOOKUP(VLOOKUP(dict_DQ_Meth_max[[#This Row],[ID_DataQualities]],table_DataQualities[],3),table_Units[],2)</f>
        <v>+/- W</v>
      </c>
      <c r="I953" s="10"/>
      <c r="J953" s="10"/>
      <c r="K953" s="10"/>
      <c r="L953" s="10">
        <f ca="1">VLOOKUP(dict_DQ_Meth_max[[#This Row],[ID_DataQualities]],table_DataQualities[],8,FALSE)</f>
        <v>1.7000000000000001E-2</v>
      </c>
      <c r="M953" s="10">
        <f ca="1">VLOOKUP(dict_DQ_Meth_max[[#This Row],[ID_DataQualities]],table_DataQualities[],9,FALSE)</f>
        <v>6.65</v>
      </c>
    </row>
    <row r="954" spans="1:13" x14ac:dyDescent="0.45">
      <c r="A954" s="10">
        <v>255</v>
      </c>
      <c r="B954" s="10">
        <v>175</v>
      </c>
      <c r="C9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4" s="10"/>
      <c r="E954" s="10"/>
      <c r="F954" s="12">
        <f ca="1">(RANDBETWEEN(0,50)/100)*(dict_DQ_Meth_max[[#This Row],[Vergleich_ub]]-dict_DQ_Meth_max[[#This Row],[Vergleich_lb]])+dict_DQ_Meth_max[[#This Row],[Vergleich_lb]]</f>
        <v>0.34865000000000002</v>
      </c>
      <c r="G954" s="12">
        <f ca="1">(RANDBETWEEN(50,100)/100)*(dict_DQ_Meth_max[[#This Row],[Vergleich_ub]]-dict_DQ_Meth_max[[#This Row],[Vergleich_lb]])+dict_DQ_Meth_max[[#This Row],[Vergleich_lb]]</f>
        <v>4.7264299999999997</v>
      </c>
      <c r="H954" s="11" t="str">
        <f ca="1">VLOOKUP(VLOOKUP(dict_DQ_Meth_max[[#This Row],[ID_DataQualities]],table_DataQualities[],3),table_Units[],2)</f>
        <v>+/- W</v>
      </c>
      <c r="I954" s="10"/>
      <c r="J954" s="10"/>
      <c r="K954" s="10"/>
      <c r="L954" s="10">
        <f ca="1">VLOOKUP(dict_DQ_Meth_max[[#This Row],[ID_DataQualities]],table_DataQualities[],8,FALSE)</f>
        <v>1.7000000000000001E-2</v>
      </c>
      <c r="M954" s="10">
        <f ca="1">VLOOKUP(dict_DQ_Meth_max[[#This Row],[ID_DataQualities]],table_DataQualities[],9,FALSE)</f>
        <v>6.65</v>
      </c>
    </row>
    <row r="955" spans="1:13" x14ac:dyDescent="0.45">
      <c r="A955" s="10">
        <v>255</v>
      </c>
      <c r="B955" s="10">
        <v>20</v>
      </c>
      <c r="C9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5" s="10"/>
      <c r="E955" s="10"/>
      <c r="F955" s="12">
        <f ca="1">(RANDBETWEEN(0,50)/100)*(dict_DQ_Meth_max[[#This Row],[Vergleich_ub]]-dict_DQ_Meth_max[[#This Row],[Vergleich_lb]])+dict_DQ_Meth_max[[#This Row],[Vergleich_lb]]</f>
        <v>1.0782799999999999</v>
      </c>
      <c r="G955" s="12">
        <f ca="1">(RANDBETWEEN(50,100)/100)*(dict_DQ_Meth_max[[#This Row],[Vergleich_ub]]-dict_DQ_Meth_max[[#This Row],[Vergleich_lb]])+dict_DQ_Meth_max[[#This Row],[Vergleich_lb]]</f>
        <v>5.5223899999999997</v>
      </c>
      <c r="H955" s="11" t="str">
        <f ca="1">VLOOKUP(VLOOKUP(dict_DQ_Meth_max[[#This Row],[ID_DataQualities]],table_DataQualities[],3),table_Units[],2)</f>
        <v>+/- W</v>
      </c>
      <c r="I955" s="10"/>
      <c r="J955" s="10"/>
      <c r="K955" s="10"/>
      <c r="L955" s="10">
        <f ca="1">VLOOKUP(dict_DQ_Meth_max[[#This Row],[ID_DataQualities]],table_DataQualities[],8,FALSE)</f>
        <v>1.7000000000000001E-2</v>
      </c>
      <c r="M955" s="10">
        <f ca="1">VLOOKUP(dict_DQ_Meth_max[[#This Row],[ID_DataQualities]],table_DataQualities[],9,FALSE)</f>
        <v>6.65</v>
      </c>
    </row>
    <row r="956" spans="1:13" x14ac:dyDescent="0.45">
      <c r="A956" s="10">
        <v>255</v>
      </c>
      <c r="B956" s="10">
        <v>32</v>
      </c>
      <c r="C9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6" s="10"/>
      <c r="E956" s="10"/>
      <c r="F956" s="12">
        <f ca="1">(RANDBETWEEN(0,50)/100)*(dict_DQ_Meth_max[[#This Row],[Vergleich_ub]]-dict_DQ_Meth_max[[#This Row],[Vergleich_lb]])+dict_DQ_Meth_max[[#This Row],[Vergleich_lb]]</f>
        <v>2.7365299999999997</v>
      </c>
      <c r="G956" s="12">
        <f ca="1">(RANDBETWEEN(50,100)/100)*(dict_DQ_Meth_max[[#This Row],[Vergleich_ub]]-dict_DQ_Meth_max[[#This Row],[Vergleich_lb]])+dict_DQ_Meth_max[[#This Row],[Vergleich_lb]]</f>
        <v>6.3846800000000004</v>
      </c>
      <c r="H956" s="11" t="str">
        <f ca="1">VLOOKUP(VLOOKUP(dict_DQ_Meth_max[[#This Row],[ID_DataQualities]],table_DataQualities[],3),table_Units[],2)</f>
        <v>+/- W</v>
      </c>
      <c r="I956" s="10"/>
      <c r="J956" s="10"/>
      <c r="K956" s="10"/>
      <c r="L956" s="10">
        <f ca="1">VLOOKUP(dict_DQ_Meth_max[[#This Row],[ID_DataQualities]],table_DataQualities[],8,FALSE)</f>
        <v>1.7000000000000001E-2</v>
      </c>
      <c r="M956" s="10">
        <f ca="1">VLOOKUP(dict_DQ_Meth_max[[#This Row],[ID_DataQualities]],table_DataQualities[],9,FALSE)</f>
        <v>6.65</v>
      </c>
    </row>
    <row r="957" spans="1:13" x14ac:dyDescent="0.45">
      <c r="A957" s="10">
        <v>255</v>
      </c>
      <c r="B957" s="10">
        <v>379</v>
      </c>
      <c r="C9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7" s="10"/>
      <c r="E957" s="10"/>
      <c r="F957" s="12">
        <f ca="1">(RANDBETWEEN(0,50)/100)*(dict_DQ_Meth_max[[#This Row],[Vergleich_ub]]-dict_DQ_Meth_max[[#This Row],[Vergleich_lb]])+dict_DQ_Meth_max[[#This Row],[Vergleich_lb]]</f>
        <v>0.68030000000000002</v>
      </c>
      <c r="G957" s="12">
        <f ca="1">(RANDBETWEEN(50,100)/100)*(dict_DQ_Meth_max[[#This Row],[Vergleich_ub]]-dict_DQ_Meth_max[[#This Row],[Vergleich_lb]])+dict_DQ_Meth_max[[#This Row],[Vergleich_lb]]</f>
        <v>5.1244100000000001</v>
      </c>
      <c r="H957" s="11" t="str">
        <f ca="1">VLOOKUP(VLOOKUP(dict_DQ_Meth_max[[#This Row],[ID_DataQualities]],table_DataQualities[],3),table_Units[],2)</f>
        <v>+/- W</v>
      </c>
      <c r="I957" s="10"/>
      <c r="J957" s="10"/>
      <c r="K957" s="10"/>
      <c r="L957" s="10">
        <f ca="1">VLOOKUP(dict_DQ_Meth_max[[#This Row],[ID_DataQualities]],table_DataQualities[],8,FALSE)</f>
        <v>1.7000000000000001E-2</v>
      </c>
      <c r="M957" s="10">
        <f ca="1">VLOOKUP(dict_DQ_Meth_max[[#This Row],[ID_DataQualities]],table_DataQualities[],9,FALSE)</f>
        <v>6.65</v>
      </c>
    </row>
    <row r="958" spans="1:13" x14ac:dyDescent="0.45">
      <c r="A958" s="10">
        <v>256</v>
      </c>
      <c r="B958" s="10">
        <v>211</v>
      </c>
      <c r="C9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8" s="10"/>
      <c r="E958" s="10"/>
      <c r="F958" s="12">
        <f ca="1">(RANDBETWEEN(0,50)/100)*(dict_DQ_Meth_max[[#This Row],[Vergleich_ub]]-dict_DQ_Meth_max[[#This Row],[Vergleich_lb]])+dict_DQ_Meth_max[[#This Row],[Vergleich_lb]]</f>
        <v>3136.9115000000002</v>
      </c>
      <c r="G958" s="12">
        <f ca="1">(RANDBETWEEN(50,100)/100)*(dict_DQ_Meth_max[[#This Row],[Vergleich_ub]]-dict_DQ_Meth_max[[#This Row],[Vergleich_lb]])+dict_DQ_Meth_max[[#This Row],[Vergleich_lb]]</f>
        <v>4140.65182</v>
      </c>
      <c r="H958" s="11" t="str">
        <f ca="1">VLOOKUP(VLOOKUP(dict_DQ_Meth_max[[#This Row],[ID_DataQualities]],table_DataQualities[],3),table_Units[],2)</f>
        <v>Hz</v>
      </c>
      <c r="I958" s="10"/>
      <c r="J958" s="10"/>
      <c r="K958" s="10"/>
      <c r="L958" s="10">
        <f ca="1">VLOOKUP(dict_DQ_Meth_max[[#This Row],[ID_DataQualities]],table_DataQualities[],8,FALSE)</f>
        <v>0.223</v>
      </c>
      <c r="M958" s="10">
        <f ca="1">VLOOKUP(dict_DQ_Meth_max[[#This Row],[ID_DataQualities]],table_DataQualities[],9,FALSE)</f>
        <v>6273.6</v>
      </c>
    </row>
    <row r="959" spans="1:13" x14ac:dyDescent="0.45">
      <c r="A959" s="10">
        <v>256</v>
      </c>
      <c r="B959" s="10">
        <v>526</v>
      </c>
      <c r="C9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59" s="10"/>
      <c r="E959" s="10"/>
      <c r="F959" s="12">
        <f ca="1">(RANDBETWEEN(0,50)/100)*(dict_DQ_Meth_max[[#This Row],[Vergleich_ub]]-dict_DQ_Meth_max[[#This Row],[Vergleich_lb]])+dict_DQ_Meth_max[[#This Row],[Vergleich_lb]]</f>
        <v>1694.0347900000002</v>
      </c>
      <c r="G959" s="12">
        <f ca="1">(RANDBETWEEN(50,100)/100)*(dict_DQ_Meth_max[[#This Row],[Vergleich_ub]]-dict_DQ_Meth_max[[#This Row],[Vergleich_lb]])+dict_DQ_Meth_max[[#This Row],[Vergleich_lb]]</f>
        <v>4579.7882099999997</v>
      </c>
      <c r="H959" s="11" t="str">
        <f ca="1">VLOOKUP(VLOOKUP(dict_DQ_Meth_max[[#This Row],[ID_DataQualities]],table_DataQualities[],3),table_Units[],2)</f>
        <v>Hz</v>
      </c>
      <c r="I959" s="10"/>
      <c r="J959" s="10"/>
      <c r="K959" s="10"/>
      <c r="L959" s="10">
        <f ca="1">VLOOKUP(dict_DQ_Meth_max[[#This Row],[ID_DataQualities]],table_DataQualities[],8,FALSE)</f>
        <v>0.223</v>
      </c>
      <c r="M959" s="10">
        <f ca="1">VLOOKUP(dict_DQ_Meth_max[[#This Row],[ID_DataQualities]],table_DataQualities[],9,FALSE)</f>
        <v>6273.6</v>
      </c>
    </row>
    <row r="960" spans="1:13" x14ac:dyDescent="0.45">
      <c r="A960" s="10">
        <v>256</v>
      </c>
      <c r="B960" s="10">
        <v>360</v>
      </c>
      <c r="C9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0" s="10"/>
      <c r="E960" s="10"/>
      <c r="F960" s="12">
        <f ca="1">(RANDBETWEEN(0,50)/100)*(dict_DQ_Meth_max[[#This Row],[Vergleich_ub]]-dict_DQ_Meth_max[[#This Row],[Vergleich_lb]])+dict_DQ_Meth_max[[#This Row],[Vergleich_lb]]</f>
        <v>1944.9698700000001</v>
      </c>
      <c r="G960" s="12">
        <f ca="1">(RANDBETWEEN(50,100)/100)*(dict_DQ_Meth_max[[#This Row],[Vergleich_ub]]-dict_DQ_Meth_max[[#This Row],[Vergleich_lb]])+dict_DQ_Meth_max[[#This Row],[Vergleich_lb]]</f>
        <v>4140.65182</v>
      </c>
      <c r="H960" s="11" t="str">
        <f ca="1">VLOOKUP(VLOOKUP(dict_DQ_Meth_max[[#This Row],[ID_DataQualities]],table_DataQualities[],3),table_Units[],2)</f>
        <v>Hz</v>
      </c>
      <c r="I960" s="10"/>
      <c r="J960" s="10"/>
      <c r="K960" s="10"/>
      <c r="L960" s="10">
        <f ca="1">VLOOKUP(dict_DQ_Meth_max[[#This Row],[ID_DataQualities]],table_DataQualities[],8,FALSE)</f>
        <v>0.223</v>
      </c>
      <c r="M960" s="10">
        <f ca="1">VLOOKUP(dict_DQ_Meth_max[[#This Row],[ID_DataQualities]],table_DataQualities[],9,FALSE)</f>
        <v>6273.6</v>
      </c>
    </row>
    <row r="961" spans="1:13" x14ac:dyDescent="0.45">
      <c r="A961" s="10">
        <v>256</v>
      </c>
      <c r="B961" s="10">
        <v>415</v>
      </c>
      <c r="C9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1" s="10"/>
      <c r="E961" s="10"/>
      <c r="F961" s="12">
        <f ca="1">(RANDBETWEEN(0,50)/100)*(dict_DQ_Meth_max[[#This Row],[Vergleich_ub]]-dict_DQ_Meth_max[[#This Row],[Vergleich_lb]])+dict_DQ_Meth_max[[#This Row],[Vergleich_lb]]</f>
        <v>627.5607</v>
      </c>
      <c r="G961" s="12">
        <f ca="1">(RANDBETWEEN(50,100)/100)*(dict_DQ_Meth_max[[#This Row],[Vergleich_ub]]-dict_DQ_Meth_max[[#This Row],[Vergleich_lb]])+dict_DQ_Meth_max[[#This Row],[Vergleich_lb]]</f>
        <v>6273.6</v>
      </c>
      <c r="H961" s="11" t="str">
        <f ca="1">VLOOKUP(VLOOKUP(dict_DQ_Meth_max[[#This Row],[ID_DataQualities]],table_DataQualities[],3),table_Units[],2)</f>
        <v>Hz</v>
      </c>
      <c r="I961" s="10"/>
      <c r="J961" s="10"/>
      <c r="K961" s="10"/>
      <c r="L961" s="10">
        <f ca="1">VLOOKUP(dict_DQ_Meth_max[[#This Row],[ID_DataQualities]],table_DataQualities[],8,FALSE)</f>
        <v>0.223</v>
      </c>
      <c r="M961" s="10">
        <f ca="1">VLOOKUP(dict_DQ_Meth_max[[#This Row],[ID_DataQualities]],table_DataQualities[],9,FALSE)</f>
        <v>6273.6</v>
      </c>
    </row>
    <row r="962" spans="1:13" x14ac:dyDescent="0.45">
      <c r="A962" s="10">
        <v>257</v>
      </c>
      <c r="B962" s="10">
        <v>360</v>
      </c>
      <c r="C9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2" s="10"/>
      <c r="E962" s="10"/>
      <c r="F962" s="12">
        <f ca="1">(RANDBETWEEN(0,50)/100)*(dict_DQ_Meth_max[[#This Row],[Vergleich_ub]]-dict_DQ_Meth_max[[#This Row],[Vergleich_lb]])+dict_DQ_Meth_max[[#This Row],[Vergleich_lb]]</f>
        <v>2.9049999999999996E-3</v>
      </c>
      <c r="G962" s="12">
        <f ca="1">(RANDBETWEEN(50,100)/100)*(dict_DQ_Meth_max[[#This Row],[Vergleich_ub]]-dict_DQ_Meth_max[[#This Row],[Vergleich_lb]])+dict_DQ_Meth_max[[#This Row],[Vergleich_lb]]</f>
        <v>0.13075999999999999</v>
      </c>
      <c r="H962" s="11" t="str">
        <f ca="1">VLOOKUP(VLOOKUP(dict_DQ_Meth_max[[#This Row],[ID_DataQualities]],table_DataQualities[],3),table_Units[],2)</f>
        <v>+/- cm³/s</v>
      </c>
      <c r="I962" s="10"/>
      <c r="J962" s="10"/>
      <c r="K962" s="10"/>
      <c r="L962" s="10">
        <f ca="1">VLOOKUP(dict_DQ_Meth_max[[#This Row],[ID_DataQualities]],table_DataQualities[],8,FALSE)</f>
        <v>1.5E-3</v>
      </c>
      <c r="M962" s="10">
        <f ca="1">VLOOKUP(dict_DQ_Meth_max[[#This Row],[ID_DataQualities]],table_DataQualities[],9,FALSE)</f>
        <v>0.14199999999999999</v>
      </c>
    </row>
    <row r="963" spans="1:13" x14ac:dyDescent="0.45">
      <c r="A963" s="10">
        <v>257</v>
      </c>
      <c r="B963" s="10">
        <v>211</v>
      </c>
      <c r="C9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3" s="10"/>
      <c r="E963" s="10"/>
      <c r="F963" s="12">
        <f ca="1">(RANDBETWEEN(0,50)/100)*(dict_DQ_Meth_max[[#This Row],[Vergleich_ub]]-dict_DQ_Meth_max[[#This Row],[Vergleich_lb]])+dict_DQ_Meth_max[[#This Row],[Vergleich_lb]]</f>
        <v>1.6954999999999998E-2</v>
      </c>
      <c r="G963" s="12">
        <f ca="1">(RANDBETWEEN(50,100)/100)*(dict_DQ_Meth_max[[#This Row],[Vergleich_ub]]-dict_DQ_Meth_max[[#This Row],[Vergleich_lb]])+dict_DQ_Meth_max[[#This Row],[Vergleich_lb]]</f>
        <v>9.984999999999998E-2</v>
      </c>
      <c r="H963" s="11" t="str">
        <f ca="1">VLOOKUP(VLOOKUP(dict_DQ_Meth_max[[#This Row],[ID_DataQualities]],table_DataQualities[],3),table_Units[],2)</f>
        <v>+/- cm³/s</v>
      </c>
      <c r="I963" s="10"/>
      <c r="J963" s="10"/>
      <c r="K963" s="10"/>
      <c r="L963" s="10">
        <f ca="1">VLOOKUP(dict_DQ_Meth_max[[#This Row],[ID_DataQualities]],table_DataQualities[],8,FALSE)</f>
        <v>1.5E-3</v>
      </c>
      <c r="M963" s="10">
        <f ca="1">VLOOKUP(dict_DQ_Meth_max[[#This Row],[ID_DataQualities]],table_DataQualities[],9,FALSE)</f>
        <v>0.14199999999999999</v>
      </c>
    </row>
    <row r="964" spans="1:13" x14ac:dyDescent="0.45">
      <c r="A964" s="10">
        <v>257</v>
      </c>
      <c r="B964" s="10">
        <v>526</v>
      </c>
      <c r="C9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4" s="10"/>
      <c r="E964" s="10"/>
      <c r="F964" s="12">
        <f ca="1">(RANDBETWEEN(0,50)/100)*(dict_DQ_Meth_max[[#This Row],[Vergleich_ub]]-dict_DQ_Meth_max[[#This Row],[Vergleich_lb]])+dict_DQ_Meth_max[[#This Row],[Vergleich_lb]]</f>
        <v>6.1914999999999998E-2</v>
      </c>
      <c r="G964" s="12">
        <f ca="1">(RANDBETWEEN(50,100)/100)*(dict_DQ_Meth_max[[#This Row],[Vergleich_ub]]-dict_DQ_Meth_max[[#This Row],[Vergleich_lb]])+dict_DQ_Meth_max[[#This Row],[Vergleich_lb]]</f>
        <v>0.11811499999999998</v>
      </c>
      <c r="H964" s="11" t="str">
        <f ca="1">VLOOKUP(VLOOKUP(dict_DQ_Meth_max[[#This Row],[ID_DataQualities]],table_DataQualities[],3),table_Units[],2)</f>
        <v>+/- cm³/s</v>
      </c>
      <c r="I964" s="10"/>
      <c r="J964" s="10"/>
      <c r="K964" s="10"/>
      <c r="L964" s="10">
        <f ca="1">VLOOKUP(dict_DQ_Meth_max[[#This Row],[ID_DataQualities]],table_DataQualities[],8,FALSE)</f>
        <v>1.5E-3</v>
      </c>
      <c r="M964" s="10">
        <f ca="1">VLOOKUP(dict_DQ_Meth_max[[#This Row],[ID_DataQualities]],table_DataQualities[],9,FALSE)</f>
        <v>0.14199999999999999</v>
      </c>
    </row>
    <row r="965" spans="1:13" x14ac:dyDescent="0.45">
      <c r="A965" s="10">
        <v>257</v>
      </c>
      <c r="B965" s="10">
        <v>415</v>
      </c>
      <c r="C9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5" s="10"/>
      <c r="E965" s="10"/>
      <c r="F965" s="12">
        <f ca="1">(RANDBETWEEN(0,50)/100)*(dict_DQ_Meth_max[[#This Row],[Vergleich_ub]]-dict_DQ_Meth_max[[#This Row],[Vergleich_lb]])+dict_DQ_Meth_max[[#This Row],[Vergleich_lb]]</f>
        <v>5.9104999999999991E-2</v>
      </c>
      <c r="G965" s="12">
        <f ca="1">(RANDBETWEEN(50,100)/100)*(dict_DQ_Meth_max[[#This Row],[Vergleich_ub]]-dict_DQ_Meth_max[[#This Row],[Vergleich_lb]])+dict_DQ_Meth_max[[#This Row],[Vergleich_lb]]</f>
        <v>8.4394999999999984E-2</v>
      </c>
      <c r="H965" s="11" t="str">
        <f ca="1">VLOOKUP(VLOOKUP(dict_DQ_Meth_max[[#This Row],[ID_DataQualities]],table_DataQualities[],3),table_Units[],2)</f>
        <v>+/- cm³/s</v>
      </c>
      <c r="I965" s="10"/>
      <c r="J965" s="10"/>
      <c r="K965" s="10"/>
      <c r="L965" s="10">
        <f ca="1">VLOOKUP(dict_DQ_Meth_max[[#This Row],[ID_DataQualities]],table_DataQualities[],8,FALSE)</f>
        <v>1.5E-3</v>
      </c>
      <c r="M965" s="10">
        <f ca="1">VLOOKUP(dict_DQ_Meth_max[[#This Row],[ID_DataQualities]],table_DataQualities[],9,FALSE)</f>
        <v>0.14199999999999999</v>
      </c>
    </row>
    <row r="966" spans="1:13" x14ac:dyDescent="0.45">
      <c r="A966" s="10">
        <v>258</v>
      </c>
      <c r="B966" s="10">
        <v>693</v>
      </c>
      <c r="C9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6" s="10"/>
      <c r="E966" s="10"/>
      <c r="F966" s="12">
        <f ca="1">(RANDBETWEEN(0,50)/100)*(dict_DQ_Meth_max[[#This Row],[Vergleich_ub]]-dict_DQ_Meth_max[[#This Row],[Vergleich_lb]])+dict_DQ_Meth_max[[#This Row],[Vergleich_lb]]</f>
        <v>2036.1987799999997</v>
      </c>
      <c r="G966" s="12">
        <f ca="1">(RANDBETWEEN(50,100)/100)*(dict_DQ_Meth_max[[#This Row],[Vergleich_ub]]-dict_DQ_Meth_max[[#This Row],[Vergleich_lb]])+dict_DQ_Meth_max[[#This Row],[Vergleich_lb]]</f>
        <v>3490.0614799999998</v>
      </c>
      <c r="H966" s="11" t="str">
        <f ca="1">VLOOKUP(VLOOKUP(dict_DQ_Meth_max[[#This Row],[ID_DataQualities]],table_DataQualities[],3),table_Units[],2)</f>
        <v>Hz</v>
      </c>
      <c r="I966" s="10"/>
      <c r="J966" s="10"/>
      <c r="K966" s="10"/>
      <c r="L966" s="10">
        <f ca="1">VLOOKUP(dict_DQ_Meth_max[[#This Row],[ID_DataQualities]],table_DataQualities[],8,FALSE)</f>
        <v>0.79100000000000004</v>
      </c>
      <c r="M966" s="10">
        <f ca="1">VLOOKUP(dict_DQ_Meth_max[[#This Row],[ID_DataQualities]],table_DataQualities[],9,FALSE)</f>
        <v>4847</v>
      </c>
    </row>
    <row r="967" spans="1:13" x14ac:dyDescent="0.45">
      <c r="A967" s="10">
        <v>258</v>
      </c>
      <c r="B967" s="10">
        <v>446</v>
      </c>
      <c r="C9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7" s="10"/>
      <c r="E967" s="10"/>
      <c r="F967" s="12">
        <f ca="1">(RANDBETWEEN(0,50)/100)*(dict_DQ_Meth_max[[#This Row],[Vergleich_ub]]-dict_DQ_Meth_max[[#This Row],[Vergleich_lb]])+dict_DQ_Meth_max[[#This Row],[Vergleich_lb]]</f>
        <v>97.715179999999989</v>
      </c>
      <c r="G967" s="12">
        <f ca="1">(RANDBETWEEN(50,100)/100)*(dict_DQ_Meth_max[[#This Row],[Vergleich_ub]]-dict_DQ_Meth_max[[#This Row],[Vergleich_lb]])+dict_DQ_Meth_max[[#This Row],[Vergleich_lb]]</f>
        <v>2908.5164</v>
      </c>
      <c r="H967" s="11" t="str">
        <f ca="1">VLOOKUP(VLOOKUP(dict_DQ_Meth_max[[#This Row],[ID_DataQualities]],table_DataQualities[],3),table_Units[],2)</f>
        <v>Hz</v>
      </c>
      <c r="I967" s="10"/>
      <c r="J967" s="10"/>
      <c r="K967" s="10"/>
      <c r="L967" s="10">
        <f ca="1">VLOOKUP(dict_DQ_Meth_max[[#This Row],[ID_DataQualities]],table_DataQualities[],8,FALSE)</f>
        <v>0.79100000000000004</v>
      </c>
      <c r="M967" s="10">
        <f ca="1">VLOOKUP(dict_DQ_Meth_max[[#This Row],[ID_DataQualities]],table_DataQualities[],9,FALSE)</f>
        <v>4847</v>
      </c>
    </row>
    <row r="968" spans="1:13" x14ac:dyDescent="0.45">
      <c r="A968" s="10">
        <v>258</v>
      </c>
      <c r="B968" s="10">
        <v>64</v>
      </c>
      <c r="C9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8" s="10"/>
      <c r="E968" s="10"/>
      <c r="F968" s="12">
        <f ca="1">(RANDBETWEEN(0,50)/100)*(dict_DQ_Meth_max[[#This Row],[Vergleich_ub]]-dict_DQ_Meth_max[[#This Row],[Vergleich_lb]])+dict_DQ_Meth_max[[#This Row],[Vergleich_lb]]</f>
        <v>1503.1157899999998</v>
      </c>
      <c r="G968" s="12">
        <f ca="1">(RANDBETWEEN(50,100)/100)*(dict_DQ_Meth_max[[#This Row],[Vergleich_ub]]-dict_DQ_Meth_max[[#This Row],[Vergleich_lb]])+dict_DQ_Meth_max[[#This Row],[Vergleich_lb]]</f>
        <v>4410.8411900000001</v>
      </c>
      <c r="H968" s="11" t="str">
        <f ca="1">VLOOKUP(VLOOKUP(dict_DQ_Meth_max[[#This Row],[ID_DataQualities]],table_DataQualities[],3),table_Units[],2)</f>
        <v>Hz</v>
      </c>
      <c r="I968" s="10"/>
      <c r="J968" s="10"/>
      <c r="K968" s="10"/>
      <c r="L968" s="10">
        <f ca="1">VLOOKUP(dict_DQ_Meth_max[[#This Row],[ID_DataQualities]],table_DataQualities[],8,FALSE)</f>
        <v>0.79100000000000004</v>
      </c>
      <c r="M968" s="10">
        <f ca="1">VLOOKUP(dict_DQ_Meth_max[[#This Row],[ID_DataQualities]],table_DataQualities[],9,FALSE)</f>
        <v>4847</v>
      </c>
    </row>
    <row r="969" spans="1:13" x14ac:dyDescent="0.45">
      <c r="A969" s="10">
        <v>258</v>
      </c>
      <c r="B969" s="10">
        <v>207</v>
      </c>
      <c r="C9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69" s="10"/>
      <c r="E969" s="10"/>
      <c r="F969" s="12">
        <f ca="1">(RANDBETWEEN(0,50)/100)*(dict_DQ_Meth_max[[#This Row],[Vergleich_ub]]-dict_DQ_Meth_max[[#This Row],[Vergleich_lb]])+dict_DQ_Meth_max[[#This Row],[Vergleich_lb]]</f>
        <v>776.18444</v>
      </c>
      <c r="G969" s="12">
        <f ca="1">(RANDBETWEEN(50,100)/100)*(dict_DQ_Meth_max[[#This Row],[Vergleich_ub]]-dict_DQ_Meth_max[[#This Row],[Vergleich_lb]])+dict_DQ_Meth_max[[#This Row],[Vergleich_lb]]</f>
        <v>4410.8411900000001</v>
      </c>
      <c r="H969" s="11" t="str">
        <f ca="1">VLOOKUP(VLOOKUP(dict_DQ_Meth_max[[#This Row],[ID_DataQualities]],table_DataQualities[],3),table_Units[],2)</f>
        <v>Hz</v>
      </c>
      <c r="I969" s="10"/>
      <c r="J969" s="10"/>
      <c r="K969" s="10"/>
      <c r="L969" s="10">
        <f ca="1">VLOOKUP(dict_DQ_Meth_max[[#This Row],[ID_DataQualities]],table_DataQualities[],8,FALSE)</f>
        <v>0.79100000000000004</v>
      </c>
      <c r="M969" s="10">
        <f ca="1">VLOOKUP(dict_DQ_Meth_max[[#This Row],[ID_DataQualities]],table_DataQualities[],9,FALSE)</f>
        <v>4847</v>
      </c>
    </row>
    <row r="970" spans="1:13" x14ac:dyDescent="0.45">
      <c r="A970" s="10">
        <v>258</v>
      </c>
      <c r="B970" s="10">
        <v>85</v>
      </c>
      <c r="C9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0" s="10"/>
      <c r="E970" s="10"/>
      <c r="F970" s="12">
        <f ca="1">(RANDBETWEEN(0,50)/100)*(dict_DQ_Meth_max[[#This Row],[Vergleich_ub]]-dict_DQ_Meth_max[[#This Row],[Vergleich_lb]])+dict_DQ_Meth_max[[#This Row],[Vergleich_lb]]</f>
        <v>1890.81251</v>
      </c>
      <c r="G970" s="12">
        <f ca="1">(RANDBETWEEN(50,100)/100)*(dict_DQ_Meth_max[[#This Row],[Vergleich_ub]]-dict_DQ_Meth_max[[#This Row],[Vergleich_lb]])+dict_DQ_Meth_max[[#This Row],[Vergleich_lb]]</f>
        <v>4120.0686500000002</v>
      </c>
      <c r="H970" s="11" t="str">
        <f ca="1">VLOOKUP(VLOOKUP(dict_DQ_Meth_max[[#This Row],[ID_DataQualities]],table_DataQualities[],3),table_Units[],2)</f>
        <v>Hz</v>
      </c>
      <c r="I970" s="10"/>
      <c r="J970" s="10"/>
      <c r="K970" s="10"/>
      <c r="L970" s="10">
        <f ca="1">VLOOKUP(dict_DQ_Meth_max[[#This Row],[ID_DataQualities]],table_DataQualities[],8,FALSE)</f>
        <v>0.79100000000000004</v>
      </c>
      <c r="M970" s="10">
        <f ca="1">VLOOKUP(dict_DQ_Meth_max[[#This Row],[ID_DataQualities]],table_DataQualities[],9,FALSE)</f>
        <v>4847</v>
      </c>
    </row>
    <row r="971" spans="1:13" x14ac:dyDescent="0.45">
      <c r="A971" s="10">
        <v>259</v>
      </c>
      <c r="B971" s="10">
        <v>693</v>
      </c>
      <c r="C9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1" s="10"/>
      <c r="E971" s="10"/>
      <c r="F971" s="12">
        <f ca="1">(RANDBETWEEN(0,50)/100)*(dict_DQ_Meth_max[[#This Row],[Vergleich_ub]]-dict_DQ_Meth_max[[#This Row],[Vergleich_lb]])+dict_DQ_Meth_max[[#This Row],[Vergleich_lb]]</f>
        <v>0.99656000000000011</v>
      </c>
      <c r="G971" s="12">
        <f ca="1">(RANDBETWEEN(50,100)/100)*(dict_DQ_Meth_max[[#This Row],[Vergleich_ub]]-dict_DQ_Meth_max[[#This Row],[Vergleich_lb]])+dict_DQ_Meth_max[[#This Row],[Vergleich_lb]]</f>
        <v>3.8542400000000003</v>
      </c>
      <c r="H971" s="11" t="str">
        <f ca="1">VLOOKUP(VLOOKUP(dict_DQ_Meth_max[[#This Row],[ID_DataQualities]],table_DataQualities[],3),table_Units[],2)</f>
        <v>+/- W</v>
      </c>
      <c r="I971" s="10"/>
      <c r="J971" s="10"/>
      <c r="K971" s="10"/>
      <c r="L971" s="10">
        <f ca="1">VLOOKUP(dict_DQ_Meth_max[[#This Row],[ID_DataQualities]],table_DataQualities[],8,FALSE)</f>
        <v>4.3999999999999997E-2</v>
      </c>
      <c r="M971" s="10">
        <f ca="1">VLOOKUP(dict_DQ_Meth_max[[#This Row],[ID_DataQualities]],table_DataQualities[],9,FALSE)</f>
        <v>4.58</v>
      </c>
    </row>
    <row r="972" spans="1:13" x14ac:dyDescent="0.45">
      <c r="A972" s="10">
        <v>259</v>
      </c>
      <c r="B972" s="10">
        <v>446</v>
      </c>
      <c r="C9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2" s="10"/>
      <c r="E972" s="10"/>
      <c r="F972" s="12">
        <f ca="1">(RANDBETWEEN(0,50)/100)*(dict_DQ_Meth_max[[#This Row],[Vergleich_ub]]-dict_DQ_Meth_max[[#This Row],[Vergleich_lb]])+dict_DQ_Meth_max[[#This Row],[Vergleich_lb]]</f>
        <v>1.35944</v>
      </c>
      <c r="G972" s="12">
        <f ca="1">(RANDBETWEEN(50,100)/100)*(dict_DQ_Meth_max[[#This Row],[Vergleich_ub]]-dict_DQ_Meth_max[[#This Row],[Vergleich_lb]])+dict_DQ_Meth_max[[#This Row],[Vergleich_lb]]</f>
        <v>4.58</v>
      </c>
      <c r="H972" s="11" t="str">
        <f ca="1">VLOOKUP(VLOOKUP(dict_DQ_Meth_max[[#This Row],[ID_DataQualities]],table_DataQualities[],3),table_Units[],2)</f>
        <v>+/- W</v>
      </c>
      <c r="I972" s="10"/>
      <c r="J972" s="10"/>
      <c r="K972" s="10"/>
      <c r="L972" s="10">
        <f ca="1">VLOOKUP(dict_DQ_Meth_max[[#This Row],[ID_DataQualities]],table_DataQualities[],8,FALSE)</f>
        <v>4.3999999999999997E-2</v>
      </c>
      <c r="M972" s="10">
        <f ca="1">VLOOKUP(dict_DQ_Meth_max[[#This Row],[ID_DataQualities]],table_DataQualities[],9,FALSE)</f>
        <v>4.58</v>
      </c>
    </row>
    <row r="973" spans="1:13" x14ac:dyDescent="0.45">
      <c r="A973" s="10">
        <v>259</v>
      </c>
      <c r="B973" s="10">
        <v>207</v>
      </c>
      <c r="C9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3" s="10"/>
      <c r="E973" s="10"/>
      <c r="F973" s="12">
        <f ca="1">(RANDBETWEEN(0,50)/100)*(dict_DQ_Meth_max[[#This Row],[Vergleich_ub]]-dict_DQ_Meth_max[[#This Row],[Vergleich_lb]])+dict_DQ_Meth_max[[#This Row],[Vergleich_lb]]</f>
        <v>0.58832000000000007</v>
      </c>
      <c r="G973" s="12">
        <f ca="1">(RANDBETWEEN(50,100)/100)*(dict_DQ_Meth_max[[#This Row],[Vergleich_ub]]-dict_DQ_Meth_max[[#This Row],[Vergleich_lb]])+dict_DQ_Meth_max[[#This Row],[Vergleich_lb]]</f>
        <v>2.6748799999999999</v>
      </c>
      <c r="H973" s="11" t="str">
        <f ca="1">VLOOKUP(VLOOKUP(dict_DQ_Meth_max[[#This Row],[ID_DataQualities]],table_DataQualities[],3),table_Units[],2)</f>
        <v>+/- W</v>
      </c>
      <c r="I973" s="10"/>
      <c r="J973" s="10"/>
      <c r="K973" s="10"/>
      <c r="L973" s="10">
        <f ca="1">VLOOKUP(dict_DQ_Meth_max[[#This Row],[ID_DataQualities]],table_DataQualities[],8,FALSE)</f>
        <v>4.3999999999999997E-2</v>
      </c>
      <c r="M973" s="10">
        <f ca="1">VLOOKUP(dict_DQ_Meth_max[[#This Row],[ID_DataQualities]],table_DataQualities[],9,FALSE)</f>
        <v>4.58</v>
      </c>
    </row>
    <row r="974" spans="1:13" x14ac:dyDescent="0.45">
      <c r="A974" s="10">
        <v>259</v>
      </c>
      <c r="B974" s="10">
        <v>64</v>
      </c>
      <c r="C9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4" s="10"/>
      <c r="E974" s="10"/>
      <c r="F974" s="12">
        <f ca="1">(RANDBETWEEN(0,50)/100)*(dict_DQ_Meth_max[[#This Row],[Vergleich_ub]]-dict_DQ_Meth_max[[#This Row],[Vergleich_lb]])+dict_DQ_Meth_max[[#This Row],[Vergleich_lb]]</f>
        <v>8.9359999999999995E-2</v>
      </c>
      <c r="G974" s="12">
        <f ca="1">(RANDBETWEEN(50,100)/100)*(dict_DQ_Meth_max[[#This Row],[Vergleich_ub]]-dict_DQ_Meth_max[[#This Row],[Vergleich_lb]])+dict_DQ_Meth_max[[#This Row],[Vergleich_lb]]</f>
        <v>3.9449600000000005</v>
      </c>
      <c r="H974" s="11" t="str">
        <f ca="1">VLOOKUP(VLOOKUP(dict_DQ_Meth_max[[#This Row],[ID_DataQualities]],table_DataQualities[],3),table_Units[],2)</f>
        <v>+/- W</v>
      </c>
      <c r="I974" s="10"/>
      <c r="J974" s="10"/>
      <c r="K974" s="10"/>
      <c r="L974" s="10">
        <f ca="1">VLOOKUP(dict_DQ_Meth_max[[#This Row],[ID_DataQualities]],table_DataQualities[],8,FALSE)</f>
        <v>4.3999999999999997E-2</v>
      </c>
      <c r="M974" s="10">
        <f ca="1">VLOOKUP(dict_DQ_Meth_max[[#This Row],[ID_DataQualities]],table_DataQualities[],9,FALSE)</f>
        <v>4.58</v>
      </c>
    </row>
    <row r="975" spans="1:13" x14ac:dyDescent="0.45">
      <c r="A975" s="10">
        <v>259</v>
      </c>
      <c r="B975" s="10">
        <v>85</v>
      </c>
      <c r="C9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5" s="10"/>
      <c r="E975" s="10"/>
      <c r="F975" s="12">
        <f ca="1">(RANDBETWEEN(0,50)/100)*(dict_DQ_Meth_max[[#This Row],[Vergleich_ub]]-dict_DQ_Meth_max[[#This Row],[Vergleich_lb]])+dict_DQ_Meth_max[[#This Row],[Vergleich_lb]]</f>
        <v>2.1305600000000005</v>
      </c>
      <c r="G975" s="12">
        <f ca="1">(RANDBETWEEN(50,100)/100)*(dict_DQ_Meth_max[[#This Row],[Vergleich_ub]]-dict_DQ_Meth_max[[#This Row],[Vergleich_lb]])+dict_DQ_Meth_max[[#This Row],[Vergleich_lb]]</f>
        <v>4.0810399999999998</v>
      </c>
      <c r="H975" s="11" t="str">
        <f ca="1">VLOOKUP(VLOOKUP(dict_DQ_Meth_max[[#This Row],[ID_DataQualities]],table_DataQualities[],3),table_Units[],2)</f>
        <v>+/- W</v>
      </c>
      <c r="I975" s="10"/>
      <c r="J975" s="10"/>
      <c r="K975" s="10"/>
      <c r="L975" s="10">
        <f ca="1">VLOOKUP(dict_DQ_Meth_max[[#This Row],[ID_DataQualities]],table_DataQualities[],8,FALSE)</f>
        <v>4.3999999999999997E-2</v>
      </c>
      <c r="M975" s="10">
        <f ca="1">VLOOKUP(dict_DQ_Meth_max[[#This Row],[ID_DataQualities]],table_DataQualities[],9,FALSE)</f>
        <v>4.58</v>
      </c>
    </row>
    <row r="976" spans="1:13" x14ac:dyDescent="0.45">
      <c r="A976" s="10">
        <v>260</v>
      </c>
      <c r="B976" s="10">
        <v>247</v>
      </c>
      <c r="C9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6" s="10"/>
      <c r="E976" s="10"/>
      <c r="F976" s="12">
        <f ca="1">(RANDBETWEEN(0,50)/100)*(dict_DQ_Meth_max[[#This Row],[Vergleich_ub]]-dict_DQ_Meth_max[[#This Row],[Vergleich_lb]])+dict_DQ_Meth_max[[#This Row],[Vergleich_lb]]</f>
        <v>43.880490000000002</v>
      </c>
      <c r="G976" s="12">
        <f ca="1">(RANDBETWEEN(50,100)/100)*(dict_DQ_Meth_max[[#This Row],[Vergleich_ub]]-dict_DQ_Meth_max[[#This Row],[Vergleich_lb]])+dict_DQ_Meth_max[[#This Row],[Vergleich_lb]]</f>
        <v>2860.2973399999996</v>
      </c>
      <c r="H976" s="11" t="str">
        <f ca="1">VLOOKUP(VLOOKUP(dict_DQ_Meth_max[[#This Row],[ID_DataQualities]],table_DataQualities[],3),table_Units[],2)</f>
        <v>Hz</v>
      </c>
      <c r="I976" s="10"/>
      <c r="J976" s="10"/>
      <c r="K976" s="10"/>
      <c r="L976" s="10">
        <f ca="1">VLOOKUP(dict_DQ_Meth_max[[#This Row],[ID_DataQualities]],table_DataQualities[],8,FALSE)</f>
        <v>0.55100000000000005</v>
      </c>
      <c r="M976" s="10">
        <f ca="1">VLOOKUP(dict_DQ_Meth_max[[#This Row],[ID_DataQualities]],table_DataQualities[],9,FALSE)</f>
        <v>4333.5</v>
      </c>
    </row>
    <row r="977" spans="1:13" x14ac:dyDescent="0.45">
      <c r="A977" s="10">
        <v>260</v>
      </c>
      <c r="B977" s="10">
        <v>135</v>
      </c>
      <c r="C9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7" s="10"/>
      <c r="E977" s="10"/>
      <c r="F977" s="12">
        <f ca="1">(RANDBETWEEN(0,50)/100)*(dict_DQ_Meth_max[[#This Row],[Vergleich_ub]]-dict_DQ_Meth_max[[#This Row],[Vergleich_lb]])+dict_DQ_Meth_max[[#This Row],[Vergleich_lb]]</f>
        <v>1517.0831499999997</v>
      </c>
      <c r="G977" s="12">
        <f ca="1">(RANDBETWEEN(50,100)/100)*(dict_DQ_Meth_max[[#This Row],[Vergleich_ub]]-dict_DQ_Meth_max[[#This Row],[Vergleich_lb]])+dict_DQ_Meth_max[[#This Row],[Vergleich_lb]]</f>
        <v>3770.2166299999994</v>
      </c>
      <c r="H977" s="11" t="str">
        <f ca="1">VLOOKUP(VLOOKUP(dict_DQ_Meth_max[[#This Row],[ID_DataQualities]],table_DataQualities[],3),table_Units[],2)</f>
        <v>Hz</v>
      </c>
      <c r="I977" s="10"/>
      <c r="J977" s="10"/>
      <c r="K977" s="10"/>
      <c r="L977" s="10">
        <f ca="1">VLOOKUP(dict_DQ_Meth_max[[#This Row],[ID_DataQualities]],table_DataQualities[],8,FALSE)</f>
        <v>0.55100000000000005</v>
      </c>
      <c r="M977" s="10">
        <f ca="1">VLOOKUP(dict_DQ_Meth_max[[#This Row],[ID_DataQualities]],table_DataQualities[],9,FALSE)</f>
        <v>4333.5</v>
      </c>
    </row>
    <row r="978" spans="1:13" x14ac:dyDescent="0.45">
      <c r="A978" s="10">
        <v>260</v>
      </c>
      <c r="B978" s="10">
        <v>680</v>
      </c>
      <c r="C9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8" s="10"/>
      <c r="E978" s="10"/>
      <c r="F978" s="12">
        <f ca="1">(RANDBETWEEN(0,50)/100)*(dict_DQ_Meth_max[[#This Row],[Vergleich_ub]]-dict_DQ_Meth_max[[#This Row],[Vergleich_lb]])+dict_DQ_Meth_max[[#This Row],[Vergleich_lb]]</f>
        <v>737.15233000000001</v>
      </c>
      <c r="G978" s="12">
        <f ca="1">(RANDBETWEEN(50,100)/100)*(dict_DQ_Meth_max[[#This Row],[Vergleich_ub]]-dict_DQ_Meth_max[[#This Row],[Vergleich_lb]])+dict_DQ_Meth_max[[#This Row],[Vergleich_lb]]</f>
        <v>2167.0254999999997</v>
      </c>
      <c r="H978" s="11" t="str">
        <f ca="1">VLOOKUP(VLOOKUP(dict_DQ_Meth_max[[#This Row],[ID_DataQualities]],table_DataQualities[],3),table_Units[],2)</f>
        <v>Hz</v>
      </c>
      <c r="I978" s="10"/>
      <c r="J978" s="10"/>
      <c r="K978" s="10"/>
      <c r="L978" s="10">
        <f ca="1">VLOOKUP(dict_DQ_Meth_max[[#This Row],[ID_DataQualities]],table_DataQualities[],8,FALSE)</f>
        <v>0.55100000000000005</v>
      </c>
      <c r="M978" s="10">
        <f ca="1">VLOOKUP(dict_DQ_Meth_max[[#This Row],[ID_DataQualities]],table_DataQualities[],9,FALSE)</f>
        <v>4333.5</v>
      </c>
    </row>
    <row r="979" spans="1:13" x14ac:dyDescent="0.45">
      <c r="A979" s="10">
        <v>261</v>
      </c>
      <c r="B979" s="10">
        <v>135</v>
      </c>
      <c r="C9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79" s="10"/>
      <c r="E979" s="10"/>
      <c r="F979" s="12">
        <f ca="1">(RANDBETWEEN(0,50)/100)*(dict_DQ_Meth_max[[#This Row],[Vergleich_ub]]-dict_DQ_Meth_max[[#This Row],[Vergleich_lb]])+dict_DQ_Meth_max[[#This Row],[Vergleich_lb]]</f>
        <v>1.262</v>
      </c>
      <c r="G979" s="12">
        <f ca="1">(RANDBETWEEN(50,100)/100)*(dict_DQ_Meth_max[[#This Row],[Vergleich_ub]]-dict_DQ_Meth_max[[#This Row],[Vergleich_lb]])+dict_DQ_Meth_max[[#This Row],[Vergleich_lb]]</f>
        <v>2.2960000000000003</v>
      </c>
      <c r="H979" s="11" t="str">
        <f ca="1">VLOOKUP(VLOOKUP(dict_DQ_Meth_max[[#This Row],[ID_DataQualities]],table_DataQualities[],3),table_Units[],2)</f>
        <v>+/- mm/s</v>
      </c>
      <c r="I979" s="10"/>
      <c r="J979" s="10"/>
      <c r="K979" s="10"/>
      <c r="L979" s="10">
        <f ca="1">VLOOKUP(dict_DQ_Meth_max[[#This Row],[ID_DataQualities]],table_DataQualities[],8,FALSE)</f>
        <v>0.8</v>
      </c>
      <c r="M979" s="10">
        <f ca="1">VLOOKUP(dict_DQ_Meth_max[[#This Row],[ID_DataQualities]],table_DataQualities[],9,FALSE)</f>
        <v>3</v>
      </c>
    </row>
    <row r="980" spans="1:13" x14ac:dyDescent="0.45">
      <c r="A980" s="10">
        <v>261</v>
      </c>
      <c r="B980" s="10">
        <v>680</v>
      </c>
      <c r="C9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0" s="10"/>
      <c r="E980" s="10"/>
      <c r="F980" s="12">
        <f ca="1">(RANDBETWEEN(0,50)/100)*(dict_DQ_Meth_max[[#This Row],[Vergleich_ub]]-dict_DQ_Meth_max[[#This Row],[Vergleich_lb]])+dict_DQ_Meth_max[[#This Row],[Vergleich_lb]]</f>
        <v>1.042</v>
      </c>
      <c r="G980" s="12">
        <f ca="1">(RANDBETWEEN(50,100)/100)*(dict_DQ_Meth_max[[#This Row],[Vergleich_ub]]-dict_DQ_Meth_max[[#This Row],[Vergleich_lb]])+dict_DQ_Meth_max[[#This Row],[Vergleich_lb]]</f>
        <v>2.4940000000000002</v>
      </c>
      <c r="H980" s="11" t="str">
        <f ca="1">VLOOKUP(VLOOKUP(dict_DQ_Meth_max[[#This Row],[ID_DataQualities]],table_DataQualities[],3),table_Units[],2)</f>
        <v>+/- mm/s</v>
      </c>
      <c r="I980" s="10"/>
      <c r="J980" s="10"/>
      <c r="K980" s="10"/>
      <c r="L980" s="10">
        <f ca="1">VLOOKUP(dict_DQ_Meth_max[[#This Row],[ID_DataQualities]],table_DataQualities[],8,FALSE)</f>
        <v>0.8</v>
      </c>
      <c r="M980" s="10">
        <f ca="1">VLOOKUP(dict_DQ_Meth_max[[#This Row],[ID_DataQualities]],table_DataQualities[],9,FALSE)</f>
        <v>3</v>
      </c>
    </row>
    <row r="981" spans="1:13" x14ac:dyDescent="0.45">
      <c r="A981" s="10">
        <v>261</v>
      </c>
      <c r="B981" s="10">
        <v>247</v>
      </c>
      <c r="C9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1" s="10"/>
      <c r="E981" s="10"/>
      <c r="F981" s="12">
        <f ca="1">(RANDBETWEEN(0,50)/100)*(dict_DQ_Meth_max[[#This Row],[Vergleich_ub]]-dict_DQ_Meth_max[[#This Row],[Vergleich_lb]])+dict_DQ_Meth_max[[#This Row],[Vergleich_lb]]</f>
        <v>1.548</v>
      </c>
      <c r="G981" s="12">
        <f ca="1">(RANDBETWEEN(50,100)/100)*(dict_DQ_Meth_max[[#This Row],[Vergleich_ub]]-dict_DQ_Meth_max[[#This Row],[Vergleich_lb]])+dict_DQ_Meth_max[[#This Row],[Vergleich_lb]]</f>
        <v>2.516</v>
      </c>
      <c r="H981" s="11" t="str">
        <f ca="1">VLOOKUP(VLOOKUP(dict_DQ_Meth_max[[#This Row],[ID_DataQualities]],table_DataQualities[],3),table_Units[],2)</f>
        <v>+/- mm/s</v>
      </c>
      <c r="I981" s="10"/>
      <c r="J981" s="10"/>
      <c r="K981" s="10"/>
      <c r="L981" s="10">
        <f ca="1">VLOOKUP(dict_DQ_Meth_max[[#This Row],[ID_DataQualities]],table_DataQualities[],8,FALSE)</f>
        <v>0.8</v>
      </c>
      <c r="M981" s="10">
        <f ca="1">VLOOKUP(dict_DQ_Meth_max[[#This Row],[ID_DataQualities]],table_DataQualities[],9,FALSE)</f>
        <v>3</v>
      </c>
    </row>
    <row r="982" spans="1:13" x14ac:dyDescent="0.45">
      <c r="A982" s="10">
        <v>262</v>
      </c>
      <c r="B982" s="10">
        <v>47</v>
      </c>
      <c r="C9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2" s="10"/>
      <c r="E982" s="10"/>
      <c r="F982" s="12">
        <f ca="1">(RANDBETWEEN(0,50)/100)*(dict_DQ_Meth_max[[#This Row],[Vergleich_ub]]-dict_DQ_Meth_max[[#This Row],[Vergleich_lb]])+dict_DQ_Meth_max[[#This Row],[Vergleich_lb]]</f>
        <v>3211.2287999999999</v>
      </c>
      <c r="G982" s="12">
        <f ca="1">(RANDBETWEEN(50,100)/100)*(dict_DQ_Meth_max[[#This Row],[Vergleich_ub]]-dict_DQ_Meth_max[[#This Row],[Vergleich_lb]])+dict_DQ_Meth_max[[#This Row],[Vergleich_lb]]</f>
        <v>4210.2105600000004</v>
      </c>
      <c r="H982" s="11" t="str">
        <f ca="1">VLOOKUP(VLOOKUP(dict_DQ_Meth_max[[#This Row],[ID_DataQualities]],table_DataQualities[],3),table_Units[],2)</f>
        <v>Hz</v>
      </c>
      <c r="I982" s="10"/>
      <c r="J982" s="10"/>
      <c r="K982" s="10"/>
      <c r="L982" s="10">
        <f ca="1">VLOOKUP(dict_DQ_Meth_max[[#This Row],[ID_DataQualities]],table_DataQualities[],8,FALSE)</f>
        <v>0.216</v>
      </c>
      <c r="M982" s="10">
        <f ca="1">VLOOKUP(dict_DQ_Meth_max[[#This Row],[ID_DataQualities]],table_DataQualities[],9,FALSE)</f>
        <v>7135.8</v>
      </c>
    </row>
    <row r="983" spans="1:13" x14ac:dyDescent="0.45">
      <c r="A983" s="10">
        <v>262</v>
      </c>
      <c r="B983" s="10">
        <v>7</v>
      </c>
      <c r="C9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3" s="10"/>
      <c r="E983" s="10"/>
      <c r="F983" s="12">
        <f ca="1">(RANDBETWEEN(0,50)/100)*(dict_DQ_Meth_max[[#This Row],[Vergleich_ub]]-dict_DQ_Meth_max[[#This Row],[Vergleich_lb]])+dict_DQ_Meth_max[[#This Row],[Vergleich_lb]]</f>
        <v>642.41855999999996</v>
      </c>
      <c r="G983" s="12">
        <f ca="1">(RANDBETWEEN(50,100)/100)*(dict_DQ_Meth_max[[#This Row],[Vergleich_ub]]-dict_DQ_Meth_max[[#This Row],[Vergleich_lb]])+dict_DQ_Meth_max[[#This Row],[Vergleich_lb]]</f>
        <v>5494.6156800000008</v>
      </c>
      <c r="H983" s="11" t="str">
        <f ca="1">VLOOKUP(VLOOKUP(dict_DQ_Meth_max[[#This Row],[ID_DataQualities]],table_DataQualities[],3),table_Units[],2)</f>
        <v>Hz</v>
      </c>
      <c r="I983" s="10"/>
      <c r="J983" s="10"/>
      <c r="K983" s="10"/>
      <c r="L983" s="10">
        <f ca="1">VLOOKUP(dict_DQ_Meth_max[[#This Row],[ID_DataQualities]],table_DataQualities[],8,FALSE)</f>
        <v>0.216</v>
      </c>
      <c r="M983" s="10">
        <f ca="1">VLOOKUP(dict_DQ_Meth_max[[#This Row],[ID_DataQualities]],table_DataQualities[],9,FALSE)</f>
        <v>7135.8</v>
      </c>
    </row>
    <row r="984" spans="1:13" x14ac:dyDescent="0.45">
      <c r="A984" s="10">
        <v>262</v>
      </c>
      <c r="B984" s="10">
        <v>8</v>
      </c>
      <c r="C9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4" s="10"/>
      <c r="E984" s="10"/>
      <c r="F984" s="12">
        <f ca="1">(RANDBETWEEN(0,50)/100)*(dict_DQ_Meth_max[[#This Row],[Vergleich_ub]]-dict_DQ_Meth_max[[#This Row],[Vergleich_lb]])+dict_DQ_Meth_max[[#This Row],[Vergleich_lb]]</f>
        <v>1355.97696</v>
      </c>
      <c r="G984" s="12">
        <f ca="1">(RANDBETWEEN(50,100)/100)*(dict_DQ_Meth_max[[#This Row],[Vergleich_ub]]-dict_DQ_Meth_max[[#This Row],[Vergleich_lb]])+dict_DQ_Meth_max[[#This Row],[Vergleich_lb]]</f>
        <v>6636.3091200000008</v>
      </c>
      <c r="H984" s="11" t="str">
        <f ca="1">VLOOKUP(VLOOKUP(dict_DQ_Meth_max[[#This Row],[ID_DataQualities]],table_DataQualities[],3),table_Units[],2)</f>
        <v>Hz</v>
      </c>
      <c r="I984" s="10"/>
      <c r="J984" s="10"/>
      <c r="K984" s="10"/>
      <c r="L984" s="10">
        <f ca="1">VLOOKUP(dict_DQ_Meth_max[[#This Row],[ID_DataQualities]],table_DataQualities[],8,FALSE)</f>
        <v>0.216</v>
      </c>
      <c r="M984" s="10">
        <f ca="1">VLOOKUP(dict_DQ_Meth_max[[#This Row],[ID_DataQualities]],table_DataQualities[],9,FALSE)</f>
        <v>7135.8</v>
      </c>
    </row>
    <row r="985" spans="1:13" x14ac:dyDescent="0.45">
      <c r="A985" s="10">
        <v>263</v>
      </c>
      <c r="B985" s="10">
        <v>47</v>
      </c>
      <c r="C9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5" s="10"/>
      <c r="E985" s="10"/>
      <c r="F985" s="12">
        <f ca="1">(RANDBETWEEN(0,50)/100)*(dict_DQ_Meth_max[[#This Row],[Vergleich_ub]]-dict_DQ_Meth_max[[#This Row],[Vergleich_lb]])+dict_DQ_Meth_max[[#This Row],[Vergleich_lb]]</f>
        <v>0.34777199999999997</v>
      </c>
      <c r="G985" s="12">
        <f ca="1">(RANDBETWEEN(50,100)/100)*(dict_DQ_Meth_max[[#This Row],[Vergleich_ub]]-dict_DQ_Meth_max[[#This Row],[Vergleich_lb]])+dict_DQ_Meth_max[[#This Row],[Vergleich_lb]]</f>
        <v>0.66188800000000003</v>
      </c>
      <c r="H985" s="11" t="str">
        <f ca="1">VLOOKUP(VLOOKUP(dict_DQ_Meth_max[[#This Row],[ID_DataQualities]],table_DataQualities[],3),table_Units[],2)</f>
        <v>+/- cm³/s</v>
      </c>
      <c r="I985" s="10"/>
      <c r="J985" s="10"/>
      <c r="K985" s="10"/>
      <c r="L985" s="10">
        <f ca="1">VLOOKUP(dict_DQ_Meth_max[[#This Row],[ID_DataQualities]],table_DataQualities[],8,FALSE)</f>
        <v>5.1000000000000004E-3</v>
      </c>
      <c r="M985" s="10">
        <f ca="1">VLOOKUP(dict_DQ_Meth_max[[#This Row],[ID_DataQualities]],table_DataQualities[],9,FALSE)</f>
        <v>0.71899999999999997</v>
      </c>
    </row>
    <row r="986" spans="1:13" x14ac:dyDescent="0.45">
      <c r="A986" s="10">
        <v>263</v>
      </c>
      <c r="B986" s="10">
        <v>8</v>
      </c>
      <c r="C9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6" s="10"/>
      <c r="E986" s="10"/>
      <c r="F986" s="12">
        <f ca="1">(RANDBETWEEN(0,50)/100)*(dict_DQ_Meth_max[[#This Row],[Vergleich_ub]]-dict_DQ_Meth_max[[#This Row],[Vergleich_lb]])+dict_DQ_Meth_max[[#This Row],[Vergleich_lb]]</f>
        <v>6.9350999999999996E-2</v>
      </c>
      <c r="G986" s="12">
        <f ca="1">(RANDBETWEEN(50,100)/100)*(dict_DQ_Meth_max[[#This Row],[Vergleich_ub]]-dict_DQ_Meth_max[[#This Row],[Vergleich_lb]])+dict_DQ_Meth_max[[#This Row],[Vergleich_lb]]</f>
        <v>0.71899999999999997</v>
      </c>
      <c r="H986" s="11" t="str">
        <f ca="1">VLOOKUP(VLOOKUP(dict_DQ_Meth_max[[#This Row],[ID_DataQualities]],table_DataQualities[],3),table_Units[],2)</f>
        <v>+/- cm³/s</v>
      </c>
      <c r="I986" s="10"/>
      <c r="J986" s="10"/>
      <c r="K986" s="10"/>
      <c r="L986" s="10">
        <f ca="1">VLOOKUP(dict_DQ_Meth_max[[#This Row],[ID_DataQualities]],table_DataQualities[],8,FALSE)</f>
        <v>5.1000000000000004E-3</v>
      </c>
      <c r="M986" s="10">
        <f ca="1">VLOOKUP(dict_DQ_Meth_max[[#This Row],[ID_DataQualities]],table_DataQualities[],9,FALSE)</f>
        <v>0.71899999999999997</v>
      </c>
    </row>
    <row r="987" spans="1:13" x14ac:dyDescent="0.45">
      <c r="A987" s="10">
        <v>263</v>
      </c>
      <c r="B987" s="10">
        <v>7</v>
      </c>
      <c r="C9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7" s="10"/>
      <c r="E987" s="10"/>
      <c r="F987" s="12">
        <f ca="1">(RANDBETWEEN(0,50)/100)*(dict_DQ_Meth_max[[#This Row],[Vergleich_ub]]-dict_DQ_Meth_max[[#This Row],[Vergleich_lb]])+dict_DQ_Meth_max[[#This Row],[Vergleich_lb]]</f>
        <v>0.17643599999999998</v>
      </c>
      <c r="G987" s="12">
        <f ca="1">(RANDBETWEEN(50,100)/100)*(dict_DQ_Meth_max[[#This Row],[Vergleich_ub]]-dict_DQ_Meth_max[[#This Row],[Vergleich_lb]])+dict_DQ_Meth_max[[#This Row],[Vergleich_lb]]</f>
        <v>0.626193</v>
      </c>
      <c r="H987" s="11" t="str">
        <f ca="1">VLOOKUP(VLOOKUP(dict_DQ_Meth_max[[#This Row],[ID_DataQualities]],table_DataQualities[],3),table_Units[],2)</f>
        <v>+/- cm³/s</v>
      </c>
      <c r="I987" s="10"/>
      <c r="J987" s="10"/>
      <c r="K987" s="10"/>
      <c r="L987" s="10">
        <f ca="1">VLOOKUP(dict_DQ_Meth_max[[#This Row],[ID_DataQualities]],table_DataQualities[],8,FALSE)</f>
        <v>5.1000000000000004E-3</v>
      </c>
      <c r="M987" s="10">
        <f ca="1">VLOOKUP(dict_DQ_Meth_max[[#This Row],[ID_DataQualities]],table_DataQualities[],9,FALSE)</f>
        <v>0.71899999999999997</v>
      </c>
    </row>
    <row r="988" spans="1:13" x14ac:dyDescent="0.45">
      <c r="A988" s="10">
        <v>264</v>
      </c>
      <c r="B988" s="10">
        <v>274</v>
      </c>
      <c r="C9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8" s="10"/>
      <c r="E988" s="10"/>
      <c r="F988" s="12">
        <f ca="1">(RANDBETWEEN(0,50)/100)*(dict_DQ_Meth_max[[#This Row],[Vergleich_ub]]-dict_DQ_Meth_max[[#This Row],[Vergleich_lb]])+dict_DQ_Meth_max[[#This Row],[Vergleich_lb]]</f>
        <v>1395.9006799999997</v>
      </c>
      <c r="G988" s="12">
        <f ca="1">(RANDBETWEEN(50,100)/100)*(dict_DQ_Meth_max[[#This Row],[Vergleich_ub]]-dict_DQ_Meth_max[[#This Row],[Vergleich_lb]])+dict_DQ_Meth_max[[#This Row],[Vergleich_lb]]</f>
        <v>3546.7687699999992</v>
      </c>
      <c r="H988" s="11" t="str">
        <f ca="1">VLOOKUP(VLOOKUP(dict_DQ_Meth_max[[#This Row],[ID_DataQualities]],table_DataQualities[],3),table_Units[],2)</f>
        <v>Hz</v>
      </c>
      <c r="I988" s="10"/>
      <c r="J988" s="10"/>
      <c r="K988" s="10"/>
      <c r="L988" s="10">
        <f ca="1">VLOOKUP(dict_DQ_Meth_max[[#This Row],[ID_DataQualities]],table_DataQualities[],8,FALSE)</f>
        <v>0.74299999999999999</v>
      </c>
      <c r="M988" s="10">
        <f ca="1">VLOOKUP(dict_DQ_Meth_max[[#This Row],[ID_DataQualities]],table_DataQualities[],9,FALSE)</f>
        <v>5813.9</v>
      </c>
    </row>
    <row r="989" spans="1:13" x14ac:dyDescent="0.45">
      <c r="A989" s="10">
        <v>264</v>
      </c>
      <c r="B989" s="10">
        <v>546</v>
      </c>
      <c r="C9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89" s="10"/>
      <c r="E989" s="10"/>
      <c r="F989" s="12">
        <f ca="1">(RANDBETWEEN(0,50)/100)*(dict_DQ_Meth_max[[#This Row],[Vergleich_ub]]-dict_DQ_Meth_max[[#This Row],[Vergleich_lb]])+dict_DQ_Meth_max[[#This Row],[Vergleich_lb]]</f>
        <v>1744.6900999999996</v>
      </c>
      <c r="G989" s="12">
        <f ca="1">(RANDBETWEEN(50,100)/100)*(dict_DQ_Meth_max[[#This Row],[Vergleich_ub]]-dict_DQ_Meth_max[[#This Row],[Vergleich_lb]])+dict_DQ_Meth_max[[#This Row],[Vergleich_lb]]</f>
        <v>3895.5581899999997</v>
      </c>
      <c r="H989" s="11" t="str">
        <f ca="1">VLOOKUP(VLOOKUP(dict_DQ_Meth_max[[#This Row],[ID_DataQualities]],table_DataQualities[],3),table_Units[],2)</f>
        <v>Hz</v>
      </c>
      <c r="I989" s="10"/>
      <c r="J989" s="10"/>
      <c r="K989" s="10"/>
      <c r="L989" s="10">
        <f ca="1">VLOOKUP(dict_DQ_Meth_max[[#This Row],[ID_DataQualities]],table_DataQualities[],8,FALSE)</f>
        <v>0.74299999999999999</v>
      </c>
      <c r="M989" s="10">
        <f ca="1">VLOOKUP(dict_DQ_Meth_max[[#This Row],[ID_DataQualities]],table_DataQualities[],9,FALSE)</f>
        <v>5813.9</v>
      </c>
    </row>
    <row r="990" spans="1:13" x14ac:dyDescent="0.45">
      <c r="A990" s="10">
        <v>264</v>
      </c>
      <c r="B990" s="10">
        <v>550</v>
      </c>
      <c r="C9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0" s="10"/>
      <c r="E990" s="10"/>
      <c r="F990" s="12">
        <f ca="1">(RANDBETWEEN(0,50)/100)*(dict_DQ_Meth_max[[#This Row],[Vergleich_ub]]-dict_DQ_Meth_max[[#This Row],[Vergleich_lb]])+dict_DQ_Meth_max[[#This Row],[Vergleich_lb]]</f>
        <v>2035.3479499999996</v>
      </c>
      <c r="G990" s="12">
        <f ca="1">(RANDBETWEEN(50,100)/100)*(dict_DQ_Meth_max[[#This Row],[Vergleich_ub]]-dict_DQ_Meth_max[[#This Row],[Vergleich_lb]])+dict_DQ_Meth_max[[#This Row],[Vergleich_lb]]</f>
        <v>4651.2686000000003</v>
      </c>
      <c r="H990" s="11" t="str">
        <f ca="1">VLOOKUP(VLOOKUP(dict_DQ_Meth_max[[#This Row],[ID_DataQualities]],table_DataQualities[],3),table_Units[],2)</f>
        <v>Hz</v>
      </c>
      <c r="I990" s="10"/>
      <c r="J990" s="10"/>
      <c r="K990" s="10"/>
      <c r="L990" s="10">
        <f ca="1">VLOOKUP(dict_DQ_Meth_max[[#This Row],[ID_DataQualities]],table_DataQualities[],8,FALSE)</f>
        <v>0.74299999999999999</v>
      </c>
      <c r="M990" s="10">
        <f ca="1">VLOOKUP(dict_DQ_Meth_max[[#This Row],[ID_DataQualities]],table_DataQualities[],9,FALSE)</f>
        <v>5813.9</v>
      </c>
    </row>
    <row r="991" spans="1:13" x14ac:dyDescent="0.45">
      <c r="A991" s="10">
        <v>264</v>
      </c>
      <c r="B991" s="10">
        <v>361</v>
      </c>
      <c r="C9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1" s="10"/>
      <c r="E991" s="10"/>
      <c r="F991" s="12">
        <f ca="1">(RANDBETWEEN(0,50)/100)*(dict_DQ_Meth_max[[#This Row],[Vergleich_ub]]-dict_DQ_Meth_max[[#This Row],[Vergleich_lb]])+dict_DQ_Meth_max[[#This Row],[Vergleich_lb]]</f>
        <v>2732.9267899999995</v>
      </c>
      <c r="G991" s="12">
        <f ca="1">(RANDBETWEEN(50,100)/100)*(dict_DQ_Meth_max[[#This Row],[Vergleich_ub]]-dict_DQ_Meth_max[[#This Row],[Vergleich_lb]])+dict_DQ_Meth_max[[#This Row],[Vergleich_lb]]</f>
        <v>3139.8477799999996</v>
      </c>
      <c r="H991" s="11" t="str">
        <f ca="1">VLOOKUP(VLOOKUP(dict_DQ_Meth_max[[#This Row],[ID_DataQualities]],table_DataQualities[],3),table_Units[],2)</f>
        <v>Hz</v>
      </c>
      <c r="I991" s="10"/>
      <c r="J991" s="10"/>
      <c r="K991" s="10"/>
      <c r="L991" s="10">
        <f ca="1">VLOOKUP(dict_DQ_Meth_max[[#This Row],[ID_DataQualities]],table_DataQualities[],8,FALSE)</f>
        <v>0.74299999999999999</v>
      </c>
      <c r="M991" s="10">
        <f ca="1">VLOOKUP(dict_DQ_Meth_max[[#This Row],[ID_DataQualities]],table_DataQualities[],9,FALSE)</f>
        <v>5813.9</v>
      </c>
    </row>
    <row r="992" spans="1:13" x14ac:dyDescent="0.45">
      <c r="A992" s="10">
        <v>265</v>
      </c>
      <c r="B992" s="10">
        <v>550</v>
      </c>
      <c r="C9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2" s="10"/>
      <c r="E992" s="10"/>
      <c r="F992" s="12">
        <f ca="1">(RANDBETWEEN(0,50)/100)*(dict_DQ_Meth_max[[#This Row],[Vergleich_ub]]-dict_DQ_Meth_max[[#This Row],[Vergleich_lb]])+dict_DQ_Meth_max[[#This Row],[Vergleich_lb]]</f>
        <v>89.83</v>
      </c>
      <c r="G992" s="12">
        <f ca="1">(RANDBETWEEN(50,100)/100)*(dict_DQ_Meth_max[[#This Row],[Vergleich_ub]]-dict_DQ_Meth_max[[#This Row],[Vergleich_lb]])+dict_DQ_Meth_max[[#This Row],[Vergleich_lb]]</f>
        <v>7250.1900000000005</v>
      </c>
      <c r="H992" s="11" t="str">
        <f ca="1">VLOOKUP(VLOOKUP(dict_DQ_Meth_max[[#This Row],[ID_DataQualities]],table_DataQualities[],3),table_Units[],2)</f>
        <v>bit</v>
      </c>
      <c r="I992" s="10"/>
      <c r="J992" s="10"/>
      <c r="K992" s="10"/>
      <c r="L992" s="10">
        <f ca="1">VLOOKUP(dict_DQ_Meth_max[[#This Row],[ID_DataQualities]],table_DataQualities[],8,FALSE)</f>
        <v>12</v>
      </c>
      <c r="M992" s="10">
        <f ca="1">VLOOKUP(dict_DQ_Meth_max[[#This Row],[ID_DataQualities]],table_DataQualities[],9,FALSE)</f>
        <v>7795</v>
      </c>
    </row>
    <row r="993" spans="1:13" x14ac:dyDescent="0.45">
      <c r="A993" s="10">
        <v>265</v>
      </c>
      <c r="B993" s="10">
        <v>274</v>
      </c>
      <c r="C9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3" s="10"/>
      <c r="E993" s="10"/>
      <c r="F993" s="12">
        <f ca="1">(RANDBETWEEN(0,50)/100)*(dict_DQ_Meth_max[[#This Row],[Vergleich_ub]]-dict_DQ_Meth_max[[#This Row],[Vergleich_lb]])+dict_DQ_Meth_max[[#This Row],[Vergleich_lb]]</f>
        <v>2891.71</v>
      </c>
      <c r="G993" s="12">
        <f ca="1">(RANDBETWEEN(50,100)/100)*(dict_DQ_Meth_max[[#This Row],[Vergleich_ub]]-dict_DQ_Meth_max[[#This Row],[Vergleich_lb]])+dict_DQ_Meth_max[[#This Row],[Vergleich_lb]]</f>
        <v>4059.1600000000003</v>
      </c>
      <c r="H993" s="11" t="str">
        <f ca="1">VLOOKUP(VLOOKUP(dict_DQ_Meth_max[[#This Row],[ID_DataQualities]],table_DataQualities[],3),table_Units[],2)</f>
        <v>bit</v>
      </c>
      <c r="I993" s="10"/>
      <c r="J993" s="10"/>
      <c r="K993" s="10"/>
      <c r="L993" s="10">
        <f ca="1">VLOOKUP(dict_DQ_Meth_max[[#This Row],[ID_DataQualities]],table_DataQualities[],8,FALSE)</f>
        <v>12</v>
      </c>
      <c r="M993" s="10">
        <f ca="1">VLOOKUP(dict_DQ_Meth_max[[#This Row],[ID_DataQualities]],table_DataQualities[],9,FALSE)</f>
        <v>7795</v>
      </c>
    </row>
    <row r="994" spans="1:13" x14ac:dyDescent="0.45">
      <c r="A994" s="10">
        <v>265</v>
      </c>
      <c r="B994" s="10">
        <v>546</v>
      </c>
      <c r="C9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4" s="10"/>
      <c r="E994" s="10"/>
      <c r="F994" s="12">
        <f ca="1">(RANDBETWEEN(0,50)/100)*(dict_DQ_Meth_max[[#This Row],[Vergleich_ub]]-dict_DQ_Meth_max[[#This Row],[Vergleich_lb]])+dict_DQ_Meth_max[[#This Row],[Vergleich_lb]]</f>
        <v>1646.4299999999998</v>
      </c>
      <c r="G994" s="12">
        <f ca="1">(RANDBETWEEN(50,100)/100)*(dict_DQ_Meth_max[[#This Row],[Vergleich_ub]]-dict_DQ_Meth_max[[#This Row],[Vergleich_lb]])+dict_DQ_Meth_max[[#This Row],[Vergleich_lb]]</f>
        <v>5070.95</v>
      </c>
      <c r="H994" s="11" t="str">
        <f ca="1">VLOOKUP(VLOOKUP(dict_DQ_Meth_max[[#This Row],[ID_DataQualities]],table_DataQualities[],3),table_Units[],2)</f>
        <v>bit</v>
      </c>
      <c r="I994" s="10"/>
      <c r="J994" s="10"/>
      <c r="K994" s="10"/>
      <c r="L994" s="10">
        <f ca="1">VLOOKUP(dict_DQ_Meth_max[[#This Row],[ID_DataQualities]],table_DataQualities[],8,FALSE)</f>
        <v>12</v>
      </c>
      <c r="M994" s="10">
        <f ca="1">VLOOKUP(dict_DQ_Meth_max[[#This Row],[ID_DataQualities]],table_DataQualities[],9,FALSE)</f>
        <v>7795</v>
      </c>
    </row>
    <row r="995" spans="1:13" x14ac:dyDescent="0.45">
      <c r="A995" s="10">
        <v>265</v>
      </c>
      <c r="B995" s="10">
        <v>361</v>
      </c>
      <c r="C9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5" s="10"/>
      <c r="E995" s="10"/>
      <c r="F995" s="12">
        <f ca="1">(RANDBETWEEN(0,50)/100)*(dict_DQ_Meth_max[[#This Row],[Vergleich_ub]]-dict_DQ_Meth_max[[#This Row],[Vergleich_lb]])+dict_DQ_Meth_max[[#This Row],[Vergleich_lb]]</f>
        <v>2813.88</v>
      </c>
      <c r="G995" s="12">
        <f ca="1">(RANDBETWEEN(50,100)/100)*(dict_DQ_Meth_max[[#This Row],[Vergleich_ub]]-dict_DQ_Meth_max[[#This Row],[Vergleich_lb]])+dict_DQ_Meth_max[[#This Row],[Vergleich_lb]]</f>
        <v>4759.63</v>
      </c>
      <c r="H995" s="11" t="str">
        <f ca="1">VLOOKUP(VLOOKUP(dict_DQ_Meth_max[[#This Row],[ID_DataQualities]],table_DataQualities[],3),table_Units[],2)</f>
        <v>bit</v>
      </c>
      <c r="I995" s="10"/>
      <c r="J995" s="10"/>
      <c r="K995" s="10"/>
      <c r="L995" s="10">
        <f ca="1">VLOOKUP(dict_DQ_Meth_max[[#This Row],[ID_DataQualities]],table_DataQualities[],8,FALSE)</f>
        <v>12</v>
      </c>
      <c r="M995" s="10">
        <f ca="1">VLOOKUP(dict_DQ_Meth_max[[#This Row],[ID_DataQualities]],table_DataQualities[],9,FALSE)</f>
        <v>7795</v>
      </c>
    </row>
    <row r="996" spans="1:13" x14ac:dyDescent="0.45">
      <c r="A996" s="10">
        <v>266</v>
      </c>
      <c r="B996" s="10">
        <v>174</v>
      </c>
      <c r="C9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6" s="10"/>
      <c r="E996" s="10"/>
      <c r="F996" s="12">
        <f ca="1">(RANDBETWEEN(0,50)/100)*(dict_DQ_Meth_max[[#This Row],[Vergleich_ub]]-dict_DQ_Meth_max[[#This Row],[Vergleich_lb]])+dict_DQ_Meth_max[[#This Row],[Vergleich_lb]]</f>
        <v>124.30266000000002</v>
      </c>
      <c r="G996" s="12">
        <f ca="1">(RANDBETWEEN(50,100)/100)*(dict_DQ_Meth_max[[#This Row],[Vergleich_ub]]-dict_DQ_Meth_max[[#This Row],[Vergleich_lb]])+dict_DQ_Meth_max[[#This Row],[Vergleich_lb]]</f>
        <v>168.52611000000002</v>
      </c>
      <c r="H996" s="11" t="str">
        <f ca="1">VLOOKUP(VLOOKUP(dict_DQ_Meth_max[[#This Row],[ID_DataQualities]],table_DataQualities[],3),table_Units[],2)</f>
        <v>Hz</v>
      </c>
      <c r="I996" s="10"/>
      <c r="J996" s="10"/>
      <c r="K996" s="10"/>
      <c r="L996" s="10">
        <f ca="1">VLOOKUP(dict_DQ_Meth_max[[#This Row],[ID_DataQualities]],table_DataQualities[],8,FALSE)</f>
        <v>0.47699999999999998</v>
      </c>
      <c r="M996" s="10">
        <f ca="1">VLOOKUP(dict_DQ_Meth_max[[#This Row],[ID_DataQualities]],table_DataQualities[],9,FALSE)</f>
        <v>295.3</v>
      </c>
    </row>
    <row r="997" spans="1:13" x14ac:dyDescent="0.45">
      <c r="A997" s="10">
        <v>266</v>
      </c>
      <c r="B997" s="10">
        <v>643</v>
      </c>
      <c r="C9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7" s="10"/>
      <c r="E997" s="10"/>
      <c r="F997" s="12">
        <f ca="1">(RANDBETWEEN(0,50)/100)*(dict_DQ_Meth_max[[#This Row],[Vergleich_ub]]-dict_DQ_Meth_max[[#This Row],[Vergleich_lb]])+dict_DQ_Meth_max[[#This Row],[Vergleich_lb]]</f>
        <v>74.182750000000013</v>
      </c>
      <c r="G997" s="12">
        <f ca="1">(RANDBETWEEN(50,100)/100)*(dict_DQ_Meth_max[[#This Row],[Vergleich_ub]]-dict_DQ_Meth_max[[#This Row],[Vergleich_lb]])+dict_DQ_Meth_max[[#This Row],[Vergleich_lb]]</f>
        <v>295.3</v>
      </c>
      <c r="H997" s="11" t="str">
        <f ca="1">VLOOKUP(VLOOKUP(dict_DQ_Meth_max[[#This Row],[ID_DataQualities]],table_DataQualities[],3),table_Units[],2)</f>
        <v>Hz</v>
      </c>
      <c r="I997" s="10"/>
      <c r="J997" s="10"/>
      <c r="K997" s="10"/>
      <c r="L997" s="10">
        <f ca="1">VLOOKUP(dict_DQ_Meth_max[[#This Row],[ID_DataQualities]],table_DataQualities[],8,FALSE)</f>
        <v>0.47699999999999998</v>
      </c>
      <c r="M997" s="10">
        <f ca="1">VLOOKUP(dict_DQ_Meth_max[[#This Row],[ID_DataQualities]],table_DataQualities[],9,FALSE)</f>
        <v>295.3</v>
      </c>
    </row>
    <row r="998" spans="1:13" x14ac:dyDescent="0.45">
      <c r="A998" s="10">
        <v>266</v>
      </c>
      <c r="B998" s="10">
        <v>4</v>
      </c>
      <c r="C9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8" s="10"/>
      <c r="E998" s="10"/>
      <c r="F998" s="12">
        <f ca="1">(RANDBETWEEN(0,50)/100)*(dict_DQ_Meth_max[[#This Row],[Vergleich_ub]]-dict_DQ_Meth_max[[#This Row],[Vergleich_lb]])+dict_DQ_Meth_max[[#This Row],[Vergleich_lb]]</f>
        <v>15.218150000000003</v>
      </c>
      <c r="G998" s="12">
        <f ca="1">(RANDBETWEEN(50,100)/100)*(dict_DQ_Meth_max[[#This Row],[Vergleich_ub]]-dict_DQ_Meth_max[[#This Row],[Vergleich_lb]])+dict_DQ_Meth_max[[#This Row],[Vergleich_lb]]</f>
        <v>268.76593000000003</v>
      </c>
      <c r="H998" s="11" t="str">
        <f ca="1">VLOOKUP(VLOOKUP(dict_DQ_Meth_max[[#This Row],[ID_DataQualities]],table_DataQualities[],3),table_Units[],2)</f>
        <v>Hz</v>
      </c>
      <c r="I998" s="10"/>
      <c r="J998" s="10"/>
      <c r="K998" s="10"/>
      <c r="L998" s="10">
        <f ca="1">VLOOKUP(dict_DQ_Meth_max[[#This Row],[ID_DataQualities]],table_DataQualities[],8,FALSE)</f>
        <v>0.47699999999999998</v>
      </c>
      <c r="M998" s="10">
        <f ca="1">VLOOKUP(dict_DQ_Meth_max[[#This Row],[ID_DataQualities]],table_DataQualities[],9,FALSE)</f>
        <v>295.3</v>
      </c>
    </row>
    <row r="999" spans="1:13" x14ac:dyDescent="0.45">
      <c r="A999" s="10">
        <v>266</v>
      </c>
      <c r="B999" s="10">
        <v>602</v>
      </c>
      <c r="C9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999" s="10"/>
      <c r="E999" s="10"/>
      <c r="F999" s="12">
        <f ca="1">(RANDBETWEEN(0,50)/100)*(dict_DQ_Meth_max[[#This Row],[Vergleich_ub]]-dict_DQ_Meth_max[[#This Row],[Vergleich_lb]])+dict_DQ_Meth_max[[#This Row],[Vergleich_lb]]</f>
        <v>115.45797000000002</v>
      </c>
      <c r="G999" s="12">
        <f ca="1">(RANDBETWEEN(50,100)/100)*(dict_DQ_Meth_max[[#This Row],[Vergleich_ub]]-dict_DQ_Meth_max[[#This Row],[Vergleich_lb]])+dict_DQ_Meth_max[[#This Row],[Vergleich_lb]]</f>
        <v>147.88850000000002</v>
      </c>
      <c r="H999" s="11" t="str">
        <f ca="1">VLOOKUP(VLOOKUP(dict_DQ_Meth_max[[#This Row],[ID_DataQualities]],table_DataQualities[],3),table_Units[],2)</f>
        <v>Hz</v>
      </c>
      <c r="I999" s="10"/>
      <c r="J999" s="10"/>
      <c r="K999" s="10"/>
      <c r="L999" s="10">
        <f ca="1">VLOOKUP(dict_DQ_Meth_max[[#This Row],[ID_DataQualities]],table_DataQualities[],8,FALSE)</f>
        <v>0.47699999999999998</v>
      </c>
      <c r="M999" s="10">
        <f ca="1">VLOOKUP(dict_DQ_Meth_max[[#This Row],[ID_DataQualities]],table_DataQualities[],9,FALSE)</f>
        <v>295.3</v>
      </c>
    </row>
    <row r="1000" spans="1:13" x14ac:dyDescent="0.45">
      <c r="A1000" s="10">
        <v>266</v>
      </c>
      <c r="B1000" s="10">
        <v>440</v>
      </c>
      <c r="C10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0" s="10"/>
      <c r="E1000" s="10"/>
      <c r="F1000" s="12">
        <f ca="1">(RANDBETWEEN(0,50)/100)*(dict_DQ_Meth_max[[#This Row],[Vergleich_ub]]-dict_DQ_Meth_max[[#This Row],[Vergleich_lb]])+dict_DQ_Meth_max[[#This Row],[Vergleich_lb]]</f>
        <v>112.50974000000002</v>
      </c>
      <c r="G1000" s="12">
        <f ca="1">(RANDBETWEEN(50,100)/100)*(dict_DQ_Meth_max[[#This Row],[Vergleich_ub]]-dict_DQ_Meth_max[[#This Row],[Vergleich_lb]])+dict_DQ_Meth_max[[#This Row],[Vergleich_lb]]</f>
        <v>283.50707999999997</v>
      </c>
      <c r="H1000" s="11" t="str">
        <f ca="1">VLOOKUP(VLOOKUP(dict_DQ_Meth_max[[#This Row],[ID_DataQualities]],table_DataQualities[],3),table_Units[],2)</f>
        <v>Hz</v>
      </c>
      <c r="I1000" s="10"/>
      <c r="J1000" s="10"/>
      <c r="K1000" s="10"/>
      <c r="L1000" s="10">
        <f ca="1">VLOOKUP(dict_DQ_Meth_max[[#This Row],[ID_DataQualities]],table_DataQualities[],8,FALSE)</f>
        <v>0.47699999999999998</v>
      </c>
      <c r="M1000" s="10">
        <f ca="1">VLOOKUP(dict_DQ_Meth_max[[#This Row],[ID_DataQualities]],table_DataQualities[],9,FALSE)</f>
        <v>295.3</v>
      </c>
    </row>
    <row r="1001" spans="1:13" x14ac:dyDescent="0.45">
      <c r="A1001" s="10">
        <v>267</v>
      </c>
      <c r="B1001" s="10">
        <v>174</v>
      </c>
      <c r="C10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1" s="10"/>
      <c r="E1001" s="10"/>
      <c r="F1001" s="12">
        <f ca="1">(RANDBETWEEN(0,50)/100)*(dict_DQ_Meth_max[[#This Row],[Vergleich_ub]]-dict_DQ_Meth_max[[#This Row],[Vergleich_lb]])+dict_DQ_Meth_max[[#This Row],[Vergleich_lb]]</f>
        <v>1.4856</v>
      </c>
      <c r="G1001" s="12">
        <f ca="1">(RANDBETWEEN(50,100)/100)*(dict_DQ_Meth_max[[#This Row],[Vergleich_ub]]-dict_DQ_Meth_max[[#This Row],[Vergleich_lb]])+dict_DQ_Meth_max[[#This Row],[Vergleich_lb]]</f>
        <v>4.1963999999999997</v>
      </c>
      <c r="H1001" s="11" t="str">
        <f ca="1">VLOOKUP(VLOOKUP(dict_DQ_Meth_max[[#This Row],[ID_DataQualities]],table_DataQualities[],3),table_Units[],2)</f>
        <v>+/- mm/s</v>
      </c>
      <c r="I1001" s="10"/>
      <c r="J1001" s="10"/>
      <c r="K1001" s="10"/>
      <c r="L1001" s="10">
        <f ca="1">VLOOKUP(dict_DQ_Meth_max[[#This Row],[ID_DataQualities]],table_DataQualities[],8,FALSE)</f>
        <v>0.08</v>
      </c>
      <c r="M1001" s="10">
        <f ca="1">VLOOKUP(dict_DQ_Meth_max[[#This Row],[ID_DataQualities]],table_DataQualities[],9,FALSE)</f>
        <v>5.0999999999999996</v>
      </c>
    </row>
    <row r="1002" spans="1:13" x14ac:dyDescent="0.45">
      <c r="A1002" s="10">
        <v>267</v>
      </c>
      <c r="B1002" s="10">
        <v>602</v>
      </c>
      <c r="C10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2" s="10"/>
      <c r="E1002" s="10"/>
      <c r="F1002" s="12">
        <f ca="1">(RANDBETWEEN(0,50)/100)*(dict_DQ_Meth_max[[#This Row],[Vergleich_ub]]-dict_DQ_Meth_max[[#This Row],[Vergleich_lb]])+dict_DQ_Meth_max[[#This Row],[Vergleich_lb]]</f>
        <v>1.335</v>
      </c>
      <c r="G1002" s="12">
        <f ca="1">(RANDBETWEEN(50,100)/100)*(dict_DQ_Meth_max[[#This Row],[Vergleich_ub]]-dict_DQ_Meth_max[[#This Row],[Vergleich_lb]])+dict_DQ_Meth_max[[#This Row],[Vergleich_lb]]</f>
        <v>4.4474</v>
      </c>
      <c r="H1002" s="11" t="str">
        <f ca="1">VLOOKUP(VLOOKUP(dict_DQ_Meth_max[[#This Row],[ID_DataQualities]],table_DataQualities[],3),table_Units[],2)</f>
        <v>+/- mm/s</v>
      </c>
      <c r="I1002" s="10"/>
      <c r="J1002" s="10"/>
      <c r="K1002" s="10"/>
      <c r="L1002" s="10">
        <f ca="1">VLOOKUP(dict_DQ_Meth_max[[#This Row],[ID_DataQualities]],table_DataQualities[],8,FALSE)</f>
        <v>0.08</v>
      </c>
      <c r="M1002" s="10">
        <f ca="1">VLOOKUP(dict_DQ_Meth_max[[#This Row],[ID_DataQualities]],table_DataQualities[],9,FALSE)</f>
        <v>5.0999999999999996</v>
      </c>
    </row>
    <row r="1003" spans="1:13" x14ac:dyDescent="0.45">
      <c r="A1003" s="10">
        <v>267</v>
      </c>
      <c r="B1003" s="10">
        <v>4</v>
      </c>
      <c r="C10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3" s="10"/>
      <c r="E1003" s="10"/>
      <c r="F1003" s="12">
        <f ca="1">(RANDBETWEEN(0,50)/100)*(dict_DQ_Meth_max[[#This Row],[Vergleich_ub]]-dict_DQ_Meth_max[[#This Row],[Vergleich_lb]])+dict_DQ_Meth_max[[#This Row],[Vergleich_lb]]</f>
        <v>2.1883999999999997</v>
      </c>
      <c r="G1003" s="12">
        <f ca="1">(RANDBETWEEN(50,100)/100)*(dict_DQ_Meth_max[[#This Row],[Vergleich_ub]]-dict_DQ_Meth_max[[#This Row],[Vergleich_lb]])+dict_DQ_Meth_max[[#This Row],[Vergleich_lb]]</f>
        <v>4.7987999999999991</v>
      </c>
      <c r="H1003" s="11" t="str">
        <f ca="1">VLOOKUP(VLOOKUP(dict_DQ_Meth_max[[#This Row],[ID_DataQualities]],table_DataQualities[],3),table_Units[],2)</f>
        <v>+/- mm/s</v>
      </c>
      <c r="I1003" s="10"/>
      <c r="J1003" s="10"/>
      <c r="K1003" s="10"/>
      <c r="L1003" s="10">
        <f ca="1">VLOOKUP(dict_DQ_Meth_max[[#This Row],[ID_DataQualities]],table_DataQualities[],8,FALSE)</f>
        <v>0.08</v>
      </c>
      <c r="M1003" s="10">
        <f ca="1">VLOOKUP(dict_DQ_Meth_max[[#This Row],[ID_DataQualities]],table_DataQualities[],9,FALSE)</f>
        <v>5.0999999999999996</v>
      </c>
    </row>
    <row r="1004" spans="1:13" x14ac:dyDescent="0.45">
      <c r="A1004" s="10">
        <v>267</v>
      </c>
      <c r="B1004" s="10">
        <v>643</v>
      </c>
      <c r="C10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4" s="10"/>
      <c r="E1004" s="10"/>
      <c r="F1004" s="12">
        <f ca="1">(RANDBETWEEN(0,50)/100)*(dict_DQ_Meth_max[[#This Row],[Vergleich_ub]]-dict_DQ_Meth_max[[#This Row],[Vergleich_lb]])+dict_DQ_Meth_max[[#This Row],[Vergleich_lb]]</f>
        <v>1.4856</v>
      </c>
      <c r="G1004" s="12">
        <f ca="1">(RANDBETWEEN(50,100)/100)*(dict_DQ_Meth_max[[#This Row],[Vergleich_ub]]-dict_DQ_Meth_max[[#This Row],[Vergleich_lb]])+dict_DQ_Meth_max[[#This Row],[Vergleich_lb]]</f>
        <v>4.7987999999999991</v>
      </c>
      <c r="H1004" s="11" t="str">
        <f ca="1">VLOOKUP(VLOOKUP(dict_DQ_Meth_max[[#This Row],[ID_DataQualities]],table_DataQualities[],3),table_Units[],2)</f>
        <v>+/- mm/s</v>
      </c>
      <c r="I1004" s="10"/>
      <c r="J1004" s="10"/>
      <c r="K1004" s="10"/>
      <c r="L1004" s="10">
        <f ca="1">VLOOKUP(dict_DQ_Meth_max[[#This Row],[ID_DataQualities]],table_DataQualities[],8,FALSE)</f>
        <v>0.08</v>
      </c>
      <c r="M1004" s="10">
        <f ca="1">VLOOKUP(dict_DQ_Meth_max[[#This Row],[ID_DataQualities]],table_DataQualities[],9,FALSE)</f>
        <v>5.0999999999999996</v>
      </c>
    </row>
    <row r="1005" spans="1:13" x14ac:dyDescent="0.45">
      <c r="A1005" s="10">
        <v>267</v>
      </c>
      <c r="B1005" s="10">
        <v>440</v>
      </c>
      <c r="C10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5" s="10"/>
      <c r="E1005" s="10"/>
      <c r="F1005" s="12">
        <f ca="1">(RANDBETWEEN(0,50)/100)*(dict_DQ_Meth_max[[#This Row],[Vergleich_ub]]-dict_DQ_Meth_max[[#This Row],[Vergleich_lb]])+dict_DQ_Meth_max[[#This Row],[Vergleich_lb]]</f>
        <v>1.9373999999999998</v>
      </c>
      <c r="G1005" s="12">
        <f ca="1">(RANDBETWEEN(50,100)/100)*(dict_DQ_Meth_max[[#This Row],[Vergleich_ub]]-dict_DQ_Meth_max[[#This Row],[Vergleich_lb]])+dict_DQ_Meth_max[[#This Row],[Vergleich_lb]]</f>
        <v>3.0919999999999996</v>
      </c>
      <c r="H1005" s="11" t="str">
        <f ca="1">VLOOKUP(VLOOKUP(dict_DQ_Meth_max[[#This Row],[ID_DataQualities]],table_DataQualities[],3),table_Units[],2)</f>
        <v>+/- mm/s</v>
      </c>
      <c r="I1005" s="10"/>
      <c r="J1005" s="10"/>
      <c r="K1005" s="10"/>
      <c r="L1005" s="10">
        <f ca="1">VLOOKUP(dict_DQ_Meth_max[[#This Row],[ID_DataQualities]],table_DataQualities[],8,FALSE)</f>
        <v>0.08</v>
      </c>
      <c r="M1005" s="10">
        <f ca="1">VLOOKUP(dict_DQ_Meth_max[[#This Row],[ID_DataQualities]],table_DataQualities[],9,FALSE)</f>
        <v>5.0999999999999996</v>
      </c>
    </row>
    <row r="1006" spans="1:13" x14ac:dyDescent="0.45">
      <c r="A1006" s="10">
        <v>268</v>
      </c>
      <c r="B1006" s="10">
        <v>670</v>
      </c>
      <c r="C10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6" s="10"/>
      <c r="E1006" s="10"/>
      <c r="F1006" s="12">
        <f ca="1">(RANDBETWEEN(0,50)/100)*(dict_DQ_Meth_max[[#This Row],[Vergleich_ub]]-dict_DQ_Meth_max[[#This Row],[Vergleich_lb]])+dict_DQ_Meth_max[[#This Row],[Vergleich_lb]]</f>
        <v>3259.9349500000003</v>
      </c>
      <c r="G1006" s="12">
        <f ca="1">(RANDBETWEEN(50,100)/100)*(dict_DQ_Meth_max[[#This Row],[Vergleich_ub]]-dict_DQ_Meth_max[[#This Row],[Vergleich_lb]])+dict_DQ_Meth_max[[#This Row],[Vergleich_lb]]</f>
        <v>9185.8439500000004</v>
      </c>
      <c r="H1006" s="11" t="str">
        <f ca="1">VLOOKUP(VLOOKUP(dict_DQ_Meth_max[[#This Row],[ID_DataQualities]],table_DataQualities[],3),table_Units[],2)</f>
        <v>Hz</v>
      </c>
      <c r="I1006" s="10"/>
      <c r="J1006" s="10"/>
      <c r="K1006" s="10"/>
      <c r="L1006" s="10">
        <f ca="1">VLOOKUP(dict_DQ_Meth_max[[#This Row],[ID_DataQualities]],table_DataQualities[],8,FALSE)</f>
        <v>0.68500000000000005</v>
      </c>
      <c r="M1006" s="10">
        <f ca="1">VLOOKUP(dict_DQ_Meth_max[[#This Row],[ID_DataQualities]],table_DataQualities[],9,FALSE)</f>
        <v>9877.2000000000007</v>
      </c>
    </row>
    <row r="1007" spans="1:13" x14ac:dyDescent="0.45">
      <c r="A1007" s="10">
        <v>268</v>
      </c>
      <c r="B1007" s="10">
        <v>157</v>
      </c>
      <c r="C10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7" s="10"/>
      <c r="E1007" s="10"/>
      <c r="F1007" s="12">
        <f ca="1">(RANDBETWEEN(0,50)/100)*(dict_DQ_Meth_max[[#This Row],[Vergleich_ub]]-dict_DQ_Meth_max[[#This Row],[Vergleich_lb]])+dict_DQ_Meth_max[[#This Row],[Vergleich_lb]]</f>
        <v>4840.1773500000008</v>
      </c>
      <c r="G1007" s="12">
        <f ca="1">(RANDBETWEEN(50,100)/100)*(dict_DQ_Meth_max[[#This Row],[Vergleich_ub]]-dict_DQ_Meth_max[[#This Row],[Vergleich_lb]])+dict_DQ_Meth_max[[#This Row],[Vergleich_lb]]</f>
        <v>8296.9575999999997</v>
      </c>
      <c r="H1007" s="11" t="str">
        <f ca="1">VLOOKUP(VLOOKUP(dict_DQ_Meth_max[[#This Row],[ID_DataQualities]],table_DataQualities[],3),table_Units[],2)</f>
        <v>Hz</v>
      </c>
      <c r="I1007" s="10"/>
      <c r="J1007" s="10"/>
      <c r="K1007" s="10"/>
      <c r="L1007" s="10">
        <f ca="1">VLOOKUP(dict_DQ_Meth_max[[#This Row],[ID_DataQualities]],table_DataQualities[],8,FALSE)</f>
        <v>0.68500000000000005</v>
      </c>
      <c r="M1007" s="10">
        <f ca="1">VLOOKUP(dict_DQ_Meth_max[[#This Row],[ID_DataQualities]],table_DataQualities[],9,FALSE)</f>
        <v>9877.2000000000007</v>
      </c>
    </row>
    <row r="1008" spans="1:13" x14ac:dyDescent="0.45">
      <c r="A1008" s="10">
        <v>268</v>
      </c>
      <c r="B1008" s="10">
        <v>442</v>
      </c>
      <c r="C10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8" s="10"/>
      <c r="E1008" s="10"/>
      <c r="F1008" s="12">
        <f ca="1">(RANDBETWEEN(0,50)/100)*(dict_DQ_Meth_max[[#This Row],[Vergleich_ub]]-dict_DQ_Meth_max[[#This Row],[Vergleich_lb]])+dict_DQ_Meth_max[[#This Row],[Vergleich_lb]]</f>
        <v>2074.75315</v>
      </c>
      <c r="G1008" s="12">
        <f ca="1">(RANDBETWEEN(50,100)/100)*(dict_DQ_Meth_max[[#This Row],[Vergleich_ub]]-dict_DQ_Meth_max[[#This Row],[Vergleich_lb]])+dict_DQ_Meth_max[[#This Row],[Vergleich_lb]]</f>
        <v>7210.5409500000014</v>
      </c>
      <c r="H1008" s="11" t="str">
        <f ca="1">VLOOKUP(VLOOKUP(dict_DQ_Meth_max[[#This Row],[ID_DataQualities]],table_DataQualities[],3),table_Units[],2)</f>
        <v>Hz</v>
      </c>
      <c r="I1008" s="10"/>
      <c r="J1008" s="10"/>
      <c r="K1008" s="10"/>
      <c r="L1008" s="10">
        <f ca="1">VLOOKUP(dict_DQ_Meth_max[[#This Row],[ID_DataQualities]],table_DataQualities[],8,FALSE)</f>
        <v>0.68500000000000005</v>
      </c>
      <c r="M1008" s="10">
        <f ca="1">VLOOKUP(dict_DQ_Meth_max[[#This Row],[ID_DataQualities]],table_DataQualities[],9,FALSE)</f>
        <v>9877.2000000000007</v>
      </c>
    </row>
    <row r="1009" spans="1:13" x14ac:dyDescent="0.45">
      <c r="A1009" s="10">
        <v>269</v>
      </c>
      <c r="B1009" s="10">
        <v>157</v>
      </c>
      <c r="C10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09" s="10"/>
      <c r="E1009" s="10"/>
      <c r="F1009" s="12">
        <f ca="1">(RANDBETWEEN(0,50)/100)*(dict_DQ_Meth_max[[#This Row],[Vergleich_ub]]-dict_DQ_Meth_max[[#This Row],[Vergleich_lb]])+dict_DQ_Meth_max[[#This Row],[Vergleich_lb]]</f>
        <v>0.91500000000000004</v>
      </c>
      <c r="G1009" s="12">
        <f ca="1">(RANDBETWEEN(50,100)/100)*(dict_DQ_Meth_max[[#This Row],[Vergleich_ub]]-dict_DQ_Meth_max[[#This Row],[Vergleich_lb]])+dict_DQ_Meth_max[[#This Row],[Vergleich_lb]]</f>
        <v>0.99399999999999999</v>
      </c>
      <c r="H1009" s="11" t="str">
        <f ca="1">VLOOKUP(VLOOKUP(dict_DQ_Meth_max[[#This Row],[ID_DataQualities]],table_DataQualities[],3),table_Units[],2)</f>
        <v>+/- °C</v>
      </c>
      <c r="I1009" s="10"/>
      <c r="J1009" s="10"/>
      <c r="K1009" s="10"/>
      <c r="L1009" s="10">
        <f ca="1">VLOOKUP(dict_DQ_Meth_max[[#This Row],[ID_DataQualities]],table_DataQualities[],8,FALSE)</f>
        <v>0.9</v>
      </c>
      <c r="M1009" s="10">
        <f ca="1">VLOOKUP(dict_DQ_Meth_max[[#This Row],[ID_DataQualities]],table_DataQualities[],9,FALSE)</f>
        <v>1</v>
      </c>
    </row>
    <row r="1010" spans="1:13" x14ac:dyDescent="0.45">
      <c r="A1010" s="10">
        <v>269</v>
      </c>
      <c r="B1010" s="10">
        <v>442</v>
      </c>
      <c r="C10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0" s="10"/>
      <c r="E1010" s="10"/>
      <c r="F1010" s="12">
        <f ca="1">(RANDBETWEEN(0,50)/100)*(dict_DQ_Meth_max[[#This Row],[Vergleich_ub]]-dict_DQ_Meth_max[[#This Row],[Vergleich_lb]])+dict_DQ_Meth_max[[#This Row],[Vergleich_lb]]</f>
        <v>0.90600000000000003</v>
      </c>
      <c r="G1010" s="12">
        <f ca="1">(RANDBETWEEN(50,100)/100)*(dict_DQ_Meth_max[[#This Row],[Vergleich_ub]]-dict_DQ_Meth_max[[#This Row],[Vergleich_lb]])+dict_DQ_Meth_max[[#This Row],[Vergleich_lb]]</f>
        <v>0.97</v>
      </c>
      <c r="H1010" s="11" t="str">
        <f ca="1">VLOOKUP(VLOOKUP(dict_DQ_Meth_max[[#This Row],[ID_DataQualities]],table_DataQualities[],3),table_Units[],2)</f>
        <v>+/- °C</v>
      </c>
      <c r="I1010" s="10"/>
      <c r="J1010" s="10"/>
      <c r="K1010" s="10"/>
      <c r="L1010" s="10">
        <f ca="1">VLOOKUP(dict_DQ_Meth_max[[#This Row],[ID_DataQualities]],table_DataQualities[],8,FALSE)</f>
        <v>0.9</v>
      </c>
      <c r="M1010" s="10">
        <f ca="1">VLOOKUP(dict_DQ_Meth_max[[#This Row],[ID_DataQualities]],table_DataQualities[],9,FALSE)</f>
        <v>1</v>
      </c>
    </row>
    <row r="1011" spans="1:13" x14ac:dyDescent="0.45">
      <c r="A1011" s="10">
        <v>269</v>
      </c>
      <c r="B1011" s="10">
        <v>670</v>
      </c>
      <c r="C10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1" s="10"/>
      <c r="E1011" s="10"/>
      <c r="F1011" s="12">
        <f ca="1">(RANDBETWEEN(0,50)/100)*(dict_DQ_Meth_max[[#This Row],[Vergleich_ub]]-dict_DQ_Meth_max[[#This Row],[Vergleich_lb]])+dict_DQ_Meth_max[[#This Row],[Vergleich_lb]]</f>
        <v>0.93500000000000005</v>
      </c>
      <c r="G1011" s="12">
        <f ca="1">(RANDBETWEEN(50,100)/100)*(dict_DQ_Meth_max[[#This Row],[Vergleich_ub]]-dict_DQ_Meth_max[[#This Row],[Vergleich_lb]])+dict_DQ_Meth_max[[#This Row],[Vergleich_lb]]</f>
        <v>0.97199999999999998</v>
      </c>
      <c r="H1011" s="11" t="str">
        <f ca="1">VLOOKUP(VLOOKUP(dict_DQ_Meth_max[[#This Row],[ID_DataQualities]],table_DataQualities[],3),table_Units[],2)</f>
        <v>+/- °C</v>
      </c>
      <c r="I1011" s="10"/>
      <c r="J1011" s="10"/>
      <c r="K1011" s="10"/>
      <c r="L1011" s="10">
        <f ca="1">VLOOKUP(dict_DQ_Meth_max[[#This Row],[ID_DataQualities]],table_DataQualities[],8,FALSE)</f>
        <v>0.9</v>
      </c>
      <c r="M1011" s="10">
        <f ca="1">VLOOKUP(dict_DQ_Meth_max[[#This Row],[ID_DataQualities]],table_DataQualities[],9,FALSE)</f>
        <v>1</v>
      </c>
    </row>
    <row r="1012" spans="1:13" x14ac:dyDescent="0.45">
      <c r="A1012" s="10">
        <v>270</v>
      </c>
      <c r="B1012" s="10">
        <v>308</v>
      </c>
      <c r="C10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2" s="10"/>
      <c r="E1012" s="10"/>
      <c r="F1012" s="12">
        <f ca="1">(RANDBETWEEN(0,50)/100)*(dict_DQ_Meth_max[[#This Row],[Vergleich_ub]]-dict_DQ_Meth_max[[#This Row],[Vergleich_lb]])+dict_DQ_Meth_max[[#This Row],[Vergleich_lb]]</f>
        <v>284.20490000000001</v>
      </c>
      <c r="G1012" s="12">
        <f ca="1">(RANDBETWEEN(50,100)/100)*(dict_DQ_Meth_max[[#This Row],[Vergleich_ub]]-dict_DQ_Meth_max[[#This Row],[Vergleich_lb]])+dict_DQ_Meth_max[[#This Row],[Vergleich_lb]]</f>
        <v>596.05259000000001</v>
      </c>
      <c r="H1012" s="11" t="str">
        <f ca="1">VLOOKUP(VLOOKUP(dict_DQ_Meth_max[[#This Row],[ID_DataQualities]],table_DataQualities[],3),table_Units[],2)</f>
        <v>Hz</v>
      </c>
      <c r="I1012" s="10"/>
      <c r="J1012" s="10"/>
      <c r="K1012" s="10"/>
      <c r="L1012" s="10">
        <f ca="1">VLOOKUP(dict_DQ_Meth_max[[#This Row],[ID_DataQualities]],table_DataQualities[],8,FALSE)</f>
        <v>0.70699999999999996</v>
      </c>
      <c r="M1012" s="10">
        <f ca="1">VLOOKUP(dict_DQ_Meth_max[[#This Row],[ID_DataQualities]],table_DataQualities[],9,FALSE)</f>
        <v>945.7</v>
      </c>
    </row>
    <row r="1013" spans="1:13" x14ac:dyDescent="0.45">
      <c r="A1013" s="10">
        <v>270</v>
      </c>
      <c r="B1013" s="10">
        <v>79</v>
      </c>
      <c r="C10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3" s="10"/>
      <c r="E1013" s="10"/>
      <c r="F1013" s="12">
        <f ca="1">(RANDBETWEEN(0,50)/100)*(dict_DQ_Meth_max[[#This Row],[Vergleich_ub]]-dict_DQ_Meth_max[[#This Row],[Vergleich_lb]])+dict_DQ_Meth_max[[#This Row],[Vergleich_lb]]</f>
        <v>66.85651</v>
      </c>
      <c r="G1013" s="12">
        <f ca="1">(RANDBETWEEN(50,100)/100)*(dict_DQ_Meth_max[[#This Row],[Vergleich_ub]]-dict_DQ_Meth_max[[#This Row],[Vergleich_lb]])+dict_DQ_Meth_max[[#This Row],[Vergleich_lb]]</f>
        <v>652.75216999999998</v>
      </c>
      <c r="H1013" s="11" t="str">
        <f ca="1">VLOOKUP(VLOOKUP(dict_DQ_Meth_max[[#This Row],[ID_DataQualities]],table_DataQualities[],3),table_Units[],2)</f>
        <v>Hz</v>
      </c>
      <c r="I1013" s="10"/>
      <c r="J1013" s="10"/>
      <c r="K1013" s="10"/>
      <c r="L1013" s="10">
        <f ca="1">VLOOKUP(dict_DQ_Meth_max[[#This Row],[ID_DataQualities]],table_DataQualities[],8,FALSE)</f>
        <v>0.70699999999999996</v>
      </c>
      <c r="M1013" s="10">
        <f ca="1">VLOOKUP(dict_DQ_Meth_max[[#This Row],[ID_DataQualities]],table_DataQualities[],9,FALSE)</f>
        <v>945.7</v>
      </c>
    </row>
    <row r="1014" spans="1:13" x14ac:dyDescent="0.45">
      <c r="A1014" s="10">
        <v>270</v>
      </c>
      <c r="B1014" s="10">
        <v>471</v>
      </c>
      <c r="C10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4" s="10"/>
      <c r="E1014" s="10"/>
      <c r="F1014" s="12">
        <f ca="1">(RANDBETWEEN(0,50)/100)*(dict_DQ_Meth_max[[#This Row],[Vergleich_ub]]-dict_DQ_Meth_max[[#This Row],[Vergleich_lb]])+dict_DQ_Meth_max[[#This Row],[Vergleich_lb]]</f>
        <v>322.00462000000005</v>
      </c>
      <c r="G1014" s="12">
        <f ca="1">(RANDBETWEEN(50,100)/100)*(dict_DQ_Meth_max[[#This Row],[Vergleich_ub]]-dict_DQ_Meth_max[[#This Row],[Vergleich_lb]])+dict_DQ_Meth_max[[#This Row],[Vergleich_lb]]</f>
        <v>700.00182000000007</v>
      </c>
      <c r="H1014" s="11" t="str">
        <f ca="1">VLOOKUP(VLOOKUP(dict_DQ_Meth_max[[#This Row],[ID_DataQualities]],table_DataQualities[],3),table_Units[],2)</f>
        <v>Hz</v>
      </c>
      <c r="I1014" s="10"/>
      <c r="J1014" s="10"/>
      <c r="K1014" s="10"/>
      <c r="L1014" s="10">
        <f ca="1">VLOOKUP(dict_DQ_Meth_max[[#This Row],[ID_DataQualities]],table_DataQualities[],8,FALSE)</f>
        <v>0.70699999999999996</v>
      </c>
      <c r="M1014" s="10">
        <f ca="1">VLOOKUP(dict_DQ_Meth_max[[#This Row],[ID_DataQualities]],table_DataQualities[],9,FALSE)</f>
        <v>945.7</v>
      </c>
    </row>
    <row r="1015" spans="1:13" x14ac:dyDescent="0.45">
      <c r="A1015" s="10">
        <v>271</v>
      </c>
      <c r="B1015" s="10">
        <v>79</v>
      </c>
      <c r="C10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5" s="10"/>
      <c r="E1015" s="10"/>
      <c r="F1015" s="12">
        <f ca="1">(RANDBETWEEN(0,50)/100)*(dict_DQ_Meth_max[[#This Row],[Vergleich_ub]]-dict_DQ_Meth_max[[#This Row],[Vergleich_lb]])+dict_DQ_Meth_max[[#This Row],[Vergleich_lb]]</f>
        <v>0.27224000000000004</v>
      </c>
      <c r="G1015" s="12">
        <f ca="1">(RANDBETWEEN(50,100)/100)*(dict_DQ_Meth_max[[#This Row],[Vergleich_ub]]-dict_DQ_Meth_max[[#This Row],[Vergleich_lb]])+dict_DQ_Meth_max[[#This Row],[Vergleich_lb]]</f>
        <v>4.7167599999999998</v>
      </c>
      <c r="H1015" s="11" t="str">
        <f ca="1">VLOOKUP(VLOOKUP(dict_DQ_Meth_max[[#This Row],[ID_DataQualities]],table_DataQualities[],3),table_Units[],2)</f>
        <v>+/- W</v>
      </c>
      <c r="I1015" s="10"/>
      <c r="J1015" s="10"/>
      <c r="K1015" s="10"/>
      <c r="L1015" s="10">
        <f ca="1">VLOOKUP(dict_DQ_Meth_max[[#This Row],[ID_DataQualities]],table_DataQualities[],8,FALSE)</f>
        <v>7.9000000000000001E-2</v>
      </c>
      <c r="M1015" s="10">
        <f ca="1">VLOOKUP(dict_DQ_Meth_max[[#This Row],[ID_DataQualities]],table_DataQualities[],9,FALSE)</f>
        <v>4.91</v>
      </c>
    </row>
    <row r="1016" spans="1:13" x14ac:dyDescent="0.45">
      <c r="A1016" s="10">
        <v>271</v>
      </c>
      <c r="B1016" s="10">
        <v>308</v>
      </c>
      <c r="C10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6" s="10"/>
      <c r="E1016" s="10"/>
      <c r="F1016" s="12">
        <f ca="1">(RANDBETWEEN(0,50)/100)*(dict_DQ_Meth_max[[#This Row],[Vergleich_ub]]-dict_DQ_Meth_max[[#This Row],[Vergleich_lb]])+dict_DQ_Meth_max[[#This Row],[Vergleich_lb]]</f>
        <v>0.36886000000000002</v>
      </c>
      <c r="G1016" s="12">
        <f ca="1">(RANDBETWEEN(50,100)/100)*(dict_DQ_Meth_max[[#This Row],[Vergleich_ub]]-dict_DQ_Meth_max[[#This Row],[Vergleich_lb]])+dict_DQ_Meth_max[[#This Row],[Vergleich_lb]]</f>
        <v>3.7022500000000007</v>
      </c>
      <c r="H1016" s="11" t="str">
        <f ca="1">VLOOKUP(VLOOKUP(dict_DQ_Meth_max[[#This Row],[ID_DataQualities]],table_DataQualities[],3),table_Units[],2)</f>
        <v>+/- W</v>
      </c>
      <c r="I1016" s="10"/>
      <c r="J1016" s="10"/>
      <c r="K1016" s="10"/>
      <c r="L1016" s="10">
        <f ca="1">VLOOKUP(dict_DQ_Meth_max[[#This Row],[ID_DataQualities]],table_DataQualities[],8,FALSE)</f>
        <v>7.9000000000000001E-2</v>
      </c>
      <c r="M1016" s="10">
        <f ca="1">VLOOKUP(dict_DQ_Meth_max[[#This Row],[ID_DataQualities]],table_DataQualities[],9,FALSE)</f>
        <v>4.91</v>
      </c>
    </row>
    <row r="1017" spans="1:13" x14ac:dyDescent="0.45">
      <c r="A1017" s="10">
        <v>271</v>
      </c>
      <c r="B1017" s="10">
        <v>471</v>
      </c>
      <c r="C10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7" s="10"/>
      <c r="E1017" s="10"/>
      <c r="F1017" s="12">
        <f ca="1">(RANDBETWEEN(0,50)/100)*(dict_DQ_Meth_max[[#This Row],[Vergleich_ub]]-dict_DQ_Meth_max[[#This Row],[Vergleich_lb]])+dict_DQ_Meth_max[[#This Row],[Vergleich_lb]]</f>
        <v>1.4316800000000003</v>
      </c>
      <c r="G1017" s="12">
        <f ca="1">(RANDBETWEEN(50,100)/100)*(dict_DQ_Meth_max[[#This Row],[Vergleich_ub]]-dict_DQ_Meth_max[[#This Row],[Vergleich_lb]])+dict_DQ_Meth_max[[#This Row],[Vergleich_lb]]</f>
        <v>3.4607000000000001</v>
      </c>
      <c r="H1017" s="11" t="str">
        <f ca="1">VLOOKUP(VLOOKUP(dict_DQ_Meth_max[[#This Row],[ID_DataQualities]],table_DataQualities[],3),table_Units[],2)</f>
        <v>+/- W</v>
      </c>
      <c r="I1017" s="10"/>
      <c r="J1017" s="10"/>
      <c r="K1017" s="10"/>
      <c r="L1017" s="10">
        <f ca="1">VLOOKUP(dict_DQ_Meth_max[[#This Row],[ID_DataQualities]],table_DataQualities[],8,FALSE)</f>
        <v>7.9000000000000001E-2</v>
      </c>
      <c r="M1017" s="10">
        <f ca="1">VLOOKUP(dict_DQ_Meth_max[[#This Row],[ID_DataQualities]],table_DataQualities[],9,FALSE)</f>
        <v>4.91</v>
      </c>
    </row>
    <row r="1018" spans="1:13" x14ac:dyDescent="0.45">
      <c r="A1018" s="10">
        <v>272</v>
      </c>
      <c r="B1018" s="10">
        <v>563</v>
      </c>
      <c r="C10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8" s="10"/>
      <c r="E1018" s="10"/>
      <c r="F1018" s="12">
        <f ca="1">(RANDBETWEEN(0,50)/100)*(dict_DQ_Meth_max[[#This Row],[Vergleich_ub]]-dict_DQ_Meth_max[[#This Row],[Vergleich_lb]])+dict_DQ_Meth_max[[#This Row],[Vergleich_lb]]</f>
        <v>672.86703000000011</v>
      </c>
      <c r="G1018" s="12">
        <f ca="1">(RANDBETWEEN(50,100)/100)*(dict_DQ_Meth_max[[#This Row],[Vergleich_ub]]-dict_DQ_Meth_max[[#This Row],[Vergleich_lb]])+dict_DQ_Meth_max[[#This Row],[Vergleich_lb]]</f>
        <v>3876.3028199999999</v>
      </c>
      <c r="H1018" s="11" t="str">
        <f ca="1">VLOOKUP(VLOOKUP(dict_DQ_Meth_max[[#This Row],[ID_DataQualities]],table_DataQualities[],3),table_Units[],2)</f>
        <v>Hz</v>
      </c>
      <c r="I1018" s="10"/>
      <c r="J1018" s="10"/>
      <c r="K1018" s="10"/>
      <c r="L1018" s="10">
        <f ca="1">VLOOKUP(dict_DQ_Meth_max[[#This Row],[ID_DataQualities]],table_DataQualities[],8,FALSE)</f>
        <v>0.54100000000000004</v>
      </c>
      <c r="M1018" s="10">
        <f ca="1">VLOOKUP(dict_DQ_Meth_max[[#This Row],[ID_DataQualities]],table_DataQualities[],9,FALSE)</f>
        <v>3955.4</v>
      </c>
    </row>
    <row r="1019" spans="1:13" x14ac:dyDescent="0.45">
      <c r="A1019" s="10">
        <v>272</v>
      </c>
      <c r="B1019" s="10">
        <v>329</v>
      </c>
      <c r="C10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19" s="10"/>
      <c r="E1019" s="10"/>
      <c r="F1019" s="12">
        <f ca="1">(RANDBETWEEN(0,50)/100)*(dict_DQ_Meth_max[[#This Row],[Vergleich_ub]]-dict_DQ_Meth_max[[#This Row],[Vergleich_lb]])+dict_DQ_Meth_max[[#This Row],[Vergleich_lb]]</f>
        <v>751.96421000000009</v>
      </c>
      <c r="G1019" s="12">
        <f ca="1">(RANDBETWEEN(50,100)/100)*(dict_DQ_Meth_max[[#This Row],[Vergleich_ub]]-dict_DQ_Meth_max[[#This Row],[Vergleich_lb]])+dict_DQ_Meth_max[[#This Row],[Vergleich_lb]]</f>
        <v>2136.1648600000003</v>
      </c>
      <c r="H1019" s="11" t="str">
        <f ca="1">VLOOKUP(VLOOKUP(dict_DQ_Meth_max[[#This Row],[ID_DataQualities]],table_DataQualities[],3),table_Units[],2)</f>
        <v>Hz</v>
      </c>
      <c r="I1019" s="10"/>
      <c r="J1019" s="10"/>
      <c r="K1019" s="10"/>
      <c r="L1019" s="10">
        <f ca="1">VLOOKUP(dict_DQ_Meth_max[[#This Row],[ID_DataQualities]],table_DataQualities[],8,FALSE)</f>
        <v>0.54100000000000004</v>
      </c>
      <c r="M1019" s="10">
        <f ca="1">VLOOKUP(dict_DQ_Meth_max[[#This Row],[ID_DataQualities]],table_DataQualities[],9,FALSE)</f>
        <v>3955.4</v>
      </c>
    </row>
    <row r="1020" spans="1:13" x14ac:dyDescent="0.45">
      <c r="A1020" s="10">
        <v>272</v>
      </c>
      <c r="B1020" s="10">
        <v>439</v>
      </c>
      <c r="C10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0" s="10"/>
      <c r="E1020" s="10"/>
      <c r="F1020" s="12">
        <f ca="1">(RANDBETWEEN(0,50)/100)*(dict_DQ_Meth_max[[#This Row],[Vergleich_ub]]-dict_DQ_Meth_max[[#This Row],[Vergleich_lb]])+dict_DQ_Meth_max[[#This Row],[Vergleich_lb]]</f>
        <v>237.83253999999999</v>
      </c>
      <c r="G1020" s="12">
        <f ca="1">(RANDBETWEEN(50,100)/100)*(dict_DQ_Meth_max[[#This Row],[Vergleich_ub]]-dict_DQ_Meth_max[[#This Row],[Vergleich_lb]])+dict_DQ_Meth_max[[#This Row],[Vergleich_lb]]</f>
        <v>3599.4626900000003</v>
      </c>
      <c r="H1020" s="11" t="str">
        <f ca="1">VLOOKUP(VLOOKUP(dict_DQ_Meth_max[[#This Row],[ID_DataQualities]],table_DataQualities[],3),table_Units[],2)</f>
        <v>Hz</v>
      </c>
      <c r="I1020" s="10"/>
      <c r="J1020" s="10"/>
      <c r="K1020" s="10"/>
      <c r="L1020" s="10">
        <f ca="1">VLOOKUP(dict_DQ_Meth_max[[#This Row],[ID_DataQualities]],table_DataQualities[],8,FALSE)</f>
        <v>0.54100000000000004</v>
      </c>
      <c r="M1020" s="10">
        <f ca="1">VLOOKUP(dict_DQ_Meth_max[[#This Row],[ID_DataQualities]],table_DataQualities[],9,FALSE)</f>
        <v>3955.4</v>
      </c>
    </row>
    <row r="1021" spans="1:13" x14ac:dyDescent="0.45">
      <c r="A1021" s="10">
        <v>272</v>
      </c>
      <c r="B1021" s="10">
        <v>203</v>
      </c>
      <c r="C10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1" s="10"/>
      <c r="E1021" s="10"/>
      <c r="F1021" s="12">
        <f ca="1">(RANDBETWEEN(0,50)/100)*(dict_DQ_Meth_max[[#This Row],[Vergleich_ub]]-dict_DQ_Meth_max[[#This Row],[Vergleich_lb]])+dict_DQ_Meth_max[[#This Row],[Vergleich_lb]]</f>
        <v>40.089589999999994</v>
      </c>
      <c r="G1021" s="12">
        <f ca="1">(RANDBETWEEN(50,100)/100)*(dict_DQ_Meth_max[[#This Row],[Vergleich_ub]]-dict_DQ_Meth_max[[#This Row],[Vergleich_lb]])+dict_DQ_Meth_max[[#This Row],[Vergleich_lb]]</f>
        <v>2571.1993500000003</v>
      </c>
      <c r="H1021" s="11" t="str">
        <f ca="1">VLOOKUP(VLOOKUP(dict_DQ_Meth_max[[#This Row],[ID_DataQualities]],table_DataQualities[],3),table_Units[],2)</f>
        <v>Hz</v>
      </c>
      <c r="I1021" s="10"/>
      <c r="J1021" s="10"/>
      <c r="K1021" s="10"/>
      <c r="L1021" s="10">
        <f ca="1">VLOOKUP(dict_DQ_Meth_max[[#This Row],[ID_DataQualities]],table_DataQualities[],8,FALSE)</f>
        <v>0.54100000000000004</v>
      </c>
      <c r="M1021" s="10">
        <f ca="1">VLOOKUP(dict_DQ_Meth_max[[#This Row],[ID_DataQualities]],table_DataQualities[],9,FALSE)</f>
        <v>3955.4</v>
      </c>
    </row>
    <row r="1022" spans="1:13" x14ac:dyDescent="0.45">
      <c r="A1022" s="10">
        <v>273</v>
      </c>
      <c r="B1022" s="10">
        <v>329</v>
      </c>
      <c r="C10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2" s="10"/>
      <c r="E1022" s="10"/>
      <c r="F1022" s="12">
        <f ca="1">(RANDBETWEEN(0,50)/100)*(dict_DQ_Meth_max[[#This Row],[Vergleich_ub]]-dict_DQ_Meth_max[[#This Row],[Vergleich_lb]])+dict_DQ_Meth_max[[#This Row],[Vergleich_lb]]</f>
        <v>1.7583999999999997</v>
      </c>
      <c r="G1022" s="12">
        <f ca="1">(RANDBETWEEN(50,100)/100)*(dict_DQ_Meth_max[[#This Row],[Vergleich_ub]]-dict_DQ_Meth_max[[#This Row],[Vergleich_lb]])+dict_DQ_Meth_max[[#This Row],[Vergleich_lb]]</f>
        <v>3.1663999999999994</v>
      </c>
      <c r="H1022" s="11" t="str">
        <f ca="1">VLOOKUP(VLOOKUP(dict_DQ_Meth_max[[#This Row],[ID_DataQualities]],table_DataQualities[],3),table_Units[],2)</f>
        <v>+/- mm/s</v>
      </c>
      <c r="I1022" s="10"/>
      <c r="J1022" s="10"/>
      <c r="K1022" s="10"/>
      <c r="L1022" s="10">
        <f ca="1">VLOOKUP(dict_DQ_Meth_max[[#This Row],[ID_DataQualities]],table_DataQualities[],8,FALSE)</f>
        <v>0.28000000000000003</v>
      </c>
      <c r="M1022" s="10">
        <f ca="1">VLOOKUP(dict_DQ_Meth_max[[#This Row],[ID_DataQualities]],table_DataQualities[],9,FALSE)</f>
        <v>3.8</v>
      </c>
    </row>
    <row r="1023" spans="1:13" x14ac:dyDescent="0.45">
      <c r="A1023" s="10">
        <v>273</v>
      </c>
      <c r="B1023" s="10">
        <v>439</v>
      </c>
      <c r="C10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3" s="10"/>
      <c r="E1023" s="10"/>
      <c r="F1023" s="12">
        <f ca="1">(RANDBETWEEN(0,50)/100)*(dict_DQ_Meth_max[[#This Row],[Vergleich_ub]]-dict_DQ_Meth_max[[#This Row],[Vergleich_lb]])+dict_DQ_Meth_max[[#This Row],[Vergleich_lb]]</f>
        <v>0.63200000000000001</v>
      </c>
      <c r="G1023" s="12">
        <f ca="1">(RANDBETWEEN(50,100)/100)*(dict_DQ_Meth_max[[#This Row],[Vergleich_ub]]-dict_DQ_Meth_max[[#This Row],[Vergleich_lb]])+dict_DQ_Meth_max[[#This Row],[Vergleich_lb]]</f>
        <v>2.6032000000000002</v>
      </c>
      <c r="H1023" s="11" t="str">
        <f ca="1">VLOOKUP(VLOOKUP(dict_DQ_Meth_max[[#This Row],[ID_DataQualities]],table_DataQualities[],3),table_Units[],2)</f>
        <v>+/- mm/s</v>
      </c>
      <c r="I1023" s="10"/>
      <c r="J1023" s="10"/>
      <c r="K1023" s="10"/>
      <c r="L1023" s="10">
        <f ca="1">VLOOKUP(dict_DQ_Meth_max[[#This Row],[ID_DataQualities]],table_DataQualities[],8,FALSE)</f>
        <v>0.28000000000000003</v>
      </c>
      <c r="M1023" s="10">
        <f ca="1">VLOOKUP(dict_DQ_Meth_max[[#This Row],[ID_DataQualities]],table_DataQualities[],9,FALSE)</f>
        <v>3.8</v>
      </c>
    </row>
    <row r="1024" spans="1:13" x14ac:dyDescent="0.45">
      <c r="A1024" s="10">
        <v>273</v>
      </c>
      <c r="B1024" s="10">
        <v>203</v>
      </c>
      <c r="C10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4" s="10"/>
      <c r="E1024" s="10"/>
      <c r="F1024" s="12">
        <f ca="1">(RANDBETWEEN(0,50)/100)*(dict_DQ_Meth_max[[#This Row],[Vergleich_ub]]-dict_DQ_Meth_max[[#This Row],[Vergleich_lb]])+dict_DQ_Meth_max[[#This Row],[Vergleich_lb]]</f>
        <v>1.2303999999999999</v>
      </c>
      <c r="G1024" s="12">
        <f ca="1">(RANDBETWEEN(50,100)/100)*(dict_DQ_Meth_max[[#This Row],[Vergleich_ub]]-dict_DQ_Meth_max[[#This Row],[Vergleich_lb]])+dict_DQ_Meth_max[[#This Row],[Vergleich_lb]]</f>
        <v>3.8</v>
      </c>
      <c r="H1024" s="11" t="str">
        <f ca="1">VLOOKUP(VLOOKUP(dict_DQ_Meth_max[[#This Row],[ID_DataQualities]],table_DataQualities[],3),table_Units[],2)</f>
        <v>+/- mm/s</v>
      </c>
      <c r="I1024" s="10"/>
      <c r="J1024" s="10"/>
      <c r="K1024" s="10"/>
      <c r="L1024" s="10">
        <f ca="1">VLOOKUP(dict_DQ_Meth_max[[#This Row],[ID_DataQualities]],table_DataQualities[],8,FALSE)</f>
        <v>0.28000000000000003</v>
      </c>
      <c r="M1024" s="10">
        <f ca="1">VLOOKUP(dict_DQ_Meth_max[[#This Row],[ID_DataQualities]],table_DataQualities[],9,FALSE)</f>
        <v>3.8</v>
      </c>
    </row>
    <row r="1025" spans="1:13" x14ac:dyDescent="0.45">
      <c r="A1025" s="10">
        <v>273</v>
      </c>
      <c r="B1025" s="10">
        <v>563</v>
      </c>
      <c r="C10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5" s="10"/>
      <c r="E1025" s="10"/>
      <c r="F1025" s="12">
        <f ca="1">(RANDBETWEEN(0,50)/100)*(dict_DQ_Meth_max[[#This Row],[Vergleich_ub]]-dict_DQ_Meth_max[[#This Row],[Vergleich_lb]])+dict_DQ_Meth_max[[#This Row],[Vergleich_lb]]</f>
        <v>1.4416</v>
      </c>
      <c r="G1025" s="12">
        <f ca="1">(RANDBETWEEN(50,100)/100)*(dict_DQ_Meth_max[[#This Row],[Vergleich_ub]]-dict_DQ_Meth_max[[#This Row],[Vergleich_lb]])+dict_DQ_Meth_max[[#This Row],[Vergleich_lb]]</f>
        <v>3.0607999999999995</v>
      </c>
      <c r="H1025" s="11" t="str">
        <f ca="1">VLOOKUP(VLOOKUP(dict_DQ_Meth_max[[#This Row],[ID_DataQualities]],table_DataQualities[],3),table_Units[],2)</f>
        <v>+/- mm/s</v>
      </c>
      <c r="I1025" s="10"/>
      <c r="J1025" s="10"/>
      <c r="K1025" s="10"/>
      <c r="L1025" s="10">
        <f ca="1">VLOOKUP(dict_DQ_Meth_max[[#This Row],[ID_DataQualities]],table_DataQualities[],8,FALSE)</f>
        <v>0.28000000000000003</v>
      </c>
      <c r="M1025" s="10">
        <f ca="1">VLOOKUP(dict_DQ_Meth_max[[#This Row],[ID_DataQualities]],table_DataQualities[],9,FALSE)</f>
        <v>3.8</v>
      </c>
    </row>
    <row r="1026" spans="1:13" x14ac:dyDescent="0.45">
      <c r="A1026" s="10">
        <v>274</v>
      </c>
      <c r="B1026" s="10">
        <v>3</v>
      </c>
      <c r="C10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6" s="10"/>
      <c r="E1026" s="10"/>
      <c r="F1026" s="12">
        <f ca="1">(RANDBETWEEN(0,50)/100)*(dict_DQ_Meth_max[[#This Row],[Vergleich_ub]]-dict_DQ_Meth_max[[#This Row],[Vergleich_lb]])+dict_DQ_Meth_max[[#This Row],[Vergleich_lb]]</f>
        <v>3411.8794799999996</v>
      </c>
      <c r="G1026" s="12">
        <f ca="1">(RANDBETWEEN(50,100)/100)*(dict_DQ_Meth_max[[#This Row],[Vergleich_ub]]-dict_DQ_Meth_max[[#This Row],[Vergleich_lb]])+dict_DQ_Meth_max[[#This Row],[Vergleich_lb]]</f>
        <v>5472.6197700000002</v>
      </c>
      <c r="H1026" s="11" t="str">
        <f ca="1">VLOOKUP(VLOOKUP(dict_DQ_Meth_max[[#This Row],[ID_DataQualities]],table_DataQualities[],3),table_Units[],2)</f>
        <v>Hz</v>
      </c>
      <c r="I1026" s="10"/>
      <c r="J1026" s="10"/>
      <c r="K1026" s="10"/>
      <c r="L1026" s="10">
        <f ca="1">VLOOKUP(dict_DQ_Meth_max[[#This Row],[ID_DataQualities]],table_DataQualities[],8,FALSE)</f>
        <v>0.999</v>
      </c>
      <c r="M1026" s="10">
        <f ca="1">VLOOKUP(dict_DQ_Meth_max[[#This Row],[ID_DataQualities]],table_DataQualities[],9,FALSE)</f>
        <v>7107</v>
      </c>
    </row>
    <row r="1027" spans="1:13" x14ac:dyDescent="0.45">
      <c r="A1027" s="10">
        <v>274</v>
      </c>
      <c r="B1027" s="10">
        <v>105</v>
      </c>
      <c r="C10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7" s="10"/>
      <c r="E1027" s="10"/>
      <c r="F1027" s="12">
        <f ca="1">(RANDBETWEEN(0,50)/100)*(dict_DQ_Meth_max[[#This Row],[Vergleich_ub]]-dict_DQ_Meth_max[[#This Row],[Vergleich_lb]])+dict_DQ_Meth_max[[#This Row],[Vergleich_lb]]</f>
        <v>1066.89915</v>
      </c>
      <c r="G1027" s="12">
        <f ca="1">(RANDBETWEEN(50,100)/100)*(dict_DQ_Meth_max[[#This Row],[Vergleich_ub]]-dict_DQ_Meth_max[[#This Row],[Vergleich_lb]])+dict_DQ_Meth_max[[#This Row],[Vergleich_lb]]</f>
        <v>3553.9994999999999</v>
      </c>
      <c r="H1027" s="11" t="str">
        <f ca="1">VLOOKUP(VLOOKUP(dict_DQ_Meth_max[[#This Row],[ID_DataQualities]],table_DataQualities[],3),table_Units[],2)</f>
        <v>Hz</v>
      </c>
      <c r="I1027" s="10"/>
      <c r="J1027" s="10"/>
      <c r="K1027" s="10"/>
      <c r="L1027" s="10">
        <f ca="1">VLOOKUP(dict_DQ_Meth_max[[#This Row],[ID_DataQualities]],table_DataQualities[],8,FALSE)</f>
        <v>0.999</v>
      </c>
      <c r="M1027" s="10">
        <f ca="1">VLOOKUP(dict_DQ_Meth_max[[#This Row],[ID_DataQualities]],table_DataQualities[],9,FALSE)</f>
        <v>7107</v>
      </c>
    </row>
    <row r="1028" spans="1:13" x14ac:dyDescent="0.45">
      <c r="A1028" s="10">
        <v>274</v>
      </c>
      <c r="B1028" s="10">
        <v>141</v>
      </c>
      <c r="C10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8" s="10"/>
      <c r="E1028" s="10"/>
      <c r="F1028" s="12">
        <f ca="1">(RANDBETWEEN(0,50)/100)*(dict_DQ_Meth_max[[#This Row],[Vergleich_ub]]-dict_DQ_Meth_max[[#This Row],[Vergleich_lb]])+dict_DQ_Meth_max[[#This Row],[Vergleich_lb]]</f>
        <v>2843.3994000000002</v>
      </c>
      <c r="G1028" s="12">
        <f ca="1">(RANDBETWEEN(50,100)/100)*(dict_DQ_Meth_max[[#This Row],[Vergleich_ub]]-dict_DQ_Meth_max[[#This Row],[Vergleich_lb]])+dict_DQ_Meth_max[[#This Row],[Vergleich_lb]]</f>
        <v>6964.8799799999997</v>
      </c>
      <c r="H1028" s="11" t="str">
        <f ca="1">VLOOKUP(VLOOKUP(dict_DQ_Meth_max[[#This Row],[ID_DataQualities]],table_DataQualities[],3),table_Units[],2)</f>
        <v>Hz</v>
      </c>
      <c r="I1028" s="10"/>
      <c r="J1028" s="10"/>
      <c r="K1028" s="10"/>
      <c r="L1028" s="10">
        <f ca="1">VLOOKUP(dict_DQ_Meth_max[[#This Row],[ID_DataQualities]],table_DataQualities[],8,FALSE)</f>
        <v>0.999</v>
      </c>
      <c r="M1028" s="10">
        <f ca="1">VLOOKUP(dict_DQ_Meth_max[[#This Row],[ID_DataQualities]],table_DataQualities[],9,FALSE)</f>
        <v>7107</v>
      </c>
    </row>
    <row r="1029" spans="1:13" x14ac:dyDescent="0.45">
      <c r="A1029" s="10">
        <v>274</v>
      </c>
      <c r="B1029" s="10">
        <v>51</v>
      </c>
      <c r="C10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29" s="10"/>
      <c r="E1029" s="10"/>
      <c r="F1029" s="12">
        <f ca="1">(RANDBETWEEN(0,50)/100)*(dict_DQ_Meth_max[[#This Row],[Vergleich_ub]]-dict_DQ_Meth_max[[#This Row],[Vergleich_lb]])+dict_DQ_Meth_max[[#This Row],[Vergleich_lb]]</f>
        <v>2772.3393900000001</v>
      </c>
      <c r="G1029" s="12">
        <f ca="1">(RANDBETWEEN(50,100)/100)*(dict_DQ_Meth_max[[#This Row],[Vergleich_ub]]-dict_DQ_Meth_max[[#This Row],[Vergleich_lb]])+dict_DQ_Meth_max[[#This Row],[Vergleich_lb]]</f>
        <v>5898.9798299999993</v>
      </c>
      <c r="H1029" s="11" t="str">
        <f ca="1">VLOOKUP(VLOOKUP(dict_DQ_Meth_max[[#This Row],[ID_DataQualities]],table_DataQualities[],3),table_Units[],2)</f>
        <v>Hz</v>
      </c>
      <c r="I1029" s="10"/>
      <c r="J1029" s="10"/>
      <c r="K1029" s="10"/>
      <c r="L1029" s="10">
        <f ca="1">VLOOKUP(dict_DQ_Meth_max[[#This Row],[ID_DataQualities]],table_DataQualities[],8,FALSE)</f>
        <v>0.999</v>
      </c>
      <c r="M1029" s="10">
        <f ca="1">VLOOKUP(dict_DQ_Meth_max[[#This Row],[ID_DataQualities]],table_DataQualities[],9,FALSE)</f>
        <v>7107</v>
      </c>
    </row>
    <row r="1030" spans="1:13" x14ac:dyDescent="0.45">
      <c r="A1030" s="10">
        <v>275</v>
      </c>
      <c r="B1030" s="10">
        <v>3</v>
      </c>
      <c r="C10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0" s="10"/>
      <c r="E1030" s="10"/>
      <c r="F1030" s="12">
        <f ca="1">(RANDBETWEEN(0,50)/100)*(dict_DQ_Meth_max[[#This Row],[Vergleich_ub]]-dict_DQ_Meth_max[[#This Row],[Vergleich_lb]])+dict_DQ_Meth_max[[#This Row],[Vergleich_lb]]</f>
        <v>711.03</v>
      </c>
      <c r="G1030" s="12">
        <f ca="1">(RANDBETWEEN(50,100)/100)*(dict_DQ_Meth_max[[#This Row],[Vergleich_ub]]-dict_DQ_Meth_max[[#This Row],[Vergleich_lb]])+dict_DQ_Meth_max[[#This Row],[Vergleich_lb]]</f>
        <v>2883.84</v>
      </c>
      <c r="H1030" s="11" t="str">
        <f ca="1">VLOOKUP(VLOOKUP(dict_DQ_Meth_max[[#This Row],[ID_DataQualities]],table_DataQualities[],3),table_Units[],2)</f>
        <v>bit</v>
      </c>
      <c r="I1030" s="10"/>
      <c r="J1030" s="10"/>
      <c r="K1030" s="10"/>
      <c r="L1030" s="10">
        <f ca="1">VLOOKUP(dict_DQ_Meth_max[[#This Row],[ID_DataQualities]],table_DataQualities[],8,FALSE)</f>
        <v>30</v>
      </c>
      <c r="M1030" s="10">
        <f ca="1">VLOOKUP(dict_DQ_Meth_max[[#This Row],[ID_DataQualities]],table_DataQualities[],9,FALSE)</f>
        <v>3273</v>
      </c>
    </row>
    <row r="1031" spans="1:13" x14ac:dyDescent="0.45">
      <c r="A1031" s="10">
        <v>275</v>
      </c>
      <c r="B1031" s="10">
        <v>105</v>
      </c>
      <c r="C10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1" s="10"/>
      <c r="E1031" s="10"/>
      <c r="F1031" s="12">
        <f ca="1">(RANDBETWEEN(0,50)/100)*(dict_DQ_Meth_max[[#This Row],[Vergleich_ub]]-dict_DQ_Meth_max[[#This Row],[Vergleich_lb]])+dict_DQ_Meth_max[[#This Row],[Vergleich_lb]]</f>
        <v>1197.48</v>
      </c>
      <c r="G1031" s="12">
        <f ca="1">(RANDBETWEEN(50,100)/100)*(dict_DQ_Meth_max[[#This Row],[Vergleich_ub]]-dict_DQ_Meth_max[[#This Row],[Vergleich_lb]])+dict_DQ_Meth_max[[#This Row],[Vergleich_lb]]</f>
        <v>2073.09</v>
      </c>
      <c r="H1031" s="11" t="str">
        <f ca="1">VLOOKUP(VLOOKUP(dict_DQ_Meth_max[[#This Row],[ID_DataQualities]],table_DataQualities[],3),table_Units[],2)</f>
        <v>bit</v>
      </c>
      <c r="I1031" s="10"/>
      <c r="J1031" s="10"/>
      <c r="K1031" s="10"/>
      <c r="L1031" s="10">
        <f ca="1">VLOOKUP(dict_DQ_Meth_max[[#This Row],[ID_DataQualities]],table_DataQualities[],8,FALSE)</f>
        <v>30</v>
      </c>
      <c r="M1031" s="10">
        <f ca="1">VLOOKUP(dict_DQ_Meth_max[[#This Row],[ID_DataQualities]],table_DataQualities[],9,FALSE)</f>
        <v>3273</v>
      </c>
    </row>
    <row r="1032" spans="1:13" x14ac:dyDescent="0.45">
      <c r="A1032" s="10">
        <v>275</v>
      </c>
      <c r="B1032" s="10">
        <v>51</v>
      </c>
      <c r="C10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2" s="10"/>
      <c r="E1032" s="10"/>
      <c r="F1032" s="12">
        <f ca="1">(RANDBETWEEN(0,50)/100)*(dict_DQ_Meth_max[[#This Row],[Vergleich_ub]]-dict_DQ_Meth_max[[#This Row],[Vergleich_lb]])+dict_DQ_Meth_max[[#This Row],[Vergleich_lb]]</f>
        <v>1197.48</v>
      </c>
      <c r="G1032" s="12">
        <f ca="1">(RANDBETWEEN(50,100)/100)*(dict_DQ_Meth_max[[#This Row],[Vergleich_ub]]-dict_DQ_Meth_max[[#This Row],[Vergleich_lb]])+dict_DQ_Meth_max[[#This Row],[Vergleich_lb]]</f>
        <v>2786.5499999999997</v>
      </c>
      <c r="H1032" s="11" t="str">
        <f ca="1">VLOOKUP(VLOOKUP(dict_DQ_Meth_max[[#This Row],[ID_DataQualities]],table_DataQualities[],3),table_Units[],2)</f>
        <v>bit</v>
      </c>
      <c r="I1032" s="10"/>
      <c r="J1032" s="10"/>
      <c r="K1032" s="10"/>
      <c r="L1032" s="10">
        <f ca="1">VLOOKUP(dict_DQ_Meth_max[[#This Row],[ID_DataQualities]],table_DataQualities[],8,FALSE)</f>
        <v>30</v>
      </c>
      <c r="M1032" s="10">
        <f ca="1">VLOOKUP(dict_DQ_Meth_max[[#This Row],[ID_DataQualities]],table_DataQualities[],9,FALSE)</f>
        <v>3273</v>
      </c>
    </row>
    <row r="1033" spans="1:13" x14ac:dyDescent="0.45">
      <c r="A1033" s="10">
        <v>275</v>
      </c>
      <c r="B1033" s="10">
        <v>141</v>
      </c>
      <c r="C10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3" s="10"/>
      <c r="E1033" s="10"/>
      <c r="F1033" s="12">
        <f ca="1">(RANDBETWEEN(0,50)/100)*(dict_DQ_Meth_max[[#This Row],[Vergleich_ub]]-dict_DQ_Meth_max[[#This Row],[Vergleich_lb]])+dict_DQ_Meth_max[[#This Row],[Vergleich_lb]]</f>
        <v>1359.6299999999999</v>
      </c>
      <c r="G1033" s="12">
        <f ca="1">(RANDBETWEEN(50,100)/100)*(dict_DQ_Meth_max[[#This Row],[Vergleich_ub]]-dict_DQ_Meth_max[[#This Row],[Vergleich_lb]])+dict_DQ_Meth_max[[#This Row],[Vergleich_lb]]</f>
        <v>3208.14</v>
      </c>
      <c r="H1033" s="11" t="str">
        <f ca="1">VLOOKUP(VLOOKUP(dict_DQ_Meth_max[[#This Row],[ID_DataQualities]],table_DataQualities[],3),table_Units[],2)</f>
        <v>bit</v>
      </c>
      <c r="I1033" s="10"/>
      <c r="J1033" s="10"/>
      <c r="K1033" s="10"/>
      <c r="L1033" s="10">
        <f ca="1">VLOOKUP(dict_DQ_Meth_max[[#This Row],[ID_DataQualities]],table_DataQualities[],8,FALSE)</f>
        <v>30</v>
      </c>
      <c r="M1033" s="10">
        <f ca="1">VLOOKUP(dict_DQ_Meth_max[[#This Row],[ID_DataQualities]],table_DataQualities[],9,FALSE)</f>
        <v>3273</v>
      </c>
    </row>
    <row r="1034" spans="1:13" x14ac:dyDescent="0.45">
      <c r="A1034" s="10">
        <v>276</v>
      </c>
      <c r="B1034" s="10">
        <v>400</v>
      </c>
      <c r="C10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4" s="10"/>
      <c r="E1034" s="10"/>
      <c r="F1034" s="12">
        <f ca="1">(RANDBETWEEN(0,50)/100)*(dict_DQ_Meth_max[[#This Row],[Vergleich_ub]]-dict_DQ_Meth_max[[#This Row],[Vergleich_lb]])+dict_DQ_Meth_max[[#This Row],[Vergleich_lb]]</f>
        <v>559.94549999999992</v>
      </c>
      <c r="G1034" s="12">
        <f ca="1">(RANDBETWEEN(50,100)/100)*(dict_DQ_Meth_max[[#This Row],[Vergleich_ub]]-dict_DQ_Meth_max[[#This Row],[Vergleich_lb]])+dict_DQ_Meth_max[[#This Row],[Vergleich_lb]]</f>
        <v>1852.3419999999999</v>
      </c>
      <c r="H1034" s="11" t="str">
        <f ca="1">VLOOKUP(VLOOKUP(dict_DQ_Meth_max[[#This Row],[ID_DataQualities]],table_DataQualities[],3),table_Units[],2)</f>
        <v>Hz</v>
      </c>
      <c r="I1034" s="10"/>
      <c r="J1034" s="10"/>
      <c r="K1034" s="10"/>
      <c r="L1034" s="10">
        <f ca="1">VLOOKUP(dict_DQ_Meth_max[[#This Row],[ID_DataQualities]],table_DataQualities[],8,FALSE)</f>
        <v>0.55000000000000004</v>
      </c>
      <c r="M1034" s="10">
        <f ca="1">VLOOKUP(dict_DQ_Meth_max[[#This Row],[ID_DataQualities]],table_DataQualities[],9,FALSE)</f>
        <v>1929.5</v>
      </c>
    </row>
    <row r="1035" spans="1:13" x14ac:dyDescent="0.45">
      <c r="A1035" s="10">
        <v>276</v>
      </c>
      <c r="B1035" s="10">
        <v>173</v>
      </c>
      <c r="C10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5" s="10"/>
      <c r="E1035" s="10"/>
      <c r="F1035" s="12">
        <f ca="1">(RANDBETWEEN(0,50)/100)*(dict_DQ_Meth_max[[#This Row],[Vergleich_ub]]-dict_DQ_Meth_max[[#This Row],[Vergleich_lb]])+dict_DQ_Meth_max[[#This Row],[Vergleich_lb]]</f>
        <v>810.70899999999995</v>
      </c>
      <c r="G1035" s="12">
        <f ca="1">(RANDBETWEEN(50,100)/100)*(dict_DQ_Meth_max[[#This Row],[Vergleich_ub]]-dict_DQ_Meth_max[[#This Row],[Vergleich_lb]])+dict_DQ_Meth_max[[#This Row],[Vergleich_lb]]</f>
        <v>1042.183</v>
      </c>
      <c r="H1035" s="11" t="str">
        <f ca="1">VLOOKUP(VLOOKUP(dict_DQ_Meth_max[[#This Row],[ID_DataQualities]],table_DataQualities[],3),table_Units[],2)</f>
        <v>Hz</v>
      </c>
      <c r="I1035" s="10"/>
      <c r="J1035" s="10"/>
      <c r="K1035" s="10"/>
      <c r="L1035" s="10">
        <f ca="1">VLOOKUP(dict_DQ_Meth_max[[#This Row],[ID_DataQualities]],table_DataQualities[],8,FALSE)</f>
        <v>0.55000000000000004</v>
      </c>
      <c r="M1035" s="10">
        <f ca="1">VLOOKUP(dict_DQ_Meth_max[[#This Row],[ID_DataQualities]],table_DataQualities[],9,FALSE)</f>
        <v>1929.5</v>
      </c>
    </row>
    <row r="1036" spans="1:13" x14ac:dyDescent="0.45">
      <c r="A1036" s="10">
        <v>277</v>
      </c>
      <c r="B1036" s="10">
        <v>400</v>
      </c>
      <c r="C10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6" s="10"/>
      <c r="E1036" s="10"/>
      <c r="F1036" s="12">
        <f ca="1">(RANDBETWEEN(0,50)/100)*(dict_DQ_Meth_max[[#This Row],[Vergleich_ub]]-dict_DQ_Meth_max[[#This Row],[Vergleich_lb]])+dict_DQ_Meth_max[[#This Row],[Vergleich_lb]]</f>
        <v>3.42</v>
      </c>
      <c r="G1036" s="12">
        <f ca="1">(RANDBETWEEN(50,100)/100)*(dict_DQ_Meth_max[[#This Row],[Vergleich_ub]]-dict_DQ_Meth_max[[#This Row],[Vergleich_lb]])+dict_DQ_Meth_max[[#This Row],[Vergleich_lb]]</f>
        <v>5.4880000000000004</v>
      </c>
      <c r="H1036" s="11" t="str">
        <f ca="1">VLOOKUP(VLOOKUP(dict_DQ_Meth_max[[#This Row],[ID_DataQualities]],table_DataQualities[],3),table_Units[],2)</f>
        <v>+/- °C</v>
      </c>
      <c r="I1036" s="10"/>
      <c r="J1036" s="10"/>
      <c r="K1036" s="10"/>
      <c r="L1036" s="10">
        <f ca="1">VLOOKUP(dict_DQ_Meth_max[[#This Row],[ID_DataQualities]],table_DataQualities[],8,FALSE)</f>
        <v>0.6</v>
      </c>
      <c r="M1036" s="10">
        <f ca="1">VLOOKUP(dict_DQ_Meth_max[[#This Row],[ID_DataQualities]],table_DataQualities[],9,FALSE)</f>
        <v>10</v>
      </c>
    </row>
    <row r="1037" spans="1:13" x14ac:dyDescent="0.45">
      <c r="A1037" s="10">
        <v>277</v>
      </c>
      <c r="B1037" s="10">
        <v>173</v>
      </c>
      <c r="C10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7" s="10"/>
      <c r="E1037" s="10"/>
      <c r="F1037" s="12">
        <f ca="1">(RANDBETWEEN(0,50)/100)*(dict_DQ_Meth_max[[#This Row],[Vergleich_ub]]-dict_DQ_Meth_max[[#This Row],[Vergleich_lb]])+dict_DQ_Meth_max[[#This Row],[Vergleich_lb]]</f>
        <v>1.258</v>
      </c>
      <c r="G1037" s="12">
        <f ca="1">(RANDBETWEEN(50,100)/100)*(dict_DQ_Meth_max[[#This Row],[Vergleich_ub]]-dict_DQ_Meth_max[[#This Row],[Vergleich_lb]])+dict_DQ_Meth_max[[#This Row],[Vergleich_lb]]</f>
        <v>9.5299999999999994</v>
      </c>
      <c r="H1037" s="11" t="str">
        <f ca="1">VLOOKUP(VLOOKUP(dict_DQ_Meth_max[[#This Row],[ID_DataQualities]],table_DataQualities[],3),table_Units[],2)</f>
        <v>+/- °C</v>
      </c>
      <c r="I1037" s="10"/>
      <c r="J1037" s="10"/>
      <c r="K1037" s="10"/>
      <c r="L1037" s="10">
        <f ca="1">VLOOKUP(dict_DQ_Meth_max[[#This Row],[ID_DataQualities]],table_DataQualities[],8,FALSE)</f>
        <v>0.6</v>
      </c>
      <c r="M1037" s="10">
        <f ca="1">VLOOKUP(dict_DQ_Meth_max[[#This Row],[ID_DataQualities]],table_DataQualities[],9,FALSE)</f>
        <v>10</v>
      </c>
    </row>
    <row r="1038" spans="1:13" x14ac:dyDescent="0.45">
      <c r="A1038" s="10">
        <v>278</v>
      </c>
      <c r="B1038" s="10">
        <v>398</v>
      </c>
      <c r="C10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8" s="10"/>
      <c r="E1038" s="10"/>
      <c r="F1038" s="12">
        <f ca="1">(RANDBETWEEN(0,50)/100)*(dict_DQ_Meth_max[[#This Row],[Vergleich_ub]]-dict_DQ_Meth_max[[#This Row],[Vergleich_lb]])+dict_DQ_Meth_max[[#This Row],[Vergleich_lb]]</f>
        <v>3094.0623999999998</v>
      </c>
      <c r="G1038" s="12">
        <f ca="1">(RANDBETWEEN(50,100)/100)*(dict_DQ_Meth_max[[#This Row],[Vergleich_ub]]-dict_DQ_Meth_max[[#This Row],[Vergleich_lb]])+dict_DQ_Meth_max[[#This Row],[Vergleich_lb]]</f>
        <v>6046.5405999999994</v>
      </c>
      <c r="H1038" s="11" t="str">
        <f ca="1">VLOOKUP(VLOOKUP(dict_DQ_Meth_max[[#This Row],[ID_DataQualities]],table_DataQualities[],3),table_Units[],2)</f>
        <v>Hz</v>
      </c>
      <c r="I1038" s="10"/>
      <c r="J1038" s="10"/>
      <c r="K1038" s="10"/>
      <c r="L1038" s="10">
        <f ca="1">VLOOKUP(dict_DQ_Meth_max[[#This Row],[ID_DataQualities]],table_DataQualities[],8,FALSE)</f>
        <v>0.99</v>
      </c>
      <c r="M1038" s="10">
        <f ca="1">VLOOKUP(dict_DQ_Meth_max[[#This Row],[ID_DataQualities]],table_DataQualities[],9,FALSE)</f>
        <v>7030.7</v>
      </c>
    </row>
    <row r="1039" spans="1:13" x14ac:dyDescent="0.45">
      <c r="A1039" s="10">
        <v>278</v>
      </c>
      <c r="B1039" s="10">
        <v>303</v>
      </c>
      <c r="C10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39" s="10"/>
      <c r="E1039" s="10"/>
      <c r="F1039" s="12">
        <f ca="1">(RANDBETWEEN(0,50)/100)*(dict_DQ_Meth_max[[#This Row],[Vergleich_ub]]-dict_DQ_Meth_max[[#This Row],[Vergleich_lb]])+dict_DQ_Meth_max[[#This Row],[Vergleich_lb]]</f>
        <v>2953.4681999999998</v>
      </c>
      <c r="G1039" s="12">
        <f ca="1">(RANDBETWEEN(50,100)/100)*(dict_DQ_Meth_max[[#This Row],[Vergleich_ub]]-dict_DQ_Meth_max[[#This Row],[Vergleich_lb]])+dict_DQ_Meth_max[[#This Row],[Vergleich_lb]]</f>
        <v>6257.4318999999996</v>
      </c>
      <c r="H1039" s="11" t="str">
        <f ca="1">VLOOKUP(VLOOKUP(dict_DQ_Meth_max[[#This Row],[ID_DataQualities]],table_DataQualities[],3),table_Units[],2)</f>
        <v>Hz</v>
      </c>
      <c r="I1039" s="10"/>
      <c r="J1039" s="10"/>
      <c r="K1039" s="10"/>
      <c r="L1039" s="10">
        <f ca="1">VLOOKUP(dict_DQ_Meth_max[[#This Row],[ID_DataQualities]],table_DataQualities[],8,FALSE)</f>
        <v>0.99</v>
      </c>
      <c r="M1039" s="10">
        <f ca="1">VLOOKUP(dict_DQ_Meth_max[[#This Row],[ID_DataQualities]],table_DataQualities[],9,FALSE)</f>
        <v>7030.7</v>
      </c>
    </row>
    <row r="1040" spans="1:13" x14ac:dyDescent="0.45">
      <c r="A1040" s="10">
        <v>278</v>
      </c>
      <c r="B1040" s="10">
        <v>36</v>
      </c>
      <c r="C10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0" s="10"/>
      <c r="E1040" s="10"/>
      <c r="F1040" s="12">
        <f ca="1">(RANDBETWEEN(0,50)/100)*(dict_DQ_Meth_max[[#This Row],[Vergleich_ub]]-dict_DQ_Meth_max[[#This Row],[Vergleich_lb]])+dict_DQ_Meth_max[[#This Row],[Vergleich_lb]]</f>
        <v>3375.2507999999998</v>
      </c>
      <c r="G1040" s="12">
        <f ca="1">(RANDBETWEEN(50,100)/100)*(dict_DQ_Meth_max[[#This Row],[Vergleich_ub]]-dict_DQ_Meth_max[[#This Row],[Vergleich_lb]])+dict_DQ_Meth_max[[#This Row],[Vergleich_lb]]</f>
        <v>5484.1638000000003</v>
      </c>
      <c r="H1040" s="11" t="str">
        <f ca="1">VLOOKUP(VLOOKUP(dict_DQ_Meth_max[[#This Row],[ID_DataQualities]],table_DataQualities[],3),table_Units[],2)</f>
        <v>Hz</v>
      </c>
      <c r="I1040" s="10"/>
      <c r="J1040" s="10"/>
      <c r="K1040" s="10"/>
      <c r="L1040" s="10">
        <f ca="1">VLOOKUP(dict_DQ_Meth_max[[#This Row],[ID_DataQualities]],table_DataQualities[],8,FALSE)</f>
        <v>0.99</v>
      </c>
      <c r="M1040" s="10">
        <f ca="1">VLOOKUP(dict_DQ_Meth_max[[#This Row],[ID_DataQualities]],table_DataQualities[],9,FALSE)</f>
        <v>7030.7</v>
      </c>
    </row>
    <row r="1041" spans="1:13" x14ac:dyDescent="0.45">
      <c r="A1041" s="10">
        <v>278</v>
      </c>
      <c r="B1041" s="10">
        <v>435</v>
      </c>
      <c r="C10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1" s="10"/>
      <c r="E1041" s="10"/>
      <c r="F1041" s="12">
        <f ca="1">(RANDBETWEEN(0,50)/100)*(dict_DQ_Meth_max[[#This Row],[Vergleich_ub]]-dict_DQ_Meth_max[[#This Row],[Vergleich_lb]])+dict_DQ_Meth_max[[#This Row],[Vergleich_lb]]</f>
        <v>2109.9029999999998</v>
      </c>
      <c r="G1041" s="12">
        <f ca="1">(RANDBETWEEN(50,100)/100)*(dict_DQ_Meth_max[[#This Row],[Vergleich_ub]]-dict_DQ_Meth_max[[#This Row],[Vergleich_lb]])+dict_DQ_Meth_max[[#This Row],[Vergleich_lb]]</f>
        <v>4710.8957</v>
      </c>
      <c r="H1041" s="11" t="str">
        <f ca="1">VLOOKUP(VLOOKUP(dict_DQ_Meth_max[[#This Row],[ID_DataQualities]],table_DataQualities[],3),table_Units[],2)</f>
        <v>Hz</v>
      </c>
      <c r="I1041" s="10"/>
      <c r="J1041" s="10"/>
      <c r="K1041" s="10"/>
      <c r="L1041" s="10">
        <f ca="1">VLOOKUP(dict_DQ_Meth_max[[#This Row],[ID_DataQualities]],table_DataQualities[],8,FALSE)</f>
        <v>0.99</v>
      </c>
      <c r="M1041" s="10">
        <f ca="1">VLOOKUP(dict_DQ_Meth_max[[#This Row],[ID_DataQualities]],table_DataQualities[],9,FALSE)</f>
        <v>7030.7</v>
      </c>
    </row>
    <row r="1042" spans="1:13" x14ac:dyDescent="0.45">
      <c r="A1042" s="10">
        <v>279</v>
      </c>
      <c r="B1042" s="10">
        <v>36</v>
      </c>
      <c r="C10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2" s="10"/>
      <c r="E1042" s="10"/>
      <c r="F1042" s="12">
        <f ca="1">(RANDBETWEEN(0,50)/100)*(dict_DQ_Meth_max[[#This Row],[Vergleich_ub]]-dict_DQ_Meth_max[[#This Row],[Vergleich_lb]])+dict_DQ_Meth_max[[#This Row],[Vergleich_lb]]</f>
        <v>3.3419999999999996</v>
      </c>
      <c r="G1042" s="12">
        <f ca="1">(RANDBETWEEN(50,100)/100)*(dict_DQ_Meth_max[[#This Row],[Vergleich_ub]]-dict_DQ_Meth_max[[#This Row],[Vergleich_lb]])+dict_DQ_Meth_max[[#This Row],[Vergleich_lb]]</f>
        <v>5.45</v>
      </c>
      <c r="H1042" s="11" t="str">
        <f ca="1">VLOOKUP(VLOOKUP(dict_DQ_Meth_max[[#This Row],[ID_DataQualities]],table_DataQualities[],3),table_Units[],2)</f>
        <v>+/- °C</v>
      </c>
      <c r="I1042" s="10"/>
      <c r="J1042" s="10"/>
      <c r="K1042" s="10"/>
      <c r="L1042" s="10">
        <f ca="1">VLOOKUP(dict_DQ_Meth_max[[#This Row],[ID_DataQualities]],table_DataQualities[],8,FALSE)</f>
        <v>0.8</v>
      </c>
      <c r="M1042" s="10">
        <f ca="1">VLOOKUP(dict_DQ_Meth_max[[#This Row],[ID_DataQualities]],table_DataQualities[],9,FALSE)</f>
        <v>7</v>
      </c>
    </row>
    <row r="1043" spans="1:13" x14ac:dyDescent="0.45">
      <c r="A1043" s="10">
        <v>279</v>
      </c>
      <c r="B1043" s="10">
        <v>303</v>
      </c>
      <c r="C10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3" s="10"/>
      <c r="E1043" s="10"/>
      <c r="F1043" s="12">
        <f ca="1">(RANDBETWEEN(0,50)/100)*(dict_DQ_Meth_max[[#This Row],[Vergleich_ub]]-dict_DQ_Meth_max[[#This Row],[Vergleich_lb]])+dict_DQ_Meth_max[[#This Row],[Vergleich_lb]]</f>
        <v>1.4820000000000002</v>
      </c>
      <c r="G1043" s="12">
        <f ca="1">(RANDBETWEEN(50,100)/100)*(dict_DQ_Meth_max[[#This Row],[Vergleich_ub]]-dict_DQ_Meth_max[[#This Row],[Vergleich_lb]])+dict_DQ_Meth_max[[#This Row],[Vergleich_lb]]</f>
        <v>5.8220000000000001</v>
      </c>
      <c r="H1043" s="11" t="str">
        <f ca="1">VLOOKUP(VLOOKUP(dict_DQ_Meth_max[[#This Row],[ID_DataQualities]],table_DataQualities[],3),table_Units[],2)</f>
        <v>+/- °C</v>
      </c>
      <c r="I1043" s="10"/>
      <c r="J1043" s="10"/>
      <c r="K1043" s="10"/>
      <c r="L1043" s="10">
        <f ca="1">VLOOKUP(dict_DQ_Meth_max[[#This Row],[ID_DataQualities]],table_DataQualities[],8,FALSE)</f>
        <v>0.8</v>
      </c>
      <c r="M1043" s="10">
        <f ca="1">VLOOKUP(dict_DQ_Meth_max[[#This Row],[ID_DataQualities]],table_DataQualities[],9,FALSE)</f>
        <v>7</v>
      </c>
    </row>
    <row r="1044" spans="1:13" x14ac:dyDescent="0.45">
      <c r="A1044" s="10">
        <v>279</v>
      </c>
      <c r="B1044" s="10">
        <v>435</v>
      </c>
      <c r="C10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4" s="10"/>
      <c r="E1044" s="10"/>
      <c r="F1044" s="12">
        <f ca="1">(RANDBETWEEN(0,50)/100)*(dict_DQ_Meth_max[[#This Row],[Vergleich_ub]]-dict_DQ_Meth_max[[#This Row],[Vergleich_lb]])+dict_DQ_Meth_max[[#This Row],[Vergleich_lb]]</f>
        <v>1.7920000000000003</v>
      </c>
      <c r="G1044" s="12">
        <f ca="1">(RANDBETWEEN(50,100)/100)*(dict_DQ_Meth_max[[#This Row],[Vergleich_ub]]-dict_DQ_Meth_max[[#This Row],[Vergleich_lb]])+dict_DQ_Meth_max[[#This Row],[Vergleich_lb]]</f>
        <v>6.9379999999999997</v>
      </c>
      <c r="H1044" s="11" t="str">
        <f ca="1">VLOOKUP(VLOOKUP(dict_DQ_Meth_max[[#This Row],[ID_DataQualities]],table_DataQualities[],3),table_Units[],2)</f>
        <v>+/- °C</v>
      </c>
      <c r="I1044" s="10"/>
      <c r="J1044" s="10"/>
      <c r="K1044" s="10"/>
      <c r="L1044" s="10">
        <f ca="1">VLOOKUP(dict_DQ_Meth_max[[#This Row],[ID_DataQualities]],table_DataQualities[],8,FALSE)</f>
        <v>0.8</v>
      </c>
      <c r="M1044" s="10">
        <f ca="1">VLOOKUP(dict_DQ_Meth_max[[#This Row],[ID_DataQualities]],table_DataQualities[],9,FALSE)</f>
        <v>7</v>
      </c>
    </row>
    <row r="1045" spans="1:13" x14ac:dyDescent="0.45">
      <c r="A1045" s="10">
        <v>279</v>
      </c>
      <c r="B1045" s="10">
        <v>398</v>
      </c>
      <c r="C10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5" s="10"/>
      <c r="E1045" s="10"/>
      <c r="F1045" s="12">
        <f ca="1">(RANDBETWEEN(0,50)/100)*(dict_DQ_Meth_max[[#This Row],[Vergleich_ub]]-dict_DQ_Meth_max[[#This Row],[Vergleich_lb]])+dict_DQ_Meth_max[[#This Row],[Vergleich_lb]]</f>
        <v>3.7139999999999995</v>
      </c>
      <c r="G1045" s="12">
        <f ca="1">(RANDBETWEEN(50,100)/100)*(dict_DQ_Meth_max[[#This Row],[Vergleich_ub]]-dict_DQ_Meth_max[[#This Row],[Vergleich_lb]])+dict_DQ_Meth_max[[#This Row],[Vergleich_lb]]</f>
        <v>4.5199999999999996</v>
      </c>
      <c r="H1045" s="11" t="str">
        <f ca="1">VLOOKUP(VLOOKUP(dict_DQ_Meth_max[[#This Row],[ID_DataQualities]],table_DataQualities[],3),table_Units[],2)</f>
        <v>+/- °C</v>
      </c>
      <c r="I1045" s="10"/>
      <c r="J1045" s="10"/>
      <c r="K1045" s="10"/>
      <c r="L1045" s="10">
        <f ca="1">VLOOKUP(dict_DQ_Meth_max[[#This Row],[ID_DataQualities]],table_DataQualities[],8,FALSE)</f>
        <v>0.8</v>
      </c>
      <c r="M1045" s="10">
        <f ca="1">VLOOKUP(dict_DQ_Meth_max[[#This Row],[ID_DataQualities]],table_DataQualities[],9,FALSE)</f>
        <v>7</v>
      </c>
    </row>
    <row r="1046" spans="1:13" x14ac:dyDescent="0.45">
      <c r="A1046" s="10">
        <v>280</v>
      </c>
      <c r="B1046" s="10">
        <v>647</v>
      </c>
      <c r="C10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6" s="10"/>
      <c r="E1046" s="10"/>
      <c r="F1046" s="12">
        <f ca="1">(RANDBETWEEN(0,50)/100)*(dict_DQ_Meth_max[[#This Row],[Vergleich_ub]]-dict_DQ_Meth_max[[#This Row],[Vergleich_lb]])+dict_DQ_Meth_max[[#This Row],[Vergleich_lb]]</f>
        <v>1755.9467999999999</v>
      </c>
      <c r="G1046" s="12">
        <f ca="1">(RANDBETWEEN(50,100)/100)*(dict_DQ_Meth_max[[#This Row],[Vergleich_ub]]-dict_DQ_Meth_max[[#This Row],[Vergleich_lb]])+dict_DQ_Meth_max[[#This Row],[Vergleich_lb]]</f>
        <v>6282.4295999999995</v>
      </c>
      <c r="H1046" s="11" t="str">
        <f ca="1">VLOOKUP(VLOOKUP(dict_DQ_Meth_max[[#This Row],[ID_DataQualities]],table_DataQualities[],3),table_Units[],2)</f>
        <v>Hz</v>
      </c>
      <c r="I1046" s="10"/>
      <c r="J1046" s="10"/>
      <c r="K1046" s="10"/>
      <c r="L1046" s="10">
        <f ca="1">VLOOKUP(dict_DQ_Meth_max[[#This Row],[ID_DataQualities]],table_DataQualities[],8,FALSE)</f>
        <v>0.78</v>
      </c>
      <c r="M1046" s="10">
        <f ca="1">VLOOKUP(dict_DQ_Meth_max[[#This Row],[ID_DataQualities]],table_DataQualities[],9,FALSE)</f>
        <v>9238.5</v>
      </c>
    </row>
    <row r="1047" spans="1:13" x14ac:dyDescent="0.45">
      <c r="A1047" s="10">
        <v>280</v>
      </c>
      <c r="B1047" s="10">
        <v>698</v>
      </c>
      <c r="C10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7" s="10"/>
      <c r="E1047" s="10"/>
      <c r="F1047" s="12">
        <f ca="1">(RANDBETWEEN(0,50)/100)*(dict_DQ_Meth_max[[#This Row],[Vergleich_ub]]-dict_DQ_Meth_max[[#This Row],[Vergleich_lb]])+dict_DQ_Meth_max[[#This Row],[Vergleich_lb]]</f>
        <v>1940.7011999999997</v>
      </c>
      <c r="G1047" s="12">
        <f ca="1">(RANDBETWEEN(50,100)/100)*(dict_DQ_Meth_max[[#This Row],[Vergleich_ub]]-dict_DQ_Meth_max[[#This Row],[Vergleich_lb]])+dict_DQ_Meth_max[[#This Row],[Vergleich_lb]]</f>
        <v>5173.9031999999997</v>
      </c>
      <c r="H1047" s="11" t="str">
        <f ca="1">VLOOKUP(VLOOKUP(dict_DQ_Meth_max[[#This Row],[ID_DataQualities]],table_DataQualities[],3),table_Units[],2)</f>
        <v>Hz</v>
      </c>
      <c r="I1047" s="10"/>
      <c r="J1047" s="10"/>
      <c r="K1047" s="10"/>
      <c r="L1047" s="10">
        <f ca="1">VLOOKUP(dict_DQ_Meth_max[[#This Row],[ID_DataQualities]],table_DataQualities[],8,FALSE)</f>
        <v>0.78</v>
      </c>
      <c r="M1047" s="10">
        <f ca="1">VLOOKUP(dict_DQ_Meth_max[[#This Row],[ID_DataQualities]],table_DataQualities[],9,FALSE)</f>
        <v>9238.5</v>
      </c>
    </row>
    <row r="1048" spans="1:13" x14ac:dyDescent="0.45">
      <c r="A1048" s="10">
        <v>280</v>
      </c>
      <c r="B1048" s="10">
        <v>318</v>
      </c>
      <c r="C10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8" s="10"/>
      <c r="E1048" s="10"/>
      <c r="F1048" s="12">
        <f ca="1">(RANDBETWEEN(0,50)/100)*(dict_DQ_Meth_max[[#This Row],[Vergleich_ub]]-dict_DQ_Meth_max[[#This Row],[Vergleich_lb]])+dict_DQ_Meth_max[[#This Row],[Vergleich_lb]]</f>
        <v>4527.2627999999995</v>
      </c>
      <c r="G1048" s="12">
        <f ca="1">(RANDBETWEEN(50,100)/100)*(dict_DQ_Meth_max[[#This Row],[Vergleich_ub]]-dict_DQ_Meth_max[[#This Row],[Vergleich_lb]])+dict_DQ_Meth_max[[#This Row],[Vergleich_lb]]</f>
        <v>8222.3508000000002</v>
      </c>
      <c r="H1048" s="11" t="str">
        <f ca="1">VLOOKUP(VLOOKUP(dict_DQ_Meth_max[[#This Row],[ID_DataQualities]],table_DataQualities[],3),table_Units[],2)</f>
        <v>Hz</v>
      </c>
      <c r="I1048" s="10"/>
      <c r="J1048" s="10"/>
      <c r="K1048" s="10"/>
      <c r="L1048" s="10">
        <f ca="1">VLOOKUP(dict_DQ_Meth_max[[#This Row],[ID_DataQualities]],table_DataQualities[],8,FALSE)</f>
        <v>0.78</v>
      </c>
      <c r="M1048" s="10">
        <f ca="1">VLOOKUP(dict_DQ_Meth_max[[#This Row],[ID_DataQualities]],table_DataQualities[],9,FALSE)</f>
        <v>9238.5</v>
      </c>
    </row>
    <row r="1049" spans="1:13" x14ac:dyDescent="0.45">
      <c r="A1049" s="10">
        <v>280</v>
      </c>
      <c r="B1049" s="10">
        <v>342</v>
      </c>
      <c r="C10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49" s="10"/>
      <c r="E1049" s="10"/>
      <c r="F1049" s="12">
        <f ca="1">(RANDBETWEEN(0,50)/100)*(dict_DQ_Meth_max[[#This Row],[Vergleich_ub]]-dict_DQ_Meth_max[[#This Row],[Vergleich_lb]])+dict_DQ_Meth_max[[#This Row],[Vergleich_lb]]</f>
        <v>185.53440000000001</v>
      </c>
      <c r="G1049" s="12">
        <f ca="1">(RANDBETWEEN(50,100)/100)*(dict_DQ_Meth_max[[#This Row],[Vergleich_ub]]-dict_DQ_Meth_max[[#This Row],[Vergleich_lb]])+dict_DQ_Meth_max[[#This Row],[Vergleich_lb]]</f>
        <v>7298.5787999999993</v>
      </c>
      <c r="H1049" s="11" t="str">
        <f ca="1">VLOOKUP(VLOOKUP(dict_DQ_Meth_max[[#This Row],[ID_DataQualities]],table_DataQualities[],3),table_Units[],2)</f>
        <v>Hz</v>
      </c>
      <c r="I1049" s="10"/>
      <c r="J1049" s="10"/>
      <c r="K1049" s="10"/>
      <c r="L1049" s="10">
        <f ca="1">VLOOKUP(dict_DQ_Meth_max[[#This Row],[ID_DataQualities]],table_DataQualities[],8,FALSE)</f>
        <v>0.78</v>
      </c>
      <c r="M1049" s="10">
        <f ca="1">VLOOKUP(dict_DQ_Meth_max[[#This Row],[ID_DataQualities]],table_DataQualities[],9,FALSE)</f>
        <v>9238.5</v>
      </c>
    </row>
    <row r="1050" spans="1:13" x14ac:dyDescent="0.45">
      <c r="A1050" s="10">
        <v>280</v>
      </c>
      <c r="B1050" s="10">
        <v>142</v>
      </c>
      <c r="C10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0" s="10"/>
      <c r="E1050" s="10"/>
      <c r="F1050" s="12">
        <f ca="1">(RANDBETWEEN(0,50)/100)*(dict_DQ_Meth_max[[#This Row],[Vergleich_ub]]-dict_DQ_Meth_max[[#This Row],[Vergleich_lb]])+dict_DQ_Meth_max[[#This Row],[Vergleich_lb]]</f>
        <v>93.157200000000003</v>
      </c>
      <c r="G1050" s="12">
        <f ca="1">(RANDBETWEEN(50,100)/100)*(dict_DQ_Meth_max[[#This Row],[Vergleich_ub]]-dict_DQ_Meth_max[[#This Row],[Vergleich_lb]])+dict_DQ_Meth_max[[#This Row],[Vergleich_lb]]</f>
        <v>6836.6927999999989</v>
      </c>
      <c r="H1050" s="11" t="str">
        <f ca="1">VLOOKUP(VLOOKUP(dict_DQ_Meth_max[[#This Row],[ID_DataQualities]],table_DataQualities[],3),table_Units[],2)</f>
        <v>Hz</v>
      </c>
      <c r="I1050" s="10"/>
      <c r="J1050" s="10"/>
      <c r="K1050" s="10"/>
      <c r="L1050" s="10">
        <f ca="1">VLOOKUP(dict_DQ_Meth_max[[#This Row],[ID_DataQualities]],table_DataQualities[],8,FALSE)</f>
        <v>0.78</v>
      </c>
      <c r="M1050" s="10">
        <f ca="1">VLOOKUP(dict_DQ_Meth_max[[#This Row],[ID_DataQualities]],table_DataQualities[],9,FALSE)</f>
        <v>9238.5</v>
      </c>
    </row>
    <row r="1051" spans="1:13" x14ac:dyDescent="0.45">
      <c r="A1051" s="10">
        <v>280</v>
      </c>
      <c r="B1051" s="10">
        <v>224</v>
      </c>
      <c r="C10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1" s="10"/>
      <c r="E1051" s="10"/>
      <c r="F1051" s="12">
        <f ca="1">(RANDBETWEEN(0,50)/100)*(dict_DQ_Meth_max[[#This Row],[Vergleich_ub]]-dict_DQ_Meth_max[[#This Row],[Vergleich_lb]])+dict_DQ_Meth_max[[#This Row],[Vergleich_lb]]</f>
        <v>2956.8504000000003</v>
      </c>
      <c r="G1051" s="12">
        <f ca="1">(RANDBETWEEN(50,100)/100)*(dict_DQ_Meth_max[[#This Row],[Vergleich_ub]]-dict_DQ_Meth_max[[#This Row],[Vergleich_lb]])+dict_DQ_Meth_max[[#This Row],[Vergleich_lb]]</f>
        <v>8314.728000000001</v>
      </c>
      <c r="H1051" s="11" t="str">
        <f ca="1">VLOOKUP(VLOOKUP(dict_DQ_Meth_max[[#This Row],[ID_DataQualities]],table_DataQualities[],3),table_Units[],2)</f>
        <v>Hz</v>
      </c>
      <c r="I1051" s="10"/>
      <c r="J1051" s="10"/>
      <c r="K1051" s="10"/>
      <c r="L1051" s="10">
        <f ca="1">VLOOKUP(dict_DQ_Meth_max[[#This Row],[ID_DataQualities]],table_DataQualities[],8,FALSE)</f>
        <v>0.78</v>
      </c>
      <c r="M1051" s="10">
        <f ca="1">VLOOKUP(dict_DQ_Meth_max[[#This Row],[ID_DataQualities]],table_DataQualities[],9,FALSE)</f>
        <v>9238.5</v>
      </c>
    </row>
    <row r="1052" spans="1:13" x14ac:dyDescent="0.45">
      <c r="A1052" s="10">
        <v>281</v>
      </c>
      <c r="B1052" s="10">
        <v>698</v>
      </c>
      <c r="C10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2" s="10"/>
      <c r="E1052" s="10"/>
      <c r="F1052" s="12">
        <f ca="1">(RANDBETWEEN(0,50)/100)*(dict_DQ_Meth_max[[#This Row],[Vergleich_ub]]-dict_DQ_Meth_max[[#This Row],[Vergleich_lb]])+dict_DQ_Meth_max[[#This Row],[Vergleich_lb]]</f>
        <v>1.9024000000000001</v>
      </c>
      <c r="G1052" s="12">
        <f ca="1">(RANDBETWEEN(50,100)/100)*(dict_DQ_Meth_max[[#This Row],[Vergleich_ub]]-dict_DQ_Meth_max[[#This Row],[Vergleich_lb]])+dict_DQ_Meth_max[[#This Row],[Vergleich_lb]]</f>
        <v>5.1892000000000005</v>
      </c>
      <c r="H1052" s="11" t="str">
        <f ca="1">VLOOKUP(VLOOKUP(dict_DQ_Meth_max[[#This Row],[ID_DataQualities]],table_DataQualities[],3),table_Units[],2)</f>
        <v>+/- W</v>
      </c>
      <c r="I1052" s="10"/>
      <c r="J1052" s="10"/>
      <c r="K1052" s="10"/>
      <c r="L1052" s="10">
        <f ca="1">VLOOKUP(dict_DQ_Meth_max[[#This Row],[ID_DataQualities]],table_DataQualities[],8,FALSE)</f>
        <v>0.01</v>
      </c>
      <c r="M1052" s="10">
        <f ca="1">VLOOKUP(dict_DQ_Meth_max[[#This Row],[ID_DataQualities]],table_DataQualities[],9,FALSE)</f>
        <v>9.9700000000000006</v>
      </c>
    </row>
    <row r="1053" spans="1:13" x14ac:dyDescent="0.45">
      <c r="A1053" s="10">
        <v>281</v>
      </c>
      <c r="B1053" s="10">
        <v>647</v>
      </c>
      <c r="C10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3" s="10"/>
      <c r="E1053" s="10"/>
      <c r="F1053" s="12">
        <f ca="1">(RANDBETWEEN(0,50)/100)*(dict_DQ_Meth_max[[#This Row],[Vergleich_ub]]-dict_DQ_Meth_max[[#This Row],[Vergleich_lb]])+dict_DQ_Meth_max[[#This Row],[Vergleich_lb]]</f>
        <v>1.7032000000000003</v>
      </c>
      <c r="G1053" s="12">
        <f ca="1">(RANDBETWEEN(50,100)/100)*(dict_DQ_Meth_max[[#This Row],[Vergleich_ub]]-dict_DQ_Meth_max[[#This Row],[Vergleich_lb]])+dict_DQ_Meth_max[[#This Row],[Vergleich_lb]]</f>
        <v>9.9700000000000006</v>
      </c>
      <c r="H1053" s="11" t="str">
        <f ca="1">VLOOKUP(VLOOKUP(dict_DQ_Meth_max[[#This Row],[ID_DataQualities]],table_DataQualities[],3),table_Units[],2)</f>
        <v>+/- W</v>
      </c>
      <c r="I1053" s="10"/>
      <c r="J1053" s="10"/>
      <c r="K1053" s="10"/>
      <c r="L1053" s="10">
        <f ca="1">VLOOKUP(dict_DQ_Meth_max[[#This Row],[ID_DataQualities]],table_DataQualities[],8,FALSE)</f>
        <v>0.01</v>
      </c>
      <c r="M1053" s="10">
        <f ca="1">VLOOKUP(dict_DQ_Meth_max[[#This Row],[ID_DataQualities]],table_DataQualities[],9,FALSE)</f>
        <v>9.9700000000000006</v>
      </c>
    </row>
    <row r="1054" spans="1:13" x14ac:dyDescent="0.45">
      <c r="A1054" s="10">
        <v>281</v>
      </c>
      <c r="B1054" s="10">
        <v>342</v>
      </c>
      <c r="C10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4" s="10"/>
      <c r="E1054" s="10"/>
      <c r="F1054" s="12">
        <f ca="1">(RANDBETWEEN(0,50)/100)*(dict_DQ_Meth_max[[#This Row],[Vergleich_ub]]-dict_DQ_Meth_max[[#This Row],[Vergleich_lb]])+dict_DQ_Meth_max[[#This Row],[Vergleich_lb]]</f>
        <v>4.7907999999999999</v>
      </c>
      <c r="G1054" s="12">
        <f ca="1">(RANDBETWEEN(50,100)/100)*(dict_DQ_Meth_max[[#This Row],[Vergleich_ub]]-dict_DQ_Meth_max[[#This Row],[Vergleich_lb]])+dict_DQ_Meth_max[[#This Row],[Vergleich_lb]]</f>
        <v>9.4719999999999995</v>
      </c>
      <c r="H1054" s="11" t="str">
        <f ca="1">VLOOKUP(VLOOKUP(dict_DQ_Meth_max[[#This Row],[ID_DataQualities]],table_DataQualities[],3),table_Units[],2)</f>
        <v>+/- W</v>
      </c>
      <c r="I1054" s="10"/>
      <c r="J1054" s="10"/>
      <c r="K1054" s="10"/>
      <c r="L1054" s="10">
        <f ca="1">VLOOKUP(dict_DQ_Meth_max[[#This Row],[ID_DataQualities]],table_DataQualities[],8,FALSE)</f>
        <v>0.01</v>
      </c>
      <c r="M1054" s="10">
        <f ca="1">VLOOKUP(dict_DQ_Meth_max[[#This Row],[ID_DataQualities]],table_DataQualities[],9,FALSE)</f>
        <v>9.9700000000000006</v>
      </c>
    </row>
    <row r="1055" spans="1:13" x14ac:dyDescent="0.45">
      <c r="A1055" s="10">
        <v>281</v>
      </c>
      <c r="B1055" s="10">
        <v>224</v>
      </c>
      <c r="C10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5" s="10"/>
      <c r="E1055" s="10"/>
      <c r="F1055" s="12">
        <f ca="1">(RANDBETWEEN(0,50)/100)*(dict_DQ_Meth_max[[#This Row],[Vergleich_ub]]-dict_DQ_Meth_max[[#This Row],[Vergleich_lb]])+dict_DQ_Meth_max[[#This Row],[Vergleich_lb]]</f>
        <v>4.6912000000000003</v>
      </c>
      <c r="G1055" s="12">
        <f ca="1">(RANDBETWEEN(50,100)/100)*(dict_DQ_Meth_max[[#This Row],[Vergleich_ub]]-dict_DQ_Meth_max[[#This Row],[Vergleich_lb]])+dict_DQ_Meth_max[[#This Row],[Vergleich_lb]]</f>
        <v>6.4840000000000009</v>
      </c>
      <c r="H1055" s="11" t="str">
        <f ca="1">VLOOKUP(VLOOKUP(dict_DQ_Meth_max[[#This Row],[ID_DataQualities]],table_DataQualities[],3),table_Units[],2)</f>
        <v>+/- W</v>
      </c>
      <c r="I1055" s="10"/>
      <c r="J1055" s="10"/>
      <c r="K1055" s="10"/>
      <c r="L1055" s="10">
        <f ca="1">VLOOKUP(dict_DQ_Meth_max[[#This Row],[ID_DataQualities]],table_DataQualities[],8,FALSE)</f>
        <v>0.01</v>
      </c>
      <c r="M1055" s="10">
        <f ca="1">VLOOKUP(dict_DQ_Meth_max[[#This Row],[ID_DataQualities]],table_DataQualities[],9,FALSE)</f>
        <v>9.9700000000000006</v>
      </c>
    </row>
    <row r="1056" spans="1:13" x14ac:dyDescent="0.45">
      <c r="A1056" s="10">
        <v>281</v>
      </c>
      <c r="B1056" s="10">
        <v>142</v>
      </c>
      <c r="C10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6" s="10"/>
      <c r="E1056" s="10"/>
      <c r="F1056" s="12">
        <f ca="1">(RANDBETWEEN(0,50)/100)*(dict_DQ_Meth_max[[#This Row],[Vergleich_ub]]-dict_DQ_Meth_max[[#This Row],[Vergleich_lb]])+dict_DQ_Meth_max[[#This Row],[Vergleich_lb]]</f>
        <v>2.4003999999999999</v>
      </c>
      <c r="G1056" s="12">
        <f ca="1">(RANDBETWEEN(50,100)/100)*(dict_DQ_Meth_max[[#This Row],[Vergleich_ub]]-dict_DQ_Meth_max[[#This Row],[Vergleich_lb]])+dict_DQ_Meth_max[[#This Row],[Vergleich_lb]]</f>
        <v>9.5716000000000001</v>
      </c>
      <c r="H1056" s="11" t="str">
        <f ca="1">VLOOKUP(VLOOKUP(dict_DQ_Meth_max[[#This Row],[ID_DataQualities]],table_DataQualities[],3),table_Units[],2)</f>
        <v>+/- W</v>
      </c>
      <c r="I1056" s="10"/>
      <c r="J1056" s="10"/>
      <c r="K1056" s="10"/>
      <c r="L1056" s="10">
        <f ca="1">VLOOKUP(dict_DQ_Meth_max[[#This Row],[ID_DataQualities]],table_DataQualities[],8,FALSE)</f>
        <v>0.01</v>
      </c>
      <c r="M1056" s="10">
        <f ca="1">VLOOKUP(dict_DQ_Meth_max[[#This Row],[ID_DataQualities]],table_DataQualities[],9,FALSE)</f>
        <v>9.9700000000000006</v>
      </c>
    </row>
    <row r="1057" spans="1:13" x14ac:dyDescent="0.45">
      <c r="A1057" s="10">
        <v>281</v>
      </c>
      <c r="B1057" s="10">
        <v>318</v>
      </c>
      <c r="C10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7" s="10"/>
      <c r="E1057" s="10"/>
      <c r="F1057" s="12">
        <f ca="1">(RANDBETWEEN(0,50)/100)*(dict_DQ_Meth_max[[#This Row],[Vergleich_ub]]-dict_DQ_Meth_max[[#This Row],[Vergleich_lb]])+dict_DQ_Meth_max[[#This Row],[Vergleich_lb]]</f>
        <v>2.2012</v>
      </c>
      <c r="G1057" s="12">
        <f ca="1">(RANDBETWEEN(50,100)/100)*(dict_DQ_Meth_max[[#This Row],[Vergleich_ub]]-dict_DQ_Meth_max[[#This Row],[Vergleich_lb]])+dict_DQ_Meth_max[[#This Row],[Vergleich_lb]]</f>
        <v>5.6871999999999998</v>
      </c>
      <c r="H1057" s="11" t="str">
        <f ca="1">VLOOKUP(VLOOKUP(dict_DQ_Meth_max[[#This Row],[ID_DataQualities]],table_DataQualities[],3),table_Units[],2)</f>
        <v>+/- W</v>
      </c>
      <c r="I1057" s="10"/>
      <c r="J1057" s="10"/>
      <c r="K1057" s="10"/>
      <c r="L1057" s="10">
        <f ca="1">VLOOKUP(dict_DQ_Meth_max[[#This Row],[ID_DataQualities]],table_DataQualities[],8,FALSE)</f>
        <v>0.01</v>
      </c>
      <c r="M1057" s="10">
        <f ca="1">VLOOKUP(dict_DQ_Meth_max[[#This Row],[ID_DataQualities]],table_DataQualities[],9,FALSE)</f>
        <v>9.9700000000000006</v>
      </c>
    </row>
    <row r="1058" spans="1:13" x14ac:dyDescent="0.45">
      <c r="A1058" s="10">
        <v>282</v>
      </c>
      <c r="B1058" s="10">
        <v>271</v>
      </c>
      <c r="C10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8" s="10"/>
      <c r="E1058" s="10"/>
      <c r="F1058" s="12">
        <f ca="1">(RANDBETWEEN(0,50)/100)*(dict_DQ_Meth_max[[#This Row],[Vergleich_ub]]-dict_DQ_Meth_max[[#This Row],[Vergleich_lb]])+dict_DQ_Meth_max[[#This Row],[Vergleich_lb]]</f>
        <v>209.69649000000001</v>
      </c>
      <c r="G1058" s="12">
        <f ca="1">(RANDBETWEEN(50,100)/100)*(dict_DQ_Meth_max[[#This Row],[Vergleich_ub]]-dict_DQ_Meth_max[[#This Row],[Vergleich_lb]])+dict_DQ_Meth_max[[#This Row],[Vergleich_lb]]</f>
        <v>2963.1709299999998</v>
      </c>
      <c r="H1058" s="11" t="str">
        <f ca="1">VLOOKUP(VLOOKUP(dict_DQ_Meth_max[[#This Row],[ID_DataQualities]],table_DataQualities[],3),table_Units[],2)</f>
        <v>Hz</v>
      </c>
      <c r="I1058" s="10"/>
      <c r="J1058" s="10"/>
      <c r="K1058" s="10"/>
      <c r="L1058" s="10">
        <f ca="1">VLOOKUP(dict_DQ_Meth_max[[#This Row],[ID_DataQualities]],table_DataQualities[],8,FALSE)</f>
        <v>0.193</v>
      </c>
      <c r="M1058" s="10">
        <f ca="1">VLOOKUP(dict_DQ_Meth_max[[#This Row],[ID_DataQualities]],table_DataQualities[],9,FALSE)</f>
        <v>2993.1</v>
      </c>
    </row>
    <row r="1059" spans="1:13" x14ac:dyDescent="0.45">
      <c r="A1059" s="10">
        <v>282</v>
      </c>
      <c r="B1059" s="10">
        <v>339</v>
      </c>
      <c r="C10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59" s="10"/>
      <c r="E1059" s="10"/>
      <c r="F1059" s="12">
        <f ca="1">(RANDBETWEEN(0,50)/100)*(dict_DQ_Meth_max[[#This Row],[Vergleich_ub]]-dict_DQ_Meth_max[[#This Row],[Vergleich_lb]])+dict_DQ_Meth_max[[#This Row],[Vergleich_lb]]</f>
        <v>1047.7104499999998</v>
      </c>
      <c r="G1059" s="12">
        <f ca="1">(RANDBETWEEN(50,100)/100)*(dict_DQ_Meth_max[[#This Row],[Vergleich_ub]]-dict_DQ_Meth_max[[#This Row],[Vergleich_lb]])+dict_DQ_Meth_max[[#This Row],[Vergleich_lb]]</f>
        <v>1975.5116199999998</v>
      </c>
      <c r="H1059" s="11" t="str">
        <f ca="1">VLOOKUP(VLOOKUP(dict_DQ_Meth_max[[#This Row],[ID_DataQualities]],table_DataQualities[],3),table_Units[],2)</f>
        <v>Hz</v>
      </c>
      <c r="I1059" s="10"/>
      <c r="J1059" s="10"/>
      <c r="K1059" s="10"/>
      <c r="L1059" s="10">
        <f ca="1">VLOOKUP(dict_DQ_Meth_max[[#This Row],[ID_DataQualities]],table_DataQualities[],8,FALSE)</f>
        <v>0.193</v>
      </c>
      <c r="M1059" s="10">
        <f ca="1">VLOOKUP(dict_DQ_Meth_max[[#This Row],[ID_DataQualities]],table_DataQualities[],9,FALSE)</f>
        <v>2993.1</v>
      </c>
    </row>
    <row r="1060" spans="1:13" x14ac:dyDescent="0.45">
      <c r="A1060" s="10">
        <v>282</v>
      </c>
      <c r="B1060" s="10">
        <v>343</v>
      </c>
      <c r="C10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0" s="10"/>
      <c r="E1060" s="10"/>
      <c r="F1060" s="12">
        <f ca="1">(RANDBETWEEN(0,50)/100)*(dict_DQ_Meth_max[[#This Row],[Vergleich_ub]]-dict_DQ_Meth_max[[#This Row],[Vergleich_lb]])+dict_DQ_Meth_max[[#This Row],[Vergleich_lb]]</f>
        <v>688.56160999999997</v>
      </c>
      <c r="G1060" s="12">
        <f ca="1">(RANDBETWEEN(50,100)/100)*(dict_DQ_Meth_max[[#This Row],[Vergleich_ub]]-dict_DQ_Meth_max[[#This Row],[Vergleich_lb]])+dict_DQ_Meth_max[[#This Row],[Vergleich_lb]]</f>
        <v>2244.8732500000001</v>
      </c>
      <c r="H1060" s="11" t="str">
        <f ca="1">VLOOKUP(VLOOKUP(dict_DQ_Meth_max[[#This Row],[ID_DataQualities]],table_DataQualities[],3),table_Units[],2)</f>
        <v>Hz</v>
      </c>
      <c r="I1060" s="10"/>
      <c r="J1060" s="10"/>
      <c r="K1060" s="10"/>
      <c r="L1060" s="10">
        <f ca="1">VLOOKUP(dict_DQ_Meth_max[[#This Row],[ID_DataQualities]],table_DataQualities[],8,FALSE)</f>
        <v>0.193</v>
      </c>
      <c r="M1060" s="10">
        <f ca="1">VLOOKUP(dict_DQ_Meth_max[[#This Row],[ID_DataQualities]],table_DataQualities[],9,FALSE)</f>
        <v>2993.1</v>
      </c>
    </row>
    <row r="1061" spans="1:13" x14ac:dyDescent="0.45">
      <c r="A1061" s="10">
        <v>282</v>
      </c>
      <c r="B1061" s="10">
        <v>673</v>
      </c>
      <c r="C10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1" s="10"/>
      <c r="E1061" s="10"/>
      <c r="F1061" s="12">
        <f ca="1">(RANDBETWEEN(0,50)/100)*(dict_DQ_Meth_max[[#This Row],[Vergleich_ub]]-dict_DQ_Meth_max[[#This Row],[Vergleich_lb]])+dict_DQ_Meth_max[[#This Row],[Vergleich_lb]]</f>
        <v>449.12904999999995</v>
      </c>
      <c r="G1061" s="12">
        <f ca="1">(RANDBETWEEN(50,100)/100)*(dict_DQ_Meth_max[[#This Row],[Vergleich_ub]]-dict_DQ_Meth_max[[#This Row],[Vergleich_lb]])+dict_DQ_Meth_max[[#This Row],[Vergleich_lb]]</f>
        <v>1496.6464999999998</v>
      </c>
      <c r="H1061" s="11" t="str">
        <f ca="1">VLOOKUP(VLOOKUP(dict_DQ_Meth_max[[#This Row],[ID_DataQualities]],table_DataQualities[],3),table_Units[],2)</f>
        <v>Hz</v>
      </c>
      <c r="I1061" s="10"/>
      <c r="J1061" s="10"/>
      <c r="K1061" s="10"/>
      <c r="L1061" s="10">
        <f ca="1">VLOOKUP(dict_DQ_Meth_max[[#This Row],[ID_DataQualities]],table_DataQualities[],8,FALSE)</f>
        <v>0.193</v>
      </c>
      <c r="M1061" s="10">
        <f ca="1">VLOOKUP(dict_DQ_Meth_max[[#This Row],[ID_DataQualities]],table_DataQualities[],9,FALSE)</f>
        <v>2993.1</v>
      </c>
    </row>
    <row r="1062" spans="1:13" x14ac:dyDescent="0.45">
      <c r="A1062" s="10">
        <v>283</v>
      </c>
      <c r="B1062" s="10">
        <v>339</v>
      </c>
      <c r="C10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2" s="10"/>
      <c r="E1062" s="10"/>
      <c r="F1062" s="12">
        <f ca="1">(RANDBETWEEN(0,50)/100)*(dict_DQ_Meth_max[[#This Row],[Vergleich_ub]]-dict_DQ_Meth_max[[#This Row],[Vergleich_lb]])+dict_DQ_Meth_max[[#This Row],[Vergleich_lb]]</f>
        <v>0.17188099999999998</v>
      </c>
      <c r="G1062" s="12">
        <f ca="1">(RANDBETWEEN(50,100)/100)*(dict_DQ_Meth_max[[#This Row],[Vergleich_ub]]-dict_DQ_Meth_max[[#This Row],[Vergleich_lb]])+dict_DQ_Meth_max[[#This Row],[Vergleich_lb]]</f>
        <v>0.26312200000000002</v>
      </c>
      <c r="H1062" s="11" t="str">
        <f ca="1">VLOOKUP(VLOOKUP(dict_DQ_Meth_max[[#This Row],[ID_DataQualities]],table_DataQualities[],3),table_Units[],2)</f>
        <v>+/- cm³/s</v>
      </c>
      <c r="I1062" s="10"/>
      <c r="J1062" s="10"/>
      <c r="K1062" s="10"/>
      <c r="L1062" s="10">
        <f ca="1">VLOOKUP(dict_DQ_Meth_max[[#This Row],[ID_DataQualities]],table_DataQualities[],8,FALSE)</f>
        <v>1.2999999999999999E-3</v>
      </c>
      <c r="M1062" s="10">
        <f ca="1">VLOOKUP(dict_DQ_Meth_max[[#This Row],[ID_DataQualities]],table_DataQualities[],9,FALSE)</f>
        <v>0.39800000000000002</v>
      </c>
    </row>
    <row r="1063" spans="1:13" x14ac:dyDescent="0.45">
      <c r="A1063" s="10">
        <v>283</v>
      </c>
      <c r="B1063" s="10">
        <v>343</v>
      </c>
      <c r="C10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3" s="10"/>
      <c r="E1063" s="10"/>
      <c r="F1063" s="12">
        <f ca="1">(RANDBETWEEN(0,50)/100)*(dict_DQ_Meth_max[[#This Row],[Vergleich_ub]]-dict_DQ_Meth_max[[#This Row],[Vergleich_lb]])+dict_DQ_Meth_max[[#This Row],[Vergleich_lb]]</f>
        <v>5.267E-3</v>
      </c>
      <c r="G1063" s="12">
        <f ca="1">(RANDBETWEEN(50,100)/100)*(dict_DQ_Meth_max[[#This Row],[Vergleich_ub]]-dict_DQ_Meth_max[[#This Row],[Vergleich_lb]])+dict_DQ_Meth_max[[#This Row],[Vergleich_lb]]</f>
        <v>0.28692400000000001</v>
      </c>
      <c r="H1063" s="11" t="str">
        <f ca="1">VLOOKUP(VLOOKUP(dict_DQ_Meth_max[[#This Row],[ID_DataQualities]],table_DataQualities[],3),table_Units[],2)</f>
        <v>+/- cm³/s</v>
      </c>
      <c r="I1063" s="10"/>
      <c r="J1063" s="10"/>
      <c r="K1063" s="10"/>
      <c r="L1063" s="10">
        <f ca="1">VLOOKUP(dict_DQ_Meth_max[[#This Row],[ID_DataQualities]],table_DataQualities[],8,FALSE)</f>
        <v>1.2999999999999999E-3</v>
      </c>
      <c r="M1063" s="10">
        <f ca="1">VLOOKUP(dict_DQ_Meth_max[[#This Row],[ID_DataQualities]],table_DataQualities[],9,FALSE)</f>
        <v>0.39800000000000002</v>
      </c>
    </row>
    <row r="1064" spans="1:13" x14ac:dyDescent="0.45">
      <c r="A1064" s="10">
        <v>283</v>
      </c>
      <c r="B1064" s="10">
        <v>271</v>
      </c>
      <c r="C10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4" s="10"/>
      <c r="E1064" s="10"/>
      <c r="F1064" s="12">
        <f ca="1">(RANDBETWEEN(0,50)/100)*(dict_DQ_Meth_max[[#This Row],[Vergleich_ub]]-dict_DQ_Meth_max[[#This Row],[Vergleich_lb]])+dict_DQ_Meth_max[[#This Row],[Vergleich_lb]]</f>
        <v>6.8738999999999995E-2</v>
      </c>
      <c r="G1064" s="12">
        <f ca="1">(RANDBETWEEN(50,100)/100)*(dict_DQ_Meth_max[[#This Row],[Vergleich_ub]]-dict_DQ_Meth_max[[#This Row],[Vergleich_lb]])+dict_DQ_Meth_max[[#This Row],[Vergleich_lb]]</f>
        <v>0.21948500000000001</v>
      </c>
      <c r="H1064" s="11" t="str">
        <f ca="1">VLOOKUP(VLOOKUP(dict_DQ_Meth_max[[#This Row],[ID_DataQualities]],table_DataQualities[],3),table_Units[],2)</f>
        <v>+/- cm³/s</v>
      </c>
      <c r="I1064" s="10"/>
      <c r="J1064" s="10"/>
      <c r="K1064" s="10"/>
      <c r="L1064" s="10">
        <f ca="1">VLOOKUP(dict_DQ_Meth_max[[#This Row],[ID_DataQualities]],table_DataQualities[],8,FALSE)</f>
        <v>1.2999999999999999E-3</v>
      </c>
      <c r="M1064" s="10">
        <f ca="1">VLOOKUP(dict_DQ_Meth_max[[#This Row],[ID_DataQualities]],table_DataQualities[],9,FALSE)</f>
        <v>0.39800000000000002</v>
      </c>
    </row>
    <row r="1065" spans="1:13" x14ac:dyDescent="0.45">
      <c r="A1065" s="10">
        <v>283</v>
      </c>
      <c r="B1065" s="10">
        <v>673</v>
      </c>
      <c r="C10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5" s="10"/>
      <c r="E1065" s="10"/>
      <c r="F1065" s="12">
        <f ca="1">(RANDBETWEEN(0,50)/100)*(dict_DQ_Meth_max[[#This Row],[Vergleich_ub]]-dict_DQ_Meth_max[[#This Row],[Vergleich_lb]])+dict_DQ_Meth_max[[#This Row],[Vergleich_lb]]</f>
        <v>3.3036000000000003E-2</v>
      </c>
      <c r="G1065" s="12">
        <f ca="1">(RANDBETWEEN(50,100)/100)*(dict_DQ_Meth_max[[#This Row],[Vergleich_ub]]-dict_DQ_Meth_max[[#This Row],[Vergleich_lb]])+dict_DQ_Meth_max[[#This Row],[Vergleich_lb]]</f>
        <v>0.326594</v>
      </c>
      <c r="H1065" s="11" t="str">
        <f ca="1">VLOOKUP(VLOOKUP(dict_DQ_Meth_max[[#This Row],[ID_DataQualities]],table_DataQualities[],3),table_Units[],2)</f>
        <v>+/- cm³/s</v>
      </c>
      <c r="I1065" s="10"/>
      <c r="J1065" s="10"/>
      <c r="K1065" s="10"/>
      <c r="L1065" s="10">
        <f ca="1">VLOOKUP(dict_DQ_Meth_max[[#This Row],[ID_DataQualities]],table_DataQualities[],8,FALSE)</f>
        <v>1.2999999999999999E-3</v>
      </c>
      <c r="M1065" s="10">
        <f ca="1">VLOOKUP(dict_DQ_Meth_max[[#This Row],[ID_DataQualities]],table_DataQualities[],9,FALSE)</f>
        <v>0.39800000000000002</v>
      </c>
    </row>
    <row r="1066" spans="1:13" x14ac:dyDescent="0.45">
      <c r="A1066" s="10">
        <v>284</v>
      </c>
      <c r="B1066" s="10">
        <v>353</v>
      </c>
      <c r="C10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6" s="10"/>
      <c r="E1066" s="10"/>
      <c r="F1066" s="12">
        <f ca="1">(RANDBETWEEN(0,50)/100)*(dict_DQ_Meth_max[[#This Row],[Vergleich_ub]]-dict_DQ_Meth_max[[#This Row],[Vergleich_lb]])+dict_DQ_Meth_max[[#This Row],[Vergleich_lb]]</f>
        <v>2108.3015</v>
      </c>
      <c r="G1066" s="12">
        <f ca="1">(RANDBETWEEN(50,100)/100)*(dict_DQ_Meth_max[[#This Row],[Vergleich_ub]]-dict_DQ_Meth_max[[#This Row],[Vergleich_lb]])+dict_DQ_Meth_max[[#This Row],[Vergleich_lb]]</f>
        <v>6534.59015</v>
      </c>
      <c r="H1066" s="11" t="str">
        <f ca="1">VLOOKUP(VLOOKUP(dict_DQ_Meth_max[[#This Row],[ID_DataQualities]],table_DataQualities[],3),table_Units[],2)</f>
        <v>Hz</v>
      </c>
      <c r="I1066" s="10"/>
      <c r="J1066" s="10"/>
      <c r="K1066" s="10"/>
      <c r="L1066" s="10">
        <f ca="1">VLOOKUP(dict_DQ_Meth_max[[#This Row],[ID_DataQualities]],table_DataQualities[],8,FALSE)</f>
        <v>0.54500000000000004</v>
      </c>
      <c r="M1066" s="10">
        <f ca="1">VLOOKUP(dict_DQ_Meth_max[[#This Row],[ID_DataQualities]],table_DataQualities[],9,FALSE)</f>
        <v>7026.4</v>
      </c>
    </row>
    <row r="1067" spans="1:13" x14ac:dyDescent="0.45">
      <c r="A1067" s="10">
        <v>285</v>
      </c>
      <c r="B1067" s="10">
        <v>353</v>
      </c>
      <c r="C10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7" s="10"/>
      <c r="E1067" s="10"/>
      <c r="F1067" s="12">
        <f ca="1">(RANDBETWEEN(0,50)/100)*(dict_DQ_Meth_max[[#This Row],[Vergleich_ub]]-dict_DQ_Meth_max[[#This Row],[Vergleich_lb]])+dict_DQ_Meth_max[[#This Row],[Vergleich_lb]]</f>
        <v>1.7449600000000001</v>
      </c>
      <c r="G1067" s="12">
        <f ca="1">(RANDBETWEEN(50,100)/100)*(dict_DQ_Meth_max[[#This Row],[Vergleich_ub]]-dict_DQ_Meth_max[[#This Row],[Vergleich_lb]])+dict_DQ_Meth_max[[#This Row],[Vergleich_lb]]</f>
        <v>2.8951199999999999</v>
      </c>
      <c r="H1067" s="11" t="str">
        <f ca="1">VLOOKUP(VLOOKUP(dict_DQ_Meth_max[[#This Row],[ID_DataQualities]],table_DataQualities[],3),table_Units[],2)</f>
        <v>+/- W</v>
      </c>
      <c r="I1067" s="10"/>
      <c r="J1067" s="10"/>
      <c r="K1067" s="10"/>
      <c r="L1067" s="10">
        <f ca="1">VLOOKUP(dict_DQ_Meth_max[[#This Row],[ID_DataQualities]],table_DataQualities[],8,FALSE)</f>
        <v>7.1999999999999995E-2</v>
      </c>
      <c r="M1067" s="10">
        <f ca="1">VLOOKUP(dict_DQ_Meth_max[[#This Row],[ID_DataQualities]],table_DataQualities[],9,FALSE)</f>
        <v>5.3</v>
      </c>
    </row>
    <row r="1068" spans="1:13" x14ac:dyDescent="0.45">
      <c r="A1068" s="10">
        <v>286</v>
      </c>
      <c r="B1068" s="10">
        <v>649</v>
      </c>
      <c r="C10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8" s="10"/>
      <c r="E1068" s="10"/>
      <c r="F1068" s="12">
        <f ca="1">(RANDBETWEEN(0,50)/100)*(dict_DQ_Meth_max[[#This Row],[Vergleich_ub]]-dict_DQ_Meth_max[[#This Row],[Vergleich_lb]])+dict_DQ_Meth_max[[#This Row],[Vergleich_lb]]</f>
        <v>2935.2888499999999</v>
      </c>
      <c r="G1068" s="12">
        <f ca="1">(RANDBETWEEN(50,100)/100)*(dict_DQ_Meth_max[[#This Row],[Vergleich_ub]]-dict_DQ_Meth_max[[#This Row],[Vergleich_lb]])+dict_DQ_Meth_max[[#This Row],[Vergleich_lb]]</f>
        <v>5247.818549999999</v>
      </c>
      <c r="H1068" s="11" t="str">
        <f ca="1">VLOOKUP(VLOOKUP(dict_DQ_Meth_max[[#This Row],[ID_DataQualities]],table_DataQualities[],3),table_Units[],2)</f>
        <v>Hz</v>
      </c>
      <c r="I1068" s="10"/>
      <c r="J1068" s="10"/>
      <c r="K1068" s="10"/>
      <c r="L1068" s="10">
        <f ca="1">VLOOKUP(dict_DQ_Meth_max[[#This Row],[ID_DataQualities]],table_DataQualities[],8,FALSE)</f>
        <v>0.155</v>
      </c>
      <c r="M1068" s="10">
        <f ca="1">VLOOKUP(dict_DQ_Meth_max[[#This Row],[ID_DataQualities]],table_DataQualities[],9,FALSE)</f>
        <v>8894.5</v>
      </c>
    </row>
    <row r="1069" spans="1:13" x14ac:dyDescent="0.45">
      <c r="A1069" s="10">
        <v>286</v>
      </c>
      <c r="B1069" s="10">
        <v>89</v>
      </c>
      <c r="C10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69" s="10"/>
      <c r="E1069" s="10"/>
      <c r="F1069" s="12">
        <f ca="1">(RANDBETWEEN(0,50)/100)*(dict_DQ_Meth_max[[#This Row],[Vergleich_ub]]-dict_DQ_Meth_max[[#This Row],[Vergleich_lb]])+dict_DQ_Meth_max[[#This Row],[Vergleich_lb]]</f>
        <v>3646.8364499999998</v>
      </c>
      <c r="G1069" s="12">
        <f ca="1">(RANDBETWEEN(50,100)/100)*(dict_DQ_Meth_max[[#This Row],[Vergleich_ub]]-dict_DQ_Meth_max[[#This Row],[Vergleich_lb]])+dict_DQ_Meth_max[[#This Row],[Vergleich_lb]]</f>
        <v>5870.4226999999992</v>
      </c>
      <c r="H1069" s="11" t="str">
        <f ca="1">VLOOKUP(VLOOKUP(dict_DQ_Meth_max[[#This Row],[ID_DataQualities]],table_DataQualities[],3),table_Units[],2)</f>
        <v>Hz</v>
      </c>
      <c r="I1069" s="10"/>
      <c r="J1069" s="10"/>
      <c r="K1069" s="10"/>
      <c r="L1069" s="10">
        <f ca="1">VLOOKUP(dict_DQ_Meth_max[[#This Row],[ID_DataQualities]],table_DataQualities[],8,FALSE)</f>
        <v>0.155</v>
      </c>
      <c r="M1069" s="10">
        <f ca="1">VLOOKUP(dict_DQ_Meth_max[[#This Row],[ID_DataQualities]],table_DataQualities[],9,FALSE)</f>
        <v>8894.5</v>
      </c>
    </row>
    <row r="1070" spans="1:13" x14ac:dyDescent="0.45">
      <c r="A1070" s="10">
        <v>286</v>
      </c>
      <c r="B1070" s="10">
        <v>76</v>
      </c>
      <c r="C10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0" s="10"/>
      <c r="E1070" s="10"/>
      <c r="F1070" s="12">
        <f ca="1">(RANDBETWEEN(0,50)/100)*(dict_DQ_Meth_max[[#This Row],[Vergleich_ub]]-dict_DQ_Meth_max[[#This Row],[Vergleich_lb]])+dict_DQ_Meth_max[[#This Row],[Vergleich_lb]]</f>
        <v>355.92879999999997</v>
      </c>
      <c r="G1070" s="12">
        <f ca="1">(RANDBETWEEN(50,100)/100)*(dict_DQ_Meth_max[[#This Row],[Vergleich_ub]]-dict_DQ_Meth_max[[#This Row],[Vergleich_lb]])+dict_DQ_Meth_max[[#This Row],[Vergleich_lb]]</f>
        <v>8094.0089499999995</v>
      </c>
      <c r="H1070" s="11" t="str">
        <f ca="1">VLOOKUP(VLOOKUP(dict_DQ_Meth_max[[#This Row],[ID_DataQualities]],table_DataQualities[],3),table_Units[],2)</f>
        <v>Hz</v>
      </c>
      <c r="I1070" s="10"/>
      <c r="J1070" s="10"/>
      <c r="K1070" s="10"/>
      <c r="L1070" s="10">
        <f ca="1">VLOOKUP(dict_DQ_Meth_max[[#This Row],[ID_DataQualities]],table_DataQualities[],8,FALSE)</f>
        <v>0.155</v>
      </c>
      <c r="M1070" s="10">
        <f ca="1">VLOOKUP(dict_DQ_Meth_max[[#This Row],[ID_DataQualities]],table_DataQualities[],9,FALSE)</f>
        <v>8894.5</v>
      </c>
    </row>
    <row r="1071" spans="1:13" x14ac:dyDescent="0.45">
      <c r="A1071" s="10">
        <v>286</v>
      </c>
      <c r="B1071" s="10">
        <v>539</v>
      </c>
      <c r="C10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1" s="10"/>
      <c r="E1071" s="10"/>
      <c r="F1071" s="12">
        <f ca="1">(RANDBETWEEN(0,50)/100)*(dict_DQ_Meth_max[[#This Row],[Vergleich_ub]]-dict_DQ_Meth_max[[#This Row],[Vergleich_lb]])+dict_DQ_Meth_max[[#This Row],[Vergleich_lb]]</f>
        <v>2846.3454000000002</v>
      </c>
      <c r="G1071" s="12">
        <f ca="1">(RANDBETWEEN(50,100)/100)*(dict_DQ_Meth_max[[#This Row],[Vergleich_ub]]-dict_DQ_Meth_max[[#This Row],[Vergleich_lb]])+dict_DQ_Meth_max[[#This Row],[Vergleich_lb]]</f>
        <v>4536.2709499999992</v>
      </c>
      <c r="H1071" s="11" t="str">
        <f ca="1">VLOOKUP(VLOOKUP(dict_DQ_Meth_max[[#This Row],[ID_DataQualities]],table_DataQualities[],3),table_Units[],2)</f>
        <v>Hz</v>
      </c>
      <c r="I1071" s="10"/>
      <c r="J1071" s="10"/>
      <c r="K1071" s="10"/>
      <c r="L1071" s="10">
        <f ca="1">VLOOKUP(dict_DQ_Meth_max[[#This Row],[ID_DataQualities]],table_DataQualities[],8,FALSE)</f>
        <v>0.155</v>
      </c>
      <c r="M1071" s="10">
        <f ca="1">VLOOKUP(dict_DQ_Meth_max[[#This Row],[ID_DataQualities]],table_DataQualities[],9,FALSE)</f>
        <v>8894.5</v>
      </c>
    </row>
    <row r="1072" spans="1:13" x14ac:dyDescent="0.45">
      <c r="A1072" s="10">
        <v>287</v>
      </c>
      <c r="B1072" s="10">
        <v>649</v>
      </c>
      <c r="C10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2" s="10"/>
      <c r="E1072" s="10"/>
      <c r="F1072" s="12">
        <f ca="1">(RANDBETWEEN(0,50)/100)*(dict_DQ_Meth_max[[#This Row],[Vergleich_ub]]-dict_DQ_Meth_max[[#This Row],[Vergleich_lb]])+dict_DQ_Meth_max[[#This Row],[Vergleich_lb]]</f>
        <v>0.40800000000000003</v>
      </c>
      <c r="G1072" s="12">
        <f ca="1">(RANDBETWEEN(50,100)/100)*(dict_DQ_Meth_max[[#This Row],[Vergleich_ub]]-dict_DQ_Meth_max[[#This Row],[Vergleich_lb]])+dict_DQ_Meth_max[[#This Row],[Vergleich_lb]]</f>
        <v>1.6500000000000001</v>
      </c>
      <c r="H1072" s="11" t="str">
        <f ca="1">VLOOKUP(VLOOKUP(dict_DQ_Meth_max[[#This Row],[ID_DataQualities]],table_DataQualities[],3),table_Units[],2)</f>
        <v>+/- °C</v>
      </c>
      <c r="I1072" s="10"/>
      <c r="J1072" s="10"/>
      <c r="K1072" s="10"/>
      <c r="L1072" s="10">
        <f ca="1">VLOOKUP(dict_DQ_Meth_max[[#This Row],[ID_DataQualities]],table_DataQualities[],8,FALSE)</f>
        <v>0.3</v>
      </c>
      <c r="M1072" s="10">
        <f ca="1">VLOOKUP(dict_DQ_Meth_max[[#This Row],[ID_DataQualities]],table_DataQualities[],9,FALSE)</f>
        <v>3</v>
      </c>
    </row>
    <row r="1073" spans="1:13" x14ac:dyDescent="0.45">
      <c r="A1073" s="10">
        <v>287</v>
      </c>
      <c r="B1073" s="10">
        <v>539</v>
      </c>
      <c r="C10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3" s="10"/>
      <c r="E1073" s="10"/>
      <c r="F1073" s="12">
        <f ca="1">(RANDBETWEEN(0,50)/100)*(dict_DQ_Meth_max[[#This Row],[Vergleich_ub]]-dict_DQ_Meth_max[[#This Row],[Vergleich_lb]])+dict_DQ_Meth_max[[#This Row],[Vergleich_lb]]</f>
        <v>0.94799999999999995</v>
      </c>
      <c r="G1073" s="12">
        <f ca="1">(RANDBETWEEN(50,100)/100)*(dict_DQ_Meth_max[[#This Row],[Vergleich_ub]]-dict_DQ_Meth_max[[#This Row],[Vergleich_lb]])+dict_DQ_Meth_max[[#This Row],[Vergleich_lb]]</f>
        <v>2.8379999999999996</v>
      </c>
      <c r="H1073" s="11" t="str">
        <f ca="1">VLOOKUP(VLOOKUP(dict_DQ_Meth_max[[#This Row],[ID_DataQualities]],table_DataQualities[],3),table_Units[],2)</f>
        <v>+/- °C</v>
      </c>
      <c r="I1073" s="10"/>
      <c r="J1073" s="10"/>
      <c r="K1073" s="10"/>
      <c r="L1073" s="10">
        <f ca="1">VLOOKUP(dict_DQ_Meth_max[[#This Row],[ID_DataQualities]],table_DataQualities[],8,FALSE)</f>
        <v>0.3</v>
      </c>
      <c r="M1073" s="10">
        <f ca="1">VLOOKUP(dict_DQ_Meth_max[[#This Row],[ID_DataQualities]],table_DataQualities[],9,FALSE)</f>
        <v>3</v>
      </c>
    </row>
    <row r="1074" spans="1:13" x14ac:dyDescent="0.45">
      <c r="A1074" s="10">
        <v>287</v>
      </c>
      <c r="B1074" s="10">
        <v>89</v>
      </c>
      <c r="C10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4" s="10"/>
      <c r="E1074" s="10"/>
      <c r="F1074" s="12">
        <f ca="1">(RANDBETWEEN(0,50)/100)*(dict_DQ_Meth_max[[#This Row],[Vergleich_ub]]-dict_DQ_Meth_max[[#This Row],[Vergleich_lb]])+dict_DQ_Meth_max[[#This Row],[Vergleich_lb]]</f>
        <v>0.32700000000000001</v>
      </c>
      <c r="G1074" s="12">
        <f ca="1">(RANDBETWEEN(50,100)/100)*(dict_DQ_Meth_max[[#This Row],[Vergleich_ub]]-dict_DQ_Meth_max[[#This Row],[Vergleich_lb]])+dict_DQ_Meth_max[[#This Row],[Vergleich_lb]]</f>
        <v>2.109</v>
      </c>
      <c r="H1074" s="11" t="str">
        <f ca="1">VLOOKUP(VLOOKUP(dict_DQ_Meth_max[[#This Row],[ID_DataQualities]],table_DataQualities[],3),table_Units[],2)</f>
        <v>+/- °C</v>
      </c>
      <c r="I1074" s="10"/>
      <c r="J1074" s="10"/>
      <c r="K1074" s="10"/>
      <c r="L1074" s="10">
        <f ca="1">VLOOKUP(dict_DQ_Meth_max[[#This Row],[ID_DataQualities]],table_DataQualities[],8,FALSE)</f>
        <v>0.3</v>
      </c>
      <c r="M1074" s="10">
        <f ca="1">VLOOKUP(dict_DQ_Meth_max[[#This Row],[ID_DataQualities]],table_DataQualities[],9,FALSE)</f>
        <v>3</v>
      </c>
    </row>
    <row r="1075" spans="1:13" x14ac:dyDescent="0.45">
      <c r="A1075" s="10">
        <v>287</v>
      </c>
      <c r="B1075" s="10">
        <v>76</v>
      </c>
      <c r="C10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5" s="10"/>
      <c r="E1075" s="10"/>
      <c r="F1075" s="12">
        <f ca="1">(RANDBETWEEN(0,50)/100)*(dict_DQ_Meth_max[[#This Row],[Vergleich_ub]]-dict_DQ_Meth_max[[#This Row],[Vergleich_lb]])+dict_DQ_Meth_max[[#This Row],[Vergleich_lb]]</f>
        <v>1.5150000000000001</v>
      </c>
      <c r="G1075" s="12">
        <f ca="1">(RANDBETWEEN(50,100)/100)*(dict_DQ_Meth_max[[#This Row],[Vergleich_ub]]-dict_DQ_Meth_max[[#This Row],[Vergleich_lb]])+dict_DQ_Meth_max[[#This Row],[Vergleich_lb]]</f>
        <v>1.8120000000000003</v>
      </c>
      <c r="H1075" s="11" t="str">
        <f ca="1">VLOOKUP(VLOOKUP(dict_DQ_Meth_max[[#This Row],[ID_DataQualities]],table_DataQualities[],3),table_Units[],2)</f>
        <v>+/- °C</v>
      </c>
      <c r="I1075" s="10"/>
      <c r="J1075" s="10"/>
      <c r="K1075" s="10"/>
      <c r="L1075" s="10">
        <f ca="1">VLOOKUP(dict_DQ_Meth_max[[#This Row],[ID_DataQualities]],table_DataQualities[],8,FALSE)</f>
        <v>0.3</v>
      </c>
      <c r="M1075" s="10">
        <f ca="1">VLOOKUP(dict_DQ_Meth_max[[#This Row],[ID_DataQualities]],table_DataQualities[],9,FALSE)</f>
        <v>3</v>
      </c>
    </row>
    <row r="1076" spans="1:13" x14ac:dyDescent="0.45">
      <c r="A1076" s="10">
        <v>288</v>
      </c>
      <c r="B1076" s="10">
        <v>11</v>
      </c>
      <c r="C10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6" s="10"/>
      <c r="E1076" s="10"/>
      <c r="F1076" s="12">
        <f ca="1">(RANDBETWEEN(0,50)/100)*(dict_DQ_Meth_max[[#This Row],[Vergleich_ub]]-dict_DQ_Meth_max[[#This Row],[Vergleich_lb]])+dict_DQ_Meth_max[[#This Row],[Vergleich_lb]]</f>
        <v>1643.2735</v>
      </c>
      <c r="G1076" s="12">
        <f ca="1">(RANDBETWEEN(50,100)/100)*(dict_DQ_Meth_max[[#This Row],[Vergleich_ub]]-dict_DQ_Meth_max[[#This Row],[Vergleich_lb]])+dict_DQ_Meth_max[[#This Row],[Vergleich_lb]]</f>
        <v>4978.5</v>
      </c>
      <c r="H1076" s="11" t="str">
        <f ca="1">VLOOKUP(VLOOKUP(dict_DQ_Meth_max[[#This Row],[ID_DataQualities]],table_DataQualities[],3),table_Units[],2)</f>
        <v>Hz</v>
      </c>
      <c r="I1076" s="10"/>
      <c r="J1076" s="10"/>
      <c r="K1076" s="10"/>
      <c r="L1076" s="10">
        <f ca="1">VLOOKUP(dict_DQ_Meth_max[[#This Row],[ID_DataQualities]],table_DataQualities[],8,FALSE)</f>
        <v>0.55000000000000004</v>
      </c>
      <c r="M1076" s="10">
        <f ca="1">VLOOKUP(dict_DQ_Meth_max[[#This Row],[ID_DataQualities]],table_DataQualities[],9,FALSE)</f>
        <v>4978.5</v>
      </c>
    </row>
    <row r="1077" spans="1:13" x14ac:dyDescent="0.45">
      <c r="A1077" s="10">
        <v>288</v>
      </c>
      <c r="B1077" s="10">
        <v>515</v>
      </c>
      <c r="C10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7" s="10"/>
      <c r="E1077" s="10"/>
      <c r="F1077" s="12">
        <f ca="1">(RANDBETWEEN(0,50)/100)*(dict_DQ_Meth_max[[#This Row],[Vergleich_ub]]-dict_DQ_Meth_max[[#This Row],[Vergleich_lb]])+dict_DQ_Meth_max[[#This Row],[Vergleich_lb]]</f>
        <v>1991.73</v>
      </c>
      <c r="G1077" s="12">
        <f ca="1">(RANDBETWEEN(50,100)/100)*(dict_DQ_Meth_max[[#This Row],[Vergleich_ub]]-dict_DQ_Meth_max[[#This Row],[Vergleich_lb]])+dict_DQ_Meth_max[[#This Row],[Vergleich_lb]]</f>
        <v>3435.3354999999997</v>
      </c>
      <c r="H1077" s="11" t="str">
        <f ca="1">VLOOKUP(VLOOKUP(dict_DQ_Meth_max[[#This Row],[ID_DataQualities]],table_DataQualities[],3),table_Units[],2)</f>
        <v>Hz</v>
      </c>
      <c r="I1077" s="10"/>
      <c r="J1077" s="10"/>
      <c r="K1077" s="10"/>
      <c r="L1077" s="10">
        <f ca="1">VLOOKUP(dict_DQ_Meth_max[[#This Row],[ID_DataQualities]],table_DataQualities[],8,FALSE)</f>
        <v>0.55000000000000004</v>
      </c>
      <c r="M1077" s="10">
        <f ca="1">VLOOKUP(dict_DQ_Meth_max[[#This Row],[ID_DataQualities]],table_DataQualities[],9,FALSE)</f>
        <v>4978.5</v>
      </c>
    </row>
    <row r="1078" spans="1:13" x14ac:dyDescent="0.45">
      <c r="A1078" s="10">
        <v>288</v>
      </c>
      <c r="B1078" s="10">
        <v>513</v>
      </c>
      <c r="C10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8" s="10"/>
      <c r="E1078" s="10"/>
      <c r="F1078" s="12">
        <f ca="1">(RANDBETWEEN(0,50)/100)*(dict_DQ_Meth_max[[#This Row],[Vergleich_ub]]-dict_DQ_Meth_max[[#This Row],[Vergleich_lb]])+dict_DQ_Meth_max[[#This Row],[Vergleich_lb]]</f>
        <v>797.02199999999993</v>
      </c>
      <c r="G1078" s="12">
        <f ca="1">(RANDBETWEEN(50,100)/100)*(dict_DQ_Meth_max[[#This Row],[Vergleich_ub]]-dict_DQ_Meth_max[[#This Row],[Vergleich_lb]])+dict_DQ_Meth_max[[#This Row],[Vergleich_lb]]</f>
        <v>4679.8229999999994</v>
      </c>
      <c r="H1078" s="11" t="str">
        <f ca="1">VLOOKUP(VLOOKUP(dict_DQ_Meth_max[[#This Row],[ID_DataQualities]],table_DataQualities[],3),table_Units[],2)</f>
        <v>Hz</v>
      </c>
      <c r="I1078" s="10"/>
      <c r="J1078" s="10"/>
      <c r="K1078" s="10"/>
      <c r="L1078" s="10">
        <f ca="1">VLOOKUP(dict_DQ_Meth_max[[#This Row],[ID_DataQualities]],table_DataQualities[],8,FALSE)</f>
        <v>0.55000000000000004</v>
      </c>
      <c r="M1078" s="10">
        <f ca="1">VLOOKUP(dict_DQ_Meth_max[[#This Row],[ID_DataQualities]],table_DataQualities[],9,FALSE)</f>
        <v>4978.5</v>
      </c>
    </row>
    <row r="1079" spans="1:13" x14ac:dyDescent="0.45">
      <c r="A1079" s="10">
        <v>288</v>
      </c>
      <c r="B1079" s="10">
        <v>277</v>
      </c>
      <c r="C10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79" s="10"/>
      <c r="E1079" s="10"/>
      <c r="F1079" s="12">
        <f ca="1">(RANDBETWEEN(0,50)/100)*(dict_DQ_Meth_max[[#This Row],[Vergleich_ub]]-dict_DQ_Meth_max[[#This Row],[Vergleich_lb]])+dict_DQ_Meth_max[[#This Row],[Vergleich_lb]]</f>
        <v>846.80150000000003</v>
      </c>
      <c r="G1079" s="12">
        <f ca="1">(RANDBETWEEN(50,100)/100)*(dict_DQ_Meth_max[[#This Row],[Vergleich_ub]]-dict_DQ_Meth_max[[#This Row],[Vergleich_lb]])+dict_DQ_Meth_max[[#This Row],[Vergleich_lb]]</f>
        <v>2589.0840000000003</v>
      </c>
      <c r="H1079" s="11" t="str">
        <f ca="1">VLOOKUP(VLOOKUP(dict_DQ_Meth_max[[#This Row],[ID_DataQualities]],table_DataQualities[],3),table_Units[],2)</f>
        <v>Hz</v>
      </c>
      <c r="I1079" s="10"/>
      <c r="J1079" s="10"/>
      <c r="K1079" s="10"/>
      <c r="L1079" s="10">
        <f ca="1">VLOOKUP(dict_DQ_Meth_max[[#This Row],[ID_DataQualities]],table_DataQualities[],8,FALSE)</f>
        <v>0.55000000000000004</v>
      </c>
      <c r="M1079" s="10">
        <f ca="1">VLOOKUP(dict_DQ_Meth_max[[#This Row],[ID_DataQualities]],table_DataQualities[],9,FALSE)</f>
        <v>4978.5</v>
      </c>
    </row>
    <row r="1080" spans="1:13" x14ac:dyDescent="0.45">
      <c r="A1080" s="10">
        <v>288</v>
      </c>
      <c r="B1080" s="10">
        <v>423</v>
      </c>
      <c r="C10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0" s="10"/>
      <c r="E1080" s="10"/>
      <c r="F1080" s="12">
        <f ca="1">(RANDBETWEEN(0,50)/100)*(dict_DQ_Meth_max[[#This Row],[Vergleich_ub]]-dict_DQ_Meth_max[[#This Row],[Vergleich_lb]])+dict_DQ_Meth_max[[#This Row],[Vergleich_lb]]</f>
        <v>349.00650000000002</v>
      </c>
      <c r="G1080" s="12">
        <f ca="1">(RANDBETWEEN(50,100)/100)*(dict_DQ_Meth_max[[#This Row],[Vergleich_ub]]-dict_DQ_Meth_max[[#This Row],[Vergleich_lb]])+dict_DQ_Meth_max[[#This Row],[Vergleich_lb]]</f>
        <v>2937.5405000000001</v>
      </c>
      <c r="H1080" s="11" t="str">
        <f ca="1">VLOOKUP(VLOOKUP(dict_DQ_Meth_max[[#This Row],[ID_DataQualities]],table_DataQualities[],3),table_Units[],2)</f>
        <v>Hz</v>
      </c>
      <c r="I1080" s="10"/>
      <c r="J1080" s="10"/>
      <c r="K1080" s="10"/>
      <c r="L1080" s="10">
        <f ca="1">VLOOKUP(dict_DQ_Meth_max[[#This Row],[ID_DataQualities]],table_DataQualities[],8,FALSE)</f>
        <v>0.55000000000000004</v>
      </c>
      <c r="M1080" s="10">
        <f ca="1">VLOOKUP(dict_DQ_Meth_max[[#This Row],[ID_DataQualities]],table_DataQualities[],9,FALSE)</f>
        <v>4978.5</v>
      </c>
    </row>
    <row r="1081" spans="1:13" x14ac:dyDescent="0.45">
      <c r="A1081" s="10">
        <v>289</v>
      </c>
      <c r="B1081" s="10">
        <v>423</v>
      </c>
      <c r="C10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1" s="10"/>
      <c r="E1081" s="10"/>
      <c r="F1081" s="12">
        <f ca="1">(RANDBETWEEN(0,50)/100)*(dict_DQ_Meth_max[[#This Row],[Vergleich_ub]]-dict_DQ_Meth_max[[#This Row],[Vergleich_lb]])+dict_DQ_Meth_max[[#This Row],[Vergleich_lb]]</f>
        <v>0.72</v>
      </c>
      <c r="G1081" s="12">
        <f ca="1">(RANDBETWEEN(50,100)/100)*(dict_DQ_Meth_max[[#This Row],[Vergleich_ub]]-dict_DQ_Meth_max[[#This Row],[Vergleich_lb]])+dict_DQ_Meth_max[[#This Row],[Vergleich_lb]]</f>
        <v>0.84499999999999997</v>
      </c>
      <c r="H1081" s="11" t="str">
        <f ca="1">VLOOKUP(VLOOKUP(dict_DQ_Meth_max[[#This Row],[ID_DataQualities]],table_DataQualities[],3),table_Units[],2)</f>
        <v>+/- °C</v>
      </c>
      <c r="I1081" s="10"/>
      <c r="J1081" s="10"/>
      <c r="K1081" s="10"/>
      <c r="L1081" s="10">
        <f ca="1">VLOOKUP(dict_DQ_Meth_max[[#This Row],[ID_DataQualities]],table_DataQualities[],8,FALSE)</f>
        <v>0.5</v>
      </c>
      <c r="M1081" s="10">
        <f ca="1">VLOOKUP(dict_DQ_Meth_max[[#This Row],[ID_DataQualities]],table_DataQualities[],9,FALSE)</f>
        <v>1</v>
      </c>
    </row>
    <row r="1082" spans="1:13" x14ac:dyDescent="0.45">
      <c r="A1082" s="10">
        <v>289</v>
      </c>
      <c r="B1082" s="10">
        <v>513</v>
      </c>
      <c r="C10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2" s="10"/>
      <c r="E1082" s="10"/>
      <c r="F1082" s="12">
        <f ca="1">(RANDBETWEEN(0,50)/100)*(dict_DQ_Meth_max[[#This Row],[Vergleich_ub]]-dict_DQ_Meth_max[[#This Row],[Vergleich_lb]])+dict_DQ_Meth_max[[#This Row],[Vergleich_lb]]</f>
        <v>0.61</v>
      </c>
      <c r="G1082" s="12">
        <f ca="1">(RANDBETWEEN(50,100)/100)*(dict_DQ_Meth_max[[#This Row],[Vergleich_ub]]-dict_DQ_Meth_max[[#This Row],[Vergleich_lb]])+dict_DQ_Meth_max[[#This Row],[Vergleich_lb]]</f>
        <v>0.91500000000000004</v>
      </c>
      <c r="H1082" s="11" t="str">
        <f ca="1">VLOOKUP(VLOOKUP(dict_DQ_Meth_max[[#This Row],[ID_DataQualities]],table_DataQualities[],3),table_Units[],2)</f>
        <v>+/- °C</v>
      </c>
      <c r="I1082" s="10"/>
      <c r="J1082" s="10"/>
      <c r="K1082" s="10"/>
      <c r="L1082" s="10">
        <f ca="1">VLOOKUP(dict_DQ_Meth_max[[#This Row],[ID_DataQualities]],table_DataQualities[],8,FALSE)</f>
        <v>0.5</v>
      </c>
      <c r="M1082" s="10">
        <f ca="1">VLOOKUP(dict_DQ_Meth_max[[#This Row],[ID_DataQualities]],table_DataQualities[],9,FALSE)</f>
        <v>1</v>
      </c>
    </row>
    <row r="1083" spans="1:13" x14ac:dyDescent="0.45">
      <c r="A1083" s="10">
        <v>289</v>
      </c>
      <c r="B1083" s="10">
        <v>515</v>
      </c>
      <c r="C10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3" s="10"/>
      <c r="E1083" s="10"/>
      <c r="F1083" s="12">
        <f ca="1">(RANDBETWEEN(0,50)/100)*(dict_DQ_Meth_max[[#This Row],[Vergleich_ub]]-dict_DQ_Meth_max[[#This Row],[Vergleich_lb]])+dict_DQ_Meth_max[[#This Row],[Vergleich_lb]]</f>
        <v>0.62</v>
      </c>
      <c r="G1083" s="12">
        <f ca="1">(RANDBETWEEN(50,100)/100)*(dict_DQ_Meth_max[[#This Row],[Vergleich_ub]]-dict_DQ_Meth_max[[#This Row],[Vergleich_lb]])+dict_DQ_Meth_max[[#This Row],[Vergleich_lb]]</f>
        <v>0.92500000000000004</v>
      </c>
      <c r="H1083" s="11" t="str">
        <f ca="1">VLOOKUP(VLOOKUP(dict_DQ_Meth_max[[#This Row],[ID_DataQualities]],table_DataQualities[],3),table_Units[],2)</f>
        <v>+/- °C</v>
      </c>
      <c r="I1083" s="10"/>
      <c r="J1083" s="10"/>
      <c r="K1083" s="10"/>
      <c r="L1083" s="10">
        <f ca="1">VLOOKUP(dict_DQ_Meth_max[[#This Row],[ID_DataQualities]],table_DataQualities[],8,FALSE)</f>
        <v>0.5</v>
      </c>
      <c r="M1083" s="10">
        <f ca="1">VLOOKUP(dict_DQ_Meth_max[[#This Row],[ID_DataQualities]],table_DataQualities[],9,FALSE)</f>
        <v>1</v>
      </c>
    </row>
    <row r="1084" spans="1:13" x14ac:dyDescent="0.45">
      <c r="A1084" s="10">
        <v>289</v>
      </c>
      <c r="B1084" s="10">
        <v>277</v>
      </c>
      <c r="C10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4" s="10"/>
      <c r="E1084" s="10"/>
      <c r="F1084" s="12">
        <f ca="1">(RANDBETWEEN(0,50)/100)*(dict_DQ_Meth_max[[#This Row],[Vergleich_ub]]-dict_DQ_Meth_max[[#This Row],[Vergleich_lb]])+dict_DQ_Meth_max[[#This Row],[Vergleich_lb]]</f>
        <v>0.57999999999999996</v>
      </c>
      <c r="G1084" s="12">
        <f ca="1">(RANDBETWEEN(50,100)/100)*(dict_DQ_Meth_max[[#This Row],[Vergleich_ub]]-dict_DQ_Meth_max[[#This Row],[Vergleich_lb]])+dict_DQ_Meth_max[[#This Row],[Vergleich_lb]]</f>
        <v>0.77500000000000002</v>
      </c>
      <c r="H1084" s="11" t="str">
        <f ca="1">VLOOKUP(VLOOKUP(dict_DQ_Meth_max[[#This Row],[ID_DataQualities]],table_DataQualities[],3),table_Units[],2)</f>
        <v>+/- °C</v>
      </c>
      <c r="I1084" s="10"/>
      <c r="J1084" s="10"/>
      <c r="K1084" s="10"/>
      <c r="L1084" s="10">
        <f ca="1">VLOOKUP(dict_DQ_Meth_max[[#This Row],[ID_DataQualities]],table_DataQualities[],8,FALSE)</f>
        <v>0.5</v>
      </c>
      <c r="M1084" s="10">
        <f ca="1">VLOOKUP(dict_DQ_Meth_max[[#This Row],[ID_DataQualities]],table_DataQualities[],9,FALSE)</f>
        <v>1</v>
      </c>
    </row>
    <row r="1085" spans="1:13" x14ac:dyDescent="0.45">
      <c r="A1085" s="10">
        <v>289</v>
      </c>
      <c r="B1085" s="10">
        <v>11</v>
      </c>
      <c r="C10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5" s="10"/>
      <c r="E1085" s="10"/>
      <c r="F1085" s="12">
        <f ca="1">(RANDBETWEEN(0,50)/100)*(dict_DQ_Meth_max[[#This Row],[Vergleich_ub]]-dict_DQ_Meth_max[[#This Row],[Vergleich_lb]])+dict_DQ_Meth_max[[#This Row],[Vergleich_lb]]</f>
        <v>0.70499999999999996</v>
      </c>
      <c r="G1085" s="12">
        <f ca="1">(RANDBETWEEN(50,100)/100)*(dict_DQ_Meth_max[[#This Row],[Vergleich_ub]]-dict_DQ_Meth_max[[#This Row],[Vergleich_lb]])+dict_DQ_Meth_max[[#This Row],[Vergleich_lb]]</f>
        <v>0.81499999999999995</v>
      </c>
      <c r="H1085" s="11" t="str">
        <f ca="1">VLOOKUP(VLOOKUP(dict_DQ_Meth_max[[#This Row],[ID_DataQualities]],table_DataQualities[],3),table_Units[],2)</f>
        <v>+/- °C</v>
      </c>
      <c r="I1085" s="10"/>
      <c r="J1085" s="10"/>
      <c r="K1085" s="10"/>
      <c r="L1085" s="10">
        <f ca="1">VLOOKUP(dict_DQ_Meth_max[[#This Row],[ID_DataQualities]],table_DataQualities[],8,FALSE)</f>
        <v>0.5</v>
      </c>
      <c r="M1085" s="10">
        <f ca="1">VLOOKUP(dict_DQ_Meth_max[[#This Row],[ID_DataQualities]],table_DataQualities[],9,FALSE)</f>
        <v>1</v>
      </c>
    </row>
    <row r="1086" spans="1:13" x14ac:dyDescent="0.45">
      <c r="A1086" s="10">
        <v>290</v>
      </c>
      <c r="B1086" s="10">
        <v>658</v>
      </c>
      <c r="C10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6" s="10"/>
      <c r="E1086" s="10"/>
      <c r="F1086" s="12">
        <f ca="1">(RANDBETWEEN(0,50)/100)*(dict_DQ_Meth_max[[#This Row],[Vergleich_ub]]-dict_DQ_Meth_max[[#This Row],[Vergleich_lb]])+dict_DQ_Meth_max[[#This Row],[Vergleich_lb]]</f>
        <v>257.26261</v>
      </c>
      <c r="G1086" s="12">
        <f ca="1">(RANDBETWEEN(50,100)/100)*(dict_DQ_Meth_max[[#This Row],[Vergleich_ub]]-dict_DQ_Meth_max[[#This Row],[Vergleich_lb]])+dict_DQ_Meth_max[[#This Row],[Vergleich_lb]]</f>
        <v>5818.0041600000013</v>
      </c>
      <c r="H1086" s="11" t="str">
        <f ca="1">VLOOKUP(VLOOKUP(dict_DQ_Meth_max[[#This Row],[ID_DataQualities]],table_DataQualities[],3),table_Units[],2)</f>
        <v>Hz</v>
      </c>
      <c r="I1086" s="10"/>
      <c r="J1086" s="10"/>
      <c r="K1086" s="10"/>
      <c r="L1086" s="10">
        <f ca="1">VLOOKUP(dict_DQ_Meth_max[[#This Row],[ID_DataQualities]],table_DataQualities[],8,FALSE)</f>
        <v>0.61299999999999999</v>
      </c>
      <c r="M1086" s="10">
        <f ca="1">VLOOKUP(dict_DQ_Meth_max[[#This Row],[ID_DataQualities]],table_DataQualities[],9,FALSE)</f>
        <v>8555.6</v>
      </c>
    </row>
    <row r="1087" spans="1:13" x14ac:dyDescent="0.45">
      <c r="A1087" s="10">
        <v>290</v>
      </c>
      <c r="B1087" s="10">
        <v>86</v>
      </c>
      <c r="C10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7" s="10"/>
      <c r="E1087" s="10"/>
      <c r="F1087" s="12">
        <f ca="1">(RANDBETWEEN(0,50)/100)*(dict_DQ_Meth_max[[#This Row],[Vergleich_ub]]-dict_DQ_Meth_max[[#This Row],[Vergleich_lb]])+dict_DQ_Meth_max[[#This Row],[Vergleich_lb]]</f>
        <v>1112.7613100000003</v>
      </c>
      <c r="G1087" s="12">
        <f ca="1">(RANDBETWEEN(50,100)/100)*(dict_DQ_Meth_max[[#This Row],[Vergleich_ub]]-dict_DQ_Meth_max[[#This Row],[Vergleich_lb]])+dict_DQ_Meth_max[[#This Row],[Vergleich_lb]]</f>
        <v>8127.8506500000012</v>
      </c>
      <c r="H1087" s="11" t="str">
        <f ca="1">VLOOKUP(VLOOKUP(dict_DQ_Meth_max[[#This Row],[ID_DataQualities]],table_DataQualities[],3),table_Units[],2)</f>
        <v>Hz</v>
      </c>
      <c r="I1087" s="10"/>
      <c r="J1087" s="10"/>
      <c r="K1087" s="10"/>
      <c r="L1087" s="10">
        <f ca="1">VLOOKUP(dict_DQ_Meth_max[[#This Row],[ID_DataQualities]],table_DataQualities[],8,FALSE)</f>
        <v>0.61299999999999999</v>
      </c>
      <c r="M1087" s="10">
        <f ca="1">VLOOKUP(dict_DQ_Meth_max[[#This Row],[ID_DataQualities]],table_DataQualities[],9,FALSE)</f>
        <v>8555.6</v>
      </c>
    </row>
    <row r="1088" spans="1:13" x14ac:dyDescent="0.45">
      <c r="A1088" s="10">
        <v>290</v>
      </c>
      <c r="B1088" s="10">
        <v>237</v>
      </c>
      <c r="C10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8" s="10"/>
      <c r="E1088" s="10"/>
      <c r="F1088" s="12">
        <f ca="1">(RANDBETWEEN(0,50)/100)*(dict_DQ_Meth_max[[#This Row],[Vergleich_ub]]-dict_DQ_Meth_max[[#This Row],[Vergleich_lb]])+dict_DQ_Meth_max[[#This Row],[Vergleich_lb]]</f>
        <v>4021.4568899999999</v>
      </c>
      <c r="G1088" s="12">
        <f ca="1">(RANDBETWEEN(50,100)/100)*(dict_DQ_Meth_max[[#This Row],[Vergleich_ub]]-dict_DQ_Meth_max[[#This Row],[Vergleich_lb]])+dict_DQ_Meth_max[[#This Row],[Vergleich_lb]]</f>
        <v>8470.0501299999996</v>
      </c>
      <c r="H1088" s="11" t="str">
        <f ca="1">VLOOKUP(VLOOKUP(dict_DQ_Meth_max[[#This Row],[ID_DataQualities]],table_DataQualities[],3),table_Units[],2)</f>
        <v>Hz</v>
      </c>
      <c r="I1088" s="10"/>
      <c r="J1088" s="10"/>
      <c r="K1088" s="10"/>
      <c r="L1088" s="10">
        <f ca="1">VLOOKUP(dict_DQ_Meth_max[[#This Row],[ID_DataQualities]],table_DataQualities[],8,FALSE)</f>
        <v>0.61299999999999999</v>
      </c>
      <c r="M1088" s="10">
        <f ca="1">VLOOKUP(dict_DQ_Meth_max[[#This Row],[ID_DataQualities]],table_DataQualities[],9,FALSE)</f>
        <v>8555.6</v>
      </c>
    </row>
    <row r="1089" spans="1:13" x14ac:dyDescent="0.45">
      <c r="A1089" s="10">
        <v>290</v>
      </c>
      <c r="B1089" s="10">
        <v>603</v>
      </c>
      <c r="C10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89" s="10"/>
      <c r="E1089" s="10"/>
      <c r="F1089" s="12">
        <f ca="1">(RANDBETWEEN(0,50)/100)*(dict_DQ_Meth_max[[#This Row],[Vergleich_ub]]-dict_DQ_Meth_max[[#This Row],[Vergleich_lb]])+dict_DQ_Meth_max[[#This Row],[Vergleich_lb]]</f>
        <v>1283.8610500000002</v>
      </c>
      <c r="G1089" s="12">
        <f ca="1">(RANDBETWEEN(50,100)/100)*(dict_DQ_Meth_max[[#This Row],[Vergleich_ub]]-dict_DQ_Meth_max[[#This Row],[Vergleich_lb]])+dict_DQ_Meth_max[[#This Row],[Vergleich_lb]]</f>
        <v>6160.2036400000006</v>
      </c>
      <c r="H1089" s="11" t="str">
        <f ca="1">VLOOKUP(VLOOKUP(dict_DQ_Meth_max[[#This Row],[ID_DataQualities]],table_DataQualities[],3),table_Units[],2)</f>
        <v>Hz</v>
      </c>
      <c r="I1089" s="10"/>
      <c r="J1089" s="10"/>
      <c r="K1089" s="10"/>
      <c r="L1089" s="10">
        <f ca="1">VLOOKUP(dict_DQ_Meth_max[[#This Row],[ID_DataQualities]],table_DataQualities[],8,FALSE)</f>
        <v>0.61299999999999999</v>
      </c>
      <c r="M1089" s="10">
        <f ca="1">VLOOKUP(dict_DQ_Meth_max[[#This Row],[ID_DataQualities]],table_DataQualities[],9,FALSE)</f>
        <v>8555.6</v>
      </c>
    </row>
    <row r="1090" spans="1:13" x14ac:dyDescent="0.45">
      <c r="A1090" s="10">
        <v>290</v>
      </c>
      <c r="B1090" s="10">
        <v>99</v>
      </c>
      <c r="C10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0" s="10"/>
      <c r="E1090" s="10"/>
      <c r="F1090" s="12">
        <f ca="1">(RANDBETWEEN(0,50)/100)*(dict_DQ_Meth_max[[#This Row],[Vergleich_ub]]-dict_DQ_Meth_max[[#This Row],[Vergleich_lb]])+dict_DQ_Meth_max[[#This Row],[Vergleich_lb]]</f>
        <v>2396.0093600000005</v>
      </c>
      <c r="G1090" s="12">
        <f ca="1">(RANDBETWEEN(50,100)/100)*(dict_DQ_Meth_max[[#This Row],[Vergleich_ub]]-dict_DQ_Meth_max[[#This Row],[Vergleich_lb]])+dict_DQ_Meth_max[[#This Row],[Vergleich_lb]]</f>
        <v>5390.2548100000013</v>
      </c>
      <c r="H1090" s="11" t="str">
        <f ca="1">VLOOKUP(VLOOKUP(dict_DQ_Meth_max[[#This Row],[ID_DataQualities]],table_DataQualities[],3),table_Units[],2)</f>
        <v>Hz</v>
      </c>
      <c r="I1090" s="10"/>
      <c r="J1090" s="10"/>
      <c r="K1090" s="10"/>
      <c r="L1090" s="10">
        <f ca="1">VLOOKUP(dict_DQ_Meth_max[[#This Row],[ID_DataQualities]],table_DataQualities[],8,FALSE)</f>
        <v>0.61299999999999999</v>
      </c>
      <c r="M1090" s="10">
        <f ca="1">VLOOKUP(dict_DQ_Meth_max[[#This Row],[ID_DataQualities]],table_DataQualities[],9,FALSE)</f>
        <v>8555.6</v>
      </c>
    </row>
    <row r="1091" spans="1:13" x14ac:dyDescent="0.45">
      <c r="A1091" s="10">
        <v>291</v>
      </c>
      <c r="B1091" s="10">
        <v>603</v>
      </c>
      <c r="C10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1" s="10"/>
      <c r="E1091" s="10"/>
      <c r="F1091" s="12">
        <f ca="1">(RANDBETWEEN(0,50)/100)*(dict_DQ_Meth_max[[#This Row],[Vergleich_ub]]-dict_DQ_Meth_max[[#This Row],[Vergleich_lb]])+dict_DQ_Meth_max[[#This Row],[Vergleich_lb]]</f>
        <v>0.57342000000000004</v>
      </c>
      <c r="G1091" s="12">
        <f ca="1">(RANDBETWEEN(50,100)/100)*(dict_DQ_Meth_max[[#This Row],[Vergleich_ub]]-dict_DQ_Meth_max[[#This Row],[Vergleich_lb]])+dict_DQ_Meth_max[[#This Row],[Vergleich_lb]]</f>
        <v>3.0538200000000004</v>
      </c>
      <c r="H1091" s="11" t="str">
        <f ca="1">VLOOKUP(VLOOKUP(dict_DQ_Meth_max[[#This Row],[ID_DataQualities]],table_DataQualities[],3),table_Units[],2)</f>
        <v>+/- mm</v>
      </c>
      <c r="I1091" s="10"/>
      <c r="J1091" s="10"/>
      <c r="K1091" s="10"/>
      <c r="L1091" s="10">
        <f ca="1">VLOOKUP(dict_DQ_Meth_max[[#This Row],[ID_DataQualities]],table_DataQualities[],8,FALSE)</f>
        <v>3.5999999999999997E-2</v>
      </c>
      <c r="M1091" s="10">
        <f ca="1">VLOOKUP(dict_DQ_Meth_max[[#This Row],[ID_DataQualities]],table_DataQualities[],9,FALSE)</f>
        <v>4.17</v>
      </c>
    </row>
    <row r="1092" spans="1:13" x14ac:dyDescent="0.45">
      <c r="A1092" s="10">
        <v>291</v>
      </c>
      <c r="B1092" s="10">
        <v>86</v>
      </c>
      <c r="C10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2" s="10"/>
      <c r="E1092" s="10"/>
      <c r="F1092" s="12">
        <f ca="1">(RANDBETWEEN(0,50)/100)*(dict_DQ_Meth_max[[#This Row],[Vergleich_ub]]-dict_DQ_Meth_max[[#This Row],[Vergleich_lb]])+dict_DQ_Meth_max[[#This Row],[Vergleich_lb]]</f>
        <v>1.1521800000000002</v>
      </c>
      <c r="G1092" s="12">
        <f ca="1">(RANDBETWEEN(50,100)/100)*(dict_DQ_Meth_max[[#This Row],[Vergleich_ub]]-dict_DQ_Meth_max[[#This Row],[Vergleich_lb]])+dict_DQ_Meth_max[[#This Row],[Vergleich_lb]]</f>
        <v>3.1365000000000003</v>
      </c>
      <c r="H1092" s="11" t="str">
        <f ca="1">VLOOKUP(VLOOKUP(dict_DQ_Meth_max[[#This Row],[ID_DataQualities]],table_DataQualities[],3),table_Units[],2)</f>
        <v>+/- mm</v>
      </c>
      <c r="I1092" s="10"/>
      <c r="J1092" s="10"/>
      <c r="K1092" s="10"/>
      <c r="L1092" s="10">
        <f ca="1">VLOOKUP(dict_DQ_Meth_max[[#This Row],[ID_DataQualities]],table_DataQualities[],8,FALSE)</f>
        <v>3.5999999999999997E-2</v>
      </c>
      <c r="M1092" s="10">
        <f ca="1">VLOOKUP(dict_DQ_Meth_max[[#This Row],[ID_DataQualities]],table_DataQualities[],9,FALSE)</f>
        <v>4.17</v>
      </c>
    </row>
    <row r="1093" spans="1:13" x14ac:dyDescent="0.45">
      <c r="A1093" s="10">
        <v>291</v>
      </c>
      <c r="B1093" s="10">
        <v>237</v>
      </c>
      <c r="C10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3" s="10"/>
      <c r="E1093" s="10"/>
      <c r="F1093" s="12">
        <f ca="1">(RANDBETWEEN(0,50)/100)*(dict_DQ_Meth_max[[#This Row],[Vergleich_ub]]-dict_DQ_Meth_max[[#This Row],[Vergleich_lb]])+dict_DQ_Meth_max[[#This Row],[Vergleich_lb]]</f>
        <v>1.52424</v>
      </c>
      <c r="G1093" s="12">
        <f ca="1">(RANDBETWEEN(50,100)/100)*(dict_DQ_Meth_max[[#This Row],[Vergleich_ub]]-dict_DQ_Meth_max[[#This Row],[Vergleich_lb]])+dict_DQ_Meth_max[[#This Row],[Vergleich_lb]]</f>
        <v>4.0873200000000001</v>
      </c>
      <c r="H1093" s="11" t="str">
        <f ca="1">VLOOKUP(VLOOKUP(dict_DQ_Meth_max[[#This Row],[ID_DataQualities]],table_DataQualities[],3),table_Units[],2)</f>
        <v>+/- mm</v>
      </c>
      <c r="I1093" s="10"/>
      <c r="J1093" s="10"/>
      <c r="K1093" s="10"/>
      <c r="L1093" s="10">
        <f ca="1">VLOOKUP(dict_DQ_Meth_max[[#This Row],[ID_DataQualities]],table_DataQualities[],8,FALSE)</f>
        <v>3.5999999999999997E-2</v>
      </c>
      <c r="M1093" s="10">
        <f ca="1">VLOOKUP(dict_DQ_Meth_max[[#This Row],[ID_DataQualities]],table_DataQualities[],9,FALSE)</f>
        <v>4.17</v>
      </c>
    </row>
    <row r="1094" spans="1:13" x14ac:dyDescent="0.45">
      <c r="A1094" s="10">
        <v>291</v>
      </c>
      <c r="B1094" s="10">
        <v>99</v>
      </c>
      <c r="C10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4" s="10"/>
      <c r="E1094" s="10"/>
      <c r="F1094" s="12">
        <f ca="1">(RANDBETWEEN(0,50)/100)*(dict_DQ_Meth_max[[#This Row],[Vergleich_ub]]-dict_DQ_Meth_max[[#This Row],[Vergleich_lb]])+dict_DQ_Meth_max[[#This Row],[Vergleich_lb]]</f>
        <v>1.6896000000000002</v>
      </c>
      <c r="G1094" s="12">
        <f ca="1">(RANDBETWEEN(50,100)/100)*(dict_DQ_Meth_max[[#This Row],[Vergleich_ub]]-dict_DQ_Meth_max[[#This Row],[Vergleich_lb]])+dict_DQ_Meth_max[[#This Row],[Vergleich_lb]]</f>
        <v>3.1778400000000002</v>
      </c>
      <c r="H1094" s="11" t="str">
        <f ca="1">VLOOKUP(VLOOKUP(dict_DQ_Meth_max[[#This Row],[ID_DataQualities]],table_DataQualities[],3),table_Units[],2)</f>
        <v>+/- mm</v>
      </c>
      <c r="I1094" s="10"/>
      <c r="J1094" s="10"/>
      <c r="K1094" s="10"/>
      <c r="L1094" s="10">
        <f ca="1">VLOOKUP(dict_DQ_Meth_max[[#This Row],[ID_DataQualities]],table_DataQualities[],8,FALSE)</f>
        <v>3.5999999999999997E-2</v>
      </c>
      <c r="M1094" s="10">
        <f ca="1">VLOOKUP(dict_DQ_Meth_max[[#This Row],[ID_DataQualities]],table_DataQualities[],9,FALSE)</f>
        <v>4.17</v>
      </c>
    </row>
    <row r="1095" spans="1:13" x14ac:dyDescent="0.45">
      <c r="A1095" s="10">
        <v>291</v>
      </c>
      <c r="B1095" s="10">
        <v>658</v>
      </c>
      <c r="C10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5" s="10"/>
      <c r="E1095" s="10"/>
      <c r="F1095" s="12">
        <f ca="1">(RANDBETWEEN(0,50)/100)*(dict_DQ_Meth_max[[#This Row],[Vergleich_ub]]-dict_DQ_Meth_max[[#This Row],[Vergleich_lb]])+dict_DQ_Meth_max[[#This Row],[Vergleich_lb]]</f>
        <v>1.6896000000000002</v>
      </c>
      <c r="G1095" s="12">
        <f ca="1">(RANDBETWEEN(50,100)/100)*(dict_DQ_Meth_max[[#This Row],[Vergleich_ub]]-dict_DQ_Meth_max[[#This Row],[Vergleich_lb]])+dict_DQ_Meth_max[[#This Row],[Vergleich_lb]]</f>
        <v>2.1443400000000001</v>
      </c>
      <c r="H1095" s="11" t="str">
        <f ca="1">VLOOKUP(VLOOKUP(dict_DQ_Meth_max[[#This Row],[ID_DataQualities]],table_DataQualities[],3),table_Units[],2)</f>
        <v>+/- mm</v>
      </c>
      <c r="I1095" s="10"/>
      <c r="J1095" s="10"/>
      <c r="K1095" s="10"/>
      <c r="L1095" s="10">
        <f ca="1">VLOOKUP(dict_DQ_Meth_max[[#This Row],[ID_DataQualities]],table_DataQualities[],8,FALSE)</f>
        <v>3.5999999999999997E-2</v>
      </c>
      <c r="M1095" s="10">
        <f ca="1">VLOOKUP(dict_DQ_Meth_max[[#This Row],[ID_DataQualities]],table_DataQualities[],9,FALSE)</f>
        <v>4.17</v>
      </c>
    </row>
    <row r="1096" spans="1:13" x14ac:dyDescent="0.45">
      <c r="A1096" s="10">
        <v>292</v>
      </c>
      <c r="B1096" s="10">
        <v>654</v>
      </c>
      <c r="C10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6" s="10"/>
      <c r="E1096" s="10"/>
      <c r="F1096" s="12">
        <f ca="1">(RANDBETWEEN(0,50)/100)*(dict_DQ_Meth_max[[#This Row],[Vergleich_ub]]-dict_DQ_Meth_max[[#This Row],[Vergleich_lb]])+dict_DQ_Meth_max[[#This Row],[Vergleich_lb]]</f>
        <v>4323.0566800000006</v>
      </c>
      <c r="G1096" s="12">
        <f ca="1">(RANDBETWEEN(50,100)/100)*(dict_DQ_Meth_max[[#This Row],[Vergleich_ub]]-dict_DQ_Meth_max[[#This Row],[Vergleich_lb]])+dict_DQ_Meth_max[[#This Row],[Vergleich_lb]]</f>
        <v>5356.8210600000002</v>
      </c>
      <c r="H1096" s="11" t="str">
        <f ca="1">VLOOKUP(VLOOKUP(dict_DQ_Meth_max[[#This Row],[ID_DataQualities]],table_DataQualities[],3),table_Units[],2)</f>
        <v>Hz</v>
      </c>
      <c r="I1096" s="10"/>
      <c r="J1096" s="10"/>
      <c r="K1096" s="10"/>
      <c r="L1096" s="10">
        <f ca="1">VLOOKUP(dict_DQ_Meth_max[[#This Row],[ID_DataQualities]],table_DataQualities[],8,FALSE)</f>
        <v>4.2000000000000003E-2</v>
      </c>
      <c r="M1096" s="10">
        <f ca="1">VLOOKUP(dict_DQ_Meth_max[[#This Row],[ID_DataQualities]],table_DataQualities[],9,FALSE)</f>
        <v>9397.9</v>
      </c>
    </row>
    <row r="1097" spans="1:13" x14ac:dyDescent="0.45">
      <c r="A1097" s="10">
        <v>292</v>
      </c>
      <c r="B1097" s="10">
        <v>164</v>
      </c>
      <c r="C10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7" s="10"/>
      <c r="E1097" s="10"/>
      <c r="F1097" s="12">
        <f ca="1">(RANDBETWEEN(0,50)/100)*(dict_DQ_Meth_max[[#This Row],[Vergleich_ub]]-dict_DQ_Meth_max[[#This Row],[Vergleich_lb]])+dict_DQ_Meth_max[[#This Row],[Vergleich_lb]]</f>
        <v>2819.3993999999998</v>
      </c>
      <c r="G1097" s="12">
        <f ca="1">(RANDBETWEEN(50,100)/100)*(dict_DQ_Meth_max[[#This Row],[Vergleich_ub]]-dict_DQ_Meth_max[[#This Row],[Vergleich_lb]])+dict_DQ_Meth_max[[#This Row],[Vergleich_lb]]</f>
        <v>8740.0499400000008</v>
      </c>
      <c r="H1097" s="11" t="str">
        <f ca="1">VLOOKUP(VLOOKUP(dict_DQ_Meth_max[[#This Row],[ID_DataQualities]],table_DataQualities[],3),table_Units[],2)</f>
        <v>Hz</v>
      </c>
      <c r="I1097" s="10"/>
      <c r="J1097" s="10"/>
      <c r="K1097" s="10"/>
      <c r="L1097" s="10">
        <f ca="1">VLOOKUP(dict_DQ_Meth_max[[#This Row],[ID_DataQualities]],table_DataQualities[],8,FALSE)</f>
        <v>4.2000000000000003E-2</v>
      </c>
      <c r="M1097" s="10">
        <f ca="1">VLOOKUP(dict_DQ_Meth_max[[#This Row],[ID_DataQualities]],table_DataQualities[],9,FALSE)</f>
        <v>9397.9</v>
      </c>
    </row>
    <row r="1098" spans="1:13" x14ac:dyDescent="0.45">
      <c r="A1098" s="10">
        <v>293</v>
      </c>
      <c r="B1098" s="10">
        <v>654</v>
      </c>
      <c r="C10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8" s="10"/>
      <c r="E1098" s="10"/>
      <c r="F1098" s="12">
        <f ca="1">(RANDBETWEEN(0,50)/100)*(dict_DQ_Meth_max[[#This Row],[Vergleich_ub]]-dict_DQ_Meth_max[[#This Row],[Vergleich_lb]])+dict_DQ_Meth_max[[#This Row],[Vergleich_lb]]</f>
        <v>0.97785999999999973</v>
      </c>
      <c r="G1098" s="12">
        <f ca="1">(RANDBETWEEN(50,100)/100)*(dict_DQ_Meth_max[[#This Row],[Vergleich_ub]]-dict_DQ_Meth_max[[#This Row],[Vergleich_lb]])+dict_DQ_Meth_max[[#This Row],[Vergleich_lb]]</f>
        <v>5.0497299999999994</v>
      </c>
      <c r="H1098" s="11" t="str">
        <f ca="1">VLOOKUP(VLOOKUP(dict_DQ_Meth_max[[#This Row],[ID_DataQualities]],table_DataQualities[],3),table_Units[],2)</f>
        <v>+/- W</v>
      </c>
      <c r="I1098" s="10"/>
      <c r="J1098" s="10"/>
      <c r="K1098" s="10"/>
      <c r="L1098" s="10">
        <f ca="1">VLOOKUP(dict_DQ_Meth_max[[#This Row],[ID_DataQualities]],table_DataQualities[],8,FALSE)</f>
        <v>7.2999999999999995E-2</v>
      </c>
      <c r="M1098" s="10">
        <f ca="1">VLOOKUP(dict_DQ_Meth_max[[#This Row],[ID_DataQualities]],table_DataQualities[],9,FALSE)</f>
        <v>5.0999999999999996</v>
      </c>
    </row>
    <row r="1099" spans="1:13" x14ac:dyDescent="0.45">
      <c r="A1099" s="10">
        <v>293</v>
      </c>
      <c r="B1099" s="10">
        <v>164</v>
      </c>
      <c r="C10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099" s="10"/>
      <c r="E1099" s="10"/>
      <c r="F1099" s="12">
        <f ca="1">(RANDBETWEEN(0,50)/100)*(dict_DQ_Meth_max[[#This Row],[Vergleich_ub]]-dict_DQ_Meth_max[[#This Row],[Vergleich_lb]])+dict_DQ_Meth_max[[#This Row],[Vergleich_lb]]</f>
        <v>0.62596999999999992</v>
      </c>
      <c r="G1099" s="12">
        <f ca="1">(RANDBETWEEN(50,100)/100)*(dict_DQ_Meth_max[[#This Row],[Vergleich_ub]]-dict_DQ_Meth_max[[#This Row],[Vergleich_lb]])+dict_DQ_Meth_max[[#This Row],[Vergleich_lb]]</f>
        <v>3.1394699999999993</v>
      </c>
      <c r="H1099" s="11" t="str">
        <f ca="1">VLOOKUP(VLOOKUP(dict_DQ_Meth_max[[#This Row],[ID_DataQualities]],table_DataQualities[],3),table_Units[],2)</f>
        <v>+/- W</v>
      </c>
      <c r="I1099" s="10"/>
      <c r="J1099" s="10"/>
      <c r="K1099" s="10"/>
      <c r="L1099" s="10">
        <f ca="1">VLOOKUP(dict_DQ_Meth_max[[#This Row],[ID_DataQualities]],table_DataQualities[],8,FALSE)</f>
        <v>7.2999999999999995E-2</v>
      </c>
      <c r="M1099" s="10">
        <f ca="1">VLOOKUP(dict_DQ_Meth_max[[#This Row],[ID_DataQualities]],table_DataQualities[],9,FALSE)</f>
        <v>5.0999999999999996</v>
      </c>
    </row>
    <row r="1100" spans="1:13" x14ac:dyDescent="0.45">
      <c r="A1100" s="10">
        <v>294</v>
      </c>
      <c r="B1100" s="10">
        <v>648</v>
      </c>
      <c r="C11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0" s="10"/>
      <c r="E1100" s="10"/>
      <c r="F1100" s="12">
        <f ca="1">(RANDBETWEEN(0,50)/100)*(dict_DQ_Meth_max[[#This Row],[Vergleich_ub]]-dict_DQ_Meth_max[[#This Row],[Vergleich_lb]])+dict_DQ_Meth_max[[#This Row],[Vergleich_lb]]</f>
        <v>542.10108000000002</v>
      </c>
      <c r="G1100" s="12">
        <f ca="1">(RANDBETWEEN(50,100)/100)*(dict_DQ_Meth_max[[#This Row],[Vergleich_ub]]-dict_DQ_Meth_max[[#This Row],[Vergleich_lb]])+dict_DQ_Meth_max[[#This Row],[Vergleich_lb]]</f>
        <v>952.10059999999999</v>
      </c>
      <c r="H1100" s="11" t="str">
        <f ca="1">VLOOKUP(VLOOKUP(dict_DQ_Meth_max[[#This Row],[ID_DataQualities]],table_DataQualities[],3),table_Units[],2)</f>
        <v>Hz</v>
      </c>
      <c r="I1100" s="10"/>
      <c r="J1100" s="10"/>
      <c r="K1100" s="10"/>
      <c r="L1100" s="10">
        <f ca="1">VLOOKUP(dict_DQ_Meth_max[[#This Row],[ID_DataQualities]],table_DataQualities[],8,FALSE)</f>
        <v>0.316</v>
      </c>
      <c r="M1100" s="10">
        <f ca="1">VLOOKUP(dict_DQ_Meth_max[[#This Row],[ID_DataQualities]],table_DataQualities[],9,FALSE)</f>
        <v>1464.6</v>
      </c>
    </row>
    <row r="1101" spans="1:13" x14ac:dyDescent="0.45">
      <c r="A1101" s="10">
        <v>294</v>
      </c>
      <c r="B1101" s="10">
        <v>231</v>
      </c>
      <c r="C11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1" s="10"/>
      <c r="E1101" s="10"/>
      <c r="F1101" s="12">
        <f ca="1">(RANDBETWEEN(0,50)/100)*(dict_DQ_Meth_max[[#This Row],[Vergleich_ub]]-dict_DQ_Meth_max[[#This Row],[Vergleich_lb]])+dict_DQ_Meth_max[[#This Row],[Vergleich_lb]]</f>
        <v>190.67292</v>
      </c>
      <c r="G1101" s="12">
        <f ca="1">(RANDBETWEEN(50,100)/100)*(dict_DQ_Meth_max[[#This Row],[Vergleich_ub]]-dict_DQ_Meth_max[[#This Row],[Vergleich_lb]])+dict_DQ_Meth_max[[#This Row],[Vergleich_lb]]</f>
        <v>1171.7431999999999</v>
      </c>
      <c r="H1101" s="11" t="str">
        <f ca="1">VLOOKUP(VLOOKUP(dict_DQ_Meth_max[[#This Row],[ID_DataQualities]],table_DataQualities[],3),table_Units[],2)</f>
        <v>Hz</v>
      </c>
      <c r="I1101" s="10"/>
      <c r="J1101" s="10"/>
      <c r="K1101" s="10"/>
      <c r="L1101" s="10">
        <f ca="1">VLOOKUP(dict_DQ_Meth_max[[#This Row],[ID_DataQualities]],table_DataQualities[],8,FALSE)</f>
        <v>0.316</v>
      </c>
      <c r="M1101" s="10">
        <f ca="1">VLOOKUP(dict_DQ_Meth_max[[#This Row],[ID_DataQualities]],table_DataQualities[],9,FALSE)</f>
        <v>1464.6</v>
      </c>
    </row>
    <row r="1102" spans="1:13" x14ac:dyDescent="0.45">
      <c r="A1102" s="10">
        <v>294</v>
      </c>
      <c r="B1102" s="10">
        <v>481</v>
      </c>
      <c r="C11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2" s="10"/>
      <c r="E1102" s="10"/>
      <c r="F1102" s="12">
        <f ca="1">(RANDBETWEEN(0,50)/100)*(dict_DQ_Meth_max[[#This Row],[Vergleich_ub]]-dict_DQ_Meth_max[[#This Row],[Vergleich_lb]])+dict_DQ_Meth_max[[#This Row],[Vergleich_lb]]</f>
        <v>117.45872</v>
      </c>
      <c r="G1102" s="12">
        <f ca="1">(RANDBETWEEN(50,100)/100)*(dict_DQ_Meth_max[[#This Row],[Vergleich_ub]]-dict_DQ_Meth_max[[#This Row],[Vergleich_lb]])+dict_DQ_Meth_max[[#This Row],[Vergleich_lb]]</f>
        <v>732.45799999999997</v>
      </c>
      <c r="H1102" s="11" t="str">
        <f ca="1">VLOOKUP(VLOOKUP(dict_DQ_Meth_max[[#This Row],[ID_DataQualities]],table_DataQualities[],3),table_Units[],2)</f>
        <v>Hz</v>
      </c>
      <c r="I1102" s="10"/>
      <c r="J1102" s="10"/>
      <c r="K1102" s="10"/>
      <c r="L1102" s="10">
        <f ca="1">VLOOKUP(dict_DQ_Meth_max[[#This Row],[ID_DataQualities]],table_DataQualities[],8,FALSE)</f>
        <v>0.316</v>
      </c>
      <c r="M1102" s="10">
        <f ca="1">VLOOKUP(dict_DQ_Meth_max[[#This Row],[ID_DataQualities]],table_DataQualities[],9,FALSE)</f>
        <v>1464.6</v>
      </c>
    </row>
    <row r="1103" spans="1:13" x14ac:dyDescent="0.45">
      <c r="A1103" s="10">
        <v>294</v>
      </c>
      <c r="B1103" s="10">
        <v>170</v>
      </c>
      <c r="C11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3" s="10"/>
      <c r="E1103" s="10"/>
      <c r="F1103" s="12">
        <f ca="1">(RANDBETWEEN(0,50)/100)*(dict_DQ_Meth_max[[#This Row],[Vergleich_ub]]-dict_DQ_Meth_max[[#This Row],[Vergleich_lb]])+dict_DQ_Meth_max[[#This Row],[Vergleich_lb]]</f>
        <v>542.10108000000002</v>
      </c>
      <c r="G1103" s="12">
        <f ca="1">(RANDBETWEEN(50,100)/100)*(dict_DQ_Meth_max[[#This Row],[Vergleich_ub]]-dict_DQ_Meth_max[[#This Row],[Vergleich_lb]])+dict_DQ_Meth_max[[#This Row],[Vergleich_lb]]</f>
        <v>1449.9571599999999</v>
      </c>
      <c r="H1103" s="11" t="str">
        <f ca="1">VLOOKUP(VLOOKUP(dict_DQ_Meth_max[[#This Row],[ID_DataQualities]],table_DataQualities[],3),table_Units[],2)</f>
        <v>Hz</v>
      </c>
      <c r="I1103" s="10"/>
      <c r="J1103" s="10"/>
      <c r="K1103" s="10"/>
      <c r="L1103" s="10">
        <f ca="1">VLOOKUP(dict_DQ_Meth_max[[#This Row],[ID_DataQualities]],table_DataQualities[],8,FALSE)</f>
        <v>0.316</v>
      </c>
      <c r="M1103" s="10">
        <f ca="1">VLOOKUP(dict_DQ_Meth_max[[#This Row],[ID_DataQualities]],table_DataQualities[],9,FALSE)</f>
        <v>1464.6</v>
      </c>
    </row>
    <row r="1104" spans="1:13" x14ac:dyDescent="0.45">
      <c r="A1104" s="10">
        <v>294</v>
      </c>
      <c r="B1104" s="10">
        <v>23</v>
      </c>
      <c r="C11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4" s="10"/>
      <c r="E1104" s="10"/>
      <c r="F1104" s="12">
        <f ca="1">(RANDBETWEEN(0,50)/100)*(dict_DQ_Meth_max[[#This Row],[Vergleich_ub]]-dict_DQ_Meth_max[[#This Row],[Vergleich_lb]])+dict_DQ_Meth_max[[#This Row],[Vergleich_lb]]</f>
        <v>234.60144</v>
      </c>
      <c r="G1104" s="12">
        <f ca="1">(RANDBETWEEN(50,100)/100)*(dict_DQ_Meth_max[[#This Row],[Vergleich_ub]]-dict_DQ_Meth_max[[#This Row],[Vergleich_lb]])+dict_DQ_Meth_max[[#This Row],[Vergleich_lb]]</f>
        <v>1406.0286399999998</v>
      </c>
      <c r="H1104" s="11" t="str">
        <f ca="1">VLOOKUP(VLOOKUP(dict_DQ_Meth_max[[#This Row],[ID_DataQualities]],table_DataQualities[],3),table_Units[],2)</f>
        <v>Hz</v>
      </c>
      <c r="I1104" s="10"/>
      <c r="J1104" s="10"/>
      <c r="K1104" s="10"/>
      <c r="L1104" s="10">
        <f ca="1">VLOOKUP(dict_DQ_Meth_max[[#This Row],[ID_DataQualities]],table_DataQualities[],8,FALSE)</f>
        <v>0.316</v>
      </c>
      <c r="M1104" s="10">
        <f ca="1">VLOOKUP(dict_DQ_Meth_max[[#This Row],[ID_DataQualities]],table_DataQualities[],9,FALSE)</f>
        <v>1464.6</v>
      </c>
    </row>
    <row r="1105" spans="1:13" x14ac:dyDescent="0.45">
      <c r="A1105" s="10">
        <v>295</v>
      </c>
      <c r="B1105" s="10">
        <v>170</v>
      </c>
      <c r="C11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5" s="10"/>
      <c r="E1105" s="10"/>
      <c r="F1105" s="12">
        <f ca="1">(RANDBETWEEN(0,50)/100)*(dict_DQ_Meth_max[[#This Row],[Vergleich_ub]]-dict_DQ_Meth_max[[#This Row],[Vergleich_lb]])+dict_DQ_Meth_max[[#This Row],[Vergleich_lb]]</f>
        <v>1.367</v>
      </c>
      <c r="G1105" s="12">
        <f ca="1">(RANDBETWEEN(50,100)/100)*(dict_DQ_Meth_max[[#This Row],[Vergleich_ub]]-dict_DQ_Meth_max[[#This Row],[Vergleich_lb]])+dict_DQ_Meth_max[[#This Row],[Vergleich_lb]]</f>
        <v>2.4939999999999998</v>
      </c>
      <c r="H1105" s="11" t="str">
        <f ca="1">VLOOKUP(VLOOKUP(dict_DQ_Meth_max[[#This Row],[ID_DataQualities]],table_DataQualities[],3),table_Units[],2)</f>
        <v>+/- °C</v>
      </c>
      <c r="I1105" s="10"/>
      <c r="J1105" s="10"/>
      <c r="K1105" s="10"/>
      <c r="L1105" s="10">
        <f ca="1">VLOOKUP(dict_DQ_Meth_max[[#This Row],[ID_DataQualities]],table_DataQualities[],8,FALSE)</f>
        <v>0.7</v>
      </c>
      <c r="M1105" s="10">
        <f ca="1">VLOOKUP(dict_DQ_Meth_max[[#This Row],[ID_DataQualities]],table_DataQualities[],9,FALSE)</f>
        <v>3</v>
      </c>
    </row>
    <row r="1106" spans="1:13" x14ac:dyDescent="0.45">
      <c r="A1106" s="10">
        <v>295</v>
      </c>
      <c r="B1106" s="10">
        <v>231</v>
      </c>
      <c r="C11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6" s="10"/>
      <c r="E1106" s="10"/>
      <c r="F1106" s="12">
        <f ca="1">(RANDBETWEEN(0,50)/100)*(dict_DQ_Meth_max[[#This Row],[Vergleich_ub]]-dict_DQ_Meth_max[[#This Row],[Vergleich_lb]])+dict_DQ_Meth_max[[#This Row],[Vergleich_lb]]</f>
        <v>1.39</v>
      </c>
      <c r="G1106" s="12">
        <f ca="1">(RANDBETWEEN(50,100)/100)*(dict_DQ_Meth_max[[#This Row],[Vergleich_ub]]-dict_DQ_Meth_max[[#This Row],[Vergleich_lb]])+dict_DQ_Meth_max[[#This Row],[Vergleich_lb]]</f>
        <v>1.8729999999999998</v>
      </c>
      <c r="H1106" s="11" t="str">
        <f ca="1">VLOOKUP(VLOOKUP(dict_DQ_Meth_max[[#This Row],[ID_DataQualities]],table_DataQualities[],3),table_Units[],2)</f>
        <v>+/- °C</v>
      </c>
      <c r="I1106" s="10"/>
      <c r="J1106" s="10"/>
      <c r="K1106" s="10"/>
      <c r="L1106" s="10">
        <f ca="1">VLOOKUP(dict_DQ_Meth_max[[#This Row],[ID_DataQualities]],table_DataQualities[],8,FALSE)</f>
        <v>0.7</v>
      </c>
      <c r="M1106" s="10">
        <f ca="1">VLOOKUP(dict_DQ_Meth_max[[#This Row],[ID_DataQualities]],table_DataQualities[],9,FALSE)</f>
        <v>3</v>
      </c>
    </row>
    <row r="1107" spans="1:13" x14ac:dyDescent="0.45">
      <c r="A1107" s="10">
        <v>295</v>
      </c>
      <c r="B1107" s="10">
        <v>23</v>
      </c>
      <c r="C11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7" s="10"/>
      <c r="E1107" s="10"/>
      <c r="F1107" s="12">
        <f ca="1">(RANDBETWEEN(0,50)/100)*(dict_DQ_Meth_max[[#This Row],[Vergleich_ub]]-dict_DQ_Meth_max[[#This Row],[Vergleich_lb]])+dict_DQ_Meth_max[[#This Row],[Vergleich_lb]]</f>
        <v>1.091</v>
      </c>
      <c r="G1107" s="12">
        <f ca="1">(RANDBETWEEN(50,100)/100)*(dict_DQ_Meth_max[[#This Row],[Vergleich_ub]]-dict_DQ_Meth_max[[#This Row],[Vergleich_lb]])+dict_DQ_Meth_max[[#This Row],[Vergleich_lb]]</f>
        <v>2.3559999999999999</v>
      </c>
      <c r="H1107" s="11" t="str">
        <f ca="1">VLOOKUP(VLOOKUP(dict_DQ_Meth_max[[#This Row],[ID_DataQualities]],table_DataQualities[],3),table_Units[],2)</f>
        <v>+/- °C</v>
      </c>
      <c r="I1107" s="10"/>
      <c r="J1107" s="10"/>
      <c r="K1107" s="10"/>
      <c r="L1107" s="10">
        <f ca="1">VLOOKUP(dict_DQ_Meth_max[[#This Row],[ID_DataQualities]],table_DataQualities[],8,FALSE)</f>
        <v>0.7</v>
      </c>
      <c r="M1107" s="10">
        <f ca="1">VLOOKUP(dict_DQ_Meth_max[[#This Row],[ID_DataQualities]],table_DataQualities[],9,FALSE)</f>
        <v>3</v>
      </c>
    </row>
    <row r="1108" spans="1:13" x14ac:dyDescent="0.45">
      <c r="A1108" s="10">
        <v>295</v>
      </c>
      <c r="B1108" s="10">
        <v>481</v>
      </c>
      <c r="C11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8" s="10"/>
      <c r="E1108" s="10"/>
      <c r="F1108" s="12">
        <f ca="1">(RANDBETWEEN(0,50)/100)*(dict_DQ_Meth_max[[#This Row],[Vergleich_ub]]-dict_DQ_Meth_max[[#This Row],[Vergleich_lb]])+dict_DQ_Meth_max[[#This Row],[Vergleich_lb]]</f>
        <v>1.0449999999999999</v>
      </c>
      <c r="G1108" s="12">
        <f ca="1">(RANDBETWEEN(50,100)/100)*(dict_DQ_Meth_max[[#This Row],[Vergleich_ub]]-dict_DQ_Meth_max[[#This Row],[Vergleich_lb]])+dict_DQ_Meth_max[[#This Row],[Vergleich_lb]]</f>
        <v>2.8159999999999998</v>
      </c>
      <c r="H1108" s="11" t="str">
        <f ca="1">VLOOKUP(VLOOKUP(dict_DQ_Meth_max[[#This Row],[ID_DataQualities]],table_DataQualities[],3),table_Units[],2)</f>
        <v>+/- °C</v>
      </c>
      <c r="I1108" s="10"/>
      <c r="J1108" s="10"/>
      <c r="K1108" s="10"/>
      <c r="L1108" s="10">
        <f ca="1">VLOOKUP(dict_DQ_Meth_max[[#This Row],[ID_DataQualities]],table_DataQualities[],8,FALSE)</f>
        <v>0.7</v>
      </c>
      <c r="M1108" s="10">
        <f ca="1">VLOOKUP(dict_DQ_Meth_max[[#This Row],[ID_DataQualities]],table_DataQualities[],9,FALSE)</f>
        <v>3</v>
      </c>
    </row>
    <row r="1109" spans="1:13" x14ac:dyDescent="0.45">
      <c r="A1109" s="10">
        <v>295</v>
      </c>
      <c r="B1109" s="10">
        <v>648</v>
      </c>
      <c r="C11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09" s="10"/>
      <c r="E1109" s="10"/>
      <c r="F1109" s="12">
        <f ca="1">(RANDBETWEEN(0,50)/100)*(dict_DQ_Meth_max[[#This Row],[Vergleich_ub]]-dict_DQ_Meth_max[[#This Row],[Vergleich_lb]])+dict_DQ_Meth_max[[#This Row],[Vergleich_lb]]</f>
        <v>1.1139999999999999</v>
      </c>
      <c r="G1109" s="12">
        <f ca="1">(RANDBETWEEN(50,100)/100)*(dict_DQ_Meth_max[[#This Row],[Vergleich_ub]]-dict_DQ_Meth_max[[#This Row],[Vergleich_lb]])+dict_DQ_Meth_max[[#This Row],[Vergleich_lb]]</f>
        <v>2.8620000000000001</v>
      </c>
      <c r="H1109" s="11" t="str">
        <f ca="1">VLOOKUP(VLOOKUP(dict_DQ_Meth_max[[#This Row],[ID_DataQualities]],table_DataQualities[],3),table_Units[],2)</f>
        <v>+/- °C</v>
      </c>
      <c r="I1109" s="10"/>
      <c r="J1109" s="10"/>
      <c r="K1109" s="10"/>
      <c r="L1109" s="10">
        <f ca="1">VLOOKUP(dict_DQ_Meth_max[[#This Row],[ID_DataQualities]],table_DataQualities[],8,FALSE)</f>
        <v>0.7</v>
      </c>
      <c r="M1109" s="10">
        <f ca="1">VLOOKUP(dict_DQ_Meth_max[[#This Row],[ID_DataQualities]],table_DataQualities[],9,FALSE)</f>
        <v>3</v>
      </c>
    </row>
    <row r="1110" spans="1:13" x14ac:dyDescent="0.45">
      <c r="A1110" s="10">
        <v>296</v>
      </c>
      <c r="B1110" s="10">
        <v>286</v>
      </c>
      <c r="C11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0" s="10"/>
      <c r="E1110" s="10"/>
      <c r="F1110" s="12">
        <f ca="1">(RANDBETWEEN(0,50)/100)*(dict_DQ_Meth_max[[#This Row],[Vergleich_ub]]-dict_DQ_Meth_max[[#This Row],[Vergleich_lb]])+dict_DQ_Meth_max[[#This Row],[Vergleich_lb]]</f>
        <v>1439.6422</v>
      </c>
      <c r="G1110" s="12">
        <f ca="1">(RANDBETWEEN(50,100)/100)*(dict_DQ_Meth_max[[#This Row],[Vergleich_ub]]-dict_DQ_Meth_max[[#This Row],[Vergleich_lb]])+dict_DQ_Meth_max[[#This Row],[Vergleich_lb]]</f>
        <v>3871.6004000000007</v>
      </c>
      <c r="H1110" s="11" t="str">
        <f ca="1">VLOOKUP(VLOOKUP(dict_DQ_Meth_max[[#This Row],[ID_DataQualities]],table_DataQualities[],3),table_Units[],2)</f>
        <v>Hz</v>
      </c>
      <c r="I1110" s="10"/>
      <c r="J1110" s="10"/>
      <c r="K1110" s="10"/>
      <c r="L1110" s="10">
        <f ca="1">VLOOKUP(dict_DQ_Meth_max[[#This Row],[ID_DataQualities]],table_DataQualities[],8,FALSE)</f>
        <v>0.32</v>
      </c>
      <c r="M1110" s="10">
        <f ca="1">VLOOKUP(dict_DQ_Meth_max[[#This Row],[ID_DataQualities]],table_DataQualities[],9,FALSE)</f>
        <v>4963.5</v>
      </c>
    </row>
    <row r="1111" spans="1:13" x14ac:dyDescent="0.45">
      <c r="A1111" s="10">
        <v>296</v>
      </c>
      <c r="B1111" s="10">
        <v>633</v>
      </c>
      <c r="C11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1" s="10"/>
      <c r="E1111" s="10"/>
      <c r="F1111" s="12">
        <f ca="1">(RANDBETWEEN(0,50)/100)*(dict_DQ_Meth_max[[#This Row],[Vergleich_ub]]-dict_DQ_Meth_max[[#This Row],[Vergleich_lb]])+dict_DQ_Meth_max[[#This Row],[Vergleich_lb]]</f>
        <v>645.53340000000014</v>
      </c>
      <c r="G1111" s="12">
        <f ca="1">(RANDBETWEEN(50,100)/100)*(dict_DQ_Meth_max[[#This Row],[Vergleich_ub]]-dict_DQ_Meth_max[[#This Row],[Vergleich_lb]])+dict_DQ_Meth_max[[#This Row],[Vergleich_lb]]</f>
        <v>3772.3368000000005</v>
      </c>
      <c r="H1111" s="11" t="str">
        <f ca="1">VLOOKUP(VLOOKUP(dict_DQ_Meth_max[[#This Row],[ID_DataQualities]],table_DataQualities[],3),table_Units[],2)</f>
        <v>Hz</v>
      </c>
      <c r="I1111" s="10"/>
      <c r="J1111" s="10"/>
      <c r="K1111" s="10"/>
      <c r="L1111" s="10">
        <f ca="1">VLOOKUP(dict_DQ_Meth_max[[#This Row],[ID_DataQualities]],table_DataQualities[],8,FALSE)</f>
        <v>0.32</v>
      </c>
      <c r="M1111" s="10">
        <f ca="1">VLOOKUP(dict_DQ_Meth_max[[#This Row],[ID_DataQualities]],table_DataQualities[],9,FALSE)</f>
        <v>4963.5</v>
      </c>
    </row>
    <row r="1112" spans="1:13" x14ac:dyDescent="0.45">
      <c r="A1112" s="10">
        <v>297</v>
      </c>
      <c r="B1112" s="10">
        <v>286</v>
      </c>
      <c r="C11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2" s="10"/>
      <c r="E1112" s="10"/>
      <c r="F1112" s="12">
        <f ca="1">(RANDBETWEEN(0,50)/100)*(dict_DQ_Meth_max[[#This Row],[Vergleich_ub]]-dict_DQ_Meth_max[[#This Row],[Vergleich_lb]])+dict_DQ_Meth_max[[#This Row],[Vergleich_lb]]</f>
        <v>1.07</v>
      </c>
      <c r="G1112" s="12">
        <f ca="1">(RANDBETWEEN(50,100)/100)*(dict_DQ_Meth_max[[#This Row],[Vergleich_ub]]-dict_DQ_Meth_max[[#This Row],[Vergleich_lb]])+dict_DQ_Meth_max[[#This Row],[Vergleich_lb]]</f>
        <v>1.85</v>
      </c>
      <c r="H1112" s="11" t="str">
        <f ca="1">VLOOKUP(VLOOKUP(dict_DQ_Meth_max[[#This Row],[ID_DataQualities]],table_DataQualities[],3),table_Units[],2)</f>
        <v>+/- °C</v>
      </c>
      <c r="I1112" s="10"/>
      <c r="J1112" s="10"/>
      <c r="K1112" s="10"/>
      <c r="L1112" s="10">
        <f ca="1">VLOOKUP(dict_DQ_Meth_max[[#This Row],[ID_DataQualities]],table_DataQualities[],8,FALSE)</f>
        <v>0.5</v>
      </c>
      <c r="M1112" s="10">
        <f ca="1">VLOOKUP(dict_DQ_Meth_max[[#This Row],[ID_DataQualities]],table_DataQualities[],9,FALSE)</f>
        <v>2</v>
      </c>
    </row>
    <row r="1113" spans="1:13" x14ac:dyDescent="0.45">
      <c r="A1113" s="10">
        <v>297</v>
      </c>
      <c r="B1113" s="10">
        <v>633</v>
      </c>
      <c r="C11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3" s="10"/>
      <c r="E1113" s="10"/>
      <c r="F1113" s="12">
        <f ca="1">(RANDBETWEEN(0,50)/100)*(dict_DQ_Meth_max[[#This Row],[Vergleich_ub]]-dict_DQ_Meth_max[[#This Row],[Vergleich_lb]])+dict_DQ_Meth_max[[#This Row],[Vergleich_lb]]</f>
        <v>0.95</v>
      </c>
      <c r="G1113" s="12">
        <f ca="1">(RANDBETWEEN(50,100)/100)*(dict_DQ_Meth_max[[#This Row],[Vergleich_ub]]-dict_DQ_Meth_max[[#This Row],[Vergleich_lb]])+dict_DQ_Meth_max[[#This Row],[Vergleich_lb]]</f>
        <v>1.3699999999999999</v>
      </c>
      <c r="H1113" s="11" t="str">
        <f ca="1">VLOOKUP(VLOOKUP(dict_DQ_Meth_max[[#This Row],[ID_DataQualities]],table_DataQualities[],3),table_Units[],2)</f>
        <v>+/- °C</v>
      </c>
      <c r="I1113" s="10"/>
      <c r="J1113" s="10"/>
      <c r="K1113" s="10"/>
      <c r="L1113" s="10">
        <f ca="1">VLOOKUP(dict_DQ_Meth_max[[#This Row],[ID_DataQualities]],table_DataQualities[],8,FALSE)</f>
        <v>0.5</v>
      </c>
      <c r="M1113" s="10">
        <f ca="1">VLOOKUP(dict_DQ_Meth_max[[#This Row],[ID_DataQualities]],table_DataQualities[],9,FALSE)</f>
        <v>2</v>
      </c>
    </row>
    <row r="1114" spans="1:13" x14ac:dyDescent="0.45">
      <c r="A1114" s="10">
        <v>298</v>
      </c>
      <c r="B1114" s="10">
        <v>547</v>
      </c>
      <c r="C11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4" s="10"/>
      <c r="E1114" s="10"/>
      <c r="F1114" s="12">
        <f ca="1">(RANDBETWEEN(0,50)/100)*(dict_DQ_Meth_max[[#This Row],[Vergleich_ub]]-dict_DQ_Meth_max[[#This Row],[Vergleich_lb]])+dict_DQ_Meth_max[[#This Row],[Vergleich_lb]]</f>
        <v>302.50903000000005</v>
      </c>
      <c r="G1114" s="12">
        <f ca="1">(RANDBETWEEN(50,100)/100)*(dict_DQ_Meth_max[[#This Row],[Vergleich_ub]]-dict_DQ_Meth_max[[#This Row],[Vergleich_lb]])+dict_DQ_Meth_max[[#This Row],[Vergleich_lb]]</f>
        <v>3668.0756500000002</v>
      </c>
      <c r="H1114" s="11" t="str">
        <f ca="1">VLOOKUP(VLOOKUP(dict_DQ_Meth_max[[#This Row],[ID_DataQualities]],table_DataQualities[],3),table_Units[],2)</f>
        <v>Hz</v>
      </c>
      <c r="I1114" s="10"/>
      <c r="J1114" s="10"/>
      <c r="K1114" s="10"/>
      <c r="L1114" s="10">
        <f ca="1">VLOOKUP(dict_DQ_Meth_max[[#This Row],[ID_DataQualities]],table_DataQualities[],8,FALSE)</f>
        <v>0.47099999999999997</v>
      </c>
      <c r="M1114" s="10">
        <f ca="1">VLOOKUP(dict_DQ_Meth_max[[#This Row],[ID_DataQualities]],table_DataQualities[],9,FALSE)</f>
        <v>4315.3</v>
      </c>
    </row>
    <row r="1115" spans="1:13" x14ac:dyDescent="0.45">
      <c r="A1115" s="10">
        <v>298</v>
      </c>
      <c r="B1115" s="10">
        <v>422</v>
      </c>
      <c r="C11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5" s="10"/>
      <c r="E1115" s="10"/>
      <c r="F1115" s="12">
        <f ca="1">(RANDBETWEEN(0,50)/100)*(dict_DQ_Meth_max[[#This Row],[Vergleich_ub]]-dict_DQ_Meth_max[[#This Row],[Vergleich_lb]])+dict_DQ_Meth_max[[#This Row],[Vergleich_lb]]</f>
        <v>906.58509000000015</v>
      </c>
      <c r="G1115" s="12">
        <f ca="1">(RANDBETWEEN(50,100)/100)*(dict_DQ_Meth_max[[#This Row],[Vergleich_ub]]-dict_DQ_Meth_max[[#This Row],[Vergleich_lb]])+dict_DQ_Meth_max[[#This Row],[Vergleich_lb]]</f>
        <v>2805.1098500000007</v>
      </c>
      <c r="H1115" s="11" t="str">
        <f ca="1">VLOOKUP(VLOOKUP(dict_DQ_Meth_max[[#This Row],[ID_DataQualities]],table_DataQualities[],3),table_Units[],2)</f>
        <v>Hz</v>
      </c>
      <c r="I1115" s="10"/>
      <c r="J1115" s="10"/>
      <c r="K1115" s="10"/>
      <c r="L1115" s="10">
        <f ca="1">VLOOKUP(dict_DQ_Meth_max[[#This Row],[ID_DataQualities]],table_DataQualities[],8,FALSE)</f>
        <v>0.47099999999999997</v>
      </c>
      <c r="M1115" s="10">
        <f ca="1">VLOOKUP(dict_DQ_Meth_max[[#This Row],[ID_DataQualities]],table_DataQualities[],9,FALSE)</f>
        <v>4315.3</v>
      </c>
    </row>
    <row r="1116" spans="1:13" x14ac:dyDescent="0.45">
      <c r="A1116" s="10">
        <v>298</v>
      </c>
      <c r="B1116" s="10">
        <v>487</v>
      </c>
      <c r="C11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6" s="10"/>
      <c r="E1116" s="10"/>
      <c r="F1116" s="12">
        <f ca="1">(RANDBETWEEN(0,50)/100)*(dict_DQ_Meth_max[[#This Row],[Vergleich_ub]]-dict_DQ_Meth_max[[#This Row],[Vergleich_lb]])+dict_DQ_Meth_max[[#This Row],[Vergleich_lb]]</f>
        <v>302.50903000000005</v>
      </c>
      <c r="G1116" s="12">
        <f ca="1">(RANDBETWEEN(50,100)/100)*(dict_DQ_Meth_max[[#This Row],[Vergleich_ub]]-dict_DQ_Meth_max[[#This Row],[Vergleich_lb]])+dict_DQ_Meth_max[[#This Row],[Vergleich_lb]]</f>
        <v>4272.1517100000001</v>
      </c>
      <c r="H1116" s="11" t="str">
        <f ca="1">VLOOKUP(VLOOKUP(dict_DQ_Meth_max[[#This Row],[ID_DataQualities]],table_DataQualities[],3),table_Units[],2)</f>
        <v>Hz</v>
      </c>
      <c r="I1116" s="10"/>
      <c r="J1116" s="10"/>
      <c r="K1116" s="10"/>
      <c r="L1116" s="10">
        <f ca="1">VLOOKUP(dict_DQ_Meth_max[[#This Row],[ID_DataQualities]],table_DataQualities[],8,FALSE)</f>
        <v>0.47099999999999997</v>
      </c>
      <c r="M1116" s="10">
        <f ca="1">VLOOKUP(dict_DQ_Meth_max[[#This Row],[ID_DataQualities]],table_DataQualities[],9,FALSE)</f>
        <v>4315.3</v>
      </c>
    </row>
    <row r="1117" spans="1:13" x14ac:dyDescent="0.45">
      <c r="A1117" s="10">
        <v>298</v>
      </c>
      <c r="B1117" s="10">
        <v>687</v>
      </c>
      <c r="C11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7" s="10"/>
      <c r="E1117" s="10"/>
      <c r="F1117" s="12">
        <f ca="1">(RANDBETWEEN(0,50)/100)*(dict_DQ_Meth_max[[#This Row],[Vergleich_ub]]-dict_DQ_Meth_max[[#This Row],[Vergleich_lb]])+dict_DQ_Meth_max[[#This Row],[Vergleich_lb]]</f>
        <v>345.65732000000008</v>
      </c>
      <c r="G1117" s="12">
        <f ca="1">(RANDBETWEEN(50,100)/100)*(dict_DQ_Meth_max[[#This Row],[Vergleich_ub]]-dict_DQ_Meth_max[[#This Row],[Vergleich_lb]])+dict_DQ_Meth_max[[#This Row],[Vergleich_lb]]</f>
        <v>4315.3</v>
      </c>
      <c r="H1117" s="11" t="str">
        <f ca="1">VLOOKUP(VLOOKUP(dict_DQ_Meth_max[[#This Row],[ID_DataQualities]],table_DataQualities[],3),table_Units[],2)</f>
        <v>Hz</v>
      </c>
      <c r="I1117" s="10"/>
      <c r="J1117" s="10"/>
      <c r="K1117" s="10"/>
      <c r="L1117" s="10">
        <f ca="1">VLOOKUP(dict_DQ_Meth_max[[#This Row],[ID_DataQualities]],table_DataQualities[],8,FALSE)</f>
        <v>0.47099999999999997</v>
      </c>
      <c r="M1117" s="10">
        <f ca="1">VLOOKUP(dict_DQ_Meth_max[[#This Row],[ID_DataQualities]],table_DataQualities[],9,FALSE)</f>
        <v>4315.3</v>
      </c>
    </row>
    <row r="1118" spans="1:13" x14ac:dyDescent="0.45">
      <c r="A1118" s="10">
        <v>298</v>
      </c>
      <c r="B1118" s="10">
        <v>576</v>
      </c>
      <c r="C11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8" s="10"/>
      <c r="E1118" s="10"/>
      <c r="F1118" s="12">
        <f ca="1">(RANDBETWEEN(0,50)/100)*(dict_DQ_Meth_max[[#This Row],[Vergleich_ub]]-dict_DQ_Meth_max[[#This Row],[Vergleich_lb]])+dict_DQ_Meth_max[[#This Row],[Vergleich_lb]]</f>
        <v>863.43680000000018</v>
      </c>
      <c r="G1118" s="12">
        <f ca="1">(RANDBETWEEN(50,100)/100)*(dict_DQ_Meth_max[[#This Row],[Vergleich_ub]]-dict_DQ_Meth_max[[#This Row],[Vergleich_lb]])+dict_DQ_Meth_max[[#This Row],[Vergleich_lb]]</f>
        <v>3538.6307800000004</v>
      </c>
      <c r="H1118" s="11" t="str">
        <f ca="1">VLOOKUP(VLOOKUP(dict_DQ_Meth_max[[#This Row],[ID_DataQualities]],table_DataQualities[],3),table_Units[],2)</f>
        <v>Hz</v>
      </c>
      <c r="I1118" s="10"/>
      <c r="J1118" s="10"/>
      <c r="K1118" s="10"/>
      <c r="L1118" s="10">
        <f ca="1">VLOOKUP(dict_DQ_Meth_max[[#This Row],[ID_DataQualities]],table_DataQualities[],8,FALSE)</f>
        <v>0.47099999999999997</v>
      </c>
      <c r="M1118" s="10">
        <f ca="1">VLOOKUP(dict_DQ_Meth_max[[#This Row],[ID_DataQualities]],table_DataQualities[],9,FALSE)</f>
        <v>4315.3</v>
      </c>
    </row>
    <row r="1119" spans="1:13" x14ac:dyDescent="0.45">
      <c r="A1119" s="10">
        <v>299</v>
      </c>
      <c r="B1119" s="10">
        <v>547</v>
      </c>
      <c r="C11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19" s="10"/>
      <c r="E1119" s="10"/>
      <c r="F1119" s="12">
        <f ca="1">(RANDBETWEEN(0,50)/100)*(dict_DQ_Meth_max[[#This Row],[Vergleich_ub]]-dict_DQ_Meth_max[[#This Row],[Vergleich_lb]])+dict_DQ_Meth_max[[#This Row],[Vergleich_lb]]</f>
        <v>167.4</v>
      </c>
      <c r="G1119" s="12">
        <f ca="1">(RANDBETWEEN(50,100)/100)*(dict_DQ_Meth_max[[#This Row],[Vergleich_ub]]-dict_DQ_Meth_max[[#This Row],[Vergleich_lb]])+dict_DQ_Meth_max[[#This Row],[Vergleich_lb]]</f>
        <v>2981.4</v>
      </c>
      <c r="H1119" s="11" t="str">
        <f ca="1">VLOOKUP(VLOOKUP(dict_DQ_Meth_max[[#This Row],[ID_DataQualities]],table_DataQualities[],3),table_Units[],2)</f>
        <v>bit</v>
      </c>
      <c r="I1119" s="10"/>
      <c r="J1119" s="10"/>
      <c r="K1119" s="10"/>
      <c r="L1119" s="10">
        <f ca="1">VLOOKUP(dict_DQ_Meth_max[[#This Row],[ID_DataQualities]],table_DataQualities[],8,FALSE)</f>
        <v>87</v>
      </c>
      <c r="M1119" s="10">
        <f ca="1">VLOOKUP(dict_DQ_Meth_max[[#This Row],[ID_DataQualities]],table_DataQualities[],9,FALSE)</f>
        <v>4107</v>
      </c>
    </row>
    <row r="1120" spans="1:13" x14ac:dyDescent="0.45">
      <c r="A1120" s="10">
        <v>299</v>
      </c>
      <c r="B1120" s="10">
        <v>687</v>
      </c>
      <c r="C11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0" s="10"/>
      <c r="E1120" s="10"/>
      <c r="F1120" s="12">
        <f ca="1">(RANDBETWEEN(0,50)/100)*(dict_DQ_Meth_max[[#This Row],[Vergleich_ub]]-dict_DQ_Meth_max[[#This Row],[Vergleich_lb]])+dict_DQ_Meth_max[[#This Row],[Vergleich_lb]]</f>
        <v>368.40000000000003</v>
      </c>
      <c r="G1120" s="12">
        <f ca="1">(RANDBETWEEN(50,100)/100)*(dict_DQ_Meth_max[[#This Row],[Vergleich_ub]]-dict_DQ_Meth_max[[#This Row],[Vergleich_lb]])+dict_DQ_Meth_max[[#This Row],[Vergleich_lb]]</f>
        <v>2177.4</v>
      </c>
      <c r="H1120" s="11" t="str">
        <f ca="1">VLOOKUP(VLOOKUP(dict_DQ_Meth_max[[#This Row],[ID_DataQualities]],table_DataQualities[],3),table_Units[],2)</f>
        <v>bit</v>
      </c>
      <c r="I1120" s="10"/>
      <c r="J1120" s="10"/>
      <c r="K1120" s="10"/>
      <c r="L1120" s="10">
        <f ca="1">VLOOKUP(dict_DQ_Meth_max[[#This Row],[ID_DataQualities]],table_DataQualities[],8,FALSE)</f>
        <v>87</v>
      </c>
      <c r="M1120" s="10">
        <f ca="1">VLOOKUP(dict_DQ_Meth_max[[#This Row],[ID_DataQualities]],table_DataQualities[],9,FALSE)</f>
        <v>4107</v>
      </c>
    </row>
    <row r="1121" spans="1:13" x14ac:dyDescent="0.45">
      <c r="A1121" s="10">
        <v>299</v>
      </c>
      <c r="B1121" s="10">
        <v>487</v>
      </c>
      <c r="C11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1" s="10"/>
      <c r="E1121" s="10"/>
      <c r="F1121" s="12">
        <f ca="1">(RANDBETWEEN(0,50)/100)*(dict_DQ_Meth_max[[#This Row],[Vergleich_ub]]-dict_DQ_Meth_max[[#This Row],[Vergleich_lb]])+dict_DQ_Meth_max[[#This Row],[Vergleich_lb]]</f>
        <v>2056.8000000000002</v>
      </c>
      <c r="G1121" s="12">
        <f ca="1">(RANDBETWEEN(50,100)/100)*(dict_DQ_Meth_max[[#This Row],[Vergleich_ub]]-dict_DQ_Meth_max[[#This Row],[Vergleich_lb]])+dict_DQ_Meth_max[[#This Row],[Vergleich_lb]]</f>
        <v>3664.8</v>
      </c>
      <c r="H1121" s="11" t="str">
        <f ca="1">VLOOKUP(VLOOKUP(dict_DQ_Meth_max[[#This Row],[ID_DataQualities]],table_DataQualities[],3),table_Units[],2)</f>
        <v>bit</v>
      </c>
      <c r="I1121" s="10"/>
      <c r="J1121" s="10"/>
      <c r="K1121" s="10"/>
      <c r="L1121" s="10">
        <f ca="1">VLOOKUP(dict_DQ_Meth_max[[#This Row],[ID_DataQualities]],table_DataQualities[],8,FALSE)</f>
        <v>87</v>
      </c>
      <c r="M1121" s="10">
        <f ca="1">VLOOKUP(dict_DQ_Meth_max[[#This Row],[ID_DataQualities]],table_DataQualities[],9,FALSE)</f>
        <v>4107</v>
      </c>
    </row>
    <row r="1122" spans="1:13" x14ac:dyDescent="0.45">
      <c r="A1122" s="10">
        <v>299</v>
      </c>
      <c r="B1122" s="10">
        <v>576</v>
      </c>
      <c r="C11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2" s="10"/>
      <c r="E1122" s="10"/>
      <c r="F1122" s="12">
        <f ca="1">(RANDBETWEEN(0,50)/100)*(dict_DQ_Meth_max[[#This Row],[Vergleich_ub]]-dict_DQ_Meth_max[[#This Row],[Vergleich_lb]])+dict_DQ_Meth_max[[#This Row],[Vergleich_lb]]</f>
        <v>368.40000000000003</v>
      </c>
      <c r="G1122" s="12">
        <f ca="1">(RANDBETWEEN(50,100)/100)*(dict_DQ_Meth_max[[#This Row],[Vergleich_ub]]-dict_DQ_Meth_max[[#This Row],[Vergleich_lb]])+dict_DQ_Meth_max[[#This Row],[Vergleich_lb]]</f>
        <v>3142.2</v>
      </c>
      <c r="H1122" s="11" t="str">
        <f ca="1">VLOOKUP(VLOOKUP(dict_DQ_Meth_max[[#This Row],[ID_DataQualities]],table_DataQualities[],3),table_Units[],2)</f>
        <v>bit</v>
      </c>
      <c r="I1122" s="10"/>
      <c r="J1122" s="10"/>
      <c r="K1122" s="10"/>
      <c r="L1122" s="10">
        <f ca="1">VLOOKUP(dict_DQ_Meth_max[[#This Row],[ID_DataQualities]],table_DataQualities[],8,FALSE)</f>
        <v>87</v>
      </c>
      <c r="M1122" s="10">
        <f ca="1">VLOOKUP(dict_DQ_Meth_max[[#This Row],[ID_DataQualities]],table_DataQualities[],9,FALSE)</f>
        <v>4107</v>
      </c>
    </row>
    <row r="1123" spans="1:13" x14ac:dyDescent="0.45">
      <c r="A1123" s="10">
        <v>299</v>
      </c>
      <c r="B1123" s="10">
        <v>422</v>
      </c>
      <c r="C11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3" s="10"/>
      <c r="E1123" s="10"/>
      <c r="F1123" s="12">
        <f ca="1">(RANDBETWEEN(0,50)/100)*(dict_DQ_Meth_max[[#This Row],[Vergleich_ub]]-dict_DQ_Meth_max[[#This Row],[Vergleich_lb]])+dict_DQ_Meth_max[[#This Row],[Vergleich_lb]]</f>
        <v>448.8</v>
      </c>
      <c r="G1123" s="12">
        <f ca="1">(RANDBETWEEN(50,100)/100)*(dict_DQ_Meth_max[[#This Row],[Vergleich_ub]]-dict_DQ_Meth_max[[#This Row],[Vergleich_lb]])+dict_DQ_Meth_max[[#This Row],[Vergleich_lb]]</f>
        <v>3584.4</v>
      </c>
      <c r="H1123" s="11" t="str">
        <f ca="1">VLOOKUP(VLOOKUP(dict_DQ_Meth_max[[#This Row],[ID_DataQualities]],table_DataQualities[],3),table_Units[],2)</f>
        <v>bit</v>
      </c>
      <c r="I1123" s="10"/>
      <c r="J1123" s="10"/>
      <c r="K1123" s="10"/>
      <c r="L1123" s="10">
        <f ca="1">VLOOKUP(dict_DQ_Meth_max[[#This Row],[ID_DataQualities]],table_DataQualities[],8,FALSE)</f>
        <v>87</v>
      </c>
      <c r="M1123" s="10">
        <f ca="1">VLOOKUP(dict_DQ_Meth_max[[#This Row],[ID_DataQualities]],table_DataQualities[],9,FALSE)</f>
        <v>4107</v>
      </c>
    </row>
    <row r="1124" spans="1:13" x14ac:dyDescent="0.45">
      <c r="A1124" s="10">
        <v>300</v>
      </c>
      <c r="B1124" s="10">
        <v>107</v>
      </c>
      <c r="C11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4" s="10"/>
      <c r="E1124" s="10"/>
      <c r="F1124" s="12">
        <f ca="1">(RANDBETWEEN(0,50)/100)*(dict_DQ_Meth_max[[#This Row],[Vergleich_ub]]-dict_DQ_Meth_max[[#This Row],[Vergleich_lb]])+dict_DQ_Meth_max[[#This Row],[Vergleich_lb]]</f>
        <v>1674.5333799999996</v>
      </c>
      <c r="G1124" s="12">
        <f ca="1">(RANDBETWEEN(50,100)/100)*(dict_DQ_Meth_max[[#This Row],[Vergleich_ub]]-dict_DQ_Meth_max[[#This Row],[Vergleich_lb]])+dict_DQ_Meth_max[[#This Row],[Vergleich_lb]]</f>
        <v>3127.9527099999996</v>
      </c>
      <c r="H1124" s="11" t="str">
        <f ca="1">VLOOKUP(VLOOKUP(dict_DQ_Meth_max[[#This Row],[ID_DataQualities]],table_DataQualities[],3),table_Units[],2)</f>
        <v>Hz</v>
      </c>
      <c r="I1124" s="10"/>
      <c r="J1124" s="10"/>
      <c r="K1124" s="10"/>
      <c r="L1124" s="10">
        <f ca="1">VLOOKUP(dict_DQ_Meth_max[[#This Row],[ID_DataQualities]],table_DataQualities[],8,FALSE)</f>
        <v>0.89900000000000002</v>
      </c>
      <c r="M1124" s="10">
        <f ca="1">VLOOKUP(dict_DQ_Meth_max[[#This Row],[ID_DataQualities]],table_DataQualities[],9,FALSE)</f>
        <v>4405.2</v>
      </c>
    </row>
    <row r="1125" spans="1:13" x14ac:dyDescent="0.45">
      <c r="A1125" s="10">
        <v>300</v>
      </c>
      <c r="B1125" s="10">
        <v>47</v>
      </c>
      <c r="C11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5" s="10"/>
      <c r="E1125" s="10"/>
      <c r="F1125" s="12">
        <f ca="1">(RANDBETWEEN(0,50)/100)*(dict_DQ_Meth_max[[#This Row],[Vergleich_ub]]-dict_DQ_Meth_max[[#This Row],[Vergleich_lb]])+dict_DQ_Meth_max[[#This Row],[Vergleich_lb]]</f>
        <v>529.41511999999989</v>
      </c>
      <c r="G1125" s="12">
        <f ca="1">(RANDBETWEEN(50,100)/100)*(dict_DQ_Meth_max[[#This Row],[Vergleich_ub]]-dict_DQ_Meth_max[[#This Row],[Vergleich_lb]])+dict_DQ_Meth_max[[#This Row],[Vergleich_lb]]</f>
        <v>2775.6086299999997</v>
      </c>
      <c r="H1125" s="11" t="str">
        <f ca="1">VLOOKUP(VLOOKUP(dict_DQ_Meth_max[[#This Row],[ID_DataQualities]],table_DataQualities[],3),table_Units[],2)</f>
        <v>Hz</v>
      </c>
      <c r="I1125" s="10"/>
      <c r="J1125" s="10"/>
      <c r="K1125" s="10"/>
      <c r="L1125" s="10">
        <f ca="1">VLOOKUP(dict_DQ_Meth_max[[#This Row],[ID_DataQualities]],table_DataQualities[],8,FALSE)</f>
        <v>0.89900000000000002</v>
      </c>
      <c r="M1125" s="10">
        <f ca="1">VLOOKUP(dict_DQ_Meth_max[[#This Row],[ID_DataQualities]],table_DataQualities[],9,FALSE)</f>
        <v>4405.2</v>
      </c>
    </row>
    <row r="1126" spans="1:13" x14ac:dyDescent="0.45">
      <c r="A1126" s="10">
        <v>300</v>
      </c>
      <c r="B1126" s="10">
        <v>350</v>
      </c>
      <c r="C11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6" s="10"/>
      <c r="E1126" s="10"/>
      <c r="F1126" s="12">
        <f ca="1">(RANDBETWEEN(0,50)/100)*(dict_DQ_Meth_max[[#This Row],[Vergleich_ub]]-dict_DQ_Meth_max[[#This Row],[Vergleich_lb]])+dict_DQ_Meth_max[[#This Row],[Vergleich_lb]]</f>
        <v>309.20006999999998</v>
      </c>
      <c r="G1126" s="12">
        <f ca="1">(RANDBETWEEN(50,100)/100)*(dict_DQ_Meth_max[[#This Row],[Vergleich_ub]]-dict_DQ_Meth_max[[#This Row],[Vergleich_lb]])+dict_DQ_Meth_max[[#This Row],[Vergleich_lb]]</f>
        <v>2907.7376599999998</v>
      </c>
      <c r="H1126" s="11" t="str">
        <f ca="1">VLOOKUP(VLOOKUP(dict_DQ_Meth_max[[#This Row],[ID_DataQualities]],table_DataQualities[],3),table_Units[],2)</f>
        <v>Hz</v>
      </c>
      <c r="I1126" s="10"/>
      <c r="J1126" s="10"/>
      <c r="K1126" s="10"/>
      <c r="L1126" s="10">
        <f ca="1">VLOOKUP(dict_DQ_Meth_max[[#This Row],[ID_DataQualities]],table_DataQualities[],8,FALSE)</f>
        <v>0.89900000000000002</v>
      </c>
      <c r="M1126" s="10">
        <f ca="1">VLOOKUP(dict_DQ_Meth_max[[#This Row],[ID_DataQualities]],table_DataQualities[],9,FALSE)</f>
        <v>4405.2</v>
      </c>
    </row>
    <row r="1127" spans="1:13" x14ac:dyDescent="0.45">
      <c r="A1127" s="10">
        <v>300</v>
      </c>
      <c r="B1127" s="10">
        <v>138</v>
      </c>
      <c r="C11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7" s="10"/>
      <c r="E1127" s="10"/>
      <c r="F1127" s="12">
        <f ca="1">(RANDBETWEEN(0,50)/100)*(dict_DQ_Meth_max[[#This Row],[Vergleich_ub]]-dict_DQ_Meth_max[[#This Row],[Vergleich_lb]])+dict_DQ_Meth_max[[#This Row],[Vergleich_lb]]</f>
        <v>1410.2753199999997</v>
      </c>
      <c r="G1127" s="12">
        <f ca="1">(RANDBETWEEN(50,100)/100)*(dict_DQ_Meth_max[[#This Row],[Vergleich_ub]]-dict_DQ_Meth_max[[#This Row],[Vergleich_lb]])+dict_DQ_Meth_max[[#This Row],[Vergleich_lb]]</f>
        <v>2907.7376599999998</v>
      </c>
      <c r="H1127" s="11" t="str">
        <f ca="1">VLOOKUP(VLOOKUP(dict_DQ_Meth_max[[#This Row],[ID_DataQualities]],table_DataQualities[],3),table_Units[],2)</f>
        <v>Hz</v>
      </c>
      <c r="I1127" s="10"/>
      <c r="J1127" s="10"/>
      <c r="K1127" s="10"/>
      <c r="L1127" s="10">
        <f ca="1">VLOOKUP(dict_DQ_Meth_max[[#This Row],[ID_DataQualities]],table_DataQualities[],8,FALSE)</f>
        <v>0.89900000000000002</v>
      </c>
      <c r="M1127" s="10">
        <f ca="1">VLOOKUP(dict_DQ_Meth_max[[#This Row],[ID_DataQualities]],table_DataQualities[],9,FALSE)</f>
        <v>4405.2</v>
      </c>
    </row>
    <row r="1128" spans="1:13" x14ac:dyDescent="0.45">
      <c r="A1128" s="10">
        <v>301</v>
      </c>
      <c r="B1128" s="10">
        <v>107</v>
      </c>
      <c r="C11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8" s="10"/>
      <c r="E1128" s="10"/>
      <c r="F1128" s="12">
        <f ca="1">(RANDBETWEEN(0,50)/100)*(dict_DQ_Meth_max[[#This Row],[Vergleich_ub]]-dict_DQ_Meth_max[[#This Row],[Vergleich_lb]])+dict_DQ_Meth_max[[#This Row],[Vergleich_lb]]</f>
        <v>1.7759999999999998</v>
      </c>
      <c r="G1128" s="12">
        <f ca="1">(RANDBETWEEN(50,100)/100)*(dict_DQ_Meth_max[[#This Row],[Vergleich_ub]]-dict_DQ_Meth_max[[#This Row],[Vergleich_lb]])+dict_DQ_Meth_max[[#This Row],[Vergleich_lb]]</f>
        <v>5.56</v>
      </c>
      <c r="H1128" s="11" t="str">
        <f ca="1">VLOOKUP(VLOOKUP(dict_DQ_Meth_max[[#This Row],[ID_DataQualities]],table_DataQualities[],3),table_Units[],2)</f>
        <v>+/- °C</v>
      </c>
      <c r="I1128" s="10"/>
      <c r="J1128" s="10"/>
      <c r="K1128" s="10"/>
      <c r="L1128" s="10">
        <f ca="1">VLOOKUP(dict_DQ_Meth_max[[#This Row],[ID_DataQualities]],table_DataQualities[],8,FALSE)</f>
        <v>0.4</v>
      </c>
      <c r="M1128" s="10">
        <f ca="1">VLOOKUP(dict_DQ_Meth_max[[#This Row],[ID_DataQualities]],table_DataQualities[],9,FALSE)</f>
        <v>9</v>
      </c>
    </row>
    <row r="1129" spans="1:13" x14ac:dyDescent="0.45">
      <c r="A1129" s="10">
        <v>301</v>
      </c>
      <c r="B1129" s="10">
        <v>47</v>
      </c>
      <c r="C11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29" s="10"/>
      <c r="E1129" s="10"/>
      <c r="F1129" s="12">
        <f ca="1">(RANDBETWEEN(0,50)/100)*(dict_DQ_Meth_max[[#This Row],[Vergleich_ub]]-dict_DQ_Meth_max[[#This Row],[Vergleich_lb]])+dict_DQ_Meth_max[[#This Row],[Vergleich_lb]]</f>
        <v>4.7</v>
      </c>
      <c r="G1129" s="12">
        <f ca="1">(RANDBETWEEN(50,100)/100)*(dict_DQ_Meth_max[[#This Row],[Vergleich_ub]]-dict_DQ_Meth_max[[#This Row],[Vergleich_lb]])+dict_DQ_Meth_max[[#This Row],[Vergleich_lb]]</f>
        <v>6.85</v>
      </c>
      <c r="H1129" s="11" t="str">
        <f ca="1">VLOOKUP(VLOOKUP(dict_DQ_Meth_max[[#This Row],[ID_DataQualities]],table_DataQualities[],3),table_Units[],2)</f>
        <v>+/- °C</v>
      </c>
      <c r="I1129" s="10"/>
      <c r="J1129" s="10"/>
      <c r="K1129" s="10"/>
      <c r="L1129" s="10">
        <f ca="1">VLOOKUP(dict_DQ_Meth_max[[#This Row],[ID_DataQualities]],table_DataQualities[],8,FALSE)</f>
        <v>0.4</v>
      </c>
      <c r="M1129" s="10">
        <f ca="1">VLOOKUP(dict_DQ_Meth_max[[#This Row],[ID_DataQualities]],table_DataQualities[],9,FALSE)</f>
        <v>9</v>
      </c>
    </row>
    <row r="1130" spans="1:13" x14ac:dyDescent="0.45">
      <c r="A1130" s="10">
        <v>301</v>
      </c>
      <c r="B1130" s="10">
        <v>138</v>
      </c>
      <c r="C11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0" s="10"/>
      <c r="E1130" s="10"/>
      <c r="F1130" s="12">
        <f ca="1">(RANDBETWEEN(0,50)/100)*(dict_DQ_Meth_max[[#This Row],[Vergleich_ub]]-dict_DQ_Meth_max[[#This Row],[Vergleich_lb]])+dict_DQ_Meth_max[[#This Row],[Vergleich_lb]]</f>
        <v>0.74399999999999999</v>
      </c>
      <c r="G1130" s="12">
        <f ca="1">(RANDBETWEEN(50,100)/100)*(dict_DQ_Meth_max[[#This Row],[Vergleich_ub]]-dict_DQ_Meth_max[[#This Row],[Vergleich_lb]])+dict_DQ_Meth_max[[#This Row],[Vergleich_lb]]</f>
        <v>5.7320000000000002</v>
      </c>
      <c r="H1130" s="11" t="str">
        <f ca="1">VLOOKUP(VLOOKUP(dict_DQ_Meth_max[[#This Row],[ID_DataQualities]],table_DataQualities[],3),table_Units[],2)</f>
        <v>+/- °C</v>
      </c>
      <c r="I1130" s="10"/>
      <c r="J1130" s="10"/>
      <c r="K1130" s="10"/>
      <c r="L1130" s="10">
        <f ca="1">VLOOKUP(dict_DQ_Meth_max[[#This Row],[ID_DataQualities]],table_DataQualities[],8,FALSE)</f>
        <v>0.4</v>
      </c>
      <c r="M1130" s="10">
        <f ca="1">VLOOKUP(dict_DQ_Meth_max[[#This Row],[ID_DataQualities]],table_DataQualities[],9,FALSE)</f>
        <v>9</v>
      </c>
    </row>
    <row r="1131" spans="1:13" x14ac:dyDescent="0.45">
      <c r="A1131" s="10">
        <v>301</v>
      </c>
      <c r="B1131" s="10">
        <v>350</v>
      </c>
      <c r="C11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1" s="10"/>
      <c r="E1131" s="10"/>
      <c r="F1131" s="12">
        <f ca="1">(RANDBETWEEN(0,50)/100)*(dict_DQ_Meth_max[[#This Row],[Vergleich_ub]]-dict_DQ_Meth_max[[#This Row],[Vergleich_lb]])+dict_DQ_Meth_max[[#This Row],[Vergleich_lb]]</f>
        <v>3.9259999999999997</v>
      </c>
      <c r="G1131" s="12">
        <f ca="1">(RANDBETWEEN(50,100)/100)*(dict_DQ_Meth_max[[#This Row],[Vergleich_ub]]-dict_DQ_Meth_max[[#This Row],[Vergleich_lb]])+dict_DQ_Meth_max[[#This Row],[Vergleich_lb]]</f>
        <v>6.9359999999999999</v>
      </c>
      <c r="H1131" s="11" t="str">
        <f ca="1">VLOOKUP(VLOOKUP(dict_DQ_Meth_max[[#This Row],[ID_DataQualities]],table_DataQualities[],3),table_Units[],2)</f>
        <v>+/- °C</v>
      </c>
      <c r="I1131" s="10"/>
      <c r="J1131" s="10"/>
      <c r="K1131" s="10"/>
      <c r="L1131" s="10">
        <f ca="1">VLOOKUP(dict_DQ_Meth_max[[#This Row],[ID_DataQualities]],table_DataQualities[],8,FALSE)</f>
        <v>0.4</v>
      </c>
      <c r="M1131" s="10">
        <f ca="1">VLOOKUP(dict_DQ_Meth_max[[#This Row],[ID_DataQualities]],table_DataQualities[],9,FALSE)</f>
        <v>9</v>
      </c>
    </row>
    <row r="1132" spans="1:13" x14ac:dyDescent="0.45">
      <c r="A1132" s="10">
        <v>302</v>
      </c>
      <c r="B1132" s="10">
        <v>266</v>
      </c>
      <c r="C11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2" s="10"/>
      <c r="E1132" s="10"/>
      <c r="F1132" s="12">
        <f ca="1">(RANDBETWEEN(0,50)/100)*(dict_DQ_Meth_max[[#This Row],[Vergleich_ub]]-dict_DQ_Meth_max[[#This Row],[Vergleich_lb]])+dict_DQ_Meth_max[[#This Row],[Vergleich_lb]]</f>
        <v>760.50959999999998</v>
      </c>
      <c r="G1132" s="12">
        <f ca="1">(RANDBETWEEN(50,100)/100)*(dict_DQ_Meth_max[[#This Row],[Vergleich_ub]]-dict_DQ_Meth_max[[#This Row],[Vergleich_lb]])+dict_DQ_Meth_max[[#This Row],[Vergleich_lb]]</f>
        <v>2052.12302</v>
      </c>
      <c r="H1132" s="11" t="str">
        <f ca="1">VLOOKUP(VLOOKUP(dict_DQ_Meth_max[[#This Row],[ID_DataQualities]],table_DataQualities[],3),table_Units[],2)</f>
        <v>Hz</v>
      </c>
      <c r="I1132" s="10"/>
      <c r="J1132" s="10"/>
      <c r="K1132" s="10"/>
      <c r="L1132" s="10">
        <f ca="1">VLOOKUP(dict_DQ_Meth_max[[#This Row],[ID_DataQualities]],table_DataQualities[],8,FALSE)</f>
        <v>0.73699999999999999</v>
      </c>
      <c r="M1132" s="10">
        <f ca="1">VLOOKUP(dict_DQ_Meth_max[[#This Row],[ID_DataQualities]],table_DataQualities[],9,FALSE)</f>
        <v>3799.6</v>
      </c>
    </row>
    <row r="1133" spans="1:13" x14ac:dyDescent="0.45">
      <c r="A1133" s="10">
        <v>302</v>
      </c>
      <c r="B1133" s="10">
        <v>246</v>
      </c>
      <c r="C11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3" s="10"/>
      <c r="E1133" s="10"/>
      <c r="F1133" s="12">
        <f ca="1">(RANDBETWEEN(0,50)/100)*(dict_DQ_Meth_max[[#This Row],[Vergleich_ub]]-dict_DQ_Meth_max[[#This Row],[Vergleich_lb]])+dict_DQ_Meth_max[[#This Row],[Vergleich_lb]]</f>
        <v>1292.3504200000002</v>
      </c>
      <c r="G1133" s="12">
        <f ca="1">(RANDBETWEEN(50,100)/100)*(dict_DQ_Meth_max[[#This Row],[Vergleich_ub]]-dict_DQ_Meth_max[[#This Row],[Vergleich_lb]])+dict_DQ_Meth_max[[#This Row],[Vergleich_lb]]</f>
        <v>3685.63411</v>
      </c>
      <c r="H1133" s="11" t="str">
        <f ca="1">VLOOKUP(VLOOKUP(dict_DQ_Meth_max[[#This Row],[ID_DataQualities]],table_DataQualities[],3),table_Units[],2)</f>
        <v>Hz</v>
      </c>
      <c r="I1133" s="10"/>
      <c r="J1133" s="10"/>
      <c r="K1133" s="10"/>
      <c r="L1133" s="10">
        <f ca="1">VLOOKUP(dict_DQ_Meth_max[[#This Row],[ID_DataQualities]],table_DataQualities[],8,FALSE)</f>
        <v>0.73699999999999999</v>
      </c>
      <c r="M1133" s="10">
        <f ca="1">VLOOKUP(dict_DQ_Meth_max[[#This Row],[ID_DataQualities]],table_DataQualities[],9,FALSE)</f>
        <v>3799.6</v>
      </c>
    </row>
    <row r="1134" spans="1:13" x14ac:dyDescent="0.45">
      <c r="A1134" s="10">
        <v>302</v>
      </c>
      <c r="B1134" s="10">
        <v>507</v>
      </c>
      <c r="C11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4" s="10"/>
      <c r="E1134" s="10"/>
      <c r="F1134" s="12">
        <f ca="1">(RANDBETWEEN(0,50)/100)*(dict_DQ_Meth_max[[#This Row],[Vergleich_ub]]-dict_DQ_Meth_max[[#This Row],[Vergleich_lb]])+dict_DQ_Meth_max[[#This Row],[Vergleich_lb]]</f>
        <v>1786.2026099999998</v>
      </c>
      <c r="G1134" s="12">
        <f ca="1">(RANDBETWEEN(50,100)/100)*(dict_DQ_Meth_max[[#This Row],[Vergleich_ub]]-dict_DQ_Meth_max[[#This Row],[Vergleich_lb]])+dict_DQ_Meth_max[[#This Row],[Vergleich_lb]]</f>
        <v>1900.1685</v>
      </c>
      <c r="H1134" s="11" t="str">
        <f ca="1">VLOOKUP(VLOOKUP(dict_DQ_Meth_max[[#This Row],[ID_DataQualities]],table_DataQualities[],3),table_Units[],2)</f>
        <v>Hz</v>
      </c>
      <c r="I1134" s="10"/>
      <c r="J1134" s="10"/>
      <c r="K1134" s="10"/>
      <c r="L1134" s="10">
        <f ca="1">VLOOKUP(dict_DQ_Meth_max[[#This Row],[ID_DataQualities]],table_DataQualities[],8,FALSE)</f>
        <v>0.73699999999999999</v>
      </c>
      <c r="M1134" s="10">
        <f ca="1">VLOOKUP(dict_DQ_Meth_max[[#This Row],[ID_DataQualities]],table_DataQualities[],9,FALSE)</f>
        <v>3799.6</v>
      </c>
    </row>
    <row r="1135" spans="1:13" x14ac:dyDescent="0.45">
      <c r="A1135" s="10">
        <v>302</v>
      </c>
      <c r="B1135" s="10">
        <v>536</v>
      </c>
      <c r="C11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5" s="10"/>
      <c r="E1135" s="10"/>
      <c r="F1135" s="12">
        <f ca="1">(RANDBETWEEN(0,50)/100)*(dict_DQ_Meth_max[[#This Row],[Vergleich_ub]]-dict_DQ_Meth_max[[#This Row],[Vergleich_lb]])+dict_DQ_Meth_max[[#This Row],[Vergleich_lb]]</f>
        <v>380.62330000000003</v>
      </c>
      <c r="G1135" s="12">
        <f ca="1">(RANDBETWEEN(50,100)/100)*(dict_DQ_Meth_max[[#This Row],[Vergleich_ub]]-dict_DQ_Meth_max[[#This Row],[Vergleich_lb]])+dict_DQ_Meth_max[[#This Row],[Vergleich_lb]]</f>
        <v>2128.1002800000001</v>
      </c>
      <c r="H1135" s="11" t="str">
        <f ca="1">VLOOKUP(VLOOKUP(dict_DQ_Meth_max[[#This Row],[ID_DataQualities]],table_DataQualities[],3),table_Units[],2)</f>
        <v>Hz</v>
      </c>
      <c r="I1135" s="10"/>
      <c r="J1135" s="10"/>
      <c r="K1135" s="10"/>
      <c r="L1135" s="10">
        <f ca="1">VLOOKUP(dict_DQ_Meth_max[[#This Row],[ID_DataQualities]],table_DataQualities[],8,FALSE)</f>
        <v>0.73699999999999999</v>
      </c>
      <c r="M1135" s="10">
        <f ca="1">VLOOKUP(dict_DQ_Meth_max[[#This Row],[ID_DataQualities]],table_DataQualities[],9,FALSE)</f>
        <v>3799.6</v>
      </c>
    </row>
    <row r="1136" spans="1:13" x14ac:dyDescent="0.45">
      <c r="A1136" s="10">
        <v>303</v>
      </c>
      <c r="B1136" s="10">
        <v>246</v>
      </c>
      <c r="C11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6" s="10"/>
      <c r="E1136" s="10"/>
      <c r="F1136" s="12">
        <f ca="1">(RANDBETWEEN(0,50)/100)*(dict_DQ_Meth_max[[#This Row],[Vergleich_ub]]-dict_DQ_Meth_max[[#This Row],[Vergleich_lb]])+dict_DQ_Meth_max[[#This Row],[Vergleich_lb]]</f>
        <v>0.135155</v>
      </c>
      <c r="G1136" s="12">
        <f ca="1">(RANDBETWEEN(50,100)/100)*(dict_DQ_Meth_max[[#This Row],[Vergleich_ub]]-dict_DQ_Meth_max[[#This Row],[Vergleich_lb]])+dict_DQ_Meth_max[[#This Row],[Vergleich_lb]]</f>
        <v>0.19997600000000001</v>
      </c>
      <c r="H1136" s="11" t="str">
        <f ca="1">VLOOKUP(VLOOKUP(dict_DQ_Meth_max[[#This Row],[ID_DataQualities]],table_DataQualities[],3),table_Units[],2)</f>
        <v>+/- cm³/s</v>
      </c>
      <c r="I1136" s="10"/>
      <c r="J1136" s="10"/>
      <c r="K1136" s="10"/>
      <c r="L1136" s="10">
        <f ca="1">VLOOKUP(dict_DQ_Meth_max[[#This Row],[ID_DataQualities]],table_DataQualities[],8,FALSE)</f>
        <v>1.6999999999999999E-3</v>
      </c>
      <c r="M1136" s="10">
        <f ca="1">VLOOKUP(dict_DQ_Meth_max[[#This Row],[ID_DataQualities]],table_DataQualities[],9,FALSE)</f>
        <v>0.38300000000000001</v>
      </c>
    </row>
    <row r="1137" spans="1:13" x14ac:dyDescent="0.45">
      <c r="A1137" s="10">
        <v>303</v>
      </c>
      <c r="B1137" s="10">
        <v>536</v>
      </c>
      <c r="C11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7" s="10"/>
      <c r="E1137" s="10"/>
      <c r="F1137" s="12">
        <f ca="1">(RANDBETWEEN(0,50)/100)*(dict_DQ_Meth_max[[#This Row],[Vergleich_ub]]-dict_DQ_Meth_max[[#This Row],[Vergleich_lb]])+dict_DQ_Meth_max[[#This Row],[Vergleich_lb]]</f>
        <v>0.18853700000000001</v>
      </c>
      <c r="G1137" s="12">
        <f ca="1">(RANDBETWEEN(50,100)/100)*(dict_DQ_Meth_max[[#This Row],[Vergleich_ub]]-dict_DQ_Meth_max[[#This Row],[Vergleich_lb]])+dict_DQ_Meth_max[[#This Row],[Vergleich_lb]]</f>
        <v>0.23429300000000003</v>
      </c>
      <c r="H1137" s="11" t="str">
        <f ca="1">VLOOKUP(VLOOKUP(dict_DQ_Meth_max[[#This Row],[ID_DataQualities]],table_DataQualities[],3),table_Units[],2)</f>
        <v>+/- cm³/s</v>
      </c>
      <c r="I1137" s="10"/>
      <c r="J1137" s="10"/>
      <c r="K1137" s="10"/>
      <c r="L1137" s="10">
        <f ca="1">VLOOKUP(dict_DQ_Meth_max[[#This Row],[ID_DataQualities]],table_DataQualities[],8,FALSE)</f>
        <v>1.6999999999999999E-3</v>
      </c>
      <c r="M1137" s="10">
        <f ca="1">VLOOKUP(dict_DQ_Meth_max[[#This Row],[ID_DataQualities]],table_DataQualities[],9,FALSE)</f>
        <v>0.38300000000000001</v>
      </c>
    </row>
    <row r="1138" spans="1:13" x14ac:dyDescent="0.45">
      <c r="A1138" s="10">
        <v>303</v>
      </c>
      <c r="B1138" s="10">
        <v>507</v>
      </c>
      <c r="C11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8" s="10"/>
      <c r="E1138" s="10"/>
      <c r="F1138" s="12">
        <f ca="1">(RANDBETWEEN(0,50)/100)*(dict_DQ_Meth_max[[#This Row],[Vergleich_ub]]-dict_DQ_Meth_max[[#This Row],[Vergleich_lb]])+dict_DQ_Meth_max[[#This Row],[Vergleich_lb]]</f>
        <v>2.8391000000000003E-2</v>
      </c>
      <c r="G1138" s="12">
        <f ca="1">(RANDBETWEEN(50,100)/100)*(dict_DQ_Meth_max[[#This Row],[Vergleich_ub]]-dict_DQ_Meth_max[[#This Row],[Vergleich_lb]])+dict_DQ_Meth_max[[#This Row],[Vergleich_lb]]</f>
        <v>0.33343099999999998</v>
      </c>
      <c r="H1138" s="11" t="str">
        <f ca="1">VLOOKUP(VLOOKUP(dict_DQ_Meth_max[[#This Row],[ID_DataQualities]],table_DataQualities[],3),table_Units[],2)</f>
        <v>+/- cm³/s</v>
      </c>
      <c r="I1138" s="10"/>
      <c r="J1138" s="10"/>
      <c r="K1138" s="10"/>
      <c r="L1138" s="10">
        <f ca="1">VLOOKUP(dict_DQ_Meth_max[[#This Row],[ID_DataQualities]],table_DataQualities[],8,FALSE)</f>
        <v>1.6999999999999999E-3</v>
      </c>
      <c r="M1138" s="10">
        <f ca="1">VLOOKUP(dict_DQ_Meth_max[[#This Row],[ID_DataQualities]],table_DataQualities[],9,FALSE)</f>
        <v>0.38300000000000001</v>
      </c>
    </row>
    <row r="1139" spans="1:13" x14ac:dyDescent="0.45">
      <c r="A1139" s="10">
        <v>303</v>
      </c>
      <c r="B1139" s="10">
        <v>266</v>
      </c>
      <c r="C11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39" s="10"/>
      <c r="E1139" s="10"/>
      <c r="F1139" s="12">
        <f ca="1">(RANDBETWEEN(0,50)/100)*(dict_DQ_Meth_max[[#This Row],[Vergleich_ub]]-dict_DQ_Meth_max[[#This Row],[Vergleich_lb]])+dict_DQ_Meth_max[[#This Row],[Vergleich_lb]]</f>
        <v>8.1772999999999998E-2</v>
      </c>
      <c r="G1139" s="12">
        <f ca="1">(RANDBETWEEN(50,100)/100)*(dict_DQ_Meth_max[[#This Row],[Vergleich_ub]]-dict_DQ_Meth_max[[#This Row],[Vergleich_lb]])+dict_DQ_Meth_max[[#This Row],[Vergleich_lb]]</f>
        <v>0.26860999999999996</v>
      </c>
      <c r="H1139" s="11" t="str">
        <f ca="1">VLOOKUP(VLOOKUP(dict_DQ_Meth_max[[#This Row],[ID_DataQualities]],table_DataQualities[],3),table_Units[],2)</f>
        <v>+/- cm³/s</v>
      </c>
      <c r="I1139" s="10"/>
      <c r="J1139" s="10"/>
      <c r="K1139" s="10"/>
      <c r="L1139" s="10">
        <f ca="1">VLOOKUP(dict_DQ_Meth_max[[#This Row],[ID_DataQualities]],table_DataQualities[],8,FALSE)</f>
        <v>1.6999999999999999E-3</v>
      </c>
      <c r="M1139" s="10">
        <f ca="1">VLOOKUP(dict_DQ_Meth_max[[#This Row],[ID_DataQualities]],table_DataQualities[],9,FALSE)</f>
        <v>0.38300000000000001</v>
      </c>
    </row>
    <row r="1140" spans="1:13" x14ac:dyDescent="0.45">
      <c r="A1140" s="10">
        <v>304</v>
      </c>
      <c r="B1140" s="10">
        <v>519</v>
      </c>
      <c r="C11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0" s="10"/>
      <c r="E1140" s="10"/>
      <c r="F1140" s="12">
        <f ca="1">(RANDBETWEEN(0,50)/100)*(dict_DQ_Meth_max[[#This Row],[Vergleich_ub]]-dict_DQ_Meth_max[[#This Row],[Vergleich_lb]])+dict_DQ_Meth_max[[#This Row],[Vergleich_lb]]</f>
        <v>2608.2671600000003</v>
      </c>
      <c r="G1140" s="12">
        <f ca="1">(RANDBETWEEN(50,100)/100)*(dict_DQ_Meth_max[[#This Row],[Vergleich_ub]]-dict_DQ_Meth_max[[#This Row],[Vergleich_lb]])+dict_DQ_Meth_max[[#This Row],[Vergleich_lb]]</f>
        <v>4455.7309399999995</v>
      </c>
      <c r="H1140" s="11" t="str">
        <f ca="1">VLOOKUP(VLOOKUP(dict_DQ_Meth_max[[#This Row],[ID_DataQualities]],table_DataQualities[],3),table_Units[],2)</f>
        <v>Hz</v>
      </c>
      <c r="I1140" s="10"/>
      <c r="J1140" s="10"/>
      <c r="K1140" s="10"/>
      <c r="L1140" s="10">
        <f ca="1">VLOOKUP(dict_DQ_Meth_max[[#This Row],[ID_DataQualities]],table_DataQualities[],8,FALSE)</f>
        <v>8.3000000000000004E-2</v>
      </c>
      <c r="M1140" s="10">
        <f ca="1">VLOOKUP(dict_DQ_Meth_max[[#This Row],[ID_DataQualities]],table_DataQualities[],9,FALSE)</f>
        <v>5433.8</v>
      </c>
    </row>
    <row r="1141" spans="1:13" x14ac:dyDescent="0.45">
      <c r="A1141" s="10">
        <v>304</v>
      </c>
      <c r="B1141" s="10">
        <v>0</v>
      </c>
      <c r="C11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1" s="10"/>
      <c r="E1141" s="10"/>
      <c r="F1141" s="12">
        <f ca="1">(RANDBETWEEN(0,50)/100)*(dict_DQ_Meth_max[[#This Row],[Vergleich_ub]]-dict_DQ_Meth_max[[#This Row],[Vergleich_lb]])+dict_DQ_Meth_max[[#This Row],[Vergleich_lb]]</f>
        <v>1358.5122500000002</v>
      </c>
      <c r="G1141" s="12">
        <f ca="1">(RANDBETWEEN(50,100)/100)*(dict_DQ_Meth_max[[#This Row],[Vergleich_ub]]-dict_DQ_Meth_max[[#This Row],[Vergleich_lb]])+dict_DQ_Meth_max[[#This Row],[Vergleich_lb]]</f>
        <v>3858.0220700000004</v>
      </c>
      <c r="H1141" s="11" t="str">
        <f ca="1">VLOOKUP(VLOOKUP(dict_DQ_Meth_max[[#This Row],[ID_DataQualities]],table_DataQualities[],3),table_Units[],2)</f>
        <v>Hz</v>
      </c>
      <c r="I1141" s="10"/>
      <c r="J1141" s="10"/>
      <c r="K1141" s="10"/>
      <c r="L1141" s="10">
        <f ca="1">VLOOKUP(dict_DQ_Meth_max[[#This Row],[ID_DataQualities]],table_DataQualities[],8,FALSE)</f>
        <v>8.3000000000000004E-2</v>
      </c>
      <c r="M1141" s="10">
        <f ca="1">VLOOKUP(dict_DQ_Meth_max[[#This Row],[ID_DataQualities]],table_DataQualities[],9,FALSE)</f>
        <v>5433.8</v>
      </c>
    </row>
    <row r="1142" spans="1:13" x14ac:dyDescent="0.45">
      <c r="A1142" s="10">
        <v>304</v>
      </c>
      <c r="B1142" s="10">
        <v>374</v>
      </c>
      <c r="C11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2" s="10"/>
      <c r="E1142" s="10"/>
      <c r="F1142" s="12">
        <f ca="1">(RANDBETWEEN(0,50)/100)*(dict_DQ_Meth_max[[#This Row],[Vergleich_ub]]-dict_DQ_Meth_max[[#This Row],[Vergleich_lb]])+dict_DQ_Meth_max[[#This Row],[Vergleich_lb]]</f>
        <v>815.14055000000008</v>
      </c>
      <c r="G1142" s="12">
        <f ca="1">(RANDBETWEEN(50,100)/100)*(dict_DQ_Meth_max[[#This Row],[Vergleich_ub]]-dict_DQ_Meth_max[[#This Row],[Vergleich_lb]])+dict_DQ_Meth_max[[#This Row],[Vergleich_lb]]</f>
        <v>3640.6733900000008</v>
      </c>
      <c r="H1142" s="11" t="str">
        <f ca="1">VLOOKUP(VLOOKUP(dict_DQ_Meth_max[[#This Row],[ID_DataQualities]],table_DataQualities[],3),table_Units[],2)</f>
        <v>Hz</v>
      </c>
      <c r="I1142" s="10"/>
      <c r="J1142" s="10"/>
      <c r="K1142" s="10"/>
      <c r="L1142" s="10">
        <f ca="1">VLOOKUP(dict_DQ_Meth_max[[#This Row],[ID_DataQualities]],table_DataQualities[],8,FALSE)</f>
        <v>8.3000000000000004E-2</v>
      </c>
      <c r="M1142" s="10">
        <f ca="1">VLOOKUP(dict_DQ_Meth_max[[#This Row],[ID_DataQualities]],table_DataQualities[],9,FALSE)</f>
        <v>5433.8</v>
      </c>
    </row>
    <row r="1143" spans="1:13" x14ac:dyDescent="0.45">
      <c r="A1143" s="10">
        <v>305</v>
      </c>
      <c r="B1143" s="10">
        <v>0</v>
      </c>
      <c r="C11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3" s="10"/>
      <c r="E1143" s="10"/>
      <c r="F1143" s="12">
        <f ca="1">(RANDBETWEEN(0,50)/100)*(dict_DQ_Meth_max[[#This Row],[Vergleich_ub]]-dict_DQ_Meth_max[[#This Row],[Vergleich_lb]])+dict_DQ_Meth_max[[#This Row],[Vergleich_lb]]</f>
        <v>3.4619999999999997</v>
      </c>
      <c r="G1143" s="12">
        <f ca="1">(RANDBETWEEN(50,100)/100)*(dict_DQ_Meth_max[[#This Row],[Vergleich_ub]]-dict_DQ_Meth_max[[#This Row],[Vergleich_lb]])+dict_DQ_Meth_max[[#This Row],[Vergleich_lb]]</f>
        <v>4.0720000000000001</v>
      </c>
      <c r="H1143" s="11" t="str">
        <f ca="1">VLOOKUP(VLOOKUP(dict_DQ_Meth_max[[#This Row],[ID_DataQualities]],table_DataQualities[],3),table_Units[],2)</f>
        <v>+/- °C</v>
      </c>
      <c r="I1143" s="10"/>
      <c r="J1143" s="10"/>
      <c r="K1143" s="10"/>
      <c r="L1143" s="10">
        <f ca="1">VLOOKUP(dict_DQ_Meth_max[[#This Row],[ID_DataQualities]],table_DataQualities[],8,FALSE)</f>
        <v>0.9</v>
      </c>
      <c r="M1143" s="10">
        <f ca="1">VLOOKUP(dict_DQ_Meth_max[[#This Row],[ID_DataQualities]],table_DataQualities[],9,FALSE)</f>
        <v>7</v>
      </c>
    </row>
    <row r="1144" spans="1:13" x14ac:dyDescent="0.45">
      <c r="A1144" s="10">
        <v>305</v>
      </c>
      <c r="B1144" s="10">
        <v>519</v>
      </c>
      <c r="C11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4" s="10"/>
      <c r="E1144" s="10"/>
      <c r="F1144" s="12">
        <f ca="1">(RANDBETWEEN(0,50)/100)*(dict_DQ_Meth_max[[#This Row],[Vergleich_ub]]-dict_DQ_Meth_max[[#This Row],[Vergleich_lb]])+dict_DQ_Meth_max[[#This Row],[Vergleich_lb]]</f>
        <v>2.6080000000000001</v>
      </c>
      <c r="G1144" s="12">
        <f ca="1">(RANDBETWEEN(50,100)/100)*(dict_DQ_Meth_max[[#This Row],[Vergleich_ub]]-dict_DQ_Meth_max[[#This Row],[Vergleich_lb]])+dict_DQ_Meth_max[[#This Row],[Vergleich_lb]]</f>
        <v>5.5970000000000004</v>
      </c>
      <c r="H1144" s="11" t="str">
        <f ca="1">VLOOKUP(VLOOKUP(dict_DQ_Meth_max[[#This Row],[ID_DataQualities]],table_DataQualities[],3),table_Units[],2)</f>
        <v>+/- °C</v>
      </c>
      <c r="I1144" s="10"/>
      <c r="J1144" s="10"/>
      <c r="K1144" s="10"/>
      <c r="L1144" s="10">
        <f ca="1">VLOOKUP(dict_DQ_Meth_max[[#This Row],[ID_DataQualities]],table_DataQualities[],8,FALSE)</f>
        <v>0.9</v>
      </c>
      <c r="M1144" s="10">
        <f ca="1">VLOOKUP(dict_DQ_Meth_max[[#This Row],[ID_DataQualities]],table_DataQualities[],9,FALSE)</f>
        <v>7</v>
      </c>
    </row>
    <row r="1145" spans="1:13" x14ac:dyDescent="0.45">
      <c r="A1145" s="10">
        <v>305</v>
      </c>
      <c r="B1145" s="10">
        <v>374</v>
      </c>
      <c r="C11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5" s="10"/>
      <c r="E1145" s="10"/>
      <c r="F1145" s="12">
        <f ca="1">(RANDBETWEEN(0,50)/100)*(dict_DQ_Meth_max[[#This Row],[Vergleich_ub]]-dict_DQ_Meth_max[[#This Row],[Vergleich_lb]])+dict_DQ_Meth_max[[#This Row],[Vergleich_lb]]</f>
        <v>3.645</v>
      </c>
      <c r="G1145" s="12">
        <f ca="1">(RANDBETWEEN(50,100)/100)*(dict_DQ_Meth_max[[#This Row],[Vergleich_ub]]-dict_DQ_Meth_max[[#This Row],[Vergleich_lb]])+dict_DQ_Meth_max[[#This Row],[Vergleich_lb]]</f>
        <v>4.6819999999999995</v>
      </c>
      <c r="H1145" s="11" t="str">
        <f ca="1">VLOOKUP(VLOOKUP(dict_DQ_Meth_max[[#This Row],[ID_DataQualities]],table_DataQualities[],3),table_Units[],2)</f>
        <v>+/- °C</v>
      </c>
      <c r="I1145" s="10"/>
      <c r="J1145" s="10"/>
      <c r="K1145" s="10"/>
      <c r="L1145" s="10">
        <f ca="1">VLOOKUP(dict_DQ_Meth_max[[#This Row],[ID_DataQualities]],table_DataQualities[],8,FALSE)</f>
        <v>0.9</v>
      </c>
      <c r="M1145" s="10">
        <f ca="1">VLOOKUP(dict_DQ_Meth_max[[#This Row],[ID_DataQualities]],table_DataQualities[],9,FALSE)</f>
        <v>7</v>
      </c>
    </row>
    <row r="1146" spans="1:13" x14ac:dyDescent="0.45">
      <c r="A1146" s="10">
        <v>306</v>
      </c>
      <c r="B1146" s="10">
        <v>683</v>
      </c>
      <c r="C11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6" s="10"/>
      <c r="E1146" s="10"/>
      <c r="F1146" s="12">
        <f ca="1">(RANDBETWEEN(0,50)/100)*(dict_DQ_Meth_max[[#This Row],[Vergleich_ub]]-dict_DQ_Meth_max[[#This Row],[Vergleich_lb]])+dict_DQ_Meth_max[[#This Row],[Vergleich_lb]]</f>
        <v>118.4872</v>
      </c>
      <c r="G1146" s="12">
        <f ca="1">(RANDBETWEEN(50,100)/100)*(dict_DQ_Meth_max[[#This Row],[Vergleich_ub]]-dict_DQ_Meth_max[[#This Row],[Vergleich_lb]])+dict_DQ_Meth_max[[#This Row],[Vergleich_lb]]</f>
        <v>1774.9279999999999</v>
      </c>
      <c r="H1146" s="11" t="str">
        <f ca="1">VLOOKUP(VLOOKUP(dict_DQ_Meth_max[[#This Row],[ID_DataQualities]],table_DataQualities[],3),table_Units[],2)</f>
        <v>Hz</v>
      </c>
      <c r="I1146" s="10"/>
      <c r="J1146" s="10"/>
      <c r="K1146" s="10"/>
      <c r="L1146" s="10">
        <f ca="1">VLOOKUP(dict_DQ_Meth_max[[#This Row],[ID_DataQualities]],table_DataQualities[],8,FALSE)</f>
        <v>0.17</v>
      </c>
      <c r="M1146" s="10">
        <f ca="1">VLOOKUP(dict_DQ_Meth_max[[#This Row],[ID_DataQualities]],table_DataQualities[],9,FALSE)</f>
        <v>2958.1</v>
      </c>
    </row>
    <row r="1147" spans="1:13" x14ac:dyDescent="0.45">
      <c r="A1147" s="10">
        <v>306</v>
      </c>
      <c r="B1147" s="10">
        <v>386</v>
      </c>
      <c r="C11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7" s="10"/>
      <c r="E1147" s="10"/>
      <c r="F1147" s="12">
        <f ca="1">(RANDBETWEEN(0,50)/100)*(dict_DQ_Meth_max[[#This Row],[Vergleich_ub]]-dict_DQ_Meth_max[[#This Row],[Vergleich_lb]])+dict_DQ_Meth_max[[#This Row],[Vergleich_lb]]</f>
        <v>1272.0799</v>
      </c>
      <c r="G1147" s="12">
        <f ca="1">(RANDBETWEEN(50,100)/100)*(dict_DQ_Meth_max[[#This Row],[Vergleich_ub]]-dict_DQ_Meth_max[[#This Row],[Vergleich_lb]])+dict_DQ_Meth_max[[#This Row],[Vergleich_lb]]</f>
        <v>2396.0933</v>
      </c>
      <c r="H1147" s="11" t="str">
        <f ca="1">VLOOKUP(VLOOKUP(dict_DQ_Meth_max[[#This Row],[ID_DataQualities]],table_DataQualities[],3),table_Units[],2)</f>
        <v>Hz</v>
      </c>
      <c r="I1147" s="10"/>
      <c r="J1147" s="10"/>
      <c r="K1147" s="10"/>
      <c r="L1147" s="10">
        <f ca="1">VLOOKUP(dict_DQ_Meth_max[[#This Row],[ID_DataQualities]],table_DataQualities[],8,FALSE)</f>
        <v>0.17</v>
      </c>
      <c r="M1147" s="10">
        <f ca="1">VLOOKUP(dict_DQ_Meth_max[[#This Row],[ID_DataQualities]],table_DataQualities[],9,FALSE)</f>
        <v>2958.1</v>
      </c>
    </row>
    <row r="1148" spans="1:13" x14ac:dyDescent="0.45">
      <c r="A1148" s="10">
        <v>306</v>
      </c>
      <c r="B1148" s="10">
        <v>609</v>
      </c>
      <c r="C11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8" s="10"/>
      <c r="E1148" s="10"/>
      <c r="F1148" s="12">
        <f ca="1">(RANDBETWEEN(0,50)/100)*(dict_DQ_Meth_max[[#This Row],[Vergleich_ub]]-dict_DQ_Meth_max[[#This Row],[Vergleich_lb]])+dict_DQ_Meth_max[[#This Row],[Vergleich_lb]]</f>
        <v>1065.0247999999999</v>
      </c>
      <c r="G1148" s="12">
        <f ca="1">(RANDBETWEEN(50,100)/100)*(dict_DQ_Meth_max[[#This Row],[Vergleich_ub]]-dict_DQ_Meth_max[[#This Row],[Vergleich_lb]])+dict_DQ_Meth_max[[#This Row],[Vergleich_lb]]</f>
        <v>2011.5624</v>
      </c>
      <c r="H1148" s="11" t="str">
        <f ca="1">VLOOKUP(VLOOKUP(dict_DQ_Meth_max[[#This Row],[ID_DataQualities]],table_DataQualities[],3),table_Units[],2)</f>
        <v>Hz</v>
      </c>
      <c r="I1148" s="10"/>
      <c r="J1148" s="10"/>
      <c r="K1148" s="10"/>
      <c r="L1148" s="10">
        <f ca="1">VLOOKUP(dict_DQ_Meth_max[[#This Row],[ID_DataQualities]],table_DataQualities[],8,FALSE)</f>
        <v>0.17</v>
      </c>
      <c r="M1148" s="10">
        <f ca="1">VLOOKUP(dict_DQ_Meth_max[[#This Row],[ID_DataQualities]],table_DataQualities[],9,FALSE)</f>
        <v>2958.1</v>
      </c>
    </row>
    <row r="1149" spans="1:13" x14ac:dyDescent="0.45">
      <c r="A1149" s="10">
        <v>306</v>
      </c>
      <c r="B1149" s="10">
        <v>653</v>
      </c>
      <c r="C11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49" s="10"/>
      <c r="E1149" s="10"/>
      <c r="F1149" s="12">
        <f ca="1">(RANDBETWEEN(0,50)/100)*(dict_DQ_Meth_max[[#This Row],[Vergleich_ub]]-dict_DQ_Meth_max[[#This Row],[Vergleich_lb]])+dict_DQ_Meth_max[[#This Row],[Vergleich_lb]]</f>
        <v>177.64579999999998</v>
      </c>
      <c r="G1149" s="12">
        <f ca="1">(RANDBETWEEN(50,100)/100)*(dict_DQ_Meth_max[[#This Row],[Vergleich_ub]]-dict_DQ_Meth_max[[#This Row],[Vergleich_lb]])+dict_DQ_Meth_max[[#This Row],[Vergleich_lb]]</f>
        <v>2455.2518999999998</v>
      </c>
      <c r="H1149" s="11" t="str">
        <f ca="1">VLOOKUP(VLOOKUP(dict_DQ_Meth_max[[#This Row],[ID_DataQualities]],table_DataQualities[],3),table_Units[],2)</f>
        <v>Hz</v>
      </c>
      <c r="I1149" s="10"/>
      <c r="J1149" s="10"/>
      <c r="K1149" s="10"/>
      <c r="L1149" s="10">
        <f ca="1">VLOOKUP(dict_DQ_Meth_max[[#This Row],[ID_DataQualities]],table_DataQualities[],8,FALSE)</f>
        <v>0.17</v>
      </c>
      <c r="M1149" s="10">
        <f ca="1">VLOOKUP(dict_DQ_Meth_max[[#This Row],[ID_DataQualities]],table_DataQualities[],9,FALSE)</f>
        <v>2958.1</v>
      </c>
    </row>
    <row r="1150" spans="1:13" x14ac:dyDescent="0.45">
      <c r="A1150" s="10">
        <v>307</v>
      </c>
      <c r="B1150" s="10">
        <v>683</v>
      </c>
      <c r="C11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0" s="10"/>
      <c r="E1150" s="10"/>
      <c r="F1150" s="12">
        <f ca="1">(RANDBETWEEN(0,50)/100)*(dict_DQ_Meth_max[[#This Row],[Vergleich_ub]]-dict_DQ_Meth_max[[#This Row],[Vergleich_lb]])+dict_DQ_Meth_max[[#This Row],[Vergleich_lb]]</f>
        <v>1.7</v>
      </c>
      <c r="G1150" s="12">
        <f ca="1">(RANDBETWEEN(50,100)/100)*(dict_DQ_Meth_max[[#This Row],[Vergleich_ub]]-dict_DQ_Meth_max[[#This Row],[Vergleich_lb]])+dict_DQ_Meth_max[[#This Row],[Vergleich_lb]]</f>
        <v>6.125</v>
      </c>
      <c r="H1150" s="11" t="str">
        <f ca="1">VLOOKUP(VLOOKUP(dict_DQ_Meth_max[[#This Row],[ID_DataQualities]],table_DataQualities[],3),table_Units[],2)</f>
        <v>+/- °C</v>
      </c>
      <c r="I1150" s="10"/>
      <c r="J1150" s="10"/>
      <c r="K1150" s="10"/>
      <c r="L1150" s="10">
        <f ca="1">VLOOKUP(dict_DQ_Meth_max[[#This Row],[ID_DataQualities]],table_DataQualities[],8,FALSE)</f>
        <v>0.5</v>
      </c>
      <c r="M1150" s="10">
        <f ca="1">VLOOKUP(dict_DQ_Meth_max[[#This Row],[ID_DataQualities]],table_DataQualities[],9,FALSE)</f>
        <v>8</v>
      </c>
    </row>
    <row r="1151" spans="1:13" x14ac:dyDescent="0.45">
      <c r="A1151" s="10">
        <v>307</v>
      </c>
      <c r="B1151" s="10">
        <v>609</v>
      </c>
      <c r="C11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1" s="10"/>
      <c r="E1151" s="10"/>
      <c r="F1151" s="12">
        <f ca="1">(RANDBETWEEN(0,50)/100)*(dict_DQ_Meth_max[[#This Row],[Vergleich_ub]]-dict_DQ_Meth_max[[#This Row],[Vergleich_lb]])+dict_DQ_Meth_max[[#This Row],[Vergleich_lb]]</f>
        <v>2.6749999999999998</v>
      </c>
      <c r="G1151" s="12">
        <f ca="1">(RANDBETWEEN(50,100)/100)*(dict_DQ_Meth_max[[#This Row],[Vergleich_ub]]-dict_DQ_Meth_max[[#This Row],[Vergleich_lb]])+dict_DQ_Meth_max[[#This Row],[Vergleich_lb]]</f>
        <v>7.625</v>
      </c>
      <c r="H1151" s="11" t="str">
        <f ca="1">VLOOKUP(VLOOKUP(dict_DQ_Meth_max[[#This Row],[ID_DataQualities]],table_DataQualities[],3),table_Units[],2)</f>
        <v>+/- °C</v>
      </c>
      <c r="I1151" s="10"/>
      <c r="J1151" s="10"/>
      <c r="K1151" s="10"/>
      <c r="L1151" s="10">
        <f ca="1">VLOOKUP(dict_DQ_Meth_max[[#This Row],[ID_DataQualities]],table_DataQualities[],8,FALSE)</f>
        <v>0.5</v>
      </c>
      <c r="M1151" s="10">
        <f ca="1">VLOOKUP(dict_DQ_Meth_max[[#This Row],[ID_DataQualities]],table_DataQualities[],9,FALSE)</f>
        <v>8</v>
      </c>
    </row>
    <row r="1152" spans="1:13" x14ac:dyDescent="0.45">
      <c r="A1152" s="10">
        <v>307</v>
      </c>
      <c r="B1152" s="10">
        <v>386</v>
      </c>
      <c r="C11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2" s="10"/>
      <c r="E1152" s="10"/>
      <c r="F1152" s="12">
        <f ca="1">(RANDBETWEEN(0,50)/100)*(dict_DQ_Meth_max[[#This Row],[Vergleich_ub]]-dict_DQ_Meth_max[[#This Row],[Vergleich_lb]])+dict_DQ_Meth_max[[#This Row],[Vergleich_lb]]</f>
        <v>2.2250000000000001</v>
      </c>
      <c r="G1152" s="12">
        <f ca="1">(RANDBETWEEN(50,100)/100)*(dict_DQ_Meth_max[[#This Row],[Vergleich_ub]]-dict_DQ_Meth_max[[#This Row],[Vergleich_lb]])+dict_DQ_Meth_max[[#This Row],[Vergleich_lb]]</f>
        <v>6.4250000000000007</v>
      </c>
      <c r="H1152" s="11" t="str">
        <f ca="1">VLOOKUP(VLOOKUP(dict_DQ_Meth_max[[#This Row],[ID_DataQualities]],table_DataQualities[],3),table_Units[],2)</f>
        <v>+/- °C</v>
      </c>
      <c r="I1152" s="10"/>
      <c r="J1152" s="10"/>
      <c r="K1152" s="10"/>
      <c r="L1152" s="10">
        <f ca="1">VLOOKUP(dict_DQ_Meth_max[[#This Row],[ID_DataQualities]],table_DataQualities[],8,FALSE)</f>
        <v>0.5</v>
      </c>
      <c r="M1152" s="10">
        <f ca="1">VLOOKUP(dict_DQ_Meth_max[[#This Row],[ID_DataQualities]],table_DataQualities[],9,FALSE)</f>
        <v>8</v>
      </c>
    </row>
    <row r="1153" spans="1:13" x14ac:dyDescent="0.45">
      <c r="A1153" s="10">
        <v>307</v>
      </c>
      <c r="B1153" s="10">
        <v>653</v>
      </c>
      <c r="C11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3" s="10"/>
      <c r="E1153" s="10"/>
      <c r="F1153" s="12">
        <f ca="1">(RANDBETWEEN(0,50)/100)*(dict_DQ_Meth_max[[#This Row],[Vergleich_ub]]-dict_DQ_Meth_max[[#This Row],[Vergleich_lb]])+dict_DQ_Meth_max[[#This Row],[Vergleich_lb]]</f>
        <v>3.5749999999999997</v>
      </c>
      <c r="G1153" s="12">
        <f ca="1">(RANDBETWEEN(50,100)/100)*(dict_DQ_Meth_max[[#This Row],[Vergleich_ub]]-dict_DQ_Meth_max[[#This Row],[Vergleich_lb]])+dict_DQ_Meth_max[[#This Row],[Vergleich_lb]]</f>
        <v>6.8</v>
      </c>
      <c r="H1153" s="11" t="str">
        <f ca="1">VLOOKUP(VLOOKUP(dict_DQ_Meth_max[[#This Row],[ID_DataQualities]],table_DataQualities[],3),table_Units[],2)</f>
        <v>+/- °C</v>
      </c>
      <c r="I1153" s="10"/>
      <c r="J1153" s="10"/>
      <c r="K1153" s="10"/>
      <c r="L1153" s="10">
        <f ca="1">VLOOKUP(dict_DQ_Meth_max[[#This Row],[ID_DataQualities]],table_DataQualities[],8,FALSE)</f>
        <v>0.5</v>
      </c>
      <c r="M1153" s="10">
        <f ca="1">VLOOKUP(dict_DQ_Meth_max[[#This Row],[ID_DataQualities]],table_DataQualities[],9,FALSE)</f>
        <v>8</v>
      </c>
    </row>
    <row r="1154" spans="1:13" x14ac:dyDescent="0.45">
      <c r="A1154" s="10">
        <v>308</v>
      </c>
      <c r="B1154" s="10">
        <v>226</v>
      </c>
      <c r="C11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4" s="10"/>
      <c r="E1154" s="10"/>
      <c r="F1154" s="12">
        <f ca="1">(RANDBETWEEN(0,50)/100)*(dict_DQ_Meth_max[[#This Row],[Vergleich_ub]]-dict_DQ_Meth_max[[#This Row],[Vergleich_lb]])+dict_DQ_Meth_max[[#This Row],[Vergleich_lb]]</f>
        <v>277.93253000000004</v>
      </c>
      <c r="G1154" s="12">
        <f ca="1">(RANDBETWEEN(50,100)/100)*(dict_DQ_Meth_max[[#This Row],[Vergleich_ub]]-dict_DQ_Meth_max[[#This Row],[Vergleich_lb]])+dict_DQ_Meth_max[[#This Row],[Vergleich_lb]]</f>
        <v>8796.62745</v>
      </c>
      <c r="H1154" s="11" t="str">
        <f ca="1">VLOOKUP(VLOOKUP(dict_DQ_Meth_max[[#This Row],[ID_DataQualities]],table_DataQualities[],3),table_Units[],2)</f>
        <v>Hz</v>
      </c>
      <c r="I1154" s="10"/>
      <c r="J1154" s="10"/>
      <c r="K1154" s="10"/>
      <c r="L1154" s="10">
        <f ca="1">VLOOKUP(dict_DQ_Meth_max[[#This Row],[ID_DataQualities]],table_DataQualities[],8,FALSE)</f>
        <v>0.14899999999999999</v>
      </c>
      <c r="M1154" s="10">
        <f ca="1">VLOOKUP(dict_DQ_Meth_max[[#This Row],[ID_DataQualities]],table_DataQualities[],9,FALSE)</f>
        <v>9259.6</v>
      </c>
    </row>
    <row r="1155" spans="1:13" x14ac:dyDescent="0.45">
      <c r="A1155" s="10">
        <v>308</v>
      </c>
      <c r="B1155" s="10">
        <v>336</v>
      </c>
      <c r="C11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5" s="10"/>
      <c r="E1155" s="10"/>
      <c r="F1155" s="12">
        <f ca="1">(RANDBETWEEN(0,50)/100)*(dict_DQ_Meth_max[[#This Row],[Vergleich_ub]]-dict_DQ_Meth_max[[#This Row],[Vergleich_lb]])+dict_DQ_Meth_max[[#This Row],[Vergleich_lb]]</f>
        <v>2777.9843000000001</v>
      </c>
      <c r="G1155" s="12">
        <f ca="1">(RANDBETWEEN(50,100)/100)*(dict_DQ_Meth_max[[#This Row],[Vergleich_ub]]-dict_DQ_Meth_max[[#This Row],[Vergleich_lb]])+dict_DQ_Meth_max[[#This Row],[Vergleich_lb]]</f>
        <v>5185.4415600000011</v>
      </c>
      <c r="H1155" s="11" t="str">
        <f ca="1">VLOOKUP(VLOOKUP(dict_DQ_Meth_max[[#This Row],[ID_DataQualities]],table_DataQualities[],3),table_Units[],2)</f>
        <v>Hz</v>
      </c>
      <c r="I1155" s="10"/>
      <c r="J1155" s="10"/>
      <c r="K1155" s="10"/>
      <c r="L1155" s="10">
        <f ca="1">VLOOKUP(dict_DQ_Meth_max[[#This Row],[ID_DataQualities]],table_DataQualities[],8,FALSE)</f>
        <v>0.14899999999999999</v>
      </c>
      <c r="M1155" s="10">
        <f ca="1">VLOOKUP(dict_DQ_Meth_max[[#This Row],[ID_DataQualities]],table_DataQualities[],9,FALSE)</f>
        <v>9259.6</v>
      </c>
    </row>
    <row r="1156" spans="1:13" x14ac:dyDescent="0.45">
      <c r="A1156" s="10">
        <v>308</v>
      </c>
      <c r="B1156" s="10">
        <v>69</v>
      </c>
      <c r="C11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6" s="10"/>
      <c r="E1156" s="10"/>
      <c r="F1156" s="12">
        <f ca="1">(RANDBETWEEN(0,50)/100)*(dict_DQ_Meth_max[[#This Row],[Vergleich_ub]]-dict_DQ_Meth_max[[#This Row],[Vergleich_lb]])+dict_DQ_Meth_max[[#This Row],[Vergleich_lb]]</f>
        <v>4537.2799900000009</v>
      </c>
      <c r="G1156" s="12">
        <f ca="1">(RANDBETWEEN(50,100)/100)*(dict_DQ_Meth_max[[#This Row],[Vergleich_ub]]-dict_DQ_Meth_max[[#This Row],[Vergleich_lb]])+dict_DQ_Meth_max[[#This Row],[Vergleich_lb]]</f>
        <v>8426.2494100000004</v>
      </c>
      <c r="H1156" s="11" t="str">
        <f ca="1">VLOOKUP(VLOOKUP(dict_DQ_Meth_max[[#This Row],[ID_DataQualities]],table_DataQualities[],3),table_Units[],2)</f>
        <v>Hz</v>
      </c>
      <c r="I1156" s="10"/>
      <c r="J1156" s="10"/>
      <c r="K1156" s="10"/>
      <c r="L1156" s="10">
        <f ca="1">VLOOKUP(dict_DQ_Meth_max[[#This Row],[ID_DataQualities]],table_DataQualities[],8,FALSE)</f>
        <v>0.14899999999999999</v>
      </c>
      <c r="M1156" s="10">
        <f ca="1">VLOOKUP(dict_DQ_Meth_max[[#This Row],[ID_DataQualities]],table_DataQualities[],9,FALSE)</f>
        <v>9259.6</v>
      </c>
    </row>
    <row r="1157" spans="1:13" x14ac:dyDescent="0.45">
      <c r="A1157" s="10">
        <v>309</v>
      </c>
      <c r="B1157" s="10">
        <v>69</v>
      </c>
      <c r="C11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7" s="10"/>
      <c r="E1157" s="10"/>
      <c r="F1157" s="12">
        <f ca="1">(RANDBETWEEN(0,50)/100)*(dict_DQ_Meth_max[[#This Row],[Vergleich_ub]]-dict_DQ_Meth_max[[#This Row],[Vergleich_lb]])+dict_DQ_Meth_max[[#This Row],[Vergleich_lb]]</f>
        <v>1961.6000000000001</v>
      </c>
      <c r="G1157" s="12">
        <f ca="1">(RANDBETWEEN(50,100)/100)*(dict_DQ_Meth_max[[#This Row],[Vergleich_ub]]-dict_DQ_Meth_max[[#This Row],[Vergleich_lb]])+dict_DQ_Meth_max[[#This Row],[Vergleich_lb]]</f>
        <v>6446.81</v>
      </c>
      <c r="H1157" s="11" t="str">
        <f ca="1">VLOOKUP(VLOOKUP(dict_DQ_Meth_max[[#This Row],[ID_DataQualities]],table_DataQualities[],3),table_Units[],2)</f>
        <v>bit</v>
      </c>
      <c r="I1157" s="10"/>
      <c r="J1157" s="10"/>
      <c r="K1157" s="10"/>
      <c r="L1157" s="10">
        <f ca="1">VLOOKUP(dict_DQ_Meth_max[[#This Row],[ID_DataQualities]],table_DataQualities[],8,FALSE)</f>
        <v>53</v>
      </c>
      <c r="M1157" s="10">
        <f ca="1">VLOOKUP(dict_DQ_Meth_max[[#This Row],[ID_DataQualities]],table_DataQualities[],9,FALSE)</f>
        <v>9596</v>
      </c>
    </row>
    <row r="1158" spans="1:13" x14ac:dyDescent="0.45">
      <c r="A1158" s="10">
        <v>309</v>
      </c>
      <c r="B1158" s="10">
        <v>336</v>
      </c>
      <c r="C11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8" s="10"/>
      <c r="E1158" s="10"/>
      <c r="F1158" s="12">
        <f ca="1">(RANDBETWEEN(0,50)/100)*(dict_DQ_Meth_max[[#This Row],[Vergleich_ub]]-dict_DQ_Meth_max[[#This Row],[Vergleich_lb]])+dict_DQ_Meth_max[[#This Row],[Vergleich_lb]]</f>
        <v>4156.49</v>
      </c>
      <c r="G1158" s="12">
        <f ca="1">(RANDBETWEEN(50,100)/100)*(dict_DQ_Meth_max[[#This Row],[Vergleich_ub]]-dict_DQ_Meth_max[[#This Row],[Vergleich_lb]])+dict_DQ_Meth_max[[#This Row],[Vergleich_lb]]</f>
        <v>8641.7000000000007</v>
      </c>
      <c r="H1158" s="11" t="str">
        <f ca="1">VLOOKUP(VLOOKUP(dict_DQ_Meth_max[[#This Row],[ID_DataQualities]],table_DataQualities[],3),table_Units[],2)</f>
        <v>bit</v>
      </c>
      <c r="I1158" s="10"/>
      <c r="J1158" s="10"/>
      <c r="K1158" s="10"/>
      <c r="L1158" s="10">
        <f ca="1">VLOOKUP(dict_DQ_Meth_max[[#This Row],[ID_DataQualities]],table_DataQualities[],8,FALSE)</f>
        <v>53</v>
      </c>
      <c r="M1158" s="10">
        <f ca="1">VLOOKUP(dict_DQ_Meth_max[[#This Row],[ID_DataQualities]],table_DataQualities[],9,FALSE)</f>
        <v>9596</v>
      </c>
    </row>
    <row r="1159" spans="1:13" x14ac:dyDescent="0.45">
      <c r="A1159" s="10">
        <v>309</v>
      </c>
      <c r="B1159" s="10">
        <v>226</v>
      </c>
      <c r="C11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59" s="10"/>
      <c r="E1159" s="10"/>
      <c r="F1159" s="12">
        <f ca="1">(RANDBETWEEN(0,50)/100)*(dict_DQ_Meth_max[[#This Row],[Vergleich_ub]]-dict_DQ_Meth_max[[#This Row],[Vergleich_lb]])+dict_DQ_Meth_max[[#This Row],[Vergleich_lb]]</f>
        <v>3870.2000000000003</v>
      </c>
      <c r="G1159" s="12">
        <f ca="1">(RANDBETWEEN(50,100)/100)*(dict_DQ_Meth_max[[#This Row],[Vergleich_ub]]-dict_DQ_Meth_max[[#This Row],[Vergleich_lb]])+dict_DQ_Meth_max[[#This Row],[Vergleich_lb]]</f>
        <v>8641.7000000000007</v>
      </c>
      <c r="H1159" s="11" t="str">
        <f ca="1">VLOOKUP(VLOOKUP(dict_DQ_Meth_max[[#This Row],[ID_DataQualities]],table_DataQualities[],3),table_Units[],2)</f>
        <v>bit</v>
      </c>
      <c r="I1159" s="10"/>
      <c r="J1159" s="10"/>
      <c r="K1159" s="10"/>
      <c r="L1159" s="10">
        <f ca="1">VLOOKUP(dict_DQ_Meth_max[[#This Row],[ID_DataQualities]],table_DataQualities[],8,FALSE)</f>
        <v>53</v>
      </c>
      <c r="M1159" s="10">
        <f ca="1">VLOOKUP(dict_DQ_Meth_max[[#This Row],[ID_DataQualities]],table_DataQualities[],9,FALSE)</f>
        <v>9596</v>
      </c>
    </row>
    <row r="1160" spans="1:13" x14ac:dyDescent="0.45">
      <c r="A1160" s="10">
        <v>310</v>
      </c>
      <c r="B1160" s="10">
        <v>347</v>
      </c>
      <c r="C11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0" s="10"/>
      <c r="E1160" s="10"/>
      <c r="F1160" s="12">
        <f ca="1">(RANDBETWEEN(0,50)/100)*(dict_DQ_Meth_max[[#This Row],[Vergleich_ub]]-dict_DQ_Meth_max[[#This Row],[Vergleich_lb]])+dict_DQ_Meth_max[[#This Row],[Vergleich_lb]]</f>
        <v>2425.4537600000003</v>
      </c>
      <c r="G1160" s="12">
        <f ca="1">(RANDBETWEEN(50,100)/100)*(dict_DQ_Meth_max[[#This Row],[Vergleich_ub]]-dict_DQ_Meth_max[[#This Row],[Vergleich_lb]])+dict_DQ_Meth_max[[#This Row],[Vergleich_lb]]</f>
        <v>7047.7702399999998</v>
      </c>
      <c r="H1160" s="11" t="str">
        <f ca="1">VLOOKUP(VLOOKUP(dict_DQ_Meth_max[[#This Row],[ID_DataQualities]],table_DataQualities[],3),table_Units[],2)</f>
        <v>Hz</v>
      </c>
      <c r="I1160" s="10"/>
      <c r="J1160" s="10"/>
      <c r="K1160" s="10"/>
      <c r="L1160" s="10">
        <f ca="1">VLOOKUP(dict_DQ_Meth_max[[#This Row],[ID_DataQualities]],table_DataQualities[],8,FALSE)</f>
        <v>0.63200000000000001</v>
      </c>
      <c r="M1160" s="10">
        <f ca="1">VLOOKUP(dict_DQ_Meth_max[[#This Row],[ID_DataQualities]],table_DataQualities[],9,FALSE)</f>
        <v>7578.2</v>
      </c>
    </row>
    <row r="1161" spans="1:13" x14ac:dyDescent="0.45">
      <c r="A1161" s="10">
        <v>310</v>
      </c>
      <c r="B1161" s="10">
        <v>17</v>
      </c>
      <c r="C11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1" s="10"/>
      <c r="E1161" s="10"/>
      <c r="F1161" s="12">
        <f ca="1">(RANDBETWEEN(0,50)/100)*(dict_DQ_Meth_max[[#This Row],[Vergleich_ub]]-dict_DQ_Meth_max[[#This Row],[Vergleich_lb]])+dict_DQ_Meth_max[[#This Row],[Vergleich_lb]]</f>
        <v>2273.9023999999999</v>
      </c>
      <c r="G1161" s="12">
        <f ca="1">(RANDBETWEEN(50,100)/100)*(dict_DQ_Meth_max[[#This Row],[Vergleich_ub]]-dict_DQ_Meth_max[[#This Row],[Vergleich_lb]])+dict_DQ_Meth_max[[#This Row],[Vergleich_lb]]</f>
        <v>6441.5647999999992</v>
      </c>
      <c r="H1161" s="11" t="str">
        <f ca="1">VLOOKUP(VLOOKUP(dict_DQ_Meth_max[[#This Row],[ID_DataQualities]],table_DataQualities[],3),table_Units[],2)</f>
        <v>Hz</v>
      </c>
      <c r="I1161" s="10"/>
      <c r="J1161" s="10"/>
      <c r="K1161" s="10"/>
      <c r="L1161" s="10">
        <f ca="1">VLOOKUP(dict_DQ_Meth_max[[#This Row],[ID_DataQualities]],table_DataQualities[],8,FALSE)</f>
        <v>0.63200000000000001</v>
      </c>
      <c r="M1161" s="10">
        <f ca="1">VLOOKUP(dict_DQ_Meth_max[[#This Row],[ID_DataQualities]],table_DataQualities[],9,FALSE)</f>
        <v>7578.2</v>
      </c>
    </row>
    <row r="1162" spans="1:13" x14ac:dyDescent="0.45">
      <c r="A1162" s="10">
        <v>310</v>
      </c>
      <c r="B1162" s="10">
        <v>276</v>
      </c>
      <c r="C11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2" s="10"/>
      <c r="E1162" s="10"/>
      <c r="F1162" s="12">
        <f ca="1">(RANDBETWEEN(0,50)/100)*(dict_DQ_Meth_max[[#This Row],[Vergleich_ub]]-dict_DQ_Meth_max[[#This Row],[Vergleich_lb]])+dict_DQ_Meth_max[[#This Row],[Vergleich_lb]]</f>
        <v>3107.4348799999998</v>
      </c>
      <c r="G1162" s="12">
        <f ca="1">(RANDBETWEEN(50,100)/100)*(dict_DQ_Meth_max[[#This Row],[Vergleich_ub]]-dict_DQ_Meth_max[[#This Row],[Vergleich_lb]])+dict_DQ_Meth_max[[#This Row],[Vergleich_lb]]</f>
        <v>6744.66752</v>
      </c>
      <c r="H1162" s="11" t="str">
        <f ca="1">VLOOKUP(VLOOKUP(dict_DQ_Meth_max[[#This Row],[ID_DataQualities]],table_DataQualities[],3),table_Units[],2)</f>
        <v>Hz</v>
      </c>
      <c r="I1162" s="10"/>
      <c r="J1162" s="10"/>
      <c r="K1162" s="10"/>
      <c r="L1162" s="10">
        <f ca="1">VLOOKUP(dict_DQ_Meth_max[[#This Row],[ID_DataQualities]],table_DataQualities[],8,FALSE)</f>
        <v>0.63200000000000001</v>
      </c>
      <c r="M1162" s="10">
        <f ca="1">VLOOKUP(dict_DQ_Meth_max[[#This Row],[ID_DataQualities]],table_DataQualities[],9,FALSE)</f>
        <v>7578.2</v>
      </c>
    </row>
    <row r="1163" spans="1:13" x14ac:dyDescent="0.45">
      <c r="A1163" s="10">
        <v>311</v>
      </c>
      <c r="B1163" s="10">
        <v>347</v>
      </c>
      <c r="C11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3" s="10"/>
      <c r="E1163" s="10"/>
      <c r="F1163" s="12">
        <f ca="1">(RANDBETWEEN(0,50)/100)*(dict_DQ_Meth_max[[#This Row],[Vergleich_ub]]-dict_DQ_Meth_max[[#This Row],[Vergleich_lb]])+dict_DQ_Meth_max[[#This Row],[Vergleich_lb]]</f>
        <v>0.57880000000000009</v>
      </c>
      <c r="G1163" s="12">
        <f ca="1">(RANDBETWEEN(50,100)/100)*(dict_DQ_Meth_max[[#This Row],[Vergleich_ub]]-dict_DQ_Meth_max[[#This Row],[Vergleich_lb]])+dict_DQ_Meth_max[[#This Row],[Vergleich_lb]]</f>
        <v>2.2545999999999999</v>
      </c>
      <c r="H1163" s="11" t="str">
        <f ca="1">VLOOKUP(VLOOKUP(dict_DQ_Meth_max[[#This Row],[ID_DataQualities]],table_DataQualities[],3),table_Units[],2)</f>
        <v>+/- W</v>
      </c>
      <c r="I1163" s="10"/>
      <c r="J1163" s="10"/>
      <c r="K1163" s="10"/>
      <c r="L1163" s="10">
        <f ca="1">VLOOKUP(dict_DQ_Meth_max[[#This Row],[ID_DataQualities]],table_DataQualities[],8,FALSE)</f>
        <v>0.1</v>
      </c>
      <c r="M1163" s="10">
        <f ca="1">VLOOKUP(dict_DQ_Meth_max[[#This Row],[ID_DataQualities]],table_DataQualities[],9,FALSE)</f>
        <v>3.52</v>
      </c>
    </row>
    <row r="1164" spans="1:13" x14ac:dyDescent="0.45">
      <c r="A1164" s="10">
        <v>311</v>
      </c>
      <c r="B1164" s="10">
        <v>17</v>
      </c>
      <c r="C11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4" s="10"/>
      <c r="E1164" s="10"/>
      <c r="F1164" s="12">
        <f ca="1">(RANDBETWEEN(0,50)/100)*(dict_DQ_Meth_max[[#This Row],[Vergleich_ub]]-dict_DQ_Meth_max[[#This Row],[Vergleich_lb]])+dict_DQ_Meth_max[[#This Row],[Vergleich_lb]]</f>
        <v>0.68140000000000001</v>
      </c>
      <c r="G1164" s="12">
        <f ca="1">(RANDBETWEEN(50,100)/100)*(dict_DQ_Meth_max[[#This Row],[Vergleich_ub]]-dict_DQ_Meth_max[[#This Row],[Vergleich_lb]])+dict_DQ_Meth_max[[#This Row],[Vergleich_lb]]</f>
        <v>3.3148</v>
      </c>
      <c r="H1164" s="11" t="str">
        <f ca="1">VLOOKUP(VLOOKUP(dict_DQ_Meth_max[[#This Row],[ID_DataQualities]],table_DataQualities[],3),table_Units[],2)</f>
        <v>+/- W</v>
      </c>
      <c r="I1164" s="10"/>
      <c r="J1164" s="10"/>
      <c r="K1164" s="10"/>
      <c r="L1164" s="10">
        <f ca="1">VLOOKUP(dict_DQ_Meth_max[[#This Row],[ID_DataQualities]],table_DataQualities[],8,FALSE)</f>
        <v>0.1</v>
      </c>
      <c r="M1164" s="10">
        <f ca="1">VLOOKUP(dict_DQ_Meth_max[[#This Row],[ID_DataQualities]],table_DataQualities[],9,FALSE)</f>
        <v>3.52</v>
      </c>
    </row>
    <row r="1165" spans="1:13" x14ac:dyDescent="0.45">
      <c r="A1165" s="10">
        <v>311</v>
      </c>
      <c r="B1165" s="10">
        <v>276</v>
      </c>
      <c r="C11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5" s="10"/>
      <c r="E1165" s="10"/>
      <c r="F1165" s="12">
        <f ca="1">(RANDBETWEEN(0,50)/100)*(dict_DQ_Meth_max[[#This Row],[Vergleich_ub]]-dict_DQ_Meth_max[[#This Row],[Vergleich_lb]])+dict_DQ_Meth_max[[#This Row],[Vergleich_lb]]</f>
        <v>1.0234000000000001</v>
      </c>
      <c r="G1165" s="12">
        <f ca="1">(RANDBETWEEN(50,100)/100)*(dict_DQ_Meth_max[[#This Row],[Vergleich_ub]]-dict_DQ_Meth_max[[#This Row],[Vergleich_lb]])+dict_DQ_Meth_max[[#This Row],[Vergleich_lb]]</f>
        <v>2.8702000000000001</v>
      </c>
      <c r="H1165" s="11" t="str">
        <f ca="1">VLOOKUP(VLOOKUP(dict_DQ_Meth_max[[#This Row],[ID_DataQualities]],table_DataQualities[],3),table_Units[],2)</f>
        <v>+/- W</v>
      </c>
      <c r="I1165" s="10"/>
      <c r="J1165" s="10"/>
      <c r="K1165" s="10"/>
      <c r="L1165" s="10">
        <f ca="1">VLOOKUP(dict_DQ_Meth_max[[#This Row],[ID_DataQualities]],table_DataQualities[],8,FALSE)</f>
        <v>0.1</v>
      </c>
      <c r="M1165" s="10">
        <f ca="1">VLOOKUP(dict_DQ_Meth_max[[#This Row],[ID_DataQualities]],table_DataQualities[],9,FALSE)</f>
        <v>3.52</v>
      </c>
    </row>
    <row r="1166" spans="1:13" x14ac:dyDescent="0.45">
      <c r="A1166" s="10">
        <v>312</v>
      </c>
      <c r="B1166" s="10">
        <v>323</v>
      </c>
      <c r="C11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6" s="10"/>
      <c r="E1166" s="10"/>
      <c r="F1166" s="12">
        <f ca="1">(RANDBETWEEN(0,50)/100)*(dict_DQ_Meth_max[[#This Row],[Vergleich_ub]]-dict_DQ_Meth_max[[#This Row],[Vergleich_lb]])+dict_DQ_Meth_max[[#This Row],[Vergleich_lb]]</f>
        <v>1314.7055499999999</v>
      </c>
      <c r="G1166" s="12">
        <f ca="1">(RANDBETWEEN(50,100)/100)*(dict_DQ_Meth_max[[#This Row],[Vergleich_ub]]-dict_DQ_Meth_max[[#This Row],[Vergleich_lb]])+dict_DQ_Meth_max[[#This Row],[Vergleich_lb]]</f>
        <v>2483.0651499999999</v>
      </c>
      <c r="H1166" s="11" t="str">
        <f ca="1">VLOOKUP(VLOOKUP(dict_DQ_Meth_max[[#This Row],[ID_DataQualities]],table_DataQualities[],3),table_Units[],2)</f>
        <v>Hz</v>
      </c>
      <c r="I1166" s="10"/>
      <c r="J1166" s="10"/>
      <c r="K1166" s="10"/>
      <c r="L1166" s="10">
        <f ca="1">VLOOKUP(dict_DQ_Meth_max[[#This Row],[ID_DataQualities]],table_DataQualities[],8,FALSE)</f>
        <v>0.30099999999999999</v>
      </c>
      <c r="M1166" s="10">
        <f ca="1">VLOOKUP(dict_DQ_Meth_max[[#This Row],[ID_DataQualities]],table_DataQualities[],9,FALSE)</f>
        <v>2921.2</v>
      </c>
    </row>
    <row r="1167" spans="1:13" x14ac:dyDescent="0.45">
      <c r="A1167" s="10">
        <v>312</v>
      </c>
      <c r="B1167" s="10">
        <v>599</v>
      </c>
      <c r="C11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7" s="10"/>
      <c r="E1167" s="10"/>
      <c r="F1167" s="12">
        <f ca="1">(RANDBETWEEN(0,50)/100)*(dict_DQ_Meth_max[[#This Row],[Vergleich_ub]]-dict_DQ_Meth_max[[#This Row],[Vergleich_lb]])+dict_DQ_Meth_max[[#This Row],[Vergleich_lb]]</f>
        <v>292.39089999999999</v>
      </c>
      <c r="G1167" s="12">
        <f ca="1">(RANDBETWEEN(50,100)/100)*(dict_DQ_Meth_max[[#This Row],[Vergleich_ub]]-dict_DQ_Meth_max[[#This Row],[Vergleich_lb]])+dict_DQ_Meth_max[[#This Row],[Vergleich_lb]]</f>
        <v>2249.3932299999997</v>
      </c>
      <c r="H1167" s="11" t="str">
        <f ca="1">VLOOKUP(VLOOKUP(dict_DQ_Meth_max[[#This Row],[ID_DataQualities]],table_DataQualities[],3),table_Units[],2)</f>
        <v>Hz</v>
      </c>
      <c r="I1167" s="10"/>
      <c r="J1167" s="10"/>
      <c r="K1167" s="10"/>
      <c r="L1167" s="10">
        <f ca="1">VLOOKUP(dict_DQ_Meth_max[[#This Row],[ID_DataQualities]],table_DataQualities[],8,FALSE)</f>
        <v>0.30099999999999999</v>
      </c>
      <c r="M1167" s="10">
        <f ca="1">VLOOKUP(dict_DQ_Meth_max[[#This Row],[ID_DataQualities]],table_DataQualities[],9,FALSE)</f>
        <v>2921.2</v>
      </c>
    </row>
    <row r="1168" spans="1:13" x14ac:dyDescent="0.45">
      <c r="A1168" s="10">
        <v>312</v>
      </c>
      <c r="B1168" s="10">
        <v>95</v>
      </c>
      <c r="C11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8" s="10"/>
      <c r="E1168" s="10"/>
      <c r="F1168" s="12">
        <f ca="1">(RANDBETWEEN(0,50)/100)*(dict_DQ_Meth_max[[#This Row],[Vergleich_ub]]-dict_DQ_Meth_max[[#This Row],[Vergleich_lb]])+dict_DQ_Meth_max[[#This Row],[Vergleich_lb]]</f>
        <v>467.64483999999999</v>
      </c>
      <c r="G1168" s="12">
        <f ca="1">(RANDBETWEEN(50,100)/100)*(dict_DQ_Meth_max[[#This Row],[Vergleich_ub]]-dict_DQ_Meth_max[[#This Row],[Vergleich_lb]])+dict_DQ_Meth_max[[#This Row],[Vergleich_lb]]</f>
        <v>2658.31909</v>
      </c>
      <c r="H1168" s="11" t="str">
        <f ca="1">VLOOKUP(VLOOKUP(dict_DQ_Meth_max[[#This Row],[ID_DataQualities]],table_DataQualities[],3),table_Units[],2)</f>
        <v>Hz</v>
      </c>
      <c r="I1168" s="10"/>
      <c r="J1168" s="10"/>
      <c r="K1168" s="10"/>
      <c r="L1168" s="10">
        <f ca="1">VLOOKUP(dict_DQ_Meth_max[[#This Row],[ID_DataQualities]],table_DataQualities[],8,FALSE)</f>
        <v>0.30099999999999999</v>
      </c>
      <c r="M1168" s="10">
        <f ca="1">VLOOKUP(dict_DQ_Meth_max[[#This Row],[ID_DataQualities]],table_DataQualities[],9,FALSE)</f>
        <v>2921.2</v>
      </c>
    </row>
    <row r="1169" spans="1:13" x14ac:dyDescent="0.45">
      <c r="A1169" s="10">
        <v>312</v>
      </c>
      <c r="B1169" s="10">
        <v>44</v>
      </c>
      <c r="C11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69" s="10"/>
      <c r="E1169" s="10"/>
      <c r="F1169" s="12">
        <f ca="1">(RANDBETWEEN(0,50)/100)*(dict_DQ_Meth_max[[#This Row],[Vergleich_ub]]-dict_DQ_Meth_max[[#This Row],[Vergleich_lb]])+dict_DQ_Meth_max[[#This Row],[Vergleich_lb]]</f>
        <v>1402.3325199999999</v>
      </c>
      <c r="G1169" s="12">
        <f ca="1">(RANDBETWEEN(50,100)/100)*(dict_DQ_Meth_max[[#This Row],[Vergleich_ub]]-dict_DQ_Meth_max[[#This Row],[Vergleich_lb]])+dict_DQ_Meth_max[[#This Row],[Vergleich_lb]]</f>
        <v>1928.0943399999999</v>
      </c>
      <c r="H1169" s="11" t="str">
        <f ca="1">VLOOKUP(VLOOKUP(dict_DQ_Meth_max[[#This Row],[ID_DataQualities]],table_DataQualities[],3),table_Units[],2)</f>
        <v>Hz</v>
      </c>
      <c r="I1169" s="10"/>
      <c r="J1169" s="10"/>
      <c r="K1169" s="10"/>
      <c r="L1169" s="10">
        <f ca="1">VLOOKUP(dict_DQ_Meth_max[[#This Row],[ID_DataQualities]],table_DataQualities[],8,FALSE)</f>
        <v>0.30099999999999999</v>
      </c>
      <c r="M1169" s="10">
        <f ca="1">VLOOKUP(dict_DQ_Meth_max[[#This Row],[ID_DataQualities]],table_DataQualities[],9,FALSE)</f>
        <v>2921.2</v>
      </c>
    </row>
    <row r="1170" spans="1:13" x14ac:dyDescent="0.45">
      <c r="A1170" s="10">
        <v>312</v>
      </c>
      <c r="B1170" s="10">
        <v>219</v>
      </c>
      <c r="C11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0" s="10"/>
      <c r="E1170" s="10"/>
      <c r="F1170" s="12">
        <f ca="1">(RANDBETWEEN(0,50)/100)*(dict_DQ_Meth_max[[#This Row],[Vergleich_ub]]-dict_DQ_Meth_max[[#This Row],[Vergleich_lb]])+dict_DQ_Meth_max[[#This Row],[Vergleich_lb]]</f>
        <v>1402.3325199999999</v>
      </c>
      <c r="G1170" s="12">
        <f ca="1">(RANDBETWEEN(50,100)/100)*(dict_DQ_Meth_max[[#This Row],[Vergleich_ub]]-dict_DQ_Meth_max[[#This Row],[Vergleich_lb]])+dict_DQ_Meth_max[[#This Row],[Vergleich_lb]]</f>
        <v>2015.7213099999997</v>
      </c>
      <c r="H1170" s="11" t="str">
        <f ca="1">VLOOKUP(VLOOKUP(dict_DQ_Meth_max[[#This Row],[ID_DataQualities]],table_DataQualities[],3),table_Units[],2)</f>
        <v>Hz</v>
      </c>
      <c r="I1170" s="10"/>
      <c r="J1170" s="10"/>
      <c r="K1170" s="10"/>
      <c r="L1170" s="10">
        <f ca="1">VLOOKUP(dict_DQ_Meth_max[[#This Row],[ID_DataQualities]],table_DataQualities[],8,FALSE)</f>
        <v>0.30099999999999999</v>
      </c>
      <c r="M1170" s="10">
        <f ca="1">VLOOKUP(dict_DQ_Meth_max[[#This Row],[ID_DataQualities]],table_DataQualities[],9,FALSE)</f>
        <v>2921.2</v>
      </c>
    </row>
    <row r="1171" spans="1:13" x14ac:dyDescent="0.45">
      <c r="A1171" s="10">
        <v>312</v>
      </c>
      <c r="B1171" s="10">
        <v>280</v>
      </c>
      <c r="C11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1" s="10"/>
      <c r="E1171" s="10"/>
      <c r="F1171" s="12">
        <f ca="1">(RANDBETWEEN(0,50)/100)*(dict_DQ_Meth_max[[#This Row],[Vergleich_ub]]-dict_DQ_Meth_max[[#This Row],[Vergleich_lb]])+dict_DQ_Meth_max[[#This Row],[Vergleich_lb]]</f>
        <v>701.31676000000004</v>
      </c>
      <c r="G1171" s="12">
        <f ca="1">(RANDBETWEEN(50,100)/100)*(dict_DQ_Meth_max[[#This Row],[Vergleich_ub]]-dict_DQ_Meth_max[[#This Row],[Vergleich_lb]])+dict_DQ_Meth_max[[#This Row],[Vergleich_lb]]</f>
        <v>1460.7504999999999</v>
      </c>
      <c r="H1171" s="11" t="str">
        <f ca="1">VLOOKUP(VLOOKUP(dict_DQ_Meth_max[[#This Row],[ID_DataQualities]],table_DataQualities[],3),table_Units[],2)</f>
        <v>Hz</v>
      </c>
      <c r="I1171" s="10"/>
      <c r="J1171" s="10"/>
      <c r="K1171" s="10"/>
      <c r="L1171" s="10">
        <f ca="1">VLOOKUP(dict_DQ_Meth_max[[#This Row],[ID_DataQualities]],table_DataQualities[],8,FALSE)</f>
        <v>0.30099999999999999</v>
      </c>
      <c r="M1171" s="10">
        <f ca="1">VLOOKUP(dict_DQ_Meth_max[[#This Row],[ID_DataQualities]],table_DataQualities[],9,FALSE)</f>
        <v>2921.2</v>
      </c>
    </row>
    <row r="1172" spans="1:13" x14ac:dyDescent="0.45">
      <c r="A1172" s="10">
        <v>313</v>
      </c>
      <c r="B1172" s="10">
        <v>219</v>
      </c>
      <c r="C11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2" s="10"/>
      <c r="E1172" s="10"/>
      <c r="F1172" s="12">
        <f ca="1">(RANDBETWEEN(0,50)/100)*(dict_DQ_Meth_max[[#This Row],[Vergleich_ub]]-dict_DQ_Meth_max[[#This Row],[Vergleich_lb]])+dict_DQ_Meth_max[[#This Row],[Vergleich_lb]]</f>
        <v>0.1956</v>
      </c>
      <c r="G1172" s="12">
        <f ca="1">(RANDBETWEEN(50,100)/100)*(dict_DQ_Meth_max[[#This Row],[Vergleich_ub]]-dict_DQ_Meth_max[[#This Row],[Vergleich_lb]])+dict_DQ_Meth_max[[#This Row],[Vergleich_lb]]</f>
        <v>0.67120000000000002</v>
      </c>
      <c r="H1172" s="11" t="str">
        <f ca="1">VLOOKUP(VLOOKUP(dict_DQ_Meth_max[[#This Row],[ID_DataQualities]],table_DataQualities[],3),table_Units[],2)</f>
        <v>+/- cm³/s</v>
      </c>
      <c r="I1172" s="10"/>
      <c r="J1172" s="10"/>
      <c r="K1172" s="10"/>
      <c r="L1172" s="10">
        <f ca="1">VLOOKUP(dict_DQ_Meth_max[[#This Row],[ID_DataQualities]],table_DataQualities[],8,FALSE)</f>
        <v>7.0000000000000001E-3</v>
      </c>
      <c r="M1172" s="10">
        <f ca="1">VLOOKUP(dict_DQ_Meth_max[[#This Row],[ID_DataQualities]],table_DataQualities[],9,FALSE)</f>
        <v>0.82699999999999996</v>
      </c>
    </row>
    <row r="1173" spans="1:13" x14ac:dyDescent="0.45">
      <c r="A1173" s="10">
        <v>313</v>
      </c>
      <c r="B1173" s="10">
        <v>323</v>
      </c>
      <c r="C11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3" s="10"/>
      <c r="E1173" s="10"/>
      <c r="F1173" s="12">
        <f ca="1">(RANDBETWEEN(0,50)/100)*(dict_DQ_Meth_max[[#This Row],[Vergleich_ub]]-dict_DQ_Meth_max[[#This Row],[Vergleich_lb]])+dict_DQ_Meth_max[[#This Row],[Vergleich_lb]]</f>
        <v>0.20379999999999998</v>
      </c>
      <c r="G1173" s="12">
        <f ca="1">(RANDBETWEEN(50,100)/100)*(dict_DQ_Meth_max[[#This Row],[Vergleich_ub]]-dict_DQ_Meth_max[[#This Row],[Vergleich_lb]])+dict_DQ_Meth_max[[#This Row],[Vergleich_lb]]</f>
        <v>0.57279999999999998</v>
      </c>
      <c r="H1173" s="11" t="str">
        <f ca="1">VLOOKUP(VLOOKUP(dict_DQ_Meth_max[[#This Row],[ID_DataQualities]],table_DataQualities[],3),table_Units[],2)</f>
        <v>+/- cm³/s</v>
      </c>
      <c r="I1173" s="10"/>
      <c r="J1173" s="10"/>
      <c r="K1173" s="10"/>
      <c r="L1173" s="10">
        <f ca="1">VLOOKUP(dict_DQ_Meth_max[[#This Row],[ID_DataQualities]],table_DataQualities[],8,FALSE)</f>
        <v>7.0000000000000001E-3</v>
      </c>
      <c r="M1173" s="10">
        <f ca="1">VLOOKUP(dict_DQ_Meth_max[[#This Row],[ID_DataQualities]],table_DataQualities[],9,FALSE)</f>
        <v>0.82699999999999996</v>
      </c>
    </row>
    <row r="1174" spans="1:13" x14ac:dyDescent="0.45">
      <c r="A1174" s="10">
        <v>313</v>
      </c>
      <c r="B1174" s="10">
        <v>280</v>
      </c>
      <c r="C11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4" s="10"/>
      <c r="E1174" s="10"/>
      <c r="F1174" s="12">
        <f ca="1">(RANDBETWEEN(0,50)/100)*(dict_DQ_Meth_max[[#This Row],[Vergleich_ub]]-dict_DQ_Meth_max[[#This Row],[Vergleich_lb]])+dict_DQ_Meth_max[[#This Row],[Vergleich_lb]]</f>
        <v>0.35959999999999998</v>
      </c>
      <c r="G1174" s="12">
        <f ca="1">(RANDBETWEEN(50,100)/100)*(dict_DQ_Meth_max[[#This Row],[Vergleich_ub]]-dict_DQ_Meth_max[[#This Row],[Vergleich_lb]])+dict_DQ_Meth_max[[#This Row],[Vergleich_lb]]</f>
        <v>0.67120000000000002</v>
      </c>
      <c r="H1174" s="11" t="str">
        <f ca="1">VLOOKUP(VLOOKUP(dict_DQ_Meth_max[[#This Row],[ID_DataQualities]],table_DataQualities[],3),table_Units[],2)</f>
        <v>+/- cm³/s</v>
      </c>
      <c r="I1174" s="10"/>
      <c r="J1174" s="10"/>
      <c r="K1174" s="10"/>
      <c r="L1174" s="10">
        <f ca="1">VLOOKUP(dict_DQ_Meth_max[[#This Row],[ID_DataQualities]],table_DataQualities[],8,FALSE)</f>
        <v>7.0000000000000001E-3</v>
      </c>
      <c r="M1174" s="10">
        <f ca="1">VLOOKUP(dict_DQ_Meth_max[[#This Row],[ID_DataQualities]],table_DataQualities[],9,FALSE)</f>
        <v>0.82699999999999996</v>
      </c>
    </row>
    <row r="1175" spans="1:13" x14ac:dyDescent="0.45">
      <c r="A1175" s="10">
        <v>313</v>
      </c>
      <c r="B1175" s="10">
        <v>44</v>
      </c>
      <c r="C11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5" s="10"/>
      <c r="E1175" s="10"/>
      <c r="F1175" s="12">
        <f ca="1">(RANDBETWEEN(0,50)/100)*(dict_DQ_Meth_max[[#This Row],[Vergleich_ub]]-dict_DQ_Meth_max[[#This Row],[Vergleich_lb]])+dict_DQ_Meth_max[[#This Row],[Vergleich_lb]]</f>
        <v>7.0000000000000001E-3</v>
      </c>
      <c r="G1175" s="12">
        <f ca="1">(RANDBETWEEN(50,100)/100)*(dict_DQ_Meth_max[[#This Row],[Vergleich_ub]]-dict_DQ_Meth_max[[#This Row],[Vergleich_lb]])+dict_DQ_Meth_max[[#This Row],[Vergleich_lb]]</f>
        <v>0.55640000000000001</v>
      </c>
      <c r="H1175" s="11" t="str">
        <f ca="1">VLOOKUP(VLOOKUP(dict_DQ_Meth_max[[#This Row],[ID_DataQualities]],table_DataQualities[],3),table_Units[],2)</f>
        <v>+/- cm³/s</v>
      </c>
      <c r="I1175" s="10"/>
      <c r="J1175" s="10"/>
      <c r="K1175" s="10"/>
      <c r="L1175" s="10">
        <f ca="1">VLOOKUP(dict_DQ_Meth_max[[#This Row],[ID_DataQualities]],table_DataQualities[],8,FALSE)</f>
        <v>7.0000000000000001E-3</v>
      </c>
      <c r="M1175" s="10">
        <f ca="1">VLOOKUP(dict_DQ_Meth_max[[#This Row],[ID_DataQualities]],table_DataQualities[],9,FALSE)</f>
        <v>0.82699999999999996</v>
      </c>
    </row>
    <row r="1176" spans="1:13" x14ac:dyDescent="0.45">
      <c r="A1176" s="10">
        <v>313</v>
      </c>
      <c r="B1176" s="10">
        <v>599</v>
      </c>
      <c r="C11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6" s="10"/>
      <c r="E1176" s="10"/>
      <c r="F1176" s="12">
        <f ca="1">(RANDBETWEEN(0,50)/100)*(dict_DQ_Meth_max[[#This Row],[Vergleich_ub]]-dict_DQ_Meth_max[[#This Row],[Vergleich_lb]])+dict_DQ_Meth_max[[#This Row],[Vergleich_lb]]</f>
        <v>0.33500000000000002</v>
      </c>
      <c r="G1176" s="12">
        <f ca="1">(RANDBETWEEN(50,100)/100)*(dict_DQ_Meth_max[[#This Row],[Vergleich_ub]]-dict_DQ_Meth_max[[#This Row],[Vergleich_lb]])+dict_DQ_Meth_max[[#This Row],[Vergleich_lb]]</f>
        <v>0.44159999999999999</v>
      </c>
      <c r="H1176" s="11" t="str">
        <f ca="1">VLOOKUP(VLOOKUP(dict_DQ_Meth_max[[#This Row],[ID_DataQualities]],table_DataQualities[],3),table_Units[],2)</f>
        <v>+/- cm³/s</v>
      </c>
      <c r="I1176" s="10"/>
      <c r="J1176" s="10"/>
      <c r="K1176" s="10"/>
      <c r="L1176" s="10">
        <f ca="1">VLOOKUP(dict_DQ_Meth_max[[#This Row],[ID_DataQualities]],table_DataQualities[],8,FALSE)</f>
        <v>7.0000000000000001E-3</v>
      </c>
      <c r="M1176" s="10">
        <f ca="1">VLOOKUP(dict_DQ_Meth_max[[#This Row],[ID_DataQualities]],table_DataQualities[],9,FALSE)</f>
        <v>0.82699999999999996</v>
      </c>
    </row>
    <row r="1177" spans="1:13" x14ac:dyDescent="0.45">
      <c r="A1177" s="10">
        <v>313</v>
      </c>
      <c r="B1177" s="10">
        <v>95</v>
      </c>
      <c r="C11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7" s="10"/>
      <c r="E1177" s="10"/>
      <c r="F1177" s="12">
        <f ca="1">(RANDBETWEEN(0,50)/100)*(dict_DQ_Meth_max[[#This Row],[Vergleich_ub]]-dict_DQ_Meth_max[[#This Row],[Vergleich_lb]])+dict_DQ_Meth_max[[#This Row],[Vergleich_lb]]</f>
        <v>5.6199999999999993E-2</v>
      </c>
      <c r="G1177" s="12">
        <f ca="1">(RANDBETWEEN(50,100)/100)*(dict_DQ_Meth_max[[#This Row],[Vergleich_ub]]-dict_DQ_Meth_max[[#This Row],[Vergleich_lb]])+dict_DQ_Meth_max[[#This Row],[Vergleich_lb]]</f>
        <v>0.77779999999999994</v>
      </c>
      <c r="H1177" s="11" t="str">
        <f ca="1">VLOOKUP(VLOOKUP(dict_DQ_Meth_max[[#This Row],[ID_DataQualities]],table_DataQualities[],3),table_Units[],2)</f>
        <v>+/- cm³/s</v>
      </c>
      <c r="I1177" s="10"/>
      <c r="J1177" s="10"/>
      <c r="K1177" s="10"/>
      <c r="L1177" s="10">
        <f ca="1">VLOOKUP(dict_DQ_Meth_max[[#This Row],[ID_DataQualities]],table_DataQualities[],8,FALSE)</f>
        <v>7.0000000000000001E-3</v>
      </c>
      <c r="M1177" s="10">
        <f ca="1">VLOOKUP(dict_DQ_Meth_max[[#This Row],[ID_DataQualities]],table_DataQualities[],9,FALSE)</f>
        <v>0.82699999999999996</v>
      </c>
    </row>
    <row r="1178" spans="1:13" x14ac:dyDescent="0.45">
      <c r="A1178" s="10">
        <v>314</v>
      </c>
      <c r="B1178" s="10">
        <v>586</v>
      </c>
      <c r="C11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8" s="10"/>
      <c r="E1178" s="10"/>
      <c r="F1178" s="12">
        <f ca="1">(RANDBETWEEN(0,50)/100)*(dict_DQ_Meth_max[[#This Row],[Vergleich_ub]]-dict_DQ_Meth_max[[#This Row],[Vergleich_lb]])+dict_DQ_Meth_max[[#This Row],[Vergleich_lb]]</f>
        <v>1019.08214</v>
      </c>
      <c r="G1178" s="12">
        <f ca="1">(RANDBETWEEN(50,100)/100)*(dict_DQ_Meth_max[[#This Row],[Vergleich_ub]]-dict_DQ_Meth_max[[#This Row],[Vergleich_lb]])+dict_DQ_Meth_max[[#This Row],[Vergleich_lb]]</f>
        <v>4413.2659400000002</v>
      </c>
      <c r="H1178" s="11" t="str">
        <f ca="1">VLOOKUP(VLOOKUP(dict_DQ_Meth_max[[#This Row],[ID_DataQualities]],table_DataQualities[],3),table_Units[],2)</f>
        <v>Hz</v>
      </c>
      <c r="I1178" s="10"/>
      <c r="J1178" s="10"/>
      <c r="K1178" s="10"/>
      <c r="L1178" s="10">
        <f ca="1">VLOOKUP(dict_DQ_Meth_max[[#This Row],[ID_DataQualities]],table_DataQualities[],8,FALSE)</f>
        <v>0.82699999999999996</v>
      </c>
      <c r="M1178" s="10">
        <f ca="1">VLOOKUP(dict_DQ_Meth_max[[#This Row],[ID_DataQualities]],table_DataQualities[],9,FALSE)</f>
        <v>5657.8</v>
      </c>
    </row>
    <row r="1179" spans="1:13" x14ac:dyDescent="0.45">
      <c r="A1179" s="10">
        <v>314</v>
      </c>
      <c r="B1179" s="10">
        <v>370</v>
      </c>
      <c r="C11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79" s="10"/>
      <c r="E1179" s="10"/>
      <c r="F1179" s="12">
        <f ca="1">(RANDBETWEEN(0,50)/100)*(dict_DQ_Meth_max[[#This Row],[Vergleich_ub]]-dict_DQ_Meth_max[[#This Row],[Vergleich_lb]])+dict_DQ_Meth_max[[#This Row],[Vergleich_lb]]</f>
        <v>2263.6162000000004</v>
      </c>
      <c r="G1179" s="12">
        <f ca="1">(RANDBETWEEN(50,100)/100)*(dict_DQ_Meth_max[[#This Row],[Vergleich_ub]]-dict_DQ_Meth_max[[#This Row],[Vergleich_lb]])+dict_DQ_Meth_max[[#This Row],[Vergleich_lb]]</f>
        <v>2942.4529600000005</v>
      </c>
      <c r="H1179" s="11" t="str">
        <f ca="1">VLOOKUP(VLOOKUP(dict_DQ_Meth_max[[#This Row],[ID_DataQualities]],table_DataQualities[],3),table_Units[],2)</f>
        <v>Hz</v>
      </c>
      <c r="I1179" s="10"/>
      <c r="J1179" s="10"/>
      <c r="K1179" s="10"/>
      <c r="L1179" s="10">
        <f ca="1">VLOOKUP(dict_DQ_Meth_max[[#This Row],[ID_DataQualities]],table_DataQualities[],8,FALSE)</f>
        <v>0.82699999999999996</v>
      </c>
      <c r="M1179" s="10">
        <f ca="1">VLOOKUP(dict_DQ_Meth_max[[#This Row],[ID_DataQualities]],table_DataQualities[],9,FALSE)</f>
        <v>5657.8</v>
      </c>
    </row>
    <row r="1180" spans="1:13" x14ac:dyDescent="0.45">
      <c r="A1180" s="10">
        <v>315</v>
      </c>
      <c r="B1180" s="10">
        <v>586</v>
      </c>
      <c r="C11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0" s="10"/>
      <c r="E1180" s="10"/>
      <c r="F1180" s="12">
        <f ca="1">(RANDBETWEEN(0,50)/100)*(dict_DQ_Meth_max[[#This Row],[Vergleich_ub]]-dict_DQ_Meth_max[[#This Row],[Vergleich_lb]])+dict_DQ_Meth_max[[#This Row],[Vergleich_lb]]</f>
        <v>3.0371999999999999</v>
      </c>
      <c r="G1180" s="12">
        <f ca="1">(RANDBETWEEN(50,100)/100)*(dict_DQ_Meth_max[[#This Row],[Vergleich_ub]]-dict_DQ_Meth_max[[#This Row],[Vergleich_lb]])+dict_DQ_Meth_max[[#This Row],[Vergleich_lb]]</f>
        <v>5.9206399999999997</v>
      </c>
      <c r="H1180" s="11" t="str">
        <f ca="1">VLOOKUP(VLOOKUP(dict_DQ_Meth_max[[#This Row],[ID_DataQualities]],table_DataQualities[],3),table_Units[],2)</f>
        <v>+/- mm</v>
      </c>
      <c r="I1180" s="10"/>
      <c r="J1180" s="10"/>
      <c r="K1180" s="10"/>
      <c r="L1180" s="10">
        <f ca="1">VLOOKUP(dict_DQ_Meth_max[[#This Row],[ID_DataQualities]],table_DataQualities[],8,FALSE)</f>
        <v>2E-3</v>
      </c>
      <c r="M1180" s="10">
        <f ca="1">VLOOKUP(dict_DQ_Meth_max[[#This Row],[ID_DataQualities]],table_DataQualities[],9,FALSE)</f>
        <v>7.59</v>
      </c>
    </row>
    <row r="1181" spans="1:13" x14ac:dyDescent="0.45">
      <c r="A1181" s="10">
        <v>315</v>
      </c>
      <c r="B1181" s="10">
        <v>370</v>
      </c>
      <c r="C11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1" s="10"/>
      <c r="E1181" s="10"/>
      <c r="F1181" s="12">
        <f ca="1">(RANDBETWEEN(0,50)/100)*(dict_DQ_Meth_max[[#This Row],[Vergleich_ub]]-dict_DQ_Meth_max[[#This Row],[Vergleich_lb]])+dict_DQ_Meth_max[[#This Row],[Vergleich_lb]]</f>
        <v>1.5196000000000001</v>
      </c>
      <c r="G1181" s="12">
        <f ca="1">(RANDBETWEEN(50,100)/100)*(dict_DQ_Meth_max[[#This Row],[Vergleich_ub]]-dict_DQ_Meth_max[[#This Row],[Vergleich_lb]])+dict_DQ_Meth_max[[#This Row],[Vergleich_lb]]</f>
        <v>5.9206399999999997</v>
      </c>
      <c r="H1181" s="11" t="str">
        <f ca="1">VLOOKUP(VLOOKUP(dict_DQ_Meth_max[[#This Row],[ID_DataQualities]],table_DataQualities[],3),table_Units[],2)</f>
        <v>+/- mm</v>
      </c>
      <c r="I1181" s="10"/>
      <c r="J1181" s="10"/>
      <c r="K1181" s="10"/>
      <c r="L1181" s="10">
        <f ca="1">VLOOKUP(dict_DQ_Meth_max[[#This Row],[ID_DataQualities]],table_DataQualities[],8,FALSE)</f>
        <v>2E-3</v>
      </c>
      <c r="M1181" s="10">
        <f ca="1">VLOOKUP(dict_DQ_Meth_max[[#This Row],[ID_DataQualities]],table_DataQualities[],9,FALSE)</f>
        <v>7.59</v>
      </c>
    </row>
    <row r="1182" spans="1:13" x14ac:dyDescent="0.45">
      <c r="A1182" s="10">
        <v>316</v>
      </c>
      <c r="B1182" s="10">
        <v>193</v>
      </c>
      <c r="C11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2" s="10"/>
      <c r="E1182" s="10"/>
      <c r="F1182" s="12">
        <f ca="1">(RANDBETWEEN(0,50)/100)*(dict_DQ_Meth_max[[#This Row],[Vergleich_ub]]-dict_DQ_Meth_max[[#This Row],[Vergleich_lb]])+dict_DQ_Meth_max[[#This Row],[Vergleich_lb]]</f>
        <v>1139.1563999999998</v>
      </c>
      <c r="G1182" s="12">
        <f ca="1">(RANDBETWEEN(50,100)/100)*(dict_DQ_Meth_max[[#This Row],[Vergleich_ub]]-dict_DQ_Meth_max[[#This Row],[Vergleich_lb]])+dict_DQ_Meth_max[[#This Row],[Vergleich_lb]]</f>
        <v>8161.4566999999988</v>
      </c>
      <c r="H1182" s="11" t="str">
        <f ca="1">VLOOKUP(VLOOKUP(dict_DQ_Meth_max[[#This Row],[ID_DataQualities]],table_DataQualities[],3),table_Units[],2)</f>
        <v>Hz</v>
      </c>
      <c r="I1182" s="10"/>
      <c r="J1182" s="10"/>
      <c r="K1182" s="10"/>
      <c r="L1182" s="10">
        <f ca="1">VLOOKUP(dict_DQ_Meth_max[[#This Row],[ID_DataQualities]],table_DataQualities[],8,FALSE)</f>
        <v>0.40500000000000003</v>
      </c>
      <c r="M1182" s="10">
        <f ca="1">VLOOKUP(dict_DQ_Meth_max[[#This Row],[ID_DataQualities]],table_DataQualities[],9,FALSE)</f>
        <v>9490</v>
      </c>
    </row>
    <row r="1183" spans="1:13" x14ac:dyDescent="0.45">
      <c r="A1183" s="10">
        <v>316</v>
      </c>
      <c r="B1183" s="10">
        <v>470</v>
      </c>
      <c r="C11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3" s="10"/>
      <c r="E1183" s="10"/>
      <c r="F1183" s="12">
        <f ca="1">(RANDBETWEEN(0,50)/100)*(dict_DQ_Meth_max[[#This Row],[Vergleich_ub]]-dict_DQ_Meth_max[[#This Row],[Vergleich_lb]])+dict_DQ_Meth_max[[#This Row],[Vergleich_lb]]</f>
        <v>4555.4105999999992</v>
      </c>
      <c r="G1183" s="12">
        <f ca="1">(RANDBETWEEN(50,100)/100)*(dict_DQ_Meth_max[[#This Row],[Vergleich_ub]]-dict_DQ_Meth_max[[#This Row],[Vergleich_lb]])+dict_DQ_Meth_max[[#This Row],[Vergleich_lb]]</f>
        <v>7592.0809999999992</v>
      </c>
      <c r="H1183" s="11" t="str">
        <f ca="1">VLOOKUP(VLOOKUP(dict_DQ_Meth_max[[#This Row],[ID_DataQualities]],table_DataQualities[],3),table_Units[],2)</f>
        <v>Hz</v>
      </c>
      <c r="I1183" s="10"/>
      <c r="J1183" s="10"/>
      <c r="K1183" s="10"/>
      <c r="L1183" s="10">
        <f ca="1">VLOOKUP(dict_DQ_Meth_max[[#This Row],[ID_DataQualities]],table_DataQualities[],8,FALSE)</f>
        <v>0.40500000000000003</v>
      </c>
      <c r="M1183" s="10">
        <f ca="1">VLOOKUP(dict_DQ_Meth_max[[#This Row],[ID_DataQualities]],table_DataQualities[],9,FALSE)</f>
        <v>9490</v>
      </c>
    </row>
    <row r="1184" spans="1:13" x14ac:dyDescent="0.45">
      <c r="A1184" s="10">
        <v>316</v>
      </c>
      <c r="B1184" s="10">
        <v>449</v>
      </c>
      <c r="C11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4" s="10"/>
      <c r="E1184" s="10"/>
      <c r="F1184" s="12">
        <f ca="1">(RANDBETWEEN(0,50)/100)*(dict_DQ_Meth_max[[#This Row],[Vergleich_ub]]-dict_DQ_Meth_max[[#This Row],[Vergleich_lb]])+dict_DQ_Meth_max[[#This Row],[Vergleich_lb]]</f>
        <v>3701.3470499999999</v>
      </c>
      <c r="G1184" s="12">
        <f ca="1">(RANDBETWEEN(50,100)/100)*(dict_DQ_Meth_max[[#This Row],[Vergleich_ub]]-dict_DQ_Meth_max[[#This Row],[Vergleich_lb]])+dict_DQ_Meth_max[[#This Row],[Vergleich_lb]]</f>
        <v>5409.4741499999991</v>
      </c>
      <c r="H1184" s="11" t="str">
        <f ca="1">VLOOKUP(VLOOKUP(dict_DQ_Meth_max[[#This Row],[ID_DataQualities]],table_DataQualities[],3),table_Units[],2)</f>
        <v>Hz</v>
      </c>
      <c r="I1184" s="10"/>
      <c r="J1184" s="10"/>
      <c r="K1184" s="10"/>
      <c r="L1184" s="10">
        <f ca="1">VLOOKUP(dict_DQ_Meth_max[[#This Row],[ID_DataQualities]],table_DataQualities[],8,FALSE)</f>
        <v>0.40500000000000003</v>
      </c>
      <c r="M1184" s="10">
        <f ca="1">VLOOKUP(dict_DQ_Meth_max[[#This Row],[ID_DataQualities]],table_DataQualities[],9,FALSE)</f>
        <v>9490</v>
      </c>
    </row>
    <row r="1185" spans="1:13" x14ac:dyDescent="0.45">
      <c r="A1185" s="10">
        <v>316</v>
      </c>
      <c r="B1185" s="10">
        <v>202</v>
      </c>
      <c r="C11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5" s="10"/>
      <c r="E1185" s="10"/>
      <c r="F1185" s="12">
        <f ca="1">(RANDBETWEEN(0,50)/100)*(dict_DQ_Meth_max[[#This Row],[Vergleich_ub]]-dict_DQ_Meth_max[[#This Row],[Vergleich_lb]])+dict_DQ_Meth_max[[#This Row],[Vergleich_lb]]</f>
        <v>190.1969</v>
      </c>
      <c r="G1185" s="12">
        <f ca="1">(RANDBETWEEN(50,100)/100)*(dict_DQ_Meth_max[[#This Row],[Vergleich_ub]]-dict_DQ_Meth_max[[#This Row],[Vergleich_lb]])+dict_DQ_Meth_max[[#This Row],[Vergleich_lb]]</f>
        <v>9300.2080999999998</v>
      </c>
      <c r="H1185" s="11" t="str">
        <f ca="1">VLOOKUP(VLOOKUP(dict_DQ_Meth_max[[#This Row],[ID_DataQualities]],table_DataQualities[],3),table_Units[],2)</f>
        <v>Hz</v>
      </c>
      <c r="I1185" s="10"/>
      <c r="J1185" s="10"/>
      <c r="K1185" s="10"/>
      <c r="L1185" s="10">
        <f ca="1">VLOOKUP(dict_DQ_Meth_max[[#This Row],[ID_DataQualities]],table_DataQualities[],8,FALSE)</f>
        <v>0.40500000000000003</v>
      </c>
      <c r="M1185" s="10">
        <f ca="1">VLOOKUP(dict_DQ_Meth_max[[#This Row],[ID_DataQualities]],table_DataQualities[],9,FALSE)</f>
        <v>9490</v>
      </c>
    </row>
    <row r="1186" spans="1:13" x14ac:dyDescent="0.45">
      <c r="A1186" s="10">
        <v>316</v>
      </c>
      <c r="B1186" s="10">
        <v>134</v>
      </c>
      <c r="C11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6" s="10"/>
      <c r="E1186" s="10"/>
      <c r="F1186" s="12">
        <f ca="1">(RANDBETWEEN(0,50)/100)*(dict_DQ_Meth_max[[#This Row],[Vergleich_ub]]-dict_DQ_Meth_max[[#This Row],[Vergleich_lb]])+dict_DQ_Meth_max[[#This Row],[Vergleich_lb]]</f>
        <v>3321.76325</v>
      </c>
      <c r="G1186" s="12">
        <f ca="1">(RANDBETWEEN(50,100)/100)*(dict_DQ_Meth_max[[#This Row],[Vergleich_ub]]-dict_DQ_Meth_max[[#This Row],[Vergleich_lb]])+dict_DQ_Meth_max[[#This Row],[Vergleich_lb]]</f>
        <v>9110.4161999999997</v>
      </c>
      <c r="H1186" s="11" t="str">
        <f ca="1">VLOOKUP(VLOOKUP(dict_DQ_Meth_max[[#This Row],[ID_DataQualities]],table_DataQualities[],3),table_Units[],2)</f>
        <v>Hz</v>
      </c>
      <c r="I1186" s="10"/>
      <c r="J1186" s="10"/>
      <c r="K1186" s="10"/>
      <c r="L1186" s="10">
        <f ca="1">VLOOKUP(dict_DQ_Meth_max[[#This Row],[ID_DataQualities]],table_DataQualities[],8,FALSE)</f>
        <v>0.40500000000000003</v>
      </c>
      <c r="M1186" s="10">
        <f ca="1">VLOOKUP(dict_DQ_Meth_max[[#This Row],[ID_DataQualities]],table_DataQualities[],9,FALSE)</f>
        <v>9490</v>
      </c>
    </row>
    <row r="1187" spans="1:13" x14ac:dyDescent="0.45">
      <c r="A1187" s="10">
        <v>317</v>
      </c>
      <c r="B1187" s="10">
        <v>202</v>
      </c>
      <c r="C11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7" s="10"/>
      <c r="E1187" s="10"/>
      <c r="F1187" s="12">
        <f ca="1">(RANDBETWEEN(0,50)/100)*(dict_DQ_Meth_max[[#This Row],[Vergleich_ub]]-dict_DQ_Meth_max[[#This Row],[Vergleich_lb]])+dict_DQ_Meth_max[[#This Row],[Vergleich_lb]]</f>
        <v>0.51690000000000003</v>
      </c>
      <c r="G1187" s="12">
        <f ca="1">(RANDBETWEEN(50,100)/100)*(dict_DQ_Meth_max[[#This Row],[Vergleich_ub]]-dict_DQ_Meth_max[[#This Row],[Vergleich_lb]])+dict_DQ_Meth_max[[#This Row],[Vergleich_lb]]</f>
        <v>2.3582999999999998</v>
      </c>
      <c r="H1187" s="11" t="str">
        <f ca="1">VLOOKUP(VLOOKUP(dict_DQ_Meth_max[[#This Row],[ID_DataQualities]],table_DataQualities[],3),table_Units[],2)</f>
        <v>+/- mm/s</v>
      </c>
      <c r="I1187" s="10"/>
      <c r="J1187" s="10"/>
      <c r="K1187" s="10"/>
      <c r="L1187" s="10">
        <f ca="1">VLOOKUP(dict_DQ_Meth_max[[#This Row],[ID_DataQualities]],table_DataQualities[],8,FALSE)</f>
        <v>0.21</v>
      </c>
      <c r="M1187" s="10">
        <f ca="1">VLOOKUP(dict_DQ_Meth_max[[#This Row],[ID_DataQualities]],table_DataQualities[],9,FALSE)</f>
        <v>3</v>
      </c>
    </row>
    <row r="1188" spans="1:13" x14ac:dyDescent="0.45">
      <c r="A1188" s="10">
        <v>317</v>
      </c>
      <c r="B1188" s="10">
        <v>470</v>
      </c>
      <c r="C11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8" s="10"/>
      <c r="E1188" s="10"/>
      <c r="F1188" s="12">
        <f ca="1">(RANDBETWEEN(0,50)/100)*(dict_DQ_Meth_max[[#This Row],[Vergleich_ub]]-dict_DQ_Meth_max[[#This Row],[Vergleich_lb]])+dict_DQ_Meth_max[[#This Row],[Vergleich_lb]]</f>
        <v>1.1307</v>
      </c>
      <c r="G1188" s="12">
        <f ca="1">(RANDBETWEEN(50,100)/100)*(dict_DQ_Meth_max[[#This Row],[Vergleich_ub]]-dict_DQ_Meth_max[[#This Row],[Vergleich_lb]])+dict_DQ_Meth_max[[#This Row],[Vergleich_lb]]</f>
        <v>2.0235000000000003</v>
      </c>
      <c r="H1188" s="11" t="str">
        <f ca="1">VLOOKUP(VLOOKUP(dict_DQ_Meth_max[[#This Row],[ID_DataQualities]],table_DataQualities[],3),table_Units[],2)</f>
        <v>+/- mm/s</v>
      </c>
      <c r="I1188" s="10"/>
      <c r="J1188" s="10"/>
      <c r="K1188" s="10"/>
      <c r="L1188" s="10">
        <f ca="1">VLOOKUP(dict_DQ_Meth_max[[#This Row],[ID_DataQualities]],table_DataQualities[],8,FALSE)</f>
        <v>0.21</v>
      </c>
      <c r="M1188" s="10">
        <f ca="1">VLOOKUP(dict_DQ_Meth_max[[#This Row],[ID_DataQualities]],table_DataQualities[],9,FALSE)</f>
        <v>3</v>
      </c>
    </row>
    <row r="1189" spans="1:13" x14ac:dyDescent="0.45">
      <c r="A1189" s="10">
        <v>317</v>
      </c>
      <c r="B1189" s="10">
        <v>193</v>
      </c>
      <c r="C11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89" s="10"/>
      <c r="E1189" s="10"/>
      <c r="F1189" s="12">
        <f ca="1">(RANDBETWEEN(0,50)/100)*(dict_DQ_Meth_max[[#This Row],[Vergleich_ub]]-dict_DQ_Meth_max[[#This Row],[Vergleich_lb]])+dict_DQ_Meth_max[[#This Row],[Vergleich_lb]]</f>
        <v>0.57269999999999999</v>
      </c>
      <c r="G1189" s="12">
        <f ca="1">(RANDBETWEEN(50,100)/100)*(dict_DQ_Meth_max[[#This Row],[Vergleich_ub]]-dict_DQ_Meth_max[[#This Row],[Vergleich_lb]])+dict_DQ_Meth_max[[#This Row],[Vergleich_lb]]</f>
        <v>3</v>
      </c>
      <c r="H1189" s="11" t="str">
        <f ca="1">VLOOKUP(VLOOKUP(dict_DQ_Meth_max[[#This Row],[ID_DataQualities]],table_DataQualities[],3),table_Units[],2)</f>
        <v>+/- mm/s</v>
      </c>
      <c r="I1189" s="10"/>
      <c r="J1189" s="10"/>
      <c r="K1189" s="10"/>
      <c r="L1189" s="10">
        <f ca="1">VLOOKUP(dict_DQ_Meth_max[[#This Row],[ID_DataQualities]],table_DataQualities[],8,FALSE)</f>
        <v>0.21</v>
      </c>
      <c r="M1189" s="10">
        <f ca="1">VLOOKUP(dict_DQ_Meth_max[[#This Row],[ID_DataQualities]],table_DataQualities[],9,FALSE)</f>
        <v>3</v>
      </c>
    </row>
    <row r="1190" spans="1:13" x14ac:dyDescent="0.45">
      <c r="A1190" s="10">
        <v>317</v>
      </c>
      <c r="B1190" s="10">
        <v>449</v>
      </c>
      <c r="C11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0" s="10"/>
      <c r="E1190" s="10"/>
      <c r="F1190" s="12">
        <f ca="1">(RANDBETWEEN(0,50)/100)*(dict_DQ_Meth_max[[#This Row],[Vergleich_ub]]-dict_DQ_Meth_max[[#This Row],[Vergleich_lb]])+dict_DQ_Meth_max[[#This Row],[Vergleich_lb]]</f>
        <v>1.2423</v>
      </c>
      <c r="G1190" s="12">
        <f ca="1">(RANDBETWEEN(50,100)/100)*(dict_DQ_Meth_max[[#This Row],[Vergleich_ub]]-dict_DQ_Meth_max[[#This Row],[Vergleich_lb]])+dict_DQ_Meth_max[[#This Row],[Vergleich_lb]]</f>
        <v>2.3025000000000002</v>
      </c>
      <c r="H1190" s="11" t="str">
        <f ca="1">VLOOKUP(VLOOKUP(dict_DQ_Meth_max[[#This Row],[ID_DataQualities]],table_DataQualities[],3),table_Units[],2)</f>
        <v>+/- mm/s</v>
      </c>
      <c r="I1190" s="10"/>
      <c r="J1190" s="10"/>
      <c r="K1190" s="10"/>
      <c r="L1190" s="10">
        <f ca="1">VLOOKUP(dict_DQ_Meth_max[[#This Row],[ID_DataQualities]],table_DataQualities[],8,FALSE)</f>
        <v>0.21</v>
      </c>
      <c r="M1190" s="10">
        <f ca="1">VLOOKUP(dict_DQ_Meth_max[[#This Row],[ID_DataQualities]],table_DataQualities[],9,FALSE)</f>
        <v>3</v>
      </c>
    </row>
    <row r="1191" spans="1:13" x14ac:dyDescent="0.45">
      <c r="A1191" s="10">
        <v>317</v>
      </c>
      <c r="B1191" s="10">
        <v>134</v>
      </c>
      <c r="C11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1" s="10"/>
      <c r="E1191" s="10"/>
      <c r="F1191" s="12">
        <f ca="1">(RANDBETWEEN(0,50)/100)*(dict_DQ_Meth_max[[#This Row],[Vergleich_ub]]-dict_DQ_Meth_max[[#This Row],[Vergleich_lb]])+dict_DQ_Meth_max[[#This Row],[Vergleich_lb]]</f>
        <v>0.54479999999999995</v>
      </c>
      <c r="G1191" s="12">
        <f ca="1">(RANDBETWEEN(50,100)/100)*(dict_DQ_Meth_max[[#This Row],[Vergleich_ub]]-dict_DQ_Meth_max[[#This Row],[Vergleich_lb]])+dict_DQ_Meth_max[[#This Row],[Vergleich_lb]]</f>
        <v>2.8605</v>
      </c>
      <c r="H1191" s="11" t="str">
        <f ca="1">VLOOKUP(VLOOKUP(dict_DQ_Meth_max[[#This Row],[ID_DataQualities]],table_DataQualities[],3),table_Units[],2)</f>
        <v>+/- mm/s</v>
      </c>
      <c r="I1191" s="10"/>
      <c r="J1191" s="10"/>
      <c r="K1191" s="10"/>
      <c r="L1191" s="10">
        <f ca="1">VLOOKUP(dict_DQ_Meth_max[[#This Row],[ID_DataQualities]],table_DataQualities[],8,FALSE)</f>
        <v>0.21</v>
      </c>
      <c r="M1191" s="10">
        <f ca="1">VLOOKUP(dict_DQ_Meth_max[[#This Row],[ID_DataQualities]],table_DataQualities[],9,FALSE)</f>
        <v>3</v>
      </c>
    </row>
    <row r="1192" spans="1:13" x14ac:dyDescent="0.45">
      <c r="A1192" s="10">
        <v>318</v>
      </c>
      <c r="B1192" s="10">
        <v>617</v>
      </c>
      <c r="C11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2" s="10"/>
      <c r="E1192" s="10"/>
      <c r="F1192" s="12">
        <f ca="1">(RANDBETWEEN(0,50)/100)*(dict_DQ_Meth_max[[#This Row],[Vergleich_ub]]-dict_DQ_Meth_max[[#This Row],[Vergleich_lb]])+dict_DQ_Meth_max[[#This Row],[Vergleich_lb]]</f>
        <v>4039.1574699999996</v>
      </c>
      <c r="G1192" s="12">
        <f ca="1">(RANDBETWEEN(50,100)/100)*(dict_DQ_Meth_max[[#This Row],[Vergleich_ub]]-dict_DQ_Meth_max[[#This Row],[Vergleich_lb]])+dict_DQ_Meth_max[[#This Row],[Vergleich_lb]]</f>
        <v>5260.0952400000006</v>
      </c>
      <c r="H1192" s="11" t="str">
        <f ca="1">VLOOKUP(VLOOKUP(dict_DQ_Meth_max[[#This Row],[ID_DataQualities]],table_DataQualities[],3),table_Units[],2)</f>
        <v>Hz</v>
      </c>
      <c r="I1192" s="10"/>
      <c r="J1192" s="10"/>
      <c r="K1192" s="10"/>
      <c r="L1192" s="10">
        <f ca="1">VLOOKUP(dict_DQ_Meth_max[[#This Row],[ID_DataQualities]],table_DataQualities[],8,FALSE)</f>
        <v>0.67100000000000004</v>
      </c>
      <c r="M1192" s="10">
        <f ca="1">VLOOKUP(dict_DQ_Meth_max[[#This Row],[ID_DataQualities]],table_DataQualities[],9,FALSE)</f>
        <v>9392.5</v>
      </c>
    </row>
    <row r="1193" spans="1:13" x14ac:dyDescent="0.45">
      <c r="A1193" s="10">
        <v>318</v>
      </c>
      <c r="B1193" s="10">
        <v>376</v>
      </c>
      <c r="C11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3" s="10"/>
      <c r="E1193" s="10"/>
      <c r="F1193" s="12">
        <f ca="1">(RANDBETWEEN(0,50)/100)*(dict_DQ_Meth_max[[#This Row],[Vergleich_ub]]-dict_DQ_Meth_max[[#This Row],[Vergleich_lb]])+dict_DQ_Meth_max[[#This Row],[Vergleich_lb]]</f>
        <v>3663.4843099999998</v>
      </c>
      <c r="G1193" s="12">
        <f ca="1">(RANDBETWEEN(50,100)/100)*(dict_DQ_Meth_max[[#This Row],[Vergleich_ub]]-dict_DQ_Meth_max[[#This Row],[Vergleich_lb]])+dict_DQ_Meth_max[[#This Row],[Vergleich_lb]]</f>
        <v>6105.3598500000007</v>
      </c>
      <c r="H1193" s="11" t="str">
        <f ca="1">VLOOKUP(VLOOKUP(dict_DQ_Meth_max[[#This Row],[ID_DataQualities]],table_DataQualities[],3),table_Units[],2)</f>
        <v>Hz</v>
      </c>
      <c r="I1193" s="10"/>
      <c r="J1193" s="10"/>
      <c r="K1193" s="10"/>
      <c r="L1193" s="10">
        <f ca="1">VLOOKUP(dict_DQ_Meth_max[[#This Row],[ID_DataQualities]],table_DataQualities[],8,FALSE)</f>
        <v>0.67100000000000004</v>
      </c>
      <c r="M1193" s="10">
        <f ca="1">VLOOKUP(dict_DQ_Meth_max[[#This Row],[ID_DataQualities]],table_DataQualities[],9,FALSE)</f>
        <v>9392.5</v>
      </c>
    </row>
    <row r="1194" spans="1:13" x14ac:dyDescent="0.45">
      <c r="A1194" s="10">
        <v>319</v>
      </c>
      <c r="B1194" s="10">
        <v>376</v>
      </c>
      <c r="C11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4" s="10"/>
      <c r="E1194" s="10"/>
      <c r="F1194" s="12">
        <f ca="1">(RANDBETWEEN(0,50)/100)*(dict_DQ_Meth_max[[#This Row],[Vergleich_ub]]-dict_DQ_Meth_max[[#This Row],[Vergleich_lb]])+dict_DQ_Meth_max[[#This Row],[Vergleich_lb]]</f>
        <v>1.3839999999999999</v>
      </c>
      <c r="G1194" s="12">
        <f ca="1">(RANDBETWEEN(50,100)/100)*(dict_DQ_Meth_max[[#This Row],[Vergleich_ub]]-dict_DQ_Meth_max[[#This Row],[Vergleich_lb]])+dict_DQ_Meth_max[[#This Row],[Vergleich_lb]]</f>
        <v>3.3899999999999997</v>
      </c>
      <c r="H1194" s="11" t="str">
        <f ca="1">VLOOKUP(VLOOKUP(dict_DQ_Meth_max[[#This Row],[ID_DataQualities]],table_DataQualities[],3),table_Units[],2)</f>
        <v>+/- mm/s</v>
      </c>
      <c r="I1194" s="10"/>
      <c r="J1194" s="10"/>
      <c r="K1194" s="10"/>
      <c r="L1194" s="10">
        <f ca="1">VLOOKUP(dict_DQ_Meth_max[[#This Row],[ID_DataQualities]],table_DataQualities[],8,FALSE)</f>
        <v>0.5</v>
      </c>
      <c r="M1194" s="10">
        <f ca="1">VLOOKUP(dict_DQ_Meth_max[[#This Row],[ID_DataQualities]],table_DataQualities[],9,FALSE)</f>
        <v>3.9</v>
      </c>
    </row>
    <row r="1195" spans="1:13" x14ac:dyDescent="0.45">
      <c r="A1195" s="10">
        <v>319</v>
      </c>
      <c r="B1195" s="10">
        <v>617</v>
      </c>
      <c r="C11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5" s="10"/>
      <c r="E1195" s="10"/>
      <c r="F1195" s="12">
        <f ca="1">(RANDBETWEEN(0,50)/100)*(dict_DQ_Meth_max[[#This Row],[Vergleich_ub]]-dict_DQ_Meth_max[[#This Row],[Vergleich_lb]])+dict_DQ_Meth_max[[#This Row],[Vergleich_lb]]</f>
        <v>1.6560000000000001</v>
      </c>
      <c r="G1195" s="12">
        <f ca="1">(RANDBETWEEN(50,100)/100)*(dict_DQ_Meth_max[[#This Row],[Vergleich_ub]]-dict_DQ_Meth_max[[#This Row],[Vergleich_lb]])+dict_DQ_Meth_max[[#This Row],[Vergleich_lb]]</f>
        <v>2.2000000000000002</v>
      </c>
      <c r="H1195" s="11" t="str">
        <f ca="1">VLOOKUP(VLOOKUP(dict_DQ_Meth_max[[#This Row],[ID_DataQualities]],table_DataQualities[],3),table_Units[],2)</f>
        <v>+/- mm/s</v>
      </c>
      <c r="I1195" s="10"/>
      <c r="J1195" s="10"/>
      <c r="K1195" s="10"/>
      <c r="L1195" s="10">
        <f ca="1">VLOOKUP(dict_DQ_Meth_max[[#This Row],[ID_DataQualities]],table_DataQualities[],8,FALSE)</f>
        <v>0.5</v>
      </c>
      <c r="M1195" s="10">
        <f ca="1">VLOOKUP(dict_DQ_Meth_max[[#This Row],[ID_DataQualities]],table_DataQualities[],9,FALSE)</f>
        <v>3.9</v>
      </c>
    </row>
    <row r="1196" spans="1:13" x14ac:dyDescent="0.45">
      <c r="A1196" s="10">
        <v>320</v>
      </c>
      <c r="B1196" s="10">
        <v>67</v>
      </c>
      <c r="C11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6" s="10"/>
      <c r="E1196" s="10"/>
      <c r="F1196" s="12">
        <f ca="1">(RANDBETWEEN(0,50)/100)*(dict_DQ_Meth_max[[#This Row],[Vergleich_ub]]-dict_DQ_Meth_max[[#This Row],[Vergleich_lb]])+dict_DQ_Meth_max[[#This Row],[Vergleich_lb]]</f>
        <v>1263.9122800000002</v>
      </c>
      <c r="G1196" s="12">
        <f ca="1">(RANDBETWEEN(50,100)/100)*(dict_DQ_Meth_max[[#This Row],[Vergleich_ub]]-dict_DQ_Meth_max[[#This Row],[Vergleich_lb]])+dict_DQ_Meth_max[[#This Row],[Vergleich_lb]]</f>
        <v>3605.01874</v>
      </c>
      <c r="H1196" s="11" t="str">
        <f ca="1">VLOOKUP(VLOOKUP(dict_DQ_Meth_max[[#This Row],[ID_DataQualities]],table_DataQualities[],3),table_Units[],2)</f>
        <v>Hz</v>
      </c>
      <c r="I1196" s="10"/>
      <c r="J1196" s="10"/>
      <c r="K1196" s="10"/>
      <c r="L1196" s="10">
        <f ca="1">VLOOKUP(dict_DQ_Meth_max[[#This Row],[ID_DataQualities]],table_DataQualities[],8,FALSE)</f>
        <v>0.45800000000000002</v>
      </c>
      <c r="M1196" s="10">
        <f ca="1">VLOOKUP(dict_DQ_Meth_max[[#This Row],[ID_DataQualities]],table_DataQualities[],9,FALSE)</f>
        <v>3716.5</v>
      </c>
    </row>
    <row r="1197" spans="1:13" x14ac:dyDescent="0.45">
      <c r="A1197" s="10">
        <v>320</v>
      </c>
      <c r="B1197" s="10">
        <v>242</v>
      </c>
      <c r="C11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7" s="10"/>
      <c r="E1197" s="10"/>
      <c r="F1197" s="12">
        <f ca="1">(RANDBETWEEN(0,50)/100)*(dict_DQ_Meth_max[[#This Row],[Vergleich_ub]]-dict_DQ_Meth_max[[#This Row],[Vergleich_lb]])+dict_DQ_Meth_max[[#This Row],[Vergleich_lb]]</f>
        <v>1486.8748000000001</v>
      </c>
      <c r="G1197" s="12">
        <f ca="1">(RANDBETWEEN(50,100)/100)*(dict_DQ_Meth_max[[#This Row],[Vergleich_ub]]-dict_DQ_Meth_max[[#This Row],[Vergleich_lb]])+dict_DQ_Meth_max[[#This Row],[Vergleich_lb]]</f>
        <v>2973.2916</v>
      </c>
      <c r="H1197" s="11" t="str">
        <f ca="1">VLOOKUP(VLOOKUP(dict_DQ_Meth_max[[#This Row],[ID_DataQualities]],table_DataQualities[],3),table_Units[],2)</f>
        <v>Hz</v>
      </c>
      <c r="I1197" s="10"/>
      <c r="J1197" s="10"/>
      <c r="K1197" s="10"/>
      <c r="L1197" s="10">
        <f ca="1">VLOOKUP(dict_DQ_Meth_max[[#This Row],[ID_DataQualities]],table_DataQualities[],8,FALSE)</f>
        <v>0.45800000000000002</v>
      </c>
      <c r="M1197" s="10">
        <f ca="1">VLOOKUP(dict_DQ_Meth_max[[#This Row],[ID_DataQualities]],table_DataQualities[],9,FALSE)</f>
        <v>3716.5</v>
      </c>
    </row>
    <row r="1198" spans="1:13" x14ac:dyDescent="0.45">
      <c r="A1198" s="10">
        <v>320</v>
      </c>
      <c r="B1198" s="10">
        <v>380</v>
      </c>
      <c r="C11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8" s="10"/>
      <c r="E1198" s="10"/>
      <c r="F1198" s="12">
        <f ca="1">(RANDBETWEEN(0,50)/100)*(dict_DQ_Meth_max[[#This Row],[Vergleich_ub]]-dict_DQ_Meth_max[[#This Row],[Vergleich_lb]])+dict_DQ_Meth_max[[#This Row],[Vergleich_lb]]</f>
        <v>1226.7518600000001</v>
      </c>
      <c r="G1198" s="12">
        <f ca="1">(RANDBETWEEN(50,100)/100)*(dict_DQ_Meth_max[[#This Row],[Vergleich_ub]]-dict_DQ_Meth_max[[#This Row],[Vergleich_lb]])+dict_DQ_Meth_max[[#This Row],[Vergleich_lb]]</f>
        <v>2527.3665600000004</v>
      </c>
      <c r="H1198" s="11" t="str">
        <f ca="1">VLOOKUP(VLOOKUP(dict_DQ_Meth_max[[#This Row],[ID_DataQualities]],table_DataQualities[],3),table_Units[],2)</f>
        <v>Hz</v>
      </c>
      <c r="I1198" s="10"/>
      <c r="J1198" s="10"/>
      <c r="K1198" s="10"/>
      <c r="L1198" s="10">
        <f ca="1">VLOOKUP(dict_DQ_Meth_max[[#This Row],[ID_DataQualities]],table_DataQualities[],8,FALSE)</f>
        <v>0.45800000000000002</v>
      </c>
      <c r="M1198" s="10">
        <f ca="1">VLOOKUP(dict_DQ_Meth_max[[#This Row],[ID_DataQualities]],table_DataQualities[],9,FALSE)</f>
        <v>3716.5</v>
      </c>
    </row>
    <row r="1199" spans="1:13" x14ac:dyDescent="0.45">
      <c r="A1199" s="10">
        <v>320</v>
      </c>
      <c r="B1199" s="10">
        <v>452</v>
      </c>
      <c r="C11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199" s="10"/>
      <c r="E1199" s="10"/>
      <c r="F1199" s="12">
        <f ca="1">(RANDBETWEEN(0,50)/100)*(dict_DQ_Meth_max[[#This Row],[Vergleich_ub]]-dict_DQ_Meth_max[[#This Row],[Vergleich_lb]])+dict_DQ_Meth_max[[#This Row],[Vergleich_lb]]</f>
        <v>929.46849999999995</v>
      </c>
      <c r="G1199" s="12">
        <f ca="1">(RANDBETWEEN(50,100)/100)*(dict_DQ_Meth_max[[#This Row],[Vergleich_ub]]-dict_DQ_Meth_max[[#This Row],[Vergleich_lb]])+dict_DQ_Meth_max[[#This Row],[Vergleich_lb]]</f>
        <v>2341.5644600000001</v>
      </c>
      <c r="H1199" s="11" t="str">
        <f ca="1">VLOOKUP(VLOOKUP(dict_DQ_Meth_max[[#This Row],[ID_DataQualities]],table_DataQualities[],3),table_Units[],2)</f>
        <v>Hz</v>
      </c>
      <c r="I1199" s="10"/>
      <c r="J1199" s="10"/>
      <c r="K1199" s="10"/>
      <c r="L1199" s="10">
        <f ca="1">VLOOKUP(dict_DQ_Meth_max[[#This Row],[ID_DataQualities]],table_DataQualities[],8,FALSE)</f>
        <v>0.45800000000000002</v>
      </c>
      <c r="M1199" s="10">
        <f ca="1">VLOOKUP(dict_DQ_Meth_max[[#This Row],[ID_DataQualities]],table_DataQualities[],9,FALSE)</f>
        <v>3716.5</v>
      </c>
    </row>
    <row r="1200" spans="1:13" x14ac:dyDescent="0.45">
      <c r="A1200" s="10">
        <v>320</v>
      </c>
      <c r="B1200" s="10">
        <v>5</v>
      </c>
      <c r="C12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0" s="10"/>
      <c r="E1200" s="10"/>
      <c r="F1200" s="12">
        <f ca="1">(RANDBETWEEN(0,50)/100)*(dict_DQ_Meth_max[[#This Row],[Vergleich_ub]]-dict_DQ_Meth_max[[#This Row],[Vergleich_lb]])+dict_DQ_Meth_max[[#This Row],[Vergleich_lb]]</f>
        <v>1338.2331200000001</v>
      </c>
      <c r="G1200" s="12">
        <f ca="1">(RANDBETWEEN(50,100)/100)*(dict_DQ_Meth_max[[#This Row],[Vergleich_ub]]-dict_DQ_Meth_max[[#This Row],[Vergleich_lb]])+dict_DQ_Meth_max[[#This Row],[Vergleich_lb]]</f>
        <v>2341.5644600000001</v>
      </c>
      <c r="H1200" s="11" t="str">
        <f ca="1">VLOOKUP(VLOOKUP(dict_DQ_Meth_max[[#This Row],[ID_DataQualities]],table_DataQualities[],3),table_Units[],2)</f>
        <v>Hz</v>
      </c>
      <c r="I1200" s="10"/>
      <c r="J1200" s="10"/>
      <c r="K1200" s="10"/>
      <c r="L1200" s="10">
        <f ca="1">VLOOKUP(dict_DQ_Meth_max[[#This Row],[ID_DataQualities]],table_DataQualities[],8,FALSE)</f>
        <v>0.45800000000000002</v>
      </c>
      <c r="M1200" s="10">
        <f ca="1">VLOOKUP(dict_DQ_Meth_max[[#This Row],[ID_DataQualities]],table_DataQualities[],9,FALSE)</f>
        <v>3716.5</v>
      </c>
    </row>
    <row r="1201" spans="1:13" x14ac:dyDescent="0.45">
      <c r="A1201" s="10">
        <v>320</v>
      </c>
      <c r="B1201" s="10">
        <v>35</v>
      </c>
      <c r="C12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1" s="10"/>
      <c r="E1201" s="10"/>
      <c r="F1201" s="12">
        <f ca="1">(RANDBETWEEN(0,50)/100)*(dict_DQ_Meth_max[[#This Row],[Vergleich_ub]]-dict_DQ_Meth_max[[#This Row],[Vergleich_lb]])+dict_DQ_Meth_max[[#This Row],[Vergleich_lb]]</f>
        <v>1449.7143800000001</v>
      </c>
      <c r="G1201" s="12">
        <f ca="1">(RANDBETWEEN(50,100)/100)*(dict_DQ_Meth_max[[#This Row],[Vergleich_ub]]-dict_DQ_Meth_max[[#This Row],[Vergleich_lb]])+dict_DQ_Meth_max[[#This Row],[Vergleich_lb]]</f>
        <v>2118.60194</v>
      </c>
      <c r="H1201" s="11" t="str">
        <f ca="1">VLOOKUP(VLOOKUP(dict_DQ_Meth_max[[#This Row],[ID_DataQualities]],table_DataQualities[],3),table_Units[],2)</f>
        <v>Hz</v>
      </c>
      <c r="I1201" s="10"/>
      <c r="J1201" s="10"/>
      <c r="K1201" s="10"/>
      <c r="L1201" s="10">
        <f ca="1">VLOOKUP(dict_DQ_Meth_max[[#This Row],[ID_DataQualities]],table_DataQualities[],8,FALSE)</f>
        <v>0.45800000000000002</v>
      </c>
      <c r="M1201" s="10">
        <f ca="1">VLOOKUP(dict_DQ_Meth_max[[#This Row],[ID_DataQualities]],table_DataQualities[],9,FALSE)</f>
        <v>3716.5</v>
      </c>
    </row>
    <row r="1202" spans="1:13" x14ac:dyDescent="0.45">
      <c r="A1202" s="10">
        <v>321</v>
      </c>
      <c r="B1202" s="10">
        <v>452</v>
      </c>
      <c r="C12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2" s="10"/>
      <c r="E1202" s="10"/>
      <c r="F1202" s="12">
        <f ca="1">(RANDBETWEEN(0,50)/100)*(dict_DQ_Meth_max[[#This Row],[Vergleich_ub]]-dict_DQ_Meth_max[[#This Row],[Vergleich_lb]])+dict_DQ_Meth_max[[#This Row],[Vergleich_lb]]</f>
        <v>2.6080000000000001</v>
      </c>
      <c r="G1202" s="12">
        <f ca="1">(RANDBETWEEN(50,100)/100)*(dict_DQ_Meth_max[[#This Row],[Vergleich_ub]]-dict_DQ_Meth_max[[#This Row],[Vergleich_lb]])+dict_DQ_Meth_max[[#This Row],[Vergleich_lb]]</f>
        <v>6.2069999999999999</v>
      </c>
      <c r="H1202" s="11" t="str">
        <f ca="1">VLOOKUP(VLOOKUP(dict_DQ_Meth_max[[#This Row],[ID_DataQualities]],table_DataQualities[],3),table_Units[],2)</f>
        <v>+/- °C</v>
      </c>
      <c r="I1202" s="10"/>
      <c r="J1202" s="10"/>
      <c r="K1202" s="10"/>
      <c r="L1202" s="10">
        <f ca="1">VLOOKUP(dict_DQ_Meth_max[[#This Row],[ID_DataQualities]],table_DataQualities[],8,FALSE)</f>
        <v>0.9</v>
      </c>
      <c r="M1202" s="10">
        <f ca="1">VLOOKUP(dict_DQ_Meth_max[[#This Row],[ID_DataQualities]],table_DataQualities[],9,FALSE)</f>
        <v>7</v>
      </c>
    </row>
    <row r="1203" spans="1:13" x14ac:dyDescent="0.45">
      <c r="A1203" s="10">
        <v>321</v>
      </c>
      <c r="B1203" s="10">
        <v>380</v>
      </c>
      <c r="C12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3" s="10"/>
      <c r="E1203" s="10"/>
      <c r="F1203" s="12">
        <f ca="1">(RANDBETWEEN(0,50)/100)*(dict_DQ_Meth_max[[#This Row],[Vergleich_ub]]-dict_DQ_Meth_max[[#This Row],[Vergleich_lb]])+dict_DQ_Meth_max[[#This Row],[Vergleich_lb]]</f>
        <v>0.9</v>
      </c>
      <c r="G1203" s="12">
        <f ca="1">(RANDBETWEEN(50,100)/100)*(dict_DQ_Meth_max[[#This Row],[Vergleich_ub]]-dict_DQ_Meth_max[[#This Row],[Vergleich_lb]])+dict_DQ_Meth_max[[#This Row],[Vergleich_lb]]</f>
        <v>5.2919999999999998</v>
      </c>
      <c r="H1203" s="11" t="str">
        <f ca="1">VLOOKUP(VLOOKUP(dict_DQ_Meth_max[[#This Row],[ID_DataQualities]],table_DataQualities[],3),table_Units[],2)</f>
        <v>+/- °C</v>
      </c>
      <c r="I1203" s="10"/>
      <c r="J1203" s="10"/>
      <c r="K1203" s="10"/>
      <c r="L1203" s="10">
        <f ca="1">VLOOKUP(dict_DQ_Meth_max[[#This Row],[ID_DataQualities]],table_DataQualities[],8,FALSE)</f>
        <v>0.9</v>
      </c>
      <c r="M1203" s="10">
        <f ca="1">VLOOKUP(dict_DQ_Meth_max[[#This Row],[ID_DataQualities]],table_DataQualities[],9,FALSE)</f>
        <v>7</v>
      </c>
    </row>
    <row r="1204" spans="1:13" x14ac:dyDescent="0.45">
      <c r="A1204" s="10">
        <v>321</v>
      </c>
      <c r="B1204" s="10">
        <v>242</v>
      </c>
      <c r="C12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4" s="10"/>
      <c r="E1204" s="10"/>
      <c r="F1204" s="12">
        <f ca="1">(RANDBETWEEN(0,50)/100)*(dict_DQ_Meth_max[[#This Row],[Vergleich_ub]]-dict_DQ_Meth_max[[#This Row],[Vergleich_lb]])+dict_DQ_Meth_max[[#This Row],[Vergleich_lb]]</f>
        <v>2.12</v>
      </c>
      <c r="G1204" s="12">
        <f ca="1">(RANDBETWEEN(50,100)/100)*(dict_DQ_Meth_max[[#This Row],[Vergleich_ub]]-dict_DQ_Meth_max[[#This Row],[Vergleich_lb]])+dict_DQ_Meth_max[[#This Row],[Vergleich_lb]]</f>
        <v>6.024</v>
      </c>
      <c r="H1204" s="11" t="str">
        <f ca="1">VLOOKUP(VLOOKUP(dict_DQ_Meth_max[[#This Row],[ID_DataQualities]],table_DataQualities[],3),table_Units[],2)</f>
        <v>+/- °C</v>
      </c>
      <c r="I1204" s="10"/>
      <c r="J1204" s="10"/>
      <c r="K1204" s="10"/>
      <c r="L1204" s="10">
        <f ca="1">VLOOKUP(dict_DQ_Meth_max[[#This Row],[ID_DataQualities]],table_DataQualities[],8,FALSE)</f>
        <v>0.9</v>
      </c>
      <c r="M1204" s="10">
        <f ca="1">VLOOKUP(dict_DQ_Meth_max[[#This Row],[ID_DataQualities]],table_DataQualities[],9,FALSE)</f>
        <v>7</v>
      </c>
    </row>
    <row r="1205" spans="1:13" x14ac:dyDescent="0.45">
      <c r="A1205" s="10">
        <v>321</v>
      </c>
      <c r="B1205" s="10">
        <v>35</v>
      </c>
      <c r="C12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5" s="10"/>
      <c r="E1205" s="10"/>
      <c r="F1205" s="12">
        <f ca="1">(RANDBETWEEN(0,50)/100)*(dict_DQ_Meth_max[[#This Row],[Vergleich_ub]]-dict_DQ_Meth_max[[#This Row],[Vergleich_lb]])+dict_DQ_Meth_max[[#This Row],[Vergleich_lb]]</f>
        <v>3.9499999999999997</v>
      </c>
      <c r="G1205" s="12">
        <f ca="1">(RANDBETWEEN(50,100)/100)*(dict_DQ_Meth_max[[#This Row],[Vergleich_ub]]-dict_DQ_Meth_max[[#This Row],[Vergleich_lb]])+dict_DQ_Meth_max[[#This Row],[Vergleich_lb]]</f>
        <v>4.8650000000000002</v>
      </c>
      <c r="H1205" s="11" t="str">
        <f ca="1">VLOOKUP(VLOOKUP(dict_DQ_Meth_max[[#This Row],[ID_DataQualities]],table_DataQualities[],3),table_Units[],2)</f>
        <v>+/- °C</v>
      </c>
      <c r="I1205" s="10"/>
      <c r="J1205" s="10"/>
      <c r="K1205" s="10"/>
      <c r="L1205" s="10">
        <f ca="1">VLOOKUP(dict_DQ_Meth_max[[#This Row],[ID_DataQualities]],table_DataQualities[],8,FALSE)</f>
        <v>0.9</v>
      </c>
      <c r="M1205" s="10">
        <f ca="1">VLOOKUP(dict_DQ_Meth_max[[#This Row],[ID_DataQualities]],table_DataQualities[],9,FALSE)</f>
        <v>7</v>
      </c>
    </row>
    <row r="1206" spans="1:13" x14ac:dyDescent="0.45">
      <c r="A1206" s="10">
        <v>321</v>
      </c>
      <c r="B1206" s="10">
        <v>5</v>
      </c>
      <c r="C12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6" s="10"/>
      <c r="E1206" s="10"/>
      <c r="F1206" s="12">
        <f ca="1">(RANDBETWEEN(0,50)/100)*(dict_DQ_Meth_max[[#This Row],[Vergleich_ub]]-dict_DQ_Meth_max[[#This Row],[Vergleich_lb]])+dict_DQ_Meth_max[[#This Row],[Vergleich_lb]]</f>
        <v>1.2050000000000001</v>
      </c>
      <c r="G1206" s="12">
        <f ca="1">(RANDBETWEEN(50,100)/100)*(dict_DQ_Meth_max[[#This Row],[Vergleich_ub]]-dict_DQ_Meth_max[[#This Row],[Vergleich_lb]])+dict_DQ_Meth_max[[#This Row],[Vergleich_lb]]</f>
        <v>4.9870000000000001</v>
      </c>
      <c r="H1206" s="11" t="str">
        <f ca="1">VLOOKUP(VLOOKUP(dict_DQ_Meth_max[[#This Row],[ID_DataQualities]],table_DataQualities[],3),table_Units[],2)</f>
        <v>+/- °C</v>
      </c>
      <c r="I1206" s="10"/>
      <c r="J1206" s="10"/>
      <c r="K1206" s="10"/>
      <c r="L1206" s="10">
        <f ca="1">VLOOKUP(dict_DQ_Meth_max[[#This Row],[ID_DataQualities]],table_DataQualities[],8,FALSE)</f>
        <v>0.9</v>
      </c>
      <c r="M1206" s="10">
        <f ca="1">VLOOKUP(dict_DQ_Meth_max[[#This Row],[ID_DataQualities]],table_DataQualities[],9,FALSE)</f>
        <v>7</v>
      </c>
    </row>
    <row r="1207" spans="1:13" x14ac:dyDescent="0.45">
      <c r="A1207" s="10">
        <v>321</v>
      </c>
      <c r="B1207" s="10">
        <v>67</v>
      </c>
      <c r="C12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7" s="10"/>
      <c r="E1207" s="10"/>
      <c r="F1207" s="12">
        <f ca="1">(RANDBETWEEN(0,50)/100)*(dict_DQ_Meth_max[[#This Row],[Vergleich_ub]]-dict_DQ_Meth_max[[#This Row],[Vergleich_lb]])+dict_DQ_Meth_max[[#This Row],[Vergleich_lb]]</f>
        <v>2.6689999999999996</v>
      </c>
      <c r="G1207" s="12">
        <f ca="1">(RANDBETWEEN(50,100)/100)*(dict_DQ_Meth_max[[#This Row],[Vergleich_ub]]-dict_DQ_Meth_max[[#This Row],[Vergleich_lb]])+dict_DQ_Meth_max[[#This Row],[Vergleich_lb]]</f>
        <v>4.0110000000000001</v>
      </c>
      <c r="H1207" s="11" t="str">
        <f ca="1">VLOOKUP(VLOOKUP(dict_DQ_Meth_max[[#This Row],[ID_DataQualities]],table_DataQualities[],3),table_Units[],2)</f>
        <v>+/- °C</v>
      </c>
      <c r="I1207" s="10"/>
      <c r="J1207" s="10"/>
      <c r="K1207" s="10"/>
      <c r="L1207" s="10">
        <f ca="1">VLOOKUP(dict_DQ_Meth_max[[#This Row],[ID_DataQualities]],table_DataQualities[],8,FALSE)</f>
        <v>0.9</v>
      </c>
      <c r="M1207" s="10">
        <f ca="1">VLOOKUP(dict_DQ_Meth_max[[#This Row],[ID_DataQualities]],table_DataQualities[],9,FALSE)</f>
        <v>7</v>
      </c>
    </row>
    <row r="1208" spans="1:13" x14ac:dyDescent="0.45">
      <c r="A1208" s="10">
        <v>322</v>
      </c>
      <c r="B1208" s="10">
        <v>117</v>
      </c>
      <c r="C12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8" s="10"/>
      <c r="E1208" s="10"/>
      <c r="F1208" s="12">
        <f ca="1">(RANDBETWEEN(0,50)/100)*(dict_DQ_Meth_max[[#This Row],[Vergleich_ub]]-dict_DQ_Meth_max[[#This Row],[Vergleich_lb]])+dict_DQ_Meth_max[[#This Row],[Vergleich_lb]]</f>
        <v>737.41023999999993</v>
      </c>
      <c r="G1208" s="12">
        <f ca="1">(RANDBETWEEN(50,100)/100)*(dict_DQ_Meth_max[[#This Row],[Vergleich_ub]]-dict_DQ_Meth_max[[#This Row],[Vergleich_lb]])+dict_DQ_Meth_max[[#This Row],[Vergleich_lb]]</f>
        <v>1789.7934399999999</v>
      </c>
      <c r="H1208" s="11" t="str">
        <f ca="1">VLOOKUP(VLOOKUP(dict_DQ_Meth_max[[#This Row],[ID_DataQualities]],table_DataQualities[],3),table_Units[],2)</f>
        <v>Hz</v>
      </c>
      <c r="I1208" s="10"/>
      <c r="J1208" s="10"/>
      <c r="K1208" s="10"/>
      <c r="L1208" s="10">
        <f ca="1">VLOOKUP(dict_DQ_Meth_max[[#This Row],[ID_DataQualities]],table_DataQualities[],8,FALSE)</f>
        <v>0.74199999999999999</v>
      </c>
      <c r="M1208" s="10">
        <f ca="1">VLOOKUP(dict_DQ_Meth_max[[#This Row],[ID_DataQualities]],table_DataQualities[],9,FALSE)</f>
        <v>2631.7</v>
      </c>
    </row>
    <row r="1209" spans="1:13" x14ac:dyDescent="0.45">
      <c r="A1209" s="10">
        <v>322</v>
      </c>
      <c r="B1209" s="10">
        <v>29</v>
      </c>
      <c r="C12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09" s="10"/>
      <c r="E1209" s="10"/>
      <c r="F1209" s="12">
        <f ca="1">(RANDBETWEEN(0,50)/100)*(dict_DQ_Meth_max[[#This Row],[Vergleich_ub]]-dict_DQ_Meth_max[[#This Row],[Vergleich_lb]])+dict_DQ_Meth_max[[#This Row],[Vergleich_lb]]</f>
        <v>1158.3635199999999</v>
      </c>
      <c r="G1209" s="12">
        <f ca="1">(RANDBETWEEN(50,100)/100)*(dict_DQ_Meth_max[[#This Row],[Vergleich_ub]]-dict_DQ_Meth_max[[#This Row],[Vergleich_lb]])+dict_DQ_Meth_max[[#This Row],[Vergleich_lb]]</f>
        <v>1342.5305799999999</v>
      </c>
      <c r="H1209" s="11" t="str">
        <f ca="1">VLOOKUP(VLOOKUP(dict_DQ_Meth_max[[#This Row],[ID_DataQualities]],table_DataQualities[],3),table_Units[],2)</f>
        <v>Hz</v>
      </c>
      <c r="I1209" s="10"/>
      <c r="J1209" s="10"/>
      <c r="K1209" s="10"/>
      <c r="L1209" s="10">
        <f ca="1">VLOOKUP(dict_DQ_Meth_max[[#This Row],[ID_DataQualities]],table_DataQualities[],8,FALSE)</f>
        <v>0.74199999999999999</v>
      </c>
      <c r="M1209" s="10">
        <f ca="1">VLOOKUP(dict_DQ_Meth_max[[#This Row],[ID_DataQualities]],table_DataQualities[],9,FALSE)</f>
        <v>2631.7</v>
      </c>
    </row>
    <row r="1210" spans="1:13" x14ac:dyDescent="0.45">
      <c r="A1210" s="10">
        <v>323</v>
      </c>
      <c r="B1210" s="10">
        <v>117</v>
      </c>
      <c r="C12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0" s="10"/>
      <c r="E1210" s="10"/>
      <c r="F1210" s="12">
        <f ca="1">(RANDBETWEEN(0,50)/100)*(dict_DQ_Meth_max[[#This Row],[Vergleich_ub]]-dict_DQ_Meth_max[[#This Row],[Vergleich_lb]])+dict_DQ_Meth_max[[#This Row],[Vergleich_lb]]</f>
        <v>2.4620000000000002</v>
      </c>
      <c r="G1210" s="12">
        <f ca="1">(RANDBETWEEN(50,100)/100)*(dict_DQ_Meth_max[[#This Row],[Vergleich_ub]]-dict_DQ_Meth_max[[#This Row],[Vergleich_lb]])+dict_DQ_Meth_max[[#This Row],[Vergleich_lb]]</f>
        <v>4.6240000000000006</v>
      </c>
      <c r="H1210" s="11" t="str">
        <f ca="1">VLOOKUP(VLOOKUP(dict_DQ_Meth_max[[#This Row],[ID_DataQualities]],table_DataQualities[],3),table_Units[],2)</f>
        <v>+/- °C</v>
      </c>
      <c r="I1210" s="10"/>
      <c r="J1210" s="10"/>
      <c r="K1210" s="10"/>
      <c r="L1210" s="10">
        <f ca="1">VLOOKUP(dict_DQ_Meth_max[[#This Row],[ID_DataQualities]],table_DataQualities[],8,FALSE)</f>
        <v>0.3</v>
      </c>
      <c r="M1210" s="10">
        <f ca="1">VLOOKUP(dict_DQ_Meth_max[[#This Row],[ID_DataQualities]],table_DataQualities[],9,FALSE)</f>
        <v>5</v>
      </c>
    </row>
    <row r="1211" spans="1:13" x14ac:dyDescent="0.45">
      <c r="A1211" s="10">
        <v>323</v>
      </c>
      <c r="B1211" s="10">
        <v>29</v>
      </c>
      <c r="C12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1" s="10"/>
      <c r="E1211" s="10"/>
      <c r="F1211" s="12">
        <f ca="1">(RANDBETWEEN(0,50)/100)*(dict_DQ_Meth_max[[#This Row],[Vergleich_ub]]-dict_DQ_Meth_max[[#This Row],[Vergleich_lb]])+dict_DQ_Meth_max[[#This Row],[Vergleich_lb]]</f>
        <v>1.8510000000000002</v>
      </c>
      <c r="G1211" s="12">
        <f ca="1">(RANDBETWEEN(50,100)/100)*(dict_DQ_Meth_max[[#This Row],[Vergleich_ub]]-dict_DQ_Meth_max[[#This Row],[Vergleich_lb]])+dict_DQ_Meth_max[[#This Row],[Vergleich_lb]]</f>
        <v>4.2009999999999996</v>
      </c>
      <c r="H1211" s="11" t="str">
        <f ca="1">VLOOKUP(VLOOKUP(dict_DQ_Meth_max[[#This Row],[ID_DataQualities]],table_DataQualities[],3),table_Units[],2)</f>
        <v>+/- °C</v>
      </c>
      <c r="I1211" s="10"/>
      <c r="J1211" s="10"/>
      <c r="K1211" s="10"/>
      <c r="L1211" s="10">
        <f ca="1">VLOOKUP(dict_DQ_Meth_max[[#This Row],[ID_DataQualities]],table_DataQualities[],8,FALSE)</f>
        <v>0.3</v>
      </c>
      <c r="M1211" s="10">
        <f ca="1">VLOOKUP(dict_DQ_Meth_max[[#This Row],[ID_DataQualities]],table_DataQualities[],9,FALSE)</f>
        <v>5</v>
      </c>
    </row>
    <row r="1212" spans="1:13" x14ac:dyDescent="0.45">
      <c r="A1212" s="10">
        <v>324</v>
      </c>
      <c r="B1212" s="10">
        <v>469</v>
      </c>
      <c r="C12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2" s="10"/>
      <c r="E1212" s="10"/>
      <c r="F1212" s="12">
        <f ca="1">(RANDBETWEEN(0,50)/100)*(dict_DQ_Meth_max[[#This Row],[Vergleich_ub]]-dict_DQ_Meth_max[[#This Row],[Vergleich_lb]])+dict_DQ_Meth_max[[#This Row],[Vergleich_lb]]</f>
        <v>3083.2926499999999</v>
      </c>
      <c r="G1212" s="12">
        <f ca="1">(RANDBETWEEN(50,100)/100)*(dict_DQ_Meth_max[[#This Row],[Vergleich_ub]]-dict_DQ_Meth_max[[#This Row],[Vergleich_lb]])+dict_DQ_Meth_max[[#This Row],[Vergleich_lb]]</f>
        <v>6316.5335999999998</v>
      </c>
      <c r="H1212" s="11" t="str">
        <f ca="1">VLOOKUP(VLOOKUP(dict_DQ_Meth_max[[#This Row],[ID_DataQualities]],table_DataQualities[],3),table_Units[],2)</f>
        <v>Hz</v>
      </c>
      <c r="I1212" s="10"/>
      <c r="J1212" s="10"/>
      <c r="K1212" s="10"/>
      <c r="L1212" s="10">
        <f ca="1">VLOOKUP(dict_DQ_Meth_max[[#This Row],[ID_DataQualities]],table_DataQualities[],8,FALSE)</f>
        <v>0.435</v>
      </c>
      <c r="M1212" s="10">
        <f ca="1">VLOOKUP(dict_DQ_Meth_max[[#This Row],[ID_DataQualities]],table_DataQualities[],9,FALSE)</f>
        <v>7519.6</v>
      </c>
    </row>
    <row r="1213" spans="1:13" x14ac:dyDescent="0.45">
      <c r="A1213" s="10">
        <v>324</v>
      </c>
      <c r="B1213" s="10">
        <v>125</v>
      </c>
      <c r="C12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3" s="10"/>
      <c r="E1213" s="10"/>
      <c r="F1213" s="12">
        <f ca="1">(RANDBETWEEN(0,50)/100)*(dict_DQ_Meth_max[[#This Row],[Vergleich_ub]]-dict_DQ_Meth_max[[#This Row],[Vergleich_lb]])+dict_DQ_Meth_max[[#This Row],[Vergleich_lb]]</f>
        <v>2331.3761500000001</v>
      </c>
      <c r="G1213" s="12">
        <f ca="1">(RANDBETWEEN(50,100)/100)*(dict_DQ_Meth_max[[#This Row],[Vergleich_ub]]-dict_DQ_Meth_max[[#This Row],[Vergleich_lb]])+dict_DQ_Meth_max[[#This Row],[Vergleich_lb]]</f>
        <v>4361.5506999999998</v>
      </c>
      <c r="H1213" s="11" t="str">
        <f ca="1">VLOOKUP(VLOOKUP(dict_DQ_Meth_max[[#This Row],[ID_DataQualities]],table_DataQualities[],3),table_Units[],2)</f>
        <v>Hz</v>
      </c>
      <c r="I1213" s="10"/>
      <c r="J1213" s="10"/>
      <c r="K1213" s="10"/>
      <c r="L1213" s="10">
        <f ca="1">VLOOKUP(dict_DQ_Meth_max[[#This Row],[ID_DataQualities]],table_DataQualities[],8,FALSE)</f>
        <v>0.435</v>
      </c>
      <c r="M1213" s="10">
        <f ca="1">VLOOKUP(dict_DQ_Meth_max[[#This Row],[ID_DataQualities]],table_DataQualities[],9,FALSE)</f>
        <v>7519.6</v>
      </c>
    </row>
    <row r="1214" spans="1:13" x14ac:dyDescent="0.45">
      <c r="A1214" s="10">
        <v>324</v>
      </c>
      <c r="B1214" s="10">
        <v>622</v>
      </c>
      <c r="C12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4" s="10"/>
      <c r="E1214" s="10"/>
      <c r="F1214" s="12">
        <f ca="1">(RANDBETWEEN(0,50)/100)*(dict_DQ_Meth_max[[#This Row],[Vergleich_ub]]-dict_DQ_Meth_max[[#This Row],[Vergleich_lb]])+dict_DQ_Meth_max[[#This Row],[Vergleich_lb]]</f>
        <v>1504.268</v>
      </c>
      <c r="G1214" s="12">
        <f ca="1">(RANDBETWEEN(50,100)/100)*(dict_DQ_Meth_max[[#This Row],[Vergleich_ub]]-dict_DQ_Meth_max[[#This Row],[Vergleich_lb]])+dict_DQ_Meth_max[[#This Row],[Vergleich_lb]]</f>
        <v>6767.6835000000001</v>
      </c>
      <c r="H1214" s="11" t="str">
        <f ca="1">VLOOKUP(VLOOKUP(dict_DQ_Meth_max[[#This Row],[ID_DataQualities]],table_DataQualities[],3),table_Units[],2)</f>
        <v>Hz</v>
      </c>
      <c r="I1214" s="10"/>
      <c r="J1214" s="10"/>
      <c r="K1214" s="10"/>
      <c r="L1214" s="10">
        <f ca="1">VLOOKUP(dict_DQ_Meth_max[[#This Row],[ID_DataQualities]],table_DataQualities[],8,FALSE)</f>
        <v>0.435</v>
      </c>
      <c r="M1214" s="10">
        <f ca="1">VLOOKUP(dict_DQ_Meth_max[[#This Row],[ID_DataQualities]],table_DataQualities[],9,FALSE)</f>
        <v>7519.6</v>
      </c>
    </row>
    <row r="1215" spans="1:13" x14ac:dyDescent="0.45">
      <c r="A1215" s="10">
        <v>325</v>
      </c>
      <c r="B1215" s="10">
        <v>125</v>
      </c>
      <c r="C12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5" s="10"/>
      <c r="E1215" s="10"/>
      <c r="F1215" s="12">
        <f ca="1">(RANDBETWEEN(0,50)/100)*(dict_DQ_Meth_max[[#This Row],[Vergleich_ub]]-dict_DQ_Meth_max[[#This Row],[Vergleich_lb]])+dict_DQ_Meth_max[[#This Row],[Vergleich_lb]]</f>
        <v>2.2948</v>
      </c>
      <c r="G1215" s="12">
        <f ca="1">(RANDBETWEEN(50,100)/100)*(dict_DQ_Meth_max[[#This Row],[Vergleich_ub]]-dict_DQ_Meth_max[[#This Row],[Vergleich_lb]])+dict_DQ_Meth_max[[#This Row],[Vergleich_lb]]</f>
        <v>5.9451999999999998</v>
      </c>
      <c r="H1215" s="11" t="str">
        <f ca="1">VLOOKUP(VLOOKUP(dict_DQ_Meth_max[[#This Row],[ID_DataQualities]],table_DataQualities[],3),table_Units[],2)</f>
        <v>+/- mm/s</v>
      </c>
      <c r="I1215" s="10"/>
      <c r="J1215" s="10"/>
      <c r="K1215" s="10"/>
      <c r="L1215" s="10">
        <f ca="1">VLOOKUP(dict_DQ_Meth_max[[#This Row],[ID_DataQualities]],table_DataQualities[],8,FALSE)</f>
        <v>0.74</v>
      </c>
      <c r="M1215" s="10">
        <f ca="1">VLOOKUP(dict_DQ_Meth_max[[#This Row],[ID_DataQualities]],table_DataQualities[],9,FALSE)</f>
        <v>7.5</v>
      </c>
    </row>
    <row r="1216" spans="1:13" x14ac:dyDescent="0.45">
      <c r="A1216" s="10">
        <v>325</v>
      </c>
      <c r="B1216" s="10">
        <v>622</v>
      </c>
      <c r="C12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6" s="10"/>
      <c r="E1216" s="10"/>
      <c r="F1216" s="12">
        <f ca="1">(RANDBETWEEN(0,50)/100)*(dict_DQ_Meth_max[[#This Row],[Vergleich_ub]]-dict_DQ_Meth_max[[#This Row],[Vergleich_lb]])+dict_DQ_Meth_max[[#This Row],[Vergleich_lb]]</f>
        <v>1.8215999999999999</v>
      </c>
      <c r="G1216" s="12">
        <f ca="1">(RANDBETWEEN(50,100)/100)*(dict_DQ_Meth_max[[#This Row],[Vergleich_ub]]-dict_DQ_Meth_max[[#This Row],[Vergleich_lb]])+dict_DQ_Meth_max[[#This Row],[Vergleich_lb]]</f>
        <v>7.0943999999999994</v>
      </c>
      <c r="H1216" s="11" t="str">
        <f ca="1">VLOOKUP(VLOOKUP(dict_DQ_Meth_max[[#This Row],[ID_DataQualities]],table_DataQualities[],3),table_Units[],2)</f>
        <v>+/- mm/s</v>
      </c>
      <c r="I1216" s="10"/>
      <c r="J1216" s="10"/>
      <c r="K1216" s="10"/>
      <c r="L1216" s="10">
        <f ca="1">VLOOKUP(dict_DQ_Meth_max[[#This Row],[ID_DataQualities]],table_DataQualities[],8,FALSE)</f>
        <v>0.74</v>
      </c>
      <c r="M1216" s="10">
        <f ca="1">VLOOKUP(dict_DQ_Meth_max[[#This Row],[ID_DataQualities]],table_DataQualities[],9,FALSE)</f>
        <v>7.5</v>
      </c>
    </row>
    <row r="1217" spans="1:13" x14ac:dyDescent="0.45">
      <c r="A1217" s="10">
        <v>325</v>
      </c>
      <c r="B1217" s="10">
        <v>469</v>
      </c>
      <c r="C12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7" s="10"/>
      <c r="E1217" s="10"/>
      <c r="F1217" s="12">
        <f ca="1">(RANDBETWEEN(0,50)/100)*(dict_DQ_Meth_max[[#This Row],[Vergleich_ub]]-dict_DQ_Meth_max[[#This Row],[Vergleich_lb]])+dict_DQ_Meth_max[[#This Row],[Vergleich_lb]]</f>
        <v>2.7679999999999998</v>
      </c>
      <c r="G1217" s="12">
        <f ca="1">(RANDBETWEEN(50,100)/100)*(dict_DQ_Meth_max[[#This Row],[Vergleich_ub]]-dict_DQ_Meth_max[[#This Row],[Vergleich_lb]])+dict_DQ_Meth_max[[#This Row],[Vergleich_lb]]</f>
        <v>4.7283999999999997</v>
      </c>
      <c r="H1217" s="11" t="str">
        <f ca="1">VLOOKUP(VLOOKUP(dict_DQ_Meth_max[[#This Row],[ID_DataQualities]],table_DataQualities[],3),table_Units[],2)</f>
        <v>+/- mm/s</v>
      </c>
      <c r="I1217" s="10"/>
      <c r="J1217" s="10"/>
      <c r="K1217" s="10"/>
      <c r="L1217" s="10">
        <f ca="1">VLOOKUP(dict_DQ_Meth_max[[#This Row],[ID_DataQualities]],table_DataQualities[],8,FALSE)</f>
        <v>0.74</v>
      </c>
      <c r="M1217" s="10">
        <f ca="1">VLOOKUP(dict_DQ_Meth_max[[#This Row],[ID_DataQualities]],table_DataQualities[],9,FALSE)</f>
        <v>7.5</v>
      </c>
    </row>
    <row r="1218" spans="1:13" x14ac:dyDescent="0.45">
      <c r="A1218" s="10">
        <v>326</v>
      </c>
      <c r="B1218" s="10">
        <v>54</v>
      </c>
      <c r="C12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8" s="10"/>
      <c r="E1218" s="10"/>
      <c r="F1218" s="12">
        <f ca="1">(RANDBETWEEN(0,50)/100)*(dict_DQ_Meth_max[[#This Row],[Vergleich_ub]]-dict_DQ_Meth_max[[#This Row],[Vergleich_lb]])+dict_DQ_Meth_max[[#This Row],[Vergleich_lb]]</f>
        <v>61.288320000000006</v>
      </c>
      <c r="G1218" s="12">
        <f ca="1">(RANDBETWEEN(50,100)/100)*(dict_DQ_Meth_max[[#This Row],[Vergleich_ub]]-dict_DQ_Meth_max[[#This Row],[Vergleich_lb]])+dict_DQ_Meth_max[[#This Row],[Vergleich_lb]]</f>
        <v>231.98663999999999</v>
      </c>
      <c r="H1218" s="11" t="str">
        <f ca="1">VLOOKUP(VLOOKUP(dict_DQ_Meth_max[[#This Row],[ID_DataQualities]],table_DataQualities[],3),table_Units[],2)</f>
        <v>Hz</v>
      </c>
      <c r="I1218" s="10"/>
      <c r="J1218" s="10"/>
      <c r="K1218" s="10"/>
      <c r="L1218" s="10">
        <f ca="1">VLOOKUP(dict_DQ_Meth_max[[#This Row],[ID_DataQualities]],table_DataQualities[],8,FALSE)</f>
        <v>1.2E-2</v>
      </c>
      <c r="M1218" s="10">
        <f ca="1">VLOOKUP(dict_DQ_Meth_max[[#This Row],[ID_DataQualities]],table_DataQualities[],9,FALSE)</f>
        <v>437.7</v>
      </c>
    </row>
    <row r="1219" spans="1:13" x14ac:dyDescent="0.45">
      <c r="A1219" s="10">
        <v>326</v>
      </c>
      <c r="B1219" s="10">
        <v>689</v>
      </c>
      <c r="C12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19" s="10"/>
      <c r="E1219" s="10"/>
      <c r="F1219" s="12">
        <f ca="1">(RANDBETWEEN(0,50)/100)*(dict_DQ_Meth_max[[#This Row],[Vergleich_ub]]-dict_DQ_Meth_max[[#This Row],[Vergleich_lb]])+dict_DQ_Meth_max[[#This Row],[Vergleich_lb]]</f>
        <v>135.69528</v>
      </c>
      <c r="G1219" s="12">
        <f ca="1">(RANDBETWEEN(50,100)/100)*(dict_DQ_Meth_max[[#This Row],[Vergleich_ub]]-dict_DQ_Meth_max[[#This Row],[Vergleich_lb]])+dict_DQ_Meth_max[[#This Row],[Vergleich_lb]]</f>
        <v>297.63983999999999</v>
      </c>
      <c r="H1219" s="11" t="str">
        <f ca="1">VLOOKUP(VLOOKUP(dict_DQ_Meth_max[[#This Row],[ID_DataQualities]],table_DataQualities[],3),table_Units[],2)</f>
        <v>Hz</v>
      </c>
      <c r="I1219" s="10"/>
      <c r="J1219" s="10"/>
      <c r="K1219" s="10"/>
      <c r="L1219" s="10">
        <f ca="1">VLOOKUP(dict_DQ_Meth_max[[#This Row],[ID_DataQualities]],table_DataQualities[],8,FALSE)</f>
        <v>1.2E-2</v>
      </c>
      <c r="M1219" s="10">
        <f ca="1">VLOOKUP(dict_DQ_Meth_max[[#This Row],[ID_DataQualities]],table_DataQualities[],9,FALSE)</f>
        <v>437.7</v>
      </c>
    </row>
    <row r="1220" spans="1:13" x14ac:dyDescent="0.45">
      <c r="A1220" s="10">
        <v>326</v>
      </c>
      <c r="B1220" s="10">
        <v>270</v>
      </c>
      <c r="C12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0" s="10"/>
      <c r="E1220" s="10"/>
      <c r="F1220" s="12">
        <f ca="1">(RANDBETWEEN(0,50)/100)*(dict_DQ_Meth_max[[#This Row],[Vergleich_ub]]-dict_DQ_Meth_max[[#This Row],[Vergleich_lb]])+dict_DQ_Meth_max[[#This Row],[Vergleich_lb]]</f>
        <v>52.534559999999999</v>
      </c>
      <c r="G1220" s="12">
        <f ca="1">(RANDBETWEEN(50,100)/100)*(dict_DQ_Meth_max[[#This Row],[Vergleich_ub]]-dict_DQ_Meth_max[[#This Row],[Vergleich_lb]])+dict_DQ_Meth_max[[#This Row],[Vergleich_lb]]</f>
        <v>385.17743999999999</v>
      </c>
      <c r="H1220" s="11" t="str">
        <f ca="1">VLOOKUP(VLOOKUP(dict_DQ_Meth_max[[#This Row],[ID_DataQualities]],table_DataQualities[],3),table_Units[],2)</f>
        <v>Hz</v>
      </c>
      <c r="I1220" s="10"/>
      <c r="J1220" s="10"/>
      <c r="K1220" s="10"/>
      <c r="L1220" s="10">
        <f ca="1">VLOOKUP(dict_DQ_Meth_max[[#This Row],[ID_DataQualities]],table_DataQualities[],8,FALSE)</f>
        <v>1.2E-2</v>
      </c>
      <c r="M1220" s="10">
        <f ca="1">VLOOKUP(dict_DQ_Meth_max[[#This Row],[ID_DataQualities]],table_DataQualities[],9,FALSE)</f>
        <v>437.7</v>
      </c>
    </row>
    <row r="1221" spans="1:13" x14ac:dyDescent="0.45">
      <c r="A1221" s="10">
        <v>326</v>
      </c>
      <c r="B1221" s="10">
        <v>489</v>
      </c>
      <c r="C12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1" s="10"/>
      <c r="E1221" s="10"/>
      <c r="F1221" s="12">
        <f ca="1">(RANDBETWEEN(0,50)/100)*(dict_DQ_Meth_max[[#This Row],[Vergleich_ub]]-dict_DQ_Meth_max[[#This Row],[Vergleich_lb]])+dict_DQ_Meth_max[[#This Row],[Vergleich_lb]]</f>
        <v>166.33344</v>
      </c>
      <c r="G1221" s="12">
        <f ca="1">(RANDBETWEEN(50,100)/100)*(dict_DQ_Meth_max[[#This Row],[Vergleich_ub]]-dict_DQ_Meth_max[[#This Row],[Vergleich_lb]])+dict_DQ_Meth_max[[#This Row],[Vergleich_lb]]</f>
        <v>319.52423999999996</v>
      </c>
      <c r="H1221" s="11" t="str">
        <f ca="1">VLOOKUP(VLOOKUP(dict_DQ_Meth_max[[#This Row],[ID_DataQualities]],table_DataQualities[],3),table_Units[],2)</f>
        <v>Hz</v>
      </c>
      <c r="I1221" s="10"/>
      <c r="J1221" s="10"/>
      <c r="K1221" s="10"/>
      <c r="L1221" s="10">
        <f ca="1">VLOOKUP(dict_DQ_Meth_max[[#This Row],[ID_DataQualities]],table_DataQualities[],8,FALSE)</f>
        <v>1.2E-2</v>
      </c>
      <c r="M1221" s="10">
        <f ca="1">VLOOKUP(dict_DQ_Meth_max[[#This Row],[ID_DataQualities]],table_DataQualities[],9,FALSE)</f>
        <v>437.7</v>
      </c>
    </row>
    <row r="1222" spans="1:13" x14ac:dyDescent="0.45">
      <c r="A1222" s="10">
        <v>326</v>
      </c>
      <c r="B1222" s="10">
        <v>11</v>
      </c>
      <c r="C12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2" s="10"/>
      <c r="E1222" s="10"/>
      <c r="F1222" s="12">
        <f ca="1">(RANDBETWEEN(0,50)/100)*(dict_DQ_Meth_max[[#This Row],[Vergleich_ub]]-dict_DQ_Meth_max[[#This Row],[Vergleich_lb]])+dict_DQ_Meth_max[[#This Row],[Vergleich_lb]]</f>
        <v>214.47911999999999</v>
      </c>
      <c r="G1222" s="12">
        <f ca="1">(RANDBETWEEN(50,100)/100)*(dict_DQ_Meth_max[[#This Row],[Vergleich_ub]]-dict_DQ_Meth_max[[#This Row],[Vergleich_lb]])+dict_DQ_Meth_max[[#This Row],[Vergleich_lb]]</f>
        <v>245.11728000000002</v>
      </c>
      <c r="H1222" s="11" t="str">
        <f ca="1">VLOOKUP(VLOOKUP(dict_DQ_Meth_max[[#This Row],[ID_DataQualities]],table_DataQualities[],3),table_Units[],2)</f>
        <v>Hz</v>
      </c>
      <c r="I1222" s="10"/>
      <c r="J1222" s="10"/>
      <c r="K1222" s="10"/>
      <c r="L1222" s="10">
        <f ca="1">VLOOKUP(dict_DQ_Meth_max[[#This Row],[ID_DataQualities]],table_DataQualities[],8,FALSE)</f>
        <v>1.2E-2</v>
      </c>
      <c r="M1222" s="10">
        <f ca="1">VLOOKUP(dict_DQ_Meth_max[[#This Row],[ID_DataQualities]],table_DataQualities[],9,FALSE)</f>
        <v>437.7</v>
      </c>
    </row>
    <row r="1223" spans="1:13" x14ac:dyDescent="0.45">
      <c r="A1223" s="10">
        <v>327</v>
      </c>
      <c r="B1223" s="10">
        <v>54</v>
      </c>
      <c r="C12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3" s="10"/>
      <c r="E1223" s="10"/>
      <c r="F1223" s="12">
        <f ca="1">(RANDBETWEEN(0,50)/100)*(dict_DQ_Meth_max[[#This Row],[Vergleich_ub]]-dict_DQ_Meth_max[[#This Row],[Vergleich_lb]])+dict_DQ_Meth_max[[#This Row],[Vergleich_lb]]</f>
        <v>0.53420000000000001</v>
      </c>
      <c r="G1223" s="12">
        <f ca="1">(RANDBETWEEN(50,100)/100)*(dict_DQ_Meth_max[[#This Row],[Vergleich_ub]]-dict_DQ_Meth_max[[#This Row],[Vergleich_lb]])+dict_DQ_Meth_max[[#This Row],[Vergleich_lb]]</f>
        <v>1.4956499999999999</v>
      </c>
      <c r="H1223" s="11" t="str">
        <f ca="1">VLOOKUP(VLOOKUP(dict_DQ_Meth_max[[#This Row],[ID_DataQualities]],table_DataQualities[],3),table_Units[],2)</f>
        <v>+/- mm</v>
      </c>
      <c r="I1223" s="10"/>
      <c r="J1223" s="10"/>
      <c r="K1223" s="10"/>
      <c r="L1223" s="10">
        <f ca="1">VLOOKUP(dict_DQ_Meth_max[[#This Row],[ID_DataQualities]],table_DataQualities[],8,FALSE)</f>
        <v>7.4999999999999997E-2</v>
      </c>
      <c r="M1223" s="10">
        <f ca="1">VLOOKUP(dict_DQ_Meth_max[[#This Row],[ID_DataQualities]],table_DataQualities[],9,FALSE)</f>
        <v>1.51</v>
      </c>
    </row>
    <row r="1224" spans="1:13" x14ac:dyDescent="0.45">
      <c r="A1224" s="10">
        <v>327</v>
      </c>
      <c r="B1224" s="10">
        <v>689</v>
      </c>
      <c r="C12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4" s="10"/>
      <c r="E1224" s="10"/>
      <c r="F1224" s="12">
        <f ca="1">(RANDBETWEEN(0,50)/100)*(dict_DQ_Meth_max[[#This Row],[Vergleich_ub]]-dict_DQ_Meth_max[[#This Row],[Vergleich_lb]])+dict_DQ_Meth_max[[#This Row],[Vergleich_lb]]</f>
        <v>0.77815000000000001</v>
      </c>
      <c r="G1224" s="12">
        <f ca="1">(RANDBETWEEN(50,100)/100)*(dict_DQ_Meth_max[[#This Row],[Vergleich_ub]]-dict_DQ_Meth_max[[#This Row],[Vergleich_lb]])+dict_DQ_Meth_max[[#This Row],[Vergleich_lb]]</f>
        <v>1.1512499999999999</v>
      </c>
      <c r="H1224" s="11" t="str">
        <f ca="1">VLOOKUP(VLOOKUP(dict_DQ_Meth_max[[#This Row],[ID_DataQualities]],table_DataQualities[],3),table_Units[],2)</f>
        <v>+/- mm</v>
      </c>
      <c r="I1224" s="10"/>
      <c r="J1224" s="10"/>
      <c r="K1224" s="10"/>
      <c r="L1224" s="10">
        <f ca="1">VLOOKUP(dict_DQ_Meth_max[[#This Row],[ID_DataQualities]],table_DataQualities[],8,FALSE)</f>
        <v>7.4999999999999997E-2</v>
      </c>
      <c r="M1224" s="10">
        <f ca="1">VLOOKUP(dict_DQ_Meth_max[[#This Row],[ID_DataQualities]],table_DataQualities[],9,FALSE)</f>
        <v>1.51</v>
      </c>
    </row>
    <row r="1225" spans="1:13" x14ac:dyDescent="0.45">
      <c r="A1225" s="10">
        <v>327</v>
      </c>
      <c r="B1225" s="10">
        <v>270</v>
      </c>
      <c r="C12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5" s="10"/>
      <c r="E1225" s="10"/>
      <c r="F1225" s="12">
        <f ca="1">(RANDBETWEEN(0,50)/100)*(dict_DQ_Meth_max[[#This Row],[Vergleich_ub]]-dict_DQ_Meth_max[[#This Row],[Vergleich_lb]])+dict_DQ_Meth_max[[#This Row],[Vergleich_lb]]</f>
        <v>0.33329999999999999</v>
      </c>
      <c r="G1225" s="12">
        <f ca="1">(RANDBETWEEN(50,100)/100)*(dict_DQ_Meth_max[[#This Row],[Vergleich_ub]]-dict_DQ_Meth_max[[#This Row],[Vergleich_lb]])+dict_DQ_Meth_max[[#This Row],[Vergleich_lb]]</f>
        <v>1.0221</v>
      </c>
      <c r="H1225" s="11" t="str">
        <f ca="1">VLOOKUP(VLOOKUP(dict_DQ_Meth_max[[#This Row],[ID_DataQualities]],table_DataQualities[],3),table_Units[],2)</f>
        <v>+/- mm</v>
      </c>
      <c r="I1225" s="10"/>
      <c r="J1225" s="10"/>
      <c r="K1225" s="10"/>
      <c r="L1225" s="10">
        <f ca="1">VLOOKUP(dict_DQ_Meth_max[[#This Row],[ID_DataQualities]],table_DataQualities[],8,FALSE)</f>
        <v>7.4999999999999997E-2</v>
      </c>
      <c r="M1225" s="10">
        <f ca="1">VLOOKUP(dict_DQ_Meth_max[[#This Row],[ID_DataQualities]],table_DataQualities[],9,FALSE)</f>
        <v>1.51</v>
      </c>
    </row>
    <row r="1226" spans="1:13" x14ac:dyDescent="0.45">
      <c r="A1226" s="10">
        <v>327</v>
      </c>
      <c r="B1226" s="10">
        <v>489</v>
      </c>
      <c r="C12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6" s="10"/>
      <c r="E1226" s="10"/>
      <c r="F1226" s="12">
        <f ca="1">(RANDBETWEEN(0,50)/100)*(dict_DQ_Meth_max[[#This Row],[Vergleich_ub]]-dict_DQ_Meth_max[[#This Row],[Vergleich_lb]])+dict_DQ_Meth_max[[#This Row],[Vergleich_lb]]</f>
        <v>0.37635000000000002</v>
      </c>
      <c r="G1226" s="12">
        <f ca="1">(RANDBETWEEN(50,100)/100)*(dict_DQ_Meth_max[[#This Row],[Vergleich_ub]]-dict_DQ_Meth_max[[#This Row],[Vergleich_lb]])+dict_DQ_Meth_max[[#This Row],[Vergleich_lb]]</f>
        <v>0.82120000000000004</v>
      </c>
      <c r="H1226" s="11" t="str">
        <f ca="1">VLOOKUP(VLOOKUP(dict_DQ_Meth_max[[#This Row],[ID_DataQualities]],table_DataQualities[],3),table_Units[],2)</f>
        <v>+/- mm</v>
      </c>
      <c r="I1226" s="10"/>
      <c r="J1226" s="10"/>
      <c r="K1226" s="10"/>
      <c r="L1226" s="10">
        <f ca="1">VLOOKUP(dict_DQ_Meth_max[[#This Row],[ID_DataQualities]],table_DataQualities[],8,FALSE)</f>
        <v>7.4999999999999997E-2</v>
      </c>
      <c r="M1226" s="10">
        <f ca="1">VLOOKUP(dict_DQ_Meth_max[[#This Row],[ID_DataQualities]],table_DataQualities[],9,FALSE)</f>
        <v>1.51</v>
      </c>
    </row>
    <row r="1227" spans="1:13" x14ac:dyDescent="0.45">
      <c r="A1227" s="10">
        <v>327</v>
      </c>
      <c r="B1227" s="10">
        <v>11</v>
      </c>
      <c r="C12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7" s="10"/>
      <c r="E1227" s="10"/>
      <c r="F1227" s="12">
        <f ca="1">(RANDBETWEEN(0,50)/100)*(dict_DQ_Meth_max[[#This Row],[Vergleich_ub]]-dict_DQ_Meth_max[[#This Row],[Vergleich_lb]])+dict_DQ_Meth_max[[#This Row],[Vergleich_lb]]</f>
        <v>0.46245000000000003</v>
      </c>
      <c r="G1227" s="12">
        <f ca="1">(RANDBETWEEN(50,100)/100)*(dict_DQ_Meth_max[[#This Row],[Vergleich_ub]]-dict_DQ_Meth_max[[#This Row],[Vergleich_lb]])+dict_DQ_Meth_max[[#This Row],[Vergleich_lb]]</f>
        <v>0.99340000000000006</v>
      </c>
      <c r="H1227" s="11" t="str">
        <f ca="1">VLOOKUP(VLOOKUP(dict_DQ_Meth_max[[#This Row],[ID_DataQualities]],table_DataQualities[],3),table_Units[],2)</f>
        <v>+/- mm</v>
      </c>
      <c r="I1227" s="10"/>
      <c r="J1227" s="10"/>
      <c r="K1227" s="10"/>
      <c r="L1227" s="10">
        <f ca="1">VLOOKUP(dict_DQ_Meth_max[[#This Row],[ID_DataQualities]],table_DataQualities[],8,FALSE)</f>
        <v>7.4999999999999997E-2</v>
      </c>
      <c r="M1227" s="10">
        <f ca="1">VLOOKUP(dict_DQ_Meth_max[[#This Row],[ID_DataQualities]],table_DataQualities[],9,FALSE)</f>
        <v>1.51</v>
      </c>
    </row>
    <row r="1228" spans="1:13" x14ac:dyDescent="0.45">
      <c r="A1228" s="10">
        <v>328</v>
      </c>
      <c r="B1228" s="10">
        <v>311</v>
      </c>
      <c r="C12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8" s="10"/>
      <c r="E1228" s="10"/>
      <c r="F1228" s="12">
        <f ca="1">(RANDBETWEEN(0,50)/100)*(dict_DQ_Meth_max[[#This Row],[Vergleich_ub]]-dict_DQ_Meth_max[[#This Row],[Vergleich_lb]])+dict_DQ_Meth_max[[#This Row],[Vergleich_lb]]</f>
        <v>2805.1961599999995</v>
      </c>
      <c r="G1228" s="12">
        <f ca="1">(RANDBETWEEN(50,100)/100)*(dict_DQ_Meth_max[[#This Row],[Vergleich_ub]]-dict_DQ_Meth_max[[#This Row],[Vergleich_lb]])+dict_DQ_Meth_max[[#This Row],[Vergleich_lb]]</f>
        <v>5546.0651799999996</v>
      </c>
      <c r="H1228" s="11" t="str">
        <f ca="1">VLOOKUP(VLOOKUP(dict_DQ_Meth_max[[#This Row],[ID_DataQualities]],table_DataQualities[],3),table_Units[],2)</f>
        <v>Hz</v>
      </c>
      <c r="I1228" s="10"/>
      <c r="J1228" s="10"/>
      <c r="K1228" s="10"/>
      <c r="L1228" s="10">
        <f ca="1">VLOOKUP(dict_DQ_Meth_max[[#This Row],[ID_DataQualities]],table_DataQualities[],8,FALSE)</f>
        <v>0.58599999999999997</v>
      </c>
      <c r="M1228" s="10">
        <f ca="1">VLOOKUP(dict_DQ_Meth_max[[#This Row],[ID_DataQualities]],table_DataQualities[],9,FALSE)</f>
        <v>6374.7</v>
      </c>
    </row>
    <row r="1229" spans="1:13" x14ac:dyDescent="0.45">
      <c r="A1229" s="10">
        <v>328</v>
      </c>
      <c r="B1229" s="10">
        <v>384</v>
      </c>
      <c r="C12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29" s="10"/>
      <c r="E1229" s="10"/>
      <c r="F1229" s="12">
        <f ca="1">(RANDBETWEEN(0,50)/100)*(dict_DQ_Meth_max[[#This Row],[Vergleich_ub]]-dict_DQ_Meth_max[[#This Row],[Vergleich_lb]])+dict_DQ_Meth_max[[#This Row],[Vergleich_lb]]</f>
        <v>2805.1961599999995</v>
      </c>
      <c r="G1229" s="12">
        <f ca="1">(RANDBETWEEN(50,100)/100)*(dict_DQ_Meth_max[[#This Row],[Vergleich_ub]]-dict_DQ_Meth_max[[#This Row],[Vergleich_lb]])+dict_DQ_Meth_max[[#This Row],[Vergleich_lb]]</f>
        <v>4908.6537799999996</v>
      </c>
      <c r="H1229" s="11" t="str">
        <f ca="1">VLOOKUP(VLOOKUP(dict_DQ_Meth_max[[#This Row],[ID_DataQualities]],table_DataQualities[],3),table_Units[],2)</f>
        <v>Hz</v>
      </c>
      <c r="I1229" s="10"/>
      <c r="J1229" s="10"/>
      <c r="K1229" s="10"/>
      <c r="L1229" s="10">
        <f ca="1">VLOOKUP(dict_DQ_Meth_max[[#This Row],[ID_DataQualities]],table_DataQualities[],8,FALSE)</f>
        <v>0.58599999999999997</v>
      </c>
      <c r="M1229" s="10">
        <f ca="1">VLOOKUP(dict_DQ_Meth_max[[#This Row],[ID_DataQualities]],table_DataQualities[],9,FALSE)</f>
        <v>6374.7</v>
      </c>
    </row>
    <row r="1230" spans="1:13" x14ac:dyDescent="0.45">
      <c r="A1230" s="10">
        <v>328</v>
      </c>
      <c r="B1230" s="10">
        <v>37</v>
      </c>
      <c r="C12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0" s="10"/>
      <c r="E1230" s="10"/>
      <c r="F1230" s="12">
        <f ca="1">(RANDBETWEEN(0,50)/100)*(dict_DQ_Meth_max[[#This Row],[Vergleich_ub]]-dict_DQ_Meth_max[[#This Row],[Vergleich_lb]])+dict_DQ_Meth_max[[#This Row],[Vergleich_lb]]</f>
        <v>2996.4195799999993</v>
      </c>
      <c r="G1230" s="12">
        <f ca="1">(RANDBETWEEN(50,100)/100)*(dict_DQ_Meth_max[[#This Row],[Vergleich_ub]]-dict_DQ_Meth_max[[#This Row],[Vergleich_lb]])+dict_DQ_Meth_max[[#This Row],[Vergleich_lb]]</f>
        <v>3378.8664199999998</v>
      </c>
      <c r="H1230" s="11" t="str">
        <f ca="1">VLOOKUP(VLOOKUP(dict_DQ_Meth_max[[#This Row],[ID_DataQualities]],table_DataQualities[],3),table_Units[],2)</f>
        <v>Hz</v>
      </c>
      <c r="I1230" s="10"/>
      <c r="J1230" s="10"/>
      <c r="K1230" s="10"/>
      <c r="L1230" s="10">
        <f ca="1">VLOOKUP(dict_DQ_Meth_max[[#This Row],[ID_DataQualities]],table_DataQualities[],8,FALSE)</f>
        <v>0.58599999999999997</v>
      </c>
      <c r="M1230" s="10">
        <f ca="1">VLOOKUP(dict_DQ_Meth_max[[#This Row],[ID_DataQualities]],table_DataQualities[],9,FALSE)</f>
        <v>6374.7</v>
      </c>
    </row>
    <row r="1231" spans="1:13" x14ac:dyDescent="0.45">
      <c r="A1231" s="10">
        <v>328</v>
      </c>
      <c r="B1231" s="10">
        <v>466</v>
      </c>
      <c r="C12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1" s="10"/>
      <c r="E1231" s="10"/>
      <c r="F1231" s="12">
        <f ca="1">(RANDBETWEEN(0,50)/100)*(dict_DQ_Meth_max[[#This Row],[Vergleich_ub]]-dict_DQ_Meth_max[[#This Row],[Vergleich_lb]])+dict_DQ_Meth_max[[#This Row],[Vergleich_lb]]</f>
        <v>2040.3024799999998</v>
      </c>
      <c r="G1231" s="12">
        <f ca="1">(RANDBETWEEN(50,100)/100)*(dict_DQ_Meth_max[[#This Row],[Vergleich_ub]]-dict_DQ_Meth_max[[#This Row],[Vergleich_lb]])+dict_DQ_Meth_max[[#This Row],[Vergleich_lb]]</f>
        <v>5546.0651799999996</v>
      </c>
      <c r="H1231" s="11" t="str">
        <f ca="1">VLOOKUP(VLOOKUP(dict_DQ_Meth_max[[#This Row],[ID_DataQualities]],table_DataQualities[],3),table_Units[],2)</f>
        <v>Hz</v>
      </c>
      <c r="I1231" s="10"/>
      <c r="J1231" s="10"/>
      <c r="K1231" s="10"/>
      <c r="L1231" s="10">
        <f ca="1">VLOOKUP(dict_DQ_Meth_max[[#This Row],[ID_DataQualities]],table_DataQualities[],8,FALSE)</f>
        <v>0.58599999999999997</v>
      </c>
      <c r="M1231" s="10">
        <f ca="1">VLOOKUP(dict_DQ_Meth_max[[#This Row],[ID_DataQualities]],table_DataQualities[],9,FALSE)</f>
        <v>6374.7</v>
      </c>
    </row>
    <row r="1232" spans="1:13" x14ac:dyDescent="0.45">
      <c r="A1232" s="10">
        <v>328</v>
      </c>
      <c r="B1232" s="10">
        <v>426</v>
      </c>
      <c r="C12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2" s="10"/>
      <c r="E1232" s="10"/>
      <c r="F1232" s="12">
        <f ca="1">(RANDBETWEEN(0,50)/100)*(dict_DQ_Meth_max[[#This Row],[Vergleich_ub]]-dict_DQ_Meth_max[[#This Row],[Vergleich_lb]])+dict_DQ_Meth_max[[#This Row],[Vergleich_lb]]</f>
        <v>2996.4195799999993</v>
      </c>
      <c r="G1232" s="12">
        <f ca="1">(RANDBETWEEN(50,100)/100)*(dict_DQ_Meth_max[[#This Row],[Vergleich_ub]]-dict_DQ_Meth_max[[#This Row],[Vergleich_lb]])+dict_DQ_Meth_max[[#This Row],[Vergleich_lb]]</f>
        <v>4972.3949199999997</v>
      </c>
      <c r="H1232" s="11" t="str">
        <f ca="1">VLOOKUP(VLOOKUP(dict_DQ_Meth_max[[#This Row],[ID_DataQualities]],table_DataQualities[],3),table_Units[],2)</f>
        <v>Hz</v>
      </c>
      <c r="I1232" s="10"/>
      <c r="J1232" s="10"/>
      <c r="K1232" s="10"/>
      <c r="L1232" s="10">
        <f ca="1">VLOOKUP(dict_DQ_Meth_max[[#This Row],[ID_DataQualities]],table_DataQualities[],8,FALSE)</f>
        <v>0.58599999999999997</v>
      </c>
      <c r="M1232" s="10">
        <f ca="1">VLOOKUP(dict_DQ_Meth_max[[#This Row],[ID_DataQualities]],table_DataQualities[],9,FALSE)</f>
        <v>6374.7</v>
      </c>
    </row>
    <row r="1233" spans="1:13" x14ac:dyDescent="0.45">
      <c r="A1233" s="10">
        <v>329</v>
      </c>
      <c r="B1233" s="10">
        <v>311</v>
      </c>
      <c r="C12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3" s="10"/>
      <c r="E1233" s="10"/>
      <c r="F1233" s="12">
        <f ca="1">(RANDBETWEEN(0,50)/100)*(dict_DQ_Meth_max[[#This Row],[Vergleich_ub]]-dict_DQ_Meth_max[[#This Row],[Vergleich_lb]])+dict_DQ_Meth_max[[#This Row],[Vergleich_lb]]</f>
        <v>1.0824</v>
      </c>
      <c r="G1233" s="12">
        <f ca="1">(RANDBETWEEN(50,100)/100)*(dict_DQ_Meth_max[[#This Row],[Vergleich_ub]]-dict_DQ_Meth_max[[#This Row],[Vergleich_lb]])+dict_DQ_Meth_max[[#This Row],[Vergleich_lb]]</f>
        <v>1.2796000000000001</v>
      </c>
      <c r="H1233" s="11" t="str">
        <f ca="1">VLOOKUP(VLOOKUP(dict_DQ_Meth_max[[#This Row],[ID_DataQualities]],table_DataQualities[],3),table_Units[],2)</f>
        <v>+/- mm/s</v>
      </c>
      <c r="I1233" s="10"/>
      <c r="J1233" s="10"/>
      <c r="K1233" s="10"/>
      <c r="L1233" s="10">
        <f ca="1">VLOOKUP(dict_DQ_Meth_max[[#This Row],[ID_DataQualities]],table_DataQualities[],8,FALSE)</f>
        <v>0.96</v>
      </c>
      <c r="M1233" s="10">
        <f ca="1">VLOOKUP(dict_DQ_Meth_max[[#This Row],[ID_DataQualities]],table_DataQualities[],9,FALSE)</f>
        <v>1.3</v>
      </c>
    </row>
    <row r="1234" spans="1:13" x14ac:dyDescent="0.45">
      <c r="A1234" s="10">
        <v>329</v>
      </c>
      <c r="B1234" s="10">
        <v>37</v>
      </c>
      <c r="C12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4" s="10"/>
      <c r="E1234" s="10"/>
      <c r="F1234" s="12">
        <f ca="1">(RANDBETWEEN(0,50)/100)*(dict_DQ_Meth_max[[#This Row],[Vergleich_ub]]-dict_DQ_Meth_max[[#This Row],[Vergleich_lb]])+dict_DQ_Meth_max[[#This Row],[Vergleich_lb]]</f>
        <v>1.0211999999999999</v>
      </c>
      <c r="G1234" s="12">
        <f ca="1">(RANDBETWEEN(50,100)/100)*(dict_DQ_Meth_max[[#This Row],[Vergleich_ub]]-dict_DQ_Meth_max[[#This Row],[Vergleich_lb]])+dict_DQ_Meth_max[[#This Row],[Vergleich_lb]]</f>
        <v>1.2524</v>
      </c>
      <c r="H1234" s="11" t="str">
        <f ca="1">VLOOKUP(VLOOKUP(dict_DQ_Meth_max[[#This Row],[ID_DataQualities]],table_DataQualities[],3),table_Units[],2)</f>
        <v>+/- mm/s</v>
      </c>
      <c r="I1234" s="10"/>
      <c r="J1234" s="10"/>
      <c r="K1234" s="10"/>
      <c r="L1234" s="10">
        <f ca="1">VLOOKUP(dict_DQ_Meth_max[[#This Row],[ID_DataQualities]],table_DataQualities[],8,FALSE)</f>
        <v>0.96</v>
      </c>
      <c r="M1234" s="10">
        <f ca="1">VLOOKUP(dict_DQ_Meth_max[[#This Row],[ID_DataQualities]],table_DataQualities[],9,FALSE)</f>
        <v>1.3</v>
      </c>
    </row>
    <row r="1235" spans="1:13" x14ac:dyDescent="0.45">
      <c r="A1235" s="10">
        <v>329</v>
      </c>
      <c r="B1235" s="10">
        <v>466</v>
      </c>
      <c r="C12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5" s="10"/>
      <c r="E1235" s="10"/>
      <c r="F1235" s="12">
        <f ca="1">(RANDBETWEEN(0,50)/100)*(dict_DQ_Meth_max[[#This Row],[Vergleich_ub]]-dict_DQ_Meth_max[[#This Row],[Vergleich_lb]])+dict_DQ_Meth_max[[#This Row],[Vergleich_lb]]</f>
        <v>1.0178</v>
      </c>
      <c r="G1235" s="12">
        <f ca="1">(RANDBETWEEN(50,100)/100)*(dict_DQ_Meth_max[[#This Row],[Vergleich_ub]]-dict_DQ_Meth_max[[#This Row],[Vergleich_lb]])+dict_DQ_Meth_max[[#This Row],[Vergleich_lb]]</f>
        <v>1.1368</v>
      </c>
      <c r="H1235" s="11" t="str">
        <f ca="1">VLOOKUP(VLOOKUP(dict_DQ_Meth_max[[#This Row],[ID_DataQualities]],table_DataQualities[],3),table_Units[],2)</f>
        <v>+/- mm/s</v>
      </c>
      <c r="I1235" s="10"/>
      <c r="J1235" s="10"/>
      <c r="K1235" s="10"/>
      <c r="L1235" s="10">
        <f ca="1">VLOOKUP(dict_DQ_Meth_max[[#This Row],[ID_DataQualities]],table_DataQualities[],8,FALSE)</f>
        <v>0.96</v>
      </c>
      <c r="M1235" s="10">
        <f ca="1">VLOOKUP(dict_DQ_Meth_max[[#This Row],[ID_DataQualities]],table_DataQualities[],9,FALSE)</f>
        <v>1.3</v>
      </c>
    </row>
    <row r="1236" spans="1:13" x14ac:dyDescent="0.45">
      <c r="A1236" s="10">
        <v>329</v>
      </c>
      <c r="B1236" s="10">
        <v>384</v>
      </c>
      <c r="C12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6" s="10"/>
      <c r="E1236" s="10"/>
      <c r="F1236" s="12">
        <f ca="1">(RANDBETWEEN(0,50)/100)*(dict_DQ_Meth_max[[#This Row],[Vergleich_ub]]-dict_DQ_Meth_max[[#This Row],[Vergleich_lb]])+dict_DQ_Meth_max[[#This Row],[Vergleich_lb]]</f>
        <v>0.99399999999999999</v>
      </c>
      <c r="G1236" s="12">
        <f ca="1">(RANDBETWEEN(50,100)/100)*(dict_DQ_Meth_max[[#This Row],[Vergleich_ub]]-dict_DQ_Meth_max[[#This Row],[Vergleich_lb]])+dict_DQ_Meth_max[[#This Row],[Vergleich_lb]]</f>
        <v>1.1844000000000001</v>
      </c>
      <c r="H1236" s="11" t="str">
        <f ca="1">VLOOKUP(VLOOKUP(dict_DQ_Meth_max[[#This Row],[ID_DataQualities]],table_DataQualities[],3),table_Units[],2)</f>
        <v>+/- mm/s</v>
      </c>
      <c r="I1236" s="10"/>
      <c r="J1236" s="10"/>
      <c r="K1236" s="10"/>
      <c r="L1236" s="10">
        <f ca="1">VLOOKUP(dict_DQ_Meth_max[[#This Row],[ID_DataQualities]],table_DataQualities[],8,FALSE)</f>
        <v>0.96</v>
      </c>
      <c r="M1236" s="10">
        <f ca="1">VLOOKUP(dict_DQ_Meth_max[[#This Row],[ID_DataQualities]],table_DataQualities[],9,FALSE)</f>
        <v>1.3</v>
      </c>
    </row>
    <row r="1237" spans="1:13" x14ac:dyDescent="0.45">
      <c r="A1237" s="10">
        <v>329</v>
      </c>
      <c r="B1237" s="10">
        <v>426</v>
      </c>
      <c r="C12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7" s="10"/>
      <c r="E1237" s="10"/>
      <c r="F1237" s="12">
        <f ca="1">(RANDBETWEEN(0,50)/100)*(dict_DQ_Meth_max[[#This Row],[Vergleich_ub]]-dict_DQ_Meth_max[[#This Row],[Vergleich_lb]])+dict_DQ_Meth_max[[#This Row],[Vergleich_lb]]</f>
        <v>1.0449999999999999</v>
      </c>
      <c r="G1237" s="12">
        <f ca="1">(RANDBETWEEN(50,100)/100)*(dict_DQ_Meth_max[[#This Row],[Vergleich_ub]]-dict_DQ_Meth_max[[#This Row],[Vergleich_lb]])+dict_DQ_Meth_max[[#This Row],[Vergleich_lb]]</f>
        <v>1.181</v>
      </c>
      <c r="H1237" s="11" t="str">
        <f ca="1">VLOOKUP(VLOOKUP(dict_DQ_Meth_max[[#This Row],[ID_DataQualities]],table_DataQualities[],3),table_Units[],2)</f>
        <v>+/- mm/s</v>
      </c>
      <c r="I1237" s="10"/>
      <c r="J1237" s="10"/>
      <c r="K1237" s="10"/>
      <c r="L1237" s="10">
        <f ca="1">VLOOKUP(dict_DQ_Meth_max[[#This Row],[ID_DataQualities]],table_DataQualities[],8,FALSE)</f>
        <v>0.96</v>
      </c>
      <c r="M1237" s="10">
        <f ca="1">VLOOKUP(dict_DQ_Meth_max[[#This Row],[ID_DataQualities]],table_DataQualities[],9,FALSE)</f>
        <v>1.3</v>
      </c>
    </row>
    <row r="1238" spans="1:13" x14ac:dyDescent="0.45">
      <c r="A1238" s="10">
        <v>330</v>
      </c>
      <c r="B1238" s="10">
        <v>171</v>
      </c>
      <c r="C12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8" s="10"/>
      <c r="E1238" s="10"/>
      <c r="F1238" s="12">
        <f ca="1">(RANDBETWEEN(0,50)/100)*(dict_DQ_Meth_max[[#This Row],[Vergleich_ub]]-dict_DQ_Meth_max[[#This Row],[Vergleich_lb]])+dict_DQ_Meth_max[[#This Row],[Vergleich_lb]]</f>
        <v>453.08689999999996</v>
      </c>
      <c r="G1238" s="12">
        <f ca="1">(RANDBETWEEN(50,100)/100)*(dict_DQ_Meth_max[[#This Row],[Vergleich_ub]]-dict_DQ_Meth_max[[#This Row],[Vergleich_lb]])+dict_DQ_Meth_max[[#This Row],[Vergleich_lb]]</f>
        <v>1213.4905499999998</v>
      </c>
      <c r="H1238" s="11" t="str">
        <f ca="1">VLOOKUP(VLOOKUP(dict_DQ_Meth_max[[#This Row],[ID_DataQualities]],table_DataQualities[],3),table_Units[],2)</f>
        <v>Hz</v>
      </c>
      <c r="I1238" s="10"/>
      <c r="J1238" s="10"/>
      <c r="K1238" s="10"/>
      <c r="L1238" s="10">
        <f ca="1">VLOOKUP(dict_DQ_Meth_max[[#This Row],[ID_DataQualities]],table_DataQualities[],8,FALSE)</f>
        <v>0.95499999999999996</v>
      </c>
      <c r="M1238" s="10">
        <f ca="1">VLOOKUP(dict_DQ_Meth_max[[#This Row],[ID_DataQualities]],table_DataQualities[],9,FALSE)</f>
        <v>2056.1</v>
      </c>
    </row>
    <row r="1239" spans="1:13" x14ac:dyDescent="0.45">
      <c r="A1239" s="10">
        <v>330</v>
      </c>
      <c r="B1239" s="10">
        <v>200</v>
      </c>
      <c r="C12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39" s="10"/>
      <c r="E1239" s="10"/>
      <c r="F1239" s="12">
        <f ca="1">(RANDBETWEEN(0,50)/100)*(dict_DQ_Meth_max[[#This Row],[Vergleich_ub]]-dict_DQ_Meth_max[[#This Row],[Vergleich_lb]])+dict_DQ_Meth_max[[#This Row],[Vergleich_lb]]</f>
        <v>227.02095</v>
      </c>
      <c r="G1239" s="12">
        <f ca="1">(RANDBETWEEN(50,100)/100)*(dict_DQ_Meth_max[[#This Row],[Vergleich_ub]]-dict_DQ_Meth_max[[#This Row],[Vergleich_lb]])+dict_DQ_Meth_max[[#This Row],[Vergleich_lb]]</f>
        <v>1501.2108499999999</v>
      </c>
      <c r="H1239" s="11" t="str">
        <f ca="1">VLOOKUP(VLOOKUP(dict_DQ_Meth_max[[#This Row],[ID_DataQualities]],table_DataQualities[],3),table_Units[],2)</f>
        <v>Hz</v>
      </c>
      <c r="I1239" s="10"/>
      <c r="J1239" s="10"/>
      <c r="K1239" s="10"/>
      <c r="L1239" s="10">
        <f ca="1">VLOOKUP(dict_DQ_Meth_max[[#This Row],[ID_DataQualities]],table_DataQualities[],8,FALSE)</f>
        <v>0.95499999999999996</v>
      </c>
      <c r="M1239" s="10">
        <f ca="1">VLOOKUP(dict_DQ_Meth_max[[#This Row],[ID_DataQualities]],table_DataQualities[],9,FALSE)</f>
        <v>2056.1</v>
      </c>
    </row>
    <row r="1240" spans="1:13" x14ac:dyDescent="0.45">
      <c r="A1240" s="10">
        <v>330</v>
      </c>
      <c r="B1240" s="10">
        <v>337</v>
      </c>
      <c r="C12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0" s="10"/>
      <c r="E1240" s="10"/>
      <c r="F1240" s="12">
        <f ca="1">(RANDBETWEEN(0,50)/100)*(dict_DQ_Meth_max[[#This Row],[Vergleich_ub]]-dict_DQ_Meth_max[[#This Row],[Vergleich_lb]])+dict_DQ_Meth_max[[#This Row],[Vergleich_lb]]</f>
        <v>411.98399999999998</v>
      </c>
      <c r="G1240" s="12">
        <f ca="1">(RANDBETWEEN(50,100)/100)*(dict_DQ_Meth_max[[#This Row],[Vergleich_ub]]-dict_DQ_Meth_max[[#This Row],[Vergleich_lb]])+dict_DQ_Meth_max[[#This Row],[Vergleich_lb]]</f>
        <v>2014.9970999999998</v>
      </c>
      <c r="H1240" s="11" t="str">
        <f ca="1">VLOOKUP(VLOOKUP(dict_DQ_Meth_max[[#This Row],[ID_DataQualities]],table_DataQualities[],3),table_Units[],2)</f>
        <v>Hz</v>
      </c>
      <c r="I1240" s="10"/>
      <c r="J1240" s="10"/>
      <c r="K1240" s="10"/>
      <c r="L1240" s="10">
        <f ca="1">VLOOKUP(dict_DQ_Meth_max[[#This Row],[ID_DataQualities]],table_DataQualities[],8,FALSE)</f>
        <v>0.95499999999999996</v>
      </c>
      <c r="M1240" s="10">
        <f ca="1">VLOOKUP(dict_DQ_Meth_max[[#This Row],[ID_DataQualities]],table_DataQualities[],9,FALSE)</f>
        <v>2056.1</v>
      </c>
    </row>
    <row r="1241" spans="1:13" x14ac:dyDescent="0.45">
      <c r="A1241" s="10">
        <v>331</v>
      </c>
      <c r="B1241" s="10">
        <v>171</v>
      </c>
      <c r="C12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1" s="10"/>
      <c r="E1241" s="10"/>
      <c r="F1241" s="12">
        <f ca="1">(RANDBETWEEN(0,50)/100)*(dict_DQ_Meth_max[[#This Row],[Vergleich_ub]]-dict_DQ_Meth_max[[#This Row],[Vergleich_lb]])+dict_DQ_Meth_max[[#This Row],[Vergleich_lb]]</f>
        <v>0.1079</v>
      </c>
      <c r="G1241" s="12">
        <f ca="1">(RANDBETWEEN(50,100)/100)*(dict_DQ_Meth_max[[#This Row],[Vergleich_ub]]-dict_DQ_Meth_max[[#This Row],[Vergleich_lb]])+dict_DQ_Meth_max[[#This Row],[Vergleich_lb]]</f>
        <v>0.90167999999999993</v>
      </c>
      <c r="H1241" s="11" t="str">
        <f ca="1">VLOOKUP(VLOOKUP(dict_DQ_Meth_max[[#This Row],[ID_DataQualities]],table_DataQualities[],3),table_Units[],2)</f>
        <v>+/- W</v>
      </c>
      <c r="I1241" s="10"/>
      <c r="J1241" s="10"/>
      <c r="K1241" s="10"/>
      <c r="L1241" s="10">
        <f ca="1">VLOOKUP(dict_DQ_Meth_max[[#This Row],[ID_DataQualities]],table_DataQualities[],8,FALSE)</f>
        <v>5.1999999999999998E-2</v>
      </c>
      <c r="M1241" s="10">
        <f ca="1">VLOOKUP(dict_DQ_Meth_max[[#This Row],[ID_DataQualities]],table_DataQualities[],9,FALSE)</f>
        <v>1.17</v>
      </c>
    </row>
    <row r="1242" spans="1:13" x14ac:dyDescent="0.45">
      <c r="A1242" s="10">
        <v>331</v>
      </c>
      <c r="B1242" s="10">
        <v>200</v>
      </c>
      <c r="C12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2" s="10"/>
      <c r="E1242" s="10"/>
      <c r="F1242" s="12">
        <f ca="1">(RANDBETWEEN(0,50)/100)*(dict_DQ_Meth_max[[#This Row],[Vergleich_ub]]-dict_DQ_Meth_max[[#This Row],[Vergleich_lb]])+dict_DQ_Meth_max[[#This Row],[Vergleich_lb]]</f>
        <v>0.44329999999999992</v>
      </c>
      <c r="G1242" s="12">
        <f ca="1">(RANDBETWEEN(50,100)/100)*(dict_DQ_Meth_max[[#This Row],[Vergleich_ub]]-dict_DQ_Meth_max[[#This Row],[Vergleich_lb]])+dict_DQ_Meth_max[[#This Row],[Vergleich_lb]]</f>
        <v>0.97993999999999992</v>
      </c>
      <c r="H1242" s="11" t="str">
        <f ca="1">VLOOKUP(VLOOKUP(dict_DQ_Meth_max[[#This Row],[ID_DataQualities]],table_DataQualities[],3),table_Units[],2)</f>
        <v>+/- W</v>
      </c>
      <c r="I1242" s="10"/>
      <c r="J1242" s="10"/>
      <c r="K1242" s="10"/>
      <c r="L1242" s="10">
        <f ca="1">VLOOKUP(dict_DQ_Meth_max[[#This Row],[ID_DataQualities]],table_DataQualities[],8,FALSE)</f>
        <v>5.1999999999999998E-2</v>
      </c>
      <c r="M1242" s="10">
        <f ca="1">VLOOKUP(dict_DQ_Meth_max[[#This Row],[ID_DataQualities]],table_DataQualities[],9,FALSE)</f>
        <v>1.17</v>
      </c>
    </row>
    <row r="1243" spans="1:13" x14ac:dyDescent="0.45">
      <c r="A1243" s="10">
        <v>331</v>
      </c>
      <c r="B1243" s="10">
        <v>337</v>
      </c>
      <c r="C12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3" s="10"/>
      <c r="E1243" s="10"/>
      <c r="F1243" s="12">
        <f ca="1">(RANDBETWEEN(0,50)/100)*(dict_DQ_Meth_max[[#This Row],[Vergleich_ub]]-dict_DQ_Meth_max[[#This Row],[Vergleich_lb]])+dict_DQ_Meth_max[[#This Row],[Vergleich_lb]]</f>
        <v>0.54391999999999996</v>
      </c>
      <c r="G1243" s="12">
        <f ca="1">(RANDBETWEEN(50,100)/100)*(dict_DQ_Meth_max[[#This Row],[Vergleich_ub]]-dict_DQ_Meth_max[[#This Row],[Vergleich_lb]])+dict_DQ_Meth_max[[#This Row],[Vergleich_lb]]</f>
        <v>0.90167999999999993</v>
      </c>
      <c r="H1243" s="11" t="str">
        <f ca="1">VLOOKUP(VLOOKUP(dict_DQ_Meth_max[[#This Row],[ID_DataQualities]],table_DataQualities[],3),table_Units[],2)</f>
        <v>+/- W</v>
      </c>
      <c r="I1243" s="10"/>
      <c r="J1243" s="10"/>
      <c r="K1243" s="10"/>
      <c r="L1243" s="10">
        <f ca="1">VLOOKUP(dict_DQ_Meth_max[[#This Row],[ID_DataQualities]],table_DataQualities[],8,FALSE)</f>
        <v>5.1999999999999998E-2</v>
      </c>
      <c r="M1243" s="10">
        <f ca="1">VLOOKUP(dict_DQ_Meth_max[[#This Row],[ID_DataQualities]],table_DataQualities[],9,FALSE)</f>
        <v>1.17</v>
      </c>
    </row>
    <row r="1244" spans="1:13" x14ac:dyDescent="0.45">
      <c r="A1244" s="10">
        <v>332</v>
      </c>
      <c r="B1244" s="10">
        <v>473</v>
      </c>
      <c r="C12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4" s="10"/>
      <c r="E1244" s="10"/>
      <c r="F1244" s="12">
        <f ca="1">(RANDBETWEEN(0,50)/100)*(dict_DQ_Meth_max[[#This Row],[Vergleich_ub]]-dict_DQ_Meth_max[[#This Row],[Vergleich_lb]])+dict_DQ_Meth_max[[#This Row],[Vergleich_lb]]</f>
        <v>880.22698000000003</v>
      </c>
      <c r="G1244" s="12">
        <f ca="1">(RANDBETWEEN(50,100)/100)*(dict_DQ_Meth_max[[#This Row],[Vergleich_ub]]-dict_DQ_Meth_max[[#This Row],[Vergleich_lb]])+dict_DQ_Meth_max[[#This Row],[Vergleich_lb]]</f>
        <v>7236.1362799999997</v>
      </c>
      <c r="H1244" s="11" t="str">
        <f ca="1">VLOOKUP(VLOOKUP(dict_DQ_Meth_max[[#This Row],[ID_DataQualities]],table_DataQualities[],3),table_Units[],2)</f>
        <v>Hz</v>
      </c>
      <c r="I1244" s="10"/>
      <c r="J1244" s="10"/>
      <c r="K1244" s="10"/>
      <c r="L1244" s="10">
        <f ca="1">VLOOKUP(dict_DQ_Meth_max[[#This Row],[ID_DataQualities]],table_DataQualities[],8,FALSE)</f>
        <v>0.17799999999999999</v>
      </c>
      <c r="M1244" s="10">
        <f ca="1">VLOOKUP(dict_DQ_Meth_max[[#This Row],[ID_DataQualities]],table_DataQualities[],9,FALSE)</f>
        <v>9778.5</v>
      </c>
    </row>
    <row r="1245" spans="1:13" x14ac:dyDescent="0.45">
      <c r="A1245" s="10">
        <v>332</v>
      </c>
      <c r="B1245" s="10">
        <v>390</v>
      </c>
      <c r="C12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5" s="10"/>
      <c r="E1245" s="10"/>
      <c r="F1245" s="12">
        <f ca="1">(RANDBETWEEN(0,50)/100)*(dict_DQ_Meth_max[[#This Row],[Vergleich_ub]]-dict_DQ_Meth_max[[#This Row],[Vergleich_lb]])+dict_DQ_Meth_max[[#This Row],[Vergleich_lb]]</f>
        <v>4009.2900199999999</v>
      </c>
      <c r="G1245" s="12">
        <f ca="1">(RANDBETWEEN(50,100)/100)*(dict_DQ_Meth_max[[#This Row],[Vergleich_ub]]-dict_DQ_Meth_max[[#This Row],[Vergleich_lb]])+dict_DQ_Meth_max[[#This Row],[Vergleich_lb]]</f>
        <v>6356.0873000000001</v>
      </c>
      <c r="H1245" s="11" t="str">
        <f ca="1">VLOOKUP(VLOOKUP(dict_DQ_Meth_max[[#This Row],[ID_DataQualities]],table_DataQualities[],3),table_Units[],2)</f>
        <v>Hz</v>
      </c>
      <c r="I1245" s="10"/>
      <c r="J1245" s="10"/>
      <c r="K1245" s="10"/>
      <c r="L1245" s="10">
        <f ca="1">VLOOKUP(dict_DQ_Meth_max[[#This Row],[ID_DataQualities]],table_DataQualities[],8,FALSE)</f>
        <v>0.17799999999999999</v>
      </c>
      <c r="M1245" s="10">
        <f ca="1">VLOOKUP(dict_DQ_Meth_max[[#This Row],[ID_DataQualities]],table_DataQualities[],9,FALSE)</f>
        <v>9778.5</v>
      </c>
    </row>
    <row r="1246" spans="1:13" x14ac:dyDescent="0.45">
      <c r="A1246" s="10">
        <v>332</v>
      </c>
      <c r="B1246" s="10">
        <v>229</v>
      </c>
      <c r="C12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6" s="10"/>
      <c r="E1246" s="10"/>
      <c r="F1246" s="12">
        <f ca="1">(RANDBETWEEN(0,50)/100)*(dict_DQ_Meth_max[[#This Row],[Vergleich_ub]]-dict_DQ_Meth_max[[#This Row],[Vergleich_lb]])+dict_DQ_Meth_max[[#This Row],[Vergleich_lb]]</f>
        <v>4791.5557799999997</v>
      </c>
      <c r="G1246" s="12">
        <f ca="1">(RANDBETWEEN(50,100)/100)*(dict_DQ_Meth_max[[#This Row],[Vergleich_ub]]-dict_DQ_Meth_max[[#This Row],[Vergleich_lb]])+dict_DQ_Meth_max[[#This Row],[Vergleich_lb]]</f>
        <v>7236.1362799999997</v>
      </c>
      <c r="H1246" s="11" t="str">
        <f ca="1">VLOOKUP(VLOOKUP(dict_DQ_Meth_max[[#This Row],[ID_DataQualities]],table_DataQualities[],3),table_Units[],2)</f>
        <v>Hz</v>
      </c>
      <c r="I1246" s="10"/>
      <c r="J1246" s="10"/>
      <c r="K1246" s="10"/>
      <c r="L1246" s="10">
        <f ca="1">VLOOKUP(dict_DQ_Meth_max[[#This Row],[ID_DataQualities]],table_DataQualities[],8,FALSE)</f>
        <v>0.17799999999999999</v>
      </c>
      <c r="M1246" s="10">
        <f ca="1">VLOOKUP(dict_DQ_Meth_max[[#This Row],[ID_DataQualities]],table_DataQualities[],9,FALSE)</f>
        <v>9778.5</v>
      </c>
    </row>
    <row r="1247" spans="1:13" x14ac:dyDescent="0.45">
      <c r="A1247" s="10">
        <v>333</v>
      </c>
      <c r="B1247" s="10">
        <v>229</v>
      </c>
      <c r="C12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7" s="10"/>
      <c r="E1247" s="10"/>
      <c r="F1247" s="12">
        <f ca="1">(RANDBETWEEN(0,50)/100)*(dict_DQ_Meth_max[[#This Row],[Vergleich_ub]]-dict_DQ_Meth_max[[#This Row],[Vergleich_lb]])+dict_DQ_Meth_max[[#This Row],[Vergleich_lb]]</f>
        <v>2.3559999999999999</v>
      </c>
      <c r="G1247" s="12">
        <f ca="1">(RANDBETWEEN(50,100)/100)*(dict_DQ_Meth_max[[#This Row],[Vergleich_ub]]-dict_DQ_Meth_max[[#This Row],[Vergleich_lb]])+dict_DQ_Meth_max[[#This Row],[Vergleich_lb]]</f>
        <v>6.22</v>
      </c>
      <c r="H1247" s="11" t="str">
        <f ca="1">VLOOKUP(VLOOKUP(dict_DQ_Meth_max[[#This Row],[ID_DataQualities]],table_DataQualities[],3),table_Units[],2)</f>
        <v>+/- mm/s</v>
      </c>
      <c r="I1247" s="10"/>
      <c r="J1247" s="10"/>
      <c r="K1247" s="10"/>
      <c r="L1247" s="10">
        <f ca="1">VLOOKUP(dict_DQ_Meth_max[[#This Row],[ID_DataQualities]],table_DataQualities[],8,FALSE)</f>
        <v>0.9</v>
      </c>
      <c r="M1247" s="10">
        <f ca="1">VLOOKUP(dict_DQ_Meth_max[[#This Row],[ID_DataQualities]],table_DataQualities[],9,FALSE)</f>
        <v>6.5</v>
      </c>
    </row>
    <row r="1248" spans="1:13" x14ac:dyDescent="0.45">
      <c r="A1248" s="10">
        <v>333</v>
      </c>
      <c r="B1248" s="10">
        <v>390</v>
      </c>
      <c r="C12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8" s="10"/>
      <c r="E1248" s="10"/>
      <c r="F1248" s="12">
        <f ca="1">(RANDBETWEEN(0,50)/100)*(dict_DQ_Meth_max[[#This Row],[Vergleich_ub]]-dict_DQ_Meth_max[[#This Row],[Vergleich_lb]])+dict_DQ_Meth_max[[#This Row],[Vergleich_lb]]</f>
        <v>1.3479999999999999</v>
      </c>
      <c r="G1248" s="12">
        <f ca="1">(RANDBETWEEN(50,100)/100)*(dict_DQ_Meth_max[[#This Row],[Vergleich_ub]]-dict_DQ_Meth_max[[#This Row],[Vergleich_lb]])+dict_DQ_Meth_max[[#This Row],[Vergleich_lb]]</f>
        <v>4.484</v>
      </c>
      <c r="H1248" s="11" t="str">
        <f ca="1">VLOOKUP(VLOOKUP(dict_DQ_Meth_max[[#This Row],[ID_DataQualities]],table_DataQualities[],3),table_Units[],2)</f>
        <v>+/- mm/s</v>
      </c>
      <c r="I1248" s="10"/>
      <c r="J1248" s="10"/>
      <c r="K1248" s="10"/>
      <c r="L1248" s="10">
        <f ca="1">VLOOKUP(dict_DQ_Meth_max[[#This Row],[ID_DataQualities]],table_DataQualities[],8,FALSE)</f>
        <v>0.9</v>
      </c>
      <c r="M1248" s="10">
        <f ca="1">VLOOKUP(dict_DQ_Meth_max[[#This Row],[ID_DataQualities]],table_DataQualities[],9,FALSE)</f>
        <v>6.5</v>
      </c>
    </row>
    <row r="1249" spans="1:13" x14ac:dyDescent="0.45">
      <c r="A1249" s="10">
        <v>333</v>
      </c>
      <c r="B1249" s="10">
        <v>473</v>
      </c>
      <c r="C12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49" s="10"/>
      <c r="E1249" s="10"/>
      <c r="F1249" s="12">
        <f ca="1">(RANDBETWEEN(0,50)/100)*(dict_DQ_Meth_max[[#This Row],[Vergleich_ub]]-dict_DQ_Meth_max[[#This Row],[Vergleich_lb]])+dict_DQ_Meth_max[[#This Row],[Vergleich_lb]]</f>
        <v>3.6999999999999997</v>
      </c>
      <c r="G1249" s="12">
        <f ca="1">(RANDBETWEEN(50,100)/100)*(dict_DQ_Meth_max[[#This Row],[Vergleich_ub]]-dict_DQ_Meth_max[[#This Row],[Vergleich_lb]])+dict_DQ_Meth_max[[#This Row],[Vergleich_lb]]</f>
        <v>4.8759999999999994</v>
      </c>
      <c r="H1249" s="11" t="str">
        <f ca="1">VLOOKUP(VLOOKUP(dict_DQ_Meth_max[[#This Row],[ID_DataQualities]],table_DataQualities[],3),table_Units[],2)</f>
        <v>+/- mm/s</v>
      </c>
      <c r="I1249" s="10"/>
      <c r="J1249" s="10"/>
      <c r="K1249" s="10"/>
      <c r="L1249" s="10">
        <f ca="1">VLOOKUP(dict_DQ_Meth_max[[#This Row],[ID_DataQualities]],table_DataQualities[],8,FALSE)</f>
        <v>0.9</v>
      </c>
      <c r="M1249" s="10">
        <f ca="1">VLOOKUP(dict_DQ_Meth_max[[#This Row],[ID_DataQualities]],table_DataQualities[],9,FALSE)</f>
        <v>6.5</v>
      </c>
    </row>
    <row r="1250" spans="1:13" x14ac:dyDescent="0.45">
      <c r="A1250" s="10">
        <v>334</v>
      </c>
      <c r="B1250" s="10">
        <v>313</v>
      </c>
      <c r="C12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0" s="10"/>
      <c r="E1250" s="10"/>
      <c r="F1250" s="12">
        <f ca="1">(RANDBETWEEN(0,50)/100)*(dict_DQ_Meth_max[[#This Row],[Vergleich_ub]]-dict_DQ_Meth_max[[#This Row],[Vergleich_lb]])+dict_DQ_Meth_max[[#This Row],[Vergleich_lb]]</f>
        <v>1601.0403999999999</v>
      </c>
      <c r="G1250" s="12">
        <f ca="1">(RANDBETWEEN(50,100)/100)*(dict_DQ_Meth_max[[#This Row],[Vergleich_ub]]-dict_DQ_Meth_max[[#This Row],[Vergleich_lb]])+dict_DQ_Meth_max[[#This Row],[Vergleich_lb]]</f>
        <v>2201.2918</v>
      </c>
      <c r="H1250" s="11" t="str">
        <f ca="1">VLOOKUP(VLOOKUP(dict_DQ_Meth_max[[#This Row],[ID_DataQualities]],table_DataQualities[],3),table_Units[],2)</f>
        <v>Hz</v>
      </c>
      <c r="I1250" s="10"/>
      <c r="J1250" s="10"/>
      <c r="K1250" s="10"/>
      <c r="L1250" s="10">
        <f ca="1">VLOOKUP(dict_DQ_Meth_max[[#This Row],[ID_DataQualities]],table_DataQualities[],8,FALSE)</f>
        <v>0.37</v>
      </c>
      <c r="M1250" s="10">
        <f ca="1">VLOOKUP(dict_DQ_Meth_max[[#This Row],[ID_DataQualities]],table_DataQualities[],9,FALSE)</f>
        <v>3335.1</v>
      </c>
    </row>
    <row r="1251" spans="1:13" x14ac:dyDescent="0.45">
      <c r="A1251" s="10">
        <v>334</v>
      </c>
      <c r="B1251" s="10">
        <v>375</v>
      </c>
      <c r="C12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1" s="10"/>
      <c r="E1251" s="10"/>
      <c r="F1251" s="12">
        <f ca="1">(RANDBETWEEN(0,50)/100)*(dict_DQ_Meth_max[[#This Row],[Vergleich_ub]]-dict_DQ_Meth_max[[#This Row],[Vergleich_lb]])+dict_DQ_Meth_max[[#This Row],[Vergleich_lb]]</f>
        <v>1500.9984999999999</v>
      </c>
      <c r="G1251" s="12">
        <f ca="1">(RANDBETWEEN(50,100)/100)*(dict_DQ_Meth_max[[#This Row],[Vergleich_ub]]-dict_DQ_Meth_max[[#This Row],[Vergleich_lb]])+dict_DQ_Meth_max[[#This Row],[Vergleich_lb]]</f>
        <v>2801.5431999999996</v>
      </c>
      <c r="H1251" s="11" t="str">
        <f ca="1">VLOOKUP(VLOOKUP(dict_DQ_Meth_max[[#This Row],[ID_DataQualities]],table_DataQualities[],3),table_Units[],2)</f>
        <v>Hz</v>
      </c>
      <c r="I1251" s="10"/>
      <c r="J1251" s="10"/>
      <c r="K1251" s="10"/>
      <c r="L1251" s="10">
        <f ca="1">VLOOKUP(dict_DQ_Meth_max[[#This Row],[ID_DataQualities]],table_DataQualities[],8,FALSE)</f>
        <v>0.37</v>
      </c>
      <c r="M1251" s="10">
        <f ca="1">VLOOKUP(dict_DQ_Meth_max[[#This Row],[ID_DataQualities]],table_DataQualities[],9,FALSE)</f>
        <v>3335.1</v>
      </c>
    </row>
    <row r="1252" spans="1:13" x14ac:dyDescent="0.45">
      <c r="A1252" s="10">
        <v>334</v>
      </c>
      <c r="B1252" s="10">
        <v>204</v>
      </c>
      <c r="C12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2" s="10"/>
      <c r="E1252" s="10"/>
      <c r="F1252" s="12">
        <f ca="1">(RANDBETWEEN(0,50)/100)*(dict_DQ_Meth_max[[#This Row],[Vergleich_ub]]-dict_DQ_Meth_max[[#This Row],[Vergleich_lb]])+dict_DQ_Meth_max[[#This Row],[Vergleich_lb]]</f>
        <v>433.88490000000002</v>
      </c>
      <c r="G1252" s="12">
        <f ca="1">(RANDBETWEEN(50,100)/100)*(dict_DQ_Meth_max[[#This Row],[Vergleich_ub]]-dict_DQ_Meth_max[[#This Row],[Vergleich_lb]])+dict_DQ_Meth_max[[#This Row],[Vergleich_lb]]</f>
        <v>2401.3755999999998</v>
      </c>
      <c r="H1252" s="11" t="str">
        <f ca="1">VLOOKUP(VLOOKUP(dict_DQ_Meth_max[[#This Row],[ID_DataQualities]],table_DataQualities[],3),table_Units[],2)</f>
        <v>Hz</v>
      </c>
      <c r="I1252" s="10"/>
      <c r="J1252" s="10"/>
      <c r="K1252" s="10"/>
      <c r="L1252" s="10">
        <f ca="1">VLOOKUP(dict_DQ_Meth_max[[#This Row],[ID_DataQualities]],table_DataQualities[],8,FALSE)</f>
        <v>0.37</v>
      </c>
      <c r="M1252" s="10">
        <f ca="1">VLOOKUP(dict_DQ_Meth_max[[#This Row],[ID_DataQualities]],table_DataQualities[],9,FALSE)</f>
        <v>3335.1</v>
      </c>
    </row>
    <row r="1253" spans="1:13" x14ac:dyDescent="0.45">
      <c r="A1253" s="10">
        <v>335</v>
      </c>
      <c r="B1253" s="10">
        <v>204</v>
      </c>
      <c r="C12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3" s="10"/>
      <c r="E1253" s="10"/>
      <c r="F1253" s="12">
        <f ca="1">(RANDBETWEEN(0,50)/100)*(dict_DQ_Meth_max[[#This Row],[Vergleich_ub]]-dict_DQ_Meth_max[[#This Row],[Vergleich_lb]])+dict_DQ_Meth_max[[#This Row],[Vergleich_lb]]</f>
        <v>9.0620000000000006E-3</v>
      </c>
      <c r="G1253" s="12">
        <f ca="1">(RANDBETWEEN(50,100)/100)*(dict_DQ_Meth_max[[#This Row],[Vergleich_ub]]-dict_DQ_Meth_max[[#This Row],[Vergleich_lb]])+dict_DQ_Meth_max[[#This Row],[Vergleich_lb]]</f>
        <v>2.2642000000000002E-2</v>
      </c>
      <c r="H1253" s="11" t="str">
        <f ca="1">VLOOKUP(VLOOKUP(dict_DQ_Meth_max[[#This Row],[ID_DataQualities]],table_DataQualities[],3),table_Units[],2)</f>
        <v>+/- cm³/s</v>
      </c>
      <c r="I1253" s="10"/>
      <c r="J1253" s="10"/>
      <c r="K1253" s="10"/>
      <c r="L1253" s="10">
        <f ca="1">VLOOKUP(dict_DQ_Meth_max[[#This Row],[ID_DataQualities]],table_DataQualities[],8,FALSE)</f>
        <v>4.5999999999999999E-3</v>
      </c>
      <c r="M1253" s="10">
        <f ca="1">VLOOKUP(dict_DQ_Meth_max[[#This Row],[ID_DataQualities]],table_DataQualities[],9,FALSE)</f>
        <v>2.4E-2</v>
      </c>
    </row>
    <row r="1254" spans="1:13" x14ac:dyDescent="0.45">
      <c r="A1254" s="10">
        <v>335</v>
      </c>
      <c r="B1254" s="10">
        <v>313</v>
      </c>
      <c r="C12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4" s="10"/>
      <c r="E1254" s="10"/>
      <c r="F1254" s="12">
        <f ca="1">(RANDBETWEEN(0,50)/100)*(dict_DQ_Meth_max[[#This Row],[Vergleich_ub]]-dict_DQ_Meth_max[[#This Row],[Vergleich_lb]])+dict_DQ_Meth_max[[#This Row],[Vergleich_lb]]</f>
        <v>5.5700000000000003E-3</v>
      </c>
      <c r="G1254" s="12">
        <f ca="1">(RANDBETWEEN(50,100)/100)*(dict_DQ_Meth_max[[#This Row],[Vergleich_ub]]-dict_DQ_Meth_max[[#This Row],[Vergleich_lb]])+dict_DQ_Meth_max[[#This Row],[Vergleich_lb]]</f>
        <v>1.8568000000000001E-2</v>
      </c>
      <c r="H1254" s="11" t="str">
        <f ca="1">VLOOKUP(VLOOKUP(dict_DQ_Meth_max[[#This Row],[ID_DataQualities]],table_DataQualities[],3),table_Units[],2)</f>
        <v>+/- cm³/s</v>
      </c>
      <c r="I1254" s="10"/>
      <c r="J1254" s="10"/>
      <c r="K1254" s="10"/>
      <c r="L1254" s="10">
        <f ca="1">VLOOKUP(dict_DQ_Meth_max[[#This Row],[ID_DataQualities]],table_DataQualities[],8,FALSE)</f>
        <v>4.5999999999999999E-3</v>
      </c>
      <c r="M1254" s="10">
        <f ca="1">VLOOKUP(dict_DQ_Meth_max[[#This Row],[ID_DataQualities]],table_DataQualities[],9,FALSE)</f>
        <v>2.4E-2</v>
      </c>
    </row>
    <row r="1255" spans="1:13" x14ac:dyDescent="0.45">
      <c r="A1255" s="10">
        <v>335</v>
      </c>
      <c r="B1255" s="10">
        <v>375</v>
      </c>
      <c r="C12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5" s="10"/>
      <c r="E1255" s="10"/>
      <c r="F1255" s="12">
        <f ca="1">(RANDBETWEEN(0,50)/100)*(dict_DQ_Meth_max[[#This Row],[Vergleich_ub]]-dict_DQ_Meth_max[[#This Row],[Vergleich_lb]])+dict_DQ_Meth_max[[#This Row],[Vergleich_lb]]</f>
        <v>1.1778E-2</v>
      </c>
      <c r="G1255" s="12">
        <f ca="1">(RANDBETWEEN(50,100)/100)*(dict_DQ_Meth_max[[#This Row],[Vergleich_ub]]-dict_DQ_Meth_max[[#This Row],[Vergleich_lb]])+dict_DQ_Meth_max[[#This Row],[Vergleich_lb]]</f>
        <v>2.0507999999999998E-2</v>
      </c>
      <c r="H1255" s="11" t="str">
        <f ca="1">VLOOKUP(VLOOKUP(dict_DQ_Meth_max[[#This Row],[ID_DataQualities]],table_DataQualities[],3),table_Units[],2)</f>
        <v>+/- cm³/s</v>
      </c>
      <c r="I1255" s="10"/>
      <c r="J1255" s="10"/>
      <c r="K1255" s="10"/>
      <c r="L1255" s="10">
        <f ca="1">VLOOKUP(dict_DQ_Meth_max[[#This Row],[ID_DataQualities]],table_DataQualities[],8,FALSE)</f>
        <v>4.5999999999999999E-3</v>
      </c>
      <c r="M1255" s="10">
        <f ca="1">VLOOKUP(dict_DQ_Meth_max[[#This Row],[ID_DataQualities]],table_DataQualities[],9,FALSE)</f>
        <v>2.4E-2</v>
      </c>
    </row>
    <row r="1256" spans="1:13" x14ac:dyDescent="0.45">
      <c r="A1256" s="10">
        <v>336</v>
      </c>
      <c r="B1256" s="10">
        <v>33</v>
      </c>
      <c r="C12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6" s="10"/>
      <c r="E1256" s="10"/>
      <c r="F1256" s="12">
        <f ca="1">(RANDBETWEEN(0,50)/100)*(dict_DQ_Meth_max[[#This Row],[Vergleich_ub]]-dict_DQ_Meth_max[[#This Row],[Vergleich_lb]])+dict_DQ_Meth_max[[#This Row],[Vergleich_lb]]</f>
        <v>401.39275000000004</v>
      </c>
      <c r="G1256" s="12">
        <f ca="1">(RANDBETWEEN(50,100)/100)*(dict_DQ_Meth_max[[#This Row],[Vergleich_ub]]-dict_DQ_Meth_max[[#This Row],[Vergleich_lb]])+dict_DQ_Meth_max[[#This Row],[Vergleich_lb]]</f>
        <v>2805.9992500000003</v>
      </c>
      <c r="H1256" s="11" t="str">
        <f ca="1">VLOOKUP(VLOOKUP(dict_DQ_Meth_max[[#This Row],[ID_DataQualities]],table_DataQualities[],3),table_Units[],2)</f>
        <v>Hz</v>
      </c>
      <c r="I1256" s="10"/>
      <c r="J1256" s="10"/>
      <c r="K1256" s="10"/>
      <c r="L1256" s="10">
        <f ca="1">VLOOKUP(dict_DQ_Meth_max[[#This Row],[ID_DataQualities]],table_DataQualities[],8,FALSE)</f>
        <v>0.625</v>
      </c>
      <c r="M1256" s="10">
        <f ca="1">VLOOKUP(dict_DQ_Meth_max[[#This Row],[ID_DataQualities]],table_DataQualities[],9,FALSE)</f>
        <v>4453.6000000000004</v>
      </c>
    </row>
    <row r="1257" spans="1:13" x14ac:dyDescent="0.45">
      <c r="A1257" s="10">
        <v>336</v>
      </c>
      <c r="B1257" s="10">
        <v>355</v>
      </c>
      <c r="C12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7" s="10"/>
      <c r="E1257" s="10"/>
      <c r="F1257" s="12">
        <f ca="1">(RANDBETWEEN(0,50)/100)*(dict_DQ_Meth_max[[#This Row],[Vergleich_ub]]-dict_DQ_Meth_max[[#This Row],[Vergleich_lb]])+dict_DQ_Meth_max[[#This Row],[Vergleich_lb]]</f>
        <v>401.39275000000004</v>
      </c>
      <c r="G1257" s="12">
        <f ca="1">(RANDBETWEEN(50,100)/100)*(dict_DQ_Meth_max[[#This Row],[Vergleich_ub]]-dict_DQ_Meth_max[[#This Row],[Vergleich_lb]])+dict_DQ_Meth_max[[#This Row],[Vergleich_lb]]</f>
        <v>2538.8207499999999</v>
      </c>
      <c r="H1257" s="11" t="str">
        <f ca="1">VLOOKUP(VLOOKUP(dict_DQ_Meth_max[[#This Row],[ID_DataQualities]],table_DataQualities[],3),table_Units[],2)</f>
        <v>Hz</v>
      </c>
      <c r="I1257" s="10"/>
      <c r="J1257" s="10"/>
      <c r="K1257" s="10"/>
      <c r="L1257" s="10">
        <f ca="1">VLOOKUP(dict_DQ_Meth_max[[#This Row],[ID_DataQualities]],table_DataQualities[],8,FALSE)</f>
        <v>0.625</v>
      </c>
      <c r="M1257" s="10">
        <f ca="1">VLOOKUP(dict_DQ_Meth_max[[#This Row],[ID_DataQualities]],table_DataQualities[],9,FALSE)</f>
        <v>4453.6000000000004</v>
      </c>
    </row>
    <row r="1258" spans="1:13" x14ac:dyDescent="0.45">
      <c r="A1258" s="10">
        <v>336</v>
      </c>
      <c r="B1258" s="10">
        <v>505</v>
      </c>
      <c r="C12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8" s="10"/>
      <c r="E1258" s="10"/>
      <c r="F1258" s="12">
        <f ca="1">(RANDBETWEEN(0,50)/100)*(dict_DQ_Meth_max[[#This Row],[Vergleich_ub]]-dict_DQ_Meth_max[[#This Row],[Vergleich_lb]])+dict_DQ_Meth_max[[#This Row],[Vergleich_lb]]</f>
        <v>2227.1125000000002</v>
      </c>
      <c r="G1258" s="12">
        <f ca="1">(RANDBETWEEN(50,100)/100)*(dict_DQ_Meth_max[[#This Row],[Vergleich_ub]]-dict_DQ_Meth_max[[#This Row],[Vergleich_lb]])+dict_DQ_Meth_max[[#This Row],[Vergleich_lb]]</f>
        <v>4230.9512500000001</v>
      </c>
      <c r="H1258" s="11" t="str">
        <f ca="1">VLOOKUP(VLOOKUP(dict_DQ_Meth_max[[#This Row],[ID_DataQualities]],table_DataQualities[],3),table_Units[],2)</f>
        <v>Hz</v>
      </c>
      <c r="I1258" s="10"/>
      <c r="J1258" s="10"/>
      <c r="K1258" s="10"/>
      <c r="L1258" s="10">
        <f ca="1">VLOOKUP(dict_DQ_Meth_max[[#This Row],[ID_DataQualities]],table_DataQualities[],8,FALSE)</f>
        <v>0.625</v>
      </c>
      <c r="M1258" s="10">
        <f ca="1">VLOOKUP(dict_DQ_Meth_max[[#This Row],[ID_DataQualities]],table_DataQualities[],9,FALSE)</f>
        <v>4453.6000000000004</v>
      </c>
    </row>
    <row r="1259" spans="1:13" x14ac:dyDescent="0.45">
      <c r="A1259" s="10">
        <v>336</v>
      </c>
      <c r="B1259" s="10">
        <v>288</v>
      </c>
      <c r="C12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59" s="10"/>
      <c r="E1259" s="10"/>
      <c r="F1259" s="12">
        <f ca="1">(RANDBETWEEN(0,50)/100)*(dict_DQ_Meth_max[[#This Row],[Vergleich_ub]]-dict_DQ_Meth_max[[#This Row],[Vergleich_lb]])+dict_DQ_Meth_max[[#This Row],[Vergleich_lb]]</f>
        <v>1069.3389999999999</v>
      </c>
      <c r="G1259" s="12">
        <f ca="1">(RANDBETWEEN(50,100)/100)*(dict_DQ_Meth_max[[#This Row],[Vergleich_ub]]-dict_DQ_Meth_max[[#This Row],[Vergleich_lb]])+dict_DQ_Meth_max[[#This Row],[Vergleich_lb]]</f>
        <v>3295.8265000000001</v>
      </c>
      <c r="H1259" s="11" t="str">
        <f ca="1">VLOOKUP(VLOOKUP(dict_DQ_Meth_max[[#This Row],[ID_DataQualities]],table_DataQualities[],3),table_Units[],2)</f>
        <v>Hz</v>
      </c>
      <c r="I1259" s="10"/>
      <c r="J1259" s="10"/>
      <c r="K1259" s="10"/>
      <c r="L1259" s="10">
        <f ca="1">VLOOKUP(dict_DQ_Meth_max[[#This Row],[ID_DataQualities]],table_DataQualities[],8,FALSE)</f>
        <v>0.625</v>
      </c>
      <c r="M1259" s="10">
        <f ca="1">VLOOKUP(dict_DQ_Meth_max[[#This Row],[ID_DataQualities]],table_DataQualities[],9,FALSE)</f>
        <v>4453.6000000000004</v>
      </c>
    </row>
    <row r="1260" spans="1:13" x14ac:dyDescent="0.45">
      <c r="A1260" s="10">
        <v>337</v>
      </c>
      <c r="B1260" s="10">
        <v>33</v>
      </c>
      <c r="C12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0" s="10"/>
      <c r="E1260" s="10"/>
      <c r="F1260" s="12">
        <f ca="1">(RANDBETWEEN(0,50)/100)*(dict_DQ_Meth_max[[#This Row],[Vergleich_ub]]-dict_DQ_Meth_max[[#This Row],[Vergleich_lb]])+dict_DQ_Meth_max[[#This Row],[Vergleich_lb]]</f>
        <v>1.2778399999999999</v>
      </c>
      <c r="G1260" s="12">
        <f ca="1">(RANDBETWEEN(50,100)/100)*(dict_DQ_Meth_max[[#This Row],[Vergleich_ub]]-dict_DQ_Meth_max[[#This Row],[Vergleich_lb]])+dict_DQ_Meth_max[[#This Row],[Vergleich_lb]]</f>
        <v>3.0624799999999999</v>
      </c>
      <c r="H1260" s="11" t="str">
        <f ca="1">VLOOKUP(VLOOKUP(dict_DQ_Meth_max[[#This Row],[ID_DataQualities]],table_DataQualities[],3),table_Units[],2)</f>
        <v>+/- mm</v>
      </c>
      <c r="I1260" s="10"/>
      <c r="J1260" s="10"/>
      <c r="K1260" s="10"/>
      <c r="L1260" s="10">
        <f ca="1">VLOOKUP(dict_DQ_Meth_max[[#This Row],[ID_DataQualities]],table_DataQualities[],8,FALSE)</f>
        <v>8.0000000000000002E-3</v>
      </c>
      <c r="M1260" s="10">
        <f ca="1">VLOOKUP(dict_DQ_Meth_max[[#This Row],[ID_DataQualities]],table_DataQualities[],9,FALSE)</f>
        <v>3.44</v>
      </c>
    </row>
    <row r="1261" spans="1:13" x14ac:dyDescent="0.45">
      <c r="A1261" s="10">
        <v>337</v>
      </c>
      <c r="B1261" s="10">
        <v>505</v>
      </c>
      <c r="C12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1" s="10"/>
      <c r="E1261" s="10"/>
      <c r="F1261" s="12">
        <f ca="1">(RANDBETWEEN(0,50)/100)*(dict_DQ_Meth_max[[#This Row],[Vergleich_ub]]-dict_DQ_Meth_max[[#This Row],[Vergleich_lb]])+dict_DQ_Meth_max[[#This Row],[Vergleich_lb]]</f>
        <v>0.17960000000000001</v>
      </c>
      <c r="G1261" s="12">
        <f ca="1">(RANDBETWEEN(50,100)/100)*(dict_DQ_Meth_max[[#This Row],[Vergleich_ub]]-dict_DQ_Meth_max[[#This Row],[Vergleich_lb]])+dict_DQ_Meth_max[[#This Row],[Vergleich_lb]]</f>
        <v>1.9299200000000001</v>
      </c>
      <c r="H1261" s="11" t="str">
        <f ca="1">VLOOKUP(VLOOKUP(dict_DQ_Meth_max[[#This Row],[ID_DataQualities]],table_DataQualities[],3),table_Units[],2)</f>
        <v>+/- mm</v>
      </c>
      <c r="I1261" s="10"/>
      <c r="J1261" s="10"/>
      <c r="K1261" s="10"/>
      <c r="L1261" s="10">
        <f ca="1">VLOOKUP(dict_DQ_Meth_max[[#This Row],[ID_DataQualities]],table_DataQualities[],8,FALSE)</f>
        <v>8.0000000000000002E-3</v>
      </c>
      <c r="M1261" s="10">
        <f ca="1">VLOOKUP(dict_DQ_Meth_max[[#This Row],[ID_DataQualities]],table_DataQualities[],9,FALSE)</f>
        <v>3.44</v>
      </c>
    </row>
    <row r="1262" spans="1:13" x14ac:dyDescent="0.45">
      <c r="A1262" s="10">
        <v>337</v>
      </c>
      <c r="B1262" s="10">
        <v>355</v>
      </c>
      <c r="C12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2" s="10"/>
      <c r="E1262" s="10"/>
      <c r="F1262" s="12">
        <f ca="1">(RANDBETWEEN(0,50)/100)*(dict_DQ_Meth_max[[#This Row],[Vergleich_ub]]-dict_DQ_Meth_max[[#This Row],[Vergleich_lb]])+dict_DQ_Meth_max[[#This Row],[Vergleich_lb]]</f>
        <v>8.0000000000000002E-3</v>
      </c>
      <c r="G1262" s="12">
        <f ca="1">(RANDBETWEEN(50,100)/100)*(dict_DQ_Meth_max[[#This Row],[Vergleich_ub]]-dict_DQ_Meth_max[[#This Row],[Vergleich_lb]])+dict_DQ_Meth_max[[#This Row],[Vergleich_lb]]</f>
        <v>3.33704</v>
      </c>
      <c r="H1262" s="11" t="str">
        <f ca="1">VLOOKUP(VLOOKUP(dict_DQ_Meth_max[[#This Row],[ID_DataQualities]],table_DataQualities[],3),table_Units[],2)</f>
        <v>+/- mm</v>
      </c>
      <c r="I1262" s="10"/>
      <c r="J1262" s="10"/>
      <c r="K1262" s="10"/>
      <c r="L1262" s="10">
        <f ca="1">VLOOKUP(dict_DQ_Meth_max[[#This Row],[ID_DataQualities]],table_DataQualities[],8,FALSE)</f>
        <v>8.0000000000000002E-3</v>
      </c>
      <c r="M1262" s="10">
        <f ca="1">VLOOKUP(dict_DQ_Meth_max[[#This Row],[ID_DataQualities]],table_DataQualities[],9,FALSE)</f>
        <v>3.44</v>
      </c>
    </row>
    <row r="1263" spans="1:13" x14ac:dyDescent="0.45">
      <c r="A1263" s="10">
        <v>337</v>
      </c>
      <c r="B1263" s="10">
        <v>288</v>
      </c>
      <c r="C12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3" s="10"/>
      <c r="E1263" s="10"/>
      <c r="F1263" s="12">
        <f ca="1">(RANDBETWEEN(0,50)/100)*(dict_DQ_Meth_max[[#This Row],[Vergleich_ub]]-dict_DQ_Meth_max[[#This Row],[Vergleich_lb]])+dict_DQ_Meth_max[[#This Row],[Vergleich_lb]]</f>
        <v>0.21392</v>
      </c>
      <c r="G1263" s="12">
        <f ca="1">(RANDBETWEEN(50,100)/100)*(dict_DQ_Meth_max[[#This Row],[Vergleich_ub]]-dict_DQ_Meth_max[[#This Row],[Vergleich_lb]])+dict_DQ_Meth_max[[#This Row],[Vergleich_lb]]</f>
        <v>3.1311200000000001</v>
      </c>
      <c r="H1263" s="11" t="str">
        <f ca="1">VLOOKUP(VLOOKUP(dict_DQ_Meth_max[[#This Row],[ID_DataQualities]],table_DataQualities[],3),table_Units[],2)</f>
        <v>+/- mm</v>
      </c>
      <c r="I1263" s="10"/>
      <c r="J1263" s="10"/>
      <c r="K1263" s="10"/>
      <c r="L1263" s="10">
        <f ca="1">VLOOKUP(dict_DQ_Meth_max[[#This Row],[ID_DataQualities]],table_DataQualities[],8,FALSE)</f>
        <v>8.0000000000000002E-3</v>
      </c>
      <c r="M1263" s="10">
        <f ca="1">VLOOKUP(dict_DQ_Meth_max[[#This Row],[ID_DataQualities]],table_DataQualities[],9,FALSE)</f>
        <v>3.44</v>
      </c>
    </row>
    <row r="1264" spans="1:13" x14ac:dyDescent="0.45">
      <c r="A1264" s="10">
        <v>338</v>
      </c>
      <c r="B1264" s="10">
        <v>297</v>
      </c>
      <c r="C12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4" s="10"/>
      <c r="E1264" s="10"/>
      <c r="F1264" s="12">
        <f ca="1">(RANDBETWEEN(0,50)/100)*(dict_DQ_Meth_max[[#This Row],[Vergleich_ub]]-dict_DQ_Meth_max[[#This Row],[Vergleich_lb]])+dict_DQ_Meth_max[[#This Row],[Vergleich_lb]]</f>
        <v>246.20599999999999</v>
      </c>
      <c r="G1264" s="12">
        <f ca="1">(RANDBETWEEN(50,100)/100)*(dict_DQ_Meth_max[[#This Row],[Vergleich_ub]]-dict_DQ_Meth_max[[#This Row],[Vergleich_lb]])+dict_DQ_Meth_max[[#This Row],[Vergleich_lb]]</f>
        <v>368.95299999999997</v>
      </c>
      <c r="H1264" s="11" t="str">
        <f ca="1">VLOOKUP(VLOOKUP(dict_DQ_Meth_max[[#This Row],[ID_DataQualities]],table_DataQualities[],3),table_Units[],2)</f>
        <v>Hz</v>
      </c>
      <c r="I1264" s="10"/>
      <c r="J1264" s="10"/>
      <c r="K1264" s="10"/>
      <c r="L1264" s="10">
        <f ca="1">VLOOKUP(dict_DQ_Meth_max[[#This Row],[ID_DataQualities]],table_DataQualities[],8,FALSE)</f>
        <v>0.71199999999999997</v>
      </c>
      <c r="M1264" s="10">
        <f ca="1">VLOOKUP(dict_DQ_Meth_max[[#This Row],[ID_DataQualities]],table_DataQualities[],9,FALSE)</f>
        <v>491.7</v>
      </c>
    </row>
    <row r="1265" spans="1:13" x14ac:dyDescent="0.45">
      <c r="A1265" s="10">
        <v>338</v>
      </c>
      <c r="B1265" s="10">
        <v>31</v>
      </c>
      <c r="C12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5" s="10"/>
      <c r="E1265" s="10"/>
      <c r="F1265" s="12">
        <f ca="1">(RANDBETWEEN(0,50)/100)*(dict_DQ_Meth_max[[#This Row],[Vergleich_ub]]-dict_DQ_Meth_max[[#This Row],[Vergleich_lb]])+dict_DQ_Meth_max[[#This Row],[Vergleich_lb]]</f>
        <v>108.72936</v>
      </c>
      <c r="G1265" s="12">
        <f ca="1">(RANDBETWEEN(50,100)/100)*(dict_DQ_Meth_max[[#This Row],[Vergleich_ub]]-dict_DQ_Meth_max[[#This Row],[Vergleich_lb]])+dict_DQ_Meth_max[[#This Row],[Vergleich_lb]]</f>
        <v>344.40359999999998</v>
      </c>
      <c r="H1265" s="11" t="str">
        <f ca="1">VLOOKUP(VLOOKUP(dict_DQ_Meth_max[[#This Row],[ID_DataQualities]],table_DataQualities[],3),table_Units[],2)</f>
        <v>Hz</v>
      </c>
      <c r="I1265" s="10"/>
      <c r="J1265" s="10"/>
      <c r="K1265" s="10"/>
      <c r="L1265" s="10">
        <f ca="1">VLOOKUP(dict_DQ_Meth_max[[#This Row],[ID_DataQualities]],table_DataQualities[],8,FALSE)</f>
        <v>0.71199999999999997</v>
      </c>
      <c r="M1265" s="10">
        <f ca="1">VLOOKUP(dict_DQ_Meth_max[[#This Row],[ID_DataQualities]],table_DataQualities[],9,FALSE)</f>
        <v>491.7</v>
      </c>
    </row>
    <row r="1266" spans="1:13" x14ac:dyDescent="0.45">
      <c r="A1266" s="10">
        <v>338</v>
      </c>
      <c r="B1266" s="10">
        <v>104</v>
      </c>
      <c r="C12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6" s="10"/>
      <c r="E1266" s="10"/>
      <c r="F1266" s="12">
        <f ca="1">(RANDBETWEEN(0,50)/100)*(dict_DQ_Meth_max[[#This Row],[Vergleich_ub]]-dict_DQ_Meth_max[[#This Row],[Vergleich_lb]])+dict_DQ_Meth_max[[#This Row],[Vergleich_lb]]</f>
        <v>187.28744</v>
      </c>
      <c r="G1266" s="12">
        <f ca="1">(RANDBETWEEN(50,100)/100)*(dict_DQ_Meth_max[[#This Row],[Vergleich_ub]]-dict_DQ_Meth_max[[#This Row],[Vergleich_lb]])+dict_DQ_Meth_max[[#This Row],[Vergleich_lb]]</f>
        <v>413.14191999999997</v>
      </c>
      <c r="H1266" s="11" t="str">
        <f ca="1">VLOOKUP(VLOOKUP(dict_DQ_Meth_max[[#This Row],[ID_DataQualities]],table_DataQualities[],3),table_Units[],2)</f>
        <v>Hz</v>
      </c>
      <c r="I1266" s="10"/>
      <c r="J1266" s="10"/>
      <c r="K1266" s="10"/>
      <c r="L1266" s="10">
        <f ca="1">VLOOKUP(dict_DQ_Meth_max[[#This Row],[ID_DataQualities]],table_DataQualities[],8,FALSE)</f>
        <v>0.71199999999999997</v>
      </c>
      <c r="M1266" s="10">
        <f ca="1">VLOOKUP(dict_DQ_Meth_max[[#This Row],[ID_DataQualities]],table_DataQualities[],9,FALSE)</f>
        <v>491.7</v>
      </c>
    </row>
    <row r="1267" spans="1:13" x14ac:dyDescent="0.45">
      <c r="A1267" s="10">
        <v>338</v>
      </c>
      <c r="B1267" s="10">
        <v>312</v>
      </c>
      <c r="C12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7" s="10"/>
      <c r="E1267" s="10"/>
      <c r="F1267" s="12">
        <f ca="1">(RANDBETWEEN(0,50)/100)*(dict_DQ_Meth_max[[#This Row],[Vergleich_ub]]-dict_DQ_Meth_max[[#This Row],[Vergleich_lb]])+dict_DQ_Meth_max[[#This Row],[Vergleich_lb]]</f>
        <v>103.81948</v>
      </c>
      <c r="G1267" s="12">
        <f ca="1">(RANDBETWEEN(50,100)/100)*(dict_DQ_Meth_max[[#This Row],[Vergleich_ub]]-dict_DQ_Meth_max[[#This Row],[Vergleich_lb]])+dict_DQ_Meth_max[[#This Row],[Vergleich_lb]]</f>
        <v>393.50240000000002</v>
      </c>
      <c r="H1267" s="11" t="str">
        <f ca="1">VLOOKUP(VLOOKUP(dict_DQ_Meth_max[[#This Row],[ID_DataQualities]],table_DataQualities[],3),table_Units[],2)</f>
        <v>Hz</v>
      </c>
      <c r="I1267" s="10"/>
      <c r="J1267" s="10"/>
      <c r="K1267" s="10"/>
      <c r="L1267" s="10">
        <f ca="1">VLOOKUP(dict_DQ_Meth_max[[#This Row],[ID_DataQualities]],table_DataQualities[],8,FALSE)</f>
        <v>0.71199999999999997</v>
      </c>
      <c r="M1267" s="10">
        <f ca="1">VLOOKUP(dict_DQ_Meth_max[[#This Row],[ID_DataQualities]],table_DataQualities[],9,FALSE)</f>
        <v>491.7</v>
      </c>
    </row>
    <row r="1268" spans="1:13" x14ac:dyDescent="0.45">
      <c r="A1268" s="10">
        <v>339</v>
      </c>
      <c r="B1268" s="10">
        <v>104</v>
      </c>
      <c r="C12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8" s="10"/>
      <c r="E1268" s="10"/>
      <c r="F1268" s="12">
        <f ca="1">(RANDBETWEEN(0,50)/100)*(dict_DQ_Meth_max[[#This Row],[Vergleich_ub]]-dict_DQ_Meth_max[[#This Row],[Vergleich_lb]])+dict_DQ_Meth_max[[#This Row],[Vergleich_lb]]</f>
        <v>0.38082000000000005</v>
      </c>
      <c r="G1268" s="12">
        <f ca="1">(RANDBETWEEN(50,100)/100)*(dict_DQ_Meth_max[[#This Row],[Vergleich_ub]]-dict_DQ_Meth_max[[#This Row],[Vergleich_lb]])+dict_DQ_Meth_max[[#This Row],[Vergleich_lb]]</f>
        <v>0.81463000000000019</v>
      </c>
      <c r="H1268" s="11" t="str">
        <f ca="1">VLOOKUP(VLOOKUP(dict_DQ_Meth_max[[#This Row],[ID_DataQualities]],table_DataQualities[],3),table_Units[],2)</f>
        <v>+/- W</v>
      </c>
      <c r="I1268" s="10"/>
      <c r="J1268" s="10"/>
      <c r="K1268" s="10"/>
      <c r="L1268" s="10">
        <f ca="1">VLOOKUP(dict_DQ_Meth_max[[#This Row],[ID_DataQualities]],table_DataQualities[],8,FALSE)</f>
        <v>6.7000000000000004E-2</v>
      </c>
      <c r="M1268" s="10">
        <f ca="1">VLOOKUP(dict_DQ_Meth_max[[#This Row],[ID_DataQualities]],table_DataQualities[],9,FALSE)</f>
        <v>0.99</v>
      </c>
    </row>
    <row r="1269" spans="1:13" x14ac:dyDescent="0.45">
      <c r="A1269" s="10">
        <v>339</v>
      </c>
      <c r="B1269" s="10">
        <v>312</v>
      </c>
      <c r="C12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69" s="10"/>
      <c r="E1269" s="10"/>
      <c r="F1269" s="12">
        <f ca="1">(RANDBETWEEN(0,50)/100)*(dict_DQ_Meth_max[[#This Row],[Vergleich_ub]]-dict_DQ_Meth_max[[#This Row],[Vergleich_lb]])+dict_DQ_Meth_max[[#This Row],[Vergleich_lb]]</f>
        <v>0.32544000000000006</v>
      </c>
      <c r="G1269" s="12">
        <f ca="1">(RANDBETWEEN(50,100)/100)*(dict_DQ_Meth_max[[#This Row],[Vergleich_ub]]-dict_DQ_Meth_max[[#This Row],[Vergleich_lb]])+dict_DQ_Meth_max[[#This Row],[Vergleich_lb]]</f>
        <v>0.55619000000000007</v>
      </c>
      <c r="H1269" s="11" t="str">
        <f ca="1">VLOOKUP(VLOOKUP(dict_DQ_Meth_max[[#This Row],[ID_DataQualities]],table_DataQualities[],3),table_Units[],2)</f>
        <v>+/- W</v>
      </c>
      <c r="I1269" s="10"/>
      <c r="J1269" s="10"/>
      <c r="K1269" s="10"/>
      <c r="L1269" s="10">
        <f ca="1">VLOOKUP(dict_DQ_Meth_max[[#This Row],[ID_DataQualities]],table_DataQualities[],8,FALSE)</f>
        <v>6.7000000000000004E-2</v>
      </c>
      <c r="M1269" s="10">
        <f ca="1">VLOOKUP(dict_DQ_Meth_max[[#This Row],[ID_DataQualities]],table_DataQualities[],9,FALSE)</f>
        <v>0.99</v>
      </c>
    </row>
    <row r="1270" spans="1:13" x14ac:dyDescent="0.45">
      <c r="A1270" s="10">
        <v>339</v>
      </c>
      <c r="B1270" s="10">
        <v>31</v>
      </c>
      <c r="C12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0" s="10"/>
      <c r="E1270" s="10"/>
      <c r="F1270" s="12">
        <f ca="1">(RANDBETWEEN(0,50)/100)*(dict_DQ_Meth_max[[#This Row],[Vergleich_ub]]-dict_DQ_Meth_max[[#This Row],[Vergleich_lb]])+dict_DQ_Meth_max[[#This Row],[Vergleich_lb]]</f>
        <v>0.17776</v>
      </c>
      <c r="G1270" s="12">
        <f ca="1">(RANDBETWEEN(50,100)/100)*(dict_DQ_Meth_max[[#This Row],[Vergleich_ub]]-dict_DQ_Meth_max[[#This Row],[Vergleich_lb]])+dict_DQ_Meth_max[[#This Row],[Vergleich_lb]]</f>
        <v>0.58388000000000018</v>
      </c>
      <c r="H1270" s="11" t="str">
        <f ca="1">VLOOKUP(VLOOKUP(dict_DQ_Meth_max[[#This Row],[ID_DataQualities]],table_DataQualities[],3),table_Units[],2)</f>
        <v>+/- W</v>
      </c>
      <c r="I1270" s="10"/>
      <c r="J1270" s="10"/>
      <c r="K1270" s="10"/>
      <c r="L1270" s="10">
        <f ca="1">VLOOKUP(dict_DQ_Meth_max[[#This Row],[ID_DataQualities]],table_DataQualities[],8,FALSE)</f>
        <v>6.7000000000000004E-2</v>
      </c>
      <c r="M1270" s="10">
        <f ca="1">VLOOKUP(dict_DQ_Meth_max[[#This Row],[ID_DataQualities]],table_DataQualities[],9,FALSE)</f>
        <v>0.99</v>
      </c>
    </row>
    <row r="1271" spans="1:13" x14ac:dyDescent="0.45">
      <c r="A1271" s="10">
        <v>339</v>
      </c>
      <c r="B1271" s="10">
        <v>297</v>
      </c>
      <c r="C12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1" s="10"/>
      <c r="E1271" s="10"/>
      <c r="F1271" s="12">
        <f ca="1">(RANDBETWEEN(0,50)/100)*(dict_DQ_Meth_max[[#This Row],[Vergleich_ub]]-dict_DQ_Meth_max[[#This Row],[Vergleich_lb]])+dict_DQ_Meth_max[[#This Row],[Vergleich_lb]]</f>
        <v>8.5460000000000008E-2</v>
      </c>
      <c r="G1271" s="12">
        <f ca="1">(RANDBETWEEN(50,100)/100)*(dict_DQ_Meth_max[[#This Row],[Vergleich_ub]]-dict_DQ_Meth_max[[#This Row],[Vergleich_lb]])+dict_DQ_Meth_max[[#This Row],[Vergleich_lb]]</f>
        <v>0.75002000000000013</v>
      </c>
      <c r="H1271" s="11" t="str">
        <f ca="1">VLOOKUP(VLOOKUP(dict_DQ_Meth_max[[#This Row],[ID_DataQualities]],table_DataQualities[],3),table_Units[],2)</f>
        <v>+/- W</v>
      </c>
      <c r="I1271" s="10"/>
      <c r="J1271" s="10"/>
      <c r="K1271" s="10"/>
      <c r="L1271" s="10">
        <f ca="1">VLOOKUP(dict_DQ_Meth_max[[#This Row],[ID_DataQualities]],table_DataQualities[],8,FALSE)</f>
        <v>6.7000000000000004E-2</v>
      </c>
      <c r="M1271" s="10">
        <f ca="1">VLOOKUP(dict_DQ_Meth_max[[#This Row],[ID_DataQualities]],table_DataQualities[],9,FALSE)</f>
        <v>0.99</v>
      </c>
    </row>
    <row r="1272" spans="1:13" x14ac:dyDescent="0.45">
      <c r="A1272" s="10">
        <v>340</v>
      </c>
      <c r="B1272" s="10">
        <v>686</v>
      </c>
      <c r="C12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2" s="10"/>
      <c r="E1272" s="10"/>
      <c r="F1272" s="12">
        <f ca="1">(RANDBETWEEN(0,50)/100)*(dict_DQ_Meth_max[[#This Row],[Vergleich_ub]]-dict_DQ_Meth_max[[#This Row],[Vergleich_lb]])+dict_DQ_Meth_max[[#This Row],[Vergleich_lb]]</f>
        <v>3929.9964800000002</v>
      </c>
      <c r="G1272" s="12">
        <f ca="1">(RANDBETWEEN(50,100)/100)*(dict_DQ_Meth_max[[#This Row],[Vergleich_ub]]-dict_DQ_Meth_max[[#This Row],[Vergleich_lb]])+dict_DQ_Meth_max[[#This Row],[Vergleich_lb]]</f>
        <v>5076.0051199999998</v>
      </c>
      <c r="H1272" s="11" t="str">
        <f ca="1">VLOOKUP(VLOOKUP(dict_DQ_Meth_max[[#This Row],[ID_DataQualities]],table_DataQualities[],3),table_Units[],2)</f>
        <v>Hz</v>
      </c>
      <c r="I1272" s="10"/>
      <c r="J1272" s="10"/>
      <c r="K1272" s="10"/>
      <c r="L1272" s="10">
        <f ca="1">VLOOKUP(dict_DQ_Meth_max[[#This Row],[ID_DataQualities]],table_DataQualities[],8,FALSE)</f>
        <v>0.82399999999999995</v>
      </c>
      <c r="M1272" s="10">
        <f ca="1">VLOOKUP(dict_DQ_Meth_max[[#This Row],[ID_DataQualities]],table_DataQualities[],9,FALSE)</f>
        <v>8186.6</v>
      </c>
    </row>
    <row r="1273" spans="1:13" x14ac:dyDescent="0.45">
      <c r="A1273" s="10">
        <v>340</v>
      </c>
      <c r="B1273" s="10">
        <v>364</v>
      </c>
      <c r="C12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3" s="10"/>
      <c r="E1273" s="10"/>
      <c r="F1273" s="12">
        <f ca="1">(RANDBETWEEN(0,50)/100)*(dict_DQ_Meth_max[[#This Row],[Vergleich_ub]]-dict_DQ_Meth_max[[#This Row],[Vergleich_lb]])+dict_DQ_Meth_max[[#This Row],[Vergleich_lb]]</f>
        <v>2538.4145600000002</v>
      </c>
      <c r="G1273" s="12">
        <f ca="1">(RANDBETWEEN(50,100)/100)*(dict_DQ_Meth_max[[#This Row],[Vergleich_ub]]-dict_DQ_Meth_max[[#This Row],[Vergleich_lb]])+dict_DQ_Meth_max[[#This Row],[Vergleich_lb]]</f>
        <v>5812.7249599999996</v>
      </c>
      <c r="H1273" s="11" t="str">
        <f ca="1">VLOOKUP(VLOOKUP(dict_DQ_Meth_max[[#This Row],[ID_DataQualities]],table_DataQualities[],3),table_Units[],2)</f>
        <v>Hz</v>
      </c>
      <c r="I1273" s="10"/>
      <c r="J1273" s="10"/>
      <c r="K1273" s="10"/>
      <c r="L1273" s="10">
        <f ca="1">VLOOKUP(dict_DQ_Meth_max[[#This Row],[ID_DataQualities]],table_DataQualities[],8,FALSE)</f>
        <v>0.82399999999999995</v>
      </c>
      <c r="M1273" s="10">
        <f ca="1">VLOOKUP(dict_DQ_Meth_max[[#This Row],[ID_DataQualities]],table_DataQualities[],9,FALSE)</f>
        <v>8186.6</v>
      </c>
    </row>
    <row r="1274" spans="1:13" x14ac:dyDescent="0.45">
      <c r="A1274" s="10">
        <v>340</v>
      </c>
      <c r="B1274" s="10">
        <v>191</v>
      </c>
      <c r="C12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4" s="10"/>
      <c r="E1274" s="10"/>
      <c r="F1274" s="12">
        <f ca="1">(RANDBETWEEN(0,50)/100)*(dict_DQ_Meth_max[[#This Row],[Vergleich_ub]]-dict_DQ_Meth_max[[#This Row],[Vergleich_lb]])+dict_DQ_Meth_max[[#This Row],[Vergleich_lb]]</f>
        <v>246.39728000000002</v>
      </c>
      <c r="G1274" s="12">
        <f ca="1">(RANDBETWEEN(50,100)/100)*(dict_DQ_Meth_max[[#This Row],[Vergleich_ub]]-dict_DQ_Meth_max[[#This Row],[Vergleich_lb]])+dict_DQ_Meth_max[[#This Row],[Vergleich_lb]]</f>
        <v>4830.4318400000002</v>
      </c>
      <c r="H1274" s="11" t="str">
        <f ca="1">VLOOKUP(VLOOKUP(dict_DQ_Meth_max[[#This Row],[ID_DataQualities]],table_DataQualities[],3),table_Units[],2)</f>
        <v>Hz</v>
      </c>
      <c r="I1274" s="10"/>
      <c r="J1274" s="10"/>
      <c r="K1274" s="10"/>
      <c r="L1274" s="10">
        <f ca="1">VLOOKUP(dict_DQ_Meth_max[[#This Row],[ID_DataQualities]],table_DataQualities[],8,FALSE)</f>
        <v>0.82399999999999995</v>
      </c>
      <c r="M1274" s="10">
        <f ca="1">VLOOKUP(dict_DQ_Meth_max[[#This Row],[ID_DataQualities]],table_DataQualities[],9,FALSE)</f>
        <v>8186.6</v>
      </c>
    </row>
    <row r="1275" spans="1:13" x14ac:dyDescent="0.45">
      <c r="A1275" s="10">
        <v>340</v>
      </c>
      <c r="B1275" s="10">
        <v>15</v>
      </c>
      <c r="C12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5" s="10"/>
      <c r="E1275" s="10"/>
      <c r="F1275" s="12">
        <f ca="1">(RANDBETWEEN(0,50)/100)*(dict_DQ_Meth_max[[#This Row],[Vergleich_ub]]-dict_DQ_Meth_max[[#This Row],[Vergleich_lb]])+dict_DQ_Meth_max[[#This Row],[Vergleich_lb]]</f>
        <v>3193.2766400000005</v>
      </c>
      <c r="G1275" s="12">
        <f ca="1">(RANDBETWEEN(50,100)/100)*(dict_DQ_Meth_max[[#This Row],[Vergleich_ub]]-dict_DQ_Meth_max[[#This Row],[Vergleich_lb]])+dict_DQ_Meth_max[[#This Row],[Vergleich_lb]]</f>
        <v>6303.8715200000006</v>
      </c>
      <c r="H1275" s="11" t="str">
        <f ca="1">VLOOKUP(VLOOKUP(dict_DQ_Meth_max[[#This Row],[ID_DataQualities]],table_DataQualities[],3),table_Units[],2)</f>
        <v>Hz</v>
      </c>
      <c r="I1275" s="10"/>
      <c r="J1275" s="10"/>
      <c r="K1275" s="10"/>
      <c r="L1275" s="10">
        <f ca="1">VLOOKUP(dict_DQ_Meth_max[[#This Row],[ID_DataQualities]],table_DataQualities[],8,FALSE)</f>
        <v>0.82399999999999995</v>
      </c>
      <c r="M1275" s="10">
        <f ca="1">VLOOKUP(dict_DQ_Meth_max[[#This Row],[ID_DataQualities]],table_DataQualities[],9,FALSE)</f>
        <v>8186.6</v>
      </c>
    </row>
    <row r="1276" spans="1:13" x14ac:dyDescent="0.45">
      <c r="A1276" s="10">
        <v>340</v>
      </c>
      <c r="B1276" s="10">
        <v>429</v>
      </c>
      <c r="C12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6" s="10"/>
      <c r="E1276" s="10"/>
      <c r="F1276" s="12">
        <f ca="1">(RANDBETWEEN(0,50)/100)*(dict_DQ_Meth_max[[#This Row],[Vergleich_ub]]-dict_DQ_Meth_max[[#This Row],[Vergleich_lb]])+dict_DQ_Meth_max[[#This Row],[Vergleich_lb]]</f>
        <v>82.681760000000011</v>
      </c>
      <c r="G1276" s="12">
        <f ca="1">(RANDBETWEEN(50,100)/100)*(dict_DQ_Meth_max[[#This Row],[Vergleich_ub]]-dict_DQ_Meth_max[[#This Row],[Vergleich_lb]])+dict_DQ_Meth_max[[#This Row],[Vergleich_lb]]</f>
        <v>7449.8801600000006</v>
      </c>
      <c r="H1276" s="11" t="str">
        <f ca="1">VLOOKUP(VLOOKUP(dict_DQ_Meth_max[[#This Row],[ID_DataQualities]],table_DataQualities[],3),table_Units[],2)</f>
        <v>Hz</v>
      </c>
      <c r="I1276" s="10"/>
      <c r="J1276" s="10"/>
      <c r="K1276" s="10"/>
      <c r="L1276" s="10">
        <f ca="1">VLOOKUP(dict_DQ_Meth_max[[#This Row],[ID_DataQualities]],table_DataQualities[],8,FALSE)</f>
        <v>0.82399999999999995</v>
      </c>
      <c r="M1276" s="10">
        <f ca="1">VLOOKUP(dict_DQ_Meth_max[[#This Row],[ID_DataQualities]],table_DataQualities[],9,FALSE)</f>
        <v>8186.6</v>
      </c>
    </row>
    <row r="1277" spans="1:13" x14ac:dyDescent="0.45">
      <c r="A1277" s="10">
        <v>341</v>
      </c>
      <c r="B1277" s="10">
        <v>364</v>
      </c>
      <c r="C12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7" s="10"/>
      <c r="E1277" s="10"/>
      <c r="F1277" s="12">
        <f ca="1">(RANDBETWEEN(0,50)/100)*(dict_DQ_Meth_max[[#This Row],[Vergleich_ub]]-dict_DQ_Meth_max[[#This Row],[Vergleich_lb]])+dict_DQ_Meth_max[[#This Row],[Vergleich_lb]]</f>
        <v>0.2908</v>
      </c>
      <c r="G1277" s="12">
        <f ca="1">(RANDBETWEEN(50,100)/100)*(dict_DQ_Meth_max[[#This Row],[Vergleich_ub]]-dict_DQ_Meth_max[[#This Row],[Vergleich_lb]])+dict_DQ_Meth_max[[#This Row],[Vergleich_lb]]</f>
        <v>1.2456</v>
      </c>
      <c r="H1277" s="11" t="str">
        <f ca="1">VLOOKUP(VLOOKUP(dict_DQ_Meth_max[[#This Row],[ID_DataQualities]],table_DataQualities[],3),table_Units[],2)</f>
        <v>+/- mm/s</v>
      </c>
      <c r="I1277" s="10"/>
      <c r="J1277" s="10"/>
      <c r="K1277" s="10"/>
      <c r="L1277" s="10">
        <f ca="1">VLOOKUP(dict_DQ_Meth_max[[#This Row],[ID_DataQualities]],table_DataQualities[],8,FALSE)</f>
        <v>0.26</v>
      </c>
      <c r="M1277" s="10">
        <f ca="1">VLOOKUP(dict_DQ_Meth_max[[#This Row],[ID_DataQualities]],table_DataQualities[],9,FALSE)</f>
        <v>1.8</v>
      </c>
    </row>
    <row r="1278" spans="1:13" x14ac:dyDescent="0.45">
      <c r="A1278" s="10">
        <v>341</v>
      </c>
      <c r="B1278" s="10">
        <v>191</v>
      </c>
      <c r="C12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8" s="10"/>
      <c r="E1278" s="10"/>
      <c r="F1278" s="12">
        <f ca="1">(RANDBETWEEN(0,50)/100)*(dict_DQ_Meth_max[[#This Row],[Vergleich_ub]]-dict_DQ_Meth_max[[#This Row],[Vergleich_lb]])+dict_DQ_Meth_max[[#This Row],[Vergleich_lb]]</f>
        <v>0.41400000000000003</v>
      </c>
      <c r="G1278" s="12">
        <f ca="1">(RANDBETWEEN(50,100)/100)*(dict_DQ_Meth_max[[#This Row],[Vergleich_ub]]-dict_DQ_Meth_max[[#This Row],[Vergleich_lb]])+dict_DQ_Meth_max[[#This Row],[Vergleich_lb]]</f>
        <v>1.0453999999999999</v>
      </c>
      <c r="H1278" s="11" t="str">
        <f ca="1">VLOOKUP(VLOOKUP(dict_DQ_Meth_max[[#This Row],[ID_DataQualities]],table_DataQualities[],3),table_Units[],2)</f>
        <v>+/- mm/s</v>
      </c>
      <c r="I1278" s="10"/>
      <c r="J1278" s="10"/>
      <c r="K1278" s="10"/>
      <c r="L1278" s="10">
        <f ca="1">VLOOKUP(dict_DQ_Meth_max[[#This Row],[ID_DataQualities]],table_DataQualities[],8,FALSE)</f>
        <v>0.26</v>
      </c>
      <c r="M1278" s="10">
        <f ca="1">VLOOKUP(dict_DQ_Meth_max[[#This Row],[ID_DataQualities]],table_DataQualities[],9,FALSE)</f>
        <v>1.8</v>
      </c>
    </row>
    <row r="1279" spans="1:13" x14ac:dyDescent="0.45">
      <c r="A1279" s="10">
        <v>341</v>
      </c>
      <c r="B1279" s="10">
        <v>686</v>
      </c>
      <c r="C12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79" s="10"/>
      <c r="E1279" s="10"/>
      <c r="F1279" s="12">
        <f ca="1">(RANDBETWEEN(0,50)/100)*(dict_DQ_Meth_max[[#This Row],[Vergleich_ub]]-dict_DQ_Meth_max[[#This Row],[Vergleich_lb]])+dict_DQ_Meth_max[[#This Row],[Vergleich_lb]]</f>
        <v>0.58340000000000003</v>
      </c>
      <c r="G1279" s="12">
        <f ca="1">(RANDBETWEEN(50,100)/100)*(dict_DQ_Meth_max[[#This Row],[Vergleich_ub]]-dict_DQ_Meth_max[[#This Row],[Vergleich_lb]])+dict_DQ_Meth_max[[#This Row],[Vergleich_lb]]</f>
        <v>1.1686000000000001</v>
      </c>
      <c r="H1279" s="11" t="str">
        <f ca="1">VLOOKUP(VLOOKUP(dict_DQ_Meth_max[[#This Row],[ID_DataQualities]],table_DataQualities[],3),table_Units[],2)</f>
        <v>+/- mm/s</v>
      </c>
      <c r="I1279" s="10"/>
      <c r="J1279" s="10"/>
      <c r="K1279" s="10"/>
      <c r="L1279" s="10">
        <f ca="1">VLOOKUP(dict_DQ_Meth_max[[#This Row],[ID_DataQualities]],table_DataQualities[],8,FALSE)</f>
        <v>0.26</v>
      </c>
      <c r="M1279" s="10">
        <f ca="1">VLOOKUP(dict_DQ_Meth_max[[#This Row],[ID_DataQualities]],table_DataQualities[],9,FALSE)</f>
        <v>1.8</v>
      </c>
    </row>
    <row r="1280" spans="1:13" x14ac:dyDescent="0.45">
      <c r="A1280" s="10">
        <v>341</v>
      </c>
      <c r="B1280" s="10">
        <v>15</v>
      </c>
      <c r="C12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0" s="10"/>
      <c r="E1280" s="10"/>
      <c r="F1280" s="12">
        <f ca="1">(RANDBETWEEN(0,50)/100)*(dict_DQ_Meth_max[[#This Row],[Vergleich_ub]]-dict_DQ_Meth_max[[#This Row],[Vergleich_lb]])+dict_DQ_Meth_max[[#This Row],[Vergleich_lb]]</f>
        <v>0.61420000000000008</v>
      </c>
      <c r="G1280" s="12">
        <f ca="1">(RANDBETWEEN(50,100)/100)*(dict_DQ_Meth_max[[#This Row],[Vergleich_ub]]-dict_DQ_Meth_max[[#This Row],[Vergleich_lb]])+dict_DQ_Meth_max[[#This Row],[Vergleich_lb]]</f>
        <v>1.2456</v>
      </c>
      <c r="H1280" s="11" t="str">
        <f ca="1">VLOOKUP(VLOOKUP(dict_DQ_Meth_max[[#This Row],[ID_DataQualities]],table_DataQualities[],3),table_Units[],2)</f>
        <v>+/- mm/s</v>
      </c>
      <c r="I1280" s="10"/>
      <c r="J1280" s="10"/>
      <c r="K1280" s="10"/>
      <c r="L1280" s="10">
        <f ca="1">VLOOKUP(dict_DQ_Meth_max[[#This Row],[ID_DataQualities]],table_DataQualities[],8,FALSE)</f>
        <v>0.26</v>
      </c>
      <c r="M1280" s="10">
        <f ca="1">VLOOKUP(dict_DQ_Meth_max[[#This Row],[ID_DataQualities]],table_DataQualities[],9,FALSE)</f>
        <v>1.8</v>
      </c>
    </row>
    <row r="1281" spans="1:13" x14ac:dyDescent="0.45">
      <c r="A1281" s="10">
        <v>341</v>
      </c>
      <c r="B1281" s="10">
        <v>429</v>
      </c>
      <c r="C12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1" s="10"/>
      <c r="E1281" s="10"/>
      <c r="F1281" s="12">
        <f ca="1">(RANDBETWEEN(0,50)/100)*(dict_DQ_Meth_max[[#This Row],[Vergleich_ub]]-dict_DQ_Meth_max[[#This Row],[Vergleich_lb]])+dict_DQ_Meth_max[[#This Row],[Vergleich_lb]]</f>
        <v>0.27540000000000003</v>
      </c>
      <c r="G1281" s="12">
        <f ca="1">(RANDBETWEEN(50,100)/100)*(dict_DQ_Meth_max[[#This Row],[Vergleich_ub]]-dict_DQ_Meth_max[[#This Row],[Vergleich_lb]])+dict_DQ_Meth_max[[#This Row],[Vergleich_lb]]</f>
        <v>1.2302</v>
      </c>
      <c r="H1281" s="11" t="str">
        <f ca="1">VLOOKUP(VLOOKUP(dict_DQ_Meth_max[[#This Row],[ID_DataQualities]],table_DataQualities[],3),table_Units[],2)</f>
        <v>+/- mm/s</v>
      </c>
      <c r="I1281" s="10"/>
      <c r="J1281" s="10"/>
      <c r="K1281" s="10"/>
      <c r="L1281" s="10">
        <f ca="1">VLOOKUP(dict_DQ_Meth_max[[#This Row],[ID_DataQualities]],table_DataQualities[],8,FALSE)</f>
        <v>0.26</v>
      </c>
      <c r="M1281" s="10">
        <f ca="1">VLOOKUP(dict_DQ_Meth_max[[#This Row],[ID_DataQualities]],table_DataQualities[],9,FALSE)</f>
        <v>1.8</v>
      </c>
    </row>
    <row r="1282" spans="1:13" x14ac:dyDescent="0.45">
      <c r="A1282" s="10">
        <v>342</v>
      </c>
      <c r="B1282" s="10">
        <v>614</v>
      </c>
      <c r="C12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2" s="10"/>
      <c r="E1282" s="10"/>
      <c r="F1282" s="12">
        <f ca="1">(RANDBETWEEN(0,50)/100)*(dict_DQ_Meth_max[[#This Row],[Vergleich_ub]]-dict_DQ_Meth_max[[#This Row],[Vergleich_lb]])+dict_DQ_Meth_max[[#This Row],[Vergleich_lb]]</f>
        <v>2193.9110000000005</v>
      </c>
      <c r="G1282" s="12">
        <f ca="1">(RANDBETWEEN(50,100)/100)*(dict_DQ_Meth_max[[#This Row],[Vergleich_ub]]-dict_DQ_Meth_max[[#This Row],[Vergleich_lb]])+dict_DQ_Meth_max[[#This Row],[Vergleich_lb]]</f>
        <v>4650.9255600000015</v>
      </c>
      <c r="H1282" s="11" t="str">
        <f ca="1">VLOOKUP(VLOOKUP(dict_DQ_Meth_max[[#This Row],[ID_DataQualities]],table_DataQualities[],3),table_Units[],2)</f>
        <v>Hz</v>
      </c>
      <c r="I1282" s="10"/>
      <c r="J1282" s="10"/>
      <c r="K1282" s="10"/>
      <c r="L1282" s="10">
        <f ca="1">VLOOKUP(dict_DQ_Meth_max[[#This Row],[ID_DataQualities]],table_DataQualities[],8,FALSE)</f>
        <v>0.14799999999999999</v>
      </c>
      <c r="M1282" s="10">
        <f ca="1">VLOOKUP(dict_DQ_Meth_max[[#This Row],[ID_DataQualities]],table_DataQualities[],9,FALSE)</f>
        <v>8775.2000000000007</v>
      </c>
    </row>
    <row r="1283" spans="1:13" x14ac:dyDescent="0.45">
      <c r="A1283" s="10">
        <v>342</v>
      </c>
      <c r="B1283" s="10">
        <v>245</v>
      </c>
      <c r="C12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3" s="10"/>
      <c r="E1283" s="10"/>
      <c r="F1283" s="12">
        <f ca="1">(RANDBETWEEN(0,50)/100)*(dict_DQ_Meth_max[[#This Row],[Vergleich_ub]]-dict_DQ_Meth_max[[#This Row],[Vergleich_lb]])+dict_DQ_Meth_max[[#This Row],[Vergleich_lb]]</f>
        <v>2632.6636000000003</v>
      </c>
      <c r="G1283" s="12">
        <f ca="1">(RANDBETWEEN(50,100)/100)*(dict_DQ_Meth_max[[#This Row],[Vergleich_ub]]-dict_DQ_Meth_max[[#This Row],[Vergleich_lb]])+dict_DQ_Meth_max[[#This Row],[Vergleich_lb]]</f>
        <v>4475.4245200000014</v>
      </c>
      <c r="H1283" s="11" t="str">
        <f ca="1">VLOOKUP(VLOOKUP(dict_DQ_Meth_max[[#This Row],[ID_DataQualities]],table_DataQualities[],3),table_Units[],2)</f>
        <v>Hz</v>
      </c>
      <c r="I1283" s="10"/>
      <c r="J1283" s="10"/>
      <c r="K1283" s="10"/>
      <c r="L1283" s="10">
        <f ca="1">VLOOKUP(dict_DQ_Meth_max[[#This Row],[ID_DataQualities]],table_DataQualities[],8,FALSE)</f>
        <v>0.14799999999999999</v>
      </c>
      <c r="M1283" s="10">
        <f ca="1">VLOOKUP(dict_DQ_Meth_max[[#This Row],[ID_DataQualities]],table_DataQualities[],9,FALSE)</f>
        <v>8775.2000000000007</v>
      </c>
    </row>
    <row r="1284" spans="1:13" x14ac:dyDescent="0.45">
      <c r="A1284" s="10">
        <v>342</v>
      </c>
      <c r="B1284" s="10">
        <v>45</v>
      </c>
      <c r="C12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4" s="10"/>
      <c r="E1284" s="10"/>
      <c r="F1284" s="12">
        <f ca="1">(RANDBETWEEN(0,50)/100)*(dict_DQ_Meth_max[[#This Row],[Vergleich_ub]]-dict_DQ_Meth_max[[#This Row],[Vergleich_lb]])+dict_DQ_Meth_max[[#This Row],[Vergleich_lb]]</f>
        <v>2544.9130800000003</v>
      </c>
      <c r="G1284" s="12">
        <f ca="1">(RANDBETWEEN(50,100)/100)*(dict_DQ_Meth_max[[#This Row],[Vergleich_ub]]-dict_DQ_Meth_max[[#This Row],[Vergleich_lb]])+dict_DQ_Meth_max[[#This Row],[Vergleich_lb]]</f>
        <v>8073.1958400000021</v>
      </c>
      <c r="H1284" s="11" t="str">
        <f ca="1">VLOOKUP(VLOOKUP(dict_DQ_Meth_max[[#This Row],[ID_DataQualities]],table_DataQualities[],3),table_Units[],2)</f>
        <v>Hz</v>
      </c>
      <c r="I1284" s="10"/>
      <c r="J1284" s="10"/>
      <c r="K1284" s="10"/>
      <c r="L1284" s="10">
        <f ca="1">VLOOKUP(dict_DQ_Meth_max[[#This Row],[ID_DataQualities]],table_DataQualities[],8,FALSE)</f>
        <v>0.14799999999999999</v>
      </c>
      <c r="M1284" s="10">
        <f ca="1">VLOOKUP(dict_DQ_Meth_max[[#This Row],[ID_DataQualities]],table_DataQualities[],9,FALSE)</f>
        <v>8775.2000000000007</v>
      </c>
    </row>
    <row r="1285" spans="1:13" x14ac:dyDescent="0.45">
      <c r="A1285" s="10">
        <v>343</v>
      </c>
      <c r="B1285" s="10">
        <v>245</v>
      </c>
      <c r="C12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5" s="10"/>
      <c r="E1285" s="10"/>
      <c r="F1285" s="12">
        <f ca="1">(RANDBETWEEN(0,50)/100)*(dict_DQ_Meth_max[[#This Row],[Vergleich_ub]]-dict_DQ_Meth_max[[#This Row],[Vergleich_lb]])+dict_DQ_Meth_max[[#This Row],[Vergleich_lb]]</f>
        <v>1.4926200000000001</v>
      </c>
      <c r="G1285" s="12">
        <f ca="1">(RANDBETWEEN(50,100)/100)*(dict_DQ_Meth_max[[#This Row],[Vergleich_ub]]-dict_DQ_Meth_max[[#This Row],[Vergleich_lb]])+dict_DQ_Meth_max[[#This Row],[Vergleich_lb]]</f>
        <v>3.4339200000000001</v>
      </c>
      <c r="H1285" s="11" t="str">
        <f ca="1">VLOOKUP(VLOOKUP(dict_DQ_Meth_max[[#This Row],[ID_DataQualities]],table_DataQualities[],3),table_Units[],2)</f>
        <v>+/- W</v>
      </c>
      <c r="I1285" s="10"/>
      <c r="J1285" s="10"/>
      <c r="K1285" s="10"/>
      <c r="L1285" s="10">
        <f ca="1">VLOOKUP(dict_DQ_Meth_max[[#This Row],[ID_DataQualities]],table_DataQualities[],8,FALSE)</f>
        <v>6.9000000000000006E-2</v>
      </c>
      <c r="M1285" s="10">
        <f ca="1">VLOOKUP(dict_DQ_Meth_max[[#This Row],[ID_DataQualities]],table_DataQualities[],9,FALSE)</f>
        <v>6.54</v>
      </c>
    </row>
    <row r="1286" spans="1:13" x14ac:dyDescent="0.45">
      <c r="A1286" s="10">
        <v>343</v>
      </c>
      <c r="B1286" s="10">
        <v>614</v>
      </c>
      <c r="C12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6" s="10"/>
      <c r="E1286" s="10"/>
      <c r="F1286" s="12">
        <f ca="1">(RANDBETWEEN(0,50)/100)*(dict_DQ_Meth_max[[#This Row],[Vergleich_ub]]-dict_DQ_Meth_max[[#This Row],[Vergleich_lb]])+dict_DQ_Meth_max[[#This Row],[Vergleich_lb]]</f>
        <v>3.3045</v>
      </c>
      <c r="G1286" s="12">
        <f ca="1">(RANDBETWEEN(50,100)/100)*(dict_DQ_Meth_max[[#This Row],[Vergleich_ub]]-dict_DQ_Meth_max[[#This Row],[Vergleich_lb]])+dict_DQ_Meth_max[[#This Row],[Vergleich_lb]]</f>
        <v>5.2458</v>
      </c>
      <c r="H1286" s="11" t="str">
        <f ca="1">VLOOKUP(VLOOKUP(dict_DQ_Meth_max[[#This Row],[ID_DataQualities]],table_DataQualities[],3),table_Units[],2)</f>
        <v>+/- W</v>
      </c>
      <c r="I1286" s="10"/>
      <c r="J1286" s="10"/>
      <c r="K1286" s="10"/>
      <c r="L1286" s="10">
        <f ca="1">VLOOKUP(dict_DQ_Meth_max[[#This Row],[ID_DataQualities]],table_DataQualities[],8,FALSE)</f>
        <v>6.9000000000000006E-2</v>
      </c>
      <c r="M1286" s="10">
        <f ca="1">VLOOKUP(dict_DQ_Meth_max[[#This Row],[ID_DataQualities]],table_DataQualities[],9,FALSE)</f>
        <v>6.54</v>
      </c>
    </row>
    <row r="1287" spans="1:13" x14ac:dyDescent="0.45">
      <c r="A1287" s="10">
        <v>343</v>
      </c>
      <c r="B1287" s="10">
        <v>45</v>
      </c>
      <c r="C12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7" s="10"/>
      <c r="E1287" s="10"/>
      <c r="F1287" s="12">
        <f ca="1">(RANDBETWEEN(0,50)/100)*(dict_DQ_Meth_max[[#This Row],[Vergleich_ub]]-dict_DQ_Meth_max[[#This Row],[Vergleich_lb]])+dict_DQ_Meth_max[[#This Row],[Vergleich_lb]]</f>
        <v>2.6574</v>
      </c>
      <c r="G1287" s="12">
        <f ca="1">(RANDBETWEEN(50,100)/100)*(dict_DQ_Meth_max[[#This Row],[Vergleich_ub]]-dict_DQ_Meth_max[[#This Row],[Vergleich_lb]])+dict_DQ_Meth_max[[#This Row],[Vergleich_lb]]</f>
        <v>5.4399299999999995</v>
      </c>
      <c r="H1287" s="11" t="str">
        <f ca="1">VLOOKUP(VLOOKUP(dict_DQ_Meth_max[[#This Row],[ID_DataQualities]],table_DataQualities[],3),table_Units[],2)</f>
        <v>+/- W</v>
      </c>
      <c r="I1287" s="10"/>
      <c r="J1287" s="10"/>
      <c r="K1287" s="10"/>
      <c r="L1287" s="10">
        <f ca="1">VLOOKUP(dict_DQ_Meth_max[[#This Row],[ID_DataQualities]],table_DataQualities[],8,FALSE)</f>
        <v>6.9000000000000006E-2</v>
      </c>
      <c r="M1287" s="10">
        <f ca="1">VLOOKUP(dict_DQ_Meth_max[[#This Row],[ID_DataQualities]],table_DataQualities[],9,FALSE)</f>
        <v>6.54</v>
      </c>
    </row>
    <row r="1288" spans="1:13" x14ac:dyDescent="0.45">
      <c r="A1288" s="10">
        <v>344</v>
      </c>
      <c r="B1288" s="10">
        <v>578</v>
      </c>
      <c r="C12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8" s="10"/>
      <c r="E1288" s="10"/>
      <c r="F1288" s="12">
        <f ca="1">(RANDBETWEEN(0,50)/100)*(dict_DQ_Meth_max[[#This Row],[Vergleich_ub]]-dict_DQ_Meth_max[[#This Row],[Vergleich_lb]])+dict_DQ_Meth_max[[#This Row],[Vergleich_lb]]</f>
        <v>1957.56032</v>
      </c>
      <c r="G1288" s="12">
        <f ca="1">(RANDBETWEEN(50,100)/100)*(dict_DQ_Meth_max[[#This Row],[Vergleich_ub]]-dict_DQ_Meth_max[[#This Row],[Vergleich_lb]])+dict_DQ_Meth_max[[#This Row],[Vergleich_lb]]</f>
        <v>6197.57168</v>
      </c>
      <c r="H1288" s="11" t="str">
        <f ca="1">VLOOKUP(VLOOKUP(dict_DQ_Meth_max[[#This Row],[ID_DataQualities]],table_DataQualities[],3),table_Units[],2)</f>
        <v>Hz</v>
      </c>
      <c r="I1288" s="10"/>
      <c r="J1288" s="10"/>
      <c r="K1288" s="10"/>
      <c r="L1288" s="10">
        <f ca="1">VLOOKUP(dict_DQ_Meth_max[[#This Row],[ID_DataQualities]],table_DataQualities[],8,FALSE)</f>
        <v>0.63200000000000001</v>
      </c>
      <c r="M1288" s="10">
        <f ca="1">VLOOKUP(dict_DQ_Meth_max[[#This Row],[ID_DataQualities]],table_DataQualities[],9,FALSE)</f>
        <v>8154.5</v>
      </c>
    </row>
    <row r="1289" spans="1:13" x14ac:dyDescent="0.45">
      <c r="A1289" s="10">
        <v>344</v>
      </c>
      <c r="B1289" s="10">
        <v>571</v>
      </c>
      <c r="C12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89" s="10"/>
      <c r="E1289" s="10"/>
      <c r="F1289" s="12">
        <f ca="1">(RANDBETWEEN(0,50)/100)*(dict_DQ_Meth_max[[#This Row],[Vergleich_ub]]-dict_DQ_Meth_max[[#This Row],[Vergleich_lb]])+dict_DQ_Meth_max[[#This Row],[Vergleich_lb]]</f>
        <v>245.24804</v>
      </c>
      <c r="G1289" s="12">
        <f ca="1">(RANDBETWEEN(50,100)/100)*(dict_DQ_Meth_max[[#This Row],[Vergleich_ub]]-dict_DQ_Meth_max[[#This Row],[Vergleich_lb]])+dict_DQ_Meth_max[[#This Row],[Vergleich_lb]]</f>
        <v>7012.9584800000002</v>
      </c>
      <c r="H1289" s="11" t="str">
        <f ca="1">VLOOKUP(VLOOKUP(dict_DQ_Meth_max[[#This Row],[ID_DataQualities]],table_DataQualities[],3),table_Units[],2)</f>
        <v>Hz</v>
      </c>
      <c r="I1289" s="10"/>
      <c r="J1289" s="10"/>
      <c r="K1289" s="10"/>
      <c r="L1289" s="10">
        <f ca="1">VLOOKUP(dict_DQ_Meth_max[[#This Row],[ID_DataQualities]],table_DataQualities[],8,FALSE)</f>
        <v>0.63200000000000001</v>
      </c>
      <c r="M1289" s="10">
        <f ca="1">VLOOKUP(dict_DQ_Meth_max[[#This Row],[ID_DataQualities]],table_DataQualities[],9,FALSE)</f>
        <v>8154.5</v>
      </c>
    </row>
    <row r="1290" spans="1:13" x14ac:dyDescent="0.45">
      <c r="A1290" s="10">
        <v>344</v>
      </c>
      <c r="B1290" s="10">
        <v>109</v>
      </c>
      <c r="C12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0" s="10"/>
      <c r="E1290" s="10"/>
      <c r="F1290" s="12">
        <f ca="1">(RANDBETWEEN(0,50)/100)*(dict_DQ_Meth_max[[#This Row],[Vergleich_ub]]-dict_DQ_Meth_max[[#This Row],[Vergleich_lb]])+dict_DQ_Meth_max[[#This Row],[Vergleich_lb]]</f>
        <v>2365.2537200000002</v>
      </c>
      <c r="G1290" s="12">
        <f ca="1">(RANDBETWEEN(50,100)/100)*(dict_DQ_Meth_max[[#This Row],[Vergleich_ub]]-dict_DQ_Meth_max[[#This Row],[Vergleich_lb]])+dict_DQ_Meth_max[[#This Row],[Vergleich_lb]]</f>
        <v>4892.9528</v>
      </c>
      <c r="H1290" s="11" t="str">
        <f ca="1">VLOOKUP(VLOOKUP(dict_DQ_Meth_max[[#This Row],[ID_DataQualities]],table_DataQualities[],3),table_Units[],2)</f>
        <v>Hz</v>
      </c>
      <c r="I1290" s="10"/>
      <c r="J1290" s="10"/>
      <c r="K1290" s="10"/>
      <c r="L1290" s="10">
        <f ca="1">VLOOKUP(dict_DQ_Meth_max[[#This Row],[ID_DataQualities]],table_DataQualities[],8,FALSE)</f>
        <v>0.63200000000000001</v>
      </c>
      <c r="M1290" s="10">
        <f ca="1">VLOOKUP(dict_DQ_Meth_max[[#This Row],[ID_DataQualities]],table_DataQualities[],9,FALSE)</f>
        <v>8154.5</v>
      </c>
    </row>
    <row r="1291" spans="1:13" x14ac:dyDescent="0.45">
      <c r="A1291" s="10">
        <v>344</v>
      </c>
      <c r="B1291" s="10">
        <v>306</v>
      </c>
      <c r="C12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1" s="10"/>
      <c r="E1291" s="10"/>
      <c r="F1291" s="12">
        <f ca="1">(RANDBETWEEN(0,50)/100)*(dict_DQ_Meth_max[[#This Row],[Vergleich_ub]]-dict_DQ_Meth_max[[#This Row],[Vergleich_lb]])+dict_DQ_Meth_max[[#This Row],[Vergleich_lb]]</f>
        <v>734.48011999999994</v>
      </c>
      <c r="G1291" s="12">
        <f ca="1">(RANDBETWEEN(50,100)/100)*(dict_DQ_Meth_max[[#This Row],[Vergleich_ub]]-dict_DQ_Meth_max[[#This Row],[Vergleich_lb]])+dict_DQ_Meth_max[[#This Row],[Vergleich_lb]]</f>
        <v>6849.88112</v>
      </c>
      <c r="H1291" s="11" t="str">
        <f ca="1">VLOOKUP(VLOOKUP(dict_DQ_Meth_max[[#This Row],[ID_DataQualities]],table_DataQualities[],3),table_Units[],2)</f>
        <v>Hz</v>
      </c>
      <c r="I1291" s="10"/>
      <c r="J1291" s="10"/>
      <c r="K1291" s="10"/>
      <c r="L1291" s="10">
        <f ca="1">VLOOKUP(dict_DQ_Meth_max[[#This Row],[ID_DataQualities]],table_DataQualities[],8,FALSE)</f>
        <v>0.63200000000000001</v>
      </c>
      <c r="M1291" s="10">
        <f ca="1">VLOOKUP(dict_DQ_Meth_max[[#This Row],[ID_DataQualities]],table_DataQualities[],9,FALSE)</f>
        <v>8154.5</v>
      </c>
    </row>
    <row r="1292" spans="1:13" x14ac:dyDescent="0.45">
      <c r="A1292" s="10">
        <v>345</v>
      </c>
      <c r="B1292" s="10">
        <v>109</v>
      </c>
      <c r="C12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2" s="10"/>
      <c r="E1292" s="10"/>
      <c r="F1292" s="12">
        <f ca="1">(RANDBETWEEN(0,50)/100)*(dict_DQ_Meth_max[[#This Row],[Vergleich_ub]]-dict_DQ_Meth_max[[#This Row],[Vergleich_lb]])+dict_DQ_Meth_max[[#This Row],[Vergleich_lb]]</f>
        <v>1.1840000000000002</v>
      </c>
      <c r="G1292" s="12">
        <f ca="1">(RANDBETWEEN(50,100)/100)*(dict_DQ_Meth_max[[#This Row],[Vergleich_ub]]-dict_DQ_Meth_max[[#This Row],[Vergleich_lb]])+dict_DQ_Meth_max[[#This Row],[Vergleich_lb]]</f>
        <v>2.6879999999999997</v>
      </c>
      <c r="H1292" s="11" t="str">
        <f ca="1">VLOOKUP(VLOOKUP(dict_DQ_Meth_max[[#This Row],[ID_DataQualities]],table_DataQualities[],3),table_Units[],2)</f>
        <v>+/- °C</v>
      </c>
      <c r="I1292" s="10"/>
      <c r="J1292" s="10"/>
      <c r="K1292" s="10"/>
      <c r="L1292" s="10">
        <f ca="1">VLOOKUP(dict_DQ_Meth_max[[#This Row],[ID_DataQualities]],table_DataQualities[],8,FALSE)</f>
        <v>0.8</v>
      </c>
      <c r="M1292" s="10">
        <f ca="1">VLOOKUP(dict_DQ_Meth_max[[#This Row],[ID_DataQualities]],table_DataQualities[],9,FALSE)</f>
        <v>4</v>
      </c>
    </row>
    <row r="1293" spans="1:13" x14ac:dyDescent="0.45">
      <c r="A1293" s="10">
        <v>345</v>
      </c>
      <c r="B1293" s="10">
        <v>306</v>
      </c>
      <c r="C12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3" s="10"/>
      <c r="E1293" s="10"/>
      <c r="F1293" s="12">
        <f ca="1">(RANDBETWEEN(0,50)/100)*(dict_DQ_Meth_max[[#This Row],[Vergleich_ub]]-dict_DQ_Meth_max[[#This Row],[Vergleich_lb]])+dict_DQ_Meth_max[[#This Row],[Vergleich_lb]]</f>
        <v>2.3040000000000003</v>
      </c>
      <c r="G1293" s="12">
        <f ca="1">(RANDBETWEEN(50,100)/100)*(dict_DQ_Meth_max[[#This Row],[Vergleich_ub]]-dict_DQ_Meth_max[[#This Row],[Vergleich_lb]])+dict_DQ_Meth_max[[#This Row],[Vergleich_lb]]</f>
        <v>3.84</v>
      </c>
      <c r="H1293" s="11" t="str">
        <f ca="1">VLOOKUP(VLOOKUP(dict_DQ_Meth_max[[#This Row],[ID_DataQualities]],table_DataQualities[],3),table_Units[],2)</f>
        <v>+/- °C</v>
      </c>
      <c r="I1293" s="10"/>
      <c r="J1293" s="10"/>
      <c r="K1293" s="10"/>
      <c r="L1293" s="10">
        <f ca="1">VLOOKUP(dict_DQ_Meth_max[[#This Row],[ID_DataQualities]],table_DataQualities[],8,FALSE)</f>
        <v>0.8</v>
      </c>
      <c r="M1293" s="10">
        <f ca="1">VLOOKUP(dict_DQ_Meth_max[[#This Row],[ID_DataQualities]],table_DataQualities[],9,FALSE)</f>
        <v>4</v>
      </c>
    </row>
    <row r="1294" spans="1:13" x14ac:dyDescent="0.45">
      <c r="A1294" s="10">
        <v>345</v>
      </c>
      <c r="B1294" s="10">
        <v>578</v>
      </c>
      <c r="C12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4" s="10"/>
      <c r="E1294" s="10"/>
      <c r="F1294" s="12">
        <f ca="1">(RANDBETWEEN(0,50)/100)*(dict_DQ_Meth_max[[#This Row],[Vergleich_ub]]-dict_DQ_Meth_max[[#This Row],[Vergleich_lb]])+dict_DQ_Meth_max[[#This Row],[Vergleich_lb]]</f>
        <v>1.2480000000000002</v>
      </c>
      <c r="G1294" s="12">
        <f ca="1">(RANDBETWEEN(50,100)/100)*(dict_DQ_Meth_max[[#This Row],[Vergleich_ub]]-dict_DQ_Meth_max[[#This Row],[Vergleich_lb]])+dict_DQ_Meth_max[[#This Row],[Vergleich_lb]]</f>
        <v>2.6879999999999997</v>
      </c>
      <c r="H1294" s="11" t="str">
        <f ca="1">VLOOKUP(VLOOKUP(dict_DQ_Meth_max[[#This Row],[ID_DataQualities]],table_DataQualities[],3),table_Units[],2)</f>
        <v>+/- °C</v>
      </c>
      <c r="I1294" s="10"/>
      <c r="J1294" s="10"/>
      <c r="K1294" s="10"/>
      <c r="L1294" s="10">
        <f ca="1">VLOOKUP(dict_DQ_Meth_max[[#This Row],[ID_DataQualities]],table_DataQualities[],8,FALSE)</f>
        <v>0.8</v>
      </c>
      <c r="M1294" s="10">
        <f ca="1">VLOOKUP(dict_DQ_Meth_max[[#This Row],[ID_DataQualities]],table_DataQualities[],9,FALSE)</f>
        <v>4</v>
      </c>
    </row>
    <row r="1295" spans="1:13" x14ac:dyDescent="0.45">
      <c r="A1295" s="10">
        <v>345</v>
      </c>
      <c r="B1295" s="10">
        <v>571</v>
      </c>
      <c r="C12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5" s="10"/>
      <c r="E1295" s="10"/>
      <c r="F1295" s="12">
        <f ca="1">(RANDBETWEEN(0,50)/100)*(dict_DQ_Meth_max[[#This Row],[Vergleich_ub]]-dict_DQ_Meth_max[[#This Row],[Vergleich_lb]])+dict_DQ_Meth_max[[#This Row],[Vergleich_lb]]</f>
        <v>1.1520000000000001</v>
      </c>
      <c r="G1295" s="12">
        <f ca="1">(RANDBETWEEN(50,100)/100)*(dict_DQ_Meth_max[[#This Row],[Vergleich_ub]]-dict_DQ_Meth_max[[#This Row],[Vergleich_lb]])+dict_DQ_Meth_max[[#This Row],[Vergleich_lb]]</f>
        <v>3.6160000000000005</v>
      </c>
      <c r="H1295" s="11" t="str">
        <f ca="1">VLOOKUP(VLOOKUP(dict_DQ_Meth_max[[#This Row],[ID_DataQualities]],table_DataQualities[],3),table_Units[],2)</f>
        <v>+/- °C</v>
      </c>
      <c r="I1295" s="10"/>
      <c r="J1295" s="10"/>
      <c r="K1295" s="10"/>
      <c r="L1295" s="10">
        <f ca="1">VLOOKUP(dict_DQ_Meth_max[[#This Row],[ID_DataQualities]],table_DataQualities[],8,FALSE)</f>
        <v>0.8</v>
      </c>
      <c r="M1295" s="10">
        <f ca="1">VLOOKUP(dict_DQ_Meth_max[[#This Row],[ID_DataQualities]],table_DataQualities[],9,FALSE)</f>
        <v>4</v>
      </c>
    </row>
    <row r="1296" spans="1:13" x14ac:dyDescent="0.45">
      <c r="A1296" s="10">
        <v>346</v>
      </c>
      <c r="B1296" s="10">
        <v>214</v>
      </c>
      <c r="C12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6" s="10"/>
      <c r="E1296" s="10"/>
      <c r="F1296" s="12">
        <f ca="1">(RANDBETWEEN(0,50)/100)*(dict_DQ_Meth_max[[#This Row],[Vergleich_ub]]-dict_DQ_Meth_max[[#This Row],[Vergleich_lb]])+dict_DQ_Meth_max[[#This Row],[Vergleich_lb]]</f>
        <v>965.0616</v>
      </c>
      <c r="G1296" s="12">
        <f ca="1">(RANDBETWEEN(50,100)/100)*(dict_DQ_Meth_max[[#This Row],[Vergleich_ub]]-dict_DQ_Meth_max[[#This Row],[Vergleich_lb]])+dict_DQ_Meth_max[[#This Row],[Vergleich_lb]]</f>
        <v>3858.3654000000001</v>
      </c>
      <c r="H1296" s="11" t="str">
        <f ca="1">VLOOKUP(VLOOKUP(dict_DQ_Meth_max[[#This Row],[ID_DataQualities]],table_DataQualities[],3),table_Units[],2)</f>
        <v>Hz</v>
      </c>
      <c r="I1296" s="10"/>
      <c r="J1296" s="10"/>
      <c r="K1296" s="10"/>
      <c r="L1296" s="10">
        <f ca="1">VLOOKUP(dict_DQ_Meth_max[[#This Row],[ID_DataQualities]],table_DataQualities[],8,FALSE)</f>
        <v>0.627</v>
      </c>
      <c r="M1296" s="10">
        <f ca="1">VLOOKUP(dict_DQ_Meth_max[[#This Row],[ID_DataQualities]],table_DataQualities[],9,FALSE)</f>
        <v>4822.8</v>
      </c>
    </row>
    <row r="1297" spans="1:13" x14ac:dyDescent="0.45">
      <c r="A1297" s="10">
        <v>346</v>
      </c>
      <c r="B1297" s="10">
        <v>363</v>
      </c>
      <c r="C12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7" s="10"/>
      <c r="E1297" s="10"/>
      <c r="F1297" s="12">
        <f ca="1">(RANDBETWEEN(0,50)/100)*(dict_DQ_Meth_max[[#This Row],[Vergleich_ub]]-dict_DQ_Meth_max[[#This Row],[Vergleich_lb]])+dict_DQ_Meth_max[[#This Row],[Vergleich_lb]]</f>
        <v>1977.7179299999998</v>
      </c>
      <c r="G1297" s="12">
        <f ca="1">(RANDBETWEEN(50,100)/100)*(dict_DQ_Meth_max[[#This Row],[Vergleich_ub]]-dict_DQ_Meth_max[[#This Row],[Vergleich_lb]])+dict_DQ_Meth_max[[#This Row],[Vergleich_lb]]</f>
        <v>4726.3565399999998</v>
      </c>
      <c r="H1297" s="11" t="str">
        <f ca="1">VLOOKUP(VLOOKUP(dict_DQ_Meth_max[[#This Row],[ID_DataQualities]],table_DataQualities[],3),table_Units[],2)</f>
        <v>Hz</v>
      </c>
      <c r="I1297" s="10"/>
      <c r="J1297" s="10"/>
      <c r="K1297" s="10"/>
      <c r="L1297" s="10">
        <f ca="1">VLOOKUP(dict_DQ_Meth_max[[#This Row],[ID_DataQualities]],table_DataQualities[],8,FALSE)</f>
        <v>0.627</v>
      </c>
      <c r="M1297" s="10">
        <f ca="1">VLOOKUP(dict_DQ_Meth_max[[#This Row],[ID_DataQualities]],table_DataQualities[],9,FALSE)</f>
        <v>4822.8</v>
      </c>
    </row>
    <row r="1298" spans="1:13" x14ac:dyDescent="0.45">
      <c r="A1298" s="10">
        <v>346</v>
      </c>
      <c r="B1298" s="10">
        <v>459</v>
      </c>
      <c r="C12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8" s="10"/>
      <c r="E1298" s="10"/>
      <c r="F1298" s="12">
        <f ca="1">(RANDBETWEEN(0,50)/100)*(dict_DQ_Meth_max[[#This Row],[Vergleich_ub]]-dict_DQ_Meth_max[[#This Row],[Vergleich_lb]])+dict_DQ_Meth_max[[#This Row],[Vergleich_lb]]</f>
        <v>145.29219000000001</v>
      </c>
      <c r="G1298" s="12">
        <f ca="1">(RANDBETWEEN(50,100)/100)*(dict_DQ_Meth_max[[#This Row],[Vergleich_ub]]-dict_DQ_Meth_max[[#This Row],[Vergleich_lb]])+dict_DQ_Meth_max[[#This Row],[Vergleich_lb]]</f>
        <v>3520.8132899999996</v>
      </c>
      <c r="H1298" s="11" t="str">
        <f ca="1">VLOOKUP(VLOOKUP(dict_DQ_Meth_max[[#This Row],[ID_DataQualities]],table_DataQualities[],3),table_Units[],2)</f>
        <v>Hz</v>
      </c>
      <c r="I1298" s="10"/>
      <c r="J1298" s="10"/>
      <c r="K1298" s="10"/>
      <c r="L1298" s="10">
        <f ca="1">VLOOKUP(dict_DQ_Meth_max[[#This Row],[ID_DataQualities]],table_DataQualities[],8,FALSE)</f>
        <v>0.627</v>
      </c>
      <c r="M1298" s="10">
        <f ca="1">VLOOKUP(dict_DQ_Meth_max[[#This Row],[ID_DataQualities]],table_DataQualities[],9,FALSE)</f>
        <v>4822.8</v>
      </c>
    </row>
    <row r="1299" spans="1:13" x14ac:dyDescent="0.45">
      <c r="A1299" s="10">
        <v>347</v>
      </c>
      <c r="B1299" s="10">
        <v>363</v>
      </c>
      <c r="C12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299" s="10"/>
      <c r="E1299" s="10"/>
      <c r="F1299" s="12">
        <f ca="1">(RANDBETWEEN(0,50)/100)*(dict_DQ_Meth_max[[#This Row],[Vergleich_ub]]-dict_DQ_Meth_max[[#This Row],[Vergleich_lb]])+dict_DQ_Meth_max[[#This Row],[Vergleich_lb]]</f>
        <v>1.6360000000000001</v>
      </c>
      <c r="G1299" s="12">
        <f ca="1">(RANDBETWEEN(50,100)/100)*(dict_DQ_Meth_max[[#This Row],[Vergleich_ub]]-dict_DQ_Meth_max[[#This Row],[Vergleich_lb]])+dict_DQ_Meth_max[[#This Row],[Vergleich_lb]]</f>
        <v>4.125</v>
      </c>
      <c r="H1299" s="11" t="str">
        <f ca="1">VLOOKUP(VLOOKUP(dict_DQ_Meth_max[[#This Row],[ID_DataQualities]],table_DataQualities[],3),table_Units[],2)</f>
        <v>+/- mm/s</v>
      </c>
      <c r="I1299" s="10"/>
      <c r="J1299" s="10"/>
      <c r="K1299" s="10"/>
      <c r="L1299" s="10">
        <f ca="1">VLOOKUP(dict_DQ_Meth_max[[#This Row],[ID_DataQualities]],table_DataQualities[],8,FALSE)</f>
        <v>0.85</v>
      </c>
      <c r="M1299" s="10">
        <f ca="1">VLOOKUP(dict_DQ_Meth_max[[#This Row],[ID_DataQualities]],table_DataQualities[],9,FALSE)</f>
        <v>7.4</v>
      </c>
    </row>
    <row r="1300" spans="1:13" x14ac:dyDescent="0.45">
      <c r="A1300" s="10">
        <v>347</v>
      </c>
      <c r="B1300" s="10">
        <v>459</v>
      </c>
      <c r="C13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0" s="10"/>
      <c r="E1300" s="10"/>
      <c r="F1300" s="12">
        <f ca="1">(RANDBETWEEN(0,50)/100)*(dict_DQ_Meth_max[[#This Row],[Vergleich_ub]]-dict_DQ_Meth_max[[#This Row],[Vergleich_lb]])+dict_DQ_Meth_max[[#This Row],[Vergleich_lb]]</f>
        <v>3.1425000000000001</v>
      </c>
      <c r="G1300" s="12">
        <f ca="1">(RANDBETWEEN(50,100)/100)*(dict_DQ_Meth_max[[#This Row],[Vergleich_ub]]-dict_DQ_Meth_max[[#This Row],[Vergleich_lb]])+dict_DQ_Meth_max[[#This Row],[Vergleich_lb]]</f>
        <v>6.8760000000000003</v>
      </c>
      <c r="H1300" s="11" t="str">
        <f ca="1">VLOOKUP(VLOOKUP(dict_DQ_Meth_max[[#This Row],[ID_DataQualities]],table_DataQualities[],3),table_Units[],2)</f>
        <v>+/- mm/s</v>
      </c>
      <c r="I1300" s="10"/>
      <c r="J1300" s="10"/>
      <c r="K1300" s="10"/>
      <c r="L1300" s="10">
        <f ca="1">VLOOKUP(dict_DQ_Meth_max[[#This Row],[ID_DataQualities]],table_DataQualities[],8,FALSE)</f>
        <v>0.85</v>
      </c>
      <c r="M1300" s="10">
        <f ca="1">VLOOKUP(dict_DQ_Meth_max[[#This Row],[ID_DataQualities]],table_DataQualities[],9,FALSE)</f>
        <v>7.4</v>
      </c>
    </row>
    <row r="1301" spans="1:13" x14ac:dyDescent="0.45">
      <c r="A1301" s="10">
        <v>347</v>
      </c>
      <c r="B1301" s="10">
        <v>214</v>
      </c>
      <c r="C13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1" s="10"/>
      <c r="E1301" s="10"/>
      <c r="F1301" s="12">
        <f ca="1">(RANDBETWEEN(0,50)/100)*(dict_DQ_Meth_max[[#This Row],[Vergleich_ub]]-dict_DQ_Meth_max[[#This Row],[Vergleich_lb]])+dict_DQ_Meth_max[[#This Row],[Vergleich_lb]]</f>
        <v>2.4220000000000002</v>
      </c>
      <c r="G1301" s="12">
        <f ca="1">(RANDBETWEEN(50,100)/100)*(dict_DQ_Meth_max[[#This Row],[Vergleich_ub]]-dict_DQ_Meth_max[[#This Row],[Vergleich_lb]])+dict_DQ_Meth_max[[#This Row],[Vergleich_lb]]</f>
        <v>5.173</v>
      </c>
      <c r="H1301" s="11" t="str">
        <f ca="1">VLOOKUP(VLOOKUP(dict_DQ_Meth_max[[#This Row],[ID_DataQualities]],table_DataQualities[],3),table_Units[],2)</f>
        <v>+/- mm/s</v>
      </c>
      <c r="I1301" s="10"/>
      <c r="J1301" s="10"/>
      <c r="K1301" s="10"/>
      <c r="L1301" s="10">
        <f ca="1">VLOOKUP(dict_DQ_Meth_max[[#This Row],[ID_DataQualities]],table_DataQualities[],8,FALSE)</f>
        <v>0.85</v>
      </c>
      <c r="M1301" s="10">
        <f ca="1">VLOOKUP(dict_DQ_Meth_max[[#This Row],[ID_DataQualities]],table_DataQualities[],9,FALSE)</f>
        <v>7.4</v>
      </c>
    </row>
    <row r="1302" spans="1:13" x14ac:dyDescent="0.45">
      <c r="A1302" s="10">
        <v>348</v>
      </c>
      <c r="B1302" s="10">
        <v>222</v>
      </c>
      <c r="C13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2" s="10"/>
      <c r="E1302" s="10"/>
      <c r="F1302" s="12">
        <f ca="1">(RANDBETWEEN(0,50)/100)*(dict_DQ_Meth_max[[#This Row],[Vergleich_ub]]-dict_DQ_Meth_max[[#This Row],[Vergleich_lb]])+dict_DQ_Meth_max[[#This Row],[Vergleich_lb]]</f>
        <v>55.605440000000002</v>
      </c>
      <c r="G1302" s="12">
        <f ca="1">(RANDBETWEEN(50,100)/100)*(dict_DQ_Meth_max[[#This Row],[Vergleich_ub]]-dict_DQ_Meth_max[[#This Row],[Vergleich_lb]])+dict_DQ_Meth_max[[#This Row],[Vergleich_lb]]</f>
        <v>727.71933000000013</v>
      </c>
      <c r="H1302" s="11" t="str">
        <f ca="1">VLOOKUP(VLOOKUP(dict_DQ_Meth_max[[#This Row],[ID_DataQualities]],table_DataQualities[],3),table_Units[],2)</f>
        <v>Hz</v>
      </c>
      <c r="I1302" s="10"/>
      <c r="J1302" s="10"/>
      <c r="K1302" s="10"/>
      <c r="L1302" s="10">
        <f ca="1">VLOOKUP(dict_DQ_Meth_max[[#This Row],[ID_DataQualities]],table_DataQualities[],8,FALSE)</f>
        <v>0.73899999999999999</v>
      </c>
      <c r="M1302" s="10">
        <f ca="1">VLOOKUP(dict_DQ_Meth_max[[#This Row],[ID_DataQualities]],table_DataQualities[],9,FALSE)</f>
        <v>1372.4</v>
      </c>
    </row>
    <row r="1303" spans="1:13" x14ac:dyDescent="0.45">
      <c r="A1303" s="10">
        <v>348</v>
      </c>
      <c r="B1303" s="10">
        <v>514</v>
      </c>
      <c r="C13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3" s="10"/>
      <c r="E1303" s="10"/>
      <c r="F1303" s="12">
        <f ca="1">(RANDBETWEEN(0,50)/100)*(dict_DQ_Meth_max[[#This Row],[Vergleich_ub]]-dict_DQ_Meth_max[[#This Row],[Vergleich_lb]])+dict_DQ_Meth_max[[#This Row],[Vergleich_lb]]</f>
        <v>631.70306000000005</v>
      </c>
      <c r="G1303" s="12">
        <f ca="1">(RANDBETWEEN(50,100)/100)*(dict_DQ_Meth_max[[#This Row],[Vergleich_ub]]-dict_DQ_Meth_max[[#This Row],[Vergleich_lb]])+dict_DQ_Meth_max[[#This Row],[Vergleich_lb]]</f>
        <v>1166.65085</v>
      </c>
      <c r="H1303" s="11" t="str">
        <f ca="1">VLOOKUP(VLOOKUP(dict_DQ_Meth_max[[#This Row],[ID_DataQualities]],table_DataQualities[],3),table_Units[],2)</f>
        <v>Hz</v>
      </c>
      <c r="I1303" s="10"/>
      <c r="J1303" s="10"/>
      <c r="K1303" s="10"/>
      <c r="L1303" s="10">
        <f ca="1">VLOOKUP(dict_DQ_Meth_max[[#This Row],[ID_DataQualities]],table_DataQualities[],8,FALSE)</f>
        <v>0.73899999999999999</v>
      </c>
      <c r="M1303" s="10">
        <f ca="1">VLOOKUP(dict_DQ_Meth_max[[#This Row],[ID_DataQualities]],table_DataQualities[],9,FALSE)</f>
        <v>1372.4</v>
      </c>
    </row>
    <row r="1304" spans="1:13" x14ac:dyDescent="0.45">
      <c r="A1304" s="10">
        <v>348</v>
      </c>
      <c r="B1304" s="10">
        <v>518</v>
      </c>
      <c r="C13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4" s="10"/>
      <c r="E1304" s="10"/>
      <c r="F1304" s="12">
        <f ca="1">(RANDBETWEEN(0,50)/100)*(dict_DQ_Meth_max[[#This Row],[Vergleich_ub]]-dict_DQ_Meth_max[[#This Row],[Vergleich_lb]])+dict_DQ_Meth_max[[#This Row],[Vergleich_lb]]</f>
        <v>206.48815000000002</v>
      </c>
      <c r="G1304" s="12">
        <f ca="1">(RANDBETWEEN(50,100)/100)*(dict_DQ_Meth_max[[#This Row],[Vergleich_ub]]-dict_DQ_Meth_max[[#This Row],[Vergleich_lb]])+dict_DQ_Meth_max[[#This Row],[Vergleich_lb]]</f>
        <v>1331.25017</v>
      </c>
      <c r="H1304" s="11" t="str">
        <f ca="1">VLOOKUP(VLOOKUP(dict_DQ_Meth_max[[#This Row],[ID_DataQualities]],table_DataQualities[],3),table_Units[],2)</f>
        <v>Hz</v>
      </c>
      <c r="I1304" s="10"/>
      <c r="J1304" s="10"/>
      <c r="K1304" s="10"/>
      <c r="L1304" s="10">
        <f ca="1">VLOOKUP(dict_DQ_Meth_max[[#This Row],[ID_DataQualities]],table_DataQualities[],8,FALSE)</f>
        <v>0.73899999999999999</v>
      </c>
      <c r="M1304" s="10">
        <f ca="1">VLOOKUP(dict_DQ_Meth_max[[#This Row],[ID_DataQualities]],table_DataQualities[],9,FALSE)</f>
        <v>1372.4</v>
      </c>
    </row>
    <row r="1305" spans="1:13" x14ac:dyDescent="0.45">
      <c r="A1305" s="10">
        <v>348</v>
      </c>
      <c r="B1305" s="10">
        <v>534</v>
      </c>
      <c r="C13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5" s="10"/>
      <c r="E1305" s="10"/>
      <c r="F1305" s="12">
        <f ca="1">(RANDBETWEEN(0,50)/100)*(dict_DQ_Meth_max[[#This Row],[Vergleich_ub]]-dict_DQ_Meth_max[[#This Row],[Vergleich_lb]])+dict_DQ_Meth_max[[#This Row],[Vergleich_lb]]</f>
        <v>110.47188000000001</v>
      </c>
      <c r="G1305" s="12">
        <f ca="1">(RANDBETWEEN(50,100)/100)*(dict_DQ_Meth_max[[#This Row],[Vergleich_ub]]-dict_DQ_Meth_max[[#This Row],[Vergleich_lb]])+dict_DQ_Meth_max[[#This Row],[Vergleich_lb]]</f>
        <v>1235.2339000000002</v>
      </c>
      <c r="H1305" s="11" t="str">
        <f ca="1">VLOOKUP(VLOOKUP(dict_DQ_Meth_max[[#This Row],[ID_DataQualities]],table_DataQualities[],3),table_Units[],2)</f>
        <v>Hz</v>
      </c>
      <c r="I1305" s="10"/>
      <c r="J1305" s="10"/>
      <c r="K1305" s="10"/>
      <c r="L1305" s="10">
        <f ca="1">VLOOKUP(dict_DQ_Meth_max[[#This Row],[ID_DataQualities]],table_DataQualities[],8,FALSE)</f>
        <v>0.73899999999999999</v>
      </c>
      <c r="M1305" s="10">
        <f ca="1">VLOOKUP(dict_DQ_Meth_max[[#This Row],[ID_DataQualities]],table_DataQualities[],9,FALSE)</f>
        <v>1372.4</v>
      </c>
    </row>
    <row r="1306" spans="1:13" x14ac:dyDescent="0.45">
      <c r="A1306" s="10">
        <v>348</v>
      </c>
      <c r="B1306" s="10">
        <v>457</v>
      </c>
      <c r="C13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6" s="10"/>
      <c r="E1306" s="10"/>
      <c r="F1306" s="12">
        <f ca="1">(RANDBETWEEN(0,50)/100)*(dict_DQ_Meth_max[[#This Row],[Vergleich_ub]]-dict_DQ_Meth_max[[#This Row],[Vergleich_lb]])+dict_DQ_Meth_max[[#This Row],[Vergleich_lb]]</f>
        <v>384.80408000000006</v>
      </c>
      <c r="G1306" s="12">
        <f ca="1">(RANDBETWEEN(50,100)/100)*(dict_DQ_Meth_max[[#This Row],[Vergleich_ub]]-dict_DQ_Meth_max[[#This Row],[Vergleich_lb]])+dict_DQ_Meth_max[[#This Row],[Vergleich_lb]]</f>
        <v>1125.5010199999999</v>
      </c>
      <c r="H1306" s="11" t="str">
        <f ca="1">VLOOKUP(VLOOKUP(dict_DQ_Meth_max[[#This Row],[ID_DataQualities]],table_DataQualities[],3),table_Units[],2)</f>
        <v>Hz</v>
      </c>
      <c r="I1306" s="10"/>
      <c r="J1306" s="10"/>
      <c r="K1306" s="10"/>
      <c r="L1306" s="10">
        <f ca="1">VLOOKUP(dict_DQ_Meth_max[[#This Row],[ID_DataQualities]],table_DataQualities[],8,FALSE)</f>
        <v>0.73899999999999999</v>
      </c>
      <c r="M1306" s="10">
        <f ca="1">VLOOKUP(dict_DQ_Meth_max[[#This Row],[ID_DataQualities]],table_DataQualities[],9,FALSE)</f>
        <v>1372.4</v>
      </c>
    </row>
    <row r="1307" spans="1:13" x14ac:dyDescent="0.45">
      <c r="A1307" s="10">
        <v>349</v>
      </c>
      <c r="B1307" s="10">
        <v>518</v>
      </c>
      <c r="C13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7" s="10"/>
      <c r="E1307" s="10"/>
      <c r="F1307" s="12">
        <f ca="1">(RANDBETWEEN(0,50)/100)*(dict_DQ_Meth_max[[#This Row],[Vergleich_ub]]-dict_DQ_Meth_max[[#This Row],[Vergleich_lb]])+dict_DQ_Meth_max[[#This Row],[Vergleich_lb]]</f>
        <v>0.10588000000000002</v>
      </c>
      <c r="G1307" s="12">
        <f ca="1">(RANDBETWEEN(50,100)/100)*(dict_DQ_Meth_max[[#This Row],[Vergleich_ub]]-dict_DQ_Meth_max[[#This Row],[Vergleich_lb]])+dict_DQ_Meth_max[[#This Row],[Vergleich_lb]]</f>
        <v>0.44638</v>
      </c>
      <c r="H1307" s="11" t="str">
        <f ca="1">VLOOKUP(VLOOKUP(dict_DQ_Meth_max[[#This Row],[ID_DataQualities]],table_DataQualities[],3),table_Units[],2)</f>
        <v>+/- cm³/s</v>
      </c>
      <c r="I1307" s="10"/>
      <c r="J1307" s="10"/>
      <c r="K1307" s="10"/>
      <c r="L1307" s="10">
        <f ca="1">VLOOKUP(dict_DQ_Meth_max[[#This Row],[ID_DataQualities]],table_DataQualities[],8,FALSE)</f>
        <v>6.0000000000000001E-3</v>
      </c>
      <c r="M1307" s="10">
        <f ca="1">VLOOKUP(dict_DQ_Meth_max[[#This Row],[ID_DataQualities]],table_DataQualities[],9,FALSE)</f>
        <v>0.46</v>
      </c>
    </row>
    <row r="1308" spans="1:13" x14ac:dyDescent="0.45">
      <c r="A1308" s="10">
        <v>349</v>
      </c>
      <c r="B1308" s="10">
        <v>534</v>
      </c>
      <c r="C13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8" s="10"/>
      <c r="E1308" s="10"/>
      <c r="F1308" s="12">
        <f ca="1">(RANDBETWEEN(0,50)/100)*(dict_DQ_Meth_max[[#This Row],[Vergleich_ub]]-dict_DQ_Meth_max[[#This Row],[Vergleich_lb]])+dict_DQ_Meth_max[[#This Row],[Vergleich_lb]]</f>
        <v>0.13312000000000002</v>
      </c>
      <c r="G1308" s="12">
        <f ca="1">(RANDBETWEEN(50,100)/100)*(dict_DQ_Meth_max[[#This Row],[Vergleich_ub]]-dict_DQ_Meth_max[[#This Row],[Vergleich_lb]])+dict_DQ_Meth_max[[#This Row],[Vergleich_lb]]</f>
        <v>0.42822000000000005</v>
      </c>
      <c r="H1308" s="11" t="str">
        <f ca="1">VLOOKUP(VLOOKUP(dict_DQ_Meth_max[[#This Row],[ID_DataQualities]],table_DataQualities[],3),table_Units[],2)</f>
        <v>+/- cm³/s</v>
      </c>
      <c r="I1308" s="10"/>
      <c r="J1308" s="10"/>
      <c r="K1308" s="10"/>
      <c r="L1308" s="10">
        <f ca="1">VLOOKUP(dict_DQ_Meth_max[[#This Row],[ID_DataQualities]],table_DataQualities[],8,FALSE)</f>
        <v>6.0000000000000001E-3</v>
      </c>
      <c r="M1308" s="10">
        <f ca="1">VLOOKUP(dict_DQ_Meth_max[[#This Row],[ID_DataQualities]],table_DataQualities[],9,FALSE)</f>
        <v>0.46</v>
      </c>
    </row>
    <row r="1309" spans="1:13" x14ac:dyDescent="0.45">
      <c r="A1309" s="10">
        <v>349</v>
      </c>
      <c r="B1309" s="10">
        <v>457</v>
      </c>
      <c r="C13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09" s="10"/>
      <c r="E1309" s="10"/>
      <c r="F1309" s="12">
        <f ca="1">(RANDBETWEEN(0,50)/100)*(dict_DQ_Meth_max[[#This Row],[Vergleich_ub]]-dict_DQ_Meth_max[[#This Row],[Vergleich_lb]])+dict_DQ_Meth_max[[#This Row],[Vergleich_lb]]</f>
        <v>0.21030000000000001</v>
      </c>
      <c r="G1309" s="12">
        <f ca="1">(RANDBETWEEN(50,100)/100)*(dict_DQ_Meth_max[[#This Row],[Vergleich_ub]]-dict_DQ_Meth_max[[#This Row],[Vergleich_lb]])+dict_DQ_Meth_max[[#This Row],[Vergleich_lb]]</f>
        <v>0.35558000000000001</v>
      </c>
      <c r="H1309" s="11" t="str">
        <f ca="1">VLOOKUP(VLOOKUP(dict_DQ_Meth_max[[#This Row],[ID_DataQualities]],table_DataQualities[],3),table_Units[],2)</f>
        <v>+/- cm³/s</v>
      </c>
      <c r="I1309" s="10"/>
      <c r="J1309" s="10"/>
      <c r="K1309" s="10"/>
      <c r="L1309" s="10">
        <f ca="1">VLOOKUP(dict_DQ_Meth_max[[#This Row],[ID_DataQualities]],table_DataQualities[],8,FALSE)</f>
        <v>6.0000000000000001E-3</v>
      </c>
      <c r="M1309" s="10">
        <f ca="1">VLOOKUP(dict_DQ_Meth_max[[#This Row],[ID_DataQualities]],table_DataQualities[],9,FALSE)</f>
        <v>0.46</v>
      </c>
    </row>
    <row r="1310" spans="1:13" x14ac:dyDescent="0.45">
      <c r="A1310" s="10">
        <v>349</v>
      </c>
      <c r="B1310" s="10">
        <v>222</v>
      </c>
      <c r="C13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0" s="10"/>
      <c r="E1310" s="10"/>
      <c r="F1310" s="12">
        <f ca="1">(RANDBETWEEN(0,50)/100)*(dict_DQ_Meth_max[[#This Row],[Vergleich_ub]]-dict_DQ_Meth_max[[#This Row],[Vergleich_lb]])+dict_DQ_Meth_max[[#This Row],[Vergleich_lb]]</f>
        <v>6.5020000000000008E-2</v>
      </c>
      <c r="G1310" s="12">
        <f ca="1">(RANDBETWEEN(50,100)/100)*(dict_DQ_Meth_max[[#This Row],[Vergleich_ub]]-dict_DQ_Meth_max[[#This Row],[Vergleich_lb]])+dict_DQ_Meth_max[[#This Row],[Vergleich_lb]]</f>
        <v>0.43730000000000002</v>
      </c>
      <c r="H1310" s="11" t="str">
        <f ca="1">VLOOKUP(VLOOKUP(dict_DQ_Meth_max[[#This Row],[ID_DataQualities]],table_DataQualities[],3),table_Units[],2)</f>
        <v>+/- cm³/s</v>
      </c>
      <c r="I1310" s="10"/>
      <c r="J1310" s="10"/>
      <c r="K1310" s="10"/>
      <c r="L1310" s="10">
        <f ca="1">VLOOKUP(dict_DQ_Meth_max[[#This Row],[ID_DataQualities]],table_DataQualities[],8,FALSE)</f>
        <v>6.0000000000000001E-3</v>
      </c>
      <c r="M1310" s="10">
        <f ca="1">VLOOKUP(dict_DQ_Meth_max[[#This Row],[ID_DataQualities]],table_DataQualities[],9,FALSE)</f>
        <v>0.46</v>
      </c>
    </row>
    <row r="1311" spans="1:13" x14ac:dyDescent="0.45">
      <c r="A1311" s="10">
        <v>349</v>
      </c>
      <c r="B1311" s="10">
        <v>514</v>
      </c>
      <c r="C13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1" s="10"/>
      <c r="E1311" s="10"/>
      <c r="F1311" s="12">
        <f ca="1">(RANDBETWEEN(0,50)/100)*(dict_DQ_Meth_max[[#This Row],[Vergleich_ub]]-dict_DQ_Meth_max[[#This Row],[Vergleich_lb]])+dict_DQ_Meth_max[[#This Row],[Vergleich_lb]]</f>
        <v>6.9560000000000011E-2</v>
      </c>
      <c r="G1311" s="12">
        <f ca="1">(RANDBETWEEN(50,100)/100)*(dict_DQ_Meth_max[[#This Row],[Vergleich_ub]]-dict_DQ_Meth_max[[#This Row],[Vergleich_lb]])+dict_DQ_Meth_max[[#This Row],[Vergleich_lb]]</f>
        <v>0.34195999999999999</v>
      </c>
      <c r="H1311" s="11" t="str">
        <f ca="1">VLOOKUP(VLOOKUP(dict_DQ_Meth_max[[#This Row],[ID_DataQualities]],table_DataQualities[],3),table_Units[],2)</f>
        <v>+/- cm³/s</v>
      </c>
      <c r="I1311" s="10"/>
      <c r="J1311" s="10"/>
      <c r="K1311" s="10"/>
      <c r="L1311" s="10">
        <f ca="1">VLOOKUP(dict_DQ_Meth_max[[#This Row],[ID_DataQualities]],table_DataQualities[],8,FALSE)</f>
        <v>6.0000000000000001E-3</v>
      </c>
      <c r="M1311" s="10">
        <f ca="1">VLOOKUP(dict_DQ_Meth_max[[#This Row],[ID_DataQualities]],table_DataQualities[],9,FALSE)</f>
        <v>0.46</v>
      </c>
    </row>
    <row r="1312" spans="1:13" x14ac:dyDescent="0.45">
      <c r="A1312" s="10">
        <v>350</v>
      </c>
      <c r="B1312" s="10">
        <v>300</v>
      </c>
      <c r="C13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2" s="10"/>
      <c r="E1312" s="10"/>
      <c r="F1312" s="12">
        <f ca="1">(RANDBETWEEN(0,50)/100)*(dict_DQ_Meth_max[[#This Row],[Vergleich_ub]]-dict_DQ_Meth_max[[#This Row],[Vergleich_lb]])+dict_DQ_Meth_max[[#This Row],[Vergleich_lb]]</f>
        <v>115.41204</v>
      </c>
      <c r="G1312" s="12">
        <f ca="1">(RANDBETWEEN(50,100)/100)*(dict_DQ_Meth_max[[#This Row],[Vergleich_ub]]-dict_DQ_Meth_max[[#This Row],[Vergleich_lb]])+dict_DQ_Meth_max[[#This Row],[Vergleich_lb]]</f>
        <v>3594.0399199999997</v>
      </c>
      <c r="H1312" s="11" t="str">
        <f ca="1">VLOOKUP(VLOOKUP(dict_DQ_Meth_max[[#This Row],[ID_DataQualities]],table_DataQualities[],3),table_Units[],2)</f>
        <v>Hz</v>
      </c>
      <c r="I1312" s="10"/>
      <c r="J1312" s="10"/>
      <c r="K1312" s="10"/>
      <c r="L1312" s="10">
        <f ca="1">VLOOKUP(dict_DQ_Meth_max[[#This Row],[ID_DataQualities]],table_DataQualities[],8,FALSE)</f>
        <v>0.73199999999999998</v>
      </c>
      <c r="M1312" s="10">
        <f ca="1">VLOOKUP(dict_DQ_Meth_max[[#This Row],[ID_DataQualities]],table_DataQualities[],9,FALSE)</f>
        <v>3823.4</v>
      </c>
    </row>
    <row r="1313" spans="1:13" x14ac:dyDescent="0.45">
      <c r="A1313" s="10">
        <v>350</v>
      </c>
      <c r="B1313" s="10">
        <v>34</v>
      </c>
      <c r="C13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3" s="10"/>
      <c r="E1313" s="10"/>
      <c r="F1313" s="12">
        <f ca="1">(RANDBETWEEN(0,50)/100)*(dict_DQ_Meth_max[[#This Row],[Vergleich_ub]]-dict_DQ_Meth_max[[#This Row],[Vergleich_lb]])+dict_DQ_Meth_max[[#This Row],[Vergleich_lb]]</f>
        <v>994.62567999999999</v>
      </c>
      <c r="G1313" s="12">
        <f ca="1">(RANDBETWEEN(50,100)/100)*(dict_DQ_Meth_max[[#This Row],[Vergleich_ub]]-dict_DQ_Meth_max[[#This Row],[Vergleich_lb]])+dict_DQ_Meth_max[[#This Row],[Vergleich_lb]]</f>
        <v>3555.8132400000004</v>
      </c>
      <c r="H1313" s="11" t="str">
        <f ca="1">VLOOKUP(VLOOKUP(dict_DQ_Meth_max[[#This Row],[ID_DataQualities]],table_DataQualities[],3),table_Units[],2)</f>
        <v>Hz</v>
      </c>
      <c r="I1313" s="10"/>
      <c r="J1313" s="10"/>
      <c r="K1313" s="10"/>
      <c r="L1313" s="10">
        <f ca="1">VLOOKUP(dict_DQ_Meth_max[[#This Row],[ID_DataQualities]],table_DataQualities[],8,FALSE)</f>
        <v>0.73199999999999998</v>
      </c>
      <c r="M1313" s="10">
        <f ca="1">VLOOKUP(dict_DQ_Meth_max[[#This Row],[ID_DataQualities]],table_DataQualities[],9,FALSE)</f>
        <v>3823.4</v>
      </c>
    </row>
    <row r="1314" spans="1:13" x14ac:dyDescent="0.45">
      <c r="A1314" s="10">
        <v>350</v>
      </c>
      <c r="B1314" s="10">
        <v>172</v>
      </c>
      <c r="C13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4" s="10"/>
      <c r="E1314" s="10"/>
      <c r="F1314" s="12">
        <f ca="1">(RANDBETWEEN(0,50)/100)*(dict_DQ_Meth_max[[#This Row],[Vergleich_ub]]-dict_DQ_Meth_max[[#This Row],[Vergleich_lb]])+dict_DQ_Meth_max[[#This Row],[Vergleich_lb]]</f>
        <v>1759.1592800000001</v>
      </c>
      <c r="G1314" s="12">
        <f ca="1">(RANDBETWEEN(50,100)/100)*(dict_DQ_Meth_max[[#This Row],[Vergleich_ub]]-dict_DQ_Meth_max[[#This Row],[Vergleich_lb]])+dict_DQ_Meth_max[[#This Row],[Vergleich_lb]]</f>
        <v>3746.9466400000001</v>
      </c>
      <c r="H1314" s="11" t="str">
        <f ca="1">VLOOKUP(VLOOKUP(dict_DQ_Meth_max[[#This Row],[ID_DataQualities]],table_DataQualities[],3),table_Units[],2)</f>
        <v>Hz</v>
      </c>
      <c r="I1314" s="10"/>
      <c r="J1314" s="10"/>
      <c r="K1314" s="10"/>
      <c r="L1314" s="10">
        <f ca="1">VLOOKUP(dict_DQ_Meth_max[[#This Row],[ID_DataQualities]],table_DataQualities[],8,FALSE)</f>
        <v>0.73199999999999998</v>
      </c>
      <c r="M1314" s="10">
        <f ca="1">VLOOKUP(dict_DQ_Meth_max[[#This Row],[ID_DataQualities]],table_DataQualities[],9,FALSE)</f>
        <v>3823.4</v>
      </c>
    </row>
    <row r="1315" spans="1:13" x14ac:dyDescent="0.45">
      <c r="A1315" s="10">
        <v>350</v>
      </c>
      <c r="B1315" s="10">
        <v>477</v>
      </c>
      <c r="C13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5" s="10"/>
      <c r="E1315" s="10"/>
      <c r="F1315" s="12">
        <f ca="1">(RANDBETWEEN(0,50)/100)*(dict_DQ_Meth_max[[#This Row],[Vergleich_ub]]-dict_DQ_Meth_max[[#This Row],[Vergleich_lb]])+dict_DQ_Meth_max[[#This Row],[Vergleich_lb]]</f>
        <v>1338.6658</v>
      </c>
      <c r="G1315" s="12">
        <f ca="1">(RANDBETWEEN(50,100)/100)*(dict_DQ_Meth_max[[#This Row],[Vergleich_ub]]-dict_DQ_Meth_max[[#This Row],[Vergleich_lb]])+dict_DQ_Meth_max[[#This Row],[Vergleich_lb]]</f>
        <v>3058.8664000000003</v>
      </c>
      <c r="H1315" s="11" t="str">
        <f ca="1">VLOOKUP(VLOOKUP(dict_DQ_Meth_max[[#This Row],[ID_DataQualities]],table_DataQualities[],3),table_Units[],2)</f>
        <v>Hz</v>
      </c>
      <c r="I1315" s="10"/>
      <c r="J1315" s="10"/>
      <c r="K1315" s="10"/>
      <c r="L1315" s="10">
        <f ca="1">VLOOKUP(dict_DQ_Meth_max[[#This Row],[ID_DataQualities]],table_DataQualities[],8,FALSE)</f>
        <v>0.73199999999999998</v>
      </c>
      <c r="M1315" s="10">
        <f ca="1">VLOOKUP(dict_DQ_Meth_max[[#This Row],[ID_DataQualities]],table_DataQualities[],9,FALSE)</f>
        <v>3823.4</v>
      </c>
    </row>
    <row r="1316" spans="1:13" x14ac:dyDescent="0.45">
      <c r="A1316" s="10">
        <v>351</v>
      </c>
      <c r="B1316" s="10">
        <v>477</v>
      </c>
      <c r="C13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6" s="10"/>
      <c r="E1316" s="10"/>
      <c r="F1316" s="12">
        <f ca="1">(RANDBETWEEN(0,50)/100)*(dict_DQ_Meth_max[[#This Row],[Vergleich_ub]]-dict_DQ_Meth_max[[#This Row],[Vergleich_lb]])+dict_DQ_Meth_max[[#This Row],[Vergleich_lb]]</f>
        <v>2.4532499999999997</v>
      </c>
      <c r="G1316" s="12">
        <f ca="1">(RANDBETWEEN(50,100)/100)*(dict_DQ_Meth_max[[#This Row],[Vergleich_ub]]-dict_DQ_Meth_max[[#This Row],[Vergleich_lb]])+dict_DQ_Meth_max[[#This Row],[Vergleich_lb]]</f>
        <v>7.9014899999999999</v>
      </c>
      <c r="H1316" s="11" t="str">
        <f ca="1">VLOOKUP(VLOOKUP(dict_DQ_Meth_max[[#This Row],[ID_DataQualities]],table_DataQualities[],3),table_Units[],2)</f>
        <v>+/- W</v>
      </c>
      <c r="I1316" s="10"/>
      <c r="J1316" s="10"/>
      <c r="K1316" s="10"/>
      <c r="L1316" s="10">
        <f ca="1">VLOOKUP(dict_DQ_Meth_max[[#This Row],[ID_DataQualities]],table_DataQualities[],8,FALSE)</f>
        <v>2.1000000000000001E-2</v>
      </c>
      <c r="M1316" s="10">
        <f ca="1">VLOOKUP(dict_DQ_Meth_max[[#This Row],[ID_DataQualities]],table_DataQualities[],9,FALSE)</f>
        <v>9.75</v>
      </c>
    </row>
    <row r="1317" spans="1:13" x14ac:dyDescent="0.45">
      <c r="A1317" s="10">
        <v>351</v>
      </c>
      <c r="B1317" s="10">
        <v>300</v>
      </c>
      <c r="C13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7" s="10"/>
      <c r="E1317" s="10"/>
      <c r="F1317" s="12">
        <f ca="1">(RANDBETWEEN(0,50)/100)*(dict_DQ_Meth_max[[#This Row],[Vergleich_ub]]-dict_DQ_Meth_max[[#This Row],[Vergleich_lb]])+dict_DQ_Meth_max[[#This Row],[Vergleich_lb]]</f>
        <v>1.0911899999999999</v>
      </c>
      <c r="G1317" s="12">
        <f ca="1">(RANDBETWEEN(50,100)/100)*(dict_DQ_Meth_max[[#This Row],[Vergleich_ub]]-dict_DQ_Meth_max[[#This Row],[Vergleich_lb]])+dict_DQ_Meth_max[[#This Row],[Vergleich_lb]]</f>
        <v>7.3177499999999993</v>
      </c>
      <c r="H1317" s="11" t="str">
        <f ca="1">VLOOKUP(VLOOKUP(dict_DQ_Meth_max[[#This Row],[ID_DataQualities]],table_DataQualities[],3),table_Units[],2)</f>
        <v>+/- W</v>
      </c>
      <c r="I1317" s="10"/>
      <c r="J1317" s="10"/>
      <c r="K1317" s="10"/>
      <c r="L1317" s="10">
        <f ca="1">VLOOKUP(dict_DQ_Meth_max[[#This Row],[ID_DataQualities]],table_DataQualities[],8,FALSE)</f>
        <v>2.1000000000000001E-2</v>
      </c>
      <c r="M1317" s="10">
        <f ca="1">VLOOKUP(dict_DQ_Meth_max[[#This Row],[ID_DataQualities]],table_DataQualities[],9,FALSE)</f>
        <v>9.75</v>
      </c>
    </row>
    <row r="1318" spans="1:13" x14ac:dyDescent="0.45">
      <c r="A1318" s="10">
        <v>351</v>
      </c>
      <c r="B1318" s="10">
        <v>34</v>
      </c>
      <c r="C13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8" s="10"/>
      <c r="E1318" s="10"/>
      <c r="F1318" s="12">
        <f ca="1">(RANDBETWEEN(0,50)/100)*(dict_DQ_Meth_max[[#This Row],[Vergleich_ub]]-dict_DQ_Meth_max[[#This Row],[Vergleich_lb]])+dict_DQ_Meth_max[[#This Row],[Vergleich_lb]]</f>
        <v>2.8424099999999997</v>
      </c>
      <c r="G1318" s="12">
        <f ca="1">(RANDBETWEEN(50,100)/100)*(dict_DQ_Meth_max[[#This Row],[Vergleich_ub]]-dict_DQ_Meth_max[[#This Row],[Vergleich_lb]])+dict_DQ_Meth_max[[#This Row],[Vergleich_lb]]</f>
        <v>7.9987799999999991</v>
      </c>
      <c r="H1318" s="11" t="str">
        <f ca="1">VLOOKUP(VLOOKUP(dict_DQ_Meth_max[[#This Row],[ID_DataQualities]],table_DataQualities[],3),table_Units[],2)</f>
        <v>+/- W</v>
      </c>
      <c r="I1318" s="10"/>
      <c r="J1318" s="10"/>
      <c r="K1318" s="10"/>
      <c r="L1318" s="10">
        <f ca="1">VLOOKUP(dict_DQ_Meth_max[[#This Row],[ID_DataQualities]],table_DataQualities[],8,FALSE)</f>
        <v>2.1000000000000001E-2</v>
      </c>
      <c r="M1318" s="10">
        <f ca="1">VLOOKUP(dict_DQ_Meth_max[[#This Row],[ID_DataQualities]],table_DataQualities[],9,FALSE)</f>
        <v>9.75</v>
      </c>
    </row>
    <row r="1319" spans="1:13" x14ac:dyDescent="0.45">
      <c r="A1319" s="10">
        <v>351</v>
      </c>
      <c r="B1319" s="10">
        <v>172</v>
      </c>
      <c r="C13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19" s="10"/>
      <c r="E1319" s="10"/>
      <c r="F1319" s="12">
        <f ca="1">(RANDBETWEEN(0,50)/100)*(dict_DQ_Meth_max[[#This Row],[Vergleich_ub]]-dict_DQ_Meth_max[[#This Row],[Vergleich_lb]])+dict_DQ_Meth_max[[#This Row],[Vergleich_lb]]</f>
        <v>2.1000000000000001E-2</v>
      </c>
      <c r="G1319" s="12">
        <f ca="1">(RANDBETWEEN(50,100)/100)*(dict_DQ_Meth_max[[#This Row],[Vergleich_ub]]-dict_DQ_Meth_max[[#This Row],[Vergleich_lb]])+dict_DQ_Meth_max[[#This Row],[Vergleich_lb]]</f>
        <v>9.5554199999999998</v>
      </c>
      <c r="H1319" s="11" t="str">
        <f ca="1">VLOOKUP(VLOOKUP(dict_DQ_Meth_max[[#This Row],[ID_DataQualities]],table_DataQualities[],3),table_Units[],2)</f>
        <v>+/- W</v>
      </c>
      <c r="I1319" s="10"/>
      <c r="J1319" s="10"/>
      <c r="K1319" s="10"/>
      <c r="L1319" s="10">
        <f ca="1">VLOOKUP(dict_DQ_Meth_max[[#This Row],[ID_DataQualities]],table_DataQualities[],8,FALSE)</f>
        <v>2.1000000000000001E-2</v>
      </c>
      <c r="M1319" s="10">
        <f ca="1">VLOOKUP(dict_DQ_Meth_max[[#This Row],[ID_DataQualities]],table_DataQualities[],9,FALSE)</f>
        <v>9.75</v>
      </c>
    </row>
    <row r="1320" spans="1:13" x14ac:dyDescent="0.45">
      <c r="A1320" s="10">
        <v>352</v>
      </c>
      <c r="B1320" s="10">
        <v>327</v>
      </c>
      <c r="C13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0" s="10"/>
      <c r="E1320" s="10"/>
      <c r="F1320" s="12">
        <f ca="1">(RANDBETWEEN(0,50)/100)*(dict_DQ_Meth_max[[#This Row],[Vergleich_ub]]-dict_DQ_Meth_max[[#This Row],[Vergleich_lb]])+dict_DQ_Meth_max[[#This Row],[Vergleich_lb]]</f>
        <v>331.02159999999998</v>
      </c>
      <c r="G1320" s="12">
        <f ca="1">(RANDBETWEEN(50,100)/100)*(dict_DQ_Meth_max[[#This Row],[Vergleich_ub]]-dict_DQ_Meth_max[[#This Row],[Vergleich_lb]])+dict_DQ_Meth_max[[#This Row],[Vergleich_lb]]</f>
        <v>943.13035999999988</v>
      </c>
      <c r="H1320" s="11" t="str">
        <f ca="1">VLOOKUP(VLOOKUP(dict_DQ_Meth_max[[#This Row],[ID_DataQualities]],table_DataQualities[],3),table_Units[],2)</f>
        <v>Hz</v>
      </c>
      <c r="I1320" s="10"/>
      <c r="J1320" s="10"/>
      <c r="K1320" s="10"/>
      <c r="L1320" s="10">
        <f ca="1">VLOOKUP(dict_DQ_Meth_max[[#This Row],[ID_DataQualities]],table_DataQualities[],8,FALSE)</f>
        <v>0.152</v>
      </c>
      <c r="M1320" s="10">
        <f ca="1">VLOOKUP(dict_DQ_Meth_max[[#This Row],[ID_DataQualities]],table_DataQualities[],9,FALSE)</f>
        <v>1654.5</v>
      </c>
    </row>
    <row r="1321" spans="1:13" x14ac:dyDescent="0.45">
      <c r="A1321" s="10">
        <v>353</v>
      </c>
      <c r="B1321" s="10">
        <v>327</v>
      </c>
      <c r="C13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1" s="10"/>
      <c r="E1321" s="10"/>
      <c r="F1321" s="12">
        <f ca="1">(RANDBETWEEN(0,50)/100)*(dict_DQ_Meth_max[[#This Row],[Vergleich_ub]]-dict_DQ_Meth_max[[#This Row],[Vergleich_lb]])+dict_DQ_Meth_max[[#This Row],[Vergleich_lb]]</f>
        <v>6.0325999999999998E-2</v>
      </c>
      <c r="G1321" s="12">
        <f ca="1">(RANDBETWEEN(50,100)/100)*(dict_DQ_Meth_max[[#This Row],[Vergleich_ub]]-dict_DQ_Meth_max[[#This Row],[Vergleich_lb]])+dict_DQ_Meth_max[[#This Row],[Vergleich_lb]]</f>
        <v>0.69458000000000009</v>
      </c>
      <c r="H1321" s="11" t="str">
        <f ca="1">VLOOKUP(VLOOKUP(dict_DQ_Meth_max[[#This Row],[ID_DataQualities]],table_DataQualities[],3),table_Units[],2)</f>
        <v>+/- cm³/s</v>
      </c>
      <c r="I1321" s="10"/>
      <c r="J1321" s="10"/>
      <c r="K1321" s="10"/>
      <c r="L1321" s="10">
        <f ca="1">VLOOKUP(dict_DQ_Meth_max[[#This Row],[ID_DataQualities]],table_DataQualities[],8,FALSE)</f>
        <v>8.8999999999999999E-3</v>
      </c>
      <c r="M1321" s="10">
        <f ca="1">VLOOKUP(dict_DQ_Meth_max[[#This Row],[ID_DataQualities]],table_DataQualities[],9,FALSE)</f>
        <v>0.86599999999999999</v>
      </c>
    </row>
    <row r="1322" spans="1:13" x14ac:dyDescent="0.45">
      <c r="A1322" s="10">
        <v>354</v>
      </c>
      <c r="B1322" s="10">
        <v>465</v>
      </c>
      <c r="C13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2" s="10"/>
      <c r="E1322" s="10"/>
      <c r="F1322" s="12">
        <f ca="1">(RANDBETWEEN(0,50)/100)*(dict_DQ_Meth_max[[#This Row],[Vergleich_ub]]-dict_DQ_Meth_max[[#This Row],[Vergleich_lb]])+dict_DQ_Meth_max[[#This Row],[Vergleich_lb]]</f>
        <v>254.77885000000001</v>
      </c>
      <c r="G1322" s="12">
        <f ca="1">(RANDBETWEEN(50,100)/100)*(dict_DQ_Meth_max[[#This Row],[Vergleich_ub]]-dict_DQ_Meth_max[[#This Row],[Vergleich_lb]])+dict_DQ_Meth_max[[#This Row],[Vergleich_lb]]</f>
        <v>574.03008999999997</v>
      </c>
      <c r="H1322" s="11" t="str">
        <f ca="1">VLOOKUP(VLOOKUP(dict_DQ_Meth_max[[#This Row],[ID_DataQualities]],table_DataQualities[],3),table_Units[],2)</f>
        <v>Hz</v>
      </c>
      <c r="I1322" s="10"/>
      <c r="J1322" s="10"/>
      <c r="K1322" s="10"/>
      <c r="L1322" s="10">
        <f ca="1">VLOOKUP(dict_DQ_Meth_max[[#This Row],[ID_DataQualities]],table_DataQualities[],8,FALSE)</f>
        <v>0.82899999999999996</v>
      </c>
      <c r="M1322" s="10">
        <f ca="1">VLOOKUP(dict_DQ_Meth_max[[#This Row],[ID_DataQualities]],table_DataQualities[],9,FALSE)</f>
        <v>726.4</v>
      </c>
    </row>
    <row r="1323" spans="1:13" x14ac:dyDescent="0.45">
      <c r="A1323" s="10">
        <v>354</v>
      </c>
      <c r="B1323" s="10">
        <v>685</v>
      </c>
      <c r="C13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3" s="10"/>
      <c r="E1323" s="10"/>
      <c r="F1323" s="12">
        <f ca="1">(RANDBETWEEN(0,50)/100)*(dict_DQ_Meth_max[[#This Row],[Vergleich_ub]]-dict_DQ_Meth_max[[#This Row],[Vergleich_lb]])+dict_DQ_Meth_max[[#This Row],[Vergleich_lb]]</f>
        <v>211.24458999999999</v>
      </c>
      <c r="G1323" s="12">
        <f ca="1">(RANDBETWEEN(50,100)/100)*(dict_DQ_Meth_max[[#This Row],[Vergleich_ub]]-dict_DQ_Meth_max[[#This Row],[Vergleich_lb]])+dict_DQ_Meth_max[[#This Row],[Vergleich_lb]]</f>
        <v>421.66017999999997</v>
      </c>
      <c r="H1323" s="11" t="str">
        <f ca="1">VLOOKUP(VLOOKUP(dict_DQ_Meth_max[[#This Row],[ID_DataQualities]],table_DataQualities[],3),table_Units[],2)</f>
        <v>Hz</v>
      </c>
      <c r="I1323" s="10"/>
      <c r="J1323" s="10"/>
      <c r="K1323" s="10"/>
      <c r="L1323" s="10">
        <f ca="1">VLOOKUP(dict_DQ_Meth_max[[#This Row],[ID_DataQualities]],table_DataQualities[],8,FALSE)</f>
        <v>0.82899999999999996</v>
      </c>
      <c r="M1323" s="10">
        <f ca="1">VLOOKUP(dict_DQ_Meth_max[[#This Row],[ID_DataQualities]],table_DataQualities[],9,FALSE)</f>
        <v>726.4</v>
      </c>
    </row>
    <row r="1324" spans="1:13" x14ac:dyDescent="0.45">
      <c r="A1324" s="10">
        <v>354</v>
      </c>
      <c r="B1324" s="10">
        <v>538</v>
      </c>
      <c r="C13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4" s="10"/>
      <c r="E1324" s="10"/>
      <c r="F1324" s="12">
        <f ca="1">(RANDBETWEEN(0,50)/100)*(dict_DQ_Meth_max[[#This Row],[Vergleich_ub]]-dict_DQ_Meth_max[[#This Row],[Vergleich_lb]])+dict_DQ_Meth_max[[#This Row],[Vergleich_lb]]</f>
        <v>211.24458999999999</v>
      </c>
      <c r="G1324" s="12">
        <f ca="1">(RANDBETWEEN(50,100)/100)*(dict_DQ_Meth_max[[#This Row],[Vergleich_ub]]-dict_DQ_Meth_max[[#This Row],[Vergleich_lb]])+dict_DQ_Meth_max[[#This Row],[Vergleich_lb]]</f>
        <v>457.93873000000002</v>
      </c>
      <c r="H1324" s="11" t="str">
        <f ca="1">VLOOKUP(VLOOKUP(dict_DQ_Meth_max[[#This Row],[ID_DataQualities]],table_DataQualities[],3),table_Units[],2)</f>
        <v>Hz</v>
      </c>
      <c r="I1324" s="10"/>
      <c r="J1324" s="10"/>
      <c r="K1324" s="10"/>
      <c r="L1324" s="10">
        <f ca="1">VLOOKUP(dict_DQ_Meth_max[[#This Row],[ID_DataQualities]],table_DataQualities[],8,FALSE)</f>
        <v>0.82899999999999996</v>
      </c>
      <c r="M1324" s="10">
        <f ca="1">VLOOKUP(dict_DQ_Meth_max[[#This Row],[ID_DataQualities]],table_DataQualities[],9,FALSE)</f>
        <v>726.4</v>
      </c>
    </row>
    <row r="1325" spans="1:13" x14ac:dyDescent="0.45">
      <c r="A1325" s="10">
        <v>354</v>
      </c>
      <c r="B1325" s="10">
        <v>621</v>
      </c>
      <c r="C13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5" s="10"/>
      <c r="E1325" s="10"/>
      <c r="F1325" s="12">
        <f ca="1">(RANDBETWEEN(0,50)/100)*(dict_DQ_Meth_max[[#This Row],[Vergleich_ub]]-dict_DQ_Meth_max[[#This Row],[Vergleich_lb]])+dict_DQ_Meth_max[[#This Row],[Vergleich_lb]]</f>
        <v>312.82453000000004</v>
      </c>
      <c r="G1325" s="12">
        <f ca="1">(RANDBETWEEN(50,100)/100)*(dict_DQ_Meth_max[[#This Row],[Vergleich_ub]]-dict_DQ_Meth_max[[#This Row],[Vergleich_lb]])+dict_DQ_Meth_max[[#This Row],[Vergleich_lb]]</f>
        <v>545.00725</v>
      </c>
      <c r="H1325" s="11" t="str">
        <f ca="1">VLOOKUP(VLOOKUP(dict_DQ_Meth_max[[#This Row],[ID_DataQualities]],table_DataQualities[],3),table_Units[],2)</f>
        <v>Hz</v>
      </c>
      <c r="I1325" s="10"/>
      <c r="J1325" s="10"/>
      <c r="K1325" s="10"/>
      <c r="L1325" s="10">
        <f ca="1">VLOOKUP(dict_DQ_Meth_max[[#This Row],[ID_DataQualities]],table_DataQualities[],8,FALSE)</f>
        <v>0.82899999999999996</v>
      </c>
      <c r="M1325" s="10">
        <f ca="1">VLOOKUP(dict_DQ_Meth_max[[#This Row],[ID_DataQualities]],table_DataQualities[],9,FALSE)</f>
        <v>726.4</v>
      </c>
    </row>
    <row r="1326" spans="1:13" x14ac:dyDescent="0.45">
      <c r="A1326" s="10">
        <v>354</v>
      </c>
      <c r="B1326" s="10">
        <v>197</v>
      </c>
      <c r="C13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6" s="10"/>
      <c r="E1326" s="10"/>
      <c r="F1326" s="12">
        <f ca="1">(RANDBETWEEN(0,50)/100)*(dict_DQ_Meth_max[[#This Row],[Vergleich_ub]]-dict_DQ_Meth_max[[#This Row],[Vergleich_lb]])+dict_DQ_Meth_max[[#This Row],[Vergleich_lb]]</f>
        <v>320.08024</v>
      </c>
      <c r="G1326" s="12">
        <f ca="1">(RANDBETWEEN(50,100)/100)*(dict_DQ_Meth_max[[#This Row],[Vergleich_ub]]-dict_DQ_Meth_max[[#This Row],[Vergleich_lb]])+dict_DQ_Meth_max[[#This Row],[Vergleich_lb]]</f>
        <v>603.05292999999995</v>
      </c>
      <c r="H1326" s="11" t="str">
        <f ca="1">VLOOKUP(VLOOKUP(dict_DQ_Meth_max[[#This Row],[ID_DataQualities]],table_DataQualities[],3),table_Units[],2)</f>
        <v>Hz</v>
      </c>
      <c r="I1326" s="10"/>
      <c r="J1326" s="10"/>
      <c r="K1326" s="10"/>
      <c r="L1326" s="10">
        <f ca="1">VLOOKUP(dict_DQ_Meth_max[[#This Row],[ID_DataQualities]],table_DataQualities[],8,FALSE)</f>
        <v>0.82899999999999996</v>
      </c>
      <c r="M1326" s="10">
        <f ca="1">VLOOKUP(dict_DQ_Meth_max[[#This Row],[ID_DataQualities]],table_DataQualities[],9,FALSE)</f>
        <v>726.4</v>
      </c>
    </row>
    <row r="1327" spans="1:13" x14ac:dyDescent="0.45">
      <c r="A1327" s="10">
        <v>354</v>
      </c>
      <c r="B1327" s="10">
        <v>217</v>
      </c>
      <c r="C13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7" s="10"/>
      <c r="E1327" s="10"/>
      <c r="F1327" s="12">
        <f ca="1">(RANDBETWEEN(0,50)/100)*(dict_DQ_Meth_max[[#This Row],[Vergleich_ub]]-dict_DQ_Meth_max[[#This Row],[Vergleich_lb]])+dict_DQ_Meth_max[[#This Row],[Vergleich_lb]]</f>
        <v>189.47746000000001</v>
      </c>
      <c r="G1327" s="12">
        <f ca="1">(RANDBETWEEN(50,100)/100)*(dict_DQ_Meth_max[[#This Row],[Vergleich_ub]]-dict_DQ_Meth_max[[#This Row],[Vergleich_lb]])+dict_DQ_Meth_max[[#This Row],[Vergleich_lb]]</f>
        <v>370.87021000000004</v>
      </c>
      <c r="H1327" s="11" t="str">
        <f ca="1">VLOOKUP(VLOOKUP(dict_DQ_Meth_max[[#This Row],[ID_DataQualities]],table_DataQualities[],3),table_Units[],2)</f>
        <v>Hz</v>
      </c>
      <c r="I1327" s="10"/>
      <c r="J1327" s="10"/>
      <c r="K1327" s="10"/>
      <c r="L1327" s="10">
        <f ca="1">VLOOKUP(dict_DQ_Meth_max[[#This Row],[ID_DataQualities]],table_DataQualities[],8,FALSE)</f>
        <v>0.82899999999999996</v>
      </c>
      <c r="M1327" s="10">
        <f ca="1">VLOOKUP(dict_DQ_Meth_max[[#This Row],[ID_DataQualities]],table_DataQualities[],9,FALSE)</f>
        <v>726.4</v>
      </c>
    </row>
    <row r="1328" spans="1:13" x14ac:dyDescent="0.45">
      <c r="A1328" s="10">
        <v>355</v>
      </c>
      <c r="B1328" s="10">
        <v>197</v>
      </c>
      <c r="C13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8" s="10"/>
      <c r="E1328" s="10"/>
      <c r="F1328" s="12">
        <f ca="1">(RANDBETWEEN(0,50)/100)*(dict_DQ_Meth_max[[#This Row],[Vergleich_ub]]-dict_DQ_Meth_max[[#This Row],[Vergleich_lb]])+dict_DQ_Meth_max[[#This Row],[Vergleich_lb]]</f>
        <v>0.13670999999999997</v>
      </c>
      <c r="G1328" s="12">
        <f ca="1">(RANDBETWEEN(50,100)/100)*(dict_DQ_Meth_max[[#This Row],[Vergleich_ub]]-dict_DQ_Meth_max[[#This Row],[Vergleich_lb]])+dict_DQ_Meth_max[[#This Row],[Vergleich_lb]]</f>
        <v>0.37611</v>
      </c>
      <c r="H1328" s="11" t="str">
        <f ca="1">VLOOKUP(VLOOKUP(dict_DQ_Meth_max[[#This Row],[ID_DataQualities]],table_DataQualities[],3),table_Units[],2)</f>
        <v>+/- mm</v>
      </c>
      <c r="I1328" s="10"/>
      <c r="J1328" s="10"/>
      <c r="K1328" s="10"/>
      <c r="L1328" s="10">
        <f ca="1">VLOOKUP(dict_DQ_Meth_max[[#This Row],[ID_DataQualities]],table_DataQualities[],8,FALSE)</f>
        <v>2.1000000000000001E-2</v>
      </c>
      <c r="M1328" s="10">
        <f ca="1">VLOOKUP(dict_DQ_Meth_max[[#This Row],[ID_DataQualities]],table_DataQualities[],9,FALSE)</f>
        <v>0.42</v>
      </c>
    </row>
    <row r="1329" spans="1:13" x14ac:dyDescent="0.45">
      <c r="A1329" s="10">
        <v>355</v>
      </c>
      <c r="B1329" s="10">
        <v>465</v>
      </c>
      <c r="C13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29" s="10"/>
      <c r="E1329" s="10"/>
      <c r="F1329" s="12">
        <f ca="1">(RANDBETWEEN(0,50)/100)*(dict_DQ_Meth_max[[#This Row],[Vergleich_ub]]-dict_DQ_Meth_max[[#This Row],[Vergleich_lb]])+dict_DQ_Meth_max[[#This Row],[Vergleich_lb]]</f>
        <v>0.1008</v>
      </c>
      <c r="G1329" s="12">
        <f ca="1">(RANDBETWEEN(50,100)/100)*(dict_DQ_Meth_max[[#This Row],[Vergleich_ub]]-dict_DQ_Meth_max[[#This Row],[Vergleich_lb]])+dict_DQ_Meth_max[[#This Row],[Vergleich_lb]]</f>
        <v>0.25241999999999998</v>
      </c>
      <c r="H1329" s="11" t="str">
        <f ca="1">VLOOKUP(VLOOKUP(dict_DQ_Meth_max[[#This Row],[ID_DataQualities]],table_DataQualities[],3),table_Units[],2)</f>
        <v>+/- mm</v>
      </c>
      <c r="I1329" s="10"/>
      <c r="J1329" s="10"/>
      <c r="K1329" s="10"/>
      <c r="L1329" s="10">
        <f ca="1">VLOOKUP(dict_DQ_Meth_max[[#This Row],[ID_DataQualities]],table_DataQualities[],8,FALSE)</f>
        <v>2.1000000000000001E-2</v>
      </c>
      <c r="M1329" s="10">
        <f ca="1">VLOOKUP(dict_DQ_Meth_max[[#This Row],[ID_DataQualities]],table_DataQualities[],9,FALSE)</f>
        <v>0.42</v>
      </c>
    </row>
    <row r="1330" spans="1:13" x14ac:dyDescent="0.45">
      <c r="A1330" s="10">
        <v>355</v>
      </c>
      <c r="B1330" s="10">
        <v>685</v>
      </c>
      <c r="C13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0" s="10"/>
      <c r="E1330" s="10"/>
      <c r="F1330" s="12">
        <f ca="1">(RANDBETWEEN(0,50)/100)*(dict_DQ_Meth_max[[#This Row],[Vergleich_ub]]-dict_DQ_Meth_max[[#This Row],[Vergleich_lb]])+dict_DQ_Meth_max[[#This Row],[Vergleich_lb]]</f>
        <v>0.14867999999999998</v>
      </c>
      <c r="G1330" s="12">
        <f ca="1">(RANDBETWEEN(50,100)/100)*(dict_DQ_Meth_max[[#This Row],[Vergleich_ub]]-dict_DQ_Meth_max[[#This Row],[Vergleich_lb]])+dict_DQ_Meth_max[[#This Row],[Vergleich_lb]]</f>
        <v>0.32423999999999997</v>
      </c>
      <c r="H1330" s="11" t="str">
        <f ca="1">VLOOKUP(VLOOKUP(dict_DQ_Meth_max[[#This Row],[ID_DataQualities]],table_DataQualities[],3),table_Units[],2)</f>
        <v>+/- mm</v>
      </c>
      <c r="I1330" s="10"/>
      <c r="J1330" s="10"/>
      <c r="K1330" s="10"/>
      <c r="L1330" s="10">
        <f ca="1">VLOOKUP(dict_DQ_Meth_max[[#This Row],[ID_DataQualities]],table_DataQualities[],8,FALSE)</f>
        <v>2.1000000000000001E-2</v>
      </c>
      <c r="M1330" s="10">
        <f ca="1">VLOOKUP(dict_DQ_Meth_max[[#This Row],[ID_DataQualities]],table_DataQualities[],9,FALSE)</f>
        <v>0.42</v>
      </c>
    </row>
    <row r="1331" spans="1:13" x14ac:dyDescent="0.45">
      <c r="A1331" s="10">
        <v>355</v>
      </c>
      <c r="B1331" s="10">
        <v>621</v>
      </c>
      <c r="C13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1" s="10"/>
      <c r="E1331" s="10"/>
      <c r="F1331" s="12">
        <f ca="1">(RANDBETWEEN(0,50)/100)*(dict_DQ_Meth_max[[#This Row],[Vergleich_ub]]-dict_DQ_Meth_max[[#This Row],[Vergleich_lb]])+dict_DQ_Meth_max[[#This Row],[Vergleich_lb]]</f>
        <v>6.4890000000000003E-2</v>
      </c>
      <c r="G1331" s="12">
        <f ca="1">(RANDBETWEEN(50,100)/100)*(dict_DQ_Meth_max[[#This Row],[Vergleich_ub]]-dict_DQ_Meth_max[[#This Row],[Vergleich_lb]])+dict_DQ_Meth_max[[#This Row],[Vergleich_lb]]</f>
        <v>0.36813000000000001</v>
      </c>
      <c r="H1331" s="11" t="str">
        <f ca="1">VLOOKUP(VLOOKUP(dict_DQ_Meth_max[[#This Row],[ID_DataQualities]],table_DataQualities[],3),table_Units[],2)</f>
        <v>+/- mm</v>
      </c>
      <c r="I1331" s="10"/>
      <c r="J1331" s="10"/>
      <c r="K1331" s="10"/>
      <c r="L1331" s="10">
        <f ca="1">VLOOKUP(dict_DQ_Meth_max[[#This Row],[ID_DataQualities]],table_DataQualities[],8,FALSE)</f>
        <v>2.1000000000000001E-2</v>
      </c>
      <c r="M1331" s="10">
        <f ca="1">VLOOKUP(dict_DQ_Meth_max[[#This Row],[ID_DataQualities]],table_DataQualities[],9,FALSE)</f>
        <v>0.42</v>
      </c>
    </row>
    <row r="1332" spans="1:13" x14ac:dyDescent="0.45">
      <c r="A1332" s="10">
        <v>355</v>
      </c>
      <c r="B1332" s="10">
        <v>538</v>
      </c>
      <c r="C13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2" s="10"/>
      <c r="E1332" s="10"/>
      <c r="F1332" s="12">
        <f ca="1">(RANDBETWEEN(0,50)/100)*(dict_DQ_Meth_max[[#This Row],[Vergleich_ub]]-dict_DQ_Meth_max[[#This Row],[Vergleich_lb]])+dict_DQ_Meth_max[[#This Row],[Vergleich_lb]]</f>
        <v>0.14867999999999998</v>
      </c>
      <c r="G1332" s="12">
        <f ca="1">(RANDBETWEEN(50,100)/100)*(dict_DQ_Meth_max[[#This Row],[Vergleich_ub]]-dict_DQ_Meth_max[[#This Row],[Vergleich_lb]])+dict_DQ_Meth_max[[#This Row],[Vergleich_lb]]</f>
        <v>0.36813000000000001</v>
      </c>
      <c r="H1332" s="11" t="str">
        <f ca="1">VLOOKUP(VLOOKUP(dict_DQ_Meth_max[[#This Row],[ID_DataQualities]],table_DataQualities[],3),table_Units[],2)</f>
        <v>+/- mm</v>
      </c>
      <c r="I1332" s="10"/>
      <c r="J1332" s="10"/>
      <c r="K1332" s="10"/>
      <c r="L1332" s="10">
        <f ca="1">VLOOKUP(dict_DQ_Meth_max[[#This Row],[ID_DataQualities]],table_DataQualities[],8,FALSE)</f>
        <v>2.1000000000000001E-2</v>
      </c>
      <c r="M1332" s="10">
        <f ca="1">VLOOKUP(dict_DQ_Meth_max[[#This Row],[ID_DataQualities]],table_DataQualities[],9,FALSE)</f>
        <v>0.42</v>
      </c>
    </row>
    <row r="1333" spans="1:13" x14ac:dyDescent="0.45">
      <c r="A1333" s="10">
        <v>355</v>
      </c>
      <c r="B1333" s="10">
        <v>217</v>
      </c>
      <c r="C13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3" s="10"/>
      <c r="E1333" s="10"/>
      <c r="F1333" s="12">
        <f ca="1">(RANDBETWEEN(0,50)/100)*(dict_DQ_Meth_max[[#This Row],[Vergleich_ub]]-dict_DQ_Meth_max[[#This Row],[Vergleich_lb]])+dict_DQ_Meth_max[[#This Row],[Vergleich_lb]]</f>
        <v>0.14867999999999998</v>
      </c>
      <c r="G1333" s="12">
        <f ca="1">(RANDBETWEEN(50,100)/100)*(dict_DQ_Meth_max[[#This Row],[Vergleich_ub]]-dict_DQ_Meth_max[[#This Row],[Vergleich_lb]])+dict_DQ_Meth_max[[#This Row],[Vergleich_lb]]</f>
        <v>0.24842999999999996</v>
      </c>
      <c r="H1333" s="11" t="str">
        <f ca="1">VLOOKUP(VLOOKUP(dict_DQ_Meth_max[[#This Row],[ID_DataQualities]],table_DataQualities[],3),table_Units[],2)</f>
        <v>+/- mm</v>
      </c>
      <c r="I1333" s="10"/>
      <c r="J1333" s="10"/>
      <c r="K1333" s="10"/>
      <c r="L1333" s="10">
        <f ca="1">VLOOKUP(dict_DQ_Meth_max[[#This Row],[ID_DataQualities]],table_DataQualities[],8,FALSE)</f>
        <v>2.1000000000000001E-2</v>
      </c>
      <c r="M1333" s="10">
        <f ca="1">VLOOKUP(dict_DQ_Meth_max[[#This Row],[ID_DataQualities]],table_DataQualities[],9,FALSE)</f>
        <v>0.42</v>
      </c>
    </row>
    <row r="1334" spans="1:13" x14ac:dyDescent="0.45">
      <c r="A1334" s="10">
        <v>356</v>
      </c>
      <c r="B1334" s="10">
        <v>287</v>
      </c>
      <c r="C13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4" s="10"/>
      <c r="E1334" s="10"/>
      <c r="F1334" s="12">
        <f ca="1">(RANDBETWEEN(0,50)/100)*(dict_DQ_Meth_max[[#This Row],[Vergleich_ub]]-dict_DQ_Meth_max[[#This Row],[Vergleich_lb]])+dict_DQ_Meth_max[[#This Row],[Vergleich_lb]]</f>
        <v>752.19848000000002</v>
      </c>
      <c r="G1334" s="12">
        <f ca="1">(RANDBETWEEN(50,100)/100)*(dict_DQ_Meth_max[[#This Row],[Vergleich_ub]]-dict_DQ_Meth_max[[#This Row],[Vergleich_lb]])+dict_DQ_Meth_max[[#This Row],[Vergleich_lb]]</f>
        <v>3633.6288199999999</v>
      </c>
      <c r="H1334" s="11" t="str">
        <f ca="1">VLOOKUP(VLOOKUP(dict_DQ_Meth_max[[#This Row],[ID_DataQualities]],table_DataQualities[],3),table_Units[],2)</f>
        <v>Hz</v>
      </c>
      <c r="I1334" s="10"/>
      <c r="J1334" s="10"/>
      <c r="K1334" s="10"/>
      <c r="L1334" s="10">
        <f ca="1">VLOOKUP(dict_DQ_Meth_max[[#This Row],[ID_DataQualities]],table_DataQualities[],8,FALSE)</f>
        <v>0.52100000000000002</v>
      </c>
      <c r="M1334" s="10">
        <f ca="1">VLOOKUP(dict_DQ_Meth_max[[#This Row],[ID_DataQualities]],table_DataQualities[],9,FALSE)</f>
        <v>6264.5</v>
      </c>
    </row>
    <row r="1335" spans="1:13" x14ac:dyDescent="0.45">
      <c r="A1335" s="10">
        <v>356</v>
      </c>
      <c r="B1335" s="10">
        <v>595</v>
      </c>
      <c r="C13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5" s="10"/>
      <c r="E1335" s="10"/>
      <c r="F1335" s="12">
        <f ca="1">(RANDBETWEEN(0,50)/100)*(dict_DQ_Meth_max[[#This Row],[Vergleich_ub]]-dict_DQ_Meth_max[[#This Row],[Vergleich_lb]])+dict_DQ_Meth_max[[#This Row],[Vergleich_lb]]</f>
        <v>626.91890000000001</v>
      </c>
      <c r="G1335" s="12">
        <f ca="1">(RANDBETWEEN(50,100)/100)*(dict_DQ_Meth_max[[#This Row],[Vergleich_ub]]-dict_DQ_Meth_max[[#This Row],[Vergleich_lb]])+dict_DQ_Meth_max[[#This Row],[Vergleich_lb]]</f>
        <v>3132.5105000000003</v>
      </c>
      <c r="H1335" s="11" t="str">
        <f ca="1">VLOOKUP(VLOOKUP(dict_DQ_Meth_max[[#This Row],[ID_DataQualities]],table_DataQualities[],3),table_Units[],2)</f>
        <v>Hz</v>
      </c>
      <c r="I1335" s="10"/>
      <c r="J1335" s="10"/>
      <c r="K1335" s="10"/>
      <c r="L1335" s="10">
        <f ca="1">VLOOKUP(dict_DQ_Meth_max[[#This Row],[ID_DataQualities]],table_DataQualities[],8,FALSE)</f>
        <v>0.52100000000000002</v>
      </c>
      <c r="M1335" s="10">
        <f ca="1">VLOOKUP(dict_DQ_Meth_max[[#This Row],[ID_DataQualities]],table_DataQualities[],9,FALSE)</f>
        <v>6264.5</v>
      </c>
    </row>
    <row r="1336" spans="1:13" x14ac:dyDescent="0.45">
      <c r="A1336" s="10">
        <v>356</v>
      </c>
      <c r="B1336" s="10">
        <v>145</v>
      </c>
      <c r="C13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6" s="10"/>
      <c r="E1336" s="10"/>
      <c r="F1336" s="12">
        <f ca="1">(RANDBETWEEN(0,50)/100)*(dict_DQ_Meth_max[[#This Row],[Vergleich_ub]]-dict_DQ_Meth_max[[#This Row],[Vergleich_lb]])+dict_DQ_Meth_max[[#This Row],[Vergleich_lb]]</f>
        <v>1128.0372199999999</v>
      </c>
      <c r="G1336" s="12">
        <f ca="1">(RANDBETWEEN(50,100)/100)*(dict_DQ_Meth_max[[#This Row],[Vergleich_ub]]-dict_DQ_Meth_max[[#This Row],[Vergleich_lb]])+dict_DQ_Meth_max[[#This Row],[Vergleich_lb]]</f>
        <v>6201.8602099999998</v>
      </c>
      <c r="H1336" s="11" t="str">
        <f ca="1">VLOOKUP(VLOOKUP(dict_DQ_Meth_max[[#This Row],[ID_DataQualities]],table_DataQualities[],3),table_Units[],2)</f>
        <v>Hz</v>
      </c>
      <c r="I1336" s="10"/>
      <c r="J1336" s="10"/>
      <c r="K1336" s="10"/>
      <c r="L1336" s="10">
        <f ca="1">VLOOKUP(dict_DQ_Meth_max[[#This Row],[ID_DataQualities]],table_DataQualities[],8,FALSE)</f>
        <v>0.52100000000000002</v>
      </c>
      <c r="M1336" s="10">
        <f ca="1">VLOOKUP(dict_DQ_Meth_max[[#This Row],[ID_DataQualities]],table_DataQualities[],9,FALSE)</f>
        <v>6264.5</v>
      </c>
    </row>
    <row r="1337" spans="1:13" x14ac:dyDescent="0.45">
      <c r="A1337" s="10">
        <v>356</v>
      </c>
      <c r="B1337" s="10">
        <v>316</v>
      </c>
      <c r="C13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7" s="10"/>
      <c r="E1337" s="10"/>
      <c r="F1337" s="12">
        <f ca="1">(RANDBETWEEN(0,50)/100)*(dict_DQ_Meth_max[[#This Row],[Vergleich_ub]]-dict_DQ_Meth_max[[#This Row],[Vergleich_lb]])+dict_DQ_Meth_max[[#This Row],[Vergleich_lb]]</f>
        <v>1566.51575</v>
      </c>
      <c r="G1337" s="12">
        <f ca="1">(RANDBETWEEN(50,100)/100)*(dict_DQ_Meth_max[[#This Row],[Vergleich_ub]]-dict_DQ_Meth_max[[#This Row],[Vergleich_lb]])+dict_DQ_Meth_max[[#This Row],[Vergleich_lb]]</f>
        <v>4322.66651</v>
      </c>
      <c r="H1337" s="11" t="str">
        <f ca="1">VLOOKUP(VLOOKUP(dict_DQ_Meth_max[[#This Row],[ID_DataQualities]],table_DataQualities[],3),table_Units[],2)</f>
        <v>Hz</v>
      </c>
      <c r="I1337" s="10"/>
      <c r="J1337" s="10"/>
      <c r="K1337" s="10"/>
      <c r="L1337" s="10">
        <f ca="1">VLOOKUP(dict_DQ_Meth_max[[#This Row],[ID_DataQualities]],table_DataQualities[],8,FALSE)</f>
        <v>0.52100000000000002</v>
      </c>
      <c r="M1337" s="10">
        <f ca="1">VLOOKUP(dict_DQ_Meth_max[[#This Row],[ID_DataQualities]],table_DataQualities[],9,FALSE)</f>
        <v>6264.5</v>
      </c>
    </row>
    <row r="1338" spans="1:13" x14ac:dyDescent="0.45">
      <c r="A1338" s="10">
        <v>357</v>
      </c>
      <c r="B1338" s="10">
        <v>316</v>
      </c>
      <c r="C13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8" s="10"/>
      <c r="E1338" s="10"/>
      <c r="F1338" s="12">
        <f ca="1">(RANDBETWEEN(0,50)/100)*(dict_DQ_Meth_max[[#This Row],[Vergleich_ub]]-dict_DQ_Meth_max[[#This Row],[Vergleich_lb]])+dict_DQ_Meth_max[[#This Row],[Vergleich_lb]]</f>
        <v>0.17497000000000001</v>
      </c>
      <c r="G1338" s="12">
        <f ca="1">(RANDBETWEEN(50,100)/100)*(dict_DQ_Meth_max[[#This Row],[Vergleich_ub]]-dict_DQ_Meth_max[[#This Row],[Vergleich_lb]])+dict_DQ_Meth_max[[#This Row],[Vergleich_lb]]</f>
        <v>0.59655999999999998</v>
      </c>
      <c r="H1338" s="11" t="str">
        <f ca="1">VLOOKUP(VLOOKUP(dict_DQ_Meth_max[[#This Row],[ID_DataQualities]],table_DataQualities[],3),table_Units[],2)</f>
        <v>+/- cm³/s</v>
      </c>
      <c r="I1338" s="10"/>
      <c r="J1338" s="10"/>
      <c r="K1338" s="10"/>
      <c r="L1338" s="10">
        <f ca="1">VLOOKUP(dict_DQ_Meth_max[[#This Row],[ID_DataQualities]],table_DataQualities[],8,FALSE)</f>
        <v>0.01</v>
      </c>
      <c r="M1338" s="10">
        <f ca="1">VLOOKUP(dict_DQ_Meth_max[[#This Row],[ID_DataQualities]],table_DataQualities[],9,FALSE)</f>
        <v>0.621</v>
      </c>
    </row>
    <row r="1339" spans="1:13" x14ac:dyDescent="0.45">
      <c r="A1339" s="10">
        <v>357</v>
      </c>
      <c r="B1339" s="10">
        <v>595</v>
      </c>
      <c r="C13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39" s="10"/>
      <c r="E1339" s="10"/>
      <c r="F1339" s="12">
        <f ca="1">(RANDBETWEEN(0,50)/100)*(dict_DQ_Meth_max[[#This Row],[Vergleich_ub]]-dict_DQ_Meth_max[[#This Row],[Vergleich_lb]])+dict_DQ_Meth_max[[#This Row],[Vergleich_lb]]</f>
        <v>8.9429999999999996E-2</v>
      </c>
      <c r="G1339" s="12">
        <f ca="1">(RANDBETWEEN(50,100)/100)*(dict_DQ_Meth_max[[#This Row],[Vergleich_ub]]-dict_DQ_Meth_max[[#This Row],[Vergleich_lb]])+dict_DQ_Meth_max[[#This Row],[Vergleich_lb]]</f>
        <v>0.58433999999999997</v>
      </c>
      <c r="H1339" s="11" t="str">
        <f ca="1">VLOOKUP(VLOOKUP(dict_DQ_Meth_max[[#This Row],[ID_DataQualities]],table_DataQualities[],3),table_Units[],2)</f>
        <v>+/- cm³/s</v>
      </c>
      <c r="I1339" s="10"/>
      <c r="J1339" s="10"/>
      <c r="K1339" s="10"/>
      <c r="L1339" s="10">
        <f ca="1">VLOOKUP(dict_DQ_Meth_max[[#This Row],[ID_DataQualities]],table_DataQualities[],8,FALSE)</f>
        <v>0.01</v>
      </c>
      <c r="M1339" s="10">
        <f ca="1">VLOOKUP(dict_DQ_Meth_max[[#This Row],[ID_DataQualities]],table_DataQualities[],9,FALSE)</f>
        <v>0.621</v>
      </c>
    </row>
    <row r="1340" spans="1:13" x14ac:dyDescent="0.45">
      <c r="A1340" s="10">
        <v>357</v>
      </c>
      <c r="B1340" s="10">
        <v>287</v>
      </c>
      <c r="C13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0" s="10"/>
      <c r="E1340" s="10"/>
      <c r="F1340" s="12">
        <f ca="1">(RANDBETWEEN(0,50)/100)*(dict_DQ_Meth_max[[#This Row],[Vergleich_ub]]-dict_DQ_Meth_max[[#This Row],[Vergleich_lb]])+dict_DQ_Meth_max[[#This Row],[Vergleich_lb]]</f>
        <v>0.27884000000000003</v>
      </c>
      <c r="G1340" s="12">
        <f ca="1">(RANDBETWEEN(50,100)/100)*(dict_DQ_Meth_max[[#This Row],[Vergleich_ub]]-dict_DQ_Meth_max[[#This Row],[Vergleich_lb]])+dict_DQ_Meth_max[[#This Row],[Vergleich_lb]]</f>
        <v>0.48658000000000001</v>
      </c>
      <c r="H1340" s="11" t="str">
        <f ca="1">VLOOKUP(VLOOKUP(dict_DQ_Meth_max[[#This Row],[ID_DataQualities]],table_DataQualities[],3),table_Units[],2)</f>
        <v>+/- cm³/s</v>
      </c>
      <c r="I1340" s="10"/>
      <c r="J1340" s="10"/>
      <c r="K1340" s="10"/>
      <c r="L1340" s="10">
        <f ca="1">VLOOKUP(dict_DQ_Meth_max[[#This Row],[ID_DataQualities]],table_DataQualities[],8,FALSE)</f>
        <v>0.01</v>
      </c>
      <c r="M1340" s="10">
        <f ca="1">VLOOKUP(dict_DQ_Meth_max[[#This Row],[ID_DataQualities]],table_DataQualities[],9,FALSE)</f>
        <v>0.621</v>
      </c>
    </row>
    <row r="1341" spans="1:13" x14ac:dyDescent="0.45">
      <c r="A1341" s="10">
        <v>357</v>
      </c>
      <c r="B1341" s="10">
        <v>145</v>
      </c>
      <c r="C13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1" s="10"/>
      <c r="E1341" s="10"/>
      <c r="F1341" s="12">
        <f ca="1">(RANDBETWEEN(0,50)/100)*(dict_DQ_Meth_max[[#This Row],[Vergleich_ub]]-dict_DQ_Meth_max[[#This Row],[Vergleich_lb]])+dict_DQ_Meth_max[[#This Row],[Vergleich_lb]]</f>
        <v>0.29716999999999999</v>
      </c>
      <c r="G1341" s="12">
        <f ca="1">(RANDBETWEEN(50,100)/100)*(dict_DQ_Meth_max[[#This Row],[Vergleich_ub]]-dict_DQ_Meth_max[[#This Row],[Vergleich_lb]])+dict_DQ_Meth_max[[#This Row],[Vergleich_lb]]</f>
        <v>0.46825</v>
      </c>
      <c r="H1341" s="11" t="str">
        <f ca="1">VLOOKUP(VLOOKUP(dict_DQ_Meth_max[[#This Row],[ID_DataQualities]],table_DataQualities[],3),table_Units[],2)</f>
        <v>+/- cm³/s</v>
      </c>
      <c r="I1341" s="10"/>
      <c r="J1341" s="10"/>
      <c r="K1341" s="10"/>
      <c r="L1341" s="10">
        <f ca="1">VLOOKUP(dict_DQ_Meth_max[[#This Row],[ID_DataQualities]],table_DataQualities[],8,FALSE)</f>
        <v>0.01</v>
      </c>
      <c r="M1341" s="10">
        <f ca="1">VLOOKUP(dict_DQ_Meth_max[[#This Row],[ID_DataQualities]],table_DataQualities[],9,FALSE)</f>
        <v>0.621</v>
      </c>
    </row>
    <row r="1342" spans="1:13" x14ac:dyDescent="0.45">
      <c r="A1342" s="10">
        <v>358</v>
      </c>
      <c r="B1342" s="10">
        <v>208</v>
      </c>
      <c r="C13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2" s="10"/>
      <c r="E1342" s="10"/>
      <c r="F1342" s="12">
        <f ca="1">(RANDBETWEEN(0,50)/100)*(dict_DQ_Meth_max[[#This Row],[Vergleich_ub]]-dict_DQ_Meth_max[[#This Row],[Vergleich_lb]])+dict_DQ_Meth_max[[#This Row],[Vergleich_lb]]</f>
        <v>1112.67911</v>
      </c>
      <c r="G1342" s="12">
        <f ca="1">(RANDBETWEEN(50,100)/100)*(dict_DQ_Meth_max[[#This Row],[Vergleich_ub]]-dict_DQ_Meth_max[[#This Row],[Vergleich_lb]])+dict_DQ_Meth_max[[#This Row],[Vergleich_lb]]</f>
        <v>7528.2143600000009</v>
      </c>
      <c r="H1342" s="11" t="str">
        <f ca="1">VLOOKUP(VLOOKUP(dict_DQ_Meth_max[[#This Row],[ID_DataQualities]],table_DataQualities[],3),table_Units[],2)</f>
        <v>Hz</v>
      </c>
      <c r="I1342" s="10"/>
      <c r="J1342" s="10"/>
      <c r="K1342" s="10"/>
      <c r="L1342" s="10">
        <f ca="1">VLOOKUP(dict_DQ_Meth_max[[#This Row],[ID_DataQualities]],table_DataQualities[],8,FALSE)</f>
        <v>0.65300000000000002</v>
      </c>
      <c r="M1342" s="10">
        <f ca="1">VLOOKUP(dict_DQ_Meth_max[[#This Row],[ID_DataQualities]],table_DataQualities[],9,FALSE)</f>
        <v>8554.7000000000007</v>
      </c>
    </row>
    <row r="1343" spans="1:13" x14ac:dyDescent="0.45">
      <c r="A1343" s="10">
        <v>358</v>
      </c>
      <c r="B1343" s="10">
        <v>551</v>
      </c>
      <c r="C13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3" s="10"/>
      <c r="E1343" s="10"/>
      <c r="F1343" s="12">
        <f ca="1">(RANDBETWEEN(0,50)/100)*(dict_DQ_Meth_max[[#This Row],[Vergleich_ub]]-dict_DQ_Meth_max[[#This Row],[Vergleich_lb]])+dict_DQ_Meth_max[[#This Row],[Vergleich_lb]]</f>
        <v>3080.1099199999999</v>
      </c>
      <c r="G1343" s="12">
        <f ca="1">(RANDBETWEEN(50,100)/100)*(dict_DQ_Meth_max[[#This Row],[Vergleich_ub]]-dict_DQ_Meth_max[[#This Row],[Vergleich_lb]])+dict_DQ_Meth_max[[#This Row],[Vergleich_lb]]</f>
        <v>7955.9167100000013</v>
      </c>
      <c r="H1343" s="11" t="str">
        <f ca="1">VLOOKUP(VLOOKUP(dict_DQ_Meth_max[[#This Row],[ID_DataQualities]],table_DataQualities[],3),table_Units[],2)</f>
        <v>Hz</v>
      </c>
      <c r="I1343" s="10"/>
      <c r="J1343" s="10"/>
      <c r="K1343" s="10"/>
      <c r="L1343" s="10">
        <f ca="1">VLOOKUP(dict_DQ_Meth_max[[#This Row],[ID_DataQualities]],table_DataQualities[],8,FALSE)</f>
        <v>0.65300000000000002</v>
      </c>
      <c r="M1343" s="10">
        <f ca="1">VLOOKUP(dict_DQ_Meth_max[[#This Row],[ID_DataQualities]],table_DataQualities[],9,FALSE)</f>
        <v>8554.7000000000007</v>
      </c>
    </row>
    <row r="1344" spans="1:13" x14ac:dyDescent="0.45">
      <c r="A1344" s="10">
        <v>358</v>
      </c>
      <c r="B1344" s="10">
        <v>307</v>
      </c>
      <c r="C13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4" s="10"/>
      <c r="E1344" s="10"/>
      <c r="F1344" s="12">
        <f ca="1">(RANDBETWEEN(0,50)/100)*(dict_DQ_Meth_max[[#This Row],[Vergleich_ub]]-dict_DQ_Meth_max[[#This Row],[Vergleich_lb]])+dict_DQ_Meth_max[[#This Row],[Vergleich_lb]]</f>
        <v>1283.7600500000001</v>
      </c>
      <c r="G1344" s="12">
        <f ca="1">(RANDBETWEEN(50,100)/100)*(dict_DQ_Meth_max[[#This Row],[Vergleich_ub]]-dict_DQ_Meth_max[[#This Row],[Vergleich_lb]])+dict_DQ_Meth_max[[#This Row],[Vergleich_lb]]</f>
        <v>6758.3501300000007</v>
      </c>
      <c r="H1344" s="11" t="str">
        <f ca="1">VLOOKUP(VLOOKUP(dict_DQ_Meth_max[[#This Row],[ID_DataQualities]],table_DataQualities[],3),table_Units[],2)</f>
        <v>Hz</v>
      </c>
      <c r="I1344" s="10"/>
      <c r="J1344" s="10"/>
      <c r="K1344" s="10"/>
      <c r="L1344" s="10">
        <f ca="1">VLOOKUP(dict_DQ_Meth_max[[#This Row],[ID_DataQualities]],table_DataQualities[],8,FALSE)</f>
        <v>0.65300000000000002</v>
      </c>
      <c r="M1344" s="10">
        <f ca="1">VLOOKUP(dict_DQ_Meth_max[[#This Row],[ID_DataQualities]],table_DataQualities[],9,FALSE)</f>
        <v>8554.7000000000007</v>
      </c>
    </row>
    <row r="1345" spans="1:13" x14ac:dyDescent="0.45">
      <c r="A1345" s="10">
        <v>358</v>
      </c>
      <c r="B1345" s="10">
        <v>21</v>
      </c>
      <c r="C13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5" s="10"/>
      <c r="E1345" s="10"/>
      <c r="F1345" s="12">
        <f ca="1">(RANDBETWEEN(0,50)/100)*(dict_DQ_Meth_max[[#This Row],[Vergleich_ub]]-dict_DQ_Meth_max[[#This Row],[Vergleich_lb]])+dict_DQ_Meth_max[[#This Row],[Vergleich_lb]]</f>
        <v>1198.2195800000002</v>
      </c>
      <c r="G1345" s="12">
        <f ca="1">(RANDBETWEEN(50,100)/100)*(dict_DQ_Meth_max[[#This Row],[Vergleich_ub]]-dict_DQ_Meth_max[[#This Row],[Vergleich_lb]])+dict_DQ_Meth_max[[#This Row],[Vergleich_lb]]</f>
        <v>4790.9193200000009</v>
      </c>
      <c r="H1345" s="11" t="str">
        <f ca="1">VLOOKUP(VLOOKUP(dict_DQ_Meth_max[[#This Row],[ID_DataQualities]],table_DataQualities[],3),table_Units[],2)</f>
        <v>Hz</v>
      </c>
      <c r="I1345" s="10"/>
      <c r="J1345" s="10"/>
      <c r="K1345" s="10"/>
      <c r="L1345" s="10">
        <f ca="1">VLOOKUP(dict_DQ_Meth_max[[#This Row],[ID_DataQualities]],table_DataQualities[],8,FALSE)</f>
        <v>0.65300000000000002</v>
      </c>
      <c r="M1345" s="10">
        <f ca="1">VLOOKUP(dict_DQ_Meth_max[[#This Row],[ID_DataQualities]],table_DataQualities[],9,FALSE)</f>
        <v>8554.7000000000007</v>
      </c>
    </row>
    <row r="1346" spans="1:13" x14ac:dyDescent="0.45">
      <c r="A1346" s="10">
        <v>359</v>
      </c>
      <c r="B1346" s="10">
        <v>21</v>
      </c>
      <c r="C13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6" s="10"/>
      <c r="E1346" s="10"/>
      <c r="F1346" s="12">
        <f ca="1">(RANDBETWEEN(0,50)/100)*(dict_DQ_Meth_max[[#This Row],[Vergleich_ub]]-dict_DQ_Meth_max[[#This Row],[Vergleich_lb]])+dict_DQ_Meth_max[[#This Row],[Vergleich_lb]]</f>
        <v>3.3729999999999996E-2</v>
      </c>
      <c r="G1346" s="12">
        <f ca="1">(RANDBETWEEN(50,100)/100)*(dict_DQ_Meth_max[[#This Row],[Vergleich_ub]]-dict_DQ_Meth_max[[#This Row],[Vergleich_lb]])+dict_DQ_Meth_max[[#This Row],[Vergleich_lb]]</f>
        <v>0.10659999999999999</v>
      </c>
      <c r="H1346" s="11" t="str">
        <f ca="1">VLOOKUP(VLOOKUP(dict_DQ_Meth_max[[#This Row],[ID_DataQualities]],table_DataQualities[],3),table_Units[],2)</f>
        <v>+/- cm³/s</v>
      </c>
      <c r="I1346" s="10"/>
      <c r="J1346" s="10"/>
      <c r="K1346" s="10"/>
      <c r="L1346" s="10">
        <f ca="1">VLOOKUP(dict_DQ_Meth_max[[#This Row],[ID_DataQualities]],table_DataQualities[],8,FALSE)</f>
        <v>2.5000000000000001E-3</v>
      </c>
      <c r="M1346" s="10">
        <f ca="1">VLOOKUP(dict_DQ_Meth_max[[#This Row],[ID_DataQualities]],table_DataQualities[],9,FALSE)</f>
        <v>0.17599999999999999</v>
      </c>
    </row>
    <row r="1347" spans="1:13" x14ac:dyDescent="0.45">
      <c r="A1347" s="10">
        <v>359</v>
      </c>
      <c r="B1347" s="10">
        <v>307</v>
      </c>
      <c r="C13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7" s="10"/>
      <c r="E1347" s="10"/>
      <c r="F1347" s="12">
        <f ca="1">(RANDBETWEEN(0,50)/100)*(dict_DQ_Meth_max[[#This Row],[Vergleich_ub]]-dict_DQ_Meth_max[[#This Row],[Vergleich_lb]])+dict_DQ_Meth_max[[#This Row],[Vergleich_lb]]</f>
        <v>7.8839999999999993E-2</v>
      </c>
      <c r="G1347" s="12">
        <f ca="1">(RANDBETWEEN(50,100)/100)*(dict_DQ_Meth_max[[#This Row],[Vergleich_ub]]-dict_DQ_Meth_max[[#This Row],[Vergleich_lb]])+dict_DQ_Meth_max[[#This Row],[Vergleich_lb]]</f>
        <v>0.12568499999999999</v>
      </c>
      <c r="H1347" s="11" t="str">
        <f ca="1">VLOOKUP(VLOOKUP(dict_DQ_Meth_max[[#This Row],[ID_DataQualities]],table_DataQualities[],3),table_Units[],2)</f>
        <v>+/- cm³/s</v>
      </c>
      <c r="I1347" s="10"/>
      <c r="J1347" s="10"/>
      <c r="K1347" s="10"/>
      <c r="L1347" s="10">
        <f ca="1">VLOOKUP(dict_DQ_Meth_max[[#This Row],[ID_DataQualities]],table_DataQualities[],8,FALSE)</f>
        <v>2.5000000000000001E-3</v>
      </c>
      <c r="M1347" s="10">
        <f ca="1">VLOOKUP(dict_DQ_Meth_max[[#This Row],[ID_DataQualities]],table_DataQualities[],9,FALSE)</f>
        <v>0.17599999999999999</v>
      </c>
    </row>
    <row r="1348" spans="1:13" x14ac:dyDescent="0.45">
      <c r="A1348" s="10">
        <v>359</v>
      </c>
      <c r="B1348" s="10">
        <v>551</v>
      </c>
      <c r="C13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8" s="10"/>
      <c r="E1348" s="10"/>
      <c r="F1348" s="12">
        <f ca="1">(RANDBETWEEN(0,50)/100)*(dict_DQ_Meth_max[[#This Row],[Vergleich_ub]]-dict_DQ_Meth_max[[#This Row],[Vergleich_lb]])+dict_DQ_Meth_max[[#This Row],[Vergleich_lb]]</f>
        <v>3.3729999999999996E-2</v>
      </c>
      <c r="G1348" s="12">
        <f ca="1">(RANDBETWEEN(50,100)/100)*(dict_DQ_Meth_max[[#This Row],[Vergleich_ub]]-dict_DQ_Meth_max[[#This Row],[Vergleich_lb]])+dict_DQ_Meth_max[[#This Row],[Vergleich_lb]]</f>
        <v>0.10659999999999999</v>
      </c>
      <c r="H1348" s="11" t="str">
        <f ca="1">VLOOKUP(VLOOKUP(dict_DQ_Meth_max[[#This Row],[ID_DataQualities]],table_DataQualities[],3),table_Units[],2)</f>
        <v>+/- cm³/s</v>
      </c>
      <c r="I1348" s="10"/>
      <c r="J1348" s="10"/>
      <c r="K1348" s="10"/>
      <c r="L1348" s="10">
        <f ca="1">VLOOKUP(dict_DQ_Meth_max[[#This Row],[ID_DataQualities]],table_DataQualities[],8,FALSE)</f>
        <v>2.5000000000000001E-3</v>
      </c>
      <c r="M1348" s="10">
        <f ca="1">VLOOKUP(dict_DQ_Meth_max[[#This Row],[ID_DataQualities]],table_DataQualities[],9,FALSE)</f>
        <v>0.17599999999999999</v>
      </c>
    </row>
    <row r="1349" spans="1:13" x14ac:dyDescent="0.45">
      <c r="A1349" s="10">
        <v>359</v>
      </c>
      <c r="B1349" s="10">
        <v>208</v>
      </c>
      <c r="C13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49" s="10"/>
      <c r="E1349" s="10"/>
      <c r="F1349" s="12">
        <f ca="1">(RANDBETWEEN(0,50)/100)*(dict_DQ_Meth_max[[#This Row],[Vergleich_ub]]-dict_DQ_Meth_max[[#This Row],[Vergleich_lb]])+dict_DQ_Meth_max[[#This Row],[Vergleich_lb]]</f>
        <v>4.761E-2</v>
      </c>
      <c r="G1349" s="12">
        <f ca="1">(RANDBETWEEN(50,100)/100)*(dict_DQ_Meth_max[[#This Row],[Vergleich_ub]]-dict_DQ_Meth_max[[#This Row],[Vergleich_lb]])+dict_DQ_Meth_max[[#This Row],[Vergleich_lb]]</f>
        <v>0.15864999999999999</v>
      </c>
      <c r="H1349" s="11" t="str">
        <f ca="1">VLOOKUP(VLOOKUP(dict_DQ_Meth_max[[#This Row],[ID_DataQualities]],table_DataQualities[],3),table_Units[],2)</f>
        <v>+/- cm³/s</v>
      </c>
      <c r="I1349" s="10"/>
      <c r="J1349" s="10"/>
      <c r="K1349" s="10"/>
      <c r="L1349" s="10">
        <f ca="1">VLOOKUP(dict_DQ_Meth_max[[#This Row],[ID_DataQualities]],table_DataQualities[],8,FALSE)</f>
        <v>2.5000000000000001E-3</v>
      </c>
      <c r="M1349" s="10">
        <f ca="1">VLOOKUP(dict_DQ_Meth_max[[#This Row],[ID_DataQualities]],table_DataQualities[],9,FALSE)</f>
        <v>0.17599999999999999</v>
      </c>
    </row>
    <row r="1350" spans="1:13" x14ac:dyDescent="0.45">
      <c r="A1350" s="10">
        <v>360</v>
      </c>
      <c r="B1350" s="10">
        <v>130</v>
      </c>
      <c r="C13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0" s="10"/>
      <c r="E1350" s="10"/>
      <c r="F1350" s="12">
        <f ca="1">(RANDBETWEEN(0,50)/100)*(dict_DQ_Meth_max[[#This Row],[Vergleich_ub]]-dict_DQ_Meth_max[[#This Row],[Vergleich_lb]])+dict_DQ_Meth_max[[#This Row],[Vergleich_lb]]</f>
        <v>780.48890000000006</v>
      </c>
      <c r="G1350" s="12">
        <f ca="1">(RANDBETWEEN(50,100)/100)*(dict_DQ_Meth_max[[#This Row],[Vergleich_ub]]-dict_DQ_Meth_max[[#This Row],[Vergleich_lb]])+dict_DQ_Meth_max[[#This Row],[Vergleich_lb]]</f>
        <v>1473.3697</v>
      </c>
      <c r="H1350" s="11" t="str">
        <f ca="1">VLOOKUP(VLOOKUP(dict_DQ_Meth_max[[#This Row],[ID_DataQualities]],table_DataQualities[],3),table_Units[],2)</f>
        <v>Hz</v>
      </c>
      <c r="I1350" s="10"/>
      <c r="J1350" s="10"/>
      <c r="K1350" s="10"/>
      <c r="L1350" s="10">
        <f ca="1">VLOOKUP(dict_DQ_Meth_max[[#This Row],[ID_DataQualities]],table_DataQualities[],8,FALSE)</f>
        <v>0.998</v>
      </c>
      <c r="M1350" s="10">
        <f ca="1">VLOOKUP(dict_DQ_Meth_max[[#This Row],[ID_DataQualities]],table_DataQualities[],9,FALSE)</f>
        <v>1733.2</v>
      </c>
    </row>
    <row r="1351" spans="1:13" x14ac:dyDescent="0.45">
      <c r="A1351" s="10">
        <v>361</v>
      </c>
      <c r="B1351" s="10">
        <v>130</v>
      </c>
      <c r="C13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1" s="10"/>
      <c r="E1351" s="10"/>
      <c r="F1351" s="12">
        <f ca="1">(RANDBETWEEN(0,50)/100)*(dict_DQ_Meth_max[[#This Row],[Vergleich_ub]]-dict_DQ_Meth_max[[#This Row],[Vergleich_lb]])+dict_DQ_Meth_max[[#This Row],[Vergleich_lb]]</f>
        <v>0.10825600000000002</v>
      </c>
      <c r="G1351" s="12">
        <f ca="1">(RANDBETWEEN(50,100)/100)*(dict_DQ_Meth_max[[#This Row],[Vergleich_ub]]-dict_DQ_Meth_max[[#This Row],[Vergleich_lb]])+dict_DQ_Meth_max[[#This Row],[Vergleich_lb]]</f>
        <v>0.19098799999999999</v>
      </c>
      <c r="H1351" s="11" t="str">
        <f ca="1">VLOOKUP(VLOOKUP(dict_DQ_Meth_max[[#This Row],[ID_DataQualities]],table_DataQualities[],3),table_Units[],2)</f>
        <v>+/- cm³/s</v>
      </c>
      <c r="I1351" s="10"/>
      <c r="J1351" s="10"/>
      <c r="K1351" s="10"/>
      <c r="L1351" s="10">
        <f ca="1">VLOOKUP(dict_DQ_Meth_max[[#This Row],[ID_DataQualities]],table_DataQualities[],8,FALSE)</f>
        <v>5.4000000000000003E-3</v>
      </c>
      <c r="M1351" s="10">
        <f ca="1">VLOOKUP(dict_DQ_Meth_max[[#This Row],[ID_DataQualities]],table_DataQualities[],9,FALSE)</f>
        <v>0.22900000000000001</v>
      </c>
    </row>
    <row r="1352" spans="1:13" x14ac:dyDescent="0.45">
      <c r="A1352" s="10">
        <v>362</v>
      </c>
      <c r="B1352" s="10">
        <v>90</v>
      </c>
      <c r="C13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2" s="10"/>
      <c r="E1352" s="10"/>
      <c r="F1352" s="12">
        <f ca="1">(RANDBETWEEN(0,50)/100)*(dict_DQ_Meth_max[[#This Row],[Vergleich_ub]]-dict_DQ_Meth_max[[#This Row],[Vergleich_lb]])+dict_DQ_Meth_max[[#This Row],[Vergleich_lb]]</f>
        <v>2358.55456</v>
      </c>
      <c r="G1352" s="12">
        <f ca="1">(RANDBETWEEN(50,100)/100)*(dict_DQ_Meth_max[[#This Row],[Vergleich_ub]]-dict_DQ_Meth_max[[#This Row],[Vergleich_lb]])+dict_DQ_Meth_max[[#This Row],[Vergleich_lb]]</f>
        <v>4454.5772800000004</v>
      </c>
      <c r="H1352" s="11" t="str">
        <f ca="1">VLOOKUP(VLOOKUP(dict_DQ_Meth_max[[#This Row],[ID_DataQualities]],table_DataQualities[],3),table_Units[],2)</f>
        <v>Hz</v>
      </c>
      <c r="I1352" s="10"/>
      <c r="J1352" s="10"/>
      <c r="K1352" s="10"/>
      <c r="L1352" s="10">
        <f ca="1">VLOOKUP(dict_DQ_Meth_max[[#This Row],[ID_DataQualities]],table_DataQualities[],8,FALSE)</f>
        <v>0.52900000000000003</v>
      </c>
      <c r="M1352" s="10">
        <f ca="1">VLOOKUP(dict_DQ_Meth_max[[#This Row],[ID_DataQualities]],table_DataQualities[],9,FALSE)</f>
        <v>6550.6</v>
      </c>
    </row>
    <row r="1353" spans="1:13" x14ac:dyDescent="0.45">
      <c r="A1353" s="10">
        <v>362</v>
      </c>
      <c r="B1353" s="10">
        <v>641</v>
      </c>
      <c r="C13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3" s="10"/>
      <c r="E1353" s="10"/>
      <c r="F1353" s="12">
        <f ca="1">(RANDBETWEEN(0,50)/100)*(dict_DQ_Meth_max[[#This Row],[Vergleich_ub]]-dict_DQ_Meth_max[[#This Row],[Vergleich_lb]])+dict_DQ_Meth_max[[#This Row],[Vergleich_lb]]</f>
        <v>1245.04249</v>
      </c>
      <c r="G1353" s="12">
        <f ca="1">(RANDBETWEEN(50,100)/100)*(dict_DQ_Meth_max[[#This Row],[Vergleich_ub]]-dict_DQ_Meth_max[[#This Row],[Vergleich_lb]])+dict_DQ_Meth_max[[#This Row],[Vergleich_lb]]</f>
        <v>6419.5985799999999</v>
      </c>
      <c r="H1353" s="11" t="str">
        <f ca="1">VLOOKUP(VLOOKUP(dict_DQ_Meth_max[[#This Row],[ID_DataQualities]],table_DataQualities[],3),table_Units[],2)</f>
        <v>Hz</v>
      </c>
      <c r="I1353" s="10"/>
      <c r="J1353" s="10"/>
      <c r="K1353" s="10"/>
      <c r="L1353" s="10">
        <f ca="1">VLOOKUP(dict_DQ_Meth_max[[#This Row],[ID_DataQualities]],table_DataQualities[],8,FALSE)</f>
        <v>0.52900000000000003</v>
      </c>
      <c r="M1353" s="10">
        <f ca="1">VLOOKUP(dict_DQ_Meth_max[[#This Row],[ID_DataQualities]],table_DataQualities[],9,FALSE)</f>
        <v>6550.6</v>
      </c>
    </row>
    <row r="1354" spans="1:13" x14ac:dyDescent="0.45">
      <c r="A1354" s="10">
        <v>362</v>
      </c>
      <c r="B1354" s="10">
        <v>42</v>
      </c>
      <c r="C13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4" s="10"/>
      <c r="E1354" s="10"/>
      <c r="F1354" s="12">
        <f ca="1">(RANDBETWEEN(0,50)/100)*(dict_DQ_Meth_max[[#This Row],[Vergleich_ub]]-dict_DQ_Meth_max[[#This Row],[Vergleich_lb]])+dict_DQ_Meth_max[[#This Row],[Vergleich_lb]]</f>
        <v>2948.06095</v>
      </c>
      <c r="G1354" s="12">
        <f ca="1">(RANDBETWEEN(50,100)/100)*(dict_DQ_Meth_max[[#This Row],[Vergleich_ub]]-dict_DQ_Meth_max[[#This Row],[Vergleich_lb]])+dict_DQ_Meth_max[[#This Row],[Vergleich_lb]]</f>
        <v>5895.5929000000006</v>
      </c>
      <c r="H1354" s="11" t="str">
        <f ca="1">VLOOKUP(VLOOKUP(dict_DQ_Meth_max[[#This Row],[ID_DataQualities]],table_DataQualities[],3),table_Units[],2)</f>
        <v>Hz</v>
      </c>
      <c r="I1354" s="10"/>
      <c r="J1354" s="10"/>
      <c r="K1354" s="10"/>
      <c r="L1354" s="10">
        <f ca="1">VLOOKUP(dict_DQ_Meth_max[[#This Row],[ID_DataQualities]],table_DataQualities[],8,FALSE)</f>
        <v>0.52900000000000003</v>
      </c>
      <c r="M1354" s="10">
        <f ca="1">VLOOKUP(dict_DQ_Meth_max[[#This Row],[ID_DataQualities]],table_DataQualities[],9,FALSE)</f>
        <v>6550.6</v>
      </c>
    </row>
    <row r="1355" spans="1:13" x14ac:dyDescent="0.45">
      <c r="A1355" s="10">
        <v>362</v>
      </c>
      <c r="B1355" s="10">
        <v>385</v>
      </c>
      <c r="C13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5" s="10"/>
      <c r="E1355" s="10"/>
      <c r="F1355" s="12">
        <f ca="1">(RANDBETWEEN(0,50)/100)*(dict_DQ_Meth_max[[#This Row],[Vergleich_ub]]-dict_DQ_Meth_max[[#This Row],[Vergleich_lb]])+dict_DQ_Meth_max[[#This Row],[Vergleich_lb]]</f>
        <v>328.03255000000001</v>
      </c>
      <c r="G1355" s="12">
        <f ca="1">(RANDBETWEEN(50,100)/100)*(dict_DQ_Meth_max[[#This Row],[Vergleich_ub]]-dict_DQ_Meth_max[[#This Row],[Vergleich_lb]])+dict_DQ_Meth_max[[#This Row],[Vergleich_lb]]</f>
        <v>4913.0822500000004</v>
      </c>
      <c r="H1355" s="11" t="str">
        <f ca="1">VLOOKUP(VLOOKUP(dict_DQ_Meth_max[[#This Row],[ID_DataQualities]],table_DataQualities[],3),table_Units[],2)</f>
        <v>Hz</v>
      </c>
      <c r="I1355" s="10"/>
      <c r="J1355" s="10"/>
      <c r="K1355" s="10"/>
      <c r="L1355" s="10">
        <f ca="1">VLOOKUP(dict_DQ_Meth_max[[#This Row],[ID_DataQualities]],table_DataQualities[],8,FALSE)</f>
        <v>0.52900000000000003</v>
      </c>
      <c r="M1355" s="10">
        <f ca="1">VLOOKUP(dict_DQ_Meth_max[[#This Row],[ID_DataQualities]],table_DataQualities[],9,FALSE)</f>
        <v>6550.6</v>
      </c>
    </row>
    <row r="1356" spans="1:13" x14ac:dyDescent="0.45">
      <c r="A1356" s="10">
        <v>362</v>
      </c>
      <c r="B1356" s="10">
        <v>26</v>
      </c>
      <c r="C13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6" s="10"/>
      <c r="E1356" s="10"/>
      <c r="F1356" s="12">
        <f ca="1">(RANDBETWEEN(0,50)/100)*(dict_DQ_Meth_max[[#This Row],[Vergleich_ub]]-dict_DQ_Meth_max[[#This Row],[Vergleich_lb]])+dict_DQ_Meth_max[[#This Row],[Vergleich_lb]]</f>
        <v>1900.0495899999999</v>
      </c>
      <c r="G1356" s="12">
        <f ca="1">(RANDBETWEEN(50,100)/100)*(dict_DQ_Meth_max[[#This Row],[Vergleich_ub]]-dict_DQ_Meth_max[[#This Row],[Vergleich_lb]])+dict_DQ_Meth_max[[#This Row],[Vergleich_lb]]</f>
        <v>4454.5772800000004</v>
      </c>
      <c r="H1356" s="11" t="str">
        <f ca="1">VLOOKUP(VLOOKUP(dict_DQ_Meth_max[[#This Row],[ID_DataQualities]],table_DataQualities[],3),table_Units[],2)</f>
        <v>Hz</v>
      </c>
      <c r="I1356" s="10"/>
      <c r="J1356" s="10"/>
      <c r="K1356" s="10"/>
      <c r="L1356" s="10">
        <f ca="1">VLOOKUP(dict_DQ_Meth_max[[#This Row],[ID_DataQualities]],table_DataQualities[],8,FALSE)</f>
        <v>0.52900000000000003</v>
      </c>
      <c r="M1356" s="10">
        <f ca="1">VLOOKUP(dict_DQ_Meth_max[[#This Row],[ID_DataQualities]],table_DataQualities[],9,FALSE)</f>
        <v>6550.6</v>
      </c>
    </row>
    <row r="1357" spans="1:13" x14ac:dyDescent="0.45">
      <c r="A1357" s="10">
        <v>363</v>
      </c>
      <c r="B1357" s="10">
        <v>641</v>
      </c>
      <c r="C13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7" s="10"/>
      <c r="E1357" s="10"/>
      <c r="F1357" s="12">
        <f ca="1">(RANDBETWEEN(0,50)/100)*(dict_DQ_Meth_max[[#This Row],[Vergleich_ub]]-dict_DQ_Meth_max[[#This Row],[Vergleich_lb]])+dict_DQ_Meth_max[[#This Row],[Vergleich_lb]]</f>
        <v>0.84284999999999999</v>
      </c>
      <c r="G1357" s="12">
        <f ca="1">(RANDBETWEEN(50,100)/100)*(dict_DQ_Meth_max[[#This Row],[Vergleich_ub]]-dict_DQ_Meth_max[[#This Row],[Vergleich_lb]])+dict_DQ_Meth_max[[#This Row],[Vergleich_lb]]</f>
        <v>6.0732000000000008</v>
      </c>
      <c r="H1357" s="11" t="str">
        <f ca="1">VLOOKUP(VLOOKUP(dict_DQ_Meth_max[[#This Row],[ID_DataQualities]],table_DataQualities[],3),table_Units[],2)</f>
        <v>+/- W</v>
      </c>
      <c r="I1357" s="10"/>
      <c r="J1357" s="10"/>
      <c r="K1357" s="10"/>
      <c r="L1357" s="10">
        <f ca="1">VLOOKUP(dict_DQ_Meth_max[[#This Row],[ID_DataQualities]],table_DataQualities[],8,FALSE)</f>
        <v>4.4999999999999998E-2</v>
      </c>
      <c r="M1357" s="10">
        <f ca="1">VLOOKUP(dict_DQ_Meth_max[[#This Row],[ID_DataQualities]],table_DataQualities[],9,FALSE)</f>
        <v>8.91</v>
      </c>
    </row>
    <row r="1358" spans="1:13" x14ac:dyDescent="0.45">
      <c r="A1358" s="10">
        <v>363</v>
      </c>
      <c r="B1358" s="10">
        <v>90</v>
      </c>
      <c r="C13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8" s="10"/>
      <c r="E1358" s="10"/>
      <c r="F1358" s="12">
        <f ca="1">(RANDBETWEEN(0,50)/100)*(dict_DQ_Meth_max[[#This Row],[Vergleich_ub]]-dict_DQ_Meth_max[[#This Row],[Vergleich_lb]])+dict_DQ_Meth_max[[#This Row],[Vergleich_lb]]</f>
        <v>0.66555000000000009</v>
      </c>
      <c r="G1358" s="12">
        <f ca="1">(RANDBETWEEN(50,100)/100)*(dict_DQ_Meth_max[[#This Row],[Vergleich_ub]]-dict_DQ_Meth_max[[#This Row],[Vergleich_lb]])+dict_DQ_Meth_max[[#This Row],[Vergleich_lb]]</f>
        <v>5.8072500000000007</v>
      </c>
      <c r="H1358" s="11" t="str">
        <f ca="1">VLOOKUP(VLOOKUP(dict_DQ_Meth_max[[#This Row],[ID_DataQualities]],table_DataQualities[],3),table_Units[],2)</f>
        <v>+/- W</v>
      </c>
      <c r="I1358" s="10"/>
      <c r="J1358" s="10"/>
      <c r="K1358" s="10"/>
      <c r="L1358" s="10">
        <f ca="1">VLOOKUP(dict_DQ_Meth_max[[#This Row],[ID_DataQualities]],table_DataQualities[],8,FALSE)</f>
        <v>4.4999999999999998E-2</v>
      </c>
      <c r="M1358" s="10">
        <f ca="1">VLOOKUP(dict_DQ_Meth_max[[#This Row],[ID_DataQualities]],table_DataQualities[],9,FALSE)</f>
        <v>8.91</v>
      </c>
    </row>
    <row r="1359" spans="1:13" x14ac:dyDescent="0.45">
      <c r="A1359" s="10">
        <v>363</v>
      </c>
      <c r="B1359" s="10">
        <v>42</v>
      </c>
      <c r="C13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59" s="10"/>
      <c r="E1359" s="10"/>
      <c r="F1359" s="12">
        <f ca="1">(RANDBETWEEN(0,50)/100)*(dict_DQ_Meth_max[[#This Row],[Vergleich_ub]]-dict_DQ_Meth_max[[#This Row],[Vergleich_lb]])+dict_DQ_Meth_max[[#This Row],[Vergleich_lb]]</f>
        <v>0.93150000000000011</v>
      </c>
      <c r="G1359" s="12">
        <f ca="1">(RANDBETWEEN(50,100)/100)*(dict_DQ_Meth_max[[#This Row],[Vergleich_ub]]-dict_DQ_Meth_max[[#This Row],[Vergleich_lb]])+dict_DQ_Meth_max[[#This Row],[Vergleich_lb]]</f>
        <v>7.3142999999999994</v>
      </c>
      <c r="H1359" s="11" t="str">
        <f ca="1">VLOOKUP(VLOOKUP(dict_DQ_Meth_max[[#This Row],[ID_DataQualities]],table_DataQualities[],3),table_Units[],2)</f>
        <v>+/- W</v>
      </c>
      <c r="I1359" s="10"/>
      <c r="J1359" s="10"/>
      <c r="K1359" s="10"/>
      <c r="L1359" s="10">
        <f ca="1">VLOOKUP(dict_DQ_Meth_max[[#This Row],[ID_DataQualities]],table_DataQualities[],8,FALSE)</f>
        <v>4.4999999999999998E-2</v>
      </c>
      <c r="M1359" s="10">
        <f ca="1">VLOOKUP(dict_DQ_Meth_max[[#This Row],[ID_DataQualities]],table_DataQualities[],9,FALSE)</f>
        <v>8.91</v>
      </c>
    </row>
    <row r="1360" spans="1:13" x14ac:dyDescent="0.45">
      <c r="A1360" s="10">
        <v>363</v>
      </c>
      <c r="B1360" s="10">
        <v>26</v>
      </c>
      <c r="C13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0" s="10"/>
      <c r="E1360" s="10"/>
      <c r="F1360" s="12">
        <f ca="1">(RANDBETWEEN(0,50)/100)*(dict_DQ_Meth_max[[#This Row],[Vergleich_ub]]-dict_DQ_Meth_max[[#This Row],[Vergleich_lb]])+dict_DQ_Meth_max[[#This Row],[Vergleich_lb]]</f>
        <v>0.39960000000000001</v>
      </c>
      <c r="G1360" s="12">
        <f ca="1">(RANDBETWEEN(50,100)/100)*(dict_DQ_Meth_max[[#This Row],[Vergleich_ub]]-dict_DQ_Meth_max[[#This Row],[Vergleich_lb]])+dict_DQ_Meth_max[[#This Row],[Vergleich_lb]]</f>
        <v>5.7186000000000003</v>
      </c>
      <c r="H1360" s="11" t="str">
        <f ca="1">VLOOKUP(VLOOKUP(dict_DQ_Meth_max[[#This Row],[ID_DataQualities]],table_DataQualities[],3),table_Units[],2)</f>
        <v>+/- W</v>
      </c>
      <c r="I1360" s="10"/>
      <c r="J1360" s="10"/>
      <c r="K1360" s="10"/>
      <c r="L1360" s="10">
        <f ca="1">VLOOKUP(dict_DQ_Meth_max[[#This Row],[ID_DataQualities]],table_DataQualities[],8,FALSE)</f>
        <v>4.4999999999999998E-2</v>
      </c>
      <c r="M1360" s="10">
        <f ca="1">VLOOKUP(dict_DQ_Meth_max[[#This Row],[ID_DataQualities]],table_DataQualities[],9,FALSE)</f>
        <v>8.91</v>
      </c>
    </row>
    <row r="1361" spans="1:13" x14ac:dyDescent="0.45">
      <c r="A1361" s="10">
        <v>363</v>
      </c>
      <c r="B1361" s="10">
        <v>385</v>
      </c>
      <c r="C13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1" s="10"/>
      <c r="E1361" s="10"/>
      <c r="F1361" s="12">
        <f ca="1">(RANDBETWEEN(0,50)/100)*(dict_DQ_Meth_max[[#This Row],[Vergleich_ub]]-dict_DQ_Meth_max[[#This Row],[Vergleich_lb]])+dict_DQ_Meth_max[[#This Row],[Vergleich_lb]]</f>
        <v>1.5520500000000002</v>
      </c>
      <c r="G1361" s="12">
        <f ca="1">(RANDBETWEEN(50,100)/100)*(dict_DQ_Meth_max[[#This Row],[Vergleich_ub]]-dict_DQ_Meth_max[[#This Row],[Vergleich_lb]])+dict_DQ_Meth_max[[#This Row],[Vergleich_lb]]</f>
        <v>6.6937499999999996</v>
      </c>
      <c r="H1361" s="11" t="str">
        <f ca="1">VLOOKUP(VLOOKUP(dict_DQ_Meth_max[[#This Row],[ID_DataQualities]],table_DataQualities[],3),table_Units[],2)</f>
        <v>+/- W</v>
      </c>
      <c r="I1361" s="10"/>
      <c r="J1361" s="10"/>
      <c r="K1361" s="10"/>
      <c r="L1361" s="10">
        <f ca="1">VLOOKUP(dict_DQ_Meth_max[[#This Row],[ID_DataQualities]],table_DataQualities[],8,FALSE)</f>
        <v>4.4999999999999998E-2</v>
      </c>
      <c r="M1361" s="10">
        <f ca="1">VLOOKUP(dict_DQ_Meth_max[[#This Row],[ID_DataQualities]],table_DataQualities[],9,FALSE)</f>
        <v>8.91</v>
      </c>
    </row>
    <row r="1362" spans="1:13" x14ac:dyDescent="0.45">
      <c r="A1362" s="10">
        <v>364</v>
      </c>
      <c r="B1362" s="10">
        <v>120</v>
      </c>
      <c r="C13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2" s="10"/>
      <c r="E1362" s="10"/>
      <c r="F1362" s="12">
        <f ca="1">(RANDBETWEEN(0,50)/100)*(dict_DQ_Meth_max[[#This Row],[Vergleich_ub]]-dict_DQ_Meth_max[[#This Row],[Vergleich_lb]])+dict_DQ_Meth_max[[#This Row],[Vergleich_lb]]</f>
        <v>624.66751999999997</v>
      </c>
      <c r="G1362" s="12">
        <f ca="1">(RANDBETWEEN(50,100)/100)*(dict_DQ_Meth_max[[#This Row],[Vergleich_ub]]-dict_DQ_Meth_max[[#This Row],[Vergleich_lb]])+dict_DQ_Meth_max[[#This Row],[Vergleich_lb]]</f>
        <v>4523.5020199999999</v>
      </c>
      <c r="H1362" s="11" t="str">
        <f ca="1">VLOOKUP(VLOOKUP(dict_DQ_Meth_max[[#This Row],[ID_DataQualities]],table_DataQualities[],3),table_Units[],2)</f>
        <v>Hz</v>
      </c>
      <c r="I1362" s="10"/>
      <c r="J1362" s="10"/>
      <c r="K1362" s="10"/>
      <c r="L1362" s="10">
        <f ca="1">VLOOKUP(dict_DQ_Meth_max[[#This Row],[ID_DataQualities]],table_DataQualities[],8,FALSE)</f>
        <v>0.85399999999999998</v>
      </c>
      <c r="M1362" s="10">
        <f ca="1">VLOOKUP(dict_DQ_Meth_max[[#This Row],[ID_DataQualities]],table_DataQualities[],9,FALSE)</f>
        <v>5199.3</v>
      </c>
    </row>
    <row r="1363" spans="1:13" x14ac:dyDescent="0.45">
      <c r="A1363" s="10">
        <v>364</v>
      </c>
      <c r="B1363" s="10">
        <v>186</v>
      </c>
      <c r="C13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3" s="10"/>
      <c r="E1363" s="10"/>
      <c r="F1363" s="12">
        <f ca="1">(RANDBETWEEN(0,50)/100)*(dict_DQ_Meth_max[[#This Row],[Vergleich_ub]]-dict_DQ_Meth_max[[#This Row],[Vergleich_lb]])+dict_DQ_Meth_max[[#This Row],[Vergleich_lb]]</f>
        <v>1716.3411800000001</v>
      </c>
      <c r="G1363" s="12">
        <f ca="1">(RANDBETWEEN(50,100)/100)*(dict_DQ_Meth_max[[#This Row],[Vergleich_ub]]-dict_DQ_Meth_max[[#This Row],[Vergleich_lb]])+dict_DQ_Meth_max[[#This Row],[Vergleich_lb]]</f>
        <v>4159.6108000000004</v>
      </c>
      <c r="H1363" s="11" t="str">
        <f ca="1">VLOOKUP(VLOOKUP(dict_DQ_Meth_max[[#This Row],[ID_DataQualities]],table_DataQualities[],3),table_Units[],2)</f>
        <v>Hz</v>
      </c>
      <c r="I1363" s="10"/>
      <c r="J1363" s="10"/>
      <c r="K1363" s="10"/>
      <c r="L1363" s="10">
        <f ca="1">VLOOKUP(dict_DQ_Meth_max[[#This Row],[ID_DataQualities]],table_DataQualities[],8,FALSE)</f>
        <v>0.85399999999999998</v>
      </c>
      <c r="M1363" s="10">
        <f ca="1">VLOOKUP(dict_DQ_Meth_max[[#This Row],[ID_DataQualities]],table_DataQualities[],9,FALSE)</f>
        <v>5199.3</v>
      </c>
    </row>
    <row r="1364" spans="1:13" x14ac:dyDescent="0.45">
      <c r="A1364" s="10">
        <v>364</v>
      </c>
      <c r="B1364" s="10">
        <v>433</v>
      </c>
      <c r="C13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4" s="10"/>
      <c r="E1364" s="10"/>
      <c r="F1364" s="12">
        <f ca="1">(RANDBETWEEN(0,50)/100)*(dict_DQ_Meth_max[[#This Row],[Vergleich_ub]]-dict_DQ_Meth_max[[#This Row],[Vergleich_lb]])+dict_DQ_Meth_max[[#This Row],[Vergleich_lb]]</f>
        <v>1040.5432000000001</v>
      </c>
      <c r="G1364" s="12">
        <f ca="1">(RANDBETWEEN(50,100)/100)*(dict_DQ_Meth_max[[#This Row],[Vergleich_ub]]-dict_DQ_Meth_max[[#This Row],[Vergleich_lb]])+dict_DQ_Meth_max[[#This Row],[Vergleich_lb]]</f>
        <v>3899.6884999999997</v>
      </c>
      <c r="H1364" s="11" t="str">
        <f ca="1">VLOOKUP(VLOOKUP(dict_DQ_Meth_max[[#This Row],[ID_DataQualities]],table_DataQualities[],3),table_Units[],2)</f>
        <v>Hz</v>
      </c>
      <c r="I1364" s="10"/>
      <c r="J1364" s="10"/>
      <c r="K1364" s="10"/>
      <c r="L1364" s="10">
        <f ca="1">VLOOKUP(dict_DQ_Meth_max[[#This Row],[ID_DataQualities]],table_DataQualities[],8,FALSE)</f>
        <v>0.85399999999999998</v>
      </c>
      <c r="M1364" s="10">
        <f ca="1">VLOOKUP(dict_DQ_Meth_max[[#This Row],[ID_DataQualities]],table_DataQualities[],9,FALSE)</f>
        <v>5199.3</v>
      </c>
    </row>
    <row r="1365" spans="1:13" x14ac:dyDescent="0.45">
      <c r="A1365" s="10">
        <v>364</v>
      </c>
      <c r="B1365" s="10">
        <v>492</v>
      </c>
      <c r="C13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5" s="10"/>
      <c r="E1365" s="10"/>
      <c r="F1365" s="12">
        <f ca="1">(RANDBETWEEN(0,50)/100)*(dict_DQ_Meth_max[[#This Row],[Vergleich_ub]]-dict_DQ_Meth_max[[#This Row],[Vergleich_lb]])+dict_DQ_Meth_max[[#This Row],[Vergleich_lb]]</f>
        <v>1612.3722600000001</v>
      </c>
      <c r="G1365" s="12">
        <f ca="1">(RANDBETWEEN(50,100)/100)*(dict_DQ_Meth_max[[#This Row],[Vergleich_ub]]-dict_DQ_Meth_max[[#This Row],[Vergleich_lb]])+dict_DQ_Meth_max[[#This Row],[Vergleich_lb]]</f>
        <v>3691.7506599999997</v>
      </c>
      <c r="H1365" s="11" t="str">
        <f ca="1">VLOOKUP(VLOOKUP(dict_DQ_Meth_max[[#This Row],[ID_DataQualities]],table_DataQualities[],3),table_Units[],2)</f>
        <v>Hz</v>
      </c>
      <c r="I1365" s="10"/>
      <c r="J1365" s="10"/>
      <c r="K1365" s="10"/>
      <c r="L1365" s="10">
        <f ca="1">VLOOKUP(dict_DQ_Meth_max[[#This Row],[ID_DataQualities]],table_DataQualities[],8,FALSE)</f>
        <v>0.85399999999999998</v>
      </c>
      <c r="M1365" s="10">
        <f ca="1">VLOOKUP(dict_DQ_Meth_max[[#This Row],[ID_DataQualities]],table_DataQualities[],9,FALSE)</f>
        <v>5199.3</v>
      </c>
    </row>
    <row r="1366" spans="1:13" x14ac:dyDescent="0.45">
      <c r="A1366" s="10">
        <v>365</v>
      </c>
      <c r="B1366" s="10">
        <v>120</v>
      </c>
      <c r="C13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6" s="10"/>
      <c r="E1366" s="10"/>
      <c r="F1366" s="12">
        <f ca="1">(RANDBETWEEN(0,50)/100)*(dict_DQ_Meth_max[[#This Row],[Vergleich_ub]]-dict_DQ_Meth_max[[#This Row],[Vergleich_lb]])+dict_DQ_Meth_max[[#This Row],[Vergleich_lb]]</f>
        <v>1.246</v>
      </c>
      <c r="G1366" s="12">
        <f ca="1">(RANDBETWEEN(50,100)/100)*(dict_DQ_Meth_max[[#This Row],[Vergleich_ub]]-dict_DQ_Meth_max[[#This Row],[Vergleich_lb]])+dict_DQ_Meth_max[[#This Row],[Vergleich_lb]]</f>
        <v>1.74</v>
      </c>
      <c r="H1366" s="11" t="str">
        <f ca="1">VLOOKUP(VLOOKUP(dict_DQ_Meth_max[[#This Row],[ID_DataQualities]],table_DataQualities[],3),table_Units[],2)</f>
        <v>+/- °C</v>
      </c>
      <c r="I1366" s="10"/>
      <c r="J1366" s="10"/>
      <c r="K1366" s="10"/>
      <c r="L1366" s="10">
        <f ca="1">VLOOKUP(dict_DQ_Meth_max[[#This Row],[ID_DataQualities]],table_DataQualities[],8,FALSE)</f>
        <v>0.7</v>
      </c>
      <c r="M1366" s="10">
        <f ca="1">VLOOKUP(dict_DQ_Meth_max[[#This Row],[ID_DataQualities]],table_DataQualities[],9,FALSE)</f>
        <v>2</v>
      </c>
    </row>
    <row r="1367" spans="1:13" x14ac:dyDescent="0.45">
      <c r="A1367" s="10">
        <v>365</v>
      </c>
      <c r="B1367" s="10">
        <v>433</v>
      </c>
      <c r="C13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7" s="10"/>
      <c r="E1367" s="10"/>
      <c r="F1367" s="12">
        <f ca="1">(RANDBETWEEN(0,50)/100)*(dict_DQ_Meth_max[[#This Row],[Vergleich_ub]]-dict_DQ_Meth_max[[#This Row],[Vergleich_lb]])+dict_DQ_Meth_max[[#This Row],[Vergleich_lb]]</f>
        <v>0.79099999999999993</v>
      </c>
      <c r="G1367" s="12">
        <f ca="1">(RANDBETWEEN(50,100)/100)*(dict_DQ_Meth_max[[#This Row],[Vergleich_ub]]-dict_DQ_Meth_max[[#This Row],[Vergleich_lb]])+dict_DQ_Meth_max[[#This Row],[Vergleich_lb]]</f>
        <v>1.649</v>
      </c>
      <c r="H1367" s="11" t="str">
        <f ca="1">VLOOKUP(VLOOKUP(dict_DQ_Meth_max[[#This Row],[ID_DataQualities]],table_DataQualities[],3),table_Units[],2)</f>
        <v>+/- °C</v>
      </c>
      <c r="I1367" s="10"/>
      <c r="J1367" s="10"/>
      <c r="K1367" s="10"/>
      <c r="L1367" s="10">
        <f ca="1">VLOOKUP(dict_DQ_Meth_max[[#This Row],[ID_DataQualities]],table_DataQualities[],8,FALSE)</f>
        <v>0.7</v>
      </c>
      <c r="M1367" s="10">
        <f ca="1">VLOOKUP(dict_DQ_Meth_max[[#This Row],[ID_DataQualities]],table_DataQualities[],9,FALSE)</f>
        <v>2</v>
      </c>
    </row>
    <row r="1368" spans="1:13" x14ac:dyDescent="0.45">
      <c r="A1368" s="10">
        <v>365</v>
      </c>
      <c r="B1368" s="10">
        <v>186</v>
      </c>
      <c r="C13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8" s="10"/>
      <c r="E1368" s="10"/>
      <c r="F1368" s="12">
        <f ca="1">(RANDBETWEEN(0,50)/100)*(dict_DQ_Meth_max[[#This Row],[Vergleich_ub]]-dict_DQ_Meth_max[[#This Row],[Vergleich_lb]])+dict_DQ_Meth_max[[#This Row],[Vergleich_lb]]</f>
        <v>1.2850000000000001</v>
      </c>
      <c r="G1368" s="12">
        <f ca="1">(RANDBETWEEN(50,100)/100)*(dict_DQ_Meth_max[[#This Row],[Vergleich_ub]]-dict_DQ_Meth_max[[#This Row],[Vergleich_lb]])+dict_DQ_Meth_max[[#This Row],[Vergleich_lb]]</f>
        <v>1.675</v>
      </c>
      <c r="H1368" s="11" t="str">
        <f ca="1">VLOOKUP(VLOOKUP(dict_DQ_Meth_max[[#This Row],[ID_DataQualities]],table_DataQualities[],3),table_Units[],2)</f>
        <v>+/- °C</v>
      </c>
      <c r="I1368" s="10"/>
      <c r="J1368" s="10"/>
      <c r="K1368" s="10"/>
      <c r="L1368" s="10">
        <f ca="1">VLOOKUP(dict_DQ_Meth_max[[#This Row],[ID_DataQualities]],table_DataQualities[],8,FALSE)</f>
        <v>0.7</v>
      </c>
      <c r="M1368" s="10">
        <f ca="1">VLOOKUP(dict_DQ_Meth_max[[#This Row],[ID_DataQualities]],table_DataQualities[],9,FALSE)</f>
        <v>2</v>
      </c>
    </row>
    <row r="1369" spans="1:13" x14ac:dyDescent="0.45">
      <c r="A1369" s="10">
        <v>365</v>
      </c>
      <c r="B1369" s="10">
        <v>492</v>
      </c>
      <c r="C13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69" s="10"/>
      <c r="E1369" s="10"/>
      <c r="F1369" s="12">
        <f ca="1">(RANDBETWEEN(0,50)/100)*(dict_DQ_Meth_max[[#This Row],[Vergleich_ub]]-dict_DQ_Meth_max[[#This Row],[Vergleich_lb]])+dict_DQ_Meth_max[[#This Row],[Vergleich_lb]]</f>
        <v>0.90799999999999992</v>
      </c>
      <c r="G1369" s="12">
        <f ca="1">(RANDBETWEEN(50,100)/100)*(dict_DQ_Meth_max[[#This Row],[Vergleich_ub]]-dict_DQ_Meth_max[[#This Row],[Vergleich_lb]])+dict_DQ_Meth_max[[#This Row],[Vergleich_lb]]</f>
        <v>1.9349999999999998</v>
      </c>
      <c r="H1369" s="11" t="str">
        <f ca="1">VLOOKUP(VLOOKUP(dict_DQ_Meth_max[[#This Row],[ID_DataQualities]],table_DataQualities[],3),table_Units[],2)</f>
        <v>+/- °C</v>
      </c>
      <c r="I1369" s="10"/>
      <c r="J1369" s="10"/>
      <c r="K1369" s="10"/>
      <c r="L1369" s="10">
        <f ca="1">VLOOKUP(dict_DQ_Meth_max[[#This Row],[ID_DataQualities]],table_DataQualities[],8,FALSE)</f>
        <v>0.7</v>
      </c>
      <c r="M1369" s="10">
        <f ca="1">VLOOKUP(dict_DQ_Meth_max[[#This Row],[ID_DataQualities]],table_DataQualities[],9,FALSE)</f>
        <v>2</v>
      </c>
    </row>
    <row r="1370" spans="1:13" x14ac:dyDescent="0.45">
      <c r="A1370" s="10">
        <v>366</v>
      </c>
      <c r="B1370" s="10">
        <v>402</v>
      </c>
      <c r="C13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0" s="10"/>
      <c r="E1370" s="10"/>
      <c r="F1370" s="12">
        <f ca="1">(RANDBETWEEN(0,50)/100)*(dict_DQ_Meth_max[[#This Row],[Vergleich_ub]]-dict_DQ_Meth_max[[#This Row],[Vergleich_lb]])+dict_DQ_Meth_max[[#This Row],[Vergleich_lb]]</f>
        <v>482.48828000000003</v>
      </c>
      <c r="G1370" s="12">
        <f ca="1">(RANDBETWEEN(50,100)/100)*(dict_DQ_Meth_max[[#This Row],[Vergleich_ub]]-dict_DQ_Meth_max[[#This Row],[Vergleich_lb]])+dict_DQ_Meth_max[[#This Row],[Vergleich_lb]]</f>
        <v>6817.2439600000007</v>
      </c>
      <c r="H1370" s="11" t="str">
        <f ca="1">VLOOKUP(VLOOKUP(dict_DQ_Meth_max[[#This Row],[ID_DataQualities]],table_DataQualities[],3),table_Units[],2)</f>
        <v>Hz</v>
      </c>
      <c r="I1370" s="10"/>
      <c r="J1370" s="10"/>
      <c r="K1370" s="10"/>
      <c r="L1370" s="10">
        <f ca="1">VLOOKUP(dict_DQ_Meth_max[[#This Row],[ID_DataQualities]],table_DataQualities[],8,FALSE)</f>
        <v>0.496</v>
      </c>
      <c r="M1370" s="10">
        <f ca="1">VLOOKUP(dict_DQ_Meth_max[[#This Row],[ID_DataQualities]],table_DataQualities[],9,FALSE)</f>
        <v>6886.1</v>
      </c>
    </row>
    <row r="1371" spans="1:13" x14ac:dyDescent="0.45">
      <c r="A1371" s="10">
        <v>366</v>
      </c>
      <c r="B1371" s="10">
        <v>581</v>
      </c>
      <c r="C13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1" s="10"/>
      <c r="E1371" s="10"/>
      <c r="F1371" s="12">
        <f ca="1">(RANDBETWEEN(0,50)/100)*(dict_DQ_Meth_max[[#This Row],[Vergleich_ub]]-dict_DQ_Meth_max[[#This Row],[Vergleich_lb]])+dict_DQ_Meth_max[[#This Row],[Vergleich_lb]]</f>
        <v>1721.8970000000002</v>
      </c>
      <c r="G1371" s="12">
        <f ca="1">(RANDBETWEEN(50,100)/100)*(dict_DQ_Meth_max[[#This Row],[Vergleich_ub]]-dict_DQ_Meth_max[[#This Row],[Vergleich_lb]])+dict_DQ_Meth_max[[#This Row],[Vergleich_lb]]</f>
        <v>4407.2825600000006</v>
      </c>
      <c r="H1371" s="11" t="str">
        <f ca="1">VLOOKUP(VLOOKUP(dict_DQ_Meth_max[[#This Row],[ID_DataQualities]],table_DataQualities[],3),table_Units[],2)</f>
        <v>Hz</v>
      </c>
      <c r="I1371" s="10"/>
      <c r="J1371" s="10"/>
      <c r="K1371" s="10"/>
      <c r="L1371" s="10">
        <f ca="1">VLOOKUP(dict_DQ_Meth_max[[#This Row],[ID_DataQualities]],table_DataQualities[],8,FALSE)</f>
        <v>0.496</v>
      </c>
      <c r="M1371" s="10">
        <f ca="1">VLOOKUP(dict_DQ_Meth_max[[#This Row],[ID_DataQualities]],table_DataQualities[],9,FALSE)</f>
        <v>6886.1</v>
      </c>
    </row>
    <row r="1372" spans="1:13" x14ac:dyDescent="0.45">
      <c r="A1372" s="10">
        <v>366</v>
      </c>
      <c r="B1372" s="10">
        <v>456</v>
      </c>
      <c r="C13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2" s="10"/>
      <c r="E1372" s="10"/>
      <c r="F1372" s="12">
        <f ca="1">(RANDBETWEEN(0,50)/100)*(dict_DQ_Meth_max[[#This Row],[Vergleich_ub]]-dict_DQ_Meth_max[[#This Row],[Vergleich_lb]])+dict_DQ_Meth_max[[#This Row],[Vergleich_lb]]</f>
        <v>2823.5936400000001</v>
      </c>
      <c r="G1372" s="12">
        <f ca="1">(RANDBETWEEN(50,100)/100)*(dict_DQ_Meth_max[[#This Row],[Vergleich_ub]]-dict_DQ_Meth_max[[#This Row],[Vergleich_lb]])+dict_DQ_Meth_max[[#This Row],[Vergleich_lb]]</f>
        <v>4958.1308799999997</v>
      </c>
      <c r="H1372" s="11" t="str">
        <f ca="1">VLOOKUP(VLOOKUP(dict_DQ_Meth_max[[#This Row],[ID_DataQualities]],table_DataQualities[],3),table_Units[],2)</f>
        <v>Hz</v>
      </c>
      <c r="I1372" s="10"/>
      <c r="J1372" s="10"/>
      <c r="K1372" s="10"/>
      <c r="L1372" s="10">
        <f ca="1">VLOOKUP(dict_DQ_Meth_max[[#This Row],[ID_DataQualities]],table_DataQualities[],8,FALSE)</f>
        <v>0.496</v>
      </c>
      <c r="M1372" s="10">
        <f ca="1">VLOOKUP(dict_DQ_Meth_max[[#This Row],[ID_DataQualities]],table_DataQualities[],9,FALSE)</f>
        <v>6886.1</v>
      </c>
    </row>
    <row r="1373" spans="1:13" x14ac:dyDescent="0.45">
      <c r="A1373" s="10">
        <v>367</v>
      </c>
      <c r="B1373" s="10">
        <v>581</v>
      </c>
      <c r="C13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3" s="10"/>
      <c r="E1373" s="10"/>
      <c r="F1373" s="12">
        <f ca="1">(RANDBETWEEN(0,50)/100)*(dict_DQ_Meth_max[[#This Row],[Vergleich_ub]]-dict_DQ_Meth_max[[#This Row],[Vergleich_lb]])+dict_DQ_Meth_max[[#This Row],[Vergleich_lb]]</f>
        <v>0.27490000000000003</v>
      </c>
      <c r="G1373" s="12">
        <f ca="1">(RANDBETWEEN(50,100)/100)*(dict_DQ_Meth_max[[#This Row],[Vergleich_ub]]-dict_DQ_Meth_max[[#This Row],[Vergleich_lb]])+dict_DQ_Meth_max[[#This Row],[Vergleich_lb]]</f>
        <v>1.8895000000000004</v>
      </c>
      <c r="H1373" s="11" t="str">
        <f ca="1">VLOOKUP(VLOOKUP(dict_DQ_Meth_max[[#This Row],[ID_DataQualities]],table_DataQualities[],3),table_Units[],2)</f>
        <v>+/- mm/s</v>
      </c>
      <c r="I1373" s="10"/>
      <c r="J1373" s="10"/>
      <c r="K1373" s="10"/>
      <c r="L1373" s="10">
        <f ca="1">VLOOKUP(dict_DQ_Meth_max[[#This Row],[ID_DataQualities]],table_DataQualities[],8,FALSE)</f>
        <v>0.13</v>
      </c>
      <c r="M1373" s="10">
        <f ca="1">VLOOKUP(dict_DQ_Meth_max[[#This Row],[ID_DataQualities]],table_DataQualities[],9,FALSE)</f>
        <v>2.2000000000000002</v>
      </c>
    </row>
    <row r="1374" spans="1:13" x14ac:dyDescent="0.45">
      <c r="A1374" s="10">
        <v>367</v>
      </c>
      <c r="B1374" s="10">
        <v>402</v>
      </c>
      <c r="C13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4" s="10"/>
      <c r="E1374" s="10"/>
      <c r="F1374" s="12">
        <f ca="1">(RANDBETWEEN(0,50)/100)*(dict_DQ_Meth_max[[#This Row],[Vergleich_ub]]-dict_DQ_Meth_max[[#This Row],[Vergleich_lb]])+dict_DQ_Meth_max[[#This Row],[Vergleich_lb]]</f>
        <v>0.7924000000000001</v>
      </c>
      <c r="G1374" s="12">
        <f ca="1">(RANDBETWEEN(50,100)/100)*(dict_DQ_Meth_max[[#This Row],[Vergleich_ub]]-dict_DQ_Meth_max[[#This Row],[Vergleich_lb]])+dict_DQ_Meth_max[[#This Row],[Vergleich_lb]]</f>
        <v>1.6825000000000001</v>
      </c>
      <c r="H1374" s="11" t="str">
        <f ca="1">VLOOKUP(VLOOKUP(dict_DQ_Meth_max[[#This Row],[ID_DataQualities]],table_DataQualities[],3),table_Units[],2)</f>
        <v>+/- mm/s</v>
      </c>
      <c r="I1374" s="10"/>
      <c r="J1374" s="10"/>
      <c r="K1374" s="10"/>
      <c r="L1374" s="10">
        <f ca="1">VLOOKUP(dict_DQ_Meth_max[[#This Row],[ID_DataQualities]],table_DataQualities[],8,FALSE)</f>
        <v>0.13</v>
      </c>
      <c r="M1374" s="10">
        <f ca="1">VLOOKUP(dict_DQ_Meth_max[[#This Row],[ID_DataQualities]],table_DataQualities[],9,FALSE)</f>
        <v>2.2000000000000002</v>
      </c>
    </row>
    <row r="1375" spans="1:13" x14ac:dyDescent="0.45">
      <c r="A1375" s="10">
        <v>367</v>
      </c>
      <c r="B1375" s="10">
        <v>456</v>
      </c>
      <c r="C13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5" s="10"/>
      <c r="E1375" s="10"/>
      <c r="F1375" s="12">
        <f ca="1">(RANDBETWEEN(0,50)/100)*(dict_DQ_Meth_max[[#This Row],[Vergleich_ub]]-dict_DQ_Meth_max[[#This Row],[Vergleich_lb]])+dict_DQ_Meth_max[[#This Row],[Vergleich_lb]]</f>
        <v>0.1714</v>
      </c>
      <c r="G1375" s="12">
        <f ca="1">(RANDBETWEEN(50,100)/100)*(dict_DQ_Meth_max[[#This Row],[Vergleich_ub]]-dict_DQ_Meth_max[[#This Row],[Vergleich_lb]])+dict_DQ_Meth_max[[#This Row],[Vergleich_lb]]</f>
        <v>1.2685000000000004</v>
      </c>
      <c r="H1375" s="11" t="str">
        <f ca="1">VLOOKUP(VLOOKUP(dict_DQ_Meth_max[[#This Row],[ID_DataQualities]],table_DataQualities[],3),table_Units[],2)</f>
        <v>+/- mm/s</v>
      </c>
      <c r="I1375" s="10"/>
      <c r="J1375" s="10"/>
      <c r="K1375" s="10"/>
      <c r="L1375" s="10">
        <f ca="1">VLOOKUP(dict_DQ_Meth_max[[#This Row],[ID_DataQualities]],table_DataQualities[],8,FALSE)</f>
        <v>0.13</v>
      </c>
      <c r="M1375" s="10">
        <f ca="1">VLOOKUP(dict_DQ_Meth_max[[#This Row],[ID_DataQualities]],table_DataQualities[],9,FALSE)</f>
        <v>2.2000000000000002</v>
      </c>
    </row>
    <row r="1376" spans="1:13" x14ac:dyDescent="0.45">
      <c r="A1376" s="10">
        <v>368</v>
      </c>
      <c r="B1376" s="10">
        <v>137</v>
      </c>
      <c r="C13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6" s="10"/>
      <c r="E1376" s="10"/>
      <c r="F1376" s="12">
        <f ca="1">(RANDBETWEEN(0,50)/100)*(dict_DQ_Meth_max[[#This Row],[Vergleich_ub]]-dict_DQ_Meth_max[[#This Row],[Vergleich_lb]])+dict_DQ_Meth_max[[#This Row],[Vergleich_lb]]</f>
        <v>1623.8343099999997</v>
      </c>
      <c r="G1376" s="12">
        <f ca="1">(RANDBETWEEN(50,100)/100)*(dict_DQ_Meth_max[[#This Row],[Vergleich_ub]]-dict_DQ_Meth_max[[#This Row],[Vergleich_lb]])+dict_DQ_Meth_max[[#This Row],[Vergleich_lb]]</f>
        <v>4096.89383</v>
      </c>
      <c r="H1376" s="11" t="str">
        <f ca="1">VLOOKUP(VLOOKUP(dict_DQ_Meth_max[[#This Row],[ID_DataQualities]],table_DataQualities[],3),table_Units[],2)</f>
        <v>Hz</v>
      </c>
      <c r="I1376" s="10"/>
      <c r="J1376" s="10"/>
      <c r="K1376" s="10"/>
      <c r="L1376" s="10">
        <f ca="1">VLOOKUP(dict_DQ_Meth_max[[#This Row],[ID_DataQualities]],table_DataQualities[],8,FALSE)</f>
        <v>0.88900000000000001</v>
      </c>
      <c r="M1376" s="10">
        <f ca="1">VLOOKUP(dict_DQ_Meth_max[[#This Row],[ID_DataQualities]],table_DataQualities[],9,FALSE)</f>
        <v>7729.2</v>
      </c>
    </row>
    <row r="1377" spans="1:13" x14ac:dyDescent="0.45">
      <c r="A1377" s="10">
        <v>368</v>
      </c>
      <c r="B1377" s="10">
        <v>161</v>
      </c>
      <c r="C13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7" s="10"/>
      <c r="E1377" s="10"/>
      <c r="F1377" s="12">
        <f ca="1">(RANDBETWEEN(0,50)/100)*(dict_DQ_Meth_max[[#This Row],[Vergleich_ub]]-dict_DQ_Meth_max[[#This Row],[Vergleich_lb]])+dict_DQ_Meth_max[[#This Row],[Vergleich_lb]]</f>
        <v>773.7201</v>
      </c>
      <c r="G1377" s="12">
        <f ca="1">(RANDBETWEEN(50,100)/100)*(dict_DQ_Meth_max[[#This Row],[Vergleich_ub]]-dict_DQ_Meth_max[[#This Row],[Vergleich_lb]])+dict_DQ_Meth_max[[#This Row],[Vergleich_lb]]</f>
        <v>5565.2729199999994</v>
      </c>
      <c r="H1377" s="11" t="str">
        <f ca="1">VLOOKUP(VLOOKUP(dict_DQ_Meth_max[[#This Row],[ID_DataQualities]],table_DataQualities[],3),table_Units[],2)</f>
        <v>Hz</v>
      </c>
      <c r="I1377" s="10"/>
      <c r="J1377" s="10"/>
      <c r="K1377" s="10"/>
      <c r="L1377" s="10">
        <f ca="1">VLOOKUP(dict_DQ_Meth_max[[#This Row],[ID_DataQualities]],table_DataQualities[],8,FALSE)</f>
        <v>0.88900000000000001</v>
      </c>
      <c r="M1377" s="10">
        <f ca="1">VLOOKUP(dict_DQ_Meth_max[[#This Row],[ID_DataQualities]],table_DataQualities[],9,FALSE)</f>
        <v>7729.2</v>
      </c>
    </row>
    <row r="1378" spans="1:13" x14ac:dyDescent="0.45">
      <c r="A1378" s="10">
        <v>368</v>
      </c>
      <c r="B1378" s="10">
        <v>16</v>
      </c>
      <c r="C13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8" s="10"/>
      <c r="E1378" s="10"/>
      <c r="F1378" s="12">
        <f ca="1">(RANDBETWEEN(0,50)/100)*(dict_DQ_Meth_max[[#This Row],[Vergleich_ub]]-dict_DQ_Meth_max[[#This Row],[Vergleich_lb]])+dict_DQ_Meth_max[[#This Row],[Vergleich_lb]]</f>
        <v>3401.34584</v>
      </c>
      <c r="G1378" s="12">
        <f ca="1">(RANDBETWEEN(50,100)/100)*(dict_DQ_Meth_max[[#This Row],[Vergleich_ub]]-dict_DQ_Meth_max[[#This Row],[Vergleich_lb]])+dict_DQ_Meth_max[[#This Row],[Vergleich_lb]]</f>
        <v>6801.8026799999998</v>
      </c>
      <c r="H1378" s="11" t="str">
        <f ca="1">VLOOKUP(VLOOKUP(dict_DQ_Meth_max[[#This Row],[ID_DataQualities]],table_DataQualities[],3),table_Units[],2)</f>
        <v>Hz</v>
      </c>
      <c r="I1378" s="10"/>
      <c r="J1378" s="10"/>
      <c r="K1378" s="10"/>
      <c r="L1378" s="10">
        <f ca="1">VLOOKUP(dict_DQ_Meth_max[[#This Row],[ID_DataQualities]],table_DataQualities[],8,FALSE)</f>
        <v>0.88900000000000001</v>
      </c>
      <c r="M1378" s="10">
        <f ca="1">VLOOKUP(dict_DQ_Meth_max[[#This Row],[ID_DataQualities]],table_DataQualities[],9,FALSE)</f>
        <v>7729.2</v>
      </c>
    </row>
    <row r="1379" spans="1:13" x14ac:dyDescent="0.45">
      <c r="A1379" s="10">
        <v>368</v>
      </c>
      <c r="B1379" s="10">
        <v>684</v>
      </c>
      <c r="C13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79" s="10"/>
      <c r="E1379" s="10"/>
      <c r="F1379" s="12">
        <f ca="1">(RANDBETWEEN(0,50)/100)*(dict_DQ_Meth_max[[#This Row],[Vergleich_ub]]-dict_DQ_Meth_max[[#This Row],[Vergleich_lb]])+dict_DQ_Meth_max[[#This Row],[Vergleich_lb]]</f>
        <v>78.172109999999989</v>
      </c>
      <c r="G1379" s="12">
        <f ca="1">(RANDBETWEEN(50,100)/100)*(dict_DQ_Meth_max[[#This Row],[Vergleich_ub]]-dict_DQ_Meth_max[[#This Row],[Vergleich_lb]])+dict_DQ_Meth_max[[#This Row],[Vergleich_lb]]</f>
        <v>5951.6884700000001</v>
      </c>
      <c r="H1379" s="11" t="str">
        <f ca="1">VLOOKUP(VLOOKUP(dict_DQ_Meth_max[[#This Row],[ID_DataQualities]],table_DataQualities[],3),table_Units[],2)</f>
        <v>Hz</v>
      </c>
      <c r="I1379" s="10"/>
      <c r="J1379" s="10"/>
      <c r="K1379" s="10"/>
      <c r="L1379" s="10">
        <f ca="1">VLOOKUP(dict_DQ_Meth_max[[#This Row],[ID_DataQualities]],table_DataQualities[],8,FALSE)</f>
        <v>0.88900000000000001</v>
      </c>
      <c r="M1379" s="10">
        <f ca="1">VLOOKUP(dict_DQ_Meth_max[[#This Row],[ID_DataQualities]],table_DataQualities[],9,FALSE)</f>
        <v>7729.2</v>
      </c>
    </row>
    <row r="1380" spans="1:13" x14ac:dyDescent="0.45">
      <c r="A1380" s="10">
        <v>369</v>
      </c>
      <c r="B1380" s="10">
        <v>137</v>
      </c>
      <c r="C13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0" s="10"/>
      <c r="E1380" s="10"/>
      <c r="F1380" s="12">
        <f ca="1">(RANDBETWEEN(0,50)/100)*(dict_DQ_Meth_max[[#This Row],[Vergleich_ub]]-dict_DQ_Meth_max[[#This Row],[Vergleich_lb]])+dict_DQ_Meth_max[[#This Row],[Vergleich_lb]]</f>
        <v>1.0802400000000001</v>
      </c>
      <c r="G1380" s="12">
        <f ca="1">(RANDBETWEEN(50,100)/100)*(dict_DQ_Meth_max[[#This Row],[Vergleich_ub]]-dict_DQ_Meth_max[[#This Row],[Vergleich_lb]])+dict_DQ_Meth_max[[#This Row],[Vergleich_lb]]</f>
        <v>4.2048800000000002</v>
      </c>
      <c r="H1380" s="11" t="str">
        <f ca="1">VLOOKUP(VLOOKUP(dict_DQ_Meth_max[[#This Row],[ID_DataQualities]],table_DataQualities[],3),table_Units[],2)</f>
        <v>+/- W</v>
      </c>
      <c r="I1380" s="10"/>
      <c r="J1380" s="10"/>
      <c r="K1380" s="10"/>
      <c r="L1380" s="10">
        <f ca="1">VLOOKUP(dict_DQ_Meth_max[[#This Row],[ID_DataQualities]],table_DataQualities[],8,FALSE)</f>
        <v>7.3999999999999996E-2</v>
      </c>
      <c r="M1380" s="10">
        <f ca="1">VLOOKUP(dict_DQ_Meth_max[[#This Row],[ID_DataQualities]],table_DataQualities[],9,FALSE)</f>
        <v>5.37</v>
      </c>
    </row>
    <row r="1381" spans="1:13" x14ac:dyDescent="0.45">
      <c r="A1381" s="10">
        <v>369</v>
      </c>
      <c r="B1381" s="10">
        <v>16</v>
      </c>
      <c r="C13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1" s="10"/>
      <c r="E1381" s="10"/>
      <c r="F1381" s="12">
        <f ca="1">(RANDBETWEEN(0,50)/100)*(dict_DQ_Meth_max[[#This Row],[Vergleich_ub]]-dict_DQ_Meth_max[[#This Row],[Vergleich_lb]])+dict_DQ_Meth_max[[#This Row],[Vergleich_lb]]</f>
        <v>0.39176</v>
      </c>
      <c r="G1381" s="12">
        <f ca="1">(RANDBETWEEN(50,100)/100)*(dict_DQ_Meth_max[[#This Row],[Vergleich_ub]]-dict_DQ_Meth_max[[#This Row],[Vergleich_lb]])+dict_DQ_Meth_max[[#This Row],[Vergleich_lb]]</f>
        <v>5.1581599999999996</v>
      </c>
      <c r="H1381" s="11" t="str">
        <f ca="1">VLOOKUP(VLOOKUP(dict_DQ_Meth_max[[#This Row],[ID_DataQualities]],table_DataQualities[],3),table_Units[],2)</f>
        <v>+/- W</v>
      </c>
      <c r="I1381" s="10"/>
      <c r="J1381" s="10"/>
      <c r="K1381" s="10"/>
      <c r="L1381" s="10">
        <f ca="1">VLOOKUP(dict_DQ_Meth_max[[#This Row],[ID_DataQualities]],table_DataQualities[],8,FALSE)</f>
        <v>7.3999999999999996E-2</v>
      </c>
      <c r="M1381" s="10">
        <f ca="1">VLOOKUP(dict_DQ_Meth_max[[#This Row],[ID_DataQualities]],table_DataQualities[],9,FALSE)</f>
        <v>5.37</v>
      </c>
    </row>
    <row r="1382" spans="1:13" x14ac:dyDescent="0.45">
      <c r="A1382" s="10">
        <v>369</v>
      </c>
      <c r="B1382" s="10">
        <v>161</v>
      </c>
      <c r="C13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2" s="10"/>
      <c r="E1382" s="10"/>
      <c r="F1382" s="12">
        <f ca="1">(RANDBETWEEN(0,50)/100)*(dict_DQ_Meth_max[[#This Row],[Vergleich_ub]]-dict_DQ_Meth_max[[#This Row],[Vergleich_lb]])+dict_DQ_Meth_max[[#This Row],[Vergleich_lb]]</f>
        <v>1.1861600000000001</v>
      </c>
      <c r="G1382" s="12">
        <f ca="1">(RANDBETWEEN(50,100)/100)*(dict_DQ_Meth_max[[#This Row],[Vergleich_ub]]-dict_DQ_Meth_max[[#This Row],[Vergleich_lb]])+dict_DQ_Meth_max[[#This Row],[Vergleich_lb]]</f>
        <v>2.8808800000000003</v>
      </c>
      <c r="H1382" s="11" t="str">
        <f ca="1">VLOOKUP(VLOOKUP(dict_DQ_Meth_max[[#This Row],[ID_DataQualities]],table_DataQualities[],3),table_Units[],2)</f>
        <v>+/- W</v>
      </c>
      <c r="I1382" s="10"/>
      <c r="J1382" s="10"/>
      <c r="K1382" s="10"/>
      <c r="L1382" s="10">
        <f ca="1">VLOOKUP(dict_DQ_Meth_max[[#This Row],[ID_DataQualities]],table_DataQualities[],8,FALSE)</f>
        <v>7.3999999999999996E-2</v>
      </c>
      <c r="M1382" s="10">
        <f ca="1">VLOOKUP(dict_DQ_Meth_max[[#This Row],[ID_DataQualities]],table_DataQualities[],9,FALSE)</f>
        <v>5.37</v>
      </c>
    </row>
    <row r="1383" spans="1:13" x14ac:dyDescent="0.45">
      <c r="A1383" s="10">
        <v>369</v>
      </c>
      <c r="B1383" s="10">
        <v>684</v>
      </c>
      <c r="C13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3" s="10"/>
      <c r="E1383" s="10"/>
      <c r="F1383" s="12">
        <f ca="1">(RANDBETWEEN(0,50)/100)*(dict_DQ_Meth_max[[#This Row],[Vergleich_ub]]-dict_DQ_Meth_max[[#This Row],[Vergleich_lb]])+dict_DQ_Meth_max[[#This Row],[Vergleich_lb]]</f>
        <v>0.55064000000000002</v>
      </c>
      <c r="G1383" s="12">
        <f ca="1">(RANDBETWEEN(50,100)/100)*(dict_DQ_Meth_max[[#This Row],[Vergleich_ub]]-dict_DQ_Meth_max[[#This Row],[Vergleich_lb]])+dict_DQ_Meth_max[[#This Row],[Vergleich_lb]]</f>
        <v>2.8279200000000002</v>
      </c>
      <c r="H1383" s="11" t="str">
        <f ca="1">VLOOKUP(VLOOKUP(dict_DQ_Meth_max[[#This Row],[ID_DataQualities]],table_DataQualities[],3),table_Units[],2)</f>
        <v>+/- W</v>
      </c>
      <c r="I1383" s="10"/>
      <c r="J1383" s="10"/>
      <c r="K1383" s="10"/>
      <c r="L1383" s="10">
        <f ca="1">VLOOKUP(dict_DQ_Meth_max[[#This Row],[ID_DataQualities]],table_DataQualities[],8,FALSE)</f>
        <v>7.3999999999999996E-2</v>
      </c>
      <c r="M1383" s="10">
        <f ca="1">VLOOKUP(dict_DQ_Meth_max[[#This Row],[ID_DataQualities]],table_DataQualities[],9,FALSE)</f>
        <v>5.37</v>
      </c>
    </row>
    <row r="1384" spans="1:13" x14ac:dyDescent="0.45">
      <c r="A1384" s="10">
        <v>370</v>
      </c>
      <c r="B1384" s="10">
        <v>65</v>
      </c>
      <c r="C13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4" s="10"/>
      <c r="E1384" s="10"/>
      <c r="F1384" s="12">
        <f ca="1">(RANDBETWEEN(0,50)/100)*(dict_DQ_Meth_max[[#This Row],[Vergleich_ub]]-dict_DQ_Meth_max[[#This Row],[Vergleich_lb]])+dict_DQ_Meth_max[[#This Row],[Vergleich_lb]]</f>
        <v>948.90896000000021</v>
      </c>
      <c r="G1384" s="12">
        <f ca="1">(RANDBETWEEN(50,100)/100)*(dict_DQ_Meth_max[[#This Row],[Vergleich_ub]]-dict_DQ_Meth_max[[#This Row],[Vergleich_lb]])+dict_DQ_Meth_max[[#This Row],[Vergleich_lb]]</f>
        <v>2093.114</v>
      </c>
      <c r="H1384" s="11" t="str">
        <f ca="1">VLOOKUP(VLOOKUP(dict_DQ_Meth_max[[#This Row],[ID_DataQualities]],table_DataQualities[],3),table_Units[],2)</f>
        <v>Hz</v>
      </c>
      <c r="I1384" s="10"/>
      <c r="J1384" s="10"/>
      <c r="K1384" s="10"/>
      <c r="L1384" s="10">
        <f ca="1">VLOOKUP(dict_DQ_Meth_max[[#This Row],[ID_DataQualities]],table_DataQualities[],8,FALSE)</f>
        <v>5.6000000000000001E-2</v>
      </c>
      <c r="M1384" s="10">
        <f ca="1">VLOOKUP(dict_DQ_Meth_max[[#This Row],[ID_DataQualities]],table_DataQualities[],9,FALSE)</f>
        <v>2790.8</v>
      </c>
    </row>
    <row r="1385" spans="1:13" x14ac:dyDescent="0.45">
      <c r="A1385" s="10">
        <v>370</v>
      </c>
      <c r="B1385" s="10">
        <v>22</v>
      </c>
      <c r="C13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5" s="10"/>
      <c r="E1385" s="10"/>
      <c r="F1385" s="12">
        <f ca="1">(RANDBETWEEN(0,50)/100)*(dict_DQ_Meth_max[[#This Row],[Vergleich_ub]]-dict_DQ_Meth_max[[#This Row],[Vergleich_lb]])+dict_DQ_Meth_max[[#This Row],[Vergleich_lb]]</f>
        <v>1172.16848</v>
      </c>
      <c r="G1385" s="12">
        <f ca="1">(RANDBETWEEN(50,100)/100)*(dict_DQ_Meth_max[[#This Row],[Vergleich_ub]]-dict_DQ_Meth_max[[#This Row],[Vergleich_lb]])+dict_DQ_Meth_max[[#This Row],[Vergleich_lb]]</f>
        <v>2595.4479200000005</v>
      </c>
      <c r="H1385" s="11" t="str">
        <f ca="1">VLOOKUP(VLOOKUP(dict_DQ_Meth_max[[#This Row],[ID_DataQualities]],table_DataQualities[],3),table_Units[],2)</f>
        <v>Hz</v>
      </c>
      <c r="I1385" s="10"/>
      <c r="J1385" s="10"/>
      <c r="K1385" s="10"/>
      <c r="L1385" s="10">
        <f ca="1">VLOOKUP(dict_DQ_Meth_max[[#This Row],[ID_DataQualities]],table_DataQualities[],8,FALSE)</f>
        <v>5.6000000000000001E-2</v>
      </c>
      <c r="M1385" s="10">
        <f ca="1">VLOOKUP(dict_DQ_Meth_max[[#This Row],[ID_DataQualities]],table_DataQualities[],9,FALSE)</f>
        <v>2790.8</v>
      </c>
    </row>
    <row r="1386" spans="1:13" x14ac:dyDescent="0.45">
      <c r="A1386" s="10">
        <v>370</v>
      </c>
      <c r="B1386" s="10">
        <v>521</v>
      </c>
      <c r="C13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6" s="10"/>
      <c r="E1386" s="10"/>
      <c r="F1386" s="12">
        <f ca="1">(RANDBETWEEN(0,50)/100)*(dict_DQ_Meth_max[[#This Row],[Vergleich_ub]]-dict_DQ_Meth_max[[#This Row],[Vergleich_lb]])+dict_DQ_Meth_max[[#This Row],[Vergleich_lb]]</f>
        <v>1172.16848</v>
      </c>
      <c r="G1386" s="12">
        <f ca="1">(RANDBETWEEN(50,100)/100)*(dict_DQ_Meth_max[[#This Row],[Vergleich_ub]]-dict_DQ_Meth_max[[#This Row],[Vergleich_lb]])+dict_DQ_Meth_max[[#This Row],[Vergleich_lb]]</f>
        <v>1590.78008</v>
      </c>
      <c r="H1386" s="11" t="str">
        <f ca="1">VLOOKUP(VLOOKUP(dict_DQ_Meth_max[[#This Row],[ID_DataQualities]],table_DataQualities[],3),table_Units[],2)</f>
        <v>Hz</v>
      </c>
      <c r="I1386" s="10"/>
      <c r="J1386" s="10"/>
      <c r="K1386" s="10"/>
      <c r="L1386" s="10">
        <f ca="1">VLOOKUP(dict_DQ_Meth_max[[#This Row],[ID_DataQualities]],table_DataQualities[],8,FALSE)</f>
        <v>5.6000000000000001E-2</v>
      </c>
      <c r="M1386" s="10">
        <f ca="1">VLOOKUP(dict_DQ_Meth_max[[#This Row],[ID_DataQualities]],table_DataQualities[],9,FALSE)</f>
        <v>2790.8</v>
      </c>
    </row>
    <row r="1387" spans="1:13" x14ac:dyDescent="0.45">
      <c r="A1387" s="10">
        <v>370</v>
      </c>
      <c r="B1387" s="10">
        <v>111</v>
      </c>
      <c r="C13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7" s="10"/>
      <c r="E1387" s="10"/>
      <c r="F1387" s="12">
        <f ca="1">(RANDBETWEEN(0,50)/100)*(dict_DQ_Meth_max[[#This Row],[Vergleich_ub]]-dict_DQ_Meth_max[[#This Row],[Vergleich_lb]])+dict_DQ_Meth_max[[#This Row],[Vergleich_lb]]</f>
        <v>558.20480000000009</v>
      </c>
      <c r="G1387" s="12">
        <f ca="1">(RANDBETWEEN(50,100)/100)*(dict_DQ_Meth_max[[#This Row],[Vergleich_ub]]-dict_DQ_Meth_max[[#This Row],[Vergleich_lb]])+dict_DQ_Meth_max[[#This Row],[Vergleich_lb]]</f>
        <v>2707.0776800000003</v>
      </c>
      <c r="H1387" s="11" t="str">
        <f ca="1">VLOOKUP(VLOOKUP(dict_DQ_Meth_max[[#This Row],[ID_DataQualities]],table_DataQualities[],3),table_Units[],2)</f>
        <v>Hz</v>
      </c>
      <c r="I1387" s="10"/>
      <c r="J1387" s="10"/>
      <c r="K1387" s="10"/>
      <c r="L1387" s="10">
        <f ca="1">VLOOKUP(dict_DQ_Meth_max[[#This Row],[ID_DataQualities]],table_DataQualities[],8,FALSE)</f>
        <v>5.6000000000000001E-2</v>
      </c>
      <c r="M1387" s="10">
        <f ca="1">VLOOKUP(dict_DQ_Meth_max[[#This Row],[ID_DataQualities]],table_DataQualities[],9,FALSE)</f>
        <v>2790.8</v>
      </c>
    </row>
    <row r="1388" spans="1:13" x14ac:dyDescent="0.45">
      <c r="A1388" s="10">
        <v>371</v>
      </c>
      <c r="B1388" s="10">
        <v>65</v>
      </c>
      <c r="C13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8" s="10"/>
      <c r="E1388" s="10"/>
      <c r="F1388" s="12">
        <f ca="1">(RANDBETWEEN(0,50)/100)*(dict_DQ_Meth_max[[#This Row],[Vergleich_ub]]-dict_DQ_Meth_max[[#This Row],[Vergleich_lb]])+dict_DQ_Meth_max[[#This Row],[Vergleich_lb]]</f>
        <v>0.83600000000000008</v>
      </c>
      <c r="G1388" s="12">
        <f ca="1">(RANDBETWEEN(50,100)/100)*(dict_DQ_Meth_max[[#This Row],[Vergleich_ub]]-dict_DQ_Meth_max[[#This Row],[Vergleich_lb]])+dict_DQ_Meth_max[[#This Row],[Vergleich_lb]]</f>
        <v>5.258</v>
      </c>
      <c r="H1388" s="11" t="str">
        <f ca="1">VLOOKUP(VLOOKUP(dict_DQ_Meth_max[[#This Row],[ID_DataQualities]],table_DataQualities[],3),table_Units[],2)</f>
        <v>+/- °C</v>
      </c>
      <c r="I1388" s="10"/>
      <c r="J1388" s="10"/>
      <c r="K1388" s="10"/>
      <c r="L1388" s="10">
        <f ca="1">VLOOKUP(dict_DQ_Meth_max[[#This Row],[ID_DataQualities]],table_DataQualities[],8,FALSE)</f>
        <v>0.3</v>
      </c>
      <c r="M1388" s="10">
        <f ca="1">VLOOKUP(dict_DQ_Meth_max[[#This Row],[ID_DataQualities]],table_DataQualities[],9,FALSE)</f>
        <v>7</v>
      </c>
    </row>
    <row r="1389" spans="1:13" x14ac:dyDescent="0.45">
      <c r="A1389" s="10">
        <v>371</v>
      </c>
      <c r="B1389" s="10">
        <v>521</v>
      </c>
      <c r="C13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89" s="10"/>
      <c r="E1389" s="10"/>
      <c r="F1389" s="12">
        <f ca="1">(RANDBETWEEN(0,50)/100)*(dict_DQ_Meth_max[[#This Row],[Vergleich_ub]]-dict_DQ_Meth_max[[#This Row],[Vergleich_lb]])+dict_DQ_Meth_max[[#This Row],[Vergleich_lb]]</f>
        <v>0.63500000000000001</v>
      </c>
      <c r="G1389" s="12">
        <f ca="1">(RANDBETWEEN(50,100)/100)*(dict_DQ_Meth_max[[#This Row],[Vergleich_ub]]-dict_DQ_Meth_max[[#This Row],[Vergleich_lb]])+dict_DQ_Meth_max[[#This Row],[Vergleich_lb]]</f>
        <v>4.5880000000000001</v>
      </c>
      <c r="H1389" s="11" t="str">
        <f ca="1">VLOOKUP(VLOOKUP(dict_DQ_Meth_max[[#This Row],[ID_DataQualities]],table_DataQualities[],3),table_Units[],2)</f>
        <v>+/- °C</v>
      </c>
      <c r="I1389" s="10"/>
      <c r="J1389" s="10"/>
      <c r="K1389" s="10"/>
      <c r="L1389" s="10">
        <f ca="1">VLOOKUP(dict_DQ_Meth_max[[#This Row],[ID_DataQualities]],table_DataQualities[],8,FALSE)</f>
        <v>0.3</v>
      </c>
      <c r="M1389" s="10">
        <f ca="1">VLOOKUP(dict_DQ_Meth_max[[#This Row],[ID_DataQualities]],table_DataQualities[],9,FALSE)</f>
        <v>7</v>
      </c>
    </row>
    <row r="1390" spans="1:13" x14ac:dyDescent="0.45">
      <c r="A1390" s="10">
        <v>371</v>
      </c>
      <c r="B1390" s="10">
        <v>111</v>
      </c>
      <c r="C13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0" s="10"/>
      <c r="E1390" s="10"/>
      <c r="F1390" s="12">
        <f ca="1">(RANDBETWEEN(0,50)/100)*(dict_DQ_Meth_max[[#This Row],[Vergleich_ub]]-dict_DQ_Meth_max[[#This Row],[Vergleich_lb]])+dict_DQ_Meth_max[[#This Row],[Vergleich_lb]]</f>
        <v>1.5730000000000002</v>
      </c>
      <c r="G1390" s="12">
        <f ca="1">(RANDBETWEEN(50,100)/100)*(dict_DQ_Meth_max[[#This Row],[Vergleich_ub]]-dict_DQ_Meth_max[[#This Row],[Vergleich_lb]])+dict_DQ_Meth_max[[#This Row],[Vergleich_lb]]</f>
        <v>6.33</v>
      </c>
      <c r="H1390" s="11" t="str">
        <f ca="1">VLOOKUP(VLOOKUP(dict_DQ_Meth_max[[#This Row],[ID_DataQualities]],table_DataQualities[],3),table_Units[],2)</f>
        <v>+/- °C</v>
      </c>
      <c r="I1390" s="10"/>
      <c r="J1390" s="10"/>
      <c r="K1390" s="10"/>
      <c r="L1390" s="10">
        <f ca="1">VLOOKUP(dict_DQ_Meth_max[[#This Row],[ID_DataQualities]],table_DataQualities[],8,FALSE)</f>
        <v>0.3</v>
      </c>
      <c r="M1390" s="10">
        <f ca="1">VLOOKUP(dict_DQ_Meth_max[[#This Row],[ID_DataQualities]],table_DataQualities[],9,FALSE)</f>
        <v>7</v>
      </c>
    </row>
    <row r="1391" spans="1:13" x14ac:dyDescent="0.45">
      <c r="A1391" s="10">
        <v>371</v>
      </c>
      <c r="B1391" s="10">
        <v>22</v>
      </c>
      <c r="C13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1" s="10"/>
      <c r="E1391" s="10"/>
      <c r="F1391" s="12">
        <f ca="1">(RANDBETWEEN(0,50)/100)*(dict_DQ_Meth_max[[#This Row],[Vergleich_ub]]-dict_DQ_Meth_max[[#This Row],[Vergleich_lb]])+dict_DQ_Meth_max[[#This Row],[Vergleich_lb]]</f>
        <v>1.9079999999999999</v>
      </c>
      <c r="G1391" s="12">
        <f ca="1">(RANDBETWEEN(50,100)/100)*(dict_DQ_Meth_max[[#This Row],[Vergleich_ub]]-dict_DQ_Meth_max[[#This Row],[Vergleich_lb]])+dict_DQ_Meth_max[[#This Row],[Vergleich_lb]]</f>
        <v>5.0569999999999995</v>
      </c>
      <c r="H1391" s="11" t="str">
        <f ca="1">VLOOKUP(VLOOKUP(dict_DQ_Meth_max[[#This Row],[ID_DataQualities]],table_DataQualities[],3),table_Units[],2)</f>
        <v>+/- °C</v>
      </c>
      <c r="I1391" s="10"/>
      <c r="J1391" s="10"/>
      <c r="K1391" s="10"/>
      <c r="L1391" s="10">
        <f ca="1">VLOOKUP(dict_DQ_Meth_max[[#This Row],[ID_DataQualities]],table_DataQualities[],8,FALSE)</f>
        <v>0.3</v>
      </c>
      <c r="M1391" s="10">
        <f ca="1">VLOOKUP(dict_DQ_Meth_max[[#This Row],[ID_DataQualities]],table_DataQualities[],9,FALSE)</f>
        <v>7</v>
      </c>
    </row>
    <row r="1392" spans="1:13" x14ac:dyDescent="0.45">
      <c r="A1392" s="10">
        <v>372</v>
      </c>
      <c r="B1392" s="10">
        <v>445</v>
      </c>
      <c r="C13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2" s="10"/>
      <c r="E1392" s="10"/>
      <c r="F1392" s="12">
        <f ca="1">(RANDBETWEEN(0,50)/100)*(dict_DQ_Meth_max[[#This Row],[Vergleich_ub]]-dict_DQ_Meth_max[[#This Row],[Vergleich_lb]])+dict_DQ_Meth_max[[#This Row],[Vergleich_lb]]</f>
        <v>20.149039999999999</v>
      </c>
      <c r="G1392" s="12">
        <f ca="1">(RANDBETWEEN(50,100)/100)*(dict_DQ_Meth_max[[#This Row],[Vergleich_ub]]-dict_DQ_Meth_max[[#This Row],[Vergleich_lb]])+dict_DQ_Meth_max[[#This Row],[Vergleich_lb]]</f>
        <v>663.38232000000005</v>
      </c>
      <c r="H1392" s="11" t="str">
        <f ca="1">VLOOKUP(VLOOKUP(dict_DQ_Meth_max[[#This Row],[ID_DataQualities]],table_DataQualities[],3),table_Units[],2)</f>
        <v>Hz</v>
      </c>
      <c r="I1392" s="10"/>
      <c r="J1392" s="10"/>
      <c r="K1392" s="10"/>
      <c r="L1392" s="10">
        <f ca="1">VLOOKUP(dict_DQ_Meth_max[[#This Row],[ID_DataQualities]],table_DataQualities[],8,FALSE)</f>
        <v>4.8000000000000001E-2</v>
      </c>
      <c r="M1392" s="10">
        <f ca="1">VLOOKUP(dict_DQ_Meth_max[[#This Row],[ID_DataQualities]],table_DataQualities[],9,FALSE)</f>
        <v>1005.1</v>
      </c>
    </row>
    <row r="1393" spans="1:13" x14ac:dyDescent="0.45">
      <c r="A1393" s="10">
        <v>372</v>
      </c>
      <c r="B1393" s="10">
        <v>410</v>
      </c>
      <c r="C13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3" s="10"/>
      <c r="E1393" s="10"/>
      <c r="F1393" s="12">
        <f ca="1">(RANDBETWEEN(0,50)/100)*(dict_DQ_Meth_max[[#This Row],[Vergleich_ub]]-dict_DQ_Meth_max[[#This Row],[Vergleich_lb]])+dict_DQ_Meth_max[[#This Row],[Vergleich_lb]]</f>
        <v>392.01828</v>
      </c>
      <c r="G1393" s="12">
        <f ca="1">(RANDBETWEEN(50,100)/100)*(dict_DQ_Meth_max[[#This Row],[Vergleich_ub]]-dict_DQ_Meth_max[[#This Row],[Vergleich_lb]])+dict_DQ_Meth_max[[#This Row],[Vergleich_lb]]</f>
        <v>944.79687999999999</v>
      </c>
      <c r="H1393" s="11" t="str">
        <f ca="1">VLOOKUP(VLOOKUP(dict_DQ_Meth_max[[#This Row],[ID_DataQualities]],table_DataQualities[],3),table_Units[],2)</f>
        <v>Hz</v>
      </c>
      <c r="I1393" s="10"/>
      <c r="J1393" s="10"/>
      <c r="K1393" s="10"/>
      <c r="L1393" s="10">
        <f ca="1">VLOOKUP(dict_DQ_Meth_max[[#This Row],[ID_DataQualities]],table_DataQualities[],8,FALSE)</f>
        <v>4.8000000000000001E-2</v>
      </c>
      <c r="M1393" s="10">
        <f ca="1">VLOOKUP(dict_DQ_Meth_max[[#This Row],[ID_DataQualities]],table_DataQualities[],9,FALSE)</f>
        <v>1005.1</v>
      </c>
    </row>
    <row r="1394" spans="1:13" x14ac:dyDescent="0.45">
      <c r="A1394" s="10">
        <v>372</v>
      </c>
      <c r="B1394" s="10">
        <v>695</v>
      </c>
      <c r="C13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4" s="10"/>
      <c r="E1394" s="10"/>
      <c r="F1394" s="12">
        <f ca="1">(RANDBETWEEN(0,50)/100)*(dict_DQ_Meth_max[[#This Row],[Vergleich_ub]]-dict_DQ_Meth_max[[#This Row],[Vergleich_lb]])+dict_DQ_Meth_max[[#This Row],[Vergleich_lb]]</f>
        <v>392.01828</v>
      </c>
      <c r="G1394" s="12">
        <f ca="1">(RANDBETWEEN(50,100)/100)*(dict_DQ_Meth_max[[#This Row],[Vergleich_ub]]-dict_DQ_Meth_max[[#This Row],[Vergleich_lb]])+dict_DQ_Meth_max[[#This Row],[Vergleich_lb]]</f>
        <v>794.03908000000001</v>
      </c>
      <c r="H1394" s="11" t="str">
        <f ca="1">VLOOKUP(VLOOKUP(dict_DQ_Meth_max[[#This Row],[ID_DataQualities]],table_DataQualities[],3),table_Units[],2)</f>
        <v>Hz</v>
      </c>
      <c r="I1394" s="10"/>
      <c r="J1394" s="10"/>
      <c r="K1394" s="10"/>
      <c r="L1394" s="10">
        <f ca="1">VLOOKUP(dict_DQ_Meth_max[[#This Row],[ID_DataQualities]],table_DataQualities[],8,FALSE)</f>
        <v>4.8000000000000001E-2</v>
      </c>
      <c r="M1394" s="10">
        <f ca="1">VLOOKUP(dict_DQ_Meth_max[[#This Row],[ID_DataQualities]],table_DataQualities[],9,FALSE)</f>
        <v>1005.1</v>
      </c>
    </row>
    <row r="1395" spans="1:13" x14ac:dyDescent="0.45">
      <c r="A1395" s="10">
        <v>372</v>
      </c>
      <c r="B1395" s="10">
        <v>530</v>
      </c>
      <c r="C13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5" s="10"/>
      <c r="E1395" s="10"/>
      <c r="F1395" s="12">
        <f ca="1">(RANDBETWEEN(0,50)/100)*(dict_DQ_Meth_max[[#This Row],[Vergleich_ub]]-dict_DQ_Meth_max[[#This Row],[Vergleich_lb]])+dict_DQ_Meth_max[[#This Row],[Vergleich_lb]]</f>
        <v>371.91723999999999</v>
      </c>
      <c r="G1395" s="12">
        <f ca="1">(RANDBETWEEN(50,100)/100)*(dict_DQ_Meth_max[[#This Row],[Vergleich_ub]]-dict_DQ_Meth_max[[#This Row],[Vergleich_lb]])+dict_DQ_Meth_max[[#This Row],[Vergleich_lb]]</f>
        <v>894.54428000000007</v>
      </c>
      <c r="H1395" s="11" t="str">
        <f ca="1">VLOOKUP(VLOOKUP(dict_DQ_Meth_max[[#This Row],[ID_DataQualities]],table_DataQualities[],3),table_Units[],2)</f>
        <v>Hz</v>
      </c>
      <c r="I1395" s="10"/>
      <c r="J1395" s="10"/>
      <c r="K1395" s="10"/>
      <c r="L1395" s="10">
        <f ca="1">VLOOKUP(dict_DQ_Meth_max[[#This Row],[ID_DataQualities]],table_DataQualities[],8,FALSE)</f>
        <v>4.8000000000000001E-2</v>
      </c>
      <c r="M1395" s="10">
        <f ca="1">VLOOKUP(dict_DQ_Meth_max[[#This Row],[ID_DataQualities]],table_DataQualities[],9,FALSE)</f>
        <v>1005.1</v>
      </c>
    </row>
    <row r="1396" spans="1:13" x14ac:dyDescent="0.45">
      <c r="A1396" s="10">
        <v>373</v>
      </c>
      <c r="B1396" s="10">
        <v>445</v>
      </c>
      <c r="C13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6" s="10"/>
      <c r="E1396" s="10"/>
      <c r="F1396" s="12">
        <f ca="1">(RANDBETWEEN(0,50)/100)*(dict_DQ_Meth_max[[#This Row],[Vergleich_ub]]-dict_DQ_Meth_max[[#This Row],[Vergleich_lb]])+dict_DQ_Meth_max[[#This Row],[Vergleich_lb]]</f>
        <v>0.56991999999999998</v>
      </c>
      <c r="G1396" s="12">
        <f ca="1">(RANDBETWEEN(50,100)/100)*(dict_DQ_Meth_max[[#This Row],[Vergleich_ub]]-dict_DQ_Meth_max[[#This Row],[Vergleich_lb]])+dict_DQ_Meth_max[[#This Row],[Vergleich_lb]]</f>
        <v>3.7609000000000004</v>
      </c>
      <c r="H1396" s="11" t="str">
        <f ca="1">VLOOKUP(VLOOKUP(dict_DQ_Meth_max[[#This Row],[ID_DataQualities]],table_DataQualities[],3),table_Units[],2)</f>
        <v>+/- mm</v>
      </c>
      <c r="I1396" s="10"/>
      <c r="J1396" s="10"/>
      <c r="K1396" s="10"/>
      <c r="L1396" s="10">
        <f ca="1">VLOOKUP(dict_DQ_Meth_max[[#This Row],[ID_DataQualities]],table_DataQualities[],8,FALSE)</f>
        <v>7.9000000000000001E-2</v>
      </c>
      <c r="M1396" s="10">
        <f ca="1">VLOOKUP(dict_DQ_Meth_max[[#This Row],[ID_DataQualities]],table_DataQualities[],9,FALSE)</f>
        <v>4.17</v>
      </c>
    </row>
    <row r="1397" spans="1:13" x14ac:dyDescent="0.45">
      <c r="A1397" s="10">
        <v>373</v>
      </c>
      <c r="B1397" s="10">
        <v>695</v>
      </c>
      <c r="C13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7" s="10"/>
      <c r="E1397" s="10"/>
      <c r="F1397" s="12">
        <f ca="1">(RANDBETWEEN(0,50)/100)*(dict_DQ_Meth_max[[#This Row],[Vergleich_ub]]-dict_DQ_Meth_max[[#This Row],[Vergleich_lb]])+dict_DQ_Meth_max[[#This Row],[Vergleich_lb]]</f>
        <v>1.42903</v>
      </c>
      <c r="G1397" s="12">
        <f ca="1">(RANDBETWEEN(50,100)/100)*(dict_DQ_Meth_max[[#This Row],[Vergleich_ub]]-dict_DQ_Meth_max[[#This Row],[Vergleich_lb]])+dict_DQ_Meth_max[[#This Row],[Vergleich_lb]]</f>
        <v>4.17</v>
      </c>
      <c r="H1397" s="11" t="str">
        <f ca="1">VLOOKUP(VLOOKUP(dict_DQ_Meth_max[[#This Row],[ID_DataQualities]],table_DataQualities[],3),table_Units[],2)</f>
        <v>+/- mm</v>
      </c>
      <c r="I1397" s="10"/>
      <c r="J1397" s="10"/>
      <c r="K1397" s="10"/>
      <c r="L1397" s="10">
        <f ca="1">VLOOKUP(dict_DQ_Meth_max[[#This Row],[ID_DataQualities]],table_DataQualities[],8,FALSE)</f>
        <v>7.9000000000000001E-2</v>
      </c>
      <c r="M1397" s="10">
        <f ca="1">VLOOKUP(dict_DQ_Meth_max[[#This Row],[ID_DataQualities]],table_DataQualities[],9,FALSE)</f>
        <v>4.17</v>
      </c>
    </row>
    <row r="1398" spans="1:13" x14ac:dyDescent="0.45">
      <c r="A1398" s="10">
        <v>373</v>
      </c>
      <c r="B1398" s="10">
        <v>530</v>
      </c>
      <c r="C13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8" s="10"/>
      <c r="E1398" s="10"/>
      <c r="F1398" s="12">
        <f ca="1">(RANDBETWEEN(0,50)/100)*(dict_DQ_Meth_max[[#This Row],[Vergleich_ub]]-dict_DQ_Meth_max[[#This Row],[Vergleich_lb]])+dict_DQ_Meth_max[[#This Row],[Vergleich_lb]]</f>
        <v>0.97902</v>
      </c>
      <c r="G1398" s="12">
        <f ca="1">(RANDBETWEEN(50,100)/100)*(dict_DQ_Meth_max[[#This Row],[Vergleich_ub]]-dict_DQ_Meth_max[[#This Row],[Vergleich_lb]])+dict_DQ_Meth_max[[#This Row],[Vergleich_lb]]</f>
        <v>3.7199900000000006</v>
      </c>
      <c r="H1398" s="11" t="str">
        <f ca="1">VLOOKUP(VLOOKUP(dict_DQ_Meth_max[[#This Row],[ID_DataQualities]],table_DataQualities[],3),table_Units[],2)</f>
        <v>+/- mm</v>
      </c>
      <c r="I1398" s="10"/>
      <c r="J1398" s="10"/>
      <c r="K1398" s="10"/>
      <c r="L1398" s="10">
        <f ca="1">VLOOKUP(dict_DQ_Meth_max[[#This Row],[ID_DataQualities]],table_DataQualities[],8,FALSE)</f>
        <v>7.9000000000000001E-2</v>
      </c>
      <c r="M1398" s="10">
        <f ca="1">VLOOKUP(dict_DQ_Meth_max[[#This Row],[ID_DataQualities]],table_DataQualities[],9,FALSE)</f>
        <v>4.17</v>
      </c>
    </row>
    <row r="1399" spans="1:13" x14ac:dyDescent="0.45">
      <c r="A1399" s="10">
        <v>373</v>
      </c>
      <c r="B1399" s="10">
        <v>410</v>
      </c>
      <c r="C13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399" s="10"/>
      <c r="E1399" s="10"/>
      <c r="F1399" s="12">
        <f ca="1">(RANDBETWEEN(0,50)/100)*(dict_DQ_Meth_max[[#This Row],[Vergleich_ub]]-dict_DQ_Meth_max[[#This Row],[Vergleich_lb]])+dict_DQ_Meth_max[[#This Row],[Vergleich_lb]]</f>
        <v>0.93811</v>
      </c>
      <c r="G1399" s="12">
        <f ca="1">(RANDBETWEEN(50,100)/100)*(dict_DQ_Meth_max[[#This Row],[Vergleich_ub]]-dict_DQ_Meth_max[[#This Row],[Vergleich_lb]])+dict_DQ_Meth_max[[#This Row],[Vergleich_lb]]</f>
        <v>3.9245400000000004</v>
      </c>
      <c r="H1399" s="11" t="str">
        <f ca="1">VLOOKUP(VLOOKUP(dict_DQ_Meth_max[[#This Row],[ID_DataQualities]],table_DataQualities[],3),table_Units[],2)</f>
        <v>+/- mm</v>
      </c>
      <c r="I1399" s="10"/>
      <c r="J1399" s="10"/>
      <c r="K1399" s="10"/>
      <c r="L1399" s="10">
        <f ca="1">VLOOKUP(dict_DQ_Meth_max[[#This Row],[ID_DataQualities]],table_DataQualities[],8,FALSE)</f>
        <v>7.9000000000000001E-2</v>
      </c>
      <c r="M1399" s="10">
        <f ca="1">VLOOKUP(dict_DQ_Meth_max[[#This Row],[ID_DataQualities]],table_DataQualities[],9,FALSE)</f>
        <v>4.17</v>
      </c>
    </row>
    <row r="1400" spans="1:13" x14ac:dyDescent="0.45">
      <c r="A1400" s="10">
        <v>374</v>
      </c>
      <c r="B1400" s="10">
        <v>527</v>
      </c>
      <c r="C14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0" s="10"/>
      <c r="E1400" s="10"/>
      <c r="F1400" s="12">
        <f ca="1">(RANDBETWEEN(0,50)/100)*(dict_DQ_Meth_max[[#This Row],[Vergleich_ub]]-dict_DQ_Meth_max[[#This Row],[Vergleich_lb]])+dict_DQ_Meth_max[[#This Row],[Vergleich_lb]]</f>
        <v>356.13515000000007</v>
      </c>
      <c r="G1400" s="12">
        <f ca="1">(RANDBETWEEN(50,100)/100)*(dict_DQ_Meth_max[[#This Row],[Vergleich_ub]]-dict_DQ_Meth_max[[#This Row],[Vergleich_lb]])+dict_DQ_Meth_max[[#This Row],[Vergleich_lb]]</f>
        <v>4827.5427500000005</v>
      </c>
      <c r="H1400" s="11" t="str">
        <f ca="1">VLOOKUP(VLOOKUP(dict_DQ_Meth_max[[#This Row],[ID_DataQualities]],table_DataQualities[],3),table_Units[],2)</f>
        <v>Hz</v>
      </c>
      <c r="I1400" s="10"/>
      <c r="J1400" s="10"/>
      <c r="K1400" s="10"/>
      <c r="L1400" s="10">
        <f ca="1">VLOOKUP(dict_DQ_Meth_max[[#This Row],[ID_DataQualities]],table_DataQualities[],8,FALSE)</f>
        <v>0.45500000000000002</v>
      </c>
      <c r="M1400" s="10">
        <f ca="1">VLOOKUP(dict_DQ_Meth_max[[#This Row],[ID_DataQualities]],table_DataQualities[],9,FALSE)</f>
        <v>5081.6000000000004</v>
      </c>
    </row>
    <row r="1401" spans="1:13" x14ac:dyDescent="0.45">
      <c r="A1401" s="10">
        <v>374</v>
      </c>
      <c r="B1401" s="10">
        <v>387</v>
      </c>
      <c r="C14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1" s="10"/>
      <c r="E1401" s="10"/>
      <c r="F1401" s="12">
        <f ca="1">(RANDBETWEEN(0,50)/100)*(dict_DQ_Meth_max[[#This Row],[Vergleich_ub]]-dict_DQ_Meth_max[[#This Row],[Vergleich_lb]])+dict_DQ_Meth_max[[#This Row],[Vergleich_lb]]</f>
        <v>0.45500000000000002</v>
      </c>
      <c r="G1401" s="12">
        <f ca="1">(RANDBETWEEN(50,100)/100)*(dict_DQ_Meth_max[[#This Row],[Vergleich_ub]]-dict_DQ_Meth_max[[#This Row],[Vergleich_lb]])+dict_DQ_Meth_max[[#This Row],[Vergleich_lb]]</f>
        <v>2896.7076499999998</v>
      </c>
      <c r="H1401" s="11" t="str">
        <f ca="1">VLOOKUP(VLOOKUP(dict_DQ_Meth_max[[#This Row],[ID_DataQualities]],table_DataQualities[],3),table_Units[],2)</f>
        <v>Hz</v>
      </c>
      <c r="I1401" s="10"/>
      <c r="J1401" s="10"/>
      <c r="K1401" s="10"/>
      <c r="L1401" s="10">
        <f ca="1">VLOOKUP(dict_DQ_Meth_max[[#This Row],[ID_DataQualities]],table_DataQualities[],8,FALSE)</f>
        <v>0.45500000000000002</v>
      </c>
      <c r="M1401" s="10">
        <f ca="1">VLOOKUP(dict_DQ_Meth_max[[#This Row],[ID_DataQualities]],table_DataQualities[],9,FALSE)</f>
        <v>5081.6000000000004</v>
      </c>
    </row>
    <row r="1402" spans="1:13" x14ac:dyDescent="0.45">
      <c r="A1402" s="10">
        <v>374</v>
      </c>
      <c r="B1402" s="10">
        <v>84</v>
      </c>
      <c r="C14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2" s="10"/>
      <c r="E1402" s="10"/>
      <c r="F1402" s="12">
        <f ca="1">(RANDBETWEEN(0,50)/100)*(dict_DQ_Meth_max[[#This Row],[Vergleich_ub]]-dict_DQ_Meth_max[[#This Row],[Vergleich_lb]])+dict_DQ_Meth_max[[#This Row],[Vergleich_lb]]</f>
        <v>2388.5931500000002</v>
      </c>
      <c r="G1402" s="12">
        <f ca="1">(RANDBETWEEN(50,100)/100)*(dict_DQ_Meth_max[[#This Row],[Vergleich_ub]]-dict_DQ_Meth_max[[#This Row],[Vergleich_lb]])+dict_DQ_Meth_max[[#This Row],[Vergleich_lb]]</f>
        <v>5030.7885500000002</v>
      </c>
      <c r="H1402" s="11" t="str">
        <f ca="1">VLOOKUP(VLOOKUP(dict_DQ_Meth_max[[#This Row],[ID_DataQualities]],table_DataQualities[],3),table_Units[],2)</f>
        <v>Hz</v>
      </c>
      <c r="I1402" s="10"/>
      <c r="J1402" s="10"/>
      <c r="K1402" s="10"/>
      <c r="L1402" s="10">
        <f ca="1">VLOOKUP(dict_DQ_Meth_max[[#This Row],[ID_DataQualities]],table_DataQualities[],8,FALSE)</f>
        <v>0.45500000000000002</v>
      </c>
      <c r="M1402" s="10">
        <f ca="1">VLOOKUP(dict_DQ_Meth_max[[#This Row],[ID_DataQualities]],table_DataQualities[],9,FALSE)</f>
        <v>5081.6000000000004</v>
      </c>
    </row>
    <row r="1403" spans="1:13" x14ac:dyDescent="0.45">
      <c r="A1403" s="10">
        <v>374</v>
      </c>
      <c r="B1403" s="10">
        <v>2</v>
      </c>
      <c r="C14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3" s="10"/>
      <c r="E1403" s="10"/>
      <c r="F1403" s="12">
        <f ca="1">(RANDBETWEEN(0,50)/100)*(dict_DQ_Meth_max[[#This Row],[Vergleich_ub]]-dict_DQ_Meth_max[[#This Row],[Vergleich_lb]])+dict_DQ_Meth_max[[#This Row],[Vergleich_lb]]</f>
        <v>406.94660000000005</v>
      </c>
      <c r="G1403" s="12">
        <f ca="1">(RANDBETWEEN(50,100)/100)*(dict_DQ_Meth_max[[#This Row],[Vergleich_ub]]-dict_DQ_Meth_max[[#This Row],[Vergleich_lb]])+dict_DQ_Meth_max[[#This Row],[Vergleich_lb]]</f>
        <v>4979.9771000000001</v>
      </c>
      <c r="H1403" s="11" t="str">
        <f ca="1">VLOOKUP(VLOOKUP(dict_DQ_Meth_max[[#This Row],[ID_DataQualities]],table_DataQualities[],3),table_Units[],2)</f>
        <v>Hz</v>
      </c>
      <c r="I1403" s="10"/>
      <c r="J1403" s="10"/>
      <c r="K1403" s="10"/>
      <c r="L1403" s="10">
        <f ca="1">VLOOKUP(dict_DQ_Meth_max[[#This Row],[ID_DataQualities]],table_DataQualities[],8,FALSE)</f>
        <v>0.45500000000000002</v>
      </c>
      <c r="M1403" s="10">
        <f ca="1">VLOOKUP(dict_DQ_Meth_max[[#This Row],[ID_DataQualities]],table_DataQualities[],9,FALSE)</f>
        <v>5081.6000000000004</v>
      </c>
    </row>
    <row r="1404" spans="1:13" x14ac:dyDescent="0.45">
      <c r="A1404" s="10">
        <v>374</v>
      </c>
      <c r="B1404" s="10">
        <v>243</v>
      </c>
      <c r="C14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4" s="10"/>
      <c r="E1404" s="10"/>
      <c r="F1404" s="12">
        <f ca="1">(RANDBETWEEN(0,50)/100)*(dict_DQ_Meth_max[[#This Row],[Vergleich_ub]]-dict_DQ_Meth_max[[#This Row],[Vergleich_lb]])+dict_DQ_Meth_max[[#This Row],[Vergleich_lb]]</f>
        <v>1372.3641500000001</v>
      </c>
      <c r="G1404" s="12">
        <f ca="1">(RANDBETWEEN(50,100)/100)*(dict_DQ_Meth_max[[#This Row],[Vergleich_ub]]-dict_DQ_Meth_max[[#This Row],[Vergleich_lb]])+dict_DQ_Meth_max[[#This Row],[Vergleich_lb]]</f>
        <v>4929.1656499999999</v>
      </c>
      <c r="H1404" s="11" t="str">
        <f ca="1">VLOOKUP(VLOOKUP(dict_DQ_Meth_max[[#This Row],[ID_DataQualities]],table_DataQualities[],3),table_Units[],2)</f>
        <v>Hz</v>
      </c>
      <c r="I1404" s="10"/>
      <c r="J1404" s="10"/>
      <c r="K1404" s="10"/>
      <c r="L1404" s="10">
        <f ca="1">VLOOKUP(dict_DQ_Meth_max[[#This Row],[ID_DataQualities]],table_DataQualities[],8,FALSE)</f>
        <v>0.45500000000000002</v>
      </c>
      <c r="M1404" s="10">
        <f ca="1">VLOOKUP(dict_DQ_Meth_max[[#This Row],[ID_DataQualities]],table_DataQualities[],9,FALSE)</f>
        <v>5081.6000000000004</v>
      </c>
    </row>
    <row r="1405" spans="1:13" x14ac:dyDescent="0.45">
      <c r="A1405" s="10">
        <v>375</v>
      </c>
      <c r="B1405" s="10">
        <v>84</v>
      </c>
      <c r="C14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5" s="10"/>
      <c r="E1405" s="10"/>
      <c r="F1405" s="12">
        <f ca="1">(RANDBETWEEN(0,50)/100)*(dict_DQ_Meth_max[[#This Row],[Vergleich_ub]]-dict_DQ_Meth_max[[#This Row],[Vergleich_lb]])+dict_DQ_Meth_max[[#This Row],[Vergleich_lb]]</f>
        <v>3.4560000000000004</v>
      </c>
      <c r="G1405" s="12">
        <f ca="1">(RANDBETWEEN(50,100)/100)*(dict_DQ_Meth_max[[#This Row],[Vergleich_ub]]-dict_DQ_Meth_max[[#This Row],[Vergleich_lb]])+dict_DQ_Meth_max[[#This Row],[Vergleich_lb]]</f>
        <v>6.096000000000001</v>
      </c>
      <c r="H1405" s="11" t="str">
        <f ca="1">VLOOKUP(VLOOKUP(dict_DQ_Meth_max[[#This Row],[ID_DataQualities]],table_DataQualities[],3),table_Units[],2)</f>
        <v>+/- °C</v>
      </c>
      <c r="I1405" s="10"/>
      <c r="J1405" s="10"/>
      <c r="K1405" s="10"/>
      <c r="L1405" s="10">
        <f ca="1">VLOOKUP(dict_DQ_Meth_max[[#This Row],[ID_DataQualities]],table_DataQualities[],8,FALSE)</f>
        <v>0.2</v>
      </c>
      <c r="M1405" s="10">
        <f ca="1">VLOOKUP(dict_DQ_Meth_max[[#This Row],[ID_DataQualities]],table_DataQualities[],9,FALSE)</f>
        <v>9</v>
      </c>
    </row>
    <row r="1406" spans="1:13" x14ac:dyDescent="0.45">
      <c r="A1406" s="10">
        <v>375</v>
      </c>
      <c r="B1406" s="10">
        <v>527</v>
      </c>
      <c r="C14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6" s="10"/>
      <c r="E1406" s="10"/>
      <c r="F1406" s="12">
        <f ca="1">(RANDBETWEEN(0,50)/100)*(dict_DQ_Meth_max[[#This Row],[Vergleich_ub]]-dict_DQ_Meth_max[[#This Row],[Vergleich_lb]])+dict_DQ_Meth_max[[#This Row],[Vergleich_lb]]</f>
        <v>4.0720000000000001</v>
      </c>
      <c r="G1406" s="12">
        <f ca="1">(RANDBETWEEN(50,100)/100)*(dict_DQ_Meth_max[[#This Row],[Vergleich_ub]]-dict_DQ_Meth_max[[#This Row],[Vergleich_lb]])+dict_DQ_Meth_max[[#This Row],[Vergleich_lb]]</f>
        <v>5.8320000000000007</v>
      </c>
      <c r="H1406" s="11" t="str">
        <f ca="1">VLOOKUP(VLOOKUP(dict_DQ_Meth_max[[#This Row],[ID_DataQualities]],table_DataQualities[],3),table_Units[],2)</f>
        <v>+/- °C</v>
      </c>
      <c r="I1406" s="10"/>
      <c r="J1406" s="10"/>
      <c r="K1406" s="10"/>
      <c r="L1406" s="10">
        <f ca="1">VLOOKUP(dict_DQ_Meth_max[[#This Row],[ID_DataQualities]],table_DataQualities[],8,FALSE)</f>
        <v>0.2</v>
      </c>
      <c r="M1406" s="10">
        <f ca="1">VLOOKUP(dict_DQ_Meth_max[[#This Row],[ID_DataQualities]],table_DataQualities[],9,FALSE)</f>
        <v>9</v>
      </c>
    </row>
    <row r="1407" spans="1:13" x14ac:dyDescent="0.45">
      <c r="A1407" s="10">
        <v>375</v>
      </c>
      <c r="B1407" s="10">
        <v>387</v>
      </c>
      <c r="C14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7" s="10"/>
      <c r="E1407" s="10"/>
      <c r="F1407" s="12">
        <f ca="1">(RANDBETWEEN(0,50)/100)*(dict_DQ_Meth_max[[#This Row],[Vergleich_ub]]-dict_DQ_Meth_max[[#This Row],[Vergleich_lb]])+dict_DQ_Meth_max[[#This Row],[Vergleich_lb]]</f>
        <v>4.0720000000000001</v>
      </c>
      <c r="G1407" s="12">
        <f ca="1">(RANDBETWEEN(50,100)/100)*(dict_DQ_Meth_max[[#This Row],[Vergleich_ub]]-dict_DQ_Meth_max[[#This Row],[Vergleich_lb]])+dict_DQ_Meth_max[[#This Row],[Vergleich_lb]]</f>
        <v>7.0640000000000009</v>
      </c>
      <c r="H1407" s="11" t="str">
        <f ca="1">VLOOKUP(VLOOKUP(dict_DQ_Meth_max[[#This Row],[ID_DataQualities]],table_DataQualities[],3),table_Units[],2)</f>
        <v>+/- °C</v>
      </c>
      <c r="I1407" s="10"/>
      <c r="J1407" s="10"/>
      <c r="K1407" s="10"/>
      <c r="L1407" s="10">
        <f ca="1">VLOOKUP(dict_DQ_Meth_max[[#This Row],[ID_DataQualities]],table_DataQualities[],8,FALSE)</f>
        <v>0.2</v>
      </c>
      <c r="M1407" s="10">
        <f ca="1">VLOOKUP(dict_DQ_Meth_max[[#This Row],[ID_DataQualities]],table_DataQualities[],9,FALSE)</f>
        <v>9</v>
      </c>
    </row>
    <row r="1408" spans="1:13" x14ac:dyDescent="0.45">
      <c r="A1408" s="10">
        <v>375</v>
      </c>
      <c r="B1408" s="10">
        <v>2</v>
      </c>
      <c r="C14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8" s="10"/>
      <c r="E1408" s="10"/>
      <c r="F1408" s="12">
        <f ca="1">(RANDBETWEEN(0,50)/100)*(dict_DQ_Meth_max[[#This Row],[Vergleich_ub]]-dict_DQ_Meth_max[[#This Row],[Vergleich_lb]])+dict_DQ_Meth_max[[#This Row],[Vergleich_lb]]</f>
        <v>3.4560000000000004</v>
      </c>
      <c r="G1408" s="12">
        <f ca="1">(RANDBETWEEN(50,100)/100)*(dict_DQ_Meth_max[[#This Row],[Vergleich_ub]]-dict_DQ_Meth_max[[#This Row],[Vergleich_lb]])+dict_DQ_Meth_max[[#This Row],[Vergleich_lb]]</f>
        <v>7.7680000000000007</v>
      </c>
      <c r="H1408" s="11" t="str">
        <f ca="1">VLOOKUP(VLOOKUP(dict_DQ_Meth_max[[#This Row],[ID_DataQualities]],table_DataQualities[],3),table_Units[],2)</f>
        <v>+/- °C</v>
      </c>
      <c r="I1408" s="10"/>
      <c r="J1408" s="10"/>
      <c r="K1408" s="10"/>
      <c r="L1408" s="10">
        <f ca="1">VLOOKUP(dict_DQ_Meth_max[[#This Row],[ID_DataQualities]],table_DataQualities[],8,FALSE)</f>
        <v>0.2</v>
      </c>
      <c r="M1408" s="10">
        <f ca="1">VLOOKUP(dict_DQ_Meth_max[[#This Row],[ID_DataQualities]],table_DataQualities[],9,FALSE)</f>
        <v>9</v>
      </c>
    </row>
    <row r="1409" spans="1:13" x14ac:dyDescent="0.45">
      <c r="A1409" s="10">
        <v>375</v>
      </c>
      <c r="B1409" s="10">
        <v>243</v>
      </c>
      <c r="C14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09" s="10"/>
      <c r="E1409" s="10"/>
      <c r="F1409" s="12">
        <f ca="1">(RANDBETWEEN(0,50)/100)*(dict_DQ_Meth_max[[#This Row],[Vergleich_ub]]-dict_DQ_Meth_max[[#This Row],[Vergleich_lb]])+dict_DQ_Meth_max[[#This Row],[Vergleich_lb]]</f>
        <v>0.2</v>
      </c>
      <c r="G1409" s="12">
        <f ca="1">(RANDBETWEEN(50,100)/100)*(dict_DQ_Meth_max[[#This Row],[Vergleich_ub]]-dict_DQ_Meth_max[[#This Row],[Vergleich_lb]])+dict_DQ_Meth_max[[#This Row],[Vergleich_lb]]</f>
        <v>8.5599999999999987</v>
      </c>
      <c r="H1409" s="11" t="str">
        <f ca="1">VLOOKUP(VLOOKUP(dict_DQ_Meth_max[[#This Row],[ID_DataQualities]],table_DataQualities[],3),table_Units[],2)</f>
        <v>+/- °C</v>
      </c>
      <c r="I1409" s="10"/>
      <c r="J1409" s="10"/>
      <c r="K1409" s="10"/>
      <c r="L1409" s="10">
        <f ca="1">VLOOKUP(dict_DQ_Meth_max[[#This Row],[ID_DataQualities]],table_DataQualities[],8,FALSE)</f>
        <v>0.2</v>
      </c>
      <c r="M1409" s="10">
        <f ca="1">VLOOKUP(dict_DQ_Meth_max[[#This Row],[ID_DataQualities]],table_DataQualities[],9,FALSE)</f>
        <v>9</v>
      </c>
    </row>
    <row r="1410" spans="1:13" x14ac:dyDescent="0.45">
      <c r="A1410" s="10">
        <v>376</v>
      </c>
      <c r="B1410" s="10">
        <v>585</v>
      </c>
      <c r="C14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0" s="10"/>
      <c r="E1410" s="10"/>
      <c r="F1410" s="12">
        <f ca="1">(RANDBETWEEN(0,50)/100)*(dict_DQ_Meth_max[[#This Row],[Vergleich_ub]]-dict_DQ_Meth_max[[#This Row],[Vergleich_lb]])+dict_DQ_Meth_max[[#This Row],[Vergleich_lb]]</f>
        <v>1885.9158399999997</v>
      </c>
      <c r="G1410" s="12">
        <f ca="1">(RANDBETWEEN(50,100)/100)*(dict_DQ_Meth_max[[#This Row],[Vergleich_ub]]-dict_DQ_Meth_max[[#This Row],[Vergleich_lb]])+dict_DQ_Meth_max[[#This Row],[Vergleich_lb]]</f>
        <v>3214.0909999999999</v>
      </c>
      <c r="H1410" s="11" t="str">
        <f ca="1">VLOOKUP(VLOOKUP(dict_DQ_Meth_max[[#This Row],[ID_DataQualities]],table_DataQualities[],3),table_Units[],2)</f>
        <v>Hz</v>
      </c>
      <c r="I1410" s="10"/>
      <c r="J1410" s="10"/>
      <c r="K1410" s="10"/>
      <c r="L1410" s="10">
        <f ca="1">VLOOKUP(dict_DQ_Meth_max[[#This Row],[ID_DataQualities]],table_DataQualities[],8,FALSE)</f>
        <v>0.76400000000000001</v>
      </c>
      <c r="M1410" s="10">
        <f ca="1">VLOOKUP(dict_DQ_Meth_max[[#This Row],[ID_DataQualities]],table_DataQualities[],9,FALSE)</f>
        <v>4285.2</v>
      </c>
    </row>
    <row r="1411" spans="1:13" x14ac:dyDescent="0.45">
      <c r="A1411" s="10">
        <v>377</v>
      </c>
      <c r="B1411" s="10">
        <v>585</v>
      </c>
      <c r="C14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1" s="10"/>
      <c r="E1411" s="10"/>
      <c r="F1411" s="12">
        <f ca="1">(RANDBETWEEN(0,50)/100)*(dict_DQ_Meth_max[[#This Row],[Vergleich_ub]]-dict_DQ_Meth_max[[#This Row],[Vergleich_lb]])+dict_DQ_Meth_max[[#This Row],[Vergleich_lb]]</f>
        <v>0.70519999999999994</v>
      </c>
      <c r="G1411" s="12">
        <f ca="1">(RANDBETWEEN(50,100)/100)*(dict_DQ_Meth_max[[#This Row],[Vergleich_ub]]-dict_DQ_Meth_max[[#This Row],[Vergleich_lb]])+dict_DQ_Meth_max[[#This Row],[Vergleich_lb]]</f>
        <v>1.8804799999999999</v>
      </c>
      <c r="H1411" s="11" t="str">
        <f ca="1">VLOOKUP(VLOOKUP(dict_DQ_Meth_max[[#This Row],[ID_DataQualities]],table_DataQualities[],3),table_Units[],2)</f>
        <v>+/- W</v>
      </c>
      <c r="I1411" s="10"/>
      <c r="J1411" s="10"/>
      <c r="K1411" s="10"/>
      <c r="L1411" s="10">
        <f ca="1">VLOOKUP(dict_DQ_Meth_max[[#This Row],[ID_DataQualities]],table_DataQualities[],8,FALSE)</f>
        <v>8.0000000000000002E-3</v>
      </c>
      <c r="M1411" s="10">
        <f ca="1">VLOOKUP(dict_DQ_Meth_max[[#This Row],[ID_DataQualities]],table_DataQualities[],9,FALSE)</f>
        <v>2</v>
      </c>
    </row>
    <row r="1412" spans="1:13" x14ac:dyDescent="0.45">
      <c r="A1412" s="10">
        <v>378</v>
      </c>
      <c r="B1412" s="10">
        <v>71</v>
      </c>
      <c r="C14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2" s="10"/>
      <c r="E1412" s="10"/>
      <c r="F1412" s="12">
        <f ca="1">(RANDBETWEEN(0,50)/100)*(dict_DQ_Meth_max[[#This Row],[Vergleich_ub]]-dict_DQ_Meth_max[[#This Row],[Vergleich_lb]])+dict_DQ_Meth_max[[#This Row],[Vergleich_lb]]</f>
        <v>1471.92707</v>
      </c>
      <c r="G1412" s="12">
        <f ca="1">(RANDBETWEEN(50,100)/100)*(dict_DQ_Meth_max[[#This Row],[Vergleich_ub]]-dict_DQ_Meth_max[[#This Row],[Vergleich_lb]])+dict_DQ_Meth_max[[#This Row],[Vergleich_lb]]</f>
        <v>7271.360639999999</v>
      </c>
      <c r="H1412" s="11" t="str">
        <f ca="1">VLOOKUP(VLOOKUP(dict_DQ_Meth_max[[#This Row],[ID_DataQualities]],table_DataQualities[],3),table_Units[],2)</f>
        <v>Hz</v>
      </c>
      <c r="I1412" s="10"/>
      <c r="J1412" s="10"/>
      <c r="K1412" s="10"/>
      <c r="L1412" s="10">
        <f ca="1">VLOOKUP(dict_DQ_Meth_max[[#This Row],[ID_DataQualities]],table_DataQualities[],8,FALSE)</f>
        <v>0.42899999999999999</v>
      </c>
      <c r="M1412" s="10">
        <f ca="1">VLOOKUP(dict_DQ_Meth_max[[#This Row],[ID_DataQualities]],table_DataQualities[],9,FALSE)</f>
        <v>8656.2999999999993</v>
      </c>
    </row>
    <row r="1413" spans="1:13" x14ac:dyDescent="0.45">
      <c r="A1413" s="10">
        <v>378</v>
      </c>
      <c r="B1413" s="10">
        <v>553</v>
      </c>
      <c r="C14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3" s="10"/>
      <c r="E1413" s="10"/>
      <c r="F1413" s="12">
        <f ca="1">(RANDBETWEEN(0,50)/100)*(dict_DQ_Meth_max[[#This Row],[Vergleich_ub]]-dict_DQ_Meth_max[[#This Row],[Vergleich_lb]])+dict_DQ_Meth_max[[#This Row],[Vergleich_lb]]</f>
        <v>2856.86643</v>
      </c>
      <c r="G1413" s="12">
        <f ca="1">(RANDBETWEEN(50,100)/100)*(dict_DQ_Meth_max[[#This Row],[Vergleich_ub]]-dict_DQ_Meth_max[[#This Row],[Vergleich_lb]])+dict_DQ_Meth_max[[#This Row],[Vergleich_lb]]</f>
        <v>6492.3322499999995</v>
      </c>
      <c r="H1413" s="11" t="str">
        <f ca="1">VLOOKUP(VLOOKUP(dict_DQ_Meth_max[[#This Row],[ID_DataQualities]],table_DataQualities[],3),table_Units[],2)</f>
        <v>Hz</v>
      </c>
      <c r="I1413" s="10"/>
      <c r="J1413" s="10"/>
      <c r="K1413" s="10"/>
      <c r="L1413" s="10">
        <f ca="1">VLOOKUP(dict_DQ_Meth_max[[#This Row],[ID_DataQualities]],table_DataQualities[],8,FALSE)</f>
        <v>0.42899999999999999</v>
      </c>
      <c r="M1413" s="10">
        <f ca="1">VLOOKUP(dict_DQ_Meth_max[[#This Row],[ID_DataQualities]],table_DataQualities[],9,FALSE)</f>
        <v>8656.2999999999993</v>
      </c>
    </row>
    <row r="1414" spans="1:13" x14ac:dyDescent="0.45">
      <c r="A1414" s="10">
        <v>378</v>
      </c>
      <c r="B1414" s="10">
        <v>252</v>
      </c>
      <c r="C14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4" s="10"/>
      <c r="E1414" s="10"/>
      <c r="F1414" s="12">
        <f ca="1">(RANDBETWEEN(0,50)/100)*(dict_DQ_Meth_max[[#This Row],[Vergleich_ub]]-dict_DQ_Meth_max[[#This Row],[Vergleich_lb]])+dict_DQ_Meth_max[[#This Row],[Vergleich_lb]]</f>
        <v>1471.92707</v>
      </c>
      <c r="G1414" s="12">
        <f ca="1">(RANDBETWEEN(50,100)/100)*(dict_DQ_Meth_max[[#This Row],[Vergleich_ub]]-dict_DQ_Meth_max[[#This Row],[Vergleich_lb]])+dict_DQ_Meth_max[[#This Row],[Vergleich_lb]]</f>
        <v>5107.3928899999992</v>
      </c>
      <c r="H1414" s="11" t="str">
        <f ca="1">VLOOKUP(VLOOKUP(dict_DQ_Meth_max[[#This Row],[ID_DataQualities]],table_DataQualities[],3),table_Units[],2)</f>
        <v>Hz</v>
      </c>
      <c r="I1414" s="10"/>
      <c r="J1414" s="10"/>
      <c r="K1414" s="10"/>
      <c r="L1414" s="10">
        <f ca="1">VLOOKUP(dict_DQ_Meth_max[[#This Row],[ID_DataQualities]],table_DataQualities[],8,FALSE)</f>
        <v>0.42899999999999999</v>
      </c>
      <c r="M1414" s="10">
        <f ca="1">VLOOKUP(dict_DQ_Meth_max[[#This Row],[ID_DataQualities]],table_DataQualities[],9,FALSE)</f>
        <v>8656.2999999999993</v>
      </c>
    </row>
    <row r="1415" spans="1:13" x14ac:dyDescent="0.45">
      <c r="A1415" s="10">
        <v>378</v>
      </c>
      <c r="B1415" s="10">
        <v>162</v>
      </c>
      <c r="C14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5" s="10"/>
      <c r="E1415" s="10"/>
      <c r="F1415" s="12">
        <f ca="1">(RANDBETWEEN(0,50)/100)*(dict_DQ_Meth_max[[#This Row],[Vergleich_ub]]-dict_DQ_Meth_max[[#This Row],[Vergleich_lb]])+dict_DQ_Meth_max[[#This Row],[Vergleich_lb]]</f>
        <v>3462.7773999999999</v>
      </c>
      <c r="G1415" s="12">
        <f ca="1">(RANDBETWEEN(50,100)/100)*(dict_DQ_Meth_max[[#This Row],[Vergleich_ub]]-dict_DQ_Meth_max[[#This Row],[Vergleich_lb]])+dict_DQ_Meth_max[[#This Row],[Vergleich_lb]]</f>
        <v>8050.3890299999994</v>
      </c>
      <c r="H1415" s="11" t="str">
        <f ca="1">VLOOKUP(VLOOKUP(dict_DQ_Meth_max[[#This Row],[ID_DataQualities]],table_DataQualities[],3),table_Units[],2)</f>
        <v>Hz</v>
      </c>
      <c r="I1415" s="10"/>
      <c r="J1415" s="10"/>
      <c r="K1415" s="10"/>
      <c r="L1415" s="10">
        <f ca="1">VLOOKUP(dict_DQ_Meth_max[[#This Row],[ID_DataQualities]],table_DataQualities[],8,FALSE)</f>
        <v>0.42899999999999999</v>
      </c>
      <c r="M1415" s="10">
        <f ca="1">VLOOKUP(dict_DQ_Meth_max[[#This Row],[ID_DataQualities]],table_DataQualities[],9,FALSE)</f>
        <v>8656.2999999999993</v>
      </c>
    </row>
    <row r="1416" spans="1:13" x14ac:dyDescent="0.45">
      <c r="A1416" s="10">
        <v>378</v>
      </c>
      <c r="B1416" s="10">
        <v>190</v>
      </c>
      <c r="C14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6" s="10"/>
      <c r="E1416" s="10"/>
      <c r="F1416" s="12">
        <f ca="1">(RANDBETWEEN(0,50)/100)*(dict_DQ_Meth_max[[#This Row],[Vergleich_ub]]-dict_DQ_Meth_max[[#This Row],[Vergleich_lb]])+dict_DQ_Meth_max[[#This Row],[Vergleich_lb]]</f>
        <v>1385.3683599999999</v>
      </c>
      <c r="G1416" s="12">
        <f ca="1">(RANDBETWEEN(50,100)/100)*(dict_DQ_Meth_max[[#This Row],[Vergleich_ub]]-dict_DQ_Meth_max[[#This Row],[Vergleich_lb]])+dict_DQ_Meth_max[[#This Row],[Vergleich_lb]]</f>
        <v>5020.8341799999989</v>
      </c>
      <c r="H1416" s="11" t="str">
        <f ca="1">VLOOKUP(VLOOKUP(dict_DQ_Meth_max[[#This Row],[ID_DataQualities]],table_DataQualities[],3),table_Units[],2)</f>
        <v>Hz</v>
      </c>
      <c r="I1416" s="10"/>
      <c r="J1416" s="10"/>
      <c r="K1416" s="10"/>
      <c r="L1416" s="10">
        <f ca="1">VLOOKUP(dict_DQ_Meth_max[[#This Row],[ID_DataQualities]],table_DataQualities[],8,FALSE)</f>
        <v>0.42899999999999999</v>
      </c>
      <c r="M1416" s="10">
        <f ca="1">VLOOKUP(dict_DQ_Meth_max[[#This Row],[ID_DataQualities]],table_DataQualities[],9,FALSE)</f>
        <v>8656.2999999999993</v>
      </c>
    </row>
    <row r="1417" spans="1:13" x14ac:dyDescent="0.45">
      <c r="A1417" s="10">
        <v>378</v>
      </c>
      <c r="B1417" s="10">
        <v>579</v>
      </c>
      <c r="C14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7" s="10"/>
      <c r="E1417" s="10"/>
      <c r="F1417" s="12">
        <f ca="1">(RANDBETWEEN(0,50)/100)*(dict_DQ_Meth_max[[#This Row],[Vergleich_ub]]-dict_DQ_Meth_max[[#This Row],[Vergleich_lb]])+dict_DQ_Meth_max[[#This Row],[Vergleich_lb]]</f>
        <v>260.10512999999992</v>
      </c>
      <c r="G1417" s="12">
        <f ca="1">(RANDBETWEEN(50,100)/100)*(dict_DQ_Meth_max[[#This Row],[Vergleich_ub]]-dict_DQ_Meth_max[[#This Row],[Vergleich_lb]])+dict_DQ_Meth_max[[#This Row],[Vergleich_lb]]</f>
        <v>7444.4780599999995</v>
      </c>
      <c r="H1417" s="11" t="str">
        <f ca="1">VLOOKUP(VLOOKUP(dict_DQ_Meth_max[[#This Row],[ID_DataQualities]],table_DataQualities[],3),table_Units[],2)</f>
        <v>Hz</v>
      </c>
      <c r="I1417" s="10"/>
      <c r="J1417" s="10"/>
      <c r="K1417" s="10"/>
      <c r="L1417" s="10">
        <f ca="1">VLOOKUP(dict_DQ_Meth_max[[#This Row],[ID_DataQualities]],table_DataQualities[],8,FALSE)</f>
        <v>0.42899999999999999</v>
      </c>
      <c r="M1417" s="10">
        <f ca="1">VLOOKUP(dict_DQ_Meth_max[[#This Row],[ID_DataQualities]],table_DataQualities[],9,FALSE)</f>
        <v>8656.2999999999993</v>
      </c>
    </row>
    <row r="1418" spans="1:13" x14ac:dyDescent="0.45">
      <c r="A1418" s="10">
        <v>379</v>
      </c>
      <c r="B1418" s="10">
        <v>162</v>
      </c>
      <c r="C14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8" s="10"/>
      <c r="E1418" s="10"/>
      <c r="F1418" s="12">
        <f ca="1">(RANDBETWEEN(0,50)/100)*(dict_DQ_Meth_max[[#This Row],[Vergleich_ub]]-dict_DQ_Meth_max[[#This Row],[Vergleich_lb]])+dict_DQ_Meth_max[[#This Row],[Vergleich_lb]]</f>
        <v>2.8785999999999996</v>
      </c>
      <c r="G1418" s="12">
        <f ca="1">(RANDBETWEEN(50,100)/100)*(dict_DQ_Meth_max[[#This Row],[Vergleich_ub]]-dict_DQ_Meth_max[[#This Row],[Vergleich_lb]])+dict_DQ_Meth_max[[#This Row],[Vergleich_lb]]</f>
        <v>8.3829999999999991</v>
      </c>
      <c r="H1418" s="11" t="str">
        <f ca="1">VLOOKUP(VLOOKUP(dict_DQ_Meth_max[[#This Row],[ID_DataQualities]],table_DataQualities[],3),table_Units[],2)</f>
        <v>+/- mm/s</v>
      </c>
      <c r="I1418" s="10"/>
      <c r="J1418" s="10"/>
      <c r="K1418" s="10"/>
      <c r="L1418" s="10">
        <f ca="1">VLOOKUP(dict_DQ_Meth_max[[#This Row],[ID_DataQualities]],table_DataQualities[],8,FALSE)</f>
        <v>0.46</v>
      </c>
      <c r="M1418" s="10">
        <f ca="1">VLOOKUP(dict_DQ_Meth_max[[#This Row],[ID_DataQualities]],table_DataQualities[],9,FALSE)</f>
        <v>8.8000000000000007</v>
      </c>
    </row>
    <row r="1419" spans="1:13" x14ac:dyDescent="0.45">
      <c r="A1419" s="10">
        <v>379</v>
      </c>
      <c r="B1419" s="10">
        <v>71</v>
      </c>
      <c r="C14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19" s="10"/>
      <c r="E1419" s="10"/>
      <c r="F1419" s="12">
        <f ca="1">(RANDBETWEEN(0,50)/100)*(dict_DQ_Meth_max[[#This Row],[Vergleich_ub]]-dict_DQ_Meth_max[[#This Row],[Vergleich_lb]])+dict_DQ_Meth_max[[#This Row],[Vergleich_lb]]</f>
        <v>0.96039999999999992</v>
      </c>
      <c r="G1419" s="12">
        <f ca="1">(RANDBETWEEN(50,100)/100)*(dict_DQ_Meth_max[[#This Row],[Vergleich_ub]]-dict_DQ_Meth_max[[#This Row],[Vergleich_lb]])+dict_DQ_Meth_max[[#This Row],[Vergleich_lb]]</f>
        <v>6.214599999999999</v>
      </c>
      <c r="H1419" s="11" t="str">
        <f ca="1">VLOOKUP(VLOOKUP(dict_DQ_Meth_max[[#This Row],[ID_DataQualities]],table_DataQualities[],3),table_Units[],2)</f>
        <v>+/- mm/s</v>
      </c>
      <c r="I1419" s="10"/>
      <c r="J1419" s="10"/>
      <c r="K1419" s="10"/>
      <c r="L1419" s="10">
        <f ca="1">VLOOKUP(dict_DQ_Meth_max[[#This Row],[ID_DataQualities]],table_DataQualities[],8,FALSE)</f>
        <v>0.46</v>
      </c>
      <c r="M1419" s="10">
        <f ca="1">VLOOKUP(dict_DQ_Meth_max[[#This Row],[ID_DataQualities]],table_DataQualities[],9,FALSE)</f>
        <v>8.8000000000000007</v>
      </c>
    </row>
    <row r="1420" spans="1:13" x14ac:dyDescent="0.45">
      <c r="A1420" s="10">
        <v>379</v>
      </c>
      <c r="B1420" s="10">
        <v>553</v>
      </c>
      <c r="C14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0" s="10"/>
      <c r="E1420" s="10"/>
      <c r="F1420" s="12">
        <f ca="1">(RANDBETWEEN(0,50)/100)*(dict_DQ_Meth_max[[#This Row],[Vergleich_ub]]-dict_DQ_Meth_max[[#This Row],[Vergleich_lb]])+dict_DQ_Meth_max[[#This Row],[Vergleich_lb]]</f>
        <v>1.2105999999999999</v>
      </c>
      <c r="G1420" s="12">
        <f ca="1">(RANDBETWEEN(50,100)/100)*(dict_DQ_Meth_max[[#This Row],[Vergleich_ub]]-dict_DQ_Meth_max[[#This Row],[Vergleich_lb]])+dict_DQ_Meth_max[[#This Row],[Vergleich_lb]]</f>
        <v>7.2987999999999991</v>
      </c>
      <c r="H1420" s="11" t="str">
        <f ca="1">VLOOKUP(VLOOKUP(dict_DQ_Meth_max[[#This Row],[ID_DataQualities]],table_DataQualities[],3),table_Units[],2)</f>
        <v>+/- mm/s</v>
      </c>
      <c r="I1420" s="10"/>
      <c r="J1420" s="10"/>
      <c r="K1420" s="10"/>
      <c r="L1420" s="10">
        <f ca="1">VLOOKUP(dict_DQ_Meth_max[[#This Row],[ID_DataQualities]],table_DataQualities[],8,FALSE)</f>
        <v>0.46</v>
      </c>
      <c r="M1420" s="10">
        <f ca="1">VLOOKUP(dict_DQ_Meth_max[[#This Row],[ID_DataQualities]],table_DataQualities[],9,FALSE)</f>
        <v>8.8000000000000007</v>
      </c>
    </row>
    <row r="1421" spans="1:13" x14ac:dyDescent="0.45">
      <c r="A1421" s="10">
        <v>379</v>
      </c>
      <c r="B1421" s="10">
        <v>252</v>
      </c>
      <c r="C14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1" s="10"/>
      <c r="E1421" s="10"/>
      <c r="F1421" s="12">
        <f ca="1">(RANDBETWEEN(0,50)/100)*(dict_DQ_Meth_max[[#This Row],[Vergleich_ub]]-dict_DQ_Meth_max[[#This Row],[Vergleich_lb]])+dict_DQ_Meth_max[[#This Row],[Vergleich_lb]]</f>
        <v>0.79360000000000008</v>
      </c>
      <c r="G1421" s="12">
        <f ca="1">(RANDBETWEEN(50,100)/100)*(dict_DQ_Meth_max[[#This Row],[Vergleich_ub]]-dict_DQ_Meth_max[[#This Row],[Vergleich_lb]])+dict_DQ_Meth_max[[#This Row],[Vergleich_lb]]</f>
        <v>6.9652000000000003</v>
      </c>
      <c r="H1421" s="11" t="str">
        <f ca="1">VLOOKUP(VLOOKUP(dict_DQ_Meth_max[[#This Row],[ID_DataQualities]],table_DataQualities[],3),table_Units[],2)</f>
        <v>+/- mm/s</v>
      </c>
      <c r="I1421" s="10"/>
      <c r="J1421" s="10"/>
      <c r="K1421" s="10"/>
      <c r="L1421" s="10">
        <f ca="1">VLOOKUP(dict_DQ_Meth_max[[#This Row],[ID_DataQualities]],table_DataQualities[],8,FALSE)</f>
        <v>0.46</v>
      </c>
      <c r="M1421" s="10">
        <f ca="1">VLOOKUP(dict_DQ_Meth_max[[#This Row],[ID_DataQualities]],table_DataQualities[],9,FALSE)</f>
        <v>8.8000000000000007</v>
      </c>
    </row>
    <row r="1422" spans="1:13" x14ac:dyDescent="0.45">
      <c r="A1422" s="10">
        <v>379</v>
      </c>
      <c r="B1422" s="10">
        <v>579</v>
      </c>
      <c r="C142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2" s="10"/>
      <c r="E1422" s="10"/>
      <c r="F1422" s="12">
        <f ca="1">(RANDBETWEEN(0,50)/100)*(dict_DQ_Meth_max[[#This Row],[Vergleich_ub]]-dict_DQ_Meth_max[[#This Row],[Vergleich_lb]])+dict_DQ_Meth_max[[#This Row],[Vergleich_lb]]</f>
        <v>0.877</v>
      </c>
      <c r="G1422" s="12">
        <f ca="1">(RANDBETWEEN(50,100)/100)*(dict_DQ_Meth_max[[#This Row],[Vergleich_ub]]-dict_DQ_Meth_max[[#This Row],[Vergleich_lb]])+dict_DQ_Meth_max[[#This Row],[Vergleich_lb]]</f>
        <v>5.3805999999999994</v>
      </c>
      <c r="H1422" s="11" t="str">
        <f ca="1">VLOOKUP(VLOOKUP(dict_DQ_Meth_max[[#This Row],[ID_DataQualities]],table_DataQualities[],3),table_Units[],2)</f>
        <v>+/- mm/s</v>
      </c>
      <c r="I1422" s="10"/>
      <c r="J1422" s="10"/>
      <c r="K1422" s="10"/>
      <c r="L1422" s="10">
        <f ca="1">VLOOKUP(dict_DQ_Meth_max[[#This Row],[ID_DataQualities]],table_DataQualities[],8,FALSE)</f>
        <v>0.46</v>
      </c>
      <c r="M1422" s="10">
        <f ca="1">VLOOKUP(dict_DQ_Meth_max[[#This Row],[ID_DataQualities]],table_DataQualities[],9,FALSE)</f>
        <v>8.8000000000000007</v>
      </c>
    </row>
    <row r="1423" spans="1:13" x14ac:dyDescent="0.45">
      <c r="A1423" s="10">
        <v>379</v>
      </c>
      <c r="B1423" s="10">
        <v>190</v>
      </c>
      <c r="C142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3" s="10"/>
      <c r="E1423" s="10"/>
      <c r="F1423" s="12">
        <f ca="1">(RANDBETWEEN(0,50)/100)*(dict_DQ_Meth_max[[#This Row],[Vergleich_ub]]-dict_DQ_Meth_max[[#This Row],[Vergleich_lb]])+dict_DQ_Meth_max[[#This Row],[Vergleich_lb]]</f>
        <v>0.71019999999999994</v>
      </c>
      <c r="G1423" s="12">
        <f ca="1">(RANDBETWEEN(50,100)/100)*(dict_DQ_Meth_max[[#This Row],[Vergleich_ub]]-dict_DQ_Meth_max[[#This Row],[Vergleich_lb]])+dict_DQ_Meth_max[[#This Row],[Vergleich_lb]]</f>
        <v>7.9660000000000002</v>
      </c>
      <c r="H1423" s="11" t="str">
        <f ca="1">VLOOKUP(VLOOKUP(dict_DQ_Meth_max[[#This Row],[ID_DataQualities]],table_DataQualities[],3),table_Units[],2)</f>
        <v>+/- mm/s</v>
      </c>
      <c r="I1423" s="10"/>
      <c r="J1423" s="10"/>
      <c r="K1423" s="10"/>
      <c r="L1423" s="10">
        <f ca="1">VLOOKUP(dict_DQ_Meth_max[[#This Row],[ID_DataQualities]],table_DataQualities[],8,FALSE)</f>
        <v>0.46</v>
      </c>
      <c r="M1423" s="10">
        <f ca="1">VLOOKUP(dict_DQ_Meth_max[[#This Row],[ID_DataQualities]],table_DataQualities[],9,FALSE)</f>
        <v>8.8000000000000007</v>
      </c>
    </row>
    <row r="1424" spans="1:13" x14ac:dyDescent="0.45">
      <c r="A1424" s="10">
        <v>380</v>
      </c>
      <c r="B1424" s="10">
        <v>192</v>
      </c>
      <c r="C142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4" s="10"/>
      <c r="E1424" s="10"/>
      <c r="F1424" s="12">
        <f ca="1">(RANDBETWEEN(0,50)/100)*(dict_DQ_Meth_max[[#This Row],[Vergleich_ub]]-dict_DQ_Meth_max[[#This Row],[Vergleich_lb]])+dict_DQ_Meth_max[[#This Row],[Vergleich_lb]]</f>
        <v>2304.71495</v>
      </c>
      <c r="G1424" s="12">
        <f ca="1">(RANDBETWEEN(50,100)/100)*(dict_DQ_Meth_max[[#This Row],[Vergleich_ub]]-dict_DQ_Meth_max[[#This Row],[Vergleich_lb]])+dict_DQ_Meth_max[[#This Row],[Vergleich_lb]]</f>
        <v>6230.9000499999993</v>
      </c>
      <c r="H1424" s="11" t="str">
        <f ca="1">VLOOKUP(VLOOKUP(dict_DQ_Meth_max[[#This Row],[ID_DataQualities]],table_DataQualities[],3),table_Units[],2)</f>
        <v>Hz</v>
      </c>
      <c r="I1424" s="10"/>
      <c r="J1424" s="10"/>
      <c r="K1424" s="10"/>
      <c r="L1424" s="10">
        <f ca="1">VLOOKUP(dict_DQ_Meth_max[[#This Row],[ID_DataQualities]],table_DataQualities[],8,FALSE)</f>
        <v>0.215</v>
      </c>
      <c r="M1424" s="10">
        <f ca="1">VLOOKUP(dict_DQ_Meth_max[[#This Row],[ID_DataQualities]],table_DataQualities[],9,FALSE)</f>
        <v>8535.4</v>
      </c>
    </row>
    <row r="1425" spans="1:13" x14ac:dyDescent="0.45">
      <c r="A1425" s="10">
        <v>380</v>
      </c>
      <c r="B1425" s="10">
        <v>369</v>
      </c>
      <c r="C142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5" s="10"/>
      <c r="E1425" s="10"/>
      <c r="F1425" s="12">
        <f ca="1">(RANDBETWEEN(0,50)/100)*(dict_DQ_Meth_max[[#This Row],[Vergleich_ub]]-dict_DQ_Meth_max[[#This Row],[Vergleich_lb]])+dict_DQ_Meth_max[[#This Row],[Vergleich_lb]]</f>
        <v>1280.4927499999999</v>
      </c>
      <c r="G1425" s="12">
        <f ca="1">(RANDBETWEEN(50,100)/100)*(dict_DQ_Meth_max[[#This Row],[Vergleich_ub]]-dict_DQ_Meth_max[[#This Row],[Vergleich_lb]])+dict_DQ_Meth_max[[#This Row],[Vergleich_lb]]</f>
        <v>4609.2148999999999</v>
      </c>
      <c r="H1425" s="11" t="str">
        <f ca="1">VLOOKUP(VLOOKUP(dict_DQ_Meth_max[[#This Row],[ID_DataQualities]],table_DataQualities[],3),table_Units[],2)</f>
        <v>Hz</v>
      </c>
      <c r="I1425" s="10"/>
      <c r="J1425" s="10"/>
      <c r="K1425" s="10"/>
      <c r="L1425" s="10">
        <f ca="1">VLOOKUP(dict_DQ_Meth_max[[#This Row],[ID_DataQualities]],table_DataQualities[],8,FALSE)</f>
        <v>0.215</v>
      </c>
      <c r="M1425" s="10">
        <f ca="1">VLOOKUP(dict_DQ_Meth_max[[#This Row],[ID_DataQualities]],table_DataQualities[],9,FALSE)</f>
        <v>8535.4</v>
      </c>
    </row>
    <row r="1426" spans="1:13" x14ac:dyDescent="0.45">
      <c r="A1426" s="10">
        <v>380</v>
      </c>
      <c r="B1426" s="10">
        <v>672</v>
      </c>
      <c r="C142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6" s="10"/>
      <c r="E1426" s="10"/>
      <c r="F1426" s="12">
        <f ca="1">(RANDBETWEEN(0,50)/100)*(dict_DQ_Meth_max[[#This Row],[Vergleich_ub]]-dict_DQ_Meth_max[[#This Row],[Vergleich_lb]])+dict_DQ_Meth_max[[#This Row],[Vergleich_lb]]</f>
        <v>0.215</v>
      </c>
      <c r="G1426" s="12">
        <f ca="1">(RANDBETWEEN(50,100)/100)*(dict_DQ_Meth_max[[#This Row],[Vergleich_ub]]-dict_DQ_Meth_max[[#This Row],[Vergleich_lb]])+dict_DQ_Meth_max[[#This Row],[Vergleich_lb]]</f>
        <v>8364.6962999999996</v>
      </c>
      <c r="H1426" s="11" t="str">
        <f ca="1">VLOOKUP(VLOOKUP(dict_DQ_Meth_max[[#This Row],[ID_DataQualities]],table_DataQualities[],3),table_Units[],2)</f>
        <v>Hz</v>
      </c>
      <c r="I1426" s="10"/>
      <c r="J1426" s="10"/>
      <c r="K1426" s="10"/>
      <c r="L1426" s="10">
        <f ca="1">VLOOKUP(dict_DQ_Meth_max[[#This Row],[ID_DataQualities]],table_DataQualities[],8,FALSE)</f>
        <v>0.215</v>
      </c>
      <c r="M1426" s="10">
        <f ca="1">VLOOKUP(dict_DQ_Meth_max[[#This Row],[ID_DataQualities]],table_DataQualities[],9,FALSE)</f>
        <v>8535.4</v>
      </c>
    </row>
    <row r="1427" spans="1:13" x14ac:dyDescent="0.45">
      <c r="A1427" s="10">
        <v>380</v>
      </c>
      <c r="B1427" s="10">
        <v>557</v>
      </c>
      <c r="C142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7" s="10"/>
      <c r="E1427" s="10"/>
      <c r="F1427" s="12">
        <f ca="1">(RANDBETWEEN(0,50)/100)*(dict_DQ_Meth_max[[#This Row],[Vergleich_ub]]-dict_DQ_Meth_max[[#This Row],[Vergleich_lb]])+dict_DQ_Meth_max[[#This Row],[Vergleich_lb]]</f>
        <v>597.67795000000001</v>
      </c>
      <c r="G1427" s="12">
        <f ca="1">(RANDBETWEEN(50,100)/100)*(dict_DQ_Meth_max[[#This Row],[Vergleich_ub]]-dict_DQ_Meth_max[[#This Row],[Vergleich_lb]])+dict_DQ_Meth_max[[#This Row],[Vergleich_lb]]</f>
        <v>4950.6222999999991</v>
      </c>
      <c r="H1427" s="11" t="str">
        <f ca="1">VLOOKUP(VLOOKUP(dict_DQ_Meth_max[[#This Row],[ID_DataQualities]],table_DataQualities[],3),table_Units[],2)</f>
        <v>Hz</v>
      </c>
      <c r="I1427" s="10"/>
      <c r="J1427" s="10"/>
      <c r="K1427" s="10"/>
      <c r="L1427" s="10">
        <f ca="1">VLOOKUP(dict_DQ_Meth_max[[#This Row],[ID_DataQualities]],table_DataQualities[],8,FALSE)</f>
        <v>0.215</v>
      </c>
      <c r="M1427" s="10">
        <f ca="1">VLOOKUP(dict_DQ_Meth_max[[#This Row],[ID_DataQualities]],table_DataQualities[],9,FALSE)</f>
        <v>8535.4</v>
      </c>
    </row>
    <row r="1428" spans="1:13" x14ac:dyDescent="0.45">
      <c r="A1428" s="10">
        <v>381</v>
      </c>
      <c r="B1428" s="10">
        <v>672</v>
      </c>
      <c r="C142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8" s="10"/>
      <c r="E1428" s="10"/>
      <c r="F1428" s="12">
        <f ca="1">(RANDBETWEEN(0,50)/100)*(dict_DQ_Meth_max[[#This Row],[Vergleich_ub]]-dict_DQ_Meth_max[[#This Row],[Vergleich_lb]])+dict_DQ_Meth_max[[#This Row],[Vergleich_lb]]</f>
        <v>0.27376</v>
      </c>
      <c r="G1428" s="12">
        <f ca="1">(RANDBETWEEN(50,100)/100)*(dict_DQ_Meth_max[[#This Row],[Vergleich_ub]]-dict_DQ_Meth_max[[#This Row],[Vergleich_lb]])+dict_DQ_Meth_max[[#This Row],[Vergleich_lb]]</f>
        <v>3.7330900000000002</v>
      </c>
      <c r="H1428" s="11" t="str">
        <f ca="1">VLOOKUP(VLOOKUP(dict_DQ_Meth_max[[#This Row],[ID_DataQualities]],table_DataQualities[],3),table_Units[],2)</f>
        <v>+/- W</v>
      </c>
      <c r="I1428" s="10"/>
      <c r="J1428" s="10"/>
      <c r="K1428" s="10"/>
      <c r="L1428" s="10">
        <f ca="1">VLOOKUP(dict_DQ_Meth_max[[#This Row],[ID_DataQualities]],table_DataQualities[],8,FALSE)</f>
        <v>3.1E-2</v>
      </c>
      <c r="M1428" s="10">
        <f ca="1">VLOOKUP(dict_DQ_Meth_max[[#This Row],[ID_DataQualities]],table_DataQualities[],9,FALSE)</f>
        <v>6.1</v>
      </c>
    </row>
    <row r="1429" spans="1:13" x14ac:dyDescent="0.45">
      <c r="A1429" s="10">
        <v>381</v>
      </c>
      <c r="B1429" s="10">
        <v>192</v>
      </c>
      <c r="C142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29" s="10"/>
      <c r="E1429" s="10"/>
      <c r="F1429" s="12">
        <f ca="1">(RANDBETWEEN(0,50)/100)*(dict_DQ_Meth_max[[#This Row],[Vergleich_ub]]-dict_DQ_Meth_max[[#This Row],[Vergleich_lb]])+dict_DQ_Meth_max[[#This Row],[Vergleich_lb]]</f>
        <v>2.8834300000000002</v>
      </c>
      <c r="G1429" s="12">
        <f ca="1">(RANDBETWEEN(50,100)/100)*(dict_DQ_Meth_max[[#This Row],[Vergleich_ub]]-dict_DQ_Meth_max[[#This Row],[Vergleich_lb]])+dict_DQ_Meth_max[[#This Row],[Vergleich_lb]]</f>
        <v>5.3110299999999997</v>
      </c>
      <c r="H1429" s="11" t="str">
        <f ca="1">VLOOKUP(VLOOKUP(dict_DQ_Meth_max[[#This Row],[ID_DataQualities]],table_DataQualities[],3),table_Units[],2)</f>
        <v>+/- W</v>
      </c>
      <c r="I1429" s="10"/>
      <c r="J1429" s="10"/>
      <c r="K1429" s="10"/>
      <c r="L1429" s="10">
        <f ca="1">VLOOKUP(dict_DQ_Meth_max[[#This Row],[ID_DataQualities]],table_DataQualities[],8,FALSE)</f>
        <v>3.1E-2</v>
      </c>
      <c r="M1429" s="10">
        <f ca="1">VLOOKUP(dict_DQ_Meth_max[[#This Row],[ID_DataQualities]],table_DataQualities[],9,FALSE)</f>
        <v>6.1</v>
      </c>
    </row>
    <row r="1430" spans="1:13" x14ac:dyDescent="0.45">
      <c r="A1430" s="10">
        <v>381</v>
      </c>
      <c r="B1430" s="10">
        <v>557</v>
      </c>
      <c r="C143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0" s="10"/>
      <c r="E1430" s="10"/>
      <c r="F1430" s="12">
        <f ca="1">(RANDBETWEEN(0,50)/100)*(dict_DQ_Meth_max[[#This Row],[Vergleich_ub]]-dict_DQ_Meth_max[[#This Row],[Vergleich_lb]])+dict_DQ_Meth_max[[#This Row],[Vergleich_lb]]</f>
        <v>2.7013600000000002</v>
      </c>
      <c r="G1430" s="12">
        <f ca="1">(RANDBETWEEN(50,100)/100)*(dict_DQ_Meth_max[[#This Row],[Vergleich_ub]]-dict_DQ_Meth_max[[#This Row],[Vergleich_lb]])+dict_DQ_Meth_max[[#This Row],[Vergleich_lb]]</f>
        <v>4.3399899999999993</v>
      </c>
      <c r="H1430" s="11" t="str">
        <f ca="1">VLOOKUP(VLOOKUP(dict_DQ_Meth_max[[#This Row],[ID_DataQualities]],table_DataQualities[],3),table_Units[],2)</f>
        <v>+/- W</v>
      </c>
      <c r="I1430" s="10"/>
      <c r="J1430" s="10"/>
      <c r="K1430" s="10"/>
      <c r="L1430" s="10">
        <f ca="1">VLOOKUP(dict_DQ_Meth_max[[#This Row],[ID_DataQualities]],table_DataQualities[],8,FALSE)</f>
        <v>3.1E-2</v>
      </c>
      <c r="M1430" s="10">
        <f ca="1">VLOOKUP(dict_DQ_Meth_max[[#This Row],[ID_DataQualities]],table_DataQualities[],9,FALSE)</f>
        <v>6.1</v>
      </c>
    </row>
    <row r="1431" spans="1:13" x14ac:dyDescent="0.45">
      <c r="A1431" s="10">
        <v>381</v>
      </c>
      <c r="B1431" s="10">
        <v>369</v>
      </c>
      <c r="C143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1" s="10"/>
      <c r="E1431" s="10"/>
      <c r="F1431" s="12">
        <f ca="1">(RANDBETWEEN(0,50)/100)*(dict_DQ_Meth_max[[#This Row],[Vergleich_ub]]-dict_DQ_Meth_max[[#This Row],[Vergleich_lb]])+dict_DQ_Meth_max[[#This Row],[Vergleich_lb]]</f>
        <v>1.3661799999999999</v>
      </c>
      <c r="G1431" s="12">
        <f ca="1">(RANDBETWEEN(50,100)/100)*(dict_DQ_Meth_max[[#This Row],[Vergleich_ub]]-dict_DQ_Meth_max[[#This Row],[Vergleich_lb]])+dict_DQ_Meth_max[[#This Row],[Vergleich_lb]]</f>
        <v>3.9758500000000003</v>
      </c>
      <c r="H1431" s="11" t="str">
        <f ca="1">VLOOKUP(VLOOKUP(dict_DQ_Meth_max[[#This Row],[ID_DataQualities]],table_DataQualities[],3),table_Units[],2)</f>
        <v>+/- W</v>
      </c>
      <c r="I1431" s="10"/>
      <c r="J1431" s="10"/>
      <c r="K1431" s="10"/>
      <c r="L1431" s="10">
        <f ca="1">VLOOKUP(dict_DQ_Meth_max[[#This Row],[ID_DataQualities]],table_DataQualities[],8,FALSE)</f>
        <v>3.1E-2</v>
      </c>
      <c r="M1431" s="10">
        <f ca="1">VLOOKUP(dict_DQ_Meth_max[[#This Row],[ID_DataQualities]],table_DataQualities[],9,FALSE)</f>
        <v>6.1</v>
      </c>
    </row>
    <row r="1432" spans="1:13" x14ac:dyDescent="0.45">
      <c r="A1432" s="10">
        <v>382</v>
      </c>
      <c r="B1432" s="10">
        <v>552</v>
      </c>
      <c r="C143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2" s="10"/>
      <c r="E1432" s="10"/>
      <c r="F1432" s="12">
        <f ca="1">(RANDBETWEEN(0,50)/100)*(dict_DQ_Meth_max[[#This Row],[Vergleich_ub]]-dict_DQ_Meth_max[[#This Row],[Vergleich_lb]])+dict_DQ_Meth_max[[#This Row],[Vergleich_lb]]</f>
        <v>2036.2076399999999</v>
      </c>
      <c r="G1432" s="12">
        <f ca="1">(RANDBETWEEN(50,100)/100)*(dict_DQ_Meth_max[[#This Row],[Vergleich_ub]]-dict_DQ_Meth_max[[#This Row],[Vergleich_lb]])+dict_DQ_Meth_max[[#This Row],[Vergleich_lb]]</f>
        <v>6293.44416</v>
      </c>
      <c r="H1432" s="11" t="str">
        <f ca="1">VLOOKUP(VLOOKUP(dict_DQ_Meth_max[[#This Row],[ID_DataQualities]],table_DataQualities[],3),table_Units[],2)</f>
        <v>Hz</v>
      </c>
      <c r="I1432" s="10"/>
      <c r="J1432" s="10"/>
      <c r="K1432" s="10"/>
      <c r="L1432" s="10">
        <f ca="1">VLOOKUP(dict_DQ_Meth_max[[#This Row],[ID_DataQualities]],table_DataQualities[],8,FALSE)</f>
        <v>0.13800000000000001</v>
      </c>
      <c r="M1432" s="10">
        <f ca="1">VLOOKUP(dict_DQ_Meth_max[[#This Row],[ID_DataQualities]],table_DataQualities[],9,FALSE)</f>
        <v>9255</v>
      </c>
    </row>
    <row r="1433" spans="1:13" x14ac:dyDescent="0.45">
      <c r="A1433" s="10">
        <v>382</v>
      </c>
      <c r="B1433" s="10">
        <v>284</v>
      </c>
      <c r="C143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3" s="10"/>
      <c r="E1433" s="10"/>
      <c r="F1433" s="12">
        <f ca="1">(RANDBETWEEN(0,50)/100)*(dict_DQ_Meth_max[[#This Row],[Vergleich_ub]]-dict_DQ_Meth_max[[#This Row],[Vergleich_lb]])+dict_DQ_Meth_max[[#This Row],[Vergleich_lb]]</f>
        <v>4257.3745199999994</v>
      </c>
      <c r="G1433" s="12">
        <f ca="1">(RANDBETWEEN(50,100)/100)*(dict_DQ_Meth_max[[#This Row],[Vergleich_ub]]-dict_DQ_Meth_max[[#This Row],[Vergleich_lb]])+dict_DQ_Meth_max[[#This Row],[Vergleich_lb]]</f>
        <v>5645.6038199999994</v>
      </c>
      <c r="H1433" s="11" t="str">
        <f ca="1">VLOOKUP(VLOOKUP(dict_DQ_Meth_max[[#This Row],[ID_DataQualities]],table_DataQualities[],3),table_Units[],2)</f>
        <v>Hz</v>
      </c>
      <c r="I1433" s="10"/>
      <c r="J1433" s="10"/>
      <c r="K1433" s="10"/>
      <c r="L1433" s="10">
        <f ca="1">VLOOKUP(dict_DQ_Meth_max[[#This Row],[ID_DataQualities]],table_DataQualities[],8,FALSE)</f>
        <v>0.13800000000000001</v>
      </c>
      <c r="M1433" s="10">
        <f ca="1">VLOOKUP(dict_DQ_Meth_max[[#This Row],[ID_DataQualities]],table_DataQualities[],9,FALSE)</f>
        <v>9255</v>
      </c>
    </row>
    <row r="1434" spans="1:13" x14ac:dyDescent="0.45">
      <c r="A1434" s="10">
        <v>382</v>
      </c>
      <c r="B1434" s="10">
        <v>232</v>
      </c>
      <c r="C143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4" s="10"/>
      <c r="E1434" s="10"/>
      <c r="F1434" s="12">
        <f ca="1">(RANDBETWEEN(0,50)/100)*(dict_DQ_Meth_max[[#This Row],[Vergleich_ub]]-dict_DQ_Meth_max[[#This Row],[Vergleich_lb]])+dict_DQ_Meth_max[[#This Row],[Vergleich_lb]]</f>
        <v>2869.1452199999994</v>
      </c>
      <c r="G1434" s="12">
        <f ca="1">(RANDBETWEEN(50,100)/100)*(dict_DQ_Meth_max[[#This Row],[Vergleich_ub]]-dict_DQ_Meth_max[[#This Row],[Vergleich_lb]])+dict_DQ_Meth_max[[#This Row],[Vergleich_lb]]</f>
        <v>4997.7634799999996</v>
      </c>
      <c r="H1434" s="11" t="str">
        <f ca="1">VLOOKUP(VLOOKUP(dict_DQ_Meth_max[[#This Row],[ID_DataQualities]],table_DataQualities[],3),table_Units[],2)</f>
        <v>Hz</v>
      </c>
      <c r="I1434" s="10"/>
      <c r="J1434" s="10"/>
      <c r="K1434" s="10"/>
      <c r="L1434" s="10">
        <f ca="1">VLOOKUP(dict_DQ_Meth_max[[#This Row],[ID_DataQualities]],table_DataQualities[],8,FALSE)</f>
        <v>0.13800000000000001</v>
      </c>
      <c r="M1434" s="10">
        <f ca="1">VLOOKUP(dict_DQ_Meth_max[[#This Row],[ID_DataQualities]],table_DataQualities[],9,FALSE)</f>
        <v>9255</v>
      </c>
    </row>
    <row r="1435" spans="1:13" x14ac:dyDescent="0.45">
      <c r="A1435" s="10">
        <v>383</v>
      </c>
      <c r="B1435" s="10">
        <v>552</v>
      </c>
      <c r="C143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5" s="10"/>
      <c r="E1435" s="10"/>
      <c r="F1435" s="12">
        <f ca="1">(RANDBETWEEN(0,50)/100)*(dict_DQ_Meth_max[[#This Row],[Vergleich_ub]]-dict_DQ_Meth_max[[#This Row],[Vergleich_lb]])+dict_DQ_Meth_max[[#This Row],[Vergleich_lb]]</f>
        <v>1.3879999999999999</v>
      </c>
      <c r="G1435" s="12">
        <f ca="1">(RANDBETWEEN(50,100)/100)*(dict_DQ_Meth_max[[#This Row],[Vergleich_ub]]-dict_DQ_Meth_max[[#This Row],[Vergleich_lb]])+dict_DQ_Meth_max[[#This Row],[Vergleich_lb]]</f>
        <v>3.4950000000000001</v>
      </c>
      <c r="H1435" s="11" t="str">
        <f ca="1">VLOOKUP(VLOOKUP(dict_DQ_Meth_max[[#This Row],[ID_DataQualities]],table_DataQualities[],3),table_Units[],2)</f>
        <v>+/- °C</v>
      </c>
      <c r="I1435" s="10"/>
      <c r="J1435" s="10"/>
      <c r="K1435" s="10"/>
      <c r="L1435" s="10">
        <f ca="1">VLOOKUP(dict_DQ_Meth_max[[#This Row],[ID_DataQualities]],table_DataQualities[],8,FALSE)</f>
        <v>0.7</v>
      </c>
      <c r="M1435" s="10">
        <f ca="1">VLOOKUP(dict_DQ_Meth_max[[#This Row],[ID_DataQualities]],table_DataQualities[],9,FALSE)</f>
        <v>5</v>
      </c>
    </row>
    <row r="1436" spans="1:13" x14ac:dyDescent="0.45">
      <c r="A1436" s="10">
        <v>383</v>
      </c>
      <c r="B1436" s="10">
        <v>284</v>
      </c>
      <c r="C143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6" s="10"/>
      <c r="E1436" s="10"/>
      <c r="F1436" s="12">
        <f ca="1">(RANDBETWEEN(0,50)/100)*(dict_DQ_Meth_max[[#This Row],[Vergleich_ub]]-dict_DQ_Meth_max[[#This Row],[Vergleich_lb]])+dict_DQ_Meth_max[[#This Row],[Vergleich_lb]]</f>
        <v>0.82899999999999996</v>
      </c>
      <c r="G1436" s="12">
        <f ca="1">(RANDBETWEEN(50,100)/100)*(dict_DQ_Meth_max[[#This Row],[Vergleich_ub]]-dict_DQ_Meth_max[[#This Row],[Vergleich_lb]])+dict_DQ_Meth_max[[#This Row],[Vergleich_lb]]</f>
        <v>4.6559999999999997</v>
      </c>
      <c r="H1436" s="11" t="str">
        <f ca="1">VLOOKUP(VLOOKUP(dict_DQ_Meth_max[[#This Row],[ID_DataQualities]],table_DataQualities[],3),table_Units[],2)</f>
        <v>+/- °C</v>
      </c>
      <c r="I1436" s="10"/>
      <c r="J1436" s="10"/>
      <c r="K1436" s="10"/>
      <c r="L1436" s="10">
        <f ca="1">VLOOKUP(dict_DQ_Meth_max[[#This Row],[ID_DataQualities]],table_DataQualities[],8,FALSE)</f>
        <v>0.7</v>
      </c>
      <c r="M1436" s="10">
        <f ca="1">VLOOKUP(dict_DQ_Meth_max[[#This Row],[ID_DataQualities]],table_DataQualities[],9,FALSE)</f>
        <v>5</v>
      </c>
    </row>
    <row r="1437" spans="1:13" x14ac:dyDescent="0.45">
      <c r="A1437" s="10">
        <v>383</v>
      </c>
      <c r="B1437" s="10">
        <v>232</v>
      </c>
      <c r="C143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7" s="10"/>
      <c r="E1437" s="10"/>
      <c r="F1437" s="12">
        <f ca="1">(RANDBETWEEN(0,50)/100)*(dict_DQ_Meth_max[[#This Row],[Vergleich_ub]]-dict_DQ_Meth_max[[#This Row],[Vergleich_lb]])+dict_DQ_Meth_max[[#This Row],[Vergleich_lb]]</f>
        <v>1.087</v>
      </c>
      <c r="G1437" s="12">
        <f ca="1">(RANDBETWEEN(50,100)/100)*(dict_DQ_Meth_max[[#This Row],[Vergleich_ub]]-dict_DQ_Meth_max[[#This Row],[Vergleich_lb]])+dict_DQ_Meth_max[[#This Row],[Vergleich_lb]]</f>
        <v>5</v>
      </c>
      <c r="H1437" s="11" t="str">
        <f ca="1">VLOOKUP(VLOOKUP(dict_DQ_Meth_max[[#This Row],[ID_DataQualities]],table_DataQualities[],3),table_Units[],2)</f>
        <v>+/- °C</v>
      </c>
      <c r="I1437" s="10"/>
      <c r="J1437" s="10"/>
      <c r="K1437" s="10"/>
      <c r="L1437" s="10">
        <f ca="1">VLOOKUP(dict_DQ_Meth_max[[#This Row],[ID_DataQualities]],table_DataQualities[],8,FALSE)</f>
        <v>0.7</v>
      </c>
      <c r="M1437" s="10">
        <f ca="1">VLOOKUP(dict_DQ_Meth_max[[#This Row],[ID_DataQualities]],table_DataQualities[],9,FALSE)</f>
        <v>5</v>
      </c>
    </row>
    <row r="1438" spans="1:13" x14ac:dyDescent="0.45">
      <c r="A1438" s="10">
        <v>384</v>
      </c>
      <c r="B1438" s="10">
        <v>54</v>
      </c>
      <c r="C143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8" s="10"/>
      <c r="E1438" s="10"/>
      <c r="F1438" s="12">
        <f ca="1">(RANDBETWEEN(0,50)/100)*(dict_DQ_Meth_max[[#This Row],[Vergleich_ub]]-dict_DQ_Meth_max[[#This Row],[Vergleich_lb]])+dict_DQ_Meth_max[[#This Row],[Vergleich_lb]]</f>
        <v>2090.74478</v>
      </c>
      <c r="G1438" s="12">
        <f ca="1">(RANDBETWEEN(50,100)/100)*(dict_DQ_Meth_max[[#This Row],[Vergleich_ub]]-dict_DQ_Meth_max[[#This Row],[Vergleich_lb]])+dict_DQ_Meth_max[[#This Row],[Vergleich_lb]]</f>
        <v>3446.5753399999999</v>
      </c>
      <c r="H1438" s="11" t="str">
        <f ca="1">VLOOKUP(VLOOKUP(dict_DQ_Meth_max[[#This Row],[ID_DataQualities]],table_DataQualities[],3),table_Units[],2)</f>
        <v>Hz</v>
      </c>
      <c r="I1438" s="10"/>
      <c r="J1438" s="10"/>
      <c r="K1438" s="10"/>
      <c r="L1438" s="10">
        <f ca="1">VLOOKUP(dict_DQ_Meth_max[[#This Row],[ID_DataQualities]],table_DataQualities[],8,FALSE)</f>
        <v>0.50600000000000001</v>
      </c>
      <c r="M1438" s="10">
        <f ca="1">VLOOKUP(dict_DQ_Meth_max[[#This Row],[ID_DataQualities]],table_DataQualities[],9,FALSE)</f>
        <v>5649.8</v>
      </c>
    </row>
    <row r="1439" spans="1:13" x14ac:dyDescent="0.45">
      <c r="A1439" s="10">
        <v>384</v>
      </c>
      <c r="B1439" s="10">
        <v>41</v>
      </c>
      <c r="C143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39" s="10"/>
      <c r="E1439" s="10"/>
      <c r="F1439" s="12">
        <f ca="1">(RANDBETWEEN(0,50)/100)*(dict_DQ_Meth_max[[#This Row],[Vergleich_ub]]-dict_DQ_Meth_max[[#This Row],[Vergleich_lb]])+dict_DQ_Meth_max[[#This Row],[Vergleich_lb]]</f>
        <v>395.95657999999997</v>
      </c>
      <c r="G1439" s="12">
        <f ca="1">(RANDBETWEEN(50,100)/100)*(dict_DQ_Meth_max[[#This Row],[Vergleich_ub]]-dict_DQ_Meth_max[[#This Row],[Vergleich_lb]])+dict_DQ_Meth_max[[#This Row],[Vergleich_lb]]</f>
        <v>4689.4200199999996</v>
      </c>
      <c r="H1439" s="11" t="str">
        <f ca="1">VLOOKUP(VLOOKUP(dict_DQ_Meth_max[[#This Row],[ID_DataQualities]],table_DataQualities[],3),table_Units[],2)</f>
        <v>Hz</v>
      </c>
      <c r="I1439" s="10"/>
      <c r="J1439" s="10"/>
      <c r="K1439" s="10"/>
      <c r="L1439" s="10">
        <f ca="1">VLOOKUP(dict_DQ_Meth_max[[#This Row],[ID_DataQualities]],table_DataQualities[],8,FALSE)</f>
        <v>0.50600000000000001</v>
      </c>
      <c r="M1439" s="10">
        <f ca="1">VLOOKUP(dict_DQ_Meth_max[[#This Row],[ID_DataQualities]],table_DataQualities[],9,FALSE)</f>
        <v>5649.8</v>
      </c>
    </row>
    <row r="1440" spans="1:13" x14ac:dyDescent="0.45">
      <c r="A1440" s="10">
        <v>385</v>
      </c>
      <c r="B1440" s="10">
        <v>54</v>
      </c>
      <c r="C144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0" s="10"/>
      <c r="E1440" s="10"/>
      <c r="F1440" s="12">
        <f ca="1">(RANDBETWEEN(0,50)/100)*(dict_DQ_Meth_max[[#This Row],[Vergleich_ub]]-dict_DQ_Meth_max[[#This Row],[Vergleich_lb]])+dict_DQ_Meth_max[[#This Row],[Vergleich_lb]]</f>
        <v>0.15151000000000001</v>
      </c>
      <c r="G1440" s="12">
        <f ca="1">(RANDBETWEEN(50,100)/100)*(dict_DQ_Meth_max[[#This Row],[Vergleich_ub]]-dict_DQ_Meth_max[[#This Row],[Vergleich_lb]])+dict_DQ_Meth_max[[#This Row],[Vergleich_lb]]</f>
        <v>0.27225499999999997</v>
      </c>
      <c r="H1440" s="11" t="str">
        <f ca="1">VLOOKUP(VLOOKUP(dict_DQ_Meth_max[[#This Row],[ID_DataQualities]],table_DataQualities[],3),table_Units[],2)</f>
        <v>+/- cm³/s</v>
      </c>
      <c r="I1440" s="10"/>
      <c r="J1440" s="10"/>
      <c r="K1440" s="10"/>
      <c r="L1440" s="10">
        <f ca="1">VLOOKUP(dict_DQ_Meth_max[[#This Row],[ID_DataQualities]],table_DataQualities[],8,FALSE)</f>
        <v>3.5000000000000001E-3</v>
      </c>
      <c r="M1440" s="10">
        <f ca="1">VLOOKUP(dict_DQ_Meth_max[[#This Row],[ID_DataQualities]],table_DataQualities[],9,FALSE)</f>
        <v>0.39300000000000002</v>
      </c>
    </row>
    <row r="1441" spans="1:13" x14ac:dyDescent="0.45">
      <c r="A1441" s="10">
        <v>385</v>
      </c>
      <c r="B1441" s="10">
        <v>41</v>
      </c>
      <c r="C144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1" s="10"/>
      <c r="E1441" s="10"/>
      <c r="F1441" s="12">
        <f ca="1">(RANDBETWEEN(0,50)/100)*(dict_DQ_Meth_max[[#This Row],[Vergleich_ub]]-dict_DQ_Meth_max[[#This Row],[Vergleich_lb]])+dict_DQ_Meth_max[[#This Row],[Vergleich_lb]]</f>
        <v>0.170985</v>
      </c>
      <c r="G1441" s="12">
        <f ca="1">(RANDBETWEEN(50,100)/100)*(dict_DQ_Meth_max[[#This Row],[Vergleich_ub]]-dict_DQ_Meth_max[[#This Row],[Vergleich_lb]])+dict_DQ_Meth_max[[#This Row],[Vergleich_lb]]</f>
        <v>0.33068000000000003</v>
      </c>
      <c r="H1441" s="11" t="str">
        <f ca="1">VLOOKUP(VLOOKUP(dict_DQ_Meth_max[[#This Row],[ID_DataQualities]],table_DataQualities[],3),table_Units[],2)</f>
        <v>+/- cm³/s</v>
      </c>
      <c r="I1441" s="10"/>
      <c r="J1441" s="10"/>
      <c r="K1441" s="10"/>
      <c r="L1441" s="10">
        <f ca="1">VLOOKUP(dict_DQ_Meth_max[[#This Row],[ID_DataQualities]],table_DataQualities[],8,FALSE)</f>
        <v>3.5000000000000001E-3</v>
      </c>
      <c r="M1441" s="10">
        <f ca="1">VLOOKUP(dict_DQ_Meth_max[[#This Row],[ID_DataQualities]],table_DataQualities[],9,FALSE)</f>
        <v>0.39300000000000002</v>
      </c>
    </row>
    <row r="1442" spans="1:13" x14ac:dyDescent="0.45">
      <c r="A1442" s="10">
        <v>386</v>
      </c>
      <c r="B1442" s="10">
        <v>453</v>
      </c>
      <c r="C144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2" s="10"/>
      <c r="E1442" s="10"/>
      <c r="F1442" s="12">
        <f ca="1">(RANDBETWEEN(0,50)/100)*(dict_DQ_Meth_max[[#This Row],[Vergleich_ub]]-dict_DQ_Meth_max[[#This Row],[Vergleich_lb]])+dict_DQ_Meth_max[[#This Row],[Vergleich_lb]]</f>
        <v>380.35813999999999</v>
      </c>
      <c r="G1442" s="12">
        <f ca="1">(RANDBETWEEN(50,100)/100)*(dict_DQ_Meth_max[[#This Row],[Vergleich_ub]]-dict_DQ_Meth_max[[#This Row],[Vergleich_lb]])+dict_DQ_Meth_max[[#This Row],[Vergleich_lb]]</f>
        <v>5384.7071499999993</v>
      </c>
      <c r="H1442" s="11" t="str">
        <f ca="1">VLOOKUP(VLOOKUP(dict_DQ_Meth_max[[#This Row],[ID_DataQualities]],table_DataQualities[],3),table_Units[],2)</f>
        <v>Hz</v>
      </c>
      <c r="I1442" s="10"/>
      <c r="J1442" s="10"/>
      <c r="K1442" s="10"/>
      <c r="L1442" s="10">
        <f ca="1">VLOOKUP(dict_DQ_Meth_max[[#This Row],[ID_DataQualities]],table_DataQualities[],8,FALSE)</f>
        <v>0.28100000000000003</v>
      </c>
      <c r="M1442" s="10">
        <f ca="1">VLOOKUP(dict_DQ_Meth_max[[#This Row],[ID_DataQualities]],table_DataQualities[],9,FALSE)</f>
        <v>6334.9</v>
      </c>
    </row>
    <row r="1443" spans="1:13" x14ac:dyDescent="0.45">
      <c r="A1443" s="10">
        <v>386</v>
      </c>
      <c r="B1443" s="10">
        <v>50</v>
      </c>
      <c r="C144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3" s="10"/>
      <c r="E1443" s="10"/>
      <c r="F1443" s="12">
        <f ca="1">(RANDBETWEEN(0,50)/100)*(dict_DQ_Meth_max[[#This Row],[Vergleich_ub]]-dict_DQ_Meth_max[[#This Row],[Vergleich_lb]])+dict_DQ_Meth_max[[#This Row],[Vergleich_lb]]</f>
        <v>1900.6666999999998</v>
      </c>
      <c r="G1443" s="12">
        <f ca="1">(RANDBETWEEN(50,100)/100)*(dict_DQ_Meth_max[[#This Row],[Vergleich_ub]]-dict_DQ_Meth_max[[#This Row],[Vergleich_lb]])+dict_DQ_Meth_max[[#This Row],[Vergleich_lb]]</f>
        <v>4244.4757300000001</v>
      </c>
      <c r="H1443" s="11" t="str">
        <f ca="1">VLOOKUP(VLOOKUP(dict_DQ_Meth_max[[#This Row],[ID_DataQualities]],table_DataQualities[],3),table_Units[],2)</f>
        <v>Hz</v>
      </c>
      <c r="I1443" s="10"/>
      <c r="J1443" s="10"/>
      <c r="K1443" s="10"/>
      <c r="L1443" s="10">
        <f ca="1">VLOOKUP(dict_DQ_Meth_max[[#This Row],[ID_DataQualities]],table_DataQualities[],8,FALSE)</f>
        <v>0.28100000000000003</v>
      </c>
      <c r="M1443" s="10">
        <f ca="1">VLOOKUP(dict_DQ_Meth_max[[#This Row],[ID_DataQualities]],table_DataQualities[],9,FALSE)</f>
        <v>6334.9</v>
      </c>
    </row>
    <row r="1444" spans="1:13" x14ac:dyDescent="0.45">
      <c r="A1444" s="10">
        <v>386</v>
      </c>
      <c r="B1444" s="10">
        <v>176</v>
      </c>
      <c r="C144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4" s="10"/>
      <c r="E1444" s="10"/>
      <c r="F1444" s="12">
        <f ca="1">(RANDBETWEEN(0,50)/100)*(dict_DQ_Meth_max[[#This Row],[Vergleich_ub]]-dict_DQ_Meth_max[[#This Row],[Vergleich_lb]])+dict_DQ_Meth_max[[#This Row],[Vergleich_lb]]</f>
        <v>1710.6281300000001</v>
      </c>
      <c r="G1444" s="12">
        <f ca="1">(RANDBETWEEN(50,100)/100)*(dict_DQ_Meth_max[[#This Row],[Vergleich_ub]]-dict_DQ_Meth_max[[#This Row],[Vergleich_lb]])+dict_DQ_Meth_max[[#This Row],[Vergleich_lb]]</f>
        <v>4117.7833499999997</v>
      </c>
      <c r="H1444" s="11" t="str">
        <f ca="1">VLOOKUP(VLOOKUP(dict_DQ_Meth_max[[#This Row],[ID_DataQualities]],table_DataQualities[],3),table_Units[],2)</f>
        <v>Hz</v>
      </c>
      <c r="I1444" s="10"/>
      <c r="J1444" s="10"/>
      <c r="K1444" s="10"/>
      <c r="L1444" s="10">
        <f ca="1">VLOOKUP(dict_DQ_Meth_max[[#This Row],[ID_DataQualities]],table_DataQualities[],8,FALSE)</f>
        <v>0.28100000000000003</v>
      </c>
      <c r="M1444" s="10">
        <f ca="1">VLOOKUP(dict_DQ_Meth_max[[#This Row],[ID_DataQualities]],table_DataQualities[],9,FALSE)</f>
        <v>6334.9</v>
      </c>
    </row>
    <row r="1445" spans="1:13" x14ac:dyDescent="0.45">
      <c r="A1445" s="10">
        <v>386</v>
      </c>
      <c r="B1445" s="10">
        <v>294</v>
      </c>
      <c r="C144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5" s="10"/>
      <c r="E1445" s="10"/>
      <c r="F1445" s="12">
        <f ca="1">(RANDBETWEEN(0,50)/100)*(dict_DQ_Meth_max[[#This Row],[Vergleich_ub]]-dict_DQ_Meth_max[[#This Row],[Vergleich_lb]])+dict_DQ_Meth_max[[#This Row],[Vergleich_lb]]</f>
        <v>697.08908999999994</v>
      </c>
      <c r="G1445" s="12">
        <f ca="1">(RANDBETWEEN(50,100)/100)*(dict_DQ_Meth_max[[#This Row],[Vergleich_ub]]-dict_DQ_Meth_max[[#This Row],[Vergleich_lb]])+dict_DQ_Meth_max[[#This Row],[Vergleich_lb]]</f>
        <v>5511.3995299999997</v>
      </c>
      <c r="H1445" s="11" t="str">
        <f ca="1">VLOOKUP(VLOOKUP(dict_DQ_Meth_max[[#This Row],[ID_DataQualities]],table_DataQualities[],3),table_Units[],2)</f>
        <v>Hz</v>
      </c>
      <c r="I1445" s="10"/>
      <c r="J1445" s="10"/>
      <c r="K1445" s="10"/>
      <c r="L1445" s="10">
        <f ca="1">VLOOKUP(dict_DQ_Meth_max[[#This Row],[ID_DataQualities]],table_DataQualities[],8,FALSE)</f>
        <v>0.28100000000000003</v>
      </c>
      <c r="M1445" s="10">
        <f ca="1">VLOOKUP(dict_DQ_Meth_max[[#This Row],[ID_DataQualities]],table_DataQualities[],9,FALSE)</f>
        <v>6334.9</v>
      </c>
    </row>
    <row r="1446" spans="1:13" x14ac:dyDescent="0.45">
      <c r="A1446" s="10">
        <v>387</v>
      </c>
      <c r="B1446" s="10">
        <v>50</v>
      </c>
      <c r="C144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6" s="10"/>
      <c r="E1446" s="10"/>
      <c r="F1446" s="12">
        <f ca="1">(RANDBETWEEN(0,50)/100)*(dict_DQ_Meth_max[[#This Row],[Vergleich_ub]]-dict_DQ_Meth_max[[#This Row],[Vergleich_lb]])+dict_DQ_Meth_max[[#This Row],[Vergleich_lb]]</f>
        <v>1.2105000000000001E-2</v>
      </c>
      <c r="G1446" s="12">
        <f ca="1">(RANDBETWEEN(50,100)/100)*(dict_DQ_Meth_max[[#This Row],[Vergleich_ub]]-dict_DQ_Meth_max[[#This Row],[Vergleich_lb]])+dict_DQ_Meth_max[[#This Row],[Vergleich_lb]]</f>
        <v>5.2473000000000006E-2</v>
      </c>
      <c r="H1446" s="11" t="str">
        <f ca="1">VLOOKUP(VLOOKUP(dict_DQ_Meth_max[[#This Row],[ID_DataQualities]],table_DataQualities[],3),table_Units[],2)</f>
        <v>+/- cm³/s</v>
      </c>
      <c r="I1446" s="10"/>
      <c r="J1446" s="10"/>
      <c r="K1446" s="10"/>
      <c r="L1446" s="10">
        <f ca="1">VLOOKUP(dict_DQ_Meth_max[[#This Row],[ID_DataQualities]],table_DataQualities[],8,FALSE)</f>
        <v>7.9000000000000008E-3</v>
      </c>
      <c r="M1446" s="10">
        <f ca="1">VLOOKUP(dict_DQ_Meth_max[[#This Row],[ID_DataQualities]],table_DataQualities[],9,FALSE)</f>
        <v>9.1999999999999998E-2</v>
      </c>
    </row>
    <row r="1447" spans="1:13" x14ac:dyDescent="0.45">
      <c r="A1447" s="10">
        <v>387</v>
      </c>
      <c r="B1447" s="10">
        <v>176</v>
      </c>
      <c r="C144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7" s="10"/>
      <c r="E1447" s="10"/>
      <c r="F1447" s="12">
        <f ca="1">(RANDBETWEEN(0,50)/100)*(dict_DQ_Meth_max[[#This Row],[Vergleich_ub]]-dict_DQ_Meth_max[[#This Row],[Vergleich_lb]])+dict_DQ_Meth_max[[#This Row],[Vergleich_lb]]</f>
        <v>3.0607000000000002E-2</v>
      </c>
      <c r="G1447" s="12">
        <f ca="1">(RANDBETWEEN(50,100)/100)*(dict_DQ_Meth_max[[#This Row],[Vergleich_ub]]-dict_DQ_Meth_max[[#This Row],[Vergleich_lb]])+dict_DQ_Meth_max[[#This Row],[Vergleich_lb]]</f>
        <v>6.5088000000000007E-2</v>
      </c>
      <c r="H1447" s="11" t="str">
        <f ca="1">VLOOKUP(VLOOKUP(dict_DQ_Meth_max[[#This Row],[ID_DataQualities]],table_DataQualities[],3),table_Units[],2)</f>
        <v>+/- cm³/s</v>
      </c>
      <c r="I1447" s="10"/>
      <c r="J1447" s="10"/>
      <c r="K1447" s="10"/>
      <c r="L1447" s="10">
        <f ca="1">VLOOKUP(dict_DQ_Meth_max[[#This Row],[ID_DataQualities]],table_DataQualities[],8,FALSE)</f>
        <v>7.9000000000000008E-3</v>
      </c>
      <c r="M1447" s="10">
        <f ca="1">VLOOKUP(dict_DQ_Meth_max[[#This Row],[ID_DataQualities]],table_DataQualities[],9,FALSE)</f>
        <v>9.1999999999999998E-2</v>
      </c>
    </row>
    <row r="1448" spans="1:13" x14ac:dyDescent="0.45">
      <c r="A1448" s="10">
        <v>387</v>
      </c>
      <c r="B1448" s="10">
        <v>453</v>
      </c>
      <c r="C144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8" s="10"/>
      <c r="E1448" s="10"/>
      <c r="F1448" s="12">
        <f ca="1">(RANDBETWEEN(0,50)/100)*(dict_DQ_Meth_max[[#This Row],[Vergleich_ub]]-dict_DQ_Meth_max[[#This Row],[Vergleich_lb]])+dict_DQ_Meth_max[[#This Row],[Vergleich_lb]]</f>
        <v>1.6309999999999998E-2</v>
      </c>
      <c r="G1448" s="12">
        <f ca="1">(RANDBETWEEN(50,100)/100)*(dict_DQ_Meth_max[[#This Row],[Vergleich_ub]]-dict_DQ_Meth_max[[#This Row],[Vergleich_lb]])+dict_DQ_Meth_max[[#This Row],[Vergleich_lb]]</f>
        <v>7.7702999999999994E-2</v>
      </c>
      <c r="H1448" s="11" t="str">
        <f ca="1">VLOOKUP(VLOOKUP(dict_DQ_Meth_max[[#This Row],[ID_DataQualities]],table_DataQualities[],3),table_Units[],2)</f>
        <v>+/- cm³/s</v>
      </c>
      <c r="I1448" s="10"/>
      <c r="J1448" s="10"/>
      <c r="K1448" s="10"/>
      <c r="L1448" s="10">
        <f ca="1">VLOOKUP(dict_DQ_Meth_max[[#This Row],[ID_DataQualities]],table_DataQualities[],8,FALSE)</f>
        <v>7.9000000000000008E-3</v>
      </c>
      <c r="M1448" s="10">
        <f ca="1">VLOOKUP(dict_DQ_Meth_max[[#This Row],[ID_DataQualities]],table_DataQualities[],9,FALSE)</f>
        <v>9.1999999999999998E-2</v>
      </c>
    </row>
    <row r="1449" spans="1:13" x14ac:dyDescent="0.45">
      <c r="A1449" s="10">
        <v>387</v>
      </c>
      <c r="B1449" s="10">
        <v>294</v>
      </c>
      <c r="C144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49" s="10"/>
      <c r="E1449" s="10"/>
      <c r="F1449" s="12">
        <f ca="1">(RANDBETWEEN(0,50)/100)*(dict_DQ_Meth_max[[#This Row],[Vergleich_ub]]-dict_DQ_Meth_max[[#This Row],[Vergleich_lb]])+dict_DQ_Meth_max[[#This Row],[Vergleich_lb]]</f>
        <v>8.7410000000000005E-3</v>
      </c>
      <c r="G1449" s="12">
        <f ca="1">(RANDBETWEEN(50,100)/100)*(dict_DQ_Meth_max[[#This Row],[Vergleich_ub]]-dict_DQ_Meth_max[[#This Row],[Vergleich_lb]])+dict_DQ_Meth_max[[#This Row],[Vergleich_lb]]</f>
        <v>5.4996000000000003E-2</v>
      </c>
      <c r="H1449" s="11" t="str">
        <f ca="1">VLOOKUP(VLOOKUP(dict_DQ_Meth_max[[#This Row],[ID_DataQualities]],table_DataQualities[],3),table_Units[],2)</f>
        <v>+/- cm³/s</v>
      </c>
      <c r="I1449" s="10"/>
      <c r="J1449" s="10"/>
      <c r="K1449" s="10"/>
      <c r="L1449" s="10">
        <f ca="1">VLOOKUP(dict_DQ_Meth_max[[#This Row],[ID_DataQualities]],table_DataQualities[],8,FALSE)</f>
        <v>7.9000000000000008E-3</v>
      </c>
      <c r="M1449" s="10">
        <f ca="1">VLOOKUP(dict_DQ_Meth_max[[#This Row],[ID_DataQualities]],table_DataQualities[],9,FALSE)</f>
        <v>9.1999999999999998E-2</v>
      </c>
    </row>
    <row r="1450" spans="1:13" x14ac:dyDescent="0.45">
      <c r="A1450" s="10">
        <v>388</v>
      </c>
      <c r="B1450" s="10">
        <v>331</v>
      </c>
      <c r="C145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0" s="10"/>
      <c r="E1450" s="10"/>
      <c r="F1450" s="12">
        <f ca="1">(RANDBETWEEN(0,50)/100)*(dict_DQ_Meth_max[[#This Row],[Vergleich_ub]]-dict_DQ_Meth_max[[#This Row],[Vergleich_lb]])+dict_DQ_Meth_max[[#This Row],[Vergleich_lb]]</f>
        <v>1626.76244</v>
      </c>
      <c r="G1450" s="12">
        <f ca="1">(RANDBETWEEN(50,100)/100)*(dict_DQ_Meth_max[[#This Row],[Vergleich_ub]]-dict_DQ_Meth_max[[#This Row],[Vergleich_lb]])+dict_DQ_Meth_max[[#This Row],[Vergleich_lb]]</f>
        <v>6324.7326000000003</v>
      </c>
      <c r="H1450" s="11" t="str">
        <f ca="1">VLOOKUP(VLOOKUP(dict_DQ_Meth_max[[#This Row],[ID_DataQualities]],table_DataQualities[],3),table_Units[],2)</f>
        <v>Hz</v>
      </c>
      <c r="I1450" s="10"/>
      <c r="J1450" s="10"/>
      <c r="K1450" s="10"/>
      <c r="L1450" s="10">
        <f ca="1">VLOOKUP(dict_DQ_Meth_max[[#This Row],[ID_DataQualities]],table_DataQualities[],8,FALSE)</f>
        <v>0.54200000000000004</v>
      </c>
      <c r="M1450" s="10">
        <f ca="1">VLOOKUP(dict_DQ_Meth_max[[#This Row],[ID_DataQualities]],table_DataQualities[],9,FALSE)</f>
        <v>9035.1</v>
      </c>
    </row>
    <row r="1451" spans="1:13" x14ac:dyDescent="0.45">
      <c r="A1451" s="10">
        <v>388</v>
      </c>
      <c r="B1451" s="10">
        <v>140</v>
      </c>
      <c r="C145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1" s="10"/>
      <c r="E1451" s="10"/>
      <c r="F1451" s="12">
        <f ca="1">(RANDBETWEEN(0,50)/100)*(dict_DQ_Meth_max[[#This Row],[Vergleich_ub]]-dict_DQ_Meth_max[[#This Row],[Vergleich_lb]])+dict_DQ_Meth_max[[#This Row],[Vergleich_lb]]</f>
        <v>181.23316000000003</v>
      </c>
      <c r="G1451" s="12">
        <f ca="1">(RANDBETWEEN(50,100)/100)*(dict_DQ_Meth_max[[#This Row],[Vergleich_ub]]-dict_DQ_Meth_max[[#This Row],[Vergleich_lb]])+dict_DQ_Meth_max[[#This Row],[Vergleich_lb]]</f>
        <v>6595.7693400000007</v>
      </c>
      <c r="H1451" s="11" t="str">
        <f ca="1">VLOOKUP(VLOOKUP(dict_DQ_Meth_max[[#This Row],[ID_DataQualities]],table_DataQualities[],3),table_Units[],2)</f>
        <v>Hz</v>
      </c>
      <c r="I1451" s="10"/>
      <c r="J1451" s="10"/>
      <c r="K1451" s="10"/>
      <c r="L1451" s="10">
        <f ca="1">VLOOKUP(dict_DQ_Meth_max[[#This Row],[ID_DataQualities]],table_DataQualities[],8,FALSE)</f>
        <v>0.54200000000000004</v>
      </c>
      <c r="M1451" s="10">
        <f ca="1">VLOOKUP(dict_DQ_Meth_max[[#This Row],[ID_DataQualities]],table_DataQualities[],9,FALSE)</f>
        <v>9035.1</v>
      </c>
    </row>
    <row r="1452" spans="1:13" x14ac:dyDescent="0.45">
      <c r="A1452" s="10">
        <v>388</v>
      </c>
      <c r="B1452" s="10">
        <v>257</v>
      </c>
      <c r="C145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2" s="10"/>
      <c r="E1452" s="10"/>
      <c r="F1452" s="12">
        <f ca="1">(RANDBETWEEN(0,50)/100)*(dict_DQ_Meth_max[[#This Row],[Vergleich_ub]]-dict_DQ_Meth_max[[#This Row],[Vergleich_lb]])+dict_DQ_Meth_max[[#This Row],[Vergleich_lb]]</f>
        <v>4246.7842600000004</v>
      </c>
      <c r="G1452" s="12">
        <f ca="1">(RANDBETWEEN(50,100)/100)*(dict_DQ_Meth_max[[#This Row],[Vergleich_ub]]-dict_DQ_Meth_max[[#This Row],[Vergleich_lb]])+dict_DQ_Meth_max[[#This Row],[Vergleich_lb]]</f>
        <v>6505.4237600000006</v>
      </c>
      <c r="H1452" s="11" t="str">
        <f ca="1">VLOOKUP(VLOOKUP(dict_DQ_Meth_max[[#This Row],[ID_DataQualities]],table_DataQualities[],3),table_Units[],2)</f>
        <v>Hz</v>
      </c>
      <c r="I1452" s="10"/>
      <c r="J1452" s="10"/>
      <c r="K1452" s="10"/>
      <c r="L1452" s="10">
        <f ca="1">VLOOKUP(dict_DQ_Meth_max[[#This Row],[ID_DataQualities]],table_DataQualities[],8,FALSE)</f>
        <v>0.54200000000000004</v>
      </c>
      <c r="M1452" s="10">
        <f ca="1">VLOOKUP(dict_DQ_Meth_max[[#This Row],[ID_DataQualities]],table_DataQualities[],9,FALSE)</f>
        <v>9035.1</v>
      </c>
    </row>
    <row r="1453" spans="1:13" x14ac:dyDescent="0.45">
      <c r="A1453" s="10">
        <v>388</v>
      </c>
      <c r="B1453" s="10">
        <v>529</v>
      </c>
      <c r="C145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3" s="10"/>
      <c r="E1453" s="10"/>
      <c r="F1453" s="12">
        <f ca="1">(RANDBETWEEN(0,50)/100)*(dict_DQ_Meth_max[[#This Row],[Vergleich_ub]]-dict_DQ_Meth_max[[#This Row],[Vergleich_lb]])+dict_DQ_Meth_max[[#This Row],[Vergleich_lb]]</f>
        <v>2530.2182400000006</v>
      </c>
      <c r="G1453" s="12">
        <f ca="1">(RANDBETWEEN(50,100)/100)*(dict_DQ_Meth_max[[#This Row],[Vergleich_ub]]-dict_DQ_Meth_max[[#This Row],[Vergleich_lb]])+dict_DQ_Meth_max[[#This Row],[Vergleich_lb]]</f>
        <v>4879.2033200000014</v>
      </c>
      <c r="H1453" s="11" t="str">
        <f ca="1">VLOOKUP(VLOOKUP(dict_DQ_Meth_max[[#This Row],[ID_DataQualities]],table_DataQualities[],3),table_Units[],2)</f>
        <v>Hz</v>
      </c>
      <c r="I1453" s="10"/>
      <c r="J1453" s="10"/>
      <c r="K1453" s="10"/>
      <c r="L1453" s="10">
        <f ca="1">VLOOKUP(dict_DQ_Meth_max[[#This Row],[ID_DataQualities]],table_DataQualities[],8,FALSE)</f>
        <v>0.54200000000000004</v>
      </c>
      <c r="M1453" s="10">
        <f ca="1">VLOOKUP(dict_DQ_Meth_max[[#This Row],[ID_DataQualities]],table_DataQualities[],9,FALSE)</f>
        <v>9035.1</v>
      </c>
    </row>
    <row r="1454" spans="1:13" x14ac:dyDescent="0.45">
      <c r="A1454" s="10">
        <v>388</v>
      </c>
      <c r="B1454" s="10">
        <v>650</v>
      </c>
      <c r="C145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4" s="10"/>
      <c r="E1454" s="10"/>
      <c r="F1454" s="12">
        <f ca="1">(RANDBETWEEN(0,50)/100)*(dict_DQ_Meth_max[[#This Row],[Vergleich_ub]]-dict_DQ_Meth_max[[#This Row],[Vergleich_lb]])+dict_DQ_Meth_max[[#This Row],[Vergleich_lb]]</f>
        <v>3975.7475200000003</v>
      </c>
      <c r="G1454" s="12">
        <f ca="1">(RANDBETWEEN(50,100)/100)*(dict_DQ_Meth_max[[#This Row],[Vergleich_ub]]-dict_DQ_Meth_max[[#This Row],[Vergleich_lb]])+dict_DQ_Meth_max[[#This Row],[Vergleich_lb]]</f>
        <v>9035.1</v>
      </c>
      <c r="H1454" s="11" t="str">
        <f ca="1">VLOOKUP(VLOOKUP(dict_DQ_Meth_max[[#This Row],[ID_DataQualities]],table_DataQualities[],3),table_Units[],2)</f>
        <v>Hz</v>
      </c>
      <c r="I1454" s="10"/>
      <c r="J1454" s="10"/>
      <c r="K1454" s="10"/>
      <c r="L1454" s="10">
        <f ca="1">VLOOKUP(dict_DQ_Meth_max[[#This Row],[ID_DataQualities]],table_DataQualities[],8,FALSE)</f>
        <v>0.54200000000000004</v>
      </c>
      <c r="M1454" s="10">
        <f ca="1">VLOOKUP(dict_DQ_Meth_max[[#This Row],[ID_DataQualities]],table_DataQualities[],9,FALSE)</f>
        <v>9035.1</v>
      </c>
    </row>
    <row r="1455" spans="1:13" x14ac:dyDescent="0.45">
      <c r="A1455" s="10">
        <v>389</v>
      </c>
      <c r="B1455" s="10">
        <v>650</v>
      </c>
      <c r="C145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5" s="10"/>
      <c r="E1455" s="10"/>
      <c r="F1455" s="12">
        <f ca="1">(RANDBETWEEN(0,50)/100)*(dict_DQ_Meth_max[[#This Row],[Vergleich_ub]]-dict_DQ_Meth_max[[#This Row],[Vergleich_lb]])+dict_DQ_Meth_max[[#This Row],[Vergleich_lb]]</f>
        <v>690.84</v>
      </c>
      <c r="G1455" s="12">
        <f ca="1">(RANDBETWEEN(50,100)/100)*(dict_DQ_Meth_max[[#This Row],[Vergleich_ub]]-dict_DQ_Meth_max[[#This Row],[Vergleich_lb]])+dict_DQ_Meth_max[[#This Row],[Vergleich_lb]]</f>
        <v>1565.98</v>
      </c>
      <c r="H1455" s="11" t="str">
        <f ca="1">VLOOKUP(VLOOKUP(dict_DQ_Meth_max[[#This Row],[ID_DataQualities]],table_DataQualities[],3),table_Units[],2)</f>
        <v>bit</v>
      </c>
      <c r="I1455" s="10"/>
      <c r="J1455" s="10"/>
      <c r="K1455" s="10"/>
      <c r="L1455" s="10">
        <f ca="1">VLOOKUP(dict_DQ_Meth_max[[#This Row],[ID_DataQualities]],table_DataQualities[],8,FALSE)</f>
        <v>95</v>
      </c>
      <c r="M1455" s="10">
        <f ca="1">VLOOKUP(dict_DQ_Meth_max[[#This Row],[ID_DataQualities]],table_DataQualities[],9,FALSE)</f>
        <v>1957</v>
      </c>
    </row>
    <row r="1456" spans="1:13" x14ac:dyDescent="0.45">
      <c r="A1456" s="10">
        <v>389</v>
      </c>
      <c r="B1456" s="10">
        <v>257</v>
      </c>
      <c r="C145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6" s="10"/>
      <c r="E1456" s="10"/>
      <c r="F1456" s="12">
        <f ca="1">(RANDBETWEEN(0,50)/100)*(dict_DQ_Meth_max[[#This Row],[Vergleich_ub]]-dict_DQ_Meth_max[[#This Row],[Vergleich_lb]])+dict_DQ_Meth_max[[#This Row],[Vergleich_lb]]</f>
        <v>467.40000000000003</v>
      </c>
      <c r="G1456" s="12">
        <f ca="1">(RANDBETWEEN(50,100)/100)*(dict_DQ_Meth_max[[#This Row],[Vergleich_ub]]-dict_DQ_Meth_max[[#This Row],[Vergleich_lb]])+dict_DQ_Meth_max[[#This Row],[Vergleich_lb]]</f>
        <v>1174.96</v>
      </c>
      <c r="H1456" s="11" t="str">
        <f ca="1">VLOOKUP(VLOOKUP(dict_DQ_Meth_max[[#This Row],[ID_DataQualities]],table_DataQualities[],3),table_Units[],2)</f>
        <v>bit</v>
      </c>
      <c r="I1456" s="10"/>
      <c r="J1456" s="10"/>
      <c r="K1456" s="10"/>
      <c r="L1456" s="10">
        <f ca="1">VLOOKUP(dict_DQ_Meth_max[[#This Row],[ID_DataQualities]],table_DataQualities[],8,FALSE)</f>
        <v>95</v>
      </c>
      <c r="M1456" s="10">
        <f ca="1">VLOOKUP(dict_DQ_Meth_max[[#This Row],[ID_DataQualities]],table_DataQualities[],9,FALSE)</f>
        <v>1957</v>
      </c>
    </row>
    <row r="1457" spans="1:13" x14ac:dyDescent="0.45">
      <c r="A1457" s="10">
        <v>389</v>
      </c>
      <c r="B1457" s="10">
        <v>331</v>
      </c>
      <c r="C145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7" s="10"/>
      <c r="E1457" s="10"/>
      <c r="F1457" s="12">
        <f ca="1">(RANDBETWEEN(0,50)/100)*(dict_DQ_Meth_max[[#This Row],[Vergleich_ub]]-dict_DQ_Meth_max[[#This Row],[Vergleich_lb]])+dict_DQ_Meth_max[[#This Row],[Vergleich_lb]]</f>
        <v>206.72</v>
      </c>
      <c r="G1457" s="12">
        <f ca="1">(RANDBETWEEN(50,100)/100)*(dict_DQ_Meth_max[[#This Row],[Vergleich_ub]]-dict_DQ_Meth_max[[#This Row],[Vergleich_lb]])+dict_DQ_Meth_max[[#This Row],[Vergleich_lb]]</f>
        <v>1547.3600000000001</v>
      </c>
      <c r="H1457" s="11" t="str">
        <f ca="1">VLOOKUP(VLOOKUP(dict_DQ_Meth_max[[#This Row],[ID_DataQualities]],table_DataQualities[],3),table_Units[],2)</f>
        <v>bit</v>
      </c>
      <c r="I1457" s="10"/>
      <c r="J1457" s="10"/>
      <c r="K1457" s="10"/>
      <c r="L1457" s="10">
        <f ca="1">VLOOKUP(dict_DQ_Meth_max[[#This Row],[ID_DataQualities]],table_DataQualities[],8,FALSE)</f>
        <v>95</v>
      </c>
      <c r="M1457" s="10">
        <f ca="1">VLOOKUP(dict_DQ_Meth_max[[#This Row],[ID_DataQualities]],table_DataQualities[],9,FALSE)</f>
        <v>1957</v>
      </c>
    </row>
    <row r="1458" spans="1:13" x14ac:dyDescent="0.45">
      <c r="A1458" s="10">
        <v>389</v>
      </c>
      <c r="B1458" s="10">
        <v>140</v>
      </c>
      <c r="C145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8" s="10"/>
      <c r="E1458" s="10"/>
      <c r="F1458" s="12">
        <f ca="1">(RANDBETWEEN(0,50)/100)*(dict_DQ_Meth_max[[#This Row],[Vergleich_ub]]-dict_DQ_Meth_max[[#This Row],[Vergleich_lb]])+dict_DQ_Meth_max[[#This Row],[Vergleich_lb]]</f>
        <v>1007.38</v>
      </c>
      <c r="G1458" s="12">
        <f ca="1">(RANDBETWEEN(50,100)/100)*(dict_DQ_Meth_max[[#This Row],[Vergleich_ub]]-dict_DQ_Meth_max[[#This Row],[Vergleich_lb]])+dict_DQ_Meth_max[[#This Row],[Vergleich_lb]]</f>
        <v>1137.72</v>
      </c>
      <c r="H1458" s="11" t="str">
        <f ca="1">VLOOKUP(VLOOKUP(dict_DQ_Meth_max[[#This Row],[ID_DataQualities]],table_DataQualities[],3),table_Units[],2)</f>
        <v>bit</v>
      </c>
      <c r="I1458" s="10"/>
      <c r="J1458" s="10"/>
      <c r="K1458" s="10"/>
      <c r="L1458" s="10">
        <f ca="1">VLOOKUP(dict_DQ_Meth_max[[#This Row],[ID_DataQualities]],table_DataQualities[],8,FALSE)</f>
        <v>95</v>
      </c>
      <c r="M1458" s="10">
        <f ca="1">VLOOKUP(dict_DQ_Meth_max[[#This Row],[ID_DataQualities]],table_DataQualities[],9,FALSE)</f>
        <v>1957</v>
      </c>
    </row>
    <row r="1459" spans="1:13" x14ac:dyDescent="0.45">
      <c r="A1459" s="10">
        <v>389</v>
      </c>
      <c r="B1459" s="10">
        <v>529</v>
      </c>
      <c r="C145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59" s="10"/>
      <c r="E1459" s="10"/>
      <c r="F1459" s="12">
        <f ca="1">(RANDBETWEEN(0,50)/100)*(dict_DQ_Meth_max[[#This Row],[Vergleich_ub]]-dict_DQ_Meth_max[[#This Row],[Vergleich_lb]])+dict_DQ_Meth_max[[#This Row],[Vergleich_lb]]</f>
        <v>765.31999999999994</v>
      </c>
      <c r="G1459" s="12">
        <f ca="1">(RANDBETWEEN(50,100)/100)*(dict_DQ_Meth_max[[#This Row],[Vergleich_ub]]-dict_DQ_Meth_max[[#This Row],[Vergleich_lb]])+dict_DQ_Meth_max[[#This Row],[Vergleich_lb]]</f>
        <v>1454.26</v>
      </c>
      <c r="H1459" s="11" t="str">
        <f ca="1">VLOOKUP(VLOOKUP(dict_DQ_Meth_max[[#This Row],[ID_DataQualities]],table_DataQualities[],3),table_Units[],2)</f>
        <v>bit</v>
      </c>
      <c r="I1459" s="10"/>
      <c r="J1459" s="10"/>
      <c r="K1459" s="10"/>
      <c r="L1459" s="10">
        <f ca="1">VLOOKUP(dict_DQ_Meth_max[[#This Row],[ID_DataQualities]],table_DataQualities[],8,FALSE)</f>
        <v>95</v>
      </c>
      <c r="M1459" s="10">
        <f ca="1">VLOOKUP(dict_DQ_Meth_max[[#This Row],[ID_DataQualities]],table_DataQualities[],9,FALSE)</f>
        <v>1957</v>
      </c>
    </row>
    <row r="1460" spans="1:13" x14ac:dyDescent="0.45">
      <c r="A1460" s="10">
        <v>390</v>
      </c>
      <c r="B1460" s="10">
        <v>244</v>
      </c>
      <c r="C146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0" s="10"/>
      <c r="E1460" s="10"/>
      <c r="F1460" s="12">
        <f ca="1">(RANDBETWEEN(0,50)/100)*(dict_DQ_Meth_max[[#This Row],[Vergleich_ub]]-dict_DQ_Meth_max[[#This Row],[Vergleich_lb]])+dict_DQ_Meth_max[[#This Row],[Vergleich_lb]]</f>
        <v>275.22754000000003</v>
      </c>
      <c r="G1460" s="12">
        <f ca="1">(RANDBETWEEN(50,100)/100)*(dict_DQ_Meth_max[[#This Row],[Vergleich_ub]]-dict_DQ_Meth_max[[#This Row],[Vergleich_lb]])+dict_DQ_Meth_max[[#This Row],[Vergleich_lb]]</f>
        <v>922.73233999999991</v>
      </c>
      <c r="H1460" s="11" t="str">
        <f ca="1">VLOOKUP(VLOOKUP(dict_DQ_Meth_max[[#This Row],[ID_DataQualities]],table_DataQualities[],3),table_Units[],2)</f>
        <v>Hz</v>
      </c>
      <c r="I1460" s="10"/>
      <c r="J1460" s="10"/>
      <c r="K1460" s="10"/>
      <c r="L1460" s="10">
        <f ca="1">VLOOKUP(dict_DQ_Meth_max[[#This Row],[ID_DataQualities]],table_DataQualities[],8,FALSE)</f>
        <v>3.7999999999999999E-2</v>
      </c>
      <c r="M1460" s="10">
        <f ca="1">VLOOKUP(dict_DQ_Meth_max[[#This Row],[ID_DataQualities]],table_DataQualities[],9,FALSE)</f>
        <v>1618.8</v>
      </c>
    </row>
    <row r="1461" spans="1:13" x14ac:dyDescent="0.45">
      <c r="A1461" s="10">
        <v>390</v>
      </c>
      <c r="B1461" s="10">
        <v>1</v>
      </c>
      <c r="C146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1" s="10"/>
      <c r="E1461" s="10"/>
      <c r="F1461" s="12">
        <f ca="1">(RANDBETWEEN(0,50)/100)*(dict_DQ_Meth_max[[#This Row],[Vergleich_ub]]-dict_DQ_Meth_max[[#This Row],[Vergleich_lb]])+dict_DQ_Meth_max[[#This Row],[Vergleich_lb]]</f>
        <v>3.7999999999999999E-2</v>
      </c>
      <c r="G1461" s="12">
        <f ca="1">(RANDBETWEEN(50,100)/100)*(dict_DQ_Meth_max[[#This Row],[Vergleich_ub]]-dict_DQ_Meth_max[[#This Row],[Vergleich_lb]])+dict_DQ_Meth_max[[#This Row],[Vergleich_lb]]</f>
        <v>1133.1713999999999</v>
      </c>
      <c r="H1461" s="11" t="str">
        <f ca="1">VLOOKUP(VLOOKUP(dict_DQ_Meth_max[[#This Row],[ID_DataQualities]],table_DataQualities[],3),table_Units[],2)</f>
        <v>Hz</v>
      </c>
      <c r="I1461" s="10"/>
      <c r="J1461" s="10"/>
      <c r="K1461" s="10"/>
      <c r="L1461" s="10">
        <f ca="1">VLOOKUP(dict_DQ_Meth_max[[#This Row],[ID_DataQualities]],table_DataQualities[],8,FALSE)</f>
        <v>3.7999999999999999E-2</v>
      </c>
      <c r="M1461" s="10">
        <f ca="1">VLOOKUP(dict_DQ_Meth_max[[#This Row],[ID_DataQualities]],table_DataQualities[],9,FALSE)</f>
        <v>1618.8</v>
      </c>
    </row>
    <row r="1462" spans="1:13" x14ac:dyDescent="0.45">
      <c r="A1462" s="10">
        <v>390</v>
      </c>
      <c r="B1462" s="10">
        <v>549</v>
      </c>
      <c r="C146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2" s="10"/>
      <c r="E1462" s="10"/>
      <c r="F1462" s="12">
        <f ca="1">(RANDBETWEEN(0,50)/100)*(dict_DQ_Meth_max[[#This Row],[Vergleich_ub]]-dict_DQ_Meth_max[[#This Row],[Vergleich_lb]])+dict_DQ_Meth_max[[#This Row],[Vergleich_lb]]</f>
        <v>679.91803999999991</v>
      </c>
      <c r="G1462" s="12">
        <f ca="1">(RANDBETWEEN(50,100)/100)*(dict_DQ_Meth_max[[#This Row],[Vergleich_ub]]-dict_DQ_Meth_max[[#This Row],[Vergleich_lb]])+dict_DQ_Meth_max[[#This Row],[Vergleich_lb]]</f>
        <v>1456.9238</v>
      </c>
      <c r="H1462" s="11" t="str">
        <f ca="1">VLOOKUP(VLOOKUP(dict_DQ_Meth_max[[#This Row],[ID_DataQualities]],table_DataQualities[],3),table_Units[],2)</f>
        <v>Hz</v>
      </c>
      <c r="I1462" s="10"/>
      <c r="J1462" s="10"/>
      <c r="K1462" s="10"/>
      <c r="L1462" s="10">
        <f ca="1">VLOOKUP(dict_DQ_Meth_max[[#This Row],[ID_DataQualities]],table_DataQualities[],8,FALSE)</f>
        <v>3.7999999999999999E-2</v>
      </c>
      <c r="M1462" s="10">
        <f ca="1">VLOOKUP(dict_DQ_Meth_max[[#This Row],[ID_DataQualities]],table_DataQualities[],9,FALSE)</f>
        <v>1618.8</v>
      </c>
    </row>
    <row r="1463" spans="1:13" x14ac:dyDescent="0.45">
      <c r="A1463" s="10">
        <v>390</v>
      </c>
      <c r="B1463" s="10">
        <v>56</v>
      </c>
      <c r="C146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3" s="10"/>
      <c r="E1463" s="10"/>
      <c r="F1463" s="12">
        <f ca="1">(RANDBETWEEN(0,50)/100)*(dict_DQ_Meth_max[[#This Row],[Vergleich_ub]]-dict_DQ_Meth_max[[#This Row],[Vergleich_lb]])+dict_DQ_Meth_max[[#This Row],[Vergleich_lb]]</f>
        <v>453.29136000000005</v>
      </c>
      <c r="G1463" s="12">
        <f ca="1">(RANDBETWEEN(50,100)/100)*(dict_DQ_Meth_max[[#This Row],[Vergleich_ub]]-dict_DQ_Meth_max[[#This Row],[Vergleich_lb]])+dict_DQ_Meth_max[[#This Row],[Vergleich_lb]]</f>
        <v>906.5447200000001</v>
      </c>
      <c r="H1463" s="11" t="str">
        <f ca="1">VLOOKUP(VLOOKUP(dict_DQ_Meth_max[[#This Row],[ID_DataQualities]],table_DataQualities[],3),table_Units[],2)</f>
        <v>Hz</v>
      </c>
      <c r="I1463" s="10"/>
      <c r="J1463" s="10"/>
      <c r="K1463" s="10"/>
      <c r="L1463" s="10">
        <f ca="1">VLOOKUP(dict_DQ_Meth_max[[#This Row],[ID_DataQualities]],table_DataQualities[],8,FALSE)</f>
        <v>3.7999999999999999E-2</v>
      </c>
      <c r="M1463" s="10">
        <f ca="1">VLOOKUP(dict_DQ_Meth_max[[#This Row],[ID_DataQualities]],table_DataQualities[],9,FALSE)</f>
        <v>1618.8</v>
      </c>
    </row>
    <row r="1464" spans="1:13" x14ac:dyDescent="0.45">
      <c r="A1464" s="10">
        <v>391</v>
      </c>
      <c r="B1464" s="10">
        <v>1</v>
      </c>
      <c r="C146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4" s="10"/>
      <c r="E1464" s="10"/>
      <c r="F1464" s="12">
        <f ca="1">(RANDBETWEEN(0,50)/100)*(dict_DQ_Meth_max[[#This Row],[Vergleich_ub]]-dict_DQ_Meth_max[[#This Row],[Vergleich_lb]])+dict_DQ_Meth_max[[#This Row],[Vergleich_lb]]</f>
        <v>3.3757999999999999</v>
      </c>
      <c r="G1464" s="12">
        <f ca="1">(RANDBETWEEN(50,100)/100)*(dict_DQ_Meth_max[[#This Row],[Vergleich_ub]]-dict_DQ_Meth_max[[#This Row],[Vergleich_lb]])+dict_DQ_Meth_max[[#This Row],[Vergleich_lb]]</f>
        <v>6.6545300000000003</v>
      </c>
      <c r="H1464" s="11" t="str">
        <f ca="1">VLOOKUP(VLOOKUP(dict_DQ_Meth_max[[#This Row],[ID_DataQualities]],table_DataQualities[],3),table_Units[],2)</f>
        <v>+/- W</v>
      </c>
      <c r="I1464" s="10"/>
      <c r="J1464" s="10"/>
      <c r="K1464" s="10"/>
      <c r="L1464" s="10">
        <f ca="1">VLOOKUP(dict_DQ_Meth_max[[#This Row],[ID_DataQualities]],table_DataQualities[],8,FALSE)</f>
        <v>1.2999999999999999E-2</v>
      </c>
      <c r="M1464" s="10">
        <f ca="1">VLOOKUP(dict_DQ_Meth_max[[#This Row],[ID_DataQualities]],table_DataQualities[],9,FALSE)</f>
        <v>8.42</v>
      </c>
    </row>
    <row r="1465" spans="1:13" x14ac:dyDescent="0.45">
      <c r="A1465" s="10">
        <v>391</v>
      </c>
      <c r="B1465" s="10">
        <v>549</v>
      </c>
      <c r="C146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5" s="10"/>
      <c r="E1465" s="10"/>
      <c r="F1465" s="12">
        <f ca="1">(RANDBETWEEN(0,50)/100)*(dict_DQ_Meth_max[[#This Row],[Vergleich_ub]]-dict_DQ_Meth_max[[#This Row],[Vergleich_lb]])+dict_DQ_Meth_max[[#This Row],[Vergleich_lb]]</f>
        <v>0.60149000000000008</v>
      </c>
      <c r="G1465" s="12">
        <f ca="1">(RANDBETWEEN(50,100)/100)*(dict_DQ_Meth_max[[#This Row],[Vergleich_ub]]-dict_DQ_Meth_max[[#This Row],[Vergleich_lb]])+dict_DQ_Meth_max[[#This Row],[Vergleich_lb]]</f>
        <v>5.2253400000000001</v>
      </c>
      <c r="H1465" s="11" t="str">
        <f ca="1">VLOOKUP(VLOOKUP(dict_DQ_Meth_max[[#This Row],[ID_DataQualities]],table_DataQualities[],3),table_Units[],2)</f>
        <v>+/- W</v>
      </c>
      <c r="I1465" s="10"/>
      <c r="J1465" s="10"/>
      <c r="K1465" s="10"/>
      <c r="L1465" s="10">
        <f ca="1">VLOOKUP(dict_DQ_Meth_max[[#This Row],[ID_DataQualities]],table_DataQualities[],8,FALSE)</f>
        <v>1.2999999999999999E-2</v>
      </c>
      <c r="M1465" s="10">
        <f ca="1">VLOOKUP(dict_DQ_Meth_max[[#This Row],[ID_DataQualities]],table_DataQualities[],9,FALSE)</f>
        <v>8.42</v>
      </c>
    </row>
    <row r="1466" spans="1:13" x14ac:dyDescent="0.45">
      <c r="A1466" s="10">
        <v>391</v>
      </c>
      <c r="B1466" s="10">
        <v>244</v>
      </c>
      <c r="C146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6" s="10"/>
      <c r="E1466" s="10"/>
      <c r="F1466" s="12">
        <f ca="1">(RANDBETWEEN(0,50)/100)*(dict_DQ_Meth_max[[#This Row],[Vergleich_ub]]-dict_DQ_Meth_max[[#This Row],[Vergleich_lb]])+dict_DQ_Meth_max[[#This Row],[Vergleich_lb]]</f>
        <v>1.18998</v>
      </c>
      <c r="G1466" s="12">
        <f ca="1">(RANDBETWEEN(50,100)/100)*(dict_DQ_Meth_max[[#This Row],[Vergleich_ub]]-dict_DQ_Meth_max[[#This Row],[Vergleich_lb]])+dict_DQ_Meth_max[[#This Row],[Vergleich_lb]]</f>
        <v>8.0837199999999996</v>
      </c>
      <c r="H1466" s="11" t="str">
        <f ca="1">VLOOKUP(VLOOKUP(dict_DQ_Meth_max[[#This Row],[ID_DataQualities]],table_DataQualities[],3),table_Units[],2)</f>
        <v>+/- W</v>
      </c>
      <c r="I1466" s="10"/>
      <c r="J1466" s="10"/>
      <c r="K1466" s="10"/>
      <c r="L1466" s="10">
        <f ca="1">VLOOKUP(dict_DQ_Meth_max[[#This Row],[ID_DataQualities]],table_DataQualities[],8,FALSE)</f>
        <v>1.2999999999999999E-2</v>
      </c>
      <c r="M1466" s="10">
        <f ca="1">VLOOKUP(dict_DQ_Meth_max[[#This Row],[ID_DataQualities]],table_DataQualities[],9,FALSE)</f>
        <v>8.42</v>
      </c>
    </row>
    <row r="1467" spans="1:13" x14ac:dyDescent="0.45">
      <c r="A1467" s="10">
        <v>391</v>
      </c>
      <c r="B1467" s="10">
        <v>56</v>
      </c>
      <c r="C146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7" s="10"/>
      <c r="E1467" s="10"/>
      <c r="F1467" s="12">
        <f ca="1">(RANDBETWEEN(0,50)/100)*(dict_DQ_Meth_max[[#This Row],[Vergleich_ub]]-dict_DQ_Meth_max[[#This Row],[Vergleich_lb]])+dict_DQ_Meth_max[[#This Row],[Vergleich_lb]]</f>
        <v>2.7873100000000002</v>
      </c>
      <c r="G1467" s="12">
        <f ca="1">(RANDBETWEEN(50,100)/100)*(dict_DQ_Meth_max[[#This Row],[Vergleich_ub]]-dict_DQ_Meth_max[[#This Row],[Vergleich_lb]])+dict_DQ_Meth_max[[#This Row],[Vergleich_lb]]</f>
        <v>4.8890599999999997</v>
      </c>
      <c r="H1467" s="11" t="str">
        <f ca="1">VLOOKUP(VLOOKUP(dict_DQ_Meth_max[[#This Row],[ID_DataQualities]],table_DataQualities[],3),table_Units[],2)</f>
        <v>+/- W</v>
      </c>
      <c r="I1467" s="10"/>
      <c r="J1467" s="10"/>
      <c r="K1467" s="10"/>
      <c r="L1467" s="10">
        <f ca="1">VLOOKUP(dict_DQ_Meth_max[[#This Row],[ID_DataQualities]],table_DataQualities[],8,FALSE)</f>
        <v>1.2999999999999999E-2</v>
      </c>
      <c r="M1467" s="10">
        <f ca="1">VLOOKUP(dict_DQ_Meth_max[[#This Row],[ID_DataQualities]],table_DataQualities[],9,FALSE)</f>
        <v>8.42</v>
      </c>
    </row>
    <row r="1468" spans="1:13" x14ac:dyDescent="0.45">
      <c r="A1468" s="10">
        <v>392</v>
      </c>
      <c r="B1468" s="10">
        <v>35</v>
      </c>
      <c r="C146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8" s="10"/>
      <c r="E1468" s="10"/>
      <c r="F1468" s="12">
        <f ca="1">(RANDBETWEEN(0,50)/100)*(dict_DQ_Meth_max[[#This Row],[Vergleich_ub]]-dict_DQ_Meth_max[[#This Row],[Vergleich_lb]])+dict_DQ_Meth_max[[#This Row],[Vergleich_lb]]</f>
        <v>1121.9116799999999</v>
      </c>
      <c r="G1468" s="12">
        <f ca="1">(RANDBETWEEN(50,100)/100)*(dict_DQ_Meth_max[[#This Row],[Vergleich_ub]]-dict_DQ_Meth_max[[#This Row],[Vergleich_lb]])+dict_DQ_Meth_max[[#This Row],[Vergleich_lb]]</f>
        <v>1901.0086799999999</v>
      </c>
      <c r="H1468" s="11" t="str">
        <f ca="1">VLOOKUP(VLOOKUP(dict_DQ_Meth_max[[#This Row],[ID_DataQualities]],table_DataQualities[],3),table_Units[],2)</f>
        <v>Hz</v>
      </c>
      <c r="I1468" s="10"/>
      <c r="J1468" s="10"/>
      <c r="K1468" s="10"/>
      <c r="L1468" s="10">
        <f ca="1">VLOOKUP(dict_DQ_Meth_max[[#This Row],[ID_DataQualities]],table_DataQualities[],8,FALSE)</f>
        <v>1.2E-2</v>
      </c>
      <c r="M1468" s="10">
        <f ca="1">VLOOKUP(dict_DQ_Meth_max[[#This Row],[ID_DataQualities]],table_DataQualities[],9,FALSE)</f>
        <v>3116.4</v>
      </c>
    </row>
    <row r="1469" spans="1:13" x14ac:dyDescent="0.45">
      <c r="A1469" s="10">
        <v>392</v>
      </c>
      <c r="B1469" s="10">
        <v>23</v>
      </c>
      <c r="C146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69" s="10"/>
      <c r="E1469" s="10"/>
      <c r="F1469" s="12">
        <f ca="1">(RANDBETWEEN(0,50)/100)*(dict_DQ_Meth_max[[#This Row],[Vergleich_ub]]-dict_DQ_Meth_max[[#This Row],[Vergleich_lb]])+dict_DQ_Meth_max[[#This Row],[Vergleich_lb]]</f>
        <v>997.25615999999991</v>
      </c>
      <c r="G1469" s="12">
        <f ca="1">(RANDBETWEEN(50,100)/100)*(dict_DQ_Meth_max[[#This Row],[Vergleich_ub]]-dict_DQ_Meth_max[[#This Row],[Vergleich_lb]])+dict_DQ_Meth_max[[#This Row],[Vergleich_lb]]</f>
        <v>2212.6474800000001</v>
      </c>
      <c r="H1469" s="11" t="str">
        <f ca="1">VLOOKUP(VLOOKUP(dict_DQ_Meth_max[[#This Row],[ID_DataQualities]],table_DataQualities[],3),table_Units[],2)</f>
        <v>Hz</v>
      </c>
      <c r="I1469" s="10"/>
      <c r="J1469" s="10"/>
      <c r="K1469" s="10"/>
      <c r="L1469" s="10">
        <f ca="1">VLOOKUP(dict_DQ_Meth_max[[#This Row],[ID_DataQualities]],table_DataQualities[],8,FALSE)</f>
        <v>1.2E-2</v>
      </c>
      <c r="M1469" s="10">
        <f ca="1">VLOOKUP(dict_DQ_Meth_max[[#This Row],[ID_DataQualities]],table_DataQualities[],9,FALSE)</f>
        <v>3116.4</v>
      </c>
    </row>
    <row r="1470" spans="1:13" x14ac:dyDescent="0.45">
      <c r="A1470" s="10">
        <v>392</v>
      </c>
      <c r="B1470" s="10">
        <v>333</v>
      </c>
      <c r="C147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0" s="10"/>
      <c r="E1470" s="10"/>
      <c r="F1470" s="12">
        <f ca="1">(RANDBETWEEN(0,50)/100)*(dict_DQ_Meth_max[[#This Row],[Vergleich_ub]]-dict_DQ_Meth_max[[#This Row],[Vergleich_lb]])+dict_DQ_Meth_max[[#This Row],[Vergleich_lb]]</f>
        <v>997.25615999999991</v>
      </c>
      <c r="G1470" s="12">
        <f ca="1">(RANDBETWEEN(50,100)/100)*(dict_DQ_Meth_max[[#This Row],[Vergleich_ub]]-dict_DQ_Meth_max[[#This Row],[Vergleich_lb]])+dict_DQ_Meth_max[[#This Row],[Vergleich_lb]]</f>
        <v>2773.5973200000003</v>
      </c>
      <c r="H1470" s="11" t="str">
        <f ca="1">VLOOKUP(VLOOKUP(dict_DQ_Meth_max[[#This Row],[ID_DataQualities]],table_DataQualities[],3),table_Units[],2)</f>
        <v>Hz</v>
      </c>
      <c r="I1470" s="10"/>
      <c r="J1470" s="10"/>
      <c r="K1470" s="10"/>
      <c r="L1470" s="10">
        <f ca="1">VLOOKUP(dict_DQ_Meth_max[[#This Row],[ID_DataQualities]],table_DataQualities[],8,FALSE)</f>
        <v>1.2E-2</v>
      </c>
      <c r="M1470" s="10">
        <f ca="1">VLOOKUP(dict_DQ_Meth_max[[#This Row],[ID_DataQualities]],table_DataQualities[],9,FALSE)</f>
        <v>3116.4</v>
      </c>
    </row>
    <row r="1471" spans="1:13" x14ac:dyDescent="0.45">
      <c r="A1471" s="10">
        <v>393</v>
      </c>
      <c r="B1471" s="10">
        <v>35</v>
      </c>
      <c r="C147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1" s="10"/>
      <c r="E1471" s="10"/>
      <c r="F1471" s="12">
        <f ca="1">(RANDBETWEEN(0,50)/100)*(dict_DQ_Meth_max[[#This Row],[Vergleich_ub]]-dict_DQ_Meth_max[[#This Row],[Vergleich_lb]])+dict_DQ_Meth_max[[#This Row],[Vergleich_lb]]</f>
        <v>2480.6</v>
      </c>
      <c r="G1471" s="12">
        <f ca="1">(RANDBETWEEN(50,100)/100)*(dict_DQ_Meth_max[[#This Row],[Vergleich_ub]]-dict_DQ_Meth_max[[#This Row],[Vergleich_lb]])+dict_DQ_Meth_max[[#This Row],[Vergleich_lb]]</f>
        <v>5039</v>
      </c>
      <c r="H1471" s="11" t="str">
        <f ca="1">VLOOKUP(VLOOKUP(dict_DQ_Meth_max[[#This Row],[ID_DataQualities]],table_DataQualities[],3),table_Units[],2)</f>
        <v>bit</v>
      </c>
      <c r="I1471" s="10"/>
      <c r="J1471" s="10"/>
      <c r="K1471" s="10"/>
      <c r="L1471" s="10">
        <f ca="1">VLOOKUP(dict_DQ_Meth_max[[#This Row],[ID_DataQualities]],table_DataQualities[],8,FALSE)</f>
        <v>47</v>
      </c>
      <c r="M1471" s="10">
        <f ca="1">VLOOKUP(dict_DQ_Meth_max[[#This Row],[ID_DataQualities]],table_DataQualities[],9,FALSE)</f>
        <v>6287</v>
      </c>
    </row>
    <row r="1472" spans="1:13" x14ac:dyDescent="0.45">
      <c r="A1472" s="10">
        <v>393</v>
      </c>
      <c r="B1472" s="10">
        <v>23</v>
      </c>
      <c r="C147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2" s="10"/>
      <c r="E1472" s="10"/>
      <c r="F1472" s="12">
        <f ca="1">(RANDBETWEEN(0,50)/100)*(dict_DQ_Meth_max[[#This Row],[Vergleich_ub]]-dict_DQ_Meth_max[[#This Row],[Vergleich_lb]])+dict_DQ_Meth_max[[#This Row],[Vergleich_lb]]</f>
        <v>983</v>
      </c>
      <c r="G1472" s="12">
        <f ca="1">(RANDBETWEEN(50,100)/100)*(dict_DQ_Meth_max[[#This Row],[Vergleich_ub]]-dict_DQ_Meth_max[[#This Row],[Vergleich_lb]])+dict_DQ_Meth_max[[#This Row],[Vergleich_lb]]</f>
        <v>5850.2000000000007</v>
      </c>
      <c r="H1472" s="11" t="str">
        <f ca="1">VLOOKUP(VLOOKUP(dict_DQ_Meth_max[[#This Row],[ID_DataQualities]],table_DataQualities[],3),table_Units[],2)</f>
        <v>bit</v>
      </c>
      <c r="I1472" s="10"/>
      <c r="J1472" s="10"/>
      <c r="K1472" s="10"/>
      <c r="L1472" s="10">
        <f ca="1">VLOOKUP(dict_DQ_Meth_max[[#This Row],[ID_DataQualities]],table_DataQualities[],8,FALSE)</f>
        <v>47</v>
      </c>
      <c r="M1472" s="10">
        <f ca="1">VLOOKUP(dict_DQ_Meth_max[[#This Row],[ID_DataQualities]],table_DataQualities[],9,FALSE)</f>
        <v>6287</v>
      </c>
    </row>
    <row r="1473" spans="1:13" x14ac:dyDescent="0.45">
      <c r="A1473" s="10">
        <v>393</v>
      </c>
      <c r="B1473" s="10">
        <v>333</v>
      </c>
      <c r="C147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3" s="10"/>
      <c r="E1473" s="10"/>
      <c r="F1473" s="12">
        <f ca="1">(RANDBETWEEN(0,50)/100)*(dict_DQ_Meth_max[[#This Row],[Vergleich_ub]]-dict_DQ_Meth_max[[#This Row],[Vergleich_lb]])+dict_DQ_Meth_max[[#This Row],[Vergleich_lb]]</f>
        <v>671</v>
      </c>
      <c r="G1473" s="12">
        <f ca="1">(RANDBETWEEN(50,100)/100)*(dict_DQ_Meth_max[[#This Row],[Vergleich_ub]]-dict_DQ_Meth_max[[#This Row],[Vergleich_lb]])+dict_DQ_Meth_max[[#This Row],[Vergleich_lb]]</f>
        <v>5413.4</v>
      </c>
      <c r="H1473" s="11" t="str">
        <f ca="1">VLOOKUP(VLOOKUP(dict_DQ_Meth_max[[#This Row],[ID_DataQualities]],table_DataQualities[],3),table_Units[],2)</f>
        <v>bit</v>
      </c>
      <c r="I1473" s="10"/>
      <c r="J1473" s="10"/>
      <c r="K1473" s="10"/>
      <c r="L1473" s="10">
        <f ca="1">VLOOKUP(dict_DQ_Meth_max[[#This Row],[ID_DataQualities]],table_DataQualities[],8,FALSE)</f>
        <v>47</v>
      </c>
      <c r="M1473" s="10">
        <f ca="1">VLOOKUP(dict_DQ_Meth_max[[#This Row],[ID_DataQualities]],table_DataQualities[],9,FALSE)</f>
        <v>6287</v>
      </c>
    </row>
    <row r="1474" spans="1:13" x14ac:dyDescent="0.45">
      <c r="A1474" s="10">
        <v>394</v>
      </c>
      <c r="B1474" s="10">
        <v>321</v>
      </c>
      <c r="C147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4" s="10"/>
      <c r="E1474" s="10"/>
      <c r="F1474" s="12">
        <f ca="1">(RANDBETWEEN(0,50)/100)*(dict_DQ_Meth_max[[#This Row],[Vergleich_ub]]-dict_DQ_Meth_max[[#This Row],[Vergleich_lb]])+dict_DQ_Meth_max[[#This Row],[Vergleich_lb]]</f>
        <v>116.00355</v>
      </c>
      <c r="G1474" s="12">
        <f ca="1">(RANDBETWEEN(50,100)/100)*(dict_DQ_Meth_max[[#This Row],[Vergleich_ub]]-dict_DQ_Meth_max[[#This Row],[Vergleich_lb]])+dict_DQ_Meth_max[[#This Row],[Vergleich_lb]]</f>
        <v>2822.4030499999999</v>
      </c>
      <c r="H1474" s="11" t="str">
        <f ca="1">VLOOKUP(VLOOKUP(dict_DQ_Meth_max[[#This Row],[ID_DataQualities]],table_DataQualities[],3),table_Units[],2)</f>
        <v>Hz</v>
      </c>
      <c r="I1474" s="10"/>
      <c r="J1474" s="10"/>
      <c r="K1474" s="10"/>
      <c r="L1474" s="10">
        <f ca="1">VLOOKUP(dict_DQ_Meth_max[[#This Row],[ID_DataQualities]],table_DataQualities[],8,FALSE)</f>
        <v>1.4999999999999999E-2</v>
      </c>
      <c r="M1474" s="10">
        <f ca="1">VLOOKUP(dict_DQ_Meth_max[[#This Row],[ID_DataQualities]],table_DataQualities[],9,FALSE)</f>
        <v>3866.3</v>
      </c>
    </row>
    <row r="1475" spans="1:13" x14ac:dyDescent="0.45">
      <c r="A1475" s="10">
        <v>394</v>
      </c>
      <c r="B1475" s="10">
        <v>235</v>
      </c>
      <c r="C147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5" s="10"/>
      <c r="E1475" s="10"/>
      <c r="F1475" s="12">
        <f ca="1">(RANDBETWEEN(0,50)/100)*(dict_DQ_Meth_max[[#This Row],[Vergleich_ub]]-dict_DQ_Meth_max[[#This Row],[Vergleich_lb]])+dict_DQ_Meth_max[[#This Row],[Vergleich_lb]]</f>
        <v>1701.1804000000002</v>
      </c>
      <c r="G1475" s="12">
        <f ca="1">(RANDBETWEEN(50,100)/100)*(dict_DQ_Meth_max[[#This Row],[Vergleich_ub]]-dict_DQ_Meth_max[[#This Row],[Vergleich_lb]])+dict_DQ_Meth_max[[#This Row],[Vergleich_lb]]</f>
        <v>2783.7402000000002</v>
      </c>
      <c r="H1475" s="11" t="str">
        <f ca="1">VLOOKUP(VLOOKUP(dict_DQ_Meth_max[[#This Row],[ID_DataQualities]],table_DataQualities[],3),table_Units[],2)</f>
        <v>Hz</v>
      </c>
      <c r="I1475" s="10"/>
      <c r="J1475" s="10"/>
      <c r="K1475" s="10"/>
      <c r="L1475" s="10">
        <f ca="1">VLOOKUP(dict_DQ_Meth_max[[#This Row],[ID_DataQualities]],table_DataQualities[],8,FALSE)</f>
        <v>1.4999999999999999E-2</v>
      </c>
      <c r="M1475" s="10">
        <f ca="1">VLOOKUP(dict_DQ_Meth_max[[#This Row],[ID_DataQualities]],table_DataQualities[],9,FALSE)</f>
        <v>3866.3</v>
      </c>
    </row>
    <row r="1476" spans="1:13" x14ac:dyDescent="0.45">
      <c r="A1476" s="10">
        <v>394</v>
      </c>
      <c r="B1476" s="10">
        <v>57</v>
      </c>
      <c r="C147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6" s="10"/>
      <c r="E1476" s="10"/>
      <c r="F1476" s="12">
        <f ca="1">(RANDBETWEEN(0,50)/100)*(dict_DQ_Meth_max[[#This Row],[Vergleich_ub]]-dict_DQ_Meth_max[[#This Row],[Vergleich_lb]])+dict_DQ_Meth_max[[#This Row],[Vergleich_lb]]</f>
        <v>773.27200000000005</v>
      </c>
      <c r="G1476" s="12">
        <f ca="1">(RANDBETWEEN(50,100)/100)*(dict_DQ_Meth_max[[#This Row],[Vergleich_ub]]-dict_DQ_Meth_max[[#This Row],[Vergleich_lb]])+dict_DQ_Meth_max[[#This Row],[Vergleich_lb]]</f>
        <v>3441.0086500000002</v>
      </c>
      <c r="H1476" s="11" t="str">
        <f ca="1">VLOOKUP(VLOOKUP(dict_DQ_Meth_max[[#This Row],[ID_DataQualities]],table_DataQualities[],3),table_Units[],2)</f>
        <v>Hz</v>
      </c>
      <c r="I1476" s="10"/>
      <c r="J1476" s="10"/>
      <c r="K1476" s="10"/>
      <c r="L1476" s="10">
        <f ca="1">VLOOKUP(dict_DQ_Meth_max[[#This Row],[ID_DataQualities]],table_DataQualities[],8,FALSE)</f>
        <v>1.4999999999999999E-2</v>
      </c>
      <c r="M1476" s="10">
        <f ca="1">VLOOKUP(dict_DQ_Meth_max[[#This Row],[ID_DataQualities]],table_DataQualities[],9,FALSE)</f>
        <v>3866.3</v>
      </c>
    </row>
    <row r="1477" spans="1:13" x14ac:dyDescent="0.45">
      <c r="A1477" s="10">
        <v>394</v>
      </c>
      <c r="B1477" s="10">
        <v>494</v>
      </c>
      <c r="C147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7" s="10"/>
      <c r="E1477" s="10"/>
      <c r="F1477" s="12">
        <f ca="1">(RANDBETWEEN(0,50)/100)*(dict_DQ_Meth_max[[#This Row],[Vergleich_ub]]-dict_DQ_Meth_max[[#This Row],[Vergleich_lb]])+dict_DQ_Meth_max[[#This Row],[Vergleich_lb]]</f>
        <v>1701.1804000000002</v>
      </c>
      <c r="G1477" s="12">
        <f ca="1">(RANDBETWEEN(50,100)/100)*(dict_DQ_Meth_max[[#This Row],[Vergleich_ub]]-dict_DQ_Meth_max[[#This Row],[Vergleich_lb]])+dict_DQ_Meth_max[[#This Row],[Vergleich_lb]]</f>
        <v>3672.9857499999998</v>
      </c>
      <c r="H1477" s="11" t="str">
        <f ca="1">VLOOKUP(VLOOKUP(dict_DQ_Meth_max[[#This Row],[ID_DataQualities]],table_DataQualities[],3),table_Units[],2)</f>
        <v>Hz</v>
      </c>
      <c r="I1477" s="10"/>
      <c r="J1477" s="10"/>
      <c r="K1477" s="10"/>
      <c r="L1477" s="10">
        <f ca="1">VLOOKUP(dict_DQ_Meth_max[[#This Row],[ID_DataQualities]],table_DataQualities[],8,FALSE)</f>
        <v>1.4999999999999999E-2</v>
      </c>
      <c r="M1477" s="10">
        <f ca="1">VLOOKUP(dict_DQ_Meth_max[[#This Row],[ID_DataQualities]],table_DataQualities[],9,FALSE)</f>
        <v>3866.3</v>
      </c>
    </row>
    <row r="1478" spans="1:13" x14ac:dyDescent="0.45">
      <c r="A1478" s="10">
        <v>395</v>
      </c>
      <c r="B1478" s="10">
        <v>494</v>
      </c>
      <c r="C147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8" s="10"/>
      <c r="E1478" s="10"/>
      <c r="F1478" s="12">
        <f ca="1">(RANDBETWEEN(0,50)/100)*(dict_DQ_Meth_max[[#This Row],[Vergleich_ub]]-dict_DQ_Meth_max[[#This Row],[Vergleich_lb]])+dict_DQ_Meth_max[[#This Row],[Vergleich_lb]]</f>
        <v>562.76</v>
      </c>
      <c r="G1478" s="12">
        <f ca="1">(RANDBETWEEN(50,100)/100)*(dict_DQ_Meth_max[[#This Row],[Vergleich_ub]]-dict_DQ_Meth_max[[#This Row],[Vergleich_lb]])+dict_DQ_Meth_max[[#This Row],[Vergleich_lb]]</f>
        <v>732.02</v>
      </c>
      <c r="H1478" s="11" t="str">
        <f ca="1">VLOOKUP(VLOOKUP(dict_DQ_Meth_max[[#This Row],[ID_DataQualities]],table_DataQualities[],3),table_Units[],2)</f>
        <v>bit</v>
      </c>
      <c r="I1478" s="10"/>
      <c r="J1478" s="10"/>
      <c r="K1478" s="10"/>
      <c r="L1478" s="10">
        <f ca="1">VLOOKUP(dict_DQ_Meth_max[[#This Row],[ID_DataQualities]],table_DataQualities[],8,FALSE)</f>
        <v>68</v>
      </c>
      <c r="M1478" s="10">
        <f ca="1">VLOOKUP(dict_DQ_Meth_max[[#This Row],[ID_DataQualities]],table_DataQualities[],9,FALSE)</f>
        <v>1370</v>
      </c>
    </row>
    <row r="1479" spans="1:13" x14ac:dyDescent="0.45">
      <c r="A1479" s="10">
        <v>395</v>
      </c>
      <c r="B1479" s="10">
        <v>235</v>
      </c>
      <c r="C147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79" s="10"/>
      <c r="E1479" s="10"/>
      <c r="F1479" s="12">
        <f ca="1">(RANDBETWEEN(0,50)/100)*(dict_DQ_Meth_max[[#This Row],[Vergleich_ub]]-dict_DQ_Meth_max[[#This Row],[Vergleich_lb]])+dict_DQ_Meth_max[[#This Row],[Vergleich_lb]]</f>
        <v>341.42</v>
      </c>
      <c r="G1479" s="12">
        <f ca="1">(RANDBETWEEN(50,100)/100)*(dict_DQ_Meth_max[[#This Row],[Vergleich_ub]]-dict_DQ_Meth_max[[#This Row],[Vergleich_lb]])+dict_DQ_Meth_max[[#This Row],[Vergleich_lb]]</f>
        <v>797.12000000000012</v>
      </c>
      <c r="H1479" s="11" t="str">
        <f ca="1">VLOOKUP(VLOOKUP(dict_DQ_Meth_max[[#This Row],[ID_DataQualities]],table_DataQualities[],3),table_Units[],2)</f>
        <v>bit</v>
      </c>
      <c r="I1479" s="10"/>
      <c r="J1479" s="10"/>
      <c r="K1479" s="10"/>
      <c r="L1479" s="10">
        <f ca="1">VLOOKUP(dict_DQ_Meth_max[[#This Row],[ID_DataQualities]],table_DataQualities[],8,FALSE)</f>
        <v>68</v>
      </c>
      <c r="M1479" s="10">
        <f ca="1">VLOOKUP(dict_DQ_Meth_max[[#This Row],[ID_DataQualities]],table_DataQualities[],9,FALSE)</f>
        <v>1370</v>
      </c>
    </row>
    <row r="1480" spans="1:13" x14ac:dyDescent="0.45">
      <c r="A1480" s="10">
        <v>395</v>
      </c>
      <c r="B1480" s="10">
        <v>321</v>
      </c>
      <c r="C148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0" s="10"/>
      <c r="E1480" s="10"/>
      <c r="F1480" s="12">
        <f ca="1">(RANDBETWEEN(0,50)/100)*(dict_DQ_Meth_max[[#This Row],[Vergleich_ub]]-dict_DQ_Meth_max[[#This Row],[Vergleich_lb]])+dict_DQ_Meth_max[[#This Row],[Vergleich_lb]]</f>
        <v>705.98</v>
      </c>
      <c r="G1480" s="12">
        <f ca="1">(RANDBETWEEN(50,100)/100)*(dict_DQ_Meth_max[[#This Row],[Vergleich_ub]]-dict_DQ_Meth_max[[#This Row],[Vergleich_lb]])+dict_DQ_Meth_max[[#This Row],[Vergleich_lb]]</f>
        <v>1252.82</v>
      </c>
      <c r="H1480" s="11" t="str">
        <f ca="1">VLOOKUP(VLOOKUP(dict_DQ_Meth_max[[#This Row],[ID_DataQualities]],table_DataQualities[],3),table_Units[],2)</f>
        <v>bit</v>
      </c>
      <c r="I1480" s="10"/>
      <c r="J1480" s="10"/>
      <c r="K1480" s="10"/>
      <c r="L1480" s="10">
        <f ca="1">VLOOKUP(dict_DQ_Meth_max[[#This Row],[ID_DataQualities]],table_DataQualities[],8,FALSE)</f>
        <v>68</v>
      </c>
      <c r="M1480" s="10">
        <f ca="1">VLOOKUP(dict_DQ_Meth_max[[#This Row],[ID_DataQualities]],table_DataQualities[],9,FALSE)</f>
        <v>1370</v>
      </c>
    </row>
    <row r="1481" spans="1:13" x14ac:dyDescent="0.45">
      <c r="A1481" s="10">
        <v>395</v>
      </c>
      <c r="B1481" s="10">
        <v>57</v>
      </c>
      <c r="C148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1" s="10"/>
      <c r="E1481" s="10"/>
      <c r="F1481" s="12">
        <f ca="1">(RANDBETWEEN(0,50)/100)*(dict_DQ_Meth_max[[#This Row],[Vergleich_ub]]-dict_DQ_Meth_max[[#This Row],[Vergleich_lb]])+dict_DQ_Meth_max[[#This Row],[Vergleich_lb]]</f>
        <v>445.58</v>
      </c>
      <c r="G1481" s="12">
        <f ca="1">(RANDBETWEEN(50,100)/100)*(dict_DQ_Meth_max[[#This Row],[Vergleich_ub]]-dict_DQ_Meth_max[[#This Row],[Vergleich_lb]])+dict_DQ_Meth_max[[#This Row],[Vergleich_lb]]</f>
        <v>862.22</v>
      </c>
      <c r="H1481" s="11" t="str">
        <f ca="1">VLOOKUP(VLOOKUP(dict_DQ_Meth_max[[#This Row],[ID_DataQualities]],table_DataQualities[],3),table_Units[],2)</f>
        <v>bit</v>
      </c>
      <c r="I1481" s="10"/>
      <c r="J1481" s="10"/>
      <c r="K1481" s="10"/>
      <c r="L1481" s="10">
        <f ca="1">VLOOKUP(dict_DQ_Meth_max[[#This Row],[ID_DataQualities]],table_DataQualities[],8,FALSE)</f>
        <v>68</v>
      </c>
      <c r="M1481" s="10">
        <f ca="1">VLOOKUP(dict_DQ_Meth_max[[#This Row],[ID_DataQualities]],table_DataQualities[],9,FALSE)</f>
        <v>1370</v>
      </c>
    </row>
    <row r="1482" spans="1:13" x14ac:dyDescent="0.45">
      <c r="A1482" s="10">
        <v>396</v>
      </c>
      <c r="B1482" s="10">
        <v>561</v>
      </c>
      <c r="C148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2" s="10"/>
      <c r="E1482" s="10"/>
      <c r="F1482" s="12">
        <f ca="1">(RANDBETWEEN(0,50)/100)*(dict_DQ_Meth_max[[#This Row],[Vergleich_ub]]-dict_DQ_Meth_max[[#This Row],[Vergleich_lb]])+dict_DQ_Meth_max[[#This Row],[Vergleich_lb]]</f>
        <v>1059.62184</v>
      </c>
      <c r="G1482" s="12">
        <f ca="1">(RANDBETWEEN(50,100)/100)*(dict_DQ_Meth_max[[#This Row],[Vergleich_ub]]-dict_DQ_Meth_max[[#This Row],[Vergleich_lb]])+dict_DQ_Meth_max[[#This Row],[Vergleich_lb]]</f>
        <v>2022.6062400000001</v>
      </c>
      <c r="H1482" s="11" t="str">
        <f ca="1">VLOOKUP(VLOOKUP(dict_DQ_Meth_max[[#This Row],[ID_DataQualities]],table_DataQualities[],3),table_Units[],2)</f>
        <v>Hz</v>
      </c>
      <c r="I1482" s="10"/>
      <c r="J1482" s="10"/>
      <c r="K1482" s="10"/>
      <c r="L1482" s="10">
        <f ca="1">VLOOKUP(dict_DQ_Meth_max[[#This Row],[ID_DataQualities]],table_DataQualities[],8,FALSE)</f>
        <v>0.33900000000000002</v>
      </c>
      <c r="M1482" s="10">
        <f ca="1">VLOOKUP(dict_DQ_Meth_max[[#This Row],[ID_DataQualities]],table_DataQualities[],9,FALSE)</f>
        <v>2407.8000000000002</v>
      </c>
    </row>
    <row r="1483" spans="1:13" x14ac:dyDescent="0.45">
      <c r="A1483" s="10">
        <v>396</v>
      </c>
      <c r="B1483" s="10">
        <v>60</v>
      </c>
      <c r="C148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3" s="10"/>
      <c r="E1483" s="10"/>
      <c r="F1483" s="12">
        <f ca="1">(RANDBETWEEN(0,50)/100)*(dict_DQ_Meth_max[[#This Row],[Vergleich_ub]]-dict_DQ_Meth_max[[#This Row],[Vergleich_lb]])+dict_DQ_Meth_max[[#This Row],[Vergleich_lb]]</f>
        <v>746.65191000000016</v>
      </c>
      <c r="G1483" s="12">
        <f ca="1">(RANDBETWEEN(50,100)/100)*(dict_DQ_Meth_max[[#This Row],[Vergleich_ub]]-dict_DQ_Meth_max[[#This Row],[Vergleich_lb]])+dict_DQ_Meth_max[[#This Row],[Vergleich_lb]]</f>
        <v>1757.7855300000001</v>
      </c>
      <c r="H1483" s="11" t="str">
        <f ca="1">VLOOKUP(VLOOKUP(dict_DQ_Meth_max[[#This Row],[ID_DataQualities]],table_DataQualities[],3),table_Units[],2)</f>
        <v>Hz</v>
      </c>
      <c r="I1483" s="10"/>
      <c r="J1483" s="10"/>
      <c r="K1483" s="10"/>
      <c r="L1483" s="10">
        <f ca="1">VLOOKUP(dict_DQ_Meth_max[[#This Row],[ID_DataQualities]],table_DataQualities[],8,FALSE)</f>
        <v>0.33900000000000002</v>
      </c>
      <c r="M1483" s="10">
        <f ca="1">VLOOKUP(dict_DQ_Meth_max[[#This Row],[ID_DataQualities]],table_DataQualities[],9,FALSE)</f>
        <v>2407.8000000000002</v>
      </c>
    </row>
    <row r="1484" spans="1:13" x14ac:dyDescent="0.45">
      <c r="A1484" s="10">
        <v>396</v>
      </c>
      <c r="B1484" s="10">
        <v>461</v>
      </c>
      <c r="C148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4" s="10"/>
      <c r="E1484" s="10"/>
      <c r="F1484" s="12">
        <f ca="1">(RANDBETWEEN(0,50)/100)*(dict_DQ_Meth_max[[#This Row],[Vergleich_ub]]-dict_DQ_Meth_max[[#This Row],[Vergleich_lb]])+dict_DQ_Meth_max[[#This Row],[Vergleich_lb]]</f>
        <v>120.71205000000002</v>
      </c>
      <c r="G1484" s="12">
        <f ca="1">(RANDBETWEEN(50,100)/100)*(dict_DQ_Meth_max[[#This Row],[Vergleich_ub]]-dict_DQ_Meth_max[[#This Row],[Vergleich_lb]])+dict_DQ_Meth_max[[#This Row],[Vergleich_lb]]</f>
        <v>2191.1285100000005</v>
      </c>
      <c r="H1484" s="11" t="str">
        <f ca="1">VLOOKUP(VLOOKUP(dict_DQ_Meth_max[[#This Row],[ID_DataQualities]],table_DataQualities[],3),table_Units[],2)</f>
        <v>Hz</v>
      </c>
      <c r="I1484" s="10"/>
      <c r="J1484" s="10"/>
      <c r="K1484" s="10"/>
      <c r="L1484" s="10">
        <f ca="1">VLOOKUP(dict_DQ_Meth_max[[#This Row],[ID_DataQualities]],table_DataQualities[],8,FALSE)</f>
        <v>0.33900000000000002</v>
      </c>
      <c r="M1484" s="10">
        <f ca="1">VLOOKUP(dict_DQ_Meth_max[[#This Row],[ID_DataQualities]],table_DataQualities[],9,FALSE)</f>
        <v>2407.8000000000002</v>
      </c>
    </row>
    <row r="1485" spans="1:13" x14ac:dyDescent="0.45">
      <c r="A1485" s="10">
        <v>396</v>
      </c>
      <c r="B1485" s="10">
        <v>158</v>
      </c>
      <c r="C148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5" s="10"/>
      <c r="E1485" s="10"/>
      <c r="F1485" s="12">
        <f ca="1">(RANDBETWEEN(0,50)/100)*(dict_DQ_Meth_max[[#This Row],[Vergleich_ub]]-dict_DQ_Meth_max[[#This Row],[Vergleich_lb]])+dict_DQ_Meth_max[[#This Row],[Vergleich_lb]]</f>
        <v>192.93588000000003</v>
      </c>
      <c r="G1485" s="12">
        <f ca="1">(RANDBETWEEN(50,100)/100)*(dict_DQ_Meth_max[[#This Row],[Vergleich_ub]]-dict_DQ_Meth_max[[#This Row],[Vergleich_lb]])+dict_DQ_Meth_max[[#This Row],[Vergleich_lb]]</f>
        <v>1878.1585800000003</v>
      </c>
      <c r="H1485" s="11" t="str">
        <f ca="1">VLOOKUP(VLOOKUP(dict_DQ_Meth_max[[#This Row],[ID_DataQualities]],table_DataQualities[],3),table_Units[],2)</f>
        <v>Hz</v>
      </c>
      <c r="I1485" s="10"/>
      <c r="J1485" s="10"/>
      <c r="K1485" s="10"/>
      <c r="L1485" s="10">
        <f ca="1">VLOOKUP(dict_DQ_Meth_max[[#This Row],[ID_DataQualities]],table_DataQualities[],8,FALSE)</f>
        <v>0.33900000000000002</v>
      </c>
      <c r="M1485" s="10">
        <f ca="1">VLOOKUP(dict_DQ_Meth_max[[#This Row],[ID_DataQualities]],table_DataQualities[],9,FALSE)</f>
        <v>2407.8000000000002</v>
      </c>
    </row>
    <row r="1486" spans="1:13" x14ac:dyDescent="0.45">
      <c r="A1486" s="10">
        <v>397</v>
      </c>
      <c r="B1486" s="10">
        <v>60</v>
      </c>
      <c r="C148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6" s="10"/>
      <c r="E1486" s="10"/>
      <c r="F1486" s="12">
        <f ca="1">(RANDBETWEEN(0,50)/100)*(dict_DQ_Meth_max[[#This Row],[Vergleich_ub]]-dict_DQ_Meth_max[[#This Row],[Vergleich_lb]])+dict_DQ_Meth_max[[#This Row],[Vergleich_lb]]</f>
        <v>0.24551800000000001</v>
      </c>
      <c r="G1486" s="12">
        <f ca="1">(RANDBETWEEN(50,100)/100)*(dict_DQ_Meth_max[[#This Row],[Vergleich_ub]]-dict_DQ_Meth_max[[#This Row],[Vergleich_lb]])+dict_DQ_Meth_max[[#This Row],[Vergleich_lb]]</f>
        <v>0.77852399999999999</v>
      </c>
      <c r="H1486" s="11" t="str">
        <f ca="1">VLOOKUP(VLOOKUP(dict_DQ_Meth_max[[#This Row],[ID_DataQualities]],table_DataQualities[],3),table_Units[],2)</f>
        <v>+/- cm³/s</v>
      </c>
      <c r="I1486" s="10"/>
      <c r="J1486" s="10"/>
      <c r="K1486" s="10"/>
      <c r="L1486" s="10">
        <f ca="1">VLOOKUP(dict_DQ_Meth_max[[#This Row],[ID_DataQualities]],table_DataQualities[],8,FALSE)</f>
        <v>1.6000000000000001E-3</v>
      </c>
      <c r="M1486" s="10">
        <f ca="1">VLOOKUP(dict_DQ_Meth_max[[#This Row],[ID_DataQualities]],table_DataQualities[],9,FALSE)</f>
        <v>0.90500000000000003</v>
      </c>
    </row>
    <row r="1487" spans="1:13" x14ac:dyDescent="0.45">
      <c r="A1487" s="10">
        <v>397</v>
      </c>
      <c r="B1487" s="10">
        <v>461</v>
      </c>
      <c r="C148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7" s="10"/>
      <c r="E1487" s="10"/>
      <c r="F1487" s="12">
        <f ca="1">(RANDBETWEEN(0,50)/100)*(dict_DQ_Meth_max[[#This Row],[Vergleich_ub]]-dict_DQ_Meth_max[[#This Row],[Vergleich_lb]])+dict_DQ_Meth_max[[#This Row],[Vergleich_lb]]</f>
        <v>0.16421199999999997</v>
      </c>
      <c r="G1487" s="12">
        <f ca="1">(RANDBETWEEN(50,100)/100)*(dict_DQ_Meth_max[[#This Row],[Vergleich_ub]]-dict_DQ_Meth_max[[#This Row],[Vergleich_lb]])+dict_DQ_Meth_max[[#This Row],[Vergleich_lb]]</f>
        <v>0.697218</v>
      </c>
      <c r="H1487" s="11" t="str">
        <f ca="1">VLOOKUP(VLOOKUP(dict_DQ_Meth_max[[#This Row],[ID_DataQualities]],table_DataQualities[],3),table_Units[],2)</f>
        <v>+/- cm³/s</v>
      </c>
      <c r="I1487" s="10"/>
      <c r="J1487" s="10"/>
      <c r="K1487" s="10"/>
      <c r="L1487" s="10">
        <f ca="1">VLOOKUP(dict_DQ_Meth_max[[#This Row],[ID_DataQualities]],table_DataQualities[],8,FALSE)</f>
        <v>1.6000000000000001E-3</v>
      </c>
      <c r="M1487" s="10">
        <f ca="1">VLOOKUP(dict_DQ_Meth_max[[#This Row],[ID_DataQualities]],table_DataQualities[],9,FALSE)</f>
        <v>0.90500000000000003</v>
      </c>
    </row>
    <row r="1488" spans="1:13" x14ac:dyDescent="0.45">
      <c r="A1488" s="10">
        <v>397</v>
      </c>
      <c r="B1488" s="10">
        <v>561</v>
      </c>
      <c r="C148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8" s="10"/>
      <c r="E1488" s="10"/>
      <c r="F1488" s="12">
        <f ca="1">(RANDBETWEEN(0,50)/100)*(dict_DQ_Meth_max[[#This Row],[Vergleich_ub]]-dict_DQ_Meth_max[[#This Row],[Vergleich_lb]])+dict_DQ_Meth_max[[#This Row],[Vergleich_lb]]</f>
        <v>9.1940000000000008E-2</v>
      </c>
      <c r="G1488" s="12">
        <f ca="1">(RANDBETWEEN(50,100)/100)*(dict_DQ_Meth_max[[#This Row],[Vergleich_ub]]-dict_DQ_Meth_max[[#This Row],[Vergleich_lb]])+dict_DQ_Meth_max[[#This Row],[Vergleich_lb]]</f>
        <v>0.71528600000000009</v>
      </c>
      <c r="H1488" s="11" t="str">
        <f ca="1">VLOOKUP(VLOOKUP(dict_DQ_Meth_max[[#This Row],[ID_DataQualities]],table_DataQualities[],3),table_Units[],2)</f>
        <v>+/- cm³/s</v>
      </c>
      <c r="I1488" s="10"/>
      <c r="J1488" s="10"/>
      <c r="K1488" s="10"/>
      <c r="L1488" s="10">
        <f ca="1">VLOOKUP(dict_DQ_Meth_max[[#This Row],[ID_DataQualities]],table_DataQualities[],8,FALSE)</f>
        <v>1.6000000000000001E-3</v>
      </c>
      <c r="M1488" s="10">
        <f ca="1">VLOOKUP(dict_DQ_Meth_max[[#This Row],[ID_DataQualities]],table_DataQualities[],9,FALSE)</f>
        <v>0.90500000000000003</v>
      </c>
    </row>
    <row r="1489" spans="1:13" x14ac:dyDescent="0.45">
      <c r="A1489" s="10">
        <v>397</v>
      </c>
      <c r="B1489" s="10">
        <v>158</v>
      </c>
      <c r="C148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89" s="10"/>
      <c r="E1489" s="10"/>
      <c r="F1489" s="12">
        <f ca="1">(RANDBETWEEN(0,50)/100)*(dict_DQ_Meth_max[[#This Row],[Vergleich_ub]]-dict_DQ_Meth_max[[#This Row],[Vergleich_lb]])+dict_DQ_Meth_max[[#This Row],[Vergleich_lb]]</f>
        <v>1.0634000000000001E-2</v>
      </c>
      <c r="G1489" s="12">
        <f ca="1">(RANDBETWEEN(50,100)/100)*(dict_DQ_Meth_max[[#This Row],[Vergleich_ub]]-dict_DQ_Meth_max[[#This Row],[Vergleich_lb]])+dict_DQ_Meth_max[[#This Row],[Vergleich_lb]]</f>
        <v>0.47136800000000001</v>
      </c>
      <c r="H1489" s="11" t="str">
        <f ca="1">VLOOKUP(VLOOKUP(dict_DQ_Meth_max[[#This Row],[ID_DataQualities]],table_DataQualities[],3),table_Units[],2)</f>
        <v>+/- cm³/s</v>
      </c>
      <c r="I1489" s="10"/>
      <c r="J1489" s="10"/>
      <c r="K1489" s="10"/>
      <c r="L1489" s="10">
        <f ca="1">VLOOKUP(dict_DQ_Meth_max[[#This Row],[ID_DataQualities]],table_DataQualities[],8,FALSE)</f>
        <v>1.6000000000000001E-3</v>
      </c>
      <c r="M1489" s="10">
        <f ca="1">VLOOKUP(dict_DQ_Meth_max[[#This Row],[ID_DataQualities]],table_DataQualities[],9,FALSE)</f>
        <v>0.90500000000000003</v>
      </c>
    </row>
    <row r="1490" spans="1:13" x14ac:dyDescent="0.45">
      <c r="A1490" s="10">
        <v>398</v>
      </c>
      <c r="B1490" s="10">
        <v>425</v>
      </c>
      <c r="C149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0" s="10"/>
      <c r="E1490" s="10"/>
      <c r="F1490" s="12">
        <f ca="1">(RANDBETWEEN(0,50)/100)*(dict_DQ_Meth_max[[#This Row],[Vergleich_ub]]-dict_DQ_Meth_max[[#This Row],[Vergleich_lb]])+dict_DQ_Meth_max[[#This Row],[Vergleich_lb]]</f>
        <v>0.75</v>
      </c>
      <c r="G1490" s="12">
        <f ca="1">(RANDBETWEEN(50,100)/100)*(dict_DQ_Meth_max[[#This Row],[Vergleich_ub]]-dict_DQ_Meth_max[[#This Row],[Vergleich_lb]])+dict_DQ_Meth_max[[#This Row],[Vergleich_lb]]</f>
        <v>1928.8305</v>
      </c>
      <c r="H1490" s="11" t="str">
        <f ca="1">VLOOKUP(VLOOKUP(dict_DQ_Meth_max[[#This Row],[ID_DataQualities]],table_DataQualities[],3),table_Units[],2)</f>
        <v>Hz</v>
      </c>
      <c r="I1490" s="10"/>
      <c r="J1490" s="10"/>
      <c r="K1490" s="10"/>
      <c r="L1490" s="10">
        <f ca="1">VLOOKUP(dict_DQ_Meth_max[[#This Row],[ID_DataQualities]],table_DataQualities[],8,FALSE)</f>
        <v>0.75</v>
      </c>
      <c r="M1490" s="10">
        <f ca="1">VLOOKUP(dict_DQ_Meth_max[[#This Row],[ID_DataQualities]],table_DataQualities[],9,FALSE)</f>
        <v>3781.3</v>
      </c>
    </row>
    <row r="1491" spans="1:13" x14ac:dyDescent="0.45">
      <c r="A1491" s="10">
        <v>398</v>
      </c>
      <c r="B1491" s="10">
        <v>362</v>
      </c>
      <c r="C149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1" s="10"/>
      <c r="E1491" s="10"/>
      <c r="F1491" s="12">
        <f ca="1">(RANDBETWEEN(0,50)/100)*(dict_DQ_Meth_max[[#This Row],[Vergleich_ub]]-dict_DQ_Meth_max[[#This Row],[Vergleich_lb]])+dict_DQ_Meth_max[[#This Row],[Vergleich_lb]]</f>
        <v>189.77750000000003</v>
      </c>
      <c r="G1491" s="12">
        <f ca="1">(RANDBETWEEN(50,100)/100)*(dict_DQ_Meth_max[[#This Row],[Vergleich_ub]]-dict_DQ_Meth_max[[#This Row],[Vergleich_lb]])+dict_DQ_Meth_max[[#This Row],[Vergleich_lb]]</f>
        <v>3327.634</v>
      </c>
      <c r="H1491" s="11" t="str">
        <f ca="1">VLOOKUP(VLOOKUP(dict_DQ_Meth_max[[#This Row],[ID_DataQualities]],table_DataQualities[],3),table_Units[],2)</f>
        <v>Hz</v>
      </c>
      <c r="I1491" s="10"/>
      <c r="J1491" s="10"/>
      <c r="K1491" s="10"/>
      <c r="L1491" s="10">
        <f ca="1">VLOOKUP(dict_DQ_Meth_max[[#This Row],[ID_DataQualities]],table_DataQualities[],8,FALSE)</f>
        <v>0.75</v>
      </c>
      <c r="M1491" s="10">
        <f ca="1">VLOOKUP(dict_DQ_Meth_max[[#This Row],[ID_DataQualities]],table_DataQualities[],9,FALSE)</f>
        <v>3781.3</v>
      </c>
    </row>
    <row r="1492" spans="1:13" x14ac:dyDescent="0.45">
      <c r="A1492" s="10">
        <v>398</v>
      </c>
      <c r="B1492" s="10">
        <v>129</v>
      </c>
      <c r="C149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2" s="10"/>
      <c r="E1492" s="10"/>
      <c r="F1492" s="12">
        <f ca="1">(RANDBETWEEN(0,50)/100)*(dict_DQ_Meth_max[[#This Row],[Vergleich_ub]]-dict_DQ_Meth_max[[#This Row],[Vergleich_lb]])+dict_DQ_Meth_max[[#This Row],[Vergleich_lb]]</f>
        <v>756.86000000000013</v>
      </c>
      <c r="G1492" s="12">
        <f ca="1">(RANDBETWEEN(50,100)/100)*(dict_DQ_Meth_max[[#This Row],[Vergleich_ub]]-dict_DQ_Meth_max[[#This Row],[Vergleich_lb]])+dict_DQ_Meth_max[[#This Row],[Vergleich_lb]]</f>
        <v>3630.078</v>
      </c>
      <c r="H1492" s="10"/>
      <c r="I1492" s="10"/>
      <c r="J1492" s="10"/>
      <c r="K1492" s="10"/>
      <c r="L1492" s="10">
        <f ca="1">VLOOKUP(dict_DQ_Meth_max[[#This Row],[ID_DataQualities]],table_DataQualities[],8,FALSE)</f>
        <v>0.75</v>
      </c>
      <c r="M1492" s="10">
        <f ca="1">VLOOKUP(dict_DQ_Meth_max[[#This Row],[ID_DataQualities]],table_DataQualities[],9,FALSE)</f>
        <v>3781.3</v>
      </c>
    </row>
    <row r="1493" spans="1:13" x14ac:dyDescent="0.45">
      <c r="A1493" s="10">
        <v>398</v>
      </c>
      <c r="B1493" s="10">
        <v>542</v>
      </c>
      <c r="C149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3" s="10"/>
      <c r="E1493" s="10"/>
      <c r="F1493" s="12">
        <f ca="1">(RANDBETWEEN(0,50)/100)*(dict_DQ_Meth_max[[#This Row],[Vergleich_ub]]-dict_DQ_Meth_max[[#This Row],[Vergleich_lb]])+dict_DQ_Meth_max[[#This Row],[Vergleich_lb]]</f>
        <v>1210.5260000000001</v>
      </c>
      <c r="G1493" s="12">
        <f ca="1">(RANDBETWEEN(50,100)/100)*(dict_DQ_Meth_max[[#This Row],[Vergleich_ub]]-dict_DQ_Meth_max[[#This Row],[Vergleich_lb]])+dict_DQ_Meth_max[[#This Row],[Vergleich_lb]]</f>
        <v>2155.6635000000001</v>
      </c>
      <c r="H1493" s="10"/>
      <c r="I1493" s="10"/>
      <c r="J1493" s="10"/>
      <c r="K1493" s="10"/>
      <c r="L1493" s="10">
        <f ca="1">VLOOKUP(dict_DQ_Meth_max[[#This Row],[ID_DataQualities]],table_DataQualities[],8,FALSE)</f>
        <v>0.75</v>
      </c>
      <c r="M1493" s="10">
        <f ca="1">VLOOKUP(dict_DQ_Meth_max[[#This Row],[ID_DataQualities]],table_DataQualities[],9,FALSE)</f>
        <v>3781.3</v>
      </c>
    </row>
    <row r="1494" spans="1:13" x14ac:dyDescent="0.45">
      <c r="A1494" s="10">
        <v>399</v>
      </c>
      <c r="B1494" s="10">
        <v>362</v>
      </c>
      <c r="C149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4" s="10"/>
      <c r="E1494" s="10"/>
      <c r="F1494" s="12">
        <f ca="1">(RANDBETWEEN(0,50)/100)*(dict_DQ_Meth_max[[#This Row],[Vergleich_ub]]-dict_DQ_Meth_max[[#This Row],[Vergleich_lb]])+dict_DQ_Meth_max[[#This Row],[Vergleich_lb]]</f>
        <v>3.9690000000000003E-2</v>
      </c>
      <c r="G1494" s="12">
        <f ca="1">(RANDBETWEEN(50,100)/100)*(dict_DQ_Meth_max[[#This Row],[Vergleich_ub]]-dict_DQ_Meth_max[[#This Row],[Vergleich_lb]])+dict_DQ_Meth_max[[#This Row],[Vergleich_lb]]</f>
        <v>0.10384500000000001</v>
      </c>
      <c r="H1494" s="11" t="str">
        <f ca="1">VLOOKUP(VLOOKUP(dict_DQ_Meth_max[[#This Row],[ID_DataQualities]],table_DataQualities[],3),table_Units[],2)</f>
        <v>+/- cm³/s</v>
      </c>
      <c r="I1494" s="10"/>
      <c r="J1494" s="10"/>
      <c r="K1494" s="10"/>
      <c r="L1494" s="10">
        <f ca="1">VLOOKUP(dict_DQ_Meth_max[[#This Row],[ID_DataQualities]],table_DataQualities[],8,FALSE)</f>
        <v>3.5000000000000001E-3</v>
      </c>
      <c r="M1494" s="10">
        <f ca="1">VLOOKUP(dict_DQ_Meth_max[[#This Row],[ID_DataQualities]],table_DataQualities[],9,FALSE)</f>
        <v>0.16800000000000001</v>
      </c>
    </row>
    <row r="1495" spans="1:13" x14ac:dyDescent="0.45">
      <c r="A1495" s="10">
        <v>399</v>
      </c>
      <c r="B1495" s="10">
        <v>129</v>
      </c>
      <c r="C149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5" s="10"/>
      <c r="E1495" s="10"/>
      <c r="F1495" s="12">
        <f ca="1">(RANDBETWEEN(0,50)/100)*(dict_DQ_Meth_max[[#This Row],[Vergleich_ub]]-dict_DQ_Meth_max[[#This Row],[Vergleich_lb]])+dict_DQ_Meth_max[[#This Row],[Vergleich_lb]]</f>
        <v>3.6400000000000009E-2</v>
      </c>
      <c r="G1495" s="12">
        <f ca="1">(RANDBETWEEN(50,100)/100)*(dict_DQ_Meth_max[[#This Row],[Vergleich_ub]]-dict_DQ_Meth_max[[#This Row],[Vergleich_lb]])+dict_DQ_Meth_max[[#This Row],[Vergleich_lb]]</f>
        <v>0.13674500000000001</v>
      </c>
      <c r="H1495" s="11" t="str">
        <f ca="1">VLOOKUP(VLOOKUP(dict_DQ_Meth_max[[#This Row],[ID_DataQualities]],table_DataQualities[],3),table_Units[],2)</f>
        <v>+/- cm³/s</v>
      </c>
      <c r="I1495" s="10"/>
      <c r="J1495" s="10"/>
      <c r="K1495" s="10"/>
      <c r="L1495" s="10">
        <f ca="1">VLOOKUP(dict_DQ_Meth_max[[#This Row],[ID_DataQualities]],table_DataQualities[],8,FALSE)</f>
        <v>3.5000000000000001E-3</v>
      </c>
      <c r="M1495" s="10">
        <f ca="1">VLOOKUP(dict_DQ_Meth_max[[#This Row],[ID_DataQualities]],table_DataQualities[],9,FALSE)</f>
        <v>0.16800000000000001</v>
      </c>
    </row>
    <row r="1496" spans="1:13" x14ac:dyDescent="0.45">
      <c r="A1496" s="10">
        <v>399</v>
      </c>
      <c r="B1496" s="10">
        <v>425</v>
      </c>
      <c r="C149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6" s="10"/>
      <c r="E1496" s="10"/>
      <c r="F1496" s="12">
        <f ca="1">(RANDBETWEEN(0,50)/100)*(dict_DQ_Meth_max[[#This Row],[Vergleich_ub]]-dict_DQ_Meth_max[[#This Row],[Vergleich_lb]])+dict_DQ_Meth_max[[#This Row],[Vergleich_lb]]</f>
        <v>6.4365000000000006E-2</v>
      </c>
      <c r="G1496" s="12">
        <f ca="1">(RANDBETWEEN(50,100)/100)*(dict_DQ_Meth_max[[#This Row],[Vergleich_ub]]-dict_DQ_Meth_max[[#This Row],[Vergleich_lb]])+dict_DQ_Meth_max[[#This Row],[Vergleich_lb]]</f>
        <v>8.9040000000000008E-2</v>
      </c>
      <c r="H1496" s="10"/>
      <c r="I1496" s="10"/>
      <c r="J1496" s="10"/>
      <c r="K1496" s="10"/>
      <c r="L1496" s="10">
        <f ca="1">VLOOKUP(dict_DQ_Meth_max[[#This Row],[ID_DataQualities]],table_DataQualities[],8,FALSE)</f>
        <v>3.5000000000000001E-3</v>
      </c>
      <c r="M1496" s="10">
        <f ca="1">VLOOKUP(dict_DQ_Meth_max[[#This Row],[ID_DataQualities]],table_DataQualities[],9,FALSE)</f>
        <v>0.16800000000000001</v>
      </c>
    </row>
    <row r="1497" spans="1:13" x14ac:dyDescent="0.45">
      <c r="A1497" s="10">
        <v>399</v>
      </c>
      <c r="B1497" s="10">
        <v>542</v>
      </c>
      <c r="C149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7" s="10"/>
      <c r="E1497" s="10"/>
      <c r="F1497" s="12">
        <f ca="1">(RANDBETWEEN(0,50)/100)*(dict_DQ_Meth_max[[#This Row],[Vergleich_ub]]-dict_DQ_Meth_max[[#This Row],[Vergleich_lb]])+dict_DQ_Meth_max[[#This Row],[Vergleich_lb]]</f>
        <v>4.7915000000000006E-2</v>
      </c>
      <c r="G1497" s="12">
        <f ca="1">(RANDBETWEEN(50,100)/100)*(dict_DQ_Meth_max[[#This Row],[Vergleich_ub]]-dict_DQ_Meth_max[[#This Row],[Vergleich_lb]])+dict_DQ_Meth_max[[#This Row],[Vergleich_lb]]</f>
        <v>0.13674500000000001</v>
      </c>
      <c r="H1497" s="11" t="str">
        <f ca="1">VLOOKUP(VLOOKUP(dict_DQ_Meth_max[[#This Row],[ID_DataQualities]],table_DataQualities[],3),table_Units[],2)</f>
        <v>+/- cm³/s</v>
      </c>
      <c r="I1497" s="10"/>
      <c r="J1497" s="10"/>
      <c r="K1497" s="10"/>
      <c r="L1497" s="10">
        <f ca="1">VLOOKUP(dict_DQ_Meth_max[[#This Row],[ID_DataQualities]],table_DataQualities[],8,FALSE)</f>
        <v>3.5000000000000001E-3</v>
      </c>
      <c r="M1497" s="10">
        <f ca="1">VLOOKUP(dict_DQ_Meth_max[[#This Row],[ID_DataQualities]],table_DataQualities[],9,FALSE)</f>
        <v>0.16800000000000001</v>
      </c>
    </row>
    <row r="1498" spans="1:13" x14ac:dyDescent="0.45">
      <c r="A1498" s="10">
        <v>400</v>
      </c>
      <c r="B1498" s="10">
        <v>13</v>
      </c>
      <c r="C149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8" s="10"/>
      <c r="E1498" s="10"/>
      <c r="F1498" s="12">
        <f ca="1">(RANDBETWEEN(0,50)/100)*(dict_DQ_Meth_max[[#This Row],[Vergleich_ub]]-dict_DQ_Meth_max[[#This Row],[Vergleich_lb]])+dict_DQ_Meth_max[[#This Row],[Vergleich_lb]]</f>
        <v>173.49034</v>
      </c>
      <c r="G1498" s="12">
        <f ca="1">(RANDBETWEEN(50,100)/100)*(dict_DQ_Meth_max[[#This Row],[Vergleich_ub]]-dict_DQ_Meth_max[[#This Row],[Vergleich_lb]])+dict_DQ_Meth_max[[#This Row],[Vergleich_lb]]</f>
        <v>552.47212000000002</v>
      </c>
      <c r="H1498" s="10"/>
      <c r="I1498" s="10"/>
      <c r="J1498" s="10"/>
      <c r="K1498" s="10"/>
      <c r="L1498" s="10">
        <f ca="1">VLOOKUP(dict_DQ_Meth_max[[#This Row],[ID_DataQualities]],table_DataQualities[],8,FALSE)</f>
        <v>5.8000000000000003E-2</v>
      </c>
      <c r="M1498" s="10">
        <f ca="1">VLOOKUP(dict_DQ_Meth_max[[#This Row],[ID_DataQualities]],table_DataQualities[],9,FALSE)</f>
        <v>642.4</v>
      </c>
    </row>
    <row r="1499" spans="1:13" x14ac:dyDescent="0.45">
      <c r="A1499" s="10">
        <v>400</v>
      </c>
      <c r="B1499" s="10">
        <v>669</v>
      </c>
      <c r="C149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499" s="10"/>
      <c r="E1499" s="10"/>
      <c r="F1499" s="12">
        <f ca="1">(RANDBETWEEN(0,50)/100)*(dict_DQ_Meth_max[[#This Row],[Vergleich_ub]]-dict_DQ_Meth_max[[#This Row],[Vergleich_lb]])+dict_DQ_Meth_max[[#This Row],[Vergleich_lb]]</f>
        <v>64.292200000000008</v>
      </c>
      <c r="G1499" s="12">
        <f ca="1">(RANDBETWEEN(50,100)/100)*(dict_DQ_Meth_max[[#This Row],[Vergleich_ub]]-dict_DQ_Meth_max[[#This Row],[Vergleich_lb]])+dict_DQ_Meth_max[[#This Row],[Vergleich_lb]]</f>
        <v>353.34610000000004</v>
      </c>
      <c r="H1499" s="10"/>
      <c r="I1499" s="10"/>
      <c r="J1499" s="10"/>
      <c r="K1499" s="10"/>
      <c r="L1499" s="10">
        <f ca="1">VLOOKUP(dict_DQ_Meth_max[[#This Row],[ID_DataQualities]],table_DataQualities[],8,FALSE)</f>
        <v>5.8000000000000003E-2</v>
      </c>
      <c r="M1499" s="10">
        <f ca="1">VLOOKUP(dict_DQ_Meth_max[[#This Row],[ID_DataQualities]],table_DataQualities[],9,FALSE)</f>
        <v>642.4</v>
      </c>
    </row>
    <row r="1500" spans="1:13" x14ac:dyDescent="0.45">
      <c r="A1500" s="10">
        <v>400</v>
      </c>
      <c r="B1500" s="10">
        <v>352</v>
      </c>
      <c r="C150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0" s="10"/>
      <c r="E1500" s="10"/>
      <c r="F1500" s="12">
        <f ca="1">(RANDBETWEEN(0,50)/100)*(dict_DQ_Meth_max[[#This Row],[Vergleich_ub]]-dict_DQ_Meth_max[[#This Row],[Vergleich_lb]])+dict_DQ_Meth_max[[#This Row],[Vergleich_lb]]</f>
        <v>167.06691999999998</v>
      </c>
      <c r="G1500" s="12">
        <f ca="1">(RANDBETWEEN(50,100)/100)*(dict_DQ_Meth_max[[#This Row],[Vergleich_ub]]-dict_DQ_Meth_max[[#This Row],[Vergleich_lb]])+dict_DQ_Meth_max[[#This Row],[Vergleich_lb]]</f>
        <v>321.22899999999998</v>
      </c>
      <c r="H1500" s="10"/>
      <c r="I1500" s="10"/>
      <c r="J1500" s="10"/>
      <c r="K1500" s="10"/>
      <c r="L1500" s="10">
        <f ca="1">VLOOKUP(dict_DQ_Meth_max[[#This Row],[ID_DataQualities]],table_DataQualities[],8,FALSE)</f>
        <v>5.8000000000000003E-2</v>
      </c>
      <c r="M1500" s="10">
        <f ca="1">VLOOKUP(dict_DQ_Meth_max[[#This Row],[ID_DataQualities]],table_DataQualities[],9,FALSE)</f>
        <v>642.4</v>
      </c>
    </row>
    <row r="1501" spans="1:13" x14ac:dyDescent="0.45">
      <c r="A1501" s="10">
        <v>400</v>
      </c>
      <c r="B1501" s="10">
        <v>52</v>
      </c>
      <c r="C150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1" s="10"/>
      <c r="E1501" s="10"/>
      <c r="F1501" s="12">
        <f ca="1">(RANDBETWEEN(0,50)/100)*(dict_DQ_Meth_max[[#This Row],[Vergleich_ub]]-dict_DQ_Meth_max[[#This Row],[Vergleich_lb]])+dict_DQ_Meth_max[[#This Row],[Vergleich_lb]]</f>
        <v>25.75168</v>
      </c>
      <c r="G1501" s="12">
        <f ca="1">(RANDBETWEEN(50,100)/100)*(dict_DQ_Meth_max[[#This Row],[Vergleich_ub]]-dict_DQ_Meth_max[[#This Row],[Vergleich_lb]])+dict_DQ_Meth_max[[#This Row],[Vergleich_lb]]</f>
        <v>603.85947999999996</v>
      </c>
      <c r="H1501" s="10"/>
      <c r="I1501" s="10"/>
      <c r="J1501" s="10"/>
      <c r="K1501" s="10"/>
      <c r="L1501" s="10">
        <f ca="1">VLOOKUP(dict_DQ_Meth_max[[#This Row],[ID_DataQualities]],table_DataQualities[],8,FALSE)</f>
        <v>5.8000000000000003E-2</v>
      </c>
      <c r="M1501" s="10">
        <f ca="1">VLOOKUP(dict_DQ_Meth_max[[#This Row],[ID_DataQualities]],table_DataQualities[],9,FALSE)</f>
        <v>642.4</v>
      </c>
    </row>
    <row r="1502" spans="1:13" x14ac:dyDescent="0.45">
      <c r="A1502" s="10">
        <v>400</v>
      </c>
      <c r="B1502" s="10">
        <v>25</v>
      </c>
      <c r="C150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2" s="10"/>
      <c r="E1502" s="10"/>
      <c r="F1502" s="12">
        <f ca="1">(RANDBETWEEN(0,50)/100)*(dict_DQ_Meth_max[[#This Row],[Vergleich_ub]]-dict_DQ_Meth_max[[#This Row],[Vergleich_lb]])+dict_DQ_Meth_max[[#This Row],[Vergleich_lb]]</f>
        <v>6.48142</v>
      </c>
      <c r="G1502" s="12">
        <f ca="1">(RANDBETWEEN(50,100)/100)*(dict_DQ_Meth_max[[#This Row],[Vergleich_ub]]-dict_DQ_Meth_max[[#This Row],[Vergleich_lb]])+dict_DQ_Meth_max[[#This Row],[Vergleich_lb]]</f>
        <v>526.77843999999993</v>
      </c>
      <c r="H1502" s="11" t="str">
        <f ca="1">VLOOKUP(VLOOKUP(dict_DQ_Meth_max[[#This Row],[ID_DataQualities]],table_DataQualities[],3),table_Units[],2)</f>
        <v>Hz</v>
      </c>
      <c r="I1502" s="10"/>
      <c r="J1502" s="10"/>
      <c r="K1502" s="10"/>
      <c r="L1502" s="10">
        <f ca="1">VLOOKUP(dict_DQ_Meth_max[[#This Row],[ID_DataQualities]],table_DataQualities[],8,FALSE)</f>
        <v>5.8000000000000003E-2</v>
      </c>
      <c r="M1502" s="10">
        <f ca="1">VLOOKUP(dict_DQ_Meth_max[[#This Row],[ID_DataQualities]],table_DataQualities[],9,FALSE)</f>
        <v>642.4</v>
      </c>
    </row>
    <row r="1503" spans="1:13" x14ac:dyDescent="0.45">
      <c r="A1503" s="10">
        <v>400</v>
      </c>
      <c r="B1503" s="10">
        <v>662</v>
      </c>
      <c r="C150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3" s="10"/>
      <c r="E1503" s="10"/>
      <c r="F1503" s="12">
        <f ca="1">(RANDBETWEEN(0,50)/100)*(dict_DQ_Meth_max[[#This Row],[Vergleich_ub]]-dict_DQ_Meth_max[[#This Row],[Vergleich_lb]])+dict_DQ_Meth_max[[#This Row],[Vergleich_lb]]</f>
        <v>205.60744</v>
      </c>
      <c r="G1503" s="12">
        <f ca="1">(RANDBETWEEN(50,100)/100)*(dict_DQ_Meth_max[[#This Row],[Vergleich_ub]]-dict_DQ_Meth_max[[#This Row],[Vergleich_lb]])+dict_DQ_Meth_max[[#This Row],[Vergleich_lb]]</f>
        <v>391.88661999999999</v>
      </c>
      <c r="H1503" s="11"/>
      <c r="I1503" s="10"/>
      <c r="J1503" s="10"/>
      <c r="K1503" s="10"/>
      <c r="L1503" s="10">
        <f ca="1">VLOOKUP(dict_DQ_Meth_max[[#This Row],[ID_DataQualities]],table_DataQualities[],8,FALSE)</f>
        <v>5.8000000000000003E-2</v>
      </c>
      <c r="M1503" s="10">
        <f ca="1">VLOOKUP(dict_DQ_Meth_max[[#This Row],[ID_DataQualities]],table_DataQualities[],9,FALSE)</f>
        <v>642.4</v>
      </c>
    </row>
    <row r="1504" spans="1:13" x14ac:dyDescent="0.45">
      <c r="A1504" s="10">
        <v>400</v>
      </c>
      <c r="B1504" s="10">
        <v>265</v>
      </c>
      <c r="C150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4" s="10"/>
      <c r="E1504" s="10"/>
      <c r="F1504" s="12">
        <f ca="1">(RANDBETWEEN(0,50)/100)*(dict_DQ_Meth_max[[#This Row],[Vergleich_ub]]-dict_DQ_Meth_max[[#This Row],[Vergleich_lb]])+dict_DQ_Meth_max[[#This Row],[Vergleich_lb]]</f>
        <v>192.76059999999998</v>
      </c>
      <c r="G1504" s="12">
        <f ca="1">(RANDBETWEEN(50,100)/100)*(dict_DQ_Meth_max[[#This Row],[Vergleich_ub]]-dict_DQ_Meth_max[[#This Row],[Vergleich_lb]])+dict_DQ_Meth_max[[#This Row],[Vergleich_lb]]</f>
        <v>597.43606</v>
      </c>
      <c r="H1504" s="11" t="str">
        <f ca="1">VLOOKUP(VLOOKUP(dict_DQ_Meth_max[[#This Row],[ID_DataQualities]],table_DataQualities[],3),table_Units[],2)</f>
        <v>Hz</v>
      </c>
      <c r="I1504" s="10"/>
      <c r="J1504" s="10"/>
      <c r="K1504" s="10"/>
      <c r="L1504" s="10">
        <f ca="1">VLOOKUP(dict_DQ_Meth_max[[#This Row],[ID_DataQualities]],table_DataQualities[],8,FALSE)</f>
        <v>5.8000000000000003E-2</v>
      </c>
      <c r="M1504" s="10">
        <f ca="1">VLOOKUP(dict_DQ_Meth_max[[#This Row],[ID_DataQualities]],table_DataQualities[],9,FALSE)</f>
        <v>642.4</v>
      </c>
    </row>
    <row r="1505" spans="1:13" x14ac:dyDescent="0.45">
      <c r="A1505" s="10">
        <v>400</v>
      </c>
      <c r="B1505" s="10">
        <v>506</v>
      </c>
      <c r="C150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5" s="10"/>
      <c r="E1505" s="10"/>
      <c r="F1505" s="12">
        <f ca="1">(RANDBETWEEN(0,50)/100)*(dict_DQ_Meth_max[[#This Row],[Vergleich_ub]]-dict_DQ_Meth_max[[#This Row],[Vergleich_lb]])+dict_DQ_Meth_max[[#This Row],[Vergleich_lb]]</f>
        <v>224.87769999999998</v>
      </c>
      <c r="G1505" s="12">
        <f ca="1">(RANDBETWEEN(50,100)/100)*(dict_DQ_Meth_max[[#This Row],[Vergleich_ub]]-dict_DQ_Meth_max[[#This Row],[Vergleich_lb]])+dict_DQ_Meth_max[[#This Row],[Vergleich_lb]]</f>
        <v>372.61635999999999</v>
      </c>
      <c r="H1505" s="10" t="str">
        <f ca="1">VLOOKUP(VLOOKUP(dict_DQ_Meth_max[[#This Row],[ID_DataQualities]],table_DataQualities[],3),table_Units[],2)</f>
        <v>Hz</v>
      </c>
      <c r="I1505" s="10"/>
      <c r="J1505" s="10"/>
      <c r="K1505" s="10"/>
      <c r="L1505" s="10">
        <f ca="1">VLOOKUP(dict_DQ_Meth_max[[#This Row],[ID_DataQualities]],table_DataQualities[],8,FALSE)</f>
        <v>5.8000000000000003E-2</v>
      </c>
      <c r="M1505" s="10">
        <f ca="1">VLOOKUP(dict_DQ_Meth_max[[#This Row],[ID_DataQualities]],table_DataQualities[],9,FALSE)</f>
        <v>642.4</v>
      </c>
    </row>
    <row r="1506" spans="1:13" x14ac:dyDescent="0.45">
      <c r="A1506" s="10">
        <v>400</v>
      </c>
      <c r="B1506" s="10">
        <v>43</v>
      </c>
      <c r="C150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6" s="10"/>
      <c r="E1506" s="10"/>
      <c r="F1506" s="12">
        <f ca="1">(RANDBETWEEN(0,50)/100)*(dict_DQ_Meth_max[[#This Row],[Vergleich_ub]]-dict_DQ_Meth_max[[#This Row],[Vergleich_lb]])+dict_DQ_Meth_max[[#This Row],[Vergleich_lb]]</f>
        <v>83.562460000000002</v>
      </c>
      <c r="G1506" s="12">
        <f ca="1">(RANDBETWEEN(50,100)/100)*(dict_DQ_Meth_max[[#This Row],[Vergleich_ub]]-dict_DQ_Meth_max[[#This Row],[Vergleich_lb]])+dict_DQ_Meth_max[[#This Row],[Vergleich_lb]]</f>
        <v>372.61635999999999</v>
      </c>
      <c r="H1506" s="10"/>
      <c r="I1506" s="10"/>
      <c r="J1506" s="10"/>
      <c r="K1506" s="10"/>
      <c r="L1506" s="10">
        <f ca="1">VLOOKUP(dict_DQ_Meth_max[[#This Row],[ID_DataQualities]],table_DataQualities[],8,FALSE)</f>
        <v>5.8000000000000003E-2</v>
      </c>
      <c r="M1506" s="10">
        <f ca="1">VLOOKUP(dict_DQ_Meth_max[[#This Row],[ID_DataQualities]],table_DataQualities[],9,FALSE)</f>
        <v>642.4</v>
      </c>
    </row>
    <row r="1507" spans="1:13" x14ac:dyDescent="0.45">
      <c r="A1507" s="10">
        <v>400</v>
      </c>
      <c r="B1507" s="10">
        <v>260</v>
      </c>
      <c r="C150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7" s="10"/>
      <c r="E1507" s="10"/>
      <c r="F1507" s="12">
        <f ca="1">(RANDBETWEEN(0,50)/100)*(dict_DQ_Meth_max[[#This Row],[Vergleich_ub]]-dict_DQ_Meth_max[[#This Row],[Vergleich_lb]])+dict_DQ_Meth_max[[#This Row],[Vergleich_lb]]</f>
        <v>308.38216</v>
      </c>
      <c r="G1507" s="12">
        <f ca="1">(RANDBETWEEN(50,100)/100)*(dict_DQ_Meth_max[[#This Row],[Vergleich_ub]]-dict_DQ_Meth_max[[#This Row],[Vergleich_lb]])+dict_DQ_Meth_max[[#This Row],[Vergleich_lb]]</f>
        <v>481.81449999999995</v>
      </c>
      <c r="H1507" s="10"/>
      <c r="I1507" s="10"/>
      <c r="J1507" s="10"/>
      <c r="K1507" s="10"/>
      <c r="L1507" s="10">
        <f ca="1">VLOOKUP(dict_DQ_Meth_max[[#This Row],[ID_DataQualities]],table_DataQualities[],8,FALSE)</f>
        <v>5.8000000000000003E-2</v>
      </c>
      <c r="M1507" s="10">
        <f ca="1">VLOOKUP(dict_DQ_Meth_max[[#This Row],[ID_DataQualities]],table_DataQualities[],9,FALSE)</f>
        <v>642.4</v>
      </c>
    </row>
    <row r="1508" spans="1:13" x14ac:dyDescent="0.45">
      <c r="A1508" s="10">
        <v>400</v>
      </c>
      <c r="B1508" s="10">
        <v>510</v>
      </c>
      <c r="C150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8" s="10"/>
      <c r="E1508" s="10"/>
      <c r="F1508" s="12">
        <f ca="1">(RANDBETWEEN(0,50)/100)*(dict_DQ_Meth_max[[#This Row],[Vergleich_ub]]-dict_DQ_Meth_max[[#This Row],[Vergleich_lb]])+dict_DQ_Meth_max[[#This Row],[Vergleich_lb]]</f>
        <v>12.90484</v>
      </c>
      <c r="G1508" s="12">
        <f ca="1">(RANDBETWEEN(50,100)/100)*(dict_DQ_Meth_max[[#This Row],[Vergleich_ub]]-dict_DQ_Meth_max[[#This Row],[Vergleich_lb]])+dict_DQ_Meth_max[[#This Row],[Vergleich_lb]]</f>
        <v>436.85056000000003</v>
      </c>
      <c r="H1508" s="11" t="str">
        <f ca="1">VLOOKUP(VLOOKUP(dict_DQ_Meth_max[[#This Row],[ID_DataQualities]],table_DataQualities[],3),table_Units[],2)</f>
        <v>Hz</v>
      </c>
      <c r="I1508" s="10"/>
      <c r="J1508" s="10"/>
      <c r="K1508" s="10"/>
      <c r="L1508" s="10">
        <f ca="1">VLOOKUP(dict_DQ_Meth_max[[#This Row],[ID_DataQualities]],table_DataQualities[],8,FALSE)</f>
        <v>5.8000000000000003E-2</v>
      </c>
      <c r="M1508" s="10">
        <f ca="1">VLOOKUP(dict_DQ_Meth_max[[#This Row],[ID_DataQualities]],table_DataQualities[],9,FALSE)</f>
        <v>642.4</v>
      </c>
    </row>
    <row r="1509" spans="1:13" x14ac:dyDescent="0.45">
      <c r="A1509" s="10">
        <v>400</v>
      </c>
      <c r="B1509" s="10">
        <v>160</v>
      </c>
      <c r="C150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09" s="10"/>
      <c r="E1509" s="10"/>
      <c r="F1509" s="12">
        <f ca="1">(RANDBETWEEN(0,50)/100)*(dict_DQ_Meth_max[[#This Row],[Vergleich_ub]]-dict_DQ_Meth_max[[#This Row],[Vergleich_lb]])+dict_DQ_Meth_max[[#This Row],[Vergleich_lb]]</f>
        <v>308.38216</v>
      </c>
      <c r="G1509" s="12">
        <f ca="1">(RANDBETWEEN(50,100)/100)*(dict_DQ_Meth_max[[#This Row],[Vergleich_ub]]-dict_DQ_Meth_max[[#This Row],[Vergleich_lb]])+dict_DQ_Meth_max[[#This Row],[Vergleich_lb]]</f>
        <v>417.58030000000002</v>
      </c>
      <c r="H1509" s="10"/>
      <c r="I1509" s="10"/>
      <c r="J1509" s="10"/>
      <c r="K1509" s="10"/>
      <c r="L1509" s="10">
        <f ca="1">VLOOKUP(dict_DQ_Meth_max[[#This Row],[ID_DataQualities]],table_DataQualities[],8,FALSE)</f>
        <v>5.8000000000000003E-2</v>
      </c>
      <c r="M1509" s="10">
        <f ca="1">VLOOKUP(dict_DQ_Meth_max[[#This Row],[ID_DataQualities]],table_DataQualities[],9,FALSE)</f>
        <v>642.4</v>
      </c>
    </row>
    <row r="1510" spans="1:13" x14ac:dyDescent="0.45">
      <c r="A1510" s="10">
        <v>401</v>
      </c>
      <c r="B1510" s="10">
        <v>669</v>
      </c>
      <c r="C151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0" s="10"/>
      <c r="E1510" s="10"/>
      <c r="F1510" s="12">
        <f ca="1">(RANDBETWEEN(0,50)/100)*(dict_DQ_Meth_max[[#This Row],[Vergleich_ub]]-dict_DQ_Meth_max[[#This Row],[Vergleich_lb]])+dict_DQ_Meth_max[[#This Row],[Vergleich_lb]]</f>
        <v>0.54764000000000002</v>
      </c>
      <c r="G1510" s="12">
        <f ca="1">(RANDBETWEEN(50,100)/100)*(dict_DQ_Meth_max[[#This Row],[Vergleich_ub]]-dict_DQ_Meth_max[[#This Row],[Vergleich_lb]])+dict_DQ_Meth_max[[#This Row],[Vergleich_lb]]</f>
        <v>5.3348899999999997</v>
      </c>
      <c r="H1510" s="10"/>
      <c r="I1510" s="10"/>
      <c r="J1510" s="10"/>
      <c r="K1510" s="10"/>
      <c r="L1510" s="10">
        <f ca="1">VLOOKUP(dict_DQ_Meth_max[[#This Row],[ID_DataQualities]],table_DataQualities[],8,FALSE)</f>
        <v>3.6999999999999998E-2</v>
      </c>
      <c r="M1510" s="10">
        <f ca="1">VLOOKUP(dict_DQ_Meth_max[[#This Row],[ID_DataQualities]],table_DataQualities[],9,FALSE)</f>
        <v>6.42</v>
      </c>
    </row>
    <row r="1511" spans="1:13" x14ac:dyDescent="0.45">
      <c r="A1511" s="10">
        <v>401</v>
      </c>
      <c r="B1511" s="10">
        <v>13</v>
      </c>
      <c r="C151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1" s="10"/>
      <c r="E1511" s="10"/>
      <c r="F1511" s="12">
        <f ca="1">(RANDBETWEEN(0,50)/100)*(dict_DQ_Meth_max[[#This Row],[Vergleich_ub]]-dict_DQ_Meth_max[[#This Row],[Vergleich_lb]])+dict_DQ_Meth_max[[#This Row],[Vergleich_lb]]</f>
        <v>3.2284999999999999</v>
      </c>
      <c r="G1511" s="12">
        <f ca="1">(RANDBETWEEN(50,100)/100)*(dict_DQ_Meth_max[[#This Row],[Vergleich_ub]]-dict_DQ_Meth_max[[#This Row],[Vergleich_lb]])+dict_DQ_Meth_max[[#This Row],[Vergleich_lb]]</f>
        <v>5.0795700000000004</v>
      </c>
      <c r="H1511" s="11" t="str">
        <f ca="1">VLOOKUP(VLOOKUP(dict_DQ_Meth_max[[#This Row],[ID_DataQualities]],table_DataQualities[],3),table_Units[],2)</f>
        <v>+/- W</v>
      </c>
      <c r="I1511" s="10"/>
      <c r="J1511" s="10"/>
      <c r="K1511" s="10"/>
      <c r="L1511" s="10">
        <f ca="1">VLOOKUP(dict_DQ_Meth_max[[#This Row],[ID_DataQualities]],table_DataQualities[],8,FALSE)</f>
        <v>3.6999999999999998E-2</v>
      </c>
      <c r="M1511" s="10">
        <f ca="1">VLOOKUP(dict_DQ_Meth_max[[#This Row],[ID_DataQualities]],table_DataQualities[],9,FALSE)</f>
        <v>6.42</v>
      </c>
    </row>
    <row r="1512" spans="1:13" x14ac:dyDescent="0.45">
      <c r="A1512" s="10">
        <v>401</v>
      </c>
      <c r="B1512" s="10">
        <v>352</v>
      </c>
      <c r="C1512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2" s="10"/>
      <c r="E1512" s="10"/>
      <c r="F1512" s="12">
        <f ca="1">(RANDBETWEEN(0,50)/100)*(dict_DQ_Meth_max[[#This Row],[Vergleich_ub]]-dict_DQ_Meth_max[[#This Row],[Vergleich_lb]])+dict_DQ_Meth_max[[#This Row],[Vergleich_lb]]</f>
        <v>2.3348799999999996</v>
      </c>
      <c r="G1512" s="12">
        <f ca="1">(RANDBETWEEN(50,100)/100)*(dict_DQ_Meth_max[[#This Row],[Vergleich_ub]]-dict_DQ_Meth_max[[#This Row],[Vergleich_lb]])+dict_DQ_Meth_max[[#This Row],[Vergleich_lb]]</f>
        <v>6.2923399999999994</v>
      </c>
      <c r="H1512" s="11" t="str">
        <f ca="1">VLOOKUP(VLOOKUP(dict_DQ_Meth_max[[#This Row],[ID_DataQualities]],table_DataQualities[],3),table_Units[],2)</f>
        <v>+/- W</v>
      </c>
      <c r="I1512" s="10"/>
      <c r="J1512" s="10"/>
      <c r="K1512" s="10"/>
      <c r="L1512" s="10">
        <f ca="1">VLOOKUP(dict_DQ_Meth_max[[#This Row],[ID_DataQualities]],table_DataQualities[],8,FALSE)</f>
        <v>3.6999999999999998E-2</v>
      </c>
      <c r="M1512" s="10">
        <f ca="1">VLOOKUP(dict_DQ_Meth_max[[#This Row],[ID_DataQualities]],table_DataQualities[],9,FALSE)</f>
        <v>6.42</v>
      </c>
    </row>
    <row r="1513" spans="1:13" x14ac:dyDescent="0.45">
      <c r="A1513" s="10">
        <v>401</v>
      </c>
      <c r="B1513" s="10">
        <v>260</v>
      </c>
      <c r="C1513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3" s="10"/>
      <c r="E1513" s="10"/>
      <c r="F1513" s="12">
        <f ca="1">(RANDBETWEEN(0,50)/100)*(dict_DQ_Meth_max[[#This Row],[Vergleich_ub]]-dict_DQ_Meth_max[[#This Row],[Vergleich_lb]])+dict_DQ_Meth_max[[#This Row],[Vergleich_lb]]</f>
        <v>0.48381000000000002</v>
      </c>
      <c r="G1513" s="12">
        <f ca="1">(RANDBETWEEN(50,100)/100)*(dict_DQ_Meth_max[[#This Row],[Vergleich_ub]]-dict_DQ_Meth_max[[#This Row],[Vergleich_lb]])+dict_DQ_Meth_max[[#This Row],[Vergleich_lb]]</f>
        <v>6.0370199999999992</v>
      </c>
      <c r="H1513" s="10"/>
      <c r="I1513" s="10"/>
      <c r="J1513" s="10"/>
      <c r="K1513" s="10"/>
      <c r="L1513" s="10">
        <f ca="1">VLOOKUP(dict_DQ_Meth_max[[#This Row],[ID_DataQualities]],table_DataQualities[],8,FALSE)</f>
        <v>3.6999999999999998E-2</v>
      </c>
      <c r="M1513" s="10">
        <f ca="1">VLOOKUP(dict_DQ_Meth_max[[#This Row],[ID_DataQualities]],table_DataQualities[],9,FALSE)</f>
        <v>6.42</v>
      </c>
    </row>
    <row r="1514" spans="1:13" x14ac:dyDescent="0.45">
      <c r="A1514" s="10">
        <v>401</v>
      </c>
      <c r="B1514" s="10">
        <v>43</v>
      </c>
      <c r="C1514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4" s="10"/>
      <c r="E1514" s="10"/>
      <c r="F1514" s="12">
        <f ca="1">(RANDBETWEEN(0,50)/100)*(dict_DQ_Meth_max[[#This Row],[Vergleich_ub]]-dict_DQ_Meth_max[[#This Row],[Vergleich_lb]])+dict_DQ_Meth_max[[#This Row],[Vergleich_lb]]</f>
        <v>1.76041</v>
      </c>
      <c r="G1514" s="12">
        <f ca="1">(RANDBETWEEN(50,100)/100)*(dict_DQ_Meth_max[[#This Row],[Vergleich_ub]]-dict_DQ_Meth_max[[#This Row],[Vergleich_lb]])+dict_DQ_Meth_max[[#This Row],[Vergleich_lb]]</f>
        <v>6.1008499999999994</v>
      </c>
      <c r="H1514" s="11" t="str">
        <f ca="1">VLOOKUP(VLOOKUP(dict_DQ_Meth_max[[#This Row],[ID_DataQualities]],table_DataQualities[],3),table_Units[],2)</f>
        <v>+/- W</v>
      </c>
      <c r="I1514" s="10"/>
      <c r="J1514" s="10"/>
      <c r="K1514" s="10"/>
      <c r="L1514" s="10">
        <f ca="1">VLOOKUP(dict_DQ_Meth_max[[#This Row],[ID_DataQualities]],table_DataQualities[],8,FALSE)</f>
        <v>3.6999999999999998E-2</v>
      </c>
      <c r="M1514" s="10">
        <f ca="1">VLOOKUP(dict_DQ_Meth_max[[#This Row],[ID_DataQualities]],table_DataQualities[],9,FALSE)</f>
        <v>6.42</v>
      </c>
    </row>
    <row r="1515" spans="1:13" x14ac:dyDescent="0.45">
      <c r="A1515" s="10">
        <v>401</v>
      </c>
      <c r="B1515" s="10">
        <v>662</v>
      </c>
      <c r="C1515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5" s="10"/>
      <c r="E1515" s="10"/>
      <c r="F1515" s="12">
        <f ca="1">(RANDBETWEEN(0,50)/100)*(dict_DQ_Meth_max[[#This Row],[Vergleich_ub]]-dict_DQ_Meth_max[[#This Row],[Vergleich_lb]])+dict_DQ_Meth_max[[#This Row],[Vergleich_lb]]</f>
        <v>1.8242400000000001</v>
      </c>
      <c r="G1515" s="12">
        <f ca="1">(RANDBETWEEN(50,100)/100)*(dict_DQ_Meth_max[[#This Row],[Vergleich_ub]]-dict_DQ_Meth_max[[#This Row],[Vergleich_lb]])+dict_DQ_Meth_max[[#This Row],[Vergleich_lb]]</f>
        <v>3.8667999999999996</v>
      </c>
      <c r="H1515" s="10"/>
      <c r="I1515" s="10"/>
      <c r="J1515" s="10"/>
      <c r="K1515" s="10"/>
      <c r="L1515" s="10">
        <f ca="1">VLOOKUP(dict_DQ_Meth_max[[#This Row],[ID_DataQualities]],table_DataQualities[],8,FALSE)</f>
        <v>3.6999999999999998E-2</v>
      </c>
      <c r="M1515" s="10">
        <f ca="1">VLOOKUP(dict_DQ_Meth_max[[#This Row],[ID_DataQualities]],table_DataQualities[],9,FALSE)</f>
        <v>6.42</v>
      </c>
    </row>
    <row r="1516" spans="1:13" x14ac:dyDescent="0.45">
      <c r="A1516" s="10">
        <v>401</v>
      </c>
      <c r="B1516" s="10">
        <v>265</v>
      </c>
      <c r="C1516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6" s="10"/>
      <c r="E1516" s="10"/>
      <c r="F1516" s="12">
        <f ca="1">(RANDBETWEEN(0,50)/100)*(dict_DQ_Meth_max[[#This Row],[Vergleich_ub]]-dict_DQ_Meth_max[[#This Row],[Vergleich_lb]])+dict_DQ_Meth_max[[#This Row],[Vergleich_lb]]</f>
        <v>2.20722</v>
      </c>
      <c r="G1516" s="12">
        <f ca="1">(RANDBETWEEN(50,100)/100)*(dict_DQ_Meth_max[[#This Row],[Vergleich_ub]]-dict_DQ_Meth_max[[#This Row],[Vergleich_lb]])+dict_DQ_Meth_max[[#This Row],[Vergleich_lb]]</f>
        <v>5.1434000000000006</v>
      </c>
      <c r="H1516" s="11" t="str">
        <f ca="1">VLOOKUP(VLOOKUP(dict_DQ_Meth_max[[#This Row],[ID_DataQualities]],table_DataQualities[],3),table_Units[],2)</f>
        <v>+/- W</v>
      </c>
      <c r="I1516" s="10"/>
      <c r="J1516" s="10"/>
      <c r="K1516" s="10"/>
      <c r="L1516" s="10">
        <f ca="1">VLOOKUP(dict_DQ_Meth_max[[#This Row],[ID_DataQualities]],table_DataQualities[],8,FALSE)</f>
        <v>3.6999999999999998E-2</v>
      </c>
      <c r="M1516" s="10">
        <f ca="1">VLOOKUP(dict_DQ_Meth_max[[#This Row],[ID_DataQualities]],table_DataQualities[],9,FALSE)</f>
        <v>6.42</v>
      </c>
    </row>
    <row r="1517" spans="1:13" x14ac:dyDescent="0.45">
      <c r="A1517" s="10">
        <v>401</v>
      </c>
      <c r="B1517" s="10">
        <v>160</v>
      </c>
      <c r="C1517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7" s="10"/>
      <c r="E1517" s="10"/>
      <c r="F1517" s="12">
        <f ca="1">(RANDBETWEEN(0,50)/100)*(dict_DQ_Meth_max[[#This Row],[Vergleich_ub]]-dict_DQ_Meth_max[[#This Row],[Vergleich_lb]])+dict_DQ_Meth_max[[#This Row],[Vergleich_lb]]</f>
        <v>2.5902000000000003</v>
      </c>
      <c r="G1517" s="12">
        <f ca="1">(RANDBETWEEN(50,100)/100)*(dict_DQ_Meth_max[[#This Row],[Vergleich_ub]]-dict_DQ_Meth_max[[#This Row],[Vergleich_lb]])+dict_DQ_Meth_max[[#This Row],[Vergleich_lb]]</f>
        <v>5.7816999999999998</v>
      </c>
      <c r="H1517" s="10"/>
      <c r="I1517" s="10"/>
      <c r="J1517" s="10"/>
      <c r="K1517" s="10"/>
      <c r="L1517" s="10">
        <f ca="1">VLOOKUP(dict_DQ_Meth_max[[#This Row],[ID_DataQualities]],table_DataQualities[],8,FALSE)</f>
        <v>3.6999999999999998E-2</v>
      </c>
      <c r="M1517" s="10">
        <f ca="1">VLOOKUP(dict_DQ_Meth_max[[#This Row],[ID_DataQualities]],table_DataQualities[],9,FALSE)</f>
        <v>6.42</v>
      </c>
    </row>
    <row r="1518" spans="1:13" x14ac:dyDescent="0.45">
      <c r="A1518" s="10">
        <v>401</v>
      </c>
      <c r="B1518" s="10">
        <v>510</v>
      </c>
      <c r="C1518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8" s="10"/>
      <c r="E1518" s="10"/>
      <c r="F1518" s="12">
        <f ca="1">(RANDBETWEEN(0,50)/100)*(dict_DQ_Meth_max[[#This Row],[Vergleich_ub]]-dict_DQ_Meth_max[[#This Row],[Vergleich_lb]])+dict_DQ_Meth_max[[#This Row],[Vergleich_lb]]</f>
        <v>2.4625400000000002</v>
      </c>
      <c r="G1518" s="12">
        <f ca="1">(RANDBETWEEN(50,100)/100)*(dict_DQ_Meth_max[[#This Row],[Vergleich_ub]]-dict_DQ_Meth_max[[#This Row],[Vergleich_lb]])+dict_DQ_Meth_max[[#This Row],[Vergleich_lb]]</f>
        <v>5.1434000000000006</v>
      </c>
      <c r="H1518" s="11" t="str">
        <f ca="1">VLOOKUP(VLOOKUP(dict_DQ_Meth_max[[#This Row],[ID_DataQualities]],table_DataQualities[],3),table_Units[],2)</f>
        <v>+/- W</v>
      </c>
      <c r="I1518" s="10"/>
      <c r="J1518" s="10"/>
      <c r="K1518" s="10"/>
      <c r="L1518" s="10">
        <f ca="1">VLOOKUP(dict_DQ_Meth_max[[#This Row],[ID_DataQualities]],table_DataQualities[],8,FALSE)</f>
        <v>3.6999999999999998E-2</v>
      </c>
      <c r="M1518" s="10">
        <f ca="1">VLOOKUP(dict_DQ_Meth_max[[#This Row],[ID_DataQualities]],table_DataQualities[],9,FALSE)</f>
        <v>6.42</v>
      </c>
    </row>
    <row r="1519" spans="1:13" x14ac:dyDescent="0.45">
      <c r="A1519" s="10">
        <v>401</v>
      </c>
      <c r="B1519" s="10">
        <v>52</v>
      </c>
      <c r="C1519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19" s="10"/>
      <c r="E1519" s="10"/>
      <c r="F1519" s="12">
        <f ca="1">(RANDBETWEEN(0,50)/100)*(dict_DQ_Meth_max[[#This Row],[Vergleich_ub]]-dict_DQ_Meth_max[[#This Row],[Vergleich_lb]])+dict_DQ_Meth_max[[#This Row],[Vergleich_lb]]</f>
        <v>2.9093499999999999</v>
      </c>
      <c r="G1519" s="12">
        <f ca="1">(RANDBETWEEN(50,100)/100)*(dict_DQ_Meth_max[[#This Row],[Vergleich_ub]]-dict_DQ_Meth_max[[#This Row],[Vergleich_lb]])+dict_DQ_Meth_max[[#This Row],[Vergleich_lb]]</f>
        <v>6.1008499999999994</v>
      </c>
      <c r="H1519" s="10"/>
      <c r="I1519" s="10"/>
      <c r="J1519" s="10"/>
      <c r="K1519" s="10"/>
      <c r="L1519" s="10">
        <f ca="1">VLOOKUP(dict_DQ_Meth_max[[#This Row],[ID_DataQualities]],table_DataQualities[],8,FALSE)</f>
        <v>3.6999999999999998E-2</v>
      </c>
      <c r="M1519" s="10">
        <f ca="1">VLOOKUP(dict_DQ_Meth_max[[#This Row],[ID_DataQualities]],table_DataQualities[],9,FALSE)</f>
        <v>6.42</v>
      </c>
    </row>
    <row r="1520" spans="1:13" x14ac:dyDescent="0.45">
      <c r="A1520" s="10">
        <v>401</v>
      </c>
      <c r="B1520" s="10">
        <v>506</v>
      </c>
      <c r="C1520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0" s="10"/>
      <c r="E1520" s="10"/>
      <c r="F1520" s="12">
        <f ca="1">(RANDBETWEEN(0,50)/100)*(dict_DQ_Meth_max[[#This Row],[Vergleich_ub]]-dict_DQ_Meth_max[[#This Row],[Vergleich_lb]])+dict_DQ_Meth_max[[#This Row],[Vergleich_lb]]</f>
        <v>2.01573</v>
      </c>
      <c r="G1520" s="12">
        <f ca="1">(RANDBETWEEN(50,100)/100)*(dict_DQ_Meth_max[[#This Row],[Vergleich_ub]]-dict_DQ_Meth_max[[#This Row],[Vergleich_lb]])+dict_DQ_Meth_max[[#This Row],[Vergleich_lb]]</f>
        <v>3.6753099999999996</v>
      </c>
      <c r="H1520" s="11" t="str">
        <f ca="1">VLOOKUP(VLOOKUP(dict_DQ_Meth_max[[#This Row],[ID_DataQualities]],table_DataQualities[],3),table_Units[],2)</f>
        <v>+/- W</v>
      </c>
      <c r="I1520" s="10"/>
      <c r="J1520" s="10"/>
      <c r="K1520" s="10"/>
      <c r="L1520" s="10">
        <f ca="1">VLOOKUP(dict_DQ_Meth_max[[#This Row],[ID_DataQualities]],table_DataQualities[],8,FALSE)</f>
        <v>3.6999999999999998E-2</v>
      </c>
      <c r="M1520" s="10">
        <f ca="1">VLOOKUP(dict_DQ_Meth_max[[#This Row],[ID_DataQualities]],table_DataQualities[],9,FALSE)</f>
        <v>6.42</v>
      </c>
    </row>
    <row r="1521" spans="1:13" x14ac:dyDescent="0.45">
      <c r="A1521" s="10">
        <v>401</v>
      </c>
      <c r="B1521" s="10">
        <v>25</v>
      </c>
      <c r="C1521" s="10" t="b">
        <f ca="1">IFERROR(IF(AND(VLOOKUP(dict_DQ_Meth_max[[#This Row],[ID_DataQualities]],table_DataQualities[],14,FALSE),MIN(SUMPRODUCT(SUBTOTAL(103,OFFSET(table_Methods[ID],ROW(table_Methods[ID])-MIN(ROW(table_Methods[ID])),,1))*(table_Methods[ID]=dict_DQ_Meth_max[[#This Row],[ID_Methods]])))&gt;0),TRUE,FALSE),FALSE)</f>
        <v>0</v>
      </c>
      <c r="D1521" s="10"/>
      <c r="E1521" s="10"/>
      <c r="F1521" s="12">
        <f ca="1">(RANDBETWEEN(0,50)/100)*(dict_DQ_Meth_max[[#This Row],[Vergleich_ub]]-dict_DQ_Meth_max[[#This Row],[Vergleich_lb]])+dict_DQ_Meth_max[[#This Row],[Vergleich_lb]]</f>
        <v>2.1433900000000001</v>
      </c>
      <c r="G1521" s="12">
        <f ca="1">(RANDBETWEEN(50,100)/100)*(dict_DQ_Meth_max[[#This Row],[Vergleich_ub]]-dict_DQ_Meth_max[[#This Row],[Vergleich_lb]])+dict_DQ_Meth_max[[#This Row],[Vergleich_lb]]</f>
        <v>4.37744</v>
      </c>
      <c r="H1521" s="11" t="str">
        <f ca="1">VLOOKUP(VLOOKUP(dict_DQ_Meth_max[[#This Row],[ID_DataQualities]],table_DataQualities[],3),table_Units[],2)</f>
        <v>+/- W</v>
      </c>
      <c r="I1521" s="10"/>
      <c r="J1521" s="10"/>
      <c r="K1521" s="10"/>
      <c r="L1521" s="10">
        <f ca="1">VLOOKUP(dict_DQ_Meth_max[[#This Row],[ID_DataQualities]],table_DataQualities[],8,FALSE)</f>
        <v>3.6999999999999998E-2</v>
      </c>
      <c r="M1521" s="10">
        <f ca="1">VLOOKUP(dict_DQ_Meth_max[[#This Row],[ID_DataQualities]],table_DataQualities[],9,FALSE)</f>
        <v>6.42</v>
      </c>
    </row>
  </sheetData>
  <conditionalFormatting sqref="G2:G1048576">
    <cfRule type="cellIs" dxfId="46" priority="1" operator="greaterThan">
      <formula>$M2</formula>
    </cfRule>
    <cfRule type="cellIs" dxfId="45" priority="3" operator="lessThan">
      <formula>$F2</formula>
    </cfRule>
  </conditionalFormatting>
  <conditionalFormatting sqref="F2:F1048576">
    <cfRule type="cellIs" dxfId="44" priority="2" operator="lessThan">
      <formula>$L2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G761"/>
  <sheetViews>
    <sheetView workbookViewId="0">
      <selection activeCell="C7" sqref="C7"/>
    </sheetView>
  </sheetViews>
  <sheetFormatPr baseColWidth="10" defaultRowHeight="14.25" x14ac:dyDescent="0.45"/>
  <cols>
    <col min="1" max="1" width="13.06640625" bestFit="1" customWidth="1"/>
    <col min="2" max="2" width="12.9296875" bestFit="1" customWidth="1"/>
    <col min="3" max="3" width="11.9296875" bestFit="1" customWidth="1"/>
    <col min="4" max="4" width="13.86328125" bestFit="1" customWidth="1"/>
    <col min="5" max="5" width="13.73046875" bestFit="1" customWidth="1"/>
    <col min="6" max="6" width="22.86328125" bestFit="1" customWidth="1"/>
    <col min="7" max="7" width="20" bestFit="1" customWidth="1"/>
  </cols>
  <sheetData>
    <row r="1" spans="1:7" x14ac:dyDescent="0.45">
      <c r="A1" t="s">
        <v>26</v>
      </c>
      <c r="B1" t="s">
        <v>27</v>
      </c>
      <c r="C1" t="s">
        <v>66</v>
      </c>
      <c r="D1" t="s">
        <v>342</v>
      </c>
      <c r="E1" t="s">
        <v>343</v>
      </c>
      <c r="F1" t="s">
        <v>344</v>
      </c>
      <c r="G1" t="s">
        <v>345</v>
      </c>
    </row>
    <row r="2" spans="1:7" x14ac:dyDescent="0.45">
      <c r="A2">
        <f ca="1">VLOOKUP(dict_zul_Var_Meth[[#This Row],[ignored_rank]],help_zuord_Var_Meth[],2)</f>
        <v>0</v>
      </c>
      <c r="B2">
        <v>366</v>
      </c>
      <c r="C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">
        <f ca="1">RAND()</f>
        <v>0.99771702290889264</v>
      </c>
      <c r="E2">
        <f ca="1">RANK(dict_zul_Var_Meth[[#This Row],[ignored_rand]],dict_zul_Var_Meth[ignored_rand])</f>
        <v>3</v>
      </c>
      <c r="F2">
        <f ca="1">ROUNDUP(748/200*help_zuord_Var_Meth[[#This Row],[ignored_help_VarsID]],0)+RANDBETWEEN(0,1)-RANDBETWEEN(0,1)</f>
        <v>-1</v>
      </c>
      <c r="G2">
        <v>0</v>
      </c>
    </row>
    <row r="3" spans="1:7" x14ac:dyDescent="0.45">
      <c r="A3">
        <f ca="1">VLOOKUP(dict_zul_Var_Meth[[#This Row],[ignored_rank]],help_zuord_Var_Meth[],2)</f>
        <v>0</v>
      </c>
      <c r="B3">
        <v>189</v>
      </c>
      <c r="C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3">
        <f ca="1">RAND()</f>
        <v>0.99844160400469772</v>
      </c>
      <c r="E3">
        <f ca="1">RANK(dict_zul_Var_Meth[[#This Row],[ignored_rand]],dict_zul_Var_Meth[ignored_rand])</f>
        <v>2</v>
      </c>
      <c r="F3">
        <f ca="1">ROUNDUP(748/200*help_zuord_Var_Meth[[#This Row],[ignored_help_VarsID]],0)+RANDBETWEEN(0,1)-RANDBETWEEN(0,1)</f>
        <v>4</v>
      </c>
      <c r="G3">
        <v>1</v>
      </c>
    </row>
    <row r="4" spans="1:7" x14ac:dyDescent="0.45">
      <c r="A4">
        <f ca="1">VLOOKUP(dict_zul_Var_Meth[[#This Row],[ignored_rank]],help_zuord_Var_Meth[],2)</f>
        <v>0</v>
      </c>
      <c r="B4">
        <v>580</v>
      </c>
      <c r="C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4">
        <f ca="1">RAND()</f>
        <v>0.99897429519550751</v>
      </c>
      <c r="E4">
        <f ca="1">RANK(dict_zul_Var_Meth[[#This Row],[ignored_rand]],dict_zul_Var_Meth[ignored_rand])</f>
        <v>1</v>
      </c>
      <c r="F4">
        <f ca="1">ROUNDUP(748/200*help_zuord_Var_Meth[[#This Row],[ignored_help_VarsID]],0)+RANDBETWEEN(0,1)-RANDBETWEEN(0,1)</f>
        <v>8</v>
      </c>
      <c r="G4">
        <v>2</v>
      </c>
    </row>
    <row r="5" spans="1:7" x14ac:dyDescent="0.45">
      <c r="A5">
        <f ca="1">VLOOKUP(dict_zul_Var_Meth[[#This Row],[ignored_rank]],help_zuord_Var_Meth[],2)</f>
        <v>1</v>
      </c>
      <c r="B5">
        <v>501</v>
      </c>
      <c r="C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5">
        <f ca="1">RAND()</f>
        <v>0.99561020069847239</v>
      </c>
      <c r="E5">
        <f ca="1">RANK(dict_zul_Var_Meth[[#This Row],[ignored_rand]],dict_zul_Var_Meth[ignored_rand])</f>
        <v>5</v>
      </c>
      <c r="F5">
        <f ca="1">ROUNDUP(748/200*help_zuord_Var_Meth[[#This Row],[ignored_help_VarsID]],0)+RANDBETWEEN(0,1)-RANDBETWEEN(0,1)</f>
        <v>12</v>
      </c>
      <c r="G5">
        <v>3</v>
      </c>
    </row>
    <row r="6" spans="1:7" x14ac:dyDescent="0.45">
      <c r="A6">
        <f ca="1">VLOOKUP(dict_zul_Var_Meth[[#This Row],[ignored_rank]],help_zuord_Var_Meth[],2)</f>
        <v>1</v>
      </c>
      <c r="B6">
        <v>106</v>
      </c>
      <c r="C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6">
        <f ca="1">RAND()</f>
        <v>0.99730154293821738</v>
      </c>
      <c r="E6">
        <f ca="1">RANK(dict_zul_Var_Meth[[#This Row],[ignored_rand]],dict_zul_Var_Meth[ignored_rand])</f>
        <v>4</v>
      </c>
      <c r="F6">
        <f ca="1">ROUNDUP(748/200*help_zuord_Var_Meth[[#This Row],[ignored_help_VarsID]],0)+RANDBETWEEN(0,1)-RANDBETWEEN(0,1)</f>
        <v>16</v>
      </c>
      <c r="G6">
        <v>4</v>
      </c>
    </row>
    <row r="7" spans="1:7" x14ac:dyDescent="0.45">
      <c r="A7">
        <f ca="1">VLOOKUP(dict_zul_Var_Meth[[#This Row],[ignored_rank]],help_zuord_Var_Meth[],2)</f>
        <v>1</v>
      </c>
      <c r="B7">
        <v>210</v>
      </c>
      <c r="C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7">
        <f ca="1">RAND()</f>
        <v>0.99447151959975055</v>
      </c>
      <c r="E7">
        <f ca="1">RANK(dict_zul_Var_Meth[[#This Row],[ignored_rand]],dict_zul_Var_Meth[ignored_rand])</f>
        <v>6</v>
      </c>
      <c r="F7">
        <f ca="1">ROUNDUP(748/200*help_zuord_Var_Meth[[#This Row],[ignored_help_VarsID]],0)+RANDBETWEEN(0,1)-RANDBETWEEN(0,1)</f>
        <v>19</v>
      </c>
      <c r="G7">
        <v>5</v>
      </c>
    </row>
    <row r="8" spans="1:7" x14ac:dyDescent="0.45">
      <c r="A8">
        <f ca="1">VLOOKUP(dict_zul_Var_Meth[[#This Row],[ignored_rank]],help_zuord_Var_Meth[],2)</f>
        <v>1</v>
      </c>
      <c r="B8">
        <v>382</v>
      </c>
      <c r="C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8">
        <f ca="1">RAND()</f>
        <v>0.9929570580728635</v>
      </c>
      <c r="E8">
        <f ca="1">RANK(dict_zul_Var_Meth[[#This Row],[ignored_rand]],dict_zul_Var_Meth[ignored_rand])</f>
        <v>7</v>
      </c>
      <c r="F8">
        <f ca="1">ROUNDUP(748/200*help_zuord_Var_Meth[[#This Row],[ignored_help_VarsID]],0)+RANDBETWEEN(0,1)-RANDBETWEEN(0,1)</f>
        <v>23</v>
      </c>
      <c r="G8">
        <v>6</v>
      </c>
    </row>
    <row r="9" spans="1:7" x14ac:dyDescent="0.45">
      <c r="A9" s="3">
        <f ca="1">VLOOKUP(dict_zul_Var_Meth[[#This Row],[ignored_rank]],help_zuord_Var_Meth[],2)</f>
        <v>2</v>
      </c>
      <c r="B9">
        <v>416</v>
      </c>
      <c r="C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9">
        <f ca="1">RAND()</f>
        <v>0.99192236561065128</v>
      </c>
      <c r="E9" s="3">
        <f ca="1">RANK(dict_zul_Var_Meth[[#This Row],[ignored_rand]],dict_zul_Var_Meth[ignored_rand])</f>
        <v>9</v>
      </c>
      <c r="F9">
        <f ca="1">ROUNDUP(748/200*help_zuord_Var_Meth[[#This Row],[ignored_help_VarsID]],0)+RANDBETWEEN(0,1)-RANDBETWEEN(0,1)</f>
        <v>27</v>
      </c>
      <c r="G9">
        <v>7</v>
      </c>
    </row>
    <row r="10" spans="1:7" x14ac:dyDescent="0.45">
      <c r="A10">
        <f ca="1">VLOOKUP(dict_zul_Var_Meth[[#This Row],[ignored_rank]],help_zuord_Var_Meth[],2)</f>
        <v>2</v>
      </c>
      <c r="B10">
        <v>679</v>
      </c>
      <c r="C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0">
        <f ca="1">RAND()</f>
        <v>0.9915536764548657</v>
      </c>
      <c r="E10">
        <f ca="1">RANK(dict_zul_Var_Meth[[#This Row],[ignored_rand]],dict_zul_Var_Meth[ignored_rand])</f>
        <v>10</v>
      </c>
      <c r="F10">
        <f ca="1">ROUNDUP(748/200*help_zuord_Var_Meth[[#This Row],[ignored_help_VarsID]],0)+RANDBETWEEN(0,1)-RANDBETWEEN(0,1)</f>
        <v>29</v>
      </c>
      <c r="G10">
        <v>8</v>
      </c>
    </row>
    <row r="11" spans="1:7" x14ac:dyDescent="0.45">
      <c r="A11">
        <f ca="1">VLOOKUP(dict_zul_Var_Meth[[#This Row],[ignored_rank]],help_zuord_Var_Meth[],2)</f>
        <v>2</v>
      </c>
      <c r="B11">
        <v>108</v>
      </c>
      <c r="C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1">
        <f ca="1">RAND()</f>
        <v>0.99007397840204325</v>
      </c>
      <c r="E11">
        <f ca="1">RANK(dict_zul_Var_Meth[[#This Row],[ignored_rand]],dict_zul_Var_Meth[ignored_rand])</f>
        <v>11</v>
      </c>
      <c r="F11">
        <f ca="1">ROUNDUP(748/200*help_zuord_Var_Meth[[#This Row],[ignored_help_VarsID]],0)+RANDBETWEEN(0,1)-RANDBETWEEN(0,1)</f>
        <v>34</v>
      </c>
      <c r="G11">
        <v>9</v>
      </c>
    </row>
    <row r="12" spans="1:7" x14ac:dyDescent="0.45">
      <c r="A12">
        <f ca="1">VLOOKUP(dict_zul_Var_Meth[[#This Row],[ignored_rank]],help_zuord_Var_Meth[],2)</f>
        <v>2</v>
      </c>
      <c r="B12">
        <v>391</v>
      </c>
      <c r="C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2">
        <f ca="1">RAND()</f>
        <v>0.99251692892958676</v>
      </c>
      <c r="E12">
        <f ca="1">RANK(dict_zul_Var_Meth[[#This Row],[ignored_rand]],dict_zul_Var_Meth[ignored_rand])</f>
        <v>8</v>
      </c>
      <c r="F12">
        <f ca="1">ROUNDUP(748/200*help_zuord_Var_Meth[[#This Row],[ignored_help_VarsID]],0)+RANDBETWEEN(0,1)-RANDBETWEEN(0,1)</f>
        <v>38</v>
      </c>
      <c r="G12">
        <v>10</v>
      </c>
    </row>
    <row r="13" spans="1:7" x14ac:dyDescent="0.45">
      <c r="A13">
        <f ca="1">VLOOKUP(dict_zul_Var_Meth[[#This Row],[ignored_rank]],help_zuord_Var_Meth[],2)</f>
        <v>3</v>
      </c>
      <c r="B13">
        <v>315</v>
      </c>
      <c r="C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3">
        <f ca="1">RAND()</f>
        <v>0.98581605956448781</v>
      </c>
      <c r="E13">
        <f ca="1">RANK(dict_zul_Var_Meth[[#This Row],[ignored_rand]],dict_zul_Var_Meth[ignored_rand])</f>
        <v>14</v>
      </c>
      <c r="F13">
        <f ca="1">ROUNDUP(748/200*help_zuord_Var_Meth[[#This Row],[ignored_help_VarsID]],0)+RANDBETWEEN(0,1)-RANDBETWEEN(0,1)</f>
        <v>42</v>
      </c>
      <c r="G13">
        <v>11</v>
      </c>
    </row>
    <row r="14" spans="1:7" x14ac:dyDescent="0.45">
      <c r="A14">
        <f ca="1">VLOOKUP(dict_zul_Var_Meth[[#This Row],[ignored_rank]],help_zuord_Var_Meth[],2)</f>
        <v>3</v>
      </c>
      <c r="B14">
        <v>87</v>
      </c>
      <c r="C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4">
        <f ca="1">RAND()</f>
        <v>0.98704256373353105</v>
      </c>
      <c r="E14">
        <f ca="1">RANK(dict_zul_Var_Meth[[#This Row],[ignored_rand]],dict_zul_Var_Meth[ignored_rand])</f>
        <v>13</v>
      </c>
      <c r="F14">
        <f ca="1">ROUNDUP(748/200*help_zuord_Var_Meth[[#This Row],[ignored_help_VarsID]],0)+RANDBETWEEN(0,1)-RANDBETWEEN(0,1)</f>
        <v>44</v>
      </c>
      <c r="G14">
        <v>12</v>
      </c>
    </row>
    <row r="15" spans="1:7" x14ac:dyDescent="0.45">
      <c r="A15">
        <f ca="1">VLOOKUP(dict_zul_Var_Meth[[#This Row],[ignored_rank]],help_zuord_Var_Meth[],2)</f>
        <v>3</v>
      </c>
      <c r="B15">
        <v>555</v>
      </c>
      <c r="C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5">
        <f ca="1">RAND()</f>
        <v>0.98508881743456223</v>
      </c>
      <c r="E15">
        <f ca="1">RANK(dict_zul_Var_Meth[[#This Row],[ignored_rand]],dict_zul_Var_Meth[ignored_rand])</f>
        <v>15</v>
      </c>
      <c r="F15">
        <f ca="1">ROUNDUP(748/200*help_zuord_Var_Meth[[#This Row],[ignored_help_VarsID]],0)+RANDBETWEEN(0,1)-RANDBETWEEN(0,1)</f>
        <v>50</v>
      </c>
      <c r="G15">
        <v>13</v>
      </c>
    </row>
    <row r="16" spans="1:7" x14ac:dyDescent="0.45">
      <c r="A16">
        <f ca="1">VLOOKUP(dict_zul_Var_Meth[[#This Row],[ignored_rank]],help_zuord_Var_Meth[],2)</f>
        <v>3</v>
      </c>
      <c r="B16">
        <v>251</v>
      </c>
      <c r="C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6">
        <f ca="1">RAND()</f>
        <v>0.98723906911587878</v>
      </c>
      <c r="E16">
        <f ca="1">RANK(dict_zul_Var_Meth[[#This Row],[ignored_rand]],dict_zul_Var_Meth[ignored_rand])</f>
        <v>12</v>
      </c>
      <c r="F16">
        <f ca="1">ROUNDUP(748/200*help_zuord_Var_Meth[[#This Row],[ignored_help_VarsID]],0)+RANDBETWEEN(0,1)-RANDBETWEEN(0,1)</f>
        <v>52</v>
      </c>
      <c r="G16">
        <v>14</v>
      </c>
    </row>
    <row r="17" spans="1:7" x14ac:dyDescent="0.45">
      <c r="A17">
        <f ca="1">VLOOKUP(dict_zul_Var_Meth[[#This Row],[ignored_rank]],help_zuord_Var_Meth[],2)</f>
        <v>4</v>
      </c>
      <c r="B17">
        <v>1</v>
      </c>
      <c r="C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7">
        <f ca="1">RAND()</f>
        <v>0.98171286052892504</v>
      </c>
      <c r="E17">
        <f ca="1">RANK(dict_zul_Var_Meth[[#This Row],[ignored_rand]],dict_zul_Var_Meth[ignored_rand])</f>
        <v>16</v>
      </c>
      <c r="F17">
        <f ca="1">ROUNDUP(748/200*help_zuord_Var_Meth[[#This Row],[ignored_help_VarsID]],0)+RANDBETWEEN(0,1)-RANDBETWEEN(0,1)</f>
        <v>58</v>
      </c>
      <c r="G17">
        <v>15</v>
      </c>
    </row>
    <row r="18" spans="1:7" x14ac:dyDescent="0.45">
      <c r="A18">
        <f ca="1">VLOOKUP(dict_zul_Var_Meth[[#This Row],[ignored_rank]],help_zuord_Var_Meth[],2)</f>
        <v>4</v>
      </c>
      <c r="B18">
        <v>77</v>
      </c>
      <c r="C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8">
        <f ca="1">RAND()</f>
        <v>0.979916340347181</v>
      </c>
      <c r="E18">
        <f ca="1">RANK(dict_zul_Var_Meth[[#This Row],[ignored_rand]],dict_zul_Var_Meth[ignored_rand])</f>
        <v>18</v>
      </c>
      <c r="F18">
        <f ca="1">ROUNDUP(748/200*help_zuord_Var_Meth[[#This Row],[ignored_help_VarsID]],0)+RANDBETWEEN(0,1)-RANDBETWEEN(0,1)</f>
        <v>60</v>
      </c>
      <c r="G18">
        <v>16</v>
      </c>
    </row>
    <row r="19" spans="1:7" x14ac:dyDescent="0.45">
      <c r="A19">
        <f ca="1">VLOOKUP(dict_zul_Var_Meth[[#This Row],[ignored_rank]],help_zuord_Var_Meth[],2)</f>
        <v>4</v>
      </c>
      <c r="B19">
        <v>677</v>
      </c>
      <c r="C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19">
        <f ca="1">RAND()</f>
        <v>0.98123182905593476</v>
      </c>
      <c r="E19">
        <f ca="1">RANK(dict_zul_Var_Meth[[#This Row],[ignored_rand]],dict_zul_Var_Meth[ignored_rand])</f>
        <v>17</v>
      </c>
      <c r="F19">
        <f ca="1">ROUNDUP(748/200*help_zuord_Var_Meth[[#This Row],[ignored_help_VarsID]],0)+RANDBETWEEN(0,1)-RANDBETWEEN(0,1)</f>
        <v>64</v>
      </c>
      <c r="G19">
        <v>17</v>
      </c>
    </row>
    <row r="20" spans="1:7" x14ac:dyDescent="0.45">
      <c r="A20">
        <f ca="1">VLOOKUP(dict_zul_Var_Meth[[#This Row],[ignored_rank]],help_zuord_Var_Meth[],2)</f>
        <v>5</v>
      </c>
      <c r="B20">
        <v>169</v>
      </c>
      <c r="C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0">
        <f ca="1">RAND()</f>
        <v>0.97070705625563836</v>
      </c>
      <c r="E20">
        <f ca="1">RANK(dict_zul_Var_Meth[[#This Row],[ignored_rand]],dict_zul_Var_Meth[ignored_rand])</f>
        <v>22</v>
      </c>
      <c r="F20">
        <f ca="1">ROUNDUP(748/200*help_zuord_Var_Meth[[#This Row],[ignored_help_VarsID]],0)+RANDBETWEEN(0,1)-RANDBETWEEN(0,1)</f>
        <v>69</v>
      </c>
      <c r="G20">
        <v>18</v>
      </c>
    </row>
    <row r="21" spans="1:7" x14ac:dyDescent="0.45">
      <c r="A21">
        <f ca="1">VLOOKUP(dict_zul_Var_Meth[[#This Row],[ignored_rank]],help_zuord_Var_Meth[],2)</f>
        <v>5</v>
      </c>
      <c r="B21">
        <v>185</v>
      </c>
      <c r="C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1">
        <f ca="1">RAND()</f>
        <v>0.97895072640799219</v>
      </c>
      <c r="E21">
        <f ca="1">RANK(dict_zul_Var_Meth[[#This Row],[ignored_rand]],dict_zul_Var_Meth[ignored_rand])</f>
        <v>19</v>
      </c>
      <c r="F21">
        <f ca="1">ROUNDUP(748/200*help_zuord_Var_Meth[[#This Row],[ignored_help_VarsID]],0)+RANDBETWEEN(0,1)-RANDBETWEEN(0,1)</f>
        <v>73</v>
      </c>
      <c r="G21">
        <v>19</v>
      </c>
    </row>
    <row r="22" spans="1:7" x14ac:dyDescent="0.45">
      <c r="A22">
        <f ca="1">VLOOKUP(dict_zul_Var_Meth[[#This Row],[ignored_rank]],help_zuord_Var_Meth[],2)</f>
        <v>5</v>
      </c>
      <c r="B22">
        <v>639</v>
      </c>
      <c r="C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2">
        <f ca="1">RAND()</f>
        <v>0.97568638340576763</v>
      </c>
      <c r="E22">
        <f ca="1">RANK(dict_zul_Var_Meth[[#This Row],[ignored_rand]],dict_zul_Var_Meth[ignored_rand])</f>
        <v>20</v>
      </c>
      <c r="F22">
        <f ca="1">ROUNDUP(748/200*help_zuord_Var_Meth[[#This Row],[ignored_help_VarsID]],0)+RANDBETWEEN(0,1)-RANDBETWEEN(0,1)</f>
        <v>75</v>
      </c>
      <c r="G22">
        <v>20</v>
      </c>
    </row>
    <row r="23" spans="1:7" x14ac:dyDescent="0.45">
      <c r="A23">
        <f ca="1">VLOOKUP(dict_zul_Var_Meth[[#This Row],[ignored_rank]],help_zuord_Var_Meth[],2)</f>
        <v>5</v>
      </c>
      <c r="B23">
        <v>24</v>
      </c>
      <c r="C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3">
        <f ca="1">RAND()</f>
        <v>0.97561925259391746</v>
      </c>
      <c r="E23">
        <f ca="1">RANK(dict_zul_Var_Meth[[#This Row],[ignored_rand]],dict_zul_Var_Meth[ignored_rand])</f>
        <v>21</v>
      </c>
      <c r="F23">
        <f ca="1">ROUNDUP(748/200*help_zuord_Var_Meth[[#This Row],[ignored_help_VarsID]],0)+RANDBETWEEN(0,1)-RANDBETWEEN(0,1)</f>
        <v>79</v>
      </c>
      <c r="G23">
        <v>21</v>
      </c>
    </row>
    <row r="24" spans="1:7" x14ac:dyDescent="0.45">
      <c r="A24">
        <f ca="1">VLOOKUP(dict_zul_Var_Meth[[#This Row],[ignored_rank]],help_zuord_Var_Meth[],2)</f>
        <v>6</v>
      </c>
      <c r="B24">
        <v>80</v>
      </c>
      <c r="C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4">
        <f ca="1">RAND()</f>
        <v>0.96770052652366456</v>
      </c>
      <c r="E24">
        <f ca="1">RANK(dict_zul_Var_Meth[[#This Row],[ignored_rand]],dict_zul_Var_Meth[ignored_rand])</f>
        <v>26</v>
      </c>
      <c r="F24">
        <f ca="1">ROUNDUP(748/200*help_zuord_Var_Meth[[#This Row],[ignored_help_VarsID]],0)+RANDBETWEEN(0,1)-RANDBETWEEN(0,1)</f>
        <v>83</v>
      </c>
      <c r="G24">
        <v>22</v>
      </c>
    </row>
    <row r="25" spans="1:7" x14ac:dyDescent="0.45">
      <c r="A25">
        <f ca="1">VLOOKUP(dict_zul_Var_Meth[[#This Row],[ignored_rank]],help_zuord_Var_Meth[],2)</f>
        <v>6</v>
      </c>
      <c r="B25">
        <v>272</v>
      </c>
      <c r="C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5">
        <f ca="1">RAND()</f>
        <v>0.96817096429680805</v>
      </c>
      <c r="E25">
        <f ca="1">RANK(dict_zul_Var_Meth[[#This Row],[ignored_rand]],dict_zul_Var_Meth[ignored_rand])</f>
        <v>24</v>
      </c>
      <c r="F25">
        <f ca="1">ROUNDUP(748/200*help_zuord_Var_Meth[[#This Row],[ignored_help_VarsID]],0)+RANDBETWEEN(0,1)-RANDBETWEEN(0,1)</f>
        <v>87</v>
      </c>
      <c r="G25">
        <v>23</v>
      </c>
    </row>
    <row r="26" spans="1:7" x14ac:dyDescent="0.45">
      <c r="A26">
        <f ca="1">VLOOKUP(dict_zul_Var_Meth[[#This Row],[ignored_rank]],help_zuord_Var_Meth[],2)</f>
        <v>6</v>
      </c>
      <c r="B26">
        <v>334</v>
      </c>
      <c r="C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6">
        <f ca="1">RAND()</f>
        <v>0.96789072932689058</v>
      </c>
      <c r="E26">
        <f ca="1">RANK(dict_zul_Var_Meth[[#This Row],[ignored_rand]],dict_zul_Var_Meth[ignored_rand])</f>
        <v>25</v>
      </c>
      <c r="F26">
        <f ca="1">ROUNDUP(748/200*help_zuord_Var_Meth[[#This Row],[ignored_help_VarsID]],0)+RANDBETWEEN(0,1)-RANDBETWEEN(0,1)</f>
        <v>90</v>
      </c>
      <c r="G26">
        <v>24</v>
      </c>
    </row>
    <row r="27" spans="1:7" x14ac:dyDescent="0.45">
      <c r="A27">
        <f ca="1">VLOOKUP(dict_zul_Var_Meth[[#This Row],[ignored_rank]],help_zuord_Var_Meth[],2)</f>
        <v>6</v>
      </c>
      <c r="B27">
        <v>646</v>
      </c>
      <c r="C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7">
        <f ca="1">RAND()</f>
        <v>0.96866964630329866</v>
      </c>
      <c r="E27">
        <f ca="1">RANK(dict_zul_Var_Meth[[#This Row],[ignored_rand]],dict_zul_Var_Meth[ignored_rand])</f>
        <v>23</v>
      </c>
      <c r="F27">
        <f ca="1">ROUNDUP(748/200*help_zuord_Var_Meth[[#This Row],[ignored_help_VarsID]],0)+RANDBETWEEN(0,1)-RANDBETWEEN(0,1)</f>
        <v>94</v>
      </c>
      <c r="G27">
        <v>25</v>
      </c>
    </row>
    <row r="28" spans="1:7" x14ac:dyDescent="0.45">
      <c r="A28">
        <f ca="1">VLOOKUP(dict_zul_Var_Meth[[#This Row],[ignored_rank]],help_zuord_Var_Meth[],2)</f>
        <v>7</v>
      </c>
      <c r="B28">
        <v>468</v>
      </c>
      <c r="C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8">
        <f ca="1">RAND()</f>
        <v>0.96455259278442262</v>
      </c>
      <c r="E28">
        <f ca="1">RANK(dict_zul_Var_Meth[[#This Row],[ignored_rand]],dict_zul_Var_Meth[ignored_rand])</f>
        <v>28</v>
      </c>
      <c r="F28">
        <f ca="1">ROUNDUP(748/200*help_zuord_Var_Meth[[#This Row],[ignored_help_VarsID]],0)+RANDBETWEEN(0,1)-RANDBETWEEN(0,1)</f>
        <v>98</v>
      </c>
      <c r="G28">
        <v>26</v>
      </c>
    </row>
    <row r="29" spans="1:7" x14ac:dyDescent="0.45">
      <c r="A29">
        <f ca="1">VLOOKUP(dict_zul_Var_Meth[[#This Row],[ignored_rank]],help_zuord_Var_Meth[],2)</f>
        <v>7</v>
      </c>
      <c r="B29">
        <v>566</v>
      </c>
      <c r="C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1</v>
      </c>
      <c r="D29">
        <f ca="1">RAND()</f>
        <v>0.9654910050163894</v>
      </c>
      <c r="E29">
        <f ca="1">RANK(dict_zul_Var_Meth[[#This Row],[ignored_rand]],dict_zul_Var_Meth[ignored_rand])</f>
        <v>27</v>
      </c>
      <c r="F29">
        <f ca="1">ROUNDUP(748/200*help_zuord_Var_Meth[[#This Row],[ignored_help_VarsID]],0)+RANDBETWEEN(0,1)-RANDBETWEEN(0,1)</f>
        <v>102</v>
      </c>
      <c r="G29">
        <v>27</v>
      </c>
    </row>
    <row r="30" spans="1:7" x14ac:dyDescent="0.45">
      <c r="A30">
        <f ca="1">VLOOKUP(dict_zul_Var_Meth[[#This Row],[ignored_rank]],help_zuord_Var_Meth[],2)</f>
        <v>8</v>
      </c>
      <c r="B30">
        <v>49</v>
      </c>
      <c r="C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">
        <f ca="1">RAND()</f>
        <v>0.96167046211953278</v>
      </c>
      <c r="E30">
        <f ca="1">RANK(dict_zul_Var_Meth[[#This Row],[ignored_rand]],dict_zul_Var_Meth[ignored_rand])</f>
        <v>33</v>
      </c>
      <c r="F30">
        <f ca="1">ROUNDUP(748/200*help_zuord_Var_Meth[[#This Row],[ignored_help_VarsID]],0)+RANDBETWEEN(0,1)-RANDBETWEEN(0,1)</f>
        <v>105</v>
      </c>
      <c r="G30">
        <v>28</v>
      </c>
    </row>
    <row r="31" spans="1:7" x14ac:dyDescent="0.45">
      <c r="A31">
        <f ca="1">VLOOKUP(dict_zul_Var_Meth[[#This Row],[ignored_rank]],help_zuord_Var_Meth[],2)</f>
        <v>8</v>
      </c>
      <c r="B31">
        <v>498</v>
      </c>
      <c r="C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">
        <f ca="1">RAND()</f>
        <v>0.96361246324676686</v>
      </c>
      <c r="E31">
        <f ca="1">RANK(dict_zul_Var_Meth[[#This Row],[ignored_rand]],dict_zul_Var_Meth[ignored_rand])</f>
        <v>29</v>
      </c>
      <c r="F31">
        <f ca="1">ROUNDUP(748/200*help_zuord_Var_Meth[[#This Row],[ignored_help_VarsID]],0)+RANDBETWEEN(0,1)-RANDBETWEEN(0,1)</f>
        <v>109</v>
      </c>
      <c r="G31">
        <v>29</v>
      </c>
    </row>
    <row r="32" spans="1:7" x14ac:dyDescent="0.45">
      <c r="A32">
        <f ca="1">VLOOKUP(dict_zul_Var_Meth[[#This Row],[ignored_rank]],help_zuord_Var_Meth[],2)</f>
        <v>8</v>
      </c>
      <c r="B32">
        <v>635</v>
      </c>
      <c r="C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">
        <f ca="1">RAND()</f>
        <v>0.96293955051283375</v>
      </c>
      <c r="E32">
        <f ca="1">RANK(dict_zul_Var_Meth[[#This Row],[ignored_rand]],dict_zul_Var_Meth[ignored_rand])</f>
        <v>32</v>
      </c>
      <c r="F32">
        <f ca="1">ROUNDUP(748/200*help_zuord_Var_Meth[[#This Row],[ignored_help_VarsID]],0)+RANDBETWEEN(0,1)-RANDBETWEEN(0,1)</f>
        <v>112</v>
      </c>
      <c r="G32">
        <v>30</v>
      </c>
    </row>
    <row r="33" spans="1:7" x14ac:dyDescent="0.45">
      <c r="A33">
        <f ca="1">VLOOKUP(dict_zul_Var_Meth[[#This Row],[ignored_rank]],help_zuord_Var_Meth[],2)</f>
        <v>8</v>
      </c>
      <c r="B33">
        <v>253</v>
      </c>
      <c r="C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">
        <f ca="1">RAND()</f>
        <v>0.96309716184709193</v>
      </c>
      <c r="E33">
        <f ca="1">RANK(dict_zul_Var_Meth[[#This Row],[ignored_rand]],dict_zul_Var_Meth[ignored_rand])</f>
        <v>31</v>
      </c>
      <c r="F33">
        <f ca="1">ROUNDUP(748/200*help_zuord_Var_Meth[[#This Row],[ignored_help_VarsID]],0)+RANDBETWEEN(0,1)-RANDBETWEEN(0,1)</f>
        <v>117</v>
      </c>
      <c r="G33">
        <v>31</v>
      </c>
    </row>
    <row r="34" spans="1:7" x14ac:dyDescent="0.45">
      <c r="A34" s="3">
        <f ca="1">VLOOKUP(dict_zul_Var_Meth[[#This Row],[ignored_rank]],help_zuord_Var_Meth[],2)</f>
        <v>8</v>
      </c>
      <c r="B34">
        <v>48</v>
      </c>
      <c r="C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">
        <f ca="1">RAND()</f>
        <v>0.9631838009896535</v>
      </c>
      <c r="E34" s="3">
        <f ca="1">RANK(dict_zul_Var_Meth[[#This Row],[ignored_rand]],dict_zul_Var_Meth[ignored_rand])</f>
        <v>30</v>
      </c>
      <c r="F34">
        <f ca="1">ROUNDUP(748/200*help_zuord_Var_Meth[[#This Row],[ignored_help_VarsID]],0)+RANDBETWEEN(0,1)-RANDBETWEEN(0,1)</f>
        <v>121</v>
      </c>
      <c r="G34">
        <v>32</v>
      </c>
    </row>
    <row r="35" spans="1:7" x14ac:dyDescent="0.45">
      <c r="A35">
        <f ca="1">VLOOKUP(dict_zul_Var_Meth[[#This Row],[ignored_rank]],help_zuord_Var_Meth[],2)</f>
        <v>9</v>
      </c>
      <c r="B35">
        <v>268</v>
      </c>
      <c r="C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">
        <f ca="1">RAND()</f>
        <v>0.9573358735188443</v>
      </c>
      <c r="E35">
        <f ca="1">RANK(dict_zul_Var_Meth[[#This Row],[ignored_rand]],dict_zul_Var_Meth[ignored_rand])</f>
        <v>35</v>
      </c>
      <c r="F35">
        <f ca="1">ROUNDUP(748/200*help_zuord_Var_Meth[[#This Row],[ignored_help_VarsID]],0)+RANDBETWEEN(0,1)-RANDBETWEEN(0,1)</f>
        <v>124</v>
      </c>
      <c r="G35">
        <v>33</v>
      </c>
    </row>
    <row r="36" spans="1:7" x14ac:dyDescent="0.45">
      <c r="A36">
        <f ca="1">VLOOKUP(dict_zul_Var_Meth[[#This Row],[ignored_rank]],help_zuord_Var_Meth[],2)</f>
        <v>9</v>
      </c>
      <c r="B36">
        <v>394</v>
      </c>
      <c r="C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">
        <f ca="1">RAND()</f>
        <v>0.95559149901225071</v>
      </c>
      <c r="E36">
        <f ca="1">RANK(dict_zul_Var_Meth[[#This Row],[ignored_rand]],dict_zul_Var_Meth[ignored_rand])</f>
        <v>37</v>
      </c>
      <c r="F36">
        <f ca="1">ROUNDUP(748/200*help_zuord_Var_Meth[[#This Row],[ignored_help_VarsID]],0)+RANDBETWEEN(0,1)-RANDBETWEEN(0,1)</f>
        <v>129</v>
      </c>
      <c r="G36">
        <v>34</v>
      </c>
    </row>
    <row r="37" spans="1:7" x14ac:dyDescent="0.45">
      <c r="A37">
        <f ca="1">VLOOKUP(dict_zul_Var_Meth[[#This Row],[ignored_rank]],help_zuord_Var_Meth[],2)</f>
        <v>9</v>
      </c>
      <c r="B37">
        <v>73</v>
      </c>
      <c r="C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">
        <f ca="1">RAND()</f>
        <v>0.95652224818269327</v>
      </c>
      <c r="E37">
        <f ca="1">RANK(dict_zul_Var_Meth[[#This Row],[ignored_rand]],dict_zul_Var_Meth[ignored_rand])</f>
        <v>36</v>
      </c>
      <c r="F37">
        <f ca="1">ROUNDUP(748/200*help_zuord_Var_Meth[[#This Row],[ignored_help_VarsID]],0)+RANDBETWEEN(0,1)-RANDBETWEEN(0,1)</f>
        <v>132</v>
      </c>
      <c r="G37">
        <v>35</v>
      </c>
    </row>
    <row r="38" spans="1:7" x14ac:dyDescent="0.45">
      <c r="A38">
        <f ca="1">VLOOKUP(dict_zul_Var_Meth[[#This Row],[ignored_rank]],help_zuord_Var_Meth[],2)</f>
        <v>9</v>
      </c>
      <c r="B38">
        <v>302</v>
      </c>
      <c r="C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">
        <f ca="1">RAND()</f>
        <v>0.95735379181240177</v>
      </c>
      <c r="E38">
        <f ca="1">RANK(dict_zul_Var_Meth[[#This Row],[ignored_rand]],dict_zul_Var_Meth[ignored_rand])</f>
        <v>34</v>
      </c>
      <c r="F38">
        <f ca="1">ROUNDUP(748/200*help_zuord_Var_Meth[[#This Row],[ignored_help_VarsID]],0)+RANDBETWEEN(0,1)-RANDBETWEEN(0,1)</f>
        <v>135</v>
      </c>
      <c r="G38">
        <v>36</v>
      </c>
    </row>
    <row r="39" spans="1:7" x14ac:dyDescent="0.45">
      <c r="A39">
        <f ca="1">VLOOKUP(dict_zul_Var_Meth[[#This Row],[ignored_rank]],help_zuord_Var_Meth[],2)</f>
        <v>10</v>
      </c>
      <c r="B39">
        <v>558</v>
      </c>
      <c r="C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">
        <f ca="1">RAND()</f>
        <v>0.95485005426750669</v>
      </c>
      <c r="E39">
        <f ca="1">RANK(dict_zul_Var_Meth[[#This Row],[ignored_rand]],dict_zul_Var_Meth[ignored_rand])</f>
        <v>39</v>
      </c>
      <c r="F39">
        <f ca="1">ROUNDUP(748/200*help_zuord_Var_Meth[[#This Row],[ignored_help_VarsID]],0)+RANDBETWEEN(0,1)-RANDBETWEEN(0,1)</f>
        <v>139</v>
      </c>
      <c r="G39">
        <v>37</v>
      </c>
    </row>
    <row r="40" spans="1:7" x14ac:dyDescent="0.45">
      <c r="A40">
        <f ca="1">VLOOKUP(dict_zul_Var_Meth[[#This Row],[ignored_rank]],help_zuord_Var_Meth[],2)</f>
        <v>10</v>
      </c>
      <c r="B40">
        <v>393</v>
      </c>
      <c r="C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">
        <f ca="1">RAND()</f>
        <v>0.9548932790747876</v>
      </c>
      <c r="E40">
        <f ca="1">RANK(dict_zul_Var_Meth[[#This Row],[ignored_rand]],dict_zul_Var_Meth[ignored_rand])</f>
        <v>38</v>
      </c>
      <c r="F40">
        <f ca="1">ROUNDUP(748/200*help_zuord_Var_Meth[[#This Row],[ignored_help_VarsID]],0)+RANDBETWEEN(0,1)-RANDBETWEEN(0,1)</f>
        <v>143</v>
      </c>
      <c r="G40">
        <v>38</v>
      </c>
    </row>
    <row r="41" spans="1:7" x14ac:dyDescent="0.45">
      <c r="A41">
        <f ca="1">VLOOKUP(dict_zul_Var_Meth[[#This Row],[ignored_rank]],help_zuord_Var_Meth[],2)</f>
        <v>10</v>
      </c>
      <c r="B41">
        <v>692</v>
      </c>
      <c r="C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">
        <f ca="1">RAND()</f>
        <v>0.9541234424480215</v>
      </c>
      <c r="E41">
        <f ca="1">RANK(dict_zul_Var_Meth[[#This Row],[ignored_rand]],dict_zul_Var_Meth[ignored_rand])</f>
        <v>41</v>
      </c>
      <c r="F41">
        <f ca="1">ROUNDUP(748/200*help_zuord_Var_Meth[[#This Row],[ignored_help_VarsID]],0)+RANDBETWEEN(0,1)-RANDBETWEEN(0,1)</f>
        <v>147</v>
      </c>
      <c r="G41">
        <v>39</v>
      </c>
    </row>
    <row r="42" spans="1:7" x14ac:dyDescent="0.45">
      <c r="A42">
        <f ca="1">VLOOKUP(dict_zul_Var_Meth[[#This Row],[ignored_rank]],help_zuord_Var_Meth[],2)</f>
        <v>10</v>
      </c>
      <c r="B42">
        <v>667</v>
      </c>
      <c r="C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">
        <f ca="1">RAND()</f>
        <v>0.9546545867959787</v>
      </c>
      <c r="E42">
        <f ca="1">RANK(dict_zul_Var_Meth[[#This Row],[ignored_rand]],dict_zul_Var_Meth[ignored_rand])</f>
        <v>40</v>
      </c>
      <c r="F42">
        <f ca="1">ROUNDUP(748/200*help_zuord_Var_Meth[[#This Row],[ignored_help_VarsID]],0)+RANDBETWEEN(0,1)-RANDBETWEEN(0,1)</f>
        <v>150</v>
      </c>
      <c r="G42">
        <v>40</v>
      </c>
    </row>
    <row r="43" spans="1:7" x14ac:dyDescent="0.45">
      <c r="A43">
        <f ca="1">VLOOKUP(dict_zul_Var_Meth[[#This Row],[ignored_rank]],help_zuord_Var_Meth[],2)</f>
        <v>11</v>
      </c>
      <c r="B43">
        <v>167</v>
      </c>
      <c r="C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">
        <f ca="1">RAND()</f>
        <v>0.95400621674087871</v>
      </c>
      <c r="E43">
        <f ca="1">RANK(dict_zul_Var_Meth[[#This Row],[ignored_rand]],dict_zul_Var_Meth[ignored_rand])</f>
        <v>42</v>
      </c>
      <c r="F43">
        <f ca="1">ROUNDUP(748/200*help_zuord_Var_Meth[[#This Row],[ignored_help_VarsID]],0)+RANDBETWEEN(0,1)-RANDBETWEEN(0,1)</f>
        <v>154</v>
      </c>
      <c r="G43">
        <v>41</v>
      </c>
    </row>
    <row r="44" spans="1:7" x14ac:dyDescent="0.45">
      <c r="A44">
        <f ca="1">VLOOKUP(dict_zul_Var_Meth[[#This Row],[ignored_rank]],help_zuord_Var_Meth[],2)</f>
        <v>11</v>
      </c>
      <c r="B44">
        <v>2</v>
      </c>
      <c r="C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">
        <f ca="1">RAND()</f>
        <v>0.9538278846778887</v>
      </c>
      <c r="E44">
        <f ca="1">RANK(dict_zul_Var_Meth[[#This Row],[ignored_rand]],dict_zul_Var_Meth[ignored_rand])</f>
        <v>43</v>
      </c>
      <c r="F44">
        <f ca="1">ROUNDUP(748/200*help_zuord_Var_Meth[[#This Row],[ignored_help_VarsID]],0)+RANDBETWEEN(0,1)-RANDBETWEEN(0,1)</f>
        <v>158</v>
      </c>
      <c r="G44">
        <v>42</v>
      </c>
    </row>
    <row r="45" spans="1:7" x14ac:dyDescent="0.45">
      <c r="A45" s="3">
        <f ca="1">VLOOKUP(dict_zul_Var_Meth[[#This Row],[ignored_rank]],help_zuord_Var_Meth[],2)</f>
        <v>12</v>
      </c>
      <c r="B45">
        <v>480</v>
      </c>
      <c r="C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">
        <f ca="1">RAND()</f>
        <v>0.95378820920284846</v>
      </c>
      <c r="E45" s="3">
        <f ca="1">RANK(dict_zul_Var_Meth[[#This Row],[ignored_rand]],dict_zul_Var_Meth[ignored_rand])</f>
        <v>44</v>
      </c>
      <c r="F45">
        <f ca="1">ROUNDUP(748/200*help_zuord_Var_Meth[[#This Row],[ignored_help_VarsID]],0)+RANDBETWEEN(0,1)-RANDBETWEEN(0,1)</f>
        <v>160</v>
      </c>
      <c r="G45">
        <v>43</v>
      </c>
    </row>
    <row r="46" spans="1:7" x14ac:dyDescent="0.45">
      <c r="A46">
        <f ca="1">VLOOKUP(dict_zul_Var_Meth[[#This Row],[ignored_rank]],help_zuord_Var_Meth[],2)</f>
        <v>12</v>
      </c>
      <c r="B46">
        <v>588</v>
      </c>
      <c r="C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">
        <f ca="1">RAND()</f>
        <v>0.94818044531580947</v>
      </c>
      <c r="E46">
        <f ca="1">RANK(dict_zul_Var_Meth[[#This Row],[ignored_rand]],dict_zul_Var_Meth[ignored_rand])</f>
        <v>49</v>
      </c>
      <c r="F46">
        <f ca="1">ROUNDUP(748/200*help_zuord_Var_Meth[[#This Row],[ignored_help_VarsID]],0)+RANDBETWEEN(0,1)-RANDBETWEEN(0,1)</f>
        <v>165</v>
      </c>
      <c r="G46">
        <v>44</v>
      </c>
    </row>
    <row r="47" spans="1:7" x14ac:dyDescent="0.45">
      <c r="A47">
        <f ca="1">VLOOKUP(dict_zul_Var_Meth[[#This Row],[ignored_rank]],help_zuord_Var_Meth[],2)</f>
        <v>12</v>
      </c>
      <c r="B47">
        <v>348</v>
      </c>
      <c r="C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">
        <f ca="1">RAND()</f>
        <v>0.95233046455940462</v>
      </c>
      <c r="E47">
        <f ca="1">RANK(dict_zul_Var_Meth[[#This Row],[ignored_rand]],dict_zul_Var_Meth[ignored_rand])</f>
        <v>46</v>
      </c>
      <c r="F47">
        <f ca="1">ROUNDUP(748/200*help_zuord_Var_Meth[[#This Row],[ignored_help_VarsID]],0)+RANDBETWEEN(0,1)-RANDBETWEEN(0,1)</f>
        <v>169</v>
      </c>
      <c r="G47">
        <v>45</v>
      </c>
    </row>
    <row r="48" spans="1:7" x14ac:dyDescent="0.45">
      <c r="A48">
        <f ca="1">VLOOKUP(dict_zul_Var_Meth[[#This Row],[ignored_rank]],help_zuord_Var_Meth[],2)</f>
        <v>12</v>
      </c>
      <c r="B48">
        <v>596</v>
      </c>
      <c r="C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">
        <f ca="1">RAND()</f>
        <v>0.95073978759885691</v>
      </c>
      <c r="E48">
        <f ca="1">RANK(dict_zul_Var_Meth[[#This Row],[ignored_rand]],dict_zul_Var_Meth[ignored_rand])</f>
        <v>47</v>
      </c>
      <c r="F48">
        <f ca="1">ROUNDUP(748/200*help_zuord_Var_Meth[[#This Row],[ignored_help_VarsID]],0)+RANDBETWEEN(0,1)-RANDBETWEEN(0,1)</f>
        <v>172</v>
      </c>
      <c r="G48">
        <v>46</v>
      </c>
    </row>
    <row r="49" spans="1:7" x14ac:dyDescent="0.45">
      <c r="A49">
        <f ca="1">VLOOKUP(dict_zul_Var_Meth[[#This Row],[ignored_rank]],help_zuord_Var_Meth[],2)</f>
        <v>12</v>
      </c>
      <c r="B49">
        <v>131</v>
      </c>
      <c r="C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">
        <f ca="1">RAND()</f>
        <v>0.94951934071515498</v>
      </c>
      <c r="E49">
        <f ca="1">RANK(dict_zul_Var_Meth[[#This Row],[ignored_rand]],dict_zul_Var_Meth[ignored_rand])</f>
        <v>48</v>
      </c>
      <c r="F49">
        <f ca="1">ROUNDUP(748/200*help_zuord_Var_Meth[[#This Row],[ignored_help_VarsID]],0)+RANDBETWEEN(0,1)-RANDBETWEEN(0,1)</f>
        <v>177</v>
      </c>
      <c r="G49">
        <v>47</v>
      </c>
    </row>
    <row r="50" spans="1:7" x14ac:dyDescent="0.45">
      <c r="A50">
        <f ca="1">VLOOKUP(dict_zul_Var_Meth[[#This Row],[ignored_rank]],help_zuord_Var_Meth[],2)</f>
        <v>12</v>
      </c>
      <c r="B50">
        <v>409</v>
      </c>
      <c r="C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">
        <f ca="1">RAND()</f>
        <v>0.95324701344812002</v>
      </c>
      <c r="E50">
        <f ca="1">RANK(dict_zul_Var_Meth[[#This Row],[ignored_rand]],dict_zul_Var_Meth[ignored_rand])</f>
        <v>45</v>
      </c>
      <c r="F50">
        <f ca="1">ROUNDUP(748/200*help_zuord_Var_Meth[[#This Row],[ignored_help_VarsID]],0)+RANDBETWEEN(0,1)-RANDBETWEEN(0,1)</f>
        <v>179</v>
      </c>
      <c r="G50">
        <v>48</v>
      </c>
    </row>
    <row r="51" spans="1:7" x14ac:dyDescent="0.45">
      <c r="A51">
        <f ca="1">VLOOKUP(dict_zul_Var_Meth[[#This Row],[ignored_rank]],help_zuord_Var_Meth[],2)</f>
        <v>13</v>
      </c>
      <c r="B51">
        <v>10</v>
      </c>
      <c r="C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">
        <f ca="1">RAND()</f>
        <v>0.94784955650364744</v>
      </c>
      <c r="E51">
        <f ca="1">RANK(dict_zul_Var_Meth[[#This Row],[ignored_rand]],dict_zul_Var_Meth[ignored_rand])</f>
        <v>51</v>
      </c>
      <c r="F51">
        <f ca="1">ROUNDUP(748/200*help_zuord_Var_Meth[[#This Row],[ignored_help_VarsID]],0)+RANDBETWEEN(0,1)-RANDBETWEEN(0,1)</f>
        <v>183</v>
      </c>
      <c r="G51">
        <v>49</v>
      </c>
    </row>
    <row r="52" spans="1:7" x14ac:dyDescent="0.45">
      <c r="A52">
        <f ca="1">VLOOKUP(dict_zul_Var_Meth[[#This Row],[ignored_rank]],help_zuord_Var_Meth[],2)</f>
        <v>13</v>
      </c>
      <c r="B52">
        <v>314</v>
      </c>
      <c r="C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">
        <f ca="1">RAND()</f>
        <v>0.94815088134928727</v>
      </c>
      <c r="E52">
        <f ca="1">RANK(dict_zul_Var_Meth[[#This Row],[ignored_rand]],dict_zul_Var_Meth[ignored_rand])</f>
        <v>50</v>
      </c>
      <c r="F52">
        <f ca="1">ROUNDUP(748/200*help_zuord_Var_Meth[[#This Row],[ignored_help_VarsID]],0)+RANDBETWEEN(0,1)-RANDBETWEEN(0,1)</f>
        <v>187</v>
      </c>
      <c r="G52">
        <v>50</v>
      </c>
    </row>
    <row r="53" spans="1:7" x14ac:dyDescent="0.45">
      <c r="A53">
        <f ca="1">VLOOKUP(dict_zul_Var_Meth[[#This Row],[ignored_rank]],help_zuord_Var_Meth[],2)</f>
        <v>14</v>
      </c>
      <c r="B53">
        <v>299</v>
      </c>
      <c r="C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">
        <f ca="1">RAND()</f>
        <v>0.93968673406579606</v>
      </c>
      <c r="E53">
        <f ca="1">RANK(dict_zul_Var_Meth[[#This Row],[ignored_rand]],dict_zul_Var_Meth[ignored_rand])</f>
        <v>56</v>
      </c>
      <c r="F53">
        <f ca="1">ROUNDUP(748/200*help_zuord_Var_Meth[[#This Row],[ignored_help_VarsID]],0)+RANDBETWEEN(0,1)-RANDBETWEEN(0,1)</f>
        <v>191</v>
      </c>
      <c r="G53">
        <v>51</v>
      </c>
    </row>
    <row r="54" spans="1:7" x14ac:dyDescent="0.45">
      <c r="A54">
        <f ca="1">VLOOKUP(dict_zul_Var_Meth[[#This Row],[ignored_rank]],help_zuord_Var_Meth[],2)</f>
        <v>14</v>
      </c>
      <c r="B54">
        <v>195</v>
      </c>
      <c r="C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">
        <f ca="1">RAND()</f>
        <v>0.94428003171821695</v>
      </c>
      <c r="E54">
        <f ca="1">RANK(dict_zul_Var_Meth[[#This Row],[ignored_rand]],dict_zul_Var_Meth[ignored_rand])</f>
        <v>54</v>
      </c>
      <c r="F54">
        <f ca="1">ROUNDUP(748/200*help_zuord_Var_Meth[[#This Row],[ignored_help_VarsID]],0)+RANDBETWEEN(0,1)-RANDBETWEEN(0,1)</f>
        <v>196</v>
      </c>
      <c r="G54">
        <v>52</v>
      </c>
    </row>
    <row r="55" spans="1:7" x14ac:dyDescent="0.45">
      <c r="A55">
        <f ca="1">VLOOKUP(dict_zul_Var_Meth[[#This Row],[ignored_rank]],help_zuord_Var_Meth[],2)</f>
        <v>14</v>
      </c>
      <c r="B55">
        <v>147</v>
      </c>
      <c r="C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">
        <f ca="1">RAND()</f>
        <v>0.94032360095337209</v>
      </c>
      <c r="E55">
        <f ca="1">RANK(dict_zul_Var_Meth[[#This Row],[ignored_rand]],dict_zul_Var_Meth[ignored_rand])</f>
        <v>55</v>
      </c>
      <c r="F55">
        <f ca="1">ROUNDUP(748/200*help_zuord_Var_Meth[[#This Row],[ignored_help_VarsID]],0)+RANDBETWEEN(0,1)-RANDBETWEEN(0,1)</f>
        <v>198</v>
      </c>
      <c r="G55">
        <v>53</v>
      </c>
    </row>
    <row r="56" spans="1:7" x14ac:dyDescent="0.45">
      <c r="A56">
        <f ca="1">VLOOKUP(dict_zul_Var_Meth[[#This Row],[ignored_rank]],help_zuord_Var_Meth[],2)</f>
        <v>14</v>
      </c>
      <c r="B56">
        <v>438</v>
      </c>
      <c r="C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">
        <f ca="1">RAND()</f>
        <v>0.94683696134684836</v>
      </c>
      <c r="E56">
        <f ca="1">RANK(dict_zul_Var_Meth[[#This Row],[ignored_rand]],dict_zul_Var_Meth[ignored_rand])</f>
        <v>53</v>
      </c>
      <c r="F56">
        <f ca="1">ROUNDUP(748/200*help_zuord_Var_Meth[[#This Row],[ignored_help_VarsID]],0)+RANDBETWEEN(0,1)-RANDBETWEEN(0,1)</f>
        <v>202</v>
      </c>
      <c r="G56">
        <v>54</v>
      </c>
    </row>
    <row r="57" spans="1:7" x14ac:dyDescent="0.45">
      <c r="A57">
        <f ca="1">VLOOKUP(dict_zul_Var_Meth[[#This Row],[ignored_rank]],help_zuord_Var_Meth[],2)</f>
        <v>14</v>
      </c>
      <c r="B57">
        <v>383</v>
      </c>
      <c r="C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">
        <f ca="1">RAND()</f>
        <v>0.93673002227036228</v>
      </c>
      <c r="E57">
        <f ca="1">RANK(dict_zul_Var_Meth[[#This Row],[ignored_rand]],dict_zul_Var_Meth[ignored_rand])</f>
        <v>57</v>
      </c>
      <c r="F57">
        <f ca="1">ROUNDUP(748/200*help_zuord_Var_Meth[[#This Row],[ignored_help_VarsID]],0)+RANDBETWEEN(0,1)-RANDBETWEEN(0,1)</f>
        <v>206</v>
      </c>
      <c r="G57">
        <v>55</v>
      </c>
    </row>
    <row r="58" spans="1:7" x14ac:dyDescent="0.45">
      <c r="A58">
        <f ca="1">VLOOKUP(dict_zul_Var_Meth[[#This Row],[ignored_rank]],help_zuord_Var_Meth[],2)</f>
        <v>14</v>
      </c>
      <c r="B58">
        <v>660</v>
      </c>
      <c r="C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">
        <f ca="1">RAND()</f>
        <v>0.94743327144154821</v>
      </c>
      <c r="E58">
        <f ca="1">RANK(dict_zul_Var_Meth[[#This Row],[ignored_rand]],dict_zul_Var_Meth[ignored_rand])</f>
        <v>52</v>
      </c>
      <c r="F58">
        <f ca="1">ROUNDUP(748/200*help_zuord_Var_Meth[[#This Row],[ignored_help_VarsID]],0)+RANDBETWEEN(0,1)-RANDBETWEEN(0,1)</f>
        <v>209</v>
      </c>
      <c r="G58">
        <v>56</v>
      </c>
    </row>
    <row r="59" spans="1:7" x14ac:dyDescent="0.45">
      <c r="A59">
        <f ca="1">VLOOKUP(dict_zul_Var_Meth[[#This Row],[ignored_rank]],help_zuord_Var_Meth[],2)</f>
        <v>15</v>
      </c>
      <c r="B59">
        <v>325</v>
      </c>
      <c r="C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">
        <f ca="1">RAND()</f>
        <v>0.9359851846866768</v>
      </c>
      <c r="E59">
        <f ca="1">RANK(dict_zul_Var_Meth[[#This Row],[ignored_rand]],dict_zul_Var_Meth[ignored_rand])</f>
        <v>58</v>
      </c>
      <c r="F59">
        <f ca="1">ROUNDUP(748/200*help_zuord_Var_Meth[[#This Row],[ignored_help_VarsID]],0)+RANDBETWEEN(0,1)-RANDBETWEEN(0,1)</f>
        <v>213</v>
      </c>
      <c r="G59">
        <v>57</v>
      </c>
    </row>
    <row r="60" spans="1:7" x14ac:dyDescent="0.45">
      <c r="A60">
        <f ca="1">VLOOKUP(dict_zul_Var_Meth[[#This Row],[ignored_rank]],help_zuord_Var_Meth[],2)</f>
        <v>15</v>
      </c>
      <c r="B60">
        <v>179</v>
      </c>
      <c r="C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">
        <f ca="1">RAND()</f>
        <v>0.93270726419594907</v>
      </c>
      <c r="E60">
        <f ca="1">RANK(dict_zul_Var_Meth[[#This Row],[ignored_rand]],dict_zul_Var_Meth[ignored_rand])</f>
        <v>59</v>
      </c>
      <c r="F60">
        <f ca="1">ROUNDUP(748/200*help_zuord_Var_Meth[[#This Row],[ignored_help_VarsID]],0)+RANDBETWEEN(0,1)-RANDBETWEEN(0,1)</f>
        <v>218</v>
      </c>
      <c r="G60">
        <v>58</v>
      </c>
    </row>
    <row r="61" spans="1:7" x14ac:dyDescent="0.45">
      <c r="A61">
        <f ca="1">VLOOKUP(dict_zul_Var_Meth[[#This Row],[ignored_rank]],help_zuord_Var_Meth[],2)</f>
        <v>16</v>
      </c>
      <c r="B61">
        <v>6</v>
      </c>
      <c r="C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">
        <f ca="1">RAND()</f>
        <v>0.93150201049613846</v>
      </c>
      <c r="E61">
        <f ca="1">RANK(dict_zul_Var_Meth[[#This Row],[ignored_rand]],dict_zul_Var_Meth[ignored_rand])</f>
        <v>61</v>
      </c>
      <c r="F61">
        <f ca="1">ROUNDUP(748/200*help_zuord_Var_Meth[[#This Row],[ignored_help_VarsID]],0)+RANDBETWEEN(0,1)-RANDBETWEEN(0,1)</f>
        <v>221</v>
      </c>
      <c r="G61">
        <v>59</v>
      </c>
    </row>
    <row r="62" spans="1:7" x14ac:dyDescent="0.45">
      <c r="A62">
        <f ca="1">VLOOKUP(dict_zul_Var_Meth[[#This Row],[ignored_rank]],help_zuord_Var_Meth[],2)</f>
        <v>16</v>
      </c>
      <c r="B62">
        <v>317</v>
      </c>
      <c r="C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">
        <f ca="1">RAND()</f>
        <v>0.92989425859490082</v>
      </c>
      <c r="E62">
        <f ca="1">RANK(dict_zul_Var_Meth[[#This Row],[ignored_rand]],dict_zul_Var_Meth[ignored_rand])</f>
        <v>63</v>
      </c>
      <c r="F62">
        <f ca="1">ROUNDUP(748/200*help_zuord_Var_Meth[[#This Row],[ignored_help_VarsID]],0)+RANDBETWEEN(0,1)-RANDBETWEEN(0,1)</f>
        <v>225</v>
      </c>
      <c r="G62">
        <v>60</v>
      </c>
    </row>
    <row r="63" spans="1:7" x14ac:dyDescent="0.45">
      <c r="A63">
        <f ca="1">VLOOKUP(dict_zul_Var_Meth[[#This Row],[ignored_rank]],help_zuord_Var_Meth[],2)</f>
        <v>16</v>
      </c>
      <c r="B63">
        <v>149</v>
      </c>
      <c r="C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">
        <f ca="1">RAND()</f>
        <v>0.93215288708659205</v>
      </c>
      <c r="E63">
        <f ca="1">RANK(dict_zul_Var_Meth[[#This Row],[ignored_rand]],dict_zul_Var_Meth[ignored_rand])</f>
        <v>60</v>
      </c>
      <c r="F63">
        <f ca="1">ROUNDUP(748/200*help_zuord_Var_Meth[[#This Row],[ignored_help_VarsID]],0)+RANDBETWEEN(0,1)-RANDBETWEEN(0,1)</f>
        <v>229</v>
      </c>
      <c r="G63">
        <v>61</v>
      </c>
    </row>
    <row r="64" spans="1:7" x14ac:dyDescent="0.45">
      <c r="A64">
        <f ca="1">VLOOKUP(dict_zul_Var_Meth[[#This Row],[ignored_rank]],help_zuord_Var_Meth[],2)</f>
        <v>16</v>
      </c>
      <c r="B64">
        <v>562</v>
      </c>
      <c r="C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">
        <f ca="1">RAND()</f>
        <v>0.9314792972992948</v>
      </c>
      <c r="E64">
        <f ca="1">RANK(dict_zul_Var_Meth[[#This Row],[ignored_rand]],dict_zul_Var_Meth[ignored_rand])</f>
        <v>62</v>
      </c>
      <c r="F64">
        <f ca="1">ROUNDUP(748/200*help_zuord_Var_Meth[[#This Row],[ignored_help_VarsID]],0)+RANDBETWEEN(0,1)-RANDBETWEEN(0,1)</f>
        <v>232</v>
      </c>
      <c r="G64">
        <v>62</v>
      </c>
    </row>
    <row r="65" spans="1:7" x14ac:dyDescent="0.45">
      <c r="A65">
        <f ca="1">VLOOKUP(dict_zul_Var_Meth[[#This Row],[ignored_rank]],help_zuord_Var_Meth[],2)</f>
        <v>17</v>
      </c>
      <c r="B65">
        <v>700</v>
      </c>
      <c r="C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">
        <f ca="1">RAND()</f>
        <v>0.92673198940793078</v>
      </c>
      <c r="E65">
        <f ca="1">RANK(dict_zul_Var_Meth[[#This Row],[ignored_rand]],dict_zul_Var_Meth[ignored_rand])</f>
        <v>67</v>
      </c>
      <c r="F65">
        <f ca="1">ROUNDUP(748/200*help_zuord_Var_Meth[[#This Row],[ignored_help_VarsID]],0)+RANDBETWEEN(0,1)-RANDBETWEEN(0,1)</f>
        <v>236</v>
      </c>
      <c r="G65">
        <v>63</v>
      </c>
    </row>
    <row r="66" spans="1:7" x14ac:dyDescent="0.45">
      <c r="A66">
        <f ca="1">VLOOKUP(dict_zul_Var_Meth[[#This Row],[ignored_rank]],help_zuord_Var_Meth[],2)</f>
        <v>17</v>
      </c>
      <c r="B66">
        <v>569</v>
      </c>
      <c r="C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">
        <f ca="1">RAND()</f>
        <v>0.92656645980294505</v>
      </c>
      <c r="E66">
        <f ca="1">RANK(dict_zul_Var_Meth[[#This Row],[ignored_rand]],dict_zul_Var_Meth[ignored_rand])</f>
        <v>68</v>
      </c>
      <c r="F66">
        <f ca="1">ROUNDUP(748/200*help_zuord_Var_Meth[[#This Row],[ignored_help_VarsID]],0)+RANDBETWEEN(0,1)-RANDBETWEEN(0,1)</f>
        <v>241</v>
      </c>
      <c r="G66">
        <v>64</v>
      </c>
    </row>
    <row r="67" spans="1:7" x14ac:dyDescent="0.45">
      <c r="A67">
        <f ca="1">VLOOKUP(dict_zul_Var_Meth[[#This Row],[ignored_rank]],help_zuord_Var_Meth[],2)</f>
        <v>17</v>
      </c>
      <c r="B67">
        <v>18</v>
      </c>
      <c r="C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">
        <f ca="1">RAND()</f>
        <v>0.92921110763450177</v>
      </c>
      <c r="E67">
        <f ca="1">RANK(dict_zul_Var_Meth[[#This Row],[ignored_rand]],dict_zul_Var_Meth[ignored_rand])</f>
        <v>64</v>
      </c>
      <c r="F67">
        <f ca="1">ROUNDUP(748/200*help_zuord_Var_Meth[[#This Row],[ignored_help_VarsID]],0)+RANDBETWEEN(0,1)-RANDBETWEEN(0,1)</f>
        <v>245</v>
      </c>
      <c r="G67">
        <v>65</v>
      </c>
    </row>
    <row r="68" spans="1:7" x14ac:dyDescent="0.45">
      <c r="A68">
        <f ca="1">VLOOKUP(dict_zul_Var_Meth[[#This Row],[ignored_rank]],help_zuord_Var_Meth[],2)</f>
        <v>17</v>
      </c>
      <c r="B68">
        <v>24</v>
      </c>
      <c r="C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">
        <f ca="1">RAND()</f>
        <v>0.92732998469091443</v>
      </c>
      <c r="E68">
        <f ca="1">RANK(dict_zul_Var_Meth[[#This Row],[ignored_rand]],dict_zul_Var_Meth[ignored_rand])</f>
        <v>66</v>
      </c>
      <c r="F68">
        <f ca="1">ROUNDUP(748/200*help_zuord_Var_Meth[[#This Row],[ignored_help_VarsID]],0)+RANDBETWEEN(0,1)-RANDBETWEEN(0,1)</f>
        <v>246</v>
      </c>
      <c r="G68">
        <v>66</v>
      </c>
    </row>
    <row r="69" spans="1:7" x14ac:dyDescent="0.45">
      <c r="A69">
        <f ca="1">VLOOKUP(dict_zul_Var_Meth[[#This Row],[ignored_rank]],help_zuord_Var_Meth[],2)</f>
        <v>17</v>
      </c>
      <c r="B69">
        <v>597</v>
      </c>
      <c r="C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">
        <f ca="1">RAND()</f>
        <v>0.9282463833874407</v>
      </c>
      <c r="E69">
        <f ca="1">RANK(dict_zul_Var_Meth[[#This Row],[ignored_rand]],dict_zul_Var_Meth[ignored_rand])</f>
        <v>65</v>
      </c>
      <c r="F69">
        <f ca="1">ROUNDUP(748/200*help_zuord_Var_Meth[[#This Row],[ignored_help_VarsID]],0)+RANDBETWEEN(0,1)-RANDBETWEEN(0,1)</f>
        <v>251</v>
      </c>
      <c r="G69">
        <v>67</v>
      </c>
    </row>
    <row r="70" spans="1:7" x14ac:dyDescent="0.45">
      <c r="A70">
        <f ca="1">VLOOKUP(dict_zul_Var_Meth[[#This Row],[ignored_rank]],help_zuord_Var_Meth[],2)</f>
        <v>18</v>
      </c>
      <c r="B70">
        <v>467</v>
      </c>
      <c r="C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">
        <f ca="1">RAND()</f>
        <v>0.92036703371788309</v>
      </c>
      <c r="E70">
        <f ca="1">RANK(dict_zul_Var_Meth[[#This Row],[ignored_rand]],dict_zul_Var_Meth[ignored_rand])</f>
        <v>71</v>
      </c>
      <c r="F70">
        <f ca="1">ROUNDUP(748/200*help_zuord_Var_Meth[[#This Row],[ignored_help_VarsID]],0)+RANDBETWEEN(0,1)-RANDBETWEEN(0,1)</f>
        <v>256</v>
      </c>
      <c r="G70">
        <v>68</v>
      </c>
    </row>
    <row r="71" spans="1:7" x14ac:dyDescent="0.45">
      <c r="A71">
        <f ca="1">VLOOKUP(dict_zul_Var_Meth[[#This Row],[ignored_rank]],help_zuord_Var_Meth[],2)</f>
        <v>18</v>
      </c>
      <c r="B71">
        <v>396</v>
      </c>
      <c r="C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">
        <f ca="1">RAND()</f>
        <v>0.92000611094205231</v>
      </c>
      <c r="E71">
        <f ca="1">RANK(dict_zul_Var_Meth[[#This Row],[ignored_rand]],dict_zul_Var_Meth[ignored_rand])</f>
        <v>72</v>
      </c>
      <c r="F71">
        <f ca="1">ROUNDUP(748/200*help_zuord_Var_Meth[[#This Row],[ignored_help_VarsID]],0)+RANDBETWEEN(0,1)-RANDBETWEEN(0,1)</f>
        <v>258</v>
      </c>
      <c r="G71">
        <v>69</v>
      </c>
    </row>
    <row r="72" spans="1:7" x14ac:dyDescent="0.45">
      <c r="A72">
        <f ca="1">VLOOKUP(dict_zul_Var_Meth[[#This Row],[ignored_rank]],help_zuord_Var_Meth[],2)</f>
        <v>18</v>
      </c>
      <c r="B72">
        <v>543</v>
      </c>
      <c r="C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">
        <f ca="1">RAND()</f>
        <v>0.92185758479863189</v>
      </c>
      <c r="E72">
        <f ca="1">RANK(dict_zul_Var_Meth[[#This Row],[ignored_rand]],dict_zul_Var_Meth[ignored_rand])</f>
        <v>70</v>
      </c>
      <c r="F72">
        <f ca="1">ROUNDUP(748/200*help_zuord_Var_Meth[[#This Row],[ignored_help_VarsID]],0)+RANDBETWEEN(0,1)-RANDBETWEEN(0,1)</f>
        <v>261</v>
      </c>
      <c r="G72">
        <v>70</v>
      </c>
    </row>
    <row r="73" spans="1:7" x14ac:dyDescent="0.45">
      <c r="A73">
        <f ca="1">VLOOKUP(dict_zul_Var_Meth[[#This Row],[ignored_rank]],help_zuord_Var_Meth[],2)</f>
        <v>18</v>
      </c>
      <c r="B73">
        <v>292</v>
      </c>
      <c r="C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">
        <f ca="1">RAND()</f>
        <v>0.9258253742266126</v>
      </c>
      <c r="E73">
        <f ca="1">RANK(dict_zul_Var_Meth[[#This Row],[ignored_rand]],dict_zul_Var_Meth[ignored_rand])</f>
        <v>69</v>
      </c>
      <c r="F73">
        <f ca="1">ROUNDUP(748/200*help_zuord_Var_Meth[[#This Row],[ignored_help_VarsID]],0)+RANDBETWEEN(0,1)-RANDBETWEEN(0,1)</f>
        <v>266</v>
      </c>
      <c r="G73">
        <v>71</v>
      </c>
    </row>
    <row r="74" spans="1:7" x14ac:dyDescent="0.45">
      <c r="A74">
        <f ca="1">VLOOKUP(dict_zul_Var_Meth[[#This Row],[ignored_rank]],help_zuord_Var_Meth[],2)</f>
        <v>19</v>
      </c>
      <c r="B74">
        <v>239</v>
      </c>
      <c r="C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">
        <f ca="1">RAND()</f>
        <v>0.91757147717256449</v>
      </c>
      <c r="E74">
        <f ca="1">RANK(dict_zul_Var_Meth[[#This Row],[ignored_rand]],dict_zul_Var_Meth[ignored_rand])</f>
        <v>74</v>
      </c>
      <c r="F74">
        <f ca="1">ROUNDUP(748/200*help_zuord_Var_Meth[[#This Row],[ignored_help_VarsID]],0)+RANDBETWEEN(0,1)-RANDBETWEEN(0,1)</f>
        <v>270</v>
      </c>
      <c r="G74">
        <v>72</v>
      </c>
    </row>
    <row r="75" spans="1:7" x14ac:dyDescent="0.45">
      <c r="A75">
        <f ca="1">VLOOKUP(dict_zul_Var_Meth[[#This Row],[ignored_rank]],help_zuord_Var_Meth[],2)</f>
        <v>19</v>
      </c>
      <c r="B75">
        <v>320</v>
      </c>
      <c r="C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">
        <f ca="1">RAND()</f>
        <v>0.91960424781481143</v>
      </c>
      <c r="E75">
        <f ca="1">RANK(dict_zul_Var_Meth[[#This Row],[ignored_rand]],dict_zul_Var_Meth[ignored_rand])</f>
        <v>73</v>
      </c>
      <c r="F75">
        <f ca="1">ROUNDUP(748/200*help_zuord_Var_Meth[[#This Row],[ignored_help_VarsID]],0)+RANDBETWEEN(0,1)-RANDBETWEEN(0,1)</f>
        <v>274</v>
      </c>
      <c r="G75">
        <v>73</v>
      </c>
    </row>
    <row r="76" spans="1:7" x14ac:dyDescent="0.45">
      <c r="A76">
        <f ca="1">VLOOKUP(dict_zul_Var_Meth[[#This Row],[ignored_rank]],help_zuord_Var_Meth[],2)</f>
        <v>20</v>
      </c>
      <c r="B76">
        <v>154</v>
      </c>
      <c r="C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">
        <f ca="1">RAND()</f>
        <v>0.91081123027064981</v>
      </c>
      <c r="E76">
        <f ca="1">RANK(dict_zul_Var_Meth[[#This Row],[ignored_rand]],dict_zul_Var_Meth[ignored_rand])</f>
        <v>77</v>
      </c>
      <c r="F76">
        <f ca="1">ROUNDUP(748/200*help_zuord_Var_Meth[[#This Row],[ignored_help_VarsID]],0)+RANDBETWEEN(0,1)-RANDBETWEEN(0,1)</f>
        <v>277</v>
      </c>
      <c r="G76">
        <v>74</v>
      </c>
    </row>
    <row r="77" spans="1:7" x14ac:dyDescent="0.45">
      <c r="A77">
        <f ca="1">VLOOKUP(dict_zul_Var_Meth[[#This Row],[ignored_rank]],help_zuord_Var_Meth[],2)</f>
        <v>20</v>
      </c>
      <c r="B77">
        <v>401</v>
      </c>
      <c r="C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7">
        <f ca="1">RAND()</f>
        <v>0.9099793426575058</v>
      </c>
      <c r="E77">
        <f ca="1">RANK(dict_zul_Var_Meth[[#This Row],[ignored_rand]],dict_zul_Var_Meth[ignored_rand])</f>
        <v>78</v>
      </c>
      <c r="F77">
        <f ca="1">ROUNDUP(748/200*help_zuord_Var_Meth[[#This Row],[ignored_help_VarsID]],0)+RANDBETWEEN(0,1)-RANDBETWEEN(0,1)</f>
        <v>280</v>
      </c>
      <c r="G77">
        <v>75</v>
      </c>
    </row>
    <row r="78" spans="1:7" x14ac:dyDescent="0.45">
      <c r="A78">
        <f ca="1">VLOOKUP(dict_zul_Var_Meth[[#This Row],[ignored_rank]],help_zuord_Var_Meth[],2)</f>
        <v>20</v>
      </c>
      <c r="B78">
        <v>631</v>
      </c>
      <c r="C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8">
        <f ca="1">RAND()</f>
        <v>0.91210652009787618</v>
      </c>
      <c r="E78">
        <f ca="1">RANK(dict_zul_Var_Meth[[#This Row],[ignored_rand]],dict_zul_Var_Meth[ignored_rand])</f>
        <v>76</v>
      </c>
      <c r="F78">
        <f ca="1">ROUNDUP(748/200*help_zuord_Var_Meth[[#This Row],[ignored_help_VarsID]],0)+RANDBETWEEN(0,1)-RANDBETWEEN(0,1)</f>
        <v>285</v>
      </c>
      <c r="G78">
        <v>76</v>
      </c>
    </row>
    <row r="79" spans="1:7" x14ac:dyDescent="0.45">
      <c r="A79">
        <f ca="1">VLOOKUP(dict_zul_Var_Meth[[#This Row],[ignored_rank]],help_zuord_Var_Meth[],2)</f>
        <v>20</v>
      </c>
      <c r="B79">
        <v>27</v>
      </c>
      <c r="C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9">
        <f ca="1">RAND()</f>
        <v>0.91406339572475326</v>
      </c>
      <c r="E79">
        <f ca="1">RANK(dict_zul_Var_Meth[[#This Row],[ignored_rand]],dict_zul_Var_Meth[ignored_rand])</f>
        <v>75</v>
      </c>
      <c r="F79">
        <f ca="1">ROUNDUP(748/200*help_zuord_Var_Meth[[#This Row],[ignored_help_VarsID]],0)+RANDBETWEEN(0,1)-RANDBETWEEN(0,1)</f>
        <v>287</v>
      </c>
      <c r="G79">
        <v>77</v>
      </c>
    </row>
    <row r="80" spans="1:7" x14ac:dyDescent="0.45">
      <c r="A80">
        <f ca="1">VLOOKUP(dict_zul_Var_Meth[[#This Row],[ignored_rank]],help_zuord_Var_Meth[],2)</f>
        <v>21</v>
      </c>
      <c r="B80">
        <v>582</v>
      </c>
      <c r="C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0">
        <f ca="1">RAND()</f>
        <v>0.90853588762921966</v>
      </c>
      <c r="E80">
        <f ca="1">RANK(dict_zul_Var_Meth[[#This Row],[ignored_rand]],dict_zul_Var_Meth[ignored_rand])</f>
        <v>81</v>
      </c>
      <c r="F80">
        <f ca="1">ROUNDUP(748/200*help_zuord_Var_Meth[[#This Row],[ignored_help_VarsID]],0)+RANDBETWEEN(0,1)-RANDBETWEEN(0,1)</f>
        <v>292</v>
      </c>
      <c r="G80">
        <v>78</v>
      </c>
    </row>
    <row r="81" spans="1:7" x14ac:dyDescent="0.45">
      <c r="A81">
        <f ca="1">VLOOKUP(dict_zul_Var_Meth[[#This Row],[ignored_rank]],help_zuord_Var_Meth[],2)</f>
        <v>21</v>
      </c>
      <c r="B81">
        <v>503</v>
      </c>
      <c r="C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1">
        <f ca="1">RAND()</f>
        <v>0.90850725538315658</v>
      </c>
      <c r="E81">
        <f ca="1">RANK(dict_zul_Var_Meth[[#This Row],[ignored_rand]],dict_zul_Var_Meth[ignored_rand])</f>
        <v>82</v>
      </c>
      <c r="F81">
        <f ca="1">ROUNDUP(748/200*help_zuord_Var_Meth[[#This Row],[ignored_help_VarsID]],0)+RANDBETWEEN(0,1)-RANDBETWEEN(0,1)</f>
        <v>296</v>
      </c>
      <c r="G81">
        <v>79</v>
      </c>
    </row>
    <row r="82" spans="1:7" x14ac:dyDescent="0.45">
      <c r="A82">
        <f ca="1">VLOOKUP(dict_zul_Var_Meth[[#This Row],[ignored_rank]],help_zuord_Var_Meth[],2)</f>
        <v>21</v>
      </c>
      <c r="B82">
        <v>155</v>
      </c>
      <c r="C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2">
        <f ca="1">RAND()</f>
        <v>0.90874689009513065</v>
      </c>
      <c r="E82">
        <f ca="1">RANK(dict_zul_Var_Meth[[#This Row],[ignored_rand]],dict_zul_Var_Meth[ignored_rand])</f>
        <v>80</v>
      </c>
      <c r="F82">
        <f ca="1">ROUNDUP(748/200*help_zuord_Var_Meth[[#This Row],[ignored_help_VarsID]],0)+RANDBETWEEN(0,1)-RANDBETWEEN(0,1)</f>
        <v>301</v>
      </c>
      <c r="G82">
        <v>80</v>
      </c>
    </row>
    <row r="83" spans="1:7" x14ac:dyDescent="0.45">
      <c r="A83">
        <f ca="1">VLOOKUP(dict_zul_Var_Meth[[#This Row],[ignored_rank]],help_zuord_Var_Meth[],2)</f>
        <v>21</v>
      </c>
      <c r="B83">
        <v>116</v>
      </c>
      <c r="C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3">
        <f ca="1">RAND()</f>
        <v>0.90879746301312003</v>
      </c>
      <c r="E83">
        <f ca="1">RANK(dict_zul_Var_Meth[[#This Row],[ignored_rand]],dict_zul_Var_Meth[ignored_rand])</f>
        <v>79</v>
      </c>
      <c r="F83">
        <f ca="1">ROUNDUP(748/200*help_zuord_Var_Meth[[#This Row],[ignored_help_VarsID]],0)+RANDBETWEEN(0,1)-RANDBETWEEN(0,1)</f>
        <v>303</v>
      </c>
      <c r="G83">
        <v>81</v>
      </c>
    </row>
    <row r="84" spans="1:7" x14ac:dyDescent="0.45">
      <c r="A84">
        <f ca="1">VLOOKUP(dict_zul_Var_Meth[[#This Row],[ignored_rank]],help_zuord_Var_Meth[],2)</f>
        <v>22</v>
      </c>
      <c r="B84">
        <v>591</v>
      </c>
      <c r="C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4">
        <f ca="1">RAND()</f>
        <v>0.90688184139059347</v>
      </c>
      <c r="E84">
        <f ca="1">RANK(dict_zul_Var_Meth[[#This Row],[ignored_rand]],dict_zul_Var_Meth[ignored_rand])</f>
        <v>84</v>
      </c>
      <c r="F84">
        <f ca="1">ROUNDUP(748/200*help_zuord_Var_Meth[[#This Row],[ignored_help_VarsID]],0)+RANDBETWEEN(0,1)-RANDBETWEEN(0,1)</f>
        <v>307</v>
      </c>
      <c r="G84">
        <v>82</v>
      </c>
    </row>
    <row r="85" spans="1:7" x14ac:dyDescent="0.45">
      <c r="A85">
        <f ca="1">VLOOKUP(dict_zul_Var_Meth[[#This Row],[ignored_rank]],help_zuord_Var_Meth[],2)</f>
        <v>22</v>
      </c>
      <c r="B85">
        <v>483</v>
      </c>
      <c r="C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5">
        <f ca="1">RAND()</f>
        <v>0.90717770130158104</v>
      </c>
      <c r="E85">
        <f ca="1">RANK(dict_zul_Var_Meth[[#This Row],[ignored_rand]],dict_zul_Var_Meth[ignored_rand])</f>
        <v>83</v>
      </c>
      <c r="F85">
        <f ca="1">ROUNDUP(748/200*help_zuord_Var_Meth[[#This Row],[ignored_help_VarsID]],0)+RANDBETWEEN(0,1)-RANDBETWEEN(0,1)</f>
        <v>310</v>
      </c>
      <c r="G85">
        <v>83</v>
      </c>
    </row>
    <row r="86" spans="1:7" x14ac:dyDescent="0.45">
      <c r="A86">
        <f ca="1">VLOOKUP(dict_zul_Var_Meth[[#This Row],[ignored_rank]],help_zuord_Var_Meth[],2)</f>
        <v>22</v>
      </c>
      <c r="B86">
        <v>419</v>
      </c>
      <c r="C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6">
        <f ca="1">RAND()</f>
        <v>0.9037300720334227</v>
      </c>
      <c r="E86">
        <f ca="1">RANK(dict_zul_Var_Meth[[#This Row],[ignored_rand]],dict_zul_Var_Meth[ignored_rand])</f>
        <v>85</v>
      </c>
      <c r="F86">
        <f ca="1">ROUNDUP(748/200*help_zuord_Var_Meth[[#This Row],[ignored_help_VarsID]],0)+RANDBETWEEN(0,1)-RANDBETWEEN(0,1)</f>
        <v>314</v>
      </c>
      <c r="G86">
        <v>84</v>
      </c>
    </row>
    <row r="87" spans="1:7" x14ac:dyDescent="0.45">
      <c r="A87">
        <f ca="1">VLOOKUP(dict_zul_Var_Meth[[#This Row],[ignored_rank]],help_zuord_Var_Meth[],2)</f>
        <v>22</v>
      </c>
      <c r="B87">
        <v>652</v>
      </c>
      <c r="C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7">
        <f ca="1">RAND()</f>
        <v>0.89926860618356064</v>
      </c>
      <c r="E87">
        <f ca="1">RANK(dict_zul_Var_Meth[[#This Row],[ignored_rand]],dict_zul_Var_Meth[ignored_rand])</f>
        <v>86</v>
      </c>
      <c r="F87">
        <f ca="1">ROUNDUP(748/200*help_zuord_Var_Meth[[#This Row],[ignored_help_VarsID]],0)+RANDBETWEEN(0,1)-RANDBETWEEN(0,1)</f>
        <v>318</v>
      </c>
      <c r="G87">
        <v>85</v>
      </c>
    </row>
    <row r="88" spans="1:7" x14ac:dyDescent="0.45">
      <c r="A88">
        <f ca="1">VLOOKUP(dict_zul_Var_Meth[[#This Row],[ignored_rank]],help_zuord_Var_Meth[],2)</f>
        <v>23</v>
      </c>
      <c r="B88">
        <v>645</v>
      </c>
      <c r="C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8">
        <f ca="1">RAND()</f>
        <v>0.89366456434748198</v>
      </c>
      <c r="E88">
        <f ca="1">RANK(dict_zul_Var_Meth[[#This Row],[ignored_rand]],dict_zul_Var_Meth[ignored_rand])</f>
        <v>88</v>
      </c>
      <c r="F88">
        <f ca="1">ROUNDUP(748/200*help_zuord_Var_Meth[[#This Row],[ignored_help_VarsID]],0)+RANDBETWEEN(0,1)-RANDBETWEEN(0,1)</f>
        <v>323</v>
      </c>
      <c r="G88">
        <v>86</v>
      </c>
    </row>
    <row r="89" spans="1:7" x14ac:dyDescent="0.45">
      <c r="A89">
        <f ca="1">VLOOKUP(dict_zul_Var_Meth[[#This Row],[ignored_rank]],help_zuord_Var_Meth[],2)</f>
        <v>23</v>
      </c>
      <c r="B89">
        <v>618</v>
      </c>
      <c r="C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89">
        <f ca="1">RAND()</f>
        <v>0.89897205023922211</v>
      </c>
      <c r="E89">
        <f ca="1">RANK(dict_zul_Var_Meth[[#This Row],[ignored_rand]],dict_zul_Var_Meth[ignored_rand])</f>
        <v>87</v>
      </c>
      <c r="F89">
        <f ca="1">ROUNDUP(748/200*help_zuord_Var_Meth[[#This Row],[ignored_help_VarsID]],0)+RANDBETWEEN(0,1)-RANDBETWEEN(0,1)</f>
        <v>326</v>
      </c>
      <c r="G89">
        <v>87</v>
      </c>
    </row>
    <row r="90" spans="1:7" x14ac:dyDescent="0.45">
      <c r="A90">
        <f ca="1">VLOOKUP(dict_zul_Var_Meth[[#This Row],[ignored_rank]],help_zuord_Var_Meth[],2)</f>
        <v>23</v>
      </c>
      <c r="B90">
        <v>397</v>
      </c>
      <c r="C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0">
        <f ca="1">RAND()</f>
        <v>0.89363530737001051</v>
      </c>
      <c r="E90">
        <f ca="1">RANK(dict_zul_Var_Meth[[#This Row],[ignored_rand]],dict_zul_Var_Meth[ignored_rand])</f>
        <v>89</v>
      </c>
      <c r="F90">
        <f ca="1">ROUNDUP(748/200*help_zuord_Var_Meth[[#This Row],[ignored_help_VarsID]],0)+RANDBETWEEN(0,1)-RANDBETWEEN(0,1)</f>
        <v>329</v>
      </c>
      <c r="G90">
        <v>88</v>
      </c>
    </row>
    <row r="91" spans="1:7" x14ac:dyDescent="0.45">
      <c r="A91">
        <f ca="1">VLOOKUP(dict_zul_Var_Meth[[#This Row],[ignored_rank]],help_zuord_Var_Meth[],2)</f>
        <v>24</v>
      </c>
      <c r="B91">
        <v>655</v>
      </c>
      <c r="C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1">
        <f ca="1">RAND()</f>
        <v>0.88592088587170481</v>
      </c>
      <c r="E91">
        <f ca="1">RANK(dict_zul_Var_Meth[[#This Row],[ignored_rand]],dict_zul_Var_Meth[ignored_rand])</f>
        <v>93</v>
      </c>
      <c r="F91">
        <f ca="1">ROUNDUP(748/200*help_zuord_Var_Meth[[#This Row],[ignored_help_VarsID]],0)+RANDBETWEEN(0,1)-RANDBETWEEN(0,1)</f>
        <v>334</v>
      </c>
      <c r="G91">
        <v>89</v>
      </c>
    </row>
    <row r="92" spans="1:7" x14ac:dyDescent="0.45">
      <c r="A92">
        <f ca="1">VLOOKUP(dict_zul_Var_Meth[[#This Row],[ignored_rank]],help_zuord_Var_Meth[],2)</f>
        <v>24</v>
      </c>
      <c r="B92">
        <v>42</v>
      </c>
      <c r="C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2">
        <f ca="1">RAND()</f>
        <v>0.88700582914527237</v>
      </c>
      <c r="E92">
        <f ca="1">RANK(dict_zul_Var_Meth[[#This Row],[ignored_rand]],dict_zul_Var_Meth[ignored_rand])</f>
        <v>92</v>
      </c>
      <c r="F92">
        <f ca="1">ROUNDUP(748/200*help_zuord_Var_Meth[[#This Row],[ignored_help_VarsID]],0)+RANDBETWEEN(0,1)-RANDBETWEEN(0,1)</f>
        <v>338</v>
      </c>
      <c r="G92">
        <v>90</v>
      </c>
    </row>
    <row r="93" spans="1:7" x14ac:dyDescent="0.45">
      <c r="A93">
        <f ca="1">VLOOKUP(dict_zul_Var_Meth[[#This Row],[ignored_rank]],help_zuord_Var_Meth[],2)</f>
        <v>24</v>
      </c>
      <c r="B93">
        <v>365</v>
      </c>
      <c r="C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3">
        <f ca="1">RAND()</f>
        <v>0.89175048532882206</v>
      </c>
      <c r="E93">
        <f ca="1">RANK(dict_zul_Var_Meth[[#This Row],[ignored_rand]],dict_zul_Var_Meth[ignored_rand])</f>
        <v>90</v>
      </c>
      <c r="F93">
        <f ca="1">ROUNDUP(748/200*help_zuord_Var_Meth[[#This Row],[ignored_help_VarsID]],0)+RANDBETWEEN(0,1)-RANDBETWEEN(0,1)</f>
        <v>342</v>
      </c>
      <c r="G93">
        <v>91</v>
      </c>
    </row>
    <row r="94" spans="1:7" x14ac:dyDescent="0.45">
      <c r="A94">
        <f ca="1">VLOOKUP(dict_zul_Var_Meth[[#This Row],[ignored_rank]],help_zuord_Var_Meth[],2)</f>
        <v>24</v>
      </c>
      <c r="B94">
        <v>324</v>
      </c>
      <c r="C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4">
        <f ca="1">RAND()</f>
        <v>0.88984271811977422</v>
      </c>
      <c r="E94">
        <f ca="1">RANK(dict_zul_Var_Meth[[#This Row],[ignored_rand]],dict_zul_Var_Meth[ignored_rand])</f>
        <v>91</v>
      </c>
      <c r="F94">
        <f ca="1">ROUNDUP(748/200*help_zuord_Var_Meth[[#This Row],[ignored_help_VarsID]],0)+RANDBETWEEN(0,1)-RANDBETWEEN(0,1)</f>
        <v>345</v>
      </c>
      <c r="G94">
        <v>92</v>
      </c>
    </row>
    <row r="95" spans="1:7" x14ac:dyDescent="0.45">
      <c r="A95">
        <f ca="1">VLOOKUP(dict_zul_Var_Meth[[#This Row],[ignored_rank]],help_zuord_Var_Meth[],2)</f>
        <v>25</v>
      </c>
      <c r="B95">
        <v>45</v>
      </c>
      <c r="C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5">
        <f ca="1">RAND()</f>
        <v>0.88115704416991503</v>
      </c>
      <c r="E95">
        <f ca="1">RANK(dict_zul_Var_Meth[[#This Row],[ignored_rand]],dict_zul_Var_Meth[ignored_rand])</f>
        <v>97</v>
      </c>
      <c r="F95">
        <f ca="1">ROUNDUP(748/200*help_zuord_Var_Meth[[#This Row],[ignored_help_VarsID]],0)+RANDBETWEEN(0,1)-RANDBETWEEN(0,1)</f>
        <v>348</v>
      </c>
      <c r="G95">
        <v>93</v>
      </c>
    </row>
    <row r="96" spans="1:7" x14ac:dyDescent="0.45">
      <c r="A96">
        <f ca="1">VLOOKUP(dict_zul_Var_Meth[[#This Row],[ignored_rank]],help_zuord_Var_Meth[],2)</f>
        <v>25</v>
      </c>
      <c r="B96">
        <v>227</v>
      </c>
      <c r="C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6">
        <f ca="1">RAND()</f>
        <v>0.88276576234082005</v>
      </c>
      <c r="E96">
        <f ca="1">RANK(dict_zul_Var_Meth[[#This Row],[ignored_rand]],dict_zul_Var_Meth[ignored_rand])</f>
        <v>95</v>
      </c>
      <c r="F96">
        <f ca="1">ROUNDUP(748/200*help_zuord_Var_Meth[[#This Row],[ignored_help_VarsID]],0)+RANDBETWEEN(0,1)-RANDBETWEEN(0,1)</f>
        <v>353</v>
      </c>
      <c r="G96">
        <v>94</v>
      </c>
    </row>
    <row r="97" spans="1:7" x14ac:dyDescent="0.45">
      <c r="A97">
        <f ca="1">VLOOKUP(dict_zul_Var_Meth[[#This Row],[ignored_rank]],help_zuord_Var_Meth[],2)</f>
        <v>25</v>
      </c>
      <c r="B97">
        <v>517</v>
      </c>
      <c r="C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7">
        <f ca="1">RAND()</f>
        <v>0.88345230293143928</v>
      </c>
      <c r="E97">
        <f ca="1">RANK(dict_zul_Var_Meth[[#This Row],[ignored_rand]],dict_zul_Var_Meth[ignored_rand])</f>
        <v>94</v>
      </c>
      <c r="F97">
        <f ca="1">ROUNDUP(748/200*help_zuord_Var_Meth[[#This Row],[ignored_help_VarsID]],0)+RANDBETWEEN(0,1)-RANDBETWEEN(0,1)</f>
        <v>356</v>
      </c>
      <c r="G97">
        <v>95</v>
      </c>
    </row>
    <row r="98" spans="1:7" x14ac:dyDescent="0.45">
      <c r="A98">
        <f ca="1">VLOOKUP(dict_zul_Var_Meth[[#This Row],[ignored_rank]],help_zuord_Var_Meth[],2)</f>
        <v>25</v>
      </c>
      <c r="B98">
        <v>444</v>
      </c>
      <c r="C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8">
        <f ca="1">RAND()</f>
        <v>0.88173328866070111</v>
      </c>
      <c r="E98">
        <f ca="1">RANK(dict_zul_Var_Meth[[#This Row],[ignored_rand]],dict_zul_Var_Meth[ignored_rand])</f>
        <v>96</v>
      </c>
      <c r="F98">
        <f ca="1">ROUNDUP(748/200*help_zuord_Var_Meth[[#This Row],[ignored_help_VarsID]],0)+RANDBETWEEN(0,1)-RANDBETWEEN(0,1)</f>
        <v>360</v>
      </c>
      <c r="G98">
        <v>96</v>
      </c>
    </row>
    <row r="99" spans="1:7" x14ac:dyDescent="0.45">
      <c r="A99" s="3">
        <f ca="1">VLOOKUP(dict_zul_Var_Meth[[#This Row],[ignored_rank]],help_zuord_Var_Meth[],2)</f>
        <v>26</v>
      </c>
      <c r="B99">
        <v>262</v>
      </c>
      <c r="C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99">
        <f ca="1">RAND()</f>
        <v>0.87768544621588862</v>
      </c>
      <c r="E99" s="3">
        <f ca="1">RANK(dict_zul_Var_Meth[[#This Row],[ignored_rand]],dict_zul_Var_Meth[ignored_rand])</f>
        <v>100</v>
      </c>
      <c r="F99">
        <f ca="1">ROUNDUP(748/200*help_zuord_Var_Meth[[#This Row],[ignored_help_VarsID]],0)+RANDBETWEEN(0,1)-RANDBETWEEN(0,1)</f>
        <v>364</v>
      </c>
      <c r="G99">
        <v>97</v>
      </c>
    </row>
    <row r="100" spans="1:7" x14ac:dyDescent="0.45">
      <c r="A100">
        <f ca="1">VLOOKUP(dict_zul_Var_Meth[[#This Row],[ignored_rank]],help_zuord_Var_Meth[],2)</f>
        <v>26</v>
      </c>
      <c r="B100">
        <v>44</v>
      </c>
      <c r="C1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0">
        <f ca="1">RAND()</f>
        <v>0.87970830665277089</v>
      </c>
      <c r="E100">
        <f ca="1">RANK(dict_zul_Var_Meth[[#This Row],[ignored_rand]],dict_zul_Var_Meth[ignored_rand])</f>
        <v>98</v>
      </c>
      <c r="F100">
        <f ca="1">ROUNDUP(748/200*help_zuord_Var_Meth[[#This Row],[ignored_help_VarsID]],0)+RANDBETWEEN(0,1)-RANDBETWEEN(0,1)</f>
        <v>367</v>
      </c>
      <c r="G100">
        <v>98</v>
      </c>
    </row>
    <row r="101" spans="1:7" x14ac:dyDescent="0.45">
      <c r="A101">
        <f ca="1">VLOOKUP(dict_zul_Var_Meth[[#This Row],[ignored_rank]],help_zuord_Var_Meth[],2)</f>
        <v>26</v>
      </c>
      <c r="B101">
        <v>431</v>
      </c>
      <c r="C1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1">
        <f ca="1">RAND()</f>
        <v>0.87784239987701052</v>
      </c>
      <c r="E101">
        <f ca="1">RANK(dict_zul_Var_Meth[[#This Row],[ignored_rand]],dict_zul_Var_Meth[ignored_rand])</f>
        <v>99</v>
      </c>
      <c r="F101">
        <f ca="1">ROUNDUP(748/200*help_zuord_Var_Meth[[#This Row],[ignored_help_VarsID]],0)+RANDBETWEEN(0,1)-RANDBETWEEN(0,1)</f>
        <v>372</v>
      </c>
      <c r="G101">
        <v>99</v>
      </c>
    </row>
    <row r="102" spans="1:7" x14ac:dyDescent="0.45">
      <c r="A102">
        <f ca="1">VLOOKUP(dict_zul_Var_Meth[[#This Row],[ignored_rank]],help_zuord_Var_Meth[],2)</f>
        <v>26</v>
      </c>
      <c r="B102">
        <v>636</v>
      </c>
      <c r="C1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2">
        <f ca="1">RAND()</f>
        <v>0.87587815774199751</v>
      </c>
      <c r="E102">
        <f ca="1">RANK(dict_zul_Var_Meth[[#This Row],[ignored_rand]],dict_zul_Var_Meth[ignored_rand])</f>
        <v>101</v>
      </c>
      <c r="F102">
        <f ca="1">ROUNDUP(748/200*help_zuord_Var_Meth[[#This Row],[ignored_help_VarsID]],0)+RANDBETWEEN(0,1)-RANDBETWEEN(0,1)</f>
        <v>374</v>
      </c>
      <c r="G102">
        <v>100</v>
      </c>
    </row>
    <row r="103" spans="1:7" x14ac:dyDescent="0.45">
      <c r="A103">
        <f ca="1">VLOOKUP(dict_zul_Var_Meth[[#This Row],[ignored_rank]],help_zuord_Var_Meth[],2)</f>
        <v>27</v>
      </c>
      <c r="B103">
        <v>127</v>
      </c>
      <c r="C1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3">
        <f ca="1">RAND()</f>
        <v>0.87268152409526745</v>
      </c>
      <c r="E103">
        <f ca="1">RANK(dict_zul_Var_Meth[[#This Row],[ignored_rand]],dict_zul_Var_Meth[ignored_rand])</f>
        <v>103</v>
      </c>
      <c r="F103">
        <f ca="1">ROUNDUP(748/200*help_zuord_Var_Meth[[#This Row],[ignored_help_VarsID]],0)+RANDBETWEEN(0,1)-RANDBETWEEN(0,1)</f>
        <v>378</v>
      </c>
      <c r="G103">
        <v>101</v>
      </c>
    </row>
    <row r="104" spans="1:7" x14ac:dyDescent="0.45">
      <c r="A104" s="3">
        <f ca="1">VLOOKUP(dict_zul_Var_Meth[[#This Row],[ignored_rank]],help_zuord_Var_Meth[],2)</f>
        <v>27</v>
      </c>
      <c r="B104">
        <v>296</v>
      </c>
      <c r="C1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4">
        <f ca="1">RAND()</f>
        <v>0.87464695477868615</v>
      </c>
      <c r="E104" s="3">
        <f ca="1">RANK(dict_zul_Var_Meth[[#This Row],[ignored_rand]],dict_zul_Var_Meth[ignored_rand])</f>
        <v>102</v>
      </c>
      <c r="F104">
        <f ca="1">ROUNDUP(748/200*help_zuord_Var_Meth[[#This Row],[ignored_help_VarsID]],0)+RANDBETWEEN(0,1)-RANDBETWEEN(0,1)</f>
        <v>382</v>
      </c>
      <c r="G104">
        <v>102</v>
      </c>
    </row>
    <row r="105" spans="1:7" x14ac:dyDescent="0.45">
      <c r="A105">
        <f ca="1">VLOOKUP(dict_zul_Var_Meth[[#This Row],[ignored_rank]],help_zuord_Var_Meth[],2)</f>
        <v>27</v>
      </c>
      <c r="B105">
        <v>556</v>
      </c>
      <c r="C1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5">
        <f ca="1">RAND()</f>
        <v>0.87249031595065862</v>
      </c>
      <c r="E105">
        <f ca="1">RANK(dict_zul_Var_Meth[[#This Row],[ignored_rand]],dict_zul_Var_Meth[ignored_rand])</f>
        <v>104</v>
      </c>
      <c r="F105">
        <f ca="1">ROUNDUP(748/200*help_zuord_Var_Meth[[#This Row],[ignored_help_VarsID]],0)+RANDBETWEEN(0,1)-RANDBETWEEN(0,1)</f>
        <v>386</v>
      </c>
      <c r="G105">
        <v>103</v>
      </c>
    </row>
    <row r="106" spans="1:7" x14ac:dyDescent="0.45">
      <c r="A106">
        <f ca="1">VLOOKUP(dict_zul_Var_Meth[[#This Row],[ignored_rank]],help_zuord_Var_Meth[],2)</f>
        <v>28</v>
      </c>
      <c r="B106">
        <v>395</v>
      </c>
      <c r="C1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6">
        <f ca="1">RAND()</f>
        <v>0.86890820794223866</v>
      </c>
      <c r="E106">
        <f ca="1">RANK(dict_zul_Var_Meth[[#This Row],[ignored_rand]],dict_zul_Var_Meth[ignored_rand])</f>
        <v>106</v>
      </c>
      <c r="F106">
        <f ca="1">ROUNDUP(748/200*help_zuord_Var_Meth[[#This Row],[ignored_help_VarsID]],0)+RANDBETWEEN(0,1)-RANDBETWEEN(0,1)</f>
        <v>390</v>
      </c>
      <c r="G106">
        <v>104</v>
      </c>
    </row>
    <row r="107" spans="1:7" x14ac:dyDescent="0.45">
      <c r="A107">
        <f ca="1">VLOOKUP(dict_zul_Var_Meth[[#This Row],[ignored_rank]],help_zuord_Var_Meth[],2)</f>
        <v>28</v>
      </c>
      <c r="B107">
        <v>593</v>
      </c>
      <c r="C1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7">
        <f ca="1">RAND()</f>
        <v>0.86841736754257537</v>
      </c>
      <c r="E107">
        <f ca="1">RANK(dict_zul_Var_Meth[[#This Row],[ignored_rand]],dict_zul_Var_Meth[ignored_rand])</f>
        <v>107</v>
      </c>
      <c r="F107">
        <f ca="1">ROUNDUP(748/200*help_zuord_Var_Meth[[#This Row],[ignored_help_VarsID]],0)+RANDBETWEEN(0,1)-RANDBETWEEN(0,1)</f>
        <v>392</v>
      </c>
      <c r="G107">
        <v>105</v>
      </c>
    </row>
    <row r="108" spans="1:7" x14ac:dyDescent="0.45">
      <c r="A108">
        <f ca="1">VLOOKUP(dict_zul_Var_Meth[[#This Row],[ignored_rank]],help_zuord_Var_Meth[],2)</f>
        <v>28</v>
      </c>
      <c r="B108">
        <v>92</v>
      </c>
      <c r="C1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8">
        <f ca="1">RAND()</f>
        <v>0.8659451080390288</v>
      </c>
      <c r="E108">
        <f ca="1">RANK(dict_zul_Var_Meth[[#This Row],[ignored_rand]],dict_zul_Var_Meth[ignored_rand])</f>
        <v>108</v>
      </c>
      <c r="F108">
        <f ca="1">ROUNDUP(748/200*help_zuord_Var_Meth[[#This Row],[ignored_help_VarsID]],0)+RANDBETWEEN(0,1)-RANDBETWEEN(0,1)</f>
        <v>398</v>
      </c>
      <c r="G108">
        <v>106</v>
      </c>
    </row>
    <row r="109" spans="1:7" x14ac:dyDescent="0.45">
      <c r="A109">
        <f ca="1">VLOOKUP(dict_zul_Var_Meth[[#This Row],[ignored_rank]],help_zuord_Var_Meth[],2)</f>
        <v>28</v>
      </c>
      <c r="B109">
        <v>371</v>
      </c>
      <c r="C1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09">
        <f ca="1">RAND()</f>
        <v>0.87161893470101715</v>
      </c>
      <c r="E109">
        <f ca="1">RANK(dict_zul_Var_Meth[[#This Row],[ignored_rand]],dict_zul_Var_Meth[ignored_rand])</f>
        <v>105</v>
      </c>
      <c r="F109">
        <f ca="1">ROUNDUP(748/200*help_zuord_Var_Meth[[#This Row],[ignored_help_VarsID]],0)+RANDBETWEEN(0,1)-RANDBETWEEN(0,1)</f>
        <v>401</v>
      </c>
      <c r="G109">
        <v>107</v>
      </c>
    </row>
    <row r="110" spans="1:7" x14ac:dyDescent="0.45">
      <c r="A110">
        <f ca="1">VLOOKUP(dict_zul_Var_Meth[[#This Row],[ignored_rank]],help_zuord_Var_Meth[],2)</f>
        <v>29</v>
      </c>
      <c r="B110">
        <v>404</v>
      </c>
      <c r="C1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0">
        <f ca="1">RAND()</f>
        <v>0.86453684277460363</v>
      </c>
      <c r="E110">
        <f ca="1">RANK(dict_zul_Var_Meth[[#This Row],[ignored_rand]],dict_zul_Var_Meth[ignored_rand])</f>
        <v>109</v>
      </c>
      <c r="F110">
        <f ca="1">ROUNDUP(748/200*help_zuord_Var_Meth[[#This Row],[ignored_help_VarsID]],0)+RANDBETWEEN(0,1)-RANDBETWEEN(0,1)</f>
        <v>404</v>
      </c>
      <c r="G110">
        <v>108</v>
      </c>
    </row>
    <row r="111" spans="1:7" x14ac:dyDescent="0.45">
      <c r="A111">
        <f ca="1">VLOOKUP(dict_zul_Var_Meth[[#This Row],[ignored_rank]],help_zuord_Var_Meth[],2)</f>
        <v>29</v>
      </c>
      <c r="B111">
        <v>133</v>
      </c>
      <c r="C1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1">
        <f ca="1">RAND()</f>
        <v>0.8635376254418653</v>
      </c>
      <c r="E111">
        <f ca="1">RANK(dict_zul_Var_Meth[[#This Row],[ignored_rand]],dict_zul_Var_Meth[ignored_rand])</f>
        <v>110</v>
      </c>
      <c r="F111">
        <f ca="1">ROUNDUP(748/200*help_zuord_Var_Meth[[#This Row],[ignored_help_VarsID]],0)+RANDBETWEEN(0,1)-RANDBETWEEN(0,1)</f>
        <v>407</v>
      </c>
      <c r="G111">
        <v>109</v>
      </c>
    </row>
    <row r="112" spans="1:7" x14ac:dyDescent="0.45">
      <c r="A112">
        <f ca="1">VLOOKUP(dict_zul_Var_Meth[[#This Row],[ignored_rank]],help_zuord_Var_Meth[],2)</f>
        <v>29</v>
      </c>
      <c r="B112">
        <v>40</v>
      </c>
      <c r="C1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2">
        <f ca="1">RAND()</f>
        <v>0.86302661465647468</v>
      </c>
      <c r="E112">
        <f ca="1">RANK(dict_zul_Var_Meth[[#This Row],[ignored_rand]],dict_zul_Var_Meth[ignored_rand])</f>
        <v>111</v>
      </c>
      <c r="F112">
        <f ca="1">ROUNDUP(748/200*help_zuord_Var_Meth[[#This Row],[ignored_help_VarsID]],0)+RANDBETWEEN(0,1)-RANDBETWEEN(0,1)</f>
        <v>412</v>
      </c>
      <c r="G112">
        <v>110</v>
      </c>
    </row>
    <row r="113" spans="1:7" x14ac:dyDescent="0.45">
      <c r="A113">
        <f ca="1">VLOOKUP(dict_zul_Var_Meth[[#This Row],[ignored_rank]],help_zuord_Var_Meth[],2)</f>
        <v>30</v>
      </c>
      <c r="B113">
        <v>512</v>
      </c>
      <c r="C1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3">
        <f ca="1">RAND()</f>
        <v>0.85684873632253089</v>
      </c>
      <c r="E113">
        <f ca="1">RANK(dict_zul_Var_Meth[[#This Row],[ignored_rand]],dict_zul_Var_Meth[ignored_rand])</f>
        <v>112</v>
      </c>
      <c r="F113">
        <f ca="1">ROUNDUP(748/200*help_zuord_Var_Meth[[#This Row],[ignored_help_VarsID]],0)+RANDBETWEEN(0,1)-RANDBETWEEN(0,1)</f>
        <v>417</v>
      </c>
      <c r="G113">
        <v>111</v>
      </c>
    </row>
    <row r="114" spans="1:7" x14ac:dyDescent="0.45">
      <c r="A114">
        <f ca="1">VLOOKUP(dict_zul_Var_Meth[[#This Row],[ignored_rank]],help_zuord_Var_Meth[],2)</f>
        <v>30</v>
      </c>
      <c r="B114">
        <v>267</v>
      </c>
      <c r="C1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4">
        <f ca="1">RAND()</f>
        <v>0.85371475358517945</v>
      </c>
      <c r="E114">
        <f ca="1">RANK(dict_zul_Var_Meth[[#This Row],[ignored_rand]],dict_zul_Var_Meth[ignored_rand])</f>
        <v>116</v>
      </c>
      <c r="F114">
        <f ca="1">ROUNDUP(748/200*help_zuord_Var_Meth[[#This Row],[ignored_help_VarsID]],0)+RANDBETWEEN(0,1)-RANDBETWEEN(0,1)</f>
        <v>420</v>
      </c>
      <c r="G114">
        <v>112</v>
      </c>
    </row>
    <row r="115" spans="1:7" x14ac:dyDescent="0.45">
      <c r="A115">
        <f ca="1">VLOOKUP(dict_zul_Var_Meth[[#This Row],[ignored_rank]],help_zuord_Var_Meth[],2)</f>
        <v>30</v>
      </c>
      <c r="B115">
        <v>6</v>
      </c>
      <c r="C1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5">
        <f ca="1">RAND()</f>
        <v>0.85408687581536369</v>
      </c>
      <c r="E115">
        <f ca="1">RANK(dict_zul_Var_Meth[[#This Row],[ignored_rand]],dict_zul_Var_Meth[ignored_rand])</f>
        <v>115</v>
      </c>
      <c r="F115">
        <f ca="1">ROUNDUP(748/200*help_zuord_Var_Meth[[#This Row],[ignored_help_VarsID]],0)+RANDBETWEEN(0,1)-RANDBETWEEN(0,1)</f>
        <v>422</v>
      </c>
      <c r="G115">
        <v>113</v>
      </c>
    </row>
    <row r="116" spans="1:7" x14ac:dyDescent="0.45">
      <c r="A116" s="3">
        <f ca="1">VLOOKUP(dict_zul_Var_Meth[[#This Row],[ignored_rank]],help_zuord_Var_Meth[],2)</f>
        <v>30</v>
      </c>
      <c r="B116">
        <v>664</v>
      </c>
      <c r="C1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6">
        <f ca="1">RAND()</f>
        <v>0.85518269407205172</v>
      </c>
      <c r="E116" s="3">
        <f ca="1">RANK(dict_zul_Var_Meth[[#This Row],[ignored_rand]],dict_zul_Var_Meth[ignored_rand])</f>
        <v>114</v>
      </c>
      <c r="F116">
        <f ca="1">ROUNDUP(748/200*help_zuord_Var_Meth[[#This Row],[ignored_help_VarsID]],0)+RANDBETWEEN(0,1)-RANDBETWEEN(0,1)</f>
        <v>426</v>
      </c>
      <c r="G116">
        <v>114</v>
      </c>
    </row>
    <row r="117" spans="1:7" x14ac:dyDescent="0.45">
      <c r="A117">
        <f ca="1">VLOOKUP(dict_zul_Var_Meth[[#This Row],[ignored_rank]],help_zuord_Var_Meth[],2)</f>
        <v>30</v>
      </c>
      <c r="B117">
        <v>143</v>
      </c>
      <c r="C1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7">
        <f ca="1">RAND()</f>
        <v>0.85565001889199399</v>
      </c>
      <c r="E117">
        <f ca="1">RANK(dict_zul_Var_Meth[[#This Row],[ignored_rand]],dict_zul_Var_Meth[ignored_rand])</f>
        <v>113</v>
      </c>
      <c r="F117">
        <f ca="1">ROUNDUP(748/200*help_zuord_Var_Meth[[#This Row],[ignored_help_VarsID]],0)+RANDBETWEEN(0,1)-RANDBETWEEN(0,1)</f>
        <v>430</v>
      </c>
      <c r="G117">
        <v>115</v>
      </c>
    </row>
    <row r="118" spans="1:7" x14ac:dyDescent="0.45">
      <c r="A118">
        <f ca="1">VLOOKUP(dict_zul_Var_Meth[[#This Row],[ignored_rank]],help_zuord_Var_Meth[],2)</f>
        <v>31</v>
      </c>
      <c r="B118">
        <v>523</v>
      </c>
      <c r="C1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8">
        <f ca="1">RAND()</f>
        <v>0.84830457859720088</v>
      </c>
      <c r="E118">
        <f ca="1">RANK(dict_zul_Var_Meth[[#This Row],[ignored_rand]],dict_zul_Var_Meth[ignored_rand])</f>
        <v>118</v>
      </c>
      <c r="F118">
        <f ca="1">ROUNDUP(748/200*help_zuord_Var_Meth[[#This Row],[ignored_help_VarsID]],0)+RANDBETWEEN(0,1)-RANDBETWEEN(0,1)</f>
        <v>434</v>
      </c>
      <c r="G118">
        <v>116</v>
      </c>
    </row>
    <row r="119" spans="1:7" x14ac:dyDescent="0.45">
      <c r="A119">
        <f ca="1">VLOOKUP(dict_zul_Var_Meth[[#This Row],[ignored_rank]],help_zuord_Var_Meth[],2)</f>
        <v>31</v>
      </c>
      <c r="B119">
        <v>7</v>
      </c>
      <c r="C1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19">
        <f ca="1">RAND()</f>
        <v>0.84748328487244462</v>
      </c>
      <c r="E119">
        <f ca="1">RANK(dict_zul_Var_Meth[[#This Row],[ignored_rand]],dict_zul_Var_Meth[ignored_rand])</f>
        <v>119</v>
      </c>
      <c r="F119">
        <f ca="1">ROUNDUP(748/200*help_zuord_Var_Meth[[#This Row],[ignored_help_VarsID]],0)+RANDBETWEEN(0,1)-RANDBETWEEN(0,1)</f>
        <v>439</v>
      </c>
      <c r="G119">
        <v>117</v>
      </c>
    </row>
    <row r="120" spans="1:7" x14ac:dyDescent="0.45">
      <c r="A120">
        <f ca="1">VLOOKUP(dict_zul_Var_Meth[[#This Row],[ignored_rank]],help_zuord_Var_Meth[],2)</f>
        <v>31</v>
      </c>
      <c r="B120">
        <v>14</v>
      </c>
      <c r="C1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0">
        <f ca="1">RAND()</f>
        <v>0.85234950423408251</v>
      </c>
      <c r="E120">
        <f ca="1">RANK(dict_zul_Var_Meth[[#This Row],[ignored_rand]],dict_zul_Var_Meth[ignored_rand])</f>
        <v>117</v>
      </c>
      <c r="F120">
        <f ca="1">ROUNDUP(748/200*help_zuord_Var_Meth[[#This Row],[ignored_help_VarsID]],0)+RANDBETWEEN(0,1)-RANDBETWEEN(0,1)</f>
        <v>442</v>
      </c>
      <c r="G120">
        <v>118</v>
      </c>
    </row>
    <row r="121" spans="1:7" x14ac:dyDescent="0.45">
      <c r="A121">
        <f ca="1">VLOOKUP(dict_zul_Var_Meth[[#This Row],[ignored_rank]],help_zuord_Var_Meth[],2)</f>
        <v>31</v>
      </c>
      <c r="B121">
        <v>417</v>
      </c>
      <c r="C1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1">
        <f ca="1">RAND()</f>
        <v>0.84564336137323481</v>
      </c>
      <c r="E121">
        <f ca="1">RANK(dict_zul_Var_Meth[[#This Row],[ignored_rand]],dict_zul_Var_Meth[ignored_rand])</f>
        <v>120</v>
      </c>
      <c r="F121">
        <f ca="1">ROUNDUP(748/200*help_zuord_Var_Meth[[#This Row],[ignored_help_VarsID]],0)+RANDBETWEEN(0,1)-RANDBETWEEN(0,1)</f>
        <v>446</v>
      </c>
      <c r="G121">
        <v>119</v>
      </c>
    </row>
    <row r="122" spans="1:7" x14ac:dyDescent="0.45">
      <c r="A122">
        <f ca="1">VLOOKUP(dict_zul_Var_Meth[[#This Row],[ignored_rank]],help_zuord_Var_Meth[],2)</f>
        <v>32</v>
      </c>
      <c r="B122">
        <v>594</v>
      </c>
      <c r="C1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2">
        <f ca="1">RAND()</f>
        <v>0.84512292508105324</v>
      </c>
      <c r="E122">
        <f ca="1">RANK(dict_zul_Var_Meth[[#This Row],[ignored_rand]],dict_zul_Var_Meth[ignored_rand])</f>
        <v>121</v>
      </c>
      <c r="F122">
        <f ca="1">ROUNDUP(748/200*help_zuord_Var_Meth[[#This Row],[ignored_help_VarsID]],0)+RANDBETWEEN(0,1)-RANDBETWEEN(0,1)</f>
        <v>449</v>
      </c>
      <c r="G122">
        <v>120</v>
      </c>
    </row>
    <row r="123" spans="1:7" x14ac:dyDescent="0.45">
      <c r="A123">
        <f ca="1">VLOOKUP(dict_zul_Var_Meth[[#This Row],[ignored_rank]],help_zuord_Var_Meth[],2)</f>
        <v>32</v>
      </c>
      <c r="B123">
        <v>238</v>
      </c>
      <c r="C1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3">
        <f ca="1">RAND()</f>
        <v>0.84362346614023886</v>
      </c>
      <c r="E123">
        <f ca="1">RANK(dict_zul_Var_Meth[[#This Row],[ignored_rand]],dict_zul_Var_Meth[ignored_rand])</f>
        <v>123</v>
      </c>
      <c r="F123">
        <f ca="1">ROUNDUP(748/200*help_zuord_Var_Meth[[#This Row],[ignored_help_VarsID]],0)+RANDBETWEEN(0,1)-RANDBETWEEN(0,1)</f>
        <v>453</v>
      </c>
      <c r="G123">
        <v>121</v>
      </c>
    </row>
    <row r="124" spans="1:7" x14ac:dyDescent="0.45">
      <c r="A124">
        <f ca="1">VLOOKUP(dict_zul_Var_Meth[[#This Row],[ignored_rank]],help_zuord_Var_Meth[],2)</f>
        <v>32</v>
      </c>
      <c r="B124">
        <v>405</v>
      </c>
      <c r="C1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4">
        <f ca="1">RAND()</f>
        <v>0.84457580999620185</v>
      </c>
      <c r="E124">
        <f ca="1">RANK(dict_zul_Var_Meth[[#This Row],[ignored_rand]],dict_zul_Var_Meth[ignored_rand])</f>
        <v>122</v>
      </c>
      <c r="F124">
        <f ca="1">ROUNDUP(748/200*help_zuord_Var_Meth[[#This Row],[ignored_help_VarsID]],0)+RANDBETWEEN(0,1)-RANDBETWEEN(0,1)</f>
        <v>457</v>
      </c>
      <c r="G124">
        <v>122</v>
      </c>
    </row>
    <row r="125" spans="1:7" x14ac:dyDescent="0.45">
      <c r="A125">
        <f ca="1">VLOOKUP(dict_zul_Var_Meth[[#This Row],[ignored_rank]],help_zuord_Var_Meth[],2)</f>
        <v>33</v>
      </c>
      <c r="B125">
        <v>220</v>
      </c>
      <c r="C1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5">
        <f ca="1">RAND()</f>
        <v>0.8410459708304362</v>
      </c>
      <c r="E125">
        <f ca="1">RANK(dict_zul_Var_Meth[[#This Row],[ignored_rand]],dict_zul_Var_Meth[ignored_rand])</f>
        <v>126</v>
      </c>
      <c r="F125">
        <f ca="1">ROUNDUP(748/200*help_zuord_Var_Meth[[#This Row],[ignored_help_VarsID]],0)+RANDBETWEEN(0,1)-RANDBETWEEN(0,1)</f>
        <v>462</v>
      </c>
      <c r="G125">
        <v>123</v>
      </c>
    </row>
    <row r="126" spans="1:7" x14ac:dyDescent="0.45">
      <c r="A126">
        <f ca="1">VLOOKUP(dict_zul_Var_Meth[[#This Row],[ignored_rank]],help_zuord_Var_Meth[],2)</f>
        <v>33</v>
      </c>
      <c r="B126">
        <v>263</v>
      </c>
      <c r="C1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6">
        <f ca="1">RAND()</f>
        <v>0.84148088461471759</v>
      </c>
      <c r="E126">
        <f ca="1">RANK(dict_zul_Var_Meth[[#This Row],[ignored_rand]],dict_zul_Var_Meth[ignored_rand])</f>
        <v>125</v>
      </c>
      <c r="F126">
        <f ca="1">ROUNDUP(748/200*help_zuord_Var_Meth[[#This Row],[ignored_help_VarsID]],0)+RANDBETWEEN(0,1)-RANDBETWEEN(0,1)</f>
        <v>463</v>
      </c>
      <c r="G126">
        <v>124</v>
      </c>
    </row>
    <row r="127" spans="1:7" x14ac:dyDescent="0.45">
      <c r="A127">
        <f ca="1">VLOOKUP(dict_zul_Var_Meth[[#This Row],[ignored_rank]],help_zuord_Var_Meth[],2)</f>
        <v>33</v>
      </c>
      <c r="B127">
        <v>165</v>
      </c>
      <c r="C1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7">
        <f ca="1">RAND()</f>
        <v>0.83754513978690237</v>
      </c>
      <c r="E127">
        <f ca="1">RANK(dict_zul_Var_Meth[[#This Row],[ignored_rand]],dict_zul_Var_Meth[ignored_rand])</f>
        <v>127</v>
      </c>
      <c r="F127">
        <f ca="1">ROUNDUP(748/200*help_zuord_Var_Meth[[#This Row],[ignored_help_VarsID]],0)+RANDBETWEEN(0,1)-RANDBETWEEN(0,1)</f>
        <v>468</v>
      </c>
      <c r="G127">
        <v>125</v>
      </c>
    </row>
    <row r="128" spans="1:7" x14ac:dyDescent="0.45">
      <c r="A128">
        <f ca="1">VLOOKUP(dict_zul_Var_Meth[[#This Row],[ignored_rank]],help_zuord_Var_Meth[],2)</f>
        <v>33</v>
      </c>
      <c r="B128">
        <v>58</v>
      </c>
      <c r="C1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8">
        <f ca="1">RAND()</f>
        <v>0.83248577553010528</v>
      </c>
      <c r="E128">
        <f ca="1">RANK(dict_zul_Var_Meth[[#This Row],[ignored_rand]],dict_zul_Var_Meth[ignored_rand])</f>
        <v>128</v>
      </c>
      <c r="F128">
        <f ca="1">ROUNDUP(748/200*help_zuord_Var_Meth[[#This Row],[ignored_help_VarsID]],0)+RANDBETWEEN(0,1)-RANDBETWEEN(0,1)</f>
        <v>471</v>
      </c>
      <c r="G128">
        <v>126</v>
      </c>
    </row>
    <row r="129" spans="1:7" x14ac:dyDescent="0.45">
      <c r="A129">
        <f ca="1">VLOOKUP(dict_zul_Var_Meth[[#This Row],[ignored_rank]],help_zuord_Var_Meth[],2)</f>
        <v>33</v>
      </c>
      <c r="B129">
        <v>678</v>
      </c>
      <c r="C1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29">
        <f ca="1">RAND()</f>
        <v>0.84172527227577509</v>
      </c>
      <c r="E129">
        <f ca="1">RANK(dict_zul_Var_Meth[[#This Row],[ignored_rand]],dict_zul_Var_Meth[ignored_rand])</f>
        <v>124</v>
      </c>
      <c r="F129">
        <f ca="1">ROUNDUP(748/200*help_zuord_Var_Meth[[#This Row],[ignored_help_VarsID]],0)+RANDBETWEEN(0,1)-RANDBETWEEN(0,1)</f>
        <v>474</v>
      </c>
      <c r="G129">
        <v>127</v>
      </c>
    </row>
    <row r="130" spans="1:7" x14ac:dyDescent="0.45">
      <c r="A130">
        <f ca="1">VLOOKUP(dict_zul_Var_Meth[[#This Row],[ignored_rank]],help_zuord_Var_Meth[],2)</f>
        <v>34</v>
      </c>
      <c r="B130">
        <v>575</v>
      </c>
      <c r="C1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0">
        <f ca="1">RAND()</f>
        <v>0.83026238921018103</v>
      </c>
      <c r="E130">
        <f ca="1">RANK(dict_zul_Var_Meth[[#This Row],[ignored_rand]],dict_zul_Var_Meth[ignored_rand])</f>
        <v>131</v>
      </c>
      <c r="F130">
        <f ca="1">ROUNDUP(748/200*help_zuord_Var_Meth[[#This Row],[ignored_help_VarsID]],0)+RANDBETWEEN(0,1)-RANDBETWEEN(0,1)</f>
        <v>479</v>
      </c>
      <c r="G130">
        <v>128</v>
      </c>
    </row>
    <row r="131" spans="1:7" x14ac:dyDescent="0.45">
      <c r="A131">
        <f ca="1">VLOOKUP(dict_zul_Var_Meth[[#This Row],[ignored_rank]],help_zuord_Var_Meth[],2)</f>
        <v>34</v>
      </c>
      <c r="B131">
        <v>53</v>
      </c>
      <c r="C1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1">
        <f ca="1">RAND()</f>
        <v>0.8322873813877667</v>
      </c>
      <c r="E131">
        <f ca="1">RANK(dict_zul_Var_Meth[[#This Row],[ignored_rand]],dict_zul_Var_Meth[ignored_rand])</f>
        <v>129</v>
      </c>
      <c r="F131">
        <f ca="1">ROUNDUP(748/200*help_zuord_Var_Meth[[#This Row],[ignored_help_VarsID]],0)+RANDBETWEEN(0,1)-RANDBETWEEN(0,1)</f>
        <v>483</v>
      </c>
      <c r="G131">
        <v>129</v>
      </c>
    </row>
    <row r="132" spans="1:7" x14ac:dyDescent="0.45">
      <c r="A132">
        <f ca="1">VLOOKUP(dict_zul_Var_Meth[[#This Row],[ignored_rank]],help_zuord_Var_Meth[],2)</f>
        <v>34</v>
      </c>
      <c r="B132">
        <v>378</v>
      </c>
      <c r="C1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2">
        <f ca="1">RAND()</f>
        <v>0.83047180719980218</v>
      </c>
      <c r="E132">
        <f ca="1">RANK(dict_zul_Var_Meth[[#This Row],[ignored_rand]],dict_zul_Var_Meth[ignored_rand])</f>
        <v>130</v>
      </c>
      <c r="F132">
        <f ca="1">ROUNDUP(748/200*help_zuord_Var_Meth[[#This Row],[ignored_help_VarsID]],0)+RANDBETWEEN(0,1)-RANDBETWEEN(0,1)</f>
        <v>488</v>
      </c>
      <c r="G132">
        <v>130</v>
      </c>
    </row>
    <row r="133" spans="1:7" x14ac:dyDescent="0.45">
      <c r="A133">
        <f ca="1">VLOOKUP(dict_zul_Var_Meth[[#This Row],[ignored_rank]],help_zuord_Var_Meth[],2)</f>
        <v>35</v>
      </c>
      <c r="B133">
        <v>96</v>
      </c>
      <c r="C1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3">
        <f ca="1">RAND()</f>
        <v>0.82641569663255987</v>
      </c>
      <c r="E133">
        <f ca="1">RANK(dict_zul_Var_Meth[[#This Row],[ignored_rand]],dict_zul_Var_Meth[ignored_rand])</f>
        <v>132</v>
      </c>
      <c r="F133">
        <f ca="1">ROUNDUP(748/200*help_zuord_Var_Meth[[#This Row],[ignored_help_VarsID]],0)+RANDBETWEEN(0,1)-RANDBETWEEN(0,1)</f>
        <v>491</v>
      </c>
      <c r="G133">
        <v>131</v>
      </c>
    </row>
    <row r="134" spans="1:7" x14ac:dyDescent="0.45">
      <c r="A134">
        <f ca="1">VLOOKUP(dict_zul_Var_Meth[[#This Row],[ignored_rank]],help_zuord_Var_Meth[],2)</f>
        <v>35</v>
      </c>
      <c r="B134">
        <v>4</v>
      </c>
      <c r="C1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4">
        <f ca="1">RAND()</f>
        <v>0.82160106356110996</v>
      </c>
      <c r="E134">
        <f ca="1">RANK(dict_zul_Var_Meth[[#This Row],[ignored_rand]],dict_zul_Var_Meth[ignored_rand])</f>
        <v>134</v>
      </c>
      <c r="F134">
        <f ca="1">ROUNDUP(748/200*help_zuord_Var_Meth[[#This Row],[ignored_help_VarsID]],0)+RANDBETWEEN(0,1)-RANDBETWEEN(0,1)</f>
        <v>494</v>
      </c>
      <c r="G134">
        <v>132</v>
      </c>
    </row>
    <row r="135" spans="1:7" x14ac:dyDescent="0.45">
      <c r="A135">
        <f ca="1">VLOOKUP(dict_zul_Var_Meth[[#This Row],[ignored_rank]],help_zuord_Var_Meth[],2)</f>
        <v>35</v>
      </c>
      <c r="B135">
        <v>587</v>
      </c>
      <c r="C1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5">
        <f ca="1">RAND()</f>
        <v>0.82564725211380019</v>
      </c>
      <c r="E135">
        <f ca="1">RANK(dict_zul_Var_Meth[[#This Row],[ignored_rand]],dict_zul_Var_Meth[ignored_rand])</f>
        <v>133</v>
      </c>
      <c r="F135">
        <f ca="1">ROUNDUP(748/200*help_zuord_Var_Meth[[#This Row],[ignored_help_VarsID]],0)+RANDBETWEEN(0,1)-RANDBETWEEN(0,1)</f>
        <v>498</v>
      </c>
      <c r="G135">
        <v>133</v>
      </c>
    </row>
    <row r="136" spans="1:7" x14ac:dyDescent="0.45">
      <c r="A136">
        <f ca="1">VLOOKUP(dict_zul_Var_Meth[[#This Row],[ignored_rank]],help_zuord_Var_Meth[],2)</f>
        <v>36</v>
      </c>
      <c r="B136">
        <v>148</v>
      </c>
      <c r="C1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6">
        <f ca="1">RAND()</f>
        <v>0.81529509582783477</v>
      </c>
      <c r="E136">
        <f ca="1">RANK(dict_zul_Var_Meth[[#This Row],[ignored_rand]],dict_zul_Var_Meth[ignored_rand])</f>
        <v>138</v>
      </c>
      <c r="F136">
        <f ca="1">ROUNDUP(748/200*help_zuord_Var_Meth[[#This Row],[ignored_help_VarsID]],0)+RANDBETWEEN(0,1)-RANDBETWEEN(0,1)</f>
        <v>503</v>
      </c>
      <c r="G136">
        <v>134</v>
      </c>
    </row>
    <row r="137" spans="1:7" x14ac:dyDescent="0.45">
      <c r="A137">
        <f ca="1">VLOOKUP(dict_zul_Var_Meth[[#This Row],[ignored_rank]],help_zuord_Var_Meth[],2)</f>
        <v>36</v>
      </c>
      <c r="B137">
        <v>524</v>
      </c>
      <c r="C1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7">
        <f ca="1">RAND()</f>
        <v>0.81650140849585029</v>
      </c>
      <c r="E137">
        <f ca="1">RANK(dict_zul_Var_Meth[[#This Row],[ignored_rand]],dict_zul_Var_Meth[ignored_rand])</f>
        <v>137</v>
      </c>
      <c r="F137">
        <f ca="1">ROUNDUP(748/200*help_zuord_Var_Meth[[#This Row],[ignored_help_VarsID]],0)+RANDBETWEEN(0,1)-RANDBETWEEN(0,1)</f>
        <v>506</v>
      </c>
      <c r="G137">
        <v>135</v>
      </c>
    </row>
    <row r="138" spans="1:7" x14ac:dyDescent="0.45">
      <c r="A138">
        <f ca="1">VLOOKUP(dict_zul_Var_Meth[[#This Row],[ignored_rank]],help_zuord_Var_Meth[],2)</f>
        <v>36</v>
      </c>
      <c r="B138">
        <v>201</v>
      </c>
      <c r="C1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8">
        <f ca="1">RAND()</f>
        <v>0.8180069734295955</v>
      </c>
      <c r="E138">
        <f ca="1">RANK(dict_zul_Var_Meth[[#This Row],[ignored_rand]],dict_zul_Var_Meth[ignored_rand])</f>
        <v>136</v>
      </c>
      <c r="F138">
        <f ca="1">ROUNDUP(748/200*help_zuord_Var_Meth[[#This Row],[ignored_help_VarsID]],0)+RANDBETWEEN(0,1)-RANDBETWEEN(0,1)</f>
        <v>509</v>
      </c>
      <c r="G138">
        <v>136</v>
      </c>
    </row>
    <row r="139" spans="1:7" x14ac:dyDescent="0.45">
      <c r="A139">
        <f ca="1">VLOOKUP(dict_zul_Var_Meth[[#This Row],[ignored_rank]],help_zuord_Var_Meth[],2)</f>
        <v>36</v>
      </c>
      <c r="B139">
        <v>304</v>
      </c>
      <c r="C1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39">
        <f ca="1">RAND()</f>
        <v>0.81949307976732932</v>
      </c>
      <c r="E139">
        <f ca="1">RANK(dict_zul_Var_Meth[[#This Row],[ignored_rand]],dict_zul_Var_Meth[ignored_rand])</f>
        <v>135</v>
      </c>
      <c r="F139">
        <f ca="1">ROUNDUP(748/200*help_zuord_Var_Meth[[#This Row],[ignored_help_VarsID]],0)+RANDBETWEEN(0,1)-RANDBETWEEN(0,1)</f>
        <v>513</v>
      </c>
      <c r="G139">
        <v>137</v>
      </c>
    </row>
    <row r="140" spans="1:7" x14ac:dyDescent="0.45">
      <c r="A140">
        <f ca="1">VLOOKUP(dict_zul_Var_Meth[[#This Row],[ignored_rank]],help_zuord_Var_Meth[],2)</f>
        <v>37</v>
      </c>
      <c r="B140">
        <v>59</v>
      </c>
      <c r="C1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0">
        <f ca="1">RAND()</f>
        <v>0.81485061115845192</v>
      </c>
      <c r="E140">
        <f ca="1">RANK(dict_zul_Var_Meth[[#This Row],[ignored_rand]],dict_zul_Var_Meth[ignored_rand])</f>
        <v>140</v>
      </c>
      <c r="F140">
        <f ca="1">ROUNDUP(748/200*help_zuord_Var_Meth[[#This Row],[ignored_help_VarsID]],0)+RANDBETWEEN(0,1)-RANDBETWEEN(0,1)</f>
        <v>517</v>
      </c>
      <c r="G140">
        <v>138</v>
      </c>
    </row>
    <row r="141" spans="1:7" x14ac:dyDescent="0.45">
      <c r="A141" s="3">
        <f ca="1">VLOOKUP(dict_zul_Var_Meth[[#This Row],[ignored_rank]],help_zuord_Var_Meth[],2)</f>
        <v>37</v>
      </c>
      <c r="B141">
        <v>153</v>
      </c>
      <c r="C1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1">
        <f ca="1">RAND()</f>
        <v>0.81514438580086868</v>
      </c>
      <c r="E141" s="3">
        <f ca="1">RANK(dict_zul_Var_Meth[[#This Row],[ignored_rand]],dict_zul_Var_Meth[ignored_rand])</f>
        <v>139</v>
      </c>
      <c r="F141">
        <f ca="1">ROUNDUP(748/200*help_zuord_Var_Meth[[#This Row],[ignored_help_VarsID]],0)+RANDBETWEEN(0,1)-RANDBETWEEN(0,1)</f>
        <v>519</v>
      </c>
      <c r="G141">
        <v>139</v>
      </c>
    </row>
    <row r="142" spans="1:7" x14ac:dyDescent="0.45">
      <c r="A142">
        <f ca="1">VLOOKUP(dict_zul_Var_Meth[[#This Row],[ignored_rank]],help_zuord_Var_Meth[],2)</f>
        <v>37</v>
      </c>
      <c r="B142">
        <v>188</v>
      </c>
      <c r="C1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2">
        <f ca="1">RAND()</f>
        <v>0.81264363866204392</v>
      </c>
      <c r="E142">
        <f ca="1">RANK(dict_zul_Var_Meth[[#This Row],[ignored_rand]],dict_zul_Var_Meth[ignored_rand])</f>
        <v>142</v>
      </c>
      <c r="F142">
        <f ca="1">ROUNDUP(748/200*help_zuord_Var_Meth[[#This Row],[ignored_help_VarsID]],0)+RANDBETWEEN(0,1)-RANDBETWEEN(0,1)</f>
        <v>523</v>
      </c>
      <c r="G142">
        <v>140</v>
      </c>
    </row>
    <row r="143" spans="1:7" x14ac:dyDescent="0.45">
      <c r="A143">
        <f ca="1">VLOOKUP(dict_zul_Var_Meth[[#This Row],[ignored_rank]],help_zuord_Var_Meth[],2)</f>
        <v>37</v>
      </c>
      <c r="B143">
        <v>98</v>
      </c>
      <c r="C1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3">
        <f ca="1">RAND()</f>
        <v>0.81296854171557409</v>
      </c>
      <c r="E143">
        <f ca="1">RANK(dict_zul_Var_Meth[[#This Row],[ignored_rand]],dict_zul_Var_Meth[ignored_rand])</f>
        <v>141</v>
      </c>
      <c r="F143">
        <f ca="1">ROUNDUP(748/200*help_zuord_Var_Meth[[#This Row],[ignored_help_VarsID]],0)+RANDBETWEEN(0,1)-RANDBETWEEN(0,1)</f>
        <v>529</v>
      </c>
      <c r="G143">
        <v>141</v>
      </c>
    </row>
    <row r="144" spans="1:7" x14ac:dyDescent="0.45">
      <c r="A144">
        <f ca="1">VLOOKUP(dict_zul_Var_Meth[[#This Row],[ignored_rank]],help_zuord_Var_Meth[],2)</f>
        <v>38</v>
      </c>
      <c r="B144">
        <v>139</v>
      </c>
      <c r="C1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4">
        <f ca="1">RAND()</f>
        <v>0.80881968342945776</v>
      </c>
      <c r="E144">
        <f ca="1">RANK(dict_zul_Var_Meth[[#This Row],[ignored_rand]],dict_zul_Var_Meth[ignored_rand])</f>
        <v>144</v>
      </c>
      <c r="F144">
        <f ca="1">ROUNDUP(748/200*help_zuord_Var_Meth[[#This Row],[ignored_help_VarsID]],0)+RANDBETWEEN(0,1)-RANDBETWEEN(0,1)</f>
        <v>533</v>
      </c>
      <c r="G144">
        <v>142</v>
      </c>
    </row>
    <row r="145" spans="1:7" x14ac:dyDescent="0.45">
      <c r="A145">
        <f ca="1">VLOOKUP(dict_zul_Var_Meth[[#This Row],[ignored_rank]],help_zuord_Var_Meth[],2)</f>
        <v>38</v>
      </c>
      <c r="B145">
        <v>9</v>
      </c>
      <c r="C1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5">
        <f ca="1">RAND()</f>
        <v>0.80781438518275095</v>
      </c>
      <c r="E145">
        <f ca="1">RANK(dict_zul_Var_Meth[[#This Row],[ignored_rand]],dict_zul_Var_Meth[ignored_rand])</f>
        <v>145</v>
      </c>
      <c r="F145">
        <f ca="1">ROUNDUP(748/200*help_zuord_Var_Meth[[#This Row],[ignored_help_VarsID]],0)+RANDBETWEEN(0,1)-RANDBETWEEN(0,1)</f>
        <v>534</v>
      </c>
      <c r="G145">
        <v>143</v>
      </c>
    </row>
    <row r="146" spans="1:7" x14ac:dyDescent="0.45">
      <c r="A146">
        <f ca="1">VLOOKUP(dict_zul_Var_Meth[[#This Row],[ignored_rank]],help_zuord_Var_Meth[],2)</f>
        <v>38</v>
      </c>
      <c r="B146">
        <v>675</v>
      </c>
      <c r="C1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6">
        <f ca="1">RAND()</f>
        <v>0.80747081491332262</v>
      </c>
      <c r="E146">
        <f ca="1">RANK(dict_zul_Var_Meth[[#This Row],[ignored_rand]],dict_zul_Var_Meth[ignored_rand])</f>
        <v>146</v>
      </c>
      <c r="F146">
        <f ca="1">ROUNDUP(748/200*help_zuord_Var_Meth[[#This Row],[ignored_help_VarsID]],0)+RANDBETWEEN(0,1)-RANDBETWEEN(0,1)</f>
        <v>538</v>
      </c>
      <c r="G146">
        <v>144</v>
      </c>
    </row>
    <row r="147" spans="1:7" x14ac:dyDescent="0.45">
      <c r="A147">
        <f ca="1">VLOOKUP(dict_zul_Var_Meth[[#This Row],[ignored_rank]],help_zuord_Var_Meth[],2)</f>
        <v>38</v>
      </c>
      <c r="B147">
        <v>310</v>
      </c>
      <c r="C1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7">
        <f ca="1">RAND()</f>
        <v>0.81194274209407957</v>
      </c>
      <c r="E147">
        <f ca="1">RANK(dict_zul_Var_Meth[[#This Row],[ignored_rand]],dict_zul_Var_Meth[ignored_rand])</f>
        <v>143</v>
      </c>
      <c r="F147">
        <f ca="1">ROUNDUP(748/200*help_zuord_Var_Meth[[#This Row],[ignored_help_VarsID]],0)+RANDBETWEEN(0,1)-RANDBETWEEN(0,1)</f>
        <v>543</v>
      </c>
      <c r="G147">
        <v>145</v>
      </c>
    </row>
    <row r="148" spans="1:7" x14ac:dyDescent="0.45">
      <c r="A148">
        <f ca="1">VLOOKUP(dict_zul_Var_Meth[[#This Row],[ignored_rank]],help_zuord_Var_Meth[],2)</f>
        <v>39</v>
      </c>
      <c r="B148">
        <v>39</v>
      </c>
      <c r="C1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8">
        <f ca="1">RAND()</f>
        <v>0.80684768731684597</v>
      </c>
      <c r="E148">
        <f ca="1">RANK(dict_zul_Var_Meth[[#This Row],[ignored_rand]],dict_zul_Var_Meth[ignored_rand])</f>
        <v>147</v>
      </c>
      <c r="F148">
        <f ca="1">ROUNDUP(748/200*help_zuord_Var_Meth[[#This Row],[ignored_help_VarsID]],0)+RANDBETWEEN(0,1)-RANDBETWEEN(0,1)</f>
        <v>548</v>
      </c>
      <c r="G148">
        <v>146</v>
      </c>
    </row>
    <row r="149" spans="1:7" x14ac:dyDescent="0.45">
      <c r="A149">
        <f ca="1">VLOOKUP(dict_zul_Var_Meth[[#This Row],[ignored_rank]],help_zuord_Var_Meth[],2)</f>
        <v>39</v>
      </c>
      <c r="B149">
        <v>630</v>
      </c>
      <c r="C1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49">
        <f ca="1">RAND()</f>
        <v>0.80567946616692121</v>
      </c>
      <c r="E149">
        <f ca="1">RANK(dict_zul_Var_Meth[[#This Row],[ignored_rand]],dict_zul_Var_Meth[ignored_rand])</f>
        <v>148</v>
      </c>
      <c r="F149">
        <f ca="1">ROUNDUP(748/200*help_zuord_Var_Meth[[#This Row],[ignored_help_VarsID]],0)+RANDBETWEEN(0,1)-RANDBETWEEN(0,1)</f>
        <v>550</v>
      </c>
      <c r="G149">
        <v>147</v>
      </c>
    </row>
    <row r="150" spans="1:7" x14ac:dyDescent="0.45">
      <c r="A150">
        <f ca="1">VLOOKUP(dict_zul_Var_Meth[[#This Row],[ignored_rank]],help_zuord_Var_Meth[],2)</f>
        <v>39</v>
      </c>
      <c r="B150">
        <v>399</v>
      </c>
      <c r="C1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0">
        <f ca="1">RAND()</f>
        <v>0.80297174429649498</v>
      </c>
      <c r="E150">
        <f ca="1">RANK(dict_zul_Var_Meth[[#This Row],[ignored_rand]],dict_zul_Var_Meth[ignored_rand])</f>
        <v>149</v>
      </c>
      <c r="F150">
        <f ca="1">ROUNDUP(748/200*help_zuord_Var_Meth[[#This Row],[ignored_help_VarsID]],0)+RANDBETWEEN(0,1)-RANDBETWEEN(0,1)</f>
        <v>555</v>
      </c>
      <c r="G150">
        <v>148</v>
      </c>
    </row>
    <row r="151" spans="1:7" x14ac:dyDescent="0.45">
      <c r="A151">
        <f ca="1">VLOOKUP(dict_zul_Var_Meth[[#This Row],[ignored_rank]],help_zuord_Var_Meth[],2)</f>
        <v>40</v>
      </c>
      <c r="B151">
        <v>479</v>
      </c>
      <c r="C1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1">
        <f ca="1">RAND()</f>
        <v>0.80212167395679379</v>
      </c>
      <c r="E151">
        <f ca="1">RANK(dict_zul_Var_Meth[[#This Row],[ignored_rand]],dict_zul_Var_Meth[ignored_rand])</f>
        <v>152</v>
      </c>
      <c r="F151">
        <f ca="1">ROUNDUP(748/200*help_zuord_Var_Meth[[#This Row],[ignored_help_VarsID]],0)+RANDBETWEEN(0,1)-RANDBETWEEN(0,1)</f>
        <v>557</v>
      </c>
      <c r="G151">
        <v>149</v>
      </c>
    </row>
    <row r="152" spans="1:7" x14ac:dyDescent="0.45">
      <c r="A152">
        <f ca="1">VLOOKUP(dict_zul_Var_Meth[[#This Row],[ignored_rank]],help_zuord_Var_Meth[],2)</f>
        <v>40</v>
      </c>
      <c r="B152">
        <v>15</v>
      </c>
      <c r="C1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2">
        <f ca="1">RAND()</f>
        <v>0.80262995912109025</v>
      </c>
      <c r="E152">
        <f ca="1">RANK(dict_zul_Var_Meth[[#This Row],[ignored_rand]],dict_zul_Var_Meth[ignored_rand])</f>
        <v>151</v>
      </c>
      <c r="F152">
        <f ca="1">ROUNDUP(748/200*help_zuord_Var_Meth[[#This Row],[ignored_help_VarsID]],0)+RANDBETWEEN(0,1)-RANDBETWEEN(0,1)</f>
        <v>562</v>
      </c>
      <c r="G152">
        <v>150</v>
      </c>
    </row>
    <row r="153" spans="1:7" x14ac:dyDescent="0.45">
      <c r="A153">
        <f ca="1">VLOOKUP(dict_zul_Var_Meth[[#This Row],[ignored_rank]],help_zuord_Var_Meth[],2)</f>
        <v>40</v>
      </c>
      <c r="B153">
        <v>573</v>
      </c>
      <c r="C1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3">
        <f ca="1">RAND()</f>
        <v>0.80052997167963347</v>
      </c>
      <c r="E153">
        <f ca="1">RANK(dict_zul_Var_Meth[[#This Row],[ignored_rand]],dict_zul_Var_Meth[ignored_rand])</f>
        <v>153</v>
      </c>
      <c r="F153">
        <f ca="1">ROUNDUP(748/200*help_zuord_Var_Meth[[#This Row],[ignored_help_VarsID]],0)+RANDBETWEEN(0,1)-RANDBETWEEN(0,1)</f>
        <v>566</v>
      </c>
      <c r="G153">
        <v>151</v>
      </c>
    </row>
    <row r="154" spans="1:7" x14ac:dyDescent="0.45">
      <c r="A154">
        <f ca="1">VLOOKUP(dict_zul_Var_Meth[[#This Row],[ignored_rank]],help_zuord_Var_Meth[],2)</f>
        <v>40</v>
      </c>
      <c r="B154">
        <v>475</v>
      </c>
      <c r="C1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4">
        <f ca="1">RAND()</f>
        <v>0.8029218134411088</v>
      </c>
      <c r="E154">
        <f ca="1">RANK(dict_zul_Var_Meth[[#This Row],[ignored_rand]],dict_zul_Var_Meth[ignored_rand])</f>
        <v>150</v>
      </c>
      <c r="F154">
        <f ca="1">ROUNDUP(748/200*help_zuord_Var_Meth[[#This Row],[ignored_help_VarsID]],0)+RANDBETWEEN(0,1)-RANDBETWEEN(0,1)</f>
        <v>570</v>
      </c>
      <c r="G154">
        <v>152</v>
      </c>
    </row>
    <row r="155" spans="1:7" x14ac:dyDescent="0.45">
      <c r="A155">
        <f ca="1">VLOOKUP(dict_zul_Var_Meth[[#This Row],[ignored_rank]],help_zuord_Var_Meth[],2)</f>
        <v>41</v>
      </c>
      <c r="B155">
        <v>428</v>
      </c>
      <c r="C1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5">
        <f ca="1">RAND()</f>
        <v>0.79987910629668835</v>
      </c>
      <c r="E155">
        <f ca="1">RANK(dict_zul_Var_Meth[[#This Row],[ignored_rand]],dict_zul_Var_Meth[ignored_rand])</f>
        <v>154</v>
      </c>
      <c r="F155">
        <f ca="1">ROUNDUP(748/200*help_zuord_Var_Meth[[#This Row],[ignored_help_VarsID]],0)+RANDBETWEEN(0,1)-RANDBETWEEN(0,1)</f>
        <v>573</v>
      </c>
      <c r="G155">
        <v>153</v>
      </c>
    </row>
    <row r="156" spans="1:7" x14ac:dyDescent="0.45">
      <c r="A156">
        <f ca="1">VLOOKUP(dict_zul_Var_Meth[[#This Row],[ignored_rank]],help_zuord_Var_Meth[],2)</f>
        <v>41</v>
      </c>
      <c r="B156">
        <v>458</v>
      </c>
      <c r="C1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6">
        <f ca="1">RAND()</f>
        <v>0.79809251946412296</v>
      </c>
      <c r="E156">
        <f ca="1">RANK(dict_zul_Var_Meth[[#This Row],[ignored_rand]],dict_zul_Var_Meth[ignored_rand])</f>
        <v>156</v>
      </c>
      <c r="F156">
        <f ca="1">ROUNDUP(748/200*help_zuord_Var_Meth[[#This Row],[ignored_help_VarsID]],0)+RANDBETWEEN(0,1)-RANDBETWEEN(0,1)</f>
        <v>577</v>
      </c>
      <c r="G156">
        <v>154</v>
      </c>
    </row>
    <row r="157" spans="1:7" x14ac:dyDescent="0.45">
      <c r="A157">
        <f ca="1">VLOOKUP(dict_zul_Var_Meth[[#This Row],[ignored_rank]],help_zuord_Var_Meth[],2)</f>
        <v>41</v>
      </c>
      <c r="B157">
        <v>213</v>
      </c>
      <c r="C1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7">
        <f ca="1">RAND()</f>
        <v>0.79940778706529148</v>
      </c>
      <c r="E157">
        <f ca="1">RANK(dict_zul_Var_Meth[[#This Row],[ignored_rand]],dict_zul_Var_Meth[ignored_rand])</f>
        <v>155</v>
      </c>
      <c r="F157">
        <f ca="1">ROUNDUP(748/200*help_zuord_Var_Meth[[#This Row],[ignored_help_VarsID]],0)+RANDBETWEEN(0,1)-RANDBETWEEN(0,1)</f>
        <v>580</v>
      </c>
      <c r="G157">
        <v>155</v>
      </c>
    </row>
    <row r="158" spans="1:7" x14ac:dyDescent="0.45">
      <c r="A158">
        <f ca="1">VLOOKUP(dict_zul_Var_Meth[[#This Row],[ignored_rank]],help_zuord_Var_Meth[],2)</f>
        <v>41</v>
      </c>
      <c r="B158">
        <v>53</v>
      </c>
      <c r="C1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8">
        <f ca="1">RAND()</f>
        <v>0.79599727448474311</v>
      </c>
      <c r="E158">
        <f ca="1">RANK(dict_zul_Var_Meth[[#This Row],[ignored_rand]],dict_zul_Var_Meth[ignored_rand])</f>
        <v>157</v>
      </c>
      <c r="F158">
        <f ca="1">ROUNDUP(748/200*help_zuord_Var_Meth[[#This Row],[ignored_help_VarsID]],0)+RANDBETWEEN(0,1)-RANDBETWEEN(0,1)</f>
        <v>583</v>
      </c>
      <c r="G158">
        <v>156</v>
      </c>
    </row>
    <row r="159" spans="1:7" x14ac:dyDescent="0.45">
      <c r="A159">
        <f ca="1">VLOOKUP(dict_zul_Var_Meth[[#This Row],[ignored_rank]],help_zuord_Var_Meth[],2)</f>
        <v>42</v>
      </c>
      <c r="B159">
        <v>57</v>
      </c>
      <c r="C1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59">
        <f ca="1">RAND()</f>
        <v>0.79211254572081224</v>
      </c>
      <c r="E159">
        <f ca="1">RANK(dict_zul_Var_Meth[[#This Row],[ignored_rand]],dict_zul_Var_Meth[ignored_rand])</f>
        <v>159</v>
      </c>
      <c r="F159">
        <f ca="1">ROUNDUP(748/200*help_zuord_Var_Meth[[#This Row],[ignored_help_VarsID]],0)+RANDBETWEEN(0,1)-RANDBETWEEN(0,1)</f>
        <v>589</v>
      </c>
      <c r="G159">
        <v>157</v>
      </c>
    </row>
    <row r="160" spans="1:7" x14ac:dyDescent="0.45">
      <c r="A160">
        <f ca="1">VLOOKUP(dict_zul_Var_Meth[[#This Row],[ignored_rank]],help_zuord_Var_Meth[],2)</f>
        <v>42</v>
      </c>
      <c r="B160">
        <v>663</v>
      </c>
      <c r="C1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0">
        <f ca="1">RAND()</f>
        <v>0.79224382723484232</v>
      </c>
      <c r="E160">
        <f ca="1">RANK(dict_zul_Var_Meth[[#This Row],[ignored_rand]],dict_zul_Var_Meth[ignored_rand])</f>
        <v>158</v>
      </c>
      <c r="F160">
        <f ca="1">ROUNDUP(748/200*help_zuord_Var_Meth[[#This Row],[ignored_help_VarsID]],0)+RANDBETWEEN(0,1)-RANDBETWEEN(0,1)</f>
        <v>591</v>
      </c>
      <c r="G160">
        <v>158</v>
      </c>
    </row>
    <row r="161" spans="1:7" x14ac:dyDescent="0.45">
      <c r="A161">
        <f ca="1">VLOOKUP(dict_zul_Var_Meth[[#This Row],[ignored_rank]],help_zuord_Var_Meth[],2)</f>
        <v>43</v>
      </c>
      <c r="B161">
        <v>285</v>
      </c>
      <c r="C1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1">
        <f ca="1">RAND()</f>
        <v>0.7887202780174325</v>
      </c>
      <c r="E161">
        <f ca="1">RANK(dict_zul_Var_Meth[[#This Row],[ignored_rand]],dict_zul_Var_Meth[ignored_rand])</f>
        <v>162</v>
      </c>
      <c r="F161">
        <f ca="1">ROUNDUP(748/200*help_zuord_Var_Meth[[#This Row],[ignored_help_VarsID]],0)+RANDBETWEEN(0,1)-RANDBETWEEN(0,1)</f>
        <v>596</v>
      </c>
      <c r="G161">
        <v>159</v>
      </c>
    </row>
    <row r="162" spans="1:7" x14ac:dyDescent="0.45">
      <c r="A162">
        <f ca="1">VLOOKUP(dict_zul_Var_Meth[[#This Row],[ignored_rank]],help_zuord_Var_Meth[],2)</f>
        <v>43</v>
      </c>
      <c r="B162">
        <v>460</v>
      </c>
      <c r="C1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2">
        <f ca="1">RAND()</f>
        <v>0.7920729142254791</v>
      </c>
      <c r="E162">
        <f ca="1">RANK(dict_zul_Var_Meth[[#This Row],[ignored_rand]],dict_zul_Var_Meth[ignored_rand])</f>
        <v>160</v>
      </c>
      <c r="F162">
        <f ca="1">ROUNDUP(748/200*help_zuord_Var_Meth[[#This Row],[ignored_help_VarsID]],0)+RANDBETWEEN(0,1)-RANDBETWEEN(0,1)</f>
        <v>598</v>
      </c>
      <c r="G162">
        <v>160</v>
      </c>
    </row>
    <row r="163" spans="1:7" x14ac:dyDescent="0.45">
      <c r="A163">
        <f ca="1">VLOOKUP(dict_zul_Var_Meth[[#This Row],[ignored_rank]],help_zuord_Var_Meth[],2)</f>
        <v>43</v>
      </c>
      <c r="B163">
        <v>319</v>
      </c>
      <c r="C1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3">
        <f ca="1">RAND()</f>
        <v>0.78821898449344696</v>
      </c>
      <c r="E163">
        <f ca="1">RANK(dict_zul_Var_Meth[[#This Row],[ignored_rand]],dict_zul_Var_Meth[ignored_rand])</f>
        <v>163</v>
      </c>
      <c r="F163">
        <f ca="1">ROUNDUP(748/200*help_zuord_Var_Meth[[#This Row],[ignored_help_VarsID]],0)+RANDBETWEEN(0,1)-RANDBETWEEN(0,1)</f>
        <v>604</v>
      </c>
      <c r="G163">
        <v>161</v>
      </c>
    </row>
    <row r="164" spans="1:7" x14ac:dyDescent="0.45">
      <c r="A164" s="3">
        <f ca="1">VLOOKUP(dict_zul_Var_Meth[[#This Row],[ignored_rank]],help_zuord_Var_Meth[],2)</f>
        <v>43</v>
      </c>
      <c r="B164">
        <v>504</v>
      </c>
      <c r="C1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4">
        <f ca="1">RAND()</f>
        <v>0.7915117515238711</v>
      </c>
      <c r="E164" s="3">
        <f ca="1">RANK(dict_zul_Var_Meth[[#This Row],[ignored_rand]],dict_zul_Var_Meth[ignored_rand])</f>
        <v>161</v>
      </c>
      <c r="F164">
        <f ca="1">ROUNDUP(748/200*help_zuord_Var_Meth[[#This Row],[ignored_help_VarsID]],0)+RANDBETWEEN(0,1)-RANDBETWEEN(0,1)</f>
        <v>606</v>
      </c>
      <c r="G164">
        <v>162</v>
      </c>
    </row>
    <row r="165" spans="1:7" x14ac:dyDescent="0.45">
      <c r="A165">
        <f ca="1">VLOOKUP(dict_zul_Var_Meth[[#This Row],[ignored_rank]],help_zuord_Var_Meth[],2)</f>
        <v>43</v>
      </c>
      <c r="B165">
        <v>199</v>
      </c>
      <c r="C1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5">
        <f ca="1">RAND()</f>
        <v>0.78810875973995265</v>
      </c>
      <c r="E165">
        <f ca="1">RANK(dict_zul_Var_Meth[[#This Row],[ignored_rand]],dict_zul_Var_Meth[ignored_rand])</f>
        <v>164</v>
      </c>
      <c r="F165">
        <f ca="1">ROUNDUP(748/200*help_zuord_Var_Meth[[#This Row],[ignored_help_VarsID]],0)+RANDBETWEEN(0,1)-RANDBETWEEN(0,1)</f>
        <v>609</v>
      </c>
      <c r="G165">
        <v>163</v>
      </c>
    </row>
    <row r="166" spans="1:7" x14ac:dyDescent="0.45">
      <c r="A166">
        <f ca="1">VLOOKUP(dict_zul_Var_Meth[[#This Row],[ignored_rank]],help_zuord_Var_Meth[],2)</f>
        <v>44</v>
      </c>
      <c r="B166">
        <v>413</v>
      </c>
      <c r="C1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6">
        <f ca="1">RAND()</f>
        <v>0.78417468892667297</v>
      </c>
      <c r="E166">
        <f ca="1">RANK(dict_zul_Var_Meth[[#This Row],[ignored_rand]],dict_zul_Var_Meth[ignored_rand])</f>
        <v>166</v>
      </c>
      <c r="F166">
        <f ca="1">ROUNDUP(748/200*help_zuord_Var_Meth[[#This Row],[ignored_help_VarsID]],0)+RANDBETWEEN(0,1)-RANDBETWEEN(0,1)</f>
        <v>614</v>
      </c>
      <c r="G166">
        <v>164</v>
      </c>
    </row>
    <row r="167" spans="1:7" x14ac:dyDescent="0.45">
      <c r="A167">
        <f ca="1">VLOOKUP(dict_zul_Var_Meth[[#This Row],[ignored_rank]],help_zuord_Var_Meth[],2)</f>
        <v>44</v>
      </c>
      <c r="B167">
        <v>674</v>
      </c>
      <c r="C1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7">
        <f ca="1">RAND()</f>
        <v>0.78352928227574614</v>
      </c>
      <c r="E167">
        <f ca="1">RANK(dict_zul_Var_Meth[[#This Row],[ignored_rand]],dict_zul_Var_Meth[ignored_rand])</f>
        <v>168</v>
      </c>
      <c r="F167">
        <f ca="1">ROUNDUP(748/200*help_zuord_Var_Meth[[#This Row],[ignored_help_VarsID]],0)+RANDBETWEEN(0,1)-RANDBETWEEN(0,1)</f>
        <v>619</v>
      </c>
      <c r="G167">
        <v>165</v>
      </c>
    </row>
    <row r="168" spans="1:7" x14ac:dyDescent="0.45">
      <c r="A168">
        <f ca="1">VLOOKUP(dict_zul_Var_Meth[[#This Row],[ignored_rank]],help_zuord_Var_Meth[],2)</f>
        <v>44</v>
      </c>
      <c r="B168">
        <v>392</v>
      </c>
      <c r="C1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8">
        <f ca="1">RAND()</f>
        <v>0.78471769326986407</v>
      </c>
      <c r="E168">
        <f ca="1">RANK(dict_zul_Var_Meth[[#This Row],[ignored_rand]],dict_zul_Var_Meth[ignored_rand])</f>
        <v>165</v>
      </c>
      <c r="F168">
        <f ca="1">ROUNDUP(748/200*help_zuord_Var_Meth[[#This Row],[ignored_help_VarsID]],0)+RANDBETWEEN(0,1)-RANDBETWEEN(0,1)</f>
        <v>622</v>
      </c>
      <c r="G168">
        <v>166</v>
      </c>
    </row>
    <row r="169" spans="1:7" x14ac:dyDescent="0.45">
      <c r="A169">
        <f ca="1">VLOOKUP(dict_zul_Var_Meth[[#This Row],[ignored_rank]],help_zuord_Var_Meth[],2)</f>
        <v>44</v>
      </c>
      <c r="B169">
        <v>642</v>
      </c>
      <c r="C1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69">
        <f ca="1">RAND()</f>
        <v>0.78408719482252287</v>
      </c>
      <c r="E169">
        <f ca="1">RANK(dict_zul_Var_Meth[[#This Row],[ignored_rand]],dict_zul_Var_Meth[ignored_rand])</f>
        <v>167</v>
      </c>
      <c r="F169">
        <f ca="1">ROUNDUP(748/200*help_zuord_Var_Meth[[#This Row],[ignored_help_VarsID]],0)+RANDBETWEEN(0,1)-RANDBETWEEN(0,1)</f>
        <v>625</v>
      </c>
      <c r="G169">
        <v>167</v>
      </c>
    </row>
    <row r="170" spans="1:7" x14ac:dyDescent="0.45">
      <c r="A170">
        <f ca="1">VLOOKUP(dict_zul_Var_Meth[[#This Row],[ignored_rank]],help_zuord_Var_Meth[],2)</f>
        <v>45</v>
      </c>
      <c r="B170">
        <v>682</v>
      </c>
      <c r="C1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0">
        <f ca="1">RAND()</f>
        <v>0.78270028424413973</v>
      </c>
      <c r="E170">
        <f ca="1">RANK(dict_zul_Var_Meth[[#This Row],[ignored_rand]],dict_zul_Var_Meth[ignored_rand])</f>
        <v>171</v>
      </c>
      <c r="F170">
        <f ca="1">ROUNDUP(748/200*help_zuord_Var_Meth[[#This Row],[ignored_help_VarsID]],0)+RANDBETWEEN(0,1)-RANDBETWEEN(0,1)</f>
        <v>628</v>
      </c>
      <c r="G170">
        <v>168</v>
      </c>
    </row>
    <row r="171" spans="1:7" x14ac:dyDescent="0.45">
      <c r="A171">
        <f ca="1">VLOOKUP(dict_zul_Var_Meth[[#This Row],[ignored_rank]],help_zuord_Var_Meth[],2)</f>
        <v>45</v>
      </c>
      <c r="B171">
        <v>209</v>
      </c>
      <c r="C1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1">
        <f ca="1">RAND()</f>
        <v>0.78337361988271015</v>
      </c>
      <c r="E171">
        <f ca="1">RANK(dict_zul_Var_Meth[[#This Row],[ignored_rand]],dict_zul_Var_Meth[ignored_rand])</f>
        <v>169</v>
      </c>
      <c r="F171">
        <f ca="1">ROUNDUP(748/200*help_zuord_Var_Meth[[#This Row],[ignored_help_VarsID]],0)+RANDBETWEEN(0,1)-RANDBETWEEN(0,1)</f>
        <v>632</v>
      </c>
      <c r="G171">
        <v>169</v>
      </c>
    </row>
    <row r="172" spans="1:7" x14ac:dyDescent="0.45">
      <c r="A172">
        <f ca="1">VLOOKUP(dict_zul_Var_Meth[[#This Row],[ignored_rank]],help_zuord_Var_Meth[],2)</f>
        <v>45</v>
      </c>
      <c r="B172">
        <v>434</v>
      </c>
      <c r="C1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2">
        <f ca="1">RAND()</f>
        <v>0.78288698508724741</v>
      </c>
      <c r="E172">
        <f ca="1">RANK(dict_zul_Var_Meth[[#This Row],[ignored_rand]],dict_zul_Var_Meth[ignored_rand])</f>
        <v>170</v>
      </c>
      <c r="F172">
        <f ca="1">ROUNDUP(748/200*help_zuord_Var_Meth[[#This Row],[ignored_help_VarsID]],0)+RANDBETWEEN(0,1)-RANDBETWEEN(0,1)</f>
        <v>636</v>
      </c>
      <c r="G172">
        <v>170</v>
      </c>
    </row>
    <row r="173" spans="1:7" x14ac:dyDescent="0.45">
      <c r="A173">
        <f ca="1">VLOOKUP(dict_zul_Var_Meth[[#This Row],[ignored_rank]],help_zuord_Var_Meth[],2)</f>
        <v>46</v>
      </c>
      <c r="B173">
        <v>332</v>
      </c>
      <c r="C1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3">
        <f ca="1">RAND()</f>
        <v>0.77808678547350507</v>
      </c>
      <c r="E173">
        <f ca="1">RANK(dict_zul_Var_Meth[[#This Row],[ignored_rand]],dict_zul_Var_Meth[ignored_rand])</f>
        <v>176</v>
      </c>
      <c r="F173">
        <f ca="1">ROUNDUP(748/200*help_zuord_Var_Meth[[#This Row],[ignored_help_VarsID]],0)+RANDBETWEEN(0,1)-RANDBETWEEN(0,1)</f>
        <v>641</v>
      </c>
      <c r="G173">
        <v>171</v>
      </c>
    </row>
    <row r="174" spans="1:7" x14ac:dyDescent="0.45">
      <c r="A174">
        <f ca="1">VLOOKUP(dict_zul_Var_Meth[[#This Row],[ignored_rank]],help_zuord_Var_Meth[],2)</f>
        <v>46</v>
      </c>
      <c r="B174">
        <v>511</v>
      </c>
      <c r="C1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4">
        <f ca="1">RAND()</f>
        <v>0.77985408821980629</v>
      </c>
      <c r="E174">
        <f ca="1">RANK(dict_zul_Var_Meth[[#This Row],[ignored_rand]],dict_zul_Var_Meth[ignored_rand])</f>
        <v>174</v>
      </c>
      <c r="F174">
        <f ca="1">ROUNDUP(748/200*help_zuord_Var_Meth[[#This Row],[ignored_help_VarsID]],0)+RANDBETWEEN(0,1)-RANDBETWEEN(0,1)</f>
        <v>644</v>
      </c>
      <c r="G174">
        <v>172</v>
      </c>
    </row>
    <row r="175" spans="1:7" x14ac:dyDescent="0.45">
      <c r="A175">
        <f ca="1">VLOOKUP(dict_zul_Var_Meth[[#This Row],[ignored_rank]],help_zuord_Var_Meth[],2)</f>
        <v>46</v>
      </c>
      <c r="B175">
        <v>309</v>
      </c>
      <c r="C1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5">
        <f ca="1">RAND()</f>
        <v>0.77900707600945018</v>
      </c>
      <c r="E175">
        <f ca="1">RANK(dict_zul_Var_Meth[[#This Row],[ignored_rand]],dict_zul_Var_Meth[ignored_rand])</f>
        <v>175</v>
      </c>
      <c r="F175">
        <f ca="1">ROUNDUP(748/200*help_zuord_Var_Meth[[#This Row],[ignored_help_VarsID]],0)+RANDBETWEEN(0,1)-RANDBETWEEN(0,1)</f>
        <v>648</v>
      </c>
      <c r="G175">
        <v>173</v>
      </c>
    </row>
    <row r="176" spans="1:7" x14ac:dyDescent="0.45">
      <c r="A176">
        <f ca="1">VLOOKUP(dict_zul_Var_Meth[[#This Row],[ignored_rank]],help_zuord_Var_Meth[],2)</f>
        <v>46</v>
      </c>
      <c r="B176">
        <v>604</v>
      </c>
      <c r="C1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6">
        <f ca="1">RAND()</f>
        <v>0.78043785208158645</v>
      </c>
      <c r="E176">
        <f ca="1">RANK(dict_zul_Var_Meth[[#This Row],[ignored_rand]],dict_zul_Var_Meth[ignored_rand])</f>
        <v>172</v>
      </c>
      <c r="F176">
        <f ca="1">ROUNDUP(748/200*help_zuord_Var_Meth[[#This Row],[ignored_help_VarsID]],0)+RANDBETWEEN(0,1)-RANDBETWEEN(0,1)</f>
        <v>651</v>
      </c>
      <c r="G176">
        <v>174</v>
      </c>
    </row>
    <row r="177" spans="1:7" x14ac:dyDescent="0.45">
      <c r="A177" s="3">
        <f ca="1">VLOOKUP(dict_zul_Var_Meth[[#This Row],[ignored_rank]],help_zuord_Var_Meth[],2)</f>
        <v>46</v>
      </c>
      <c r="B177">
        <v>389</v>
      </c>
      <c r="C1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7">
        <f ca="1">RAND()</f>
        <v>0.78020616396271014</v>
      </c>
      <c r="E177" s="3">
        <f ca="1">RANK(dict_zul_Var_Meth[[#This Row],[ignored_rand]],dict_zul_Var_Meth[ignored_rand])</f>
        <v>173</v>
      </c>
      <c r="F177">
        <f ca="1">ROUNDUP(748/200*help_zuord_Var_Meth[[#This Row],[ignored_help_VarsID]],0)+RANDBETWEEN(0,1)-RANDBETWEEN(0,1)</f>
        <v>656</v>
      </c>
      <c r="G177">
        <v>175</v>
      </c>
    </row>
    <row r="178" spans="1:7" x14ac:dyDescent="0.45">
      <c r="A178">
        <f ca="1">VLOOKUP(dict_zul_Var_Meth[[#This Row],[ignored_rank]],help_zuord_Var_Meth[],2)</f>
        <v>47</v>
      </c>
      <c r="B178">
        <v>8</v>
      </c>
      <c r="C1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8">
        <f ca="1">RAND()</f>
        <v>0.77081992595621895</v>
      </c>
      <c r="E178">
        <f ca="1">RANK(dict_zul_Var_Meth[[#This Row],[ignored_rand]],dict_zul_Var_Meth[ignored_rand])</f>
        <v>178</v>
      </c>
      <c r="F178">
        <f ca="1">ROUNDUP(748/200*help_zuord_Var_Meth[[#This Row],[ignored_help_VarsID]],0)+RANDBETWEEN(0,1)-RANDBETWEEN(0,1)</f>
        <v>660</v>
      </c>
      <c r="G178">
        <v>176</v>
      </c>
    </row>
    <row r="179" spans="1:7" x14ac:dyDescent="0.45">
      <c r="A179">
        <f ca="1">VLOOKUP(dict_zul_Var_Meth[[#This Row],[ignored_rank]],help_zuord_Var_Meth[],2)</f>
        <v>47</v>
      </c>
      <c r="B179">
        <v>9</v>
      </c>
      <c r="C1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79">
        <f ca="1">RAND()</f>
        <v>0.77269388486988766</v>
      </c>
      <c r="E179">
        <f ca="1">RANK(dict_zul_Var_Meth[[#This Row],[ignored_rand]],dict_zul_Var_Meth[ignored_rand])</f>
        <v>177</v>
      </c>
      <c r="F179">
        <f ca="1">ROUNDUP(748/200*help_zuord_Var_Meth[[#This Row],[ignored_help_VarsID]],0)+RANDBETWEEN(0,1)-RANDBETWEEN(0,1)</f>
        <v>661</v>
      </c>
      <c r="G179">
        <v>177</v>
      </c>
    </row>
    <row r="180" spans="1:7" x14ac:dyDescent="0.45">
      <c r="A180">
        <f ca="1">VLOOKUP(dict_zul_Var_Meth[[#This Row],[ignored_rank]],help_zuord_Var_Meth[],2)</f>
        <v>48</v>
      </c>
      <c r="B180">
        <v>463</v>
      </c>
      <c r="C1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0">
        <f ca="1">RAND()</f>
        <v>0.77075698642296053</v>
      </c>
      <c r="E180">
        <f ca="1">RANK(dict_zul_Var_Meth[[#This Row],[ignored_rand]],dict_zul_Var_Meth[ignored_rand])</f>
        <v>179</v>
      </c>
      <c r="F180">
        <f ca="1">ROUNDUP(748/200*help_zuord_Var_Meth[[#This Row],[ignored_help_VarsID]],0)+RANDBETWEEN(0,1)-RANDBETWEEN(0,1)</f>
        <v>667</v>
      </c>
      <c r="G180">
        <v>178</v>
      </c>
    </row>
    <row r="181" spans="1:7" x14ac:dyDescent="0.45">
      <c r="A181">
        <f ca="1">VLOOKUP(dict_zul_Var_Meth[[#This Row],[ignored_rank]],help_zuord_Var_Meth[],2)</f>
        <v>48</v>
      </c>
      <c r="B181">
        <v>454</v>
      </c>
      <c r="C1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1">
        <f ca="1">RAND()</f>
        <v>0.7629665111367715</v>
      </c>
      <c r="E181">
        <f ca="1">RANK(dict_zul_Var_Meth[[#This Row],[ignored_rand]],dict_zul_Var_Meth[ignored_rand])</f>
        <v>182</v>
      </c>
      <c r="F181">
        <f ca="1">ROUNDUP(748/200*help_zuord_Var_Meth[[#This Row],[ignored_help_VarsID]],0)+RANDBETWEEN(0,1)-RANDBETWEEN(0,1)</f>
        <v>671</v>
      </c>
      <c r="G181">
        <v>179</v>
      </c>
    </row>
    <row r="182" spans="1:7" x14ac:dyDescent="0.45">
      <c r="A182">
        <f ca="1">VLOOKUP(dict_zul_Var_Meth[[#This Row],[ignored_rank]],help_zuord_Var_Meth[],2)</f>
        <v>48</v>
      </c>
      <c r="B182">
        <v>258</v>
      </c>
      <c r="C1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2">
        <f ca="1">RAND()</f>
        <v>0.76808248388196498</v>
      </c>
      <c r="E182">
        <f ca="1">RANK(dict_zul_Var_Meth[[#This Row],[ignored_rand]],dict_zul_Var_Meth[ignored_rand])</f>
        <v>181</v>
      </c>
      <c r="F182">
        <f ca="1">ROUNDUP(748/200*help_zuord_Var_Meth[[#This Row],[ignored_help_VarsID]],0)+RANDBETWEEN(0,1)-RANDBETWEEN(0,1)</f>
        <v>675</v>
      </c>
      <c r="G182">
        <v>180</v>
      </c>
    </row>
    <row r="183" spans="1:7" x14ac:dyDescent="0.45">
      <c r="A183">
        <f ca="1">VLOOKUP(dict_zul_Var_Meth[[#This Row],[ignored_rank]],help_zuord_Var_Meth[],2)</f>
        <v>48</v>
      </c>
      <c r="B183">
        <v>619</v>
      </c>
      <c r="C1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3">
        <f ca="1">RAND()</f>
        <v>0.76869467909629863</v>
      </c>
      <c r="E183">
        <f ca="1">RANK(dict_zul_Var_Meth[[#This Row],[ignored_rand]],dict_zul_Var_Meth[ignored_rand])</f>
        <v>180</v>
      </c>
      <c r="F183">
        <f ca="1">ROUNDUP(748/200*help_zuord_Var_Meth[[#This Row],[ignored_help_VarsID]],0)+RANDBETWEEN(0,1)-RANDBETWEEN(0,1)</f>
        <v>676</v>
      </c>
      <c r="G183">
        <v>181</v>
      </c>
    </row>
    <row r="184" spans="1:7" x14ac:dyDescent="0.45">
      <c r="A184">
        <f ca="1">VLOOKUP(dict_zul_Var_Meth[[#This Row],[ignored_rank]],help_zuord_Var_Meth[],2)</f>
        <v>49</v>
      </c>
      <c r="B184">
        <v>38</v>
      </c>
      <c r="C1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4">
        <f ca="1">RAND()</f>
        <v>0.7534388519119245</v>
      </c>
      <c r="E184">
        <f ca="1">RANK(dict_zul_Var_Meth[[#This Row],[ignored_rand]],dict_zul_Var_Meth[ignored_rand])</f>
        <v>186</v>
      </c>
      <c r="F184">
        <f ca="1">ROUNDUP(748/200*help_zuord_Var_Meth[[#This Row],[ignored_help_VarsID]],0)+RANDBETWEEN(0,1)-RANDBETWEEN(0,1)</f>
        <v>681</v>
      </c>
      <c r="G184">
        <v>182</v>
      </c>
    </row>
    <row r="185" spans="1:7" x14ac:dyDescent="0.45">
      <c r="A185">
        <f ca="1">VLOOKUP(dict_zul_Var_Meth[[#This Row],[ignored_rank]],help_zuord_Var_Meth[],2)</f>
        <v>49</v>
      </c>
      <c r="B185">
        <v>136</v>
      </c>
      <c r="C1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5">
        <f ca="1">RAND()</f>
        <v>0.76107498413829233</v>
      </c>
      <c r="E185">
        <f ca="1">RANK(dict_zul_Var_Meth[[#This Row],[ignored_rand]],dict_zul_Var_Meth[ignored_rand])</f>
        <v>184</v>
      </c>
      <c r="F185">
        <f ca="1">ROUNDUP(748/200*help_zuord_Var_Meth[[#This Row],[ignored_help_VarsID]],0)+RANDBETWEEN(0,1)-RANDBETWEEN(0,1)</f>
        <v>685</v>
      </c>
      <c r="G185">
        <v>183</v>
      </c>
    </row>
    <row r="186" spans="1:7" x14ac:dyDescent="0.45">
      <c r="A186">
        <f ca="1">VLOOKUP(dict_zul_Var_Meth[[#This Row],[ignored_rank]],help_zuord_Var_Meth[],2)</f>
        <v>49</v>
      </c>
      <c r="B186">
        <v>357</v>
      </c>
      <c r="C1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6">
        <f ca="1">RAND()</f>
        <v>0.75890291570620949</v>
      </c>
      <c r="E186">
        <f ca="1">RANK(dict_zul_Var_Meth[[#This Row],[ignored_rand]],dict_zul_Var_Meth[ignored_rand])</f>
        <v>185</v>
      </c>
      <c r="F186">
        <f ca="1">ROUNDUP(748/200*help_zuord_Var_Meth[[#This Row],[ignored_help_VarsID]],0)+RANDBETWEEN(0,1)-RANDBETWEEN(0,1)</f>
        <v>688</v>
      </c>
      <c r="G186">
        <v>184</v>
      </c>
    </row>
    <row r="187" spans="1:7" x14ac:dyDescent="0.45">
      <c r="A187">
        <f ca="1">VLOOKUP(dict_zul_Var_Meth[[#This Row],[ignored_rank]],help_zuord_Var_Meth[],2)</f>
        <v>49</v>
      </c>
      <c r="B187">
        <v>535</v>
      </c>
      <c r="C1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7">
        <f ca="1">RAND()</f>
        <v>0.76234833844019911</v>
      </c>
      <c r="E187">
        <f ca="1">RANK(dict_zul_Var_Meth[[#This Row],[ignored_rand]],dict_zul_Var_Meth[ignored_rand])</f>
        <v>183</v>
      </c>
      <c r="F187">
        <f ca="1">ROUNDUP(748/200*help_zuord_Var_Meth[[#This Row],[ignored_help_VarsID]],0)+RANDBETWEEN(0,1)-RANDBETWEEN(0,1)</f>
        <v>692</v>
      </c>
      <c r="G187">
        <v>185</v>
      </c>
    </row>
    <row r="188" spans="1:7" x14ac:dyDescent="0.45">
      <c r="A188">
        <f ca="1">VLOOKUP(dict_zul_Var_Meth[[#This Row],[ignored_rank]],help_zuord_Var_Meth[],2)</f>
        <v>50</v>
      </c>
      <c r="B188">
        <v>43</v>
      </c>
      <c r="C1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8">
        <f ca="1">RAND()</f>
        <v>0.75205349170566327</v>
      </c>
      <c r="E188">
        <f ca="1">RANK(dict_zul_Var_Meth[[#This Row],[ignored_rand]],dict_zul_Var_Meth[ignored_rand])</f>
        <v>187</v>
      </c>
      <c r="F188">
        <f ca="1">ROUNDUP(748/200*help_zuord_Var_Meth[[#This Row],[ignored_help_VarsID]],0)+RANDBETWEEN(0,1)-RANDBETWEEN(0,1)</f>
        <v>696</v>
      </c>
      <c r="G188">
        <v>186</v>
      </c>
    </row>
    <row r="189" spans="1:7" x14ac:dyDescent="0.45">
      <c r="A189">
        <f ca="1">VLOOKUP(dict_zul_Var_Meth[[#This Row],[ignored_rank]],help_zuord_Var_Meth[],2)</f>
        <v>50</v>
      </c>
      <c r="B189">
        <v>548</v>
      </c>
      <c r="C1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89">
        <f ca="1">RAND()</f>
        <v>0.75191519197876333</v>
      </c>
      <c r="E189">
        <f ca="1">RANK(dict_zul_Var_Meth[[#This Row],[ignored_rand]],dict_zul_Var_Meth[ignored_rand])</f>
        <v>188</v>
      </c>
      <c r="F189">
        <f ca="1">ROUNDUP(748/200*help_zuord_Var_Meth[[#This Row],[ignored_help_VarsID]],0)+RANDBETWEEN(0,1)-RANDBETWEEN(0,1)</f>
        <v>700</v>
      </c>
      <c r="G189">
        <v>187</v>
      </c>
    </row>
    <row r="190" spans="1:7" x14ac:dyDescent="0.45">
      <c r="A190" s="3">
        <f ca="1">VLOOKUP(dict_zul_Var_Meth[[#This Row],[ignored_rank]],help_zuord_Var_Meth[],2)</f>
        <v>50</v>
      </c>
      <c r="B190">
        <v>19</v>
      </c>
      <c r="C1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0">
        <f ca="1">RAND()</f>
        <v>0.75113403036641146</v>
      </c>
      <c r="E190" s="3">
        <f ca="1">RANK(dict_zul_Var_Meth[[#This Row],[ignored_rand]],dict_zul_Var_Meth[ignored_rand])</f>
        <v>189</v>
      </c>
      <c r="F190">
        <f ca="1">ROUNDUP(748/200*help_zuord_Var_Meth[[#This Row],[ignored_help_VarsID]],0)+RANDBETWEEN(0,1)-RANDBETWEEN(0,1)</f>
        <v>705</v>
      </c>
      <c r="G190">
        <v>188</v>
      </c>
    </row>
    <row r="191" spans="1:7" x14ac:dyDescent="0.45">
      <c r="A191">
        <f ca="1">VLOOKUP(dict_zul_Var_Meth[[#This Row],[ignored_rank]],help_zuord_Var_Meth[],2)</f>
        <v>50</v>
      </c>
      <c r="B191">
        <v>358</v>
      </c>
      <c r="C1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1">
        <f ca="1">RAND()</f>
        <v>0.75083938703706121</v>
      </c>
      <c r="E191">
        <f ca="1">RANK(dict_zul_Var_Meth[[#This Row],[ignored_rand]],dict_zul_Var_Meth[ignored_rand])</f>
        <v>190</v>
      </c>
      <c r="F191">
        <f ca="1">ROUNDUP(748/200*help_zuord_Var_Meth[[#This Row],[ignored_help_VarsID]],0)+RANDBETWEEN(0,1)-RANDBETWEEN(0,1)</f>
        <v>706</v>
      </c>
      <c r="G191">
        <v>189</v>
      </c>
    </row>
    <row r="192" spans="1:7" x14ac:dyDescent="0.45">
      <c r="A192">
        <f ca="1">VLOOKUP(dict_zul_Var_Meth[[#This Row],[ignored_rank]],help_zuord_Var_Meth[],2)</f>
        <v>51</v>
      </c>
      <c r="B192">
        <v>564</v>
      </c>
      <c r="C1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2">
        <f ca="1">RAND()</f>
        <v>0.74581341668344159</v>
      </c>
      <c r="E192">
        <f ca="1">RANK(dict_zul_Var_Meth[[#This Row],[ignored_rand]],dict_zul_Var_Meth[ignored_rand])</f>
        <v>194</v>
      </c>
      <c r="F192">
        <f ca="1">ROUNDUP(748/200*help_zuord_Var_Meth[[#This Row],[ignored_help_VarsID]],0)+RANDBETWEEN(0,1)-RANDBETWEEN(0,1)</f>
        <v>712</v>
      </c>
      <c r="G192">
        <v>190</v>
      </c>
    </row>
    <row r="193" spans="1:7" x14ac:dyDescent="0.45">
      <c r="A193">
        <f ca="1">VLOOKUP(dict_zul_Var_Meth[[#This Row],[ignored_rank]],help_zuord_Var_Meth[],2)</f>
        <v>51</v>
      </c>
      <c r="B193">
        <v>567</v>
      </c>
      <c r="C1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3">
        <f ca="1">RAND()</f>
        <v>0.74582846187337348</v>
      </c>
      <c r="E193">
        <f ca="1">RANK(dict_zul_Var_Meth[[#This Row],[ignored_rand]],dict_zul_Var_Meth[ignored_rand])</f>
        <v>193</v>
      </c>
      <c r="F193">
        <f ca="1">ROUNDUP(748/200*help_zuord_Var_Meth[[#This Row],[ignored_help_VarsID]],0)+RANDBETWEEN(0,1)-RANDBETWEEN(0,1)</f>
        <v>716</v>
      </c>
      <c r="G193">
        <v>191</v>
      </c>
    </row>
    <row r="194" spans="1:7" x14ac:dyDescent="0.45">
      <c r="A194">
        <f ca="1">VLOOKUP(dict_zul_Var_Meth[[#This Row],[ignored_rank]],help_zuord_Var_Meth[],2)</f>
        <v>51</v>
      </c>
      <c r="B194">
        <v>478</v>
      </c>
      <c r="C1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4">
        <f ca="1">RAND()</f>
        <v>0.74835485177153394</v>
      </c>
      <c r="E194">
        <f ca="1">RANK(dict_zul_Var_Meth[[#This Row],[ignored_rand]],dict_zul_Var_Meth[ignored_rand])</f>
        <v>192</v>
      </c>
      <c r="F194">
        <f ca="1">ROUNDUP(748/200*help_zuord_Var_Meth[[#This Row],[ignored_help_VarsID]],0)+RANDBETWEEN(0,1)-RANDBETWEEN(0,1)</f>
        <v>719</v>
      </c>
      <c r="G194">
        <v>192</v>
      </c>
    </row>
    <row r="195" spans="1:7" x14ac:dyDescent="0.45">
      <c r="A195" s="3">
        <f ca="1">VLOOKUP(dict_zul_Var_Meth[[#This Row],[ignored_rank]],help_zuord_Var_Meth[],2)</f>
        <v>51</v>
      </c>
      <c r="B195">
        <v>0</v>
      </c>
      <c r="C1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5">
        <f ca="1">RAND()</f>
        <v>0.74545589574455562</v>
      </c>
      <c r="E195" s="3">
        <f ca="1">RANK(dict_zul_Var_Meth[[#This Row],[ignored_rand]],dict_zul_Var_Meth[ignored_rand])</f>
        <v>195</v>
      </c>
      <c r="F195">
        <f ca="1">ROUNDUP(748/200*help_zuord_Var_Meth[[#This Row],[ignored_help_VarsID]],0)+RANDBETWEEN(0,1)-RANDBETWEEN(0,1)</f>
        <v>721</v>
      </c>
      <c r="G195">
        <v>193</v>
      </c>
    </row>
    <row r="196" spans="1:7" x14ac:dyDescent="0.45">
      <c r="A196">
        <f ca="1">VLOOKUP(dict_zul_Var_Meth[[#This Row],[ignored_rank]],help_zuord_Var_Meth[],2)</f>
        <v>51</v>
      </c>
      <c r="B196">
        <v>541</v>
      </c>
      <c r="C1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6">
        <f ca="1">RAND()</f>
        <v>0.74991271122149927</v>
      </c>
      <c r="E196">
        <f ca="1">RANK(dict_zul_Var_Meth[[#This Row],[ignored_rand]],dict_zul_Var_Meth[ignored_rand])</f>
        <v>191</v>
      </c>
      <c r="F196">
        <f ca="1">ROUNDUP(748/200*help_zuord_Var_Meth[[#This Row],[ignored_help_VarsID]],0)+RANDBETWEEN(0,1)-RANDBETWEEN(0,1)</f>
        <v>725</v>
      </c>
      <c r="G196">
        <v>194</v>
      </c>
    </row>
    <row r="197" spans="1:7" x14ac:dyDescent="0.45">
      <c r="A197" s="3">
        <f ca="1">VLOOKUP(dict_zul_Var_Meth[[#This Row],[ignored_rank]],help_zuord_Var_Meth[],2)</f>
        <v>52</v>
      </c>
      <c r="B197">
        <v>341</v>
      </c>
      <c r="C1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7">
        <f ca="1">RAND()</f>
        <v>0.74444998134656959</v>
      </c>
      <c r="E197" s="3">
        <f ca="1">RANK(dict_zul_Var_Meth[[#This Row],[ignored_rand]],dict_zul_Var_Meth[ignored_rand])</f>
        <v>197</v>
      </c>
      <c r="F197">
        <f ca="1">ROUNDUP(748/200*help_zuord_Var_Meth[[#This Row],[ignored_help_VarsID]],0)+RANDBETWEEN(0,1)-RANDBETWEEN(0,1)</f>
        <v>730</v>
      </c>
      <c r="G197">
        <v>195</v>
      </c>
    </row>
    <row r="198" spans="1:7" x14ac:dyDescent="0.45">
      <c r="A198">
        <f ca="1">VLOOKUP(dict_zul_Var_Meth[[#This Row],[ignored_rank]],help_zuord_Var_Meth[],2)</f>
        <v>52</v>
      </c>
      <c r="B198">
        <v>668</v>
      </c>
      <c r="C1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8">
        <f ca="1">RAND()</f>
        <v>0.74506582480030026</v>
      </c>
      <c r="E198">
        <f ca="1">RANK(dict_zul_Var_Meth[[#This Row],[ignored_rand]],dict_zul_Var_Meth[ignored_rand])</f>
        <v>196</v>
      </c>
      <c r="F198">
        <f ca="1">ROUNDUP(748/200*help_zuord_Var_Meth[[#This Row],[ignored_help_VarsID]],0)+RANDBETWEEN(0,1)-RANDBETWEEN(0,1)</f>
        <v>734</v>
      </c>
      <c r="G198">
        <v>196</v>
      </c>
    </row>
    <row r="199" spans="1:7" x14ac:dyDescent="0.45">
      <c r="A199">
        <f ca="1">VLOOKUP(dict_zul_Var_Meth[[#This Row],[ignored_rank]],help_zuord_Var_Meth[],2)</f>
        <v>53</v>
      </c>
      <c r="B199">
        <v>62</v>
      </c>
      <c r="C1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199">
        <f ca="1">RAND()</f>
        <v>0.73901876867879723</v>
      </c>
      <c r="E199">
        <f ca="1">RANK(dict_zul_Var_Meth[[#This Row],[ignored_rand]],dict_zul_Var_Meth[ignored_rand])</f>
        <v>199</v>
      </c>
      <c r="F199">
        <f ca="1">ROUNDUP(748/200*help_zuord_Var_Meth[[#This Row],[ignored_help_VarsID]],0)+RANDBETWEEN(0,1)-RANDBETWEEN(0,1)</f>
        <v>737</v>
      </c>
      <c r="G199">
        <v>197</v>
      </c>
    </row>
    <row r="200" spans="1:7" x14ac:dyDescent="0.45">
      <c r="A200">
        <f ca="1">VLOOKUP(dict_zul_Var_Meth[[#This Row],[ignored_rank]],help_zuord_Var_Meth[],2)</f>
        <v>53</v>
      </c>
      <c r="B200">
        <v>88</v>
      </c>
      <c r="C2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0">
        <f ca="1">RAND()</f>
        <v>0.73864466736176992</v>
      </c>
      <c r="E200">
        <f ca="1">RANK(dict_zul_Var_Meth[[#This Row],[ignored_rand]],dict_zul_Var_Meth[ignored_rand])</f>
        <v>201</v>
      </c>
      <c r="F200">
        <f ca="1">ROUNDUP(748/200*help_zuord_Var_Meth[[#This Row],[ignored_help_VarsID]],0)+RANDBETWEEN(0,1)-RANDBETWEEN(0,1)</f>
        <v>741</v>
      </c>
      <c r="G200">
        <v>198</v>
      </c>
    </row>
    <row r="201" spans="1:7" x14ac:dyDescent="0.45">
      <c r="A201">
        <f ca="1">VLOOKUP(dict_zul_Var_Meth[[#This Row],[ignored_rank]],help_zuord_Var_Meth[],2)</f>
        <v>53</v>
      </c>
      <c r="B201">
        <v>93</v>
      </c>
      <c r="C2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1">
        <f ca="1">RAND()</f>
        <v>0.73877628367057391</v>
      </c>
      <c r="E201">
        <f ca="1">RANK(dict_zul_Var_Meth[[#This Row],[ignored_rand]],dict_zul_Var_Meth[ignored_rand])</f>
        <v>200</v>
      </c>
      <c r="F201">
        <f ca="1">ROUNDUP(748/200*help_zuord_Var_Meth[[#This Row],[ignored_help_VarsID]],0)+RANDBETWEEN(0,1)-RANDBETWEEN(0,1)</f>
        <v>745</v>
      </c>
      <c r="G201">
        <v>199</v>
      </c>
    </row>
    <row r="202" spans="1:7" x14ac:dyDescent="0.45">
      <c r="A202">
        <f ca="1">VLOOKUP(dict_zul_Var_Meth[[#This Row],[ignored_rank]],help_zuord_Var_Meth[],2)</f>
        <v>53</v>
      </c>
      <c r="B202">
        <v>259</v>
      </c>
      <c r="C2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2">
        <f ca="1">RAND()</f>
        <v>0.74142851020854306</v>
      </c>
      <c r="E202">
        <f ca="1">RANK(dict_zul_Var_Meth[[#This Row],[ignored_rand]],dict_zul_Var_Meth[ignored_rand])</f>
        <v>198</v>
      </c>
      <c r="F202">
        <f ca="1">ROUNDUP(748/200*help_zuord_Var_Meth[[#This Row],[ignored_help_VarsID]],0)+RANDBETWEEN(0,1)-RANDBETWEEN(0,1)</f>
        <v>749</v>
      </c>
      <c r="G202">
        <v>200</v>
      </c>
    </row>
    <row r="203" spans="1:7" x14ac:dyDescent="0.45">
      <c r="A203">
        <f ca="1">VLOOKUP(dict_zul_Var_Meth[[#This Row],[ignored_rank]],help_zuord_Var_Meth[],2)</f>
        <v>54</v>
      </c>
      <c r="B203">
        <v>146</v>
      </c>
      <c r="C2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3">
        <f ca="1">RAND()</f>
        <v>0.7361395857372276</v>
      </c>
      <c r="E203">
        <f ca="1">RANK(dict_zul_Var_Meth[[#This Row],[ignored_rand]],dict_zul_Var_Meth[ignored_rand])</f>
        <v>205</v>
      </c>
    </row>
    <row r="204" spans="1:7" x14ac:dyDescent="0.45">
      <c r="A204">
        <f ca="1">VLOOKUP(dict_zul_Var_Meth[[#This Row],[ignored_rank]],help_zuord_Var_Meth[],2)</f>
        <v>54</v>
      </c>
      <c r="B204">
        <v>19</v>
      </c>
      <c r="C2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4">
        <f ca="1">RAND()</f>
        <v>0.73658025776128111</v>
      </c>
      <c r="E204">
        <f ca="1">RANK(dict_zul_Var_Meth[[#This Row],[ignored_rand]],dict_zul_Var_Meth[ignored_rand])</f>
        <v>203</v>
      </c>
    </row>
    <row r="205" spans="1:7" x14ac:dyDescent="0.45">
      <c r="A205">
        <f ca="1">VLOOKUP(dict_zul_Var_Meth[[#This Row],[ignored_rank]],help_zuord_Var_Meth[],2)</f>
        <v>54</v>
      </c>
      <c r="B205">
        <v>225</v>
      </c>
      <c r="C2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5">
        <f ca="1">RAND()</f>
        <v>0.7366740698765285</v>
      </c>
      <c r="E205">
        <f ca="1">RANK(dict_zul_Var_Meth[[#This Row],[ignored_rand]],dict_zul_Var_Meth[ignored_rand])</f>
        <v>202</v>
      </c>
    </row>
    <row r="206" spans="1:7" x14ac:dyDescent="0.45">
      <c r="A206">
        <f ca="1">VLOOKUP(dict_zul_Var_Meth[[#This Row],[ignored_rank]],help_zuord_Var_Meth[],2)</f>
        <v>54</v>
      </c>
      <c r="B206">
        <v>464</v>
      </c>
      <c r="C2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6">
        <f ca="1">RAND()</f>
        <v>0.73614381134225781</v>
      </c>
      <c r="E206">
        <f ca="1">RANK(dict_zul_Var_Meth[[#This Row],[ignored_rand]],dict_zul_Var_Meth[ignored_rand])</f>
        <v>204</v>
      </c>
    </row>
    <row r="207" spans="1:7" x14ac:dyDescent="0.45">
      <c r="A207">
        <f ca="1">VLOOKUP(dict_zul_Var_Meth[[#This Row],[ignored_rank]],help_zuord_Var_Meth[],2)</f>
        <v>55</v>
      </c>
      <c r="B207">
        <v>163</v>
      </c>
      <c r="C2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7">
        <f ca="1">RAND()</f>
        <v>0.73208547724588147</v>
      </c>
      <c r="E207">
        <f ca="1">RANK(dict_zul_Var_Meth[[#This Row],[ignored_rand]],dict_zul_Var_Meth[ignored_rand])</f>
        <v>207</v>
      </c>
    </row>
    <row r="208" spans="1:7" x14ac:dyDescent="0.45">
      <c r="A208">
        <f ca="1">VLOOKUP(dict_zul_Var_Meth[[#This Row],[ignored_rank]],help_zuord_Var_Meth[],2)</f>
        <v>55</v>
      </c>
      <c r="B208">
        <v>592</v>
      </c>
      <c r="C2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8">
        <f ca="1">RAND()</f>
        <v>0.72965823087552362</v>
      </c>
      <c r="E208">
        <f ca="1">RANK(dict_zul_Var_Meth[[#This Row],[ignored_rand]],dict_zul_Var_Meth[ignored_rand])</f>
        <v>208</v>
      </c>
    </row>
    <row r="209" spans="1:5" x14ac:dyDescent="0.45">
      <c r="A209">
        <f ca="1">VLOOKUP(dict_zul_Var_Meth[[#This Row],[ignored_rank]],help_zuord_Var_Meth[],2)</f>
        <v>55</v>
      </c>
      <c r="B209">
        <v>322</v>
      </c>
      <c r="C2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09">
        <f ca="1">RAND()</f>
        <v>0.7347252223077757</v>
      </c>
      <c r="E209">
        <f ca="1">RANK(dict_zul_Var_Meth[[#This Row],[ignored_rand]],dict_zul_Var_Meth[ignored_rand])</f>
        <v>206</v>
      </c>
    </row>
    <row r="210" spans="1:5" x14ac:dyDescent="0.45">
      <c r="A210">
        <f ca="1">VLOOKUP(dict_zul_Var_Meth[[#This Row],[ignored_rank]],help_zuord_Var_Meth[],2)</f>
        <v>56</v>
      </c>
      <c r="B210">
        <v>205</v>
      </c>
      <c r="C2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0">
        <f ca="1">RAND()</f>
        <v>0.72676158640333</v>
      </c>
      <c r="E210">
        <f ca="1">RANK(dict_zul_Var_Meth[[#This Row],[ignored_rand]],dict_zul_Var_Meth[ignored_rand])</f>
        <v>212</v>
      </c>
    </row>
    <row r="211" spans="1:5" x14ac:dyDescent="0.45">
      <c r="A211" s="3">
        <f ca="1">VLOOKUP(dict_zul_Var_Meth[[#This Row],[ignored_rank]],help_zuord_Var_Meth[],2)</f>
        <v>56</v>
      </c>
      <c r="B211">
        <v>75</v>
      </c>
      <c r="C2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1">
        <f ca="1">RAND()</f>
        <v>0.72944003638318333</v>
      </c>
      <c r="E211" s="3">
        <f ca="1">RANK(dict_zul_Var_Meth[[#This Row],[ignored_rand]],dict_zul_Var_Meth[ignored_rand])</f>
        <v>209</v>
      </c>
    </row>
    <row r="212" spans="1:5" x14ac:dyDescent="0.45">
      <c r="A212">
        <f ca="1">VLOOKUP(dict_zul_Var_Meth[[#This Row],[ignored_rank]],help_zuord_Var_Meth[],2)</f>
        <v>56</v>
      </c>
      <c r="B212">
        <v>36</v>
      </c>
      <c r="C2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2">
        <f ca="1">RAND()</f>
        <v>0.7273642293267476</v>
      </c>
      <c r="E212">
        <f ca="1">RANK(dict_zul_Var_Meth[[#This Row],[ignored_rand]],dict_zul_Var_Meth[ignored_rand])</f>
        <v>211</v>
      </c>
    </row>
    <row r="213" spans="1:5" x14ac:dyDescent="0.45">
      <c r="A213">
        <f ca="1">VLOOKUP(dict_zul_Var_Meth[[#This Row],[ignored_rank]],help_zuord_Var_Meth[],2)</f>
        <v>56</v>
      </c>
      <c r="B213">
        <v>525</v>
      </c>
      <c r="C2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3">
        <f ca="1">RAND()</f>
        <v>0.7288298720286539</v>
      </c>
      <c r="E213">
        <f ca="1">RANK(dict_zul_Var_Meth[[#This Row],[ignored_rand]],dict_zul_Var_Meth[ignored_rand])</f>
        <v>210</v>
      </c>
    </row>
    <row r="214" spans="1:5" x14ac:dyDescent="0.45">
      <c r="A214">
        <f ca="1">VLOOKUP(dict_zul_Var_Meth[[#This Row],[ignored_rank]],help_zuord_Var_Meth[],2)</f>
        <v>57</v>
      </c>
      <c r="B214">
        <v>26</v>
      </c>
      <c r="C2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4">
        <f ca="1">RAND()</f>
        <v>0.71840361995714741</v>
      </c>
      <c r="E214">
        <f ca="1">RANK(dict_zul_Var_Meth[[#This Row],[ignored_rand]],dict_zul_Var_Meth[ignored_rand])</f>
        <v>217</v>
      </c>
    </row>
    <row r="215" spans="1:5" x14ac:dyDescent="0.45">
      <c r="A215">
        <f ca="1">VLOOKUP(dict_zul_Var_Meth[[#This Row],[ignored_rank]],help_zuord_Var_Meth[],2)</f>
        <v>57</v>
      </c>
      <c r="B215">
        <v>100</v>
      </c>
      <c r="C2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5">
        <f ca="1">RAND()</f>
        <v>0.72027902239628228</v>
      </c>
      <c r="E215">
        <f ca="1">RANK(dict_zul_Var_Meth[[#This Row],[ignored_rand]],dict_zul_Var_Meth[ignored_rand])</f>
        <v>215</v>
      </c>
    </row>
    <row r="216" spans="1:5" x14ac:dyDescent="0.45">
      <c r="A216">
        <f ca="1">VLOOKUP(dict_zul_Var_Meth[[#This Row],[ignored_rank]],help_zuord_Var_Meth[],2)</f>
        <v>57</v>
      </c>
      <c r="B216">
        <v>144</v>
      </c>
      <c r="C2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6">
        <f ca="1">RAND()</f>
        <v>0.7198072480208958</v>
      </c>
      <c r="E216">
        <f ca="1">RANK(dict_zul_Var_Meth[[#This Row],[ignored_rand]],dict_zul_Var_Meth[ignored_rand])</f>
        <v>216</v>
      </c>
    </row>
    <row r="217" spans="1:5" x14ac:dyDescent="0.45">
      <c r="A217">
        <f ca="1">VLOOKUP(dict_zul_Var_Meth[[#This Row],[ignored_rank]],help_zuord_Var_Meth[],2)</f>
        <v>57</v>
      </c>
      <c r="B217">
        <v>16</v>
      </c>
      <c r="C2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7">
        <f ca="1">RAND()</f>
        <v>0.72156553726463546</v>
      </c>
      <c r="E217">
        <f ca="1">RANK(dict_zul_Var_Meth[[#This Row],[ignored_rand]],dict_zul_Var_Meth[ignored_rand])</f>
        <v>214</v>
      </c>
    </row>
    <row r="218" spans="1:5" x14ac:dyDescent="0.45">
      <c r="A218">
        <f ca="1">VLOOKUP(dict_zul_Var_Meth[[#This Row],[ignored_rank]],help_zuord_Var_Meth[],2)</f>
        <v>57</v>
      </c>
      <c r="B218">
        <v>178</v>
      </c>
      <c r="C2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8">
        <f ca="1">RAND()</f>
        <v>0.72193097846691145</v>
      </c>
      <c r="E218">
        <f ca="1">RANK(dict_zul_Var_Meth[[#This Row],[ignored_rand]],dict_zul_Var_Meth[ignored_rand])</f>
        <v>213</v>
      </c>
    </row>
    <row r="219" spans="1:5" x14ac:dyDescent="0.45">
      <c r="A219">
        <f ca="1">VLOOKUP(dict_zul_Var_Meth[[#This Row],[ignored_rank]],help_zuord_Var_Meth[],2)</f>
        <v>58</v>
      </c>
      <c r="B219">
        <v>590</v>
      </c>
      <c r="C2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19">
        <f ca="1">RAND()</f>
        <v>0.71674247807941405</v>
      </c>
      <c r="E219">
        <f ca="1">RANK(dict_zul_Var_Meth[[#This Row],[ignored_rand]],dict_zul_Var_Meth[ignored_rand])</f>
        <v>219</v>
      </c>
    </row>
    <row r="220" spans="1:5" x14ac:dyDescent="0.45">
      <c r="A220">
        <f ca="1">VLOOKUP(dict_zul_Var_Meth[[#This Row],[ignored_rank]],help_zuord_Var_Meth[],2)</f>
        <v>58</v>
      </c>
      <c r="B220">
        <v>637</v>
      </c>
      <c r="C2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0">
        <f ca="1">RAND()</f>
        <v>0.71777447483020829</v>
      </c>
      <c r="E220">
        <f ca="1">RANK(dict_zul_Var_Meth[[#This Row],[ignored_rand]],dict_zul_Var_Meth[ignored_rand])</f>
        <v>218</v>
      </c>
    </row>
    <row r="221" spans="1:5" x14ac:dyDescent="0.45">
      <c r="A221">
        <f ca="1">VLOOKUP(dict_zul_Var_Meth[[#This Row],[ignored_rank]],help_zuord_Var_Meth[],2)</f>
        <v>58</v>
      </c>
      <c r="B221">
        <v>472</v>
      </c>
      <c r="C2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1">
        <f ca="1">RAND()</f>
        <v>0.7165935576147614</v>
      </c>
      <c r="E221">
        <f ca="1">RANK(dict_zul_Var_Meth[[#This Row],[ignored_rand]],dict_zul_Var_Meth[ignored_rand])</f>
        <v>220</v>
      </c>
    </row>
    <row r="222" spans="1:5" x14ac:dyDescent="0.45">
      <c r="A222">
        <f ca="1">VLOOKUP(dict_zul_Var_Meth[[#This Row],[ignored_rank]],help_zuord_Var_Meth[],2)</f>
        <v>59</v>
      </c>
      <c r="B222">
        <v>28</v>
      </c>
      <c r="C2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2">
        <f ca="1">RAND()</f>
        <v>0.71290914957921059</v>
      </c>
      <c r="E222">
        <f ca="1">RANK(dict_zul_Var_Meth[[#This Row],[ignored_rand]],dict_zul_Var_Meth[ignored_rand])</f>
        <v>223</v>
      </c>
    </row>
    <row r="223" spans="1:5" x14ac:dyDescent="0.45">
      <c r="A223">
        <f ca="1">VLOOKUP(dict_zul_Var_Meth[[#This Row],[ignored_rank]],help_zuord_Var_Meth[],2)</f>
        <v>59</v>
      </c>
      <c r="B223">
        <v>486</v>
      </c>
      <c r="C2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3">
        <f ca="1">RAND()</f>
        <v>0.71497652978417858</v>
      </c>
      <c r="E223">
        <f ca="1">RANK(dict_zul_Var_Meth[[#This Row],[ignored_rand]],dict_zul_Var_Meth[ignored_rand])</f>
        <v>222</v>
      </c>
    </row>
    <row r="224" spans="1:5" x14ac:dyDescent="0.45">
      <c r="A224">
        <f ca="1">VLOOKUP(dict_zul_Var_Meth[[#This Row],[ignored_rank]],help_zuord_Var_Meth[],2)</f>
        <v>59</v>
      </c>
      <c r="B224">
        <v>28</v>
      </c>
      <c r="C2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4">
        <f ca="1">RAND()</f>
        <v>0.71624477750611981</v>
      </c>
      <c r="E224">
        <f ca="1">RANK(dict_zul_Var_Meth[[#This Row],[ignored_rand]],dict_zul_Var_Meth[ignored_rand])</f>
        <v>221</v>
      </c>
    </row>
    <row r="225" spans="1:5" x14ac:dyDescent="0.45">
      <c r="A225">
        <f ca="1">VLOOKUP(dict_zul_Var_Meth[[#This Row],[ignored_rank]],help_zuord_Var_Meth[],2)</f>
        <v>59</v>
      </c>
      <c r="B225">
        <v>216</v>
      </c>
      <c r="C2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5">
        <f ca="1">RAND()</f>
        <v>0.70979302548246359</v>
      </c>
      <c r="E225">
        <f ca="1">RANK(dict_zul_Var_Meth[[#This Row],[ignored_rand]],dict_zul_Var_Meth[ignored_rand])</f>
        <v>224</v>
      </c>
    </row>
    <row r="226" spans="1:5" x14ac:dyDescent="0.45">
      <c r="A226">
        <f ca="1">VLOOKUP(dict_zul_Var_Meth[[#This Row],[ignored_rank]],help_zuord_Var_Meth[],2)</f>
        <v>60</v>
      </c>
      <c r="B226">
        <v>151</v>
      </c>
      <c r="C2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6">
        <f ca="1">RAND()</f>
        <v>0.70808899546723714</v>
      </c>
      <c r="E226">
        <f ca="1">RANK(dict_zul_Var_Meth[[#This Row],[ignored_rand]],dict_zul_Var_Meth[ignored_rand])</f>
        <v>226</v>
      </c>
    </row>
    <row r="227" spans="1:5" x14ac:dyDescent="0.45">
      <c r="A227">
        <f ca="1">VLOOKUP(dict_zul_Var_Meth[[#This Row],[ignored_rank]],help_zuord_Var_Meth[],2)</f>
        <v>60</v>
      </c>
      <c r="B227">
        <v>625</v>
      </c>
      <c r="C2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7">
        <f ca="1">RAND()</f>
        <v>0.70696199436646534</v>
      </c>
      <c r="E227">
        <f ca="1">RANK(dict_zul_Var_Meth[[#This Row],[ignored_rand]],dict_zul_Var_Meth[ignored_rand])</f>
        <v>228</v>
      </c>
    </row>
    <row r="228" spans="1:5" x14ac:dyDescent="0.45">
      <c r="A228">
        <f ca="1">VLOOKUP(dict_zul_Var_Meth[[#This Row],[ignored_rank]],help_zuord_Var_Meth[],2)</f>
        <v>60</v>
      </c>
      <c r="B228">
        <v>500</v>
      </c>
      <c r="C2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8">
        <f ca="1">RAND()</f>
        <v>0.70854029171885546</v>
      </c>
      <c r="E228">
        <f ca="1">RANK(dict_zul_Var_Meth[[#This Row],[ignored_rand]],dict_zul_Var_Meth[ignored_rand])</f>
        <v>225</v>
      </c>
    </row>
    <row r="229" spans="1:5" x14ac:dyDescent="0.45">
      <c r="A229">
        <f ca="1">VLOOKUP(dict_zul_Var_Meth[[#This Row],[ignored_rank]],help_zuord_Var_Meth[],2)</f>
        <v>60</v>
      </c>
      <c r="B229">
        <v>661</v>
      </c>
      <c r="C2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29">
        <f ca="1">RAND()</f>
        <v>0.70748479917420948</v>
      </c>
      <c r="E229">
        <f ca="1">RANK(dict_zul_Var_Meth[[#This Row],[ignored_rand]],dict_zul_Var_Meth[ignored_rand])</f>
        <v>227</v>
      </c>
    </row>
    <row r="230" spans="1:5" x14ac:dyDescent="0.45">
      <c r="A230">
        <f ca="1">VLOOKUP(dict_zul_Var_Meth[[#This Row],[ignored_rank]],help_zuord_Var_Meth[],2)</f>
        <v>61</v>
      </c>
      <c r="B230">
        <v>156</v>
      </c>
      <c r="C2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0">
        <f ca="1">RAND()</f>
        <v>0.70302985691615782</v>
      </c>
      <c r="E230">
        <f ca="1">RANK(dict_zul_Var_Meth[[#This Row],[ignored_rand]],dict_zul_Var_Meth[ignored_rand])</f>
        <v>230</v>
      </c>
    </row>
    <row r="231" spans="1:5" x14ac:dyDescent="0.45">
      <c r="A231">
        <f ca="1">VLOOKUP(dict_zul_Var_Meth[[#This Row],[ignored_rank]],help_zuord_Var_Meth[],2)</f>
        <v>61</v>
      </c>
      <c r="B231">
        <v>696</v>
      </c>
      <c r="C2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1">
        <f ca="1">RAND()</f>
        <v>0.70612064999351265</v>
      </c>
      <c r="E231">
        <f ca="1">RANK(dict_zul_Var_Meth[[#This Row],[ignored_rand]],dict_zul_Var_Meth[ignored_rand])</f>
        <v>229</v>
      </c>
    </row>
    <row r="232" spans="1:5" x14ac:dyDescent="0.45">
      <c r="A232">
        <f ca="1">VLOOKUP(dict_zul_Var_Meth[[#This Row],[ignored_rank]],help_zuord_Var_Meth[],2)</f>
        <v>61</v>
      </c>
      <c r="B232">
        <v>516</v>
      </c>
      <c r="C2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2">
        <f ca="1">RAND()</f>
        <v>0.70211134985004697</v>
      </c>
      <c r="E232">
        <f ca="1">RANK(dict_zul_Var_Meth[[#This Row],[ignored_rand]],dict_zul_Var_Meth[ignored_rand])</f>
        <v>231</v>
      </c>
    </row>
    <row r="233" spans="1:5" x14ac:dyDescent="0.45">
      <c r="A233">
        <f ca="1">VLOOKUP(dict_zul_Var_Meth[[#This Row],[ignored_rank]],help_zuord_Var_Meth[],2)</f>
        <v>62</v>
      </c>
      <c r="B233">
        <v>451</v>
      </c>
      <c r="C2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3">
        <f ca="1">RAND()</f>
        <v>0.7017450682027131</v>
      </c>
      <c r="E233">
        <f ca="1">RANK(dict_zul_Var_Meth[[#This Row],[ignored_rand]],dict_zul_Var_Meth[ignored_rand])</f>
        <v>232</v>
      </c>
    </row>
    <row r="234" spans="1:5" x14ac:dyDescent="0.45">
      <c r="A234">
        <f ca="1">VLOOKUP(dict_zul_Var_Meth[[#This Row],[ignored_rank]],help_zuord_Var_Meth[],2)</f>
        <v>62</v>
      </c>
      <c r="B234">
        <v>27</v>
      </c>
      <c r="C2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4">
        <f ca="1">RAND()</f>
        <v>0.69433120168011542</v>
      </c>
      <c r="E234">
        <f ca="1">RANK(dict_zul_Var_Meth[[#This Row],[ignored_rand]],dict_zul_Var_Meth[ignored_rand])</f>
        <v>234</v>
      </c>
    </row>
    <row r="235" spans="1:5" x14ac:dyDescent="0.45">
      <c r="A235">
        <f ca="1">VLOOKUP(dict_zul_Var_Meth[[#This Row],[ignored_rank]],help_zuord_Var_Meth[],2)</f>
        <v>62</v>
      </c>
      <c r="B235">
        <v>613</v>
      </c>
      <c r="C2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5">
        <f ca="1">RAND()</f>
        <v>0.69459275890373118</v>
      </c>
      <c r="E235">
        <f ca="1">RANK(dict_zul_Var_Meth[[#This Row],[ignored_rand]],dict_zul_Var_Meth[ignored_rand])</f>
        <v>233</v>
      </c>
    </row>
    <row r="236" spans="1:5" x14ac:dyDescent="0.45">
      <c r="A236">
        <f ca="1">VLOOKUP(dict_zul_Var_Meth[[#This Row],[ignored_rank]],help_zuord_Var_Meth[],2)</f>
        <v>62</v>
      </c>
      <c r="B236">
        <v>484</v>
      </c>
      <c r="C2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6">
        <f ca="1">RAND()</f>
        <v>0.69328022512134613</v>
      </c>
      <c r="E236">
        <f ca="1">RANK(dict_zul_Var_Meth[[#This Row],[ignored_rand]],dict_zul_Var_Meth[ignored_rand])</f>
        <v>235</v>
      </c>
    </row>
    <row r="237" spans="1:5" x14ac:dyDescent="0.45">
      <c r="A237">
        <f ca="1">VLOOKUP(dict_zul_Var_Meth[[#This Row],[ignored_rank]],help_zuord_Var_Meth[],2)</f>
        <v>63</v>
      </c>
      <c r="B237">
        <v>455</v>
      </c>
      <c r="C2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7">
        <f ca="1">RAND()</f>
        <v>0.68750599310717286</v>
      </c>
      <c r="E237">
        <f ca="1">RANK(dict_zul_Var_Meth[[#This Row],[ignored_rand]],dict_zul_Var_Meth[ignored_rand])</f>
        <v>239</v>
      </c>
    </row>
    <row r="238" spans="1:5" x14ac:dyDescent="0.45">
      <c r="A238">
        <f ca="1">VLOOKUP(dict_zul_Var_Meth[[#This Row],[ignored_rank]],help_zuord_Var_Meth[],2)</f>
        <v>63</v>
      </c>
      <c r="B238">
        <v>269</v>
      </c>
      <c r="C2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8">
        <f ca="1">RAND()</f>
        <v>0.68917954598080378</v>
      </c>
      <c r="E238">
        <f ca="1">RANK(dict_zul_Var_Meth[[#This Row],[ignored_rand]],dict_zul_Var_Meth[ignored_rand])</f>
        <v>238</v>
      </c>
    </row>
    <row r="239" spans="1:5" x14ac:dyDescent="0.45">
      <c r="A239">
        <f ca="1">VLOOKUP(dict_zul_Var_Meth[[#This Row],[ignored_rank]],help_zuord_Var_Meth[],2)</f>
        <v>63</v>
      </c>
      <c r="B239">
        <v>607</v>
      </c>
      <c r="C2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39">
        <f ca="1">RAND()</f>
        <v>0.69056622146334434</v>
      </c>
      <c r="E239">
        <f ca="1">RANK(dict_zul_Var_Meth[[#This Row],[ignored_rand]],dict_zul_Var_Meth[ignored_rand])</f>
        <v>236</v>
      </c>
    </row>
    <row r="240" spans="1:5" x14ac:dyDescent="0.45">
      <c r="A240" s="3">
        <f ca="1">VLOOKUP(dict_zul_Var_Meth[[#This Row],[ignored_rank]],help_zuord_Var_Meth[],2)</f>
        <v>63</v>
      </c>
      <c r="B240">
        <v>215</v>
      </c>
      <c r="C2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0">
        <f ca="1">RAND()</f>
        <v>0.68745285124835354</v>
      </c>
      <c r="E240" s="3">
        <f ca="1">RANK(dict_zul_Var_Meth[[#This Row],[ignored_rand]],dict_zul_Var_Meth[ignored_rand])</f>
        <v>240</v>
      </c>
    </row>
    <row r="241" spans="1:5" x14ac:dyDescent="0.45">
      <c r="A241">
        <f ca="1">VLOOKUP(dict_zul_Var_Meth[[#This Row],[ignored_rank]],help_zuord_Var_Meth[],2)</f>
        <v>63</v>
      </c>
      <c r="B241">
        <v>278</v>
      </c>
      <c r="C2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1">
        <f ca="1">RAND()</f>
        <v>0.69024931776262322</v>
      </c>
      <c r="E241">
        <f ca="1">RANK(dict_zul_Var_Meth[[#This Row],[ignored_rand]],dict_zul_Var_Meth[ignored_rand])</f>
        <v>237</v>
      </c>
    </row>
    <row r="242" spans="1:5" x14ac:dyDescent="0.45">
      <c r="A242">
        <f ca="1">VLOOKUP(dict_zul_Var_Meth[[#This Row],[ignored_rank]],help_zuord_Var_Meth[],2)</f>
        <v>64</v>
      </c>
      <c r="B242">
        <v>474</v>
      </c>
      <c r="C2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2">
        <f ca="1">RAND()</f>
        <v>0.68179591077952206</v>
      </c>
      <c r="E242">
        <f ca="1">RANK(dict_zul_Var_Meth[[#This Row],[ignored_rand]],dict_zul_Var_Meth[ignored_rand])</f>
        <v>244</v>
      </c>
    </row>
    <row r="243" spans="1:5" x14ac:dyDescent="0.45">
      <c r="A243">
        <f ca="1">VLOOKUP(dict_zul_Var_Meth[[#This Row],[ignored_rank]],help_zuord_Var_Meth[],2)</f>
        <v>64</v>
      </c>
      <c r="B243">
        <v>230</v>
      </c>
      <c r="C2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3">
        <f ca="1">RAND()</f>
        <v>0.68557818180432117</v>
      </c>
      <c r="E243">
        <f ca="1">RANK(dict_zul_Var_Meth[[#This Row],[ignored_rand]],dict_zul_Var_Meth[ignored_rand])</f>
        <v>241</v>
      </c>
    </row>
    <row r="244" spans="1:5" x14ac:dyDescent="0.45">
      <c r="A244">
        <f ca="1">VLOOKUP(dict_zul_Var_Meth[[#This Row],[ignored_rank]],help_zuord_Var_Meth[],2)</f>
        <v>64</v>
      </c>
      <c r="B244">
        <v>338</v>
      </c>
      <c r="C2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4">
        <f ca="1">RAND()</f>
        <v>0.68391024813797485</v>
      </c>
      <c r="E244">
        <f ca="1">RANK(dict_zul_Var_Meth[[#This Row],[ignored_rand]],dict_zul_Var_Meth[ignored_rand])</f>
        <v>243</v>
      </c>
    </row>
    <row r="245" spans="1:5" x14ac:dyDescent="0.45">
      <c r="A245">
        <f ca="1">VLOOKUP(dict_zul_Var_Meth[[#This Row],[ignored_rank]],help_zuord_Var_Meth[],2)</f>
        <v>64</v>
      </c>
      <c r="B245">
        <v>499</v>
      </c>
      <c r="C2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5">
        <f ca="1">RAND()</f>
        <v>0.68451696049208854</v>
      </c>
      <c r="E245">
        <f ca="1">RANK(dict_zul_Var_Meth[[#This Row],[ignored_rand]],dict_zul_Var_Meth[ignored_rand])</f>
        <v>242</v>
      </c>
    </row>
    <row r="246" spans="1:5" x14ac:dyDescent="0.45">
      <c r="A246">
        <f ca="1">VLOOKUP(dict_zul_Var_Meth[[#This Row],[ignored_rank]],help_zuord_Var_Meth[],2)</f>
        <v>65</v>
      </c>
      <c r="B246">
        <v>126</v>
      </c>
      <c r="C2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6">
        <f ca="1">RAND()</f>
        <v>0.68050316810575218</v>
      </c>
      <c r="E246">
        <f ca="1">RANK(dict_zul_Var_Meth[[#This Row],[ignored_rand]],dict_zul_Var_Meth[ignored_rand])</f>
        <v>245</v>
      </c>
    </row>
    <row r="247" spans="1:5" x14ac:dyDescent="0.45">
      <c r="A247">
        <f ca="1">VLOOKUP(dict_zul_Var_Meth[[#This Row],[ignored_rank]],help_zuord_Var_Meth[],2)</f>
        <v>66</v>
      </c>
      <c r="B247">
        <v>688</v>
      </c>
      <c r="C2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7">
        <f ca="1">RAND()</f>
        <v>0.6794588621793477</v>
      </c>
      <c r="E247">
        <f ca="1">RANK(dict_zul_Var_Meth[[#This Row],[ignored_rand]],dict_zul_Var_Meth[ignored_rand])</f>
        <v>250</v>
      </c>
    </row>
    <row r="248" spans="1:5" x14ac:dyDescent="0.45">
      <c r="A248">
        <f ca="1">VLOOKUP(dict_zul_Var_Meth[[#This Row],[ignored_rank]],help_zuord_Var_Meth[],2)</f>
        <v>66</v>
      </c>
      <c r="B248">
        <v>608</v>
      </c>
      <c r="C2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8">
        <f ca="1">RAND()</f>
        <v>0.68026442357367234</v>
      </c>
      <c r="E248">
        <f ca="1">RANK(dict_zul_Var_Meth[[#This Row],[ignored_rand]],dict_zul_Var_Meth[ignored_rand])</f>
        <v>247</v>
      </c>
    </row>
    <row r="249" spans="1:5" x14ac:dyDescent="0.45">
      <c r="A249">
        <f ca="1">VLOOKUP(dict_zul_Var_Meth[[#This Row],[ignored_rank]],help_zuord_Var_Meth[],2)</f>
        <v>66</v>
      </c>
      <c r="B249">
        <v>256</v>
      </c>
      <c r="C2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49">
        <f ca="1">RAND()</f>
        <v>0.67960714757381901</v>
      </c>
      <c r="E249">
        <f ca="1">RANK(dict_zul_Var_Meth[[#This Row],[ignored_rand]],dict_zul_Var_Meth[ignored_rand])</f>
        <v>249</v>
      </c>
    </row>
    <row r="250" spans="1:5" x14ac:dyDescent="0.45">
      <c r="A250">
        <f ca="1">VLOOKUP(dict_zul_Var_Meth[[#This Row],[ignored_rank]],help_zuord_Var_Meth[],2)</f>
        <v>66</v>
      </c>
      <c r="B250">
        <v>39</v>
      </c>
      <c r="C2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0">
        <f ca="1">RAND()</f>
        <v>0.68048585405043283</v>
      </c>
      <c r="E250">
        <f ca="1">RANK(dict_zul_Var_Meth[[#This Row],[ignored_rand]],dict_zul_Var_Meth[ignored_rand])</f>
        <v>246</v>
      </c>
    </row>
    <row r="251" spans="1:5" x14ac:dyDescent="0.45">
      <c r="A251">
        <f ca="1">VLOOKUP(dict_zul_Var_Meth[[#This Row],[ignored_rank]],help_zuord_Var_Meth[],2)</f>
        <v>66</v>
      </c>
      <c r="B251">
        <v>659</v>
      </c>
      <c r="C2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1">
        <f ca="1">RAND()</f>
        <v>0.67968448210625654</v>
      </c>
      <c r="E251">
        <f ca="1">RANK(dict_zul_Var_Meth[[#This Row],[ignored_rand]],dict_zul_Var_Meth[ignored_rand])</f>
        <v>248</v>
      </c>
    </row>
    <row r="252" spans="1:5" x14ac:dyDescent="0.45">
      <c r="A252">
        <f ca="1">VLOOKUP(dict_zul_Var_Meth[[#This Row],[ignored_rank]],help_zuord_Var_Meth[],2)</f>
        <v>67</v>
      </c>
      <c r="B252">
        <v>482</v>
      </c>
      <c r="C2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2">
        <f ca="1">RAND()</f>
        <v>0.67845635723954023</v>
      </c>
      <c r="E252">
        <f ca="1">RANK(dict_zul_Var_Meth[[#This Row],[ignored_rand]],dict_zul_Var_Meth[ignored_rand])</f>
        <v>253</v>
      </c>
    </row>
    <row r="253" spans="1:5" x14ac:dyDescent="0.45">
      <c r="A253">
        <f ca="1">VLOOKUP(dict_zul_Var_Meth[[#This Row],[ignored_rank]],help_zuord_Var_Meth[],2)</f>
        <v>67</v>
      </c>
      <c r="B253">
        <v>249</v>
      </c>
      <c r="C2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3">
        <f ca="1">RAND()</f>
        <v>0.67900165135781221</v>
      </c>
      <c r="E253">
        <f ca="1">RANK(dict_zul_Var_Meth[[#This Row],[ignored_rand]],dict_zul_Var_Meth[ignored_rand])</f>
        <v>251</v>
      </c>
    </row>
    <row r="254" spans="1:5" x14ac:dyDescent="0.45">
      <c r="A254">
        <f ca="1">VLOOKUP(dict_zul_Var_Meth[[#This Row],[ignored_rank]],help_zuord_Var_Meth[],2)</f>
        <v>67</v>
      </c>
      <c r="B254">
        <v>14</v>
      </c>
      <c r="C2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4">
        <f ca="1">RAND()</f>
        <v>0.67556458848368439</v>
      </c>
      <c r="E254">
        <f ca="1">RANK(dict_zul_Var_Meth[[#This Row],[ignored_rand]],dict_zul_Var_Meth[ignored_rand])</f>
        <v>255</v>
      </c>
    </row>
    <row r="255" spans="1:5" x14ac:dyDescent="0.45">
      <c r="A255">
        <f ca="1">VLOOKUP(dict_zul_Var_Meth[[#This Row],[ignored_rank]],help_zuord_Var_Meth[],2)</f>
        <v>67</v>
      </c>
      <c r="B255">
        <v>421</v>
      </c>
      <c r="C2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5">
        <f ca="1">RAND()</f>
        <v>0.67852660371816231</v>
      </c>
      <c r="E255">
        <f ca="1">RANK(dict_zul_Var_Meth[[#This Row],[ignored_rand]],dict_zul_Var_Meth[ignored_rand])</f>
        <v>252</v>
      </c>
    </row>
    <row r="256" spans="1:5" x14ac:dyDescent="0.45">
      <c r="A256">
        <f ca="1">VLOOKUP(dict_zul_Var_Meth[[#This Row],[ignored_rank]],help_zuord_Var_Meth[],2)</f>
        <v>67</v>
      </c>
      <c r="B256">
        <v>38</v>
      </c>
      <c r="C2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6">
        <f ca="1">RAND()</f>
        <v>0.67583083193634697</v>
      </c>
      <c r="E256">
        <f ca="1">RANK(dict_zul_Var_Meth[[#This Row],[ignored_rand]],dict_zul_Var_Meth[ignored_rand])</f>
        <v>254</v>
      </c>
    </row>
    <row r="257" spans="1:5" x14ac:dyDescent="0.45">
      <c r="A257">
        <f ca="1">VLOOKUP(dict_zul_Var_Meth[[#This Row],[ignored_rank]],help_zuord_Var_Meth[],2)</f>
        <v>68</v>
      </c>
      <c r="B257">
        <v>627</v>
      </c>
      <c r="C2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7">
        <f ca="1">RAND()</f>
        <v>0.67533999341023532</v>
      </c>
      <c r="E257">
        <f ca="1">RANK(dict_zul_Var_Meth[[#This Row],[ignored_rand]],dict_zul_Var_Meth[ignored_rand])</f>
        <v>257</v>
      </c>
    </row>
    <row r="258" spans="1:5" x14ac:dyDescent="0.45">
      <c r="A258" s="3">
        <f ca="1">VLOOKUP(dict_zul_Var_Meth[[#This Row],[ignored_rank]],help_zuord_Var_Meth[],2)</f>
        <v>68</v>
      </c>
      <c r="B258">
        <v>349</v>
      </c>
      <c r="C2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8">
        <f ca="1">RAND()</f>
        <v>0.67556098608529191</v>
      </c>
      <c r="E258" s="3">
        <f ca="1">RANK(dict_zul_Var_Meth[[#This Row],[ignored_rand]],dict_zul_Var_Meth[ignored_rand])</f>
        <v>256</v>
      </c>
    </row>
    <row r="259" spans="1:5" x14ac:dyDescent="0.45">
      <c r="A259">
        <f ca="1">VLOOKUP(dict_zul_Var_Meth[[#This Row],[ignored_rank]],help_zuord_Var_Meth[],2)</f>
        <v>69</v>
      </c>
      <c r="B259">
        <v>31</v>
      </c>
      <c r="C2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59">
        <f ca="1">RAND()</f>
        <v>0.67403552019464807</v>
      </c>
      <c r="E259">
        <f ca="1">RANK(dict_zul_Var_Meth[[#This Row],[ignored_rand]],dict_zul_Var_Meth[ignored_rand])</f>
        <v>258</v>
      </c>
    </row>
    <row r="260" spans="1:5" x14ac:dyDescent="0.45">
      <c r="A260">
        <f ca="1">VLOOKUP(dict_zul_Var_Meth[[#This Row],[ignored_rank]],help_zuord_Var_Meth[],2)</f>
        <v>69</v>
      </c>
      <c r="B260">
        <v>584</v>
      </c>
      <c r="C2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0">
        <f ca="1">RAND()</f>
        <v>0.6726905871013058</v>
      </c>
      <c r="E260">
        <f ca="1">RANK(dict_zul_Var_Meth[[#This Row],[ignored_rand]],dict_zul_Var_Meth[ignored_rand])</f>
        <v>259</v>
      </c>
    </row>
    <row r="261" spans="1:5" x14ac:dyDescent="0.45">
      <c r="A261">
        <f ca="1">VLOOKUP(dict_zul_Var_Meth[[#This Row],[ignored_rank]],help_zuord_Var_Meth[],2)</f>
        <v>69</v>
      </c>
      <c r="B261">
        <v>124</v>
      </c>
      <c r="C2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1">
        <f ca="1">RAND()</f>
        <v>0.6698268474105108</v>
      </c>
      <c r="E261">
        <f ca="1">RANK(dict_zul_Var_Meth[[#This Row],[ignored_rand]],dict_zul_Var_Meth[ignored_rand])</f>
        <v>260</v>
      </c>
    </row>
    <row r="262" spans="1:5" x14ac:dyDescent="0.45">
      <c r="A262">
        <f ca="1">VLOOKUP(dict_zul_Var_Meth[[#This Row],[ignored_rank]],help_zuord_Var_Meth[],2)</f>
        <v>70</v>
      </c>
      <c r="B262">
        <v>228</v>
      </c>
      <c r="C2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2">
        <f ca="1">RAND()</f>
        <v>0.66958327511616123</v>
      </c>
      <c r="E262">
        <f ca="1">RANK(dict_zul_Var_Meth[[#This Row],[ignored_rand]],dict_zul_Var_Meth[ignored_rand])</f>
        <v>262</v>
      </c>
    </row>
    <row r="263" spans="1:5" x14ac:dyDescent="0.45">
      <c r="A263">
        <f ca="1">VLOOKUP(dict_zul_Var_Meth[[#This Row],[ignored_rank]],help_zuord_Var_Meth[],2)</f>
        <v>70</v>
      </c>
      <c r="B263">
        <v>275</v>
      </c>
      <c r="C2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3">
        <f ca="1">RAND()</f>
        <v>0.66435075595630433</v>
      </c>
      <c r="E263">
        <f ca="1">RANK(dict_zul_Var_Meth[[#This Row],[ignored_rand]],dict_zul_Var_Meth[ignored_rand])</f>
        <v>265</v>
      </c>
    </row>
    <row r="264" spans="1:5" x14ac:dyDescent="0.45">
      <c r="A264">
        <f ca="1">VLOOKUP(dict_zul_Var_Meth[[#This Row],[ignored_rank]],help_zuord_Var_Meth[],2)</f>
        <v>70</v>
      </c>
      <c r="B264">
        <v>91</v>
      </c>
      <c r="C2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4">
        <f ca="1">RAND()</f>
        <v>0.66630585504833517</v>
      </c>
      <c r="E264">
        <f ca="1">RANK(dict_zul_Var_Meth[[#This Row],[ignored_rand]],dict_zul_Var_Meth[ignored_rand])</f>
        <v>263</v>
      </c>
    </row>
    <row r="265" spans="1:5" x14ac:dyDescent="0.45">
      <c r="A265">
        <f ca="1">VLOOKUP(dict_zul_Var_Meth[[#This Row],[ignored_rank]],help_zuord_Var_Meth[],2)</f>
        <v>70</v>
      </c>
      <c r="B265">
        <v>340</v>
      </c>
      <c r="C2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5">
        <f ca="1">RAND()</f>
        <v>0.66966581528549218</v>
      </c>
      <c r="E265">
        <f ca="1">RANK(dict_zul_Var_Meth[[#This Row],[ignored_rand]],dict_zul_Var_Meth[ignored_rand])</f>
        <v>261</v>
      </c>
    </row>
    <row r="266" spans="1:5" x14ac:dyDescent="0.45">
      <c r="A266">
        <f ca="1">VLOOKUP(dict_zul_Var_Meth[[#This Row],[ignored_rank]],help_zuord_Var_Meth[],2)</f>
        <v>70</v>
      </c>
      <c r="B266">
        <v>651</v>
      </c>
      <c r="C2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6">
        <f ca="1">RAND()</f>
        <v>0.66598206658673553</v>
      </c>
      <c r="E266">
        <f ca="1">RANK(dict_zul_Var_Meth[[#This Row],[ignored_rand]],dict_zul_Var_Meth[ignored_rand])</f>
        <v>264</v>
      </c>
    </row>
    <row r="267" spans="1:5" x14ac:dyDescent="0.45">
      <c r="A267">
        <f ca="1">VLOOKUP(dict_zul_Var_Meth[[#This Row],[ignored_rank]],help_zuord_Var_Meth[],2)</f>
        <v>71</v>
      </c>
      <c r="B267">
        <v>354</v>
      </c>
      <c r="C2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7">
        <f ca="1">RAND()</f>
        <v>0.66261526434277584</v>
      </c>
      <c r="E267">
        <f ca="1">RANK(dict_zul_Var_Meth[[#This Row],[ignored_rand]],dict_zul_Var_Meth[ignored_rand])</f>
        <v>267</v>
      </c>
    </row>
    <row r="268" spans="1:5" x14ac:dyDescent="0.45">
      <c r="A268" s="3">
        <f ca="1">VLOOKUP(dict_zul_Var_Meth[[#This Row],[ignored_rank]],help_zuord_Var_Meth[],2)</f>
        <v>71</v>
      </c>
      <c r="B268">
        <v>236</v>
      </c>
      <c r="C2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8">
        <f ca="1">RAND()</f>
        <v>0.66385168915543458</v>
      </c>
      <c r="E268" s="3">
        <f ca="1">RANK(dict_zul_Var_Meth[[#This Row],[ignored_rand]],dict_zul_Var_Meth[ignored_rand])</f>
        <v>266</v>
      </c>
    </row>
    <row r="269" spans="1:5" x14ac:dyDescent="0.45">
      <c r="A269">
        <f ca="1">VLOOKUP(dict_zul_Var_Meth[[#This Row],[ignored_rank]],help_zuord_Var_Meth[],2)</f>
        <v>71</v>
      </c>
      <c r="B269">
        <v>328</v>
      </c>
      <c r="C2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69">
        <f ca="1">RAND()</f>
        <v>0.65596600249929482</v>
      </c>
      <c r="E269">
        <f ca="1">RANK(dict_zul_Var_Meth[[#This Row],[ignored_rand]],dict_zul_Var_Meth[ignored_rand])</f>
        <v>269</v>
      </c>
    </row>
    <row r="270" spans="1:5" x14ac:dyDescent="0.45">
      <c r="A270">
        <f ca="1">VLOOKUP(dict_zul_Var_Meth[[#This Row],[ignored_rank]],help_zuord_Var_Meth[],2)</f>
        <v>71</v>
      </c>
      <c r="B270">
        <v>159</v>
      </c>
      <c r="C2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0">
        <f ca="1">RAND()</f>
        <v>0.66209440401923025</v>
      </c>
      <c r="E270">
        <f ca="1">RANK(dict_zul_Var_Meth[[#This Row],[ignored_rand]],dict_zul_Var_Meth[ignored_rand])</f>
        <v>268</v>
      </c>
    </row>
    <row r="271" spans="1:5" x14ac:dyDescent="0.45">
      <c r="A271">
        <f ca="1">VLOOKUP(dict_zul_Var_Meth[[#This Row],[ignored_rank]],help_zuord_Var_Meth[],2)</f>
        <v>72</v>
      </c>
      <c r="B271">
        <v>572</v>
      </c>
      <c r="C2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1">
        <f ca="1">RAND()</f>
        <v>0.6545060934918997</v>
      </c>
      <c r="E271">
        <f ca="1">RANK(dict_zul_Var_Meth[[#This Row],[ignored_rand]],dict_zul_Var_Meth[ignored_rand])</f>
        <v>270</v>
      </c>
    </row>
    <row r="272" spans="1:5" x14ac:dyDescent="0.45">
      <c r="A272">
        <f ca="1">VLOOKUP(dict_zul_Var_Meth[[#This Row],[ignored_rank]],help_zuord_Var_Meth[],2)</f>
        <v>72</v>
      </c>
      <c r="B272">
        <v>509</v>
      </c>
      <c r="C2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2">
        <f ca="1">RAND()</f>
        <v>0.64766106160659109</v>
      </c>
      <c r="E272">
        <f ca="1">RANK(dict_zul_Var_Meth[[#This Row],[ignored_rand]],dict_zul_Var_Meth[ignored_rand])</f>
        <v>272</v>
      </c>
    </row>
    <row r="273" spans="1:5" x14ac:dyDescent="0.45">
      <c r="A273">
        <f ca="1">VLOOKUP(dict_zul_Var_Meth[[#This Row],[ignored_rank]],help_zuord_Var_Meth[],2)</f>
        <v>72</v>
      </c>
      <c r="B273">
        <v>10</v>
      </c>
      <c r="C2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3">
        <f ca="1">RAND()</f>
        <v>0.64253558112999309</v>
      </c>
      <c r="E273">
        <f ca="1">RANK(dict_zul_Var_Meth[[#This Row],[ignored_rand]],dict_zul_Var_Meth[ignored_rand])</f>
        <v>273</v>
      </c>
    </row>
    <row r="274" spans="1:5" x14ac:dyDescent="0.45">
      <c r="A274">
        <f ca="1">VLOOKUP(dict_zul_Var_Meth[[#This Row],[ignored_rank]],help_zuord_Var_Meth[],2)</f>
        <v>72</v>
      </c>
      <c r="B274">
        <v>427</v>
      </c>
      <c r="C2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4">
        <f ca="1">RAND()</f>
        <v>0.6511163145530614</v>
      </c>
      <c r="E274">
        <f ca="1">RANK(dict_zul_Var_Meth[[#This Row],[ignored_rand]],dict_zul_Var_Meth[ignored_rand])</f>
        <v>271</v>
      </c>
    </row>
    <row r="275" spans="1:5" x14ac:dyDescent="0.45">
      <c r="A275">
        <f ca="1">VLOOKUP(dict_zul_Var_Meth[[#This Row],[ignored_rank]],help_zuord_Var_Meth[],2)</f>
        <v>73</v>
      </c>
      <c r="B275">
        <v>430</v>
      </c>
      <c r="C2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5">
        <f ca="1">RAND()</f>
        <v>0.64227203260790511</v>
      </c>
      <c r="E275">
        <f ca="1">RANK(dict_zul_Var_Meth[[#This Row],[ignored_rand]],dict_zul_Var_Meth[ignored_rand])</f>
        <v>274</v>
      </c>
    </row>
    <row r="276" spans="1:5" x14ac:dyDescent="0.45">
      <c r="A276">
        <f ca="1">VLOOKUP(dict_zul_Var_Meth[[#This Row],[ignored_rank]],help_zuord_Var_Meth[],2)</f>
        <v>73</v>
      </c>
      <c r="B276">
        <v>671</v>
      </c>
      <c r="C2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6">
        <f ca="1">RAND()</f>
        <v>0.63870325097888447</v>
      </c>
      <c r="E276">
        <f ca="1">RANK(dict_zul_Var_Meth[[#This Row],[ignored_rand]],dict_zul_Var_Meth[ignored_rand])</f>
        <v>276</v>
      </c>
    </row>
    <row r="277" spans="1:5" x14ac:dyDescent="0.45">
      <c r="A277">
        <f ca="1">VLOOKUP(dict_zul_Var_Meth[[#This Row],[ignored_rank]],help_zuord_Var_Meth[],2)</f>
        <v>73</v>
      </c>
      <c r="B277">
        <v>123</v>
      </c>
      <c r="C2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7">
        <f ca="1">RAND()</f>
        <v>0.63976411393539734</v>
      </c>
      <c r="E277">
        <f ca="1">RANK(dict_zul_Var_Meth[[#This Row],[ignored_rand]],dict_zul_Var_Meth[ignored_rand])</f>
        <v>275</v>
      </c>
    </row>
    <row r="278" spans="1:5" x14ac:dyDescent="0.45">
      <c r="A278">
        <f ca="1">VLOOKUP(dict_zul_Var_Meth[[#This Row],[ignored_rank]],help_zuord_Var_Meth[],2)</f>
        <v>74</v>
      </c>
      <c r="B278">
        <v>388</v>
      </c>
      <c r="C2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8">
        <f ca="1">RAND()</f>
        <v>0.63524603062909346</v>
      </c>
      <c r="E278">
        <f ca="1">RANK(dict_zul_Var_Meth[[#This Row],[ignored_rand]],dict_zul_Var_Meth[ignored_rand])</f>
        <v>279</v>
      </c>
    </row>
    <row r="279" spans="1:5" x14ac:dyDescent="0.45">
      <c r="A279">
        <f ca="1">VLOOKUP(dict_zul_Var_Meth[[#This Row],[ignored_rank]],help_zuord_Var_Meth[],2)</f>
        <v>74</v>
      </c>
      <c r="B279">
        <v>122</v>
      </c>
      <c r="C2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79">
        <f ca="1">RAND()</f>
        <v>0.63655966965175503</v>
      </c>
      <c r="E279">
        <f ca="1">RANK(dict_zul_Var_Meth[[#This Row],[ignored_rand]],dict_zul_Var_Meth[ignored_rand])</f>
        <v>277</v>
      </c>
    </row>
    <row r="280" spans="1:5" x14ac:dyDescent="0.45">
      <c r="A280" s="3">
        <f ca="1">VLOOKUP(dict_zul_Var_Meth[[#This Row],[ignored_rank]],help_zuord_Var_Meth[],2)</f>
        <v>74</v>
      </c>
      <c r="B280">
        <v>33</v>
      </c>
      <c r="C2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0">
        <f ca="1">RAND()</f>
        <v>0.63580759682321308</v>
      </c>
      <c r="E280" s="3">
        <f ca="1">RANK(dict_zul_Var_Meth[[#This Row],[ignored_rand]],dict_zul_Var_Meth[ignored_rand])</f>
        <v>278</v>
      </c>
    </row>
    <row r="281" spans="1:5" x14ac:dyDescent="0.45">
      <c r="A281">
        <f ca="1">VLOOKUP(dict_zul_Var_Meth[[#This Row],[ignored_rank]],help_zuord_Var_Meth[],2)</f>
        <v>75</v>
      </c>
      <c r="B281">
        <v>628</v>
      </c>
      <c r="C2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1">
        <f ca="1">RAND()</f>
        <v>0.6303357321962807</v>
      </c>
      <c r="E281">
        <f ca="1">RANK(dict_zul_Var_Meth[[#This Row],[ignored_rand]],dict_zul_Var_Meth[ignored_rand])</f>
        <v>284</v>
      </c>
    </row>
    <row r="282" spans="1:5" x14ac:dyDescent="0.45">
      <c r="A282" s="3">
        <f ca="1">VLOOKUP(dict_zul_Var_Meth[[#This Row],[ignored_rank]],help_zuord_Var_Meth[],2)</f>
        <v>75</v>
      </c>
      <c r="B282">
        <v>101</v>
      </c>
      <c r="C2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2">
        <f ca="1">RAND()</f>
        <v>0.63228003660066201</v>
      </c>
      <c r="E282" s="3">
        <f ca="1">RANK(dict_zul_Var_Meth[[#This Row],[ignored_rand]],dict_zul_Var_Meth[ignored_rand])</f>
        <v>280</v>
      </c>
    </row>
    <row r="283" spans="1:5" x14ac:dyDescent="0.45">
      <c r="A283">
        <f ca="1">VLOOKUP(dict_zul_Var_Meth[[#This Row],[ignored_rank]],help_zuord_Var_Meth[],2)</f>
        <v>75</v>
      </c>
      <c r="B283">
        <v>12</v>
      </c>
      <c r="C2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3">
        <f ca="1">RAND()</f>
        <v>0.63140214945551965</v>
      </c>
      <c r="E283">
        <f ca="1">RANK(dict_zul_Var_Meth[[#This Row],[ignored_rand]],dict_zul_Var_Meth[ignored_rand])</f>
        <v>282</v>
      </c>
    </row>
    <row r="284" spans="1:5" x14ac:dyDescent="0.45">
      <c r="A284">
        <f ca="1">VLOOKUP(dict_zul_Var_Meth[[#This Row],[ignored_rank]],help_zuord_Var_Meth[],2)</f>
        <v>75</v>
      </c>
      <c r="B284">
        <v>690</v>
      </c>
      <c r="C2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4">
        <f ca="1">RAND()</f>
        <v>0.631984573816045</v>
      </c>
      <c r="E284">
        <f ca="1">RANK(dict_zul_Var_Meth[[#This Row],[ignored_rand]],dict_zul_Var_Meth[ignored_rand])</f>
        <v>281</v>
      </c>
    </row>
    <row r="285" spans="1:5" x14ac:dyDescent="0.45">
      <c r="A285">
        <f ca="1">VLOOKUP(dict_zul_Var_Meth[[#This Row],[ignored_rank]],help_zuord_Var_Meth[],2)</f>
        <v>75</v>
      </c>
      <c r="B285">
        <v>40</v>
      </c>
      <c r="C2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5">
        <f ca="1">RAND()</f>
        <v>0.63058255133642616</v>
      </c>
      <c r="E285">
        <f ca="1">RANK(dict_zul_Var_Meth[[#This Row],[ignored_rand]],dict_zul_Var_Meth[ignored_rand])</f>
        <v>283</v>
      </c>
    </row>
    <row r="286" spans="1:5" x14ac:dyDescent="0.45">
      <c r="A286">
        <f ca="1">VLOOKUP(dict_zul_Var_Meth[[#This Row],[ignored_rank]],help_zuord_Var_Meth[],2)</f>
        <v>76</v>
      </c>
      <c r="B286">
        <v>82</v>
      </c>
      <c r="C2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6">
        <f ca="1">RAND()</f>
        <v>0.62963883187718639</v>
      </c>
      <c r="E286">
        <f ca="1">RANK(dict_zul_Var_Meth[[#This Row],[ignored_rand]],dict_zul_Var_Meth[ignored_rand])</f>
        <v>286</v>
      </c>
    </row>
    <row r="287" spans="1:5" x14ac:dyDescent="0.45">
      <c r="A287" s="3">
        <f ca="1">VLOOKUP(dict_zul_Var_Meth[[#This Row],[ignored_rank]],help_zuord_Var_Meth[],2)</f>
        <v>76</v>
      </c>
      <c r="B287">
        <v>273</v>
      </c>
      <c r="C2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7">
        <f ca="1">RAND()</f>
        <v>0.63025137436220457</v>
      </c>
      <c r="E287" s="3">
        <f ca="1">RANK(dict_zul_Var_Meth[[#This Row],[ignored_rand]],dict_zul_Var_Meth[ignored_rand])</f>
        <v>285</v>
      </c>
    </row>
    <row r="288" spans="1:5" x14ac:dyDescent="0.45">
      <c r="A288">
        <f ca="1">VLOOKUP(dict_zul_Var_Meth[[#This Row],[ignored_rank]],help_zuord_Var_Meth[],2)</f>
        <v>77</v>
      </c>
      <c r="B288">
        <v>46</v>
      </c>
      <c r="C2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8">
        <f ca="1">RAND()</f>
        <v>0.62735733452411135</v>
      </c>
      <c r="E288">
        <f ca="1">RANK(dict_zul_Var_Meth[[#This Row],[ignored_rand]],dict_zul_Var_Meth[ignored_rand])</f>
        <v>288</v>
      </c>
    </row>
    <row r="289" spans="1:5" x14ac:dyDescent="0.45">
      <c r="A289">
        <f ca="1">VLOOKUP(dict_zul_Var_Meth[[#This Row],[ignored_rank]],help_zuord_Var_Meth[],2)</f>
        <v>77</v>
      </c>
      <c r="B289">
        <v>554</v>
      </c>
      <c r="C2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89">
        <f ca="1">RAND()</f>
        <v>0.62933948418337127</v>
      </c>
      <c r="E289">
        <f ca="1">RANK(dict_zul_Var_Meth[[#This Row],[ignored_rand]],dict_zul_Var_Meth[ignored_rand])</f>
        <v>287</v>
      </c>
    </row>
    <row r="290" spans="1:5" x14ac:dyDescent="0.45">
      <c r="A290" s="3">
        <f ca="1">VLOOKUP(dict_zul_Var_Meth[[#This Row],[ignored_rank]],help_zuord_Var_Meth[],2)</f>
        <v>77</v>
      </c>
      <c r="B290">
        <v>63</v>
      </c>
      <c r="C2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0">
        <f ca="1">RAND()</f>
        <v>0.62734078719181274</v>
      </c>
      <c r="E290" s="3">
        <f ca="1">RANK(dict_zul_Var_Meth[[#This Row],[ignored_rand]],dict_zul_Var_Meth[ignored_rand])</f>
        <v>289</v>
      </c>
    </row>
    <row r="291" spans="1:5" x14ac:dyDescent="0.45">
      <c r="A291">
        <f ca="1">VLOOKUP(dict_zul_Var_Meth[[#This Row],[ignored_rank]],help_zuord_Var_Meth[],2)</f>
        <v>77</v>
      </c>
      <c r="B291">
        <v>283</v>
      </c>
      <c r="C2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1">
        <f ca="1">RAND()</f>
        <v>0.62544962955075878</v>
      </c>
      <c r="E291">
        <f ca="1">RANK(dict_zul_Var_Meth[[#This Row],[ignored_rand]],dict_zul_Var_Meth[ignored_rand])</f>
        <v>290</v>
      </c>
    </row>
    <row r="292" spans="1:5" x14ac:dyDescent="0.45">
      <c r="A292">
        <f ca="1">VLOOKUP(dict_zul_Var_Meth[[#This Row],[ignored_rank]],help_zuord_Var_Meth[],2)</f>
        <v>77</v>
      </c>
      <c r="B292">
        <v>381</v>
      </c>
      <c r="C2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2">
        <f ca="1">RAND()</f>
        <v>0.62526692290943975</v>
      </c>
      <c r="E292">
        <f ca="1">RANK(dict_zul_Var_Meth[[#This Row],[ignored_rand]],dict_zul_Var_Meth[ignored_rand])</f>
        <v>291</v>
      </c>
    </row>
    <row r="293" spans="1:5" x14ac:dyDescent="0.45">
      <c r="A293">
        <f ca="1">VLOOKUP(dict_zul_Var_Meth[[#This Row],[ignored_rank]],help_zuord_Var_Meth[],2)</f>
        <v>78</v>
      </c>
      <c r="B293">
        <v>74</v>
      </c>
      <c r="C2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3">
        <f ca="1">RAND()</f>
        <v>0.62038076108187667</v>
      </c>
      <c r="E293">
        <f ca="1">RANK(dict_zul_Var_Meth[[#This Row],[ignored_rand]],dict_zul_Var_Meth[ignored_rand])</f>
        <v>294</v>
      </c>
    </row>
    <row r="294" spans="1:5" x14ac:dyDescent="0.45">
      <c r="A294">
        <f ca="1">VLOOKUP(dict_zul_Var_Meth[[#This Row],[ignored_rank]],help_zuord_Var_Meth[],2)</f>
        <v>78</v>
      </c>
      <c r="B294">
        <v>187</v>
      </c>
      <c r="C2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4">
        <f ca="1">RAND()</f>
        <v>0.62113223517033456</v>
      </c>
      <c r="E294">
        <f ca="1">RANK(dict_zul_Var_Meth[[#This Row],[ignored_rand]],dict_zul_Var_Meth[ignored_rand])</f>
        <v>292</v>
      </c>
    </row>
    <row r="295" spans="1:5" x14ac:dyDescent="0.45">
      <c r="A295">
        <f ca="1">VLOOKUP(dict_zul_Var_Meth[[#This Row],[ignored_rank]],help_zuord_Var_Meth[],2)</f>
        <v>78</v>
      </c>
      <c r="B295">
        <v>114</v>
      </c>
      <c r="C2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5">
        <f ca="1">RAND()</f>
        <v>0.62031656100412458</v>
      </c>
      <c r="E295">
        <f ca="1">RANK(dict_zul_Var_Meth[[#This Row],[ignored_rand]],dict_zul_Var_Meth[ignored_rand])</f>
        <v>295</v>
      </c>
    </row>
    <row r="296" spans="1:5" x14ac:dyDescent="0.45">
      <c r="A296">
        <f ca="1">VLOOKUP(dict_zul_Var_Meth[[#This Row],[ignored_rank]],help_zuord_Var_Meth[],2)</f>
        <v>78</v>
      </c>
      <c r="B296">
        <v>436</v>
      </c>
      <c r="C2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6">
        <f ca="1">RAND()</f>
        <v>0.6204134934362191</v>
      </c>
      <c r="E296">
        <f ca="1">RANK(dict_zul_Var_Meth[[#This Row],[ignored_rand]],dict_zul_Var_Meth[ignored_rand])</f>
        <v>293</v>
      </c>
    </row>
    <row r="297" spans="1:5" x14ac:dyDescent="0.45">
      <c r="A297">
        <f ca="1">VLOOKUP(dict_zul_Var_Meth[[#This Row],[ignored_rank]],help_zuord_Var_Meth[],2)</f>
        <v>79</v>
      </c>
      <c r="B297">
        <v>345</v>
      </c>
      <c r="C2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7">
        <f ca="1">RAND()</f>
        <v>0.61868833200712525</v>
      </c>
      <c r="E297">
        <f ca="1">RANK(dict_zul_Var_Meth[[#This Row],[ignored_rand]],dict_zul_Var_Meth[ignored_rand])</f>
        <v>297</v>
      </c>
    </row>
    <row r="298" spans="1:5" x14ac:dyDescent="0.45">
      <c r="A298">
        <f ca="1">VLOOKUP(dict_zul_Var_Meth[[#This Row],[ignored_rank]],help_zuord_Var_Meth[],2)</f>
        <v>79</v>
      </c>
      <c r="B298">
        <v>497</v>
      </c>
      <c r="C2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8">
        <f ca="1">RAND()</f>
        <v>0.61470659311505704</v>
      </c>
      <c r="E298">
        <f ca="1">RANK(dict_zul_Var_Meth[[#This Row],[ignored_rand]],dict_zul_Var_Meth[ignored_rand])</f>
        <v>299</v>
      </c>
    </row>
    <row r="299" spans="1:5" x14ac:dyDescent="0.45">
      <c r="A299">
        <f ca="1">VLOOKUP(dict_zul_Var_Meth[[#This Row],[ignored_rank]],help_zuord_Var_Meth[],2)</f>
        <v>79</v>
      </c>
      <c r="B299">
        <v>166</v>
      </c>
      <c r="C2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299">
        <f ca="1">RAND()</f>
        <v>0.61893376017627755</v>
      </c>
      <c r="E299">
        <f ca="1">RANK(dict_zul_Var_Meth[[#This Row],[ignored_rand]],dict_zul_Var_Meth[ignored_rand])</f>
        <v>296</v>
      </c>
    </row>
    <row r="300" spans="1:5" x14ac:dyDescent="0.45">
      <c r="A300">
        <f ca="1">VLOOKUP(dict_zul_Var_Meth[[#This Row],[ignored_rank]],help_zuord_Var_Meth[],2)</f>
        <v>79</v>
      </c>
      <c r="B300">
        <v>493</v>
      </c>
      <c r="C3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0">
        <f ca="1">RAND()</f>
        <v>0.61386835543981644</v>
      </c>
      <c r="E300">
        <f ca="1">RANK(dict_zul_Var_Meth[[#This Row],[ignored_rand]],dict_zul_Var_Meth[ignored_rand])</f>
        <v>300</v>
      </c>
    </row>
    <row r="301" spans="1:5" x14ac:dyDescent="0.45">
      <c r="A301">
        <f ca="1">VLOOKUP(dict_zul_Var_Meth[[#This Row],[ignored_rank]],help_zuord_Var_Meth[],2)</f>
        <v>79</v>
      </c>
      <c r="B301">
        <v>488</v>
      </c>
      <c r="C3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1">
        <f ca="1">RAND()</f>
        <v>0.61706746177921856</v>
      </c>
      <c r="E301">
        <f ca="1">RANK(dict_zul_Var_Meth[[#This Row],[ignored_rand]],dict_zul_Var_Meth[ignored_rand])</f>
        <v>298</v>
      </c>
    </row>
    <row r="302" spans="1:5" x14ac:dyDescent="0.45">
      <c r="A302">
        <f ca="1">VLOOKUP(dict_zul_Var_Meth[[#This Row],[ignored_rank]],help_zuord_Var_Meth[],2)</f>
        <v>80</v>
      </c>
      <c r="B302">
        <v>531</v>
      </c>
      <c r="C3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2">
        <f ca="1">RAND()</f>
        <v>0.61251899214553474</v>
      </c>
      <c r="E302">
        <f ca="1">RANK(dict_zul_Var_Meth[[#This Row],[ignored_rand]],dict_zul_Var_Meth[ignored_rand])</f>
        <v>301</v>
      </c>
    </row>
    <row r="303" spans="1:5" x14ac:dyDescent="0.45">
      <c r="A303">
        <f ca="1">VLOOKUP(dict_zul_Var_Meth[[#This Row],[ignored_rank]],help_zuord_Var_Meth[],2)</f>
        <v>80</v>
      </c>
      <c r="B303">
        <v>254</v>
      </c>
      <c r="C3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3">
        <f ca="1">RAND()</f>
        <v>0.61031072349797211</v>
      </c>
      <c r="E303">
        <f ca="1">RANK(dict_zul_Var_Meth[[#This Row],[ignored_rand]],dict_zul_Var_Meth[ignored_rand])</f>
        <v>302</v>
      </c>
    </row>
    <row r="304" spans="1:5" x14ac:dyDescent="0.45">
      <c r="A304">
        <f ca="1">VLOOKUP(dict_zul_Var_Meth[[#This Row],[ignored_rank]],help_zuord_Var_Meth[],2)</f>
        <v>81</v>
      </c>
      <c r="B304">
        <v>279</v>
      </c>
      <c r="C3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4">
        <f ca="1">RAND()</f>
        <v>0.607045247405677</v>
      </c>
      <c r="E304">
        <f ca="1">RANK(dict_zul_Var_Meth[[#This Row],[ignored_rand]],dict_zul_Var_Meth[ignored_rand])</f>
        <v>304</v>
      </c>
    </row>
    <row r="305" spans="1:5" x14ac:dyDescent="0.45">
      <c r="A305">
        <f ca="1">VLOOKUP(dict_zul_Var_Meth[[#This Row],[ignored_rank]],help_zuord_Var_Meth[],2)</f>
        <v>81</v>
      </c>
      <c r="B305">
        <v>424</v>
      </c>
      <c r="C3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5">
        <f ca="1">RAND()</f>
        <v>0.60350549878230986</v>
      </c>
      <c r="E305">
        <f ca="1">RANK(dict_zul_Var_Meth[[#This Row],[ignored_rand]],dict_zul_Var_Meth[ignored_rand])</f>
        <v>305</v>
      </c>
    </row>
    <row r="306" spans="1:5" x14ac:dyDescent="0.45">
      <c r="A306">
        <f ca="1">VLOOKUP(dict_zul_Var_Meth[[#This Row],[ignored_rank]],help_zuord_Var_Meth[],2)</f>
        <v>81</v>
      </c>
      <c r="B306">
        <v>437</v>
      </c>
      <c r="C3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6">
        <f ca="1">RAND()</f>
        <v>0.60284220650237663</v>
      </c>
      <c r="E306">
        <f ca="1">RANK(dict_zul_Var_Meth[[#This Row],[ignored_rand]],dict_zul_Var_Meth[ignored_rand])</f>
        <v>306</v>
      </c>
    </row>
    <row r="307" spans="1:5" x14ac:dyDescent="0.45">
      <c r="A307">
        <f ca="1">VLOOKUP(dict_zul_Var_Meth[[#This Row],[ignored_rank]],help_zuord_Var_Meth[],2)</f>
        <v>81</v>
      </c>
      <c r="B307">
        <v>255</v>
      </c>
      <c r="C3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7">
        <f ca="1">RAND()</f>
        <v>0.60988792081418297</v>
      </c>
      <c r="E307">
        <f ca="1">RANK(dict_zul_Var_Meth[[#This Row],[ignored_rand]],dict_zul_Var_Meth[ignored_rand])</f>
        <v>303</v>
      </c>
    </row>
    <row r="308" spans="1:5" x14ac:dyDescent="0.45">
      <c r="A308">
        <f ca="1">VLOOKUP(dict_zul_Var_Meth[[#This Row],[ignored_rank]],help_zuord_Var_Meth[],2)</f>
        <v>82</v>
      </c>
      <c r="B308">
        <v>640</v>
      </c>
      <c r="C3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8">
        <f ca="1">RAND()</f>
        <v>0.60117999380166709</v>
      </c>
      <c r="E308">
        <f ca="1">RANK(dict_zul_Var_Meth[[#This Row],[ignored_rand]],dict_zul_Var_Meth[ignored_rand])</f>
        <v>307</v>
      </c>
    </row>
    <row r="309" spans="1:5" x14ac:dyDescent="0.45">
      <c r="A309">
        <f ca="1">VLOOKUP(dict_zul_Var_Meth[[#This Row],[ignored_rank]],help_zuord_Var_Meth[],2)</f>
        <v>82</v>
      </c>
      <c r="B309">
        <v>615</v>
      </c>
      <c r="C3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09">
        <f ca="1">RAND()</f>
        <v>0.59926968259230617</v>
      </c>
      <c r="E309">
        <f ca="1">RANK(dict_zul_Var_Meth[[#This Row],[ignored_rand]],dict_zul_Var_Meth[ignored_rand])</f>
        <v>308</v>
      </c>
    </row>
    <row r="310" spans="1:5" x14ac:dyDescent="0.45">
      <c r="A310">
        <f ca="1">VLOOKUP(dict_zul_Var_Meth[[#This Row],[ignored_rank]],help_zuord_Var_Meth[],2)</f>
        <v>82</v>
      </c>
      <c r="B310">
        <v>152</v>
      </c>
      <c r="C3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0">
        <f ca="1">RAND()</f>
        <v>0.59532747809729569</v>
      </c>
      <c r="E310">
        <f ca="1">RANK(dict_zul_Var_Meth[[#This Row],[ignored_rand]],dict_zul_Var_Meth[ignored_rand])</f>
        <v>309</v>
      </c>
    </row>
    <row r="311" spans="1:5" x14ac:dyDescent="0.45">
      <c r="A311">
        <f ca="1">VLOOKUP(dict_zul_Var_Meth[[#This Row],[ignored_rank]],help_zuord_Var_Meth[],2)</f>
        <v>83</v>
      </c>
      <c r="B311">
        <v>344</v>
      </c>
      <c r="C3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1">
        <f ca="1">RAND()</f>
        <v>0.59519117642154951</v>
      </c>
      <c r="E311">
        <f ca="1">RANK(dict_zul_Var_Meth[[#This Row],[ignored_rand]],dict_zul_Var_Meth[ignored_rand])</f>
        <v>310</v>
      </c>
    </row>
    <row r="312" spans="1:5" x14ac:dyDescent="0.45">
      <c r="A312">
        <f ca="1">VLOOKUP(dict_zul_Var_Meth[[#This Row],[ignored_rank]],help_zuord_Var_Meth[],2)</f>
        <v>83</v>
      </c>
      <c r="B312">
        <v>540</v>
      </c>
      <c r="C3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2">
        <f ca="1">RAND()</f>
        <v>0.5897638227308446</v>
      </c>
      <c r="E312">
        <f ca="1">RANK(dict_zul_Var_Meth[[#This Row],[ignored_rand]],dict_zul_Var_Meth[ignored_rand])</f>
        <v>313</v>
      </c>
    </row>
    <row r="313" spans="1:5" x14ac:dyDescent="0.45">
      <c r="A313">
        <f ca="1">VLOOKUP(dict_zul_Var_Meth[[#This Row],[ignored_rank]],help_zuord_Var_Meth[],2)</f>
        <v>83</v>
      </c>
      <c r="B313">
        <v>264</v>
      </c>
      <c r="C3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3">
        <f ca="1">RAND()</f>
        <v>0.59236276885702366</v>
      </c>
      <c r="E313">
        <f ca="1">RANK(dict_zul_Var_Meth[[#This Row],[ignored_rand]],dict_zul_Var_Meth[ignored_rand])</f>
        <v>311</v>
      </c>
    </row>
    <row r="314" spans="1:5" x14ac:dyDescent="0.45">
      <c r="A314">
        <f ca="1">VLOOKUP(dict_zul_Var_Meth[[#This Row],[ignored_rank]],help_zuord_Var_Meth[],2)</f>
        <v>83</v>
      </c>
      <c r="B314">
        <v>406</v>
      </c>
      <c r="C3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4">
        <f ca="1">RAND()</f>
        <v>0.58991687180116037</v>
      </c>
      <c r="E314">
        <f ca="1">RANK(dict_zul_Var_Meth[[#This Row],[ignored_rand]],dict_zul_Var_Meth[ignored_rand])</f>
        <v>312</v>
      </c>
    </row>
    <row r="315" spans="1:5" x14ac:dyDescent="0.45">
      <c r="A315">
        <f ca="1">VLOOKUP(dict_zul_Var_Meth[[#This Row],[ignored_rank]],help_zuord_Var_Meth[],2)</f>
        <v>84</v>
      </c>
      <c r="B315">
        <v>626</v>
      </c>
      <c r="C3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5">
        <f ca="1">RAND()</f>
        <v>0.58366822030729604</v>
      </c>
      <c r="E315">
        <f ca="1">RANK(dict_zul_Var_Meth[[#This Row],[ignored_rand]],dict_zul_Var_Meth[ignored_rand])</f>
        <v>317</v>
      </c>
    </row>
    <row r="316" spans="1:5" x14ac:dyDescent="0.45">
      <c r="A316">
        <f ca="1">VLOOKUP(dict_zul_Var_Meth[[#This Row],[ignored_rank]],help_zuord_Var_Meth[],2)</f>
        <v>84</v>
      </c>
      <c r="B316">
        <v>657</v>
      </c>
      <c r="C3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6">
        <f ca="1">RAND()</f>
        <v>0.58537679198247816</v>
      </c>
      <c r="E316">
        <f ca="1">RANK(dict_zul_Var_Meth[[#This Row],[ignored_rand]],dict_zul_Var_Meth[ignored_rand])</f>
        <v>316</v>
      </c>
    </row>
    <row r="317" spans="1:5" x14ac:dyDescent="0.45">
      <c r="A317">
        <f ca="1">VLOOKUP(dict_zul_Var_Meth[[#This Row],[ignored_rank]],help_zuord_Var_Meth[],2)</f>
        <v>84</v>
      </c>
      <c r="B317">
        <v>17</v>
      </c>
      <c r="C3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7">
        <f ca="1">RAND()</f>
        <v>0.58911936357853301</v>
      </c>
      <c r="E317">
        <f ca="1">RANK(dict_zul_Var_Meth[[#This Row],[ignored_rand]],dict_zul_Var_Meth[ignored_rand])</f>
        <v>314</v>
      </c>
    </row>
    <row r="318" spans="1:5" x14ac:dyDescent="0.45">
      <c r="A318">
        <f ca="1">VLOOKUP(dict_zul_Var_Meth[[#This Row],[ignored_rank]],help_zuord_Var_Meth[],2)</f>
        <v>84</v>
      </c>
      <c r="B318">
        <v>30</v>
      </c>
      <c r="C3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8">
        <f ca="1">RAND()</f>
        <v>0.58711063818747222</v>
      </c>
      <c r="E318">
        <f ca="1">RANK(dict_zul_Var_Meth[[#This Row],[ignored_rand]],dict_zul_Var_Meth[ignored_rand])</f>
        <v>315</v>
      </c>
    </row>
    <row r="319" spans="1:5" x14ac:dyDescent="0.45">
      <c r="A319">
        <f ca="1">VLOOKUP(dict_zul_Var_Meth[[#This Row],[ignored_rank]],help_zuord_Var_Meth[],2)</f>
        <v>85</v>
      </c>
      <c r="B319">
        <v>78</v>
      </c>
      <c r="C3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19">
        <f ca="1">RAND()</f>
        <v>0.57754310679868071</v>
      </c>
      <c r="E319">
        <f ca="1">RANK(dict_zul_Var_Meth[[#This Row],[ignored_rand]],dict_zul_Var_Meth[ignored_rand])</f>
        <v>320</v>
      </c>
    </row>
    <row r="320" spans="1:5" x14ac:dyDescent="0.45">
      <c r="A320">
        <f ca="1">VLOOKUP(dict_zul_Var_Meth[[#This Row],[ignored_rank]],help_zuord_Var_Meth[],2)</f>
        <v>85</v>
      </c>
      <c r="B320">
        <v>330</v>
      </c>
      <c r="C3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0">
        <f ca="1">RAND()</f>
        <v>0.57621560027659569</v>
      </c>
      <c r="E320">
        <f ca="1">RANK(dict_zul_Var_Meth[[#This Row],[ignored_rand]],dict_zul_Var_Meth[ignored_rand])</f>
        <v>321</v>
      </c>
    </row>
    <row r="321" spans="1:5" x14ac:dyDescent="0.45">
      <c r="A321">
        <f ca="1">VLOOKUP(dict_zul_Var_Meth[[#This Row],[ignored_rank]],help_zuord_Var_Meth[],2)</f>
        <v>85</v>
      </c>
      <c r="B321">
        <v>694</v>
      </c>
      <c r="C3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1">
        <f ca="1">RAND()</f>
        <v>0.57560326472594514</v>
      </c>
      <c r="E321">
        <f ca="1">RANK(dict_zul_Var_Meth[[#This Row],[ignored_rand]],dict_zul_Var_Meth[ignored_rand])</f>
        <v>322</v>
      </c>
    </row>
    <row r="322" spans="1:5" x14ac:dyDescent="0.45">
      <c r="A322">
        <f ca="1">VLOOKUP(dict_zul_Var_Meth[[#This Row],[ignored_rank]],help_zuord_Var_Meth[],2)</f>
        <v>85</v>
      </c>
      <c r="B322">
        <v>72</v>
      </c>
      <c r="C3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2">
        <f ca="1">RAND()</f>
        <v>0.58090732002485534</v>
      </c>
      <c r="E322">
        <f ca="1">RANK(dict_zul_Var_Meth[[#This Row],[ignored_rand]],dict_zul_Var_Meth[ignored_rand])</f>
        <v>318</v>
      </c>
    </row>
    <row r="323" spans="1:5" x14ac:dyDescent="0.45">
      <c r="A323">
        <f ca="1">VLOOKUP(dict_zul_Var_Meth[[#This Row],[ignored_rank]],help_zuord_Var_Meth[],2)</f>
        <v>85</v>
      </c>
      <c r="B323">
        <v>522</v>
      </c>
      <c r="C3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3">
        <f ca="1">RAND()</f>
        <v>0.5799928185113179</v>
      </c>
      <c r="E323">
        <f ca="1">RANK(dict_zul_Var_Meth[[#This Row],[ignored_rand]],dict_zul_Var_Meth[ignored_rand])</f>
        <v>319</v>
      </c>
    </row>
    <row r="324" spans="1:5" x14ac:dyDescent="0.45">
      <c r="A324">
        <f ca="1">VLOOKUP(dict_zul_Var_Meth[[#This Row],[ignored_rank]],help_zuord_Var_Meth[],2)</f>
        <v>86</v>
      </c>
      <c r="B324">
        <v>234</v>
      </c>
      <c r="C3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4">
        <f ca="1">RAND()</f>
        <v>0.57154212862899778</v>
      </c>
      <c r="E324">
        <f ca="1">RANK(dict_zul_Var_Meth[[#This Row],[ignored_rand]],dict_zul_Var_Meth[ignored_rand])</f>
        <v>324</v>
      </c>
    </row>
    <row r="325" spans="1:5" x14ac:dyDescent="0.45">
      <c r="A325">
        <f ca="1">VLOOKUP(dict_zul_Var_Meth[[#This Row],[ignored_rank]],help_zuord_Var_Meth[],2)</f>
        <v>86</v>
      </c>
      <c r="B325">
        <v>233</v>
      </c>
      <c r="C3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5">
        <f ca="1">RAND()</f>
        <v>0.57016203200759574</v>
      </c>
      <c r="E325">
        <f ca="1">RANK(dict_zul_Var_Meth[[#This Row],[ignored_rand]],dict_zul_Var_Meth[ignored_rand])</f>
        <v>325</v>
      </c>
    </row>
    <row r="326" spans="1:5" x14ac:dyDescent="0.45">
      <c r="A326">
        <f ca="1">VLOOKUP(dict_zul_Var_Meth[[#This Row],[ignored_rank]],help_zuord_Var_Meth[],2)</f>
        <v>86</v>
      </c>
      <c r="B326">
        <v>13</v>
      </c>
      <c r="C3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6">
        <f ca="1">RAND()</f>
        <v>0.57163014684370095</v>
      </c>
      <c r="E326">
        <f ca="1">RANK(dict_zul_Var_Meth[[#This Row],[ignored_rand]],dict_zul_Var_Meth[ignored_rand])</f>
        <v>323</v>
      </c>
    </row>
    <row r="327" spans="1:5" x14ac:dyDescent="0.45">
      <c r="A327">
        <f ca="1">VLOOKUP(dict_zul_Var_Meth[[#This Row],[ignored_rank]],help_zuord_Var_Meth[],2)</f>
        <v>87</v>
      </c>
      <c r="B327">
        <v>623</v>
      </c>
      <c r="C3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7">
        <f ca="1">RAND()</f>
        <v>0.56746816709214443</v>
      </c>
      <c r="E327">
        <f ca="1">RANK(dict_zul_Var_Meth[[#This Row],[ignored_rand]],dict_zul_Var_Meth[ignored_rand])</f>
        <v>327</v>
      </c>
    </row>
    <row r="328" spans="1:5" x14ac:dyDescent="0.45">
      <c r="A328">
        <f ca="1">VLOOKUP(dict_zul_Var_Meth[[#This Row],[ignored_rank]],help_zuord_Var_Meth[],2)</f>
        <v>87</v>
      </c>
      <c r="B328">
        <v>681</v>
      </c>
      <c r="C3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8">
        <f ca="1">RAND()</f>
        <v>0.56630384616583351</v>
      </c>
      <c r="E328">
        <f ca="1">RANK(dict_zul_Var_Meth[[#This Row],[ignored_rand]],dict_zul_Var_Meth[ignored_rand])</f>
        <v>328</v>
      </c>
    </row>
    <row r="329" spans="1:5" x14ac:dyDescent="0.45">
      <c r="A329">
        <f ca="1">VLOOKUP(dict_zul_Var_Meth[[#This Row],[ignored_rank]],help_zuord_Var_Meth[],2)</f>
        <v>87</v>
      </c>
      <c r="B329">
        <v>620</v>
      </c>
      <c r="C3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29">
        <f ca="1">RAND()</f>
        <v>0.56880405360520025</v>
      </c>
      <c r="E329">
        <f ca="1">RANK(dict_zul_Var_Meth[[#This Row],[ignored_rand]],dict_zul_Var_Meth[ignored_rand])</f>
        <v>326</v>
      </c>
    </row>
    <row r="330" spans="1:5" x14ac:dyDescent="0.45">
      <c r="A330">
        <f ca="1">VLOOKUP(dict_zul_Var_Meth[[#This Row],[ignored_rank]],help_zuord_Var_Meth[],2)</f>
        <v>88</v>
      </c>
      <c r="B330">
        <v>113</v>
      </c>
      <c r="C3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0">
        <f ca="1">RAND()</f>
        <v>0.56206008396657581</v>
      </c>
      <c r="E330">
        <f ca="1">RANK(dict_zul_Var_Meth[[#This Row],[ignored_rand]],dict_zul_Var_Meth[ignored_rand])</f>
        <v>333</v>
      </c>
    </row>
    <row r="331" spans="1:5" x14ac:dyDescent="0.45">
      <c r="A331">
        <f ca="1">VLOOKUP(dict_zul_Var_Meth[[#This Row],[ignored_rank]],help_zuord_Var_Meth[],2)</f>
        <v>88</v>
      </c>
      <c r="B331">
        <v>560</v>
      </c>
      <c r="C3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1">
        <f ca="1">RAND()</f>
        <v>0.56450876020593221</v>
      </c>
      <c r="E331">
        <f ca="1">RANK(dict_zul_Var_Meth[[#This Row],[ignored_rand]],dict_zul_Var_Meth[ignored_rand])</f>
        <v>331</v>
      </c>
    </row>
    <row r="332" spans="1:5" x14ac:dyDescent="0.45">
      <c r="A332">
        <f ca="1">VLOOKUP(dict_zul_Var_Meth[[#This Row],[ignored_rank]],help_zuord_Var_Meth[],2)</f>
        <v>88</v>
      </c>
      <c r="B332">
        <v>335</v>
      </c>
      <c r="C3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2">
        <f ca="1">RAND()</f>
        <v>0.56474547565927458</v>
      </c>
      <c r="E332">
        <f ca="1">RANK(dict_zul_Var_Meth[[#This Row],[ignored_rand]],dict_zul_Var_Meth[ignored_rand])</f>
        <v>330</v>
      </c>
    </row>
    <row r="333" spans="1:5" x14ac:dyDescent="0.45">
      <c r="A333">
        <f ca="1">VLOOKUP(dict_zul_Var_Meth[[#This Row],[ignored_rank]],help_zuord_Var_Meth[],2)</f>
        <v>88</v>
      </c>
      <c r="B333">
        <v>638</v>
      </c>
      <c r="C3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3">
        <f ca="1">RAND()</f>
        <v>0.56415702982067872</v>
      </c>
      <c r="E333">
        <f ca="1">RANK(dict_zul_Var_Meth[[#This Row],[ignored_rand]],dict_zul_Var_Meth[ignored_rand])</f>
        <v>332</v>
      </c>
    </row>
    <row r="334" spans="1:5" x14ac:dyDescent="0.45">
      <c r="A334">
        <f ca="1">VLOOKUP(dict_zul_Var_Meth[[#This Row],[ignored_rank]],help_zuord_Var_Meth[],2)</f>
        <v>88</v>
      </c>
      <c r="B334">
        <v>68</v>
      </c>
      <c r="C3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4">
        <f ca="1">RAND()</f>
        <v>0.56495476623014451</v>
      </c>
      <c r="E334">
        <f ca="1">RANK(dict_zul_Var_Meth[[#This Row],[ignored_rand]],dict_zul_Var_Meth[ignored_rand])</f>
        <v>329</v>
      </c>
    </row>
    <row r="335" spans="1:5" x14ac:dyDescent="0.45">
      <c r="A335">
        <f ca="1">VLOOKUP(dict_zul_Var_Meth[[#This Row],[ignored_rank]],help_zuord_Var_Meth[],2)</f>
        <v>89</v>
      </c>
      <c r="B335">
        <v>570</v>
      </c>
      <c r="C3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5">
        <f ca="1">RAND()</f>
        <v>0.5596967914564881</v>
      </c>
      <c r="E335">
        <f ca="1">RANK(dict_zul_Var_Meth[[#This Row],[ignored_rand]],dict_zul_Var_Meth[ignored_rand])</f>
        <v>337</v>
      </c>
    </row>
    <row r="336" spans="1:5" x14ac:dyDescent="0.45">
      <c r="A336">
        <f ca="1">VLOOKUP(dict_zul_Var_Meth[[#This Row],[ignored_rank]],help_zuord_Var_Meth[],2)</f>
        <v>89</v>
      </c>
      <c r="B336">
        <v>184</v>
      </c>
      <c r="C3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6">
        <f ca="1">RAND()</f>
        <v>0.56035933261118753</v>
      </c>
      <c r="E336">
        <f ca="1">RANK(dict_zul_Var_Meth[[#This Row],[ignored_rand]],dict_zul_Var_Meth[ignored_rand])</f>
        <v>334</v>
      </c>
    </row>
    <row r="337" spans="1:5" x14ac:dyDescent="0.45">
      <c r="A337">
        <f ca="1">VLOOKUP(dict_zul_Var_Meth[[#This Row],[ignored_rank]],help_zuord_Var_Meth[],2)</f>
        <v>89</v>
      </c>
      <c r="B337">
        <v>168</v>
      </c>
      <c r="C3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7">
        <f ca="1">RAND()</f>
        <v>0.55997754512145181</v>
      </c>
      <c r="E337">
        <f ca="1">RANK(dict_zul_Var_Meth[[#This Row],[ignored_rand]],dict_zul_Var_Meth[ignored_rand])</f>
        <v>336</v>
      </c>
    </row>
    <row r="338" spans="1:5" x14ac:dyDescent="0.45">
      <c r="A338">
        <f ca="1">VLOOKUP(dict_zul_Var_Meth[[#This Row],[ignored_rank]],help_zuord_Var_Meth[],2)</f>
        <v>89</v>
      </c>
      <c r="B338">
        <v>177</v>
      </c>
      <c r="C3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8">
        <f ca="1">RAND()</f>
        <v>0.56013789744757336</v>
      </c>
      <c r="E338">
        <f ca="1">RANK(dict_zul_Var_Meth[[#This Row],[ignored_rand]],dict_zul_Var_Meth[ignored_rand])</f>
        <v>335</v>
      </c>
    </row>
    <row r="339" spans="1:5" x14ac:dyDescent="0.45">
      <c r="A339">
        <f ca="1">VLOOKUP(dict_zul_Var_Meth[[#This Row],[ignored_rank]],help_zuord_Var_Meth[],2)</f>
        <v>90</v>
      </c>
      <c r="B339">
        <v>182</v>
      </c>
      <c r="C3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39">
        <f ca="1">RAND()</f>
        <v>0.55443314702503199</v>
      </c>
      <c r="E339">
        <f ca="1">RANK(dict_zul_Var_Meth[[#This Row],[ignored_rand]],dict_zul_Var_Meth[ignored_rand])</f>
        <v>339</v>
      </c>
    </row>
    <row r="340" spans="1:5" x14ac:dyDescent="0.45">
      <c r="A340">
        <f ca="1">VLOOKUP(dict_zul_Var_Meth[[#This Row],[ignored_rank]],help_zuord_Var_Meth[],2)</f>
        <v>90</v>
      </c>
      <c r="B340">
        <v>544</v>
      </c>
      <c r="C3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0">
        <f ca="1">RAND()</f>
        <v>0.54897905781104228</v>
      </c>
      <c r="E340">
        <f ca="1">RANK(dict_zul_Var_Meth[[#This Row],[ignored_rand]],dict_zul_Var_Meth[ignored_rand])</f>
        <v>341</v>
      </c>
    </row>
    <row r="341" spans="1:5" x14ac:dyDescent="0.45">
      <c r="A341">
        <f ca="1">VLOOKUP(dict_zul_Var_Meth[[#This Row],[ignored_rank]],help_zuord_Var_Meth[],2)</f>
        <v>90</v>
      </c>
      <c r="B341">
        <v>37</v>
      </c>
      <c r="C3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1">
        <f ca="1">RAND()</f>
        <v>0.55609191680790393</v>
      </c>
      <c r="E341">
        <f ca="1">RANK(dict_zul_Var_Meth[[#This Row],[ignored_rand]],dict_zul_Var_Meth[ignored_rand])</f>
        <v>338</v>
      </c>
    </row>
    <row r="342" spans="1:5" x14ac:dyDescent="0.45">
      <c r="A342">
        <f ca="1">VLOOKUP(dict_zul_Var_Meth[[#This Row],[ignored_rank]],help_zuord_Var_Meth[],2)</f>
        <v>90</v>
      </c>
      <c r="B342">
        <v>150</v>
      </c>
      <c r="C3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2">
        <f ca="1">RAND()</f>
        <v>0.55055297935234015</v>
      </c>
      <c r="E342">
        <f ca="1">RANK(dict_zul_Var_Meth[[#This Row],[ignored_rand]],dict_zul_Var_Meth[ignored_rand])</f>
        <v>340</v>
      </c>
    </row>
    <row r="343" spans="1:5" x14ac:dyDescent="0.45">
      <c r="A343">
        <f ca="1">VLOOKUP(dict_zul_Var_Meth[[#This Row],[ignored_rank]],help_zuord_Var_Meth[],2)</f>
        <v>91</v>
      </c>
      <c r="B343">
        <v>206</v>
      </c>
      <c r="C3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3">
        <f ca="1">RAND()</f>
        <v>0.54647262991947632</v>
      </c>
      <c r="E343">
        <f ca="1">RANK(dict_zul_Var_Meth[[#This Row],[ignored_rand]],dict_zul_Var_Meth[ignored_rand])</f>
        <v>344</v>
      </c>
    </row>
    <row r="344" spans="1:5" x14ac:dyDescent="0.45">
      <c r="A344" s="3">
        <f ca="1">VLOOKUP(dict_zul_Var_Meth[[#This Row],[ignored_rank]],help_zuord_Var_Meth[],2)</f>
        <v>91</v>
      </c>
      <c r="B344">
        <v>3</v>
      </c>
      <c r="C3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4">
        <f ca="1">RAND()</f>
        <v>0.54723320717632995</v>
      </c>
      <c r="E344" s="3">
        <f ca="1">RANK(dict_zul_Var_Meth[[#This Row],[ignored_rand]],dict_zul_Var_Meth[ignored_rand])</f>
        <v>343</v>
      </c>
    </row>
    <row r="345" spans="1:5" x14ac:dyDescent="0.45">
      <c r="A345">
        <f ca="1">VLOOKUP(dict_zul_Var_Meth[[#This Row],[ignored_rank]],help_zuord_Var_Meth[],2)</f>
        <v>91</v>
      </c>
      <c r="B345">
        <v>476</v>
      </c>
      <c r="C3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5">
        <f ca="1">RAND()</f>
        <v>0.54879408203594582</v>
      </c>
      <c r="E345">
        <f ca="1">RANK(dict_zul_Var_Meth[[#This Row],[ignored_rand]],dict_zul_Var_Meth[ignored_rand])</f>
        <v>342</v>
      </c>
    </row>
    <row r="346" spans="1:5" x14ac:dyDescent="0.45">
      <c r="A346" s="3">
        <f ca="1">VLOOKUP(dict_zul_Var_Meth[[#This Row],[ignored_rank]],help_zuord_Var_Meth[],2)</f>
        <v>92</v>
      </c>
      <c r="B346">
        <v>528</v>
      </c>
      <c r="C3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6">
        <f ca="1">RAND()</f>
        <v>0.54345521949483677</v>
      </c>
      <c r="E346" s="3">
        <f ca="1">RANK(dict_zul_Var_Meth[[#This Row],[ignored_rand]],dict_zul_Var_Meth[ignored_rand])</f>
        <v>346</v>
      </c>
    </row>
    <row r="347" spans="1:5" x14ac:dyDescent="0.45">
      <c r="A347">
        <f ca="1">VLOOKUP(dict_zul_Var_Meth[[#This Row],[ignored_rank]],help_zuord_Var_Meth[],2)</f>
        <v>92</v>
      </c>
      <c r="B347">
        <v>351</v>
      </c>
      <c r="C3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7">
        <f ca="1">RAND()</f>
        <v>0.54283708089263971</v>
      </c>
      <c r="E347">
        <f ca="1">RANK(dict_zul_Var_Meth[[#This Row],[ignored_rand]],dict_zul_Var_Meth[ignored_rand])</f>
        <v>347</v>
      </c>
    </row>
    <row r="348" spans="1:5" x14ac:dyDescent="0.45">
      <c r="A348">
        <f ca="1">VLOOKUP(dict_zul_Var_Meth[[#This Row],[ignored_rank]],help_zuord_Var_Meth[],2)</f>
        <v>92</v>
      </c>
      <c r="B348">
        <v>20</v>
      </c>
      <c r="C3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8">
        <f ca="1">RAND()</f>
        <v>0.54373642193491678</v>
      </c>
      <c r="E348">
        <f ca="1">RANK(dict_zul_Var_Meth[[#This Row],[ignored_rand]],dict_zul_Var_Meth[ignored_rand])</f>
        <v>345</v>
      </c>
    </row>
    <row r="349" spans="1:5" x14ac:dyDescent="0.45">
      <c r="A349">
        <f ca="1">VLOOKUP(dict_zul_Var_Meth[[#This Row],[ignored_rank]],help_zuord_Var_Meth[],2)</f>
        <v>93</v>
      </c>
      <c r="B349">
        <v>52</v>
      </c>
      <c r="C3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49">
        <f ca="1">RAND()</f>
        <v>0.54166156982720426</v>
      </c>
      <c r="E349">
        <f ca="1">RANK(dict_zul_Var_Meth[[#This Row],[ignored_rand]],dict_zul_Var_Meth[ignored_rand])</f>
        <v>349</v>
      </c>
    </row>
    <row r="350" spans="1:5" x14ac:dyDescent="0.45">
      <c r="A350">
        <f ca="1">VLOOKUP(dict_zul_Var_Meth[[#This Row],[ignored_rank]],help_zuord_Var_Meth[],2)</f>
        <v>93</v>
      </c>
      <c r="B350">
        <v>25</v>
      </c>
      <c r="C3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0">
        <f ca="1">RAND()</f>
        <v>0.53738048321651832</v>
      </c>
      <c r="E350">
        <f ca="1">RANK(dict_zul_Var_Meth[[#This Row],[ignored_rand]],dict_zul_Var_Meth[ignored_rand])</f>
        <v>350</v>
      </c>
    </row>
    <row r="351" spans="1:5" x14ac:dyDescent="0.45">
      <c r="A351" s="3">
        <f ca="1">VLOOKUP(dict_zul_Var_Meth[[#This Row],[ignored_rank]],help_zuord_Var_Meth[],2)</f>
        <v>93</v>
      </c>
      <c r="B351">
        <v>221</v>
      </c>
      <c r="C3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1">
        <f ca="1">RAND()</f>
        <v>0.53472444205902281</v>
      </c>
      <c r="E351" s="3">
        <f ca="1">RANK(dict_zul_Var_Meth[[#This Row],[ignored_rand]],dict_zul_Var_Meth[ignored_rand])</f>
        <v>352</v>
      </c>
    </row>
    <row r="352" spans="1:5" x14ac:dyDescent="0.45">
      <c r="A352">
        <f ca="1">VLOOKUP(dict_zul_Var_Meth[[#This Row],[ignored_rank]],help_zuord_Var_Meth[],2)</f>
        <v>93</v>
      </c>
      <c r="B352">
        <v>290</v>
      </c>
      <c r="C3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2">
        <f ca="1">RAND()</f>
        <v>0.54259002027564662</v>
      </c>
      <c r="E352">
        <f ca="1">RANK(dict_zul_Var_Meth[[#This Row],[ignored_rand]],dict_zul_Var_Meth[ignored_rand])</f>
        <v>348</v>
      </c>
    </row>
    <row r="353" spans="1:5" x14ac:dyDescent="0.45">
      <c r="A353">
        <f ca="1">VLOOKUP(dict_zul_Var_Meth[[#This Row],[ignored_rank]],help_zuord_Var_Meth[],2)</f>
        <v>93</v>
      </c>
      <c r="B353">
        <v>377</v>
      </c>
      <c r="C3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3">
        <f ca="1">RAND()</f>
        <v>0.53572730492817411</v>
      </c>
      <c r="E353">
        <f ca="1">RANK(dict_zul_Var_Meth[[#This Row],[ignored_rand]],dict_zul_Var_Meth[ignored_rand])</f>
        <v>351</v>
      </c>
    </row>
    <row r="354" spans="1:5" x14ac:dyDescent="0.45">
      <c r="A354" s="3">
        <f ca="1">VLOOKUP(dict_zul_Var_Meth[[#This Row],[ignored_rank]],help_zuord_Var_Meth[],2)</f>
        <v>94</v>
      </c>
      <c r="B354">
        <v>41</v>
      </c>
      <c r="C3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4">
        <f ca="1">RAND()</f>
        <v>0.53273539752715193</v>
      </c>
      <c r="E354" s="3">
        <f ca="1">RANK(dict_zul_Var_Meth[[#This Row],[ignored_rand]],dict_zul_Var_Meth[ignored_rand])</f>
        <v>355</v>
      </c>
    </row>
    <row r="355" spans="1:5" x14ac:dyDescent="0.45">
      <c r="A355">
        <f ca="1">VLOOKUP(dict_zul_Var_Meth[[#This Row],[ignored_rank]],help_zuord_Var_Meth[],2)</f>
        <v>94</v>
      </c>
      <c r="B355">
        <v>598</v>
      </c>
      <c r="C3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5">
        <f ca="1">RAND()</f>
        <v>0.5333730746013795</v>
      </c>
      <c r="E355">
        <f ca="1">RANK(dict_zul_Var_Meth[[#This Row],[ignored_rand]],dict_zul_Var_Meth[ignored_rand])</f>
        <v>353</v>
      </c>
    </row>
    <row r="356" spans="1:5" x14ac:dyDescent="0.45">
      <c r="A356">
        <f ca="1">VLOOKUP(dict_zul_Var_Meth[[#This Row],[ignored_rank]],help_zuord_Var_Meth[],2)</f>
        <v>94</v>
      </c>
      <c r="B356">
        <v>293</v>
      </c>
      <c r="C3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6">
        <f ca="1">RAND()</f>
        <v>0.53286465466017352</v>
      </c>
      <c r="E356">
        <f ca="1">RANK(dict_zul_Var_Meth[[#This Row],[ignored_rand]],dict_zul_Var_Meth[ignored_rand])</f>
        <v>354</v>
      </c>
    </row>
    <row r="357" spans="1:5" x14ac:dyDescent="0.45">
      <c r="A357">
        <f ca="1">VLOOKUP(dict_zul_Var_Meth[[#This Row],[ignored_rank]],help_zuord_Var_Meth[],2)</f>
        <v>95</v>
      </c>
      <c r="B357">
        <v>218</v>
      </c>
      <c r="C3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7">
        <f ca="1">RAND()</f>
        <v>0.53180900051028102</v>
      </c>
      <c r="E357">
        <f ca="1">RANK(dict_zul_Var_Meth[[#This Row],[ignored_rand]],dict_zul_Var_Meth[ignored_rand])</f>
        <v>359</v>
      </c>
    </row>
    <row r="358" spans="1:5" x14ac:dyDescent="0.45">
      <c r="A358">
        <f ca="1">VLOOKUP(dict_zul_Var_Meth[[#This Row],[ignored_rank]],help_zuord_Var_Meth[],2)</f>
        <v>95</v>
      </c>
      <c r="B358">
        <v>565</v>
      </c>
      <c r="C3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8">
        <f ca="1">RAND()</f>
        <v>0.53232181145874258</v>
      </c>
      <c r="E358">
        <f ca="1">RANK(dict_zul_Var_Meth[[#This Row],[ignored_rand]],dict_zul_Var_Meth[ignored_rand])</f>
        <v>358</v>
      </c>
    </row>
    <row r="359" spans="1:5" x14ac:dyDescent="0.45">
      <c r="A359">
        <f ca="1">VLOOKUP(dict_zul_Var_Meth[[#This Row],[ignored_rank]],help_zuord_Var_Meth[],2)</f>
        <v>95</v>
      </c>
      <c r="B359">
        <v>97</v>
      </c>
      <c r="C3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59">
        <f ca="1">RAND()</f>
        <v>0.53271838486687118</v>
      </c>
      <c r="E359">
        <f ca="1">RANK(dict_zul_Var_Meth[[#This Row],[ignored_rand]],dict_zul_Var_Meth[ignored_rand])</f>
        <v>356</v>
      </c>
    </row>
    <row r="360" spans="1:5" x14ac:dyDescent="0.45">
      <c r="A360">
        <f ca="1">VLOOKUP(dict_zul_Var_Meth[[#This Row],[ignored_rank]],help_zuord_Var_Meth[],2)</f>
        <v>95</v>
      </c>
      <c r="B360">
        <v>183</v>
      </c>
      <c r="C3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0">
        <f ca="1">RAND()</f>
        <v>0.53247585277659537</v>
      </c>
      <c r="E360">
        <f ca="1">RANK(dict_zul_Var_Meth[[#This Row],[ignored_rand]],dict_zul_Var_Meth[ignored_rand])</f>
        <v>357</v>
      </c>
    </row>
    <row r="361" spans="1:5" x14ac:dyDescent="0.45">
      <c r="A361">
        <f ca="1">VLOOKUP(dict_zul_Var_Meth[[#This Row],[ignored_rank]],help_zuord_Var_Meth[],2)</f>
        <v>96</v>
      </c>
      <c r="B361">
        <v>432</v>
      </c>
      <c r="C3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1">
        <f ca="1">RAND()</f>
        <v>0.53128854385700874</v>
      </c>
      <c r="E361">
        <f ca="1">RANK(dict_zul_Var_Meth[[#This Row],[ignored_rand]],dict_zul_Var_Meth[ignored_rand])</f>
        <v>360</v>
      </c>
    </row>
    <row r="362" spans="1:5" x14ac:dyDescent="0.45">
      <c r="A362">
        <f ca="1">VLOOKUP(dict_zul_Var_Meth[[#This Row],[ignored_rank]],help_zuord_Var_Meth[],2)</f>
        <v>96</v>
      </c>
      <c r="B362">
        <v>520</v>
      </c>
      <c r="C3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2">
        <f ca="1">RAND()</f>
        <v>0.53093360846015503</v>
      </c>
      <c r="E362">
        <f ca="1">RANK(dict_zul_Var_Meth[[#This Row],[ignored_rand]],dict_zul_Var_Meth[ignored_rand])</f>
        <v>361</v>
      </c>
    </row>
    <row r="363" spans="1:5" x14ac:dyDescent="0.45">
      <c r="A363">
        <f ca="1">VLOOKUP(dict_zul_Var_Meth[[#This Row],[ignored_rank]],help_zuord_Var_Meth[],2)</f>
        <v>96</v>
      </c>
      <c r="B363">
        <v>301</v>
      </c>
      <c r="C3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3">
        <f ca="1">RAND()</f>
        <v>0.52919644886558004</v>
      </c>
      <c r="E363">
        <f ca="1">RANK(dict_zul_Var_Meth[[#This Row],[ignored_rand]],dict_zul_Var_Meth[ignored_rand])</f>
        <v>363</v>
      </c>
    </row>
    <row r="364" spans="1:5" x14ac:dyDescent="0.45">
      <c r="A364">
        <f ca="1">VLOOKUP(dict_zul_Var_Meth[[#This Row],[ignored_rank]],help_zuord_Var_Meth[],2)</f>
        <v>96</v>
      </c>
      <c r="B364">
        <v>414</v>
      </c>
      <c r="C3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4">
        <f ca="1">RAND()</f>
        <v>0.52921769825083853</v>
      </c>
      <c r="E364">
        <f ca="1">RANK(dict_zul_Var_Meth[[#This Row],[ignored_rand]],dict_zul_Var_Meth[ignored_rand])</f>
        <v>362</v>
      </c>
    </row>
    <row r="365" spans="1:5" x14ac:dyDescent="0.45">
      <c r="A365">
        <f ca="1">VLOOKUP(dict_zul_Var_Meth[[#This Row],[ignored_rank]],help_zuord_Var_Meth[],2)</f>
        <v>97</v>
      </c>
      <c r="B365">
        <v>248</v>
      </c>
      <c r="C3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5">
        <f ca="1">RAND()</f>
        <v>0.52789740385706319</v>
      </c>
      <c r="E365">
        <f ca="1">RANK(dict_zul_Var_Meth[[#This Row],[ignored_rand]],dict_zul_Var_Meth[ignored_rand])</f>
        <v>365</v>
      </c>
    </row>
    <row r="366" spans="1:5" x14ac:dyDescent="0.45">
      <c r="A366">
        <f ca="1">VLOOKUP(dict_zul_Var_Meth[[#This Row],[ignored_rank]],help_zuord_Var_Meth[],2)</f>
        <v>97</v>
      </c>
      <c r="B366">
        <v>408</v>
      </c>
      <c r="C3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6">
        <f ca="1">RAND()</f>
        <v>0.5279744917504211</v>
      </c>
      <c r="E366">
        <f ca="1">RANK(dict_zul_Var_Meth[[#This Row],[ignored_rand]],dict_zul_Var_Meth[ignored_rand])</f>
        <v>364</v>
      </c>
    </row>
    <row r="367" spans="1:5" x14ac:dyDescent="0.45">
      <c r="A367">
        <f ca="1">VLOOKUP(dict_zul_Var_Meth[[#This Row],[ignored_rank]],help_zuord_Var_Meth[],2)</f>
        <v>97</v>
      </c>
      <c r="B367">
        <v>533</v>
      </c>
      <c r="C3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7">
        <f ca="1">RAND()</f>
        <v>0.52777241055118673</v>
      </c>
      <c r="E367">
        <f ca="1">RANK(dict_zul_Var_Meth[[#This Row],[ignored_rand]],dict_zul_Var_Meth[ignored_rand])</f>
        <v>366</v>
      </c>
    </row>
    <row r="368" spans="1:5" x14ac:dyDescent="0.45">
      <c r="A368">
        <f ca="1">VLOOKUP(dict_zul_Var_Meth[[#This Row],[ignored_rank]],help_zuord_Var_Meth[],2)</f>
        <v>98</v>
      </c>
      <c r="B368">
        <v>128</v>
      </c>
      <c r="C3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8">
        <f ca="1">RAND()</f>
        <v>0.5255890439479195</v>
      </c>
      <c r="E368">
        <f ca="1">RANK(dict_zul_Var_Meth[[#This Row],[ignored_rand]],dict_zul_Var_Meth[ignored_rand])</f>
        <v>369</v>
      </c>
    </row>
    <row r="369" spans="1:5" x14ac:dyDescent="0.45">
      <c r="A369">
        <f ca="1">VLOOKUP(dict_zul_Var_Meth[[#This Row],[ignored_rank]],help_zuord_Var_Meth[],2)</f>
        <v>98</v>
      </c>
      <c r="B369">
        <v>66</v>
      </c>
      <c r="C3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69">
        <f ca="1">RAND()</f>
        <v>0.52604129818063528</v>
      </c>
      <c r="E369">
        <f ca="1">RANK(dict_zul_Var_Meth[[#This Row],[ignored_rand]],dict_zul_Var_Meth[ignored_rand])</f>
        <v>368</v>
      </c>
    </row>
    <row r="370" spans="1:5" x14ac:dyDescent="0.45">
      <c r="A370">
        <f ca="1">VLOOKUP(dict_zul_Var_Meth[[#This Row],[ignored_rank]],help_zuord_Var_Meth[],2)</f>
        <v>98</v>
      </c>
      <c r="B370">
        <v>110</v>
      </c>
      <c r="C3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0">
        <f ca="1">RAND()</f>
        <v>0.52752867329197972</v>
      </c>
      <c r="E370">
        <f ca="1">RANK(dict_zul_Var_Meth[[#This Row],[ignored_rand]],dict_zul_Var_Meth[ignored_rand])</f>
        <v>367</v>
      </c>
    </row>
    <row r="371" spans="1:5" x14ac:dyDescent="0.45">
      <c r="A371">
        <f ca="1">VLOOKUP(dict_zul_Var_Meth[[#This Row],[ignored_rank]],help_zuord_Var_Meth[],2)</f>
        <v>98</v>
      </c>
      <c r="B371">
        <v>665</v>
      </c>
      <c r="C3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1">
        <f ca="1">RAND()</f>
        <v>0.52378797908511687</v>
      </c>
      <c r="E371">
        <f ca="1">RANK(dict_zul_Var_Meth[[#This Row],[ignored_rand]],dict_zul_Var_Meth[ignored_rand])</f>
        <v>370</v>
      </c>
    </row>
    <row r="372" spans="1:5" x14ac:dyDescent="0.45">
      <c r="A372">
        <f ca="1">VLOOKUP(dict_zul_Var_Meth[[#This Row],[ignored_rank]],help_zuord_Var_Meth[],2)</f>
        <v>98</v>
      </c>
      <c r="B372">
        <v>112</v>
      </c>
      <c r="C3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2">
        <f ca="1">RAND()</f>
        <v>0.5233316392997005</v>
      </c>
      <c r="E372">
        <f ca="1">RANK(dict_zul_Var_Meth[[#This Row],[ignored_rand]],dict_zul_Var_Meth[ignored_rand])</f>
        <v>371</v>
      </c>
    </row>
    <row r="373" spans="1:5" x14ac:dyDescent="0.45">
      <c r="A373">
        <f ca="1">VLOOKUP(dict_zul_Var_Meth[[#This Row],[ignored_rank]],help_zuord_Var_Meth[],2)</f>
        <v>99</v>
      </c>
      <c r="B373">
        <v>605</v>
      </c>
      <c r="C3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3">
        <f ca="1">RAND()</f>
        <v>0.52163907529421782</v>
      </c>
      <c r="E373">
        <f ca="1">RANK(dict_zul_Var_Meth[[#This Row],[ignored_rand]],dict_zul_Var_Meth[ignored_rand])</f>
        <v>372</v>
      </c>
    </row>
    <row r="374" spans="1:5" x14ac:dyDescent="0.45">
      <c r="A374">
        <f ca="1">VLOOKUP(dict_zul_Var_Meth[[#This Row],[ignored_rank]],help_zuord_Var_Meth[],2)</f>
        <v>99</v>
      </c>
      <c r="B374">
        <v>691</v>
      </c>
      <c r="C3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4">
        <f ca="1">RAND()</f>
        <v>0.52145596175954279</v>
      </c>
      <c r="E374">
        <f ca="1">RANK(dict_zul_Var_Meth[[#This Row],[ignored_rand]],dict_zul_Var_Meth[ignored_rand])</f>
        <v>373</v>
      </c>
    </row>
    <row r="375" spans="1:5" x14ac:dyDescent="0.45">
      <c r="A375" s="3">
        <f ca="1">VLOOKUP(dict_zul_Var_Meth[[#This Row],[ignored_rank]],help_zuord_Var_Meth[],2)</f>
        <v>100</v>
      </c>
      <c r="B375">
        <v>22</v>
      </c>
      <c r="C3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5">
        <f ca="1">RAND()</f>
        <v>0.51873567694103784</v>
      </c>
      <c r="E375" s="3">
        <f ca="1">RANK(dict_zul_Var_Meth[[#This Row],[ignored_rand]],dict_zul_Var_Meth[ignored_rand])</f>
        <v>376</v>
      </c>
    </row>
    <row r="376" spans="1:5" x14ac:dyDescent="0.45">
      <c r="A376">
        <f ca="1">VLOOKUP(dict_zul_Var_Meth[[#This Row],[ignored_rank]],help_zuord_Var_Meth[],2)</f>
        <v>100</v>
      </c>
      <c r="B376">
        <v>447</v>
      </c>
      <c r="C3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6">
        <f ca="1">RAND()</f>
        <v>0.52088944096331813</v>
      </c>
      <c r="E376">
        <f ca="1">RANK(dict_zul_Var_Meth[[#This Row],[ignored_rand]],dict_zul_Var_Meth[ignored_rand])</f>
        <v>374</v>
      </c>
    </row>
    <row r="377" spans="1:5" x14ac:dyDescent="0.45">
      <c r="A377" s="3">
        <f ca="1">VLOOKUP(dict_zul_Var_Meth[[#This Row],[ignored_rank]],help_zuord_Var_Meth[],2)</f>
        <v>100</v>
      </c>
      <c r="B377">
        <v>305</v>
      </c>
      <c r="C3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7">
        <f ca="1">RAND()</f>
        <v>0.52060654966206665</v>
      </c>
      <c r="E377" s="3">
        <f ca="1">RANK(dict_zul_Var_Meth[[#This Row],[ignored_rand]],dict_zul_Var_Meth[ignored_rand])</f>
        <v>375</v>
      </c>
    </row>
    <row r="378" spans="1:5" x14ac:dyDescent="0.45">
      <c r="A378">
        <f ca="1">VLOOKUP(dict_zul_Var_Meth[[#This Row],[ignored_rank]],help_zuord_Var_Meth[],2)</f>
        <v>100</v>
      </c>
      <c r="B378">
        <v>610</v>
      </c>
      <c r="C3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8">
        <f ca="1">RAND()</f>
        <v>0.51847626708897132</v>
      </c>
      <c r="E378">
        <f ca="1">RANK(dict_zul_Var_Meth[[#This Row],[ignored_rand]],dict_zul_Var_Meth[ignored_rand])</f>
        <v>377</v>
      </c>
    </row>
    <row r="379" spans="1:5" x14ac:dyDescent="0.45">
      <c r="A379">
        <f ca="1">VLOOKUP(dict_zul_Var_Meth[[#This Row],[ignored_rank]],help_zuord_Var_Meth[],2)</f>
        <v>101</v>
      </c>
      <c r="B379">
        <v>289</v>
      </c>
      <c r="C3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79">
        <f ca="1">RAND()</f>
        <v>0.51740142203127615</v>
      </c>
      <c r="E379">
        <f ca="1">RANK(dict_zul_Var_Meth[[#This Row],[ignored_rand]],dict_zul_Var_Meth[ignored_rand])</f>
        <v>378</v>
      </c>
    </row>
    <row r="380" spans="1:5" x14ac:dyDescent="0.45">
      <c r="A380">
        <f ca="1">VLOOKUP(dict_zul_Var_Meth[[#This Row],[ignored_rank]],help_zuord_Var_Meth[],2)</f>
        <v>101</v>
      </c>
      <c r="B380">
        <v>194</v>
      </c>
      <c r="C3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0">
        <f ca="1">RAND()</f>
        <v>0.51712723283593021</v>
      </c>
      <c r="E380">
        <f ca="1">RANK(dict_zul_Var_Meth[[#This Row],[ignored_rand]],dict_zul_Var_Meth[ignored_rand])</f>
        <v>379</v>
      </c>
    </row>
    <row r="381" spans="1:5" x14ac:dyDescent="0.45">
      <c r="A381">
        <f ca="1">VLOOKUP(dict_zul_Var_Meth[[#This Row],[ignored_rank]],help_zuord_Var_Meth[],2)</f>
        <v>101</v>
      </c>
      <c r="B381">
        <v>644</v>
      </c>
      <c r="C3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1">
        <f ca="1">RAND()</f>
        <v>0.51406199064302271</v>
      </c>
      <c r="E381">
        <f ca="1">RANK(dict_zul_Var_Meth[[#This Row],[ignored_rand]],dict_zul_Var_Meth[ignored_rand])</f>
        <v>381</v>
      </c>
    </row>
    <row r="382" spans="1:5" x14ac:dyDescent="0.45">
      <c r="A382">
        <f ca="1">VLOOKUP(dict_zul_Var_Meth[[#This Row],[ignored_rank]],help_zuord_Var_Meth[],2)</f>
        <v>101</v>
      </c>
      <c r="B382">
        <v>589</v>
      </c>
      <c r="C3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2">
        <f ca="1">RAND()</f>
        <v>0.51419032713658475</v>
      </c>
      <c r="E382">
        <f ca="1">RANK(dict_zul_Var_Meth[[#This Row],[ignored_rand]],dict_zul_Var_Meth[ignored_rand])</f>
        <v>380</v>
      </c>
    </row>
    <row r="383" spans="1:5" x14ac:dyDescent="0.45">
      <c r="A383">
        <f ca="1">VLOOKUP(dict_zul_Var_Meth[[#This Row],[ignored_rank]],help_zuord_Var_Meth[],2)</f>
        <v>102</v>
      </c>
      <c r="B383">
        <v>240</v>
      </c>
      <c r="C3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3">
        <f ca="1">RAND()</f>
        <v>0.50756252140092772</v>
      </c>
      <c r="E383">
        <f ca="1">RANK(dict_zul_Var_Meth[[#This Row],[ignored_rand]],dict_zul_Var_Meth[ignored_rand])</f>
        <v>385</v>
      </c>
    </row>
    <row r="384" spans="1:5" x14ac:dyDescent="0.45">
      <c r="A384">
        <f ca="1">VLOOKUP(dict_zul_Var_Meth[[#This Row],[ignored_rank]],help_zuord_Var_Meth[],2)</f>
        <v>102</v>
      </c>
      <c r="B384">
        <v>600</v>
      </c>
      <c r="C3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4">
        <f ca="1">RAND()</f>
        <v>0.50811153143724985</v>
      </c>
      <c r="E384">
        <f ca="1">RANK(dict_zul_Var_Meth[[#This Row],[ignored_rand]],dict_zul_Var_Meth[ignored_rand])</f>
        <v>384</v>
      </c>
    </row>
    <row r="385" spans="1:5" x14ac:dyDescent="0.45">
      <c r="A385">
        <f ca="1">VLOOKUP(dict_zul_Var_Meth[[#This Row],[ignored_rank]],help_zuord_Var_Meth[],2)</f>
        <v>102</v>
      </c>
      <c r="B385">
        <v>407</v>
      </c>
      <c r="C3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5">
        <f ca="1">RAND()</f>
        <v>0.50816322175797413</v>
      </c>
      <c r="E385">
        <f ca="1">RANK(dict_zul_Var_Meth[[#This Row],[ignored_rand]],dict_zul_Var_Meth[ignored_rand])</f>
        <v>383</v>
      </c>
    </row>
    <row r="386" spans="1:5" x14ac:dyDescent="0.45">
      <c r="A386">
        <f ca="1">VLOOKUP(dict_zul_Var_Meth[[#This Row],[ignored_rank]],help_zuord_Var_Meth[],2)</f>
        <v>102</v>
      </c>
      <c r="B386">
        <v>298</v>
      </c>
      <c r="C3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6">
        <f ca="1">RAND()</f>
        <v>0.51161805559059603</v>
      </c>
      <c r="E386">
        <f ca="1">RANK(dict_zul_Var_Meth[[#This Row],[ignored_rand]],dict_zul_Var_Meth[ignored_rand])</f>
        <v>382</v>
      </c>
    </row>
    <row r="387" spans="1:5" x14ac:dyDescent="0.45">
      <c r="A387">
        <f ca="1">VLOOKUP(dict_zul_Var_Meth[[#This Row],[ignored_rank]],help_zuord_Var_Meth[],2)</f>
        <v>103</v>
      </c>
      <c r="B387">
        <v>367</v>
      </c>
      <c r="C3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7">
        <f ca="1">RAND()</f>
        <v>0.50087332659370598</v>
      </c>
      <c r="E387">
        <f ca="1">RANK(dict_zul_Var_Meth[[#This Row],[ignored_rand]],dict_zul_Var_Meth[ignored_rand])</f>
        <v>389</v>
      </c>
    </row>
    <row r="388" spans="1:5" x14ac:dyDescent="0.45">
      <c r="A388">
        <f ca="1">VLOOKUP(dict_zul_Var_Meth[[#This Row],[ignored_rank]],help_zuord_Var_Meth[],2)</f>
        <v>103</v>
      </c>
      <c r="B388">
        <v>485</v>
      </c>
      <c r="C3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8">
        <f ca="1">RAND()</f>
        <v>0.50575062698344864</v>
      </c>
      <c r="E388">
        <f ca="1">RANK(dict_zul_Var_Meth[[#This Row],[ignored_rand]],dict_zul_Var_Meth[ignored_rand])</f>
        <v>387</v>
      </c>
    </row>
    <row r="389" spans="1:5" x14ac:dyDescent="0.45">
      <c r="A389">
        <f ca="1">VLOOKUP(dict_zul_Var_Meth[[#This Row],[ignored_rank]],help_zuord_Var_Meth[],2)</f>
        <v>103</v>
      </c>
      <c r="B389">
        <v>94</v>
      </c>
      <c r="C3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89">
        <f ca="1">RAND()</f>
        <v>0.50181322917458226</v>
      </c>
      <c r="E389">
        <f ca="1">RANK(dict_zul_Var_Meth[[#This Row],[ignored_rand]],dict_zul_Var_Meth[ignored_rand])</f>
        <v>388</v>
      </c>
    </row>
    <row r="390" spans="1:5" x14ac:dyDescent="0.45">
      <c r="A390">
        <f ca="1">VLOOKUP(dict_zul_Var_Meth[[#This Row],[ignored_rank]],help_zuord_Var_Meth[],2)</f>
        <v>103</v>
      </c>
      <c r="B390">
        <v>699</v>
      </c>
      <c r="C3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0">
        <f ca="1">RAND()</f>
        <v>0.50575139313572448</v>
      </c>
      <c r="E390">
        <f ca="1">RANK(dict_zul_Var_Meth[[#This Row],[ignored_rand]],dict_zul_Var_Meth[ignored_rand])</f>
        <v>386</v>
      </c>
    </row>
    <row r="391" spans="1:5" x14ac:dyDescent="0.45">
      <c r="A391">
        <f ca="1">VLOOKUP(dict_zul_Var_Meth[[#This Row],[ignored_rank]],help_zuord_Var_Meth[],2)</f>
        <v>104</v>
      </c>
      <c r="B391">
        <v>624</v>
      </c>
      <c r="C3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1">
        <f ca="1">RAND()</f>
        <v>0.49718381986910287</v>
      </c>
      <c r="E391">
        <f ca="1">RANK(dict_zul_Var_Meth[[#This Row],[ignored_rand]],dict_zul_Var_Meth[ignored_rand])</f>
        <v>391</v>
      </c>
    </row>
    <row r="392" spans="1:5" x14ac:dyDescent="0.45">
      <c r="A392">
        <f ca="1">VLOOKUP(dict_zul_Var_Meth[[#This Row],[ignored_rank]],help_zuord_Var_Meth[],2)</f>
        <v>104</v>
      </c>
      <c r="B392">
        <v>559</v>
      </c>
      <c r="C3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2">
        <f ca="1">RAND()</f>
        <v>0.50059513810047318</v>
      </c>
      <c r="E392">
        <f ca="1">RANK(dict_zul_Var_Meth[[#This Row],[ignored_rand]],dict_zul_Var_Meth[ignored_rand])</f>
        <v>390</v>
      </c>
    </row>
    <row r="393" spans="1:5" x14ac:dyDescent="0.45">
      <c r="A393">
        <f ca="1">VLOOKUP(dict_zul_Var_Meth[[#This Row],[ignored_rank]],help_zuord_Var_Meth[],2)</f>
        <v>105</v>
      </c>
      <c r="B393">
        <v>508</v>
      </c>
      <c r="C3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3">
        <f ca="1">RAND()</f>
        <v>0.49024712643443524</v>
      </c>
      <c r="E393">
        <f ca="1">RANK(dict_zul_Var_Meth[[#This Row],[ignored_rand]],dict_zul_Var_Meth[ignored_rand])</f>
        <v>397</v>
      </c>
    </row>
    <row r="394" spans="1:5" x14ac:dyDescent="0.45">
      <c r="A394" s="3">
        <f ca="1">VLOOKUP(dict_zul_Var_Meth[[#This Row],[ignored_rank]],help_zuord_Var_Meth[],2)</f>
        <v>105</v>
      </c>
      <c r="B394">
        <v>462</v>
      </c>
      <c r="C3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4">
        <f ca="1">RAND()</f>
        <v>0.49357681989329039</v>
      </c>
      <c r="E394" s="3">
        <f ca="1">RANK(dict_zul_Var_Meth[[#This Row],[ignored_rand]],dict_zul_Var_Meth[ignored_rand])</f>
        <v>394</v>
      </c>
    </row>
    <row r="395" spans="1:5" x14ac:dyDescent="0.45">
      <c r="A395">
        <f ca="1">VLOOKUP(dict_zul_Var_Meth[[#This Row],[ignored_rank]],help_zuord_Var_Meth[],2)</f>
        <v>105</v>
      </c>
      <c r="B395">
        <v>50</v>
      </c>
      <c r="C3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5">
        <f ca="1">RAND()</f>
        <v>0.49087122340449696</v>
      </c>
      <c r="E395">
        <f ca="1">RANK(dict_zul_Var_Meth[[#This Row],[ignored_rand]],dict_zul_Var_Meth[ignored_rand])</f>
        <v>396</v>
      </c>
    </row>
    <row r="396" spans="1:5" x14ac:dyDescent="0.45">
      <c r="A396">
        <f ca="1">VLOOKUP(dict_zul_Var_Meth[[#This Row],[ignored_rank]],help_zuord_Var_Meth[],2)</f>
        <v>105</v>
      </c>
      <c r="B396">
        <v>212</v>
      </c>
      <c r="C3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6">
        <f ca="1">RAND()</f>
        <v>0.49716586491786419</v>
      </c>
      <c r="E396">
        <f ca="1">RANK(dict_zul_Var_Meth[[#This Row],[ignored_rand]],dict_zul_Var_Meth[ignored_rand])</f>
        <v>392</v>
      </c>
    </row>
    <row r="397" spans="1:5" x14ac:dyDescent="0.45">
      <c r="A397">
        <f ca="1">VLOOKUP(dict_zul_Var_Meth[[#This Row],[ignored_rank]],help_zuord_Var_Meth[],2)</f>
        <v>105</v>
      </c>
      <c r="B397">
        <v>181</v>
      </c>
      <c r="C3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7">
        <f ca="1">RAND()</f>
        <v>0.49573605734373705</v>
      </c>
      <c r="E397">
        <f ca="1">RANK(dict_zul_Var_Meth[[#This Row],[ignored_rand]],dict_zul_Var_Meth[ignored_rand])</f>
        <v>393</v>
      </c>
    </row>
    <row r="398" spans="1:5" x14ac:dyDescent="0.45">
      <c r="A398">
        <f ca="1">VLOOKUP(dict_zul_Var_Meth[[#This Row],[ignored_rank]],help_zuord_Var_Meth[],2)</f>
        <v>105</v>
      </c>
      <c r="B398">
        <v>51</v>
      </c>
      <c r="C3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8">
        <f ca="1">RAND()</f>
        <v>0.49242244706434168</v>
      </c>
      <c r="E398">
        <f ca="1">RANK(dict_zul_Var_Meth[[#This Row],[ignored_rand]],dict_zul_Var_Meth[ignored_rand])</f>
        <v>395</v>
      </c>
    </row>
    <row r="399" spans="1:5" x14ac:dyDescent="0.45">
      <c r="A399">
        <f ca="1">VLOOKUP(dict_zul_Var_Meth[[#This Row],[ignored_rank]],help_zuord_Var_Meth[],2)</f>
        <v>106</v>
      </c>
      <c r="B399">
        <v>359</v>
      </c>
      <c r="C3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399">
        <f ca="1">RAND()</f>
        <v>0.48746825023227136</v>
      </c>
      <c r="E399">
        <f ca="1">RANK(dict_zul_Var_Meth[[#This Row],[ignored_rand]],dict_zul_Var_Meth[ignored_rand])</f>
        <v>398</v>
      </c>
    </row>
    <row r="400" spans="1:5" x14ac:dyDescent="0.45">
      <c r="A400">
        <f ca="1">VLOOKUP(dict_zul_Var_Meth[[#This Row],[ignored_rank]],help_zuord_Var_Meth[],2)</f>
        <v>106</v>
      </c>
      <c r="B400">
        <v>418</v>
      </c>
      <c r="C4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0">
        <f ca="1">RAND()</f>
        <v>0.48463592011608592</v>
      </c>
      <c r="E400">
        <f ca="1">RANK(dict_zul_Var_Meth[[#This Row],[ignored_rand]],dict_zul_Var_Meth[ignored_rand])</f>
        <v>400</v>
      </c>
    </row>
    <row r="401" spans="1:5" x14ac:dyDescent="0.45">
      <c r="A401">
        <f ca="1">VLOOKUP(dict_zul_Var_Meth[[#This Row],[ignored_rank]],help_zuord_Var_Meth[],2)</f>
        <v>106</v>
      </c>
      <c r="B401">
        <v>132</v>
      </c>
      <c r="C4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1">
        <f ca="1">RAND()</f>
        <v>0.48560039980642289</v>
      </c>
      <c r="E401">
        <f ca="1">RANK(dict_zul_Var_Meth[[#This Row],[ignored_rand]],dict_zul_Var_Meth[ignored_rand])</f>
        <v>399</v>
      </c>
    </row>
    <row r="402" spans="1:5" x14ac:dyDescent="0.45">
      <c r="A402">
        <f ca="1">VLOOKUP(dict_zul_Var_Meth[[#This Row],[ignored_rank]],help_zuord_Var_Meth[],2)</f>
        <v>107</v>
      </c>
      <c r="B402">
        <v>496</v>
      </c>
      <c r="C4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2">
        <f ca="1">RAND()</f>
        <v>0.48262799854378724</v>
      </c>
      <c r="E402">
        <f ca="1">RANK(dict_zul_Var_Meth[[#This Row],[ignored_rand]],dict_zul_Var_Meth[ignored_rand])</f>
        <v>403</v>
      </c>
    </row>
    <row r="403" spans="1:5" x14ac:dyDescent="0.45">
      <c r="A403" s="3">
        <f ca="1">VLOOKUP(dict_zul_Var_Meth[[#This Row],[ignored_rank]],help_zuord_Var_Meth[],2)</f>
        <v>107</v>
      </c>
      <c r="B403">
        <v>411</v>
      </c>
      <c r="C4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3">
        <f ca="1">RAND()</f>
        <v>0.48293784743620005</v>
      </c>
      <c r="E403" s="3">
        <f ca="1">RANK(dict_zul_Var_Meth[[#This Row],[ignored_rand]],dict_zul_Var_Meth[ignored_rand])</f>
        <v>402</v>
      </c>
    </row>
    <row r="404" spans="1:5" x14ac:dyDescent="0.45">
      <c r="A404">
        <f ca="1">VLOOKUP(dict_zul_Var_Meth[[#This Row],[ignored_rank]],help_zuord_Var_Meth[],2)</f>
        <v>107</v>
      </c>
      <c r="B404">
        <v>291</v>
      </c>
      <c r="C4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4">
        <f ca="1">RAND()</f>
        <v>0.48442370250302313</v>
      </c>
      <c r="E404">
        <f ca="1">RANK(dict_zul_Var_Meth[[#This Row],[ignored_rand]],dict_zul_Var_Meth[ignored_rand])</f>
        <v>401</v>
      </c>
    </row>
    <row r="405" spans="1:5" x14ac:dyDescent="0.45">
      <c r="A405">
        <f ca="1">VLOOKUP(dict_zul_Var_Meth[[#This Row],[ignored_rank]],help_zuord_Var_Meth[],2)</f>
        <v>108</v>
      </c>
      <c r="B405">
        <v>180</v>
      </c>
      <c r="C4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5">
        <f ca="1">RAND()</f>
        <v>0.48112221906204777</v>
      </c>
      <c r="E405">
        <f ca="1">RANK(dict_zul_Var_Meth[[#This Row],[ignored_rand]],dict_zul_Var_Meth[ignored_rand])</f>
        <v>406</v>
      </c>
    </row>
    <row r="406" spans="1:5" x14ac:dyDescent="0.45">
      <c r="A406">
        <f ca="1">VLOOKUP(dict_zul_Var_Meth[[#This Row],[ignored_rank]],help_zuord_Var_Meth[],2)</f>
        <v>108</v>
      </c>
      <c r="B406">
        <v>495</v>
      </c>
      <c r="C4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6">
        <f ca="1">RAND()</f>
        <v>0.48247479707784413</v>
      </c>
      <c r="E406">
        <f ca="1">RANK(dict_zul_Var_Meth[[#This Row],[ignored_rand]],dict_zul_Var_Meth[ignored_rand])</f>
        <v>404</v>
      </c>
    </row>
    <row r="407" spans="1:5" x14ac:dyDescent="0.45">
      <c r="A407">
        <f ca="1">VLOOKUP(dict_zul_Var_Meth[[#This Row],[ignored_rank]],help_zuord_Var_Meth[],2)</f>
        <v>108</v>
      </c>
      <c r="B407">
        <v>574</v>
      </c>
      <c r="C4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7">
        <f ca="1">RAND()</f>
        <v>0.48123400058516608</v>
      </c>
      <c r="E407">
        <f ca="1">RANK(dict_zul_Var_Meth[[#This Row],[ignored_rand]],dict_zul_Var_Meth[ignored_rand])</f>
        <v>405</v>
      </c>
    </row>
    <row r="408" spans="1:5" x14ac:dyDescent="0.45">
      <c r="A408">
        <f ca="1">VLOOKUP(dict_zul_Var_Meth[[#This Row],[ignored_rank]],help_zuord_Var_Meth[],2)</f>
        <v>109</v>
      </c>
      <c r="B408">
        <v>30</v>
      </c>
      <c r="C4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8">
        <f ca="1">RAND()</f>
        <v>0.47225170578354525</v>
      </c>
      <c r="E408">
        <f ca="1">RANK(dict_zul_Var_Meth[[#This Row],[ignored_rand]],dict_zul_Var_Meth[ignored_rand])</f>
        <v>411</v>
      </c>
    </row>
    <row r="409" spans="1:5" x14ac:dyDescent="0.45">
      <c r="A409">
        <f ca="1">VLOOKUP(dict_zul_Var_Meth[[#This Row],[ignored_rank]],help_zuord_Var_Meth[],2)</f>
        <v>109</v>
      </c>
      <c r="B409">
        <v>81</v>
      </c>
      <c r="C4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09">
        <f ca="1">RAND()</f>
        <v>0.4803942281888387</v>
      </c>
      <c r="E409">
        <f ca="1">RANK(dict_zul_Var_Meth[[#This Row],[ignored_rand]],dict_zul_Var_Meth[ignored_rand])</f>
        <v>407</v>
      </c>
    </row>
    <row r="410" spans="1:5" x14ac:dyDescent="0.45">
      <c r="A410">
        <f ca="1">VLOOKUP(dict_zul_Var_Meth[[#This Row],[ignored_rank]],help_zuord_Var_Meth[],2)</f>
        <v>109</v>
      </c>
      <c r="B410">
        <v>441</v>
      </c>
      <c r="C4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0">
        <f ca="1">RAND()</f>
        <v>0.47561225873996227</v>
      </c>
      <c r="E410">
        <f ca="1">RANK(dict_zul_Var_Meth[[#This Row],[ignored_rand]],dict_zul_Var_Meth[ignored_rand])</f>
        <v>409</v>
      </c>
    </row>
    <row r="411" spans="1:5" x14ac:dyDescent="0.45">
      <c r="A411">
        <f ca="1">VLOOKUP(dict_zul_Var_Meth[[#This Row],[ignored_rank]],help_zuord_Var_Meth[],2)</f>
        <v>109</v>
      </c>
      <c r="B411">
        <v>12</v>
      </c>
      <c r="C4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1">
        <f ca="1">RAND()</f>
        <v>0.47806617640406512</v>
      </c>
      <c r="E411">
        <f ca="1">RANK(dict_zul_Var_Meth[[#This Row],[ignored_rand]],dict_zul_Var_Meth[ignored_rand])</f>
        <v>408</v>
      </c>
    </row>
    <row r="412" spans="1:5" x14ac:dyDescent="0.45">
      <c r="A412">
        <f ca="1">VLOOKUP(dict_zul_Var_Meth[[#This Row],[ignored_rank]],help_zuord_Var_Meth[],2)</f>
        <v>109</v>
      </c>
      <c r="B412">
        <v>629</v>
      </c>
      <c r="C4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2">
        <f ca="1">RAND()</f>
        <v>0.47525483738447205</v>
      </c>
      <c r="E412">
        <f ca="1">RANK(dict_zul_Var_Meth[[#This Row],[ignored_rand]],dict_zul_Var_Meth[ignored_rand])</f>
        <v>410</v>
      </c>
    </row>
    <row r="413" spans="1:5" x14ac:dyDescent="0.45">
      <c r="A413">
        <f ca="1">VLOOKUP(dict_zul_Var_Meth[[#This Row],[ignored_rank]],help_zuord_Var_Meth[],2)</f>
        <v>110</v>
      </c>
      <c r="B413">
        <v>612</v>
      </c>
      <c r="C4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3">
        <f ca="1">RAND()</f>
        <v>0.46822557454877578</v>
      </c>
      <c r="E413">
        <f ca="1">RANK(dict_zul_Var_Meth[[#This Row],[ignored_rand]],dict_zul_Var_Meth[ignored_rand])</f>
        <v>415</v>
      </c>
    </row>
    <row r="414" spans="1:5" x14ac:dyDescent="0.45">
      <c r="A414">
        <f ca="1">VLOOKUP(dict_zul_Var_Meth[[#This Row],[ignored_rank]],help_zuord_Var_Meth[],2)</f>
        <v>110</v>
      </c>
      <c r="B414">
        <v>412</v>
      </c>
      <c r="C4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4">
        <f ca="1">RAND()</f>
        <v>0.46758967405879748</v>
      </c>
      <c r="E414">
        <f ca="1">RANK(dict_zul_Var_Meth[[#This Row],[ignored_rand]],dict_zul_Var_Meth[ignored_rand])</f>
        <v>416</v>
      </c>
    </row>
    <row r="415" spans="1:5" x14ac:dyDescent="0.45">
      <c r="A415">
        <f ca="1">VLOOKUP(dict_zul_Var_Meth[[#This Row],[ignored_rank]],help_zuord_Var_Meth[],2)</f>
        <v>110</v>
      </c>
      <c r="B415">
        <v>250</v>
      </c>
      <c r="C4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5">
        <f ca="1">RAND()</f>
        <v>0.46838141051128324</v>
      </c>
      <c r="E415">
        <f ca="1">RANK(dict_zul_Var_Meth[[#This Row],[ignored_rand]],dict_zul_Var_Meth[ignored_rand])</f>
        <v>413</v>
      </c>
    </row>
    <row r="416" spans="1:5" x14ac:dyDescent="0.45">
      <c r="A416">
        <f ca="1">VLOOKUP(dict_zul_Var_Meth[[#This Row],[ignored_rank]],help_zuord_Var_Meth[],2)</f>
        <v>110</v>
      </c>
      <c r="B416">
        <v>616</v>
      </c>
      <c r="C4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6">
        <f ca="1">RAND()</f>
        <v>0.46912381482537768</v>
      </c>
      <c r="E416">
        <f ca="1">RANK(dict_zul_Var_Meth[[#This Row],[ignored_rand]],dict_zul_Var_Meth[ignored_rand])</f>
        <v>412</v>
      </c>
    </row>
    <row r="417" spans="1:5" x14ac:dyDescent="0.45">
      <c r="A417">
        <f ca="1">VLOOKUP(dict_zul_Var_Meth[[#This Row],[ignored_rank]],help_zuord_Var_Meth[],2)</f>
        <v>110</v>
      </c>
      <c r="B417">
        <v>55</v>
      </c>
      <c r="C4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7">
        <f ca="1">RAND()</f>
        <v>0.46827484986776358</v>
      </c>
      <c r="E417">
        <f ca="1">RANK(dict_zul_Var_Meth[[#This Row],[ignored_rand]],dict_zul_Var_Meth[ignored_rand])</f>
        <v>414</v>
      </c>
    </row>
    <row r="418" spans="1:5" x14ac:dyDescent="0.45">
      <c r="A418">
        <f ca="1">VLOOKUP(dict_zul_Var_Meth[[#This Row],[ignored_rank]],help_zuord_Var_Meth[],2)</f>
        <v>111</v>
      </c>
      <c r="B418">
        <v>403</v>
      </c>
      <c r="C4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8">
        <f ca="1">RAND()</f>
        <v>0.46675958128447381</v>
      </c>
      <c r="E418">
        <f ca="1">RANK(dict_zul_Var_Meth[[#This Row],[ignored_rand]],dict_zul_Var_Meth[ignored_rand])</f>
        <v>417</v>
      </c>
    </row>
    <row r="419" spans="1:5" x14ac:dyDescent="0.45">
      <c r="A419">
        <f ca="1">VLOOKUP(dict_zul_Var_Meth[[#This Row],[ignored_rank]],help_zuord_Var_Meth[],2)</f>
        <v>111</v>
      </c>
      <c r="B419">
        <v>568</v>
      </c>
      <c r="C4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19">
        <f ca="1">RAND()</f>
        <v>0.46555949148529507</v>
      </c>
      <c r="E419">
        <f ca="1">RANK(dict_zul_Var_Meth[[#This Row],[ignored_rand]],dict_zul_Var_Meth[ignored_rand])</f>
        <v>418</v>
      </c>
    </row>
    <row r="420" spans="1:5" x14ac:dyDescent="0.45">
      <c r="A420">
        <f ca="1">VLOOKUP(dict_zul_Var_Meth[[#This Row],[ignored_rank]],help_zuord_Var_Meth[],2)</f>
        <v>111</v>
      </c>
      <c r="B420">
        <v>577</v>
      </c>
      <c r="C4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0">
        <f ca="1">RAND()</f>
        <v>0.46463895631115693</v>
      </c>
      <c r="E420">
        <f ca="1">RANK(dict_zul_Var_Meth[[#This Row],[ignored_rand]],dict_zul_Var_Meth[ignored_rand])</f>
        <v>419</v>
      </c>
    </row>
    <row r="421" spans="1:5" x14ac:dyDescent="0.45">
      <c r="A421">
        <f ca="1">VLOOKUP(dict_zul_Var_Meth[[#This Row],[ignored_rank]],help_zuord_Var_Meth[],2)</f>
        <v>112</v>
      </c>
      <c r="B421">
        <v>29</v>
      </c>
      <c r="C4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1">
        <f ca="1">RAND()</f>
        <v>0.46370540939338856</v>
      </c>
      <c r="E421">
        <f ca="1">RANK(dict_zul_Var_Meth[[#This Row],[ignored_rand]],dict_zul_Var_Meth[ignored_rand])</f>
        <v>421</v>
      </c>
    </row>
    <row r="422" spans="1:5" x14ac:dyDescent="0.45">
      <c r="A422" s="3">
        <f ca="1">VLOOKUP(dict_zul_Var_Meth[[#This Row],[ignored_rank]],help_zuord_Var_Meth[],2)</f>
        <v>112</v>
      </c>
      <c r="B422">
        <v>121</v>
      </c>
      <c r="C4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2">
        <f ca="1">RAND()</f>
        <v>0.46415519879393718</v>
      </c>
      <c r="E422" s="3">
        <f ca="1">RANK(dict_zul_Var_Meth[[#This Row],[ignored_rand]],dict_zul_Var_Meth[ignored_rand])</f>
        <v>420</v>
      </c>
    </row>
    <row r="423" spans="1:5" x14ac:dyDescent="0.45">
      <c r="A423">
        <f ca="1">VLOOKUP(dict_zul_Var_Meth[[#This Row],[ignored_rank]],help_zuord_Var_Meth[],2)</f>
        <v>113</v>
      </c>
      <c r="B423">
        <v>198</v>
      </c>
      <c r="C4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3">
        <f ca="1">RAND()</f>
        <v>0.4561554039621295</v>
      </c>
      <c r="E423">
        <f ca="1">RANK(dict_zul_Var_Meth[[#This Row],[ignored_rand]],dict_zul_Var_Meth[ignored_rand])</f>
        <v>425</v>
      </c>
    </row>
    <row r="424" spans="1:5" x14ac:dyDescent="0.45">
      <c r="A424">
        <f ca="1">VLOOKUP(dict_zul_Var_Meth[[#This Row],[ignored_rank]],help_zuord_Var_Meth[],2)</f>
        <v>113</v>
      </c>
      <c r="B424">
        <v>83</v>
      </c>
      <c r="C4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4">
        <f ca="1">RAND()</f>
        <v>0.45693158971574455</v>
      </c>
      <c r="E424">
        <f ca="1">RANK(dict_zul_Var_Meth[[#This Row],[ignored_rand]],dict_zul_Var_Meth[ignored_rand])</f>
        <v>424</v>
      </c>
    </row>
    <row r="425" spans="1:5" x14ac:dyDescent="0.45">
      <c r="A425">
        <f ca="1">VLOOKUP(dict_zul_Var_Meth[[#This Row],[ignored_rank]],help_zuord_Var_Meth[],2)</f>
        <v>113</v>
      </c>
      <c r="B425">
        <v>545</v>
      </c>
      <c r="C4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5">
        <f ca="1">RAND()</f>
        <v>0.46161996943949135</v>
      </c>
      <c r="E425">
        <f ca="1">RANK(dict_zul_Var_Meth[[#This Row],[ignored_rand]],dict_zul_Var_Meth[ignored_rand])</f>
        <v>423</v>
      </c>
    </row>
    <row r="426" spans="1:5" x14ac:dyDescent="0.45">
      <c r="A426">
        <f ca="1">VLOOKUP(dict_zul_Var_Meth[[#This Row],[ignored_rank]],help_zuord_Var_Meth[],2)</f>
        <v>113</v>
      </c>
      <c r="B426">
        <v>261</v>
      </c>
      <c r="C4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6">
        <f ca="1">RAND()</f>
        <v>0.46370251776078031</v>
      </c>
      <c r="E426">
        <f ca="1">RANK(dict_zul_Var_Meth[[#This Row],[ignored_rand]],dict_zul_Var_Meth[ignored_rand])</f>
        <v>422</v>
      </c>
    </row>
    <row r="427" spans="1:5" x14ac:dyDescent="0.45">
      <c r="A427">
        <f ca="1">VLOOKUP(dict_zul_Var_Meth[[#This Row],[ignored_rank]],help_zuord_Var_Meth[],2)</f>
        <v>114</v>
      </c>
      <c r="B427">
        <v>49</v>
      </c>
      <c r="C4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7">
        <f ca="1">RAND()</f>
        <v>0.45504495117247012</v>
      </c>
      <c r="E427">
        <f ca="1">RANK(dict_zul_Var_Meth[[#This Row],[ignored_rand]],dict_zul_Var_Meth[ignored_rand])</f>
        <v>427</v>
      </c>
    </row>
    <row r="428" spans="1:5" x14ac:dyDescent="0.45">
      <c r="A428">
        <f ca="1">VLOOKUP(dict_zul_Var_Meth[[#This Row],[ignored_rank]],help_zuord_Var_Meth[],2)</f>
        <v>114</v>
      </c>
      <c r="B428">
        <v>356</v>
      </c>
      <c r="C4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8">
        <f ca="1">RAND()</f>
        <v>0.45348461551415442</v>
      </c>
      <c r="E428">
        <f ca="1">RANK(dict_zul_Var_Meth[[#This Row],[ignored_rand]],dict_zul_Var_Meth[ignored_rand])</f>
        <v>429</v>
      </c>
    </row>
    <row r="429" spans="1:5" x14ac:dyDescent="0.45">
      <c r="A429">
        <f ca="1">VLOOKUP(dict_zul_Var_Meth[[#This Row],[ignored_rank]],help_zuord_Var_Meth[],2)</f>
        <v>114</v>
      </c>
      <c r="B429">
        <v>532</v>
      </c>
      <c r="C4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29">
        <f ca="1">RAND()</f>
        <v>0.45482556674849173</v>
      </c>
      <c r="E429">
        <f ca="1">RANK(dict_zul_Var_Meth[[#This Row],[ignored_rand]],dict_zul_Var_Meth[ignored_rand])</f>
        <v>428</v>
      </c>
    </row>
    <row r="430" spans="1:5" x14ac:dyDescent="0.45">
      <c r="A430">
        <f ca="1">VLOOKUP(dict_zul_Var_Meth[[#This Row],[ignored_rank]],help_zuord_Var_Meth[],2)</f>
        <v>114</v>
      </c>
      <c r="B430">
        <v>448</v>
      </c>
      <c r="C4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0">
        <f ca="1">RAND()</f>
        <v>0.45529090366417746</v>
      </c>
      <c r="E430">
        <f ca="1">RANK(dict_zul_Var_Meth[[#This Row],[ignored_rand]],dict_zul_Var_Meth[ignored_rand])</f>
        <v>426</v>
      </c>
    </row>
    <row r="431" spans="1:5" x14ac:dyDescent="0.45">
      <c r="A431">
        <f ca="1">VLOOKUP(dict_zul_Var_Meth[[#This Row],[ignored_rank]],help_zuord_Var_Meth[],2)</f>
        <v>115</v>
      </c>
      <c r="B431">
        <v>502</v>
      </c>
      <c r="C4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1">
        <f ca="1">RAND()</f>
        <v>0.44585000257198648</v>
      </c>
      <c r="E431">
        <f ca="1">RANK(dict_zul_Var_Meth[[#This Row],[ignored_rand]],dict_zul_Var_Meth[ignored_rand])</f>
        <v>432</v>
      </c>
    </row>
    <row r="432" spans="1:5" x14ac:dyDescent="0.45">
      <c r="A432">
        <f ca="1">VLOOKUP(dict_zul_Var_Meth[[#This Row],[ignored_rank]],help_zuord_Var_Meth[],2)</f>
        <v>115</v>
      </c>
      <c r="B432">
        <v>490</v>
      </c>
      <c r="C4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2">
        <f ca="1">RAND()</f>
        <v>0.44262804593722038</v>
      </c>
      <c r="E432">
        <f ca="1">RANK(dict_zul_Var_Meth[[#This Row],[ignored_rand]],dict_zul_Var_Meth[ignored_rand])</f>
        <v>433</v>
      </c>
    </row>
    <row r="433" spans="1:5" x14ac:dyDescent="0.45">
      <c r="A433">
        <f ca="1">VLOOKUP(dict_zul_Var_Meth[[#This Row],[ignored_rank]],help_zuord_Var_Meth[],2)</f>
        <v>115</v>
      </c>
      <c r="B433">
        <v>656</v>
      </c>
      <c r="C4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3">
        <f ca="1">RAND()</f>
        <v>0.44658462239295138</v>
      </c>
      <c r="E433">
        <f ca="1">RANK(dict_zul_Var_Meth[[#This Row],[ignored_rand]],dict_zul_Var_Meth[ignored_rand])</f>
        <v>430</v>
      </c>
    </row>
    <row r="434" spans="1:5" x14ac:dyDescent="0.45">
      <c r="A434">
        <f ca="1">VLOOKUP(dict_zul_Var_Meth[[#This Row],[ignored_rank]],help_zuord_Var_Meth[],2)</f>
        <v>115</v>
      </c>
      <c r="B434">
        <v>196</v>
      </c>
      <c r="C4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4">
        <f ca="1">RAND()</f>
        <v>0.4463665401739958</v>
      </c>
      <c r="E434">
        <f ca="1">RANK(dict_zul_Var_Meth[[#This Row],[ignored_rand]],dict_zul_Var_Meth[ignored_rand])</f>
        <v>431</v>
      </c>
    </row>
    <row r="435" spans="1:5" x14ac:dyDescent="0.45">
      <c r="A435">
        <f ca="1">VLOOKUP(dict_zul_Var_Meth[[#This Row],[ignored_rank]],help_zuord_Var_Meth[],2)</f>
        <v>116</v>
      </c>
      <c r="B435">
        <v>118</v>
      </c>
      <c r="C4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5">
        <f ca="1">RAND()</f>
        <v>0.44204231096179192</v>
      </c>
      <c r="E435">
        <f ca="1">RANK(dict_zul_Var_Meth[[#This Row],[ignored_rand]],dict_zul_Var_Meth[ignored_rand])</f>
        <v>434</v>
      </c>
    </row>
    <row r="436" spans="1:5" x14ac:dyDescent="0.45">
      <c r="A436" s="3">
        <f ca="1">VLOOKUP(dict_zul_Var_Meth[[#This Row],[ignored_rank]],help_zuord_Var_Meth[],2)</f>
        <v>116</v>
      </c>
      <c r="B436">
        <v>102</v>
      </c>
      <c r="C4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6">
        <f ca="1">RAND()</f>
        <v>0.44179543919236031</v>
      </c>
      <c r="E436" s="3">
        <f ca="1">RANK(dict_zul_Var_Meth[[#This Row],[ignored_rand]],dict_zul_Var_Meth[ignored_rand])</f>
        <v>435</v>
      </c>
    </row>
    <row r="437" spans="1:5" x14ac:dyDescent="0.45">
      <c r="A437">
        <f ca="1">VLOOKUP(dict_zul_Var_Meth[[#This Row],[ignored_rank]],help_zuord_Var_Meth[],2)</f>
        <v>116</v>
      </c>
      <c r="B437">
        <v>326</v>
      </c>
      <c r="C4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7">
        <f ca="1">RAND()</f>
        <v>0.43746236893335366</v>
      </c>
      <c r="E437">
        <f ca="1">RANK(dict_zul_Var_Meth[[#This Row],[ignored_rand]],dict_zul_Var_Meth[ignored_rand])</f>
        <v>437</v>
      </c>
    </row>
    <row r="438" spans="1:5" x14ac:dyDescent="0.45">
      <c r="A438">
        <f ca="1">VLOOKUP(dict_zul_Var_Meth[[#This Row],[ignored_rank]],help_zuord_Var_Meth[],2)</f>
        <v>116</v>
      </c>
      <c r="B438">
        <v>420</v>
      </c>
      <c r="C4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8">
        <f ca="1">RAND()</f>
        <v>0.43958123808400185</v>
      </c>
      <c r="E438">
        <f ca="1">RANK(dict_zul_Var_Meth[[#This Row],[ignored_rand]],dict_zul_Var_Meth[ignored_rand])</f>
        <v>436</v>
      </c>
    </row>
    <row r="439" spans="1:5" x14ac:dyDescent="0.45">
      <c r="A439">
        <f ca="1">VLOOKUP(dict_zul_Var_Meth[[#This Row],[ignored_rank]],help_zuord_Var_Meth[],2)</f>
        <v>116</v>
      </c>
      <c r="B439">
        <v>58</v>
      </c>
      <c r="C4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39">
        <f ca="1">RAND()</f>
        <v>0.43661774036150713</v>
      </c>
      <c r="E439">
        <f ca="1">RANK(dict_zul_Var_Meth[[#This Row],[ignored_rand]],dict_zul_Var_Meth[ignored_rand])</f>
        <v>438</v>
      </c>
    </row>
    <row r="440" spans="1:5" x14ac:dyDescent="0.45">
      <c r="A440">
        <f ca="1">VLOOKUP(dict_zul_Var_Meth[[#This Row],[ignored_rank]],help_zuord_Var_Meth[],2)</f>
        <v>117</v>
      </c>
      <c r="B440">
        <v>676</v>
      </c>
      <c r="C4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0">
        <f ca="1">RAND()</f>
        <v>0.43093923553577385</v>
      </c>
      <c r="E440">
        <f ca="1">RANK(dict_zul_Var_Meth[[#This Row],[ignored_rand]],dict_zul_Var_Meth[ignored_rand])</f>
        <v>441</v>
      </c>
    </row>
    <row r="441" spans="1:5" x14ac:dyDescent="0.45">
      <c r="A441">
        <f ca="1">VLOOKUP(dict_zul_Var_Meth[[#This Row],[ignored_rank]],help_zuord_Var_Meth[],2)</f>
        <v>117</v>
      </c>
      <c r="B441">
        <v>70</v>
      </c>
      <c r="C4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1">
        <f ca="1">RAND()</f>
        <v>0.43498967052565851</v>
      </c>
      <c r="E441">
        <f ca="1">RANK(dict_zul_Var_Meth[[#This Row],[ignored_rand]],dict_zul_Var_Meth[ignored_rand])</f>
        <v>440</v>
      </c>
    </row>
    <row r="442" spans="1:5" x14ac:dyDescent="0.45">
      <c r="A442">
        <f ca="1">VLOOKUP(dict_zul_Var_Meth[[#This Row],[ignored_rank]],help_zuord_Var_Meth[],2)</f>
        <v>117</v>
      </c>
      <c r="B442">
        <v>611</v>
      </c>
      <c r="C4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2">
        <f ca="1">RAND()</f>
        <v>0.43532680253893097</v>
      </c>
      <c r="E442">
        <f ca="1">RANK(dict_zul_Var_Meth[[#This Row],[ignored_rand]],dict_zul_Var_Meth[ignored_rand])</f>
        <v>439</v>
      </c>
    </row>
    <row r="443" spans="1:5" x14ac:dyDescent="0.45">
      <c r="A443">
        <f ca="1">VLOOKUP(dict_zul_Var_Meth[[#This Row],[ignored_rank]],help_zuord_Var_Meth[],2)</f>
        <v>118</v>
      </c>
      <c r="B443">
        <v>583</v>
      </c>
      <c r="C4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3">
        <f ca="1">RAND()</f>
        <v>0.42718474641535253</v>
      </c>
      <c r="E443">
        <f ca="1">RANK(dict_zul_Var_Meth[[#This Row],[ignored_rand]],dict_zul_Var_Meth[ignored_rand])</f>
        <v>445</v>
      </c>
    </row>
    <row r="444" spans="1:5" x14ac:dyDescent="0.45">
      <c r="A444">
        <f ca="1">VLOOKUP(dict_zul_Var_Meth[[#This Row],[ignored_rank]],help_zuord_Var_Meth[],2)</f>
        <v>118</v>
      </c>
      <c r="B444">
        <v>368</v>
      </c>
      <c r="C4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4">
        <f ca="1">RAND()</f>
        <v>0.42869557268658487</v>
      </c>
      <c r="E444">
        <f ca="1">RANK(dict_zul_Var_Meth[[#This Row],[ignored_rand]],dict_zul_Var_Meth[ignored_rand])</f>
        <v>442</v>
      </c>
    </row>
    <row r="445" spans="1:5" x14ac:dyDescent="0.45">
      <c r="A445">
        <f ca="1">VLOOKUP(dict_zul_Var_Meth[[#This Row],[ignored_rank]],help_zuord_Var_Meth[],2)</f>
        <v>118</v>
      </c>
      <c r="B445">
        <v>601</v>
      </c>
      <c r="C4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5">
        <f ca="1">RAND()</f>
        <v>0.42751655011184053</v>
      </c>
      <c r="E445">
        <f ca="1">RANK(dict_zul_Var_Meth[[#This Row],[ignored_rand]],dict_zul_Var_Meth[ignored_rand])</f>
        <v>443</v>
      </c>
    </row>
    <row r="446" spans="1:5" x14ac:dyDescent="0.45">
      <c r="A446">
        <f ca="1">VLOOKUP(dict_zul_Var_Meth[[#This Row],[ignored_rank]],help_zuord_Var_Meth[],2)</f>
        <v>118</v>
      </c>
      <c r="B446">
        <v>32</v>
      </c>
      <c r="C4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6">
        <f ca="1">RAND()</f>
        <v>0.4272854871232793</v>
      </c>
      <c r="E446">
        <f ca="1">RANK(dict_zul_Var_Meth[[#This Row],[ignored_rand]],dict_zul_Var_Meth[ignored_rand])</f>
        <v>444</v>
      </c>
    </row>
    <row r="447" spans="1:5" x14ac:dyDescent="0.45">
      <c r="A447">
        <f ca="1">VLOOKUP(dict_zul_Var_Meth[[#This Row],[ignored_rank]],help_zuord_Var_Meth[],2)</f>
        <v>119</v>
      </c>
      <c r="B447">
        <v>119</v>
      </c>
      <c r="C4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7">
        <f ca="1">RAND()</f>
        <v>0.42516853083894302</v>
      </c>
      <c r="E447">
        <f ca="1">RANK(dict_zul_Var_Meth[[#This Row],[ignored_rand]],dict_zul_Var_Meth[ignored_rand])</f>
        <v>446</v>
      </c>
    </row>
    <row r="448" spans="1:5" x14ac:dyDescent="0.45">
      <c r="A448">
        <f ca="1">VLOOKUP(dict_zul_Var_Meth[[#This Row],[ignored_rank]],help_zuord_Var_Meth[],2)</f>
        <v>119</v>
      </c>
      <c r="B448">
        <v>103</v>
      </c>
      <c r="C4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8">
        <f ca="1">RAND()</f>
        <v>0.42314097132715156</v>
      </c>
      <c r="E448">
        <f ca="1">RANK(dict_zul_Var_Meth[[#This Row],[ignored_rand]],dict_zul_Var_Meth[ignored_rand])</f>
        <v>448</v>
      </c>
    </row>
    <row r="449" spans="1:5" x14ac:dyDescent="0.45">
      <c r="A449">
        <f ca="1">VLOOKUP(dict_zul_Var_Meth[[#This Row],[ignored_rank]],help_zuord_Var_Meth[],2)</f>
        <v>119</v>
      </c>
      <c r="B449">
        <v>606</v>
      </c>
      <c r="C4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49">
        <f ca="1">RAND()</f>
        <v>0.4239038720592837</v>
      </c>
      <c r="E449">
        <f ca="1">RANK(dict_zul_Var_Meth[[#This Row],[ignored_rand]],dict_zul_Var_Meth[ignored_rand])</f>
        <v>447</v>
      </c>
    </row>
    <row r="450" spans="1:5" x14ac:dyDescent="0.45">
      <c r="A450">
        <f ca="1">VLOOKUP(dict_zul_Var_Meth[[#This Row],[ignored_rank]],help_zuord_Var_Meth[],2)</f>
        <v>120</v>
      </c>
      <c r="B450">
        <v>281</v>
      </c>
      <c r="C4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0">
        <f ca="1">RAND()</f>
        <v>0.41746727158965824</v>
      </c>
      <c r="E450">
        <f ca="1">RANK(dict_zul_Var_Meth[[#This Row],[ignored_rand]],dict_zul_Var_Meth[ignored_rand])</f>
        <v>452</v>
      </c>
    </row>
    <row r="451" spans="1:5" x14ac:dyDescent="0.45">
      <c r="A451">
        <f ca="1">VLOOKUP(dict_zul_Var_Meth[[#This Row],[ignored_rank]],help_zuord_Var_Meth[],2)</f>
        <v>120</v>
      </c>
      <c r="B451">
        <v>223</v>
      </c>
      <c r="C4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1">
        <f ca="1">RAND()</f>
        <v>0.42196005635986766</v>
      </c>
      <c r="E451">
        <f ca="1">RANK(dict_zul_Var_Meth[[#This Row],[ignored_rand]],dict_zul_Var_Meth[ignored_rand])</f>
        <v>449</v>
      </c>
    </row>
    <row r="452" spans="1:5" x14ac:dyDescent="0.45">
      <c r="A452">
        <f ca="1">VLOOKUP(dict_zul_Var_Meth[[#This Row],[ignored_rank]],help_zuord_Var_Meth[],2)</f>
        <v>120</v>
      </c>
      <c r="B452">
        <v>443</v>
      </c>
      <c r="C4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2">
        <f ca="1">RAND()</f>
        <v>0.42145267951903564</v>
      </c>
      <c r="E452">
        <f ca="1">RANK(dict_zul_Var_Meth[[#This Row],[ignored_rand]],dict_zul_Var_Meth[ignored_rand])</f>
        <v>450</v>
      </c>
    </row>
    <row r="453" spans="1:5" x14ac:dyDescent="0.45">
      <c r="A453">
        <f ca="1">VLOOKUP(dict_zul_Var_Meth[[#This Row],[ignored_rank]],help_zuord_Var_Meth[],2)</f>
        <v>120</v>
      </c>
      <c r="B453">
        <v>666</v>
      </c>
      <c r="C4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3">
        <f ca="1">RAND()</f>
        <v>0.41937144571765694</v>
      </c>
      <c r="E453">
        <f ca="1">RANK(dict_zul_Var_Meth[[#This Row],[ignored_rand]],dict_zul_Var_Meth[ignored_rand])</f>
        <v>451</v>
      </c>
    </row>
    <row r="454" spans="1:5" x14ac:dyDescent="0.45">
      <c r="A454">
        <f ca="1">VLOOKUP(dict_zul_Var_Meth[[#This Row],[ignored_rank]],help_zuord_Var_Meth[],2)</f>
        <v>121</v>
      </c>
      <c r="B454">
        <v>46</v>
      </c>
      <c r="C4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4">
        <f ca="1">RAND()</f>
        <v>0.41220913488437738</v>
      </c>
      <c r="E454">
        <f ca="1">RANK(dict_zul_Var_Meth[[#This Row],[ignored_rand]],dict_zul_Var_Meth[ignored_rand])</f>
        <v>453</v>
      </c>
    </row>
    <row r="455" spans="1:5" x14ac:dyDescent="0.45">
      <c r="A455">
        <f ca="1">VLOOKUP(dict_zul_Var_Meth[[#This Row],[ignored_rank]],help_zuord_Var_Meth[],2)</f>
        <v>121</v>
      </c>
      <c r="B455">
        <v>115</v>
      </c>
      <c r="C4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5">
        <f ca="1">RAND()</f>
        <v>0.41129435154566718</v>
      </c>
      <c r="E455">
        <f ca="1">RANK(dict_zul_Var_Meth[[#This Row],[ignored_rand]],dict_zul_Var_Meth[ignored_rand])</f>
        <v>454</v>
      </c>
    </row>
    <row r="456" spans="1:5" x14ac:dyDescent="0.45">
      <c r="A456">
        <f ca="1">VLOOKUP(dict_zul_Var_Meth[[#This Row],[ignored_rank]],help_zuord_Var_Meth[],2)</f>
        <v>121</v>
      </c>
      <c r="B456">
        <v>55</v>
      </c>
      <c r="C4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6">
        <f ca="1">RAND()</f>
        <v>0.41058680389135194</v>
      </c>
      <c r="E456">
        <f ca="1">RANK(dict_zul_Var_Meth[[#This Row],[ignored_rand]],dict_zul_Var_Meth[ignored_rand])</f>
        <v>456</v>
      </c>
    </row>
    <row r="457" spans="1:5" x14ac:dyDescent="0.45">
      <c r="A457" s="3">
        <f ca="1">VLOOKUP(dict_zul_Var_Meth[[#This Row],[ignored_rank]],help_zuord_Var_Meth[],2)</f>
        <v>121</v>
      </c>
      <c r="B457">
        <v>282</v>
      </c>
      <c r="C4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7">
        <f ca="1">RAND()</f>
        <v>0.41112114535934097</v>
      </c>
      <c r="E457" s="3">
        <f ca="1">RANK(dict_zul_Var_Meth[[#This Row],[ignored_rand]],dict_zul_Var_Meth[ignored_rand])</f>
        <v>455</v>
      </c>
    </row>
    <row r="458" spans="1:5" x14ac:dyDescent="0.45">
      <c r="A458">
        <f ca="1">VLOOKUP(dict_zul_Var_Meth[[#This Row],[ignored_rank]],help_zuord_Var_Meth[],2)</f>
        <v>122</v>
      </c>
      <c r="B458">
        <v>632</v>
      </c>
      <c r="C4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8">
        <f ca="1">RAND()</f>
        <v>0.40288358208645347</v>
      </c>
      <c r="E458">
        <f ca="1">RANK(dict_zul_Var_Meth[[#This Row],[ignored_rand]],dict_zul_Var_Meth[ignored_rand])</f>
        <v>461</v>
      </c>
    </row>
    <row r="459" spans="1:5" x14ac:dyDescent="0.45">
      <c r="A459">
        <f ca="1">VLOOKUP(dict_zul_Var_Meth[[#This Row],[ignored_rank]],help_zuord_Var_Meth[],2)</f>
        <v>122</v>
      </c>
      <c r="B459">
        <v>373</v>
      </c>
      <c r="C4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59">
        <f ca="1">RAND()</f>
        <v>0.41024319386968155</v>
      </c>
      <c r="E459">
        <f ca="1">RANK(dict_zul_Var_Meth[[#This Row],[ignored_rand]],dict_zul_Var_Meth[ignored_rand])</f>
        <v>457</v>
      </c>
    </row>
    <row r="460" spans="1:5" x14ac:dyDescent="0.45">
      <c r="A460">
        <f ca="1">VLOOKUP(dict_zul_Var_Meth[[#This Row],[ignored_rank]],help_zuord_Var_Meth[],2)</f>
        <v>122</v>
      </c>
      <c r="B460">
        <v>241</v>
      </c>
      <c r="C4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0">
        <f ca="1">RAND()</f>
        <v>0.40615342307044244</v>
      </c>
      <c r="E460">
        <f ca="1">RANK(dict_zul_Var_Meth[[#This Row],[ignored_rand]],dict_zul_Var_Meth[ignored_rand])</f>
        <v>460</v>
      </c>
    </row>
    <row r="461" spans="1:5" x14ac:dyDescent="0.45">
      <c r="A461">
        <f ca="1">VLOOKUP(dict_zul_Var_Meth[[#This Row],[ignored_rank]],help_zuord_Var_Meth[],2)</f>
        <v>122</v>
      </c>
      <c r="B461">
        <v>537</v>
      </c>
      <c r="C4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1">
        <f ca="1">RAND()</f>
        <v>0.40624518979125257</v>
      </c>
      <c r="E461">
        <f ca="1">RANK(dict_zul_Var_Meth[[#This Row],[ignored_rand]],dict_zul_Var_Meth[ignored_rand])</f>
        <v>459</v>
      </c>
    </row>
    <row r="462" spans="1:5" x14ac:dyDescent="0.45">
      <c r="A462">
        <f ca="1">VLOOKUP(dict_zul_Var_Meth[[#This Row],[ignored_rank]],help_zuord_Var_Meth[],2)</f>
        <v>122</v>
      </c>
      <c r="B462">
        <v>372</v>
      </c>
      <c r="C4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2">
        <f ca="1">RAND()</f>
        <v>0.40833157360073891</v>
      </c>
      <c r="E462">
        <f ca="1">RANK(dict_zul_Var_Meth[[#This Row],[ignored_rand]],dict_zul_Var_Meth[ignored_rand])</f>
        <v>458</v>
      </c>
    </row>
    <row r="463" spans="1:5" x14ac:dyDescent="0.45">
      <c r="A463">
        <f ca="1">VLOOKUP(dict_zul_Var_Meth[[#This Row],[ignored_rank]],help_zuord_Var_Meth[],2)</f>
        <v>123</v>
      </c>
      <c r="B463">
        <v>450</v>
      </c>
      <c r="C4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3">
        <f ca="1">RAND()</f>
        <v>0.40123665991251778</v>
      </c>
      <c r="E463">
        <f ca="1">RANK(dict_zul_Var_Meth[[#This Row],[ignored_rand]],dict_zul_Var_Meth[ignored_rand])</f>
        <v>462</v>
      </c>
    </row>
    <row r="464" spans="1:5" x14ac:dyDescent="0.45">
      <c r="A464">
        <f ca="1">VLOOKUP(dict_zul_Var_Meth[[#This Row],[ignored_rank]],help_zuord_Var_Meth[],2)</f>
        <v>124</v>
      </c>
      <c r="B464">
        <v>61</v>
      </c>
      <c r="C4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4">
        <f ca="1">RAND()</f>
        <v>0.39456920301883014</v>
      </c>
      <c r="E464">
        <f ca="1">RANK(dict_zul_Var_Meth[[#This Row],[ignored_rand]],dict_zul_Var_Meth[ignored_rand])</f>
        <v>465</v>
      </c>
    </row>
    <row r="465" spans="1:5" x14ac:dyDescent="0.45">
      <c r="A465">
        <f ca="1">VLOOKUP(dict_zul_Var_Meth[[#This Row],[ignored_rank]],help_zuord_Var_Meth[],2)</f>
        <v>124</v>
      </c>
      <c r="B465">
        <v>491</v>
      </c>
      <c r="C4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5">
        <f ca="1">RAND()</f>
        <v>0.3947352531227164</v>
      </c>
      <c r="E465">
        <f ca="1">RANK(dict_zul_Var_Meth[[#This Row],[ignored_rand]],dict_zul_Var_Meth[ignored_rand])</f>
        <v>464</v>
      </c>
    </row>
    <row r="466" spans="1:5" x14ac:dyDescent="0.45">
      <c r="A466">
        <f ca="1">VLOOKUP(dict_zul_Var_Meth[[#This Row],[ignored_rank]],help_zuord_Var_Meth[],2)</f>
        <v>124</v>
      </c>
      <c r="B466">
        <v>295</v>
      </c>
      <c r="C4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6">
        <f ca="1">RAND()</f>
        <v>0.39434120624635005</v>
      </c>
      <c r="E466">
        <f ca="1">RANK(dict_zul_Var_Meth[[#This Row],[ignored_rand]],dict_zul_Var_Meth[ignored_rand])</f>
        <v>466</v>
      </c>
    </row>
    <row r="467" spans="1:5" x14ac:dyDescent="0.45">
      <c r="A467">
        <f ca="1">VLOOKUP(dict_zul_Var_Meth[[#This Row],[ignored_rank]],help_zuord_Var_Meth[],2)</f>
        <v>124</v>
      </c>
      <c r="B467">
        <v>56</v>
      </c>
      <c r="C4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7">
        <f ca="1">RAND()</f>
        <v>0.39211310844681901</v>
      </c>
      <c r="E467">
        <f ca="1">RANK(dict_zul_Var_Meth[[#This Row],[ignored_rand]],dict_zul_Var_Meth[ignored_rand])</f>
        <v>467</v>
      </c>
    </row>
    <row r="468" spans="1:5" x14ac:dyDescent="0.45">
      <c r="A468">
        <f ca="1">VLOOKUP(dict_zul_Var_Meth[[#This Row],[ignored_rank]],help_zuord_Var_Meth[],2)</f>
        <v>124</v>
      </c>
      <c r="B468">
        <v>34</v>
      </c>
      <c r="C4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8">
        <f ca="1">RAND()</f>
        <v>0.39752535876901429</v>
      </c>
      <c r="E468">
        <f ca="1">RANK(dict_zul_Var_Meth[[#This Row],[ignored_rand]],dict_zul_Var_Meth[ignored_rand])</f>
        <v>463</v>
      </c>
    </row>
    <row r="469" spans="1:5" x14ac:dyDescent="0.45">
      <c r="A469">
        <f ca="1">VLOOKUP(dict_zul_Var_Meth[[#This Row],[ignored_rank]],help_zuord_Var_Meth[],2)</f>
        <v>125</v>
      </c>
      <c r="B469">
        <v>18</v>
      </c>
      <c r="C4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69">
        <f ca="1">RAND()</f>
        <v>0.39089174451304276</v>
      </c>
      <c r="E469">
        <f ca="1">RANK(dict_zul_Var_Meth[[#This Row],[ignored_rand]],dict_zul_Var_Meth[ignored_rand])</f>
        <v>469</v>
      </c>
    </row>
    <row r="470" spans="1:5" x14ac:dyDescent="0.45">
      <c r="A470">
        <f ca="1">VLOOKUP(dict_zul_Var_Meth[[#This Row],[ignored_rank]],help_zuord_Var_Meth[],2)</f>
        <v>125</v>
      </c>
      <c r="B470">
        <v>5</v>
      </c>
      <c r="C4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0">
        <f ca="1">RAND()</f>
        <v>0.38806255042494353</v>
      </c>
      <c r="E470">
        <f ca="1">RANK(dict_zul_Var_Meth[[#This Row],[ignored_rand]],dict_zul_Var_Meth[ignored_rand])</f>
        <v>470</v>
      </c>
    </row>
    <row r="471" spans="1:5" x14ac:dyDescent="0.45">
      <c r="A471">
        <f ca="1">VLOOKUP(dict_zul_Var_Meth[[#This Row],[ignored_rank]],help_zuord_Var_Meth[],2)</f>
        <v>125</v>
      </c>
      <c r="B471">
        <v>697</v>
      </c>
      <c r="C4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1">
        <f ca="1">RAND()</f>
        <v>0.39172026706355112</v>
      </c>
      <c r="E471">
        <f ca="1">RANK(dict_zul_Var_Meth[[#This Row],[ignored_rand]],dict_zul_Var_Meth[ignored_rand])</f>
        <v>468</v>
      </c>
    </row>
    <row r="472" spans="1:5" x14ac:dyDescent="0.45">
      <c r="A472">
        <f ca="1">VLOOKUP(dict_zul_Var_Meth[[#This Row],[ignored_rank]],help_zuord_Var_Meth[],2)</f>
        <v>126</v>
      </c>
      <c r="B472">
        <v>634</v>
      </c>
      <c r="C4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2">
        <f ca="1">RAND()</f>
        <v>0.38704236180180407</v>
      </c>
      <c r="E472">
        <f ca="1">RANK(dict_zul_Var_Meth[[#This Row],[ignored_rand]],dict_zul_Var_Meth[ignored_rand])</f>
        <v>472</v>
      </c>
    </row>
    <row r="473" spans="1:5" x14ac:dyDescent="0.45">
      <c r="A473">
        <f ca="1">VLOOKUP(dict_zul_Var_Meth[[#This Row],[ignored_rank]],help_zuord_Var_Meth[],2)</f>
        <v>126</v>
      </c>
      <c r="B473">
        <v>21</v>
      </c>
      <c r="C4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3">
        <f ca="1">RAND()</f>
        <v>0.38701846998488498</v>
      </c>
      <c r="E473">
        <f ca="1">RANK(dict_zul_Var_Meth[[#This Row],[ignored_rand]],dict_zul_Var_Meth[ignored_rand])</f>
        <v>473</v>
      </c>
    </row>
    <row r="474" spans="1:5" x14ac:dyDescent="0.45">
      <c r="A474">
        <f ca="1">VLOOKUP(dict_zul_Var_Meth[[#This Row],[ignored_rank]],help_zuord_Var_Meth[],2)</f>
        <v>126</v>
      </c>
      <c r="B474">
        <v>48</v>
      </c>
      <c r="C4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4">
        <f ca="1">RAND()</f>
        <v>0.38790353288932677</v>
      </c>
      <c r="E474">
        <f ca="1">RANK(dict_zul_Var_Meth[[#This Row],[ignored_rand]],dict_zul_Var_Meth[ignored_rand])</f>
        <v>471</v>
      </c>
    </row>
    <row r="475" spans="1:5" x14ac:dyDescent="0.45">
      <c r="A475">
        <f ca="1">VLOOKUP(dict_zul_Var_Meth[[#This Row],[ignored_rank]],help_zuord_Var_Meth[],2)</f>
        <v>127</v>
      </c>
      <c r="B475">
        <v>32</v>
      </c>
      <c r="C4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5">
        <f ca="1">RAND()</f>
        <v>0.38444805173001295</v>
      </c>
      <c r="E475">
        <f ca="1">RANK(dict_zul_Var_Meth[[#This Row],[ignored_rand]],dict_zul_Var_Meth[ignored_rand])</f>
        <v>476</v>
      </c>
    </row>
    <row r="476" spans="1:5" x14ac:dyDescent="0.45">
      <c r="A476">
        <f ca="1">VLOOKUP(dict_zul_Var_Meth[[#This Row],[ignored_rank]],help_zuord_Var_Meth[],2)</f>
        <v>127</v>
      </c>
      <c r="B476">
        <v>175</v>
      </c>
      <c r="C4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6">
        <f ca="1">RAND()</f>
        <v>0.38517069636080803</v>
      </c>
      <c r="E476">
        <f ca="1">RANK(dict_zul_Var_Meth[[#This Row],[ignored_rand]],dict_zul_Var_Meth[ignored_rand])</f>
        <v>474</v>
      </c>
    </row>
    <row r="477" spans="1:5" x14ac:dyDescent="0.45">
      <c r="A477">
        <f ca="1">VLOOKUP(dict_zul_Var_Meth[[#This Row],[ignored_rank]],help_zuord_Var_Meth[],2)</f>
        <v>127</v>
      </c>
      <c r="B477">
        <v>379</v>
      </c>
      <c r="C4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7">
        <f ca="1">RAND()</f>
        <v>0.38459417771046822</v>
      </c>
      <c r="E477">
        <f ca="1">RANK(dict_zul_Var_Meth[[#This Row],[ignored_rand]],dict_zul_Var_Meth[ignored_rand])</f>
        <v>475</v>
      </c>
    </row>
    <row r="478" spans="1:5" x14ac:dyDescent="0.45">
      <c r="A478">
        <f ca="1">VLOOKUP(dict_zul_Var_Meth[[#This Row],[ignored_rank]],help_zuord_Var_Meth[],2)</f>
        <v>127</v>
      </c>
      <c r="B478">
        <v>346</v>
      </c>
      <c r="C4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8">
        <f ca="1">RAND()</f>
        <v>0.38208751045080447</v>
      </c>
      <c r="E478">
        <f ca="1">RANK(dict_zul_Var_Meth[[#This Row],[ignored_rand]],dict_zul_Var_Meth[ignored_rand])</f>
        <v>478</v>
      </c>
    </row>
    <row r="479" spans="1:5" x14ac:dyDescent="0.45">
      <c r="A479">
        <f ca="1">VLOOKUP(dict_zul_Var_Meth[[#This Row],[ignored_rank]],help_zuord_Var_Meth[],2)</f>
        <v>127</v>
      </c>
      <c r="B479">
        <v>20</v>
      </c>
      <c r="C4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79">
        <f ca="1">RAND()</f>
        <v>0.38262004753985146</v>
      </c>
      <c r="E479">
        <f ca="1">RANK(dict_zul_Var_Meth[[#This Row],[ignored_rand]],dict_zul_Var_Meth[ignored_rand])</f>
        <v>477</v>
      </c>
    </row>
    <row r="480" spans="1:5" x14ac:dyDescent="0.45">
      <c r="A480">
        <f ca="1">VLOOKUP(dict_zul_Var_Meth[[#This Row],[ignored_rank]],help_zuord_Var_Meth[],2)</f>
        <v>128</v>
      </c>
      <c r="B480">
        <v>415</v>
      </c>
      <c r="C4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0">
        <f ca="1">RAND()</f>
        <v>0.37420521137187579</v>
      </c>
      <c r="E480">
        <f ca="1">RANK(dict_zul_Var_Meth[[#This Row],[ignored_rand]],dict_zul_Var_Meth[ignored_rand])</f>
        <v>480</v>
      </c>
    </row>
    <row r="481" spans="1:5" x14ac:dyDescent="0.45">
      <c r="A481">
        <f ca="1">VLOOKUP(dict_zul_Var_Meth[[#This Row],[ignored_rank]],help_zuord_Var_Meth[],2)</f>
        <v>128</v>
      </c>
      <c r="B481">
        <v>360</v>
      </c>
      <c r="C4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1">
        <f ca="1">RAND()</f>
        <v>0.37543265104154178</v>
      </c>
      <c r="E481">
        <f ca="1">RANK(dict_zul_Var_Meth[[#This Row],[ignored_rand]],dict_zul_Var_Meth[ignored_rand])</f>
        <v>479</v>
      </c>
    </row>
    <row r="482" spans="1:5" x14ac:dyDescent="0.45">
      <c r="A482" s="3">
        <f ca="1">VLOOKUP(dict_zul_Var_Meth[[#This Row],[ignored_rank]],help_zuord_Var_Meth[],2)</f>
        <v>128</v>
      </c>
      <c r="B482">
        <v>526</v>
      </c>
      <c r="C4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2">
        <f ca="1">RAND()</f>
        <v>0.37197032939224051</v>
      </c>
      <c r="E482" s="3">
        <f ca="1">RANK(dict_zul_Var_Meth[[#This Row],[ignored_rand]],dict_zul_Var_Meth[ignored_rand])</f>
        <v>481</v>
      </c>
    </row>
    <row r="483" spans="1:5" x14ac:dyDescent="0.45">
      <c r="A483">
        <f ca="1">VLOOKUP(dict_zul_Var_Meth[[#This Row],[ignored_rank]],help_zuord_Var_Meth[],2)</f>
        <v>128</v>
      </c>
      <c r="B483">
        <v>211</v>
      </c>
      <c r="C4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3">
        <f ca="1">RAND()</f>
        <v>0.37151869811419647</v>
      </c>
      <c r="E483">
        <f ca="1">RANK(dict_zul_Var_Meth[[#This Row],[ignored_rand]],dict_zul_Var_Meth[ignored_rand])</f>
        <v>482</v>
      </c>
    </row>
    <row r="484" spans="1:5" x14ac:dyDescent="0.45">
      <c r="A484">
        <f ca="1">VLOOKUP(dict_zul_Var_Meth[[#This Row],[ignored_rank]],help_zuord_Var_Meth[],2)</f>
        <v>129</v>
      </c>
      <c r="B484">
        <v>207</v>
      </c>
      <c r="C4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4">
        <f ca="1">RAND()</f>
        <v>0.36682915346218348</v>
      </c>
      <c r="E484">
        <f ca="1">RANK(dict_zul_Var_Meth[[#This Row],[ignored_rand]],dict_zul_Var_Meth[ignored_rand])</f>
        <v>485</v>
      </c>
    </row>
    <row r="485" spans="1:5" x14ac:dyDescent="0.45">
      <c r="A485">
        <f ca="1">VLOOKUP(dict_zul_Var_Meth[[#This Row],[ignored_rank]],help_zuord_Var_Meth[],2)</f>
        <v>129</v>
      </c>
      <c r="B485">
        <v>693</v>
      </c>
      <c r="C4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5">
        <f ca="1">RAND()</f>
        <v>0.37097287591220385</v>
      </c>
      <c r="E485">
        <f ca="1">RANK(dict_zul_Var_Meth[[#This Row],[ignored_rand]],dict_zul_Var_Meth[ignored_rand])</f>
        <v>483</v>
      </c>
    </row>
    <row r="486" spans="1:5" x14ac:dyDescent="0.45">
      <c r="A486">
        <f ca="1">VLOOKUP(dict_zul_Var_Meth[[#This Row],[ignored_rank]],help_zuord_Var_Meth[],2)</f>
        <v>129</v>
      </c>
      <c r="B486">
        <v>64</v>
      </c>
      <c r="C4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6">
        <f ca="1">RAND()</f>
        <v>0.37028892824979509</v>
      </c>
      <c r="E486">
        <f ca="1">RANK(dict_zul_Var_Meth[[#This Row],[ignored_rand]],dict_zul_Var_Meth[ignored_rand])</f>
        <v>484</v>
      </c>
    </row>
    <row r="487" spans="1:5" x14ac:dyDescent="0.45">
      <c r="A487" s="3">
        <f ca="1">VLOOKUP(dict_zul_Var_Meth[[#This Row],[ignored_rank]],help_zuord_Var_Meth[],2)</f>
        <v>129</v>
      </c>
      <c r="B487">
        <v>85</v>
      </c>
      <c r="C4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7">
        <f ca="1">RAND()</f>
        <v>0.3662601563123643</v>
      </c>
      <c r="E487" s="3">
        <f ca="1">RANK(dict_zul_Var_Meth[[#This Row],[ignored_rand]],dict_zul_Var_Meth[ignored_rand])</f>
        <v>486</v>
      </c>
    </row>
    <row r="488" spans="1:5" x14ac:dyDescent="0.45">
      <c r="A488" s="3">
        <f ca="1">VLOOKUP(dict_zul_Var_Meth[[#This Row],[ignored_rank]],help_zuord_Var_Meth[],2)</f>
        <v>129</v>
      </c>
      <c r="B488">
        <v>446</v>
      </c>
      <c r="C4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8">
        <f ca="1">RAND()</f>
        <v>0.36435339759508778</v>
      </c>
      <c r="E488" s="3">
        <f ca="1">RANK(dict_zul_Var_Meth[[#This Row],[ignored_rand]],dict_zul_Var_Meth[ignored_rand])</f>
        <v>487</v>
      </c>
    </row>
    <row r="489" spans="1:5" x14ac:dyDescent="0.45">
      <c r="A489">
        <f ca="1">VLOOKUP(dict_zul_Var_Meth[[#This Row],[ignored_rank]],help_zuord_Var_Meth[],2)</f>
        <v>130</v>
      </c>
      <c r="B489">
        <v>680</v>
      </c>
      <c r="C4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89">
        <f ca="1">RAND()</f>
        <v>0.35967559001849314</v>
      </c>
      <c r="E489">
        <f ca="1">RANK(dict_zul_Var_Meth[[#This Row],[ignored_rand]],dict_zul_Var_Meth[ignored_rand])</f>
        <v>490</v>
      </c>
    </row>
    <row r="490" spans="1:5" x14ac:dyDescent="0.45">
      <c r="A490">
        <f ca="1">VLOOKUP(dict_zul_Var_Meth[[#This Row],[ignored_rank]],help_zuord_Var_Meth[],2)</f>
        <v>130</v>
      </c>
      <c r="B490">
        <v>135</v>
      </c>
      <c r="C4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0">
        <f ca="1">RAND()</f>
        <v>0.36197327102559429</v>
      </c>
      <c r="E490">
        <f ca="1">RANK(dict_zul_Var_Meth[[#This Row],[ignored_rand]],dict_zul_Var_Meth[ignored_rand])</f>
        <v>488</v>
      </c>
    </row>
    <row r="491" spans="1:5" x14ac:dyDescent="0.45">
      <c r="A491" s="3">
        <f ca="1">VLOOKUP(dict_zul_Var_Meth[[#This Row],[ignored_rank]],help_zuord_Var_Meth[],2)</f>
        <v>130</v>
      </c>
      <c r="B491">
        <v>247</v>
      </c>
      <c r="C4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1">
        <f ca="1">RAND()</f>
        <v>0.36081584199359107</v>
      </c>
      <c r="E491" s="3">
        <f ca="1">RANK(dict_zul_Var_Meth[[#This Row],[ignored_rand]],dict_zul_Var_Meth[ignored_rand])</f>
        <v>489</v>
      </c>
    </row>
    <row r="492" spans="1:5" x14ac:dyDescent="0.45">
      <c r="A492">
        <f ca="1">VLOOKUP(dict_zul_Var_Meth[[#This Row],[ignored_rank]],help_zuord_Var_Meth[],2)</f>
        <v>131</v>
      </c>
      <c r="B492">
        <v>8</v>
      </c>
      <c r="C4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2">
        <f ca="1">RAND()</f>
        <v>0.35948075666724322</v>
      </c>
      <c r="E492">
        <f ca="1">RANK(dict_zul_Var_Meth[[#This Row],[ignored_rand]],dict_zul_Var_Meth[ignored_rand])</f>
        <v>492</v>
      </c>
    </row>
    <row r="493" spans="1:5" x14ac:dyDescent="0.45">
      <c r="A493">
        <f ca="1">VLOOKUP(dict_zul_Var_Meth[[#This Row],[ignored_rank]],help_zuord_Var_Meth[],2)</f>
        <v>131</v>
      </c>
      <c r="B493">
        <v>7</v>
      </c>
      <c r="C4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3">
        <f ca="1">RAND()</f>
        <v>0.35960879636099707</v>
      </c>
      <c r="E493">
        <f ca="1">RANK(dict_zul_Var_Meth[[#This Row],[ignored_rand]],dict_zul_Var_Meth[ignored_rand])</f>
        <v>491</v>
      </c>
    </row>
    <row r="494" spans="1:5" x14ac:dyDescent="0.45">
      <c r="A494">
        <f ca="1">VLOOKUP(dict_zul_Var_Meth[[#This Row],[ignored_rank]],help_zuord_Var_Meth[],2)</f>
        <v>131</v>
      </c>
      <c r="B494">
        <v>47</v>
      </c>
      <c r="C4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4">
        <f ca="1">RAND()</f>
        <v>0.35798767335753956</v>
      </c>
      <c r="E494">
        <f ca="1">RANK(dict_zul_Var_Meth[[#This Row],[ignored_rand]],dict_zul_Var_Meth[ignored_rand])</f>
        <v>493</v>
      </c>
    </row>
    <row r="495" spans="1:5" x14ac:dyDescent="0.45">
      <c r="A495" s="3">
        <f ca="1">VLOOKUP(dict_zul_Var_Meth[[#This Row],[ignored_rank]],help_zuord_Var_Meth[],2)</f>
        <v>132</v>
      </c>
      <c r="B495">
        <v>546</v>
      </c>
      <c r="C4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5">
        <f ca="1">RAND()</f>
        <v>0.35727935666173594</v>
      </c>
      <c r="E495" s="3">
        <f ca="1">RANK(dict_zul_Var_Meth[[#This Row],[ignored_rand]],dict_zul_Var_Meth[ignored_rand])</f>
        <v>494</v>
      </c>
    </row>
    <row r="496" spans="1:5" x14ac:dyDescent="0.45">
      <c r="A496">
        <f ca="1">VLOOKUP(dict_zul_Var_Meth[[#This Row],[ignored_rank]],help_zuord_Var_Meth[],2)</f>
        <v>132</v>
      </c>
      <c r="B496">
        <v>274</v>
      </c>
      <c r="C4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6">
        <f ca="1">RAND()</f>
        <v>0.35706320979122785</v>
      </c>
      <c r="E496">
        <f ca="1">RANK(dict_zul_Var_Meth[[#This Row],[ignored_rand]],dict_zul_Var_Meth[ignored_rand])</f>
        <v>495</v>
      </c>
    </row>
    <row r="497" spans="1:5" x14ac:dyDescent="0.45">
      <c r="A497">
        <f ca="1">VLOOKUP(dict_zul_Var_Meth[[#This Row],[ignored_rank]],help_zuord_Var_Meth[],2)</f>
        <v>132</v>
      </c>
      <c r="B497">
        <v>550</v>
      </c>
      <c r="C4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7">
        <f ca="1">RAND()</f>
        <v>0.35667185486134656</v>
      </c>
      <c r="E497">
        <f ca="1">RANK(dict_zul_Var_Meth[[#This Row],[ignored_rand]],dict_zul_Var_Meth[ignored_rand])</f>
        <v>496</v>
      </c>
    </row>
    <row r="498" spans="1:5" x14ac:dyDescent="0.45">
      <c r="A498">
        <f ca="1">VLOOKUP(dict_zul_Var_Meth[[#This Row],[ignored_rank]],help_zuord_Var_Meth[],2)</f>
        <v>132</v>
      </c>
      <c r="B498">
        <v>361</v>
      </c>
      <c r="C4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8">
        <f ca="1">RAND()</f>
        <v>0.35342086543209617</v>
      </c>
      <c r="E498">
        <f ca="1">RANK(dict_zul_Var_Meth[[#This Row],[ignored_rand]],dict_zul_Var_Meth[ignored_rand])</f>
        <v>497</v>
      </c>
    </row>
    <row r="499" spans="1:5" x14ac:dyDescent="0.45">
      <c r="A499">
        <f ca="1">VLOOKUP(dict_zul_Var_Meth[[#This Row],[ignored_rank]],help_zuord_Var_Meth[],2)</f>
        <v>133</v>
      </c>
      <c r="B499">
        <v>440</v>
      </c>
      <c r="C4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499">
        <f ca="1">RAND()</f>
        <v>0.35029484837793645</v>
      </c>
      <c r="E499">
        <f ca="1">RANK(dict_zul_Var_Meth[[#This Row],[ignored_rand]],dict_zul_Var_Meth[ignored_rand])</f>
        <v>501</v>
      </c>
    </row>
    <row r="500" spans="1:5" x14ac:dyDescent="0.45">
      <c r="A500">
        <f ca="1">VLOOKUP(dict_zul_Var_Meth[[#This Row],[ignored_rank]],help_zuord_Var_Meth[],2)</f>
        <v>133</v>
      </c>
      <c r="B500">
        <v>602</v>
      </c>
      <c r="C5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0">
        <f ca="1">RAND()</f>
        <v>0.35245542010020448</v>
      </c>
      <c r="E500">
        <f ca="1">RANK(dict_zul_Var_Meth[[#This Row],[ignored_rand]],dict_zul_Var_Meth[ignored_rand])</f>
        <v>498</v>
      </c>
    </row>
    <row r="501" spans="1:5" x14ac:dyDescent="0.45">
      <c r="A501">
        <f ca="1">VLOOKUP(dict_zul_Var_Meth[[#This Row],[ignored_rank]],help_zuord_Var_Meth[],2)</f>
        <v>133</v>
      </c>
      <c r="B501">
        <v>643</v>
      </c>
      <c r="C5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1">
        <f ca="1">RAND()</f>
        <v>0.35016351485360575</v>
      </c>
      <c r="E501">
        <f ca="1">RANK(dict_zul_Var_Meth[[#This Row],[ignored_rand]],dict_zul_Var_Meth[ignored_rand])</f>
        <v>502</v>
      </c>
    </row>
    <row r="502" spans="1:5" x14ac:dyDescent="0.45">
      <c r="A502">
        <f ca="1">VLOOKUP(dict_zul_Var_Meth[[#This Row],[ignored_rank]],help_zuord_Var_Meth[],2)</f>
        <v>133</v>
      </c>
      <c r="B502">
        <v>174</v>
      </c>
      <c r="C5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2">
        <f ca="1">RAND()</f>
        <v>0.35085556813901675</v>
      </c>
      <c r="E502">
        <f ca="1">RANK(dict_zul_Var_Meth[[#This Row],[ignored_rand]],dict_zul_Var_Meth[ignored_rand])</f>
        <v>499</v>
      </c>
    </row>
    <row r="503" spans="1:5" x14ac:dyDescent="0.45">
      <c r="A503">
        <f ca="1">VLOOKUP(dict_zul_Var_Meth[[#This Row],[ignored_rank]],help_zuord_Var_Meth[],2)</f>
        <v>133</v>
      </c>
      <c r="B503">
        <v>4</v>
      </c>
      <c r="C5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3">
        <f ca="1">RAND()</f>
        <v>0.35064941915116243</v>
      </c>
      <c r="E503">
        <f ca="1">RANK(dict_zul_Var_Meth[[#This Row],[ignored_rand]],dict_zul_Var_Meth[ignored_rand])</f>
        <v>500</v>
      </c>
    </row>
    <row r="504" spans="1:5" x14ac:dyDescent="0.45">
      <c r="A504">
        <f ca="1">VLOOKUP(dict_zul_Var_Meth[[#This Row],[ignored_rank]],help_zuord_Var_Meth[],2)</f>
        <v>134</v>
      </c>
      <c r="B504">
        <v>157</v>
      </c>
      <c r="C5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4">
        <f ca="1">RAND()</f>
        <v>0.34769992081670276</v>
      </c>
      <c r="E504">
        <f ca="1">RANK(dict_zul_Var_Meth[[#This Row],[ignored_rand]],dict_zul_Var_Meth[ignored_rand])</f>
        <v>504</v>
      </c>
    </row>
    <row r="505" spans="1:5" x14ac:dyDescent="0.45">
      <c r="A505">
        <f ca="1">VLOOKUP(dict_zul_Var_Meth[[#This Row],[ignored_rank]],help_zuord_Var_Meth[],2)</f>
        <v>134</v>
      </c>
      <c r="B505">
        <v>442</v>
      </c>
      <c r="C5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5">
        <f ca="1">RAND()</f>
        <v>0.34862383214464809</v>
      </c>
      <c r="E505">
        <f ca="1">RANK(dict_zul_Var_Meth[[#This Row],[ignored_rand]],dict_zul_Var_Meth[ignored_rand])</f>
        <v>503</v>
      </c>
    </row>
    <row r="506" spans="1:5" x14ac:dyDescent="0.45">
      <c r="A506">
        <f ca="1">VLOOKUP(dict_zul_Var_Meth[[#This Row],[ignored_rank]],help_zuord_Var_Meth[],2)</f>
        <v>134</v>
      </c>
      <c r="B506">
        <v>670</v>
      </c>
      <c r="C5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6">
        <f ca="1">RAND()</f>
        <v>0.34602478178547513</v>
      </c>
      <c r="E506">
        <f ca="1">RANK(dict_zul_Var_Meth[[#This Row],[ignored_rand]],dict_zul_Var_Meth[ignored_rand])</f>
        <v>505</v>
      </c>
    </row>
    <row r="507" spans="1:5" x14ac:dyDescent="0.45">
      <c r="A507">
        <f ca="1">VLOOKUP(dict_zul_Var_Meth[[#This Row],[ignored_rank]],help_zuord_Var_Meth[],2)</f>
        <v>135</v>
      </c>
      <c r="B507">
        <v>79</v>
      </c>
      <c r="C5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7">
        <f ca="1">RAND()</f>
        <v>0.34479639170195431</v>
      </c>
      <c r="E507">
        <f ca="1">RANK(dict_zul_Var_Meth[[#This Row],[ignored_rand]],dict_zul_Var_Meth[ignored_rand])</f>
        <v>507</v>
      </c>
    </row>
    <row r="508" spans="1:5" x14ac:dyDescent="0.45">
      <c r="A508">
        <f ca="1">VLOOKUP(dict_zul_Var_Meth[[#This Row],[ignored_rank]],help_zuord_Var_Meth[],2)</f>
        <v>135</v>
      </c>
      <c r="B508">
        <v>471</v>
      </c>
      <c r="C5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8">
        <f ca="1">RAND()</f>
        <v>0.34241164343138575</v>
      </c>
      <c r="E508">
        <f ca="1">RANK(dict_zul_Var_Meth[[#This Row],[ignored_rand]],dict_zul_Var_Meth[ignored_rand])</f>
        <v>508</v>
      </c>
    </row>
    <row r="509" spans="1:5" x14ac:dyDescent="0.45">
      <c r="A509">
        <f ca="1">VLOOKUP(dict_zul_Var_Meth[[#This Row],[ignored_rank]],help_zuord_Var_Meth[],2)</f>
        <v>135</v>
      </c>
      <c r="B509">
        <v>308</v>
      </c>
      <c r="C5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09">
        <f ca="1">RAND()</f>
        <v>0.34533450842965541</v>
      </c>
      <c r="E509">
        <f ca="1">RANK(dict_zul_Var_Meth[[#This Row],[ignored_rand]],dict_zul_Var_Meth[ignored_rand])</f>
        <v>506</v>
      </c>
    </row>
    <row r="510" spans="1:5" x14ac:dyDescent="0.45">
      <c r="A510">
        <f ca="1">VLOOKUP(dict_zul_Var_Meth[[#This Row],[ignored_rank]],help_zuord_Var_Meth[],2)</f>
        <v>136</v>
      </c>
      <c r="B510">
        <v>203</v>
      </c>
      <c r="C5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0">
        <f ca="1">RAND()</f>
        <v>0.33910444408243323</v>
      </c>
      <c r="E510">
        <f ca="1">RANK(dict_zul_Var_Meth[[#This Row],[ignored_rand]],dict_zul_Var_Meth[ignored_rand])</f>
        <v>510</v>
      </c>
    </row>
    <row r="511" spans="1:5" x14ac:dyDescent="0.45">
      <c r="A511">
        <f ca="1">VLOOKUP(dict_zul_Var_Meth[[#This Row],[ignored_rank]],help_zuord_Var_Meth[],2)</f>
        <v>136</v>
      </c>
      <c r="B511">
        <v>563</v>
      </c>
      <c r="C5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1">
        <f ca="1">RAND()</f>
        <v>0.34036176538527319</v>
      </c>
      <c r="E511">
        <f ca="1">RANK(dict_zul_Var_Meth[[#This Row],[ignored_rand]],dict_zul_Var_Meth[ignored_rand])</f>
        <v>509</v>
      </c>
    </row>
    <row r="512" spans="1:5" x14ac:dyDescent="0.45">
      <c r="A512">
        <f ca="1">VLOOKUP(dict_zul_Var_Meth[[#This Row],[ignored_rank]],help_zuord_Var_Meth[],2)</f>
        <v>136</v>
      </c>
      <c r="B512">
        <v>329</v>
      </c>
      <c r="C5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2">
        <f ca="1">RAND()</f>
        <v>0.33859836121819276</v>
      </c>
      <c r="E512">
        <f ca="1">RANK(dict_zul_Var_Meth[[#This Row],[ignored_rand]],dict_zul_Var_Meth[ignored_rand])</f>
        <v>511</v>
      </c>
    </row>
    <row r="513" spans="1:5" x14ac:dyDescent="0.45">
      <c r="A513">
        <f ca="1">VLOOKUP(dict_zul_Var_Meth[[#This Row],[ignored_rank]],help_zuord_Var_Meth[],2)</f>
        <v>136</v>
      </c>
      <c r="B513">
        <v>439</v>
      </c>
      <c r="C5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3">
        <f ca="1">RAND()</f>
        <v>0.33851912542685358</v>
      </c>
      <c r="E513">
        <f ca="1">RANK(dict_zul_Var_Meth[[#This Row],[ignored_rand]],dict_zul_Var_Meth[ignored_rand])</f>
        <v>512</v>
      </c>
    </row>
    <row r="514" spans="1:5" x14ac:dyDescent="0.45">
      <c r="A514">
        <f ca="1">VLOOKUP(dict_zul_Var_Meth[[#This Row],[ignored_rank]],help_zuord_Var_Meth[],2)</f>
        <v>137</v>
      </c>
      <c r="B514">
        <v>3</v>
      </c>
      <c r="C5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4">
        <f ca="1">RAND()</f>
        <v>0.3338688366529734</v>
      </c>
      <c r="E514">
        <f ca="1">RANK(dict_zul_Var_Meth[[#This Row],[ignored_rand]],dict_zul_Var_Meth[ignored_rand])</f>
        <v>515</v>
      </c>
    </row>
    <row r="515" spans="1:5" x14ac:dyDescent="0.45">
      <c r="A515">
        <f ca="1">VLOOKUP(dict_zul_Var_Meth[[#This Row],[ignored_rank]],help_zuord_Var_Meth[],2)</f>
        <v>137</v>
      </c>
      <c r="B515">
        <v>141</v>
      </c>
      <c r="C5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5">
        <f ca="1">RAND()</f>
        <v>0.33608197890286062</v>
      </c>
      <c r="E515">
        <f ca="1">RANK(dict_zul_Var_Meth[[#This Row],[ignored_rand]],dict_zul_Var_Meth[ignored_rand])</f>
        <v>513</v>
      </c>
    </row>
    <row r="516" spans="1:5" x14ac:dyDescent="0.45">
      <c r="A516">
        <f ca="1">VLOOKUP(dict_zul_Var_Meth[[#This Row],[ignored_rank]],help_zuord_Var_Meth[],2)</f>
        <v>137</v>
      </c>
      <c r="B516">
        <v>51</v>
      </c>
      <c r="C5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6">
        <f ca="1">RAND()</f>
        <v>0.33349026379919977</v>
      </c>
      <c r="E516">
        <f ca="1">RANK(dict_zul_Var_Meth[[#This Row],[ignored_rand]],dict_zul_Var_Meth[ignored_rand])</f>
        <v>516</v>
      </c>
    </row>
    <row r="517" spans="1:5" x14ac:dyDescent="0.45">
      <c r="A517">
        <f ca="1">VLOOKUP(dict_zul_Var_Meth[[#This Row],[ignored_rank]],help_zuord_Var_Meth[],2)</f>
        <v>137</v>
      </c>
      <c r="B517">
        <v>105</v>
      </c>
      <c r="C5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7">
        <f ca="1">RAND()</f>
        <v>0.33505073601523239</v>
      </c>
      <c r="E517">
        <f ca="1">RANK(dict_zul_Var_Meth[[#This Row],[ignored_rand]],dict_zul_Var_Meth[ignored_rand])</f>
        <v>514</v>
      </c>
    </row>
    <row r="518" spans="1:5" x14ac:dyDescent="0.45">
      <c r="A518">
        <f ca="1">VLOOKUP(dict_zul_Var_Meth[[#This Row],[ignored_rank]],help_zuord_Var_Meth[],2)</f>
        <v>138</v>
      </c>
      <c r="B518">
        <v>173</v>
      </c>
      <c r="C5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8">
        <f ca="1">RAND()</f>
        <v>0.33172227378072927</v>
      </c>
      <c r="E518">
        <f ca="1">RANK(dict_zul_Var_Meth[[#This Row],[ignored_rand]],dict_zul_Var_Meth[ignored_rand])</f>
        <v>517</v>
      </c>
    </row>
    <row r="519" spans="1:5" x14ac:dyDescent="0.45">
      <c r="A519">
        <f ca="1">VLOOKUP(dict_zul_Var_Meth[[#This Row],[ignored_rank]],help_zuord_Var_Meth[],2)</f>
        <v>138</v>
      </c>
      <c r="B519">
        <v>400</v>
      </c>
      <c r="C5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19">
        <f ca="1">RAND()</f>
        <v>0.33049578305352645</v>
      </c>
      <c r="E519">
        <f ca="1">RANK(dict_zul_Var_Meth[[#This Row],[ignored_rand]],dict_zul_Var_Meth[ignored_rand])</f>
        <v>518</v>
      </c>
    </row>
    <row r="520" spans="1:5" x14ac:dyDescent="0.45">
      <c r="A520">
        <f ca="1">VLOOKUP(dict_zul_Var_Meth[[#This Row],[ignored_rank]],help_zuord_Var_Meth[],2)</f>
        <v>139</v>
      </c>
      <c r="B520">
        <v>398</v>
      </c>
      <c r="C5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0">
        <f ca="1">RAND()</f>
        <v>0.32563653415325799</v>
      </c>
      <c r="E520">
        <f ca="1">RANK(dict_zul_Var_Meth[[#This Row],[ignored_rand]],dict_zul_Var_Meth[ignored_rand])</f>
        <v>520</v>
      </c>
    </row>
    <row r="521" spans="1:5" x14ac:dyDescent="0.45">
      <c r="A521">
        <f ca="1">VLOOKUP(dict_zul_Var_Meth[[#This Row],[ignored_rank]],help_zuord_Var_Meth[],2)</f>
        <v>139</v>
      </c>
      <c r="B521">
        <v>303</v>
      </c>
      <c r="C5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1">
        <f ca="1">RAND()</f>
        <v>0.32422140437156255</v>
      </c>
      <c r="E521">
        <f ca="1">RANK(dict_zul_Var_Meth[[#This Row],[ignored_rand]],dict_zul_Var_Meth[ignored_rand])</f>
        <v>522</v>
      </c>
    </row>
    <row r="522" spans="1:5" x14ac:dyDescent="0.45">
      <c r="A522">
        <f ca="1">VLOOKUP(dict_zul_Var_Meth[[#This Row],[ignored_rank]],help_zuord_Var_Meth[],2)</f>
        <v>139</v>
      </c>
      <c r="B522">
        <v>435</v>
      </c>
      <c r="C5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2">
        <f ca="1">RAND()</f>
        <v>0.32919088779247196</v>
      </c>
      <c r="E522">
        <f ca="1">RANK(dict_zul_Var_Meth[[#This Row],[ignored_rand]],dict_zul_Var_Meth[ignored_rand])</f>
        <v>519</v>
      </c>
    </row>
    <row r="523" spans="1:5" x14ac:dyDescent="0.45">
      <c r="A523">
        <f ca="1">VLOOKUP(dict_zul_Var_Meth[[#This Row],[ignored_rank]],help_zuord_Var_Meth[],2)</f>
        <v>139</v>
      </c>
      <c r="B523">
        <v>36</v>
      </c>
      <c r="C5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3">
        <f ca="1">RAND()</f>
        <v>0.32475023547150383</v>
      </c>
      <c r="E523">
        <f ca="1">RANK(dict_zul_Var_Meth[[#This Row],[ignored_rand]],dict_zul_Var_Meth[ignored_rand])</f>
        <v>521</v>
      </c>
    </row>
    <row r="524" spans="1:5" x14ac:dyDescent="0.45">
      <c r="A524">
        <f ca="1">VLOOKUP(dict_zul_Var_Meth[[#This Row],[ignored_rank]],help_zuord_Var_Meth[],2)</f>
        <v>140</v>
      </c>
      <c r="B524">
        <v>698</v>
      </c>
      <c r="C5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4">
        <f ca="1">RAND()</f>
        <v>0.31921263794735633</v>
      </c>
      <c r="E524">
        <f ca="1">RANK(dict_zul_Var_Meth[[#This Row],[ignored_rand]],dict_zul_Var_Meth[ignored_rand])</f>
        <v>524</v>
      </c>
    </row>
    <row r="525" spans="1:5" x14ac:dyDescent="0.45">
      <c r="A525">
        <f ca="1">VLOOKUP(dict_zul_Var_Meth[[#This Row],[ignored_rank]],help_zuord_Var_Meth[],2)</f>
        <v>140</v>
      </c>
      <c r="B525">
        <v>342</v>
      </c>
      <c r="C5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5">
        <f ca="1">RAND()</f>
        <v>0.32314646775239098</v>
      </c>
      <c r="E525">
        <f ca="1">RANK(dict_zul_Var_Meth[[#This Row],[ignored_rand]],dict_zul_Var_Meth[ignored_rand])</f>
        <v>523</v>
      </c>
    </row>
    <row r="526" spans="1:5" x14ac:dyDescent="0.45">
      <c r="A526">
        <f ca="1">VLOOKUP(dict_zul_Var_Meth[[#This Row],[ignored_rank]],help_zuord_Var_Meth[],2)</f>
        <v>140</v>
      </c>
      <c r="B526">
        <v>318</v>
      </c>
      <c r="C5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6">
        <f ca="1">RAND()</f>
        <v>0.31270803542843872</v>
      </c>
      <c r="E526">
        <f ca="1">RANK(dict_zul_Var_Meth[[#This Row],[ignored_rand]],dict_zul_Var_Meth[ignored_rand])</f>
        <v>528</v>
      </c>
    </row>
    <row r="527" spans="1:5" x14ac:dyDescent="0.45">
      <c r="A527">
        <f ca="1">VLOOKUP(dict_zul_Var_Meth[[#This Row],[ignored_rank]],help_zuord_Var_Meth[],2)</f>
        <v>140</v>
      </c>
      <c r="B527">
        <v>647</v>
      </c>
      <c r="C5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7">
        <f ca="1">RAND()</f>
        <v>0.31367534756073823</v>
      </c>
      <c r="E527">
        <f ca="1">RANK(dict_zul_Var_Meth[[#This Row],[ignored_rand]],dict_zul_Var_Meth[ignored_rand])</f>
        <v>527</v>
      </c>
    </row>
    <row r="528" spans="1:5" x14ac:dyDescent="0.45">
      <c r="A528">
        <f ca="1">VLOOKUP(dict_zul_Var_Meth[[#This Row],[ignored_rank]],help_zuord_Var_Meth[],2)</f>
        <v>140</v>
      </c>
      <c r="B528">
        <v>224</v>
      </c>
      <c r="C5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8">
        <f ca="1">RAND()</f>
        <v>0.3146125875295237</v>
      </c>
      <c r="E528">
        <f ca="1">RANK(dict_zul_Var_Meth[[#This Row],[ignored_rand]],dict_zul_Var_Meth[ignored_rand])</f>
        <v>526</v>
      </c>
    </row>
    <row r="529" spans="1:5" x14ac:dyDescent="0.45">
      <c r="A529">
        <f ca="1">VLOOKUP(dict_zul_Var_Meth[[#This Row],[ignored_rank]],help_zuord_Var_Meth[],2)</f>
        <v>140</v>
      </c>
      <c r="B529">
        <v>142</v>
      </c>
      <c r="C5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29">
        <f ca="1">RAND()</f>
        <v>0.31553433964402078</v>
      </c>
      <c r="E529">
        <f ca="1">RANK(dict_zul_Var_Meth[[#This Row],[ignored_rand]],dict_zul_Var_Meth[ignored_rand])</f>
        <v>525</v>
      </c>
    </row>
    <row r="530" spans="1:5" x14ac:dyDescent="0.45">
      <c r="A530">
        <f ca="1">VLOOKUP(dict_zul_Var_Meth[[#This Row],[ignored_rank]],help_zuord_Var_Meth[],2)</f>
        <v>141</v>
      </c>
      <c r="B530">
        <v>343</v>
      </c>
      <c r="C5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0">
        <f ca="1">RAND()</f>
        <v>0.30927835402270087</v>
      </c>
      <c r="E530">
        <f ca="1">RANK(dict_zul_Var_Meth[[#This Row],[ignored_rand]],dict_zul_Var_Meth[ignored_rand])</f>
        <v>532</v>
      </c>
    </row>
    <row r="531" spans="1:5" x14ac:dyDescent="0.45">
      <c r="A531">
        <f ca="1">VLOOKUP(dict_zul_Var_Meth[[#This Row],[ignored_rank]],help_zuord_Var_Meth[],2)</f>
        <v>141</v>
      </c>
      <c r="B531">
        <v>339</v>
      </c>
      <c r="C5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1">
        <f ca="1">RAND()</f>
        <v>0.31228075557435386</v>
      </c>
      <c r="E531">
        <f ca="1">RANK(dict_zul_Var_Meth[[#This Row],[ignored_rand]],dict_zul_Var_Meth[ignored_rand])</f>
        <v>530</v>
      </c>
    </row>
    <row r="532" spans="1:5" x14ac:dyDescent="0.45">
      <c r="A532">
        <f ca="1">VLOOKUP(dict_zul_Var_Meth[[#This Row],[ignored_rank]],help_zuord_Var_Meth[],2)</f>
        <v>141</v>
      </c>
      <c r="B532">
        <v>673</v>
      </c>
      <c r="C5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2">
        <f ca="1">RAND()</f>
        <v>0.31200468303640128</v>
      </c>
      <c r="E532">
        <f ca="1">RANK(dict_zul_Var_Meth[[#This Row],[ignored_rand]],dict_zul_Var_Meth[ignored_rand])</f>
        <v>531</v>
      </c>
    </row>
    <row r="533" spans="1:5" x14ac:dyDescent="0.45">
      <c r="A533">
        <f ca="1">VLOOKUP(dict_zul_Var_Meth[[#This Row],[ignored_rank]],help_zuord_Var_Meth[],2)</f>
        <v>141</v>
      </c>
      <c r="B533">
        <v>271</v>
      </c>
      <c r="C5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3">
        <f ca="1">RAND()</f>
        <v>0.31265785140851854</v>
      </c>
      <c r="E533">
        <f ca="1">RANK(dict_zul_Var_Meth[[#This Row],[ignored_rand]],dict_zul_Var_Meth[ignored_rand])</f>
        <v>529</v>
      </c>
    </row>
    <row r="534" spans="1:5" x14ac:dyDescent="0.45">
      <c r="A534">
        <f ca="1">VLOOKUP(dict_zul_Var_Meth[[#This Row],[ignored_rank]],help_zuord_Var_Meth[],2)</f>
        <v>142</v>
      </c>
      <c r="B534">
        <v>353</v>
      </c>
      <c r="C5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4">
        <f ca="1">RAND()</f>
        <v>0.30776823933660846</v>
      </c>
      <c r="E534">
        <f ca="1">RANK(dict_zul_Var_Meth[[#This Row],[ignored_rand]],dict_zul_Var_Meth[ignored_rand])</f>
        <v>533</v>
      </c>
    </row>
    <row r="535" spans="1:5" x14ac:dyDescent="0.45">
      <c r="A535">
        <f ca="1">VLOOKUP(dict_zul_Var_Meth[[#This Row],[ignored_rank]],help_zuord_Var_Meth[],2)</f>
        <v>143</v>
      </c>
      <c r="B535">
        <v>76</v>
      </c>
      <c r="C5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5">
        <f ca="1">RAND()</f>
        <v>0.30402094935040902</v>
      </c>
      <c r="E535">
        <f ca="1">RANK(dict_zul_Var_Meth[[#This Row],[ignored_rand]],dict_zul_Var_Meth[ignored_rand])</f>
        <v>537</v>
      </c>
    </row>
    <row r="536" spans="1:5" x14ac:dyDescent="0.45">
      <c r="A536">
        <f ca="1">VLOOKUP(dict_zul_Var_Meth[[#This Row],[ignored_rank]],help_zuord_Var_Meth[],2)</f>
        <v>143</v>
      </c>
      <c r="B536">
        <v>649</v>
      </c>
      <c r="C5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6">
        <f ca="1">RAND()</f>
        <v>0.30541125023827609</v>
      </c>
      <c r="E536">
        <f ca="1">RANK(dict_zul_Var_Meth[[#This Row],[ignored_rand]],dict_zul_Var_Meth[ignored_rand])</f>
        <v>535</v>
      </c>
    </row>
    <row r="537" spans="1:5" x14ac:dyDescent="0.45">
      <c r="A537">
        <f ca="1">VLOOKUP(dict_zul_Var_Meth[[#This Row],[ignored_rank]],help_zuord_Var_Meth[],2)</f>
        <v>143</v>
      </c>
      <c r="B537">
        <v>89</v>
      </c>
      <c r="C5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7">
        <f ca="1">RAND()</f>
        <v>0.30718045161593144</v>
      </c>
      <c r="E537">
        <f ca="1">RANK(dict_zul_Var_Meth[[#This Row],[ignored_rand]],dict_zul_Var_Meth[ignored_rand])</f>
        <v>534</v>
      </c>
    </row>
    <row r="538" spans="1:5" x14ac:dyDescent="0.45">
      <c r="A538">
        <f ca="1">VLOOKUP(dict_zul_Var_Meth[[#This Row],[ignored_rank]],help_zuord_Var_Meth[],2)</f>
        <v>143</v>
      </c>
      <c r="B538">
        <v>539</v>
      </c>
      <c r="C5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8">
        <f ca="1">RAND()</f>
        <v>0.30457477427893942</v>
      </c>
      <c r="E538">
        <f ca="1">RANK(dict_zul_Var_Meth[[#This Row],[ignored_rand]],dict_zul_Var_Meth[ignored_rand])</f>
        <v>536</v>
      </c>
    </row>
    <row r="539" spans="1:5" x14ac:dyDescent="0.45">
      <c r="A539">
        <f ca="1">VLOOKUP(dict_zul_Var_Meth[[#This Row],[ignored_rank]],help_zuord_Var_Meth[],2)</f>
        <v>144</v>
      </c>
      <c r="B539">
        <v>513</v>
      </c>
      <c r="C5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39">
        <f ca="1">RAND()</f>
        <v>0.30323224837254315</v>
      </c>
      <c r="E539">
        <f ca="1">RANK(dict_zul_Var_Meth[[#This Row],[ignored_rand]],dict_zul_Var_Meth[ignored_rand])</f>
        <v>538</v>
      </c>
    </row>
    <row r="540" spans="1:5" x14ac:dyDescent="0.45">
      <c r="A540">
        <f ca="1">VLOOKUP(dict_zul_Var_Meth[[#This Row],[ignored_rank]],help_zuord_Var_Meth[],2)</f>
        <v>144</v>
      </c>
      <c r="B540">
        <v>423</v>
      </c>
      <c r="C5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0">
        <f ca="1">RAND()</f>
        <v>0.29642079771052054</v>
      </c>
      <c r="E540">
        <f ca="1">RANK(dict_zul_Var_Meth[[#This Row],[ignored_rand]],dict_zul_Var_Meth[ignored_rand])</f>
        <v>540</v>
      </c>
    </row>
    <row r="541" spans="1:5" x14ac:dyDescent="0.45">
      <c r="A541">
        <f ca="1">VLOOKUP(dict_zul_Var_Meth[[#This Row],[ignored_rank]],help_zuord_Var_Meth[],2)</f>
        <v>144</v>
      </c>
      <c r="B541">
        <v>277</v>
      </c>
      <c r="C5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1">
        <f ca="1">RAND()</f>
        <v>0.29797025702526969</v>
      </c>
      <c r="E541">
        <f ca="1">RANK(dict_zul_Var_Meth[[#This Row],[ignored_rand]],dict_zul_Var_Meth[ignored_rand])</f>
        <v>539</v>
      </c>
    </row>
    <row r="542" spans="1:5" x14ac:dyDescent="0.45">
      <c r="A542">
        <f ca="1">VLOOKUP(dict_zul_Var_Meth[[#This Row],[ignored_rank]],help_zuord_Var_Meth[],2)</f>
        <v>144</v>
      </c>
      <c r="B542">
        <v>11</v>
      </c>
      <c r="C5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2">
        <f ca="1">RAND()</f>
        <v>0.28955749489007765</v>
      </c>
      <c r="E542">
        <f ca="1">RANK(dict_zul_Var_Meth[[#This Row],[ignored_rand]],dict_zul_Var_Meth[ignored_rand])</f>
        <v>542</v>
      </c>
    </row>
    <row r="543" spans="1:5" x14ac:dyDescent="0.45">
      <c r="A543">
        <f ca="1">VLOOKUP(dict_zul_Var_Meth[[#This Row],[ignored_rank]],help_zuord_Var_Meth[],2)</f>
        <v>144</v>
      </c>
      <c r="B543">
        <v>515</v>
      </c>
      <c r="C5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3">
        <f ca="1">RAND()</f>
        <v>0.29527996854451954</v>
      </c>
      <c r="E543">
        <f ca="1">RANK(dict_zul_Var_Meth[[#This Row],[ignored_rand]],dict_zul_Var_Meth[ignored_rand])</f>
        <v>541</v>
      </c>
    </row>
    <row r="544" spans="1:5" x14ac:dyDescent="0.45">
      <c r="A544">
        <f ca="1">VLOOKUP(dict_zul_Var_Meth[[#This Row],[ignored_rank]],help_zuord_Var_Meth[],2)</f>
        <v>145</v>
      </c>
      <c r="B544">
        <v>603</v>
      </c>
      <c r="C5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4">
        <f ca="1">RAND()</f>
        <v>0.27922094353014026</v>
      </c>
      <c r="E544">
        <f ca="1">RANK(dict_zul_Var_Meth[[#This Row],[ignored_rand]],dict_zul_Var_Meth[ignored_rand])</f>
        <v>546</v>
      </c>
    </row>
    <row r="545" spans="1:5" x14ac:dyDescent="0.45">
      <c r="A545">
        <f ca="1">VLOOKUP(dict_zul_Var_Meth[[#This Row],[ignored_rank]],help_zuord_Var_Meth[],2)</f>
        <v>145</v>
      </c>
      <c r="B545">
        <v>86</v>
      </c>
      <c r="C5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5">
        <f ca="1">RAND()</f>
        <v>0.28716477470256951</v>
      </c>
      <c r="E545">
        <f ca="1">RANK(dict_zul_Var_Meth[[#This Row],[ignored_rand]],dict_zul_Var_Meth[ignored_rand])</f>
        <v>545</v>
      </c>
    </row>
    <row r="546" spans="1:5" x14ac:dyDescent="0.45">
      <c r="A546">
        <f ca="1">VLOOKUP(dict_zul_Var_Meth[[#This Row],[ignored_rank]],help_zuord_Var_Meth[],2)</f>
        <v>145</v>
      </c>
      <c r="B546">
        <v>237</v>
      </c>
      <c r="C5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6">
        <f ca="1">RAND()</f>
        <v>0.28923105781545477</v>
      </c>
      <c r="E546">
        <f ca="1">RANK(dict_zul_Var_Meth[[#This Row],[ignored_rand]],dict_zul_Var_Meth[ignored_rand])</f>
        <v>544</v>
      </c>
    </row>
    <row r="547" spans="1:5" x14ac:dyDescent="0.45">
      <c r="A547" s="3">
        <f ca="1">VLOOKUP(dict_zul_Var_Meth[[#This Row],[ignored_rank]],help_zuord_Var_Meth[],2)</f>
        <v>145</v>
      </c>
      <c r="B547">
        <v>658</v>
      </c>
      <c r="C5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7">
        <f ca="1">RAND()</f>
        <v>0.28946460366450588</v>
      </c>
      <c r="E547" s="3">
        <f ca="1">RANK(dict_zul_Var_Meth[[#This Row],[ignored_rand]],dict_zul_Var_Meth[ignored_rand])</f>
        <v>543</v>
      </c>
    </row>
    <row r="548" spans="1:5" x14ac:dyDescent="0.45">
      <c r="A548">
        <f ca="1">VLOOKUP(dict_zul_Var_Meth[[#This Row],[ignored_rank]],help_zuord_Var_Meth[],2)</f>
        <v>145</v>
      </c>
      <c r="B548">
        <v>99</v>
      </c>
      <c r="C5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8">
        <f ca="1">RAND()</f>
        <v>0.27794219472679682</v>
      </c>
      <c r="E548">
        <f ca="1">RANK(dict_zul_Var_Meth[[#This Row],[ignored_rand]],dict_zul_Var_Meth[ignored_rand])</f>
        <v>547</v>
      </c>
    </row>
    <row r="549" spans="1:5" x14ac:dyDescent="0.45">
      <c r="A549">
        <f ca="1">VLOOKUP(dict_zul_Var_Meth[[#This Row],[ignored_rank]],help_zuord_Var_Meth[],2)</f>
        <v>146</v>
      </c>
      <c r="B549">
        <v>164</v>
      </c>
      <c r="C5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49">
        <f ca="1">RAND()</f>
        <v>0.27725251787474836</v>
      </c>
      <c r="E549">
        <f ca="1">RANK(dict_zul_Var_Meth[[#This Row],[ignored_rand]],dict_zul_Var_Meth[ignored_rand])</f>
        <v>548</v>
      </c>
    </row>
    <row r="550" spans="1:5" x14ac:dyDescent="0.45">
      <c r="A550">
        <f ca="1">VLOOKUP(dict_zul_Var_Meth[[#This Row],[ignored_rank]],help_zuord_Var_Meth[],2)</f>
        <v>146</v>
      </c>
      <c r="B550">
        <v>654</v>
      </c>
      <c r="C5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0">
        <f ca="1">RAND()</f>
        <v>0.2759008884784151</v>
      </c>
      <c r="E550">
        <f ca="1">RANK(dict_zul_Var_Meth[[#This Row],[ignored_rand]],dict_zul_Var_Meth[ignored_rand])</f>
        <v>549</v>
      </c>
    </row>
    <row r="551" spans="1:5" x14ac:dyDescent="0.45">
      <c r="A551">
        <f ca="1">VLOOKUP(dict_zul_Var_Meth[[#This Row],[ignored_rank]],help_zuord_Var_Meth[],2)</f>
        <v>147</v>
      </c>
      <c r="B551">
        <v>231</v>
      </c>
      <c r="C5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1">
        <f ca="1">RAND()</f>
        <v>0.27297282902311459</v>
      </c>
      <c r="E551">
        <f ca="1">RANK(dict_zul_Var_Meth[[#This Row],[ignored_rand]],dict_zul_Var_Meth[ignored_rand])</f>
        <v>551</v>
      </c>
    </row>
    <row r="552" spans="1:5" x14ac:dyDescent="0.45">
      <c r="A552">
        <f ca="1">VLOOKUP(dict_zul_Var_Meth[[#This Row],[ignored_rank]],help_zuord_Var_Meth[],2)</f>
        <v>147</v>
      </c>
      <c r="B552">
        <v>23</v>
      </c>
      <c r="C5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2">
        <f ca="1">RAND()</f>
        <v>0.2683930243572431</v>
      </c>
      <c r="E552">
        <f ca="1">RANK(dict_zul_Var_Meth[[#This Row],[ignored_rand]],dict_zul_Var_Meth[ignored_rand])</f>
        <v>552</v>
      </c>
    </row>
    <row r="553" spans="1:5" x14ac:dyDescent="0.45">
      <c r="A553" s="3">
        <f ca="1">VLOOKUP(dict_zul_Var_Meth[[#This Row],[ignored_rank]],help_zuord_Var_Meth[],2)</f>
        <v>147</v>
      </c>
      <c r="B553">
        <v>481</v>
      </c>
      <c r="C5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3">
        <f ca="1">RAND()</f>
        <v>0.26105446777462649</v>
      </c>
      <c r="E553" s="3">
        <f ca="1">RANK(dict_zul_Var_Meth[[#This Row],[ignored_rand]],dict_zul_Var_Meth[ignored_rand])</f>
        <v>554</v>
      </c>
    </row>
    <row r="554" spans="1:5" x14ac:dyDescent="0.45">
      <c r="A554">
        <f ca="1">VLOOKUP(dict_zul_Var_Meth[[#This Row],[ignored_rank]],help_zuord_Var_Meth[],2)</f>
        <v>147</v>
      </c>
      <c r="B554">
        <v>648</v>
      </c>
      <c r="C5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4">
        <f ca="1">RAND()</f>
        <v>0.27332070635218164</v>
      </c>
      <c r="E554">
        <f ca="1">RANK(dict_zul_Var_Meth[[#This Row],[ignored_rand]],dict_zul_Var_Meth[ignored_rand])</f>
        <v>550</v>
      </c>
    </row>
    <row r="555" spans="1:5" x14ac:dyDescent="0.45">
      <c r="A555" s="3">
        <f ca="1">VLOOKUP(dict_zul_Var_Meth[[#This Row],[ignored_rank]],help_zuord_Var_Meth[],2)</f>
        <v>147</v>
      </c>
      <c r="B555">
        <v>170</v>
      </c>
      <c r="C5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5">
        <f ca="1">RAND()</f>
        <v>0.26264846147039944</v>
      </c>
      <c r="E555" s="3">
        <f ca="1">RANK(dict_zul_Var_Meth[[#This Row],[ignored_rand]],dict_zul_Var_Meth[ignored_rand])</f>
        <v>553</v>
      </c>
    </row>
    <row r="556" spans="1:5" x14ac:dyDescent="0.45">
      <c r="A556" s="3">
        <f ca="1">VLOOKUP(dict_zul_Var_Meth[[#This Row],[ignored_rank]],help_zuord_Var_Meth[],2)</f>
        <v>148</v>
      </c>
      <c r="B556">
        <v>633</v>
      </c>
      <c r="C5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6">
        <f ca="1">RAND()</f>
        <v>0.26074755673243422</v>
      </c>
      <c r="E556" s="3">
        <f ca="1">RANK(dict_zul_Var_Meth[[#This Row],[ignored_rand]],dict_zul_Var_Meth[ignored_rand])</f>
        <v>555</v>
      </c>
    </row>
    <row r="557" spans="1:5" x14ac:dyDescent="0.45">
      <c r="A557">
        <f ca="1">VLOOKUP(dict_zul_Var_Meth[[#This Row],[ignored_rank]],help_zuord_Var_Meth[],2)</f>
        <v>148</v>
      </c>
      <c r="B557">
        <v>286</v>
      </c>
      <c r="C5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7">
        <f ca="1">RAND()</f>
        <v>0.25722937927416167</v>
      </c>
      <c r="E557">
        <f ca="1">RANK(dict_zul_Var_Meth[[#This Row],[ignored_rand]],dict_zul_Var_Meth[ignored_rand])</f>
        <v>556</v>
      </c>
    </row>
    <row r="558" spans="1:5" x14ac:dyDescent="0.45">
      <c r="A558">
        <f ca="1">VLOOKUP(dict_zul_Var_Meth[[#This Row],[ignored_rank]],help_zuord_Var_Meth[],2)</f>
        <v>149</v>
      </c>
      <c r="B558">
        <v>487</v>
      </c>
      <c r="C5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8">
        <f ca="1">RAND()</f>
        <v>0.24952261960120647</v>
      </c>
      <c r="E558">
        <f ca="1">RANK(dict_zul_Var_Meth[[#This Row],[ignored_rand]],dict_zul_Var_Meth[ignored_rand])</f>
        <v>560</v>
      </c>
    </row>
    <row r="559" spans="1:5" x14ac:dyDescent="0.45">
      <c r="A559">
        <f ca="1">VLOOKUP(dict_zul_Var_Meth[[#This Row],[ignored_rank]],help_zuord_Var_Meth[],2)</f>
        <v>149</v>
      </c>
      <c r="B559">
        <v>422</v>
      </c>
      <c r="C5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59">
        <f ca="1">RAND()</f>
        <v>0.25528009042814126</v>
      </c>
      <c r="E559">
        <f ca="1">RANK(dict_zul_Var_Meth[[#This Row],[ignored_rand]],dict_zul_Var_Meth[ignored_rand])</f>
        <v>557</v>
      </c>
    </row>
    <row r="560" spans="1:5" x14ac:dyDescent="0.45">
      <c r="A560">
        <f ca="1">VLOOKUP(dict_zul_Var_Meth[[#This Row],[ignored_rank]],help_zuord_Var_Meth[],2)</f>
        <v>149</v>
      </c>
      <c r="B560">
        <v>687</v>
      </c>
      <c r="C5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0">
        <f ca="1">RAND()</f>
        <v>0.25410487898719558</v>
      </c>
      <c r="E560">
        <f ca="1">RANK(dict_zul_Var_Meth[[#This Row],[ignored_rand]],dict_zul_Var_Meth[ignored_rand])</f>
        <v>558</v>
      </c>
    </row>
    <row r="561" spans="1:5" x14ac:dyDescent="0.45">
      <c r="A561">
        <f ca="1">VLOOKUP(dict_zul_Var_Meth[[#This Row],[ignored_rank]],help_zuord_Var_Meth[],2)</f>
        <v>149</v>
      </c>
      <c r="B561">
        <v>576</v>
      </c>
      <c r="C5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1">
        <f ca="1">RAND()</f>
        <v>0.24912131830755202</v>
      </c>
      <c r="E561">
        <f ca="1">RANK(dict_zul_Var_Meth[[#This Row],[ignored_rand]],dict_zul_Var_Meth[ignored_rand])</f>
        <v>561</v>
      </c>
    </row>
    <row r="562" spans="1:5" x14ac:dyDescent="0.45">
      <c r="A562">
        <f ca="1">VLOOKUP(dict_zul_Var_Meth[[#This Row],[ignored_rank]],help_zuord_Var_Meth[],2)</f>
        <v>149</v>
      </c>
      <c r="B562">
        <v>547</v>
      </c>
      <c r="C5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2">
        <f ca="1">RAND()</f>
        <v>0.25116054839384305</v>
      </c>
      <c r="E562">
        <f ca="1">RANK(dict_zul_Var_Meth[[#This Row],[ignored_rand]],dict_zul_Var_Meth[ignored_rand])</f>
        <v>559</v>
      </c>
    </row>
    <row r="563" spans="1:5" x14ac:dyDescent="0.45">
      <c r="A563">
        <f ca="1">VLOOKUP(dict_zul_Var_Meth[[#This Row],[ignored_rank]],help_zuord_Var_Meth[],2)</f>
        <v>150</v>
      </c>
      <c r="B563">
        <v>138</v>
      </c>
      <c r="C5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3">
        <f ca="1">RAND()</f>
        <v>0.24839892230557414</v>
      </c>
      <c r="E563">
        <f ca="1">RANK(dict_zul_Var_Meth[[#This Row],[ignored_rand]],dict_zul_Var_Meth[ignored_rand])</f>
        <v>562</v>
      </c>
    </row>
    <row r="564" spans="1:5" x14ac:dyDescent="0.45">
      <c r="A564">
        <f ca="1">VLOOKUP(dict_zul_Var_Meth[[#This Row],[ignored_rank]],help_zuord_Var_Meth[],2)</f>
        <v>150</v>
      </c>
      <c r="B564">
        <v>47</v>
      </c>
      <c r="C5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4">
        <f ca="1">RAND()</f>
        <v>0.24810442370075625</v>
      </c>
      <c r="E564">
        <f ca="1">RANK(dict_zul_Var_Meth[[#This Row],[ignored_rand]],dict_zul_Var_Meth[ignored_rand])</f>
        <v>563</v>
      </c>
    </row>
    <row r="565" spans="1:5" x14ac:dyDescent="0.45">
      <c r="A565">
        <f ca="1">VLOOKUP(dict_zul_Var_Meth[[#This Row],[ignored_rank]],help_zuord_Var_Meth[],2)</f>
        <v>150</v>
      </c>
      <c r="B565">
        <v>350</v>
      </c>
      <c r="C5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5">
        <f ca="1">RAND()</f>
        <v>0.24636323588889719</v>
      </c>
      <c r="E565">
        <f ca="1">RANK(dict_zul_Var_Meth[[#This Row],[ignored_rand]],dict_zul_Var_Meth[ignored_rand])</f>
        <v>565</v>
      </c>
    </row>
    <row r="566" spans="1:5" x14ac:dyDescent="0.45">
      <c r="A566">
        <f ca="1">VLOOKUP(dict_zul_Var_Meth[[#This Row],[ignored_rank]],help_zuord_Var_Meth[],2)</f>
        <v>150</v>
      </c>
      <c r="B566">
        <v>107</v>
      </c>
      <c r="C5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6">
        <f ca="1">RAND()</f>
        <v>0.24667367337576684</v>
      </c>
      <c r="E566">
        <f ca="1">RANK(dict_zul_Var_Meth[[#This Row],[ignored_rand]],dict_zul_Var_Meth[ignored_rand])</f>
        <v>564</v>
      </c>
    </row>
    <row r="567" spans="1:5" x14ac:dyDescent="0.45">
      <c r="A567">
        <f ca="1">VLOOKUP(dict_zul_Var_Meth[[#This Row],[ignored_rank]],help_zuord_Var_Meth[],2)</f>
        <v>151</v>
      </c>
      <c r="B567">
        <v>507</v>
      </c>
      <c r="C5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7">
        <f ca="1">RAND()</f>
        <v>0.24007353310428403</v>
      </c>
      <c r="E567">
        <f ca="1">RANK(dict_zul_Var_Meth[[#This Row],[ignored_rand]],dict_zul_Var_Meth[ignored_rand])</f>
        <v>569</v>
      </c>
    </row>
    <row r="568" spans="1:5" x14ac:dyDescent="0.45">
      <c r="A568">
        <f ca="1">VLOOKUP(dict_zul_Var_Meth[[#This Row],[ignored_rank]],help_zuord_Var_Meth[],2)</f>
        <v>151</v>
      </c>
      <c r="B568">
        <v>266</v>
      </c>
      <c r="C5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8">
        <f ca="1">RAND()</f>
        <v>0.24622847132949433</v>
      </c>
      <c r="E568">
        <f ca="1">RANK(dict_zul_Var_Meth[[#This Row],[ignored_rand]],dict_zul_Var_Meth[ignored_rand])</f>
        <v>566</v>
      </c>
    </row>
    <row r="569" spans="1:5" x14ac:dyDescent="0.45">
      <c r="A569" s="3">
        <f ca="1">VLOOKUP(dict_zul_Var_Meth[[#This Row],[ignored_rank]],help_zuord_Var_Meth[],2)</f>
        <v>151</v>
      </c>
      <c r="B569">
        <v>246</v>
      </c>
      <c r="C5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69">
        <f ca="1">RAND()</f>
        <v>0.24438373567491201</v>
      </c>
      <c r="E569" s="3">
        <f ca="1">RANK(dict_zul_Var_Meth[[#This Row],[ignored_rand]],dict_zul_Var_Meth[ignored_rand])</f>
        <v>567</v>
      </c>
    </row>
    <row r="570" spans="1:5" x14ac:dyDescent="0.45">
      <c r="A570">
        <f ca="1">VLOOKUP(dict_zul_Var_Meth[[#This Row],[ignored_rank]],help_zuord_Var_Meth[],2)</f>
        <v>151</v>
      </c>
      <c r="B570">
        <v>536</v>
      </c>
      <c r="C5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0">
        <f ca="1">RAND()</f>
        <v>0.24167229539069135</v>
      </c>
      <c r="E570">
        <f ca="1">RANK(dict_zul_Var_Meth[[#This Row],[ignored_rand]],dict_zul_Var_Meth[ignored_rand])</f>
        <v>568</v>
      </c>
    </row>
    <row r="571" spans="1:5" x14ac:dyDescent="0.45">
      <c r="A571">
        <f ca="1">VLOOKUP(dict_zul_Var_Meth[[#This Row],[ignored_rank]],help_zuord_Var_Meth[],2)</f>
        <v>152</v>
      </c>
      <c r="B571">
        <v>374</v>
      </c>
      <c r="C5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1">
        <f ca="1">RAND()</f>
        <v>0.23867986135561803</v>
      </c>
      <c r="E571">
        <f ca="1">RANK(dict_zul_Var_Meth[[#This Row],[ignored_rand]],dict_zul_Var_Meth[ignored_rand])</f>
        <v>570</v>
      </c>
    </row>
    <row r="572" spans="1:5" x14ac:dyDescent="0.45">
      <c r="A572">
        <f ca="1">VLOOKUP(dict_zul_Var_Meth[[#This Row],[ignored_rank]],help_zuord_Var_Meth[],2)</f>
        <v>152</v>
      </c>
      <c r="B572">
        <v>0</v>
      </c>
      <c r="C5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2">
        <f ca="1">RAND()</f>
        <v>0.23679829397144847</v>
      </c>
      <c r="E572">
        <f ca="1">RANK(dict_zul_Var_Meth[[#This Row],[ignored_rand]],dict_zul_Var_Meth[ignored_rand])</f>
        <v>571</v>
      </c>
    </row>
    <row r="573" spans="1:5" x14ac:dyDescent="0.45">
      <c r="A573">
        <f ca="1">VLOOKUP(dict_zul_Var_Meth[[#This Row],[ignored_rank]],help_zuord_Var_Meth[],2)</f>
        <v>152</v>
      </c>
      <c r="B573">
        <v>519</v>
      </c>
      <c r="C5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3">
        <f ca="1">RAND()</f>
        <v>0.236105583057583</v>
      </c>
      <c r="E573">
        <f ca="1">RANK(dict_zul_Var_Meth[[#This Row],[ignored_rand]],dict_zul_Var_Meth[ignored_rand])</f>
        <v>572</v>
      </c>
    </row>
    <row r="574" spans="1:5" x14ac:dyDescent="0.45">
      <c r="A574">
        <f ca="1">VLOOKUP(dict_zul_Var_Meth[[#This Row],[ignored_rank]],help_zuord_Var_Meth[],2)</f>
        <v>153</v>
      </c>
      <c r="B574">
        <v>683</v>
      </c>
      <c r="C5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4">
        <f ca="1">RAND()</f>
        <v>0.23503925383951074</v>
      </c>
      <c r="E574">
        <f ca="1">RANK(dict_zul_Var_Meth[[#This Row],[ignored_rand]],dict_zul_Var_Meth[ignored_rand])</f>
        <v>575</v>
      </c>
    </row>
    <row r="575" spans="1:5" x14ac:dyDescent="0.45">
      <c r="A575">
        <f ca="1">VLOOKUP(dict_zul_Var_Meth[[#This Row],[ignored_rank]],help_zuord_Var_Meth[],2)</f>
        <v>153</v>
      </c>
      <c r="B575">
        <v>609</v>
      </c>
      <c r="C5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5">
        <f ca="1">RAND()</f>
        <v>0.23600648159366988</v>
      </c>
      <c r="E575">
        <f ca="1">RANK(dict_zul_Var_Meth[[#This Row],[ignored_rand]],dict_zul_Var_Meth[ignored_rand])</f>
        <v>573</v>
      </c>
    </row>
    <row r="576" spans="1:5" x14ac:dyDescent="0.45">
      <c r="A576">
        <f ca="1">VLOOKUP(dict_zul_Var_Meth[[#This Row],[ignored_rank]],help_zuord_Var_Meth[],2)</f>
        <v>153</v>
      </c>
      <c r="B576">
        <v>386</v>
      </c>
      <c r="C5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6">
        <f ca="1">RAND()</f>
        <v>0.23551385208036557</v>
      </c>
      <c r="E576">
        <f ca="1">RANK(dict_zul_Var_Meth[[#This Row],[ignored_rand]],dict_zul_Var_Meth[ignored_rand])</f>
        <v>574</v>
      </c>
    </row>
    <row r="577" spans="1:5" x14ac:dyDescent="0.45">
      <c r="A577">
        <f ca="1">VLOOKUP(dict_zul_Var_Meth[[#This Row],[ignored_rank]],help_zuord_Var_Meth[],2)</f>
        <v>153</v>
      </c>
      <c r="B577">
        <v>653</v>
      </c>
      <c r="C5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7">
        <f ca="1">RAND()</f>
        <v>0.23427220258695558</v>
      </c>
      <c r="E577">
        <f ca="1">RANK(dict_zul_Var_Meth[[#This Row],[ignored_rand]],dict_zul_Var_Meth[ignored_rand])</f>
        <v>576</v>
      </c>
    </row>
    <row r="578" spans="1:5" x14ac:dyDescent="0.45">
      <c r="A578">
        <f ca="1">VLOOKUP(dict_zul_Var_Meth[[#This Row],[ignored_rank]],help_zuord_Var_Meth[],2)</f>
        <v>154</v>
      </c>
      <c r="B578">
        <v>336</v>
      </c>
      <c r="C5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8">
        <f ca="1">RAND()</f>
        <v>0.2339694410302201</v>
      </c>
      <c r="E578">
        <f ca="1">RANK(dict_zul_Var_Meth[[#This Row],[ignored_rand]],dict_zul_Var_Meth[ignored_rand])</f>
        <v>577</v>
      </c>
    </row>
    <row r="579" spans="1:5" x14ac:dyDescent="0.45">
      <c r="A579">
        <f ca="1">VLOOKUP(dict_zul_Var_Meth[[#This Row],[ignored_rank]],help_zuord_Var_Meth[],2)</f>
        <v>154</v>
      </c>
      <c r="B579">
        <v>226</v>
      </c>
      <c r="C5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79">
        <f ca="1">RAND()</f>
        <v>0.23144517621810434</v>
      </c>
      <c r="E579">
        <f ca="1">RANK(dict_zul_Var_Meth[[#This Row],[ignored_rand]],dict_zul_Var_Meth[ignored_rand])</f>
        <v>578</v>
      </c>
    </row>
    <row r="580" spans="1:5" x14ac:dyDescent="0.45">
      <c r="A580">
        <f ca="1">VLOOKUP(dict_zul_Var_Meth[[#This Row],[ignored_rank]],help_zuord_Var_Meth[],2)</f>
        <v>154</v>
      </c>
      <c r="B580">
        <v>69</v>
      </c>
      <c r="C5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0">
        <f ca="1">RAND()</f>
        <v>0.23119790958684516</v>
      </c>
      <c r="E580">
        <f ca="1">RANK(dict_zul_Var_Meth[[#This Row],[ignored_rand]],dict_zul_Var_Meth[ignored_rand])</f>
        <v>579</v>
      </c>
    </row>
    <row r="581" spans="1:5" x14ac:dyDescent="0.45">
      <c r="A581">
        <f ca="1">VLOOKUP(dict_zul_Var_Meth[[#This Row],[ignored_rank]],help_zuord_Var_Meth[],2)</f>
        <v>155</v>
      </c>
      <c r="B581">
        <v>17</v>
      </c>
      <c r="C5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1">
        <f ca="1">RAND()</f>
        <v>0.22990716754577567</v>
      </c>
      <c r="E581">
        <f ca="1">RANK(dict_zul_Var_Meth[[#This Row],[ignored_rand]],dict_zul_Var_Meth[ignored_rand])</f>
        <v>581</v>
      </c>
    </row>
    <row r="582" spans="1:5" x14ac:dyDescent="0.45">
      <c r="A582">
        <f ca="1">VLOOKUP(dict_zul_Var_Meth[[#This Row],[ignored_rank]],help_zuord_Var_Meth[],2)</f>
        <v>155</v>
      </c>
      <c r="B582">
        <v>347</v>
      </c>
      <c r="C5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2">
        <f ca="1">RAND()</f>
        <v>0.23042797361977552</v>
      </c>
      <c r="E582">
        <f ca="1">RANK(dict_zul_Var_Meth[[#This Row],[ignored_rand]],dict_zul_Var_Meth[ignored_rand])</f>
        <v>580</v>
      </c>
    </row>
    <row r="583" spans="1:5" x14ac:dyDescent="0.45">
      <c r="A583">
        <f ca="1">VLOOKUP(dict_zul_Var_Meth[[#This Row],[ignored_rank]],help_zuord_Var_Meth[],2)</f>
        <v>155</v>
      </c>
      <c r="B583">
        <v>276</v>
      </c>
      <c r="C5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3">
        <f ca="1">RAND()</f>
        <v>0.22863002813370104</v>
      </c>
      <c r="E583">
        <f ca="1">RANK(dict_zul_Var_Meth[[#This Row],[ignored_rand]],dict_zul_Var_Meth[ignored_rand])</f>
        <v>582</v>
      </c>
    </row>
    <row r="584" spans="1:5" x14ac:dyDescent="0.45">
      <c r="A584">
        <f ca="1">VLOOKUP(dict_zul_Var_Meth[[#This Row],[ignored_rank]],help_zuord_Var_Meth[],2)</f>
        <v>156</v>
      </c>
      <c r="B584">
        <v>44</v>
      </c>
      <c r="C5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4">
        <f ca="1">RAND()</f>
        <v>0.2197583240538713</v>
      </c>
      <c r="E584">
        <f ca="1">RANK(dict_zul_Var_Meth[[#This Row],[ignored_rand]],dict_zul_Var_Meth[ignored_rand])</f>
        <v>587</v>
      </c>
    </row>
    <row r="585" spans="1:5" x14ac:dyDescent="0.45">
      <c r="A585">
        <f ca="1">VLOOKUP(dict_zul_Var_Meth[[#This Row],[ignored_rank]],help_zuord_Var_Meth[],2)</f>
        <v>156</v>
      </c>
      <c r="B585">
        <v>280</v>
      </c>
      <c r="C5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5">
        <f ca="1">RAND()</f>
        <v>0.2204805811141155</v>
      </c>
      <c r="E585">
        <f ca="1">RANK(dict_zul_Var_Meth[[#This Row],[ignored_rand]],dict_zul_Var_Meth[ignored_rand])</f>
        <v>586</v>
      </c>
    </row>
    <row r="586" spans="1:5" x14ac:dyDescent="0.45">
      <c r="A586">
        <f ca="1">VLOOKUP(dict_zul_Var_Meth[[#This Row],[ignored_rank]],help_zuord_Var_Meth[],2)</f>
        <v>156</v>
      </c>
      <c r="B586">
        <v>219</v>
      </c>
      <c r="C5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6">
        <f ca="1">RAND()</f>
        <v>0.22184209285109247</v>
      </c>
      <c r="E586">
        <f ca="1">RANK(dict_zul_Var_Meth[[#This Row],[ignored_rand]],dict_zul_Var_Meth[ignored_rand])</f>
        <v>584</v>
      </c>
    </row>
    <row r="587" spans="1:5" x14ac:dyDescent="0.45">
      <c r="A587">
        <f ca="1">VLOOKUP(dict_zul_Var_Meth[[#This Row],[ignored_rank]],help_zuord_Var_Meth[],2)</f>
        <v>156</v>
      </c>
      <c r="B587">
        <v>599</v>
      </c>
      <c r="C5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7">
        <f ca="1">RAND()</f>
        <v>0.22135140616169136</v>
      </c>
      <c r="E587">
        <f ca="1">RANK(dict_zul_Var_Meth[[#This Row],[ignored_rand]],dict_zul_Var_Meth[ignored_rand])</f>
        <v>585</v>
      </c>
    </row>
    <row r="588" spans="1:5" x14ac:dyDescent="0.45">
      <c r="A588">
        <f ca="1">VLOOKUP(dict_zul_Var_Meth[[#This Row],[ignored_rank]],help_zuord_Var_Meth[],2)</f>
        <v>156</v>
      </c>
      <c r="B588">
        <v>323</v>
      </c>
      <c r="C5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8">
        <f ca="1">RAND()</f>
        <v>0.21865474815413832</v>
      </c>
      <c r="E588">
        <f ca="1">RANK(dict_zul_Var_Meth[[#This Row],[ignored_rand]],dict_zul_Var_Meth[ignored_rand])</f>
        <v>588</v>
      </c>
    </row>
    <row r="589" spans="1:5" x14ac:dyDescent="0.45">
      <c r="A589" s="3">
        <f ca="1">VLOOKUP(dict_zul_Var_Meth[[#This Row],[ignored_rank]],help_zuord_Var_Meth[],2)</f>
        <v>156</v>
      </c>
      <c r="B589">
        <v>95</v>
      </c>
      <c r="C5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89">
        <f ca="1">RAND()</f>
        <v>0.22491253195062155</v>
      </c>
      <c r="E589" s="3">
        <f ca="1">RANK(dict_zul_Var_Meth[[#This Row],[ignored_rand]],dict_zul_Var_Meth[ignored_rand])</f>
        <v>583</v>
      </c>
    </row>
    <row r="590" spans="1:5" x14ac:dyDescent="0.45">
      <c r="A590">
        <f ca="1">VLOOKUP(dict_zul_Var_Meth[[#This Row],[ignored_rank]],help_zuord_Var_Meth[],2)</f>
        <v>157</v>
      </c>
      <c r="B590">
        <v>586</v>
      </c>
      <c r="C5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0">
        <f ca="1">RAND()</f>
        <v>0.21822597065685834</v>
      </c>
      <c r="E590">
        <f ca="1">RANK(dict_zul_Var_Meth[[#This Row],[ignored_rand]],dict_zul_Var_Meth[ignored_rand])</f>
        <v>589</v>
      </c>
    </row>
    <row r="591" spans="1:5" x14ac:dyDescent="0.45">
      <c r="A591">
        <f ca="1">VLOOKUP(dict_zul_Var_Meth[[#This Row],[ignored_rank]],help_zuord_Var_Meth[],2)</f>
        <v>157</v>
      </c>
      <c r="B591">
        <v>370</v>
      </c>
      <c r="C5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1">
        <f ca="1">RAND()</f>
        <v>0.21819327294111668</v>
      </c>
      <c r="E591">
        <f ca="1">RANK(dict_zul_Var_Meth[[#This Row],[ignored_rand]],dict_zul_Var_Meth[ignored_rand])</f>
        <v>590</v>
      </c>
    </row>
    <row r="592" spans="1:5" x14ac:dyDescent="0.45">
      <c r="A592">
        <f ca="1">VLOOKUP(dict_zul_Var_Meth[[#This Row],[ignored_rank]],help_zuord_Var_Meth[],2)</f>
        <v>158</v>
      </c>
      <c r="B592">
        <v>202</v>
      </c>
      <c r="C5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2">
        <f ca="1">RAND()</f>
        <v>0.2162241843064947</v>
      </c>
      <c r="E592">
        <f ca="1">RANK(dict_zul_Var_Meth[[#This Row],[ignored_rand]],dict_zul_Var_Meth[ignored_rand])</f>
        <v>591</v>
      </c>
    </row>
    <row r="593" spans="1:5" x14ac:dyDescent="0.45">
      <c r="A593">
        <f ca="1">VLOOKUP(dict_zul_Var_Meth[[#This Row],[ignored_rank]],help_zuord_Var_Meth[],2)</f>
        <v>158</v>
      </c>
      <c r="B593">
        <v>470</v>
      </c>
      <c r="C5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3">
        <f ca="1">RAND()</f>
        <v>0.21450634127957646</v>
      </c>
      <c r="E593">
        <f ca="1">RANK(dict_zul_Var_Meth[[#This Row],[ignored_rand]],dict_zul_Var_Meth[ignored_rand])</f>
        <v>592</v>
      </c>
    </row>
    <row r="594" spans="1:5" x14ac:dyDescent="0.45">
      <c r="A594">
        <f ca="1">VLOOKUP(dict_zul_Var_Meth[[#This Row],[ignored_rank]],help_zuord_Var_Meth[],2)</f>
        <v>158</v>
      </c>
      <c r="B594">
        <v>134</v>
      </c>
      <c r="C5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4">
        <f ca="1">RAND()</f>
        <v>0.20961297057634209</v>
      </c>
      <c r="E594">
        <f ca="1">RANK(dict_zul_Var_Meth[[#This Row],[ignored_rand]],dict_zul_Var_Meth[ignored_rand])</f>
        <v>595</v>
      </c>
    </row>
    <row r="595" spans="1:5" x14ac:dyDescent="0.45">
      <c r="A595">
        <f ca="1">VLOOKUP(dict_zul_Var_Meth[[#This Row],[ignored_rank]],help_zuord_Var_Meth[],2)</f>
        <v>158</v>
      </c>
      <c r="B595">
        <v>449</v>
      </c>
      <c r="C5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5">
        <f ca="1">RAND()</f>
        <v>0.21290269620472779</v>
      </c>
      <c r="E595">
        <f ca="1">RANK(dict_zul_Var_Meth[[#This Row],[ignored_rand]],dict_zul_Var_Meth[ignored_rand])</f>
        <v>593</v>
      </c>
    </row>
    <row r="596" spans="1:5" x14ac:dyDescent="0.45">
      <c r="A596">
        <f ca="1">VLOOKUP(dict_zul_Var_Meth[[#This Row],[ignored_rank]],help_zuord_Var_Meth[],2)</f>
        <v>158</v>
      </c>
      <c r="B596">
        <v>193</v>
      </c>
      <c r="C5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6">
        <f ca="1">RAND()</f>
        <v>0.20998885901155506</v>
      </c>
      <c r="E596">
        <f ca="1">RANK(dict_zul_Var_Meth[[#This Row],[ignored_rand]],dict_zul_Var_Meth[ignored_rand])</f>
        <v>594</v>
      </c>
    </row>
    <row r="597" spans="1:5" x14ac:dyDescent="0.45">
      <c r="A597">
        <f ca="1">VLOOKUP(dict_zul_Var_Meth[[#This Row],[ignored_rank]],help_zuord_Var_Meth[],2)</f>
        <v>159</v>
      </c>
      <c r="B597">
        <v>376</v>
      </c>
      <c r="C5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7">
        <f ca="1">RAND()</f>
        <v>0.20348048209875902</v>
      </c>
      <c r="E597">
        <f ca="1">RANK(dict_zul_Var_Meth[[#This Row],[ignored_rand]],dict_zul_Var_Meth[ignored_rand])</f>
        <v>597</v>
      </c>
    </row>
    <row r="598" spans="1:5" x14ac:dyDescent="0.45">
      <c r="A598">
        <f ca="1">VLOOKUP(dict_zul_Var_Meth[[#This Row],[ignored_rank]],help_zuord_Var_Meth[],2)</f>
        <v>159</v>
      </c>
      <c r="B598">
        <v>617</v>
      </c>
      <c r="C5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8">
        <f ca="1">RAND()</f>
        <v>0.20411022311121108</v>
      </c>
      <c r="E598">
        <f ca="1">RANK(dict_zul_Var_Meth[[#This Row],[ignored_rand]],dict_zul_Var_Meth[ignored_rand])</f>
        <v>596</v>
      </c>
    </row>
    <row r="599" spans="1:5" x14ac:dyDescent="0.45">
      <c r="A599" s="3">
        <f ca="1">VLOOKUP(dict_zul_Var_Meth[[#This Row],[ignored_rank]],help_zuord_Var_Meth[],2)</f>
        <v>160</v>
      </c>
      <c r="B599">
        <v>5</v>
      </c>
      <c r="C5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599">
        <f ca="1">RAND()</f>
        <v>0.19453202985833784</v>
      </c>
      <c r="E599" s="3">
        <f ca="1">RANK(dict_zul_Var_Meth[[#This Row],[ignored_rand]],dict_zul_Var_Meth[ignored_rand])</f>
        <v>603</v>
      </c>
    </row>
    <row r="600" spans="1:5" x14ac:dyDescent="0.45">
      <c r="A600">
        <f ca="1">VLOOKUP(dict_zul_Var_Meth[[#This Row],[ignored_rank]],help_zuord_Var_Meth[],2)</f>
        <v>160</v>
      </c>
      <c r="B600">
        <v>452</v>
      </c>
      <c r="C6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0">
        <f ca="1">RAND()</f>
        <v>0.2005446259638487</v>
      </c>
      <c r="E600">
        <f ca="1">RANK(dict_zul_Var_Meth[[#This Row],[ignored_rand]],dict_zul_Var_Meth[ignored_rand])</f>
        <v>599</v>
      </c>
    </row>
    <row r="601" spans="1:5" x14ac:dyDescent="0.45">
      <c r="A601">
        <f ca="1">VLOOKUP(dict_zul_Var_Meth[[#This Row],[ignored_rank]],help_zuord_Var_Meth[],2)</f>
        <v>160</v>
      </c>
      <c r="B601">
        <v>67</v>
      </c>
      <c r="C6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1">
        <f ca="1">RAND()</f>
        <v>0.19804266170094076</v>
      </c>
      <c r="E601">
        <f ca="1">RANK(dict_zul_Var_Meth[[#This Row],[ignored_rand]],dict_zul_Var_Meth[ignored_rand])</f>
        <v>600</v>
      </c>
    </row>
    <row r="602" spans="1:5" x14ac:dyDescent="0.45">
      <c r="A602">
        <f ca="1">VLOOKUP(dict_zul_Var_Meth[[#This Row],[ignored_rank]],help_zuord_Var_Meth[],2)</f>
        <v>160</v>
      </c>
      <c r="B602">
        <v>35</v>
      </c>
      <c r="C6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2">
        <f ca="1">RAND()</f>
        <v>0.20200571552287094</v>
      </c>
      <c r="E602">
        <f ca="1">RANK(dict_zul_Var_Meth[[#This Row],[ignored_rand]],dict_zul_Var_Meth[ignored_rand])</f>
        <v>598</v>
      </c>
    </row>
    <row r="603" spans="1:5" x14ac:dyDescent="0.45">
      <c r="A603">
        <f ca="1">VLOOKUP(dict_zul_Var_Meth[[#This Row],[ignored_rank]],help_zuord_Var_Meth[],2)</f>
        <v>160</v>
      </c>
      <c r="B603">
        <v>380</v>
      </c>
      <c r="C6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3">
        <f ca="1">RAND()</f>
        <v>0.19669685248376245</v>
      </c>
      <c r="E603">
        <f ca="1">RANK(dict_zul_Var_Meth[[#This Row],[ignored_rand]],dict_zul_Var_Meth[ignored_rand])</f>
        <v>602</v>
      </c>
    </row>
    <row r="604" spans="1:5" x14ac:dyDescent="0.45">
      <c r="A604">
        <f ca="1">VLOOKUP(dict_zul_Var_Meth[[#This Row],[ignored_rank]],help_zuord_Var_Meth[],2)</f>
        <v>160</v>
      </c>
      <c r="B604">
        <v>242</v>
      </c>
      <c r="C6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4">
        <f ca="1">RAND()</f>
        <v>0.19694392737386335</v>
      </c>
      <c r="E604">
        <f ca="1">RANK(dict_zul_Var_Meth[[#This Row],[ignored_rand]],dict_zul_Var_Meth[ignored_rand])</f>
        <v>601</v>
      </c>
    </row>
    <row r="605" spans="1:5" x14ac:dyDescent="0.45">
      <c r="A605" s="3">
        <f ca="1">VLOOKUP(dict_zul_Var_Meth[[#This Row],[ignored_rank]],help_zuord_Var_Meth[],2)</f>
        <v>161</v>
      </c>
      <c r="B605">
        <v>117</v>
      </c>
      <c r="C6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5">
        <f ca="1">RAND()</f>
        <v>0.19432494135759071</v>
      </c>
      <c r="E605" s="3">
        <f ca="1">RANK(dict_zul_Var_Meth[[#This Row],[ignored_rand]],dict_zul_Var_Meth[ignored_rand])</f>
        <v>604</v>
      </c>
    </row>
    <row r="606" spans="1:5" x14ac:dyDescent="0.45">
      <c r="A606" s="3">
        <f ca="1">VLOOKUP(dict_zul_Var_Meth[[#This Row],[ignored_rank]],help_zuord_Var_Meth[],2)</f>
        <v>161</v>
      </c>
      <c r="B606">
        <v>29</v>
      </c>
      <c r="C6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6">
        <f ca="1">RAND()</f>
        <v>0.19369588484056299</v>
      </c>
      <c r="E606" s="3">
        <f ca="1">RANK(dict_zul_Var_Meth[[#This Row],[ignored_rand]],dict_zul_Var_Meth[ignored_rand])</f>
        <v>605</v>
      </c>
    </row>
    <row r="607" spans="1:5" x14ac:dyDescent="0.45">
      <c r="A607">
        <f ca="1">VLOOKUP(dict_zul_Var_Meth[[#This Row],[ignored_rank]],help_zuord_Var_Meth[],2)</f>
        <v>162</v>
      </c>
      <c r="B607">
        <v>622</v>
      </c>
      <c r="C6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7">
        <f ca="1">RAND()</f>
        <v>0.19303440068020006</v>
      </c>
      <c r="E607">
        <f ca="1">RANK(dict_zul_Var_Meth[[#This Row],[ignored_rand]],dict_zul_Var_Meth[ignored_rand])</f>
        <v>606</v>
      </c>
    </row>
    <row r="608" spans="1:5" x14ac:dyDescent="0.45">
      <c r="A608">
        <f ca="1">VLOOKUP(dict_zul_Var_Meth[[#This Row],[ignored_rank]],help_zuord_Var_Meth[],2)</f>
        <v>162</v>
      </c>
      <c r="B608">
        <v>125</v>
      </c>
      <c r="C6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8">
        <f ca="1">RAND()</f>
        <v>0.18997464750204285</v>
      </c>
      <c r="E608">
        <f ca="1">RANK(dict_zul_Var_Meth[[#This Row],[ignored_rand]],dict_zul_Var_Meth[ignored_rand])</f>
        <v>607</v>
      </c>
    </row>
    <row r="609" spans="1:5" x14ac:dyDescent="0.45">
      <c r="A609">
        <f ca="1">VLOOKUP(dict_zul_Var_Meth[[#This Row],[ignored_rank]],help_zuord_Var_Meth[],2)</f>
        <v>162</v>
      </c>
      <c r="B609">
        <v>469</v>
      </c>
      <c r="C6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09">
        <f ca="1">RAND()</f>
        <v>0.18914985891808578</v>
      </c>
      <c r="E609">
        <f ca="1">RANK(dict_zul_Var_Meth[[#This Row],[ignored_rand]],dict_zul_Var_Meth[ignored_rand])</f>
        <v>608</v>
      </c>
    </row>
    <row r="610" spans="1:5" x14ac:dyDescent="0.45">
      <c r="A610" s="3">
        <f ca="1">VLOOKUP(dict_zul_Var_Meth[[#This Row],[ignored_rank]],help_zuord_Var_Meth[],2)</f>
        <v>163</v>
      </c>
      <c r="B610">
        <v>11</v>
      </c>
      <c r="C6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0">
        <f ca="1">RAND()</f>
        <v>0.18557189484057435</v>
      </c>
      <c r="E610" s="3">
        <f ca="1">RANK(dict_zul_Var_Meth[[#This Row],[ignored_rand]],dict_zul_Var_Meth[ignored_rand])</f>
        <v>609</v>
      </c>
    </row>
    <row r="611" spans="1:5" x14ac:dyDescent="0.45">
      <c r="A611">
        <f ca="1">VLOOKUP(dict_zul_Var_Meth[[#This Row],[ignored_rank]],help_zuord_Var_Meth[],2)</f>
        <v>163</v>
      </c>
      <c r="B611">
        <v>489</v>
      </c>
      <c r="C6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1">
        <f ca="1">RAND()</f>
        <v>0.18290417716599183</v>
      </c>
      <c r="E611">
        <f ca="1">RANK(dict_zul_Var_Meth[[#This Row],[ignored_rand]],dict_zul_Var_Meth[ignored_rand])</f>
        <v>612</v>
      </c>
    </row>
    <row r="612" spans="1:5" x14ac:dyDescent="0.45">
      <c r="A612">
        <f ca="1">VLOOKUP(dict_zul_Var_Meth[[#This Row],[ignored_rank]],help_zuord_Var_Meth[],2)</f>
        <v>163</v>
      </c>
      <c r="B612">
        <v>270</v>
      </c>
      <c r="C6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2">
        <f ca="1">RAND()</f>
        <v>0.18472464697466184</v>
      </c>
      <c r="E612">
        <f ca="1">RANK(dict_zul_Var_Meth[[#This Row],[ignored_rand]],dict_zul_Var_Meth[ignored_rand])</f>
        <v>611</v>
      </c>
    </row>
    <row r="613" spans="1:5" x14ac:dyDescent="0.45">
      <c r="A613">
        <f ca="1">VLOOKUP(dict_zul_Var_Meth[[#This Row],[ignored_rank]],help_zuord_Var_Meth[],2)</f>
        <v>163</v>
      </c>
      <c r="B613">
        <v>689</v>
      </c>
      <c r="C6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3">
        <f ca="1">RAND()</f>
        <v>0.18496397467553871</v>
      </c>
      <c r="E613">
        <f ca="1">RANK(dict_zul_Var_Meth[[#This Row],[ignored_rand]],dict_zul_Var_Meth[ignored_rand])</f>
        <v>610</v>
      </c>
    </row>
    <row r="614" spans="1:5" x14ac:dyDescent="0.45">
      <c r="A614">
        <f ca="1">VLOOKUP(dict_zul_Var_Meth[[#This Row],[ignored_rank]],help_zuord_Var_Meth[],2)</f>
        <v>163</v>
      </c>
      <c r="B614">
        <v>54</v>
      </c>
      <c r="C6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4">
        <f ca="1">RAND()</f>
        <v>0.18045685827822766</v>
      </c>
      <c r="E614">
        <f ca="1">RANK(dict_zul_Var_Meth[[#This Row],[ignored_rand]],dict_zul_Var_Meth[ignored_rand])</f>
        <v>613</v>
      </c>
    </row>
    <row r="615" spans="1:5" x14ac:dyDescent="0.45">
      <c r="A615">
        <f ca="1">VLOOKUP(dict_zul_Var_Meth[[#This Row],[ignored_rank]],help_zuord_Var_Meth[],2)</f>
        <v>164</v>
      </c>
      <c r="B615">
        <v>384</v>
      </c>
      <c r="C6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5">
        <f ca="1">RAND()</f>
        <v>0.17977931210048603</v>
      </c>
      <c r="E615">
        <f ca="1">RANK(dict_zul_Var_Meth[[#This Row],[ignored_rand]],dict_zul_Var_Meth[ignored_rand])</f>
        <v>615</v>
      </c>
    </row>
    <row r="616" spans="1:5" x14ac:dyDescent="0.45">
      <c r="A616">
        <f ca="1">VLOOKUP(dict_zul_Var_Meth[[#This Row],[ignored_rank]],help_zuord_Var_Meth[],2)</f>
        <v>164</v>
      </c>
      <c r="B616">
        <v>311</v>
      </c>
      <c r="C6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6">
        <f ca="1">RAND()</f>
        <v>0.1783052887747526</v>
      </c>
      <c r="E616">
        <f ca="1">RANK(dict_zul_Var_Meth[[#This Row],[ignored_rand]],dict_zul_Var_Meth[ignored_rand])</f>
        <v>617</v>
      </c>
    </row>
    <row r="617" spans="1:5" x14ac:dyDescent="0.45">
      <c r="A617">
        <f ca="1">VLOOKUP(dict_zul_Var_Meth[[#This Row],[ignored_rank]],help_zuord_Var_Meth[],2)</f>
        <v>164</v>
      </c>
      <c r="B617">
        <v>37</v>
      </c>
      <c r="C6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7">
        <f ca="1">RAND()</f>
        <v>0.17721578608795274</v>
      </c>
      <c r="E617">
        <f ca="1">RANK(dict_zul_Var_Meth[[#This Row],[ignored_rand]],dict_zul_Var_Meth[ignored_rand])</f>
        <v>618</v>
      </c>
    </row>
    <row r="618" spans="1:5" x14ac:dyDescent="0.45">
      <c r="A618">
        <f ca="1">VLOOKUP(dict_zul_Var_Meth[[#This Row],[ignored_rank]],help_zuord_Var_Meth[],2)</f>
        <v>164</v>
      </c>
      <c r="B618">
        <v>466</v>
      </c>
      <c r="C6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8">
        <f ca="1">RAND()</f>
        <v>0.17845881869740954</v>
      </c>
      <c r="E618">
        <f ca="1">RANK(dict_zul_Var_Meth[[#This Row],[ignored_rand]],dict_zul_Var_Meth[ignored_rand])</f>
        <v>616</v>
      </c>
    </row>
    <row r="619" spans="1:5" x14ac:dyDescent="0.45">
      <c r="A619">
        <f ca="1">VLOOKUP(dict_zul_Var_Meth[[#This Row],[ignored_rank]],help_zuord_Var_Meth[],2)</f>
        <v>164</v>
      </c>
      <c r="B619">
        <v>426</v>
      </c>
      <c r="C6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19">
        <f ca="1">RAND()</f>
        <v>0.18031844887801074</v>
      </c>
      <c r="E619">
        <f ca="1">RANK(dict_zul_Var_Meth[[#This Row],[ignored_rand]],dict_zul_Var_Meth[ignored_rand])</f>
        <v>614</v>
      </c>
    </row>
    <row r="620" spans="1:5" x14ac:dyDescent="0.45">
      <c r="A620">
        <f ca="1">VLOOKUP(dict_zul_Var_Meth[[#This Row],[ignored_rank]],help_zuord_Var_Meth[],2)</f>
        <v>165</v>
      </c>
      <c r="B620">
        <v>171</v>
      </c>
      <c r="C6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0">
        <f ca="1">RAND()</f>
        <v>0.17216873058019366</v>
      </c>
      <c r="E620">
        <f ca="1">RANK(dict_zul_Var_Meth[[#This Row],[ignored_rand]],dict_zul_Var_Meth[ignored_rand])</f>
        <v>621</v>
      </c>
    </row>
    <row r="621" spans="1:5" x14ac:dyDescent="0.45">
      <c r="A621" s="3">
        <f ca="1">VLOOKUP(dict_zul_Var_Meth[[#This Row],[ignored_rank]],help_zuord_Var_Meth[],2)</f>
        <v>165</v>
      </c>
      <c r="B621">
        <v>200</v>
      </c>
      <c r="C6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1">
        <f ca="1">RAND()</f>
        <v>0.17233495498595941</v>
      </c>
      <c r="E621" s="3">
        <f ca="1">RANK(dict_zul_Var_Meth[[#This Row],[ignored_rand]],dict_zul_Var_Meth[ignored_rand])</f>
        <v>620</v>
      </c>
    </row>
    <row r="622" spans="1:5" x14ac:dyDescent="0.45">
      <c r="A622">
        <f ca="1">VLOOKUP(dict_zul_Var_Meth[[#This Row],[ignored_rank]],help_zuord_Var_Meth[],2)</f>
        <v>165</v>
      </c>
      <c r="B622">
        <v>337</v>
      </c>
      <c r="C6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2">
        <f ca="1">RAND()</f>
        <v>0.17668810956838343</v>
      </c>
      <c r="E622">
        <f ca="1">RANK(dict_zul_Var_Meth[[#This Row],[ignored_rand]],dict_zul_Var_Meth[ignored_rand])</f>
        <v>619</v>
      </c>
    </row>
    <row r="623" spans="1:5" x14ac:dyDescent="0.45">
      <c r="A623">
        <f ca="1">VLOOKUP(dict_zul_Var_Meth[[#This Row],[ignored_rank]],help_zuord_Var_Meth[],2)</f>
        <v>166</v>
      </c>
      <c r="B623">
        <v>229</v>
      </c>
      <c r="C6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3">
        <f ca="1">RAND()</f>
        <v>0.16858001428810621</v>
      </c>
      <c r="E623">
        <f ca="1">RANK(dict_zul_Var_Meth[[#This Row],[ignored_rand]],dict_zul_Var_Meth[ignored_rand])</f>
        <v>623</v>
      </c>
    </row>
    <row r="624" spans="1:5" x14ac:dyDescent="0.45">
      <c r="A624">
        <f ca="1">VLOOKUP(dict_zul_Var_Meth[[#This Row],[ignored_rank]],help_zuord_Var_Meth[],2)</f>
        <v>166</v>
      </c>
      <c r="B624">
        <v>390</v>
      </c>
      <c r="C6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4">
        <f ca="1">RAND()</f>
        <v>0.17127076149328824</v>
      </c>
      <c r="E624">
        <f ca="1">RANK(dict_zul_Var_Meth[[#This Row],[ignored_rand]],dict_zul_Var_Meth[ignored_rand])</f>
        <v>622</v>
      </c>
    </row>
    <row r="625" spans="1:5" x14ac:dyDescent="0.45">
      <c r="A625">
        <f ca="1">VLOOKUP(dict_zul_Var_Meth[[#This Row],[ignored_rank]],help_zuord_Var_Meth[],2)</f>
        <v>166</v>
      </c>
      <c r="B625">
        <v>473</v>
      </c>
      <c r="C6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5">
        <f ca="1">RAND()</f>
        <v>0.16525507811003814</v>
      </c>
      <c r="E625">
        <f ca="1">RANK(dict_zul_Var_Meth[[#This Row],[ignored_rand]],dict_zul_Var_Meth[ignored_rand])</f>
        <v>624</v>
      </c>
    </row>
    <row r="626" spans="1:5" x14ac:dyDescent="0.45">
      <c r="A626">
        <f ca="1">VLOOKUP(dict_zul_Var_Meth[[#This Row],[ignored_rank]],help_zuord_Var_Meth[],2)</f>
        <v>167</v>
      </c>
      <c r="B626">
        <v>204</v>
      </c>
      <c r="C6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6">
        <f ca="1">RAND()</f>
        <v>0.16387718920454253</v>
      </c>
      <c r="E626">
        <f ca="1">RANK(dict_zul_Var_Meth[[#This Row],[ignored_rand]],dict_zul_Var_Meth[ignored_rand])</f>
        <v>626</v>
      </c>
    </row>
    <row r="627" spans="1:5" x14ac:dyDescent="0.45">
      <c r="A627">
        <f ca="1">VLOOKUP(dict_zul_Var_Meth[[#This Row],[ignored_rank]],help_zuord_Var_Meth[],2)</f>
        <v>167</v>
      </c>
      <c r="B627">
        <v>313</v>
      </c>
      <c r="C6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7">
        <f ca="1">RAND()</f>
        <v>0.16197275247863507</v>
      </c>
      <c r="E627">
        <f ca="1">RANK(dict_zul_Var_Meth[[#This Row],[ignored_rand]],dict_zul_Var_Meth[ignored_rand])</f>
        <v>627</v>
      </c>
    </row>
    <row r="628" spans="1:5" x14ac:dyDescent="0.45">
      <c r="A628" s="3">
        <f ca="1">VLOOKUP(dict_zul_Var_Meth[[#This Row],[ignored_rank]],help_zuord_Var_Meth[],2)</f>
        <v>167</v>
      </c>
      <c r="B628">
        <v>375</v>
      </c>
      <c r="C6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8">
        <f ca="1">RAND()</f>
        <v>0.16491866536810473</v>
      </c>
      <c r="E628" s="3">
        <f ca="1">RANK(dict_zul_Var_Meth[[#This Row],[ignored_rand]],dict_zul_Var_Meth[ignored_rand])</f>
        <v>625</v>
      </c>
    </row>
    <row r="629" spans="1:5" x14ac:dyDescent="0.45">
      <c r="A629">
        <f ca="1">VLOOKUP(dict_zul_Var_Meth[[#This Row],[ignored_rank]],help_zuord_Var_Meth[],2)</f>
        <v>168</v>
      </c>
      <c r="B629">
        <v>288</v>
      </c>
      <c r="C6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29">
        <f ca="1">RAND()</f>
        <v>0.15881222376174531</v>
      </c>
      <c r="E629">
        <f ca="1">RANK(dict_zul_Var_Meth[[#This Row],[ignored_rand]],dict_zul_Var_Meth[ignored_rand])</f>
        <v>630</v>
      </c>
    </row>
    <row r="630" spans="1:5" x14ac:dyDescent="0.45">
      <c r="A630">
        <f ca="1">VLOOKUP(dict_zul_Var_Meth[[#This Row],[ignored_rank]],help_zuord_Var_Meth[],2)</f>
        <v>168</v>
      </c>
      <c r="B630">
        <v>505</v>
      </c>
      <c r="C6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0">
        <f ca="1">RAND()</f>
        <v>0.15920109379725345</v>
      </c>
      <c r="E630">
        <f ca="1">RANK(dict_zul_Var_Meth[[#This Row],[ignored_rand]],dict_zul_Var_Meth[ignored_rand])</f>
        <v>629</v>
      </c>
    </row>
    <row r="631" spans="1:5" x14ac:dyDescent="0.45">
      <c r="A631">
        <f ca="1">VLOOKUP(dict_zul_Var_Meth[[#This Row],[ignored_rank]],help_zuord_Var_Meth[],2)</f>
        <v>168</v>
      </c>
      <c r="B631">
        <v>355</v>
      </c>
      <c r="C6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1">
        <f ca="1">RAND()</f>
        <v>0.16075212744857237</v>
      </c>
      <c r="E631">
        <f ca="1">RANK(dict_zul_Var_Meth[[#This Row],[ignored_rand]],dict_zul_Var_Meth[ignored_rand])</f>
        <v>628</v>
      </c>
    </row>
    <row r="632" spans="1:5" x14ac:dyDescent="0.45">
      <c r="A632">
        <f ca="1">VLOOKUP(dict_zul_Var_Meth[[#This Row],[ignored_rank]],help_zuord_Var_Meth[],2)</f>
        <v>168</v>
      </c>
      <c r="B632">
        <v>33</v>
      </c>
      <c r="C6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2">
        <f ca="1">RAND()</f>
        <v>0.15825044767562302</v>
      </c>
      <c r="E632">
        <f ca="1">RANK(dict_zul_Var_Meth[[#This Row],[ignored_rand]],dict_zul_Var_Meth[ignored_rand])</f>
        <v>631</v>
      </c>
    </row>
    <row r="633" spans="1:5" x14ac:dyDescent="0.45">
      <c r="A633">
        <f ca="1">VLOOKUP(dict_zul_Var_Meth[[#This Row],[ignored_rank]],help_zuord_Var_Meth[],2)</f>
        <v>169</v>
      </c>
      <c r="B633">
        <v>312</v>
      </c>
      <c r="C6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3">
        <f ca="1">RAND()</f>
        <v>0.15436081565945392</v>
      </c>
      <c r="E633">
        <f ca="1">RANK(dict_zul_Var_Meth[[#This Row],[ignored_rand]],dict_zul_Var_Meth[ignored_rand])</f>
        <v>634</v>
      </c>
    </row>
    <row r="634" spans="1:5" x14ac:dyDescent="0.45">
      <c r="A634">
        <f ca="1">VLOOKUP(dict_zul_Var_Meth[[#This Row],[ignored_rank]],help_zuord_Var_Meth[],2)</f>
        <v>169</v>
      </c>
      <c r="B634">
        <v>104</v>
      </c>
      <c r="C6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4">
        <f ca="1">RAND()</f>
        <v>0.15705744414914602</v>
      </c>
      <c r="E634">
        <f ca="1">RANK(dict_zul_Var_Meth[[#This Row],[ignored_rand]],dict_zul_Var_Meth[ignored_rand])</f>
        <v>632</v>
      </c>
    </row>
    <row r="635" spans="1:5" x14ac:dyDescent="0.45">
      <c r="A635">
        <f ca="1">VLOOKUP(dict_zul_Var_Meth[[#This Row],[ignored_rank]],help_zuord_Var_Meth[],2)</f>
        <v>169</v>
      </c>
      <c r="B635">
        <v>297</v>
      </c>
      <c r="C6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5">
        <f ca="1">RAND()</f>
        <v>0.14868292417762607</v>
      </c>
      <c r="E635">
        <f ca="1">RANK(dict_zul_Var_Meth[[#This Row],[ignored_rand]],dict_zul_Var_Meth[ignored_rand])</f>
        <v>635</v>
      </c>
    </row>
    <row r="636" spans="1:5" x14ac:dyDescent="0.45">
      <c r="A636">
        <f ca="1">VLOOKUP(dict_zul_Var_Meth[[#This Row],[ignored_rank]],help_zuord_Var_Meth[],2)</f>
        <v>169</v>
      </c>
      <c r="B636">
        <v>31</v>
      </c>
      <c r="C6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6">
        <f ca="1">RAND()</f>
        <v>0.1559048993131763</v>
      </c>
      <c r="E636">
        <f ca="1">RANK(dict_zul_Var_Meth[[#This Row],[ignored_rand]],dict_zul_Var_Meth[ignored_rand])</f>
        <v>633</v>
      </c>
    </row>
    <row r="637" spans="1:5" x14ac:dyDescent="0.45">
      <c r="A637">
        <f ca="1">VLOOKUP(dict_zul_Var_Meth[[#This Row],[ignored_rank]],help_zuord_Var_Meth[],2)</f>
        <v>170</v>
      </c>
      <c r="B637">
        <v>191</v>
      </c>
      <c r="C6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7">
        <f ca="1">RAND()</f>
        <v>0.14740601609595594</v>
      </c>
      <c r="E637">
        <f ca="1">RANK(dict_zul_Var_Meth[[#This Row],[ignored_rand]],dict_zul_Var_Meth[ignored_rand])</f>
        <v>638</v>
      </c>
    </row>
    <row r="638" spans="1:5" x14ac:dyDescent="0.45">
      <c r="A638">
        <f ca="1">VLOOKUP(dict_zul_Var_Meth[[#This Row],[ignored_rank]],help_zuord_Var_Meth[],2)</f>
        <v>170</v>
      </c>
      <c r="B638">
        <v>429</v>
      </c>
      <c r="C6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8">
        <f ca="1">RAND()</f>
        <v>0.1482809180038519</v>
      </c>
      <c r="E638">
        <f ca="1">RANK(dict_zul_Var_Meth[[#This Row],[ignored_rand]],dict_zul_Var_Meth[ignored_rand])</f>
        <v>637</v>
      </c>
    </row>
    <row r="639" spans="1:5" x14ac:dyDescent="0.45">
      <c r="A639">
        <f ca="1">VLOOKUP(dict_zul_Var_Meth[[#This Row],[ignored_rank]],help_zuord_Var_Meth[],2)</f>
        <v>170</v>
      </c>
      <c r="B639">
        <v>364</v>
      </c>
      <c r="C6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39">
        <f ca="1">RAND()</f>
        <v>0.14387788448945793</v>
      </c>
      <c r="E639">
        <f ca="1">RANK(dict_zul_Var_Meth[[#This Row],[ignored_rand]],dict_zul_Var_Meth[ignored_rand])</f>
        <v>640</v>
      </c>
    </row>
    <row r="640" spans="1:5" x14ac:dyDescent="0.45">
      <c r="A640">
        <f ca="1">VLOOKUP(dict_zul_Var_Meth[[#This Row],[ignored_rank]],help_zuord_Var_Meth[],2)</f>
        <v>170</v>
      </c>
      <c r="B640">
        <v>15</v>
      </c>
      <c r="C6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0">
        <f ca="1">RAND()</f>
        <v>0.14694062740545499</v>
      </c>
      <c r="E640">
        <f ca="1">RANK(dict_zul_Var_Meth[[#This Row],[ignored_rand]],dict_zul_Var_Meth[ignored_rand])</f>
        <v>639</v>
      </c>
    </row>
    <row r="641" spans="1:5" x14ac:dyDescent="0.45">
      <c r="A641">
        <f ca="1">VLOOKUP(dict_zul_Var_Meth[[#This Row],[ignored_rank]],help_zuord_Var_Meth[],2)</f>
        <v>170</v>
      </c>
      <c r="B641">
        <v>686</v>
      </c>
      <c r="C6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1">
        <f ca="1">RAND()</f>
        <v>0.14853129493177297</v>
      </c>
      <c r="E641">
        <f ca="1">RANK(dict_zul_Var_Meth[[#This Row],[ignored_rand]],dict_zul_Var_Meth[ignored_rand])</f>
        <v>636</v>
      </c>
    </row>
    <row r="642" spans="1:5" x14ac:dyDescent="0.45">
      <c r="A642">
        <f ca="1">VLOOKUP(dict_zul_Var_Meth[[#This Row],[ignored_rank]],help_zuord_Var_Meth[],2)</f>
        <v>171</v>
      </c>
      <c r="B642">
        <v>245</v>
      </c>
      <c r="C6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2">
        <f ca="1">RAND()</f>
        <v>0.14034437544068956</v>
      </c>
      <c r="E642">
        <f ca="1">RANK(dict_zul_Var_Meth[[#This Row],[ignored_rand]],dict_zul_Var_Meth[ignored_rand])</f>
        <v>643</v>
      </c>
    </row>
    <row r="643" spans="1:5" x14ac:dyDescent="0.45">
      <c r="A643">
        <f ca="1">VLOOKUP(dict_zul_Var_Meth[[#This Row],[ignored_rank]],help_zuord_Var_Meth[],2)</f>
        <v>171</v>
      </c>
      <c r="B643">
        <v>45</v>
      </c>
      <c r="C6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3">
        <f ca="1">RAND()</f>
        <v>0.14376867828443962</v>
      </c>
      <c r="E643">
        <f ca="1">RANK(dict_zul_Var_Meth[[#This Row],[ignored_rand]],dict_zul_Var_Meth[ignored_rand])</f>
        <v>641</v>
      </c>
    </row>
    <row r="644" spans="1:5" x14ac:dyDescent="0.45">
      <c r="A644">
        <f ca="1">VLOOKUP(dict_zul_Var_Meth[[#This Row],[ignored_rank]],help_zuord_Var_Meth[],2)</f>
        <v>171</v>
      </c>
      <c r="B644">
        <v>614</v>
      </c>
      <c r="C6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4">
        <f ca="1">RAND()</f>
        <v>0.14303463550527051</v>
      </c>
      <c r="E644">
        <f ca="1">RANK(dict_zul_Var_Meth[[#This Row],[ignored_rand]],dict_zul_Var_Meth[ignored_rand])</f>
        <v>642</v>
      </c>
    </row>
    <row r="645" spans="1:5" x14ac:dyDescent="0.45">
      <c r="A645">
        <f ca="1">VLOOKUP(dict_zul_Var_Meth[[#This Row],[ignored_rank]],help_zuord_Var_Meth[],2)</f>
        <v>172</v>
      </c>
      <c r="B645">
        <v>109</v>
      </c>
      <c r="C6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5">
        <f ca="1">RAND()</f>
        <v>0.13906419642058476</v>
      </c>
      <c r="E645">
        <f ca="1">RANK(dict_zul_Var_Meth[[#This Row],[ignored_rand]],dict_zul_Var_Meth[ignored_rand])</f>
        <v>645</v>
      </c>
    </row>
    <row r="646" spans="1:5" x14ac:dyDescent="0.45">
      <c r="A646">
        <f ca="1">VLOOKUP(dict_zul_Var_Meth[[#This Row],[ignored_rank]],help_zuord_Var_Meth[],2)</f>
        <v>172</v>
      </c>
      <c r="B646">
        <v>306</v>
      </c>
      <c r="C6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6">
        <f ca="1">RAND()</f>
        <v>0.13878411998912576</v>
      </c>
      <c r="E646">
        <f ca="1">RANK(dict_zul_Var_Meth[[#This Row],[ignored_rand]],dict_zul_Var_Meth[ignored_rand])</f>
        <v>646</v>
      </c>
    </row>
    <row r="647" spans="1:5" x14ac:dyDescent="0.45">
      <c r="A647">
        <f ca="1">VLOOKUP(dict_zul_Var_Meth[[#This Row],[ignored_rank]],help_zuord_Var_Meth[],2)</f>
        <v>172</v>
      </c>
      <c r="B647">
        <v>571</v>
      </c>
      <c r="C6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7">
        <f ca="1">RAND()</f>
        <v>0.13997117619510802</v>
      </c>
      <c r="E647">
        <f ca="1">RANK(dict_zul_Var_Meth[[#This Row],[ignored_rand]],dict_zul_Var_Meth[ignored_rand])</f>
        <v>644</v>
      </c>
    </row>
    <row r="648" spans="1:5" x14ac:dyDescent="0.45">
      <c r="A648" s="3">
        <f ca="1">VLOOKUP(dict_zul_Var_Meth[[#This Row],[ignored_rank]],help_zuord_Var_Meth[],2)</f>
        <v>172</v>
      </c>
      <c r="B648">
        <v>578</v>
      </c>
      <c r="C6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8">
        <f ca="1">RAND()</f>
        <v>0.13783564535100012</v>
      </c>
      <c r="E648" s="3">
        <f ca="1">RANK(dict_zul_Var_Meth[[#This Row],[ignored_rand]],dict_zul_Var_Meth[ignored_rand])</f>
        <v>647</v>
      </c>
    </row>
    <row r="649" spans="1:5" x14ac:dyDescent="0.45">
      <c r="A649">
        <f ca="1">VLOOKUP(dict_zul_Var_Meth[[#This Row],[ignored_rank]],help_zuord_Var_Meth[],2)</f>
        <v>173</v>
      </c>
      <c r="B649">
        <v>363</v>
      </c>
      <c r="C6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49">
        <f ca="1">RAND()</f>
        <v>0.13343729815670335</v>
      </c>
      <c r="E649">
        <f ca="1">RANK(dict_zul_Var_Meth[[#This Row],[ignored_rand]],dict_zul_Var_Meth[ignored_rand])</f>
        <v>648</v>
      </c>
    </row>
    <row r="650" spans="1:5" x14ac:dyDescent="0.45">
      <c r="A650">
        <f ca="1">VLOOKUP(dict_zul_Var_Meth[[#This Row],[ignored_rank]],help_zuord_Var_Meth[],2)</f>
        <v>173</v>
      </c>
      <c r="B650">
        <v>459</v>
      </c>
      <c r="C6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0">
        <f ca="1">RAND()</f>
        <v>0.13343425413016019</v>
      </c>
      <c r="E650">
        <f ca="1">RANK(dict_zul_Var_Meth[[#This Row],[ignored_rand]],dict_zul_Var_Meth[ignored_rand])</f>
        <v>649</v>
      </c>
    </row>
    <row r="651" spans="1:5" x14ac:dyDescent="0.45">
      <c r="A651">
        <f ca="1">VLOOKUP(dict_zul_Var_Meth[[#This Row],[ignored_rank]],help_zuord_Var_Meth[],2)</f>
        <v>173</v>
      </c>
      <c r="B651">
        <v>214</v>
      </c>
      <c r="C6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1">
        <f ca="1">RAND()</f>
        <v>0.13220278294107335</v>
      </c>
      <c r="E651">
        <f ca="1">RANK(dict_zul_Var_Meth[[#This Row],[ignored_rand]],dict_zul_Var_Meth[ignored_rand])</f>
        <v>650</v>
      </c>
    </row>
    <row r="652" spans="1:5" x14ac:dyDescent="0.45">
      <c r="A652">
        <f ca="1">VLOOKUP(dict_zul_Var_Meth[[#This Row],[ignored_rank]],help_zuord_Var_Meth[],2)</f>
        <v>174</v>
      </c>
      <c r="B652">
        <v>518</v>
      </c>
      <c r="C6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2">
        <f ca="1">RAND()</f>
        <v>0.12956543504511997</v>
      </c>
      <c r="E652">
        <f ca="1">RANK(dict_zul_Var_Meth[[#This Row],[ignored_rand]],dict_zul_Var_Meth[ignored_rand])</f>
        <v>652</v>
      </c>
    </row>
    <row r="653" spans="1:5" x14ac:dyDescent="0.45">
      <c r="A653" s="3">
        <f ca="1">VLOOKUP(dict_zul_Var_Meth[[#This Row],[ignored_rank]],help_zuord_Var_Meth[],2)</f>
        <v>174</v>
      </c>
      <c r="B653">
        <v>534</v>
      </c>
      <c r="C6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3">
        <f ca="1">RAND()</f>
        <v>0.12676009082963968</v>
      </c>
      <c r="E653" s="3">
        <f ca="1">RANK(dict_zul_Var_Meth[[#This Row],[ignored_rand]],dict_zul_Var_Meth[ignored_rand])</f>
        <v>653</v>
      </c>
    </row>
    <row r="654" spans="1:5" x14ac:dyDescent="0.45">
      <c r="A654">
        <f ca="1">VLOOKUP(dict_zul_Var_Meth[[#This Row],[ignored_rank]],help_zuord_Var_Meth[],2)</f>
        <v>174</v>
      </c>
      <c r="B654">
        <v>222</v>
      </c>
      <c r="C6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4">
        <f ca="1">RAND()</f>
        <v>0.13197509297666599</v>
      </c>
      <c r="E654">
        <f ca="1">RANK(dict_zul_Var_Meth[[#This Row],[ignored_rand]],dict_zul_Var_Meth[ignored_rand])</f>
        <v>651</v>
      </c>
    </row>
    <row r="655" spans="1:5" x14ac:dyDescent="0.45">
      <c r="A655">
        <f ca="1">VLOOKUP(dict_zul_Var_Meth[[#This Row],[ignored_rank]],help_zuord_Var_Meth[],2)</f>
        <v>174</v>
      </c>
      <c r="B655">
        <v>514</v>
      </c>
      <c r="C6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5">
        <f ca="1">RAND()</f>
        <v>0.1255451608789917</v>
      </c>
      <c r="E655">
        <f ca="1">RANK(dict_zul_Var_Meth[[#This Row],[ignored_rand]],dict_zul_Var_Meth[ignored_rand])</f>
        <v>654</v>
      </c>
    </row>
    <row r="656" spans="1:5" x14ac:dyDescent="0.45">
      <c r="A656">
        <f ca="1">VLOOKUP(dict_zul_Var_Meth[[#This Row],[ignored_rank]],help_zuord_Var_Meth[],2)</f>
        <v>174</v>
      </c>
      <c r="B656">
        <v>457</v>
      </c>
      <c r="C6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6">
        <f ca="1">RAND()</f>
        <v>0.12467630098226989</v>
      </c>
      <c r="E656">
        <f ca="1">RANK(dict_zul_Var_Meth[[#This Row],[ignored_rand]],dict_zul_Var_Meth[ignored_rand])</f>
        <v>655</v>
      </c>
    </row>
    <row r="657" spans="1:5" x14ac:dyDescent="0.45">
      <c r="A657">
        <f ca="1">VLOOKUP(dict_zul_Var_Meth[[#This Row],[ignored_rank]],help_zuord_Var_Meth[],2)</f>
        <v>175</v>
      </c>
      <c r="B657">
        <v>172</v>
      </c>
      <c r="C6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7">
        <f ca="1">RAND()</f>
        <v>0.12253814320098855</v>
      </c>
      <c r="E657">
        <f ca="1">RANK(dict_zul_Var_Meth[[#This Row],[ignored_rand]],dict_zul_Var_Meth[ignored_rand])</f>
        <v>658</v>
      </c>
    </row>
    <row r="658" spans="1:5" x14ac:dyDescent="0.45">
      <c r="A658">
        <f ca="1">VLOOKUP(dict_zul_Var_Meth[[#This Row],[ignored_rank]],help_zuord_Var_Meth[],2)</f>
        <v>175</v>
      </c>
      <c r="B658">
        <v>34</v>
      </c>
      <c r="C6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8">
        <f ca="1">RAND()</f>
        <v>0.12447473026767586</v>
      </c>
      <c r="E658">
        <f ca="1">RANK(dict_zul_Var_Meth[[#This Row],[ignored_rand]],dict_zul_Var_Meth[ignored_rand])</f>
        <v>656</v>
      </c>
    </row>
    <row r="659" spans="1:5" x14ac:dyDescent="0.45">
      <c r="A659">
        <f ca="1">VLOOKUP(dict_zul_Var_Meth[[#This Row],[ignored_rank]],help_zuord_Var_Meth[],2)</f>
        <v>175</v>
      </c>
      <c r="B659">
        <v>300</v>
      </c>
      <c r="C6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59">
        <f ca="1">RAND()</f>
        <v>0.1242295699582241</v>
      </c>
      <c r="E659">
        <f ca="1">RANK(dict_zul_Var_Meth[[#This Row],[ignored_rand]],dict_zul_Var_Meth[ignored_rand])</f>
        <v>657</v>
      </c>
    </row>
    <row r="660" spans="1:5" x14ac:dyDescent="0.45">
      <c r="A660">
        <f ca="1">VLOOKUP(dict_zul_Var_Meth[[#This Row],[ignored_rank]],help_zuord_Var_Meth[],2)</f>
        <v>175</v>
      </c>
      <c r="B660">
        <v>477</v>
      </c>
      <c r="C6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0">
        <f ca="1">RAND()</f>
        <v>0.12100197288180925</v>
      </c>
      <c r="E660">
        <f ca="1">RANK(dict_zul_Var_Meth[[#This Row],[ignored_rand]],dict_zul_Var_Meth[ignored_rand])</f>
        <v>659</v>
      </c>
    </row>
    <row r="661" spans="1:5" x14ac:dyDescent="0.45">
      <c r="A661" s="3">
        <f ca="1">VLOOKUP(dict_zul_Var_Meth[[#This Row],[ignored_rank]],help_zuord_Var_Meth[],2)</f>
        <v>176</v>
      </c>
      <c r="B661">
        <v>327</v>
      </c>
      <c r="C6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1">
        <f ca="1">RAND()</f>
        <v>0.1209522713929273</v>
      </c>
      <c r="E661" s="3">
        <f ca="1">RANK(dict_zul_Var_Meth[[#This Row],[ignored_rand]],dict_zul_Var_Meth[ignored_rand])</f>
        <v>660</v>
      </c>
    </row>
    <row r="662" spans="1:5" x14ac:dyDescent="0.45">
      <c r="A662">
        <f ca="1">VLOOKUP(dict_zul_Var_Meth[[#This Row],[ignored_rank]],help_zuord_Var_Meth[],2)</f>
        <v>177</v>
      </c>
      <c r="B662">
        <v>621</v>
      </c>
      <c r="C66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2">
        <f ca="1">RAND()</f>
        <v>0.11642766961447837</v>
      </c>
      <c r="E662">
        <f ca="1">RANK(dict_zul_Var_Meth[[#This Row],[ignored_rand]],dict_zul_Var_Meth[ignored_rand])</f>
        <v>666</v>
      </c>
    </row>
    <row r="663" spans="1:5" x14ac:dyDescent="0.45">
      <c r="A663">
        <f ca="1">VLOOKUP(dict_zul_Var_Meth[[#This Row],[ignored_rank]],help_zuord_Var_Meth[],2)</f>
        <v>177</v>
      </c>
      <c r="B663">
        <v>538</v>
      </c>
      <c r="C66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3">
        <f ca="1">RAND()</f>
        <v>0.12048721909443416</v>
      </c>
      <c r="E663">
        <f ca="1">RANK(dict_zul_Var_Meth[[#This Row],[ignored_rand]],dict_zul_Var_Meth[ignored_rand])</f>
        <v>661</v>
      </c>
    </row>
    <row r="664" spans="1:5" x14ac:dyDescent="0.45">
      <c r="A664">
        <f ca="1">VLOOKUP(dict_zul_Var_Meth[[#This Row],[ignored_rank]],help_zuord_Var_Meth[],2)</f>
        <v>177</v>
      </c>
      <c r="B664">
        <v>197</v>
      </c>
      <c r="C66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4">
        <f ca="1">RAND()</f>
        <v>0.11722065792716974</v>
      </c>
      <c r="E664">
        <f ca="1">RANK(dict_zul_Var_Meth[[#This Row],[ignored_rand]],dict_zul_Var_Meth[ignored_rand])</f>
        <v>664</v>
      </c>
    </row>
    <row r="665" spans="1:5" x14ac:dyDescent="0.45">
      <c r="A665">
        <f ca="1">VLOOKUP(dict_zul_Var_Meth[[#This Row],[ignored_rank]],help_zuord_Var_Meth[],2)</f>
        <v>177</v>
      </c>
      <c r="B665">
        <v>217</v>
      </c>
      <c r="C66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5">
        <f ca="1">RAND()</f>
        <v>0.11718119878989408</v>
      </c>
      <c r="E665">
        <f ca="1">RANK(dict_zul_Var_Meth[[#This Row],[ignored_rand]],dict_zul_Var_Meth[ignored_rand])</f>
        <v>665</v>
      </c>
    </row>
    <row r="666" spans="1:5" x14ac:dyDescent="0.45">
      <c r="A666">
        <f ca="1">VLOOKUP(dict_zul_Var_Meth[[#This Row],[ignored_rank]],help_zuord_Var_Meth[],2)</f>
        <v>177</v>
      </c>
      <c r="B666">
        <v>685</v>
      </c>
      <c r="C66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6">
        <f ca="1">RAND()</f>
        <v>0.11821969289360623</v>
      </c>
      <c r="E666">
        <f ca="1">RANK(dict_zul_Var_Meth[[#This Row],[ignored_rand]],dict_zul_Var_Meth[ignored_rand])</f>
        <v>663</v>
      </c>
    </row>
    <row r="667" spans="1:5" x14ac:dyDescent="0.45">
      <c r="A667">
        <f ca="1">VLOOKUP(dict_zul_Var_Meth[[#This Row],[ignored_rank]],help_zuord_Var_Meth[],2)</f>
        <v>177</v>
      </c>
      <c r="B667">
        <v>465</v>
      </c>
      <c r="C66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7">
        <f ca="1">RAND()</f>
        <v>0.12045349285393891</v>
      </c>
      <c r="E667">
        <f ca="1">RANK(dict_zul_Var_Meth[[#This Row],[ignored_rand]],dict_zul_Var_Meth[ignored_rand])</f>
        <v>662</v>
      </c>
    </row>
    <row r="668" spans="1:5" x14ac:dyDescent="0.45">
      <c r="A668">
        <f ca="1">VLOOKUP(dict_zul_Var_Meth[[#This Row],[ignored_rank]],help_zuord_Var_Meth[],2)</f>
        <v>178</v>
      </c>
      <c r="B668">
        <v>287</v>
      </c>
      <c r="C66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8">
        <f ca="1">RAND()</f>
        <v>0.11431133174874919</v>
      </c>
      <c r="E668">
        <f ca="1">RANK(dict_zul_Var_Meth[[#This Row],[ignored_rand]],dict_zul_Var_Meth[ignored_rand])</f>
        <v>669</v>
      </c>
    </row>
    <row r="669" spans="1:5" x14ac:dyDescent="0.45">
      <c r="A669">
        <f ca="1">VLOOKUP(dict_zul_Var_Meth[[#This Row],[ignored_rank]],help_zuord_Var_Meth[],2)</f>
        <v>178</v>
      </c>
      <c r="B669">
        <v>595</v>
      </c>
      <c r="C66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69">
        <f ca="1">RAND()</f>
        <v>0.11461113984409754</v>
      </c>
      <c r="E669">
        <f ca="1">RANK(dict_zul_Var_Meth[[#This Row],[ignored_rand]],dict_zul_Var_Meth[ignored_rand])</f>
        <v>668</v>
      </c>
    </row>
    <row r="670" spans="1:5" x14ac:dyDescent="0.45">
      <c r="A670">
        <f ca="1">VLOOKUP(dict_zul_Var_Meth[[#This Row],[ignored_rank]],help_zuord_Var_Meth[],2)</f>
        <v>178</v>
      </c>
      <c r="B670">
        <v>145</v>
      </c>
      <c r="C67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0">
        <f ca="1">RAND()</f>
        <v>0.11466002255414465</v>
      </c>
      <c r="E670">
        <f ca="1">RANK(dict_zul_Var_Meth[[#This Row],[ignored_rand]],dict_zul_Var_Meth[ignored_rand])</f>
        <v>667</v>
      </c>
    </row>
    <row r="671" spans="1:5" x14ac:dyDescent="0.45">
      <c r="A671">
        <f ca="1">VLOOKUP(dict_zul_Var_Meth[[#This Row],[ignored_rank]],help_zuord_Var_Meth[],2)</f>
        <v>178</v>
      </c>
      <c r="B671">
        <v>316</v>
      </c>
      <c r="C67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1">
        <f ca="1">RAND()</f>
        <v>0.11312801173009435</v>
      </c>
      <c r="E671">
        <f ca="1">RANK(dict_zul_Var_Meth[[#This Row],[ignored_rand]],dict_zul_Var_Meth[ignored_rand])</f>
        <v>670</v>
      </c>
    </row>
    <row r="672" spans="1:5" x14ac:dyDescent="0.45">
      <c r="A672">
        <f ca="1">VLOOKUP(dict_zul_Var_Meth[[#This Row],[ignored_rank]],help_zuord_Var_Meth[],2)</f>
        <v>179</v>
      </c>
      <c r="B672">
        <v>307</v>
      </c>
      <c r="C67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2">
        <f ca="1">RAND()</f>
        <v>0.11124565735501424</v>
      </c>
      <c r="E672">
        <f ca="1">RANK(dict_zul_Var_Meth[[#This Row],[ignored_rand]],dict_zul_Var_Meth[ignored_rand])</f>
        <v>672</v>
      </c>
    </row>
    <row r="673" spans="1:5" x14ac:dyDescent="0.45">
      <c r="A673">
        <f ca="1">VLOOKUP(dict_zul_Var_Meth[[#This Row],[ignored_rank]],help_zuord_Var_Meth[],2)</f>
        <v>179</v>
      </c>
      <c r="B673">
        <v>21</v>
      </c>
      <c r="C67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3">
        <f ca="1">RAND()</f>
        <v>0.10650925712359105</v>
      </c>
      <c r="E673">
        <f ca="1">RANK(dict_zul_Var_Meth[[#This Row],[ignored_rand]],dict_zul_Var_Meth[ignored_rand])</f>
        <v>674</v>
      </c>
    </row>
    <row r="674" spans="1:5" x14ac:dyDescent="0.45">
      <c r="A674">
        <f ca="1">VLOOKUP(dict_zul_Var_Meth[[#This Row],[ignored_rank]],help_zuord_Var_Meth[],2)</f>
        <v>179</v>
      </c>
      <c r="B674">
        <v>551</v>
      </c>
      <c r="C67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4">
        <f ca="1">RAND()</f>
        <v>0.10891575601838877</v>
      </c>
      <c r="E674">
        <f ca="1">RANK(dict_zul_Var_Meth[[#This Row],[ignored_rand]],dict_zul_Var_Meth[ignored_rand])</f>
        <v>673</v>
      </c>
    </row>
    <row r="675" spans="1:5" x14ac:dyDescent="0.45">
      <c r="A675">
        <f ca="1">VLOOKUP(dict_zul_Var_Meth[[#This Row],[ignored_rank]],help_zuord_Var_Meth[],2)</f>
        <v>179</v>
      </c>
      <c r="B675">
        <v>208</v>
      </c>
      <c r="C67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5">
        <f ca="1">RAND()</f>
        <v>0.11169670708056934</v>
      </c>
      <c r="E675">
        <f ca="1">RANK(dict_zul_Var_Meth[[#This Row],[ignored_rand]],dict_zul_Var_Meth[ignored_rand])</f>
        <v>671</v>
      </c>
    </row>
    <row r="676" spans="1:5" x14ac:dyDescent="0.45">
      <c r="A676">
        <f ca="1">VLOOKUP(dict_zul_Var_Meth[[#This Row],[ignored_rank]],help_zuord_Var_Meth[],2)</f>
        <v>180</v>
      </c>
      <c r="B676">
        <v>130</v>
      </c>
      <c r="C67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6">
        <f ca="1">RAND()</f>
        <v>0.10570539731800133</v>
      </c>
      <c r="E676">
        <f ca="1">RANK(dict_zul_Var_Meth[[#This Row],[ignored_rand]],dict_zul_Var_Meth[ignored_rand])</f>
        <v>675</v>
      </c>
    </row>
    <row r="677" spans="1:5" x14ac:dyDescent="0.45">
      <c r="A677">
        <f ca="1">VLOOKUP(dict_zul_Var_Meth[[#This Row],[ignored_rank]],help_zuord_Var_Meth[],2)</f>
        <v>181</v>
      </c>
      <c r="B677">
        <v>385</v>
      </c>
      <c r="C67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7">
        <f ca="1">RAND()</f>
        <v>0.10389890510976441</v>
      </c>
      <c r="E677">
        <f ca="1">RANK(dict_zul_Var_Meth[[#This Row],[ignored_rand]],dict_zul_Var_Meth[ignored_rand])</f>
        <v>677</v>
      </c>
    </row>
    <row r="678" spans="1:5" x14ac:dyDescent="0.45">
      <c r="A678">
        <f ca="1">VLOOKUP(dict_zul_Var_Meth[[#This Row],[ignored_rank]],help_zuord_Var_Meth[],2)</f>
        <v>181</v>
      </c>
      <c r="B678">
        <v>42</v>
      </c>
      <c r="C67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8">
        <f ca="1">RAND()</f>
        <v>0.10442382984407461</v>
      </c>
      <c r="E678">
        <f ca="1">RANK(dict_zul_Var_Meth[[#This Row],[ignored_rand]],dict_zul_Var_Meth[ignored_rand])</f>
        <v>676</v>
      </c>
    </row>
    <row r="679" spans="1:5" x14ac:dyDescent="0.45">
      <c r="A679">
        <f ca="1">VLOOKUP(dict_zul_Var_Meth[[#This Row],[ignored_rank]],help_zuord_Var_Meth[],2)</f>
        <v>181</v>
      </c>
      <c r="B679">
        <v>26</v>
      </c>
      <c r="C67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79">
        <f ca="1">RAND()</f>
        <v>0.10109296885486874</v>
      </c>
      <c r="E679">
        <f ca="1">RANK(dict_zul_Var_Meth[[#This Row],[ignored_rand]],dict_zul_Var_Meth[ignored_rand])</f>
        <v>680</v>
      </c>
    </row>
    <row r="680" spans="1:5" x14ac:dyDescent="0.45">
      <c r="A680">
        <f ca="1">VLOOKUP(dict_zul_Var_Meth[[#This Row],[ignored_rank]],help_zuord_Var_Meth[],2)</f>
        <v>181</v>
      </c>
      <c r="B680">
        <v>641</v>
      </c>
      <c r="C68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0">
        <f ca="1">RAND()</f>
        <v>0.10199934273084643</v>
      </c>
      <c r="E680">
        <f ca="1">RANK(dict_zul_Var_Meth[[#This Row],[ignored_rand]],dict_zul_Var_Meth[ignored_rand])</f>
        <v>679</v>
      </c>
    </row>
    <row r="681" spans="1:5" x14ac:dyDescent="0.45">
      <c r="A681">
        <f ca="1">VLOOKUP(dict_zul_Var_Meth[[#This Row],[ignored_rank]],help_zuord_Var_Meth[],2)</f>
        <v>181</v>
      </c>
      <c r="B681">
        <v>90</v>
      </c>
      <c r="C68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1">
        <f ca="1">RAND()</f>
        <v>0.10264345730736046</v>
      </c>
      <c r="E681">
        <f ca="1">RANK(dict_zul_Var_Meth[[#This Row],[ignored_rand]],dict_zul_Var_Meth[ignored_rand])</f>
        <v>678</v>
      </c>
    </row>
    <row r="682" spans="1:5" x14ac:dyDescent="0.45">
      <c r="A682">
        <f ca="1">VLOOKUP(dict_zul_Var_Meth[[#This Row],[ignored_rank]],help_zuord_Var_Meth[],2)</f>
        <v>182</v>
      </c>
      <c r="B682">
        <v>186</v>
      </c>
      <c r="C68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2">
        <f ca="1">RAND()</f>
        <v>9.6639566135184207E-2</v>
      </c>
      <c r="E682">
        <f ca="1">RANK(dict_zul_Var_Meth[[#This Row],[ignored_rand]],dict_zul_Var_Meth[ignored_rand])</f>
        <v>682</v>
      </c>
    </row>
    <row r="683" spans="1:5" x14ac:dyDescent="0.45">
      <c r="A683">
        <f ca="1">VLOOKUP(dict_zul_Var_Meth[[#This Row],[ignored_rank]],help_zuord_Var_Meth[],2)</f>
        <v>182</v>
      </c>
      <c r="B683">
        <v>492</v>
      </c>
      <c r="C68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3">
        <f ca="1">RAND()</f>
        <v>9.6133623900964027E-2</v>
      </c>
      <c r="E683">
        <f ca="1">RANK(dict_zul_Var_Meth[[#This Row],[ignored_rand]],dict_zul_Var_Meth[ignored_rand])</f>
        <v>683</v>
      </c>
    </row>
    <row r="684" spans="1:5" x14ac:dyDescent="0.45">
      <c r="A684">
        <f ca="1">VLOOKUP(dict_zul_Var_Meth[[#This Row],[ignored_rank]],help_zuord_Var_Meth[],2)</f>
        <v>182</v>
      </c>
      <c r="B684">
        <v>120</v>
      </c>
      <c r="C68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4">
        <f ca="1">RAND()</f>
        <v>9.8900582957753835E-2</v>
      </c>
      <c r="E684">
        <f ca="1">RANK(dict_zul_Var_Meth[[#This Row],[ignored_rand]],dict_zul_Var_Meth[ignored_rand])</f>
        <v>681</v>
      </c>
    </row>
    <row r="685" spans="1:5" x14ac:dyDescent="0.45">
      <c r="A685" s="3">
        <f ca="1">VLOOKUP(dict_zul_Var_Meth[[#This Row],[ignored_rank]],help_zuord_Var_Meth[],2)</f>
        <v>182</v>
      </c>
      <c r="B685">
        <v>433</v>
      </c>
      <c r="C68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5">
        <f ca="1">RAND()</f>
        <v>9.4284729653485E-2</v>
      </c>
      <c r="E685" s="3">
        <f ca="1">RANK(dict_zul_Var_Meth[[#This Row],[ignored_rand]],dict_zul_Var_Meth[ignored_rand])</f>
        <v>684</v>
      </c>
    </row>
    <row r="686" spans="1:5" x14ac:dyDescent="0.45">
      <c r="A686">
        <f ca="1">VLOOKUP(dict_zul_Var_Meth[[#This Row],[ignored_rank]],help_zuord_Var_Meth[],2)</f>
        <v>183</v>
      </c>
      <c r="B686">
        <v>402</v>
      </c>
      <c r="C68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6">
        <f ca="1">RAND()</f>
        <v>9.2083096537940556E-2</v>
      </c>
      <c r="E686">
        <f ca="1">RANK(dict_zul_Var_Meth[[#This Row],[ignored_rand]],dict_zul_Var_Meth[ignored_rand])</f>
        <v>686</v>
      </c>
    </row>
    <row r="687" spans="1:5" x14ac:dyDescent="0.45">
      <c r="A687">
        <f ca="1">VLOOKUP(dict_zul_Var_Meth[[#This Row],[ignored_rank]],help_zuord_Var_Meth[],2)</f>
        <v>183</v>
      </c>
      <c r="B687">
        <v>456</v>
      </c>
      <c r="C68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7">
        <f ca="1">RAND()</f>
        <v>9.1498511198381927E-2</v>
      </c>
      <c r="E687">
        <f ca="1">RANK(dict_zul_Var_Meth[[#This Row],[ignored_rand]],dict_zul_Var_Meth[ignored_rand])</f>
        <v>687</v>
      </c>
    </row>
    <row r="688" spans="1:5" x14ac:dyDescent="0.45">
      <c r="A688">
        <f ca="1">VLOOKUP(dict_zul_Var_Meth[[#This Row],[ignored_rank]],help_zuord_Var_Meth[],2)</f>
        <v>183</v>
      </c>
      <c r="B688">
        <v>581</v>
      </c>
      <c r="C68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8">
        <f ca="1">RAND()</f>
        <v>9.3476093408553118E-2</v>
      </c>
      <c r="E688">
        <f ca="1">RANK(dict_zul_Var_Meth[[#This Row],[ignored_rand]],dict_zul_Var_Meth[ignored_rand])</f>
        <v>685</v>
      </c>
    </row>
    <row r="689" spans="1:5" x14ac:dyDescent="0.45">
      <c r="A689">
        <f ca="1">VLOOKUP(dict_zul_Var_Meth[[#This Row],[ignored_rank]],help_zuord_Var_Meth[],2)</f>
        <v>184</v>
      </c>
      <c r="B689">
        <v>16</v>
      </c>
      <c r="C68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89">
        <f ca="1">RAND()</f>
        <v>9.0023812688480476E-2</v>
      </c>
      <c r="E689">
        <f ca="1">RANK(dict_zul_Var_Meth[[#This Row],[ignored_rand]],dict_zul_Var_Meth[ignored_rand])</f>
        <v>689</v>
      </c>
    </row>
    <row r="690" spans="1:5" x14ac:dyDescent="0.45">
      <c r="A690">
        <f ca="1">VLOOKUP(dict_zul_Var_Meth[[#This Row],[ignored_rank]],help_zuord_Var_Meth[],2)</f>
        <v>184</v>
      </c>
      <c r="B690">
        <v>161</v>
      </c>
      <c r="C69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0">
        <f ca="1">RAND()</f>
        <v>9.0654249648362772E-2</v>
      </c>
      <c r="E690">
        <f ca="1">RANK(dict_zul_Var_Meth[[#This Row],[ignored_rand]],dict_zul_Var_Meth[ignored_rand])</f>
        <v>688</v>
      </c>
    </row>
    <row r="691" spans="1:5" x14ac:dyDescent="0.45">
      <c r="A691">
        <f ca="1">VLOOKUP(dict_zul_Var_Meth[[#This Row],[ignored_rank]],help_zuord_Var_Meth[],2)</f>
        <v>184</v>
      </c>
      <c r="B691">
        <v>684</v>
      </c>
      <c r="C69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1">
        <f ca="1">RAND()</f>
        <v>8.8885808346445994E-2</v>
      </c>
      <c r="E691">
        <f ca="1">RANK(dict_zul_Var_Meth[[#This Row],[ignored_rand]],dict_zul_Var_Meth[ignored_rand])</f>
        <v>690</v>
      </c>
    </row>
    <row r="692" spans="1:5" x14ac:dyDescent="0.45">
      <c r="A692" s="3">
        <f ca="1">VLOOKUP(dict_zul_Var_Meth[[#This Row],[ignored_rank]],help_zuord_Var_Meth[],2)</f>
        <v>184</v>
      </c>
      <c r="B692">
        <v>137</v>
      </c>
      <c r="C69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2">
        <f ca="1">RAND()</f>
        <v>8.7777294575900222E-2</v>
      </c>
      <c r="E692" s="3">
        <f ca="1">RANK(dict_zul_Var_Meth[[#This Row],[ignored_rand]],dict_zul_Var_Meth[ignored_rand])</f>
        <v>691</v>
      </c>
    </row>
    <row r="693" spans="1:5" x14ac:dyDescent="0.45">
      <c r="A693">
        <f ca="1">VLOOKUP(dict_zul_Var_Meth[[#This Row],[ignored_rank]],help_zuord_Var_Meth[],2)</f>
        <v>185</v>
      </c>
      <c r="B693">
        <v>111</v>
      </c>
      <c r="C69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3">
        <f ca="1">RAND()</f>
        <v>8.7373833006541446E-2</v>
      </c>
      <c r="E693">
        <f ca="1">RANK(dict_zul_Var_Meth[[#This Row],[ignored_rand]],dict_zul_Var_Meth[ignored_rand])</f>
        <v>692</v>
      </c>
    </row>
    <row r="694" spans="1:5" x14ac:dyDescent="0.45">
      <c r="A694">
        <f ca="1">VLOOKUP(dict_zul_Var_Meth[[#This Row],[ignored_rank]],help_zuord_Var_Meth[],2)</f>
        <v>185</v>
      </c>
      <c r="B694">
        <v>22</v>
      </c>
      <c r="C69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4">
        <f ca="1">RAND()</f>
        <v>7.4191958875930664E-2</v>
      </c>
      <c r="E694">
        <f ca="1">RANK(dict_zul_Var_Meth[[#This Row],[ignored_rand]],dict_zul_Var_Meth[ignored_rand])</f>
        <v>695</v>
      </c>
    </row>
    <row r="695" spans="1:5" x14ac:dyDescent="0.45">
      <c r="A695">
        <f ca="1">VLOOKUP(dict_zul_Var_Meth[[#This Row],[ignored_rank]],help_zuord_Var_Meth[],2)</f>
        <v>185</v>
      </c>
      <c r="B695">
        <v>65</v>
      </c>
      <c r="C69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5">
        <f ca="1">RAND()</f>
        <v>7.649921100863788E-2</v>
      </c>
      <c r="E695">
        <f ca="1">RANK(dict_zul_Var_Meth[[#This Row],[ignored_rand]],dict_zul_Var_Meth[ignored_rand])</f>
        <v>694</v>
      </c>
    </row>
    <row r="696" spans="1:5" x14ac:dyDescent="0.45">
      <c r="A696" s="3">
        <f ca="1">VLOOKUP(dict_zul_Var_Meth[[#This Row],[ignored_rank]],help_zuord_Var_Meth[],2)</f>
        <v>185</v>
      </c>
      <c r="B696">
        <v>521</v>
      </c>
      <c r="C69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6">
        <f ca="1">RAND()</f>
        <v>8.6514978371404538E-2</v>
      </c>
      <c r="E696" s="3">
        <f ca="1">RANK(dict_zul_Var_Meth[[#This Row],[ignored_rand]],dict_zul_Var_Meth[ignored_rand])</f>
        <v>693</v>
      </c>
    </row>
    <row r="697" spans="1:5" x14ac:dyDescent="0.45">
      <c r="A697">
        <f ca="1">VLOOKUP(dict_zul_Var_Meth[[#This Row],[ignored_rank]],help_zuord_Var_Meth[],2)</f>
        <v>186</v>
      </c>
      <c r="B697">
        <v>695</v>
      </c>
      <c r="C69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7">
        <f ca="1">RAND()</f>
        <v>7.3674997990316737E-2</v>
      </c>
      <c r="E697">
        <f ca="1">RANK(dict_zul_Var_Meth[[#This Row],[ignored_rand]],dict_zul_Var_Meth[ignored_rand])</f>
        <v>697</v>
      </c>
    </row>
    <row r="698" spans="1:5" x14ac:dyDescent="0.45">
      <c r="A698">
        <f ca="1">VLOOKUP(dict_zul_Var_Meth[[#This Row],[ignored_rank]],help_zuord_Var_Meth[],2)</f>
        <v>186</v>
      </c>
      <c r="B698">
        <v>410</v>
      </c>
      <c r="C69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8">
        <f ca="1">RAND()</f>
        <v>7.3314252277434711E-2</v>
      </c>
      <c r="E698">
        <f ca="1">RANK(dict_zul_Var_Meth[[#This Row],[ignored_rand]],dict_zul_Var_Meth[ignored_rand])</f>
        <v>698</v>
      </c>
    </row>
    <row r="699" spans="1:5" x14ac:dyDescent="0.45">
      <c r="A699">
        <f ca="1">VLOOKUP(dict_zul_Var_Meth[[#This Row],[ignored_rank]],help_zuord_Var_Meth[],2)</f>
        <v>186</v>
      </c>
      <c r="B699">
        <v>530</v>
      </c>
      <c r="C69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699">
        <f ca="1">RAND()</f>
        <v>7.0223514882740701E-2</v>
      </c>
      <c r="E699">
        <f ca="1">RANK(dict_zul_Var_Meth[[#This Row],[ignored_rand]],dict_zul_Var_Meth[ignored_rand])</f>
        <v>699</v>
      </c>
    </row>
    <row r="700" spans="1:5" x14ac:dyDescent="0.45">
      <c r="A700">
        <f ca="1">VLOOKUP(dict_zul_Var_Meth[[#This Row],[ignored_rank]],help_zuord_Var_Meth[],2)</f>
        <v>186</v>
      </c>
      <c r="B700">
        <v>445</v>
      </c>
      <c r="C70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0">
        <f ca="1">RAND()</f>
        <v>7.3717002439191326E-2</v>
      </c>
      <c r="E700">
        <f ca="1">RANK(dict_zul_Var_Meth[[#This Row],[ignored_rand]],dict_zul_Var_Meth[ignored_rand])</f>
        <v>696</v>
      </c>
    </row>
    <row r="701" spans="1:5" x14ac:dyDescent="0.45">
      <c r="A701">
        <f ca="1">VLOOKUP(dict_zul_Var_Meth[[#This Row],[ignored_rank]],help_zuord_Var_Meth[],2)</f>
        <v>187</v>
      </c>
      <c r="B701">
        <v>2</v>
      </c>
      <c r="C70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1">
        <f ca="1">RAND()</f>
        <v>6.8069831813167614E-2</v>
      </c>
      <c r="E701">
        <f ca="1">RANK(dict_zul_Var_Meth[[#This Row],[ignored_rand]],dict_zul_Var_Meth[ignored_rand])</f>
        <v>702</v>
      </c>
    </row>
    <row r="702" spans="1:5" x14ac:dyDescent="0.45">
      <c r="A702">
        <f ca="1">VLOOKUP(dict_zul_Var_Meth[[#This Row],[ignored_rank]],help_zuord_Var_Meth[],2)</f>
        <v>187</v>
      </c>
      <c r="B702">
        <v>243</v>
      </c>
      <c r="C70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2">
        <f ca="1">RAND()</f>
        <v>6.7079574821381494E-2</v>
      </c>
      <c r="E702">
        <f ca="1">RANK(dict_zul_Var_Meth[[#This Row],[ignored_rand]],dict_zul_Var_Meth[ignored_rand])</f>
        <v>703</v>
      </c>
    </row>
    <row r="703" spans="1:5" x14ac:dyDescent="0.45">
      <c r="A703">
        <f ca="1">VLOOKUP(dict_zul_Var_Meth[[#This Row],[ignored_rank]],help_zuord_Var_Meth[],2)</f>
        <v>187</v>
      </c>
      <c r="B703">
        <v>84</v>
      </c>
      <c r="C70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3">
        <f ca="1">RAND()</f>
        <v>6.9238020243938103E-2</v>
      </c>
      <c r="E703">
        <f ca="1">RANK(dict_zul_Var_Meth[[#This Row],[ignored_rand]],dict_zul_Var_Meth[ignored_rand])</f>
        <v>700</v>
      </c>
    </row>
    <row r="704" spans="1:5" x14ac:dyDescent="0.45">
      <c r="A704">
        <f ca="1">VLOOKUP(dict_zul_Var_Meth[[#This Row],[ignored_rank]],help_zuord_Var_Meth[],2)</f>
        <v>187</v>
      </c>
      <c r="B704">
        <v>527</v>
      </c>
      <c r="C70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4">
        <f ca="1">RAND()</f>
        <v>6.8803478902444981E-2</v>
      </c>
      <c r="E704">
        <f ca="1">RANK(dict_zul_Var_Meth[[#This Row],[ignored_rand]],dict_zul_Var_Meth[ignored_rand])</f>
        <v>701</v>
      </c>
    </row>
    <row r="705" spans="1:5" x14ac:dyDescent="0.45">
      <c r="A705">
        <f ca="1">VLOOKUP(dict_zul_Var_Meth[[#This Row],[ignored_rank]],help_zuord_Var_Meth[],2)</f>
        <v>187</v>
      </c>
      <c r="B705">
        <v>387</v>
      </c>
      <c r="C70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5">
        <f ca="1">RAND()</f>
        <v>6.6976455752660202E-2</v>
      </c>
      <c r="E705">
        <f ca="1">RANK(dict_zul_Var_Meth[[#This Row],[ignored_rand]],dict_zul_Var_Meth[ignored_rand])</f>
        <v>704</v>
      </c>
    </row>
    <row r="706" spans="1:5" x14ac:dyDescent="0.45">
      <c r="A706">
        <f ca="1">VLOOKUP(dict_zul_Var_Meth[[#This Row],[ignored_rank]],help_zuord_Var_Meth[],2)</f>
        <v>188</v>
      </c>
      <c r="B706">
        <v>585</v>
      </c>
      <c r="C70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6">
        <f ca="1">RAND()</f>
        <v>6.481975831177833E-2</v>
      </c>
      <c r="E706">
        <f ca="1">RANK(dict_zul_Var_Meth[[#This Row],[ignored_rand]],dict_zul_Var_Meth[ignored_rand])</f>
        <v>705</v>
      </c>
    </row>
    <row r="707" spans="1:5" x14ac:dyDescent="0.45">
      <c r="A707" s="3">
        <f ca="1">VLOOKUP(dict_zul_Var_Meth[[#This Row],[ignored_rank]],help_zuord_Var_Meth[],2)</f>
        <v>189</v>
      </c>
      <c r="B707">
        <v>190</v>
      </c>
      <c r="C70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7">
        <f ca="1">RAND()</f>
        <v>6.4085606027442843E-2</v>
      </c>
      <c r="E707" s="3">
        <f ca="1">RANK(dict_zul_Var_Meth[[#This Row],[ignored_rand]],dict_zul_Var_Meth[ignored_rand])</f>
        <v>707</v>
      </c>
    </row>
    <row r="708" spans="1:5" x14ac:dyDescent="0.45">
      <c r="A708">
        <f ca="1">VLOOKUP(dict_zul_Var_Meth[[#This Row],[ignored_rank]],help_zuord_Var_Meth[],2)</f>
        <v>189</v>
      </c>
      <c r="B708">
        <v>579</v>
      </c>
      <c r="C70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8">
        <f ca="1">RAND()</f>
        <v>6.0463598984615063E-2</v>
      </c>
      <c r="E708">
        <f ca="1">RANK(dict_zul_Var_Meth[[#This Row],[ignored_rand]],dict_zul_Var_Meth[ignored_rand])</f>
        <v>711</v>
      </c>
    </row>
    <row r="709" spans="1:5" x14ac:dyDescent="0.45">
      <c r="A709">
        <f ca="1">VLOOKUP(dict_zul_Var_Meth[[#This Row],[ignored_rank]],help_zuord_Var_Meth[],2)</f>
        <v>189</v>
      </c>
      <c r="B709">
        <v>553</v>
      </c>
      <c r="C70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09">
        <f ca="1">RAND()</f>
        <v>6.294159331986493E-2</v>
      </c>
      <c r="E709">
        <f ca="1">RANK(dict_zul_Var_Meth[[#This Row],[ignored_rand]],dict_zul_Var_Meth[ignored_rand])</f>
        <v>708</v>
      </c>
    </row>
    <row r="710" spans="1:5" x14ac:dyDescent="0.45">
      <c r="A710">
        <f ca="1">VLOOKUP(dict_zul_Var_Meth[[#This Row],[ignored_rank]],help_zuord_Var_Meth[],2)</f>
        <v>189</v>
      </c>
      <c r="B710">
        <v>71</v>
      </c>
      <c r="C71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0">
        <f ca="1">RAND()</f>
        <v>6.2861849461319785E-2</v>
      </c>
      <c r="E710">
        <f ca="1">RANK(dict_zul_Var_Meth[[#This Row],[ignored_rand]],dict_zul_Var_Meth[ignored_rand])</f>
        <v>709</v>
      </c>
    </row>
    <row r="711" spans="1:5" x14ac:dyDescent="0.45">
      <c r="A711">
        <f ca="1">VLOOKUP(dict_zul_Var_Meth[[#This Row],[ignored_rank]],help_zuord_Var_Meth[],2)</f>
        <v>189</v>
      </c>
      <c r="B711">
        <v>252</v>
      </c>
      <c r="C71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1">
        <f ca="1">RAND()</f>
        <v>6.4287011027890251E-2</v>
      </c>
      <c r="E711">
        <f ca="1">RANK(dict_zul_Var_Meth[[#This Row],[ignored_rand]],dict_zul_Var_Meth[ignored_rand])</f>
        <v>706</v>
      </c>
    </row>
    <row r="712" spans="1:5" x14ac:dyDescent="0.45">
      <c r="A712" s="3">
        <f ca="1">VLOOKUP(dict_zul_Var_Meth[[#This Row],[ignored_rank]],help_zuord_Var_Meth[],2)</f>
        <v>189</v>
      </c>
      <c r="B712">
        <v>162</v>
      </c>
      <c r="C71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2">
        <f ca="1">RAND()</f>
        <v>6.124890948288475E-2</v>
      </c>
      <c r="E712" s="3">
        <f ca="1">RANK(dict_zul_Var_Meth[[#This Row],[ignored_rand]],dict_zul_Var_Meth[ignored_rand])</f>
        <v>710</v>
      </c>
    </row>
    <row r="713" spans="1:5" x14ac:dyDescent="0.45">
      <c r="A713">
        <f ca="1">VLOOKUP(dict_zul_Var_Meth[[#This Row],[ignored_rank]],help_zuord_Var_Meth[],2)</f>
        <v>190</v>
      </c>
      <c r="B713">
        <v>557</v>
      </c>
      <c r="C71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3">
        <f ca="1">RAND()</f>
        <v>5.7598085339710781E-2</v>
      </c>
      <c r="E713">
        <f ca="1">RANK(dict_zul_Var_Meth[[#This Row],[ignored_rand]],dict_zul_Var_Meth[ignored_rand])</f>
        <v>714</v>
      </c>
    </row>
    <row r="714" spans="1:5" x14ac:dyDescent="0.45">
      <c r="A714">
        <f ca="1">VLOOKUP(dict_zul_Var_Meth[[#This Row],[ignored_rank]],help_zuord_Var_Meth[],2)</f>
        <v>190</v>
      </c>
      <c r="B714">
        <v>672</v>
      </c>
      <c r="C71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4">
        <f ca="1">RAND()</f>
        <v>6.0098260140782012E-2</v>
      </c>
      <c r="E714">
        <f ca="1">RANK(dict_zul_Var_Meth[[#This Row],[ignored_rand]],dict_zul_Var_Meth[ignored_rand])</f>
        <v>712</v>
      </c>
    </row>
    <row r="715" spans="1:5" x14ac:dyDescent="0.45">
      <c r="A715" s="3">
        <f ca="1">VLOOKUP(dict_zul_Var_Meth[[#This Row],[ignored_rank]],help_zuord_Var_Meth[],2)</f>
        <v>190</v>
      </c>
      <c r="B715">
        <v>369</v>
      </c>
      <c r="C71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5">
        <f ca="1">RAND()</f>
        <v>5.6771854167417479E-2</v>
      </c>
      <c r="E715" s="3">
        <f ca="1">RANK(dict_zul_Var_Meth[[#This Row],[ignored_rand]],dict_zul_Var_Meth[ignored_rand])</f>
        <v>715</v>
      </c>
    </row>
    <row r="716" spans="1:5" x14ac:dyDescent="0.45">
      <c r="A716">
        <f ca="1">VLOOKUP(dict_zul_Var_Meth[[#This Row],[ignored_rank]],help_zuord_Var_Meth[],2)</f>
        <v>190</v>
      </c>
      <c r="B716">
        <v>192</v>
      </c>
      <c r="C71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6">
        <f ca="1">RAND()</f>
        <v>5.7708069306772525E-2</v>
      </c>
      <c r="E716">
        <f ca="1">RANK(dict_zul_Var_Meth[[#This Row],[ignored_rand]],dict_zul_Var_Meth[ignored_rand])</f>
        <v>713</v>
      </c>
    </row>
    <row r="717" spans="1:5" x14ac:dyDescent="0.45">
      <c r="A717">
        <f ca="1">VLOOKUP(dict_zul_Var_Meth[[#This Row],[ignored_rank]],help_zuord_Var_Meth[],2)</f>
        <v>191</v>
      </c>
      <c r="B717">
        <v>284</v>
      </c>
      <c r="C71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7">
        <f ca="1">RAND()</f>
        <v>5.4586765954448557E-2</v>
      </c>
      <c r="E717">
        <f ca="1">RANK(dict_zul_Var_Meth[[#This Row],[ignored_rand]],dict_zul_Var_Meth[ignored_rand])</f>
        <v>717</v>
      </c>
    </row>
    <row r="718" spans="1:5" x14ac:dyDescent="0.45">
      <c r="A718">
        <f ca="1">VLOOKUP(dict_zul_Var_Meth[[#This Row],[ignored_rank]],help_zuord_Var_Meth[],2)</f>
        <v>191</v>
      </c>
      <c r="B718">
        <v>232</v>
      </c>
      <c r="C71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8">
        <f ca="1">RAND()</f>
        <v>5.6537274389837022E-2</v>
      </c>
      <c r="E718">
        <f ca="1">RANK(dict_zul_Var_Meth[[#This Row],[ignored_rand]],dict_zul_Var_Meth[ignored_rand])</f>
        <v>716</v>
      </c>
    </row>
    <row r="719" spans="1:5" x14ac:dyDescent="0.45">
      <c r="A719">
        <f ca="1">VLOOKUP(dict_zul_Var_Meth[[#This Row],[ignored_rank]],help_zuord_Var_Meth[],2)</f>
        <v>191</v>
      </c>
      <c r="B719">
        <v>552</v>
      </c>
      <c r="C71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19">
        <f ca="1">RAND()</f>
        <v>5.2060244065827765E-2</v>
      </c>
      <c r="E719">
        <f ca="1">RANK(dict_zul_Var_Meth[[#This Row],[ignored_rand]],dict_zul_Var_Meth[ignored_rand])</f>
        <v>718</v>
      </c>
    </row>
    <row r="720" spans="1:5" x14ac:dyDescent="0.45">
      <c r="A720">
        <f ca="1">VLOOKUP(dict_zul_Var_Meth[[#This Row],[ignored_rank]],help_zuord_Var_Meth[],2)</f>
        <v>192</v>
      </c>
      <c r="B720">
        <v>54</v>
      </c>
      <c r="C72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0">
        <f ca="1">RAND()</f>
        <v>4.5612046803502282E-2</v>
      </c>
      <c r="E720">
        <f ca="1">RANK(dict_zul_Var_Meth[[#This Row],[ignored_rand]],dict_zul_Var_Meth[ignored_rand])</f>
        <v>720</v>
      </c>
    </row>
    <row r="721" spans="1:5" x14ac:dyDescent="0.45">
      <c r="A721">
        <f ca="1">VLOOKUP(dict_zul_Var_Meth[[#This Row],[ignored_rank]],help_zuord_Var_Meth[],2)</f>
        <v>192</v>
      </c>
      <c r="B721">
        <v>41</v>
      </c>
      <c r="C72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1">
        <f ca="1">RAND()</f>
        <v>4.6779383173907285E-2</v>
      </c>
      <c r="E721">
        <f ca="1">RANK(dict_zul_Var_Meth[[#This Row],[ignored_rand]],dict_zul_Var_Meth[ignored_rand])</f>
        <v>719</v>
      </c>
    </row>
    <row r="722" spans="1:5" x14ac:dyDescent="0.45">
      <c r="A722">
        <f ca="1">VLOOKUP(dict_zul_Var_Meth[[#This Row],[ignored_rank]],help_zuord_Var_Meth[],2)</f>
        <v>193</v>
      </c>
      <c r="B722">
        <v>453</v>
      </c>
      <c r="C72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2">
        <f ca="1">RAND()</f>
        <v>4.2525684748354053E-2</v>
      </c>
      <c r="E722">
        <f ca="1">RANK(dict_zul_Var_Meth[[#This Row],[ignored_rand]],dict_zul_Var_Meth[ignored_rand])</f>
        <v>723</v>
      </c>
    </row>
    <row r="723" spans="1:5" x14ac:dyDescent="0.45">
      <c r="A723">
        <f ca="1">VLOOKUP(dict_zul_Var_Meth[[#This Row],[ignored_rank]],help_zuord_Var_Meth[],2)</f>
        <v>193</v>
      </c>
      <c r="B723">
        <v>50</v>
      </c>
      <c r="C72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3">
        <f ca="1">RAND()</f>
        <v>4.2391631579824951E-2</v>
      </c>
      <c r="E723">
        <f ca="1">RANK(dict_zul_Var_Meth[[#This Row],[ignored_rand]],dict_zul_Var_Meth[ignored_rand])</f>
        <v>724</v>
      </c>
    </row>
    <row r="724" spans="1:5" x14ac:dyDescent="0.45">
      <c r="A724" s="3">
        <f ca="1">VLOOKUP(dict_zul_Var_Meth[[#This Row],[ignored_rank]],help_zuord_Var_Meth[],2)</f>
        <v>193</v>
      </c>
      <c r="B724">
        <v>176</v>
      </c>
      <c r="C72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4">
        <f ca="1">RAND()</f>
        <v>4.4178890550427008E-2</v>
      </c>
      <c r="E724" s="3">
        <f ca="1">RANK(dict_zul_Var_Meth[[#This Row],[ignored_rand]],dict_zul_Var_Meth[ignored_rand])</f>
        <v>721</v>
      </c>
    </row>
    <row r="725" spans="1:5" x14ac:dyDescent="0.45">
      <c r="A725">
        <f ca="1">VLOOKUP(dict_zul_Var_Meth[[#This Row],[ignored_rank]],help_zuord_Var_Meth[],2)</f>
        <v>193</v>
      </c>
      <c r="B725">
        <v>294</v>
      </c>
      <c r="C72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5">
        <f ca="1">RAND()</f>
        <v>4.3717346141693314E-2</v>
      </c>
      <c r="E725">
        <f ca="1">RANK(dict_zul_Var_Meth[[#This Row],[ignored_rand]],dict_zul_Var_Meth[ignored_rand])</f>
        <v>722</v>
      </c>
    </row>
    <row r="726" spans="1:5" x14ac:dyDescent="0.45">
      <c r="A726">
        <f ca="1">VLOOKUP(dict_zul_Var_Meth[[#This Row],[ignored_rank]],help_zuord_Var_Meth[],2)</f>
        <v>194</v>
      </c>
      <c r="B726">
        <v>257</v>
      </c>
      <c r="C72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6">
        <f ca="1">RAND()</f>
        <v>3.8391148646328421E-2</v>
      </c>
      <c r="E726">
        <f ca="1">RANK(dict_zul_Var_Meth[[#This Row],[ignored_rand]],dict_zul_Var_Meth[ignored_rand])</f>
        <v>728</v>
      </c>
    </row>
    <row r="727" spans="1:5" x14ac:dyDescent="0.45">
      <c r="A727">
        <f ca="1">VLOOKUP(dict_zul_Var_Meth[[#This Row],[ignored_rank]],help_zuord_Var_Meth[],2)</f>
        <v>194</v>
      </c>
      <c r="B727">
        <v>650</v>
      </c>
      <c r="C72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7">
        <f ca="1">RAND()</f>
        <v>3.8097430130915155E-2</v>
      </c>
      <c r="E727">
        <f ca="1">RANK(dict_zul_Var_Meth[[#This Row],[ignored_rand]],dict_zul_Var_Meth[ignored_rand])</f>
        <v>729</v>
      </c>
    </row>
    <row r="728" spans="1:5" x14ac:dyDescent="0.45">
      <c r="A728">
        <f ca="1">VLOOKUP(dict_zul_Var_Meth[[#This Row],[ignored_rank]],help_zuord_Var_Meth[],2)</f>
        <v>194</v>
      </c>
      <c r="B728">
        <v>140</v>
      </c>
      <c r="C72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8">
        <f ca="1">RAND()</f>
        <v>4.1702706226207309E-2</v>
      </c>
      <c r="E728">
        <f ca="1">RANK(dict_zul_Var_Meth[[#This Row],[ignored_rand]],dict_zul_Var_Meth[ignored_rand])</f>
        <v>725</v>
      </c>
    </row>
    <row r="729" spans="1:5" x14ac:dyDescent="0.45">
      <c r="A729">
        <f ca="1">VLOOKUP(dict_zul_Var_Meth[[#This Row],[ignored_rank]],help_zuord_Var_Meth[],2)</f>
        <v>194</v>
      </c>
      <c r="B729">
        <v>331</v>
      </c>
      <c r="C72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29">
        <f ca="1">RAND()</f>
        <v>4.007791517125181E-2</v>
      </c>
      <c r="E729">
        <f ca="1">RANK(dict_zul_Var_Meth[[#This Row],[ignored_rand]],dict_zul_Var_Meth[ignored_rand])</f>
        <v>727</v>
      </c>
    </row>
    <row r="730" spans="1:5" x14ac:dyDescent="0.45">
      <c r="A730">
        <f ca="1">VLOOKUP(dict_zul_Var_Meth[[#This Row],[ignored_rank]],help_zuord_Var_Meth[],2)</f>
        <v>194</v>
      </c>
      <c r="B730">
        <v>529</v>
      </c>
      <c r="C73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0">
        <f ca="1">RAND()</f>
        <v>4.0971267678097223E-2</v>
      </c>
      <c r="E730">
        <f ca="1">RANK(dict_zul_Var_Meth[[#This Row],[ignored_rand]],dict_zul_Var_Meth[ignored_rand])</f>
        <v>726</v>
      </c>
    </row>
    <row r="731" spans="1:5" x14ac:dyDescent="0.45">
      <c r="A731">
        <f ca="1">VLOOKUP(dict_zul_Var_Meth[[#This Row],[ignored_rank]],help_zuord_Var_Meth[],2)</f>
        <v>195</v>
      </c>
      <c r="B731">
        <v>56</v>
      </c>
      <c r="C73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1">
        <f ca="1">RAND()</f>
        <v>3.5053999572854821E-2</v>
      </c>
      <c r="E731">
        <f ca="1">RANK(dict_zul_Var_Meth[[#This Row],[ignored_rand]],dict_zul_Var_Meth[ignored_rand])</f>
        <v>733</v>
      </c>
    </row>
    <row r="732" spans="1:5" x14ac:dyDescent="0.45">
      <c r="A732">
        <f ca="1">VLOOKUP(dict_zul_Var_Meth[[#This Row],[ignored_rank]],help_zuord_Var_Meth[],2)</f>
        <v>195</v>
      </c>
      <c r="B732">
        <v>549</v>
      </c>
      <c r="C73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2">
        <f ca="1">RAND()</f>
        <v>3.5891372990229709E-2</v>
      </c>
      <c r="E732">
        <f ca="1">RANK(dict_zul_Var_Meth[[#This Row],[ignored_rand]],dict_zul_Var_Meth[ignored_rand])</f>
        <v>730</v>
      </c>
    </row>
    <row r="733" spans="1:5" x14ac:dyDescent="0.45">
      <c r="A733">
        <f ca="1">VLOOKUP(dict_zul_Var_Meth[[#This Row],[ignored_rank]],help_zuord_Var_Meth[],2)</f>
        <v>195</v>
      </c>
      <c r="B733">
        <v>244</v>
      </c>
      <c r="C73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3">
        <f ca="1">RAND()</f>
        <v>3.5117959083507455E-2</v>
      </c>
      <c r="E733">
        <f ca="1">RANK(dict_zul_Var_Meth[[#This Row],[ignored_rand]],dict_zul_Var_Meth[ignored_rand])</f>
        <v>732</v>
      </c>
    </row>
    <row r="734" spans="1:5" x14ac:dyDescent="0.45">
      <c r="A734">
        <f ca="1">VLOOKUP(dict_zul_Var_Meth[[#This Row],[ignored_rank]],help_zuord_Var_Meth[],2)</f>
        <v>195</v>
      </c>
      <c r="B734">
        <v>1</v>
      </c>
      <c r="C73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4">
        <f ca="1">RAND()</f>
        <v>3.5514798159658856E-2</v>
      </c>
      <c r="E734">
        <f ca="1">RANK(dict_zul_Var_Meth[[#This Row],[ignored_rand]],dict_zul_Var_Meth[ignored_rand])</f>
        <v>731</v>
      </c>
    </row>
    <row r="735" spans="1:5" x14ac:dyDescent="0.45">
      <c r="A735">
        <f ca="1">VLOOKUP(dict_zul_Var_Meth[[#This Row],[ignored_rank]],help_zuord_Var_Meth[],2)</f>
        <v>196</v>
      </c>
      <c r="B735">
        <v>23</v>
      </c>
      <c r="C73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5">
        <f ca="1">RAND()</f>
        <v>2.7134993900671089E-2</v>
      </c>
      <c r="E735">
        <f ca="1">RANK(dict_zul_Var_Meth[[#This Row],[ignored_rand]],dict_zul_Var_Meth[ignored_rand])</f>
        <v>735</v>
      </c>
    </row>
    <row r="736" spans="1:5" x14ac:dyDescent="0.45">
      <c r="A736">
        <f ca="1">VLOOKUP(dict_zul_Var_Meth[[#This Row],[ignored_rank]],help_zuord_Var_Meth[],2)</f>
        <v>196</v>
      </c>
      <c r="B736">
        <v>333</v>
      </c>
      <c r="C73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6">
        <f ca="1">RAND()</f>
        <v>2.9843137730298119E-2</v>
      </c>
      <c r="E736">
        <f ca="1">RANK(dict_zul_Var_Meth[[#This Row],[ignored_rand]],dict_zul_Var_Meth[ignored_rand])</f>
        <v>734</v>
      </c>
    </row>
    <row r="737" spans="1:5" x14ac:dyDescent="0.45">
      <c r="A737">
        <f ca="1">VLOOKUP(dict_zul_Var_Meth[[#This Row],[ignored_rank]],help_zuord_Var_Meth[],2)</f>
        <v>196</v>
      </c>
      <c r="B737">
        <v>35</v>
      </c>
      <c r="C73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7">
        <f ca="1">RAND()</f>
        <v>2.6702207269610923E-2</v>
      </c>
      <c r="E737">
        <f ca="1">RANK(dict_zul_Var_Meth[[#This Row],[ignored_rand]],dict_zul_Var_Meth[ignored_rand])</f>
        <v>736</v>
      </c>
    </row>
    <row r="738" spans="1:5" x14ac:dyDescent="0.45">
      <c r="A738">
        <f ca="1">VLOOKUP(dict_zul_Var_Meth[[#This Row],[ignored_rank]],help_zuord_Var_Meth[],2)</f>
        <v>197</v>
      </c>
      <c r="B738">
        <v>235</v>
      </c>
      <c r="C73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8">
        <f ca="1">RAND()</f>
        <v>2.6164582542296477E-2</v>
      </c>
      <c r="E738">
        <f ca="1">RANK(dict_zul_Var_Meth[[#This Row],[ignored_rand]],dict_zul_Var_Meth[ignored_rand])</f>
        <v>738</v>
      </c>
    </row>
    <row r="739" spans="1:5" x14ac:dyDescent="0.45">
      <c r="A739">
        <f ca="1">VLOOKUP(dict_zul_Var_Meth[[#This Row],[ignored_rank]],help_zuord_Var_Meth[],2)</f>
        <v>197</v>
      </c>
      <c r="B739">
        <v>321</v>
      </c>
      <c r="C73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39">
        <f ca="1">RAND()</f>
        <v>2.5709707725318554E-2</v>
      </c>
      <c r="E739">
        <f ca="1">RANK(dict_zul_Var_Meth[[#This Row],[ignored_rand]],dict_zul_Var_Meth[ignored_rand])</f>
        <v>739</v>
      </c>
    </row>
    <row r="740" spans="1:5" x14ac:dyDescent="0.45">
      <c r="A740">
        <f ca="1">VLOOKUP(dict_zul_Var_Meth[[#This Row],[ignored_rank]],help_zuord_Var_Meth[],2)</f>
        <v>197</v>
      </c>
      <c r="B740">
        <v>494</v>
      </c>
      <c r="C74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0">
        <f ca="1">RAND()</f>
        <v>2.3273533452837669E-2</v>
      </c>
      <c r="E740">
        <f ca="1">RANK(dict_zul_Var_Meth[[#This Row],[ignored_rand]],dict_zul_Var_Meth[ignored_rand])</f>
        <v>740</v>
      </c>
    </row>
    <row r="741" spans="1:5" x14ac:dyDescent="0.45">
      <c r="A741">
        <f ca="1">VLOOKUP(dict_zul_Var_Meth[[#This Row],[ignored_rank]],help_zuord_Var_Meth[],2)</f>
        <v>197</v>
      </c>
      <c r="B741">
        <v>57</v>
      </c>
      <c r="C74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1">
        <f ca="1">RAND()</f>
        <v>2.6364236799474416E-2</v>
      </c>
      <c r="E741">
        <f ca="1">RANK(dict_zul_Var_Meth[[#This Row],[ignored_rand]],dict_zul_Var_Meth[ignored_rand])</f>
        <v>737</v>
      </c>
    </row>
    <row r="742" spans="1:5" x14ac:dyDescent="0.45">
      <c r="A742">
        <f ca="1">VLOOKUP(dict_zul_Var_Meth[[#This Row],[ignored_rank]],help_zuord_Var_Meth[],2)</f>
        <v>198</v>
      </c>
      <c r="B742">
        <v>60</v>
      </c>
      <c r="C74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2">
        <f ca="1">RAND()</f>
        <v>1.9940380857951912E-2</v>
      </c>
      <c r="E742">
        <f ca="1">RANK(dict_zul_Var_Meth[[#This Row],[ignored_rand]],dict_zul_Var_Meth[ignored_rand])</f>
        <v>742</v>
      </c>
    </row>
    <row r="743" spans="1:5" x14ac:dyDescent="0.45">
      <c r="A743">
        <f ca="1">VLOOKUP(dict_zul_Var_Meth[[#This Row],[ignored_rank]],help_zuord_Var_Meth[],2)</f>
        <v>198</v>
      </c>
      <c r="B743">
        <v>461</v>
      </c>
      <c r="C74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3">
        <f ca="1">RAND()</f>
        <v>1.8663713113359681E-2</v>
      </c>
      <c r="E743">
        <f ca="1">RANK(dict_zul_Var_Meth[[#This Row],[ignored_rand]],dict_zul_Var_Meth[ignored_rand])</f>
        <v>744</v>
      </c>
    </row>
    <row r="744" spans="1:5" x14ac:dyDescent="0.45">
      <c r="A744">
        <f ca="1">VLOOKUP(dict_zul_Var_Meth[[#This Row],[ignored_rank]],help_zuord_Var_Meth[],2)</f>
        <v>198</v>
      </c>
      <c r="B744">
        <v>158</v>
      </c>
      <c r="C74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4">
        <f ca="1">RAND()</f>
        <v>1.9851191648106448E-2</v>
      </c>
      <c r="E744">
        <f ca="1">RANK(dict_zul_Var_Meth[[#This Row],[ignored_rand]],dict_zul_Var_Meth[ignored_rand])</f>
        <v>743</v>
      </c>
    </row>
    <row r="745" spans="1:5" x14ac:dyDescent="0.45">
      <c r="A745">
        <f ca="1">VLOOKUP(dict_zul_Var_Meth[[#This Row],[ignored_rank]],help_zuord_Var_Meth[],2)</f>
        <v>198</v>
      </c>
      <c r="B745">
        <v>561</v>
      </c>
      <c r="C74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5">
        <f ca="1">RAND()</f>
        <v>2.1330969047808512E-2</v>
      </c>
      <c r="E745">
        <f ca="1">RANK(dict_zul_Var_Meth[[#This Row],[ignored_rand]],dict_zul_Var_Meth[ignored_rand])</f>
        <v>741</v>
      </c>
    </row>
    <row r="746" spans="1:5" x14ac:dyDescent="0.45">
      <c r="A746">
        <f ca="1">VLOOKUP(dict_zul_Var_Meth[[#This Row],[ignored_rank]],help_zuord_Var_Meth[],2)</f>
        <v>199</v>
      </c>
      <c r="B746">
        <v>362</v>
      </c>
      <c r="C74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6">
        <f ca="1">RAND()</f>
        <v>1.4573525979197255E-2</v>
      </c>
      <c r="E746">
        <f ca="1">RANK(dict_zul_Var_Meth[[#This Row],[ignored_rand]],dict_zul_Var_Meth[ignored_rand])</f>
        <v>748</v>
      </c>
    </row>
    <row r="747" spans="1:5" x14ac:dyDescent="0.45">
      <c r="A747">
        <f ca="1">VLOOKUP(dict_zul_Var_Meth[[#This Row],[ignored_rank]],help_zuord_Var_Meth[],2)</f>
        <v>199</v>
      </c>
      <c r="B747">
        <v>129</v>
      </c>
      <c r="C74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7">
        <f ca="1">RAND()</f>
        <v>1.6788772306858601E-2</v>
      </c>
      <c r="E747">
        <f ca="1">RANK(dict_zul_Var_Meth[[#This Row],[ignored_rand]],dict_zul_Var_Meth[ignored_rand])</f>
        <v>747</v>
      </c>
    </row>
    <row r="748" spans="1:5" x14ac:dyDescent="0.45">
      <c r="A748">
        <f ca="1">VLOOKUP(dict_zul_Var_Meth[[#This Row],[ignored_rank]],help_zuord_Var_Meth[],2)</f>
        <v>199</v>
      </c>
      <c r="B748">
        <v>425</v>
      </c>
      <c r="C74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8">
        <f ca="1">RAND()</f>
        <v>1.7058589785916567E-2</v>
      </c>
      <c r="E748">
        <f ca="1">RANK(dict_zul_Var_Meth[[#This Row],[ignored_rand]],dict_zul_Var_Meth[ignored_rand])</f>
        <v>746</v>
      </c>
    </row>
    <row r="749" spans="1:5" x14ac:dyDescent="0.45">
      <c r="A749">
        <f ca="1">VLOOKUP(dict_zul_Var_Meth[[#This Row],[ignored_rank]],help_zuord_Var_Meth[],2)</f>
        <v>199</v>
      </c>
      <c r="B749">
        <v>542</v>
      </c>
      <c r="C74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49">
        <f ca="1">RAND()</f>
        <v>1.76802555241099E-2</v>
      </c>
      <c r="E749">
        <f ca="1">RANK(dict_zul_Var_Meth[[#This Row],[ignored_rand]],dict_zul_Var_Meth[ignored_rand])</f>
        <v>745</v>
      </c>
    </row>
    <row r="750" spans="1:5" x14ac:dyDescent="0.45">
      <c r="A750">
        <f ca="1">VLOOKUP(dict_zul_Var_Meth[[#This Row],[ignored_rank]],help_zuord_Var_Meth[],2)</f>
        <v>200</v>
      </c>
      <c r="B750">
        <v>25</v>
      </c>
      <c r="C75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0">
        <f ca="1">RAND()</f>
        <v>7.0544829662485542E-3</v>
      </c>
      <c r="E750">
        <f ca="1">RANK(dict_zul_Var_Meth[[#This Row],[ignored_rand]],dict_zul_Var_Meth[ignored_rand])</f>
        <v>756</v>
      </c>
    </row>
    <row r="751" spans="1:5" x14ac:dyDescent="0.45">
      <c r="A751" s="3">
        <f ca="1">VLOOKUP(dict_zul_Var_Meth[[#This Row],[ignored_rank]],help_zuord_Var_Meth[],2)</f>
        <v>200</v>
      </c>
      <c r="B751">
        <v>52</v>
      </c>
      <c r="C75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1">
        <f ca="1">RAND()</f>
        <v>1.300135667778668E-2</v>
      </c>
      <c r="E751" s="3">
        <f ca="1">RANK(dict_zul_Var_Meth[[#This Row],[ignored_rand]],dict_zul_Var_Meth[ignored_rand])</f>
        <v>752</v>
      </c>
    </row>
    <row r="752" spans="1:5" x14ac:dyDescent="0.45">
      <c r="A752">
        <f ca="1">VLOOKUP(dict_zul_Var_Meth[[#This Row],[ignored_rank]],help_zuord_Var_Meth[],2)</f>
        <v>200</v>
      </c>
      <c r="B752">
        <v>265</v>
      </c>
      <c r="C752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2">
        <f ca="1">RAND()</f>
        <v>8.5903072106636724E-3</v>
      </c>
      <c r="E752">
        <f ca="1">RANK(dict_zul_Var_Meth[[#This Row],[ignored_rand]],dict_zul_Var_Meth[ignored_rand])</f>
        <v>755</v>
      </c>
    </row>
    <row r="753" spans="1:5" x14ac:dyDescent="0.45">
      <c r="A753">
        <f ca="1">VLOOKUP(dict_zul_Var_Meth[[#This Row],[ignored_rank]],help_zuord_Var_Meth[],2)</f>
        <v>200</v>
      </c>
      <c r="B753">
        <v>662</v>
      </c>
      <c r="C753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3">
        <f ca="1">RAND()</f>
        <v>1.070514605654771E-3</v>
      </c>
      <c r="E753">
        <f ca="1">RANK(dict_zul_Var_Meth[[#This Row],[ignored_rand]],dict_zul_Var_Meth[ignored_rand])</f>
        <v>760</v>
      </c>
    </row>
    <row r="754" spans="1:5" x14ac:dyDescent="0.45">
      <c r="A754">
        <f ca="1">VLOOKUP(dict_zul_Var_Meth[[#This Row],[ignored_rank]],help_zuord_Var_Meth[],2)</f>
        <v>200</v>
      </c>
      <c r="B754">
        <v>510</v>
      </c>
      <c r="C754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4">
        <f ca="1">RAND()</f>
        <v>1.0178153340740237E-2</v>
      </c>
      <c r="E754">
        <f ca="1">RANK(dict_zul_Var_Meth[[#This Row],[ignored_rand]],dict_zul_Var_Meth[ignored_rand])</f>
        <v>754</v>
      </c>
    </row>
    <row r="755" spans="1:5" x14ac:dyDescent="0.45">
      <c r="A755">
        <f ca="1">VLOOKUP(dict_zul_Var_Meth[[#This Row],[ignored_rank]],help_zuord_Var_Meth[],2)</f>
        <v>200</v>
      </c>
      <c r="B755">
        <v>160</v>
      </c>
      <c r="C755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5">
        <f ca="1">RAND()</f>
        <v>5.5525188380317614E-3</v>
      </c>
      <c r="E755">
        <f ca="1">RANK(dict_zul_Var_Meth[[#This Row],[ignored_rand]],dict_zul_Var_Meth[ignored_rand])</f>
        <v>757</v>
      </c>
    </row>
    <row r="756" spans="1:5" x14ac:dyDescent="0.45">
      <c r="A756">
        <f ca="1">VLOOKUP(dict_zul_Var_Meth[[#This Row],[ignored_rank]],help_zuord_Var_Meth[],2)</f>
        <v>200</v>
      </c>
      <c r="B756">
        <v>506</v>
      </c>
      <c r="C756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6">
        <f ca="1">RAND()</f>
        <v>3.0047244527625638E-3</v>
      </c>
      <c r="E756">
        <f ca="1">RANK(dict_zul_Var_Meth[[#This Row],[ignored_rand]],dict_zul_Var_Meth[ignored_rand])</f>
        <v>759</v>
      </c>
    </row>
    <row r="757" spans="1:5" x14ac:dyDescent="0.45">
      <c r="A757">
        <f ca="1">VLOOKUP(dict_zul_Var_Meth[[#This Row],[ignored_rank]],help_zuord_Var_Meth[],2)</f>
        <v>200</v>
      </c>
      <c r="B757">
        <v>352</v>
      </c>
      <c r="C757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7">
        <f ca="1">RAND()</f>
        <v>1.0946360899177332E-2</v>
      </c>
      <c r="E757">
        <f ca="1">RANK(dict_zul_Var_Meth[[#This Row],[ignored_rand]],dict_zul_Var_Meth[ignored_rand])</f>
        <v>753</v>
      </c>
    </row>
    <row r="758" spans="1:5" x14ac:dyDescent="0.45">
      <c r="A758">
        <f ca="1">VLOOKUP(dict_zul_Var_Meth[[#This Row],[ignored_rank]],help_zuord_Var_Meth[],2)</f>
        <v>200</v>
      </c>
      <c r="B758">
        <v>669</v>
      </c>
      <c r="C758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8">
        <f ca="1">RAND()</f>
        <v>1.3058324944372757E-2</v>
      </c>
      <c r="E758">
        <f ca="1">RANK(dict_zul_Var_Meth[[#This Row],[ignored_rand]],dict_zul_Var_Meth[ignored_rand])</f>
        <v>751</v>
      </c>
    </row>
    <row r="759" spans="1:5" x14ac:dyDescent="0.45">
      <c r="A759">
        <f ca="1">VLOOKUP(dict_zul_Var_Meth[[#This Row],[ignored_rank]],help_zuord_Var_Meth[],2)</f>
        <v>200</v>
      </c>
      <c r="B759">
        <v>13</v>
      </c>
      <c r="C759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59">
        <f ca="1">RAND()</f>
        <v>1.3117919679732748E-2</v>
      </c>
      <c r="E759">
        <f ca="1">RANK(dict_zul_Var_Meth[[#This Row],[ignored_rand]],dict_zul_Var_Meth[ignored_rand])</f>
        <v>749</v>
      </c>
    </row>
    <row r="760" spans="1:5" x14ac:dyDescent="0.45">
      <c r="A760">
        <f ca="1">VLOOKUP(dict_zul_Var_Meth[[#This Row],[ignored_rank]],help_zuord_Var_Meth[],2)</f>
        <v>200</v>
      </c>
      <c r="B760">
        <v>260</v>
      </c>
      <c r="C760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0">
        <f ca="1">RAND()</f>
        <v>3.9177573556107292E-3</v>
      </c>
      <c r="E760">
        <f ca="1">RANK(dict_zul_Var_Meth[[#This Row],[ignored_rand]],dict_zul_Var_Meth[ignored_rand])</f>
        <v>758</v>
      </c>
    </row>
    <row r="761" spans="1:5" x14ac:dyDescent="0.45">
      <c r="A761">
        <f ca="1">VLOOKUP(dict_zul_Var_Meth[[#This Row],[ignored_rank]],help_zuord_Var_Meth[],2)</f>
        <v>200</v>
      </c>
      <c r="B761">
        <v>43</v>
      </c>
      <c r="C761" s="3" t="b">
        <f ca="1">IF(MIN(SUMPRODUCT(SUBTOTAL(103,OFFSET(table_Variables[ID],ROW(table_Variables[ID])-MIN(ROW(table_Variables[ID])),,1))*(table_Variables[ID]=dict_zul_Var_Meth[[#This Row],[ID_Variables]])),SUMPRODUCT(SUBTOTAL(103,OFFSET(table_Methods[ID],ROW(table_Methods[ID])-MIN(ROW(table_Methods[ID])),,1))*(table_Methods[ID]=dict_zul_Var_Meth[[#This Row],[ID_Methods]])))&gt;0,TRUE,FALSE)</f>
        <v>0</v>
      </c>
      <c r="D761">
        <f ca="1">RAND()</f>
        <v>1.3059800751895612E-2</v>
      </c>
      <c r="E761">
        <f ca="1">RANK(dict_zul_Var_Meth[[#This Row],[ignored_rand]],dict_zul_Var_Meth[ignored_rand])</f>
        <v>750</v>
      </c>
    </row>
  </sheetData>
  <pageMargins left="0.7" right="0.7" top="0.78740157499999996" bottom="0.78740157499999996" header="0.3" footer="0.3"/>
  <pageSetup paperSize="9" orientation="portrait" r:id="rId1"/>
  <tableParts count="2">
    <tablePart r:id="rId2"/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C403"/>
  <sheetViews>
    <sheetView topLeftCell="A388" workbookViewId="0"/>
  </sheetViews>
  <sheetFormatPr baseColWidth="10" defaultRowHeight="14.25" x14ac:dyDescent="0.45"/>
  <cols>
    <col min="1" max="1" width="13.86328125" bestFit="1" customWidth="1"/>
    <col min="2" max="2" width="17.59765625" bestFit="1" customWidth="1"/>
    <col min="3" max="3" width="10.86328125" bestFit="1" customWidth="1"/>
  </cols>
  <sheetData>
    <row r="1" spans="1:3" x14ac:dyDescent="0.45">
      <c r="A1" t="s">
        <v>26</v>
      </c>
      <c r="B1" t="s">
        <v>28</v>
      </c>
      <c r="C1" t="s">
        <v>66</v>
      </c>
    </row>
    <row r="2" spans="1:3" x14ac:dyDescent="0.45">
      <c r="A2">
        <f>ROUNDDOWN(dict_zuord_Var_DQ[[#This Row],[ID_DataQualities]]/2,0)</f>
        <v>0</v>
      </c>
      <c r="B2">
        <v>0</v>
      </c>
      <c r="C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3" spans="1:3" x14ac:dyDescent="0.45">
      <c r="A3">
        <f>ROUNDDOWN(dict_zuord_Var_DQ[[#This Row],[ID_DataQualities]]/2,0)</f>
        <v>0</v>
      </c>
      <c r="B3">
        <v>1</v>
      </c>
      <c r="C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4" spans="1:3" x14ac:dyDescent="0.45">
      <c r="A4">
        <f>ROUNDDOWN(dict_zuord_Var_DQ[[#This Row],[ID_DataQualities]]/2,0)</f>
        <v>1</v>
      </c>
      <c r="B4">
        <v>2</v>
      </c>
      <c r="C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5" spans="1:3" x14ac:dyDescent="0.45">
      <c r="A5">
        <f>ROUNDDOWN(dict_zuord_Var_DQ[[#This Row],[ID_DataQualities]]/2,0)</f>
        <v>1</v>
      </c>
      <c r="B5">
        <v>3</v>
      </c>
      <c r="C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6" spans="1:3" x14ac:dyDescent="0.45">
      <c r="A6">
        <f>ROUNDDOWN(dict_zuord_Var_DQ[[#This Row],[ID_DataQualities]]/2,0)</f>
        <v>2</v>
      </c>
      <c r="B6">
        <v>4</v>
      </c>
      <c r="C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7" spans="1:3" x14ac:dyDescent="0.45">
      <c r="A7">
        <f>ROUNDDOWN(dict_zuord_Var_DQ[[#This Row],[ID_DataQualities]]/2,0)</f>
        <v>2</v>
      </c>
      <c r="B7">
        <v>5</v>
      </c>
      <c r="C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8" spans="1:3" x14ac:dyDescent="0.45">
      <c r="A8">
        <f>ROUNDDOWN(dict_zuord_Var_DQ[[#This Row],[ID_DataQualities]]/2,0)</f>
        <v>3</v>
      </c>
      <c r="B8">
        <v>6</v>
      </c>
      <c r="C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9" spans="1:3" x14ac:dyDescent="0.45">
      <c r="A9">
        <f>ROUNDDOWN(dict_zuord_Var_DQ[[#This Row],[ID_DataQualities]]/2,0)</f>
        <v>3</v>
      </c>
      <c r="B9">
        <v>7</v>
      </c>
      <c r="C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0" spans="1:3" x14ac:dyDescent="0.45">
      <c r="A10">
        <f>ROUNDDOWN(dict_zuord_Var_DQ[[#This Row],[ID_DataQualities]]/2,0)</f>
        <v>4</v>
      </c>
      <c r="B10">
        <v>8</v>
      </c>
      <c r="C1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1" spans="1:3" x14ac:dyDescent="0.45">
      <c r="A11">
        <f>ROUNDDOWN(dict_zuord_Var_DQ[[#This Row],[ID_DataQualities]]/2,0)</f>
        <v>4</v>
      </c>
      <c r="B11">
        <v>9</v>
      </c>
      <c r="C1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2" spans="1:3" x14ac:dyDescent="0.45">
      <c r="A12">
        <f>ROUNDDOWN(dict_zuord_Var_DQ[[#This Row],[ID_DataQualities]]/2,0)</f>
        <v>5</v>
      </c>
      <c r="B12">
        <v>10</v>
      </c>
      <c r="C1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3" spans="1:3" x14ac:dyDescent="0.45">
      <c r="A13">
        <f>ROUNDDOWN(dict_zuord_Var_DQ[[#This Row],[ID_DataQualities]]/2,0)</f>
        <v>5</v>
      </c>
      <c r="B13">
        <v>11</v>
      </c>
      <c r="C1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4" spans="1:3" x14ac:dyDescent="0.45">
      <c r="A14">
        <f>ROUNDDOWN(dict_zuord_Var_DQ[[#This Row],[ID_DataQualities]]/2,0)</f>
        <v>6</v>
      </c>
      <c r="B14">
        <v>12</v>
      </c>
      <c r="C1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5" spans="1:3" x14ac:dyDescent="0.45">
      <c r="A15">
        <f>ROUNDDOWN(dict_zuord_Var_DQ[[#This Row],[ID_DataQualities]]/2,0)</f>
        <v>6</v>
      </c>
      <c r="B15">
        <v>13</v>
      </c>
      <c r="C15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6" spans="1:3" x14ac:dyDescent="0.45">
      <c r="A16">
        <f>ROUNDDOWN(dict_zuord_Var_DQ[[#This Row],[ID_DataQualities]]/2,0)</f>
        <v>7</v>
      </c>
      <c r="B16">
        <v>14</v>
      </c>
      <c r="C16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7" spans="1:3" x14ac:dyDescent="0.45">
      <c r="A17">
        <f>ROUNDDOWN(dict_zuord_Var_DQ[[#This Row],[ID_DataQualities]]/2,0)</f>
        <v>7</v>
      </c>
      <c r="B17">
        <v>15</v>
      </c>
      <c r="C17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1</v>
      </c>
    </row>
    <row r="18" spans="1:3" x14ac:dyDescent="0.45">
      <c r="A18">
        <f>ROUNDDOWN(dict_zuord_Var_DQ[[#This Row],[ID_DataQualities]]/2,0)</f>
        <v>8</v>
      </c>
      <c r="B18">
        <v>16</v>
      </c>
      <c r="C18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" spans="1:3" x14ac:dyDescent="0.45">
      <c r="A19">
        <f>ROUNDDOWN(dict_zuord_Var_DQ[[#This Row],[ID_DataQualities]]/2,0)</f>
        <v>8</v>
      </c>
      <c r="B19">
        <v>17</v>
      </c>
      <c r="C19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" spans="1:3" x14ac:dyDescent="0.45">
      <c r="A20">
        <f>ROUNDDOWN(dict_zuord_Var_DQ[[#This Row],[ID_DataQualities]]/2,0)</f>
        <v>9</v>
      </c>
      <c r="B20">
        <v>18</v>
      </c>
      <c r="C20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" spans="1:3" x14ac:dyDescent="0.45">
      <c r="A21">
        <f>ROUNDDOWN(dict_zuord_Var_DQ[[#This Row],[ID_DataQualities]]/2,0)</f>
        <v>9</v>
      </c>
      <c r="B21">
        <v>19</v>
      </c>
      <c r="C21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" spans="1:3" x14ac:dyDescent="0.45">
      <c r="A22">
        <f>ROUNDDOWN(dict_zuord_Var_DQ[[#This Row],[ID_DataQualities]]/2,0)</f>
        <v>10</v>
      </c>
      <c r="B22">
        <v>20</v>
      </c>
      <c r="C22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" spans="1:3" x14ac:dyDescent="0.45">
      <c r="A23">
        <f>ROUNDDOWN(dict_zuord_Var_DQ[[#This Row],[ID_DataQualities]]/2,0)</f>
        <v>10</v>
      </c>
      <c r="B23">
        <v>21</v>
      </c>
      <c r="C2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" spans="1:3" x14ac:dyDescent="0.45">
      <c r="A24">
        <f>ROUNDDOWN(dict_zuord_Var_DQ[[#This Row],[ID_DataQualities]]/2,0)</f>
        <v>11</v>
      </c>
      <c r="B24">
        <v>22</v>
      </c>
      <c r="C24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" spans="1:3" x14ac:dyDescent="0.45">
      <c r="A25">
        <f>ROUNDDOWN(dict_zuord_Var_DQ[[#This Row],[ID_DataQualities]]/2,0)</f>
        <v>11</v>
      </c>
      <c r="B25">
        <v>23</v>
      </c>
      <c r="C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" spans="1:3" x14ac:dyDescent="0.45">
      <c r="A26">
        <f>ROUNDDOWN(dict_zuord_Var_DQ[[#This Row],[ID_DataQualities]]/2,0)</f>
        <v>12</v>
      </c>
      <c r="B26">
        <v>24</v>
      </c>
      <c r="C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" spans="1:3" x14ac:dyDescent="0.45">
      <c r="A27">
        <f>ROUNDDOWN(dict_zuord_Var_DQ[[#This Row],[ID_DataQualities]]/2,0)</f>
        <v>12</v>
      </c>
      <c r="B27">
        <v>25</v>
      </c>
      <c r="C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" spans="1:3" x14ac:dyDescent="0.45">
      <c r="A28">
        <f>ROUNDDOWN(dict_zuord_Var_DQ[[#This Row],[ID_DataQualities]]/2,0)</f>
        <v>13</v>
      </c>
      <c r="B28">
        <v>26</v>
      </c>
      <c r="C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" spans="1:3" x14ac:dyDescent="0.45">
      <c r="A29">
        <f>ROUNDDOWN(dict_zuord_Var_DQ[[#This Row],[ID_DataQualities]]/2,0)</f>
        <v>13</v>
      </c>
      <c r="B29">
        <v>27</v>
      </c>
      <c r="C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" spans="1:3" x14ac:dyDescent="0.45">
      <c r="A30">
        <f>ROUNDDOWN(dict_zuord_Var_DQ[[#This Row],[ID_DataQualities]]/2,0)</f>
        <v>14</v>
      </c>
      <c r="B30">
        <v>28</v>
      </c>
      <c r="C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" spans="1:3" x14ac:dyDescent="0.45">
      <c r="A31">
        <f>ROUNDDOWN(dict_zuord_Var_DQ[[#This Row],[ID_DataQualities]]/2,0)</f>
        <v>14</v>
      </c>
      <c r="B31">
        <v>29</v>
      </c>
      <c r="C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" spans="1:3" x14ac:dyDescent="0.45">
      <c r="A32">
        <f>ROUNDDOWN(dict_zuord_Var_DQ[[#This Row],[ID_DataQualities]]/2,0)</f>
        <v>15</v>
      </c>
      <c r="B32">
        <v>30</v>
      </c>
      <c r="C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" spans="1:3" x14ac:dyDescent="0.45">
      <c r="A33">
        <f>ROUNDDOWN(dict_zuord_Var_DQ[[#This Row],[ID_DataQualities]]/2,0)</f>
        <v>15</v>
      </c>
      <c r="B33">
        <v>31</v>
      </c>
      <c r="C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" spans="1:3" x14ac:dyDescent="0.45">
      <c r="A34">
        <f>ROUNDDOWN(dict_zuord_Var_DQ[[#This Row],[ID_DataQualities]]/2,0)</f>
        <v>16</v>
      </c>
      <c r="B34">
        <v>32</v>
      </c>
      <c r="C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" spans="1:3" x14ac:dyDescent="0.45">
      <c r="A35">
        <f>ROUNDDOWN(dict_zuord_Var_DQ[[#This Row],[ID_DataQualities]]/2,0)</f>
        <v>16</v>
      </c>
      <c r="B35">
        <v>33</v>
      </c>
      <c r="C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" spans="1:3" x14ac:dyDescent="0.45">
      <c r="A36">
        <f>ROUNDDOWN(dict_zuord_Var_DQ[[#This Row],[ID_DataQualities]]/2,0)</f>
        <v>17</v>
      </c>
      <c r="B36">
        <v>34</v>
      </c>
      <c r="C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" spans="1:3" x14ac:dyDescent="0.45">
      <c r="A37">
        <f>ROUNDDOWN(dict_zuord_Var_DQ[[#This Row],[ID_DataQualities]]/2,0)</f>
        <v>17</v>
      </c>
      <c r="B37">
        <v>35</v>
      </c>
      <c r="C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" spans="1:3" x14ac:dyDescent="0.45">
      <c r="A38">
        <f>ROUNDDOWN(dict_zuord_Var_DQ[[#This Row],[ID_DataQualities]]/2,0)</f>
        <v>18</v>
      </c>
      <c r="B38">
        <v>36</v>
      </c>
      <c r="C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" spans="1:3" x14ac:dyDescent="0.45">
      <c r="A39">
        <f>ROUNDDOWN(dict_zuord_Var_DQ[[#This Row],[ID_DataQualities]]/2,0)</f>
        <v>18</v>
      </c>
      <c r="B39">
        <v>37</v>
      </c>
      <c r="C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" spans="1:3" x14ac:dyDescent="0.45">
      <c r="A40">
        <f>ROUNDDOWN(dict_zuord_Var_DQ[[#This Row],[ID_DataQualities]]/2,0)</f>
        <v>19</v>
      </c>
      <c r="B40">
        <v>38</v>
      </c>
      <c r="C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1" spans="1:3" x14ac:dyDescent="0.45">
      <c r="A41">
        <f>ROUNDDOWN(dict_zuord_Var_DQ[[#This Row],[ID_DataQualities]]/2,0)</f>
        <v>19</v>
      </c>
      <c r="B41">
        <v>39</v>
      </c>
      <c r="C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2" spans="1:3" x14ac:dyDescent="0.45">
      <c r="A42">
        <f>ROUNDDOWN(dict_zuord_Var_DQ[[#This Row],[ID_DataQualities]]/2,0)</f>
        <v>20</v>
      </c>
      <c r="B42">
        <v>40</v>
      </c>
      <c r="C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3" spans="1:3" x14ac:dyDescent="0.45">
      <c r="A43">
        <f>ROUNDDOWN(dict_zuord_Var_DQ[[#This Row],[ID_DataQualities]]/2,0)</f>
        <v>20</v>
      </c>
      <c r="B43">
        <v>41</v>
      </c>
      <c r="C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4" spans="1:3" x14ac:dyDescent="0.45">
      <c r="A44">
        <f>ROUNDDOWN(dict_zuord_Var_DQ[[#This Row],[ID_DataQualities]]/2,0)</f>
        <v>21</v>
      </c>
      <c r="B44">
        <v>42</v>
      </c>
      <c r="C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5" spans="1:3" x14ac:dyDescent="0.45">
      <c r="A45">
        <f>ROUNDDOWN(dict_zuord_Var_DQ[[#This Row],[ID_DataQualities]]/2,0)</f>
        <v>21</v>
      </c>
      <c r="B45">
        <v>43</v>
      </c>
      <c r="C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6" spans="1:3" x14ac:dyDescent="0.45">
      <c r="A46">
        <f>ROUNDDOWN(dict_zuord_Var_DQ[[#This Row],[ID_DataQualities]]/2,0)</f>
        <v>22</v>
      </c>
      <c r="B46">
        <v>44</v>
      </c>
      <c r="C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7" spans="1:3" x14ac:dyDescent="0.45">
      <c r="A47">
        <f>ROUNDDOWN(dict_zuord_Var_DQ[[#This Row],[ID_DataQualities]]/2,0)</f>
        <v>22</v>
      </c>
      <c r="B47">
        <v>45</v>
      </c>
      <c r="C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8" spans="1:3" x14ac:dyDescent="0.45">
      <c r="A48">
        <f>ROUNDDOWN(dict_zuord_Var_DQ[[#This Row],[ID_DataQualities]]/2,0)</f>
        <v>23</v>
      </c>
      <c r="B48">
        <v>46</v>
      </c>
      <c r="C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9" spans="1:3" x14ac:dyDescent="0.45">
      <c r="A49">
        <f>ROUNDDOWN(dict_zuord_Var_DQ[[#This Row],[ID_DataQualities]]/2,0)</f>
        <v>23</v>
      </c>
      <c r="B49">
        <v>47</v>
      </c>
      <c r="C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0" spans="1:3" x14ac:dyDescent="0.45">
      <c r="A50">
        <f>ROUNDDOWN(dict_zuord_Var_DQ[[#This Row],[ID_DataQualities]]/2,0)</f>
        <v>24</v>
      </c>
      <c r="B50">
        <v>48</v>
      </c>
      <c r="C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1" spans="1:3" x14ac:dyDescent="0.45">
      <c r="A51">
        <f>ROUNDDOWN(dict_zuord_Var_DQ[[#This Row],[ID_DataQualities]]/2,0)</f>
        <v>24</v>
      </c>
      <c r="B51">
        <v>49</v>
      </c>
      <c r="C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2" spans="1:3" x14ac:dyDescent="0.45">
      <c r="A52">
        <f>ROUNDDOWN(dict_zuord_Var_DQ[[#This Row],[ID_DataQualities]]/2,0)</f>
        <v>25</v>
      </c>
      <c r="B52">
        <v>50</v>
      </c>
      <c r="C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3" spans="1:3" x14ac:dyDescent="0.45">
      <c r="A53">
        <f>ROUNDDOWN(dict_zuord_Var_DQ[[#This Row],[ID_DataQualities]]/2,0)</f>
        <v>25</v>
      </c>
      <c r="B53">
        <v>51</v>
      </c>
      <c r="C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4" spans="1:3" x14ac:dyDescent="0.45">
      <c r="A54">
        <f>ROUNDDOWN(dict_zuord_Var_DQ[[#This Row],[ID_DataQualities]]/2,0)</f>
        <v>26</v>
      </c>
      <c r="B54">
        <v>52</v>
      </c>
      <c r="C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5" spans="1:3" x14ac:dyDescent="0.45">
      <c r="A55">
        <f>ROUNDDOWN(dict_zuord_Var_DQ[[#This Row],[ID_DataQualities]]/2,0)</f>
        <v>26</v>
      </c>
      <c r="B55">
        <v>53</v>
      </c>
      <c r="C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6" spans="1:3" x14ac:dyDescent="0.45">
      <c r="A56">
        <f>ROUNDDOWN(dict_zuord_Var_DQ[[#This Row],[ID_DataQualities]]/2,0)</f>
        <v>27</v>
      </c>
      <c r="B56">
        <v>54</v>
      </c>
      <c r="C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7" spans="1:3" x14ac:dyDescent="0.45">
      <c r="A57">
        <f>ROUNDDOWN(dict_zuord_Var_DQ[[#This Row],[ID_DataQualities]]/2,0)</f>
        <v>27</v>
      </c>
      <c r="B57">
        <v>55</v>
      </c>
      <c r="C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8" spans="1:3" x14ac:dyDescent="0.45">
      <c r="A58">
        <f>ROUNDDOWN(dict_zuord_Var_DQ[[#This Row],[ID_DataQualities]]/2,0)</f>
        <v>28</v>
      </c>
      <c r="B58">
        <v>56</v>
      </c>
      <c r="C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59" spans="1:3" x14ac:dyDescent="0.45">
      <c r="A59">
        <f>ROUNDDOWN(dict_zuord_Var_DQ[[#This Row],[ID_DataQualities]]/2,0)</f>
        <v>28</v>
      </c>
      <c r="B59">
        <v>57</v>
      </c>
      <c r="C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0" spans="1:3" x14ac:dyDescent="0.45">
      <c r="A60">
        <f>ROUNDDOWN(dict_zuord_Var_DQ[[#This Row],[ID_DataQualities]]/2,0)</f>
        <v>29</v>
      </c>
      <c r="B60">
        <v>58</v>
      </c>
      <c r="C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1" spans="1:3" x14ac:dyDescent="0.45">
      <c r="A61">
        <f>ROUNDDOWN(dict_zuord_Var_DQ[[#This Row],[ID_DataQualities]]/2,0)</f>
        <v>29</v>
      </c>
      <c r="B61">
        <v>59</v>
      </c>
      <c r="C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2" spans="1:3" x14ac:dyDescent="0.45">
      <c r="A62">
        <f>ROUNDDOWN(dict_zuord_Var_DQ[[#This Row],[ID_DataQualities]]/2,0)</f>
        <v>30</v>
      </c>
      <c r="B62">
        <v>60</v>
      </c>
      <c r="C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3" spans="1:3" x14ac:dyDescent="0.45">
      <c r="A63">
        <f>ROUNDDOWN(dict_zuord_Var_DQ[[#This Row],[ID_DataQualities]]/2,0)</f>
        <v>30</v>
      </c>
      <c r="B63">
        <v>61</v>
      </c>
      <c r="C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4" spans="1:3" x14ac:dyDescent="0.45">
      <c r="A64">
        <f>ROUNDDOWN(dict_zuord_Var_DQ[[#This Row],[ID_DataQualities]]/2,0)</f>
        <v>31</v>
      </c>
      <c r="B64">
        <v>62</v>
      </c>
      <c r="C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5" spans="1:3" x14ac:dyDescent="0.45">
      <c r="A65">
        <f>ROUNDDOWN(dict_zuord_Var_DQ[[#This Row],[ID_DataQualities]]/2,0)</f>
        <v>31</v>
      </c>
      <c r="B65">
        <v>63</v>
      </c>
      <c r="C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6" spans="1:3" x14ac:dyDescent="0.45">
      <c r="A66">
        <f>ROUNDDOWN(dict_zuord_Var_DQ[[#This Row],[ID_DataQualities]]/2,0)</f>
        <v>32</v>
      </c>
      <c r="B66">
        <v>64</v>
      </c>
      <c r="C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7" spans="1:3" x14ac:dyDescent="0.45">
      <c r="A67">
        <f>ROUNDDOWN(dict_zuord_Var_DQ[[#This Row],[ID_DataQualities]]/2,0)</f>
        <v>32</v>
      </c>
      <c r="B67">
        <v>65</v>
      </c>
      <c r="C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8" spans="1:3" x14ac:dyDescent="0.45">
      <c r="A68">
        <f>ROUNDDOWN(dict_zuord_Var_DQ[[#This Row],[ID_DataQualities]]/2,0)</f>
        <v>33</v>
      </c>
      <c r="B68">
        <v>66</v>
      </c>
      <c r="C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69" spans="1:3" x14ac:dyDescent="0.45">
      <c r="A69">
        <f>ROUNDDOWN(dict_zuord_Var_DQ[[#This Row],[ID_DataQualities]]/2,0)</f>
        <v>33</v>
      </c>
      <c r="B69">
        <v>67</v>
      </c>
      <c r="C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0" spans="1:3" x14ac:dyDescent="0.45">
      <c r="A70">
        <f>ROUNDDOWN(dict_zuord_Var_DQ[[#This Row],[ID_DataQualities]]/2,0)</f>
        <v>34</v>
      </c>
      <c r="B70">
        <v>68</v>
      </c>
      <c r="C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1" spans="1:3" x14ac:dyDescent="0.45">
      <c r="A71">
        <f>ROUNDDOWN(dict_zuord_Var_DQ[[#This Row],[ID_DataQualities]]/2,0)</f>
        <v>34</v>
      </c>
      <c r="B71">
        <v>69</v>
      </c>
      <c r="C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2" spans="1:3" x14ac:dyDescent="0.45">
      <c r="A72">
        <f>ROUNDDOWN(dict_zuord_Var_DQ[[#This Row],[ID_DataQualities]]/2,0)</f>
        <v>35</v>
      </c>
      <c r="B72">
        <v>70</v>
      </c>
      <c r="C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3" spans="1:3" x14ac:dyDescent="0.45">
      <c r="A73">
        <f>ROUNDDOWN(dict_zuord_Var_DQ[[#This Row],[ID_DataQualities]]/2,0)</f>
        <v>35</v>
      </c>
      <c r="B73">
        <v>71</v>
      </c>
      <c r="C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4" spans="1:3" x14ac:dyDescent="0.45">
      <c r="A74">
        <f>ROUNDDOWN(dict_zuord_Var_DQ[[#This Row],[ID_DataQualities]]/2,0)</f>
        <v>36</v>
      </c>
      <c r="B74">
        <v>72</v>
      </c>
      <c r="C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5" spans="1:3" x14ac:dyDescent="0.45">
      <c r="A75">
        <f>ROUNDDOWN(dict_zuord_Var_DQ[[#This Row],[ID_DataQualities]]/2,0)</f>
        <v>36</v>
      </c>
      <c r="B75">
        <v>73</v>
      </c>
      <c r="C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6" spans="1:3" x14ac:dyDescent="0.45">
      <c r="A76">
        <f>ROUNDDOWN(dict_zuord_Var_DQ[[#This Row],[ID_DataQualities]]/2,0)</f>
        <v>37</v>
      </c>
      <c r="B76">
        <v>74</v>
      </c>
      <c r="C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7" spans="1:3" x14ac:dyDescent="0.45">
      <c r="A77">
        <f>ROUNDDOWN(dict_zuord_Var_DQ[[#This Row],[ID_DataQualities]]/2,0)</f>
        <v>37</v>
      </c>
      <c r="B77">
        <v>75</v>
      </c>
      <c r="C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8" spans="1:3" x14ac:dyDescent="0.45">
      <c r="A78">
        <f>ROUNDDOWN(dict_zuord_Var_DQ[[#This Row],[ID_DataQualities]]/2,0)</f>
        <v>38</v>
      </c>
      <c r="B78">
        <v>76</v>
      </c>
      <c r="C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79" spans="1:3" x14ac:dyDescent="0.45">
      <c r="A79">
        <f>ROUNDDOWN(dict_zuord_Var_DQ[[#This Row],[ID_DataQualities]]/2,0)</f>
        <v>38</v>
      </c>
      <c r="B79">
        <v>77</v>
      </c>
      <c r="C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0" spans="1:3" x14ac:dyDescent="0.45">
      <c r="A80">
        <f>ROUNDDOWN(dict_zuord_Var_DQ[[#This Row],[ID_DataQualities]]/2,0)</f>
        <v>39</v>
      </c>
      <c r="B80">
        <v>78</v>
      </c>
      <c r="C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1" spans="1:3" x14ac:dyDescent="0.45">
      <c r="A81">
        <f>ROUNDDOWN(dict_zuord_Var_DQ[[#This Row],[ID_DataQualities]]/2,0)</f>
        <v>39</v>
      </c>
      <c r="B81">
        <v>79</v>
      </c>
      <c r="C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2" spans="1:3" x14ac:dyDescent="0.45">
      <c r="A82">
        <f>ROUNDDOWN(dict_zuord_Var_DQ[[#This Row],[ID_DataQualities]]/2,0)</f>
        <v>40</v>
      </c>
      <c r="B82">
        <v>80</v>
      </c>
      <c r="C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3" spans="1:3" x14ac:dyDescent="0.45">
      <c r="A83">
        <f>ROUNDDOWN(dict_zuord_Var_DQ[[#This Row],[ID_DataQualities]]/2,0)</f>
        <v>40</v>
      </c>
      <c r="B83">
        <v>81</v>
      </c>
      <c r="C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4" spans="1:3" x14ac:dyDescent="0.45">
      <c r="A84">
        <f>ROUNDDOWN(dict_zuord_Var_DQ[[#This Row],[ID_DataQualities]]/2,0)</f>
        <v>41</v>
      </c>
      <c r="B84">
        <v>82</v>
      </c>
      <c r="C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5" spans="1:3" x14ac:dyDescent="0.45">
      <c r="A85">
        <f>ROUNDDOWN(dict_zuord_Var_DQ[[#This Row],[ID_DataQualities]]/2,0)</f>
        <v>41</v>
      </c>
      <c r="B85">
        <v>83</v>
      </c>
      <c r="C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6" spans="1:3" x14ac:dyDescent="0.45">
      <c r="A86">
        <f>ROUNDDOWN(dict_zuord_Var_DQ[[#This Row],[ID_DataQualities]]/2,0)</f>
        <v>42</v>
      </c>
      <c r="B86">
        <v>84</v>
      </c>
      <c r="C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7" spans="1:3" x14ac:dyDescent="0.45">
      <c r="A87">
        <f>ROUNDDOWN(dict_zuord_Var_DQ[[#This Row],[ID_DataQualities]]/2,0)</f>
        <v>42</v>
      </c>
      <c r="B87">
        <v>85</v>
      </c>
      <c r="C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8" spans="1:3" x14ac:dyDescent="0.45">
      <c r="A88">
        <f>ROUNDDOWN(dict_zuord_Var_DQ[[#This Row],[ID_DataQualities]]/2,0)</f>
        <v>43</v>
      </c>
      <c r="B88">
        <v>86</v>
      </c>
      <c r="C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89" spans="1:3" x14ac:dyDescent="0.45">
      <c r="A89">
        <f>ROUNDDOWN(dict_zuord_Var_DQ[[#This Row],[ID_DataQualities]]/2,0)</f>
        <v>43</v>
      </c>
      <c r="B89">
        <v>87</v>
      </c>
      <c r="C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0" spans="1:3" x14ac:dyDescent="0.45">
      <c r="A90">
        <f>ROUNDDOWN(dict_zuord_Var_DQ[[#This Row],[ID_DataQualities]]/2,0)</f>
        <v>44</v>
      </c>
      <c r="B90">
        <v>88</v>
      </c>
      <c r="C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1" spans="1:3" x14ac:dyDescent="0.45">
      <c r="A91">
        <f>ROUNDDOWN(dict_zuord_Var_DQ[[#This Row],[ID_DataQualities]]/2,0)</f>
        <v>44</v>
      </c>
      <c r="B91">
        <v>89</v>
      </c>
      <c r="C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2" spans="1:3" x14ac:dyDescent="0.45">
      <c r="A92">
        <f>ROUNDDOWN(dict_zuord_Var_DQ[[#This Row],[ID_DataQualities]]/2,0)</f>
        <v>45</v>
      </c>
      <c r="B92">
        <v>90</v>
      </c>
      <c r="C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3" spans="1:3" x14ac:dyDescent="0.45">
      <c r="A93">
        <f>ROUNDDOWN(dict_zuord_Var_DQ[[#This Row],[ID_DataQualities]]/2,0)</f>
        <v>45</v>
      </c>
      <c r="B93">
        <v>91</v>
      </c>
      <c r="C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4" spans="1:3" x14ac:dyDescent="0.45">
      <c r="A94">
        <f>ROUNDDOWN(dict_zuord_Var_DQ[[#This Row],[ID_DataQualities]]/2,0)</f>
        <v>46</v>
      </c>
      <c r="B94">
        <v>92</v>
      </c>
      <c r="C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5" spans="1:3" x14ac:dyDescent="0.45">
      <c r="A95">
        <f>ROUNDDOWN(dict_zuord_Var_DQ[[#This Row],[ID_DataQualities]]/2,0)</f>
        <v>46</v>
      </c>
      <c r="B95">
        <v>93</v>
      </c>
      <c r="C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6" spans="1:3" x14ac:dyDescent="0.45">
      <c r="A96">
        <f>ROUNDDOWN(dict_zuord_Var_DQ[[#This Row],[ID_DataQualities]]/2,0)</f>
        <v>47</v>
      </c>
      <c r="B96">
        <v>94</v>
      </c>
      <c r="C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7" spans="1:3" x14ac:dyDescent="0.45">
      <c r="A97">
        <f>ROUNDDOWN(dict_zuord_Var_DQ[[#This Row],[ID_DataQualities]]/2,0)</f>
        <v>47</v>
      </c>
      <c r="B97">
        <v>95</v>
      </c>
      <c r="C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8" spans="1:3" x14ac:dyDescent="0.45">
      <c r="A98">
        <f>ROUNDDOWN(dict_zuord_Var_DQ[[#This Row],[ID_DataQualities]]/2,0)</f>
        <v>48</v>
      </c>
      <c r="B98">
        <v>96</v>
      </c>
      <c r="C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99" spans="1:3" x14ac:dyDescent="0.45">
      <c r="A99">
        <f>ROUNDDOWN(dict_zuord_Var_DQ[[#This Row],[ID_DataQualities]]/2,0)</f>
        <v>48</v>
      </c>
      <c r="B99">
        <v>97</v>
      </c>
      <c r="C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0" spans="1:3" x14ac:dyDescent="0.45">
      <c r="A100">
        <f>ROUNDDOWN(dict_zuord_Var_DQ[[#This Row],[ID_DataQualities]]/2,0)</f>
        <v>49</v>
      </c>
      <c r="B100">
        <v>98</v>
      </c>
      <c r="C1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1" spans="1:3" x14ac:dyDescent="0.45">
      <c r="A101">
        <f>ROUNDDOWN(dict_zuord_Var_DQ[[#This Row],[ID_DataQualities]]/2,0)</f>
        <v>49</v>
      </c>
      <c r="B101">
        <v>99</v>
      </c>
      <c r="C1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2" spans="1:3" x14ac:dyDescent="0.45">
      <c r="A102">
        <f>ROUNDDOWN(dict_zuord_Var_DQ[[#This Row],[ID_DataQualities]]/2,0)</f>
        <v>50</v>
      </c>
      <c r="B102">
        <v>100</v>
      </c>
      <c r="C1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3" spans="1:3" x14ac:dyDescent="0.45">
      <c r="A103">
        <f>ROUNDDOWN(dict_zuord_Var_DQ[[#This Row],[ID_DataQualities]]/2,0)</f>
        <v>50</v>
      </c>
      <c r="B103">
        <v>101</v>
      </c>
      <c r="C1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4" spans="1:3" x14ac:dyDescent="0.45">
      <c r="A104">
        <f>ROUNDDOWN(dict_zuord_Var_DQ[[#This Row],[ID_DataQualities]]/2,0)</f>
        <v>51</v>
      </c>
      <c r="B104">
        <v>102</v>
      </c>
      <c r="C1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5" spans="1:3" x14ac:dyDescent="0.45">
      <c r="A105">
        <f>ROUNDDOWN(dict_zuord_Var_DQ[[#This Row],[ID_DataQualities]]/2,0)</f>
        <v>51</v>
      </c>
      <c r="B105">
        <v>103</v>
      </c>
      <c r="C1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6" spans="1:3" x14ac:dyDescent="0.45">
      <c r="A106">
        <f>ROUNDDOWN(dict_zuord_Var_DQ[[#This Row],[ID_DataQualities]]/2,0)</f>
        <v>52</v>
      </c>
      <c r="B106">
        <v>104</v>
      </c>
      <c r="C1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7" spans="1:3" x14ac:dyDescent="0.45">
      <c r="A107">
        <f>ROUNDDOWN(dict_zuord_Var_DQ[[#This Row],[ID_DataQualities]]/2,0)</f>
        <v>52</v>
      </c>
      <c r="B107">
        <v>105</v>
      </c>
      <c r="C1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8" spans="1:3" x14ac:dyDescent="0.45">
      <c r="A108">
        <f>ROUNDDOWN(dict_zuord_Var_DQ[[#This Row],[ID_DataQualities]]/2,0)</f>
        <v>53</v>
      </c>
      <c r="B108">
        <v>106</v>
      </c>
      <c r="C1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09" spans="1:3" x14ac:dyDescent="0.45">
      <c r="A109">
        <f>ROUNDDOWN(dict_zuord_Var_DQ[[#This Row],[ID_DataQualities]]/2,0)</f>
        <v>53</v>
      </c>
      <c r="B109">
        <v>107</v>
      </c>
      <c r="C1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0" spans="1:3" x14ac:dyDescent="0.45">
      <c r="A110">
        <f>ROUNDDOWN(dict_zuord_Var_DQ[[#This Row],[ID_DataQualities]]/2,0)</f>
        <v>54</v>
      </c>
      <c r="B110">
        <v>108</v>
      </c>
      <c r="C1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1" spans="1:3" x14ac:dyDescent="0.45">
      <c r="A111">
        <f>ROUNDDOWN(dict_zuord_Var_DQ[[#This Row],[ID_DataQualities]]/2,0)</f>
        <v>54</v>
      </c>
      <c r="B111">
        <v>109</v>
      </c>
      <c r="C1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2" spans="1:3" x14ac:dyDescent="0.45">
      <c r="A112">
        <f>ROUNDDOWN(dict_zuord_Var_DQ[[#This Row],[ID_DataQualities]]/2,0)</f>
        <v>55</v>
      </c>
      <c r="B112">
        <v>110</v>
      </c>
      <c r="C1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3" spans="1:3" x14ac:dyDescent="0.45">
      <c r="A113">
        <f>ROUNDDOWN(dict_zuord_Var_DQ[[#This Row],[ID_DataQualities]]/2,0)</f>
        <v>55</v>
      </c>
      <c r="B113">
        <v>111</v>
      </c>
      <c r="C1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4" spans="1:3" x14ac:dyDescent="0.45">
      <c r="A114">
        <f>ROUNDDOWN(dict_zuord_Var_DQ[[#This Row],[ID_DataQualities]]/2,0)</f>
        <v>56</v>
      </c>
      <c r="B114">
        <v>112</v>
      </c>
      <c r="C1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5" spans="1:3" x14ac:dyDescent="0.45">
      <c r="A115">
        <f>ROUNDDOWN(dict_zuord_Var_DQ[[#This Row],[ID_DataQualities]]/2,0)</f>
        <v>56</v>
      </c>
      <c r="B115">
        <v>113</v>
      </c>
      <c r="C1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6" spans="1:3" x14ac:dyDescent="0.45">
      <c r="A116">
        <f>ROUNDDOWN(dict_zuord_Var_DQ[[#This Row],[ID_DataQualities]]/2,0)</f>
        <v>57</v>
      </c>
      <c r="B116">
        <v>114</v>
      </c>
      <c r="C1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7" spans="1:3" x14ac:dyDescent="0.45">
      <c r="A117">
        <f>ROUNDDOWN(dict_zuord_Var_DQ[[#This Row],[ID_DataQualities]]/2,0)</f>
        <v>57</v>
      </c>
      <c r="B117">
        <v>115</v>
      </c>
      <c r="C1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8" spans="1:3" x14ac:dyDescent="0.45">
      <c r="A118">
        <f>ROUNDDOWN(dict_zuord_Var_DQ[[#This Row],[ID_DataQualities]]/2,0)</f>
        <v>58</v>
      </c>
      <c r="B118">
        <v>116</v>
      </c>
      <c r="C1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19" spans="1:3" x14ac:dyDescent="0.45">
      <c r="A119">
        <f>ROUNDDOWN(dict_zuord_Var_DQ[[#This Row],[ID_DataQualities]]/2,0)</f>
        <v>58</v>
      </c>
      <c r="B119">
        <v>117</v>
      </c>
      <c r="C1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0" spans="1:3" x14ac:dyDescent="0.45">
      <c r="A120">
        <f>ROUNDDOWN(dict_zuord_Var_DQ[[#This Row],[ID_DataQualities]]/2,0)</f>
        <v>59</v>
      </c>
      <c r="B120">
        <v>118</v>
      </c>
      <c r="C1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1" spans="1:3" x14ac:dyDescent="0.45">
      <c r="A121">
        <f>ROUNDDOWN(dict_zuord_Var_DQ[[#This Row],[ID_DataQualities]]/2,0)</f>
        <v>59</v>
      </c>
      <c r="B121">
        <v>119</v>
      </c>
      <c r="C1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2" spans="1:3" x14ac:dyDescent="0.45">
      <c r="A122">
        <f>ROUNDDOWN(dict_zuord_Var_DQ[[#This Row],[ID_DataQualities]]/2,0)</f>
        <v>60</v>
      </c>
      <c r="B122">
        <v>120</v>
      </c>
      <c r="C1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3" spans="1:3" x14ac:dyDescent="0.45">
      <c r="A123">
        <f>ROUNDDOWN(dict_zuord_Var_DQ[[#This Row],[ID_DataQualities]]/2,0)</f>
        <v>60</v>
      </c>
      <c r="B123">
        <v>121</v>
      </c>
      <c r="C1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4" spans="1:3" x14ac:dyDescent="0.45">
      <c r="A124">
        <f>ROUNDDOWN(dict_zuord_Var_DQ[[#This Row],[ID_DataQualities]]/2,0)</f>
        <v>61</v>
      </c>
      <c r="B124">
        <v>122</v>
      </c>
      <c r="C1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5" spans="1:3" x14ac:dyDescent="0.45">
      <c r="A125">
        <f>ROUNDDOWN(dict_zuord_Var_DQ[[#This Row],[ID_DataQualities]]/2,0)</f>
        <v>61</v>
      </c>
      <c r="B125">
        <v>123</v>
      </c>
      <c r="C1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6" spans="1:3" x14ac:dyDescent="0.45">
      <c r="A126">
        <f>ROUNDDOWN(dict_zuord_Var_DQ[[#This Row],[ID_DataQualities]]/2,0)</f>
        <v>62</v>
      </c>
      <c r="B126">
        <v>124</v>
      </c>
      <c r="C1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7" spans="1:3" x14ac:dyDescent="0.45">
      <c r="A127">
        <f>ROUNDDOWN(dict_zuord_Var_DQ[[#This Row],[ID_DataQualities]]/2,0)</f>
        <v>62</v>
      </c>
      <c r="B127">
        <v>125</v>
      </c>
      <c r="C1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8" spans="1:3" x14ac:dyDescent="0.45">
      <c r="A128">
        <f>ROUNDDOWN(dict_zuord_Var_DQ[[#This Row],[ID_DataQualities]]/2,0)</f>
        <v>63</v>
      </c>
      <c r="B128">
        <v>126</v>
      </c>
      <c r="C1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29" spans="1:3" x14ac:dyDescent="0.45">
      <c r="A129">
        <f>ROUNDDOWN(dict_zuord_Var_DQ[[#This Row],[ID_DataQualities]]/2,0)</f>
        <v>63</v>
      </c>
      <c r="B129">
        <v>127</v>
      </c>
      <c r="C1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0" spans="1:3" x14ac:dyDescent="0.45">
      <c r="A130">
        <f>ROUNDDOWN(dict_zuord_Var_DQ[[#This Row],[ID_DataQualities]]/2,0)</f>
        <v>64</v>
      </c>
      <c r="B130">
        <v>128</v>
      </c>
      <c r="C1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1" spans="1:3" x14ac:dyDescent="0.45">
      <c r="A131">
        <f>ROUNDDOWN(dict_zuord_Var_DQ[[#This Row],[ID_DataQualities]]/2,0)</f>
        <v>64</v>
      </c>
      <c r="B131">
        <v>129</v>
      </c>
      <c r="C1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2" spans="1:3" x14ac:dyDescent="0.45">
      <c r="A132">
        <f>ROUNDDOWN(dict_zuord_Var_DQ[[#This Row],[ID_DataQualities]]/2,0)</f>
        <v>65</v>
      </c>
      <c r="B132">
        <v>130</v>
      </c>
      <c r="C1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3" spans="1:3" x14ac:dyDescent="0.45">
      <c r="A133">
        <f>ROUNDDOWN(dict_zuord_Var_DQ[[#This Row],[ID_DataQualities]]/2,0)</f>
        <v>65</v>
      </c>
      <c r="B133">
        <v>131</v>
      </c>
      <c r="C1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4" spans="1:3" x14ac:dyDescent="0.45">
      <c r="A134">
        <f>ROUNDDOWN(dict_zuord_Var_DQ[[#This Row],[ID_DataQualities]]/2,0)</f>
        <v>66</v>
      </c>
      <c r="B134">
        <v>132</v>
      </c>
      <c r="C1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5" spans="1:3" x14ac:dyDescent="0.45">
      <c r="A135">
        <f>ROUNDDOWN(dict_zuord_Var_DQ[[#This Row],[ID_DataQualities]]/2,0)</f>
        <v>66</v>
      </c>
      <c r="B135">
        <v>133</v>
      </c>
      <c r="C1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6" spans="1:3" x14ac:dyDescent="0.45">
      <c r="A136">
        <f>ROUNDDOWN(dict_zuord_Var_DQ[[#This Row],[ID_DataQualities]]/2,0)</f>
        <v>67</v>
      </c>
      <c r="B136">
        <v>134</v>
      </c>
      <c r="C1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7" spans="1:3" x14ac:dyDescent="0.45">
      <c r="A137">
        <f>ROUNDDOWN(dict_zuord_Var_DQ[[#This Row],[ID_DataQualities]]/2,0)</f>
        <v>67</v>
      </c>
      <c r="B137">
        <v>135</v>
      </c>
      <c r="C1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8" spans="1:3" x14ac:dyDescent="0.45">
      <c r="A138">
        <f>ROUNDDOWN(dict_zuord_Var_DQ[[#This Row],[ID_DataQualities]]/2,0)</f>
        <v>68</v>
      </c>
      <c r="B138">
        <v>136</v>
      </c>
      <c r="C1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39" spans="1:3" x14ac:dyDescent="0.45">
      <c r="A139">
        <f>ROUNDDOWN(dict_zuord_Var_DQ[[#This Row],[ID_DataQualities]]/2,0)</f>
        <v>68</v>
      </c>
      <c r="B139">
        <v>137</v>
      </c>
      <c r="C1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0" spans="1:3" x14ac:dyDescent="0.45">
      <c r="A140">
        <f>ROUNDDOWN(dict_zuord_Var_DQ[[#This Row],[ID_DataQualities]]/2,0)</f>
        <v>69</v>
      </c>
      <c r="B140">
        <v>138</v>
      </c>
      <c r="C1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1" spans="1:3" x14ac:dyDescent="0.45">
      <c r="A141">
        <f>ROUNDDOWN(dict_zuord_Var_DQ[[#This Row],[ID_DataQualities]]/2,0)</f>
        <v>69</v>
      </c>
      <c r="B141">
        <v>139</v>
      </c>
      <c r="C1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2" spans="1:3" x14ac:dyDescent="0.45">
      <c r="A142">
        <f>ROUNDDOWN(dict_zuord_Var_DQ[[#This Row],[ID_DataQualities]]/2,0)</f>
        <v>70</v>
      </c>
      <c r="B142">
        <v>140</v>
      </c>
      <c r="C1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3" spans="1:3" x14ac:dyDescent="0.45">
      <c r="A143">
        <f>ROUNDDOWN(dict_zuord_Var_DQ[[#This Row],[ID_DataQualities]]/2,0)</f>
        <v>70</v>
      </c>
      <c r="B143">
        <v>141</v>
      </c>
      <c r="C1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4" spans="1:3" x14ac:dyDescent="0.45">
      <c r="A144">
        <f>ROUNDDOWN(dict_zuord_Var_DQ[[#This Row],[ID_DataQualities]]/2,0)</f>
        <v>71</v>
      </c>
      <c r="B144">
        <v>142</v>
      </c>
      <c r="C1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5" spans="1:3" x14ac:dyDescent="0.45">
      <c r="A145">
        <f>ROUNDDOWN(dict_zuord_Var_DQ[[#This Row],[ID_DataQualities]]/2,0)</f>
        <v>71</v>
      </c>
      <c r="B145">
        <v>143</v>
      </c>
      <c r="C1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6" spans="1:3" x14ac:dyDescent="0.45">
      <c r="A146">
        <f>ROUNDDOWN(dict_zuord_Var_DQ[[#This Row],[ID_DataQualities]]/2,0)</f>
        <v>72</v>
      </c>
      <c r="B146">
        <v>144</v>
      </c>
      <c r="C1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7" spans="1:3" x14ac:dyDescent="0.45">
      <c r="A147">
        <f>ROUNDDOWN(dict_zuord_Var_DQ[[#This Row],[ID_DataQualities]]/2,0)</f>
        <v>72</v>
      </c>
      <c r="B147">
        <v>145</v>
      </c>
      <c r="C1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8" spans="1:3" x14ac:dyDescent="0.45">
      <c r="A148">
        <f>ROUNDDOWN(dict_zuord_Var_DQ[[#This Row],[ID_DataQualities]]/2,0)</f>
        <v>73</v>
      </c>
      <c r="B148">
        <v>146</v>
      </c>
      <c r="C1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49" spans="1:3" x14ac:dyDescent="0.45">
      <c r="A149">
        <f>ROUNDDOWN(dict_zuord_Var_DQ[[#This Row],[ID_DataQualities]]/2,0)</f>
        <v>73</v>
      </c>
      <c r="B149">
        <v>147</v>
      </c>
      <c r="C1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0" spans="1:3" x14ac:dyDescent="0.45">
      <c r="A150">
        <f>ROUNDDOWN(dict_zuord_Var_DQ[[#This Row],[ID_DataQualities]]/2,0)</f>
        <v>74</v>
      </c>
      <c r="B150">
        <v>148</v>
      </c>
      <c r="C1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1" spans="1:3" x14ac:dyDescent="0.45">
      <c r="A151">
        <f>ROUNDDOWN(dict_zuord_Var_DQ[[#This Row],[ID_DataQualities]]/2,0)</f>
        <v>74</v>
      </c>
      <c r="B151">
        <v>149</v>
      </c>
      <c r="C1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2" spans="1:3" x14ac:dyDescent="0.45">
      <c r="A152">
        <f>ROUNDDOWN(dict_zuord_Var_DQ[[#This Row],[ID_DataQualities]]/2,0)</f>
        <v>75</v>
      </c>
      <c r="B152">
        <v>150</v>
      </c>
      <c r="C1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3" spans="1:3" x14ac:dyDescent="0.45">
      <c r="A153">
        <f>ROUNDDOWN(dict_zuord_Var_DQ[[#This Row],[ID_DataQualities]]/2,0)</f>
        <v>75</v>
      </c>
      <c r="B153">
        <v>151</v>
      </c>
      <c r="C1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4" spans="1:3" x14ac:dyDescent="0.45">
      <c r="A154">
        <f>ROUNDDOWN(dict_zuord_Var_DQ[[#This Row],[ID_DataQualities]]/2,0)</f>
        <v>76</v>
      </c>
      <c r="B154">
        <v>152</v>
      </c>
      <c r="C1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5" spans="1:3" x14ac:dyDescent="0.45">
      <c r="A155">
        <f>ROUNDDOWN(dict_zuord_Var_DQ[[#This Row],[ID_DataQualities]]/2,0)</f>
        <v>76</v>
      </c>
      <c r="B155">
        <v>153</v>
      </c>
      <c r="C1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6" spans="1:3" x14ac:dyDescent="0.45">
      <c r="A156">
        <f>ROUNDDOWN(dict_zuord_Var_DQ[[#This Row],[ID_DataQualities]]/2,0)</f>
        <v>77</v>
      </c>
      <c r="B156">
        <v>154</v>
      </c>
      <c r="C1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7" spans="1:3" x14ac:dyDescent="0.45">
      <c r="A157">
        <f>ROUNDDOWN(dict_zuord_Var_DQ[[#This Row],[ID_DataQualities]]/2,0)</f>
        <v>77</v>
      </c>
      <c r="B157">
        <v>155</v>
      </c>
      <c r="C1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8" spans="1:3" x14ac:dyDescent="0.45">
      <c r="A158">
        <f>ROUNDDOWN(dict_zuord_Var_DQ[[#This Row],[ID_DataQualities]]/2,0)</f>
        <v>78</v>
      </c>
      <c r="B158">
        <v>156</v>
      </c>
      <c r="C1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59" spans="1:3" x14ac:dyDescent="0.45">
      <c r="A159">
        <f>ROUNDDOWN(dict_zuord_Var_DQ[[#This Row],[ID_DataQualities]]/2,0)</f>
        <v>78</v>
      </c>
      <c r="B159">
        <v>157</v>
      </c>
      <c r="C1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0" spans="1:3" x14ac:dyDescent="0.45">
      <c r="A160">
        <f>ROUNDDOWN(dict_zuord_Var_DQ[[#This Row],[ID_DataQualities]]/2,0)</f>
        <v>79</v>
      </c>
      <c r="B160">
        <v>158</v>
      </c>
      <c r="C1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1" spans="1:3" x14ac:dyDescent="0.45">
      <c r="A161">
        <f>ROUNDDOWN(dict_zuord_Var_DQ[[#This Row],[ID_DataQualities]]/2,0)</f>
        <v>79</v>
      </c>
      <c r="B161">
        <v>159</v>
      </c>
      <c r="C1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2" spans="1:3" x14ac:dyDescent="0.45">
      <c r="A162">
        <f>ROUNDDOWN(dict_zuord_Var_DQ[[#This Row],[ID_DataQualities]]/2,0)</f>
        <v>80</v>
      </c>
      <c r="B162">
        <v>160</v>
      </c>
      <c r="C1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3" spans="1:3" x14ac:dyDescent="0.45">
      <c r="A163">
        <f>ROUNDDOWN(dict_zuord_Var_DQ[[#This Row],[ID_DataQualities]]/2,0)</f>
        <v>80</v>
      </c>
      <c r="B163">
        <v>161</v>
      </c>
      <c r="C1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4" spans="1:3" x14ac:dyDescent="0.45">
      <c r="A164">
        <f>ROUNDDOWN(dict_zuord_Var_DQ[[#This Row],[ID_DataQualities]]/2,0)</f>
        <v>81</v>
      </c>
      <c r="B164">
        <v>162</v>
      </c>
      <c r="C1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5" spans="1:3" x14ac:dyDescent="0.45">
      <c r="A165">
        <f>ROUNDDOWN(dict_zuord_Var_DQ[[#This Row],[ID_DataQualities]]/2,0)</f>
        <v>81</v>
      </c>
      <c r="B165">
        <v>163</v>
      </c>
      <c r="C1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6" spans="1:3" x14ac:dyDescent="0.45">
      <c r="A166">
        <f>ROUNDDOWN(dict_zuord_Var_DQ[[#This Row],[ID_DataQualities]]/2,0)</f>
        <v>82</v>
      </c>
      <c r="B166">
        <v>164</v>
      </c>
      <c r="C1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7" spans="1:3" x14ac:dyDescent="0.45">
      <c r="A167">
        <f>ROUNDDOWN(dict_zuord_Var_DQ[[#This Row],[ID_DataQualities]]/2,0)</f>
        <v>82</v>
      </c>
      <c r="B167">
        <v>165</v>
      </c>
      <c r="C1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8" spans="1:3" x14ac:dyDescent="0.45">
      <c r="A168">
        <f>ROUNDDOWN(dict_zuord_Var_DQ[[#This Row],[ID_DataQualities]]/2,0)</f>
        <v>83</v>
      </c>
      <c r="B168">
        <v>166</v>
      </c>
      <c r="C1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69" spans="1:3" x14ac:dyDescent="0.45">
      <c r="A169">
        <f>ROUNDDOWN(dict_zuord_Var_DQ[[#This Row],[ID_DataQualities]]/2,0)</f>
        <v>83</v>
      </c>
      <c r="B169">
        <v>167</v>
      </c>
      <c r="C1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0" spans="1:3" x14ac:dyDescent="0.45">
      <c r="A170">
        <f>ROUNDDOWN(dict_zuord_Var_DQ[[#This Row],[ID_DataQualities]]/2,0)</f>
        <v>84</v>
      </c>
      <c r="B170">
        <v>168</v>
      </c>
      <c r="C1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1" spans="1:3" x14ac:dyDescent="0.45">
      <c r="A171">
        <f>ROUNDDOWN(dict_zuord_Var_DQ[[#This Row],[ID_DataQualities]]/2,0)</f>
        <v>84</v>
      </c>
      <c r="B171">
        <v>169</v>
      </c>
      <c r="C1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2" spans="1:3" x14ac:dyDescent="0.45">
      <c r="A172">
        <f>ROUNDDOWN(dict_zuord_Var_DQ[[#This Row],[ID_DataQualities]]/2,0)</f>
        <v>85</v>
      </c>
      <c r="B172">
        <v>170</v>
      </c>
      <c r="C1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3" spans="1:3" x14ac:dyDescent="0.45">
      <c r="A173">
        <f>ROUNDDOWN(dict_zuord_Var_DQ[[#This Row],[ID_DataQualities]]/2,0)</f>
        <v>85</v>
      </c>
      <c r="B173">
        <v>171</v>
      </c>
      <c r="C1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4" spans="1:3" x14ac:dyDescent="0.45">
      <c r="A174">
        <f>ROUNDDOWN(dict_zuord_Var_DQ[[#This Row],[ID_DataQualities]]/2,0)</f>
        <v>86</v>
      </c>
      <c r="B174">
        <v>172</v>
      </c>
      <c r="C1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5" spans="1:3" x14ac:dyDescent="0.45">
      <c r="A175">
        <f>ROUNDDOWN(dict_zuord_Var_DQ[[#This Row],[ID_DataQualities]]/2,0)</f>
        <v>86</v>
      </c>
      <c r="B175">
        <v>173</v>
      </c>
      <c r="C1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6" spans="1:3" x14ac:dyDescent="0.45">
      <c r="A176">
        <f>ROUNDDOWN(dict_zuord_Var_DQ[[#This Row],[ID_DataQualities]]/2,0)</f>
        <v>87</v>
      </c>
      <c r="B176">
        <v>174</v>
      </c>
      <c r="C1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7" spans="1:3" x14ac:dyDescent="0.45">
      <c r="A177">
        <f>ROUNDDOWN(dict_zuord_Var_DQ[[#This Row],[ID_DataQualities]]/2,0)</f>
        <v>87</v>
      </c>
      <c r="B177">
        <v>175</v>
      </c>
      <c r="C1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8" spans="1:3" x14ac:dyDescent="0.45">
      <c r="A178">
        <f>ROUNDDOWN(dict_zuord_Var_DQ[[#This Row],[ID_DataQualities]]/2,0)</f>
        <v>88</v>
      </c>
      <c r="B178">
        <v>176</v>
      </c>
      <c r="C1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79" spans="1:3" x14ac:dyDescent="0.45">
      <c r="A179">
        <f>ROUNDDOWN(dict_zuord_Var_DQ[[#This Row],[ID_DataQualities]]/2,0)</f>
        <v>88</v>
      </c>
      <c r="B179">
        <v>177</v>
      </c>
      <c r="C1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0" spans="1:3" x14ac:dyDescent="0.45">
      <c r="A180">
        <f>ROUNDDOWN(dict_zuord_Var_DQ[[#This Row],[ID_DataQualities]]/2,0)</f>
        <v>89</v>
      </c>
      <c r="B180">
        <v>178</v>
      </c>
      <c r="C1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1" spans="1:3" x14ac:dyDescent="0.45">
      <c r="A181">
        <f>ROUNDDOWN(dict_zuord_Var_DQ[[#This Row],[ID_DataQualities]]/2,0)</f>
        <v>89</v>
      </c>
      <c r="B181">
        <v>179</v>
      </c>
      <c r="C1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2" spans="1:3" x14ac:dyDescent="0.45">
      <c r="A182">
        <f>ROUNDDOWN(dict_zuord_Var_DQ[[#This Row],[ID_DataQualities]]/2,0)</f>
        <v>90</v>
      </c>
      <c r="B182">
        <v>180</v>
      </c>
      <c r="C1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3" spans="1:3" x14ac:dyDescent="0.45">
      <c r="A183">
        <f>ROUNDDOWN(dict_zuord_Var_DQ[[#This Row],[ID_DataQualities]]/2,0)</f>
        <v>90</v>
      </c>
      <c r="B183">
        <v>181</v>
      </c>
      <c r="C1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4" spans="1:3" x14ac:dyDescent="0.45">
      <c r="A184">
        <f>ROUNDDOWN(dict_zuord_Var_DQ[[#This Row],[ID_DataQualities]]/2,0)</f>
        <v>91</v>
      </c>
      <c r="B184">
        <v>182</v>
      </c>
      <c r="C1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5" spans="1:3" x14ac:dyDescent="0.45">
      <c r="A185">
        <f>ROUNDDOWN(dict_zuord_Var_DQ[[#This Row],[ID_DataQualities]]/2,0)</f>
        <v>91</v>
      </c>
      <c r="B185">
        <v>183</v>
      </c>
      <c r="C1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6" spans="1:3" x14ac:dyDescent="0.45">
      <c r="A186">
        <f>ROUNDDOWN(dict_zuord_Var_DQ[[#This Row],[ID_DataQualities]]/2,0)</f>
        <v>92</v>
      </c>
      <c r="B186">
        <v>184</v>
      </c>
      <c r="C1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7" spans="1:3" x14ac:dyDescent="0.45">
      <c r="A187">
        <f>ROUNDDOWN(dict_zuord_Var_DQ[[#This Row],[ID_DataQualities]]/2,0)</f>
        <v>92</v>
      </c>
      <c r="B187">
        <v>185</v>
      </c>
      <c r="C1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8" spans="1:3" x14ac:dyDescent="0.45">
      <c r="A188">
        <f>ROUNDDOWN(dict_zuord_Var_DQ[[#This Row],[ID_DataQualities]]/2,0)</f>
        <v>93</v>
      </c>
      <c r="B188">
        <v>186</v>
      </c>
      <c r="C1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89" spans="1:3" x14ac:dyDescent="0.45">
      <c r="A189">
        <f>ROUNDDOWN(dict_zuord_Var_DQ[[#This Row],[ID_DataQualities]]/2,0)</f>
        <v>93</v>
      </c>
      <c r="B189">
        <v>187</v>
      </c>
      <c r="C1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0" spans="1:3" x14ac:dyDescent="0.45">
      <c r="A190">
        <f>ROUNDDOWN(dict_zuord_Var_DQ[[#This Row],[ID_DataQualities]]/2,0)</f>
        <v>94</v>
      </c>
      <c r="B190">
        <v>188</v>
      </c>
      <c r="C1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1" spans="1:3" x14ac:dyDescent="0.45">
      <c r="A191">
        <f>ROUNDDOWN(dict_zuord_Var_DQ[[#This Row],[ID_DataQualities]]/2,0)</f>
        <v>94</v>
      </c>
      <c r="B191">
        <v>189</v>
      </c>
      <c r="C1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2" spans="1:3" x14ac:dyDescent="0.45">
      <c r="A192">
        <f>ROUNDDOWN(dict_zuord_Var_DQ[[#This Row],[ID_DataQualities]]/2,0)</f>
        <v>95</v>
      </c>
      <c r="B192">
        <v>190</v>
      </c>
      <c r="C1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3" spans="1:3" x14ac:dyDescent="0.45">
      <c r="A193">
        <f>ROUNDDOWN(dict_zuord_Var_DQ[[#This Row],[ID_DataQualities]]/2,0)</f>
        <v>95</v>
      </c>
      <c r="B193">
        <v>191</v>
      </c>
      <c r="C1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4" spans="1:3" x14ac:dyDescent="0.45">
      <c r="A194">
        <f>ROUNDDOWN(dict_zuord_Var_DQ[[#This Row],[ID_DataQualities]]/2,0)</f>
        <v>96</v>
      </c>
      <c r="B194">
        <v>192</v>
      </c>
      <c r="C1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5" spans="1:3" x14ac:dyDescent="0.45">
      <c r="A195">
        <f>ROUNDDOWN(dict_zuord_Var_DQ[[#This Row],[ID_DataQualities]]/2,0)</f>
        <v>96</v>
      </c>
      <c r="B195">
        <v>193</v>
      </c>
      <c r="C1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6" spans="1:3" x14ac:dyDescent="0.45">
      <c r="A196">
        <f>ROUNDDOWN(dict_zuord_Var_DQ[[#This Row],[ID_DataQualities]]/2,0)</f>
        <v>97</v>
      </c>
      <c r="B196">
        <v>194</v>
      </c>
      <c r="C1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7" spans="1:3" x14ac:dyDescent="0.45">
      <c r="A197">
        <f>ROUNDDOWN(dict_zuord_Var_DQ[[#This Row],[ID_DataQualities]]/2,0)</f>
        <v>97</v>
      </c>
      <c r="B197">
        <v>195</v>
      </c>
      <c r="C1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8" spans="1:3" x14ac:dyDescent="0.45">
      <c r="A198">
        <f>ROUNDDOWN(dict_zuord_Var_DQ[[#This Row],[ID_DataQualities]]/2,0)</f>
        <v>98</v>
      </c>
      <c r="B198">
        <v>196</v>
      </c>
      <c r="C1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199" spans="1:3" x14ac:dyDescent="0.45">
      <c r="A199">
        <f>ROUNDDOWN(dict_zuord_Var_DQ[[#This Row],[ID_DataQualities]]/2,0)</f>
        <v>98</v>
      </c>
      <c r="B199">
        <v>197</v>
      </c>
      <c r="C1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0" spans="1:3" x14ac:dyDescent="0.45">
      <c r="A200">
        <f>ROUNDDOWN(dict_zuord_Var_DQ[[#This Row],[ID_DataQualities]]/2,0)</f>
        <v>99</v>
      </c>
      <c r="B200">
        <v>198</v>
      </c>
      <c r="C2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1" spans="1:3" x14ac:dyDescent="0.45">
      <c r="A201">
        <f>ROUNDDOWN(dict_zuord_Var_DQ[[#This Row],[ID_DataQualities]]/2,0)</f>
        <v>99</v>
      </c>
      <c r="B201">
        <v>199</v>
      </c>
      <c r="C2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2" spans="1:3" x14ac:dyDescent="0.45">
      <c r="A202">
        <f>ROUNDDOWN(dict_zuord_Var_DQ[[#This Row],[ID_DataQualities]]/2,0)</f>
        <v>100</v>
      </c>
      <c r="B202">
        <v>200</v>
      </c>
      <c r="C2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3" spans="1:3" x14ac:dyDescent="0.45">
      <c r="A203">
        <f>ROUNDDOWN(dict_zuord_Var_DQ[[#This Row],[ID_DataQualities]]/2,0)</f>
        <v>100</v>
      </c>
      <c r="B203">
        <v>201</v>
      </c>
      <c r="C2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4" spans="1:3" x14ac:dyDescent="0.45">
      <c r="A204">
        <f>ROUNDDOWN(dict_zuord_Var_DQ[[#This Row],[ID_DataQualities]]/2,0)</f>
        <v>101</v>
      </c>
      <c r="B204">
        <v>202</v>
      </c>
      <c r="C2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5" spans="1:3" x14ac:dyDescent="0.45">
      <c r="A205">
        <f>ROUNDDOWN(dict_zuord_Var_DQ[[#This Row],[ID_DataQualities]]/2,0)</f>
        <v>101</v>
      </c>
      <c r="B205">
        <v>203</v>
      </c>
      <c r="C2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6" spans="1:3" x14ac:dyDescent="0.45">
      <c r="A206">
        <f>ROUNDDOWN(dict_zuord_Var_DQ[[#This Row],[ID_DataQualities]]/2,0)</f>
        <v>102</v>
      </c>
      <c r="B206">
        <v>204</v>
      </c>
      <c r="C2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7" spans="1:3" x14ac:dyDescent="0.45">
      <c r="A207">
        <f>ROUNDDOWN(dict_zuord_Var_DQ[[#This Row],[ID_DataQualities]]/2,0)</f>
        <v>102</v>
      </c>
      <c r="B207">
        <v>205</v>
      </c>
      <c r="C2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8" spans="1:3" x14ac:dyDescent="0.45">
      <c r="A208">
        <f>ROUNDDOWN(dict_zuord_Var_DQ[[#This Row],[ID_DataQualities]]/2,0)</f>
        <v>103</v>
      </c>
      <c r="B208">
        <v>206</v>
      </c>
      <c r="C2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09" spans="1:3" x14ac:dyDescent="0.45">
      <c r="A209">
        <f>ROUNDDOWN(dict_zuord_Var_DQ[[#This Row],[ID_DataQualities]]/2,0)</f>
        <v>103</v>
      </c>
      <c r="B209">
        <v>207</v>
      </c>
      <c r="C2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0" spans="1:3" x14ac:dyDescent="0.45">
      <c r="A210">
        <f>ROUNDDOWN(dict_zuord_Var_DQ[[#This Row],[ID_DataQualities]]/2,0)</f>
        <v>104</v>
      </c>
      <c r="B210">
        <v>208</v>
      </c>
      <c r="C2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1" spans="1:3" x14ac:dyDescent="0.45">
      <c r="A211">
        <f>ROUNDDOWN(dict_zuord_Var_DQ[[#This Row],[ID_DataQualities]]/2,0)</f>
        <v>104</v>
      </c>
      <c r="B211">
        <v>209</v>
      </c>
      <c r="C2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2" spans="1:3" x14ac:dyDescent="0.45">
      <c r="A212">
        <f>ROUNDDOWN(dict_zuord_Var_DQ[[#This Row],[ID_DataQualities]]/2,0)</f>
        <v>105</v>
      </c>
      <c r="B212">
        <v>210</v>
      </c>
      <c r="C2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3" spans="1:3" x14ac:dyDescent="0.45">
      <c r="A213">
        <f>ROUNDDOWN(dict_zuord_Var_DQ[[#This Row],[ID_DataQualities]]/2,0)</f>
        <v>105</v>
      </c>
      <c r="B213">
        <v>211</v>
      </c>
      <c r="C2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4" spans="1:3" x14ac:dyDescent="0.45">
      <c r="A214">
        <f>ROUNDDOWN(dict_zuord_Var_DQ[[#This Row],[ID_DataQualities]]/2,0)</f>
        <v>106</v>
      </c>
      <c r="B214">
        <v>212</v>
      </c>
      <c r="C2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5" spans="1:3" x14ac:dyDescent="0.45">
      <c r="A215">
        <f>ROUNDDOWN(dict_zuord_Var_DQ[[#This Row],[ID_DataQualities]]/2,0)</f>
        <v>106</v>
      </c>
      <c r="B215">
        <v>213</v>
      </c>
      <c r="C2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6" spans="1:3" x14ac:dyDescent="0.45">
      <c r="A216">
        <f>ROUNDDOWN(dict_zuord_Var_DQ[[#This Row],[ID_DataQualities]]/2,0)</f>
        <v>107</v>
      </c>
      <c r="B216">
        <v>214</v>
      </c>
      <c r="C2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7" spans="1:3" x14ac:dyDescent="0.45">
      <c r="A217">
        <f>ROUNDDOWN(dict_zuord_Var_DQ[[#This Row],[ID_DataQualities]]/2,0)</f>
        <v>107</v>
      </c>
      <c r="B217">
        <v>215</v>
      </c>
      <c r="C2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8" spans="1:3" x14ac:dyDescent="0.45">
      <c r="A218">
        <f>ROUNDDOWN(dict_zuord_Var_DQ[[#This Row],[ID_DataQualities]]/2,0)</f>
        <v>108</v>
      </c>
      <c r="B218">
        <v>216</v>
      </c>
      <c r="C2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19" spans="1:3" x14ac:dyDescent="0.45">
      <c r="A219">
        <f>ROUNDDOWN(dict_zuord_Var_DQ[[#This Row],[ID_DataQualities]]/2,0)</f>
        <v>108</v>
      </c>
      <c r="B219">
        <v>217</v>
      </c>
      <c r="C2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0" spans="1:3" x14ac:dyDescent="0.45">
      <c r="A220">
        <f>ROUNDDOWN(dict_zuord_Var_DQ[[#This Row],[ID_DataQualities]]/2,0)</f>
        <v>109</v>
      </c>
      <c r="B220">
        <v>218</v>
      </c>
      <c r="C2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1" spans="1:3" x14ac:dyDescent="0.45">
      <c r="A221">
        <f>ROUNDDOWN(dict_zuord_Var_DQ[[#This Row],[ID_DataQualities]]/2,0)</f>
        <v>109</v>
      </c>
      <c r="B221">
        <v>219</v>
      </c>
      <c r="C2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2" spans="1:3" x14ac:dyDescent="0.45">
      <c r="A222">
        <f>ROUNDDOWN(dict_zuord_Var_DQ[[#This Row],[ID_DataQualities]]/2,0)</f>
        <v>110</v>
      </c>
      <c r="B222">
        <v>220</v>
      </c>
      <c r="C2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3" spans="1:3" x14ac:dyDescent="0.45">
      <c r="A223">
        <f>ROUNDDOWN(dict_zuord_Var_DQ[[#This Row],[ID_DataQualities]]/2,0)</f>
        <v>110</v>
      </c>
      <c r="B223">
        <v>221</v>
      </c>
      <c r="C2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4" spans="1:3" x14ac:dyDescent="0.45">
      <c r="A224">
        <f>ROUNDDOWN(dict_zuord_Var_DQ[[#This Row],[ID_DataQualities]]/2,0)</f>
        <v>111</v>
      </c>
      <c r="B224">
        <v>222</v>
      </c>
      <c r="C2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5" spans="1:3" x14ac:dyDescent="0.45">
      <c r="A225">
        <f>ROUNDDOWN(dict_zuord_Var_DQ[[#This Row],[ID_DataQualities]]/2,0)</f>
        <v>111</v>
      </c>
      <c r="B225">
        <v>223</v>
      </c>
      <c r="C2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6" spans="1:3" x14ac:dyDescent="0.45">
      <c r="A226">
        <f>ROUNDDOWN(dict_zuord_Var_DQ[[#This Row],[ID_DataQualities]]/2,0)</f>
        <v>112</v>
      </c>
      <c r="B226">
        <v>224</v>
      </c>
      <c r="C2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7" spans="1:3" x14ac:dyDescent="0.45">
      <c r="A227">
        <f>ROUNDDOWN(dict_zuord_Var_DQ[[#This Row],[ID_DataQualities]]/2,0)</f>
        <v>112</v>
      </c>
      <c r="B227">
        <v>225</v>
      </c>
      <c r="C2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8" spans="1:3" x14ac:dyDescent="0.45">
      <c r="A228">
        <f>ROUNDDOWN(dict_zuord_Var_DQ[[#This Row],[ID_DataQualities]]/2,0)</f>
        <v>113</v>
      </c>
      <c r="B228">
        <v>226</v>
      </c>
      <c r="C2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29" spans="1:3" x14ac:dyDescent="0.45">
      <c r="A229">
        <f>ROUNDDOWN(dict_zuord_Var_DQ[[#This Row],[ID_DataQualities]]/2,0)</f>
        <v>113</v>
      </c>
      <c r="B229">
        <v>227</v>
      </c>
      <c r="C2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0" spans="1:3" x14ac:dyDescent="0.45">
      <c r="A230">
        <f>ROUNDDOWN(dict_zuord_Var_DQ[[#This Row],[ID_DataQualities]]/2,0)</f>
        <v>114</v>
      </c>
      <c r="B230">
        <v>228</v>
      </c>
      <c r="C2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1" spans="1:3" x14ac:dyDescent="0.45">
      <c r="A231">
        <f>ROUNDDOWN(dict_zuord_Var_DQ[[#This Row],[ID_DataQualities]]/2,0)</f>
        <v>114</v>
      </c>
      <c r="B231">
        <v>229</v>
      </c>
      <c r="C2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2" spans="1:3" x14ac:dyDescent="0.45">
      <c r="A232">
        <f>ROUNDDOWN(dict_zuord_Var_DQ[[#This Row],[ID_DataQualities]]/2,0)</f>
        <v>115</v>
      </c>
      <c r="B232">
        <v>230</v>
      </c>
      <c r="C2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3" spans="1:3" x14ac:dyDescent="0.45">
      <c r="A233">
        <f>ROUNDDOWN(dict_zuord_Var_DQ[[#This Row],[ID_DataQualities]]/2,0)</f>
        <v>115</v>
      </c>
      <c r="B233">
        <v>231</v>
      </c>
      <c r="C2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4" spans="1:3" x14ac:dyDescent="0.45">
      <c r="A234">
        <f>ROUNDDOWN(dict_zuord_Var_DQ[[#This Row],[ID_DataQualities]]/2,0)</f>
        <v>116</v>
      </c>
      <c r="B234">
        <v>232</v>
      </c>
      <c r="C2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5" spans="1:3" x14ac:dyDescent="0.45">
      <c r="A235">
        <f>ROUNDDOWN(dict_zuord_Var_DQ[[#This Row],[ID_DataQualities]]/2,0)</f>
        <v>116</v>
      </c>
      <c r="B235">
        <v>233</v>
      </c>
      <c r="C2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6" spans="1:3" x14ac:dyDescent="0.45">
      <c r="A236">
        <f>ROUNDDOWN(dict_zuord_Var_DQ[[#This Row],[ID_DataQualities]]/2,0)</f>
        <v>117</v>
      </c>
      <c r="B236">
        <v>234</v>
      </c>
      <c r="C2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7" spans="1:3" x14ac:dyDescent="0.45">
      <c r="A237">
        <f>ROUNDDOWN(dict_zuord_Var_DQ[[#This Row],[ID_DataQualities]]/2,0)</f>
        <v>117</v>
      </c>
      <c r="B237">
        <v>235</v>
      </c>
      <c r="C2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8" spans="1:3" x14ac:dyDescent="0.45">
      <c r="A238">
        <f>ROUNDDOWN(dict_zuord_Var_DQ[[#This Row],[ID_DataQualities]]/2,0)</f>
        <v>118</v>
      </c>
      <c r="B238">
        <v>236</v>
      </c>
      <c r="C2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39" spans="1:3" x14ac:dyDescent="0.45">
      <c r="A239">
        <f>ROUNDDOWN(dict_zuord_Var_DQ[[#This Row],[ID_DataQualities]]/2,0)</f>
        <v>118</v>
      </c>
      <c r="B239">
        <v>237</v>
      </c>
      <c r="C2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0" spans="1:3" x14ac:dyDescent="0.45">
      <c r="A240">
        <f>ROUNDDOWN(dict_zuord_Var_DQ[[#This Row],[ID_DataQualities]]/2,0)</f>
        <v>119</v>
      </c>
      <c r="B240">
        <v>238</v>
      </c>
      <c r="C2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1" spans="1:3" x14ac:dyDescent="0.45">
      <c r="A241">
        <f>ROUNDDOWN(dict_zuord_Var_DQ[[#This Row],[ID_DataQualities]]/2,0)</f>
        <v>119</v>
      </c>
      <c r="B241">
        <v>239</v>
      </c>
      <c r="C2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2" spans="1:3" x14ac:dyDescent="0.45">
      <c r="A242">
        <f>ROUNDDOWN(dict_zuord_Var_DQ[[#This Row],[ID_DataQualities]]/2,0)</f>
        <v>120</v>
      </c>
      <c r="B242">
        <v>240</v>
      </c>
      <c r="C2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3" spans="1:3" x14ac:dyDescent="0.45">
      <c r="A243">
        <f>ROUNDDOWN(dict_zuord_Var_DQ[[#This Row],[ID_DataQualities]]/2,0)</f>
        <v>120</v>
      </c>
      <c r="B243">
        <v>241</v>
      </c>
      <c r="C2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4" spans="1:3" x14ac:dyDescent="0.45">
      <c r="A244">
        <f>ROUNDDOWN(dict_zuord_Var_DQ[[#This Row],[ID_DataQualities]]/2,0)</f>
        <v>121</v>
      </c>
      <c r="B244">
        <v>242</v>
      </c>
      <c r="C2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5" spans="1:3" x14ac:dyDescent="0.45">
      <c r="A245">
        <f>ROUNDDOWN(dict_zuord_Var_DQ[[#This Row],[ID_DataQualities]]/2,0)</f>
        <v>121</v>
      </c>
      <c r="B245">
        <v>243</v>
      </c>
      <c r="C2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6" spans="1:3" x14ac:dyDescent="0.45">
      <c r="A246">
        <f>ROUNDDOWN(dict_zuord_Var_DQ[[#This Row],[ID_DataQualities]]/2,0)</f>
        <v>122</v>
      </c>
      <c r="B246">
        <v>244</v>
      </c>
      <c r="C2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7" spans="1:3" x14ac:dyDescent="0.45">
      <c r="A247">
        <f>ROUNDDOWN(dict_zuord_Var_DQ[[#This Row],[ID_DataQualities]]/2,0)</f>
        <v>122</v>
      </c>
      <c r="B247">
        <v>245</v>
      </c>
      <c r="C2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8" spans="1:3" x14ac:dyDescent="0.45">
      <c r="A248">
        <f>ROUNDDOWN(dict_zuord_Var_DQ[[#This Row],[ID_DataQualities]]/2,0)</f>
        <v>123</v>
      </c>
      <c r="B248">
        <v>246</v>
      </c>
      <c r="C2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49" spans="1:3" x14ac:dyDescent="0.45">
      <c r="A249">
        <f>ROUNDDOWN(dict_zuord_Var_DQ[[#This Row],[ID_DataQualities]]/2,0)</f>
        <v>123</v>
      </c>
      <c r="B249">
        <v>247</v>
      </c>
      <c r="C2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0" spans="1:3" x14ac:dyDescent="0.45">
      <c r="A250">
        <f>ROUNDDOWN(dict_zuord_Var_DQ[[#This Row],[ID_DataQualities]]/2,0)</f>
        <v>124</v>
      </c>
      <c r="B250">
        <v>248</v>
      </c>
      <c r="C2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1" spans="1:3" x14ac:dyDescent="0.45">
      <c r="A251">
        <f>ROUNDDOWN(dict_zuord_Var_DQ[[#This Row],[ID_DataQualities]]/2,0)</f>
        <v>124</v>
      </c>
      <c r="B251">
        <v>249</v>
      </c>
      <c r="C2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2" spans="1:3" x14ac:dyDescent="0.45">
      <c r="A252">
        <f>ROUNDDOWN(dict_zuord_Var_DQ[[#This Row],[ID_DataQualities]]/2,0)</f>
        <v>125</v>
      </c>
      <c r="B252">
        <v>250</v>
      </c>
      <c r="C2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3" spans="1:3" x14ac:dyDescent="0.45">
      <c r="A253">
        <f>ROUNDDOWN(dict_zuord_Var_DQ[[#This Row],[ID_DataQualities]]/2,0)</f>
        <v>125</v>
      </c>
      <c r="B253">
        <v>251</v>
      </c>
      <c r="C2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4" spans="1:3" x14ac:dyDescent="0.45">
      <c r="A254">
        <f>ROUNDDOWN(dict_zuord_Var_DQ[[#This Row],[ID_DataQualities]]/2,0)</f>
        <v>126</v>
      </c>
      <c r="B254">
        <v>252</v>
      </c>
      <c r="C2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5" spans="1:3" x14ac:dyDescent="0.45">
      <c r="A255">
        <f>ROUNDDOWN(dict_zuord_Var_DQ[[#This Row],[ID_DataQualities]]/2,0)</f>
        <v>126</v>
      </c>
      <c r="B255">
        <v>253</v>
      </c>
      <c r="C2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6" spans="1:3" x14ac:dyDescent="0.45">
      <c r="A256">
        <f>ROUNDDOWN(dict_zuord_Var_DQ[[#This Row],[ID_DataQualities]]/2,0)</f>
        <v>127</v>
      </c>
      <c r="B256">
        <v>254</v>
      </c>
      <c r="C2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7" spans="1:3" x14ac:dyDescent="0.45">
      <c r="A257">
        <f>ROUNDDOWN(dict_zuord_Var_DQ[[#This Row],[ID_DataQualities]]/2,0)</f>
        <v>127</v>
      </c>
      <c r="B257">
        <v>255</v>
      </c>
      <c r="C2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8" spans="1:3" x14ac:dyDescent="0.45">
      <c r="A258">
        <f>ROUNDDOWN(dict_zuord_Var_DQ[[#This Row],[ID_DataQualities]]/2,0)</f>
        <v>128</v>
      </c>
      <c r="B258">
        <v>256</v>
      </c>
      <c r="C2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59" spans="1:3" x14ac:dyDescent="0.45">
      <c r="A259">
        <f>ROUNDDOWN(dict_zuord_Var_DQ[[#This Row],[ID_DataQualities]]/2,0)</f>
        <v>128</v>
      </c>
      <c r="B259">
        <v>257</v>
      </c>
      <c r="C2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0" spans="1:3" x14ac:dyDescent="0.45">
      <c r="A260">
        <f>ROUNDDOWN(dict_zuord_Var_DQ[[#This Row],[ID_DataQualities]]/2,0)</f>
        <v>129</v>
      </c>
      <c r="B260">
        <v>258</v>
      </c>
      <c r="C2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1" spans="1:3" x14ac:dyDescent="0.45">
      <c r="A261">
        <f>ROUNDDOWN(dict_zuord_Var_DQ[[#This Row],[ID_DataQualities]]/2,0)</f>
        <v>129</v>
      </c>
      <c r="B261">
        <v>259</v>
      </c>
      <c r="C2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2" spans="1:3" x14ac:dyDescent="0.45">
      <c r="A262">
        <f>ROUNDDOWN(dict_zuord_Var_DQ[[#This Row],[ID_DataQualities]]/2,0)</f>
        <v>130</v>
      </c>
      <c r="B262">
        <v>260</v>
      </c>
      <c r="C2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3" spans="1:3" x14ac:dyDescent="0.45">
      <c r="A263">
        <f>ROUNDDOWN(dict_zuord_Var_DQ[[#This Row],[ID_DataQualities]]/2,0)</f>
        <v>130</v>
      </c>
      <c r="B263">
        <v>261</v>
      </c>
      <c r="C2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4" spans="1:3" x14ac:dyDescent="0.45">
      <c r="A264">
        <f>ROUNDDOWN(dict_zuord_Var_DQ[[#This Row],[ID_DataQualities]]/2,0)</f>
        <v>131</v>
      </c>
      <c r="B264">
        <v>262</v>
      </c>
      <c r="C2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5" spans="1:3" x14ac:dyDescent="0.45">
      <c r="A265">
        <f>ROUNDDOWN(dict_zuord_Var_DQ[[#This Row],[ID_DataQualities]]/2,0)</f>
        <v>131</v>
      </c>
      <c r="B265">
        <v>263</v>
      </c>
      <c r="C2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6" spans="1:3" x14ac:dyDescent="0.45">
      <c r="A266">
        <f>ROUNDDOWN(dict_zuord_Var_DQ[[#This Row],[ID_DataQualities]]/2,0)</f>
        <v>132</v>
      </c>
      <c r="B266">
        <v>264</v>
      </c>
      <c r="C2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7" spans="1:3" x14ac:dyDescent="0.45">
      <c r="A267">
        <f>ROUNDDOWN(dict_zuord_Var_DQ[[#This Row],[ID_DataQualities]]/2,0)</f>
        <v>132</v>
      </c>
      <c r="B267">
        <v>265</v>
      </c>
      <c r="C2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8" spans="1:3" x14ac:dyDescent="0.45">
      <c r="A268">
        <f>ROUNDDOWN(dict_zuord_Var_DQ[[#This Row],[ID_DataQualities]]/2,0)</f>
        <v>133</v>
      </c>
      <c r="B268">
        <v>266</v>
      </c>
      <c r="C2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69" spans="1:3" x14ac:dyDescent="0.45">
      <c r="A269">
        <f>ROUNDDOWN(dict_zuord_Var_DQ[[#This Row],[ID_DataQualities]]/2,0)</f>
        <v>133</v>
      </c>
      <c r="B269">
        <v>267</v>
      </c>
      <c r="C2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0" spans="1:3" x14ac:dyDescent="0.45">
      <c r="A270">
        <f>ROUNDDOWN(dict_zuord_Var_DQ[[#This Row],[ID_DataQualities]]/2,0)</f>
        <v>134</v>
      </c>
      <c r="B270">
        <v>268</v>
      </c>
      <c r="C2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1" spans="1:3" x14ac:dyDescent="0.45">
      <c r="A271">
        <f>ROUNDDOWN(dict_zuord_Var_DQ[[#This Row],[ID_DataQualities]]/2,0)</f>
        <v>134</v>
      </c>
      <c r="B271">
        <v>269</v>
      </c>
      <c r="C2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2" spans="1:3" x14ac:dyDescent="0.45">
      <c r="A272">
        <f>ROUNDDOWN(dict_zuord_Var_DQ[[#This Row],[ID_DataQualities]]/2,0)</f>
        <v>135</v>
      </c>
      <c r="B272">
        <v>270</v>
      </c>
      <c r="C2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3" spans="1:3" x14ac:dyDescent="0.45">
      <c r="A273">
        <f>ROUNDDOWN(dict_zuord_Var_DQ[[#This Row],[ID_DataQualities]]/2,0)</f>
        <v>135</v>
      </c>
      <c r="B273">
        <v>271</v>
      </c>
      <c r="C2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4" spans="1:3" x14ac:dyDescent="0.45">
      <c r="A274">
        <f>ROUNDDOWN(dict_zuord_Var_DQ[[#This Row],[ID_DataQualities]]/2,0)</f>
        <v>136</v>
      </c>
      <c r="B274">
        <v>272</v>
      </c>
      <c r="C2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5" spans="1:3" x14ac:dyDescent="0.45">
      <c r="A275">
        <f>ROUNDDOWN(dict_zuord_Var_DQ[[#This Row],[ID_DataQualities]]/2,0)</f>
        <v>136</v>
      </c>
      <c r="B275">
        <v>273</v>
      </c>
      <c r="C2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6" spans="1:3" x14ac:dyDescent="0.45">
      <c r="A276">
        <f>ROUNDDOWN(dict_zuord_Var_DQ[[#This Row],[ID_DataQualities]]/2,0)</f>
        <v>137</v>
      </c>
      <c r="B276">
        <v>274</v>
      </c>
      <c r="C2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7" spans="1:3" x14ac:dyDescent="0.45">
      <c r="A277">
        <f>ROUNDDOWN(dict_zuord_Var_DQ[[#This Row],[ID_DataQualities]]/2,0)</f>
        <v>137</v>
      </c>
      <c r="B277">
        <v>275</v>
      </c>
      <c r="C2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8" spans="1:3" x14ac:dyDescent="0.45">
      <c r="A278">
        <f>ROUNDDOWN(dict_zuord_Var_DQ[[#This Row],[ID_DataQualities]]/2,0)</f>
        <v>138</v>
      </c>
      <c r="B278">
        <v>276</v>
      </c>
      <c r="C2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79" spans="1:3" x14ac:dyDescent="0.45">
      <c r="A279">
        <f>ROUNDDOWN(dict_zuord_Var_DQ[[#This Row],[ID_DataQualities]]/2,0)</f>
        <v>138</v>
      </c>
      <c r="B279">
        <v>277</v>
      </c>
      <c r="C2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0" spans="1:3" x14ac:dyDescent="0.45">
      <c r="A280">
        <f>ROUNDDOWN(dict_zuord_Var_DQ[[#This Row],[ID_DataQualities]]/2,0)</f>
        <v>139</v>
      </c>
      <c r="B280">
        <v>278</v>
      </c>
      <c r="C2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1" spans="1:3" x14ac:dyDescent="0.45">
      <c r="A281">
        <f>ROUNDDOWN(dict_zuord_Var_DQ[[#This Row],[ID_DataQualities]]/2,0)</f>
        <v>139</v>
      </c>
      <c r="B281">
        <v>279</v>
      </c>
      <c r="C2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2" spans="1:3" x14ac:dyDescent="0.45">
      <c r="A282">
        <f>ROUNDDOWN(dict_zuord_Var_DQ[[#This Row],[ID_DataQualities]]/2,0)</f>
        <v>140</v>
      </c>
      <c r="B282">
        <v>280</v>
      </c>
      <c r="C2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3" spans="1:3" x14ac:dyDescent="0.45">
      <c r="A283">
        <f>ROUNDDOWN(dict_zuord_Var_DQ[[#This Row],[ID_DataQualities]]/2,0)</f>
        <v>140</v>
      </c>
      <c r="B283">
        <v>281</v>
      </c>
      <c r="C2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4" spans="1:3" x14ac:dyDescent="0.45">
      <c r="A284">
        <f>ROUNDDOWN(dict_zuord_Var_DQ[[#This Row],[ID_DataQualities]]/2,0)</f>
        <v>141</v>
      </c>
      <c r="B284">
        <v>282</v>
      </c>
      <c r="C2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5" spans="1:3" x14ac:dyDescent="0.45">
      <c r="A285">
        <f>ROUNDDOWN(dict_zuord_Var_DQ[[#This Row],[ID_DataQualities]]/2,0)</f>
        <v>141</v>
      </c>
      <c r="B285">
        <v>283</v>
      </c>
      <c r="C2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6" spans="1:3" x14ac:dyDescent="0.45">
      <c r="A286">
        <f>ROUNDDOWN(dict_zuord_Var_DQ[[#This Row],[ID_DataQualities]]/2,0)</f>
        <v>142</v>
      </c>
      <c r="B286">
        <v>284</v>
      </c>
      <c r="C2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7" spans="1:3" x14ac:dyDescent="0.45">
      <c r="A287">
        <f>ROUNDDOWN(dict_zuord_Var_DQ[[#This Row],[ID_DataQualities]]/2,0)</f>
        <v>142</v>
      </c>
      <c r="B287">
        <v>285</v>
      </c>
      <c r="C2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8" spans="1:3" x14ac:dyDescent="0.45">
      <c r="A288">
        <f>ROUNDDOWN(dict_zuord_Var_DQ[[#This Row],[ID_DataQualities]]/2,0)</f>
        <v>143</v>
      </c>
      <c r="B288">
        <v>286</v>
      </c>
      <c r="C2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89" spans="1:3" x14ac:dyDescent="0.45">
      <c r="A289">
        <f>ROUNDDOWN(dict_zuord_Var_DQ[[#This Row],[ID_DataQualities]]/2,0)</f>
        <v>143</v>
      </c>
      <c r="B289">
        <v>287</v>
      </c>
      <c r="C2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0" spans="1:3" x14ac:dyDescent="0.45">
      <c r="A290">
        <f>ROUNDDOWN(dict_zuord_Var_DQ[[#This Row],[ID_DataQualities]]/2,0)</f>
        <v>144</v>
      </c>
      <c r="B290">
        <v>288</v>
      </c>
      <c r="C2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1" spans="1:3" x14ac:dyDescent="0.45">
      <c r="A291">
        <f>ROUNDDOWN(dict_zuord_Var_DQ[[#This Row],[ID_DataQualities]]/2,0)</f>
        <v>144</v>
      </c>
      <c r="B291">
        <v>289</v>
      </c>
      <c r="C2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2" spans="1:3" x14ac:dyDescent="0.45">
      <c r="A292">
        <f>ROUNDDOWN(dict_zuord_Var_DQ[[#This Row],[ID_DataQualities]]/2,0)</f>
        <v>145</v>
      </c>
      <c r="B292">
        <v>290</v>
      </c>
      <c r="C2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3" spans="1:3" x14ac:dyDescent="0.45">
      <c r="A293">
        <f>ROUNDDOWN(dict_zuord_Var_DQ[[#This Row],[ID_DataQualities]]/2,0)</f>
        <v>145</v>
      </c>
      <c r="B293">
        <v>291</v>
      </c>
      <c r="C2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4" spans="1:3" x14ac:dyDescent="0.45">
      <c r="A294">
        <f>ROUNDDOWN(dict_zuord_Var_DQ[[#This Row],[ID_DataQualities]]/2,0)</f>
        <v>146</v>
      </c>
      <c r="B294">
        <v>292</v>
      </c>
      <c r="C2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5" spans="1:3" x14ac:dyDescent="0.45">
      <c r="A295">
        <f>ROUNDDOWN(dict_zuord_Var_DQ[[#This Row],[ID_DataQualities]]/2,0)</f>
        <v>146</v>
      </c>
      <c r="B295">
        <v>293</v>
      </c>
      <c r="C2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6" spans="1:3" x14ac:dyDescent="0.45">
      <c r="A296">
        <f>ROUNDDOWN(dict_zuord_Var_DQ[[#This Row],[ID_DataQualities]]/2,0)</f>
        <v>147</v>
      </c>
      <c r="B296">
        <v>294</v>
      </c>
      <c r="C2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7" spans="1:3" x14ac:dyDescent="0.45">
      <c r="A297">
        <f>ROUNDDOWN(dict_zuord_Var_DQ[[#This Row],[ID_DataQualities]]/2,0)</f>
        <v>147</v>
      </c>
      <c r="B297">
        <v>295</v>
      </c>
      <c r="C2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8" spans="1:3" x14ac:dyDescent="0.45">
      <c r="A298">
        <f>ROUNDDOWN(dict_zuord_Var_DQ[[#This Row],[ID_DataQualities]]/2,0)</f>
        <v>148</v>
      </c>
      <c r="B298">
        <v>296</v>
      </c>
      <c r="C2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299" spans="1:3" x14ac:dyDescent="0.45">
      <c r="A299">
        <f>ROUNDDOWN(dict_zuord_Var_DQ[[#This Row],[ID_DataQualities]]/2,0)</f>
        <v>148</v>
      </c>
      <c r="B299">
        <v>297</v>
      </c>
      <c r="C2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0" spans="1:3" x14ac:dyDescent="0.45">
      <c r="A300">
        <f>ROUNDDOWN(dict_zuord_Var_DQ[[#This Row],[ID_DataQualities]]/2,0)</f>
        <v>149</v>
      </c>
      <c r="B300">
        <v>298</v>
      </c>
      <c r="C3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1" spans="1:3" x14ac:dyDescent="0.45">
      <c r="A301">
        <f>ROUNDDOWN(dict_zuord_Var_DQ[[#This Row],[ID_DataQualities]]/2,0)</f>
        <v>149</v>
      </c>
      <c r="B301">
        <v>299</v>
      </c>
      <c r="C3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2" spans="1:3" x14ac:dyDescent="0.45">
      <c r="A302">
        <f>ROUNDDOWN(dict_zuord_Var_DQ[[#This Row],[ID_DataQualities]]/2,0)</f>
        <v>150</v>
      </c>
      <c r="B302">
        <v>300</v>
      </c>
      <c r="C3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3" spans="1:3" x14ac:dyDescent="0.45">
      <c r="A303">
        <f>ROUNDDOWN(dict_zuord_Var_DQ[[#This Row],[ID_DataQualities]]/2,0)</f>
        <v>150</v>
      </c>
      <c r="B303">
        <v>301</v>
      </c>
      <c r="C3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4" spans="1:3" x14ac:dyDescent="0.45">
      <c r="A304">
        <f>ROUNDDOWN(dict_zuord_Var_DQ[[#This Row],[ID_DataQualities]]/2,0)</f>
        <v>151</v>
      </c>
      <c r="B304">
        <v>302</v>
      </c>
      <c r="C30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5" spans="1:3" x14ac:dyDescent="0.45">
      <c r="A305">
        <f>ROUNDDOWN(dict_zuord_Var_DQ[[#This Row],[ID_DataQualities]]/2,0)</f>
        <v>151</v>
      </c>
      <c r="B305">
        <v>303</v>
      </c>
      <c r="C30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6" spans="1:3" x14ac:dyDescent="0.45">
      <c r="A306">
        <f>ROUNDDOWN(dict_zuord_Var_DQ[[#This Row],[ID_DataQualities]]/2,0)</f>
        <v>152</v>
      </c>
      <c r="B306">
        <v>304</v>
      </c>
      <c r="C30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7" spans="1:3" x14ac:dyDescent="0.45">
      <c r="A307">
        <f>ROUNDDOWN(dict_zuord_Var_DQ[[#This Row],[ID_DataQualities]]/2,0)</f>
        <v>152</v>
      </c>
      <c r="B307">
        <v>305</v>
      </c>
      <c r="C30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8" spans="1:3" x14ac:dyDescent="0.45">
      <c r="A308">
        <f>ROUNDDOWN(dict_zuord_Var_DQ[[#This Row],[ID_DataQualities]]/2,0)</f>
        <v>153</v>
      </c>
      <c r="B308">
        <v>306</v>
      </c>
      <c r="C30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09" spans="1:3" x14ac:dyDescent="0.45">
      <c r="A309">
        <f>ROUNDDOWN(dict_zuord_Var_DQ[[#This Row],[ID_DataQualities]]/2,0)</f>
        <v>153</v>
      </c>
      <c r="B309">
        <v>307</v>
      </c>
      <c r="C30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0" spans="1:3" x14ac:dyDescent="0.45">
      <c r="A310">
        <f>ROUNDDOWN(dict_zuord_Var_DQ[[#This Row],[ID_DataQualities]]/2,0)</f>
        <v>154</v>
      </c>
      <c r="B310">
        <v>308</v>
      </c>
      <c r="C31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1" spans="1:3" x14ac:dyDescent="0.45">
      <c r="A311">
        <f>ROUNDDOWN(dict_zuord_Var_DQ[[#This Row],[ID_DataQualities]]/2,0)</f>
        <v>154</v>
      </c>
      <c r="B311">
        <v>309</v>
      </c>
      <c r="C31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2" spans="1:3" x14ac:dyDescent="0.45">
      <c r="A312">
        <f>ROUNDDOWN(dict_zuord_Var_DQ[[#This Row],[ID_DataQualities]]/2,0)</f>
        <v>155</v>
      </c>
      <c r="B312">
        <v>310</v>
      </c>
      <c r="C31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3" spans="1:3" x14ac:dyDescent="0.45">
      <c r="A313">
        <f>ROUNDDOWN(dict_zuord_Var_DQ[[#This Row],[ID_DataQualities]]/2,0)</f>
        <v>155</v>
      </c>
      <c r="B313">
        <v>311</v>
      </c>
      <c r="C31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4" spans="1:3" x14ac:dyDescent="0.45">
      <c r="A314">
        <f>ROUNDDOWN(dict_zuord_Var_DQ[[#This Row],[ID_DataQualities]]/2,0)</f>
        <v>156</v>
      </c>
      <c r="B314">
        <v>312</v>
      </c>
      <c r="C31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5" spans="1:3" x14ac:dyDescent="0.45">
      <c r="A315">
        <f>ROUNDDOWN(dict_zuord_Var_DQ[[#This Row],[ID_DataQualities]]/2,0)</f>
        <v>156</v>
      </c>
      <c r="B315">
        <v>313</v>
      </c>
      <c r="C31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6" spans="1:3" x14ac:dyDescent="0.45">
      <c r="A316">
        <f>ROUNDDOWN(dict_zuord_Var_DQ[[#This Row],[ID_DataQualities]]/2,0)</f>
        <v>157</v>
      </c>
      <c r="B316">
        <v>314</v>
      </c>
      <c r="C31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7" spans="1:3" x14ac:dyDescent="0.45">
      <c r="A317">
        <f>ROUNDDOWN(dict_zuord_Var_DQ[[#This Row],[ID_DataQualities]]/2,0)</f>
        <v>157</v>
      </c>
      <c r="B317">
        <v>315</v>
      </c>
      <c r="C31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8" spans="1:3" x14ac:dyDescent="0.45">
      <c r="A318">
        <f>ROUNDDOWN(dict_zuord_Var_DQ[[#This Row],[ID_DataQualities]]/2,0)</f>
        <v>158</v>
      </c>
      <c r="B318">
        <v>316</v>
      </c>
      <c r="C31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19" spans="1:3" x14ac:dyDescent="0.45">
      <c r="A319">
        <f>ROUNDDOWN(dict_zuord_Var_DQ[[#This Row],[ID_DataQualities]]/2,0)</f>
        <v>158</v>
      </c>
      <c r="B319">
        <v>317</v>
      </c>
      <c r="C31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0" spans="1:3" x14ac:dyDescent="0.45">
      <c r="A320">
        <f>ROUNDDOWN(dict_zuord_Var_DQ[[#This Row],[ID_DataQualities]]/2,0)</f>
        <v>159</v>
      </c>
      <c r="B320">
        <v>318</v>
      </c>
      <c r="C32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1" spans="1:3" x14ac:dyDescent="0.45">
      <c r="A321">
        <f>ROUNDDOWN(dict_zuord_Var_DQ[[#This Row],[ID_DataQualities]]/2,0)</f>
        <v>159</v>
      </c>
      <c r="B321">
        <v>319</v>
      </c>
      <c r="C32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2" spans="1:3" x14ac:dyDescent="0.45">
      <c r="A322">
        <f>ROUNDDOWN(dict_zuord_Var_DQ[[#This Row],[ID_DataQualities]]/2,0)</f>
        <v>160</v>
      </c>
      <c r="B322">
        <v>320</v>
      </c>
      <c r="C32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3" spans="1:3" x14ac:dyDescent="0.45">
      <c r="A323">
        <f>ROUNDDOWN(dict_zuord_Var_DQ[[#This Row],[ID_DataQualities]]/2,0)</f>
        <v>160</v>
      </c>
      <c r="B323">
        <v>321</v>
      </c>
      <c r="C32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4" spans="1:3" x14ac:dyDescent="0.45">
      <c r="A324">
        <f>ROUNDDOWN(dict_zuord_Var_DQ[[#This Row],[ID_DataQualities]]/2,0)</f>
        <v>161</v>
      </c>
      <c r="B324">
        <v>322</v>
      </c>
      <c r="C32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5" spans="1:3" x14ac:dyDescent="0.45">
      <c r="A325">
        <f>ROUNDDOWN(dict_zuord_Var_DQ[[#This Row],[ID_DataQualities]]/2,0)</f>
        <v>161</v>
      </c>
      <c r="B325">
        <v>323</v>
      </c>
      <c r="C32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6" spans="1:3" x14ac:dyDescent="0.45">
      <c r="A326">
        <f>ROUNDDOWN(dict_zuord_Var_DQ[[#This Row],[ID_DataQualities]]/2,0)</f>
        <v>162</v>
      </c>
      <c r="B326">
        <v>324</v>
      </c>
      <c r="C32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7" spans="1:3" x14ac:dyDescent="0.45">
      <c r="A327">
        <f>ROUNDDOWN(dict_zuord_Var_DQ[[#This Row],[ID_DataQualities]]/2,0)</f>
        <v>162</v>
      </c>
      <c r="B327">
        <v>325</v>
      </c>
      <c r="C32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8" spans="1:3" x14ac:dyDescent="0.45">
      <c r="A328">
        <f>ROUNDDOWN(dict_zuord_Var_DQ[[#This Row],[ID_DataQualities]]/2,0)</f>
        <v>163</v>
      </c>
      <c r="B328">
        <v>326</v>
      </c>
      <c r="C32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29" spans="1:3" x14ac:dyDescent="0.45">
      <c r="A329">
        <f>ROUNDDOWN(dict_zuord_Var_DQ[[#This Row],[ID_DataQualities]]/2,0)</f>
        <v>163</v>
      </c>
      <c r="B329">
        <v>327</v>
      </c>
      <c r="C32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0" spans="1:3" x14ac:dyDescent="0.45">
      <c r="A330">
        <f>ROUNDDOWN(dict_zuord_Var_DQ[[#This Row],[ID_DataQualities]]/2,0)</f>
        <v>164</v>
      </c>
      <c r="B330">
        <v>328</v>
      </c>
      <c r="C33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1" spans="1:3" x14ac:dyDescent="0.45">
      <c r="A331">
        <f>ROUNDDOWN(dict_zuord_Var_DQ[[#This Row],[ID_DataQualities]]/2,0)</f>
        <v>164</v>
      </c>
      <c r="B331">
        <v>329</v>
      </c>
      <c r="C33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2" spans="1:3" x14ac:dyDescent="0.45">
      <c r="A332">
        <f>ROUNDDOWN(dict_zuord_Var_DQ[[#This Row],[ID_DataQualities]]/2,0)</f>
        <v>165</v>
      </c>
      <c r="B332">
        <v>330</v>
      </c>
      <c r="C33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3" spans="1:3" x14ac:dyDescent="0.45">
      <c r="A333">
        <f>ROUNDDOWN(dict_zuord_Var_DQ[[#This Row],[ID_DataQualities]]/2,0)</f>
        <v>165</v>
      </c>
      <c r="B333">
        <v>331</v>
      </c>
      <c r="C33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4" spans="1:3" x14ac:dyDescent="0.45">
      <c r="A334">
        <f>ROUNDDOWN(dict_zuord_Var_DQ[[#This Row],[ID_DataQualities]]/2,0)</f>
        <v>166</v>
      </c>
      <c r="B334">
        <v>332</v>
      </c>
      <c r="C33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5" spans="1:3" x14ac:dyDescent="0.45">
      <c r="A335">
        <f>ROUNDDOWN(dict_zuord_Var_DQ[[#This Row],[ID_DataQualities]]/2,0)</f>
        <v>166</v>
      </c>
      <c r="B335">
        <v>333</v>
      </c>
      <c r="C33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6" spans="1:3" x14ac:dyDescent="0.45">
      <c r="A336">
        <f>ROUNDDOWN(dict_zuord_Var_DQ[[#This Row],[ID_DataQualities]]/2,0)</f>
        <v>167</v>
      </c>
      <c r="B336">
        <v>334</v>
      </c>
      <c r="C33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7" spans="1:3" x14ac:dyDescent="0.45">
      <c r="A337">
        <f>ROUNDDOWN(dict_zuord_Var_DQ[[#This Row],[ID_DataQualities]]/2,0)</f>
        <v>167</v>
      </c>
      <c r="B337">
        <v>335</v>
      </c>
      <c r="C33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8" spans="1:3" x14ac:dyDescent="0.45">
      <c r="A338">
        <f>ROUNDDOWN(dict_zuord_Var_DQ[[#This Row],[ID_DataQualities]]/2,0)</f>
        <v>168</v>
      </c>
      <c r="B338">
        <v>336</v>
      </c>
      <c r="C33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39" spans="1:3" x14ac:dyDescent="0.45">
      <c r="A339">
        <f>ROUNDDOWN(dict_zuord_Var_DQ[[#This Row],[ID_DataQualities]]/2,0)</f>
        <v>168</v>
      </c>
      <c r="B339">
        <v>337</v>
      </c>
      <c r="C33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0" spans="1:3" x14ac:dyDescent="0.45">
      <c r="A340">
        <f>ROUNDDOWN(dict_zuord_Var_DQ[[#This Row],[ID_DataQualities]]/2,0)</f>
        <v>169</v>
      </c>
      <c r="B340">
        <v>338</v>
      </c>
      <c r="C34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1" spans="1:3" x14ac:dyDescent="0.45">
      <c r="A341">
        <f>ROUNDDOWN(dict_zuord_Var_DQ[[#This Row],[ID_DataQualities]]/2,0)</f>
        <v>169</v>
      </c>
      <c r="B341">
        <v>339</v>
      </c>
      <c r="C34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2" spans="1:3" x14ac:dyDescent="0.45">
      <c r="A342">
        <f>ROUNDDOWN(dict_zuord_Var_DQ[[#This Row],[ID_DataQualities]]/2,0)</f>
        <v>170</v>
      </c>
      <c r="B342">
        <v>340</v>
      </c>
      <c r="C34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3" spans="1:3" x14ac:dyDescent="0.45">
      <c r="A343">
        <f>ROUNDDOWN(dict_zuord_Var_DQ[[#This Row],[ID_DataQualities]]/2,0)</f>
        <v>170</v>
      </c>
      <c r="B343">
        <v>341</v>
      </c>
      <c r="C34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4" spans="1:3" x14ac:dyDescent="0.45">
      <c r="A344">
        <f>ROUNDDOWN(dict_zuord_Var_DQ[[#This Row],[ID_DataQualities]]/2,0)</f>
        <v>171</v>
      </c>
      <c r="B344">
        <v>342</v>
      </c>
      <c r="C34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5" spans="1:3" x14ac:dyDescent="0.45">
      <c r="A345">
        <f>ROUNDDOWN(dict_zuord_Var_DQ[[#This Row],[ID_DataQualities]]/2,0)</f>
        <v>171</v>
      </c>
      <c r="B345">
        <v>343</v>
      </c>
      <c r="C34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6" spans="1:3" x14ac:dyDescent="0.45">
      <c r="A346">
        <f>ROUNDDOWN(dict_zuord_Var_DQ[[#This Row],[ID_DataQualities]]/2,0)</f>
        <v>172</v>
      </c>
      <c r="B346">
        <v>344</v>
      </c>
      <c r="C34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7" spans="1:3" x14ac:dyDescent="0.45">
      <c r="A347">
        <f>ROUNDDOWN(dict_zuord_Var_DQ[[#This Row],[ID_DataQualities]]/2,0)</f>
        <v>172</v>
      </c>
      <c r="B347">
        <v>345</v>
      </c>
      <c r="C34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8" spans="1:3" x14ac:dyDescent="0.45">
      <c r="A348">
        <f>ROUNDDOWN(dict_zuord_Var_DQ[[#This Row],[ID_DataQualities]]/2,0)</f>
        <v>173</v>
      </c>
      <c r="B348">
        <v>346</v>
      </c>
      <c r="C34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49" spans="1:3" x14ac:dyDescent="0.45">
      <c r="A349">
        <f>ROUNDDOWN(dict_zuord_Var_DQ[[#This Row],[ID_DataQualities]]/2,0)</f>
        <v>173</v>
      </c>
      <c r="B349">
        <v>347</v>
      </c>
      <c r="C34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0" spans="1:3" x14ac:dyDescent="0.45">
      <c r="A350">
        <f>ROUNDDOWN(dict_zuord_Var_DQ[[#This Row],[ID_DataQualities]]/2,0)</f>
        <v>174</v>
      </c>
      <c r="B350">
        <v>348</v>
      </c>
      <c r="C35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1" spans="1:3" x14ac:dyDescent="0.45">
      <c r="A351">
        <f>ROUNDDOWN(dict_zuord_Var_DQ[[#This Row],[ID_DataQualities]]/2,0)</f>
        <v>174</v>
      </c>
      <c r="B351">
        <v>349</v>
      </c>
      <c r="C35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2" spans="1:3" x14ac:dyDescent="0.45">
      <c r="A352">
        <f>ROUNDDOWN(dict_zuord_Var_DQ[[#This Row],[ID_DataQualities]]/2,0)</f>
        <v>175</v>
      </c>
      <c r="B352">
        <v>350</v>
      </c>
      <c r="C35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3" spans="1:3" x14ac:dyDescent="0.45">
      <c r="A353">
        <f>ROUNDDOWN(dict_zuord_Var_DQ[[#This Row],[ID_DataQualities]]/2,0)</f>
        <v>175</v>
      </c>
      <c r="B353">
        <v>351</v>
      </c>
      <c r="C35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4" spans="1:3" x14ac:dyDescent="0.45">
      <c r="A354">
        <f>ROUNDDOWN(dict_zuord_Var_DQ[[#This Row],[ID_DataQualities]]/2,0)</f>
        <v>176</v>
      </c>
      <c r="B354">
        <v>352</v>
      </c>
      <c r="C35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5" spans="1:3" x14ac:dyDescent="0.45">
      <c r="A355">
        <f>ROUNDDOWN(dict_zuord_Var_DQ[[#This Row],[ID_DataQualities]]/2,0)</f>
        <v>176</v>
      </c>
      <c r="B355">
        <v>353</v>
      </c>
      <c r="C35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6" spans="1:3" x14ac:dyDescent="0.45">
      <c r="A356">
        <f>ROUNDDOWN(dict_zuord_Var_DQ[[#This Row],[ID_DataQualities]]/2,0)</f>
        <v>177</v>
      </c>
      <c r="B356">
        <v>354</v>
      </c>
      <c r="C35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7" spans="1:3" x14ac:dyDescent="0.45">
      <c r="A357">
        <f>ROUNDDOWN(dict_zuord_Var_DQ[[#This Row],[ID_DataQualities]]/2,0)</f>
        <v>177</v>
      </c>
      <c r="B357">
        <v>355</v>
      </c>
      <c r="C35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8" spans="1:3" x14ac:dyDescent="0.45">
      <c r="A358">
        <f>ROUNDDOWN(dict_zuord_Var_DQ[[#This Row],[ID_DataQualities]]/2,0)</f>
        <v>178</v>
      </c>
      <c r="B358">
        <v>356</v>
      </c>
      <c r="C35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59" spans="1:3" x14ac:dyDescent="0.45">
      <c r="A359">
        <f>ROUNDDOWN(dict_zuord_Var_DQ[[#This Row],[ID_DataQualities]]/2,0)</f>
        <v>178</v>
      </c>
      <c r="B359">
        <v>357</v>
      </c>
      <c r="C35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0" spans="1:3" x14ac:dyDescent="0.45">
      <c r="A360">
        <f>ROUNDDOWN(dict_zuord_Var_DQ[[#This Row],[ID_DataQualities]]/2,0)</f>
        <v>179</v>
      </c>
      <c r="B360">
        <v>358</v>
      </c>
      <c r="C36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1" spans="1:3" x14ac:dyDescent="0.45">
      <c r="A361">
        <f>ROUNDDOWN(dict_zuord_Var_DQ[[#This Row],[ID_DataQualities]]/2,0)</f>
        <v>179</v>
      </c>
      <c r="B361">
        <v>359</v>
      </c>
      <c r="C36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2" spans="1:3" x14ac:dyDescent="0.45">
      <c r="A362">
        <f>ROUNDDOWN(dict_zuord_Var_DQ[[#This Row],[ID_DataQualities]]/2,0)</f>
        <v>180</v>
      </c>
      <c r="B362">
        <v>360</v>
      </c>
      <c r="C36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3" spans="1:3" x14ac:dyDescent="0.45">
      <c r="A363">
        <f>ROUNDDOWN(dict_zuord_Var_DQ[[#This Row],[ID_DataQualities]]/2,0)</f>
        <v>180</v>
      </c>
      <c r="B363">
        <v>361</v>
      </c>
      <c r="C36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4" spans="1:3" x14ac:dyDescent="0.45">
      <c r="A364">
        <f>ROUNDDOWN(dict_zuord_Var_DQ[[#This Row],[ID_DataQualities]]/2,0)</f>
        <v>181</v>
      </c>
      <c r="B364">
        <v>362</v>
      </c>
      <c r="C36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5" spans="1:3" x14ac:dyDescent="0.45">
      <c r="A365">
        <f>ROUNDDOWN(dict_zuord_Var_DQ[[#This Row],[ID_DataQualities]]/2,0)</f>
        <v>181</v>
      </c>
      <c r="B365">
        <v>363</v>
      </c>
      <c r="C36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6" spans="1:3" x14ac:dyDescent="0.45">
      <c r="A366">
        <f>ROUNDDOWN(dict_zuord_Var_DQ[[#This Row],[ID_DataQualities]]/2,0)</f>
        <v>182</v>
      </c>
      <c r="B366">
        <v>364</v>
      </c>
      <c r="C36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7" spans="1:3" x14ac:dyDescent="0.45">
      <c r="A367">
        <f>ROUNDDOWN(dict_zuord_Var_DQ[[#This Row],[ID_DataQualities]]/2,0)</f>
        <v>182</v>
      </c>
      <c r="B367">
        <v>365</v>
      </c>
      <c r="C36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8" spans="1:3" x14ac:dyDescent="0.45">
      <c r="A368">
        <f>ROUNDDOWN(dict_zuord_Var_DQ[[#This Row],[ID_DataQualities]]/2,0)</f>
        <v>183</v>
      </c>
      <c r="B368">
        <v>366</v>
      </c>
      <c r="C36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69" spans="1:3" x14ac:dyDescent="0.45">
      <c r="A369">
        <f>ROUNDDOWN(dict_zuord_Var_DQ[[#This Row],[ID_DataQualities]]/2,0)</f>
        <v>183</v>
      </c>
      <c r="B369">
        <v>367</v>
      </c>
      <c r="C36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0" spans="1:3" x14ac:dyDescent="0.45">
      <c r="A370">
        <f>ROUNDDOWN(dict_zuord_Var_DQ[[#This Row],[ID_DataQualities]]/2,0)</f>
        <v>184</v>
      </c>
      <c r="B370">
        <v>368</v>
      </c>
      <c r="C37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1" spans="1:3" x14ac:dyDescent="0.45">
      <c r="A371">
        <f>ROUNDDOWN(dict_zuord_Var_DQ[[#This Row],[ID_DataQualities]]/2,0)</f>
        <v>184</v>
      </c>
      <c r="B371">
        <v>369</v>
      </c>
      <c r="C37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2" spans="1:3" x14ac:dyDescent="0.45">
      <c r="A372">
        <f>ROUNDDOWN(dict_zuord_Var_DQ[[#This Row],[ID_DataQualities]]/2,0)</f>
        <v>185</v>
      </c>
      <c r="B372">
        <v>370</v>
      </c>
      <c r="C37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3" spans="1:3" x14ac:dyDescent="0.45">
      <c r="A373">
        <f>ROUNDDOWN(dict_zuord_Var_DQ[[#This Row],[ID_DataQualities]]/2,0)</f>
        <v>185</v>
      </c>
      <c r="B373">
        <v>371</v>
      </c>
      <c r="C37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4" spans="1:3" x14ac:dyDescent="0.45">
      <c r="A374">
        <f>ROUNDDOWN(dict_zuord_Var_DQ[[#This Row],[ID_DataQualities]]/2,0)</f>
        <v>186</v>
      </c>
      <c r="B374">
        <v>372</v>
      </c>
      <c r="C37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5" spans="1:3" x14ac:dyDescent="0.45">
      <c r="A375">
        <f>ROUNDDOWN(dict_zuord_Var_DQ[[#This Row],[ID_DataQualities]]/2,0)</f>
        <v>186</v>
      </c>
      <c r="B375">
        <v>373</v>
      </c>
      <c r="C37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6" spans="1:3" x14ac:dyDescent="0.45">
      <c r="A376">
        <f>ROUNDDOWN(dict_zuord_Var_DQ[[#This Row],[ID_DataQualities]]/2,0)</f>
        <v>187</v>
      </c>
      <c r="B376">
        <v>374</v>
      </c>
      <c r="C37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7" spans="1:3" x14ac:dyDescent="0.45">
      <c r="A377">
        <f>ROUNDDOWN(dict_zuord_Var_DQ[[#This Row],[ID_DataQualities]]/2,0)</f>
        <v>187</v>
      </c>
      <c r="B377">
        <v>375</v>
      </c>
      <c r="C37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8" spans="1:3" x14ac:dyDescent="0.45">
      <c r="A378">
        <f>ROUNDDOWN(dict_zuord_Var_DQ[[#This Row],[ID_DataQualities]]/2,0)</f>
        <v>188</v>
      </c>
      <c r="B378">
        <v>376</v>
      </c>
      <c r="C37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79" spans="1:3" x14ac:dyDescent="0.45">
      <c r="A379">
        <f>ROUNDDOWN(dict_zuord_Var_DQ[[#This Row],[ID_DataQualities]]/2,0)</f>
        <v>188</v>
      </c>
      <c r="B379">
        <v>377</v>
      </c>
      <c r="C37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0" spans="1:3" x14ac:dyDescent="0.45">
      <c r="A380">
        <f>ROUNDDOWN(dict_zuord_Var_DQ[[#This Row],[ID_DataQualities]]/2,0)</f>
        <v>189</v>
      </c>
      <c r="B380">
        <v>378</v>
      </c>
      <c r="C38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1" spans="1:3" x14ac:dyDescent="0.45">
      <c r="A381">
        <f>ROUNDDOWN(dict_zuord_Var_DQ[[#This Row],[ID_DataQualities]]/2,0)</f>
        <v>189</v>
      </c>
      <c r="B381">
        <v>379</v>
      </c>
      <c r="C38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2" spans="1:3" x14ac:dyDescent="0.45">
      <c r="A382">
        <f>ROUNDDOWN(dict_zuord_Var_DQ[[#This Row],[ID_DataQualities]]/2,0)</f>
        <v>190</v>
      </c>
      <c r="B382">
        <v>380</v>
      </c>
      <c r="C38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3" spans="1:3" x14ac:dyDescent="0.45">
      <c r="A383">
        <f>ROUNDDOWN(dict_zuord_Var_DQ[[#This Row],[ID_DataQualities]]/2,0)</f>
        <v>190</v>
      </c>
      <c r="B383">
        <v>381</v>
      </c>
      <c r="C38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4" spans="1:3" x14ac:dyDescent="0.45">
      <c r="A384">
        <f>ROUNDDOWN(dict_zuord_Var_DQ[[#This Row],[ID_DataQualities]]/2,0)</f>
        <v>191</v>
      </c>
      <c r="B384">
        <v>382</v>
      </c>
      <c r="C38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5" spans="1:3" x14ac:dyDescent="0.45">
      <c r="A385">
        <f>ROUNDDOWN(dict_zuord_Var_DQ[[#This Row],[ID_DataQualities]]/2,0)</f>
        <v>191</v>
      </c>
      <c r="B385">
        <v>383</v>
      </c>
      <c r="C38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6" spans="1:3" x14ac:dyDescent="0.45">
      <c r="A386">
        <f>ROUNDDOWN(dict_zuord_Var_DQ[[#This Row],[ID_DataQualities]]/2,0)</f>
        <v>192</v>
      </c>
      <c r="B386">
        <v>384</v>
      </c>
      <c r="C38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7" spans="1:3" x14ac:dyDescent="0.45">
      <c r="A387">
        <f>ROUNDDOWN(dict_zuord_Var_DQ[[#This Row],[ID_DataQualities]]/2,0)</f>
        <v>192</v>
      </c>
      <c r="B387">
        <v>385</v>
      </c>
      <c r="C38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8" spans="1:3" x14ac:dyDescent="0.45">
      <c r="A388">
        <f>ROUNDDOWN(dict_zuord_Var_DQ[[#This Row],[ID_DataQualities]]/2,0)</f>
        <v>193</v>
      </c>
      <c r="B388">
        <v>386</v>
      </c>
      <c r="C38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89" spans="1:3" x14ac:dyDescent="0.45">
      <c r="A389">
        <f>ROUNDDOWN(dict_zuord_Var_DQ[[#This Row],[ID_DataQualities]]/2,0)</f>
        <v>193</v>
      </c>
      <c r="B389">
        <v>387</v>
      </c>
      <c r="C38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0" spans="1:3" x14ac:dyDescent="0.45">
      <c r="A390">
        <f>ROUNDDOWN(dict_zuord_Var_DQ[[#This Row],[ID_DataQualities]]/2,0)</f>
        <v>194</v>
      </c>
      <c r="B390">
        <v>388</v>
      </c>
      <c r="C39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1" spans="1:3" x14ac:dyDescent="0.45">
      <c r="A391">
        <f>ROUNDDOWN(dict_zuord_Var_DQ[[#This Row],[ID_DataQualities]]/2,0)</f>
        <v>194</v>
      </c>
      <c r="B391">
        <v>389</v>
      </c>
      <c r="C39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2" spans="1:3" x14ac:dyDescent="0.45">
      <c r="A392">
        <f>ROUNDDOWN(dict_zuord_Var_DQ[[#This Row],[ID_DataQualities]]/2,0)</f>
        <v>195</v>
      </c>
      <c r="B392">
        <v>390</v>
      </c>
      <c r="C39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3" spans="1:3" x14ac:dyDescent="0.45">
      <c r="A393">
        <f>ROUNDDOWN(dict_zuord_Var_DQ[[#This Row],[ID_DataQualities]]/2,0)</f>
        <v>195</v>
      </c>
      <c r="B393">
        <v>391</v>
      </c>
      <c r="C39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4" spans="1:3" x14ac:dyDescent="0.45">
      <c r="A394">
        <f>ROUNDDOWN(dict_zuord_Var_DQ[[#This Row],[ID_DataQualities]]/2,0)</f>
        <v>196</v>
      </c>
      <c r="B394">
        <v>392</v>
      </c>
      <c r="C394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5" spans="1:3" x14ac:dyDescent="0.45">
      <c r="A395">
        <f>ROUNDDOWN(dict_zuord_Var_DQ[[#This Row],[ID_DataQualities]]/2,0)</f>
        <v>196</v>
      </c>
      <c r="B395">
        <v>393</v>
      </c>
      <c r="C395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6" spans="1:3" x14ac:dyDescent="0.45">
      <c r="A396">
        <f>ROUNDDOWN(dict_zuord_Var_DQ[[#This Row],[ID_DataQualities]]/2,0)</f>
        <v>197</v>
      </c>
      <c r="B396">
        <v>394</v>
      </c>
      <c r="C396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7" spans="1:3" x14ac:dyDescent="0.45">
      <c r="A397">
        <f>ROUNDDOWN(dict_zuord_Var_DQ[[#This Row],[ID_DataQualities]]/2,0)</f>
        <v>197</v>
      </c>
      <c r="B397">
        <v>395</v>
      </c>
      <c r="C397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8" spans="1:3" x14ac:dyDescent="0.45">
      <c r="A398">
        <f>ROUNDDOWN(dict_zuord_Var_DQ[[#This Row],[ID_DataQualities]]/2,0)</f>
        <v>198</v>
      </c>
      <c r="B398">
        <v>396</v>
      </c>
      <c r="C398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399" spans="1:3" x14ac:dyDescent="0.45">
      <c r="A399">
        <f>ROUNDDOWN(dict_zuord_Var_DQ[[#This Row],[ID_DataQualities]]/2,0)</f>
        <v>198</v>
      </c>
      <c r="B399">
        <v>397</v>
      </c>
      <c r="C399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0" spans="1:3" x14ac:dyDescent="0.45">
      <c r="A400">
        <f>ROUNDDOWN(dict_zuord_Var_DQ[[#This Row],[ID_DataQualities]]/2,0)</f>
        <v>199</v>
      </c>
      <c r="B400">
        <v>398</v>
      </c>
      <c r="C400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1" spans="1:3" x14ac:dyDescent="0.45">
      <c r="A401">
        <f>ROUNDDOWN(dict_zuord_Var_DQ[[#This Row],[ID_DataQualities]]/2,0)</f>
        <v>199</v>
      </c>
      <c r="B401">
        <v>399</v>
      </c>
      <c r="C401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2" spans="1:3" x14ac:dyDescent="0.45">
      <c r="A402">
        <f>ROUNDDOWN(dict_zuord_Var_DQ[[#This Row],[ID_DataQualities]]/2,0)</f>
        <v>200</v>
      </c>
      <c r="B402">
        <v>400</v>
      </c>
      <c r="C402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  <row r="403" spans="1:3" x14ac:dyDescent="0.45">
      <c r="A403">
        <f>ROUNDDOWN(dict_zuord_Var_DQ[[#This Row],[ID_DataQualities]]/2,0)</f>
        <v>200</v>
      </c>
      <c r="B403">
        <v>401</v>
      </c>
      <c r="C403" s="3" t="b">
        <f ca="1">IF(MIN(SUMPRODUCT(SUBTOTAL(103,OFFSET(table_Variables[ID],ROW(table_Variables[ID])-MIN(ROW(table_Variables[ID])),,1))*(table_Variables[ID]=dict_zuord_Var_DQ[[#This Row],[ID_Variables]])),SUMPRODUCT(SUBTOTAL(103,OFFSET(table_DataQualities[ID],ROW(table_DataQualities[ID])-MIN(ROW(table_DataQualities[ID])),,1))*(table_DataQualities[ID]=dict_zuord_Var_DQ[[#This Row],[ID_DataQualities]])))&gt;0,TRUE,FALSE)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E500"/>
  <sheetViews>
    <sheetView topLeftCell="A211" workbookViewId="0">
      <selection activeCell="E3" sqref="E3"/>
    </sheetView>
  </sheetViews>
  <sheetFormatPr baseColWidth="10" defaultRowHeight="14.25" x14ac:dyDescent="0.45"/>
  <cols>
    <col min="1" max="1" width="13.59765625" bestFit="1" customWidth="1"/>
    <col min="2" max="2" width="12.59765625" bestFit="1" customWidth="1"/>
    <col min="3" max="3" width="12.59765625" customWidth="1"/>
    <col min="4" max="4" width="18.59765625" bestFit="1" customWidth="1"/>
  </cols>
  <sheetData>
    <row r="1" spans="1:5" x14ac:dyDescent="0.45">
      <c r="A1" t="s">
        <v>27</v>
      </c>
      <c r="B1" t="s">
        <v>29</v>
      </c>
      <c r="C1" t="s">
        <v>66</v>
      </c>
      <c r="D1" t="s">
        <v>63</v>
      </c>
      <c r="E1" t="s">
        <v>348</v>
      </c>
    </row>
    <row r="2" spans="1:5" x14ac:dyDescent="0.45">
      <c r="A2">
        <f t="shared" ref="A2:A65" ca="1" si="0">RANDBETWEEN(0,700)</f>
        <v>0</v>
      </c>
      <c r="B2">
        <f t="shared" ref="B2:B65" ca="1" si="1">RANDBETWEEN(0,30)</f>
        <v>25</v>
      </c>
      <c r="C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">
        <f t="shared" ref="D2:D65" ca="1" si="2">RANDBETWEEN(0,30)</f>
        <v>5</v>
      </c>
      <c r="E2" t="str">
        <f ca="1">IF(dict_zuord_Meth_Per[[#This Row],[kval_active]],dict_zuord_Meth_Per[[#This Row],[ID_Persons]],"")</f>
        <v/>
      </c>
    </row>
    <row r="3" spans="1:5" x14ac:dyDescent="0.45">
      <c r="A3">
        <f t="shared" ca="1" si="0"/>
        <v>49</v>
      </c>
      <c r="B3">
        <f t="shared" ca="1" si="1"/>
        <v>4</v>
      </c>
      <c r="C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">
        <f t="shared" ca="1" si="2"/>
        <v>6</v>
      </c>
      <c r="E3" t="str">
        <f ca="1">IF(dict_zuord_Meth_Per[[#This Row],[kval_active]],dict_zuord_Meth_Per[[#This Row],[ID_Persons]],"")</f>
        <v/>
      </c>
    </row>
    <row r="4" spans="1:5" x14ac:dyDescent="0.45">
      <c r="A4">
        <f t="shared" ca="1" si="0"/>
        <v>277</v>
      </c>
      <c r="B4">
        <f t="shared" ca="1" si="1"/>
        <v>9</v>
      </c>
      <c r="C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">
        <f t="shared" ca="1" si="2"/>
        <v>25</v>
      </c>
      <c r="E4" t="str">
        <f ca="1">IF(dict_zuord_Meth_Per[[#This Row],[kval_active]],dict_zuord_Meth_Per[[#This Row],[ID_Persons]],"")</f>
        <v/>
      </c>
    </row>
    <row r="5" spans="1:5" x14ac:dyDescent="0.45">
      <c r="A5">
        <f t="shared" ca="1" si="0"/>
        <v>474</v>
      </c>
      <c r="B5">
        <f t="shared" ca="1" si="1"/>
        <v>18</v>
      </c>
      <c r="C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">
        <f t="shared" ca="1" si="2"/>
        <v>25</v>
      </c>
      <c r="E5" t="str">
        <f ca="1">IF(dict_zuord_Meth_Per[[#This Row],[kval_active]],dict_zuord_Meth_Per[[#This Row],[ID_Persons]],"")</f>
        <v/>
      </c>
    </row>
    <row r="6" spans="1:5" x14ac:dyDescent="0.45">
      <c r="A6">
        <f t="shared" ca="1" si="0"/>
        <v>361</v>
      </c>
      <c r="B6">
        <f t="shared" ca="1" si="1"/>
        <v>5</v>
      </c>
      <c r="C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">
        <f t="shared" ca="1" si="2"/>
        <v>0</v>
      </c>
      <c r="E6" t="str">
        <f ca="1">IF(dict_zuord_Meth_Per[[#This Row],[kval_active]],dict_zuord_Meth_Per[[#This Row],[ID_Persons]],"")</f>
        <v/>
      </c>
    </row>
    <row r="7" spans="1:5" x14ac:dyDescent="0.45">
      <c r="A7">
        <f t="shared" ca="1" si="0"/>
        <v>475</v>
      </c>
      <c r="B7">
        <f t="shared" ca="1" si="1"/>
        <v>27</v>
      </c>
      <c r="C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">
        <f t="shared" ca="1" si="2"/>
        <v>6</v>
      </c>
      <c r="E7" t="str">
        <f ca="1">IF(dict_zuord_Meth_Per[[#This Row],[kval_active]],dict_zuord_Meth_Per[[#This Row],[ID_Persons]],"")</f>
        <v/>
      </c>
    </row>
    <row r="8" spans="1:5" x14ac:dyDescent="0.45">
      <c r="A8">
        <f t="shared" ca="1" si="0"/>
        <v>486</v>
      </c>
      <c r="B8">
        <f t="shared" ca="1" si="1"/>
        <v>1</v>
      </c>
      <c r="C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">
        <f t="shared" ca="1" si="2"/>
        <v>8</v>
      </c>
      <c r="E8" t="str">
        <f ca="1">IF(dict_zuord_Meth_Per[[#This Row],[kval_active]],dict_zuord_Meth_Per[[#This Row],[ID_Persons]],"")</f>
        <v/>
      </c>
    </row>
    <row r="9" spans="1:5" x14ac:dyDescent="0.45">
      <c r="A9">
        <f t="shared" ca="1" si="0"/>
        <v>70</v>
      </c>
      <c r="B9">
        <f t="shared" ca="1" si="1"/>
        <v>29</v>
      </c>
      <c r="C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">
        <f t="shared" ca="1" si="2"/>
        <v>11</v>
      </c>
      <c r="E9" t="str">
        <f ca="1">IF(dict_zuord_Meth_Per[[#This Row],[kval_active]],dict_zuord_Meth_Per[[#This Row],[ID_Persons]],"")</f>
        <v/>
      </c>
    </row>
    <row r="10" spans="1:5" x14ac:dyDescent="0.45">
      <c r="A10">
        <f t="shared" ca="1" si="0"/>
        <v>317</v>
      </c>
      <c r="B10">
        <f t="shared" ca="1" si="1"/>
        <v>15</v>
      </c>
      <c r="C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">
        <f t="shared" ca="1" si="2"/>
        <v>13</v>
      </c>
      <c r="E10" t="str">
        <f ca="1">IF(dict_zuord_Meth_Per[[#This Row],[kval_active]],dict_zuord_Meth_Per[[#This Row],[ID_Persons]],"")</f>
        <v/>
      </c>
    </row>
    <row r="11" spans="1:5" x14ac:dyDescent="0.45">
      <c r="A11">
        <f t="shared" ca="1" si="0"/>
        <v>421</v>
      </c>
      <c r="B11">
        <f t="shared" ca="1" si="1"/>
        <v>1</v>
      </c>
      <c r="C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">
        <f t="shared" ca="1" si="2"/>
        <v>16</v>
      </c>
      <c r="E11" t="str">
        <f ca="1">IF(dict_zuord_Meth_Per[[#This Row],[kval_active]],dict_zuord_Meth_Per[[#This Row],[ID_Persons]],"")</f>
        <v/>
      </c>
    </row>
    <row r="12" spans="1:5" x14ac:dyDescent="0.45">
      <c r="A12">
        <f t="shared" ca="1" si="0"/>
        <v>268</v>
      </c>
      <c r="B12">
        <f t="shared" ca="1" si="1"/>
        <v>7</v>
      </c>
      <c r="C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">
        <f t="shared" ca="1" si="2"/>
        <v>28</v>
      </c>
      <c r="E12" t="str">
        <f ca="1">IF(dict_zuord_Meth_Per[[#This Row],[kval_active]],dict_zuord_Meth_Per[[#This Row],[ID_Persons]],"")</f>
        <v/>
      </c>
    </row>
    <row r="13" spans="1:5" x14ac:dyDescent="0.45">
      <c r="A13">
        <f t="shared" ca="1" si="0"/>
        <v>176</v>
      </c>
      <c r="B13">
        <f t="shared" ca="1" si="1"/>
        <v>10</v>
      </c>
      <c r="C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">
        <f t="shared" ca="1" si="2"/>
        <v>22</v>
      </c>
      <c r="E13" t="str">
        <f ca="1">IF(dict_zuord_Meth_Per[[#This Row],[kval_active]],dict_zuord_Meth_Per[[#This Row],[ID_Persons]],"")</f>
        <v/>
      </c>
    </row>
    <row r="14" spans="1:5" x14ac:dyDescent="0.45">
      <c r="A14">
        <f t="shared" ca="1" si="0"/>
        <v>55</v>
      </c>
      <c r="B14">
        <f t="shared" ca="1" si="1"/>
        <v>20</v>
      </c>
      <c r="C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">
        <f t="shared" ca="1" si="2"/>
        <v>27</v>
      </c>
      <c r="E14" t="str">
        <f ca="1">IF(dict_zuord_Meth_Per[[#This Row],[kval_active]],dict_zuord_Meth_Per[[#This Row],[ID_Persons]],"")</f>
        <v/>
      </c>
    </row>
    <row r="15" spans="1:5" x14ac:dyDescent="0.45">
      <c r="A15">
        <f t="shared" ca="1" si="0"/>
        <v>246</v>
      </c>
      <c r="B15">
        <f t="shared" ca="1" si="1"/>
        <v>16</v>
      </c>
      <c r="C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">
        <f t="shared" ca="1" si="2"/>
        <v>26</v>
      </c>
      <c r="E15" t="str">
        <f ca="1">IF(dict_zuord_Meth_Per[[#This Row],[kval_active]],dict_zuord_Meth_Per[[#This Row],[ID_Persons]],"")</f>
        <v/>
      </c>
    </row>
    <row r="16" spans="1:5" x14ac:dyDescent="0.45">
      <c r="A16">
        <f t="shared" ca="1" si="0"/>
        <v>384</v>
      </c>
      <c r="B16">
        <f t="shared" ca="1" si="1"/>
        <v>5</v>
      </c>
      <c r="C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">
        <f t="shared" ca="1" si="2"/>
        <v>23</v>
      </c>
      <c r="E16" t="str">
        <f ca="1">IF(dict_zuord_Meth_Per[[#This Row],[kval_active]],dict_zuord_Meth_Per[[#This Row],[ID_Persons]],"")</f>
        <v/>
      </c>
    </row>
    <row r="17" spans="1:5" x14ac:dyDescent="0.45">
      <c r="A17">
        <f t="shared" ca="1" si="0"/>
        <v>695</v>
      </c>
      <c r="B17">
        <f t="shared" ca="1" si="1"/>
        <v>1</v>
      </c>
      <c r="C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">
        <f t="shared" ca="1" si="2"/>
        <v>1</v>
      </c>
      <c r="E17" t="str">
        <f ca="1">IF(dict_zuord_Meth_Per[[#This Row],[kval_active]],dict_zuord_Meth_Per[[#This Row],[ID_Persons]],"")</f>
        <v/>
      </c>
    </row>
    <row r="18" spans="1:5" x14ac:dyDescent="0.45">
      <c r="A18">
        <f t="shared" ca="1" si="0"/>
        <v>598</v>
      </c>
      <c r="B18">
        <f t="shared" ca="1" si="1"/>
        <v>19</v>
      </c>
      <c r="C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">
        <f t="shared" ca="1" si="2"/>
        <v>12</v>
      </c>
      <c r="E18" t="str">
        <f ca="1">IF(dict_zuord_Meth_Per[[#This Row],[kval_active]],dict_zuord_Meth_Per[[#This Row],[ID_Persons]],"")</f>
        <v/>
      </c>
    </row>
    <row r="19" spans="1:5" x14ac:dyDescent="0.45">
      <c r="A19">
        <f t="shared" ca="1" si="0"/>
        <v>459</v>
      </c>
      <c r="B19">
        <f t="shared" ca="1" si="1"/>
        <v>0</v>
      </c>
      <c r="C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">
        <f t="shared" ca="1" si="2"/>
        <v>19</v>
      </c>
      <c r="E19" t="str">
        <f ca="1">IF(dict_zuord_Meth_Per[[#This Row],[kval_active]],dict_zuord_Meth_Per[[#This Row],[ID_Persons]],"")</f>
        <v/>
      </c>
    </row>
    <row r="20" spans="1:5" x14ac:dyDescent="0.45">
      <c r="A20">
        <f t="shared" ca="1" si="0"/>
        <v>623</v>
      </c>
      <c r="B20">
        <f t="shared" ca="1" si="1"/>
        <v>27</v>
      </c>
      <c r="C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">
        <f t="shared" ca="1" si="2"/>
        <v>22</v>
      </c>
      <c r="E20" t="str">
        <f ca="1">IF(dict_zuord_Meth_Per[[#This Row],[kval_active]],dict_zuord_Meth_Per[[#This Row],[ID_Persons]],"")</f>
        <v/>
      </c>
    </row>
    <row r="21" spans="1:5" x14ac:dyDescent="0.45">
      <c r="A21">
        <f t="shared" ca="1" si="0"/>
        <v>287</v>
      </c>
      <c r="B21">
        <f t="shared" ca="1" si="1"/>
        <v>12</v>
      </c>
      <c r="C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">
        <f t="shared" ca="1" si="2"/>
        <v>25</v>
      </c>
      <c r="E21" t="str">
        <f ca="1">IF(dict_zuord_Meth_Per[[#This Row],[kval_active]],dict_zuord_Meth_Per[[#This Row],[ID_Persons]],"")</f>
        <v/>
      </c>
    </row>
    <row r="22" spans="1:5" x14ac:dyDescent="0.45">
      <c r="A22">
        <f t="shared" ca="1" si="0"/>
        <v>645</v>
      </c>
      <c r="B22">
        <f t="shared" ca="1" si="1"/>
        <v>16</v>
      </c>
      <c r="C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">
        <f t="shared" ca="1" si="2"/>
        <v>21</v>
      </c>
      <c r="E22" t="str">
        <f ca="1">IF(dict_zuord_Meth_Per[[#This Row],[kval_active]],dict_zuord_Meth_Per[[#This Row],[ID_Persons]],"")</f>
        <v/>
      </c>
    </row>
    <row r="23" spans="1:5" x14ac:dyDescent="0.45">
      <c r="A23">
        <f t="shared" ca="1" si="0"/>
        <v>295</v>
      </c>
      <c r="B23">
        <f t="shared" ca="1" si="1"/>
        <v>14</v>
      </c>
      <c r="C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">
        <f t="shared" ca="1" si="2"/>
        <v>11</v>
      </c>
      <c r="E23" t="str">
        <f ca="1">IF(dict_zuord_Meth_Per[[#This Row],[kval_active]],dict_zuord_Meth_Per[[#This Row],[ID_Persons]],"")</f>
        <v/>
      </c>
    </row>
    <row r="24" spans="1:5" x14ac:dyDescent="0.45">
      <c r="A24">
        <f t="shared" ca="1" si="0"/>
        <v>646</v>
      </c>
      <c r="B24">
        <f t="shared" ca="1" si="1"/>
        <v>7</v>
      </c>
      <c r="C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4">
        <f t="shared" ca="1" si="2"/>
        <v>6</v>
      </c>
      <c r="E24">
        <f ca="1">IF(dict_zuord_Meth_Per[[#This Row],[kval_active]],dict_zuord_Meth_Per[[#This Row],[ID_Persons]],"")</f>
        <v>7</v>
      </c>
    </row>
    <row r="25" spans="1:5" x14ac:dyDescent="0.45">
      <c r="A25">
        <f t="shared" ca="1" si="0"/>
        <v>173</v>
      </c>
      <c r="B25">
        <f t="shared" ca="1" si="1"/>
        <v>13</v>
      </c>
      <c r="C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">
        <f t="shared" ca="1" si="2"/>
        <v>17</v>
      </c>
      <c r="E25" t="str">
        <f ca="1">IF(dict_zuord_Meth_Per[[#This Row],[kval_active]],dict_zuord_Meth_Per[[#This Row],[ID_Persons]],"")</f>
        <v/>
      </c>
    </row>
    <row r="26" spans="1:5" x14ac:dyDescent="0.45">
      <c r="A26">
        <f t="shared" ca="1" si="0"/>
        <v>436</v>
      </c>
      <c r="B26">
        <f t="shared" ca="1" si="1"/>
        <v>21</v>
      </c>
      <c r="C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">
        <f t="shared" ca="1" si="2"/>
        <v>13</v>
      </c>
      <c r="E26" t="str">
        <f ca="1">IF(dict_zuord_Meth_Per[[#This Row],[kval_active]],dict_zuord_Meth_Per[[#This Row],[ID_Persons]],"")</f>
        <v/>
      </c>
    </row>
    <row r="27" spans="1:5" x14ac:dyDescent="0.45">
      <c r="A27">
        <f t="shared" ca="1" si="0"/>
        <v>248</v>
      </c>
      <c r="B27">
        <f t="shared" ca="1" si="1"/>
        <v>4</v>
      </c>
      <c r="C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">
        <f t="shared" ca="1" si="2"/>
        <v>22</v>
      </c>
      <c r="E27" t="str">
        <f ca="1">IF(dict_zuord_Meth_Per[[#This Row],[kval_active]],dict_zuord_Meth_Per[[#This Row],[ID_Persons]],"")</f>
        <v/>
      </c>
    </row>
    <row r="28" spans="1:5" x14ac:dyDescent="0.45">
      <c r="A28">
        <f t="shared" ca="1" si="0"/>
        <v>566</v>
      </c>
      <c r="B28">
        <f t="shared" ca="1" si="1"/>
        <v>8</v>
      </c>
      <c r="C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8">
        <f t="shared" ca="1" si="2"/>
        <v>11</v>
      </c>
      <c r="E28">
        <f ca="1">IF(dict_zuord_Meth_Per[[#This Row],[kval_active]],dict_zuord_Meth_Per[[#This Row],[ID_Persons]],"")</f>
        <v>8</v>
      </c>
    </row>
    <row r="29" spans="1:5" x14ac:dyDescent="0.45">
      <c r="A29">
        <f t="shared" ca="1" si="0"/>
        <v>662</v>
      </c>
      <c r="B29">
        <f t="shared" ca="1" si="1"/>
        <v>13</v>
      </c>
      <c r="C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">
        <f t="shared" ca="1" si="2"/>
        <v>0</v>
      </c>
      <c r="E29" t="str">
        <f ca="1">IF(dict_zuord_Meth_Per[[#This Row],[kval_active]],dict_zuord_Meth_Per[[#This Row],[ID_Persons]],"")</f>
        <v/>
      </c>
    </row>
    <row r="30" spans="1:5" x14ac:dyDescent="0.45">
      <c r="A30">
        <f t="shared" ca="1" si="0"/>
        <v>261</v>
      </c>
      <c r="B30">
        <f t="shared" ca="1" si="1"/>
        <v>19</v>
      </c>
      <c r="C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">
        <f t="shared" ca="1" si="2"/>
        <v>2</v>
      </c>
      <c r="E30" t="str">
        <f ca="1">IF(dict_zuord_Meth_Per[[#This Row],[kval_active]],dict_zuord_Meth_Per[[#This Row],[ID_Persons]],"")</f>
        <v/>
      </c>
    </row>
    <row r="31" spans="1:5" x14ac:dyDescent="0.45">
      <c r="A31">
        <f t="shared" ca="1" si="0"/>
        <v>242</v>
      </c>
      <c r="B31">
        <f t="shared" ca="1" si="1"/>
        <v>24</v>
      </c>
      <c r="C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">
        <f t="shared" ca="1" si="2"/>
        <v>21</v>
      </c>
      <c r="E31" t="str">
        <f ca="1">IF(dict_zuord_Meth_Per[[#This Row],[kval_active]],dict_zuord_Meth_Per[[#This Row],[ID_Persons]],"")</f>
        <v/>
      </c>
    </row>
    <row r="32" spans="1:5" x14ac:dyDescent="0.45">
      <c r="A32">
        <f t="shared" ca="1" si="0"/>
        <v>175</v>
      </c>
      <c r="B32">
        <f t="shared" ca="1" si="1"/>
        <v>13</v>
      </c>
      <c r="C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">
        <f t="shared" ca="1" si="2"/>
        <v>20</v>
      </c>
      <c r="E32" t="str">
        <f ca="1">IF(dict_zuord_Meth_Per[[#This Row],[kval_active]],dict_zuord_Meth_Per[[#This Row],[ID_Persons]],"")</f>
        <v/>
      </c>
    </row>
    <row r="33" spans="1:5" x14ac:dyDescent="0.45">
      <c r="A33">
        <f t="shared" ca="1" si="0"/>
        <v>239</v>
      </c>
      <c r="B33">
        <f t="shared" ca="1" si="1"/>
        <v>23</v>
      </c>
      <c r="C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">
        <f t="shared" ca="1" si="2"/>
        <v>23</v>
      </c>
      <c r="E33" t="str">
        <f ca="1">IF(dict_zuord_Meth_Per[[#This Row],[kval_active]],dict_zuord_Meth_Per[[#This Row],[ID_Persons]],"")</f>
        <v/>
      </c>
    </row>
    <row r="34" spans="1:5" x14ac:dyDescent="0.45">
      <c r="A34">
        <f t="shared" ca="1" si="0"/>
        <v>392</v>
      </c>
      <c r="B34">
        <f t="shared" ca="1" si="1"/>
        <v>15</v>
      </c>
      <c r="C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">
        <f t="shared" ca="1" si="2"/>
        <v>30</v>
      </c>
      <c r="E34" t="str">
        <f ca="1">IF(dict_zuord_Meth_Per[[#This Row],[kval_active]],dict_zuord_Meth_Per[[#This Row],[ID_Persons]],"")</f>
        <v/>
      </c>
    </row>
    <row r="35" spans="1:5" x14ac:dyDescent="0.45">
      <c r="A35">
        <f t="shared" ca="1" si="0"/>
        <v>544</v>
      </c>
      <c r="B35">
        <f t="shared" ca="1" si="1"/>
        <v>30</v>
      </c>
      <c r="C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">
        <f t="shared" ca="1" si="2"/>
        <v>5</v>
      </c>
      <c r="E35" t="str">
        <f ca="1">IF(dict_zuord_Meth_Per[[#This Row],[kval_active]],dict_zuord_Meth_Per[[#This Row],[ID_Persons]],"")</f>
        <v/>
      </c>
    </row>
    <row r="36" spans="1:5" x14ac:dyDescent="0.45">
      <c r="A36">
        <f t="shared" ca="1" si="0"/>
        <v>564</v>
      </c>
      <c r="B36">
        <f t="shared" ca="1" si="1"/>
        <v>22</v>
      </c>
      <c r="C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">
        <f t="shared" ca="1" si="2"/>
        <v>1</v>
      </c>
      <c r="E36" t="str">
        <f ca="1">IF(dict_zuord_Meth_Per[[#This Row],[kval_active]],dict_zuord_Meth_Per[[#This Row],[ID_Persons]],"")</f>
        <v/>
      </c>
    </row>
    <row r="37" spans="1:5" x14ac:dyDescent="0.45">
      <c r="A37">
        <f t="shared" ca="1" si="0"/>
        <v>403</v>
      </c>
      <c r="B37">
        <f t="shared" ca="1" si="1"/>
        <v>19</v>
      </c>
      <c r="C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">
        <f t="shared" ca="1" si="2"/>
        <v>26</v>
      </c>
      <c r="E37" t="str">
        <f ca="1">IF(dict_zuord_Meth_Per[[#This Row],[kval_active]],dict_zuord_Meth_Per[[#This Row],[ID_Persons]],"")</f>
        <v/>
      </c>
    </row>
    <row r="38" spans="1:5" x14ac:dyDescent="0.45">
      <c r="A38">
        <f t="shared" ca="1" si="0"/>
        <v>348</v>
      </c>
      <c r="B38">
        <f t="shared" ca="1" si="1"/>
        <v>23</v>
      </c>
      <c r="C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">
        <f t="shared" ca="1" si="2"/>
        <v>26</v>
      </c>
      <c r="E38" t="str">
        <f ca="1">IF(dict_zuord_Meth_Per[[#This Row],[kval_active]],dict_zuord_Meth_Per[[#This Row],[ID_Persons]],"")</f>
        <v/>
      </c>
    </row>
    <row r="39" spans="1:5" x14ac:dyDescent="0.45">
      <c r="A39">
        <f t="shared" ca="1" si="0"/>
        <v>639</v>
      </c>
      <c r="B39">
        <f t="shared" ca="1" si="1"/>
        <v>24</v>
      </c>
      <c r="C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">
        <f t="shared" ca="1" si="2"/>
        <v>7</v>
      </c>
      <c r="E39">
        <f ca="1">IF(dict_zuord_Meth_Per[[#This Row],[kval_active]],dict_zuord_Meth_Per[[#This Row],[ID_Persons]],"")</f>
        <v>24</v>
      </c>
    </row>
    <row r="40" spans="1:5" x14ac:dyDescent="0.45">
      <c r="A40">
        <f t="shared" ca="1" si="0"/>
        <v>141</v>
      </c>
      <c r="B40">
        <f t="shared" ca="1" si="1"/>
        <v>21</v>
      </c>
      <c r="C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">
        <f t="shared" ca="1" si="2"/>
        <v>5</v>
      </c>
      <c r="E40" t="str">
        <f ca="1">IF(dict_zuord_Meth_Per[[#This Row],[kval_active]],dict_zuord_Meth_Per[[#This Row],[ID_Persons]],"")</f>
        <v/>
      </c>
    </row>
    <row r="41" spans="1:5" x14ac:dyDescent="0.45">
      <c r="A41">
        <f t="shared" ca="1" si="0"/>
        <v>550</v>
      </c>
      <c r="B41">
        <f t="shared" ca="1" si="1"/>
        <v>22</v>
      </c>
      <c r="C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">
        <f t="shared" ca="1" si="2"/>
        <v>20</v>
      </c>
      <c r="E41" t="str">
        <f ca="1">IF(dict_zuord_Meth_Per[[#This Row],[kval_active]],dict_zuord_Meth_Per[[#This Row],[ID_Persons]],"")</f>
        <v/>
      </c>
    </row>
    <row r="42" spans="1:5" x14ac:dyDescent="0.45">
      <c r="A42">
        <f t="shared" ca="1" si="0"/>
        <v>105</v>
      </c>
      <c r="B42">
        <f t="shared" ca="1" si="1"/>
        <v>27</v>
      </c>
      <c r="C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">
        <f t="shared" ca="1" si="2"/>
        <v>5</v>
      </c>
      <c r="E42" t="str">
        <f ca="1">IF(dict_zuord_Meth_Per[[#This Row],[kval_active]],dict_zuord_Meth_Per[[#This Row],[ID_Persons]],"")</f>
        <v/>
      </c>
    </row>
    <row r="43" spans="1:5" x14ac:dyDescent="0.45">
      <c r="A43">
        <f t="shared" ca="1" si="0"/>
        <v>297</v>
      </c>
      <c r="B43">
        <f t="shared" ca="1" si="1"/>
        <v>15</v>
      </c>
      <c r="C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">
        <f t="shared" ca="1" si="2"/>
        <v>7</v>
      </c>
      <c r="E43" t="str">
        <f ca="1">IF(dict_zuord_Meth_Per[[#This Row],[kval_active]],dict_zuord_Meth_Per[[#This Row],[ID_Persons]],"")</f>
        <v/>
      </c>
    </row>
    <row r="44" spans="1:5" x14ac:dyDescent="0.45">
      <c r="A44">
        <f t="shared" ca="1" si="0"/>
        <v>292</v>
      </c>
      <c r="B44">
        <f t="shared" ca="1" si="1"/>
        <v>15</v>
      </c>
      <c r="C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">
        <f t="shared" ca="1" si="2"/>
        <v>3</v>
      </c>
      <c r="E44" t="str">
        <f ca="1">IF(dict_zuord_Meth_Per[[#This Row],[kval_active]],dict_zuord_Meth_Per[[#This Row],[ID_Persons]],"")</f>
        <v/>
      </c>
    </row>
    <row r="45" spans="1:5" x14ac:dyDescent="0.45">
      <c r="A45">
        <f t="shared" ca="1" si="0"/>
        <v>192</v>
      </c>
      <c r="B45">
        <f t="shared" ca="1" si="1"/>
        <v>26</v>
      </c>
      <c r="C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">
        <f t="shared" ca="1" si="2"/>
        <v>18</v>
      </c>
      <c r="E45" t="str">
        <f ca="1">IF(dict_zuord_Meth_Per[[#This Row],[kval_active]],dict_zuord_Meth_Per[[#This Row],[ID_Persons]],"")</f>
        <v/>
      </c>
    </row>
    <row r="46" spans="1:5" x14ac:dyDescent="0.45">
      <c r="A46">
        <f t="shared" ca="1" si="0"/>
        <v>40</v>
      </c>
      <c r="B46">
        <f t="shared" ca="1" si="1"/>
        <v>21</v>
      </c>
      <c r="C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">
        <f t="shared" ca="1" si="2"/>
        <v>20</v>
      </c>
      <c r="E46" t="str">
        <f ca="1">IF(dict_zuord_Meth_Per[[#This Row],[kval_active]],dict_zuord_Meth_Per[[#This Row],[ID_Persons]],"")</f>
        <v/>
      </c>
    </row>
    <row r="47" spans="1:5" x14ac:dyDescent="0.45">
      <c r="A47">
        <f t="shared" ca="1" si="0"/>
        <v>226</v>
      </c>
      <c r="B47">
        <f t="shared" ca="1" si="1"/>
        <v>18</v>
      </c>
      <c r="C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">
        <f t="shared" ca="1" si="2"/>
        <v>1</v>
      </c>
      <c r="E47" t="str">
        <f ca="1">IF(dict_zuord_Meth_Per[[#This Row],[kval_active]],dict_zuord_Meth_Per[[#This Row],[ID_Persons]],"")</f>
        <v/>
      </c>
    </row>
    <row r="48" spans="1:5" x14ac:dyDescent="0.45">
      <c r="A48">
        <f t="shared" ca="1" si="0"/>
        <v>183</v>
      </c>
      <c r="B48">
        <f t="shared" ca="1" si="1"/>
        <v>3</v>
      </c>
      <c r="C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">
        <f t="shared" ca="1" si="2"/>
        <v>18</v>
      </c>
      <c r="E48" t="str">
        <f ca="1">IF(dict_zuord_Meth_Per[[#This Row],[kval_active]],dict_zuord_Meth_Per[[#This Row],[ID_Persons]],"")</f>
        <v/>
      </c>
    </row>
    <row r="49" spans="1:5" x14ac:dyDescent="0.45">
      <c r="A49">
        <f t="shared" ca="1" si="0"/>
        <v>120</v>
      </c>
      <c r="B49">
        <f t="shared" ca="1" si="1"/>
        <v>8</v>
      </c>
      <c r="C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">
        <f t="shared" ca="1" si="2"/>
        <v>16</v>
      </c>
      <c r="E49" t="str">
        <f ca="1">IF(dict_zuord_Meth_Per[[#This Row],[kval_active]],dict_zuord_Meth_Per[[#This Row],[ID_Persons]],"")</f>
        <v/>
      </c>
    </row>
    <row r="50" spans="1:5" x14ac:dyDescent="0.45">
      <c r="A50">
        <f t="shared" ca="1" si="0"/>
        <v>5</v>
      </c>
      <c r="B50">
        <f t="shared" ca="1" si="1"/>
        <v>4</v>
      </c>
      <c r="C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0">
        <f t="shared" ca="1" si="2"/>
        <v>27</v>
      </c>
      <c r="E50" t="str">
        <f ca="1">IF(dict_zuord_Meth_Per[[#This Row],[kval_active]],dict_zuord_Meth_Per[[#This Row],[ID_Persons]],"")</f>
        <v/>
      </c>
    </row>
    <row r="51" spans="1:5" x14ac:dyDescent="0.45">
      <c r="A51">
        <f t="shared" ca="1" si="0"/>
        <v>529</v>
      </c>
      <c r="B51">
        <f t="shared" ca="1" si="1"/>
        <v>12</v>
      </c>
      <c r="C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1">
        <f t="shared" ca="1" si="2"/>
        <v>12</v>
      </c>
      <c r="E51" t="str">
        <f ca="1">IF(dict_zuord_Meth_Per[[#This Row],[kval_active]],dict_zuord_Meth_Per[[#This Row],[ID_Persons]],"")</f>
        <v/>
      </c>
    </row>
    <row r="52" spans="1:5" x14ac:dyDescent="0.45">
      <c r="A52">
        <f t="shared" ca="1" si="0"/>
        <v>563</v>
      </c>
      <c r="B52">
        <f t="shared" ca="1" si="1"/>
        <v>4</v>
      </c>
      <c r="C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2">
        <f t="shared" ca="1" si="2"/>
        <v>11</v>
      </c>
      <c r="E52" t="str">
        <f ca="1">IF(dict_zuord_Meth_Per[[#This Row],[kval_active]],dict_zuord_Meth_Per[[#This Row],[ID_Persons]],"")</f>
        <v/>
      </c>
    </row>
    <row r="53" spans="1:5" x14ac:dyDescent="0.45">
      <c r="A53">
        <f t="shared" ca="1" si="0"/>
        <v>79</v>
      </c>
      <c r="B53">
        <f t="shared" ca="1" si="1"/>
        <v>13</v>
      </c>
      <c r="C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3">
        <f t="shared" ca="1" si="2"/>
        <v>28</v>
      </c>
      <c r="E53" t="str">
        <f ca="1">IF(dict_zuord_Meth_Per[[#This Row],[kval_active]],dict_zuord_Meth_Per[[#This Row],[ID_Persons]],"")</f>
        <v/>
      </c>
    </row>
    <row r="54" spans="1:5" x14ac:dyDescent="0.45">
      <c r="A54">
        <f t="shared" ca="1" si="0"/>
        <v>29</v>
      </c>
      <c r="B54">
        <f t="shared" ca="1" si="1"/>
        <v>27</v>
      </c>
      <c r="C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4">
        <f t="shared" ca="1" si="2"/>
        <v>15</v>
      </c>
      <c r="E54" t="str">
        <f ca="1">IF(dict_zuord_Meth_Per[[#This Row],[kval_active]],dict_zuord_Meth_Per[[#This Row],[ID_Persons]],"")</f>
        <v/>
      </c>
    </row>
    <row r="55" spans="1:5" x14ac:dyDescent="0.45">
      <c r="A55">
        <f t="shared" ca="1" si="0"/>
        <v>596</v>
      </c>
      <c r="B55">
        <f t="shared" ca="1" si="1"/>
        <v>11</v>
      </c>
      <c r="C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5">
        <f t="shared" ca="1" si="2"/>
        <v>25</v>
      </c>
      <c r="E55" t="str">
        <f ca="1">IF(dict_zuord_Meth_Per[[#This Row],[kval_active]],dict_zuord_Meth_Per[[#This Row],[ID_Persons]],"")</f>
        <v/>
      </c>
    </row>
    <row r="56" spans="1:5" x14ac:dyDescent="0.45">
      <c r="A56">
        <f t="shared" ca="1" si="0"/>
        <v>183</v>
      </c>
      <c r="B56">
        <f t="shared" ca="1" si="1"/>
        <v>13</v>
      </c>
      <c r="C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6">
        <f t="shared" ca="1" si="2"/>
        <v>8</v>
      </c>
      <c r="E56" t="str">
        <f ca="1">IF(dict_zuord_Meth_Per[[#This Row],[kval_active]],dict_zuord_Meth_Per[[#This Row],[ID_Persons]],"")</f>
        <v/>
      </c>
    </row>
    <row r="57" spans="1:5" x14ac:dyDescent="0.45">
      <c r="A57">
        <f t="shared" ca="1" si="0"/>
        <v>203</v>
      </c>
      <c r="B57">
        <f t="shared" ca="1" si="1"/>
        <v>13</v>
      </c>
      <c r="C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7">
        <f t="shared" ca="1" si="2"/>
        <v>8</v>
      </c>
      <c r="E57" t="str">
        <f ca="1">IF(dict_zuord_Meth_Per[[#This Row],[kval_active]],dict_zuord_Meth_Per[[#This Row],[ID_Persons]],"")</f>
        <v/>
      </c>
    </row>
    <row r="58" spans="1:5" x14ac:dyDescent="0.45">
      <c r="A58">
        <f t="shared" ca="1" si="0"/>
        <v>515</v>
      </c>
      <c r="B58">
        <f t="shared" ca="1" si="1"/>
        <v>11</v>
      </c>
      <c r="C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8">
        <f t="shared" ca="1" si="2"/>
        <v>22</v>
      </c>
      <c r="E58" t="str">
        <f ca="1">IF(dict_zuord_Meth_Per[[#This Row],[kval_active]],dict_zuord_Meth_Per[[#This Row],[ID_Persons]],"")</f>
        <v/>
      </c>
    </row>
    <row r="59" spans="1:5" x14ac:dyDescent="0.45">
      <c r="A59">
        <f t="shared" ca="1" si="0"/>
        <v>617</v>
      </c>
      <c r="B59">
        <f t="shared" ca="1" si="1"/>
        <v>5</v>
      </c>
      <c r="C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9">
        <f t="shared" ca="1" si="2"/>
        <v>11</v>
      </c>
      <c r="E59" t="str">
        <f ca="1">IF(dict_zuord_Meth_Per[[#This Row],[kval_active]],dict_zuord_Meth_Per[[#This Row],[ID_Persons]],"")</f>
        <v/>
      </c>
    </row>
    <row r="60" spans="1:5" x14ac:dyDescent="0.45">
      <c r="A60">
        <f t="shared" ca="1" si="0"/>
        <v>320</v>
      </c>
      <c r="B60">
        <f t="shared" ca="1" si="1"/>
        <v>11</v>
      </c>
      <c r="C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0">
        <f t="shared" ca="1" si="2"/>
        <v>11</v>
      </c>
      <c r="E60" t="str">
        <f ca="1">IF(dict_zuord_Meth_Per[[#This Row],[kval_active]],dict_zuord_Meth_Per[[#This Row],[ID_Persons]],"")</f>
        <v/>
      </c>
    </row>
    <row r="61" spans="1:5" x14ac:dyDescent="0.45">
      <c r="A61">
        <f t="shared" ca="1" si="0"/>
        <v>540</v>
      </c>
      <c r="B61">
        <f t="shared" ca="1" si="1"/>
        <v>30</v>
      </c>
      <c r="C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1">
        <f t="shared" ca="1" si="2"/>
        <v>22</v>
      </c>
      <c r="E61" t="str">
        <f ca="1">IF(dict_zuord_Meth_Per[[#This Row],[kval_active]],dict_zuord_Meth_Per[[#This Row],[ID_Persons]],"")</f>
        <v/>
      </c>
    </row>
    <row r="62" spans="1:5" x14ac:dyDescent="0.45">
      <c r="A62">
        <f t="shared" ca="1" si="0"/>
        <v>174</v>
      </c>
      <c r="B62">
        <f t="shared" ca="1" si="1"/>
        <v>26</v>
      </c>
      <c r="C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2">
        <f t="shared" ca="1" si="2"/>
        <v>28</v>
      </c>
      <c r="E62" t="str">
        <f ca="1">IF(dict_zuord_Meth_Per[[#This Row],[kval_active]],dict_zuord_Meth_Per[[#This Row],[ID_Persons]],"")</f>
        <v/>
      </c>
    </row>
    <row r="63" spans="1:5" x14ac:dyDescent="0.45">
      <c r="A63">
        <f t="shared" ca="1" si="0"/>
        <v>205</v>
      </c>
      <c r="B63">
        <f t="shared" ca="1" si="1"/>
        <v>28</v>
      </c>
      <c r="C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3">
        <f t="shared" ca="1" si="2"/>
        <v>15</v>
      </c>
      <c r="E63" t="str">
        <f ca="1">IF(dict_zuord_Meth_Per[[#This Row],[kval_active]],dict_zuord_Meth_Per[[#This Row],[ID_Persons]],"")</f>
        <v/>
      </c>
    </row>
    <row r="64" spans="1:5" x14ac:dyDescent="0.45">
      <c r="A64">
        <f t="shared" ca="1" si="0"/>
        <v>590</v>
      </c>
      <c r="B64">
        <f t="shared" ca="1" si="1"/>
        <v>18</v>
      </c>
      <c r="C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4">
        <f t="shared" ca="1" si="2"/>
        <v>0</v>
      </c>
      <c r="E64" t="str">
        <f ca="1">IF(dict_zuord_Meth_Per[[#This Row],[kval_active]],dict_zuord_Meth_Per[[#This Row],[ID_Persons]],"")</f>
        <v/>
      </c>
    </row>
    <row r="65" spans="1:5" x14ac:dyDescent="0.45">
      <c r="A65">
        <f t="shared" ca="1" si="0"/>
        <v>512</v>
      </c>
      <c r="B65">
        <f t="shared" ca="1" si="1"/>
        <v>27</v>
      </c>
      <c r="C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5">
        <f t="shared" ca="1" si="2"/>
        <v>17</v>
      </c>
      <c r="E65" t="str">
        <f ca="1">IF(dict_zuord_Meth_Per[[#This Row],[kval_active]],dict_zuord_Meth_Per[[#This Row],[ID_Persons]],"")</f>
        <v/>
      </c>
    </row>
    <row r="66" spans="1:5" x14ac:dyDescent="0.45">
      <c r="A66">
        <f t="shared" ref="A66:A129" ca="1" si="3">RANDBETWEEN(0,700)</f>
        <v>646</v>
      </c>
      <c r="B66">
        <f t="shared" ref="B66:B129" ca="1" si="4">RANDBETWEEN(0,30)</f>
        <v>21</v>
      </c>
      <c r="C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6">
        <f t="shared" ref="D66:D129" ca="1" si="5">RANDBETWEEN(0,30)</f>
        <v>10</v>
      </c>
      <c r="E66">
        <f ca="1">IF(dict_zuord_Meth_Per[[#This Row],[kval_active]],dict_zuord_Meth_Per[[#This Row],[ID_Persons]],"")</f>
        <v>21</v>
      </c>
    </row>
    <row r="67" spans="1:5" x14ac:dyDescent="0.45">
      <c r="A67">
        <f t="shared" ca="1" si="3"/>
        <v>525</v>
      </c>
      <c r="B67">
        <f t="shared" ca="1" si="4"/>
        <v>2</v>
      </c>
      <c r="C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7">
        <f t="shared" ca="1" si="5"/>
        <v>27</v>
      </c>
      <c r="E67" t="str">
        <f ca="1">IF(dict_zuord_Meth_Per[[#This Row],[kval_active]],dict_zuord_Meth_Per[[#This Row],[ID_Persons]],"")</f>
        <v/>
      </c>
    </row>
    <row r="68" spans="1:5" x14ac:dyDescent="0.45">
      <c r="A68">
        <f t="shared" ca="1" si="3"/>
        <v>670</v>
      </c>
      <c r="B68">
        <f t="shared" ca="1" si="4"/>
        <v>21</v>
      </c>
      <c r="C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68">
        <f t="shared" ca="1" si="5"/>
        <v>22</v>
      </c>
      <c r="E68" t="str">
        <f ca="1">IF(dict_zuord_Meth_Per[[#This Row],[kval_active]],dict_zuord_Meth_Per[[#This Row],[ID_Persons]],"")</f>
        <v/>
      </c>
    </row>
    <row r="69" spans="1:5" x14ac:dyDescent="0.45">
      <c r="A69">
        <f t="shared" ca="1" si="3"/>
        <v>251</v>
      </c>
      <c r="B69">
        <f t="shared" ca="1" si="4"/>
        <v>14</v>
      </c>
      <c r="C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69">
        <f t="shared" ca="1" si="5"/>
        <v>26</v>
      </c>
      <c r="E69">
        <f ca="1">IF(dict_zuord_Meth_Per[[#This Row],[kval_active]],dict_zuord_Meth_Per[[#This Row],[ID_Persons]],"")</f>
        <v>14</v>
      </c>
    </row>
    <row r="70" spans="1:5" x14ac:dyDescent="0.45">
      <c r="A70">
        <f t="shared" ca="1" si="3"/>
        <v>208</v>
      </c>
      <c r="B70">
        <f t="shared" ca="1" si="4"/>
        <v>12</v>
      </c>
      <c r="C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0">
        <f t="shared" ca="1" si="5"/>
        <v>16</v>
      </c>
      <c r="E70" t="str">
        <f ca="1">IF(dict_zuord_Meth_Per[[#This Row],[kval_active]],dict_zuord_Meth_Per[[#This Row],[ID_Persons]],"")</f>
        <v/>
      </c>
    </row>
    <row r="71" spans="1:5" x14ac:dyDescent="0.45">
      <c r="A71">
        <f t="shared" ca="1" si="3"/>
        <v>287</v>
      </c>
      <c r="B71">
        <f t="shared" ca="1" si="4"/>
        <v>19</v>
      </c>
      <c r="C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1">
        <f t="shared" ca="1" si="5"/>
        <v>2</v>
      </c>
      <c r="E71" t="str">
        <f ca="1">IF(dict_zuord_Meth_Per[[#This Row],[kval_active]],dict_zuord_Meth_Per[[#This Row],[ID_Persons]],"")</f>
        <v/>
      </c>
    </row>
    <row r="72" spans="1:5" x14ac:dyDescent="0.45">
      <c r="A72">
        <f t="shared" ca="1" si="3"/>
        <v>206</v>
      </c>
      <c r="B72">
        <f t="shared" ca="1" si="4"/>
        <v>18</v>
      </c>
      <c r="C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2">
        <f t="shared" ca="1" si="5"/>
        <v>2</v>
      </c>
      <c r="E72" t="str">
        <f ca="1">IF(dict_zuord_Meth_Per[[#This Row],[kval_active]],dict_zuord_Meth_Per[[#This Row],[ID_Persons]],"")</f>
        <v/>
      </c>
    </row>
    <row r="73" spans="1:5" x14ac:dyDescent="0.45">
      <c r="A73">
        <f t="shared" ca="1" si="3"/>
        <v>330</v>
      </c>
      <c r="B73">
        <f t="shared" ca="1" si="4"/>
        <v>10</v>
      </c>
      <c r="C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3">
        <f t="shared" ca="1" si="5"/>
        <v>28</v>
      </c>
      <c r="E73" t="str">
        <f ca="1">IF(dict_zuord_Meth_Per[[#This Row],[kval_active]],dict_zuord_Meth_Per[[#This Row],[ID_Persons]],"")</f>
        <v/>
      </c>
    </row>
    <row r="74" spans="1:5" x14ac:dyDescent="0.45">
      <c r="A74">
        <f t="shared" ca="1" si="3"/>
        <v>391</v>
      </c>
      <c r="B74">
        <f t="shared" ca="1" si="4"/>
        <v>15</v>
      </c>
      <c r="C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74">
        <f t="shared" ca="1" si="5"/>
        <v>12</v>
      </c>
      <c r="E74">
        <f ca="1">IF(dict_zuord_Meth_Per[[#This Row],[kval_active]],dict_zuord_Meth_Per[[#This Row],[ID_Persons]],"")</f>
        <v>15</v>
      </c>
    </row>
    <row r="75" spans="1:5" x14ac:dyDescent="0.45">
      <c r="A75">
        <f t="shared" ca="1" si="3"/>
        <v>516</v>
      </c>
      <c r="B75">
        <f t="shared" ca="1" si="4"/>
        <v>13</v>
      </c>
      <c r="C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5">
        <f t="shared" ca="1" si="5"/>
        <v>7</v>
      </c>
      <c r="E75" t="str">
        <f ca="1">IF(dict_zuord_Meth_Per[[#This Row],[kval_active]],dict_zuord_Meth_Per[[#This Row],[ID_Persons]],"")</f>
        <v/>
      </c>
    </row>
    <row r="76" spans="1:5" x14ac:dyDescent="0.45">
      <c r="A76">
        <f t="shared" ca="1" si="3"/>
        <v>178</v>
      </c>
      <c r="B76">
        <f t="shared" ca="1" si="4"/>
        <v>17</v>
      </c>
      <c r="C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6">
        <f t="shared" ca="1" si="5"/>
        <v>10</v>
      </c>
      <c r="E76" t="str">
        <f ca="1">IF(dict_zuord_Meth_Per[[#This Row],[kval_active]],dict_zuord_Meth_Per[[#This Row],[ID_Persons]],"")</f>
        <v/>
      </c>
    </row>
    <row r="77" spans="1:5" x14ac:dyDescent="0.45">
      <c r="A77">
        <f t="shared" ca="1" si="3"/>
        <v>691</v>
      </c>
      <c r="B77">
        <f t="shared" ca="1" si="4"/>
        <v>9</v>
      </c>
      <c r="C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7">
        <f t="shared" ca="1" si="5"/>
        <v>16</v>
      </c>
      <c r="E77" t="str">
        <f ca="1">IF(dict_zuord_Meth_Per[[#This Row],[kval_active]],dict_zuord_Meth_Per[[#This Row],[ID_Persons]],"")</f>
        <v/>
      </c>
    </row>
    <row r="78" spans="1:5" x14ac:dyDescent="0.45">
      <c r="A78">
        <f t="shared" ca="1" si="3"/>
        <v>14</v>
      </c>
      <c r="B78">
        <f t="shared" ca="1" si="4"/>
        <v>4</v>
      </c>
      <c r="C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8">
        <f t="shared" ca="1" si="5"/>
        <v>30</v>
      </c>
      <c r="E78" t="str">
        <f ca="1">IF(dict_zuord_Meth_Per[[#This Row],[kval_active]],dict_zuord_Meth_Per[[#This Row],[ID_Persons]],"")</f>
        <v/>
      </c>
    </row>
    <row r="79" spans="1:5" x14ac:dyDescent="0.45">
      <c r="A79">
        <f t="shared" ca="1" si="3"/>
        <v>546</v>
      </c>
      <c r="B79">
        <f t="shared" ca="1" si="4"/>
        <v>7</v>
      </c>
      <c r="C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79">
        <f t="shared" ca="1" si="5"/>
        <v>9</v>
      </c>
      <c r="E79" t="str">
        <f ca="1">IF(dict_zuord_Meth_Per[[#This Row],[kval_active]],dict_zuord_Meth_Per[[#This Row],[ID_Persons]],"")</f>
        <v/>
      </c>
    </row>
    <row r="80" spans="1:5" x14ac:dyDescent="0.45">
      <c r="A80">
        <f t="shared" ca="1" si="3"/>
        <v>40</v>
      </c>
      <c r="B80">
        <f t="shared" ca="1" si="4"/>
        <v>1</v>
      </c>
      <c r="C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0">
        <f t="shared" ca="1" si="5"/>
        <v>0</v>
      </c>
      <c r="E80" t="str">
        <f ca="1">IF(dict_zuord_Meth_Per[[#This Row],[kval_active]],dict_zuord_Meth_Per[[#This Row],[ID_Persons]],"")</f>
        <v/>
      </c>
    </row>
    <row r="81" spans="1:5" x14ac:dyDescent="0.45">
      <c r="A81">
        <f t="shared" ca="1" si="3"/>
        <v>340</v>
      </c>
      <c r="B81">
        <f t="shared" ca="1" si="4"/>
        <v>13</v>
      </c>
      <c r="C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1">
        <f t="shared" ca="1" si="5"/>
        <v>14</v>
      </c>
      <c r="E81" t="str">
        <f ca="1">IF(dict_zuord_Meth_Per[[#This Row],[kval_active]],dict_zuord_Meth_Per[[#This Row],[ID_Persons]],"")</f>
        <v/>
      </c>
    </row>
    <row r="82" spans="1:5" x14ac:dyDescent="0.45">
      <c r="A82">
        <f t="shared" ca="1" si="3"/>
        <v>226</v>
      </c>
      <c r="B82">
        <f t="shared" ca="1" si="4"/>
        <v>18</v>
      </c>
      <c r="C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2">
        <f t="shared" ca="1" si="5"/>
        <v>27</v>
      </c>
      <c r="E82" t="str">
        <f ca="1">IF(dict_zuord_Meth_Per[[#This Row],[kval_active]],dict_zuord_Meth_Per[[#This Row],[ID_Persons]],"")</f>
        <v/>
      </c>
    </row>
    <row r="83" spans="1:5" x14ac:dyDescent="0.45">
      <c r="A83">
        <f t="shared" ca="1" si="3"/>
        <v>653</v>
      </c>
      <c r="B83">
        <f t="shared" ca="1" si="4"/>
        <v>14</v>
      </c>
      <c r="C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3">
        <f t="shared" ca="1" si="5"/>
        <v>9</v>
      </c>
      <c r="E83" t="str">
        <f ca="1">IF(dict_zuord_Meth_Per[[#This Row],[kval_active]],dict_zuord_Meth_Per[[#This Row],[ID_Persons]],"")</f>
        <v/>
      </c>
    </row>
    <row r="84" spans="1:5" x14ac:dyDescent="0.45">
      <c r="A84">
        <f t="shared" ca="1" si="3"/>
        <v>616</v>
      </c>
      <c r="B84">
        <f t="shared" ca="1" si="4"/>
        <v>9</v>
      </c>
      <c r="C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4">
        <f t="shared" ca="1" si="5"/>
        <v>29</v>
      </c>
      <c r="E84" t="str">
        <f ca="1">IF(dict_zuord_Meth_Per[[#This Row],[kval_active]],dict_zuord_Meth_Per[[#This Row],[ID_Persons]],"")</f>
        <v/>
      </c>
    </row>
    <row r="85" spans="1:5" x14ac:dyDescent="0.45">
      <c r="A85">
        <f t="shared" ca="1" si="3"/>
        <v>193</v>
      </c>
      <c r="B85">
        <f t="shared" ca="1" si="4"/>
        <v>25</v>
      </c>
      <c r="C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5">
        <f t="shared" ca="1" si="5"/>
        <v>2</v>
      </c>
      <c r="E85" t="str">
        <f ca="1">IF(dict_zuord_Meth_Per[[#This Row],[kval_active]],dict_zuord_Meth_Per[[#This Row],[ID_Persons]],"")</f>
        <v/>
      </c>
    </row>
    <row r="86" spans="1:5" x14ac:dyDescent="0.45">
      <c r="A86">
        <f t="shared" ca="1" si="3"/>
        <v>530</v>
      </c>
      <c r="B86">
        <f t="shared" ca="1" si="4"/>
        <v>1</v>
      </c>
      <c r="C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6">
        <f t="shared" ca="1" si="5"/>
        <v>1</v>
      </c>
      <c r="E86" t="str">
        <f ca="1">IF(dict_zuord_Meth_Per[[#This Row],[kval_active]],dict_zuord_Meth_Per[[#This Row],[ID_Persons]],"")</f>
        <v/>
      </c>
    </row>
    <row r="87" spans="1:5" x14ac:dyDescent="0.45">
      <c r="A87">
        <f t="shared" ca="1" si="3"/>
        <v>376</v>
      </c>
      <c r="B87">
        <f t="shared" ca="1" si="4"/>
        <v>18</v>
      </c>
      <c r="C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7">
        <f t="shared" ca="1" si="5"/>
        <v>24</v>
      </c>
      <c r="E87" t="str">
        <f ca="1">IF(dict_zuord_Meth_Per[[#This Row],[kval_active]],dict_zuord_Meth_Per[[#This Row],[ID_Persons]],"")</f>
        <v/>
      </c>
    </row>
    <row r="88" spans="1:5" x14ac:dyDescent="0.45">
      <c r="A88">
        <f t="shared" ca="1" si="3"/>
        <v>419</v>
      </c>
      <c r="B88">
        <f t="shared" ca="1" si="4"/>
        <v>15</v>
      </c>
      <c r="C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8">
        <f t="shared" ca="1" si="5"/>
        <v>19</v>
      </c>
      <c r="E88" t="str">
        <f ca="1">IF(dict_zuord_Meth_Per[[#This Row],[kval_active]],dict_zuord_Meth_Per[[#This Row],[ID_Persons]],"")</f>
        <v/>
      </c>
    </row>
    <row r="89" spans="1:5" x14ac:dyDescent="0.45">
      <c r="A89">
        <f t="shared" ca="1" si="3"/>
        <v>534</v>
      </c>
      <c r="B89">
        <f t="shared" ca="1" si="4"/>
        <v>11</v>
      </c>
      <c r="C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89">
        <f t="shared" ca="1" si="5"/>
        <v>19</v>
      </c>
      <c r="E89" t="str">
        <f ca="1">IF(dict_zuord_Meth_Per[[#This Row],[kval_active]],dict_zuord_Meth_Per[[#This Row],[ID_Persons]],"")</f>
        <v/>
      </c>
    </row>
    <row r="90" spans="1:5" x14ac:dyDescent="0.45">
      <c r="A90">
        <f t="shared" ca="1" si="3"/>
        <v>0</v>
      </c>
      <c r="B90">
        <f t="shared" ca="1" si="4"/>
        <v>21</v>
      </c>
      <c r="C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0">
        <f t="shared" ca="1" si="5"/>
        <v>9</v>
      </c>
      <c r="E90" t="str">
        <f ca="1">IF(dict_zuord_Meth_Per[[#This Row],[kval_active]],dict_zuord_Meth_Per[[#This Row],[ID_Persons]],"")</f>
        <v/>
      </c>
    </row>
    <row r="91" spans="1:5" x14ac:dyDescent="0.45">
      <c r="A91">
        <f t="shared" ca="1" si="3"/>
        <v>654</v>
      </c>
      <c r="B91">
        <f t="shared" ca="1" si="4"/>
        <v>4</v>
      </c>
      <c r="C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1">
        <f t="shared" ca="1" si="5"/>
        <v>2</v>
      </c>
      <c r="E91" t="str">
        <f ca="1">IF(dict_zuord_Meth_Per[[#This Row],[kval_active]],dict_zuord_Meth_Per[[#This Row],[ID_Persons]],"")</f>
        <v/>
      </c>
    </row>
    <row r="92" spans="1:5" x14ac:dyDescent="0.45">
      <c r="A92">
        <f t="shared" ca="1" si="3"/>
        <v>433</v>
      </c>
      <c r="B92">
        <f t="shared" ca="1" si="4"/>
        <v>0</v>
      </c>
      <c r="C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2">
        <f t="shared" ca="1" si="5"/>
        <v>30</v>
      </c>
      <c r="E92" t="str">
        <f ca="1">IF(dict_zuord_Meth_Per[[#This Row],[kval_active]],dict_zuord_Meth_Per[[#This Row],[ID_Persons]],"")</f>
        <v/>
      </c>
    </row>
    <row r="93" spans="1:5" x14ac:dyDescent="0.45">
      <c r="A93">
        <f t="shared" ca="1" si="3"/>
        <v>207</v>
      </c>
      <c r="B93">
        <f t="shared" ca="1" si="4"/>
        <v>1</v>
      </c>
      <c r="C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3">
        <f t="shared" ca="1" si="5"/>
        <v>28</v>
      </c>
      <c r="E93" t="str">
        <f ca="1">IF(dict_zuord_Meth_Per[[#This Row],[kval_active]],dict_zuord_Meth_Per[[#This Row],[ID_Persons]],"")</f>
        <v/>
      </c>
    </row>
    <row r="94" spans="1:5" x14ac:dyDescent="0.45">
      <c r="A94">
        <f t="shared" ca="1" si="3"/>
        <v>336</v>
      </c>
      <c r="B94">
        <f t="shared" ca="1" si="4"/>
        <v>27</v>
      </c>
      <c r="C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4">
        <f t="shared" ca="1" si="5"/>
        <v>29</v>
      </c>
      <c r="E94" t="str">
        <f ca="1">IF(dict_zuord_Meth_Per[[#This Row],[kval_active]],dict_zuord_Meth_Per[[#This Row],[ID_Persons]],"")</f>
        <v/>
      </c>
    </row>
    <row r="95" spans="1:5" x14ac:dyDescent="0.45">
      <c r="A95">
        <f t="shared" ca="1" si="3"/>
        <v>4</v>
      </c>
      <c r="B95">
        <f t="shared" ca="1" si="4"/>
        <v>10</v>
      </c>
      <c r="C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5">
        <f t="shared" ca="1" si="5"/>
        <v>6</v>
      </c>
      <c r="E95" t="str">
        <f ca="1">IF(dict_zuord_Meth_Per[[#This Row],[kval_active]],dict_zuord_Meth_Per[[#This Row],[ID_Persons]],"")</f>
        <v/>
      </c>
    </row>
    <row r="96" spans="1:5" x14ac:dyDescent="0.45">
      <c r="A96">
        <f t="shared" ca="1" si="3"/>
        <v>484</v>
      </c>
      <c r="B96">
        <f t="shared" ca="1" si="4"/>
        <v>23</v>
      </c>
      <c r="C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6">
        <f t="shared" ca="1" si="5"/>
        <v>13</v>
      </c>
      <c r="E96" t="str">
        <f ca="1">IF(dict_zuord_Meth_Per[[#This Row],[kval_active]],dict_zuord_Meth_Per[[#This Row],[ID_Persons]],"")</f>
        <v/>
      </c>
    </row>
    <row r="97" spans="1:5" x14ac:dyDescent="0.45">
      <c r="A97">
        <f t="shared" ca="1" si="3"/>
        <v>179</v>
      </c>
      <c r="B97">
        <f t="shared" ca="1" si="4"/>
        <v>22</v>
      </c>
      <c r="C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7">
        <f t="shared" ca="1" si="5"/>
        <v>6</v>
      </c>
      <c r="E97" t="str">
        <f ca="1">IF(dict_zuord_Meth_Per[[#This Row],[kval_active]],dict_zuord_Meth_Per[[#This Row],[ID_Persons]],"")</f>
        <v/>
      </c>
    </row>
    <row r="98" spans="1:5" x14ac:dyDescent="0.45">
      <c r="A98">
        <f t="shared" ca="1" si="3"/>
        <v>674</v>
      </c>
      <c r="B98">
        <f t="shared" ca="1" si="4"/>
        <v>5</v>
      </c>
      <c r="C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8">
        <f t="shared" ca="1" si="5"/>
        <v>1</v>
      </c>
      <c r="E98" t="str">
        <f ca="1">IF(dict_zuord_Meth_Per[[#This Row],[kval_active]],dict_zuord_Meth_Per[[#This Row],[ID_Persons]],"")</f>
        <v/>
      </c>
    </row>
    <row r="99" spans="1:5" x14ac:dyDescent="0.45">
      <c r="A99">
        <f t="shared" ca="1" si="3"/>
        <v>155</v>
      </c>
      <c r="B99">
        <f t="shared" ca="1" si="4"/>
        <v>25</v>
      </c>
      <c r="C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99">
        <f t="shared" ca="1" si="5"/>
        <v>17</v>
      </c>
      <c r="E99" t="str">
        <f ca="1">IF(dict_zuord_Meth_Per[[#This Row],[kval_active]],dict_zuord_Meth_Per[[#This Row],[ID_Persons]],"")</f>
        <v/>
      </c>
    </row>
    <row r="100" spans="1:5" x14ac:dyDescent="0.45">
      <c r="A100">
        <f t="shared" ca="1" si="3"/>
        <v>341</v>
      </c>
      <c r="B100">
        <f t="shared" ca="1" si="4"/>
        <v>6</v>
      </c>
      <c r="C1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0">
        <f t="shared" ca="1" si="5"/>
        <v>13</v>
      </c>
      <c r="E100" t="str">
        <f ca="1">IF(dict_zuord_Meth_Per[[#This Row],[kval_active]],dict_zuord_Meth_Per[[#This Row],[ID_Persons]],"")</f>
        <v/>
      </c>
    </row>
    <row r="101" spans="1:5" x14ac:dyDescent="0.45">
      <c r="A101">
        <f t="shared" ca="1" si="3"/>
        <v>510</v>
      </c>
      <c r="B101">
        <f t="shared" ca="1" si="4"/>
        <v>12</v>
      </c>
      <c r="C1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1">
        <f t="shared" ca="1" si="5"/>
        <v>24</v>
      </c>
      <c r="E101" t="str">
        <f ca="1">IF(dict_zuord_Meth_Per[[#This Row],[kval_active]],dict_zuord_Meth_Per[[#This Row],[ID_Persons]],"")</f>
        <v/>
      </c>
    </row>
    <row r="102" spans="1:5" x14ac:dyDescent="0.45">
      <c r="A102">
        <f t="shared" ca="1" si="3"/>
        <v>203</v>
      </c>
      <c r="B102">
        <f t="shared" ca="1" si="4"/>
        <v>28</v>
      </c>
      <c r="C1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2">
        <f t="shared" ca="1" si="5"/>
        <v>26</v>
      </c>
      <c r="E102" t="str">
        <f ca="1">IF(dict_zuord_Meth_Per[[#This Row],[kval_active]],dict_zuord_Meth_Per[[#This Row],[ID_Persons]],"")</f>
        <v/>
      </c>
    </row>
    <row r="103" spans="1:5" x14ac:dyDescent="0.45">
      <c r="A103">
        <f t="shared" ca="1" si="3"/>
        <v>509</v>
      </c>
      <c r="B103">
        <f t="shared" ca="1" si="4"/>
        <v>5</v>
      </c>
      <c r="C1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3">
        <f t="shared" ca="1" si="5"/>
        <v>10</v>
      </c>
      <c r="E103" t="str">
        <f ca="1">IF(dict_zuord_Meth_Per[[#This Row],[kval_active]],dict_zuord_Meth_Per[[#This Row],[ID_Persons]],"")</f>
        <v/>
      </c>
    </row>
    <row r="104" spans="1:5" x14ac:dyDescent="0.45">
      <c r="A104">
        <f t="shared" ca="1" si="3"/>
        <v>216</v>
      </c>
      <c r="B104">
        <f t="shared" ca="1" si="4"/>
        <v>25</v>
      </c>
      <c r="C1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4">
        <f t="shared" ca="1" si="5"/>
        <v>5</v>
      </c>
      <c r="E104" t="str">
        <f ca="1">IF(dict_zuord_Meth_Per[[#This Row],[kval_active]],dict_zuord_Meth_Per[[#This Row],[ID_Persons]],"")</f>
        <v/>
      </c>
    </row>
    <row r="105" spans="1:5" x14ac:dyDescent="0.45">
      <c r="A105">
        <f t="shared" ca="1" si="3"/>
        <v>345</v>
      </c>
      <c r="B105">
        <f t="shared" ca="1" si="4"/>
        <v>9</v>
      </c>
      <c r="C1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5">
        <f t="shared" ca="1" si="5"/>
        <v>6</v>
      </c>
      <c r="E105" t="str">
        <f ca="1">IF(dict_zuord_Meth_Per[[#This Row],[kval_active]],dict_zuord_Meth_Per[[#This Row],[ID_Persons]],"")</f>
        <v/>
      </c>
    </row>
    <row r="106" spans="1:5" x14ac:dyDescent="0.45">
      <c r="A106">
        <f t="shared" ca="1" si="3"/>
        <v>230</v>
      </c>
      <c r="B106">
        <f t="shared" ca="1" si="4"/>
        <v>25</v>
      </c>
      <c r="C1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6">
        <f t="shared" ca="1" si="5"/>
        <v>17</v>
      </c>
      <c r="E106" t="str">
        <f ca="1">IF(dict_zuord_Meth_Per[[#This Row],[kval_active]],dict_zuord_Meth_Per[[#This Row],[ID_Persons]],"")</f>
        <v/>
      </c>
    </row>
    <row r="107" spans="1:5" x14ac:dyDescent="0.45">
      <c r="A107">
        <f t="shared" ca="1" si="3"/>
        <v>55</v>
      </c>
      <c r="B107">
        <f t="shared" ca="1" si="4"/>
        <v>6</v>
      </c>
      <c r="C1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7">
        <f t="shared" ca="1" si="5"/>
        <v>21</v>
      </c>
      <c r="E107" t="str">
        <f ca="1">IF(dict_zuord_Meth_Per[[#This Row],[kval_active]],dict_zuord_Meth_Per[[#This Row],[ID_Persons]],"")</f>
        <v/>
      </c>
    </row>
    <row r="108" spans="1:5" x14ac:dyDescent="0.45">
      <c r="A108">
        <f t="shared" ca="1" si="3"/>
        <v>14</v>
      </c>
      <c r="B108">
        <f t="shared" ca="1" si="4"/>
        <v>27</v>
      </c>
      <c r="C1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8">
        <f t="shared" ca="1" si="5"/>
        <v>14</v>
      </c>
      <c r="E108" t="str">
        <f ca="1">IF(dict_zuord_Meth_Per[[#This Row],[kval_active]],dict_zuord_Meth_Per[[#This Row],[ID_Persons]],"")</f>
        <v/>
      </c>
    </row>
    <row r="109" spans="1:5" x14ac:dyDescent="0.45">
      <c r="A109">
        <f t="shared" ca="1" si="3"/>
        <v>160</v>
      </c>
      <c r="B109">
        <f t="shared" ca="1" si="4"/>
        <v>4</v>
      </c>
      <c r="C1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09">
        <f t="shared" ca="1" si="5"/>
        <v>23</v>
      </c>
      <c r="E109" t="str">
        <f ca="1">IF(dict_zuord_Meth_Per[[#This Row],[kval_active]],dict_zuord_Meth_Per[[#This Row],[ID_Persons]],"")</f>
        <v/>
      </c>
    </row>
    <row r="110" spans="1:5" x14ac:dyDescent="0.45">
      <c r="A110">
        <f t="shared" ca="1" si="3"/>
        <v>75</v>
      </c>
      <c r="B110">
        <f t="shared" ca="1" si="4"/>
        <v>7</v>
      </c>
      <c r="C1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0">
        <f t="shared" ca="1" si="5"/>
        <v>11</v>
      </c>
      <c r="E110" t="str">
        <f ca="1">IF(dict_zuord_Meth_Per[[#This Row],[kval_active]],dict_zuord_Meth_Per[[#This Row],[ID_Persons]],"")</f>
        <v/>
      </c>
    </row>
    <row r="111" spans="1:5" x14ac:dyDescent="0.45">
      <c r="A111">
        <f t="shared" ca="1" si="3"/>
        <v>113</v>
      </c>
      <c r="B111">
        <f t="shared" ca="1" si="4"/>
        <v>16</v>
      </c>
      <c r="C1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1">
        <f t="shared" ca="1" si="5"/>
        <v>27</v>
      </c>
      <c r="E111" t="str">
        <f ca="1">IF(dict_zuord_Meth_Per[[#This Row],[kval_active]],dict_zuord_Meth_Per[[#This Row],[ID_Persons]],"")</f>
        <v/>
      </c>
    </row>
    <row r="112" spans="1:5" x14ac:dyDescent="0.45">
      <c r="A112">
        <f t="shared" ca="1" si="3"/>
        <v>62</v>
      </c>
      <c r="B112">
        <f t="shared" ca="1" si="4"/>
        <v>23</v>
      </c>
      <c r="C1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2">
        <f t="shared" ca="1" si="5"/>
        <v>15</v>
      </c>
      <c r="E112" t="str">
        <f ca="1">IF(dict_zuord_Meth_Per[[#This Row],[kval_active]],dict_zuord_Meth_Per[[#This Row],[ID_Persons]],"")</f>
        <v/>
      </c>
    </row>
    <row r="113" spans="1:5" x14ac:dyDescent="0.45">
      <c r="A113">
        <f t="shared" ca="1" si="3"/>
        <v>574</v>
      </c>
      <c r="B113">
        <f t="shared" ca="1" si="4"/>
        <v>20</v>
      </c>
      <c r="C1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3">
        <f t="shared" ca="1" si="5"/>
        <v>7</v>
      </c>
      <c r="E113" t="str">
        <f ca="1">IF(dict_zuord_Meth_Per[[#This Row],[kval_active]],dict_zuord_Meth_Per[[#This Row],[ID_Persons]],"")</f>
        <v/>
      </c>
    </row>
    <row r="114" spans="1:5" x14ac:dyDescent="0.45">
      <c r="A114">
        <f t="shared" ca="1" si="3"/>
        <v>481</v>
      </c>
      <c r="B114">
        <f t="shared" ca="1" si="4"/>
        <v>27</v>
      </c>
      <c r="C1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4">
        <f t="shared" ca="1" si="5"/>
        <v>19</v>
      </c>
      <c r="E114" t="str">
        <f ca="1">IF(dict_zuord_Meth_Per[[#This Row],[kval_active]],dict_zuord_Meth_Per[[#This Row],[ID_Persons]],"")</f>
        <v/>
      </c>
    </row>
    <row r="115" spans="1:5" x14ac:dyDescent="0.45">
      <c r="A115">
        <f t="shared" ca="1" si="3"/>
        <v>644</v>
      </c>
      <c r="B115">
        <f t="shared" ca="1" si="4"/>
        <v>14</v>
      </c>
      <c r="C1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5">
        <f t="shared" ca="1" si="5"/>
        <v>2</v>
      </c>
      <c r="E115" t="str">
        <f ca="1">IF(dict_zuord_Meth_Per[[#This Row],[kval_active]],dict_zuord_Meth_Per[[#This Row],[ID_Persons]],"")</f>
        <v/>
      </c>
    </row>
    <row r="116" spans="1:5" x14ac:dyDescent="0.45">
      <c r="A116">
        <f t="shared" ca="1" si="3"/>
        <v>393</v>
      </c>
      <c r="B116">
        <f t="shared" ca="1" si="4"/>
        <v>9</v>
      </c>
      <c r="C1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6">
        <f t="shared" ca="1" si="5"/>
        <v>26</v>
      </c>
      <c r="E116" t="str">
        <f ca="1">IF(dict_zuord_Meth_Per[[#This Row],[kval_active]],dict_zuord_Meth_Per[[#This Row],[ID_Persons]],"")</f>
        <v/>
      </c>
    </row>
    <row r="117" spans="1:5" x14ac:dyDescent="0.45">
      <c r="A117">
        <f t="shared" ca="1" si="3"/>
        <v>241</v>
      </c>
      <c r="B117">
        <f t="shared" ca="1" si="4"/>
        <v>15</v>
      </c>
      <c r="C1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7">
        <f t="shared" ca="1" si="5"/>
        <v>8</v>
      </c>
      <c r="E117" t="str">
        <f ca="1">IF(dict_zuord_Meth_Per[[#This Row],[kval_active]],dict_zuord_Meth_Per[[#This Row],[ID_Persons]],"")</f>
        <v/>
      </c>
    </row>
    <row r="118" spans="1:5" x14ac:dyDescent="0.45">
      <c r="A118">
        <f t="shared" ca="1" si="3"/>
        <v>602</v>
      </c>
      <c r="B118">
        <f t="shared" ca="1" si="4"/>
        <v>2</v>
      </c>
      <c r="C1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8">
        <f t="shared" ca="1" si="5"/>
        <v>14</v>
      </c>
      <c r="E118" t="str">
        <f ca="1">IF(dict_zuord_Meth_Per[[#This Row],[kval_active]],dict_zuord_Meth_Per[[#This Row],[ID_Persons]],"")</f>
        <v/>
      </c>
    </row>
    <row r="119" spans="1:5" x14ac:dyDescent="0.45">
      <c r="A119">
        <f t="shared" ca="1" si="3"/>
        <v>140</v>
      </c>
      <c r="B119">
        <f t="shared" ca="1" si="4"/>
        <v>22</v>
      </c>
      <c r="C1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19">
        <f t="shared" ca="1" si="5"/>
        <v>8</v>
      </c>
      <c r="E119" t="str">
        <f ca="1">IF(dict_zuord_Meth_Per[[#This Row],[kval_active]],dict_zuord_Meth_Per[[#This Row],[ID_Persons]],"")</f>
        <v/>
      </c>
    </row>
    <row r="120" spans="1:5" x14ac:dyDescent="0.45">
      <c r="A120">
        <f t="shared" ca="1" si="3"/>
        <v>12</v>
      </c>
      <c r="B120">
        <f t="shared" ca="1" si="4"/>
        <v>8</v>
      </c>
      <c r="C1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0">
        <f t="shared" ca="1" si="5"/>
        <v>22</v>
      </c>
      <c r="E120" t="str">
        <f ca="1">IF(dict_zuord_Meth_Per[[#This Row],[kval_active]],dict_zuord_Meth_Per[[#This Row],[ID_Persons]],"")</f>
        <v/>
      </c>
    </row>
    <row r="121" spans="1:5" x14ac:dyDescent="0.45">
      <c r="A121">
        <f t="shared" ca="1" si="3"/>
        <v>302</v>
      </c>
      <c r="B121">
        <f t="shared" ca="1" si="4"/>
        <v>19</v>
      </c>
      <c r="C1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1">
        <f t="shared" ca="1" si="5"/>
        <v>22</v>
      </c>
      <c r="E121" t="str">
        <f ca="1">IF(dict_zuord_Meth_Per[[#This Row],[kval_active]],dict_zuord_Meth_Per[[#This Row],[ID_Persons]],"")</f>
        <v/>
      </c>
    </row>
    <row r="122" spans="1:5" x14ac:dyDescent="0.45">
      <c r="A122">
        <f t="shared" ca="1" si="3"/>
        <v>566</v>
      </c>
      <c r="B122">
        <f t="shared" ca="1" si="4"/>
        <v>25</v>
      </c>
      <c r="C1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22">
        <f t="shared" ca="1" si="5"/>
        <v>1</v>
      </c>
      <c r="E122">
        <f ca="1">IF(dict_zuord_Meth_Per[[#This Row],[kval_active]],dict_zuord_Meth_Per[[#This Row],[ID_Persons]],"")</f>
        <v>25</v>
      </c>
    </row>
    <row r="123" spans="1:5" x14ac:dyDescent="0.45">
      <c r="A123">
        <f t="shared" ca="1" si="3"/>
        <v>96</v>
      </c>
      <c r="B123">
        <f t="shared" ca="1" si="4"/>
        <v>20</v>
      </c>
      <c r="C1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3">
        <f t="shared" ca="1" si="5"/>
        <v>6</v>
      </c>
      <c r="E123" t="str">
        <f ca="1">IF(dict_zuord_Meth_Per[[#This Row],[kval_active]],dict_zuord_Meth_Per[[#This Row],[ID_Persons]],"")</f>
        <v/>
      </c>
    </row>
    <row r="124" spans="1:5" x14ac:dyDescent="0.45">
      <c r="A124">
        <f t="shared" ca="1" si="3"/>
        <v>440</v>
      </c>
      <c r="B124">
        <f t="shared" ca="1" si="4"/>
        <v>16</v>
      </c>
      <c r="C1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4">
        <f t="shared" ca="1" si="5"/>
        <v>30</v>
      </c>
      <c r="E124" t="str">
        <f ca="1">IF(dict_zuord_Meth_Per[[#This Row],[kval_active]],dict_zuord_Meth_Per[[#This Row],[ID_Persons]],"")</f>
        <v/>
      </c>
    </row>
    <row r="125" spans="1:5" x14ac:dyDescent="0.45">
      <c r="A125">
        <f t="shared" ca="1" si="3"/>
        <v>437</v>
      </c>
      <c r="B125">
        <f t="shared" ca="1" si="4"/>
        <v>13</v>
      </c>
      <c r="C1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5">
        <f t="shared" ca="1" si="5"/>
        <v>28</v>
      </c>
      <c r="E125" t="str">
        <f ca="1">IF(dict_zuord_Meth_Per[[#This Row],[kval_active]],dict_zuord_Meth_Per[[#This Row],[ID_Persons]],"")</f>
        <v/>
      </c>
    </row>
    <row r="126" spans="1:5" x14ac:dyDescent="0.45">
      <c r="A126">
        <f t="shared" ca="1" si="3"/>
        <v>22</v>
      </c>
      <c r="B126">
        <f t="shared" ca="1" si="4"/>
        <v>1</v>
      </c>
      <c r="C1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6">
        <f t="shared" ca="1" si="5"/>
        <v>10</v>
      </c>
      <c r="E126" t="str">
        <f ca="1">IF(dict_zuord_Meth_Per[[#This Row],[kval_active]],dict_zuord_Meth_Per[[#This Row],[ID_Persons]],"")</f>
        <v/>
      </c>
    </row>
    <row r="127" spans="1:5" x14ac:dyDescent="0.45">
      <c r="A127">
        <f t="shared" ca="1" si="3"/>
        <v>233</v>
      </c>
      <c r="B127">
        <f t="shared" ca="1" si="4"/>
        <v>22</v>
      </c>
      <c r="C1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7">
        <f t="shared" ca="1" si="5"/>
        <v>28</v>
      </c>
      <c r="E127" t="str">
        <f ca="1">IF(dict_zuord_Meth_Per[[#This Row],[kval_active]],dict_zuord_Meth_Per[[#This Row],[ID_Persons]],"")</f>
        <v/>
      </c>
    </row>
    <row r="128" spans="1:5" x14ac:dyDescent="0.45">
      <c r="A128">
        <f t="shared" ca="1" si="3"/>
        <v>143</v>
      </c>
      <c r="B128">
        <f t="shared" ca="1" si="4"/>
        <v>4</v>
      </c>
      <c r="C1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8">
        <f t="shared" ca="1" si="5"/>
        <v>13</v>
      </c>
      <c r="E128" t="str">
        <f ca="1">IF(dict_zuord_Meth_Per[[#This Row],[kval_active]],dict_zuord_Meth_Per[[#This Row],[ID_Persons]],"")</f>
        <v/>
      </c>
    </row>
    <row r="129" spans="1:5" x14ac:dyDescent="0.45">
      <c r="A129">
        <f t="shared" ca="1" si="3"/>
        <v>586</v>
      </c>
      <c r="B129">
        <f t="shared" ca="1" si="4"/>
        <v>2</v>
      </c>
      <c r="C1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29">
        <f t="shared" ca="1" si="5"/>
        <v>28</v>
      </c>
      <c r="E129" t="str">
        <f ca="1">IF(dict_zuord_Meth_Per[[#This Row],[kval_active]],dict_zuord_Meth_Per[[#This Row],[ID_Persons]],"")</f>
        <v/>
      </c>
    </row>
    <row r="130" spans="1:5" x14ac:dyDescent="0.45">
      <c r="A130">
        <f t="shared" ref="A130:A193" ca="1" si="6">RANDBETWEEN(0,700)</f>
        <v>208</v>
      </c>
      <c r="B130">
        <f t="shared" ref="B130:B193" ca="1" si="7">RANDBETWEEN(0,30)</f>
        <v>7</v>
      </c>
      <c r="C1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0">
        <f t="shared" ref="D130:D193" ca="1" si="8">RANDBETWEEN(0,30)</f>
        <v>9</v>
      </c>
      <c r="E130" t="str">
        <f ca="1">IF(dict_zuord_Meth_Per[[#This Row],[kval_active]],dict_zuord_Meth_Per[[#This Row],[ID_Persons]],"")</f>
        <v/>
      </c>
    </row>
    <row r="131" spans="1:5" x14ac:dyDescent="0.45">
      <c r="A131">
        <f t="shared" ca="1" si="6"/>
        <v>424</v>
      </c>
      <c r="B131">
        <f t="shared" ca="1" si="7"/>
        <v>9</v>
      </c>
      <c r="C1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1">
        <f t="shared" ca="1" si="8"/>
        <v>30</v>
      </c>
      <c r="E131" t="str">
        <f ca="1">IF(dict_zuord_Meth_Per[[#This Row],[kval_active]],dict_zuord_Meth_Per[[#This Row],[ID_Persons]],"")</f>
        <v/>
      </c>
    </row>
    <row r="132" spans="1:5" x14ac:dyDescent="0.45">
      <c r="A132">
        <f t="shared" ca="1" si="6"/>
        <v>620</v>
      </c>
      <c r="B132">
        <f t="shared" ca="1" si="7"/>
        <v>24</v>
      </c>
      <c r="C1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2">
        <f t="shared" ca="1" si="8"/>
        <v>3</v>
      </c>
      <c r="E132" t="str">
        <f ca="1">IF(dict_zuord_Meth_Per[[#This Row],[kval_active]],dict_zuord_Meth_Per[[#This Row],[ID_Persons]],"")</f>
        <v/>
      </c>
    </row>
    <row r="133" spans="1:5" x14ac:dyDescent="0.45">
      <c r="A133">
        <f t="shared" ca="1" si="6"/>
        <v>549</v>
      </c>
      <c r="B133">
        <f t="shared" ca="1" si="7"/>
        <v>8</v>
      </c>
      <c r="C1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3">
        <f t="shared" ca="1" si="8"/>
        <v>30</v>
      </c>
      <c r="E133" t="str">
        <f ca="1">IF(dict_zuord_Meth_Per[[#This Row],[kval_active]],dict_zuord_Meth_Per[[#This Row],[ID_Persons]],"")</f>
        <v/>
      </c>
    </row>
    <row r="134" spans="1:5" x14ac:dyDescent="0.45">
      <c r="A134">
        <f t="shared" ca="1" si="6"/>
        <v>474</v>
      </c>
      <c r="B134">
        <f t="shared" ca="1" si="7"/>
        <v>30</v>
      </c>
      <c r="C1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4">
        <f t="shared" ca="1" si="8"/>
        <v>28</v>
      </c>
      <c r="E134" t="str">
        <f ca="1">IF(dict_zuord_Meth_Per[[#This Row],[kval_active]],dict_zuord_Meth_Per[[#This Row],[ID_Persons]],"")</f>
        <v/>
      </c>
    </row>
    <row r="135" spans="1:5" x14ac:dyDescent="0.45">
      <c r="A135">
        <f t="shared" ca="1" si="6"/>
        <v>679</v>
      </c>
      <c r="B135">
        <f t="shared" ca="1" si="7"/>
        <v>10</v>
      </c>
      <c r="C1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5">
        <f t="shared" ca="1" si="8"/>
        <v>1</v>
      </c>
      <c r="E135">
        <f ca="1">IF(dict_zuord_Meth_Per[[#This Row],[kval_active]],dict_zuord_Meth_Per[[#This Row],[ID_Persons]],"")</f>
        <v>10</v>
      </c>
    </row>
    <row r="136" spans="1:5" x14ac:dyDescent="0.45">
      <c r="A136">
        <f t="shared" ca="1" si="6"/>
        <v>639</v>
      </c>
      <c r="B136">
        <f t="shared" ca="1" si="7"/>
        <v>27</v>
      </c>
      <c r="C1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36">
        <f t="shared" ca="1" si="8"/>
        <v>23</v>
      </c>
      <c r="E136">
        <f ca="1">IF(dict_zuord_Meth_Per[[#This Row],[kval_active]],dict_zuord_Meth_Per[[#This Row],[ID_Persons]],"")</f>
        <v>27</v>
      </c>
    </row>
    <row r="137" spans="1:5" x14ac:dyDescent="0.45">
      <c r="A137">
        <f t="shared" ca="1" si="6"/>
        <v>172</v>
      </c>
      <c r="B137">
        <f t="shared" ca="1" si="7"/>
        <v>25</v>
      </c>
      <c r="C1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7">
        <f t="shared" ca="1" si="8"/>
        <v>18</v>
      </c>
      <c r="E137" t="str">
        <f ca="1">IF(dict_zuord_Meth_Per[[#This Row],[kval_active]],dict_zuord_Meth_Per[[#This Row],[ID_Persons]],"")</f>
        <v/>
      </c>
    </row>
    <row r="138" spans="1:5" x14ac:dyDescent="0.45">
      <c r="A138">
        <f t="shared" ca="1" si="6"/>
        <v>341</v>
      </c>
      <c r="B138">
        <f t="shared" ca="1" si="7"/>
        <v>14</v>
      </c>
      <c r="C1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8">
        <f t="shared" ca="1" si="8"/>
        <v>16</v>
      </c>
      <c r="E138" t="str">
        <f ca="1">IF(dict_zuord_Meth_Per[[#This Row],[kval_active]],dict_zuord_Meth_Per[[#This Row],[ID_Persons]],"")</f>
        <v/>
      </c>
    </row>
    <row r="139" spans="1:5" x14ac:dyDescent="0.45">
      <c r="A139">
        <f t="shared" ca="1" si="6"/>
        <v>690</v>
      </c>
      <c r="B139">
        <f t="shared" ca="1" si="7"/>
        <v>8</v>
      </c>
      <c r="C1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39">
        <f t="shared" ca="1" si="8"/>
        <v>23</v>
      </c>
      <c r="E139" t="str">
        <f ca="1">IF(dict_zuord_Meth_Per[[#This Row],[kval_active]],dict_zuord_Meth_Per[[#This Row],[ID_Persons]],"")</f>
        <v/>
      </c>
    </row>
    <row r="140" spans="1:5" x14ac:dyDescent="0.45">
      <c r="A140">
        <f t="shared" ca="1" si="6"/>
        <v>687</v>
      </c>
      <c r="B140">
        <f t="shared" ca="1" si="7"/>
        <v>17</v>
      </c>
      <c r="C1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0">
        <f t="shared" ca="1" si="8"/>
        <v>14</v>
      </c>
      <c r="E140" t="str">
        <f ca="1">IF(dict_zuord_Meth_Per[[#This Row],[kval_active]],dict_zuord_Meth_Per[[#This Row],[ID_Persons]],"")</f>
        <v/>
      </c>
    </row>
    <row r="141" spans="1:5" x14ac:dyDescent="0.45">
      <c r="A141">
        <f t="shared" ca="1" si="6"/>
        <v>105</v>
      </c>
      <c r="B141">
        <f t="shared" ca="1" si="7"/>
        <v>12</v>
      </c>
      <c r="C1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1">
        <f t="shared" ca="1" si="8"/>
        <v>2</v>
      </c>
      <c r="E141" t="str">
        <f ca="1">IF(dict_zuord_Meth_Per[[#This Row],[kval_active]],dict_zuord_Meth_Per[[#This Row],[ID_Persons]],"")</f>
        <v/>
      </c>
    </row>
    <row r="142" spans="1:5" x14ac:dyDescent="0.45">
      <c r="A142">
        <f t="shared" ca="1" si="6"/>
        <v>582</v>
      </c>
      <c r="B142">
        <f t="shared" ca="1" si="7"/>
        <v>8</v>
      </c>
      <c r="C1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2">
        <f t="shared" ca="1" si="8"/>
        <v>3</v>
      </c>
      <c r="E142" t="str">
        <f ca="1">IF(dict_zuord_Meth_Per[[#This Row],[kval_active]],dict_zuord_Meth_Per[[#This Row],[ID_Persons]],"")</f>
        <v/>
      </c>
    </row>
    <row r="143" spans="1:5" x14ac:dyDescent="0.45">
      <c r="A143">
        <f t="shared" ca="1" si="6"/>
        <v>75</v>
      </c>
      <c r="B143">
        <f t="shared" ca="1" si="7"/>
        <v>2</v>
      </c>
      <c r="C1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3">
        <f t="shared" ca="1" si="8"/>
        <v>27</v>
      </c>
      <c r="E143" t="str">
        <f ca="1">IF(dict_zuord_Meth_Per[[#This Row],[kval_active]],dict_zuord_Meth_Per[[#This Row],[ID_Persons]],"")</f>
        <v/>
      </c>
    </row>
    <row r="144" spans="1:5" x14ac:dyDescent="0.45">
      <c r="A144">
        <f t="shared" ca="1" si="6"/>
        <v>556</v>
      </c>
      <c r="B144">
        <f t="shared" ca="1" si="7"/>
        <v>7</v>
      </c>
      <c r="C1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4">
        <f t="shared" ca="1" si="8"/>
        <v>18</v>
      </c>
      <c r="E144" t="str">
        <f ca="1">IF(dict_zuord_Meth_Per[[#This Row],[kval_active]],dict_zuord_Meth_Per[[#This Row],[ID_Persons]],"")</f>
        <v/>
      </c>
    </row>
    <row r="145" spans="1:5" x14ac:dyDescent="0.45">
      <c r="A145">
        <f t="shared" ca="1" si="6"/>
        <v>323</v>
      </c>
      <c r="B145">
        <f t="shared" ca="1" si="7"/>
        <v>8</v>
      </c>
      <c r="C1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5">
        <f t="shared" ca="1" si="8"/>
        <v>7</v>
      </c>
      <c r="E145" t="str">
        <f ca="1">IF(dict_zuord_Meth_Per[[#This Row],[kval_active]],dict_zuord_Meth_Per[[#This Row],[ID_Persons]],"")</f>
        <v/>
      </c>
    </row>
    <row r="146" spans="1:5" x14ac:dyDescent="0.45">
      <c r="A146">
        <f t="shared" ca="1" si="6"/>
        <v>110</v>
      </c>
      <c r="B146">
        <f t="shared" ca="1" si="7"/>
        <v>24</v>
      </c>
      <c r="C1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6">
        <f t="shared" ca="1" si="8"/>
        <v>20</v>
      </c>
      <c r="E146" t="str">
        <f ca="1">IF(dict_zuord_Meth_Per[[#This Row],[kval_active]],dict_zuord_Meth_Per[[#This Row],[ID_Persons]],"")</f>
        <v/>
      </c>
    </row>
    <row r="147" spans="1:5" x14ac:dyDescent="0.45">
      <c r="A147">
        <f t="shared" ca="1" si="6"/>
        <v>138</v>
      </c>
      <c r="B147">
        <f t="shared" ca="1" si="7"/>
        <v>12</v>
      </c>
      <c r="C1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7">
        <f t="shared" ca="1" si="8"/>
        <v>29</v>
      </c>
      <c r="E147" t="str">
        <f ca="1">IF(dict_zuord_Meth_Per[[#This Row],[kval_active]],dict_zuord_Meth_Per[[#This Row],[ID_Persons]],"")</f>
        <v/>
      </c>
    </row>
    <row r="148" spans="1:5" x14ac:dyDescent="0.45">
      <c r="A148">
        <f t="shared" ca="1" si="6"/>
        <v>225</v>
      </c>
      <c r="B148">
        <f t="shared" ca="1" si="7"/>
        <v>25</v>
      </c>
      <c r="C1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8">
        <f t="shared" ca="1" si="8"/>
        <v>30</v>
      </c>
      <c r="E148" t="str">
        <f ca="1">IF(dict_zuord_Meth_Per[[#This Row],[kval_active]],dict_zuord_Meth_Per[[#This Row],[ID_Persons]],"")</f>
        <v/>
      </c>
    </row>
    <row r="149" spans="1:5" x14ac:dyDescent="0.45">
      <c r="A149">
        <f t="shared" ca="1" si="6"/>
        <v>341</v>
      </c>
      <c r="B149">
        <f t="shared" ca="1" si="7"/>
        <v>4</v>
      </c>
      <c r="C1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49">
        <f t="shared" ca="1" si="8"/>
        <v>17</v>
      </c>
      <c r="E149" t="str">
        <f ca="1">IF(dict_zuord_Meth_Per[[#This Row],[kval_active]],dict_zuord_Meth_Per[[#This Row],[ID_Persons]],"")</f>
        <v/>
      </c>
    </row>
    <row r="150" spans="1:5" x14ac:dyDescent="0.45">
      <c r="A150">
        <f t="shared" ca="1" si="6"/>
        <v>488</v>
      </c>
      <c r="B150">
        <f t="shared" ca="1" si="7"/>
        <v>5</v>
      </c>
      <c r="C1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0">
        <f t="shared" ca="1" si="8"/>
        <v>15</v>
      </c>
      <c r="E150" t="str">
        <f ca="1">IF(dict_zuord_Meth_Per[[#This Row],[kval_active]],dict_zuord_Meth_Per[[#This Row],[ID_Persons]],"")</f>
        <v/>
      </c>
    </row>
    <row r="151" spans="1:5" x14ac:dyDescent="0.45">
      <c r="A151">
        <f t="shared" ca="1" si="6"/>
        <v>566</v>
      </c>
      <c r="B151">
        <f t="shared" ca="1" si="7"/>
        <v>2</v>
      </c>
      <c r="C1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1">
        <f t="shared" ca="1" si="8"/>
        <v>4</v>
      </c>
      <c r="E151">
        <f ca="1">IF(dict_zuord_Meth_Per[[#This Row],[kval_active]],dict_zuord_Meth_Per[[#This Row],[ID_Persons]],"")</f>
        <v>2</v>
      </c>
    </row>
    <row r="152" spans="1:5" x14ac:dyDescent="0.45">
      <c r="A152">
        <f t="shared" ca="1" si="6"/>
        <v>210</v>
      </c>
      <c r="B152">
        <f t="shared" ca="1" si="7"/>
        <v>22</v>
      </c>
      <c r="C1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2">
        <f t="shared" ca="1" si="8"/>
        <v>4</v>
      </c>
      <c r="E152">
        <f ca="1">IF(dict_zuord_Meth_Per[[#This Row],[kval_active]],dict_zuord_Meth_Per[[#This Row],[ID_Persons]],"")</f>
        <v>22</v>
      </c>
    </row>
    <row r="153" spans="1:5" x14ac:dyDescent="0.45">
      <c r="A153">
        <f t="shared" ca="1" si="6"/>
        <v>688</v>
      </c>
      <c r="B153">
        <f t="shared" ca="1" si="7"/>
        <v>23</v>
      </c>
      <c r="C1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3">
        <f t="shared" ca="1" si="8"/>
        <v>20</v>
      </c>
      <c r="E153" t="str">
        <f ca="1">IF(dict_zuord_Meth_Per[[#This Row],[kval_active]],dict_zuord_Meth_Per[[#This Row],[ID_Persons]],"")</f>
        <v/>
      </c>
    </row>
    <row r="154" spans="1:5" x14ac:dyDescent="0.45">
      <c r="A154">
        <f t="shared" ca="1" si="6"/>
        <v>14</v>
      </c>
      <c r="B154">
        <f t="shared" ca="1" si="7"/>
        <v>24</v>
      </c>
      <c r="C1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4">
        <f t="shared" ca="1" si="8"/>
        <v>27</v>
      </c>
      <c r="E154" t="str">
        <f ca="1">IF(dict_zuord_Meth_Per[[#This Row],[kval_active]],dict_zuord_Meth_Per[[#This Row],[ID_Persons]],"")</f>
        <v/>
      </c>
    </row>
    <row r="155" spans="1:5" x14ac:dyDescent="0.45">
      <c r="A155">
        <f t="shared" ca="1" si="6"/>
        <v>133</v>
      </c>
      <c r="B155">
        <f t="shared" ca="1" si="7"/>
        <v>5</v>
      </c>
      <c r="C1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5">
        <f t="shared" ca="1" si="8"/>
        <v>7</v>
      </c>
      <c r="E155" t="str">
        <f ca="1">IF(dict_zuord_Meth_Per[[#This Row],[kval_active]],dict_zuord_Meth_Per[[#This Row],[ID_Persons]],"")</f>
        <v/>
      </c>
    </row>
    <row r="156" spans="1:5" x14ac:dyDescent="0.45">
      <c r="A156">
        <f t="shared" ca="1" si="6"/>
        <v>212</v>
      </c>
      <c r="B156">
        <f t="shared" ca="1" si="7"/>
        <v>11</v>
      </c>
      <c r="C1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6">
        <f t="shared" ca="1" si="8"/>
        <v>4</v>
      </c>
      <c r="E156" t="str">
        <f ca="1">IF(dict_zuord_Meth_Per[[#This Row],[kval_active]],dict_zuord_Meth_Per[[#This Row],[ID_Persons]],"")</f>
        <v/>
      </c>
    </row>
    <row r="157" spans="1:5" x14ac:dyDescent="0.45">
      <c r="A157">
        <f t="shared" ca="1" si="6"/>
        <v>108</v>
      </c>
      <c r="B157">
        <f t="shared" ca="1" si="7"/>
        <v>11</v>
      </c>
      <c r="C1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57">
        <f t="shared" ca="1" si="8"/>
        <v>21</v>
      </c>
      <c r="E157">
        <f ca="1">IF(dict_zuord_Meth_Per[[#This Row],[kval_active]],dict_zuord_Meth_Per[[#This Row],[ID_Persons]],"")</f>
        <v>11</v>
      </c>
    </row>
    <row r="158" spans="1:5" x14ac:dyDescent="0.45">
      <c r="A158">
        <f t="shared" ca="1" si="6"/>
        <v>620</v>
      </c>
      <c r="B158">
        <f t="shared" ca="1" si="7"/>
        <v>25</v>
      </c>
      <c r="C1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8">
        <f t="shared" ca="1" si="8"/>
        <v>14</v>
      </c>
      <c r="E158" t="str">
        <f ca="1">IF(dict_zuord_Meth_Per[[#This Row],[kval_active]],dict_zuord_Meth_Per[[#This Row],[ID_Persons]],"")</f>
        <v/>
      </c>
    </row>
    <row r="159" spans="1:5" x14ac:dyDescent="0.45">
      <c r="A159">
        <f t="shared" ca="1" si="6"/>
        <v>660</v>
      </c>
      <c r="B159">
        <f t="shared" ca="1" si="7"/>
        <v>23</v>
      </c>
      <c r="C1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59">
        <f t="shared" ca="1" si="8"/>
        <v>4</v>
      </c>
      <c r="E159" t="str">
        <f ca="1">IF(dict_zuord_Meth_Per[[#This Row],[kval_active]],dict_zuord_Meth_Per[[#This Row],[ID_Persons]],"")</f>
        <v/>
      </c>
    </row>
    <row r="160" spans="1:5" x14ac:dyDescent="0.45">
      <c r="A160">
        <f t="shared" ca="1" si="6"/>
        <v>173</v>
      </c>
      <c r="B160">
        <f t="shared" ca="1" si="7"/>
        <v>29</v>
      </c>
      <c r="C1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0">
        <f t="shared" ca="1" si="8"/>
        <v>13</v>
      </c>
      <c r="E160" t="str">
        <f ca="1">IF(dict_zuord_Meth_Per[[#This Row],[kval_active]],dict_zuord_Meth_Per[[#This Row],[ID_Persons]],"")</f>
        <v/>
      </c>
    </row>
    <row r="161" spans="1:5" x14ac:dyDescent="0.45">
      <c r="A161">
        <f t="shared" ca="1" si="6"/>
        <v>351</v>
      </c>
      <c r="B161">
        <f t="shared" ca="1" si="7"/>
        <v>5</v>
      </c>
      <c r="C1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1">
        <f t="shared" ca="1" si="8"/>
        <v>1</v>
      </c>
      <c r="E161" t="str">
        <f ca="1">IF(dict_zuord_Meth_Per[[#This Row],[kval_active]],dict_zuord_Meth_Per[[#This Row],[ID_Persons]],"")</f>
        <v/>
      </c>
    </row>
    <row r="162" spans="1:5" x14ac:dyDescent="0.45">
      <c r="A162">
        <f t="shared" ca="1" si="6"/>
        <v>83</v>
      </c>
      <c r="B162">
        <f t="shared" ca="1" si="7"/>
        <v>6</v>
      </c>
      <c r="C1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2">
        <f t="shared" ca="1" si="8"/>
        <v>13</v>
      </c>
      <c r="E162" t="str">
        <f ca="1">IF(dict_zuord_Meth_Per[[#This Row],[kval_active]],dict_zuord_Meth_Per[[#This Row],[ID_Persons]],"")</f>
        <v/>
      </c>
    </row>
    <row r="163" spans="1:5" x14ac:dyDescent="0.45">
      <c r="A163">
        <f t="shared" ca="1" si="6"/>
        <v>435</v>
      </c>
      <c r="B163">
        <f t="shared" ca="1" si="7"/>
        <v>0</v>
      </c>
      <c r="C1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3">
        <f t="shared" ca="1" si="8"/>
        <v>9</v>
      </c>
      <c r="E163" t="str">
        <f ca="1">IF(dict_zuord_Meth_Per[[#This Row],[kval_active]],dict_zuord_Meth_Per[[#This Row],[ID_Persons]],"")</f>
        <v/>
      </c>
    </row>
    <row r="164" spans="1:5" x14ac:dyDescent="0.45">
      <c r="A164">
        <f t="shared" ca="1" si="6"/>
        <v>554</v>
      </c>
      <c r="B164">
        <f t="shared" ca="1" si="7"/>
        <v>25</v>
      </c>
      <c r="C1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4">
        <f t="shared" ca="1" si="8"/>
        <v>27</v>
      </c>
      <c r="E164" t="str">
        <f ca="1">IF(dict_zuord_Meth_Per[[#This Row],[kval_active]],dict_zuord_Meth_Per[[#This Row],[ID_Persons]],"")</f>
        <v/>
      </c>
    </row>
    <row r="165" spans="1:5" x14ac:dyDescent="0.45">
      <c r="A165">
        <f t="shared" ca="1" si="6"/>
        <v>255</v>
      </c>
      <c r="B165">
        <f t="shared" ca="1" si="7"/>
        <v>29</v>
      </c>
      <c r="C1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5">
        <f t="shared" ca="1" si="8"/>
        <v>4</v>
      </c>
      <c r="E165" t="str">
        <f ca="1">IF(dict_zuord_Meth_Per[[#This Row],[kval_active]],dict_zuord_Meth_Per[[#This Row],[ID_Persons]],"")</f>
        <v/>
      </c>
    </row>
    <row r="166" spans="1:5" x14ac:dyDescent="0.45">
      <c r="A166">
        <f t="shared" ca="1" si="6"/>
        <v>219</v>
      </c>
      <c r="B166">
        <f t="shared" ca="1" si="7"/>
        <v>15</v>
      </c>
      <c r="C1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6">
        <f t="shared" ca="1" si="8"/>
        <v>18</v>
      </c>
      <c r="E166" t="str">
        <f ca="1">IF(dict_zuord_Meth_Per[[#This Row],[kval_active]],dict_zuord_Meth_Per[[#This Row],[ID_Persons]],"")</f>
        <v/>
      </c>
    </row>
    <row r="167" spans="1:5" x14ac:dyDescent="0.45">
      <c r="A167">
        <f t="shared" ca="1" si="6"/>
        <v>247</v>
      </c>
      <c r="B167">
        <f t="shared" ca="1" si="7"/>
        <v>14</v>
      </c>
      <c r="C1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7">
        <f t="shared" ca="1" si="8"/>
        <v>7</v>
      </c>
      <c r="E167" t="str">
        <f ca="1">IF(dict_zuord_Meth_Per[[#This Row],[kval_active]],dict_zuord_Meth_Per[[#This Row],[ID_Persons]],"")</f>
        <v/>
      </c>
    </row>
    <row r="168" spans="1:5" x14ac:dyDescent="0.45">
      <c r="A168">
        <f t="shared" ca="1" si="6"/>
        <v>205</v>
      </c>
      <c r="B168">
        <f t="shared" ca="1" si="7"/>
        <v>2</v>
      </c>
      <c r="C1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8">
        <f t="shared" ca="1" si="8"/>
        <v>19</v>
      </c>
      <c r="E168" t="str">
        <f ca="1">IF(dict_zuord_Meth_Per[[#This Row],[kval_active]],dict_zuord_Meth_Per[[#This Row],[ID_Persons]],"")</f>
        <v/>
      </c>
    </row>
    <row r="169" spans="1:5" x14ac:dyDescent="0.45">
      <c r="A169">
        <f t="shared" ca="1" si="6"/>
        <v>660</v>
      </c>
      <c r="B169">
        <f t="shared" ca="1" si="7"/>
        <v>25</v>
      </c>
      <c r="C1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69">
        <f t="shared" ca="1" si="8"/>
        <v>29</v>
      </c>
      <c r="E169" t="str">
        <f ca="1">IF(dict_zuord_Meth_Per[[#This Row],[kval_active]],dict_zuord_Meth_Per[[#This Row],[ID_Persons]],"")</f>
        <v/>
      </c>
    </row>
    <row r="170" spans="1:5" x14ac:dyDescent="0.45">
      <c r="A170">
        <f t="shared" ca="1" si="6"/>
        <v>88</v>
      </c>
      <c r="B170">
        <f t="shared" ca="1" si="7"/>
        <v>23</v>
      </c>
      <c r="C1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0">
        <f t="shared" ca="1" si="8"/>
        <v>2</v>
      </c>
      <c r="E170" t="str">
        <f ca="1">IF(dict_zuord_Meth_Per[[#This Row],[kval_active]],dict_zuord_Meth_Per[[#This Row],[ID_Persons]],"")</f>
        <v/>
      </c>
    </row>
    <row r="171" spans="1:5" x14ac:dyDescent="0.45">
      <c r="A171">
        <f t="shared" ca="1" si="6"/>
        <v>372</v>
      </c>
      <c r="B171">
        <f t="shared" ca="1" si="7"/>
        <v>19</v>
      </c>
      <c r="C1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1">
        <f t="shared" ca="1" si="8"/>
        <v>20</v>
      </c>
      <c r="E171" t="str">
        <f ca="1">IF(dict_zuord_Meth_Per[[#This Row],[kval_active]],dict_zuord_Meth_Per[[#This Row],[ID_Persons]],"")</f>
        <v/>
      </c>
    </row>
    <row r="172" spans="1:5" x14ac:dyDescent="0.45">
      <c r="A172">
        <f t="shared" ca="1" si="6"/>
        <v>191</v>
      </c>
      <c r="B172">
        <f t="shared" ca="1" si="7"/>
        <v>26</v>
      </c>
      <c r="C1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2">
        <f t="shared" ca="1" si="8"/>
        <v>9</v>
      </c>
      <c r="E172" t="str">
        <f ca="1">IF(dict_zuord_Meth_Per[[#This Row],[kval_active]],dict_zuord_Meth_Per[[#This Row],[ID_Persons]],"")</f>
        <v/>
      </c>
    </row>
    <row r="173" spans="1:5" x14ac:dyDescent="0.45">
      <c r="A173">
        <f t="shared" ca="1" si="6"/>
        <v>644</v>
      </c>
      <c r="B173">
        <f t="shared" ca="1" si="7"/>
        <v>27</v>
      </c>
      <c r="C1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3">
        <f t="shared" ca="1" si="8"/>
        <v>11</v>
      </c>
      <c r="E173" t="str">
        <f ca="1">IF(dict_zuord_Meth_Per[[#This Row],[kval_active]],dict_zuord_Meth_Per[[#This Row],[ID_Persons]],"")</f>
        <v/>
      </c>
    </row>
    <row r="174" spans="1:5" x14ac:dyDescent="0.45">
      <c r="A174">
        <f t="shared" ca="1" si="6"/>
        <v>645</v>
      </c>
      <c r="B174">
        <f t="shared" ca="1" si="7"/>
        <v>14</v>
      </c>
      <c r="C1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4">
        <f t="shared" ca="1" si="8"/>
        <v>20</v>
      </c>
      <c r="E174" t="str">
        <f ca="1">IF(dict_zuord_Meth_Per[[#This Row],[kval_active]],dict_zuord_Meth_Per[[#This Row],[ID_Persons]],"")</f>
        <v/>
      </c>
    </row>
    <row r="175" spans="1:5" x14ac:dyDescent="0.45">
      <c r="A175">
        <f t="shared" ca="1" si="6"/>
        <v>529</v>
      </c>
      <c r="B175">
        <f t="shared" ca="1" si="7"/>
        <v>30</v>
      </c>
      <c r="C1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5">
        <f t="shared" ca="1" si="8"/>
        <v>7</v>
      </c>
      <c r="E175" t="str">
        <f ca="1">IF(dict_zuord_Meth_Per[[#This Row],[kval_active]],dict_zuord_Meth_Per[[#This Row],[ID_Persons]],"")</f>
        <v/>
      </c>
    </row>
    <row r="176" spans="1:5" x14ac:dyDescent="0.45">
      <c r="A176">
        <f t="shared" ca="1" si="6"/>
        <v>677</v>
      </c>
      <c r="B176">
        <f t="shared" ca="1" si="7"/>
        <v>14</v>
      </c>
      <c r="C1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76">
        <f t="shared" ca="1" si="8"/>
        <v>6</v>
      </c>
      <c r="E176">
        <f ca="1">IF(dict_zuord_Meth_Per[[#This Row],[kval_active]],dict_zuord_Meth_Per[[#This Row],[ID_Persons]],"")</f>
        <v>14</v>
      </c>
    </row>
    <row r="177" spans="1:5" x14ac:dyDescent="0.45">
      <c r="A177">
        <f t="shared" ca="1" si="6"/>
        <v>223</v>
      </c>
      <c r="B177">
        <f t="shared" ca="1" si="7"/>
        <v>22</v>
      </c>
      <c r="C1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7">
        <f t="shared" ca="1" si="8"/>
        <v>9</v>
      </c>
      <c r="E177" t="str">
        <f ca="1">IF(dict_zuord_Meth_Per[[#This Row],[kval_active]],dict_zuord_Meth_Per[[#This Row],[ID_Persons]],"")</f>
        <v/>
      </c>
    </row>
    <row r="178" spans="1:5" x14ac:dyDescent="0.45">
      <c r="A178">
        <f t="shared" ca="1" si="6"/>
        <v>606</v>
      </c>
      <c r="B178">
        <f t="shared" ca="1" si="7"/>
        <v>21</v>
      </c>
      <c r="C1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8">
        <f t="shared" ca="1" si="8"/>
        <v>19</v>
      </c>
      <c r="E178" t="str">
        <f ca="1">IF(dict_zuord_Meth_Per[[#This Row],[kval_active]],dict_zuord_Meth_Per[[#This Row],[ID_Persons]],"")</f>
        <v/>
      </c>
    </row>
    <row r="179" spans="1:5" x14ac:dyDescent="0.45">
      <c r="A179">
        <f t="shared" ca="1" si="6"/>
        <v>29</v>
      </c>
      <c r="B179">
        <f t="shared" ca="1" si="7"/>
        <v>2</v>
      </c>
      <c r="C1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79">
        <f t="shared" ca="1" si="8"/>
        <v>29</v>
      </c>
      <c r="E179" t="str">
        <f ca="1">IF(dict_zuord_Meth_Per[[#This Row],[kval_active]],dict_zuord_Meth_Per[[#This Row],[ID_Persons]],"")</f>
        <v/>
      </c>
    </row>
    <row r="180" spans="1:5" x14ac:dyDescent="0.45">
      <c r="A180">
        <f t="shared" ca="1" si="6"/>
        <v>139</v>
      </c>
      <c r="B180">
        <f t="shared" ca="1" si="7"/>
        <v>0</v>
      </c>
      <c r="C1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0">
        <f t="shared" ca="1" si="8"/>
        <v>3</v>
      </c>
      <c r="E180" t="str">
        <f ca="1">IF(dict_zuord_Meth_Per[[#This Row],[kval_active]],dict_zuord_Meth_Per[[#This Row],[ID_Persons]],"")</f>
        <v/>
      </c>
    </row>
    <row r="181" spans="1:5" x14ac:dyDescent="0.45">
      <c r="A181">
        <f t="shared" ca="1" si="6"/>
        <v>328</v>
      </c>
      <c r="B181">
        <f t="shared" ca="1" si="7"/>
        <v>11</v>
      </c>
      <c r="C1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1">
        <f t="shared" ca="1" si="8"/>
        <v>12</v>
      </c>
      <c r="E181" t="str">
        <f ca="1">IF(dict_zuord_Meth_Per[[#This Row],[kval_active]],dict_zuord_Meth_Per[[#This Row],[ID_Persons]],"")</f>
        <v/>
      </c>
    </row>
    <row r="182" spans="1:5" x14ac:dyDescent="0.45">
      <c r="A182">
        <f t="shared" ca="1" si="6"/>
        <v>40</v>
      </c>
      <c r="B182">
        <f t="shared" ca="1" si="7"/>
        <v>19</v>
      </c>
      <c r="C1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2">
        <f t="shared" ca="1" si="8"/>
        <v>11</v>
      </c>
      <c r="E182" t="str">
        <f ca="1">IF(dict_zuord_Meth_Per[[#This Row],[kval_active]],dict_zuord_Meth_Per[[#This Row],[ID_Persons]],"")</f>
        <v/>
      </c>
    </row>
    <row r="183" spans="1:5" x14ac:dyDescent="0.45">
      <c r="A183">
        <f t="shared" ca="1" si="6"/>
        <v>163</v>
      </c>
      <c r="B183">
        <f t="shared" ca="1" si="7"/>
        <v>6</v>
      </c>
      <c r="C1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3">
        <f t="shared" ca="1" si="8"/>
        <v>8</v>
      </c>
      <c r="E183" t="str">
        <f ca="1">IF(dict_zuord_Meth_Per[[#This Row],[kval_active]],dict_zuord_Meth_Per[[#This Row],[ID_Persons]],"")</f>
        <v/>
      </c>
    </row>
    <row r="184" spans="1:5" x14ac:dyDescent="0.45">
      <c r="A184">
        <f t="shared" ca="1" si="6"/>
        <v>150</v>
      </c>
      <c r="B184">
        <f t="shared" ca="1" si="7"/>
        <v>17</v>
      </c>
      <c r="C1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4">
        <f t="shared" ca="1" si="8"/>
        <v>22</v>
      </c>
      <c r="E184" t="str">
        <f ca="1">IF(dict_zuord_Meth_Per[[#This Row],[kval_active]],dict_zuord_Meth_Per[[#This Row],[ID_Persons]],"")</f>
        <v/>
      </c>
    </row>
    <row r="185" spans="1:5" x14ac:dyDescent="0.45">
      <c r="A185">
        <f t="shared" ca="1" si="6"/>
        <v>642</v>
      </c>
      <c r="B185">
        <f t="shared" ca="1" si="7"/>
        <v>24</v>
      </c>
      <c r="C1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5">
        <f t="shared" ca="1" si="8"/>
        <v>24</v>
      </c>
      <c r="E185" t="str">
        <f ca="1">IF(dict_zuord_Meth_Per[[#This Row],[kval_active]],dict_zuord_Meth_Per[[#This Row],[ID_Persons]],"")</f>
        <v/>
      </c>
    </row>
    <row r="186" spans="1:5" x14ac:dyDescent="0.45">
      <c r="A186">
        <f t="shared" ca="1" si="6"/>
        <v>402</v>
      </c>
      <c r="B186">
        <f t="shared" ca="1" si="7"/>
        <v>18</v>
      </c>
      <c r="C1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6">
        <f t="shared" ca="1" si="8"/>
        <v>0</v>
      </c>
      <c r="E186" t="str">
        <f ca="1">IF(dict_zuord_Meth_Per[[#This Row],[kval_active]],dict_zuord_Meth_Per[[#This Row],[ID_Persons]],"")</f>
        <v/>
      </c>
    </row>
    <row r="187" spans="1:5" x14ac:dyDescent="0.45">
      <c r="A187">
        <f t="shared" ca="1" si="6"/>
        <v>431</v>
      </c>
      <c r="B187">
        <f t="shared" ca="1" si="7"/>
        <v>9</v>
      </c>
      <c r="C1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7">
        <f t="shared" ca="1" si="8"/>
        <v>17</v>
      </c>
      <c r="E187" t="str">
        <f ca="1">IF(dict_zuord_Meth_Per[[#This Row],[kval_active]],dict_zuord_Meth_Per[[#This Row],[ID_Persons]],"")</f>
        <v/>
      </c>
    </row>
    <row r="188" spans="1:5" x14ac:dyDescent="0.45">
      <c r="A188">
        <f t="shared" ca="1" si="6"/>
        <v>74</v>
      </c>
      <c r="B188">
        <f t="shared" ca="1" si="7"/>
        <v>5</v>
      </c>
      <c r="C1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8">
        <f t="shared" ca="1" si="8"/>
        <v>6</v>
      </c>
      <c r="E188" t="str">
        <f ca="1">IF(dict_zuord_Meth_Per[[#This Row],[kval_active]],dict_zuord_Meth_Per[[#This Row],[ID_Persons]],"")</f>
        <v/>
      </c>
    </row>
    <row r="189" spans="1:5" x14ac:dyDescent="0.45">
      <c r="A189">
        <f t="shared" ca="1" si="6"/>
        <v>659</v>
      </c>
      <c r="B189">
        <f t="shared" ca="1" si="7"/>
        <v>25</v>
      </c>
      <c r="C1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89">
        <f t="shared" ca="1" si="8"/>
        <v>10</v>
      </c>
      <c r="E189" t="str">
        <f ca="1">IF(dict_zuord_Meth_Per[[#This Row],[kval_active]],dict_zuord_Meth_Per[[#This Row],[ID_Persons]],"")</f>
        <v/>
      </c>
    </row>
    <row r="190" spans="1:5" x14ac:dyDescent="0.45">
      <c r="A190">
        <f t="shared" ca="1" si="6"/>
        <v>376</v>
      </c>
      <c r="B190">
        <f t="shared" ca="1" si="7"/>
        <v>16</v>
      </c>
      <c r="C1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0">
        <f t="shared" ca="1" si="8"/>
        <v>9</v>
      </c>
      <c r="E190" t="str">
        <f ca="1">IF(dict_zuord_Meth_Per[[#This Row],[kval_active]],dict_zuord_Meth_Per[[#This Row],[ID_Persons]],"")</f>
        <v/>
      </c>
    </row>
    <row r="191" spans="1:5" x14ac:dyDescent="0.45">
      <c r="A191">
        <f t="shared" ca="1" si="6"/>
        <v>272</v>
      </c>
      <c r="B191">
        <f t="shared" ca="1" si="7"/>
        <v>2</v>
      </c>
      <c r="C1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191">
        <f t="shared" ca="1" si="8"/>
        <v>20</v>
      </c>
      <c r="E191">
        <f ca="1">IF(dict_zuord_Meth_Per[[#This Row],[kval_active]],dict_zuord_Meth_Per[[#This Row],[ID_Persons]],"")</f>
        <v>2</v>
      </c>
    </row>
    <row r="192" spans="1:5" x14ac:dyDescent="0.45">
      <c r="A192">
        <f t="shared" ca="1" si="6"/>
        <v>598</v>
      </c>
      <c r="B192">
        <f t="shared" ca="1" si="7"/>
        <v>23</v>
      </c>
      <c r="C1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2">
        <f t="shared" ca="1" si="8"/>
        <v>11</v>
      </c>
      <c r="E192" t="str">
        <f ca="1">IF(dict_zuord_Meth_Per[[#This Row],[kval_active]],dict_zuord_Meth_Per[[#This Row],[ID_Persons]],"")</f>
        <v/>
      </c>
    </row>
    <row r="193" spans="1:5" x14ac:dyDescent="0.45">
      <c r="A193">
        <f t="shared" ca="1" si="6"/>
        <v>665</v>
      </c>
      <c r="B193">
        <f t="shared" ca="1" si="7"/>
        <v>28</v>
      </c>
      <c r="C1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3">
        <f t="shared" ca="1" si="8"/>
        <v>16</v>
      </c>
      <c r="E193" t="str">
        <f ca="1">IF(dict_zuord_Meth_Per[[#This Row],[kval_active]],dict_zuord_Meth_Per[[#This Row],[ID_Persons]],"")</f>
        <v/>
      </c>
    </row>
    <row r="194" spans="1:5" x14ac:dyDescent="0.45">
      <c r="A194">
        <f t="shared" ref="A194:A257" ca="1" si="9">RANDBETWEEN(0,700)</f>
        <v>560</v>
      </c>
      <c r="B194">
        <f t="shared" ref="B194:B257" ca="1" si="10">RANDBETWEEN(0,30)</f>
        <v>6</v>
      </c>
      <c r="C1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4">
        <f t="shared" ref="D194:D257" ca="1" si="11">RANDBETWEEN(0,30)</f>
        <v>25</v>
      </c>
      <c r="E194" t="str">
        <f ca="1">IF(dict_zuord_Meth_Per[[#This Row],[kval_active]],dict_zuord_Meth_Per[[#This Row],[ID_Persons]],"")</f>
        <v/>
      </c>
    </row>
    <row r="195" spans="1:5" x14ac:dyDescent="0.45">
      <c r="A195">
        <f t="shared" ca="1" si="9"/>
        <v>33</v>
      </c>
      <c r="B195">
        <f t="shared" ca="1" si="10"/>
        <v>0</v>
      </c>
      <c r="C1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5">
        <f t="shared" ca="1" si="11"/>
        <v>14</v>
      </c>
      <c r="E195" t="str">
        <f ca="1">IF(dict_zuord_Meth_Per[[#This Row],[kval_active]],dict_zuord_Meth_Per[[#This Row],[ID_Persons]],"")</f>
        <v/>
      </c>
    </row>
    <row r="196" spans="1:5" x14ac:dyDescent="0.45">
      <c r="A196">
        <f t="shared" ca="1" si="9"/>
        <v>383</v>
      </c>
      <c r="B196">
        <f t="shared" ca="1" si="10"/>
        <v>15</v>
      </c>
      <c r="C1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6">
        <f t="shared" ca="1" si="11"/>
        <v>2</v>
      </c>
      <c r="E196" t="str">
        <f ca="1">IF(dict_zuord_Meth_Per[[#This Row],[kval_active]],dict_zuord_Meth_Per[[#This Row],[ID_Persons]],"")</f>
        <v/>
      </c>
    </row>
    <row r="197" spans="1:5" x14ac:dyDescent="0.45">
      <c r="A197">
        <f t="shared" ca="1" si="9"/>
        <v>456</v>
      </c>
      <c r="B197">
        <f t="shared" ca="1" si="10"/>
        <v>30</v>
      </c>
      <c r="C1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7">
        <f t="shared" ca="1" si="11"/>
        <v>28</v>
      </c>
      <c r="E197" t="str">
        <f ca="1">IF(dict_zuord_Meth_Per[[#This Row],[kval_active]],dict_zuord_Meth_Per[[#This Row],[ID_Persons]],"")</f>
        <v/>
      </c>
    </row>
    <row r="198" spans="1:5" x14ac:dyDescent="0.45">
      <c r="A198">
        <f t="shared" ca="1" si="9"/>
        <v>213</v>
      </c>
      <c r="B198">
        <f t="shared" ca="1" si="10"/>
        <v>17</v>
      </c>
      <c r="C1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8">
        <f t="shared" ca="1" si="11"/>
        <v>29</v>
      </c>
      <c r="E198" t="str">
        <f ca="1">IF(dict_zuord_Meth_Per[[#This Row],[kval_active]],dict_zuord_Meth_Per[[#This Row],[ID_Persons]],"")</f>
        <v/>
      </c>
    </row>
    <row r="199" spans="1:5" x14ac:dyDescent="0.45">
      <c r="A199">
        <f t="shared" ca="1" si="9"/>
        <v>199</v>
      </c>
      <c r="B199">
        <f t="shared" ca="1" si="10"/>
        <v>27</v>
      </c>
      <c r="C1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199">
        <f t="shared" ca="1" si="11"/>
        <v>9</v>
      </c>
      <c r="E199" t="str">
        <f ca="1">IF(dict_zuord_Meth_Per[[#This Row],[kval_active]],dict_zuord_Meth_Per[[#This Row],[ID_Persons]],"")</f>
        <v/>
      </c>
    </row>
    <row r="200" spans="1:5" x14ac:dyDescent="0.45">
      <c r="A200">
        <f t="shared" ca="1" si="9"/>
        <v>530</v>
      </c>
      <c r="B200">
        <f t="shared" ca="1" si="10"/>
        <v>9</v>
      </c>
      <c r="C2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0">
        <f t="shared" ca="1" si="11"/>
        <v>1</v>
      </c>
      <c r="E200" t="str">
        <f ca="1">IF(dict_zuord_Meth_Per[[#This Row],[kval_active]],dict_zuord_Meth_Per[[#This Row],[ID_Persons]],"")</f>
        <v/>
      </c>
    </row>
    <row r="201" spans="1:5" x14ac:dyDescent="0.45">
      <c r="A201">
        <f t="shared" ca="1" si="9"/>
        <v>327</v>
      </c>
      <c r="B201">
        <f t="shared" ca="1" si="10"/>
        <v>17</v>
      </c>
      <c r="C2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1">
        <f t="shared" ca="1" si="11"/>
        <v>20</v>
      </c>
      <c r="E201" t="str">
        <f ca="1">IF(dict_zuord_Meth_Per[[#This Row],[kval_active]],dict_zuord_Meth_Per[[#This Row],[ID_Persons]],"")</f>
        <v/>
      </c>
    </row>
    <row r="202" spans="1:5" x14ac:dyDescent="0.45">
      <c r="A202">
        <f t="shared" ca="1" si="9"/>
        <v>500</v>
      </c>
      <c r="B202">
        <f t="shared" ca="1" si="10"/>
        <v>3</v>
      </c>
      <c r="C2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2">
        <f t="shared" ca="1" si="11"/>
        <v>25</v>
      </c>
      <c r="E202" t="str">
        <f ca="1">IF(dict_zuord_Meth_Per[[#This Row],[kval_active]],dict_zuord_Meth_Per[[#This Row],[ID_Persons]],"")</f>
        <v/>
      </c>
    </row>
    <row r="203" spans="1:5" x14ac:dyDescent="0.45">
      <c r="A203">
        <f t="shared" ca="1" si="9"/>
        <v>540</v>
      </c>
      <c r="B203">
        <f t="shared" ca="1" si="10"/>
        <v>13</v>
      </c>
      <c r="C2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3">
        <f t="shared" ca="1" si="11"/>
        <v>20</v>
      </c>
      <c r="E203" t="str">
        <f ca="1">IF(dict_zuord_Meth_Per[[#This Row],[kval_active]],dict_zuord_Meth_Per[[#This Row],[ID_Persons]],"")</f>
        <v/>
      </c>
    </row>
    <row r="204" spans="1:5" x14ac:dyDescent="0.45">
      <c r="A204">
        <f t="shared" ca="1" si="9"/>
        <v>526</v>
      </c>
      <c r="B204">
        <f t="shared" ca="1" si="10"/>
        <v>21</v>
      </c>
      <c r="C2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4">
        <f t="shared" ca="1" si="11"/>
        <v>28</v>
      </c>
      <c r="E204" t="str">
        <f ca="1">IF(dict_zuord_Meth_Per[[#This Row],[kval_active]],dict_zuord_Meth_Per[[#This Row],[ID_Persons]],"")</f>
        <v/>
      </c>
    </row>
    <row r="205" spans="1:5" x14ac:dyDescent="0.45">
      <c r="A205">
        <f t="shared" ca="1" si="9"/>
        <v>257</v>
      </c>
      <c r="B205">
        <f t="shared" ca="1" si="10"/>
        <v>17</v>
      </c>
      <c r="C2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5">
        <f t="shared" ca="1" si="11"/>
        <v>17</v>
      </c>
      <c r="E205" t="str">
        <f ca="1">IF(dict_zuord_Meth_Per[[#This Row],[kval_active]],dict_zuord_Meth_Per[[#This Row],[ID_Persons]],"")</f>
        <v/>
      </c>
    </row>
    <row r="206" spans="1:5" x14ac:dyDescent="0.45">
      <c r="A206">
        <f t="shared" ca="1" si="9"/>
        <v>287</v>
      </c>
      <c r="B206">
        <f t="shared" ca="1" si="10"/>
        <v>29</v>
      </c>
      <c r="C2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6">
        <f t="shared" ca="1" si="11"/>
        <v>9</v>
      </c>
      <c r="E206" t="str">
        <f ca="1">IF(dict_zuord_Meth_Per[[#This Row],[kval_active]],dict_zuord_Meth_Per[[#This Row],[ID_Persons]],"")</f>
        <v/>
      </c>
    </row>
    <row r="207" spans="1:5" x14ac:dyDescent="0.45">
      <c r="A207">
        <f t="shared" ca="1" si="9"/>
        <v>72</v>
      </c>
      <c r="B207">
        <f t="shared" ca="1" si="10"/>
        <v>28</v>
      </c>
      <c r="C2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7">
        <f t="shared" ca="1" si="11"/>
        <v>26</v>
      </c>
      <c r="E207" t="str">
        <f ca="1">IF(dict_zuord_Meth_Per[[#This Row],[kval_active]],dict_zuord_Meth_Per[[#This Row],[ID_Persons]],"")</f>
        <v/>
      </c>
    </row>
    <row r="208" spans="1:5" x14ac:dyDescent="0.45">
      <c r="A208">
        <f t="shared" ca="1" si="9"/>
        <v>360</v>
      </c>
      <c r="B208">
        <f t="shared" ca="1" si="10"/>
        <v>17</v>
      </c>
      <c r="C2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8">
        <f t="shared" ca="1" si="11"/>
        <v>7</v>
      </c>
      <c r="E208" t="str">
        <f ca="1">IF(dict_zuord_Meth_Per[[#This Row],[kval_active]],dict_zuord_Meth_Per[[#This Row],[ID_Persons]],"")</f>
        <v/>
      </c>
    </row>
    <row r="209" spans="1:5" x14ac:dyDescent="0.45">
      <c r="A209">
        <f t="shared" ca="1" si="9"/>
        <v>270</v>
      </c>
      <c r="B209">
        <f t="shared" ca="1" si="10"/>
        <v>11</v>
      </c>
      <c r="C2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09">
        <f t="shared" ca="1" si="11"/>
        <v>24</v>
      </c>
      <c r="E209" t="str">
        <f ca="1">IF(dict_zuord_Meth_Per[[#This Row],[kval_active]],dict_zuord_Meth_Per[[#This Row],[ID_Persons]],"")</f>
        <v/>
      </c>
    </row>
    <row r="210" spans="1:5" x14ac:dyDescent="0.45">
      <c r="A210">
        <f t="shared" ca="1" si="9"/>
        <v>527</v>
      </c>
      <c r="B210">
        <f t="shared" ca="1" si="10"/>
        <v>18</v>
      </c>
      <c r="C2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0">
        <f t="shared" ca="1" si="11"/>
        <v>18</v>
      </c>
      <c r="E210" t="str">
        <f ca="1">IF(dict_zuord_Meth_Per[[#This Row],[kval_active]],dict_zuord_Meth_Per[[#This Row],[ID_Persons]],"")</f>
        <v/>
      </c>
    </row>
    <row r="211" spans="1:5" x14ac:dyDescent="0.45">
      <c r="A211">
        <f t="shared" ca="1" si="9"/>
        <v>132</v>
      </c>
      <c r="B211">
        <f t="shared" ca="1" si="10"/>
        <v>23</v>
      </c>
      <c r="C2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1">
        <f t="shared" ca="1" si="11"/>
        <v>6</v>
      </c>
      <c r="E211" t="str">
        <f ca="1">IF(dict_zuord_Meth_Per[[#This Row],[kval_active]],dict_zuord_Meth_Per[[#This Row],[ID_Persons]],"")</f>
        <v/>
      </c>
    </row>
    <row r="212" spans="1:5" x14ac:dyDescent="0.45">
      <c r="A212">
        <f t="shared" ca="1" si="9"/>
        <v>398</v>
      </c>
      <c r="B212">
        <f t="shared" ca="1" si="10"/>
        <v>1</v>
      </c>
      <c r="C2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2">
        <f t="shared" ca="1" si="11"/>
        <v>7</v>
      </c>
      <c r="E212" t="str">
        <f ca="1">IF(dict_zuord_Meth_Per[[#This Row],[kval_active]],dict_zuord_Meth_Per[[#This Row],[ID_Persons]],"")</f>
        <v/>
      </c>
    </row>
    <row r="213" spans="1:5" x14ac:dyDescent="0.45">
      <c r="A213">
        <f t="shared" ca="1" si="9"/>
        <v>680</v>
      </c>
      <c r="B213">
        <f t="shared" ca="1" si="10"/>
        <v>16</v>
      </c>
      <c r="C2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3">
        <f t="shared" ca="1" si="11"/>
        <v>16</v>
      </c>
      <c r="E213" t="str">
        <f ca="1">IF(dict_zuord_Meth_Per[[#This Row],[kval_active]],dict_zuord_Meth_Per[[#This Row],[ID_Persons]],"")</f>
        <v/>
      </c>
    </row>
    <row r="214" spans="1:5" x14ac:dyDescent="0.45">
      <c r="A214">
        <f t="shared" ca="1" si="9"/>
        <v>379</v>
      </c>
      <c r="B214">
        <f t="shared" ca="1" si="10"/>
        <v>10</v>
      </c>
      <c r="C2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4">
        <f t="shared" ca="1" si="11"/>
        <v>3</v>
      </c>
      <c r="E214" t="str">
        <f ca="1">IF(dict_zuord_Meth_Per[[#This Row],[kval_active]],dict_zuord_Meth_Per[[#This Row],[ID_Persons]],"")</f>
        <v/>
      </c>
    </row>
    <row r="215" spans="1:5" x14ac:dyDescent="0.45">
      <c r="A215">
        <f t="shared" ca="1" si="9"/>
        <v>44</v>
      </c>
      <c r="B215">
        <f t="shared" ca="1" si="10"/>
        <v>22</v>
      </c>
      <c r="C2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5">
        <f t="shared" ca="1" si="11"/>
        <v>22</v>
      </c>
      <c r="E215" t="str">
        <f ca="1">IF(dict_zuord_Meth_Per[[#This Row],[kval_active]],dict_zuord_Meth_Per[[#This Row],[ID_Persons]],"")</f>
        <v/>
      </c>
    </row>
    <row r="216" spans="1:5" x14ac:dyDescent="0.45">
      <c r="A216">
        <f t="shared" ca="1" si="9"/>
        <v>43</v>
      </c>
      <c r="B216">
        <f t="shared" ca="1" si="10"/>
        <v>17</v>
      </c>
      <c r="C2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6">
        <f t="shared" ca="1" si="11"/>
        <v>16</v>
      </c>
      <c r="E216" t="str">
        <f ca="1">IF(dict_zuord_Meth_Per[[#This Row],[kval_active]],dict_zuord_Meth_Per[[#This Row],[ID_Persons]],"")</f>
        <v/>
      </c>
    </row>
    <row r="217" spans="1:5" x14ac:dyDescent="0.45">
      <c r="A217">
        <f t="shared" ca="1" si="9"/>
        <v>139</v>
      </c>
      <c r="B217">
        <f t="shared" ca="1" si="10"/>
        <v>28</v>
      </c>
      <c r="C2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7">
        <f t="shared" ca="1" si="11"/>
        <v>0</v>
      </c>
      <c r="E217" t="str">
        <f ca="1">IF(dict_zuord_Meth_Per[[#This Row],[kval_active]],dict_zuord_Meth_Per[[#This Row],[ID_Persons]],"")</f>
        <v/>
      </c>
    </row>
    <row r="218" spans="1:5" x14ac:dyDescent="0.45">
      <c r="A218">
        <f t="shared" ca="1" si="9"/>
        <v>392</v>
      </c>
      <c r="B218">
        <f t="shared" ca="1" si="10"/>
        <v>14</v>
      </c>
      <c r="C2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8">
        <f t="shared" ca="1" si="11"/>
        <v>3</v>
      </c>
      <c r="E218" t="str">
        <f ca="1">IF(dict_zuord_Meth_Per[[#This Row],[kval_active]],dict_zuord_Meth_Per[[#This Row],[ID_Persons]],"")</f>
        <v/>
      </c>
    </row>
    <row r="219" spans="1:5" x14ac:dyDescent="0.45">
      <c r="A219">
        <f t="shared" ca="1" si="9"/>
        <v>684</v>
      </c>
      <c r="B219">
        <f t="shared" ca="1" si="10"/>
        <v>24</v>
      </c>
      <c r="C2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19">
        <f t="shared" ca="1" si="11"/>
        <v>1</v>
      </c>
      <c r="E219" t="str">
        <f ca="1">IF(dict_zuord_Meth_Per[[#This Row],[kval_active]],dict_zuord_Meth_Per[[#This Row],[ID_Persons]],"")</f>
        <v/>
      </c>
    </row>
    <row r="220" spans="1:5" x14ac:dyDescent="0.45">
      <c r="A220">
        <f t="shared" ca="1" si="9"/>
        <v>643</v>
      </c>
      <c r="B220">
        <f t="shared" ca="1" si="10"/>
        <v>5</v>
      </c>
      <c r="C2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0">
        <f t="shared" ca="1" si="11"/>
        <v>2</v>
      </c>
      <c r="E220" t="str">
        <f ca="1">IF(dict_zuord_Meth_Per[[#This Row],[kval_active]],dict_zuord_Meth_Per[[#This Row],[ID_Persons]],"")</f>
        <v/>
      </c>
    </row>
    <row r="221" spans="1:5" x14ac:dyDescent="0.45">
      <c r="A221">
        <f t="shared" ca="1" si="9"/>
        <v>198</v>
      </c>
      <c r="B221">
        <f t="shared" ca="1" si="10"/>
        <v>28</v>
      </c>
      <c r="C2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1">
        <f t="shared" ca="1" si="11"/>
        <v>2</v>
      </c>
      <c r="E221" t="str">
        <f ca="1">IF(dict_zuord_Meth_Per[[#This Row],[kval_active]],dict_zuord_Meth_Per[[#This Row],[ID_Persons]],"")</f>
        <v/>
      </c>
    </row>
    <row r="222" spans="1:5" x14ac:dyDescent="0.45">
      <c r="A222">
        <f t="shared" ca="1" si="9"/>
        <v>173</v>
      </c>
      <c r="B222">
        <f t="shared" ca="1" si="10"/>
        <v>15</v>
      </c>
      <c r="C2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2">
        <f t="shared" ca="1" si="11"/>
        <v>10</v>
      </c>
      <c r="E222" t="str">
        <f ca="1">IF(dict_zuord_Meth_Per[[#This Row],[kval_active]],dict_zuord_Meth_Per[[#This Row],[ID_Persons]],"")</f>
        <v/>
      </c>
    </row>
    <row r="223" spans="1:5" x14ac:dyDescent="0.45">
      <c r="A223">
        <f t="shared" ca="1" si="9"/>
        <v>471</v>
      </c>
      <c r="B223">
        <f t="shared" ca="1" si="10"/>
        <v>11</v>
      </c>
      <c r="C2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3">
        <f t="shared" ca="1" si="11"/>
        <v>0</v>
      </c>
      <c r="E223" t="str">
        <f ca="1">IF(dict_zuord_Meth_Per[[#This Row],[kval_active]],dict_zuord_Meth_Per[[#This Row],[ID_Persons]],"")</f>
        <v/>
      </c>
    </row>
    <row r="224" spans="1:5" x14ac:dyDescent="0.45">
      <c r="A224">
        <f t="shared" ca="1" si="9"/>
        <v>473</v>
      </c>
      <c r="B224">
        <f t="shared" ca="1" si="10"/>
        <v>22</v>
      </c>
      <c r="C2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4">
        <f t="shared" ca="1" si="11"/>
        <v>1</v>
      </c>
      <c r="E224" t="str">
        <f ca="1">IF(dict_zuord_Meth_Per[[#This Row],[kval_active]],dict_zuord_Meth_Per[[#This Row],[ID_Persons]],"")</f>
        <v/>
      </c>
    </row>
    <row r="225" spans="1:5" x14ac:dyDescent="0.45">
      <c r="A225">
        <f t="shared" ca="1" si="9"/>
        <v>74</v>
      </c>
      <c r="B225">
        <f t="shared" ca="1" si="10"/>
        <v>17</v>
      </c>
      <c r="C2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5">
        <f t="shared" ca="1" si="11"/>
        <v>18</v>
      </c>
      <c r="E225" t="str">
        <f ca="1">IF(dict_zuord_Meth_Per[[#This Row],[kval_active]],dict_zuord_Meth_Per[[#This Row],[ID_Persons]],"")</f>
        <v/>
      </c>
    </row>
    <row r="226" spans="1:5" x14ac:dyDescent="0.45">
      <c r="A226">
        <f t="shared" ca="1" si="9"/>
        <v>78</v>
      </c>
      <c r="B226">
        <f t="shared" ca="1" si="10"/>
        <v>18</v>
      </c>
      <c r="C2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6">
        <f t="shared" ca="1" si="11"/>
        <v>5</v>
      </c>
      <c r="E226" t="str">
        <f ca="1">IF(dict_zuord_Meth_Per[[#This Row],[kval_active]],dict_zuord_Meth_Per[[#This Row],[ID_Persons]],"")</f>
        <v/>
      </c>
    </row>
    <row r="227" spans="1:5" x14ac:dyDescent="0.45">
      <c r="A227">
        <f t="shared" ca="1" si="9"/>
        <v>105</v>
      </c>
      <c r="B227">
        <f t="shared" ca="1" si="10"/>
        <v>22</v>
      </c>
      <c r="C2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7">
        <f t="shared" ca="1" si="11"/>
        <v>22</v>
      </c>
      <c r="E227" t="str">
        <f ca="1">IF(dict_zuord_Meth_Per[[#This Row],[kval_active]],dict_zuord_Meth_Per[[#This Row],[ID_Persons]],"")</f>
        <v/>
      </c>
    </row>
    <row r="228" spans="1:5" x14ac:dyDescent="0.45">
      <c r="A228">
        <f t="shared" ca="1" si="9"/>
        <v>218</v>
      </c>
      <c r="B228">
        <f t="shared" ca="1" si="10"/>
        <v>3</v>
      </c>
      <c r="C2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8">
        <f t="shared" ca="1" si="11"/>
        <v>4</v>
      </c>
      <c r="E228" t="str">
        <f ca="1">IF(dict_zuord_Meth_Per[[#This Row],[kval_active]],dict_zuord_Meth_Per[[#This Row],[ID_Persons]],"")</f>
        <v/>
      </c>
    </row>
    <row r="229" spans="1:5" x14ac:dyDescent="0.45">
      <c r="A229">
        <f t="shared" ca="1" si="9"/>
        <v>71</v>
      </c>
      <c r="B229">
        <f t="shared" ca="1" si="10"/>
        <v>26</v>
      </c>
      <c r="C2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29">
        <f t="shared" ca="1" si="11"/>
        <v>26</v>
      </c>
      <c r="E229" t="str">
        <f ca="1">IF(dict_zuord_Meth_Per[[#This Row],[kval_active]],dict_zuord_Meth_Per[[#This Row],[ID_Persons]],"")</f>
        <v/>
      </c>
    </row>
    <row r="230" spans="1:5" x14ac:dyDescent="0.45">
      <c r="A230">
        <f t="shared" ca="1" si="9"/>
        <v>651</v>
      </c>
      <c r="B230">
        <f t="shared" ca="1" si="10"/>
        <v>23</v>
      </c>
      <c r="C2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0">
        <f t="shared" ca="1" si="11"/>
        <v>3</v>
      </c>
      <c r="E230" t="str">
        <f ca="1">IF(dict_zuord_Meth_Per[[#This Row],[kval_active]],dict_zuord_Meth_Per[[#This Row],[ID_Persons]],"")</f>
        <v/>
      </c>
    </row>
    <row r="231" spans="1:5" x14ac:dyDescent="0.45">
      <c r="A231">
        <f t="shared" ca="1" si="9"/>
        <v>548</v>
      </c>
      <c r="B231">
        <f t="shared" ca="1" si="10"/>
        <v>26</v>
      </c>
      <c r="C2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1">
        <f t="shared" ca="1" si="11"/>
        <v>1</v>
      </c>
      <c r="E231" t="str">
        <f ca="1">IF(dict_zuord_Meth_Per[[#This Row],[kval_active]],dict_zuord_Meth_Per[[#This Row],[ID_Persons]],"")</f>
        <v/>
      </c>
    </row>
    <row r="232" spans="1:5" x14ac:dyDescent="0.45">
      <c r="A232">
        <f t="shared" ca="1" si="9"/>
        <v>503</v>
      </c>
      <c r="B232">
        <f t="shared" ca="1" si="10"/>
        <v>13</v>
      </c>
      <c r="C2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2">
        <f t="shared" ca="1" si="11"/>
        <v>28</v>
      </c>
      <c r="E232" t="str">
        <f ca="1">IF(dict_zuord_Meth_Per[[#This Row],[kval_active]],dict_zuord_Meth_Per[[#This Row],[ID_Persons]],"")</f>
        <v/>
      </c>
    </row>
    <row r="233" spans="1:5" x14ac:dyDescent="0.45">
      <c r="A233">
        <f t="shared" ca="1" si="9"/>
        <v>596</v>
      </c>
      <c r="B233">
        <f t="shared" ca="1" si="10"/>
        <v>5</v>
      </c>
      <c r="C2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3">
        <f t="shared" ca="1" si="11"/>
        <v>6</v>
      </c>
      <c r="E233" t="str">
        <f ca="1">IF(dict_zuord_Meth_Per[[#This Row],[kval_active]],dict_zuord_Meth_Per[[#This Row],[ID_Persons]],"")</f>
        <v/>
      </c>
    </row>
    <row r="234" spans="1:5" x14ac:dyDescent="0.45">
      <c r="A234">
        <f t="shared" ca="1" si="9"/>
        <v>530</v>
      </c>
      <c r="B234">
        <f t="shared" ca="1" si="10"/>
        <v>0</v>
      </c>
      <c r="C2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4">
        <f t="shared" ca="1" si="11"/>
        <v>24</v>
      </c>
      <c r="E234" t="str">
        <f ca="1">IF(dict_zuord_Meth_Per[[#This Row],[kval_active]],dict_zuord_Meth_Per[[#This Row],[ID_Persons]],"")</f>
        <v/>
      </c>
    </row>
    <row r="235" spans="1:5" x14ac:dyDescent="0.45">
      <c r="A235">
        <f t="shared" ca="1" si="9"/>
        <v>387</v>
      </c>
      <c r="B235">
        <f t="shared" ca="1" si="10"/>
        <v>18</v>
      </c>
      <c r="C2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5">
        <f t="shared" ca="1" si="11"/>
        <v>3</v>
      </c>
      <c r="E235" t="str">
        <f ca="1">IF(dict_zuord_Meth_Per[[#This Row],[kval_active]],dict_zuord_Meth_Per[[#This Row],[ID_Persons]],"")</f>
        <v/>
      </c>
    </row>
    <row r="236" spans="1:5" x14ac:dyDescent="0.45">
      <c r="A236">
        <f t="shared" ca="1" si="9"/>
        <v>232</v>
      </c>
      <c r="B236">
        <f t="shared" ca="1" si="10"/>
        <v>4</v>
      </c>
      <c r="C2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6">
        <f t="shared" ca="1" si="11"/>
        <v>10</v>
      </c>
      <c r="E236" t="str">
        <f ca="1">IF(dict_zuord_Meth_Per[[#This Row],[kval_active]],dict_zuord_Meth_Per[[#This Row],[ID_Persons]],"")</f>
        <v/>
      </c>
    </row>
    <row r="237" spans="1:5" x14ac:dyDescent="0.45">
      <c r="A237">
        <f t="shared" ca="1" si="9"/>
        <v>73</v>
      </c>
      <c r="B237">
        <f t="shared" ca="1" si="10"/>
        <v>28</v>
      </c>
      <c r="C2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7">
        <f t="shared" ca="1" si="11"/>
        <v>1</v>
      </c>
      <c r="E237" t="str">
        <f ca="1">IF(dict_zuord_Meth_Per[[#This Row],[kval_active]],dict_zuord_Meth_Per[[#This Row],[ID_Persons]],"")</f>
        <v/>
      </c>
    </row>
    <row r="238" spans="1:5" x14ac:dyDescent="0.45">
      <c r="A238">
        <f t="shared" ca="1" si="9"/>
        <v>618</v>
      </c>
      <c r="B238">
        <f t="shared" ca="1" si="10"/>
        <v>17</v>
      </c>
      <c r="C2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8">
        <f t="shared" ca="1" si="11"/>
        <v>8</v>
      </c>
      <c r="E238" t="str">
        <f ca="1">IF(dict_zuord_Meth_Per[[#This Row],[kval_active]],dict_zuord_Meth_Per[[#This Row],[ID_Persons]],"")</f>
        <v/>
      </c>
    </row>
    <row r="239" spans="1:5" x14ac:dyDescent="0.45">
      <c r="A239">
        <f t="shared" ca="1" si="9"/>
        <v>226</v>
      </c>
      <c r="B239">
        <f t="shared" ca="1" si="10"/>
        <v>26</v>
      </c>
      <c r="C2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39">
        <f t="shared" ca="1" si="11"/>
        <v>3</v>
      </c>
      <c r="E239" t="str">
        <f ca="1">IF(dict_zuord_Meth_Per[[#This Row],[kval_active]],dict_zuord_Meth_Per[[#This Row],[ID_Persons]],"")</f>
        <v/>
      </c>
    </row>
    <row r="240" spans="1:5" x14ac:dyDescent="0.45">
      <c r="A240">
        <f t="shared" ca="1" si="9"/>
        <v>7</v>
      </c>
      <c r="B240">
        <f t="shared" ca="1" si="10"/>
        <v>14</v>
      </c>
      <c r="C2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0">
        <f t="shared" ca="1" si="11"/>
        <v>20</v>
      </c>
      <c r="E240" t="str">
        <f ca="1">IF(dict_zuord_Meth_Per[[#This Row],[kval_active]],dict_zuord_Meth_Per[[#This Row],[ID_Persons]],"")</f>
        <v/>
      </c>
    </row>
    <row r="241" spans="1:5" x14ac:dyDescent="0.45">
      <c r="A241">
        <f t="shared" ca="1" si="9"/>
        <v>596</v>
      </c>
      <c r="B241">
        <f t="shared" ca="1" si="10"/>
        <v>17</v>
      </c>
      <c r="C2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1">
        <f t="shared" ca="1" si="11"/>
        <v>10</v>
      </c>
      <c r="E241" t="str">
        <f ca="1">IF(dict_zuord_Meth_Per[[#This Row],[kval_active]],dict_zuord_Meth_Per[[#This Row],[ID_Persons]],"")</f>
        <v/>
      </c>
    </row>
    <row r="242" spans="1:5" x14ac:dyDescent="0.45">
      <c r="A242">
        <f t="shared" ca="1" si="9"/>
        <v>595</v>
      </c>
      <c r="B242">
        <f t="shared" ca="1" si="10"/>
        <v>20</v>
      </c>
      <c r="C2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2">
        <f t="shared" ca="1" si="11"/>
        <v>11</v>
      </c>
      <c r="E242" t="str">
        <f ca="1">IF(dict_zuord_Meth_Per[[#This Row],[kval_active]],dict_zuord_Meth_Per[[#This Row],[ID_Persons]],"")</f>
        <v/>
      </c>
    </row>
    <row r="243" spans="1:5" x14ac:dyDescent="0.45">
      <c r="A243">
        <f t="shared" ca="1" si="9"/>
        <v>67</v>
      </c>
      <c r="B243">
        <f t="shared" ca="1" si="10"/>
        <v>1</v>
      </c>
      <c r="C2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3">
        <f t="shared" ca="1" si="11"/>
        <v>20</v>
      </c>
      <c r="E243" t="str">
        <f ca="1">IF(dict_zuord_Meth_Per[[#This Row],[kval_active]],dict_zuord_Meth_Per[[#This Row],[ID_Persons]],"")</f>
        <v/>
      </c>
    </row>
    <row r="244" spans="1:5" x14ac:dyDescent="0.45">
      <c r="A244">
        <f t="shared" ca="1" si="9"/>
        <v>142</v>
      </c>
      <c r="B244">
        <f t="shared" ca="1" si="10"/>
        <v>4</v>
      </c>
      <c r="C2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4">
        <f t="shared" ca="1" si="11"/>
        <v>22</v>
      </c>
      <c r="E244" t="str">
        <f ca="1">IF(dict_zuord_Meth_Per[[#This Row],[kval_active]],dict_zuord_Meth_Per[[#This Row],[ID_Persons]],"")</f>
        <v/>
      </c>
    </row>
    <row r="245" spans="1:5" x14ac:dyDescent="0.45">
      <c r="A245">
        <f t="shared" ca="1" si="9"/>
        <v>587</v>
      </c>
      <c r="B245">
        <f t="shared" ca="1" si="10"/>
        <v>19</v>
      </c>
      <c r="C2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5">
        <f t="shared" ca="1" si="11"/>
        <v>11</v>
      </c>
      <c r="E245" t="str">
        <f ca="1">IF(dict_zuord_Meth_Per[[#This Row],[kval_active]],dict_zuord_Meth_Per[[#This Row],[ID_Persons]],"")</f>
        <v/>
      </c>
    </row>
    <row r="246" spans="1:5" x14ac:dyDescent="0.45">
      <c r="A246">
        <f t="shared" ca="1" si="9"/>
        <v>176</v>
      </c>
      <c r="B246">
        <f t="shared" ca="1" si="10"/>
        <v>19</v>
      </c>
      <c r="C2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6">
        <f t="shared" ca="1" si="11"/>
        <v>2</v>
      </c>
      <c r="E246" t="str">
        <f ca="1">IF(dict_zuord_Meth_Per[[#This Row],[kval_active]],dict_zuord_Meth_Per[[#This Row],[ID_Persons]],"")</f>
        <v/>
      </c>
    </row>
    <row r="247" spans="1:5" x14ac:dyDescent="0.45">
      <c r="A247">
        <f t="shared" ca="1" si="9"/>
        <v>558</v>
      </c>
      <c r="B247">
        <f t="shared" ca="1" si="10"/>
        <v>11</v>
      </c>
      <c r="C2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7">
        <f t="shared" ca="1" si="11"/>
        <v>24</v>
      </c>
      <c r="E247" t="str">
        <f ca="1">IF(dict_zuord_Meth_Per[[#This Row],[kval_active]],dict_zuord_Meth_Per[[#This Row],[ID_Persons]],"")</f>
        <v/>
      </c>
    </row>
    <row r="248" spans="1:5" x14ac:dyDescent="0.45">
      <c r="A248">
        <f t="shared" ca="1" si="9"/>
        <v>472</v>
      </c>
      <c r="B248">
        <f t="shared" ca="1" si="10"/>
        <v>13</v>
      </c>
      <c r="C2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8">
        <f t="shared" ca="1" si="11"/>
        <v>16</v>
      </c>
      <c r="E248" t="str">
        <f ca="1">IF(dict_zuord_Meth_Per[[#This Row],[kval_active]],dict_zuord_Meth_Per[[#This Row],[ID_Persons]],"")</f>
        <v/>
      </c>
    </row>
    <row r="249" spans="1:5" x14ac:dyDescent="0.45">
      <c r="A249">
        <f t="shared" ca="1" si="9"/>
        <v>187</v>
      </c>
      <c r="B249">
        <f t="shared" ca="1" si="10"/>
        <v>2</v>
      </c>
      <c r="C2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49">
        <f t="shared" ca="1" si="11"/>
        <v>21</v>
      </c>
      <c r="E249" t="str">
        <f ca="1">IF(dict_zuord_Meth_Per[[#This Row],[kval_active]],dict_zuord_Meth_Per[[#This Row],[ID_Persons]],"")</f>
        <v/>
      </c>
    </row>
    <row r="250" spans="1:5" x14ac:dyDescent="0.45">
      <c r="A250">
        <f t="shared" ca="1" si="9"/>
        <v>50</v>
      </c>
      <c r="B250">
        <f t="shared" ca="1" si="10"/>
        <v>22</v>
      </c>
      <c r="C2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0">
        <f t="shared" ca="1" si="11"/>
        <v>3</v>
      </c>
      <c r="E250" t="str">
        <f ca="1">IF(dict_zuord_Meth_Per[[#This Row],[kval_active]],dict_zuord_Meth_Per[[#This Row],[ID_Persons]],"")</f>
        <v/>
      </c>
    </row>
    <row r="251" spans="1:5" x14ac:dyDescent="0.45">
      <c r="A251">
        <f t="shared" ca="1" si="9"/>
        <v>154</v>
      </c>
      <c r="B251">
        <f t="shared" ca="1" si="10"/>
        <v>19</v>
      </c>
      <c r="C2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1">
        <f t="shared" ca="1" si="11"/>
        <v>9</v>
      </c>
      <c r="E251" t="str">
        <f ca="1">IF(dict_zuord_Meth_Per[[#This Row],[kval_active]],dict_zuord_Meth_Per[[#This Row],[ID_Persons]],"")</f>
        <v/>
      </c>
    </row>
    <row r="252" spans="1:5" x14ac:dyDescent="0.45">
      <c r="A252">
        <f t="shared" ca="1" si="9"/>
        <v>503</v>
      </c>
      <c r="B252">
        <f t="shared" ca="1" si="10"/>
        <v>29</v>
      </c>
      <c r="C2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2">
        <f t="shared" ca="1" si="11"/>
        <v>1</v>
      </c>
      <c r="E252" t="str">
        <f ca="1">IF(dict_zuord_Meth_Per[[#This Row],[kval_active]],dict_zuord_Meth_Per[[#This Row],[ID_Persons]],"")</f>
        <v/>
      </c>
    </row>
    <row r="253" spans="1:5" x14ac:dyDescent="0.45">
      <c r="A253">
        <f t="shared" ca="1" si="9"/>
        <v>376</v>
      </c>
      <c r="B253">
        <f t="shared" ca="1" si="10"/>
        <v>3</v>
      </c>
      <c r="C2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3">
        <f t="shared" ca="1" si="11"/>
        <v>0</v>
      </c>
      <c r="E253" t="str">
        <f ca="1">IF(dict_zuord_Meth_Per[[#This Row],[kval_active]],dict_zuord_Meth_Per[[#This Row],[ID_Persons]],"")</f>
        <v/>
      </c>
    </row>
    <row r="254" spans="1:5" x14ac:dyDescent="0.45">
      <c r="A254">
        <f t="shared" ca="1" si="9"/>
        <v>547</v>
      </c>
      <c r="B254">
        <f t="shared" ca="1" si="10"/>
        <v>28</v>
      </c>
      <c r="C2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4">
        <f t="shared" ca="1" si="11"/>
        <v>29</v>
      </c>
      <c r="E254" t="str">
        <f ca="1">IF(dict_zuord_Meth_Per[[#This Row],[kval_active]],dict_zuord_Meth_Per[[#This Row],[ID_Persons]],"")</f>
        <v/>
      </c>
    </row>
    <row r="255" spans="1:5" x14ac:dyDescent="0.45">
      <c r="A255">
        <f t="shared" ca="1" si="9"/>
        <v>172</v>
      </c>
      <c r="B255">
        <f t="shared" ca="1" si="10"/>
        <v>18</v>
      </c>
      <c r="C2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5">
        <f t="shared" ca="1" si="11"/>
        <v>28</v>
      </c>
      <c r="E255" t="str">
        <f ca="1">IF(dict_zuord_Meth_Per[[#This Row],[kval_active]],dict_zuord_Meth_Per[[#This Row],[ID_Persons]],"")</f>
        <v/>
      </c>
    </row>
    <row r="256" spans="1:5" x14ac:dyDescent="0.45">
      <c r="A256">
        <f t="shared" ca="1" si="9"/>
        <v>496</v>
      </c>
      <c r="B256">
        <f t="shared" ca="1" si="10"/>
        <v>1</v>
      </c>
      <c r="C2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6">
        <f t="shared" ca="1" si="11"/>
        <v>9</v>
      </c>
      <c r="E256" t="str">
        <f ca="1">IF(dict_zuord_Meth_Per[[#This Row],[kval_active]],dict_zuord_Meth_Per[[#This Row],[ID_Persons]],"")</f>
        <v/>
      </c>
    </row>
    <row r="257" spans="1:5" x14ac:dyDescent="0.45">
      <c r="A257">
        <f t="shared" ca="1" si="9"/>
        <v>296</v>
      </c>
      <c r="B257">
        <f t="shared" ca="1" si="10"/>
        <v>9</v>
      </c>
      <c r="C2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7">
        <f t="shared" ca="1" si="11"/>
        <v>29</v>
      </c>
      <c r="E257" t="str">
        <f ca="1">IF(dict_zuord_Meth_Per[[#This Row],[kval_active]],dict_zuord_Meth_Per[[#This Row],[ID_Persons]],"")</f>
        <v/>
      </c>
    </row>
    <row r="258" spans="1:5" x14ac:dyDescent="0.45">
      <c r="A258">
        <f t="shared" ref="A258:A321" ca="1" si="12">RANDBETWEEN(0,700)</f>
        <v>548</v>
      </c>
      <c r="B258">
        <f t="shared" ref="B258:B321" ca="1" si="13">RANDBETWEEN(0,30)</f>
        <v>12</v>
      </c>
      <c r="C2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8">
        <f t="shared" ref="D258:D321" ca="1" si="14">RANDBETWEEN(0,30)</f>
        <v>18</v>
      </c>
      <c r="E258" t="str">
        <f ca="1">IF(dict_zuord_Meth_Per[[#This Row],[kval_active]],dict_zuord_Meth_Per[[#This Row],[ID_Persons]],"")</f>
        <v/>
      </c>
    </row>
    <row r="259" spans="1:5" x14ac:dyDescent="0.45">
      <c r="A259">
        <f t="shared" ca="1" si="12"/>
        <v>560</v>
      </c>
      <c r="B259">
        <f t="shared" ca="1" si="13"/>
        <v>2</v>
      </c>
      <c r="C2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59">
        <f t="shared" ca="1" si="14"/>
        <v>29</v>
      </c>
      <c r="E259" t="str">
        <f ca="1">IF(dict_zuord_Meth_Per[[#This Row],[kval_active]],dict_zuord_Meth_Per[[#This Row],[ID_Persons]],"")</f>
        <v/>
      </c>
    </row>
    <row r="260" spans="1:5" x14ac:dyDescent="0.45">
      <c r="A260">
        <f t="shared" ca="1" si="12"/>
        <v>370</v>
      </c>
      <c r="B260">
        <f t="shared" ca="1" si="13"/>
        <v>13</v>
      </c>
      <c r="C2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0">
        <f t="shared" ca="1" si="14"/>
        <v>2</v>
      </c>
      <c r="E260" t="str">
        <f ca="1">IF(dict_zuord_Meth_Per[[#This Row],[kval_active]],dict_zuord_Meth_Per[[#This Row],[ID_Persons]],"")</f>
        <v/>
      </c>
    </row>
    <row r="261" spans="1:5" x14ac:dyDescent="0.45">
      <c r="A261">
        <f t="shared" ca="1" si="12"/>
        <v>583</v>
      </c>
      <c r="B261">
        <f t="shared" ca="1" si="13"/>
        <v>26</v>
      </c>
      <c r="C2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1">
        <f t="shared" ca="1" si="14"/>
        <v>19</v>
      </c>
      <c r="E261" t="str">
        <f ca="1">IF(dict_zuord_Meth_Per[[#This Row],[kval_active]],dict_zuord_Meth_Per[[#This Row],[ID_Persons]],"")</f>
        <v/>
      </c>
    </row>
    <row r="262" spans="1:5" x14ac:dyDescent="0.45">
      <c r="A262">
        <f t="shared" ca="1" si="12"/>
        <v>616</v>
      </c>
      <c r="B262">
        <f t="shared" ca="1" si="13"/>
        <v>19</v>
      </c>
      <c r="C2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2">
        <f t="shared" ca="1" si="14"/>
        <v>23</v>
      </c>
      <c r="E262" t="str">
        <f ca="1">IF(dict_zuord_Meth_Per[[#This Row],[kval_active]],dict_zuord_Meth_Per[[#This Row],[ID_Persons]],"")</f>
        <v/>
      </c>
    </row>
    <row r="263" spans="1:5" x14ac:dyDescent="0.45">
      <c r="A263">
        <f t="shared" ca="1" si="12"/>
        <v>313</v>
      </c>
      <c r="B263">
        <f t="shared" ca="1" si="13"/>
        <v>28</v>
      </c>
      <c r="C2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3">
        <f t="shared" ca="1" si="14"/>
        <v>25</v>
      </c>
      <c r="E263" t="str">
        <f ca="1">IF(dict_zuord_Meth_Per[[#This Row],[kval_active]],dict_zuord_Meth_Per[[#This Row],[ID_Persons]],"")</f>
        <v/>
      </c>
    </row>
    <row r="264" spans="1:5" x14ac:dyDescent="0.45">
      <c r="A264">
        <f t="shared" ca="1" si="12"/>
        <v>294</v>
      </c>
      <c r="B264">
        <f t="shared" ca="1" si="13"/>
        <v>0</v>
      </c>
      <c r="C2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4">
        <f t="shared" ca="1" si="14"/>
        <v>7</v>
      </c>
      <c r="E264" t="str">
        <f ca="1">IF(dict_zuord_Meth_Per[[#This Row],[kval_active]],dict_zuord_Meth_Per[[#This Row],[ID_Persons]],"")</f>
        <v/>
      </c>
    </row>
    <row r="265" spans="1:5" x14ac:dyDescent="0.45">
      <c r="A265">
        <f t="shared" ca="1" si="12"/>
        <v>149</v>
      </c>
      <c r="B265">
        <f t="shared" ca="1" si="13"/>
        <v>24</v>
      </c>
      <c r="C2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5">
        <f t="shared" ca="1" si="14"/>
        <v>29</v>
      </c>
      <c r="E265" t="str">
        <f ca="1">IF(dict_zuord_Meth_Per[[#This Row],[kval_active]],dict_zuord_Meth_Per[[#This Row],[ID_Persons]],"")</f>
        <v/>
      </c>
    </row>
    <row r="266" spans="1:5" x14ac:dyDescent="0.45">
      <c r="A266">
        <f t="shared" ca="1" si="12"/>
        <v>72</v>
      </c>
      <c r="B266">
        <f t="shared" ca="1" si="13"/>
        <v>1</v>
      </c>
      <c r="C2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6">
        <f t="shared" ca="1" si="14"/>
        <v>7</v>
      </c>
      <c r="E266" t="str">
        <f ca="1">IF(dict_zuord_Meth_Per[[#This Row],[kval_active]],dict_zuord_Meth_Per[[#This Row],[ID_Persons]],"")</f>
        <v/>
      </c>
    </row>
    <row r="267" spans="1:5" x14ac:dyDescent="0.45">
      <c r="A267">
        <f t="shared" ca="1" si="12"/>
        <v>77</v>
      </c>
      <c r="B267">
        <f t="shared" ca="1" si="13"/>
        <v>5</v>
      </c>
      <c r="C2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267">
        <f t="shared" ca="1" si="14"/>
        <v>20</v>
      </c>
      <c r="E267">
        <f ca="1">IF(dict_zuord_Meth_Per[[#This Row],[kval_active]],dict_zuord_Meth_Per[[#This Row],[ID_Persons]],"")</f>
        <v>5</v>
      </c>
    </row>
    <row r="268" spans="1:5" x14ac:dyDescent="0.45">
      <c r="A268">
        <f t="shared" ca="1" si="12"/>
        <v>194</v>
      </c>
      <c r="B268">
        <f t="shared" ca="1" si="13"/>
        <v>28</v>
      </c>
      <c r="C2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8">
        <f t="shared" ca="1" si="14"/>
        <v>0</v>
      </c>
      <c r="E268" t="str">
        <f ca="1">IF(dict_zuord_Meth_Per[[#This Row],[kval_active]],dict_zuord_Meth_Per[[#This Row],[ID_Persons]],"")</f>
        <v/>
      </c>
    </row>
    <row r="269" spans="1:5" x14ac:dyDescent="0.45">
      <c r="A269">
        <f t="shared" ca="1" si="12"/>
        <v>672</v>
      </c>
      <c r="B269">
        <f t="shared" ca="1" si="13"/>
        <v>13</v>
      </c>
      <c r="C2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69">
        <f t="shared" ca="1" si="14"/>
        <v>22</v>
      </c>
      <c r="E269" t="str">
        <f ca="1">IF(dict_zuord_Meth_Per[[#This Row],[kval_active]],dict_zuord_Meth_Per[[#This Row],[ID_Persons]],"")</f>
        <v/>
      </c>
    </row>
    <row r="270" spans="1:5" x14ac:dyDescent="0.45">
      <c r="A270">
        <f t="shared" ca="1" si="12"/>
        <v>670</v>
      </c>
      <c r="B270">
        <f t="shared" ca="1" si="13"/>
        <v>19</v>
      </c>
      <c r="C2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0">
        <f t="shared" ca="1" si="14"/>
        <v>12</v>
      </c>
      <c r="E270" t="str">
        <f ca="1">IF(dict_zuord_Meth_Per[[#This Row],[kval_active]],dict_zuord_Meth_Per[[#This Row],[ID_Persons]],"")</f>
        <v/>
      </c>
    </row>
    <row r="271" spans="1:5" x14ac:dyDescent="0.45">
      <c r="A271">
        <f t="shared" ca="1" si="12"/>
        <v>152</v>
      </c>
      <c r="B271">
        <f t="shared" ca="1" si="13"/>
        <v>8</v>
      </c>
      <c r="C2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1">
        <f t="shared" ca="1" si="14"/>
        <v>9</v>
      </c>
      <c r="E271" t="str">
        <f ca="1">IF(dict_zuord_Meth_Per[[#This Row],[kval_active]],dict_zuord_Meth_Per[[#This Row],[ID_Persons]],"")</f>
        <v/>
      </c>
    </row>
    <row r="272" spans="1:5" x14ac:dyDescent="0.45">
      <c r="A272">
        <f t="shared" ca="1" si="12"/>
        <v>228</v>
      </c>
      <c r="B272">
        <f t="shared" ca="1" si="13"/>
        <v>27</v>
      </c>
      <c r="C2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2">
        <f t="shared" ca="1" si="14"/>
        <v>3</v>
      </c>
      <c r="E272" t="str">
        <f ca="1">IF(dict_zuord_Meth_Per[[#This Row],[kval_active]],dict_zuord_Meth_Per[[#This Row],[ID_Persons]],"")</f>
        <v/>
      </c>
    </row>
    <row r="273" spans="1:5" x14ac:dyDescent="0.45">
      <c r="A273">
        <f t="shared" ca="1" si="12"/>
        <v>69</v>
      </c>
      <c r="B273">
        <f t="shared" ca="1" si="13"/>
        <v>10</v>
      </c>
      <c r="C2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3">
        <f t="shared" ca="1" si="14"/>
        <v>1</v>
      </c>
      <c r="E273" t="str">
        <f ca="1">IF(dict_zuord_Meth_Per[[#This Row],[kval_active]],dict_zuord_Meth_Per[[#This Row],[ID_Persons]],"")</f>
        <v/>
      </c>
    </row>
    <row r="274" spans="1:5" x14ac:dyDescent="0.45">
      <c r="A274">
        <f t="shared" ca="1" si="12"/>
        <v>229</v>
      </c>
      <c r="B274">
        <f t="shared" ca="1" si="13"/>
        <v>7</v>
      </c>
      <c r="C2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4">
        <f t="shared" ca="1" si="14"/>
        <v>13</v>
      </c>
      <c r="E274" t="str">
        <f ca="1">IF(dict_zuord_Meth_Per[[#This Row],[kval_active]],dict_zuord_Meth_Per[[#This Row],[ID_Persons]],"")</f>
        <v/>
      </c>
    </row>
    <row r="275" spans="1:5" x14ac:dyDescent="0.45">
      <c r="A275">
        <f t="shared" ca="1" si="12"/>
        <v>520</v>
      </c>
      <c r="B275">
        <f t="shared" ca="1" si="13"/>
        <v>28</v>
      </c>
      <c r="C2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5">
        <f t="shared" ca="1" si="14"/>
        <v>0</v>
      </c>
      <c r="E275" t="str">
        <f ca="1">IF(dict_zuord_Meth_Per[[#This Row],[kval_active]],dict_zuord_Meth_Per[[#This Row],[ID_Persons]],"")</f>
        <v/>
      </c>
    </row>
    <row r="276" spans="1:5" x14ac:dyDescent="0.45">
      <c r="A276">
        <f t="shared" ca="1" si="12"/>
        <v>209</v>
      </c>
      <c r="B276">
        <f t="shared" ca="1" si="13"/>
        <v>28</v>
      </c>
      <c r="C2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6">
        <f t="shared" ca="1" si="14"/>
        <v>1</v>
      </c>
      <c r="E276" t="str">
        <f ca="1">IF(dict_zuord_Meth_Per[[#This Row],[kval_active]],dict_zuord_Meth_Per[[#This Row],[ID_Persons]],"")</f>
        <v/>
      </c>
    </row>
    <row r="277" spans="1:5" x14ac:dyDescent="0.45">
      <c r="A277">
        <f t="shared" ca="1" si="12"/>
        <v>259</v>
      </c>
      <c r="B277">
        <f t="shared" ca="1" si="13"/>
        <v>2</v>
      </c>
      <c r="C2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7">
        <f t="shared" ca="1" si="14"/>
        <v>1</v>
      </c>
      <c r="E277" t="str">
        <f ca="1">IF(dict_zuord_Meth_Per[[#This Row],[kval_active]],dict_zuord_Meth_Per[[#This Row],[ID_Persons]],"")</f>
        <v/>
      </c>
    </row>
    <row r="278" spans="1:5" x14ac:dyDescent="0.45">
      <c r="A278">
        <f t="shared" ca="1" si="12"/>
        <v>607</v>
      </c>
      <c r="B278">
        <f t="shared" ca="1" si="13"/>
        <v>14</v>
      </c>
      <c r="C2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8">
        <f t="shared" ca="1" si="14"/>
        <v>23</v>
      </c>
      <c r="E278" t="str">
        <f ca="1">IF(dict_zuord_Meth_Per[[#This Row],[kval_active]],dict_zuord_Meth_Per[[#This Row],[ID_Persons]],"")</f>
        <v/>
      </c>
    </row>
    <row r="279" spans="1:5" x14ac:dyDescent="0.45">
      <c r="A279">
        <f t="shared" ca="1" si="12"/>
        <v>571</v>
      </c>
      <c r="B279">
        <f t="shared" ca="1" si="13"/>
        <v>3</v>
      </c>
      <c r="C2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79">
        <f t="shared" ca="1" si="14"/>
        <v>21</v>
      </c>
      <c r="E279" t="str">
        <f ca="1">IF(dict_zuord_Meth_Per[[#This Row],[kval_active]],dict_zuord_Meth_Per[[#This Row],[ID_Persons]],"")</f>
        <v/>
      </c>
    </row>
    <row r="280" spans="1:5" x14ac:dyDescent="0.45">
      <c r="A280">
        <f t="shared" ca="1" si="12"/>
        <v>71</v>
      </c>
      <c r="B280">
        <f t="shared" ca="1" si="13"/>
        <v>28</v>
      </c>
      <c r="C2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0">
        <f t="shared" ca="1" si="14"/>
        <v>24</v>
      </c>
      <c r="E280" t="str">
        <f ca="1">IF(dict_zuord_Meth_Per[[#This Row],[kval_active]],dict_zuord_Meth_Per[[#This Row],[ID_Persons]],"")</f>
        <v/>
      </c>
    </row>
    <row r="281" spans="1:5" x14ac:dyDescent="0.45">
      <c r="A281">
        <f t="shared" ca="1" si="12"/>
        <v>6</v>
      </c>
      <c r="B281">
        <f t="shared" ca="1" si="13"/>
        <v>30</v>
      </c>
      <c r="C2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1">
        <f t="shared" ca="1" si="14"/>
        <v>4</v>
      </c>
      <c r="E281" t="str">
        <f ca="1">IF(dict_zuord_Meth_Per[[#This Row],[kval_active]],dict_zuord_Meth_Per[[#This Row],[ID_Persons]],"")</f>
        <v/>
      </c>
    </row>
    <row r="282" spans="1:5" x14ac:dyDescent="0.45">
      <c r="A282">
        <f t="shared" ca="1" si="12"/>
        <v>659</v>
      </c>
      <c r="B282">
        <f t="shared" ca="1" si="13"/>
        <v>21</v>
      </c>
      <c r="C2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2">
        <f t="shared" ca="1" si="14"/>
        <v>22</v>
      </c>
      <c r="E282" t="str">
        <f ca="1">IF(dict_zuord_Meth_Per[[#This Row],[kval_active]],dict_zuord_Meth_Per[[#This Row],[ID_Persons]],"")</f>
        <v/>
      </c>
    </row>
    <row r="283" spans="1:5" x14ac:dyDescent="0.45">
      <c r="A283">
        <f t="shared" ca="1" si="12"/>
        <v>446</v>
      </c>
      <c r="B283">
        <f t="shared" ca="1" si="13"/>
        <v>21</v>
      </c>
      <c r="C2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3">
        <f t="shared" ca="1" si="14"/>
        <v>11</v>
      </c>
      <c r="E283" t="str">
        <f ca="1">IF(dict_zuord_Meth_Per[[#This Row],[kval_active]],dict_zuord_Meth_Per[[#This Row],[ID_Persons]],"")</f>
        <v/>
      </c>
    </row>
    <row r="284" spans="1:5" x14ac:dyDescent="0.45">
      <c r="A284">
        <f t="shared" ca="1" si="12"/>
        <v>289</v>
      </c>
      <c r="B284">
        <f t="shared" ca="1" si="13"/>
        <v>10</v>
      </c>
      <c r="C2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4">
        <f t="shared" ca="1" si="14"/>
        <v>29</v>
      </c>
      <c r="E284" t="str">
        <f ca="1">IF(dict_zuord_Meth_Per[[#This Row],[kval_active]],dict_zuord_Meth_Per[[#This Row],[ID_Persons]],"")</f>
        <v/>
      </c>
    </row>
    <row r="285" spans="1:5" x14ac:dyDescent="0.45">
      <c r="A285">
        <f t="shared" ca="1" si="12"/>
        <v>328</v>
      </c>
      <c r="B285">
        <f t="shared" ca="1" si="13"/>
        <v>8</v>
      </c>
      <c r="C2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5">
        <f t="shared" ca="1" si="14"/>
        <v>21</v>
      </c>
      <c r="E285" t="str">
        <f ca="1">IF(dict_zuord_Meth_Per[[#This Row],[kval_active]],dict_zuord_Meth_Per[[#This Row],[ID_Persons]],"")</f>
        <v/>
      </c>
    </row>
    <row r="286" spans="1:5" x14ac:dyDescent="0.45">
      <c r="A286">
        <f t="shared" ca="1" si="12"/>
        <v>233</v>
      </c>
      <c r="B286">
        <f t="shared" ca="1" si="13"/>
        <v>15</v>
      </c>
      <c r="C2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6">
        <f t="shared" ca="1" si="14"/>
        <v>1</v>
      </c>
      <c r="E286" t="str">
        <f ca="1">IF(dict_zuord_Meth_Per[[#This Row],[kval_active]],dict_zuord_Meth_Per[[#This Row],[ID_Persons]],"")</f>
        <v/>
      </c>
    </row>
    <row r="287" spans="1:5" x14ac:dyDescent="0.45">
      <c r="A287">
        <f t="shared" ca="1" si="12"/>
        <v>255</v>
      </c>
      <c r="B287">
        <f t="shared" ca="1" si="13"/>
        <v>27</v>
      </c>
      <c r="C2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7">
        <f t="shared" ca="1" si="14"/>
        <v>27</v>
      </c>
      <c r="E287" t="str">
        <f ca="1">IF(dict_zuord_Meth_Per[[#This Row],[kval_active]],dict_zuord_Meth_Per[[#This Row],[ID_Persons]],"")</f>
        <v/>
      </c>
    </row>
    <row r="288" spans="1:5" x14ac:dyDescent="0.45">
      <c r="A288">
        <f t="shared" ca="1" si="12"/>
        <v>361</v>
      </c>
      <c r="B288">
        <f t="shared" ca="1" si="13"/>
        <v>10</v>
      </c>
      <c r="C2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8">
        <f t="shared" ca="1" si="14"/>
        <v>25</v>
      </c>
      <c r="E288" t="str">
        <f ca="1">IF(dict_zuord_Meth_Per[[#This Row],[kval_active]],dict_zuord_Meth_Per[[#This Row],[ID_Persons]],"")</f>
        <v/>
      </c>
    </row>
    <row r="289" spans="1:5" x14ac:dyDescent="0.45">
      <c r="A289">
        <f t="shared" ca="1" si="12"/>
        <v>449</v>
      </c>
      <c r="B289">
        <f t="shared" ca="1" si="13"/>
        <v>22</v>
      </c>
      <c r="C2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89">
        <f t="shared" ca="1" si="14"/>
        <v>18</v>
      </c>
      <c r="E289" t="str">
        <f ca="1">IF(dict_zuord_Meth_Per[[#This Row],[kval_active]],dict_zuord_Meth_Per[[#This Row],[ID_Persons]],"")</f>
        <v/>
      </c>
    </row>
    <row r="290" spans="1:5" x14ac:dyDescent="0.45">
      <c r="A290">
        <f t="shared" ca="1" si="12"/>
        <v>129</v>
      </c>
      <c r="B290">
        <f t="shared" ca="1" si="13"/>
        <v>30</v>
      </c>
      <c r="C2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0">
        <f t="shared" ca="1" si="14"/>
        <v>2</v>
      </c>
      <c r="E290" t="str">
        <f ca="1">IF(dict_zuord_Meth_Per[[#This Row],[kval_active]],dict_zuord_Meth_Per[[#This Row],[ID_Persons]],"")</f>
        <v/>
      </c>
    </row>
    <row r="291" spans="1:5" x14ac:dyDescent="0.45">
      <c r="A291">
        <f t="shared" ca="1" si="12"/>
        <v>259</v>
      </c>
      <c r="B291">
        <f t="shared" ca="1" si="13"/>
        <v>30</v>
      </c>
      <c r="C2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1">
        <f t="shared" ca="1" si="14"/>
        <v>15</v>
      </c>
      <c r="E291" t="str">
        <f ca="1">IF(dict_zuord_Meth_Per[[#This Row],[kval_active]],dict_zuord_Meth_Per[[#This Row],[ID_Persons]],"")</f>
        <v/>
      </c>
    </row>
    <row r="292" spans="1:5" x14ac:dyDescent="0.45">
      <c r="A292">
        <f t="shared" ca="1" si="12"/>
        <v>85</v>
      </c>
      <c r="B292">
        <f t="shared" ca="1" si="13"/>
        <v>17</v>
      </c>
      <c r="C2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2">
        <f t="shared" ca="1" si="14"/>
        <v>14</v>
      </c>
      <c r="E292" t="str">
        <f ca="1">IF(dict_zuord_Meth_Per[[#This Row],[kval_active]],dict_zuord_Meth_Per[[#This Row],[ID_Persons]],"")</f>
        <v/>
      </c>
    </row>
    <row r="293" spans="1:5" x14ac:dyDescent="0.45">
      <c r="A293">
        <f t="shared" ca="1" si="12"/>
        <v>127</v>
      </c>
      <c r="B293">
        <f t="shared" ca="1" si="13"/>
        <v>10</v>
      </c>
      <c r="C2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3">
        <f t="shared" ca="1" si="14"/>
        <v>30</v>
      </c>
      <c r="E293" t="str">
        <f ca="1">IF(dict_zuord_Meth_Per[[#This Row],[kval_active]],dict_zuord_Meth_Per[[#This Row],[ID_Persons]],"")</f>
        <v/>
      </c>
    </row>
    <row r="294" spans="1:5" x14ac:dyDescent="0.45">
      <c r="A294">
        <f t="shared" ca="1" si="12"/>
        <v>464</v>
      </c>
      <c r="B294">
        <f t="shared" ca="1" si="13"/>
        <v>25</v>
      </c>
      <c r="C2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4">
        <f t="shared" ca="1" si="14"/>
        <v>16</v>
      </c>
      <c r="E294" t="str">
        <f ca="1">IF(dict_zuord_Meth_Per[[#This Row],[kval_active]],dict_zuord_Meth_Per[[#This Row],[ID_Persons]],"")</f>
        <v/>
      </c>
    </row>
    <row r="295" spans="1:5" x14ac:dyDescent="0.45">
      <c r="A295">
        <f t="shared" ca="1" si="12"/>
        <v>273</v>
      </c>
      <c r="B295">
        <f t="shared" ca="1" si="13"/>
        <v>18</v>
      </c>
      <c r="C2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5">
        <f t="shared" ca="1" si="14"/>
        <v>3</v>
      </c>
      <c r="E295" t="str">
        <f ca="1">IF(dict_zuord_Meth_Per[[#This Row],[kval_active]],dict_zuord_Meth_Per[[#This Row],[ID_Persons]],"")</f>
        <v/>
      </c>
    </row>
    <row r="296" spans="1:5" x14ac:dyDescent="0.45">
      <c r="A296">
        <f t="shared" ca="1" si="12"/>
        <v>685</v>
      </c>
      <c r="B296">
        <f t="shared" ca="1" si="13"/>
        <v>28</v>
      </c>
      <c r="C2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6">
        <f t="shared" ca="1" si="14"/>
        <v>27</v>
      </c>
      <c r="E296" t="str">
        <f ca="1">IF(dict_zuord_Meth_Per[[#This Row],[kval_active]],dict_zuord_Meth_Per[[#This Row],[ID_Persons]],"")</f>
        <v/>
      </c>
    </row>
    <row r="297" spans="1:5" x14ac:dyDescent="0.45">
      <c r="A297">
        <f t="shared" ca="1" si="12"/>
        <v>299</v>
      </c>
      <c r="B297">
        <f t="shared" ca="1" si="13"/>
        <v>8</v>
      </c>
      <c r="C2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7">
        <f t="shared" ca="1" si="14"/>
        <v>22</v>
      </c>
      <c r="E297" t="str">
        <f ca="1">IF(dict_zuord_Meth_Per[[#This Row],[kval_active]],dict_zuord_Meth_Per[[#This Row],[ID_Persons]],"")</f>
        <v/>
      </c>
    </row>
    <row r="298" spans="1:5" x14ac:dyDescent="0.45">
      <c r="A298">
        <f t="shared" ca="1" si="12"/>
        <v>624</v>
      </c>
      <c r="B298">
        <f t="shared" ca="1" si="13"/>
        <v>30</v>
      </c>
      <c r="C2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8">
        <f t="shared" ca="1" si="14"/>
        <v>17</v>
      </c>
      <c r="E298" t="str">
        <f ca="1">IF(dict_zuord_Meth_Per[[#This Row],[kval_active]],dict_zuord_Meth_Per[[#This Row],[ID_Persons]],"")</f>
        <v/>
      </c>
    </row>
    <row r="299" spans="1:5" x14ac:dyDescent="0.45">
      <c r="A299">
        <f t="shared" ca="1" si="12"/>
        <v>279</v>
      </c>
      <c r="B299">
        <f t="shared" ca="1" si="13"/>
        <v>15</v>
      </c>
      <c r="C2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299">
        <f t="shared" ca="1" si="14"/>
        <v>19</v>
      </c>
      <c r="E299" t="str">
        <f ca="1">IF(dict_zuord_Meth_Per[[#This Row],[kval_active]],dict_zuord_Meth_Per[[#This Row],[ID_Persons]],"")</f>
        <v/>
      </c>
    </row>
    <row r="300" spans="1:5" x14ac:dyDescent="0.45">
      <c r="A300">
        <f t="shared" ca="1" si="12"/>
        <v>50</v>
      </c>
      <c r="B300">
        <f t="shared" ca="1" si="13"/>
        <v>9</v>
      </c>
      <c r="C3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0">
        <f t="shared" ca="1" si="14"/>
        <v>0</v>
      </c>
      <c r="E300" t="str">
        <f ca="1">IF(dict_zuord_Meth_Per[[#This Row],[kval_active]],dict_zuord_Meth_Per[[#This Row],[ID_Persons]],"")</f>
        <v/>
      </c>
    </row>
    <row r="301" spans="1:5" x14ac:dyDescent="0.45">
      <c r="A301">
        <f t="shared" ca="1" si="12"/>
        <v>272</v>
      </c>
      <c r="B301">
        <f t="shared" ca="1" si="13"/>
        <v>16</v>
      </c>
      <c r="C3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01">
        <f t="shared" ca="1" si="14"/>
        <v>27</v>
      </c>
      <c r="E301">
        <f ca="1">IF(dict_zuord_Meth_Per[[#This Row],[kval_active]],dict_zuord_Meth_Per[[#This Row],[ID_Persons]],"")</f>
        <v>16</v>
      </c>
    </row>
    <row r="302" spans="1:5" x14ac:dyDescent="0.45">
      <c r="A302">
        <f t="shared" ca="1" si="12"/>
        <v>313</v>
      </c>
      <c r="B302">
        <f t="shared" ca="1" si="13"/>
        <v>18</v>
      </c>
      <c r="C3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2">
        <f t="shared" ca="1" si="14"/>
        <v>13</v>
      </c>
      <c r="E302" t="str">
        <f ca="1">IF(dict_zuord_Meth_Per[[#This Row],[kval_active]],dict_zuord_Meth_Per[[#This Row],[ID_Persons]],"")</f>
        <v/>
      </c>
    </row>
    <row r="303" spans="1:5" x14ac:dyDescent="0.45">
      <c r="A303">
        <f t="shared" ca="1" si="12"/>
        <v>298</v>
      </c>
      <c r="B303">
        <f t="shared" ca="1" si="13"/>
        <v>18</v>
      </c>
      <c r="C3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3">
        <f t="shared" ca="1" si="14"/>
        <v>14</v>
      </c>
      <c r="E303" t="str">
        <f ca="1">IF(dict_zuord_Meth_Per[[#This Row],[kval_active]],dict_zuord_Meth_Per[[#This Row],[ID_Persons]],"")</f>
        <v/>
      </c>
    </row>
    <row r="304" spans="1:5" x14ac:dyDescent="0.45">
      <c r="A304">
        <f t="shared" ca="1" si="12"/>
        <v>375</v>
      </c>
      <c r="B304">
        <f t="shared" ca="1" si="13"/>
        <v>14</v>
      </c>
      <c r="C3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4">
        <f t="shared" ca="1" si="14"/>
        <v>16</v>
      </c>
      <c r="E304" t="str">
        <f ca="1">IF(dict_zuord_Meth_Per[[#This Row],[kval_active]],dict_zuord_Meth_Per[[#This Row],[ID_Persons]],"")</f>
        <v/>
      </c>
    </row>
    <row r="305" spans="1:5" x14ac:dyDescent="0.45">
      <c r="A305">
        <f t="shared" ca="1" si="12"/>
        <v>632</v>
      </c>
      <c r="B305">
        <f t="shared" ca="1" si="13"/>
        <v>26</v>
      </c>
      <c r="C3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5">
        <f t="shared" ca="1" si="14"/>
        <v>7</v>
      </c>
      <c r="E305" t="str">
        <f ca="1">IF(dict_zuord_Meth_Per[[#This Row],[kval_active]],dict_zuord_Meth_Per[[#This Row],[ID_Persons]],"")</f>
        <v/>
      </c>
    </row>
    <row r="306" spans="1:5" x14ac:dyDescent="0.45">
      <c r="A306">
        <f t="shared" ca="1" si="12"/>
        <v>692</v>
      </c>
      <c r="B306">
        <f t="shared" ca="1" si="13"/>
        <v>26</v>
      </c>
      <c r="C3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6">
        <f t="shared" ca="1" si="14"/>
        <v>1</v>
      </c>
      <c r="E306" t="str">
        <f ca="1">IF(dict_zuord_Meth_Per[[#This Row],[kval_active]],dict_zuord_Meth_Per[[#This Row],[ID_Persons]],"")</f>
        <v/>
      </c>
    </row>
    <row r="307" spans="1:5" x14ac:dyDescent="0.45">
      <c r="A307">
        <f t="shared" ca="1" si="12"/>
        <v>467</v>
      </c>
      <c r="B307">
        <f t="shared" ca="1" si="13"/>
        <v>18</v>
      </c>
      <c r="C3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7">
        <f t="shared" ca="1" si="14"/>
        <v>22</v>
      </c>
      <c r="E307" t="str">
        <f ca="1">IF(dict_zuord_Meth_Per[[#This Row],[kval_active]],dict_zuord_Meth_Per[[#This Row],[ID_Persons]],"")</f>
        <v/>
      </c>
    </row>
    <row r="308" spans="1:5" x14ac:dyDescent="0.45">
      <c r="A308">
        <f t="shared" ca="1" si="12"/>
        <v>131</v>
      </c>
      <c r="B308">
        <f t="shared" ca="1" si="13"/>
        <v>22</v>
      </c>
      <c r="C3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8">
        <f t="shared" ca="1" si="14"/>
        <v>0</v>
      </c>
      <c r="E308" t="str">
        <f ca="1">IF(dict_zuord_Meth_Per[[#This Row],[kval_active]],dict_zuord_Meth_Per[[#This Row],[ID_Persons]],"")</f>
        <v/>
      </c>
    </row>
    <row r="309" spans="1:5" x14ac:dyDescent="0.45">
      <c r="A309">
        <f t="shared" ca="1" si="12"/>
        <v>696</v>
      </c>
      <c r="B309">
        <f t="shared" ca="1" si="13"/>
        <v>30</v>
      </c>
      <c r="C3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09">
        <f t="shared" ca="1" si="14"/>
        <v>29</v>
      </c>
      <c r="E309" t="str">
        <f ca="1">IF(dict_zuord_Meth_Per[[#This Row],[kval_active]],dict_zuord_Meth_Per[[#This Row],[ID_Persons]],"")</f>
        <v/>
      </c>
    </row>
    <row r="310" spans="1:5" x14ac:dyDescent="0.45">
      <c r="A310">
        <f t="shared" ca="1" si="12"/>
        <v>610</v>
      </c>
      <c r="B310">
        <f t="shared" ca="1" si="13"/>
        <v>0</v>
      </c>
      <c r="C3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0">
        <f t="shared" ca="1" si="14"/>
        <v>30</v>
      </c>
      <c r="E310" t="str">
        <f ca="1">IF(dict_zuord_Meth_Per[[#This Row],[kval_active]],dict_zuord_Meth_Per[[#This Row],[ID_Persons]],"")</f>
        <v/>
      </c>
    </row>
    <row r="311" spans="1:5" x14ac:dyDescent="0.45">
      <c r="A311">
        <f t="shared" ca="1" si="12"/>
        <v>644</v>
      </c>
      <c r="B311">
        <f t="shared" ca="1" si="13"/>
        <v>12</v>
      </c>
      <c r="C3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1">
        <f t="shared" ca="1" si="14"/>
        <v>13</v>
      </c>
      <c r="E311" t="str">
        <f ca="1">IF(dict_zuord_Meth_Per[[#This Row],[kval_active]],dict_zuord_Meth_Per[[#This Row],[ID_Persons]],"")</f>
        <v/>
      </c>
    </row>
    <row r="312" spans="1:5" x14ac:dyDescent="0.45">
      <c r="A312">
        <f t="shared" ca="1" si="12"/>
        <v>372</v>
      </c>
      <c r="B312">
        <f t="shared" ca="1" si="13"/>
        <v>9</v>
      </c>
      <c r="C3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2">
        <f t="shared" ca="1" si="14"/>
        <v>24</v>
      </c>
      <c r="E312" t="str">
        <f ca="1">IF(dict_zuord_Meth_Per[[#This Row],[kval_active]],dict_zuord_Meth_Per[[#This Row],[ID_Persons]],"")</f>
        <v/>
      </c>
    </row>
    <row r="313" spans="1:5" x14ac:dyDescent="0.45">
      <c r="A313">
        <f t="shared" ca="1" si="12"/>
        <v>604</v>
      </c>
      <c r="B313">
        <f t="shared" ca="1" si="13"/>
        <v>28</v>
      </c>
      <c r="C3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3">
        <f t="shared" ca="1" si="14"/>
        <v>28</v>
      </c>
      <c r="E313" t="str">
        <f ca="1">IF(dict_zuord_Meth_Per[[#This Row],[kval_active]],dict_zuord_Meth_Per[[#This Row],[ID_Persons]],"")</f>
        <v/>
      </c>
    </row>
    <row r="314" spans="1:5" x14ac:dyDescent="0.45">
      <c r="A314">
        <f t="shared" ca="1" si="12"/>
        <v>431</v>
      </c>
      <c r="B314">
        <f t="shared" ca="1" si="13"/>
        <v>3</v>
      </c>
      <c r="C3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4">
        <f t="shared" ca="1" si="14"/>
        <v>30</v>
      </c>
      <c r="E314" t="str">
        <f ca="1">IF(dict_zuord_Meth_Per[[#This Row],[kval_active]],dict_zuord_Meth_Per[[#This Row],[ID_Persons]],"")</f>
        <v/>
      </c>
    </row>
    <row r="315" spans="1:5" x14ac:dyDescent="0.45">
      <c r="A315">
        <f t="shared" ca="1" si="12"/>
        <v>617</v>
      </c>
      <c r="B315">
        <f t="shared" ca="1" si="13"/>
        <v>0</v>
      </c>
      <c r="C3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5">
        <f t="shared" ca="1" si="14"/>
        <v>4</v>
      </c>
      <c r="E315" t="str">
        <f ca="1">IF(dict_zuord_Meth_Per[[#This Row],[kval_active]],dict_zuord_Meth_Per[[#This Row],[ID_Persons]],"")</f>
        <v/>
      </c>
    </row>
    <row r="316" spans="1:5" x14ac:dyDescent="0.45">
      <c r="A316">
        <f t="shared" ca="1" si="12"/>
        <v>360</v>
      </c>
      <c r="B316">
        <f t="shared" ca="1" si="13"/>
        <v>24</v>
      </c>
      <c r="C3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6">
        <f t="shared" ca="1" si="14"/>
        <v>19</v>
      </c>
      <c r="E316" t="str">
        <f ca="1">IF(dict_zuord_Meth_Per[[#This Row],[kval_active]],dict_zuord_Meth_Per[[#This Row],[ID_Persons]],"")</f>
        <v/>
      </c>
    </row>
    <row r="317" spans="1:5" x14ac:dyDescent="0.45">
      <c r="A317">
        <f t="shared" ca="1" si="12"/>
        <v>199</v>
      </c>
      <c r="B317">
        <f t="shared" ca="1" si="13"/>
        <v>7</v>
      </c>
      <c r="C3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7">
        <f t="shared" ca="1" si="14"/>
        <v>16</v>
      </c>
      <c r="E317" t="str">
        <f ca="1">IF(dict_zuord_Meth_Per[[#This Row],[kval_active]],dict_zuord_Meth_Per[[#This Row],[ID_Persons]],"")</f>
        <v/>
      </c>
    </row>
    <row r="318" spans="1:5" x14ac:dyDescent="0.45">
      <c r="A318">
        <f t="shared" ca="1" si="12"/>
        <v>54</v>
      </c>
      <c r="B318">
        <f t="shared" ca="1" si="13"/>
        <v>18</v>
      </c>
      <c r="C3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8">
        <f t="shared" ca="1" si="14"/>
        <v>17</v>
      </c>
      <c r="E318" t="str">
        <f ca="1">IF(dict_zuord_Meth_Per[[#This Row],[kval_active]],dict_zuord_Meth_Per[[#This Row],[ID_Persons]],"")</f>
        <v/>
      </c>
    </row>
    <row r="319" spans="1:5" x14ac:dyDescent="0.45">
      <c r="A319">
        <f t="shared" ca="1" si="12"/>
        <v>361</v>
      </c>
      <c r="B319">
        <f t="shared" ca="1" si="13"/>
        <v>21</v>
      </c>
      <c r="C3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19">
        <f t="shared" ca="1" si="14"/>
        <v>11</v>
      </c>
      <c r="E319" t="str">
        <f ca="1">IF(dict_zuord_Meth_Per[[#This Row],[kval_active]],dict_zuord_Meth_Per[[#This Row],[ID_Persons]],"")</f>
        <v/>
      </c>
    </row>
    <row r="320" spans="1:5" x14ac:dyDescent="0.45">
      <c r="A320">
        <f t="shared" ca="1" si="12"/>
        <v>473</v>
      </c>
      <c r="B320">
        <f t="shared" ca="1" si="13"/>
        <v>26</v>
      </c>
      <c r="C3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0">
        <f t="shared" ca="1" si="14"/>
        <v>4</v>
      </c>
      <c r="E320" t="str">
        <f ca="1">IF(dict_zuord_Meth_Per[[#This Row],[kval_active]],dict_zuord_Meth_Per[[#This Row],[ID_Persons]],"")</f>
        <v/>
      </c>
    </row>
    <row r="321" spans="1:5" x14ac:dyDescent="0.45">
      <c r="A321">
        <f t="shared" ca="1" si="12"/>
        <v>574</v>
      </c>
      <c r="B321">
        <f t="shared" ca="1" si="13"/>
        <v>25</v>
      </c>
      <c r="C3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1">
        <f t="shared" ca="1" si="14"/>
        <v>29</v>
      </c>
      <c r="E321" t="str">
        <f ca="1">IF(dict_zuord_Meth_Per[[#This Row],[kval_active]],dict_zuord_Meth_Per[[#This Row],[ID_Persons]],"")</f>
        <v/>
      </c>
    </row>
    <row r="322" spans="1:5" x14ac:dyDescent="0.45">
      <c r="A322">
        <f t="shared" ref="A322:A385" ca="1" si="15">RANDBETWEEN(0,700)</f>
        <v>632</v>
      </c>
      <c r="B322">
        <f t="shared" ref="B322:B385" ca="1" si="16">RANDBETWEEN(0,30)</f>
        <v>20</v>
      </c>
      <c r="C3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2">
        <f t="shared" ref="D322:D385" ca="1" si="17">RANDBETWEEN(0,30)</f>
        <v>2</v>
      </c>
      <c r="E322" t="str">
        <f ca="1">IF(dict_zuord_Meth_Per[[#This Row],[kval_active]],dict_zuord_Meth_Per[[#This Row],[ID_Persons]],"")</f>
        <v/>
      </c>
    </row>
    <row r="323" spans="1:5" x14ac:dyDescent="0.45">
      <c r="A323">
        <f t="shared" ca="1" si="15"/>
        <v>115</v>
      </c>
      <c r="B323">
        <f t="shared" ca="1" si="16"/>
        <v>29</v>
      </c>
      <c r="C3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3">
        <f t="shared" ca="1" si="17"/>
        <v>18</v>
      </c>
      <c r="E323" t="str">
        <f ca="1">IF(dict_zuord_Meth_Per[[#This Row],[kval_active]],dict_zuord_Meth_Per[[#This Row],[ID_Persons]],"")</f>
        <v/>
      </c>
    </row>
    <row r="324" spans="1:5" x14ac:dyDescent="0.45">
      <c r="A324">
        <f t="shared" ca="1" si="15"/>
        <v>697</v>
      </c>
      <c r="B324">
        <f t="shared" ca="1" si="16"/>
        <v>16</v>
      </c>
      <c r="C3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4">
        <f t="shared" ca="1" si="17"/>
        <v>23</v>
      </c>
      <c r="E324" t="str">
        <f ca="1">IF(dict_zuord_Meth_Per[[#This Row],[kval_active]],dict_zuord_Meth_Per[[#This Row],[ID_Persons]],"")</f>
        <v/>
      </c>
    </row>
    <row r="325" spans="1:5" x14ac:dyDescent="0.45">
      <c r="A325">
        <f t="shared" ca="1" si="15"/>
        <v>440</v>
      </c>
      <c r="B325">
        <f t="shared" ca="1" si="16"/>
        <v>21</v>
      </c>
      <c r="C3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5">
        <f t="shared" ca="1" si="17"/>
        <v>15</v>
      </c>
      <c r="E325" t="str">
        <f ca="1">IF(dict_zuord_Meth_Per[[#This Row],[kval_active]],dict_zuord_Meth_Per[[#This Row],[ID_Persons]],"")</f>
        <v/>
      </c>
    </row>
    <row r="326" spans="1:5" x14ac:dyDescent="0.45">
      <c r="A326">
        <f t="shared" ca="1" si="15"/>
        <v>217</v>
      </c>
      <c r="B326">
        <f t="shared" ca="1" si="16"/>
        <v>17</v>
      </c>
      <c r="C3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6">
        <f t="shared" ca="1" si="17"/>
        <v>21</v>
      </c>
      <c r="E326" t="str">
        <f ca="1">IF(dict_zuord_Meth_Per[[#This Row],[kval_active]],dict_zuord_Meth_Per[[#This Row],[ID_Persons]],"")</f>
        <v/>
      </c>
    </row>
    <row r="327" spans="1:5" x14ac:dyDescent="0.45">
      <c r="A327">
        <f t="shared" ca="1" si="15"/>
        <v>396</v>
      </c>
      <c r="B327">
        <f t="shared" ca="1" si="16"/>
        <v>7</v>
      </c>
      <c r="C3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7">
        <f t="shared" ca="1" si="17"/>
        <v>10</v>
      </c>
      <c r="E327" t="str">
        <f ca="1">IF(dict_zuord_Meth_Per[[#This Row],[kval_active]],dict_zuord_Meth_Per[[#This Row],[ID_Persons]],"")</f>
        <v/>
      </c>
    </row>
    <row r="328" spans="1:5" x14ac:dyDescent="0.45">
      <c r="A328">
        <f t="shared" ca="1" si="15"/>
        <v>404</v>
      </c>
      <c r="B328">
        <f t="shared" ca="1" si="16"/>
        <v>5</v>
      </c>
      <c r="C3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8">
        <f t="shared" ca="1" si="17"/>
        <v>28</v>
      </c>
      <c r="E328" t="str">
        <f ca="1">IF(dict_zuord_Meth_Per[[#This Row],[kval_active]],dict_zuord_Meth_Per[[#This Row],[ID_Persons]],"")</f>
        <v/>
      </c>
    </row>
    <row r="329" spans="1:5" x14ac:dyDescent="0.45">
      <c r="A329">
        <f t="shared" ca="1" si="15"/>
        <v>196</v>
      </c>
      <c r="B329">
        <f t="shared" ca="1" si="16"/>
        <v>8</v>
      </c>
      <c r="C3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29">
        <f t="shared" ca="1" si="17"/>
        <v>10</v>
      </c>
      <c r="E329" t="str">
        <f ca="1">IF(dict_zuord_Meth_Per[[#This Row],[kval_active]],dict_zuord_Meth_Per[[#This Row],[ID_Persons]],"")</f>
        <v/>
      </c>
    </row>
    <row r="330" spans="1:5" x14ac:dyDescent="0.45">
      <c r="A330">
        <f t="shared" ca="1" si="15"/>
        <v>511</v>
      </c>
      <c r="B330">
        <f t="shared" ca="1" si="16"/>
        <v>20</v>
      </c>
      <c r="C3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0">
        <f t="shared" ca="1" si="17"/>
        <v>25</v>
      </c>
      <c r="E330" t="str">
        <f ca="1">IF(dict_zuord_Meth_Per[[#This Row],[kval_active]],dict_zuord_Meth_Per[[#This Row],[ID_Persons]],"")</f>
        <v/>
      </c>
    </row>
    <row r="331" spans="1:5" x14ac:dyDescent="0.45">
      <c r="A331">
        <f t="shared" ca="1" si="15"/>
        <v>64</v>
      </c>
      <c r="B331">
        <f t="shared" ca="1" si="16"/>
        <v>2</v>
      </c>
      <c r="C3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1">
        <f t="shared" ca="1" si="17"/>
        <v>22</v>
      </c>
      <c r="E331" t="str">
        <f ca="1">IF(dict_zuord_Meth_Per[[#This Row],[kval_active]],dict_zuord_Meth_Per[[#This Row],[ID_Persons]],"")</f>
        <v/>
      </c>
    </row>
    <row r="332" spans="1:5" x14ac:dyDescent="0.45">
      <c r="A332">
        <f t="shared" ca="1" si="15"/>
        <v>3</v>
      </c>
      <c r="B332">
        <f t="shared" ca="1" si="16"/>
        <v>15</v>
      </c>
      <c r="C3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2">
        <f t="shared" ca="1" si="17"/>
        <v>6</v>
      </c>
      <c r="E332" t="str">
        <f ca="1">IF(dict_zuord_Meth_Per[[#This Row],[kval_active]],dict_zuord_Meth_Per[[#This Row],[ID_Persons]],"")</f>
        <v/>
      </c>
    </row>
    <row r="333" spans="1:5" x14ac:dyDescent="0.45">
      <c r="A333">
        <f t="shared" ca="1" si="15"/>
        <v>317</v>
      </c>
      <c r="B333">
        <f t="shared" ca="1" si="16"/>
        <v>2</v>
      </c>
      <c r="C3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3">
        <f t="shared" ca="1" si="17"/>
        <v>12</v>
      </c>
      <c r="E333" t="str">
        <f ca="1">IF(dict_zuord_Meth_Per[[#This Row],[kval_active]],dict_zuord_Meth_Per[[#This Row],[ID_Persons]],"")</f>
        <v/>
      </c>
    </row>
    <row r="334" spans="1:5" x14ac:dyDescent="0.45">
      <c r="A334">
        <f t="shared" ca="1" si="15"/>
        <v>428</v>
      </c>
      <c r="B334">
        <f t="shared" ca="1" si="16"/>
        <v>28</v>
      </c>
      <c r="C3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4">
        <f t="shared" ca="1" si="17"/>
        <v>17</v>
      </c>
      <c r="E334" t="str">
        <f ca="1">IF(dict_zuord_Meth_Per[[#This Row],[kval_active]],dict_zuord_Meth_Per[[#This Row],[ID_Persons]],"")</f>
        <v/>
      </c>
    </row>
    <row r="335" spans="1:5" x14ac:dyDescent="0.45">
      <c r="A335">
        <f t="shared" ca="1" si="15"/>
        <v>540</v>
      </c>
      <c r="B335">
        <f t="shared" ca="1" si="16"/>
        <v>27</v>
      </c>
      <c r="C3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5">
        <f t="shared" ca="1" si="17"/>
        <v>19</v>
      </c>
      <c r="E335" t="str">
        <f ca="1">IF(dict_zuord_Meth_Per[[#This Row],[kval_active]],dict_zuord_Meth_Per[[#This Row],[ID_Persons]],"")</f>
        <v/>
      </c>
    </row>
    <row r="336" spans="1:5" x14ac:dyDescent="0.45">
      <c r="A336">
        <f t="shared" ca="1" si="15"/>
        <v>203</v>
      </c>
      <c r="B336">
        <f t="shared" ca="1" si="16"/>
        <v>13</v>
      </c>
      <c r="C3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6">
        <f t="shared" ca="1" si="17"/>
        <v>12</v>
      </c>
      <c r="E336" t="str">
        <f ca="1">IF(dict_zuord_Meth_Per[[#This Row],[kval_active]],dict_zuord_Meth_Per[[#This Row],[ID_Persons]],"")</f>
        <v/>
      </c>
    </row>
    <row r="337" spans="1:5" x14ac:dyDescent="0.45">
      <c r="A337">
        <f t="shared" ca="1" si="15"/>
        <v>525</v>
      </c>
      <c r="B337">
        <f t="shared" ca="1" si="16"/>
        <v>8</v>
      </c>
      <c r="C3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7">
        <f t="shared" ca="1" si="17"/>
        <v>27</v>
      </c>
      <c r="E337" t="str">
        <f ca="1">IF(dict_zuord_Meth_Per[[#This Row],[kval_active]],dict_zuord_Meth_Per[[#This Row],[ID_Persons]],"")</f>
        <v/>
      </c>
    </row>
    <row r="338" spans="1:5" x14ac:dyDescent="0.45">
      <c r="A338">
        <f t="shared" ca="1" si="15"/>
        <v>684</v>
      </c>
      <c r="B338">
        <f t="shared" ca="1" si="16"/>
        <v>10</v>
      </c>
      <c r="C3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8">
        <f t="shared" ca="1" si="17"/>
        <v>23</v>
      </c>
      <c r="E338" t="str">
        <f ca="1">IF(dict_zuord_Meth_Per[[#This Row],[kval_active]],dict_zuord_Meth_Per[[#This Row],[ID_Persons]],"")</f>
        <v/>
      </c>
    </row>
    <row r="339" spans="1:5" x14ac:dyDescent="0.45">
      <c r="A339">
        <f t="shared" ca="1" si="15"/>
        <v>124</v>
      </c>
      <c r="B339">
        <f t="shared" ca="1" si="16"/>
        <v>25</v>
      </c>
      <c r="C3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39">
        <f t="shared" ca="1" si="17"/>
        <v>10</v>
      </c>
      <c r="E339" t="str">
        <f ca="1">IF(dict_zuord_Meth_Per[[#This Row],[kval_active]],dict_zuord_Meth_Per[[#This Row],[ID_Persons]],"")</f>
        <v/>
      </c>
    </row>
    <row r="340" spans="1:5" x14ac:dyDescent="0.45">
      <c r="A340">
        <f t="shared" ca="1" si="15"/>
        <v>652</v>
      </c>
      <c r="B340">
        <f t="shared" ca="1" si="16"/>
        <v>7</v>
      </c>
      <c r="C3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0">
        <f t="shared" ca="1" si="17"/>
        <v>8</v>
      </c>
      <c r="E340" t="str">
        <f ca="1">IF(dict_zuord_Meth_Per[[#This Row],[kval_active]],dict_zuord_Meth_Per[[#This Row],[ID_Persons]],"")</f>
        <v/>
      </c>
    </row>
    <row r="341" spans="1:5" x14ac:dyDescent="0.45">
      <c r="A341">
        <f t="shared" ca="1" si="15"/>
        <v>389</v>
      </c>
      <c r="B341">
        <f t="shared" ca="1" si="16"/>
        <v>23</v>
      </c>
      <c r="C3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1">
        <f t="shared" ca="1" si="17"/>
        <v>3</v>
      </c>
      <c r="E341" t="str">
        <f ca="1">IF(dict_zuord_Meth_Per[[#This Row],[kval_active]],dict_zuord_Meth_Per[[#This Row],[ID_Persons]],"")</f>
        <v/>
      </c>
    </row>
    <row r="342" spans="1:5" x14ac:dyDescent="0.45">
      <c r="A342">
        <f t="shared" ca="1" si="15"/>
        <v>529</v>
      </c>
      <c r="B342">
        <f t="shared" ca="1" si="16"/>
        <v>27</v>
      </c>
      <c r="C3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2">
        <f t="shared" ca="1" si="17"/>
        <v>22</v>
      </c>
      <c r="E342" t="str">
        <f ca="1">IF(dict_zuord_Meth_Per[[#This Row],[kval_active]],dict_zuord_Meth_Per[[#This Row],[ID_Persons]],"")</f>
        <v/>
      </c>
    </row>
    <row r="343" spans="1:5" x14ac:dyDescent="0.45">
      <c r="A343">
        <f t="shared" ca="1" si="15"/>
        <v>256</v>
      </c>
      <c r="B343">
        <f t="shared" ca="1" si="16"/>
        <v>12</v>
      </c>
      <c r="C3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3">
        <f t="shared" ca="1" si="17"/>
        <v>16</v>
      </c>
      <c r="E343" t="str">
        <f ca="1">IF(dict_zuord_Meth_Per[[#This Row],[kval_active]],dict_zuord_Meth_Per[[#This Row],[ID_Persons]],"")</f>
        <v/>
      </c>
    </row>
    <row r="344" spans="1:5" x14ac:dyDescent="0.45">
      <c r="A344">
        <f t="shared" ca="1" si="15"/>
        <v>614</v>
      </c>
      <c r="B344">
        <f t="shared" ca="1" si="16"/>
        <v>25</v>
      </c>
      <c r="C3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4">
        <f t="shared" ca="1" si="17"/>
        <v>17</v>
      </c>
      <c r="E344" t="str">
        <f ca="1">IF(dict_zuord_Meth_Per[[#This Row],[kval_active]],dict_zuord_Meth_Per[[#This Row],[ID_Persons]],"")</f>
        <v/>
      </c>
    </row>
    <row r="345" spans="1:5" x14ac:dyDescent="0.45">
      <c r="A345">
        <f t="shared" ca="1" si="15"/>
        <v>327</v>
      </c>
      <c r="B345">
        <f t="shared" ca="1" si="16"/>
        <v>22</v>
      </c>
      <c r="C3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5">
        <f t="shared" ca="1" si="17"/>
        <v>15</v>
      </c>
      <c r="E345" t="str">
        <f ca="1">IF(dict_zuord_Meth_Per[[#This Row],[kval_active]],dict_zuord_Meth_Per[[#This Row],[ID_Persons]],"")</f>
        <v/>
      </c>
    </row>
    <row r="346" spans="1:5" x14ac:dyDescent="0.45">
      <c r="A346">
        <f t="shared" ca="1" si="15"/>
        <v>426</v>
      </c>
      <c r="B346">
        <f t="shared" ca="1" si="16"/>
        <v>9</v>
      </c>
      <c r="C3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6">
        <f t="shared" ca="1" si="17"/>
        <v>13</v>
      </c>
      <c r="E346" t="str">
        <f ca="1">IF(dict_zuord_Meth_Per[[#This Row],[kval_active]],dict_zuord_Meth_Per[[#This Row],[ID_Persons]],"")</f>
        <v/>
      </c>
    </row>
    <row r="347" spans="1:5" x14ac:dyDescent="0.45">
      <c r="A347">
        <f t="shared" ca="1" si="15"/>
        <v>637</v>
      </c>
      <c r="B347">
        <f t="shared" ca="1" si="16"/>
        <v>6</v>
      </c>
      <c r="C3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7">
        <f t="shared" ca="1" si="17"/>
        <v>13</v>
      </c>
      <c r="E347" t="str">
        <f ca="1">IF(dict_zuord_Meth_Per[[#This Row],[kval_active]],dict_zuord_Meth_Per[[#This Row],[ID_Persons]],"")</f>
        <v/>
      </c>
    </row>
    <row r="348" spans="1:5" x14ac:dyDescent="0.45">
      <c r="A348">
        <f t="shared" ca="1" si="15"/>
        <v>463</v>
      </c>
      <c r="B348">
        <f t="shared" ca="1" si="16"/>
        <v>0</v>
      </c>
      <c r="C3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8">
        <f t="shared" ca="1" si="17"/>
        <v>7</v>
      </c>
      <c r="E348" t="str">
        <f ca="1">IF(dict_zuord_Meth_Per[[#This Row],[kval_active]],dict_zuord_Meth_Per[[#This Row],[ID_Persons]],"")</f>
        <v/>
      </c>
    </row>
    <row r="349" spans="1:5" x14ac:dyDescent="0.45">
      <c r="A349">
        <f t="shared" ca="1" si="15"/>
        <v>692</v>
      </c>
      <c r="B349">
        <f t="shared" ca="1" si="16"/>
        <v>18</v>
      </c>
      <c r="C3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49">
        <f t="shared" ca="1" si="17"/>
        <v>28</v>
      </c>
      <c r="E349" t="str">
        <f ca="1">IF(dict_zuord_Meth_Per[[#This Row],[kval_active]],dict_zuord_Meth_Per[[#This Row],[ID_Persons]],"")</f>
        <v/>
      </c>
    </row>
    <row r="350" spans="1:5" x14ac:dyDescent="0.45">
      <c r="A350">
        <f t="shared" ca="1" si="15"/>
        <v>570</v>
      </c>
      <c r="B350">
        <f t="shared" ca="1" si="16"/>
        <v>9</v>
      </c>
      <c r="C3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0">
        <f t="shared" ca="1" si="17"/>
        <v>24</v>
      </c>
      <c r="E350" t="str">
        <f ca="1">IF(dict_zuord_Meth_Per[[#This Row],[kval_active]],dict_zuord_Meth_Per[[#This Row],[ID_Persons]],"")</f>
        <v/>
      </c>
    </row>
    <row r="351" spans="1:5" x14ac:dyDescent="0.45">
      <c r="A351">
        <f t="shared" ca="1" si="15"/>
        <v>640</v>
      </c>
      <c r="B351">
        <f t="shared" ca="1" si="16"/>
        <v>10</v>
      </c>
      <c r="C3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1">
        <f t="shared" ca="1" si="17"/>
        <v>18</v>
      </c>
      <c r="E351" t="str">
        <f ca="1">IF(dict_zuord_Meth_Per[[#This Row],[kval_active]],dict_zuord_Meth_Per[[#This Row],[ID_Persons]],"")</f>
        <v/>
      </c>
    </row>
    <row r="352" spans="1:5" x14ac:dyDescent="0.45">
      <c r="A352">
        <f t="shared" ca="1" si="15"/>
        <v>143</v>
      </c>
      <c r="B352">
        <f t="shared" ca="1" si="16"/>
        <v>8</v>
      </c>
      <c r="C3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2">
        <f t="shared" ca="1" si="17"/>
        <v>5</v>
      </c>
      <c r="E352" t="str">
        <f ca="1">IF(dict_zuord_Meth_Per[[#This Row],[kval_active]],dict_zuord_Meth_Per[[#This Row],[ID_Persons]],"")</f>
        <v/>
      </c>
    </row>
    <row r="353" spans="1:5" x14ac:dyDescent="0.45">
      <c r="A353">
        <f t="shared" ca="1" si="15"/>
        <v>215</v>
      </c>
      <c r="B353">
        <f t="shared" ca="1" si="16"/>
        <v>19</v>
      </c>
      <c r="C3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3">
        <f t="shared" ca="1" si="17"/>
        <v>27</v>
      </c>
      <c r="E353" t="str">
        <f ca="1">IF(dict_zuord_Meth_Per[[#This Row],[kval_active]],dict_zuord_Meth_Per[[#This Row],[ID_Persons]],"")</f>
        <v/>
      </c>
    </row>
    <row r="354" spans="1:5" x14ac:dyDescent="0.45">
      <c r="A354">
        <f t="shared" ca="1" si="15"/>
        <v>644</v>
      </c>
      <c r="B354">
        <f t="shared" ca="1" si="16"/>
        <v>23</v>
      </c>
      <c r="C3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4">
        <f t="shared" ca="1" si="17"/>
        <v>23</v>
      </c>
      <c r="E354" t="str">
        <f ca="1">IF(dict_zuord_Meth_Per[[#This Row],[kval_active]],dict_zuord_Meth_Per[[#This Row],[ID_Persons]],"")</f>
        <v/>
      </c>
    </row>
    <row r="355" spans="1:5" x14ac:dyDescent="0.45">
      <c r="A355">
        <f t="shared" ca="1" si="15"/>
        <v>460</v>
      </c>
      <c r="B355">
        <f t="shared" ca="1" si="16"/>
        <v>19</v>
      </c>
      <c r="C3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5">
        <f t="shared" ca="1" si="17"/>
        <v>11</v>
      </c>
      <c r="E355" t="str">
        <f ca="1">IF(dict_zuord_Meth_Per[[#This Row],[kval_active]],dict_zuord_Meth_Per[[#This Row],[ID_Persons]],"")</f>
        <v/>
      </c>
    </row>
    <row r="356" spans="1:5" x14ac:dyDescent="0.45">
      <c r="A356">
        <f t="shared" ca="1" si="15"/>
        <v>322</v>
      </c>
      <c r="B356">
        <f t="shared" ca="1" si="16"/>
        <v>3</v>
      </c>
      <c r="C3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6">
        <f t="shared" ca="1" si="17"/>
        <v>29</v>
      </c>
      <c r="E356" t="str">
        <f ca="1">IF(dict_zuord_Meth_Per[[#This Row],[kval_active]],dict_zuord_Meth_Per[[#This Row],[ID_Persons]],"")</f>
        <v/>
      </c>
    </row>
    <row r="357" spans="1:5" x14ac:dyDescent="0.45">
      <c r="A357">
        <f t="shared" ca="1" si="15"/>
        <v>353</v>
      </c>
      <c r="B357">
        <f t="shared" ca="1" si="16"/>
        <v>28</v>
      </c>
      <c r="C3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7">
        <f t="shared" ca="1" si="17"/>
        <v>18</v>
      </c>
      <c r="E357" t="str">
        <f ca="1">IF(dict_zuord_Meth_Per[[#This Row],[kval_active]],dict_zuord_Meth_Per[[#This Row],[ID_Persons]],"")</f>
        <v/>
      </c>
    </row>
    <row r="358" spans="1:5" x14ac:dyDescent="0.45">
      <c r="A358">
        <f t="shared" ca="1" si="15"/>
        <v>274</v>
      </c>
      <c r="B358">
        <f t="shared" ca="1" si="16"/>
        <v>16</v>
      </c>
      <c r="C3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8">
        <f t="shared" ca="1" si="17"/>
        <v>20</v>
      </c>
      <c r="E358" t="str">
        <f ca="1">IF(dict_zuord_Meth_Per[[#This Row],[kval_active]],dict_zuord_Meth_Per[[#This Row],[ID_Persons]],"")</f>
        <v/>
      </c>
    </row>
    <row r="359" spans="1:5" x14ac:dyDescent="0.45">
      <c r="A359">
        <f t="shared" ca="1" si="15"/>
        <v>545</v>
      </c>
      <c r="B359">
        <f t="shared" ca="1" si="16"/>
        <v>5</v>
      </c>
      <c r="C3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59">
        <f t="shared" ca="1" si="17"/>
        <v>2</v>
      </c>
      <c r="E359" t="str">
        <f ca="1">IF(dict_zuord_Meth_Per[[#This Row],[kval_active]],dict_zuord_Meth_Per[[#This Row],[ID_Persons]],"")</f>
        <v/>
      </c>
    </row>
    <row r="360" spans="1:5" x14ac:dyDescent="0.45">
      <c r="A360">
        <f t="shared" ca="1" si="15"/>
        <v>628</v>
      </c>
      <c r="B360">
        <f t="shared" ca="1" si="16"/>
        <v>4</v>
      </c>
      <c r="C3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0">
        <f t="shared" ca="1" si="17"/>
        <v>4</v>
      </c>
      <c r="E360" t="str">
        <f ca="1">IF(dict_zuord_Meth_Per[[#This Row],[kval_active]],dict_zuord_Meth_Per[[#This Row],[ID_Persons]],"")</f>
        <v/>
      </c>
    </row>
    <row r="361" spans="1:5" x14ac:dyDescent="0.45">
      <c r="A361">
        <f t="shared" ca="1" si="15"/>
        <v>15</v>
      </c>
      <c r="B361">
        <f t="shared" ca="1" si="16"/>
        <v>0</v>
      </c>
      <c r="C3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1">
        <f t="shared" ca="1" si="17"/>
        <v>29</v>
      </c>
      <c r="E361" t="str">
        <f ca="1">IF(dict_zuord_Meth_Per[[#This Row],[kval_active]],dict_zuord_Meth_Per[[#This Row],[ID_Persons]],"")</f>
        <v/>
      </c>
    </row>
    <row r="362" spans="1:5" x14ac:dyDescent="0.45">
      <c r="A362">
        <f t="shared" ca="1" si="15"/>
        <v>87</v>
      </c>
      <c r="B362">
        <f t="shared" ca="1" si="16"/>
        <v>20</v>
      </c>
      <c r="C3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62">
        <f t="shared" ca="1" si="17"/>
        <v>25</v>
      </c>
      <c r="E362">
        <f ca="1">IF(dict_zuord_Meth_Per[[#This Row],[kval_active]],dict_zuord_Meth_Per[[#This Row],[ID_Persons]],"")</f>
        <v>20</v>
      </c>
    </row>
    <row r="363" spans="1:5" x14ac:dyDescent="0.45">
      <c r="A363">
        <f t="shared" ca="1" si="15"/>
        <v>599</v>
      </c>
      <c r="B363">
        <f t="shared" ca="1" si="16"/>
        <v>9</v>
      </c>
      <c r="C3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3">
        <f t="shared" ca="1" si="17"/>
        <v>30</v>
      </c>
      <c r="E363" t="str">
        <f ca="1">IF(dict_zuord_Meth_Per[[#This Row],[kval_active]],dict_zuord_Meth_Per[[#This Row],[ID_Persons]],"")</f>
        <v/>
      </c>
    </row>
    <row r="364" spans="1:5" x14ac:dyDescent="0.45">
      <c r="A364">
        <f t="shared" ca="1" si="15"/>
        <v>654</v>
      </c>
      <c r="B364">
        <f t="shared" ca="1" si="16"/>
        <v>7</v>
      </c>
      <c r="C3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4">
        <f t="shared" ca="1" si="17"/>
        <v>21</v>
      </c>
      <c r="E364" t="str">
        <f ca="1">IF(dict_zuord_Meth_Per[[#This Row],[kval_active]],dict_zuord_Meth_Per[[#This Row],[ID_Persons]],"")</f>
        <v/>
      </c>
    </row>
    <row r="365" spans="1:5" x14ac:dyDescent="0.45">
      <c r="A365">
        <f t="shared" ca="1" si="15"/>
        <v>462</v>
      </c>
      <c r="B365">
        <f t="shared" ca="1" si="16"/>
        <v>24</v>
      </c>
      <c r="C3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5">
        <f t="shared" ca="1" si="17"/>
        <v>28</v>
      </c>
      <c r="E365" t="str">
        <f ca="1">IF(dict_zuord_Meth_Per[[#This Row],[kval_active]],dict_zuord_Meth_Per[[#This Row],[ID_Persons]],"")</f>
        <v/>
      </c>
    </row>
    <row r="366" spans="1:5" x14ac:dyDescent="0.45">
      <c r="A366">
        <f t="shared" ca="1" si="15"/>
        <v>365</v>
      </c>
      <c r="B366">
        <f t="shared" ca="1" si="16"/>
        <v>4</v>
      </c>
      <c r="C3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6">
        <f t="shared" ca="1" si="17"/>
        <v>14</v>
      </c>
      <c r="E366" t="str">
        <f ca="1">IF(dict_zuord_Meth_Per[[#This Row],[kval_active]],dict_zuord_Meth_Per[[#This Row],[ID_Persons]],"")</f>
        <v/>
      </c>
    </row>
    <row r="367" spans="1:5" x14ac:dyDescent="0.45">
      <c r="A367">
        <f t="shared" ca="1" si="15"/>
        <v>326</v>
      </c>
      <c r="B367">
        <f t="shared" ca="1" si="16"/>
        <v>22</v>
      </c>
      <c r="C3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7">
        <f t="shared" ca="1" si="17"/>
        <v>29</v>
      </c>
      <c r="E367" t="str">
        <f ca="1">IF(dict_zuord_Meth_Per[[#This Row],[kval_active]],dict_zuord_Meth_Per[[#This Row],[ID_Persons]],"")</f>
        <v/>
      </c>
    </row>
    <row r="368" spans="1:5" x14ac:dyDescent="0.45">
      <c r="A368">
        <f t="shared" ca="1" si="15"/>
        <v>653</v>
      </c>
      <c r="B368">
        <f t="shared" ca="1" si="16"/>
        <v>16</v>
      </c>
      <c r="C3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8">
        <f t="shared" ca="1" si="17"/>
        <v>14</v>
      </c>
      <c r="E368" t="str">
        <f ca="1">IF(dict_zuord_Meth_Per[[#This Row],[kval_active]],dict_zuord_Meth_Per[[#This Row],[ID_Persons]],"")</f>
        <v/>
      </c>
    </row>
    <row r="369" spans="1:5" x14ac:dyDescent="0.45">
      <c r="A369">
        <f t="shared" ca="1" si="15"/>
        <v>178</v>
      </c>
      <c r="B369">
        <f t="shared" ca="1" si="16"/>
        <v>8</v>
      </c>
      <c r="C3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69">
        <f t="shared" ca="1" si="17"/>
        <v>23</v>
      </c>
      <c r="E369" t="str">
        <f ca="1">IF(dict_zuord_Meth_Per[[#This Row],[kval_active]],dict_zuord_Meth_Per[[#This Row],[ID_Persons]],"")</f>
        <v/>
      </c>
    </row>
    <row r="370" spans="1:5" x14ac:dyDescent="0.45">
      <c r="A370">
        <f t="shared" ca="1" si="15"/>
        <v>154</v>
      </c>
      <c r="B370">
        <f t="shared" ca="1" si="16"/>
        <v>25</v>
      </c>
      <c r="C3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0">
        <f t="shared" ca="1" si="17"/>
        <v>21</v>
      </c>
      <c r="E370" t="str">
        <f ca="1">IF(dict_zuord_Meth_Per[[#This Row],[kval_active]],dict_zuord_Meth_Per[[#This Row],[ID_Persons]],"")</f>
        <v/>
      </c>
    </row>
    <row r="371" spans="1:5" x14ac:dyDescent="0.45">
      <c r="A371">
        <f t="shared" ca="1" si="15"/>
        <v>107</v>
      </c>
      <c r="B371">
        <f t="shared" ca="1" si="16"/>
        <v>16</v>
      </c>
      <c r="C3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1">
        <f t="shared" ca="1" si="17"/>
        <v>24</v>
      </c>
      <c r="E371" t="str">
        <f ca="1">IF(dict_zuord_Meth_Per[[#This Row],[kval_active]],dict_zuord_Meth_Per[[#This Row],[ID_Persons]],"")</f>
        <v/>
      </c>
    </row>
    <row r="372" spans="1:5" x14ac:dyDescent="0.45">
      <c r="A372">
        <f t="shared" ca="1" si="15"/>
        <v>328</v>
      </c>
      <c r="B372">
        <f t="shared" ca="1" si="16"/>
        <v>21</v>
      </c>
      <c r="C3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2">
        <f t="shared" ca="1" si="17"/>
        <v>1</v>
      </c>
      <c r="E372" t="str">
        <f ca="1">IF(dict_zuord_Meth_Per[[#This Row],[kval_active]],dict_zuord_Meth_Per[[#This Row],[ID_Persons]],"")</f>
        <v/>
      </c>
    </row>
    <row r="373" spans="1:5" x14ac:dyDescent="0.45">
      <c r="A373">
        <f t="shared" ca="1" si="15"/>
        <v>307</v>
      </c>
      <c r="B373">
        <f t="shared" ca="1" si="16"/>
        <v>16</v>
      </c>
      <c r="C3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3">
        <f t="shared" ca="1" si="17"/>
        <v>27</v>
      </c>
      <c r="E373" t="str">
        <f ca="1">IF(dict_zuord_Meth_Per[[#This Row],[kval_active]],dict_zuord_Meth_Per[[#This Row],[ID_Persons]],"")</f>
        <v/>
      </c>
    </row>
    <row r="374" spans="1:5" x14ac:dyDescent="0.45">
      <c r="A374">
        <f t="shared" ca="1" si="15"/>
        <v>247</v>
      </c>
      <c r="B374">
        <f t="shared" ca="1" si="16"/>
        <v>26</v>
      </c>
      <c r="C3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4">
        <f t="shared" ca="1" si="17"/>
        <v>30</v>
      </c>
      <c r="E374" t="str">
        <f ca="1">IF(dict_zuord_Meth_Per[[#This Row],[kval_active]],dict_zuord_Meth_Per[[#This Row],[ID_Persons]],"")</f>
        <v/>
      </c>
    </row>
    <row r="375" spans="1:5" x14ac:dyDescent="0.45">
      <c r="A375">
        <f t="shared" ca="1" si="15"/>
        <v>655</v>
      </c>
      <c r="B375">
        <f t="shared" ca="1" si="16"/>
        <v>21</v>
      </c>
      <c r="C3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5">
        <f t="shared" ca="1" si="17"/>
        <v>22</v>
      </c>
      <c r="E375" t="str">
        <f ca="1">IF(dict_zuord_Meth_Per[[#This Row],[kval_active]],dict_zuord_Meth_Per[[#This Row],[ID_Persons]],"")</f>
        <v/>
      </c>
    </row>
    <row r="376" spans="1:5" x14ac:dyDescent="0.45">
      <c r="A376">
        <f t="shared" ca="1" si="15"/>
        <v>416</v>
      </c>
      <c r="B376">
        <f t="shared" ca="1" si="16"/>
        <v>6</v>
      </c>
      <c r="C3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76">
        <f t="shared" ca="1" si="17"/>
        <v>19</v>
      </c>
      <c r="E376">
        <f ca="1">IF(dict_zuord_Meth_Per[[#This Row],[kval_active]],dict_zuord_Meth_Per[[#This Row],[ID_Persons]],"")</f>
        <v>6</v>
      </c>
    </row>
    <row r="377" spans="1:5" x14ac:dyDescent="0.45">
      <c r="A377">
        <f t="shared" ca="1" si="15"/>
        <v>615</v>
      </c>
      <c r="B377">
        <f t="shared" ca="1" si="16"/>
        <v>26</v>
      </c>
      <c r="C3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7">
        <f t="shared" ca="1" si="17"/>
        <v>30</v>
      </c>
      <c r="E377" t="str">
        <f ca="1">IF(dict_zuord_Meth_Per[[#This Row],[kval_active]],dict_zuord_Meth_Per[[#This Row],[ID_Persons]],"")</f>
        <v/>
      </c>
    </row>
    <row r="378" spans="1:5" x14ac:dyDescent="0.45">
      <c r="A378">
        <f t="shared" ca="1" si="15"/>
        <v>673</v>
      </c>
      <c r="B378">
        <f t="shared" ca="1" si="16"/>
        <v>11</v>
      </c>
      <c r="C3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8">
        <f t="shared" ca="1" si="17"/>
        <v>17</v>
      </c>
      <c r="E378" t="str">
        <f ca="1">IF(dict_zuord_Meth_Per[[#This Row],[kval_active]],dict_zuord_Meth_Per[[#This Row],[ID_Persons]],"")</f>
        <v/>
      </c>
    </row>
    <row r="379" spans="1:5" x14ac:dyDescent="0.45">
      <c r="A379">
        <f t="shared" ca="1" si="15"/>
        <v>656</v>
      </c>
      <c r="B379">
        <f t="shared" ca="1" si="16"/>
        <v>10</v>
      </c>
      <c r="C3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79">
        <f t="shared" ca="1" si="17"/>
        <v>30</v>
      </c>
      <c r="E379" t="str">
        <f ca="1">IF(dict_zuord_Meth_Per[[#This Row],[kval_active]],dict_zuord_Meth_Per[[#This Row],[ID_Persons]],"")</f>
        <v/>
      </c>
    </row>
    <row r="380" spans="1:5" x14ac:dyDescent="0.45">
      <c r="A380">
        <f t="shared" ca="1" si="15"/>
        <v>15</v>
      </c>
      <c r="B380">
        <f t="shared" ca="1" si="16"/>
        <v>14</v>
      </c>
      <c r="C3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0">
        <f t="shared" ca="1" si="17"/>
        <v>4</v>
      </c>
      <c r="E380" t="str">
        <f ca="1">IF(dict_zuord_Meth_Per[[#This Row],[kval_active]],dict_zuord_Meth_Per[[#This Row],[ID_Persons]],"")</f>
        <v/>
      </c>
    </row>
    <row r="381" spans="1:5" x14ac:dyDescent="0.45">
      <c r="A381">
        <f t="shared" ca="1" si="15"/>
        <v>398</v>
      </c>
      <c r="B381">
        <f t="shared" ca="1" si="16"/>
        <v>15</v>
      </c>
      <c r="C3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1">
        <f t="shared" ca="1" si="17"/>
        <v>18</v>
      </c>
      <c r="E381" t="str">
        <f ca="1">IF(dict_zuord_Meth_Per[[#This Row],[kval_active]],dict_zuord_Meth_Per[[#This Row],[ID_Persons]],"")</f>
        <v/>
      </c>
    </row>
    <row r="382" spans="1:5" x14ac:dyDescent="0.45">
      <c r="A382">
        <f t="shared" ca="1" si="15"/>
        <v>11</v>
      </c>
      <c r="B382">
        <f t="shared" ca="1" si="16"/>
        <v>18</v>
      </c>
      <c r="C3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2">
        <f t="shared" ca="1" si="17"/>
        <v>20</v>
      </c>
      <c r="E382" t="str">
        <f ca="1">IF(dict_zuord_Meth_Per[[#This Row],[kval_active]],dict_zuord_Meth_Per[[#This Row],[ID_Persons]],"")</f>
        <v/>
      </c>
    </row>
    <row r="383" spans="1:5" x14ac:dyDescent="0.45">
      <c r="A383">
        <f t="shared" ca="1" si="15"/>
        <v>336</v>
      </c>
      <c r="B383">
        <f t="shared" ca="1" si="16"/>
        <v>12</v>
      </c>
      <c r="C3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3">
        <f t="shared" ca="1" si="17"/>
        <v>19</v>
      </c>
      <c r="E383" t="str">
        <f ca="1">IF(dict_zuord_Meth_Per[[#This Row],[kval_active]],dict_zuord_Meth_Per[[#This Row],[ID_Persons]],"")</f>
        <v/>
      </c>
    </row>
    <row r="384" spans="1:5" x14ac:dyDescent="0.45">
      <c r="A384">
        <f t="shared" ca="1" si="15"/>
        <v>64</v>
      </c>
      <c r="B384">
        <f t="shared" ca="1" si="16"/>
        <v>20</v>
      </c>
      <c r="C3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4">
        <f t="shared" ca="1" si="17"/>
        <v>19</v>
      </c>
      <c r="E384" t="str">
        <f ca="1">IF(dict_zuord_Meth_Per[[#This Row],[kval_active]],dict_zuord_Meth_Per[[#This Row],[ID_Persons]],"")</f>
        <v/>
      </c>
    </row>
    <row r="385" spans="1:5" x14ac:dyDescent="0.45">
      <c r="A385">
        <f t="shared" ca="1" si="15"/>
        <v>449</v>
      </c>
      <c r="B385">
        <f t="shared" ca="1" si="16"/>
        <v>14</v>
      </c>
      <c r="C3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5">
        <f t="shared" ca="1" si="17"/>
        <v>4</v>
      </c>
      <c r="E385" t="str">
        <f ca="1">IF(dict_zuord_Meth_Per[[#This Row],[kval_active]],dict_zuord_Meth_Per[[#This Row],[ID_Persons]],"")</f>
        <v/>
      </c>
    </row>
    <row r="386" spans="1:5" x14ac:dyDescent="0.45">
      <c r="A386">
        <f t="shared" ref="A386:A449" ca="1" si="18">RANDBETWEEN(0,700)</f>
        <v>526</v>
      </c>
      <c r="B386">
        <f t="shared" ref="B386:B449" ca="1" si="19">RANDBETWEEN(0,30)</f>
        <v>3</v>
      </c>
      <c r="C3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6">
        <f t="shared" ref="D386:D449" ca="1" si="20">RANDBETWEEN(0,30)</f>
        <v>22</v>
      </c>
      <c r="E386" t="str">
        <f ca="1">IF(dict_zuord_Meth_Per[[#This Row],[kval_active]],dict_zuord_Meth_Per[[#This Row],[ID_Persons]],"")</f>
        <v/>
      </c>
    </row>
    <row r="387" spans="1:5" x14ac:dyDescent="0.45">
      <c r="A387">
        <f t="shared" ca="1" si="18"/>
        <v>674</v>
      </c>
      <c r="B387">
        <f t="shared" ca="1" si="19"/>
        <v>10</v>
      </c>
      <c r="C3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7">
        <f t="shared" ca="1" si="20"/>
        <v>7</v>
      </c>
      <c r="E387" t="str">
        <f ca="1">IF(dict_zuord_Meth_Per[[#This Row],[kval_active]],dict_zuord_Meth_Per[[#This Row],[ID_Persons]],"")</f>
        <v/>
      </c>
    </row>
    <row r="388" spans="1:5" x14ac:dyDescent="0.45">
      <c r="A388">
        <f t="shared" ca="1" si="18"/>
        <v>447</v>
      </c>
      <c r="B388">
        <f t="shared" ca="1" si="19"/>
        <v>29</v>
      </c>
      <c r="C3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8">
        <f t="shared" ca="1" si="20"/>
        <v>28</v>
      </c>
      <c r="E388" t="str">
        <f ca="1">IF(dict_zuord_Meth_Per[[#This Row],[kval_active]],dict_zuord_Meth_Per[[#This Row],[ID_Persons]],"")</f>
        <v/>
      </c>
    </row>
    <row r="389" spans="1:5" x14ac:dyDescent="0.45">
      <c r="A389">
        <f t="shared" ca="1" si="18"/>
        <v>530</v>
      </c>
      <c r="B389">
        <f t="shared" ca="1" si="19"/>
        <v>30</v>
      </c>
      <c r="C3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89">
        <f t="shared" ca="1" si="20"/>
        <v>28</v>
      </c>
      <c r="E389" t="str">
        <f ca="1">IF(dict_zuord_Meth_Per[[#This Row],[kval_active]],dict_zuord_Meth_Per[[#This Row],[ID_Persons]],"")</f>
        <v/>
      </c>
    </row>
    <row r="390" spans="1:5" x14ac:dyDescent="0.45">
      <c r="A390">
        <f t="shared" ca="1" si="18"/>
        <v>261</v>
      </c>
      <c r="B390">
        <f t="shared" ca="1" si="19"/>
        <v>26</v>
      </c>
      <c r="C3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0">
        <f t="shared" ca="1" si="20"/>
        <v>26</v>
      </c>
      <c r="E390" t="str">
        <f ca="1">IF(dict_zuord_Meth_Per[[#This Row],[kval_active]],dict_zuord_Meth_Per[[#This Row],[ID_Persons]],"")</f>
        <v/>
      </c>
    </row>
    <row r="391" spans="1:5" x14ac:dyDescent="0.45">
      <c r="A391">
        <f t="shared" ca="1" si="18"/>
        <v>388</v>
      </c>
      <c r="B391">
        <f t="shared" ca="1" si="19"/>
        <v>13</v>
      </c>
      <c r="C3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1">
        <f t="shared" ca="1" si="20"/>
        <v>16</v>
      </c>
      <c r="E391" t="str">
        <f ca="1">IF(dict_zuord_Meth_Per[[#This Row],[kval_active]],dict_zuord_Meth_Per[[#This Row],[ID_Persons]],"")</f>
        <v/>
      </c>
    </row>
    <row r="392" spans="1:5" x14ac:dyDescent="0.45">
      <c r="A392">
        <f t="shared" ca="1" si="18"/>
        <v>270</v>
      </c>
      <c r="B392">
        <f t="shared" ca="1" si="19"/>
        <v>24</v>
      </c>
      <c r="C3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2">
        <f t="shared" ca="1" si="20"/>
        <v>20</v>
      </c>
      <c r="E392" t="str">
        <f ca="1">IF(dict_zuord_Meth_Per[[#This Row],[kval_active]],dict_zuord_Meth_Per[[#This Row],[ID_Persons]],"")</f>
        <v/>
      </c>
    </row>
    <row r="393" spans="1:5" x14ac:dyDescent="0.45">
      <c r="A393">
        <f t="shared" ca="1" si="18"/>
        <v>189</v>
      </c>
      <c r="B393">
        <f t="shared" ca="1" si="19"/>
        <v>21</v>
      </c>
      <c r="C3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3">
        <f t="shared" ca="1" si="20"/>
        <v>20</v>
      </c>
      <c r="E393">
        <f ca="1">IF(dict_zuord_Meth_Per[[#This Row],[kval_active]],dict_zuord_Meth_Per[[#This Row],[ID_Persons]],"")</f>
        <v>21</v>
      </c>
    </row>
    <row r="394" spans="1:5" x14ac:dyDescent="0.45">
      <c r="A394">
        <f t="shared" ca="1" si="18"/>
        <v>555</v>
      </c>
      <c r="B394">
        <f t="shared" ca="1" si="19"/>
        <v>0</v>
      </c>
      <c r="C3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394">
        <f t="shared" ca="1" si="20"/>
        <v>9</v>
      </c>
      <c r="E394">
        <f ca="1">IF(dict_zuord_Meth_Per[[#This Row],[kval_active]],dict_zuord_Meth_Per[[#This Row],[ID_Persons]],"")</f>
        <v>0</v>
      </c>
    </row>
    <row r="395" spans="1:5" x14ac:dyDescent="0.45">
      <c r="A395">
        <f t="shared" ca="1" si="18"/>
        <v>537</v>
      </c>
      <c r="B395">
        <f t="shared" ca="1" si="19"/>
        <v>11</v>
      </c>
      <c r="C3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5">
        <f t="shared" ca="1" si="20"/>
        <v>25</v>
      </c>
      <c r="E395" t="str">
        <f ca="1">IF(dict_zuord_Meth_Per[[#This Row],[kval_active]],dict_zuord_Meth_Per[[#This Row],[ID_Persons]],"")</f>
        <v/>
      </c>
    </row>
    <row r="396" spans="1:5" x14ac:dyDescent="0.45">
      <c r="A396">
        <f t="shared" ca="1" si="18"/>
        <v>577</v>
      </c>
      <c r="B396">
        <f t="shared" ca="1" si="19"/>
        <v>5</v>
      </c>
      <c r="C3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6">
        <f t="shared" ca="1" si="20"/>
        <v>1</v>
      </c>
      <c r="E396" t="str">
        <f ca="1">IF(dict_zuord_Meth_Per[[#This Row],[kval_active]],dict_zuord_Meth_Per[[#This Row],[ID_Persons]],"")</f>
        <v/>
      </c>
    </row>
    <row r="397" spans="1:5" x14ac:dyDescent="0.45">
      <c r="A397">
        <f t="shared" ca="1" si="18"/>
        <v>50</v>
      </c>
      <c r="B397">
        <f t="shared" ca="1" si="19"/>
        <v>26</v>
      </c>
      <c r="C3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7">
        <f t="shared" ca="1" si="20"/>
        <v>10</v>
      </c>
      <c r="E397" t="str">
        <f ca="1">IF(dict_zuord_Meth_Per[[#This Row],[kval_active]],dict_zuord_Meth_Per[[#This Row],[ID_Persons]],"")</f>
        <v/>
      </c>
    </row>
    <row r="398" spans="1:5" x14ac:dyDescent="0.45">
      <c r="A398">
        <f t="shared" ca="1" si="18"/>
        <v>261</v>
      </c>
      <c r="B398">
        <f t="shared" ca="1" si="19"/>
        <v>5</v>
      </c>
      <c r="C3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8">
        <f t="shared" ca="1" si="20"/>
        <v>22</v>
      </c>
      <c r="E398" t="str">
        <f ca="1">IF(dict_zuord_Meth_Per[[#This Row],[kval_active]],dict_zuord_Meth_Per[[#This Row],[ID_Persons]],"")</f>
        <v/>
      </c>
    </row>
    <row r="399" spans="1:5" x14ac:dyDescent="0.45">
      <c r="A399">
        <f t="shared" ca="1" si="18"/>
        <v>481</v>
      </c>
      <c r="B399">
        <f t="shared" ca="1" si="19"/>
        <v>6</v>
      </c>
      <c r="C3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399">
        <f t="shared" ca="1" si="20"/>
        <v>13</v>
      </c>
      <c r="E399" t="str">
        <f ca="1">IF(dict_zuord_Meth_Per[[#This Row],[kval_active]],dict_zuord_Meth_Per[[#This Row],[ID_Persons]],"")</f>
        <v/>
      </c>
    </row>
    <row r="400" spans="1:5" x14ac:dyDescent="0.45">
      <c r="A400">
        <f t="shared" ca="1" si="18"/>
        <v>203</v>
      </c>
      <c r="B400">
        <f t="shared" ca="1" si="19"/>
        <v>28</v>
      </c>
      <c r="C4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0">
        <f t="shared" ca="1" si="20"/>
        <v>6</v>
      </c>
      <c r="E400" t="str">
        <f ca="1">IF(dict_zuord_Meth_Per[[#This Row],[kval_active]],dict_zuord_Meth_Per[[#This Row],[ID_Persons]],"")</f>
        <v/>
      </c>
    </row>
    <row r="401" spans="1:5" x14ac:dyDescent="0.45">
      <c r="A401">
        <f t="shared" ca="1" si="18"/>
        <v>245</v>
      </c>
      <c r="B401">
        <f t="shared" ca="1" si="19"/>
        <v>11</v>
      </c>
      <c r="C40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1">
        <f t="shared" ca="1" si="20"/>
        <v>2</v>
      </c>
      <c r="E401" t="str">
        <f ca="1">IF(dict_zuord_Meth_Per[[#This Row],[kval_active]],dict_zuord_Meth_Per[[#This Row],[ID_Persons]],"")</f>
        <v/>
      </c>
    </row>
    <row r="402" spans="1:5" x14ac:dyDescent="0.45">
      <c r="A402">
        <f t="shared" ca="1" si="18"/>
        <v>340</v>
      </c>
      <c r="B402">
        <f t="shared" ca="1" si="19"/>
        <v>6</v>
      </c>
      <c r="C40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2">
        <f t="shared" ca="1" si="20"/>
        <v>27</v>
      </c>
      <c r="E402" t="str">
        <f ca="1">IF(dict_zuord_Meth_Per[[#This Row],[kval_active]],dict_zuord_Meth_Per[[#This Row],[ID_Persons]],"")</f>
        <v/>
      </c>
    </row>
    <row r="403" spans="1:5" x14ac:dyDescent="0.45">
      <c r="A403">
        <f t="shared" ca="1" si="18"/>
        <v>474</v>
      </c>
      <c r="B403">
        <f t="shared" ca="1" si="19"/>
        <v>13</v>
      </c>
      <c r="C40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3">
        <f t="shared" ca="1" si="20"/>
        <v>16</v>
      </c>
      <c r="E403" t="str">
        <f ca="1">IF(dict_zuord_Meth_Per[[#This Row],[kval_active]],dict_zuord_Meth_Per[[#This Row],[ID_Persons]],"")</f>
        <v/>
      </c>
    </row>
    <row r="404" spans="1:5" x14ac:dyDescent="0.45">
      <c r="A404">
        <f t="shared" ca="1" si="18"/>
        <v>693</v>
      </c>
      <c r="B404">
        <f t="shared" ca="1" si="19"/>
        <v>14</v>
      </c>
      <c r="C40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4">
        <f t="shared" ca="1" si="20"/>
        <v>8</v>
      </c>
      <c r="E404" t="str">
        <f ca="1">IF(dict_zuord_Meth_Per[[#This Row],[kval_active]],dict_zuord_Meth_Per[[#This Row],[ID_Persons]],"")</f>
        <v/>
      </c>
    </row>
    <row r="405" spans="1:5" x14ac:dyDescent="0.45">
      <c r="A405">
        <f t="shared" ca="1" si="18"/>
        <v>659</v>
      </c>
      <c r="B405">
        <f t="shared" ca="1" si="19"/>
        <v>8</v>
      </c>
      <c r="C40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5">
        <f t="shared" ca="1" si="20"/>
        <v>29</v>
      </c>
      <c r="E405" t="str">
        <f ca="1">IF(dict_zuord_Meth_Per[[#This Row],[kval_active]],dict_zuord_Meth_Per[[#This Row],[ID_Persons]],"")</f>
        <v/>
      </c>
    </row>
    <row r="406" spans="1:5" x14ac:dyDescent="0.45">
      <c r="A406">
        <f t="shared" ca="1" si="18"/>
        <v>212</v>
      </c>
      <c r="B406">
        <f t="shared" ca="1" si="19"/>
        <v>6</v>
      </c>
      <c r="C40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6">
        <f t="shared" ca="1" si="20"/>
        <v>7</v>
      </c>
      <c r="E406" t="str">
        <f ca="1">IF(dict_zuord_Meth_Per[[#This Row],[kval_active]],dict_zuord_Meth_Per[[#This Row],[ID_Persons]],"")</f>
        <v/>
      </c>
    </row>
    <row r="407" spans="1:5" x14ac:dyDescent="0.45">
      <c r="A407">
        <f t="shared" ca="1" si="18"/>
        <v>124</v>
      </c>
      <c r="B407">
        <f t="shared" ca="1" si="19"/>
        <v>0</v>
      </c>
      <c r="C40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7">
        <f t="shared" ca="1" si="20"/>
        <v>3</v>
      </c>
      <c r="E407" t="str">
        <f ca="1">IF(dict_zuord_Meth_Per[[#This Row],[kval_active]],dict_zuord_Meth_Per[[#This Row],[ID_Persons]],"")</f>
        <v/>
      </c>
    </row>
    <row r="408" spans="1:5" x14ac:dyDescent="0.45">
      <c r="A408">
        <f t="shared" ca="1" si="18"/>
        <v>685</v>
      </c>
      <c r="B408">
        <f t="shared" ca="1" si="19"/>
        <v>0</v>
      </c>
      <c r="C40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8">
        <f t="shared" ca="1" si="20"/>
        <v>4</v>
      </c>
      <c r="E408" t="str">
        <f ca="1">IF(dict_zuord_Meth_Per[[#This Row],[kval_active]],dict_zuord_Meth_Per[[#This Row],[ID_Persons]],"")</f>
        <v/>
      </c>
    </row>
    <row r="409" spans="1:5" x14ac:dyDescent="0.45">
      <c r="A409">
        <f t="shared" ca="1" si="18"/>
        <v>551</v>
      </c>
      <c r="B409">
        <f t="shared" ca="1" si="19"/>
        <v>21</v>
      </c>
      <c r="C40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09">
        <f t="shared" ca="1" si="20"/>
        <v>14</v>
      </c>
      <c r="E409" t="str">
        <f ca="1">IF(dict_zuord_Meth_Per[[#This Row],[kval_active]],dict_zuord_Meth_Per[[#This Row],[ID_Persons]],"")</f>
        <v/>
      </c>
    </row>
    <row r="410" spans="1:5" x14ac:dyDescent="0.45">
      <c r="A410">
        <f t="shared" ca="1" si="18"/>
        <v>49</v>
      </c>
      <c r="B410">
        <f t="shared" ca="1" si="19"/>
        <v>28</v>
      </c>
      <c r="C41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0">
        <f t="shared" ca="1" si="20"/>
        <v>30</v>
      </c>
      <c r="E410" t="str">
        <f ca="1">IF(dict_zuord_Meth_Per[[#This Row],[kval_active]],dict_zuord_Meth_Per[[#This Row],[ID_Persons]],"")</f>
        <v/>
      </c>
    </row>
    <row r="411" spans="1:5" x14ac:dyDescent="0.45">
      <c r="A411">
        <f t="shared" ca="1" si="18"/>
        <v>600</v>
      </c>
      <c r="B411">
        <f t="shared" ca="1" si="19"/>
        <v>0</v>
      </c>
      <c r="C41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1">
        <f t="shared" ca="1" si="20"/>
        <v>18</v>
      </c>
      <c r="E411" t="str">
        <f ca="1">IF(dict_zuord_Meth_Per[[#This Row],[kval_active]],dict_zuord_Meth_Per[[#This Row],[ID_Persons]],"")</f>
        <v/>
      </c>
    </row>
    <row r="412" spans="1:5" x14ac:dyDescent="0.45">
      <c r="A412">
        <f t="shared" ca="1" si="18"/>
        <v>474</v>
      </c>
      <c r="B412">
        <f t="shared" ca="1" si="19"/>
        <v>3</v>
      </c>
      <c r="C41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2">
        <f t="shared" ca="1" si="20"/>
        <v>6</v>
      </c>
      <c r="E412" t="str">
        <f ca="1">IF(dict_zuord_Meth_Per[[#This Row],[kval_active]],dict_zuord_Meth_Per[[#This Row],[ID_Persons]],"")</f>
        <v/>
      </c>
    </row>
    <row r="413" spans="1:5" x14ac:dyDescent="0.45">
      <c r="A413">
        <f t="shared" ca="1" si="18"/>
        <v>469</v>
      </c>
      <c r="B413">
        <f t="shared" ca="1" si="19"/>
        <v>2</v>
      </c>
      <c r="C41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3">
        <f t="shared" ca="1" si="20"/>
        <v>16</v>
      </c>
      <c r="E413" t="str">
        <f ca="1">IF(dict_zuord_Meth_Per[[#This Row],[kval_active]],dict_zuord_Meth_Per[[#This Row],[ID_Persons]],"")</f>
        <v/>
      </c>
    </row>
    <row r="414" spans="1:5" x14ac:dyDescent="0.45">
      <c r="A414">
        <f t="shared" ca="1" si="18"/>
        <v>294</v>
      </c>
      <c r="B414">
        <f t="shared" ca="1" si="19"/>
        <v>9</v>
      </c>
      <c r="C41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4">
        <f t="shared" ca="1" si="20"/>
        <v>28</v>
      </c>
      <c r="E414" t="str">
        <f ca="1">IF(dict_zuord_Meth_Per[[#This Row],[kval_active]],dict_zuord_Meth_Per[[#This Row],[ID_Persons]],"")</f>
        <v/>
      </c>
    </row>
    <row r="415" spans="1:5" x14ac:dyDescent="0.45">
      <c r="A415">
        <f t="shared" ca="1" si="18"/>
        <v>602</v>
      </c>
      <c r="B415">
        <f t="shared" ca="1" si="19"/>
        <v>5</v>
      </c>
      <c r="C41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5">
        <f t="shared" ca="1" si="20"/>
        <v>8</v>
      </c>
      <c r="E415" t="str">
        <f ca="1">IF(dict_zuord_Meth_Per[[#This Row],[kval_active]],dict_zuord_Meth_Per[[#This Row],[ID_Persons]],"")</f>
        <v/>
      </c>
    </row>
    <row r="416" spans="1:5" x14ac:dyDescent="0.45">
      <c r="A416">
        <f t="shared" ca="1" si="18"/>
        <v>109</v>
      </c>
      <c r="B416">
        <f t="shared" ca="1" si="19"/>
        <v>17</v>
      </c>
      <c r="C41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6">
        <f t="shared" ca="1" si="20"/>
        <v>27</v>
      </c>
      <c r="E416" t="str">
        <f ca="1">IF(dict_zuord_Meth_Per[[#This Row],[kval_active]],dict_zuord_Meth_Per[[#This Row],[ID_Persons]],"")</f>
        <v/>
      </c>
    </row>
    <row r="417" spans="1:5" x14ac:dyDescent="0.45">
      <c r="A417">
        <f t="shared" ca="1" si="18"/>
        <v>343</v>
      </c>
      <c r="B417">
        <f t="shared" ca="1" si="19"/>
        <v>2</v>
      </c>
      <c r="C41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7">
        <f t="shared" ca="1" si="20"/>
        <v>25</v>
      </c>
      <c r="E417" t="str">
        <f ca="1">IF(dict_zuord_Meth_Per[[#This Row],[kval_active]],dict_zuord_Meth_Per[[#This Row],[ID_Persons]],"")</f>
        <v/>
      </c>
    </row>
    <row r="418" spans="1:5" x14ac:dyDescent="0.45">
      <c r="A418">
        <f t="shared" ca="1" si="18"/>
        <v>553</v>
      </c>
      <c r="B418">
        <f t="shared" ca="1" si="19"/>
        <v>29</v>
      </c>
      <c r="C41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8">
        <f t="shared" ca="1" si="20"/>
        <v>6</v>
      </c>
      <c r="E418" t="str">
        <f ca="1">IF(dict_zuord_Meth_Per[[#This Row],[kval_active]],dict_zuord_Meth_Per[[#This Row],[ID_Persons]],"")</f>
        <v/>
      </c>
    </row>
    <row r="419" spans="1:5" x14ac:dyDescent="0.45">
      <c r="A419">
        <f t="shared" ca="1" si="18"/>
        <v>173</v>
      </c>
      <c r="B419">
        <f t="shared" ca="1" si="19"/>
        <v>15</v>
      </c>
      <c r="C41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19">
        <f t="shared" ca="1" si="20"/>
        <v>26</v>
      </c>
      <c r="E419" t="str">
        <f ca="1">IF(dict_zuord_Meth_Per[[#This Row],[kval_active]],dict_zuord_Meth_Per[[#This Row],[ID_Persons]],"")</f>
        <v/>
      </c>
    </row>
    <row r="420" spans="1:5" x14ac:dyDescent="0.45">
      <c r="A420">
        <f t="shared" ca="1" si="18"/>
        <v>281</v>
      </c>
      <c r="B420">
        <f t="shared" ca="1" si="19"/>
        <v>8</v>
      </c>
      <c r="C42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0">
        <f t="shared" ca="1" si="20"/>
        <v>24</v>
      </c>
      <c r="E420" t="str">
        <f ca="1">IF(dict_zuord_Meth_Per[[#This Row],[kval_active]],dict_zuord_Meth_Per[[#This Row],[ID_Persons]],"")</f>
        <v/>
      </c>
    </row>
    <row r="421" spans="1:5" x14ac:dyDescent="0.45">
      <c r="A421">
        <f t="shared" ca="1" si="18"/>
        <v>79</v>
      </c>
      <c r="B421">
        <f t="shared" ca="1" si="19"/>
        <v>6</v>
      </c>
      <c r="C42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1">
        <f t="shared" ca="1" si="20"/>
        <v>18</v>
      </c>
      <c r="E421" t="str">
        <f ca="1">IF(dict_zuord_Meth_Per[[#This Row],[kval_active]],dict_zuord_Meth_Per[[#This Row],[ID_Persons]],"")</f>
        <v/>
      </c>
    </row>
    <row r="422" spans="1:5" x14ac:dyDescent="0.45">
      <c r="A422">
        <f t="shared" ca="1" si="18"/>
        <v>573</v>
      </c>
      <c r="B422">
        <f t="shared" ca="1" si="19"/>
        <v>21</v>
      </c>
      <c r="C42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2">
        <f t="shared" ca="1" si="20"/>
        <v>8</v>
      </c>
      <c r="E422" t="str">
        <f ca="1">IF(dict_zuord_Meth_Per[[#This Row],[kval_active]],dict_zuord_Meth_Per[[#This Row],[ID_Persons]],"")</f>
        <v/>
      </c>
    </row>
    <row r="423" spans="1:5" x14ac:dyDescent="0.45">
      <c r="A423">
        <f t="shared" ca="1" si="18"/>
        <v>79</v>
      </c>
      <c r="B423">
        <f t="shared" ca="1" si="19"/>
        <v>22</v>
      </c>
      <c r="C42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3">
        <f t="shared" ca="1" si="20"/>
        <v>23</v>
      </c>
      <c r="E423" t="str">
        <f ca="1">IF(dict_zuord_Meth_Per[[#This Row],[kval_active]],dict_zuord_Meth_Per[[#This Row],[ID_Persons]],"")</f>
        <v/>
      </c>
    </row>
    <row r="424" spans="1:5" x14ac:dyDescent="0.45">
      <c r="A424">
        <f t="shared" ca="1" si="18"/>
        <v>243</v>
      </c>
      <c r="B424">
        <f t="shared" ca="1" si="19"/>
        <v>25</v>
      </c>
      <c r="C42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4">
        <f t="shared" ca="1" si="20"/>
        <v>9</v>
      </c>
      <c r="E424" t="str">
        <f ca="1">IF(dict_zuord_Meth_Per[[#This Row],[kval_active]],dict_zuord_Meth_Per[[#This Row],[ID_Persons]],"")</f>
        <v/>
      </c>
    </row>
    <row r="425" spans="1:5" x14ac:dyDescent="0.45">
      <c r="A425">
        <f t="shared" ca="1" si="18"/>
        <v>192</v>
      </c>
      <c r="B425">
        <f t="shared" ca="1" si="19"/>
        <v>11</v>
      </c>
      <c r="C42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5">
        <f t="shared" ca="1" si="20"/>
        <v>4</v>
      </c>
      <c r="E425" t="str">
        <f ca="1">IF(dict_zuord_Meth_Per[[#This Row],[kval_active]],dict_zuord_Meth_Per[[#This Row],[ID_Persons]],"")</f>
        <v/>
      </c>
    </row>
    <row r="426" spans="1:5" x14ac:dyDescent="0.45">
      <c r="A426">
        <f t="shared" ca="1" si="18"/>
        <v>58</v>
      </c>
      <c r="B426">
        <f t="shared" ca="1" si="19"/>
        <v>0</v>
      </c>
      <c r="C42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6">
        <f t="shared" ca="1" si="20"/>
        <v>21</v>
      </c>
      <c r="E426" t="str">
        <f ca="1">IF(dict_zuord_Meth_Per[[#This Row],[kval_active]],dict_zuord_Meth_Per[[#This Row],[ID_Persons]],"")</f>
        <v/>
      </c>
    </row>
    <row r="427" spans="1:5" x14ac:dyDescent="0.45">
      <c r="A427">
        <f t="shared" ca="1" si="18"/>
        <v>458</v>
      </c>
      <c r="B427">
        <f t="shared" ca="1" si="19"/>
        <v>4</v>
      </c>
      <c r="C42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7">
        <f t="shared" ca="1" si="20"/>
        <v>29</v>
      </c>
      <c r="E427" t="str">
        <f ca="1">IF(dict_zuord_Meth_Per[[#This Row],[kval_active]],dict_zuord_Meth_Per[[#This Row],[ID_Persons]],"")</f>
        <v/>
      </c>
    </row>
    <row r="428" spans="1:5" x14ac:dyDescent="0.45">
      <c r="A428">
        <f t="shared" ca="1" si="18"/>
        <v>370</v>
      </c>
      <c r="B428">
        <f t="shared" ca="1" si="19"/>
        <v>18</v>
      </c>
      <c r="C42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8">
        <f t="shared" ca="1" si="20"/>
        <v>11</v>
      </c>
      <c r="E428" t="str">
        <f ca="1">IF(dict_zuord_Meth_Per[[#This Row],[kval_active]],dict_zuord_Meth_Per[[#This Row],[ID_Persons]],"")</f>
        <v/>
      </c>
    </row>
    <row r="429" spans="1:5" x14ac:dyDescent="0.45">
      <c r="A429">
        <f t="shared" ca="1" si="18"/>
        <v>635</v>
      </c>
      <c r="B429">
        <f t="shared" ca="1" si="19"/>
        <v>23</v>
      </c>
      <c r="C42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29">
        <f t="shared" ca="1" si="20"/>
        <v>28</v>
      </c>
      <c r="E429" t="str">
        <f ca="1">IF(dict_zuord_Meth_Per[[#This Row],[kval_active]],dict_zuord_Meth_Per[[#This Row],[ID_Persons]],"")</f>
        <v/>
      </c>
    </row>
    <row r="430" spans="1:5" x14ac:dyDescent="0.45">
      <c r="A430">
        <f t="shared" ca="1" si="18"/>
        <v>603</v>
      </c>
      <c r="B430">
        <f t="shared" ca="1" si="19"/>
        <v>23</v>
      </c>
      <c r="C43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0">
        <f t="shared" ca="1" si="20"/>
        <v>30</v>
      </c>
      <c r="E430" t="str">
        <f ca="1">IF(dict_zuord_Meth_Per[[#This Row],[kval_active]],dict_zuord_Meth_Per[[#This Row],[ID_Persons]],"")</f>
        <v/>
      </c>
    </row>
    <row r="431" spans="1:5" x14ac:dyDescent="0.45">
      <c r="A431">
        <f t="shared" ca="1" si="18"/>
        <v>675</v>
      </c>
      <c r="B431">
        <f t="shared" ca="1" si="19"/>
        <v>16</v>
      </c>
      <c r="C43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1">
        <f t="shared" ca="1" si="20"/>
        <v>6</v>
      </c>
      <c r="E431" t="str">
        <f ca="1">IF(dict_zuord_Meth_Per[[#This Row],[kval_active]],dict_zuord_Meth_Per[[#This Row],[ID_Persons]],"")</f>
        <v/>
      </c>
    </row>
    <row r="432" spans="1:5" x14ac:dyDescent="0.45">
      <c r="A432">
        <f t="shared" ca="1" si="18"/>
        <v>93</v>
      </c>
      <c r="B432">
        <f t="shared" ca="1" si="19"/>
        <v>22</v>
      </c>
      <c r="C43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2">
        <f t="shared" ca="1" si="20"/>
        <v>10</v>
      </c>
      <c r="E432" t="str">
        <f ca="1">IF(dict_zuord_Meth_Per[[#This Row],[kval_active]],dict_zuord_Meth_Per[[#This Row],[ID_Persons]],"")</f>
        <v/>
      </c>
    </row>
    <row r="433" spans="1:5" x14ac:dyDescent="0.45">
      <c r="A433">
        <f t="shared" ca="1" si="18"/>
        <v>7</v>
      </c>
      <c r="B433">
        <f t="shared" ca="1" si="19"/>
        <v>29</v>
      </c>
      <c r="C43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3">
        <f t="shared" ca="1" si="20"/>
        <v>2</v>
      </c>
      <c r="E433" t="str">
        <f ca="1">IF(dict_zuord_Meth_Per[[#This Row],[kval_active]],dict_zuord_Meth_Per[[#This Row],[ID_Persons]],"")</f>
        <v/>
      </c>
    </row>
    <row r="434" spans="1:5" x14ac:dyDescent="0.45">
      <c r="A434">
        <f t="shared" ca="1" si="18"/>
        <v>75</v>
      </c>
      <c r="B434">
        <f t="shared" ca="1" si="19"/>
        <v>15</v>
      </c>
      <c r="C43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4">
        <f t="shared" ca="1" si="20"/>
        <v>24</v>
      </c>
      <c r="E434" t="str">
        <f ca="1">IF(dict_zuord_Meth_Per[[#This Row],[kval_active]],dict_zuord_Meth_Per[[#This Row],[ID_Persons]],"")</f>
        <v/>
      </c>
    </row>
    <row r="435" spans="1:5" x14ac:dyDescent="0.45">
      <c r="A435">
        <f t="shared" ca="1" si="18"/>
        <v>667</v>
      </c>
      <c r="B435">
        <f t="shared" ca="1" si="19"/>
        <v>0</v>
      </c>
      <c r="C43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5">
        <f t="shared" ca="1" si="20"/>
        <v>13</v>
      </c>
      <c r="E435" t="str">
        <f ca="1">IF(dict_zuord_Meth_Per[[#This Row],[kval_active]],dict_zuord_Meth_Per[[#This Row],[ID_Persons]],"")</f>
        <v/>
      </c>
    </row>
    <row r="436" spans="1:5" x14ac:dyDescent="0.45">
      <c r="A436">
        <f t="shared" ca="1" si="18"/>
        <v>242</v>
      </c>
      <c r="B436">
        <f t="shared" ca="1" si="19"/>
        <v>23</v>
      </c>
      <c r="C43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6">
        <f t="shared" ca="1" si="20"/>
        <v>15</v>
      </c>
      <c r="E436" t="str">
        <f ca="1">IF(dict_zuord_Meth_Per[[#This Row],[kval_active]],dict_zuord_Meth_Per[[#This Row],[ID_Persons]],"")</f>
        <v/>
      </c>
    </row>
    <row r="437" spans="1:5" x14ac:dyDescent="0.45">
      <c r="A437">
        <f t="shared" ca="1" si="18"/>
        <v>199</v>
      </c>
      <c r="B437">
        <f t="shared" ca="1" si="19"/>
        <v>25</v>
      </c>
      <c r="C43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7">
        <f t="shared" ca="1" si="20"/>
        <v>18</v>
      </c>
      <c r="E437" t="str">
        <f ca="1">IF(dict_zuord_Meth_Per[[#This Row],[kval_active]],dict_zuord_Meth_Per[[#This Row],[ID_Persons]],"")</f>
        <v/>
      </c>
    </row>
    <row r="438" spans="1:5" x14ac:dyDescent="0.45">
      <c r="A438">
        <f t="shared" ca="1" si="18"/>
        <v>489</v>
      </c>
      <c r="B438">
        <f t="shared" ca="1" si="19"/>
        <v>28</v>
      </c>
      <c r="C43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8">
        <f t="shared" ca="1" si="20"/>
        <v>19</v>
      </c>
      <c r="E438" t="str">
        <f ca="1">IF(dict_zuord_Meth_Per[[#This Row],[kval_active]],dict_zuord_Meth_Per[[#This Row],[ID_Persons]],"")</f>
        <v/>
      </c>
    </row>
    <row r="439" spans="1:5" x14ac:dyDescent="0.45">
      <c r="A439">
        <f t="shared" ca="1" si="18"/>
        <v>230</v>
      </c>
      <c r="B439">
        <f t="shared" ca="1" si="19"/>
        <v>22</v>
      </c>
      <c r="C43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39">
        <f t="shared" ca="1" si="20"/>
        <v>16</v>
      </c>
      <c r="E439" t="str">
        <f ca="1">IF(dict_zuord_Meth_Per[[#This Row],[kval_active]],dict_zuord_Meth_Per[[#This Row],[ID_Persons]],"")</f>
        <v/>
      </c>
    </row>
    <row r="440" spans="1:5" x14ac:dyDescent="0.45">
      <c r="A440">
        <f t="shared" ca="1" si="18"/>
        <v>659</v>
      </c>
      <c r="B440">
        <f t="shared" ca="1" si="19"/>
        <v>20</v>
      </c>
      <c r="C44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0">
        <f t="shared" ca="1" si="20"/>
        <v>22</v>
      </c>
      <c r="E440" t="str">
        <f ca="1">IF(dict_zuord_Meth_Per[[#This Row],[kval_active]],dict_zuord_Meth_Per[[#This Row],[ID_Persons]],"")</f>
        <v/>
      </c>
    </row>
    <row r="441" spans="1:5" x14ac:dyDescent="0.45">
      <c r="A441">
        <f t="shared" ca="1" si="18"/>
        <v>208</v>
      </c>
      <c r="B441">
        <f t="shared" ca="1" si="19"/>
        <v>1</v>
      </c>
      <c r="C44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1">
        <f t="shared" ca="1" si="20"/>
        <v>3</v>
      </c>
      <c r="E441" t="str">
        <f ca="1">IF(dict_zuord_Meth_Per[[#This Row],[kval_active]],dict_zuord_Meth_Per[[#This Row],[ID_Persons]],"")</f>
        <v/>
      </c>
    </row>
    <row r="442" spans="1:5" x14ac:dyDescent="0.45">
      <c r="A442">
        <f t="shared" ca="1" si="18"/>
        <v>202</v>
      </c>
      <c r="B442">
        <f t="shared" ca="1" si="19"/>
        <v>6</v>
      </c>
      <c r="C44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2">
        <f t="shared" ca="1" si="20"/>
        <v>17</v>
      </c>
      <c r="E442" t="str">
        <f ca="1">IF(dict_zuord_Meth_Per[[#This Row],[kval_active]],dict_zuord_Meth_Per[[#This Row],[ID_Persons]],"")</f>
        <v/>
      </c>
    </row>
    <row r="443" spans="1:5" x14ac:dyDescent="0.45">
      <c r="A443">
        <f t="shared" ca="1" si="18"/>
        <v>604</v>
      </c>
      <c r="B443">
        <f t="shared" ca="1" si="19"/>
        <v>4</v>
      </c>
      <c r="C44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3">
        <f t="shared" ca="1" si="20"/>
        <v>24</v>
      </c>
      <c r="E443" t="str">
        <f ca="1">IF(dict_zuord_Meth_Per[[#This Row],[kval_active]],dict_zuord_Meth_Per[[#This Row],[ID_Persons]],"")</f>
        <v/>
      </c>
    </row>
    <row r="444" spans="1:5" x14ac:dyDescent="0.45">
      <c r="A444">
        <f t="shared" ca="1" si="18"/>
        <v>347</v>
      </c>
      <c r="B444">
        <f t="shared" ca="1" si="19"/>
        <v>5</v>
      </c>
      <c r="C44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4">
        <f t="shared" ca="1" si="20"/>
        <v>26</v>
      </c>
      <c r="E444" t="str">
        <f ca="1">IF(dict_zuord_Meth_Per[[#This Row],[kval_active]],dict_zuord_Meth_Per[[#This Row],[ID_Persons]],"")</f>
        <v/>
      </c>
    </row>
    <row r="445" spans="1:5" x14ac:dyDescent="0.45">
      <c r="A445">
        <f t="shared" ca="1" si="18"/>
        <v>367</v>
      </c>
      <c r="B445">
        <f t="shared" ca="1" si="19"/>
        <v>23</v>
      </c>
      <c r="C44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5">
        <f t="shared" ca="1" si="20"/>
        <v>0</v>
      </c>
      <c r="E445" t="str">
        <f ca="1">IF(dict_zuord_Meth_Per[[#This Row],[kval_active]],dict_zuord_Meth_Per[[#This Row],[ID_Persons]],"")</f>
        <v/>
      </c>
    </row>
    <row r="446" spans="1:5" x14ac:dyDescent="0.45">
      <c r="A446">
        <f t="shared" ca="1" si="18"/>
        <v>13</v>
      </c>
      <c r="B446">
        <f t="shared" ca="1" si="19"/>
        <v>18</v>
      </c>
      <c r="C44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6">
        <f t="shared" ca="1" si="20"/>
        <v>28</v>
      </c>
      <c r="E446" t="str">
        <f ca="1">IF(dict_zuord_Meth_Per[[#This Row],[kval_active]],dict_zuord_Meth_Per[[#This Row],[ID_Persons]],"")</f>
        <v/>
      </c>
    </row>
    <row r="447" spans="1:5" x14ac:dyDescent="0.45">
      <c r="A447">
        <f t="shared" ca="1" si="18"/>
        <v>424</v>
      </c>
      <c r="B447">
        <f t="shared" ca="1" si="19"/>
        <v>2</v>
      </c>
      <c r="C44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7">
        <f t="shared" ca="1" si="20"/>
        <v>23</v>
      </c>
      <c r="E447" t="str">
        <f ca="1">IF(dict_zuord_Meth_Per[[#This Row],[kval_active]],dict_zuord_Meth_Per[[#This Row],[ID_Persons]],"")</f>
        <v/>
      </c>
    </row>
    <row r="448" spans="1:5" x14ac:dyDescent="0.45">
      <c r="A448">
        <f t="shared" ca="1" si="18"/>
        <v>209</v>
      </c>
      <c r="B448">
        <f t="shared" ca="1" si="19"/>
        <v>8</v>
      </c>
      <c r="C44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8">
        <f t="shared" ca="1" si="20"/>
        <v>13</v>
      </c>
      <c r="E448" t="str">
        <f ca="1">IF(dict_zuord_Meth_Per[[#This Row],[kval_active]],dict_zuord_Meth_Per[[#This Row],[ID_Persons]],"")</f>
        <v/>
      </c>
    </row>
    <row r="449" spans="1:5" x14ac:dyDescent="0.45">
      <c r="A449">
        <f t="shared" ca="1" si="18"/>
        <v>133</v>
      </c>
      <c r="B449">
        <f t="shared" ca="1" si="19"/>
        <v>8</v>
      </c>
      <c r="C44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49">
        <f t="shared" ca="1" si="20"/>
        <v>4</v>
      </c>
      <c r="E449" t="str">
        <f ca="1">IF(dict_zuord_Meth_Per[[#This Row],[kval_active]],dict_zuord_Meth_Per[[#This Row],[ID_Persons]],"")</f>
        <v/>
      </c>
    </row>
    <row r="450" spans="1:5" x14ac:dyDescent="0.45">
      <c r="A450">
        <f t="shared" ref="A450:A500" ca="1" si="21">RANDBETWEEN(0,700)</f>
        <v>598</v>
      </c>
      <c r="B450">
        <f t="shared" ref="B450:B500" ca="1" si="22">RANDBETWEEN(0,30)</f>
        <v>10</v>
      </c>
      <c r="C45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0">
        <f t="shared" ref="D450:D500" ca="1" si="23">RANDBETWEEN(0,30)</f>
        <v>2</v>
      </c>
      <c r="E450" t="str">
        <f ca="1">IF(dict_zuord_Meth_Per[[#This Row],[kval_active]],dict_zuord_Meth_Per[[#This Row],[ID_Persons]],"")</f>
        <v/>
      </c>
    </row>
    <row r="451" spans="1:5" x14ac:dyDescent="0.45">
      <c r="A451">
        <f t="shared" ca="1" si="21"/>
        <v>536</v>
      </c>
      <c r="B451">
        <f t="shared" ca="1" si="22"/>
        <v>15</v>
      </c>
      <c r="C45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1">
        <f t="shared" ca="1" si="23"/>
        <v>1</v>
      </c>
      <c r="E451" t="str">
        <f ca="1">IF(dict_zuord_Meth_Per[[#This Row],[kval_active]],dict_zuord_Meth_Per[[#This Row],[ID_Persons]],"")</f>
        <v/>
      </c>
    </row>
    <row r="452" spans="1:5" x14ac:dyDescent="0.45">
      <c r="A452">
        <f t="shared" ca="1" si="21"/>
        <v>16</v>
      </c>
      <c r="B452">
        <f t="shared" ca="1" si="22"/>
        <v>11</v>
      </c>
      <c r="C45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2">
        <f t="shared" ca="1" si="23"/>
        <v>2</v>
      </c>
      <c r="E452" t="str">
        <f ca="1">IF(dict_zuord_Meth_Per[[#This Row],[kval_active]],dict_zuord_Meth_Per[[#This Row],[ID_Persons]],"")</f>
        <v/>
      </c>
    </row>
    <row r="453" spans="1:5" x14ac:dyDescent="0.45">
      <c r="A453">
        <f t="shared" ca="1" si="21"/>
        <v>396</v>
      </c>
      <c r="B453">
        <f t="shared" ca="1" si="22"/>
        <v>25</v>
      </c>
      <c r="C45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3">
        <f t="shared" ca="1" si="23"/>
        <v>10</v>
      </c>
      <c r="E453" t="str">
        <f ca="1">IF(dict_zuord_Meth_Per[[#This Row],[kval_active]],dict_zuord_Meth_Per[[#This Row],[ID_Persons]],"")</f>
        <v/>
      </c>
    </row>
    <row r="454" spans="1:5" x14ac:dyDescent="0.45">
      <c r="A454">
        <f t="shared" ca="1" si="21"/>
        <v>358</v>
      </c>
      <c r="B454">
        <f t="shared" ca="1" si="22"/>
        <v>29</v>
      </c>
      <c r="C45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4">
        <f t="shared" ca="1" si="23"/>
        <v>26</v>
      </c>
      <c r="E454" t="str">
        <f ca="1">IF(dict_zuord_Meth_Per[[#This Row],[kval_active]],dict_zuord_Meth_Per[[#This Row],[ID_Persons]],"")</f>
        <v/>
      </c>
    </row>
    <row r="455" spans="1:5" x14ac:dyDescent="0.45">
      <c r="A455">
        <f t="shared" ca="1" si="21"/>
        <v>440</v>
      </c>
      <c r="B455">
        <f t="shared" ca="1" si="22"/>
        <v>26</v>
      </c>
      <c r="C45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5">
        <f t="shared" ca="1" si="23"/>
        <v>20</v>
      </c>
      <c r="E455" t="str">
        <f ca="1">IF(dict_zuord_Meth_Per[[#This Row],[kval_active]],dict_zuord_Meth_Per[[#This Row],[ID_Persons]],"")</f>
        <v/>
      </c>
    </row>
    <row r="456" spans="1:5" x14ac:dyDescent="0.45">
      <c r="A456">
        <f t="shared" ca="1" si="21"/>
        <v>155</v>
      </c>
      <c r="B456">
        <f t="shared" ca="1" si="22"/>
        <v>11</v>
      </c>
      <c r="C45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6">
        <f t="shared" ca="1" si="23"/>
        <v>23</v>
      </c>
      <c r="E456" t="str">
        <f ca="1">IF(dict_zuord_Meth_Per[[#This Row],[kval_active]],dict_zuord_Meth_Per[[#This Row],[ID_Persons]],"")</f>
        <v/>
      </c>
    </row>
    <row r="457" spans="1:5" x14ac:dyDescent="0.45">
      <c r="A457">
        <f t="shared" ca="1" si="21"/>
        <v>354</v>
      </c>
      <c r="B457">
        <f t="shared" ca="1" si="22"/>
        <v>12</v>
      </c>
      <c r="C45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7">
        <f t="shared" ca="1" si="23"/>
        <v>8</v>
      </c>
      <c r="E457" t="str">
        <f ca="1">IF(dict_zuord_Meth_Per[[#This Row],[kval_active]],dict_zuord_Meth_Per[[#This Row],[ID_Persons]],"")</f>
        <v/>
      </c>
    </row>
    <row r="458" spans="1:5" x14ac:dyDescent="0.45">
      <c r="A458">
        <f t="shared" ca="1" si="21"/>
        <v>544</v>
      </c>
      <c r="B458">
        <f t="shared" ca="1" si="22"/>
        <v>13</v>
      </c>
      <c r="C45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8">
        <f t="shared" ca="1" si="23"/>
        <v>3</v>
      </c>
      <c r="E458" t="str">
        <f ca="1">IF(dict_zuord_Meth_Per[[#This Row],[kval_active]],dict_zuord_Meth_Per[[#This Row],[ID_Persons]],"")</f>
        <v/>
      </c>
    </row>
    <row r="459" spans="1:5" x14ac:dyDescent="0.45">
      <c r="A459">
        <f t="shared" ca="1" si="21"/>
        <v>300</v>
      </c>
      <c r="B459">
        <f t="shared" ca="1" si="22"/>
        <v>6</v>
      </c>
      <c r="C45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59">
        <f t="shared" ca="1" si="23"/>
        <v>29</v>
      </c>
      <c r="E459" t="str">
        <f ca="1">IF(dict_zuord_Meth_Per[[#This Row],[kval_active]],dict_zuord_Meth_Per[[#This Row],[ID_Persons]],"")</f>
        <v/>
      </c>
    </row>
    <row r="460" spans="1:5" x14ac:dyDescent="0.45">
      <c r="A460">
        <f t="shared" ca="1" si="21"/>
        <v>540</v>
      </c>
      <c r="B460">
        <f t="shared" ca="1" si="22"/>
        <v>3</v>
      </c>
      <c r="C46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0">
        <f t="shared" ca="1" si="23"/>
        <v>29</v>
      </c>
      <c r="E460" t="str">
        <f ca="1">IF(dict_zuord_Meth_Per[[#This Row],[kval_active]],dict_zuord_Meth_Per[[#This Row],[ID_Persons]],"")</f>
        <v/>
      </c>
    </row>
    <row r="461" spans="1:5" x14ac:dyDescent="0.45">
      <c r="A461">
        <f t="shared" ca="1" si="21"/>
        <v>170</v>
      </c>
      <c r="B461">
        <f t="shared" ca="1" si="22"/>
        <v>2</v>
      </c>
      <c r="C46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1">
        <f t="shared" ca="1" si="23"/>
        <v>8</v>
      </c>
      <c r="E461" t="str">
        <f ca="1">IF(dict_zuord_Meth_Per[[#This Row],[kval_active]],dict_zuord_Meth_Per[[#This Row],[ID_Persons]],"")</f>
        <v/>
      </c>
    </row>
    <row r="462" spans="1:5" x14ac:dyDescent="0.45">
      <c r="A462">
        <f t="shared" ca="1" si="21"/>
        <v>422</v>
      </c>
      <c r="B462">
        <f t="shared" ca="1" si="22"/>
        <v>1</v>
      </c>
      <c r="C46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2">
        <f t="shared" ca="1" si="23"/>
        <v>14</v>
      </c>
      <c r="E462" t="str">
        <f ca="1">IF(dict_zuord_Meth_Per[[#This Row],[kval_active]],dict_zuord_Meth_Per[[#This Row],[ID_Persons]],"")</f>
        <v/>
      </c>
    </row>
    <row r="463" spans="1:5" x14ac:dyDescent="0.45">
      <c r="A463">
        <f t="shared" ca="1" si="21"/>
        <v>513</v>
      </c>
      <c r="B463">
        <f t="shared" ca="1" si="22"/>
        <v>14</v>
      </c>
      <c r="C46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3">
        <f t="shared" ca="1" si="23"/>
        <v>3</v>
      </c>
      <c r="E463" t="str">
        <f ca="1">IF(dict_zuord_Meth_Per[[#This Row],[kval_active]],dict_zuord_Meth_Per[[#This Row],[ID_Persons]],"")</f>
        <v/>
      </c>
    </row>
    <row r="464" spans="1:5" x14ac:dyDescent="0.45">
      <c r="A464">
        <f t="shared" ca="1" si="21"/>
        <v>613</v>
      </c>
      <c r="B464">
        <f t="shared" ca="1" si="22"/>
        <v>16</v>
      </c>
      <c r="C46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4">
        <f t="shared" ca="1" si="23"/>
        <v>18</v>
      </c>
      <c r="E464" t="str">
        <f ca="1">IF(dict_zuord_Meth_Per[[#This Row],[kval_active]],dict_zuord_Meth_Per[[#This Row],[ID_Persons]],"")</f>
        <v/>
      </c>
    </row>
    <row r="465" spans="1:5" x14ac:dyDescent="0.45">
      <c r="A465">
        <f t="shared" ca="1" si="21"/>
        <v>582</v>
      </c>
      <c r="B465">
        <f t="shared" ca="1" si="22"/>
        <v>9</v>
      </c>
      <c r="C46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5">
        <f t="shared" ca="1" si="23"/>
        <v>26</v>
      </c>
      <c r="E465" t="str">
        <f ca="1">IF(dict_zuord_Meth_Per[[#This Row],[kval_active]],dict_zuord_Meth_Per[[#This Row],[ID_Persons]],"")</f>
        <v/>
      </c>
    </row>
    <row r="466" spans="1:5" x14ac:dyDescent="0.45">
      <c r="A466">
        <f t="shared" ca="1" si="21"/>
        <v>670</v>
      </c>
      <c r="B466">
        <f t="shared" ca="1" si="22"/>
        <v>6</v>
      </c>
      <c r="C46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6">
        <f t="shared" ca="1" si="23"/>
        <v>9</v>
      </c>
      <c r="E466" t="str">
        <f ca="1">IF(dict_zuord_Meth_Per[[#This Row],[kval_active]],dict_zuord_Meth_Per[[#This Row],[ID_Persons]],"")</f>
        <v/>
      </c>
    </row>
    <row r="467" spans="1:5" x14ac:dyDescent="0.45">
      <c r="A467">
        <f t="shared" ca="1" si="21"/>
        <v>35</v>
      </c>
      <c r="B467">
        <f t="shared" ca="1" si="22"/>
        <v>8</v>
      </c>
      <c r="C46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7">
        <f t="shared" ca="1" si="23"/>
        <v>29</v>
      </c>
      <c r="E467" t="str">
        <f ca="1">IF(dict_zuord_Meth_Per[[#This Row],[kval_active]],dict_zuord_Meth_Per[[#This Row],[ID_Persons]],"")</f>
        <v/>
      </c>
    </row>
    <row r="468" spans="1:5" x14ac:dyDescent="0.45">
      <c r="A468">
        <f t="shared" ca="1" si="21"/>
        <v>606</v>
      </c>
      <c r="B468">
        <f t="shared" ca="1" si="22"/>
        <v>17</v>
      </c>
      <c r="C46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8">
        <f t="shared" ca="1" si="23"/>
        <v>9</v>
      </c>
      <c r="E468" t="str">
        <f ca="1">IF(dict_zuord_Meth_Per[[#This Row],[kval_active]],dict_zuord_Meth_Per[[#This Row],[ID_Persons]],"")</f>
        <v/>
      </c>
    </row>
    <row r="469" spans="1:5" x14ac:dyDescent="0.45">
      <c r="A469">
        <f t="shared" ca="1" si="21"/>
        <v>317</v>
      </c>
      <c r="B469">
        <f t="shared" ca="1" si="22"/>
        <v>14</v>
      </c>
      <c r="C46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69">
        <f t="shared" ca="1" si="23"/>
        <v>23</v>
      </c>
      <c r="E469" t="str">
        <f ca="1">IF(dict_zuord_Meth_Per[[#This Row],[kval_active]],dict_zuord_Meth_Per[[#This Row],[ID_Persons]],"")</f>
        <v/>
      </c>
    </row>
    <row r="470" spans="1:5" x14ac:dyDescent="0.45">
      <c r="A470">
        <f t="shared" ca="1" si="21"/>
        <v>19</v>
      </c>
      <c r="B470">
        <f t="shared" ca="1" si="22"/>
        <v>28</v>
      </c>
      <c r="C47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0">
        <f t="shared" ca="1" si="23"/>
        <v>5</v>
      </c>
      <c r="E470" t="str">
        <f ca="1">IF(dict_zuord_Meth_Per[[#This Row],[kval_active]],dict_zuord_Meth_Per[[#This Row],[ID_Persons]],"")</f>
        <v/>
      </c>
    </row>
    <row r="471" spans="1:5" x14ac:dyDescent="0.45">
      <c r="A471">
        <f t="shared" ca="1" si="21"/>
        <v>280</v>
      </c>
      <c r="B471">
        <f t="shared" ca="1" si="22"/>
        <v>15</v>
      </c>
      <c r="C47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1">
        <f t="shared" ca="1" si="23"/>
        <v>28</v>
      </c>
      <c r="E471" t="str">
        <f ca="1">IF(dict_zuord_Meth_Per[[#This Row],[kval_active]],dict_zuord_Meth_Per[[#This Row],[ID_Persons]],"")</f>
        <v/>
      </c>
    </row>
    <row r="472" spans="1:5" x14ac:dyDescent="0.45">
      <c r="A472">
        <f t="shared" ca="1" si="21"/>
        <v>382</v>
      </c>
      <c r="B472">
        <f t="shared" ca="1" si="22"/>
        <v>19</v>
      </c>
      <c r="C47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1</v>
      </c>
      <c r="D472">
        <f t="shared" ca="1" si="23"/>
        <v>30</v>
      </c>
      <c r="E472">
        <f ca="1">IF(dict_zuord_Meth_Per[[#This Row],[kval_active]],dict_zuord_Meth_Per[[#This Row],[ID_Persons]],"")</f>
        <v>19</v>
      </c>
    </row>
    <row r="473" spans="1:5" x14ac:dyDescent="0.45">
      <c r="A473">
        <f t="shared" ca="1" si="21"/>
        <v>370</v>
      </c>
      <c r="B473">
        <f t="shared" ca="1" si="22"/>
        <v>16</v>
      </c>
      <c r="C47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3">
        <f t="shared" ca="1" si="23"/>
        <v>4</v>
      </c>
      <c r="E473" t="str">
        <f ca="1">IF(dict_zuord_Meth_Per[[#This Row],[kval_active]],dict_zuord_Meth_Per[[#This Row],[ID_Persons]],"")</f>
        <v/>
      </c>
    </row>
    <row r="474" spans="1:5" x14ac:dyDescent="0.45">
      <c r="A474">
        <f t="shared" ca="1" si="21"/>
        <v>85</v>
      </c>
      <c r="B474">
        <f t="shared" ca="1" si="22"/>
        <v>29</v>
      </c>
      <c r="C47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4">
        <f t="shared" ca="1" si="23"/>
        <v>17</v>
      </c>
      <c r="E474" t="str">
        <f ca="1">IF(dict_zuord_Meth_Per[[#This Row],[kval_active]],dict_zuord_Meth_Per[[#This Row],[ID_Persons]],"")</f>
        <v/>
      </c>
    </row>
    <row r="475" spans="1:5" x14ac:dyDescent="0.45">
      <c r="A475">
        <f t="shared" ca="1" si="21"/>
        <v>255</v>
      </c>
      <c r="B475">
        <f t="shared" ca="1" si="22"/>
        <v>9</v>
      </c>
      <c r="C47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5">
        <f t="shared" ca="1" si="23"/>
        <v>2</v>
      </c>
      <c r="E475" t="str">
        <f ca="1">IF(dict_zuord_Meth_Per[[#This Row],[kval_active]],dict_zuord_Meth_Per[[#This Row],[ID_Persons]],"")</f>
        <v/>
      </c>
    </row>
    <row r="476" spans="1:5" x14ac:dyDescent="0.45">
      <c r="A476">
        <f t="shared" ca="1" si="21"/>
        <v>541</v>
      </c>
      <c r="B476">
        <f t="shared" ca="1" si="22"/>
        <v>19</v>
      </c>
      <c r="C47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6">
        <f t="shared" ca="1" si="23"/>
        <v>29</v>
      </c>
      <c r="E476" t="str">
        <f ca="1">IF(dict_zuord_Meth_Per[[#This Row],[kval_active]],dict_zuord_Meth_Per[[#This Row],[ID_Persons]],"")</f>
        <v/>
      </c>
    </row>
    <row r="477" spans="1:5" x14ac:dyDescent="0.45">
      <c r="A477">
        <f t="shared" ca="1" si="21"/>
        <v>253</v>
      </c>
      <c r="B477">
        <f t="shared" ca="1" si="22"/>
        <v>14</v>
      </c>
      <c r="C47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7">
        <f t="shared" ca="1" si="23"/>
        <v>30</v>
      </c>
      <c r="E477" t="str">
        <f ca="1">IF(dict_zuord_Meth_Per[[#This Row],[kval_active]],dict_zuord_Meth_Per[[#This Row],[ID_Persons]],"")</f>
        <v/>
      </c>
    </row>
    <row r="478" spans="1:5" x14ac:dyDescent="0.45">
      <c r="A478">
        <f t="shared" ca="1" si="21"/>
        <v>631</v>
      </c>
      <c r="B478">
        <f t="shared" ca="1" si="22"/>
        <v>6</v>
      </c>
      <c r="C47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8">
        <f t="shared" ca="1" si="23"/>
        <v>0</v>
      </c>
      <c r="E478" t="str">
        <f ca="1">IF(dict_zuord_Meth_Per[[#This Row],[kval_active]],dict_zuord_Meth_Per[[#This Row],[ID_Persons]],"")</f>
        <v/>
      </c>
    </row>
    <row r="479" spans="1:5" x14ac:dyDescent="0.45">
      <c r="A479">
        <f t="shared" ca="1" si="21"/>
        <v>155</v>
      </c>
      <c r="B479">
        <f t="shared" ca="1" si="22"/>
        <v>1</v>
      </c>
      <c r="C47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79">
        <f t="shared" ca="1" si="23"/>
        <v>0</v>
      </c>
      <c r="E479" t="str">
        <f ca="1">IF(dict_zuord_Meth_Per[[#This Row],[kval_active]],dict_zuord_Meth_Per[[#This Row],[ID_Persons]],"")</f>
        <v/>
      </c>
    </row>
    <row r="480" spans="1:5" x14ac:dyDescent="0.45">
      <c r="A480">
        <f t="shared" ca="1" si="21"/>
        <v>280</v>
      </c>
      <c r="B480">
        <f t="shared" ca="1" si="22"/>
        <v>3</v>
      </c>
      <c r="C48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0">
        <f t="shared" ca="1" si="23"/>
        <v>19</v>
      </c>
      <c r="E480" t="str">
        <f ca="1">IF(dict_zuord_Meth_Per[[#This Row],[kval_active]],dict_zuord_Meth_Per[[#This Row],[ID_Persons]],"")</f>
        <v/>
      </c>
    </row>
    <row r="481" spans="1:5" x14ac:dyDescent="0.45">
      <c r="A481">
        <f t="shared" ca="1" si="21"/>
        <v>615</v>
      </c>
      <c r="B481">
        <f t="shared" ca="1" si="22"/>
        <v>1</v>
      </c>
      <c r="C48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1">
        <f t="shared" ca="1" si="23"/>
        <v>16</v>
      </c>
      <c r="E481" t="str">
        <f ca="1">IF(dict_zuord_Meth_Per[[#This Row],[kval_active]],dict_zuord_Meth_Per[[#This Row],[ID_Persons]],"")</f>
        <v/>
      </c>
    </row>
    <row r="482" spans="1:5" x14ac:dyDescent="0.45">
      <c r="A482">
        <f t="shared" ca="1" si="21"/>
        <v>159</v>
      </c>
      <c r="B482">
        <f t="shared" ca="1" si="22"/>
        <v>13</v>
      </c>
      <c r="C48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2">
        <f t="shared" ca="1" si="23"/>
        <v>13</v>
      </c>
      <c r="E482" t="str">
        <f ca="1">IF(dict_zuord_Meth_Per[[#This Row],[kval_active]],dict_zuord_Meth_Per[[#This Row],[ID_Persons]],"")</f>
        <v/>
      </c>
    </row>
    <row r="483" spans="1:5" x14ac:dyDescent="0.45">
      <c r="A483">
        <f t="shared" ca="1" si="21"/>
        <v>495</v>
      </c>
      <c r="B483">
        <f t="shared" ca="1" si="22"/>
        <v>18</v>
      </c>
      <c r="C48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3">
        <f t="shared" ca="1" si="23"/>
        <v>1</v>
      </c>
      <c r="E483" t="str">
        <f ca="1">IF(dict_zuord_Meth_Per[[#This Row],[kval_active]],dict_zuord_Meth_Per[[#This Row],[ID_Persons]],"")</f>
        <v/>
      </c>
    </row>
    <row r="484" spans="1:5" x14ac:dyDescent="0.45">
      <c r="A484">
        <f t="shared" ca="1" si="21"/>
        <v>83</v>
      </c>
      <c r="B484">
        <f t="shared" ca="1" si="22"/>
        <v>18</v>
      </c>
      <c r="C48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4">
        <f t="shared" ca="1" si="23"/>
        <v>14</v>
      </c>
      <c r="E484" t="str">
        <f ca="1">IF(dict_zuord_Meth_Per[[#This Row],[kval_active]],dict_zuord_Meth_Per[[#This Row],[ID_Persons]],"")</f>
        <v/>
      </c>
    </row>
    <row r="485" spans="1:5" x14ac:dyDescent="0.45">
      <c r="A485">
        <f t="shared" ca="1" si="21"/>
        <v>339</v>
      </c>
      <c r="B485">
        <f t="shared" ca="1" si="22"/>
        <v>0</v>
      </c>
      <c r="C48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5">
        <f t="shared" ca="1" si="23"/>
        <v>26</v>
      </c>
      <c r="E485" t="str">
        <f ca="1">IF(dict_zuord_Meth_Per[[#This Row],[kval_active]],dict_zuord_Meth_Per[[#This Row],[ID_Persons]],"")</f>
        <v/>
      </c>
    </row>
    <row r="486" spans="1:5" x14ac:dyDescent="0.45">
      <c r="A486">
        <f t="shared" ca="1" si="21"/>
        <v>539</v>
      </c>
      <c r="B486">
        <f t="shared" ca="1" si="22"/>
        <v>5</v>
      </c>
      <c r="C48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6">
        <f t="shared" ca="1" si="23"/>
        <v>19</v>
      </c>
      <c r="E486" t="str">
        <f ca="1">IF(dict_zuord_Meth_Per[[#This Row],[kval_active]],dict_zuord_Meth_Per[[#This Row],[ID_Persons]],"")</f>
        <v/>
      </c>
    </row>
    <row r="487" spans="1:5" x14ac:dyDescent="0.45">
      <c r="A487">
        <f t="shared" ca="1" si="21"/>
        <v>528</v>
      </c>
      <c r="B487">
        <f t="shared" ca="1" si="22"/>
        <v>22</v>
      </c>
      <c r="C48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7">
        <f t="shared" ca="1" si="23"/>
        <v>6</v>
      </c>
      <c r="E487" t="str">
        <f ca="1">IF(dict_zuord_Meth_Per[[#This Row],[kval_active]],dict_zuord_Meth_Per[[#This Row],[ID_Persons]],"")</f>
        <v/>
      </c>
    </row>
    <row r="488" spans="1:5" x14ac:dyDescent="0.45">
      <c r="A488">
        <f t="shared" ca="1" si="21"/>
        <v>64</v>
      </c>
      <c r="B488">
        <f t="shared" ca="1" si="22"/>
        <v>17</v>
      </c>
      <c r="C48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8">
        <f t="shared" ca="1" si="23"/>
        <v>29</v>
      </c>
      <c r="E488" t="str">
        <f ca="1">IF(dict_zuord_Meth_Per[[#This Row],[kval_active]],dict_zuord_Meth_Per[[#This Row],[ID_Persons]],"")</f>
        <v/>
      </c>
    </row>
    <row r="489" spans="1:5" x14ac:dyDescent="0.45">
      <c r="A489">
        <f t="shared" ca="1" si="21"/>
        <v>52</v>
      </c>
      <c r="B489">
        <f t="shared" ca="1" si="22"/>
        <v>27</v>
      </c>
      <c r="C48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89">
        <f t="shared" ca="1" si="23"/>
        <v>20</v>
      </c>
      <c r="E489" t="str">
        <f ca="1">IF(dict_zuord_Meth_Per[[#This Row],[kval_active]],dict_zuord_Meth_Per[[#This Row],[ID_Persons]],"")</f>
        <v/>
      </c>
    </row>
    <row r="490" spans="1:5" x14ac:dyDescent="0.45">
      <c r="A490">
        <f t="shared" ca="1" si="21"/>
        <v>10</v>
      </c>
      <c r="B490">
        <f t="shared" ca="1" si="22"/>
        <v>2</v>
      </c>
      <c r="C49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0">
        <f t="shared" ca="1" si="23"/>
        <v>7</v>
      </c>
      <c r="E490" t="str">
        <f ca="1">IF(dict_zuord_Meth_Per[[#This Row],[kval_active]],dict_zuord_Meth_Per[[#This Row],[ID_Persons]],"")</f>
        <v/>
      </c>
    </row>
    <row r="491" spans="1:5" x14ac:dyDescent="0.45">
      <c r="A491">
        <f t="shared" ca="1" si="21"/>
        <v>221</v>
      </c>
      <c r="B491">
        <f t="shared" ca="1" si="22"/>
        <v>20</v>
      </c>
      <c r="C491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1">
        <f t="shared" ca="1" si="23"/>
        <v>13</v>
      </c>
      <c r="E491" t="str">
        <f ca="1">IF(dict_zuord_Meth_Per[[#This Row],[kval_active]],dict_zuord_Meth_Per[[#This Row],[ID_Persons]],"")</f>
        <v/>
      </c>
    </row>
    <row r="492" spans="1:5" x14ac:dyDescent="0.45">
      <c r="A492">
        <f t="shared" ca="1" si="21"/>
        <v>681</v>
      </c>
      <c r="B492">
        <f t="shared" ca="1" si="22"/>
        <v>16</v>
      </c>
      <c r="C492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2">
        <f t="shared" ca="1" si="23"/>
        <v>2</v>
      </c>
      <c r="E492" t="str">
        <f ca="1">IF(dict_zuord_Meth_Per[[#This Row],[kval_active]],dict_zuord_Meth_Per[[#This Row],[ID_Persons]],"")</f>
        <v/>
      </c>
    </row>
    <row r="493" spans="1:5" x14ac:dyDescent="0.45">
      <c r="A493">
        <f t="shared" ca="1" si="21"/>
        <v>482</v>
      </c>
      <c r="B493">
        <f t="shared" ca="1" si="22"/>
        <v>19</v>
      </c>
      <c r="C493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3">
        <f t="shared" ca="1" si="23"/>
        <v>23</v>
      </c>
      <c r="E493" t="str">
        <f ca="1">IF(dict_zuord_Meth_Per[[#This Row],[kval_active]],dict_zuord_Meth_Per[[#This Row],[ID_Persons]],"")</f>
        <v/>
      </c>
    </row>
    <row r="494" spans="1:5" x14ac:dyDescent="0.45">
      <c r="A494">
        <f t="shared" ca="1" si="21"/>
        <v>681</v>
      </c>
      <c r="B494">
        <f t="shared" ca="1" si="22"/>
        <v>17</v>
      </c>
      <c r="C494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4">
        <f t="shared" ca="1" si="23"/>
        <v>15</v>
      </c>
      <c r="E494" t="str">
        <f ca="1">IF(dict_zuord_Meth_Per[[#This Row],[kval_active]],dict_zuord_Meth_Per[[#This Row],[ID_Persons]],"")</f>
        <v/>
      </c>
    </row>
    <row r="495" spans="1:5" x14ac:dyDescent="0.45">
      <c r="A495">
        <f t="shared" ca="1" si="21"/>
        <v>308</v>
      </c>
      <c r="B495">
        <f t="shared" ca="1" si="22"/>
        <v>30</v>
      </c>
      <c r="C495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5">
        <f t="shared" ca="1" si="23"/>
        <v>8</v>
      </c>
      <c r="E495" t="str">
        <f ca="1">IF(dict_zuord_Meth_Per[[#This Row],[kval_active]],dict_zuord_Meth_Per[[#This Row],[ID_Persons]],"")</f>
        <v/>
      </c>
    </row>
    <row r="496" spans="1:5" x14ac:dyDescent="0.45">
      <c r="A496">
        <f t="shared" ca="1" si="21"/>
        <v>283</v>
      </c>
      <c r="B496">
        <f t="shared" ca="1" si="22"/>
        <v>20</v>
      </c>
      <c r="C496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6">
        <f t="shared" ca="1" si="23"/>
        <v>14</v>
      </c>
      <c r="E496" t="str">
        <f ca="1">IF(dict_zuord_Meth_Per[[#This Row],[kval_active]],dict_zuord_Meth_Per[[#This Row],[ID_Persons]],"")</f>
        <v/>
      </c>
    </row>
    <row r="497" spans="1:5" x14ac:dyDescent="0.45">
      <c r="A497">
        <f t="shared" ca="1" si="21"/>
        <v>183</v>
      </c>
      <c r="B497">
        <f t="shared" ca="1" si="22"/>
        <v>18</v>
      </c>
      <c r="C497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7">
        <f t="shared" ca="1" si="23"/>
        <v>30</v>
      </c>
      <c r="E497" t="str">
        <f ca="1">IF(dict_zuord_Meth_Per[[#This Row],[kval_active]],dict_zuord_Meth_Per[[#This Row],[ID_Persons]],"")</f>
        <v/>
      </c>
    </row>
    <row r="498" spans="1:5" x14ac:dyDescent="0.45">
      <c r="A498">
        <f t="shared" ca="1" si="21"/>
        <v>489</v>
      </c>
      <c r="B498">
        <f t="shared" ca="1" si="22"/>
        <v>8</v>
      </c>
      <c r="C498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8">
        <f t="shared" ca="1" si="23"/>
        <v>11</v>
      </c>
      <c r="E498" t="str">
        <f ca="1">IF(dict_zuord_Meth_Per[[#This Row],[kval_active]],dict_zuord_Meth_Per[[#This Row],[ID_Persons]],"")</f>
        <v/>
      </c>
    </row>
    <row r="499" spans="1:5" x14ac:dyDescent="0.45">
      <c r="A499">
        <f t="shared" ca="1" si="21"/>
        <v>521</v>
      </c>
      <c r="B499">
        <f t="shared" ca="1" si="22"/>
        <v>8</v>
      </c>
      <c r="C499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499">
        <f t="shared" ca="1" si="23"/>
        <v>0</v>
      </c>
      <c r="E499" t="str">
        <f ca="1">IF(dict_zuord_Meth_Per[[#This Row],[kval_active]],dict_zuord_Meth_Per[[#This Row],[ID_Persons]],"")</f>
        <v/>
      </c>
    </row>
    <row r="500" spans="1:5" x14ac:dyDescent="0.45">
      <c r="A500">
        <f t="shared" ca="1" si="21"/>
        <v>283</v>
      </c>
      <c r="B500">
        <f t="shared" ca="1" si="22"/>
        <v>7</v>
      </c>
      <c r="C500" t="b">
        <f ca="1">IF(MIN(SUMPRODUCT(SUBTOTAL(103,OFFSET(table_Persons[ID],ROW(table_Persons[ID])-MIN(ROW(table_Persons[ID])),,1))*(table_Persons[ID]=dict_zuord_Meth_Per[[#This Row],[ID_Persons]])),SUMPRODUCT(SUBTOTAL(103,OFFSET(table_Methods[ID],ROW(table_Methods[ID])-MIN(ROW(table_Methods[ID])),,1))*INDEX(table_Methods[kval_active],MATCH(dict_zuord_Meth_Per[[#This Row],[ID_Methods]],table_Methods[ID],0))))&gt;0,TRUE,FALSE)</f>
        <v>0</v>
      </c>
      <c r="D500">
        <f t="shared" ca="1" si="23"/>
        <v>27</v>
      </c>
      <c r="E500" t="str">
        <f ca="1">IF(dict_zuord_Meth_Per[[#This Row],[kval_active]],dict_zuord_Meth_Per[[#This Row],[ID_Persons]],"")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/>
  <dimension ref="A1:D761"/>
  <sheetViews>
    <sheetView topLeftCell="A761" workbookViewId="0">
      <selection activeCell="A3" sqref="A3:D761"/>
    </sheetView>
  </sheetViews>
  <sheetFormatPr baseColWidth="10" defaultRowHeight="14.25" x14ac:dyDescent="0.45"/>
  <cols>
    <col min="1" max="1" width="13.59765625" bestFit="1" customWidth="1"/>
    <col min="2" max="2" width="14.265625" bestFit="1" customWidth="1"/>
    <col min="3" max="3" width="10.86328125" bestFit="1" customWidth="1"/>
  </cols>
  <sheetData>
    <row r="1" spans="1:4" x14ac:dyDescent="0.45">
      <c r="A1" t="s">
        <v>27</v>
      </c>
      <c r="B1" t="s">
        <v>61</v>
      </c>
      <c r="C1" t="s">
        <v>66</v>
      </c>
      <c r="D1" t="s">
        <v>348</v>
      </c>
    </row>
    <row r="2" spans="1:4" x14ac:dyDescent="0.45">
      <c r="A2">
        <f ca="1">dict_zul_Var_Meth[ID_Methods]</f>
        <v>366</v>
      </c>
      <c r="B2">
        <f ca="1">dict_zul_Var_Meth[ID_Variables]</f>
        <v>0</v>
      </c>
      <c r="C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">
        <f ca="1">IF(dict_zuord_Meth_Pos[[#This Row],[kval_active]],dict_zuord_Meth_Pos[[#This Row],[ID_Positions]],"")</f>
        <v>0</v>
      </c>
    </row>
    <row r="3" spans="1:4" x14ac:dyDescent="0.45">
      <c r="A3">
        <f ca="1">dict_zul_Var_Meth[ID_Methods]</f>
        <v>189</v>
      </c>
      <c r="B3">
        <f ca="1">dict_zul_Var_Meth[ID_Variables]</f>
        <v>0</v>
      </c>
      <c r="C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3">
        <f ca="1">IF(dict_zuord_Meth_Pos[[#This Row],[kval_active]],dict_zuord_Meth_Pos[[#This Row],[ID_Positions]],"")</f>
        <v>0</v>
      </c>
    </row>
    <row r="4" spans="1:4" x14ac:dyDescent="0.45">
      <c r="A4">
        <f ca="1">dict_zul_Var_Meth[ID_Methods]</f>
        <v>580</v>
      </c>
      <c r="B4">
        <f ca="1">dict_zul_Var_Meth[ID_Variables]</f>
        <v>0</v>
      </c>
      <c r="C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4">
        <f ca="1">IF(dict_zuord_Meth_Pos[[#This Row],[kval_active]],dict_zuord_Meth_Pos[[#This Row],[ID_Positions]],"")</f>
        <v>0</v>
      </c>
    </row>
    <row r="5" spans="1:4" x14ac:dyDescent="0.45">
      <c r="A5">
        <f ca="1">dict_zul_Var_Meth[ID_Methods]</f>
        <v>501</v>
      </c>
      <c r="B5">
        <f ca="1">dict_zul_Var_Meth[ID_Variables]</f>
        <v>1</v>
      </c>
      <c r="C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5">
        <f ca="1">IF(dict_zuord_Meth_Pos[[#This Row],[kval_active]],dict_zuord_Meth_Pos[[#This Row],[ID_Positions]],"")</f>
        <v>1</v>
      </c>
    </row>
    <row r="6" spans="1:4" x14ac:dyDescent="0.45">
      <c r="A6">
        <f ca="1">dict_zul_Var_Meth[ID_Methods]</f>
        <v>106</v>
      </c>
      <c r="B6">
        <f ca="1">dict_zul_Var_Meth[ID_Variables]</f>
        <v>1</v>
      </c>
      <c r="C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">
        <f ca="1">IF(dict_zuord_Meth_Pos[[#This Row],[kval_active]],dict_zuord_Meth_Pos[[#This Row],[ID_Positions]],"")</f>
        <v>1</v>
      </c>
    </row>
    <row r="7" spans="1:4" x14ac:dyDescent="0.45">
      <c r="A7">
        <f ca="1">dict_zul_Var_Meth[ID_Methods]</f>
        <v>210</v>
      </c>
      <c r="B7">
        <f ca="1">dict_zul_Var_Meth[ID_Variables]</f>
        <v>1</v>
      </c>
      <c r="C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">
        <f ca="1">IF(dict_zuord_Meth_Pos[[#This Row],[kval_active]],dict_zuord_Meth_Pos[[#This Row],[ID_Positions]],"")</f>
        <v>1</v>
      </c>
    </row>
    <row r="8" spans="1:4" x14ac:dyDescent="0.45">
      <c r="A8">
        <f ca="1">dict_zul_Var_Meth[ID_Methods]</f>
        <v>382</v>
      </c>
      <c r="B8">
        <f ca="1">dict_zul_Var_Meth[ID_Variables]</f>
        <v>1</v>
      </c>
      <c r="C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8">
        <f ca="1">IF(dict_zuord_Meth_Pos[[#This Row],[kval_active]],dict_zuord_Meth_Pos[[#This Row],[ID_Positions]],"")</f>
        <v>1</v>
      </c>
    </row>
    <row r="9" spans="1:4" x14ac:dyDescent="0.45">
      <c r="A9">
        <f ca="1">dict_zul_Var_Meth[ID_Methods]</f>
        <v>416</v>
      </c>
      <c r="B9">
        <f ca="1">dict_zul_Var_Meth[ID_Variables]</f>
        <v>2</v>
      </c>
      <c r="C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9">
        <f ca="1">IF(dict_zuord_Meth_Pos[[#This Row],[kval_active]],dict_zuord_Meth_Pos[[#This Row],[ID_Positions]],"")</f>
        <v>2</v>
      </c>
    </row>
    <row r="10" spans="1:4" x14ac:dyDescent="0.45">
      <c r="A10">
        <f ca="1">dict_zul_Var_Meth[ID_Methods]</f>
        <v>679</v>
      </c>
      <c r="B10">
        <f ca="1">dict_zul_Var_Meth[ID_Variables]</f>
        <v>2</v>
      </c>
      <c r="C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0">
        <f ca="1">IF(dict_zuord_Meth_Pos[[#This Row],[kval_active]],dict_zuord_Meth_Pos[[#This Row],[ID_Positions]],"")</f>
        <v>2</v>
      </c>
    </row>
    <row r="11" spans="1:4" x14ac:dyDescent="0.45">
      <c r="A11">
        <f ca="1">dict_zul_Var_Meth[ID_Methods]</f>
        <v>108</v>
      </c>
      <c r="B11">
        <f ca="1">dict_zul_Var_Meth[ID_Variables]</f>
        <v>2</v>
      </c>
      <c r="C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1">
        <f ca="1">IF(dict_zuord_Meth_Pos[[#This Row],[kval_active]],dict_zuord_Meth_Pos[[#This Row],[ID_Positions]],"")</f>
        <v>2</v>
      </c>
    </row>
    <row r="12" spans="1:4" x14ac:dyDescent="0.45">
      <c r="A12">
        <f ca="1">dict_zul_Var_Meth[ID_Methods]</f>
        <v>391</v>
      </c>
      <c r="B12">
        <f ca="1">dict_zul_Var_Meth[ID_Variables]</f>
        <v>2</v>
      </c>
      <c r="C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2">
        <f ca="1">IF(dict_zuord_Meth_Pos[[#This Row],[kval_active]],dict_zuord_Meth_Pos[[#This Row],[ID_Positions]],"")</f>
        <v>2</v>
      </c>
    </row>
    <row r="13" spans="1:4" x14ac:dyDescent="0.45">
      <c r="A13">
        <f ca="1">dict_zul_Var_Meth[ID_Methods]</f>
        <v>315</v>
      </c>
      <c r="B13">
        <f ca="1">dict_zul_Var_Meth[ID_Variables]</f>
        <v>3</v>
      </c>
      <c r="C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3">
        <f ca="1">IF(dict_zuord_Meth_Pos[[#This Row],[kval_active]],dict_zuord_Meth_Pos[[#This Row],[ID_Positions]],"")</f>
        <v>3</v>
      </c>
    </row>
    <row r="14" spans="1:4" x14ac:dyDescent="0.45">
      <c r="A14">
        <f ca="1">dict_zul_Var_Meth[ID_Methods]</f>
        <v>87</v>
      </c>
      <c r="B14">
        <f ca="1">dict_zul_Var_Meth[ID_Variables]</f>
        <v>3</v>
      </c>
      <c r="C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4">
        <f ca="1">IF(dict_zuord_Meth_Pos[[#This Row],[kval_active]],dict_zuord_Meth_Pos[[#This Row],[ID_Positions]],"")</f>
        <v>3</v>
      </c>
    </row>
    <row r="15" spans="1:4" x14ac:dyDescent="0.45">
      <c r="A15">
        <f ca="1">dict_zul_Var_Meth[ID_Methods]</f>
        <v>555</v>
      </c>
      <c r="B15">
        <f ca="1">dict_zul_Var_Meth[ID_Variables]</f>
        <v>3</v>
      </c>
      <c r="C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5">
        <f ca="1">IF(dict_zuord_Meth_Pos[[#This Row],[kval_active]],dict_zuord_Meth_Pos[[#This Row],[ID_Positions]],"")</f>
        <v>3</v>
      </c>
    </row>
    <row r="16" spans="1:4" x14ac:dyDescent="0.45">
      <c r="A16">
        <f ca="1">dict_zul_Var_Meth[ID_Methods]</f>
        <v>251</v>
      </c>
      <c r="B16">
        <f ca="1">dict_zul_Var_Meth[ID_Variables]</f>
        <v>3</v>
      </c>
      <c r="C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6">
        <f ca="1">IF(dict_zuord_Meth_Pos[[#This Row],[kval_active]],dict_zuord_Meth_Pos[[#This Row],[ID_Positions]],"")</f>
        <v>3</v>
      </c>
    </row>
    <row r="17" spans="1:4" x14ac:dyDescent="0.45">
      <c r="A17">
        <f ca="1">dict_zul_Var_Meth[ID_Methods]</f>
        <v>1</v>
      </c>
      <c r="B17">
        <f ca="1">dict_zul_Var_Meth[ID_Variables]</f>
        <v>4</v>
      </c>
      <c r="C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7">
        <f ca="1">IF(dict_zuord_Meth_Pos[[#This Row],[kval_active]],dict_zuord_Meth_Pos[[#This Row],[ID_Positions]],"")</f>
        <v>4</v>
      </c>
    </row>
    <row r="18" spans="1:4" x14ac:dyDescent="0.45">
      <c r="A18">
        <f ca="1">dict_zul_Var_Meth[ID_Methods]</f>
        <v>77</v>
      </c>
      <c r="B18">
        <f ca="1">dict_zul_Var_Meth[ID_Variables]</f>
        <v>4</v>
      </c>
      <c r="C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8">
        <f ca="1">IF(dict_zuord_Meth_Pos[[#This Row],[kval_active]],dict_zuord_Meth_Pos[[#This Row],[ID_Positions]],"")</f>
        <v>4</v>
      </c>
    </row>
    <row r="19" spans="1:4" x14ac:dyDescent="0.45">
      <c r="A19">
        <f ca="1">dict_zul_Var_Meth[ID_Methods]</f>
        <v>677</v>
      </c>
      <c r="B19">
        <f ca="1">dict_zul_Var_Meth[ID_Variables]</f>
        <v>4</v>
      </c>
      <c r="C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19">
        <f ca="1">IF(dict_zuord_Meth_Pos[[#This Row],[kval_active]],dict_zuord_Meth_Pos[[#This Row],[ID_Positions]],"")</f>
        <v>4</v>
      </c>
    </row>
    <row r="20" spans="1:4" x14ac:dyDescent="0.45">
      <c r="A20">
        <f ca="1">dict_zul_Var_Meth[ID_Methods]</f>
        <v>169</v>
      </c>
      <c r="B20">
        <f ca="1">dict_zul_Var_Meth[ID_Variables]</f>
        <v>5</v>
      </c>
      <c r="C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0">
        <f ca="1">IF(dict_zuord_Meth_Pos[[#This Row],[kval_active]],dict_zuord_Meth_Pos[[#This Row],[ID_Positions]],"")</f>
        <v>5</v>
      </c>
    </row>
    <row r="21" spans="1:4" x14ac:dyDescent="0.45">
      <c r="A21">
        <f ca="1">dict_zul_Var_Meth[ID_Methods]</f>
        <v>185</v>
      </c>
      <c r="B21">
        <f ca="1">dict_zul_Var_Meth[ID_Variables]</f>
        <v>5</v>
      </c>
      <c r="C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1">
        <f ca="1">IF(dict_zuord_Meth_Pos[[#This Row],[kval_active]],dict_zuord_Meth_Pos[[#This Row],[ID_Positions]],"")</f>
        <v>5</v>
      </c>
    </row>
    <row r="22" spans="1:4" x14ac:dyDescent="0.45">
      <c r="A22">
        <f ca="1">dict_zul_Var_Meth[ID_Methods]</f>
        <v>639</v>
      </c>
      <c r="B22">
        <f ca="1">dict_zul_Var_Meth[ID_Variables]</f>
        <v>5</v>
      </c>
      <c r="C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2">
        <f ca="1">IF(dict_zuord_Meth_Pos[[#This Row],[kval_active]],dict_zuord_Meth_Pos[[#This Row],[ID_Positions]],"")</f>
        <v>5</v>
      </c>
    </row>
    <row r="23" spans="1:4" x14ac:dyDescent="0.45">
      <c r="A23">
        <f ca="1">dict_zul_Var_Meth[ID_Methods]</f>
        <v>24</v>
      </c>
      <c r="B23">
        <f ca="1">dict_zul_Var_Meth[ID_Variables]</f>
        <v>5</v>
      </c>
      <c r="C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3">
        <f ca="1">IF(dict_zuord_Meth_Pos[[#This Row],[kval_active]],dict_zuord_Meth_Pos[[#This Row],[ID_Positions]],"")</f>
        <v>5</v>
      </c>
    </row>
    <row r="24" spans="1:4" x14ac:dyDescent="0.45">
      <c r="A24">
        <f ca="1">dict_zul_Var_Meth[ID_Methods]</f>
        <v>80</v>
      </c>
      <c r="B24">
        <f ca="1">dict_zul_Var_Meth[ID_Variables]</f>
        <v>6</v>
      </c>
      <c r="C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4">
        <f ca="1">IF(dict_zuord_Meth_Pos[[#This Row],[kval_active]],dict_zuord_Meth_Pos[[#This Row],[ID_Positions]],"")</f>
        <v>6</v>
      </c>
    </row>
    <row r="25" spans="1:4" x14ac:dyDescent="0.45">
      <c r="A25">
        <f ca="1">dict_zul_Var_Meth[ID_Methods]</f>
        <v>272</v>
      </c>
      <c r="B25">
        <f ca="1">dict_zul_Var_Meth[ID_Variables]</f>
        <v>6</v>
      </c>
      <c r="C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5">
        <f ca="1">IF(dict_zuord_Meth_Pos[[#This Row],[kval_active]],dict_zuord_Meth_Pos[[#This Row],[ID_Positions]],"")</f>
        <v>6</v>
      </c>
    </row>
    <row r="26" spans="1:4" x14ac:dyDescent="0.45">
      <c r="A26">
        <f ca="1">dict_zul_Var_Meth[ID_Methods]</f>
        <v>334</v>
      </c>
      <c r="B26">
        <f ca="1">dict_zul_Var_Meth[ID_Variables]</f>
        <v>6</v>
      </c>
      <c r="C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6">
        <f ca="1">IF(dict_zuord_Meth_Pos[[#This Row],[kval_active]],dict_zuord_Meth_Pos[[#This Row],[ID_Positions]],"")</f>
        <v>6</v>
      </c>
    </row>
    <row r="27" spans="1:4" x14ac:dyDescent="0.45">
      <c r="A27">
        <f ca="1">dict_zul_Var_Meth[ID_Methods]</f>
        <v>646</v>
      </c>
      <c r="B27">
        <f ca="1">dict_zul_Var_Meth[ID_Variables]</f>
        <v>6</v>
      </c>
      <c r="C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7">
        <f ca="1">IF(dict_zuord_Meth_Pos[[#This Row],[kval_active]],dict_zuord_Meth_Pos[[#This Row],[ID_Positions]],"")</f>
        <v>6</v>
      </c>
    </row>
    <row r="28" spans="1:4" x14ac:dyDescent="0.45">
      <c r="A28">
        <f ca="1">dict_zul_Var_Meth[ID_Methods]</f>
        <v>468</v>
      </c>
      <c r="B28">
        <f ca="1">dict_zul_Var_Meth[ID_Variables]</f>
        <v>7</v>
      </c>
      <c r="C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8">
        <f ca="1">IF(dict_zuord_Meth_Pos[[#This Row],[kval_active]],dict_zuord_Meth_Pos[[#This Row],[ID_Positions]],"")</f>
        <v>7</v>
      </c>
    </row>
    <row r="29" spans="1:4" x14ac:dyDescent="0.45">
      <c r="A29">
        <f ca="1">dict_zul_Var_Meth[ID_Methods]</f>
        <v>566</v>
      </c>
      <c r="B29">
        <f ca="1">dict_zul_Var_Meth[ID_Variables]</f>
        <v>7</v>
      </c>
      <c r="C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29">
        <f ca="1">IF(dict_zuord_Meth_Pos[[#This Row],[kval_active]],dict_zuord_Meth_Pos[[#This Row],[ID_Positions]],"")</f>
        <v>7</v>
      </c>
    </row>
    <row r="30" spans="1:4" x14ac:dyDescent="0.45">
      <c r="A30">
        <f ca="1">dict_zul_Var_Meth[ID_Methods]</f>
        <v>49</v>
      </c>
      <c r="B30">
        <f ca="1">dict_zul_Var_Meth[ID_Variables]</f>
        <v>8</v>
      </c>
      <c r="C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" t="str">
        <f ca="1">IF(dict_zuord_Meth_Pos[[#This Row],[kval_active]],dict_zuord_Meth_Pos[[#This Row],[ID_Positions]],"")</f>
        <v/>
      </c>
    </row>
    <row r="31" spans="1:4" x14ac:dyDescent="0.45">
      <c r="A31">
        <f ca="1">dict_zul_Var_Meth[ID_Methods]</f>
        <v>498</v>
      </c>
      <c r="B31">
        <f ca="1">dict_zul_Var_Meth[ID_Variables]</f>
        <v>8</v>
      </c>
      <c r="C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" t="str">
        <f ca="1">IF(dict_zuord_Meth_Pos[[#This Row],[kval_active]],dict_zuord_Meth_Pos[[#This Row],[ID_Positions]],"")</f>
        <v/>
      </c>
    </row>
    <row r="32" spans="1:4" x14ac:dyDescent="0.45">
      <c r="A32">
        <f ca="1">dict_zul_Var_Meth[ID_Methods]</f>
        <v>635</v>
      </c>
      <c r="B32">
        <f ca="1">dict_zul_Var_Meth[ID_Variables]</f>
        <v>8</v>
      </c>
      <c r="C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" t="str">
        <f ca="1">IF(dict_zuord_Meth_Pos[[#This Row],[kval_active]],dict_zuord_Meth_Pos[[#This Row],[ID_Positions]],"")</f>
        <v/>
      </c>
    </row>
    <row r="33" spans="1:4" x14ac:dyDescent="0.45">
      <c r="A33">
        <f ca="1">dict_zul_Var_Meth[ID_Methods]</f>
        <v>253</v>
      </c>
      <c r="B33">
        <f ca="1">dict_zul_Var_Meth[ID_Variables]</f>
        <v>8</v>
      </c>
      <c r="C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" t="str">
        <f ca="1">IF(dict_zuord_Meth_Pos[[#This Row],[kval_active]],dict_zuord_Meth_Pos[[#This Row],[ID_Positions]],"")</f>
        <v/>
      </c>
    </row>
    <row r="34" spans="1:4" x14ac:dyDescent="0.45">
      <c r="A34">
        <f ca="1">dict_zul_Var_Meth[ID_Methods]</f>
        <v>48</v>
      </c>
      <c r="B34">
        <f ca="1">dict_zul_Var_Meth[ID_Variables]</f>
        <v>8</v>
      </c>
      <c r="C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" t="str">
        <f ca="1">IF(dict_zuord_Meth_Pos[[#This Row],[kval_active]],dict_zuord_Meth_Pos[[#This Row],[ID_Positions]],"")</f>
        <v/>
      </c>
    </row>
    <row r="35" spans="1:4" x14ac:dyDescent="0.45">
      <c r="A35">
        <f ca="1">dict_zul_Var_Meth[ID_Methods]</f>
        <v>268</v>
      </c>
      <c r="B35">
        <f ca="1">dict_zul_Var_Meth[ID_Variables]</f>
        <v>9</v>
      </c>
      <c r="C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" t="str">
        <f ca="1">IF(dict_zuord_Meth_Pos[[#This Row],[kval_active]],dict_zuord_Meth_Pos[[#This Row],[ID_Positions]],"")</f>
        <v/>
      </c>
    </row>
    <row r="36" spans="1:4" x14ac:dyDescent="0.45">
      <c r="A36">
        <f ca="1">dict_zul_Var_Meth[ID_Methods]</f>
        <v>394</v>
      </c>
      <c r="B36">
        <f ca="1">dict_zul_Var_Meth[ID_Variables]</f>
        <v>9</v>
      </c>
      <c r="C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" t="str">
        <f ca="1">IF(dict_zuord_Meth_Pos[[#This Row],[kval_active]],dict_zuord_Meth_Pos[[#This Row],[ID_Positions]],"")</f>
        <v/>
      </c>
    </row>
    <row r="37" spans="1:4" x14ac:dyDescent="0.45">
      <c r="A37">
        <f ca="1">dict_zul_Var_Meth[ID_Methods]</f>
        <v>73</v>
      </c>
      <c r="B37">
        <f ca="1">dict_zul_Var_Meth[ID_Variables]</f>
        <v>9</v>
      </c>
      <c r="C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" t="str">
        <f ca="1">IF(dict_zuord_Meth_Pos[[#This Row],[kval_active]],dict_zuord_Meth_Pos[[#This Row],[ID_Positions]],"")</f>
        <v/>
      </c>
    </row>
    <row r="38" spans="1:4" x14ac:dyDescent="0.45">
      <c r="A38">
        <f ca="1">dict_zul_Var_Meth[ID_Methods]</f>
        <v>302</v>
      </c>
      <c r="B38">
        <f ca="1">dict_zul_Var_Meth[ID_Variables]</f>
        <v>9</v>
      </c>
      <c r="C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" t="str">
        <f ca="1">IF(dict_zuord_Meth_Pos[[#This Row],[kval_active]],dict_zuord_Meth_Pos[[#This Row],[ID_Positions]],"")</f>
        <v/>
      </c>
    </row>
    <row r="39" spans="1:4" x14ac:dyDescent="0.45">
      <c r="A39">
        <f ca="1">dict_zul_Var_Meth[ID_Methods]</f>
        <v>558</v>
      </c>
      <c r="B39">
        <f ca="1">dict_zul_Var_Meth[ID_Variables]</f>
        <v>10</v>
      </c>
      <c r="C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" t="str">
        <f ca="1">IF(dict_zuord_Meth_Pos[[#This Row],[kval_active]],dict_zuord_Meth_Pos[[#This Row],[ID_Positions]],"")</f>
        <v/>
      </c>
    </row>
    <row r="40" spans="1:4" x14ac:dyDescent="0.45">
      <c r="A40">
        <f ca="1">dict_zul_Var_Meth[ID_Methods]</f>
        <v>393</v>
      </c>
      <c r="B40">
        <f ca="1">dict_zul_Var_Meth[ID_Variables]</f>
        <v>10</v>
      </c>
      <c r="C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" t="str">
        <f ca="1">IF(dict_zuord_Meth_Pos[[#This Row],[kval_active]],dict_zuord_Meth_Pos[[#This Row],[ID_Positions]],"")</f>
        <v/>
      </c>
    </row>
    <row r="41" spans="1:4" x14ac:dyDescent="0.45">
      <c r="A41">
        <f ca="1">dict_zul_Var_Meth[ID_Methods]</f>
        <v>692</v>
      </c>
      <c r="B41">
        <f ca="1">dict_zul_Var_Meth[ID_Variables]</f>
        <v>10</v>
      </c>
      <c r="C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" t="str">
        <f ca="1">IF(dict_zuord_Meth_Pos[[#This Row],[kval_active]],dict_zuord_Meth_Pos[[#This Row],[ID_Positions]],"")</f>
        <v/>
      </c>
    </row>
    <row r="42" spans="1:4" x14ac:dyDescent="0.45">
      <c r="A42">
        <f ca="1">dict_zul_Var_Meth[ID_Methods]</f>
        <v>667</v>
      </c>
      <c r="B42">
        <f ca="1">dict_zul_Var_Meth[ID_Variables]</f>
        <v>10</v>
      </c>
      <c r="C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" t="str">
        <f ca="1">IF(dict_zuord_Meth_Pos[[#This Row],[kval_active]],dict_zuord_Meth_Pos[[#This Row],[ID_Positions]],"")</f>
        <v/>
      </c>
    </row>
    <row r="43" spans="1:4" x14ac:dyDescent="0.45">
      <c r="A43">
        <f ca="1">dict_zul_Var_Meth[ID_Methods]</f>
        <v>167</v>
      </c>
      <c r="B43">
        <f ca="1">dict_zul_Var_Meth[ID_Variables]</f>
        <v>11</v>
      </c>
      <c r="C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" t="str">
        <f ca="1">IF(dict_zuord_Meth_Pos[[#This Row],[kval_active]],dict_zuord_Meth_Pos[[#This Row],[ID_Positions]],"")</f>
        <v/>
      </c>
    </row>
    <row r="44" spans="1:4" x14ac:dyDescent="0.45">
      <c r="A44">
        <f ca="1">dict_zul_Var_Meth[ID_Methods]</f>
        <v>2</v>
      </c>
      <c r="B44">
        <f ca="1">dict_zul_Var_Meth[ID_Variables]</f>
        <v>11</v>
      </c>
      <c r="C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" t="str">
        <f ca="1">IF(dict_zuord_Meth_Pos[[#This Row],[kval_active]],dict_zuord_Meth_Pos[[#This Row],[ID_Positions]],"")</f>
        <v/>
      </c>
    </row>
    <row r="45" spans="1:4" x14ac:dyDescent="0.45">
      <c r="A45">
        <f ca="1">dict_zul_Var_Meth[ID_Methods]</f>
        <v>480</v>
      </c>
      <c r="B45">
        <f ca="1">dict_zul_Var_Meth[ID_Variables]</f>
        <v>12</v>
      </c>
      <c r="C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" t="str">
        <f ca="1">IF(dict_zuord_Meth_Pos[[#This Row],[kval_active]],dict_zuord_Meth_Pos[[#This Row],[ID_Positions]],"")</f>
        <v/>
      </c>
    </row>
    <row r="46" spans="1:4" x14ac:dyDescent="0.45">
      <c r="A46">
        <f ca="1">dict_zul_Var_Meth[ID_Methods]</f>
        <v>588</v>
      </c>
      <c r="B46">
        <f ca="1">dict_zul_Var_Meth[ID_Variables]</f>
        <v>12</v>
      </c>
      <c r="C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" t="str">
        <f ca="1">IF(dict_zuord_Meth_Pos[[#This Row],[kval_active]],dict_zuord_Meth_Pos[[#This Row],[ID_Positions]],"")</f>
        <v/>
      </c>
    </row>
    <row r="47" spans="1:4" x14ac:dyDescent="0.45">
      <c r="A47">
        <f ca="1">dict_zul_Var_Meth[ID_Methods]</f>
        <v>348</v>
      </c>
      <c r="B47">
        <f ca="1">dict_zul_Var_Meth[ID_Variables]</f>
        <v>12</v>
      </c>
      <c r="C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" t="str">
        <f ca="1">IF(dict_zuord_Meth_Pos[[#This Row],[kval_active]],dict_zuord_Meth_Pos[[#This Row],[ID_Positions]],"")</f>
        <v/>
      </c>
    </row>
    <row r="48" spans="1:4" x14ac:dyDescent="0.45">
      <c r="A48">
        <f ca="1">dict_zul_Var_Meth[ID_Methods]</f>
        <v>596</v>
      </c>
      <c r="B48">
        <f ca="1">dict_zul_Var_Meth[ID_Variables]</f>
        <v>12</v>
      </c>
      <c r="C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" t="str">
        <f ca="1">IF(dict_zuord_Meth_Pos[[#This Row],[kval_active]],dict_zuord_Meth_Pos[[#This Row],[ID_Positions]],"")</f>
        <v/>
      </c>
    </row>
    <row r="49" spans="1:4" x14ac:dyDescent="0.45">
      <c r="A49">
        <f ca="1">dict_zul_Var_Meth[ID_Methods]</f>
        <v>131</v>
      </c>
      <c r="B49">
        <f ca="1">dict_zul_Var_Meth[ID_Variables]</f>
        <v>12</v>
      </c>
      <c r="C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" t="str">
        <f ca="1">IF(dict_zuord_Meth_Pos[[#This Row],[kval_active]],dict_zuord_Meth_Pos[[#This Row],[ID_Positions]],"")</f>
        <v/>
      </c>
    </row>
    <row r="50" spans="1:4" x14ac:dyDescent="0.45">
      <c r="A50">
        <f ca="1">dict_zul_Var_Meth[ID_Methods]</f>
        <v>409</v>
      </c>
      <c r="B50">
        <f ca="1">dict_zul_Var_Meth[ID_Variables]</f>
        <v>12</v>
      </c>
      <c r="C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" t="str">
        <f ca="1">IF(dict_zuord_Meth_Pos[[#This Row],[kval_active]],dict_zuord_Meth_Pos[[#This Row],[ID_Positions]],"")</f>
        <v/>
      </c>
    </row>
    <row r="51" spans="1:4" x14ac:dyDescent="0.45">
      <c r="A51">
        <f ca="1">dict_zul_Var_Meth[ID_Methods]</f>
        <v>10</v>
      </c>
      <c r="B51">
        <f ca="1">dict_zul_Var_Meth[ID_Variables]</f>
        <v>13</v>
      </c>
      <c r="C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" t="str">
        <f ca="1">IF(dict_zuord_Meth_Pos[[#This Row],[kval_active]],dict_zuord_Meth_Pos[[#This Row],[ID_Positions]],"")</f>
        <v/>
      </c>
    </row>
    <row r="52" spans="1:4" x14ac:dyDescent="0.45">
      <c r="A52">
        <f ca="1">dict_zul_Var_Meth[ID_Methods]</f>
        <v>314</v>
      </c>
      <c r="B52">
        <f ca="1">dict_zul_Var_Meth[ID_Variables]</f>
        <v>13</v>
      </c>
      <c r="C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" t="str">
        <f ca="1">IF(dict_zuord_Meth_Pos[[#This Row],[kval_active]],dict_zuord_Meth_Pos[[#This Row],[ID_Positions]],"")</f>
        <v/>
      </c>
    </row>
    <row r="53" spans="1:4" x14ac:dyDescent="0.45">
      <c r="A53">
        <f ca="1">dict_zul_Var_Meth[ID_Methods]</f>
        <v>299</v>
      </c>
      <c r="B53">
        <f ca="1">dict_zul_Var_Meth[ID_Variables]</f>
        <v>14</v>
      </c>
      <c r="C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" t="str">
        <f ca="1">IF(dict_zuord_Meth_Pos[[#This Row],[kval_active]],dict_zuord_Meth_Pos[[#This Row],[ID_Positions]],"")</f>
        <v/>
      </c>
    </row>
    <row r="54" spans="1:4" x14ac:dyDescent="0.45">
      <c r="A54">
        <f ca="1">dict_zul_Var_Meth[ID_Methods]</f>
        <v>195</v>
      </c>
      <c r="B54">
        <f ca="1">dict_zul_Var_Meth[ID_Variables]</f>
        <v>14</v>
      </c>
      <c r="C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" t="str">
        <f ca="1">IF(dict_zuord_Meth_Pos[[#This Row],[kval_active]],dict_zuord_Meth_Pos[[#This Row],[ID_Positions]],"")</f>
        <v/>
      </c>
    </row>
    <row r="55" spans="1:4" x14ac:dyDescent="0.45">
      <c r="A55">
        <f ca="1">dict_zul_Var_Meth[ID_Methods]</f>
        <v>147</v>
      </c>
      <c r="B55">
        <f ca="1">dict_zul_Var_Meth[ID_Variables]</f>
        <v>14</v>
      </c>
      <c r="C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" t="str">
        <f ca="1">IF(dict_zuord_Meth_Pos[[#This Row],[kval_active]],dict_zuord_Meth_Pos[[#This Row],[ID_Positions]],"")</f>
        <v/>
      </c>
    </row>
    <row r="56" spans="1:4" x14ac:dyDescent="0.45">
      <c r="A56">
        <f ca="1">dict_zul_Var_Meth[ID_Methods]</f>
        <v>438</v>
      </c>
      <c r="B56">
        <f ca="1">dict_zul_Var_Meth[ID_Variables]</f>
        <v>14</v>
      </c>
      <c r="C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" t="str">
        <f ca="1">IF(dict_zuord_Meth_Pos[[#This Row],[kval_active]],dict_zuord_Meth_Pos[[#This Row],[ID_Positions]],"")</f>
        <v/>
      </c>
    </row>
    <row r="57" spans="1:4" x14ac:dyDescent="0.45">
      <c r="A57">
        <f ca="1">dict_zul_Var_Meth[ID_Methods]</f>
        <v>383</v>
      </c>
      <c r="B57">
        <f ca="1">dict_zul_Var_Meth[ID_Variables]</f>
        <v>14</v>
      </c>
      <c r="C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" t="str">
        <f ca="1">IF(dict_zuord_Meth_Pos[[#This Row],[kval_active]],dict_zuord_Meth_Pos[[#This Row],[ID_Positions]],"")</f>
        <v/>
      </c>
    </row>
    <row r="58" spans="1:4" x14ac:dyDescent="0.45">
      <c r="A58">
        <f ca="1">dict_zul_Var_Meth[ID_Methods]</f>
        <v>660</v>
      </c>
      <c r="B58">
        <f ca="1">dict_zul_Var_Meth[ID_Variables]</f>
        <v>14</v>
      </c>
      <c r="C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" t="str">
        <f ca="1">IF(dict_zuord_Meth_Pos[[#This Row],[kval_active]],dict_zuord_Meth_Pos[[#This Row],[ID_Positions]],"")</f>
        <v/>
      </c>
    </row>
    <row r="59" spans="1:4" x14ac:dyDescent="0.45">
      <c r="A59">
        <f ca="1">dict_zul_Var_Meth[ID_Methods]</f>
        <v>325</v>
      </c>
      <c r="B59">
        <f ca="1">dict_zul_Var_Meth[ID_Variables]</f>
        <v>15</v>
      </c>
      <c r="C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" t="str">
        <f ca="1">IF(dict_zuord_Meth_Pos[[#This Row],[kval_active]],dict_zuord_Meth_Pos[[#This Row],[ID_Positions]],"")</f>
        <v/>
      </c>
    </row>
    <row r="60" spans="1:4" x14ac:dyDescent="0.45">
      <c r="A60">
        <f ca="1">dict_zul_Var_Meth[ID_Methods]</f>
        <v>179</v>
      </c>
      <c r="B60">
        <f ca="1">dict_zul_Var_Meth[ID_Variables]</f>
        <v>15</v>
      </c>
      <c r="C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" t="str">
        <f ca="1">IF(dict_zuord_Meth_Pos[[#This Row],[kval_active]],dict_zuord_Meth_Pos[[#This Row],[ID_Positions]],"")</f>
        <v/>
      </c>
    </row>
    <row r="61" spans="1:4" x14ac:dyDescent="0.45">
      <c r="A61">
        <f ca="1">dict_zul_Var_Meth[ID_Methods]</f>
        <v>6</v>
      </c>
      <c r="B61">
        <f ca="1">dict_zul_Var_Meth[ID_Variables]</f>
        <v>16</v>
      </c>
      <c r="C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" t="str">
        <f ca="1">IF(dict_zuord_Meth_Pos[[#This Row],[kval_active]],dict_zuord_Meth_Pos[[#This Row],[ID_Positions]],"")</f>
        <v/>
      </c>
    </row>
    <row r="62" spans="1:4" x14ac:dyDescent="0.45">
      <c r="A62">
        <f ca="1">dict_zul_Var_Meth[ID_Methods]</f>
        <v>317</v>
      </c>
      <c r="B62">
        <f ca="1">dict_zul_Var_Meth[ID_Variables]</f>
        <v>16</v>
      </c>
      <c r="C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" t="str">
        <f ca="1">IF(dict_zuord_Meth_Pos[[#This Row],[kval_active]],dict_zuord_Meth_Pos[[#This Row],[ID_Positions]],"")</f>
        <v/>
      </c>
    </row>
    <row r="63" spans="1:4" x14ac:dyDescent="0.45">
      <c r="A63">
        <f ca="1">dict_zul_Var_Meth[ID_Methods]</f>
        <v>149</v>
      </c>
      <c r="B63">
        <f ca="1">dict_zul_Var_Meth[ID_Variables]</f>
        <v>16</v>
      </c>
      <c r="C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" t="str">
        <f ca="1">IF(dict_zuord_Meth_Pos[[#This Row],[kval_active]],dict_zuord_Meth_Pos[[#This Row],[ID_Positions]],"")</f>
        <v/>
      </c>
    </row>
    <row r="64" spans="1:4" x14ac:dyDescent="0.45">
      <c r="A64">
        <f ca="1">dict_zul_Var_Meth[ID_Methods]</f>
        <v>562</v>
      </c>
      <c r="B64">
        <f ca="1">dict_zul_Var_Meth[ID_Variables]</f>
        <v>16</v>
      </c>
      <c r="C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" t="str">
        <f ca="1">IF(dict_zuord_Meth_Pos[[#This Row],[kval_active]],dict_zuord_Meth_Pos[[#This Row],[ID_Positions]],"")</f>
        <v/>
      </c>
    </row>
    <row r="65" spans="1:4" x14ac:dyDescent="0.45">
      <c r="A65">
        <f ca="1">dict_zul_Var_Meth[ID_Methods]</f>
        <v>700</v>
      </c>
      <c r="B65">
        <f ca="1">dict_zul_Var_Meth[ID_Variables]</f>
        <v>17</v>
      </c>
      <c r="C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" t="str">
        <f ca="1">IF(dict_zuord_Meth_Pos[[#This Row],[kval_active]],dict_zuord_Meth_Pos[[#This Row],[ID_Positions]],"")</f>
        <v/>
      </c>
    </row>
    <row r="66" spans="1:4" x14ac:dyDescent="0.45">
      <c r="A66">
        <f ca="1">dict_zul_Var_Meth[ID_Methods]</f>
        <v>569</v>
      </c>
      <c r="B66">
        <f ca="1">dict_zul_Var_Meth[ID_Variables]</f>
        <v>17</v>
      </c>
      <c r="C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" t="str">
        <f ca="1">IF(dict_zuord_Meth_Pos[[#This Row],[kval_active]],dict_zuord_Meth_Pos[[#This Row],[ID_Positions]],"")</f>
        <v/>
      </c>
    </row>
    <row r="67" spans="1:4" x14ac:dyDescent="0.45">
      <c r="A67">
        <f ca="1">dict_zul_Var_Meth[ID_Methods]</f>
        <v>18</v>
      </c>
      <c r="B67">
        <f ca="1">dict_zul_Var_Meth[ID_Variables]</f>
        <v>17</v>
      </c>
      <c r="C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" t="str">
        <f ca="1">IF(dict_zuord_Meth_Pos[[#This Row],[kval_active]],dict_zuord_Meth_Pos[[#This Row],[ID_Positions]],"")</f>
        <v/>
      </c>
    </row>
    <row r="68" spans="1:4" x14ac:dyDescent="0.45">
      <c r="A68">
        <f ca="1">dict_zul_Var_Meth[ID_Methods]</f>
        <v>24</v>
      </c>
      <c r="B68">
        <f ca="1">dict_zul_Var_Meth[ID_Variables]</f>
        <v>17</v>
      </c>
      <c r="C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68">
        <f ca="1">IF(dict_zuord_Meth_Pos[[#This Row],[kval_active]],dict_zuord_Meth_Pos[[#This Row],[ID_Positions]],"")</f>
        <v>17</v>
      </c>
    </row>
    <row r="69" spans="1:4" x14ac:dyDescent="0.45">
      <c r="A69">
        <f ca="1">dict_zul_Var_Meth[ID_Methods]</f>
        <v>597</v>
      </c>
      <c r="B69">
        <f ca="1">dict_zul_Var_Meth[ID_Variables]</f>
        <v>17</v>
      </c>
      <c r="C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" t="str">
        <f ca="1">IF(dict_zuord_Meth_Pos[[#This Row],[kval_active]],dict_zuord_Meth_Pos[[#This Row],[ID_Positions]],"")</f>
        <v/>
      </c>
    </row>
    <row r="70" spans="1:4" x14ac:dyDescent="0.45">
      <c r="A70">
        <f ca="1">dict_zul_Var_Meth[ID_Methods]</f>
        <v>467</v>
      </c>
      <c r="B70">
        <f ca="1">dict_zul_Var_Meth[ID_Variables]</f>
        <v>18</v>
      </c>
      <c r="C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" t="str">
        <f ca="1">IF(dict_zuord_Meth_Pos[[#This Row],[kval_active]],dict_zuord_Meth_Pos[[#This Row],[ID_Positions]],"")</f>
        <v/>
      </c>
    </row>
    <row r="71" spans="1:4" x14ac:dyDescent="0.45">
      <c r="A71">
        <f ca="1">dict_zul_Var_Meth[ID_Methods]</f>
        <v>396</v>
      </c>
      <c r="B71">
        <f ca="1">dict_zul_Var_Meth[ID_Variables]</f>
        <v>18</v>
      </c>
      <c r="C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" t="str">
        <f ca="1">IF(dict_zuord_Meth_Pos[[#This Row],[kval_active]],dict_zuord_Meth_Pos[[#This Row],[ID_Positions]],"")</f>
        <v/>
      </c>
    </row>
    <row r="72" spans="1:4" x14ac:dyDescent="0.45">
      <c r="A72">
        <f ca="1">dict_zul_Var_Meth[ID_Methods]</f>
        <v>543</v>
      </c>
      <c r="B72">
        <f ca="1">dict_zul_Var_Meth[ID_Variables]</f>
        <v>18</v>
      </c>
      <c r="C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" t="str">
        <f ca="1">IF(dict_zuord_Meth_Pos[[#This Row],[kval_active]],dict_zuord_Meth_Pos[[#This Row],[ID_Positions]],"")</f>
        <v/>
      </c>
    </row>
    <row r="73" spans="1:4" x14ac:dyDescent="0.45">
      <c r="A73">
        <f ca="1">dict_zul_Var_Meth[ID_Methods]</f>
        <v>292</v>
      </c>
      <c r="B73">
        <f ca="1">dict_zul_Var_Meth[ID_Variables]</f>
        <v>18</v>
      </c>
      <c r="C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" t="str">
        <f ca="1">IF(dict_zuord_Meth_Pos[[#This Row],[kval_active]],dict_zuord_Meth_Pos[[#This Row],[ID_Positions]],"")</f>
        <v/>
      </c>
    </row>
    <row r="74" spans="1:4" x14ac:dyDescent="0.45">
      <c r="A74">
        <f ca="1">dict_zul_Var_Meth[ID_Methods]</f>
        <v>239</v>
      </c>
      <c r="B74">
        <f ca="1">dict_zul_Var_Meth[ID_Variables]</f>
        <v>19</v>
      </c>
      <c r="C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" t="str">
        <f ca="1">IF(dict_zuord_Meth_Pos[[#This Row],[kval_active]],dict_zuord_Meth_Pos[[#This Row],[ID_Positions]],"")</f>
        <v/>
      </c>
    </row>
    <row r="75" spans="1:4" x14ac:dyDescent="0.45">
      <c r="A75">
        <f ca="1">dict_zul_Var_Meth[ID_Methods]</f>
        <v>320</v>
      </c>
      <c r="B75">
        <f ca="1">dict_zul_Var_Meth[ID_Variables]</f>
        <v>19</v>
      </c>
      <c r="C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" t="str">
        <f ca="1">IF(dict_zuord_Meth_Pos[[#This Row],[kval_active]],dict_zuord_Meth_Pos[[#This Row],[ID_Positions]],"")</f>
        <v/>
      </c>
    </row>
    <row r="76" spans="1:4" x14ac:dyDescent="0.45">
      <c r="A76">
        <f ca="1">dict_zul_Var_Meth[ID_Methods]</f>
        <v>154</v>
      </c>
      <c r="B76">
        <f ca="1">dict_zul_Var_Meth[ID_Variables]</f>
        <v>20</v>
      </c>
      <c r="C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" t="str">
        <f ca="1">IF(dict_zuord_Meth_Pos[[#This Row],[kval_active]],dict_zuord_Meth_Pos[[#This Row],[ID_Positions]],"")</f>
        <v/>
      </c>
    </row>
    <row r="77" spans="1:4" x14ac:dyDescent="0.45">
      <c r="A77">
        <f ca="1">dict_zul_Var_Meth[ID_Methods]</f>
        <v>401</v>
      </c>
      <c r="B77">
        <f ca="1">dict_zul_Var_Meth[ID_Variables]</f>
        <v>20</v>
      </c>
      <c r="C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7" t="str">
        <f ca="1">IF(dict_zuord_Meth_Pos[[#This Row],[kval_active]],dict_zuord_Meth_Pos[[#This Row],[ID_Positions]],"")</f>
        <v/>
      </c>
    </row>
    <row r="78" spans="1:4" x14ac:dyDescent="0.45">
      <c r="A78">
        <f ca="1">dict_zul_Var_Meth[ID_Methods]</f>
        <v>631</v>
      </c>
      <c r="B78">
        <f ca="1">dict_zul_Var_Meth[ID_Variables]</f>
        <v>20</v>
      </c>
      <c r="C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8" t="str">
        <f ca="1">IF(dict_zuord_Meth_Pos[[#This Row],[kval_active]],dict_zuord_Meth_Pos[[#This Row],[ID_Positions]],"")</f>
        <v/>
      </c>
    </row>
    <row r="79" spans="1:4" x14ac:dyDescent="0.45">
      <c r="A79">
        <f ca="1">dict_zul_Var_Meth[ID_Methods]</f>
        <v>27</v>
      </c>
      <c r="B79">
        <f ca="1">dict_zul_Var_Meth[ID_Variables]</f>
        <v>20</v>
      </c>
      <c r="C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9" t="str">
        <f ca="1">IF(dict_zuord_Meth_Pos[[#This Row],[kval_active]],dict_zuord_Meth_Pos[[#This Row],[ID_Positions]],"")</f>
        <v/>
      </c>
    </row>
    <row r="80" spans="1:4" x14ac:dyDescent="0.45">
      <c r="A80">
        <f ca="1">dict_zul_Var_Meth[ID_Methods]</f>
        <v>582</v>
      </c>
      <c r="B80">
        <f ca="1">dict_zul_Var_Meth[ID_Variables]</f>
        <v>21</v>
      </c>
      <c r="C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0" t="str">
        <f ca="1">IF(dict_zuord_Meth_Pos[[#This Row],[kval_active]],dict_zuord_Meth_Pos[[#This Row],[ID_Positions]],"")</f>
        <v/>
      </c>
    </row>
    <row r="81" spans="1:4" x14ac:dyDescent="0.45">
      <c r="A81">
        <f ca="1">dict_zul_Var_Meth[ID_Methods]</f>
        <v>503</v>
      </c>
      <c r="B81">
        <f ca="1">dict_zul_Var_Meth[ID_Variables]</f>
        <v>21</v>
      </c>
      <c r="C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1" t="str">
        <f ca="1">IF(dict_zuord_Meth_Pos[[#This Row],[kval_active]],dict_zuord_Meth_Pos[[#This Row],[ID_Positions]],"")</f>
        <v/>
      </c>
    </row>
    <row r="82" spans="1:4" x14ac:dyDescent="0.45">
      <c r="A82">
        <f ca="1">dict_zul_Var_Meth[ID_Methods]</f>
        <v>155</v>
      </c>
      <c r="B82">
        <f ca="1">dict_zul_Var_Meth[ID_Variables]</f>
        <v>21</v>
      </c>
      <c r="C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2" t="str">
        <f ca="1">IF(dict_zuord_Meth_Pos[[#This Row],[kval_active]],dict_zuord_Meth_Pos[[#This Row],[ID_Positions]],"")</f>
        <v/>
      </c>
    </row>
    <row r="83" spans="1:4" x14ac:dyDescent="0.45">
      <c r="A83">
        <f ca="1">dict_zul_Var_Meth[ID_Methods]</f>
        <v>116</v>
      </c>
      <c r="B83">
        <f ca="1">dict_zul_Var_Meth[ID_Variables]</f>
        <v>21</v>
      </c>
      <c r="C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3" t="str">
        <f ca="1">IF(dict_zuord_Meth_Pos[[#This Row],[kval_active]],dict_zuord_Meth_Pos[[#This Row],[ID_Positions]],"")</f>
        <v/>
      </c>
    </row>
    <row r="84" spans="1:4" x14ac:dyDescent="0.45">
      <c r="A84">
        <f ca="1">dict_zul_Var_Meth[ID_Methods]</f>
        <v>591</v>
      </c>
      <c r="B84">
        <f ca="1">dict_zul_Var_Meth[ID_Variables]</f>
        <v>22</v>
      </c>
      <c r="C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4" t="str">
        <f ca="1">IF(dict_zuord_Meth_Pos[[#This Row],[kval_active]],dict_zuord_Meth_Pos[[#This Row],[ID_Positions]],"")</f>
        <v/>
      </c>
    </row>
    <row r="85" spans="1:4" x14ac:dyDescent="0.45">
      <c r="A85">
        <f ca="1">dict_zul_Var_Meth[ID_Methods]</f>
        <v>483</v>
      </c>
      <c r="B85">
        <f ca="1">dict_zul_Var_Meth[ID_Variables]</f>
        <v>22</v>
      </c>
      <c r="C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5" t="str">
        <f ca="1">IF(dict_zuord_Meth_Pos[[#This Row],[kval_active]],dict_zuord_Meth_Pos[[#This Row],[ID_Positions]],"")</f>
        <v/>
      </c>
    </row>
    <row r="86" spans="1:4" x14ac:dyDescent="0.45">
      <c r="A86">
        <f ca="1">dict_zul_Var_Meth[ID_Methods]</f>
        <v>419</v>
      </c>
      <c r="B86">
        <f ca="1">dict_zul_Var_Meth[ID_Variables]</f>
        <v>22</v>
      </c>
      <c r="C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6" t="str">
        <f ca="1">IF(dict_zuord_Meth_Pos[[#This Row],[kval_active]],dict_zuord_Meth_Pos[[#This Row],[ID_Positions]],"")</f>
        <v/>
      </c>
    </row>
    <row r="87" spans="1:4" x14ac:dyDescent="0.45">
      <c r="A87">
        <f ca="1">dict_zul_Var_Meth[ID_Methods]</f>
        <v>652</v>
      </c>
      <c r="B87">
        <f ca="1">dict_zul_Var_Meth[ID_Variables]</f>
        <v>22</v>
      </c>
      <c r="C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7" t="str">
        <f ca="1">IF(dict_zuord_Meth_Pos[[#This Row],[kval_active]],dict_zuord_Meth_Pos[[#This Row],[ID_Positions]],"")</f>
        <v/>
      </c>
    </row>
    <row r="88" spans="1:4" x14ac:dyDescent="0.45">
      <c r="A88">
        <f ca="1">dict_zul_Var_Meth[ID_Methods]</f>
        <v>645</v>
      </c>
      <c r="B88">
        <f ca="1">dict_zul_Var_Meth[ID_Variables]</f>
        <v>23</v>
      </c>
      <c r="C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8" t="str">
        <f ca="1">IF(dict_zuord_Meth_Pos[[#This Row],[kval_active]],dict_zuord_Meth_Pos[[#This Row],[ID_Positions]],"")</f>
        <v/>
      </c>
    </row>
    <row r="89" spans="1:4" x14ac:dyDescent="0.45">
      <c r="A89">
        <f ca="1">dict_zul_Var_Meth[ID_Methods]</f>
        <v>618</v>
      </c>
      <c r="B89">
        <f ca="1">dict_zul_Var_Meth[ID_Variables]</f>
        <v>23</v>
      </c>
      <c r="C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89" t="str">
        <f ca="1">IF(dict_zuord_Meth_Pos[[#This Row],[kval_active]],dict_zuord_Meth_Pos[[#This Row],[ID_Positions]],"")</f>
        <v/>
      </c>
    </row>
    <row r="90" spans="1:4" x14ac:dyDescent="0.45">
      <c r="A90">
        <f ca="1">dict_zul_Var_Meth[ID_Methods]</f>
        <v>397</v>
      </c>
      <c r="B90">
        <f ca="1">dict_zul_Var_Meth[ID_Variables]</f>
        <v>23</v>
      </c>
      <c r="C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0" t="str">
        <f ca="1">IF(dict_zuord_Meth_Pos[[#This Row],[kval_active]],dict_zuord_Meth_Pos[[#This Row],[ID_Positions]],"")</f>
        <v/>
      </c>
    </row>
    <row r="91" spans="1:4" x14ac:dyDescent="0.45">
      <c r="A91">
        <f ca="1">dict_zul_Var_Meth[ID_Methods]</f>
        <v>655</v>
      </c>
      <c r="B91">
        <f ca="1">dict_zul_Var_Meth[ID_Variables]</f>
        <v>24</v>
      </c>
      <c r="C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1" t="str">
        <f ca="1">IF(dict_zuord_Meth_Pos[[#This Row],[kval_active]],dict_zuord_Meth_Pos[[#This Row],[ID_Positions]],"")</f>
        <v/>
      </c>
    </row>
    <row r="92" spans="1:4" x14ac:dyDescent="0.45">
      <c r="A92">
        <f ca="1">dict_zul_Var_Meth[ID_Methods]</f>
        <v>42</v>
      </c>
      <c r="B92">
        <f ca="1">dict_zul_Var_Meth[ID_Variables]</f>
        <v>24</v>
      </c>
      <c r="C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2" t="str">
        <f ca="1">IF(dict_zuord_Meth_Pos[[#This Row],[kval_active]],dict_zuord_Meth_Pos[[#This Row],[ID_Positions]],"")</f>
        <v/>
      </c>
    </row>
    <row r="93" spans="1:4" x14ac:dyDescent="0.45">
      <c r="A93">
        <f ca="1">dict_zul_Var_Meth[ID_Methods]</f>
        <v>365</v>
      </c>
      <c r="B93">
        <f ca="1">dict_zul_Var_Meth[ID_Variables]</f>
        <v>24</v>
      </c>
      <c r="C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3" t="str">
        <f ca="1">IF(dict_zuord_Meth_Pos[[#This Row],[kval_active]],dict_zuord_Meth_Pos[[#This Row],[ID_Positions]],"")</f>
        <v/>
      </c>
    </row>
    <row r="94" spans="1:4" x14ac:dyDescent="0.45">
      <c r="A94">
        <f ca="1">dict_zul_Var_Meth[ID_Methods]</f>
        <v>324</v>
      </c>
      <c r="B94">
        <f ca="1">dict_zul_Var_Meth[ID_Variables]</f>
        <v>24</v>
      </c>
      <c r="C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4" t="str">
        <f ca="1">IF(dict_zuord_Meth_Pos[[#This Row],[kval_active]],dict_zuord_Meth_Pos[[#This Row],[ID_Positions]],"")</f>
        <v/>
      </c>
    </row>
    <row r="95" spans="1:4" x14ac:dyDescent="0.45">
      <c r="A95">
        <f ca="1">dict_zul_Var_Meth[ID_Methods]</f>
        <v>45</v>
      </c>
      <c r="B95">
        <f ca="1">dict_zul_Var_Meth[ID_Variables]</f>
        <v>25</v>
      </c>
      <c r="C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5" t="str">
        <f ca="1">IF(dict_zuord_Meth_Pos[[#This Row],[kval_active]],dict_zuord_Meth_Pos[[#This Row],[ID_Positions]],"")</f>
        <v/>
      </c>
    </row>
    <row r="96" spans="1:4" x14ac:dyDescent="0.45">
      <c r="A96">
        <f ca="1">dict_zul_Var_Meth[ID_Methods]</f>
        <v>227</v>
      </c>
      <c r="B96">
        <f ca="1">dict_zul_Var_Meth[ID_Variables]</f>
        <v>25</v>
      </c>
      <c r="C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6" t="str">
        <f ca="1">IF(dict_zuord_Meth_Pos[[#This Row],[kval_active]],dict_zuord_Meth_Pos[[#This Row],[ID_Positions]],"")</f>
        <v/>
      </c>
    </row>
    <row r="97" spans="1:4" x14ac:dyDescent="0.45">
      <c r="A97">
        <f ca="1">dict_zul_Var_Meth[ID_Methods]</f>
        <v>517</v>
      </c>
      <c r="B97">
        <f ca="1">dict_zul_Var_Meth[ID_Variables]</f>
        <v>25</v>
      </c>
      <c r="C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7" t="str">
        <f ca="1">IF(dict_zuord_Meth_Pos[[#This Row],[kval_active]],dict_zuord_Meth_Pos[[#This Row],[ID_Positions]],"")</f>
        <v/>
      </c>
    </row>
    <row r="98" spans="1:4" x14ac:dyDescent="0.45">
      <c r="A98">
        <f ca="1">dict_zul_Var_Meth[ID_Methods]</f>
        <v>444</v>
      </c>
      <c r="B98">
        <f ca="1">dict_zul_Var_Meth[ID_Variables]</f>
        <v>25</v>
      </c>
      <c r="C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8" t="str">
        <f ca="1">IF(dict_zuord_Meth_Pos[[#This Row],[kval_active]],dict_zuord_Meth_Pos[[#This Row],[ID_Positions]],"")</f>
        <v/>
      </c>
    </row>
    <row r="99" spans="1:4" x14ac:dyDescent="0.45">
      <c r="A99">
        <f ca="1">dict_zul_Var_Meth[ID_Methods]</f>
        <v>262</v>
      </c>
      <c r="B99">
        <f ca="1">dict_zul_Var_Meth[ID_Variables]</f>
        <v>26</v>
      </c>
      <c r="C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99" t="str">
        <f ca="1">IF(dict_zuord_Meth_Pos[[#This Row],[kval_active]],dict_zuord_Meth_Pos[[#This Row],[ID_Positions]],"")</f>
        <v/>
      </c>
    </row>
    <row r="100" spans="1:4" x14ac:dyDescent="0.45">
      <c r="A100">
        <f ca="1">dict_zul_Var_Meth[ID_Methods]</f>
        <v>44</v>
      </c>
      <c r="B100">
        <f ca="1">dict_zul_Var_Meth[ID_Variables]</f>
        <v>26</v>
      </c>
      <c r="C1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0" t="str">
        <f ca="1">IF(dict_zuord_Meth_Pos[[#This Row],[kval_active]],dict_zuord_Meth_Pos[[#This Row],[ID_Positions]],"")</f>
        <v/>
      </c>
    </row>
    <row r="101" spans="1:4" x14ac:dyDescent="0.45">
      <c r="A101">
        <f ca="1">dict_zul_Var_Meth[ID_Methods]</f>
        <v>431</v>
      </c>
      <c r="B101">
        <f ca="1">dict_zul_Var_Meth[ID_Variables]</f>
        <v>26</v>
      </c>
      <c r="C1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1" t="str">
        <f ca="1">IF(dict_zuord_Meth_Pos[[#This Row],[kval_active]],dict_zuord_Meth_Pos[[#This Row],[ID_Positions]],"")</f>
        <v/>
      </c>
    </row>
    <row r="102" spans="1:4" x14ac:dyDescent="0.45">
      <c r="A102">
        <f ca="1">dict_zul_Var_Meth[ID_Methods]</f>
        <v>636</v>
      </c>
      <c r="B102">
        <f ca="1">dict_zul_Var_Meth[ID_Variables]</f>
        <v>26</v>
      </c>
      <c r="C1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2" t="str">
        <f ca="1">IF(dict_zuord_Meth_Pos[[#This Row],[kval_active]],dict_zuord_Meth_Pos[[#This Row],[ID_Positions]],"")</f>
        <v/>
      </c>
    </row>
    <row r="103" spans="1:4" x14ac:dyDescent="0.45">
      <c r="A103">
        <f ca="1">dict_zul_Var_Meth[ID_Methods]</f>
        <v>127</v>
      </c>
      <c r="B103">
        <f ca="1">dict_zul_Var_Meth[ID_Variables]</f>
        <v>27</v>
      </c>
      <c r="C1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3" t="str">
        <f ca="1">IF(dict_zuord_Meth_Pos[[#This Row],[kval_active]],dict_zuord_Meth_Pos[[#This Row],[ID_Positions]],"")</f>
        <v/>
      </c>
    </row>
    <row r="104" spans="1:4" x14ac:dyDescent="0.45">
      <c r="A104">
        <f ca="1">dict_zul_Var_Meth[ID_Methods]</f>
        <v>296</v>
      </c>
      <c r="B104">
        <f ca="1">dict_zul_Var_Meth[ID_Variables]</f>
        <v>27</v>
      </c>
      <c r="C1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4" t="str">
        <f ca="1">IF(dict_zuord_Meth_Pos[[#This Row],[kval_active]],dict_zuord_Meth_Pos[[#This Row],[ID_Positions]],"")</f>
        <v/>
      </c>
    </row>
    <row r="105" spans="1:4" x14ac:dyDescent="0.45">
      <c r="A105">
        <f ca="1">dict_zul_Var_Meth[ID_Methods]</f>
        <v>556</v>
      </c>
      <c r="B105">
        <f ca="1">dict_zul_Var_Meth[ID_Variables]</f>
        <v>27</v>
      </c>
      <c r="C1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5" t="str">
        <f ca="1">IF(dict_zuord_Meth_Pos[[#This Row],[kval_active]],dict_zuord_Meth_Pos[[#This Row],[ID_Positions]],"")</f>
        <v/>
      </c>
    </row>
    <row r="106" spans="1:4" x14ac:dyDescent="0.45">
      <c r="A106">
        <f ca="1">dict_zul_Var_Meth[ID_Methods]</f>
        <v>395</v>
      </c>
      <c r="B106">
        <f ca="1">dict_zul_Var_Meth[ID_Variables]</f>
        <v>28</v>
      </c>
      <c r="C1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6" t="str">
        <f ca="1">IF(dict_zuord_Meth_Pos[[#This Row],[kval_active]],dict_zuord_Meth_Pos[[#This Row],[ID_Positions]],"")</f>
        <v/>
      </c>
    </row>
    <row r="107" spans="1:4" x14ac:dyDescent="0.45">
      <c r="A107">
        <f ca="1">dict_zul_Var_Meth[ID_Methods]</f>
        <v>593</v>
      </c>
      <c r="B107">
        <f ca="1">dict_zul_Var_Meth[ID_Variables]</f>
        <v>28</v>
      </c>
      <c r="C1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7" t="str">
        <f ca="1">IF(dict_zuord_Meth_Pos[[#This Row],[kval_active]],dict_zuord_Meth_Pos[[#This Row],[ID_Positions]],"")</f>
        <v/>
      </c>
    </row>
    <row r="108" spans="1:4" x14ac:dyDescent="0.45">
      <c r="A108">
        <f ca="1">dict_zul_Var_Meth[ID_Methods]</f>
        <v>92</v>
      </c>
      <c r="B108">
        <f ca="1">dict_zul_Var_Meth[ID_Variables]</f>
        <v>28</v>
      </c>
      <c r="C1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8" t="str">
        <f ca="1">IF(dict_zuord_Meth_Pos[[#This Row],[kval_active]],dict_zuord_Meth_Pos[[#This Row],[ID_Positions]],"")</f>
        <v/>
      </c>
    </row>
    <row r="109" spans="1:4" x14ac:dyDescent="0.45">
      <c r="A109">
        <f ca="1">dict_zul_Var_Meth[ID_Methods]</f>
        <v>371</v>
      </c>
      <c r="B109">
        <f ca="1">dict_zul_Var_Meth[ID_Variables]</f>
        <v>28</v>
      </c>
      <c r="C1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09" t="str">
        <f ca="1">IF(dict_zuord_Meth_Pos[[#This Row],[kval_active]],dict_zuord_Meth_Pos[[#This Row],[ID_Positions]],"")</f>
        <v/>
      </c>
    </row>
    <row r="110" spans="1:4" x14ac:dyDescent="0.45">
      <c r="A110">
        <f ca="1">dict_zul_Var_Meth[ID_Methods]</f>
        <v>404</v>
      </c>
      <c r="B110">
        <f ca="1">dict_zul_Var_Meth[ID_Variables]</f>
        <v>29</v>
      </c>
      <c r="C1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0" t="str">
        <f ca="1">IF(dict_zuord_Meth_Pos[[#This Row],[kval_active]],dict_zuord_Meth_Pos[[#This Row],[ID_Positions]],"")</f>
        <v/>
      </c>
    </row>
    <row r="111" spans="1:4" x14ac:dyDescent="0.45">
      <c r="A111">
        <f ca="1">dict_zul_Var_Meth[ID_Methods]</f>
        <v>133</v>
      </c>
      <c r="B111">
        <f ca="1">dict_zul_Var_Meth[ID_Variables]</f>
        <v>29</v>
      </c>
      <c r="C1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1" t="str">
        <f ca="1">IF(dict_zuord_Meth_Pos[[#This Row],[kval_active]],dict_zuord_Meth_Pos[[#This Row],[ID_Positions]],"")</f>
        <v/>
      </c>
    </row>
    <row r="112" spans="1:4" x14ac:dyDescent="0.45">
      <c r="A112">
        <f ca="1">dict_zul_Var_Meth[ID_Methods]</f>
        <v>40</v>
      </c>
      <c r="B112">
        <f ca="1">dict_zul_Var_Meth[ID_Variables]</f>
        <v>29</v>
      </c>
      <c r="C1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2" t="str">
        <f ca="1">IF(dict_zuord_Meth_Pos[[#This Row],[kval_active]],dict_zuord_Meth_Pos[[#This Row],[ID_Positions]],"")</f>
        <v/>
      </c>
    </row>
    <row r="113" spans="1:4" x14ac:dyDescent="0.45">
      <c r="A113">
        <f ca="1">dict_zul_Var_Meth[ID_Methods]</f>
        <v>512</v>
      </c>
      <c r="B113">
        <f ca="1">dict_zul_Var_Meth[ID_Variables]</f>
        <v>30</v>
      </c>
      <c r="C1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3" t="str">
        <f ca="1">IF(dict_zuord_Meth_Pos[[#This Row],[kval_active]],dict_zuord_Meth_Pos[[#This Row],[ID_Positions]],"")</f>
        <v/>
      </c>
    </row>
    <row r="114" spans="1:4" x14ac:dyDescent="0.45">
      <c r="A114">
        <f ca="1">dict_zul_Var_Meth[ID_Methods]</f>
        <v>267</v>
      </c>
      <c r="B114">
        <f ca="1">dict_zul_Var_Meth[ID_Variables]</f>
        <v>30</v>
      </c>
      <c r="C1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4" t="str">
        <f ca="1">IF(dict_zuord_Meth_Pos[[#This Row],[kval_active]],dict_zuord_Meth_Pos[[#This Row],[ID_Positions]],"")</f>
        <v/>
      </c>
    </row>
    <row r="115" spans="1:4" x14ac:dyDescent="0.45">
      <c r="A115">
        <f ca="1">dict_zul_Var_Meth[ID_Methods]</f>
        <v>6</v>
      </c>
      <c r="B115">
        <f ca="1">dict_zul_Var_Meth[ID_Variables]</f>
        <v>30</v>
      </c>
      <c r="C1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5" t="str">
        <f ca="1">IF(dict_zuord_Meth_Pos[[#This Row],[kval_active]],dict_zuord_Meth_Pos[[#This Row],[ID_Positions]],"")</f>
        <v/>
      </c>
    </row>
    <row r="116" spans="1:4" x14ac:dyDescent="0.45">
      <c r="A116">
        <f ca="1">dict_zul_Var_Meth[ID_Methods]</f>
        <v>664</v>
      </c>
      <c r="B116">
        <f ca="1">dict_zul_Var_Meth[ID_Variables]</f>
        <v>30</v>
      </c>
      <c r="C1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6" t="str">
        <f ca="1">IF(dict_zuord_Meth_Pos[[#This Row],[kval_active]],dict_zuord_Meth_Pos[[#This Row],[ID_Positions]],"")</f>
        <v/>
      </c>
    </row>
    <row r="117" spans="1:4" x14ac:dyDescent="0.45">
      <c r="A117">
        <f ca="1">dict_zul_Var_Meth[ID_Methods]</f>
        <v>143</v>
      </c>
      <c r="B117">
        <f ca="1">dict_zul_Var_Meth[ID_Variables]</f>
        <v>30</v>
      </c>
      <c r="C1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7" t="str">
        <f ca="1">IF(dict_zuord_Meth_Pos[[#This Row],[kval_active]],dict_zuord_Meth_Pos[[#This Row],[ID_Positions]],"")</f>
        <v/>
      </c>
    </row>
    <row r="118" spans="1:4" x14ac:dyDescent="0.45">
      <c r="A118">
        <f ca="1">dict_zul_Var_Meth[ID_Methods]</f>
        <v>523</v>
      </c>
      <c r="B118">
        <f ca="1">dict_zul_Var_Meth[ID_Variables]</f>
        <v>31</v>
      </c>
      <c r="C1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8" t="str">
        <f ca="1">IF(dict_zuord_Meth_Pos[[#This Row],[kval_active]],dict_zuord_Meth_Pos[[#This Row],[ID_Positions]],"")</f>
        <v/>
      </c>
    </row>
    <row r="119" spans="1:4" x14ac:dyDescent="0.45">
      <c r="A119">
        <f ca="1">dict_zul_Var_Meth[ID_Methods]</f>
        <v>7</v>
      </c>
      <c r="B119">
        <f ca="1">dict_zul_Var_Meth[ID_Variables]</f>
        <v>31</v>
      </c>
      <c r="C1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19" t="str">
        <f ca="1">IF(dict_zuord_Meth_Pos[[#This Row],[kval_active]],dict_zuord_Meth_Pos[[#This Row],[ID_Positions]],"")</f>
        <v/>
      </c>
    </row>
    <row r="120" spans="1:4" x14ac:dyDescent="0.45">
      <c r="A120">
        <f ca="1">dict_zul_Var_Meth[ID_Methods]</f>
        <v>14</v>
      </c>
      <c r="B120">
        <f ca="1">dict_zul_Var_Meth[ID_Variables]</f>
        <v>31</v>
      </c>
      <c r="C1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0" t="str">
        <f ca="1">IF(dict_zuord_Meth_Pos[[#This Row],[kval_active]],dict_zuord_Meth_Pos[[#This Row],[ID_Positions]],"")</f>
        <v/>
      </c>
    </row>
    <row r="121" spans="1:4" x14ac:dyDescent="0.45">
      <c r="A121">
        <f ca="1">dict_zul_Var_Meth[ID_Methods]</f>
        <v>417</v>
      </c>
      <c r="B121">
        <f ca="1">dict_zul_Var_Meth[ID_Variables]</f>
        <v>31</v>
      </c>
      <c r="C1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1" t="str">
        <f ca="1">IF(dict_zuord_Meth_Pos[[#This Row],[kval_active]],dict_zuord_Meth_Pos[[#This Row],[ID_Positions]],"")</f>
        <v/>
      </c>
    </row>
    <row r="122" spans="1:4" x14ac:dyDescent="0.45">
      <c r="A122">
        <f ca="1">dict_zul_Var_Meth[ID_Methods]</f>
        <v>594</v>
      </c>
      <c r="B122">
        <f ca="1">dict_zul_Var_Meth[ID_Variables]</f>
        <v>32</v>
      </c>
      <c r="C1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2" t="str">
        <f ca="1">IF(dict_zuord_Meth_Pos[[#This Row],[kval_active]],dict_zuord_Meth_Pos[[#This Row],[ID_Positions]],"")</f>
        <v/>
      </c>
    </row>
    <row r="123" spans="1:4" x14ac:dyDescent="0.45">
      <c r="A123">
        <f ca="1">dict_zul_Var_Meth[ID_Methods]</f>
        <v>238</v>
      </c>
      <c r="B123">
        <f ca="1">dict_zul_Var_Meth[ID_Variables]</f>
        <v>32</v>
      </c>
      <c r="C1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3" t="str">
        <f ca="1">IF(dict_zuord_Meth_Pos[[#This Row],[kval_active]],dict_zuord_Meth_Pos[[#This Row],[ID_Positions]],"")</f>
        <v/>
      </c>
    </row>
    <row r="124" spans="1:4" x14ac:dyDescent="0.45">
      <c r="A124">
        <f ca="1">dict_zul_Var_Meth[ID_Methods]</f>
        <v>405</v>
      </c>
      <c r="B124">
        <f ca="1">dict_zul_Var_Meth[ID_Variables]</f>
        <v>32</v>
      </c>
      <c r="C1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4" t="str">
        <f ca="1">IF(dict_zuord_Meth_Pos[[#This Row],[kval_active]],dict_zuord_Meth_Pos[[#This Row],[ID_Positions]],"")</f>
        <v/>
      </c>
    </row>
    <row r="125" spans="1:4" x14ac:dyDescent="0.45">
      <c r="A125">
        <f ca="1">dict_zul_Var_Meth[ID_Methods]</f>
        <v>220</v>
      </c>
      <c r="B125">
        <f ca="1">dict_zul_Var_Meth[ID_Variables]</f>
        <v>33</v>
      </c>
      <c r="C1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5" t="str">
        <f ca="1">IF(dict_zuord_Meth_Pos[[#This Row],[kval_active]],dict_zuord_Meth_Pos[[#This Row],[ID_Positions]],"")</f>
        <v/>
      </c>
    </row>
    <row r="126" spans="1:4" x14ac:dyDescent="0.45">
      <c r="A126">
        <f ca="1">dict_zul_Var_Meth[ID_Methods]</f>
        <v>263</v>
      </c>
      <c r="B126">
        <f ca="1">dict_zul_Var_Meth[ID_Variables]</f>
        <v>33</v>
      </c>
      <c r="C1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6" t="str">
        <f ca="1">IF(dict_zuord_Meth_Pos[[#This Row],[kval_active]],dict_zuord_Meth_Pos[[#This Row],[ID_Positions]],"")</f>
        <v/>
      </c>
    </row>
    <row r="127" spans="1:4" x14ac:dyDescent="0.45">
      <c r="A127">
        <f ca="1">dict_zul_Var_Meth[ID_Methods]</f>
        <v>165</v>
      </c>
      <c r="B127">
        <f ca="1">dict_zul_Var_Meth[ID_Variables]</f>
        <v>33</v>
      </c>
      <c r="C1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7" t="str">
        <f ca="1">IF(dict_zuord_Meth_Pos[[#This Row],[kval_active]],dict_zuord_Meth_Pos[[#This Row],[ID_Positions]],"")</f>
        <v/>
      </c>
    </row>
    <row r="128" spans="1:4" x14ac:dyDescent="0.45">
      <c r="A128">
        <f ca="1">dict_zul_Var_Meth[ID_Methods]</f>
        <v>58</v>
      </c>
      <c r="B128">
        <f ca="1">dict_zul_Var_Meth[ID_Variables]</f>
        <v>33</v>
      </c>
      <c r="C1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8" t="str">
        <f ca="1">IF(dict_zuord_Meth_Pos[[#This Row],[kval_active]],dict_zuord_Meth_Pos[[#This Row],[ID_Positions]],"")</f>
        <v/>
      </c>
    </row>
    <row r="129" spans="1:4" x14ac:dyDescent="0.45">
      <c r="A129">
        <f ca="1">dict_zul_Var_Meth[ID_Methods]</f>
        <v>678</v>
      </c>
      <c r="B129">
        <f ca="1">dict_zul_Var_Meth[ID_Variables]</f>
        <v>33</v>
      </c>
      <c r="C1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29" t="str">
        <f ca="1">IF(dict_zuord_Meth_Pos[[#This Row],[kval_active]],dict_zuord_Meth_Pos[[#This Row],[ID_Positions]],"")</f>
        <v/>
      </c>
    </row>
    <row r="130" spans="1:4" x14ac:dyDescent="0.45">
      <c r="A130">
        <f ca="1">dict_zul_Var_Meth[ID_Methods]</f>
        <v>575</v>
      </c>
      <c r="B130">
        <f ca="1">dict_zul_Var_Meth[ID_Variables]</f>
        <v>34</v>
      </c>
      <c r="C1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0" t="str">
        <f ca="1">IF(dict_zuord_Meth_Pos[[#This Row],[kval_active]],dict_zuord_Meth_Pos[[#This Row],[ID_Positions]],"")</f>
        <v/>
      </c>
    </row>
    <row r="131" spans="1:4" x14ac:dyDescent="0.45">
      <c r="A131">
        <f ca="1">dict_zul_Var_Meth[ID_Methods]</f>
        <v>53</v>
      </c>
      <c r="B131">
        <f ca="1">dict_zul_Var_Meth[ID_Variables]</f>
        <v>34</v>
      </c>
      <c r="C1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1" t="str">
        <f ca="1">IF(dict_zuord_Meth_Pos[[#This Row],[kval_active]],dict_zuord_Meth_Pos[[#This Row],[ID_Positions]],"")</f>
        <v/>
      </c>
    </row>
    <row r="132" spans="1:4" x14ac:dyDescent="0.45">
      <c r="A132">
        <f ca="1">dict_zul_Var_Meth[ID_Methods]</f>
        <v>378</v>
      </c>
      <c r="B132">
        <f ca="1">dict_zul_Var_Meth[ID_Variables]</f>
        <v>34</v>
      </c>
      <c r="C1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2" t="str">
        <f ca="1">IF(dict_zuord_Meth_Pos[[#This Row],[kval_active]],dict_zuord_Meth_Pos[[#This Row],[ID_Positions]],"")</f>
        <v/>
      </c>
    </row>
    <row r="133" spans="1:4" x14ac:dyDescent="0.45">
      <c r="A133">
        <f ca="1">dict_zul_Var_Meth[ID_Methods]</f>
        <v>96</v>
      </c>
      <c r="B133">
        <f ca="1">dict_zul_Var_Meth[ID_Variables]</f>
        <v>35</v>
      </c>
      <c r="C1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3" t="str">
        <f ca="1">IF(dict_zuord_Meth_Pos[[#This Row],[kval_active]],dict_zuord_Meth_Pos[[#This Row],[ID_Positions]],"")</f>
        <v/>
      </c>
    </row>
    <row r="134" spans="1:4" x14ac:dyDescent="0.45">
      <c r="A134">
        <f ca="1">dict_zul_Var_Meth[ID_Methods]</f>
        <v>4</v>
      </c>
      <c r="B134">
        <f ca="1">dict_zul_Var_Meth[ID_Variables]</f>
        <v>35</v>
      </c>
      <c r="C1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4" t="str">
        <f ca="1">IF(dict_zuord_Meth_Pos[[#This Row],[kval_active]],dict_zuord_Meth_Pos[[#This Row],[ID_Positions]],"")</f>
        <v/>
      </c>
    </row>
    <row r="135" spans="1:4" x14ac:dyDescent="0.45">
      <c r="A135">
        <f ca="1">dict_zul_Var_Meth[ID_Methods]</f>
        <v>587</v>
      </c>
      <c r="B135">
        <f ca="1">dict_zul_Var_Meth[ID_Variables]</f>
        <v>35</v>
      </c>
      <c r="C1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5" t="str">
        <f ca="1">IF(dict_zuord_Meth_Pos[[#This Row],[kval_active]],dict_zuord_Meth_Pos[[#This Row],[ID_Positions]],"")</f>
        <v/>
      </c>
    </row>
    <row r="136" spans="1:4" x14ac:dyDescent="0.45">
      <c r="A136">
        <f ca="1">dict_zul_Var_Meth[ID_Methods]</f>
        <v>148</v>
      </c>
      <c r="B136">
        <f ca="1">dict_zul_Var_Meth[ID_Variables]</f>
        <v>36</v>
      </c>
      <c r="C1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6" t="str">
        <f ca="1">IF(dict_zuord_Meth_Pos[[#This Row],[kval_active]],dict_zuord_Meth_Pos[[#This Row],[ID_Positions]],"")</f>
        <v/>
      </c>
    </row>
    <row r="137" spans="1:4" x14ac:dyDescent="0.45">
      <c r="A137">
        <f ca="1">dict_zul_Var_Meth[ID_Methods]</f>
        <v>524</v>
      </c>
      <c r="B137">
        <f ca="1">dict_zul_Var_Meth[ID_Variables]</f>
        <v>36</v>
      </c>
      <c r="C1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7" t="str">
        <f ca="1">IF(dict_zuord_Meth_Pos[[#This Row],[kval_active]],dict_zuord_Meth_Pos[[#This Row],[ID_Positions]],"")</f>
        <v/>
      </c>
    </row>
    <row r="138" spans="1:4" x14ac:dyDescent="0.45">
      <c r="A138">
        <f ca="1">dict_zul_Var_Meth[ID_Methods]</f>
        <v>201</v>
      </c>
      <c r="B138">
        <f ca="1">dict_zul_Var_Meth[ID_Variables]</f>
        <v>36</v>
      </c>
      <c r="C1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8" t="str">
        <f ca="1">IF(dict_zuord_Meth_Pos[[#This Row],[kval_active]],dict_zuord_Meth_Pos[[#This Row],[ID_Positions]],"")</f>
        <v/>
      </c>
    </row>
    <row r="139" spans="1:4" x14ac:dyDescent="0.45">
      <c r="A139">
        <f ca="1">dict_zul_Var_Meth[ID_Methods]</f>
        <v>304</v>
      </c>
      <c r="B139">
        <f ca="1">dict_zul_Var_Meth[ID_Variables]</f>
        <v>36</v>
      </c>
      <c r="C1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39" t="str">
        <f ca="1">IF(dict_zuord_Meth_Pos[[#This Row],[kval_active]],dict_zuord_Meth_Pos[[#This Row],[ID_Positions]],"")</f>
        <v/>
      </c>
    </row>
    <row r="140" spans="1:4" x14ac:dyDescent="0.45">
      <c r="A140">
        <f ca="1">dict_zul_Var_Meth[ID_Methods]</f>
        <v>59</v>
      </c>
      <c r="B140">
        <f ca="1">dict_zul_Var_Meth[ID_Variables]</f>
        <v>37</v>
      </c>
      <c r="C1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0" t="str">
        <f ca="1">IF(dict_zuord_Meth_Pos[[#This Row],[kval_active]],dict_zuord_Meth_Pos[[#This Row],[ID_Positions]],"")</f>
        <v/>
      </c>
    </row>
    <row r="141" spans="1:4" x14ac:dyDescent="0.45">
      <c r="A141">
        <f ca="1">dict_zul_Var_Meth[ID_Methods]</f>
        <v>153</v>
      </c>
      <c r="B141">
        <f ca="1">dict_zul_Var_Meth[ID_Variables]</f>
        <v>37</v>
      </c>
      <c r="C1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1" t="str">
        <f ca="1">IF(dict_zuord_Meth_Pos[[#This Row],[kval_active]],dict_zuord_Meth_Pos[[#This Row],[ID_Positions]],"")</f>
        <v/>
      </c>
    </row>
    <row r="142" spans="1:4" x14ac:dyDescent="0.45">
      <c r="A142">
        <f ca="1">dict_zul_Var_Meth[ID_Methods]</f>
        <v>188</v>
      </c>
      <c r="B142">
        <f ca="1">dict_zul_Var_Meth[ID_Variables]</f>
        <v>37</v>
      </c>
      <c r="C1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2" t="str">
        <f ca="1">IF(dict_zuord_Meth_Pos[[#This Row],[kval_active]],dict_zuord_Meth_Pos[[#This Row],[ID_Positions]],"")</f>
        <v/>
      </c>
    </row>
    <row r="143" spans="1:4" x14ac:dyDescent="0.45">
      <c r="A143">
        <f ca="1">dict_zul_Var_Meth[ID_Methods]</f>
        <v>98</v>
      </c>
      <c r="B143">
        <f ca="1">dict_zul_Var_Meth[ID_Variables]</f>
        <v>37</v>
      </c>
      <c r="C1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3" t="str">
        <f ca="1">IF(dict_zuord_Meth_Pos[[#This Row],[kval_active]],dict_zuord_Meth_Pos[[#This Row],[ID_Positions]],"")</f>
        <v/>
      </c>
    </row>
    <row r="144" spans="1:4" x14ac:dyDescent="0.45">
      <c r="A144">
        <f ca="1">dict_zul_Var_Meth[ID_Methods]</f>
        <v>139</v>
      </c>
      <c r="B144">
        <f ca="1">dict_zul_Var_Meth[ID_Variables]</f>
        <v>38</v>
      </c>
      <c r="C1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4" t="str">
        <f ca="1">IF(dict_zuord_Meth_Pos[[#This Row],[kval_active]],dict_zuord_Meth_Pos[[#This Row],[ID_Positions]],"")</f>
        <v/>
      </c>
    </row>
    <row r="145" spans="1:4" x14ac:dyDescent="0.45">
      <c r="A145">
        <f ca="1">dict_zul_Var_Meth[ID_Methods]</f>
        <v>9</v>
      </c>
      <c r="B145">
        <f ca="1">dict_zul_Var_Meth[ID_Variables]</f>
        <v>38</v>
      </c>
      <c r="C1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5" t="str">
        <f ca="1">IF(dict_zuord_Meth_Pos[[#This Row],[kval_active]],dict_zuord_Meth_Pos[[#This Row],[ID_Positions]],"")</f>
        <v/>
      </c>
    </row>
    <row r="146" spans="1:4" x14ac:dyDescent="0.45">
      <c r="A146">
        <f ca="1">dict_zul_Var_Meth[ID_Methods]</f>
        <v>675</v>
      </c>
      <c r="B146">
        <f ca="1">dict_zul_Var_Meth[ID_Variables]</f>
        <v>38</v>
      </c>
      <c r="C1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6" t="str">
        <f ca="1">IF(dict_zuord_Meth_Pos[[#This Row],[kval_active]],dict_zuord_Meth_Pos[[#This Row],[ID_Positions]],"")</f>
        <v/>
      </c>
    </row>
    <row r="147" spans="1:4" x14ac:dyDescent="0.45">
      <c r="A147">
        <f ca="1">dict_zul_Var_Meth[ID_Methods]</f>
        <v>310</v>
      </c>
      <c r="B147">
        <f ca="1">dict_zul_Var_Meth[ID_Variables]</f>
        <v>38</v>
      </c>
      <c r="C1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7" t="str">
        <f ca="1">IF(dict_zuord_Meth_Pos[[#This Row],[kval_active]],dict_zuord_Meth_Pos[[#This Row],[ID_Positions]],"")</f>
        <v/>
      </c>
    </row>
    <row r="148" spans="1:4" x14ac:dyDescent="0.45">
      <c r="A148">
        <f ca="1">dict_zul_Var_Meth[ID_Methods]</f>
        <v>39</v>
      </c>
      <c r="B148">
        <f ca="1">dict_zul_Var_Meth[ID_Variables]</f>
        <v>39</v>
      </c>
      <c r="C1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8" t="str">
        <f ca="1">IF(dict_zuord_Meth_Pos[[#This Row],[kval_active]],dict_zuord_Meth_Pos[[#This Row],[ID_Positions]],"")</f>
        <v/>
      </c>
    </row>
    <row r="149" spans="1:4" x14ac:dyDescent="0.45">
      <c r="A149">
        <f ca="1">dict_zul_Var_Meth[ID_Methods]</f>
        <v>630</v>
      </c>
      <c r="B149">
        <f ca="1">dict_zul_Var_Meth[ID_Variables]</f>
        <v>39</v>
      </c>
      <c r="C1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49" t="str">
        <f ca="1">IF(dict_zuord_Meth_Pos[[#This Row],[kval_active]],dict_zuord_Meth_Pos[[#This Row],[ID_Positions]],"")</f>
        <v/>
      </c>
    </row>
    <row r="150" spans="1:4" x14ac:dyDescent="0.45">
      <c r="A150">
        <f ca="1">dict_zul_Var_Meth[ID_Methods]</f>
        <v>399</v>
      </c>
      <c r="B150">
        <f ca="1">dict_zul_Var_Meth[ID_Variables]</f>
        <v>39</v>
      </c>
      <c r="C1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0" t="str">
        <f ca="1">IF(dict_zuord_Meth_Pos[[#This Row],[kval_active]],dict_zuord_Meth_Pos[[#This Row],[ID_Positions]],"")</f>
        <v/>
      </c>
    </row>
    <row r="151" spans="1:4" x14ac:dyDescent="0.45">
      <c r="A151">
        <f ca="1">dict_zul_Var_Meth[ID_Methods]</f>
        <v>479</v>
      </c>
      <c r="B151">
        <f ca="1">dict_zul_Var_Meth[ID_Variables]</f>
        <v>40</v>
      </c>
      <c r="C1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1" t="str">
        <f ca="1">IF(dict_zuord_Meth_Pos[[#This Row],[kval_active]],dict_zuord_Meth_Pos[[#This Row],[ID_Positions]],"")</f>
        <v/>
      </c>
    </row>
    <row r="152" spans="1:4" x14ac:dyDescent="0.45">
      <c r="A152">
        <f ca="1">dict_zul_Var_Meth[ID_Methods]</f>
        <v>15</v>
      </c>
      <c r="B152">
        <f ca="1">dict_zul_Var_Meth[ID_Variables]</f>
        <v>40</v>
      </c>
      <c r="C1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2" t="str">
        <f ca="1">IF(dict_zuord_Meth_Pos[[#This Row],[kval_active]],dict_zuord_Meth_Pos[[#This Row],[ID_Positions]],"")</f>
        <v/>
      </c>
    </row>
    <row r="153" spans="1:4" x14ac:dyDescent="0.45">
      <c r="A153">
        <f ca="1">dict_zul_Var_Meth[ID_Methods]</f>
        <v>573</v>
      </c>
      <c r="B153">
        <f ca="1">dict_zul_Var_Meth[ID_Variables]</f>
        <v>40</v>
      </c>
      <c r="C1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3" t="str">
        <f ca="1">IF(dict_zuord_Meth_Pos[[#This Row],[kval_active]],dict_zuord_Meth_Pos[[#This Row],[ID_Positions]],"")</f>
        <v/>
      </c>
    </row>
    <row r="154" spans="1:4" x14ac:dyDescent="0.45">
      <c r="A154">
        <f ca="1">dict_zul_Var_Meth[ID_Methods]</f>
        <v>475</v>
      </c>
      <c r="B154">
        <f ca="1">dict_zul_Var_Meth[ID_Variables]</f>
        <v>40</v>
      </c>
      <c r="C1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4" t="str">
        <f ca="1">IF(dict_zuord_Meth_Pos[[#This Row],[kval_active]],dict_zuord_Meth_Pos[[#This Row],[ID_Positions]],"")</f>
        <v/>
      </c>
    </row>
    <row r="155" spans="1:4" x14ac:dyDescent="0.45">
      <c r="A155">
        <f ca="1">dict_zul_Var_Meth[ID_Methods]</f>
        <v>428</v>
      </c>
      <c r="B155">
        <f ca="1">dict_zul_Var_Meth[ID_Variables]</f>
        <v>41</v>
      </c>
      <c r="C1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5" t="str">
        <f ca="1">IF(dict_zuord_Meth_Pos[[#This Row],[kval_active]],dict_zuord_Meth_Pos[[#This Row],[ID_Positions]],"")</f>
        <v/>
      </c>
    </row>
    <row r="156" spans="1:4" x14ac:dyDescent="0.45">
      <c r="A156">
        <f ca="1">dict_zul_Var_Meth[ID_Methods]</f>
        <v>458</v>
      </c>
      <c r="B156">
        <f ca="1">dict_zul_Var_Meth[ID_Variables]</f>
        <v>41</v>
      </c>
      <c r="C1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6" t="str">
        <f ca="1">IF(dict_zuord_Meth_Pos[[#This Row],[kval_active]],dict_zuord_Meth_Pos[[#This Row],[ID_Positions]],"")</f>
        <v/>
      </c>
    </row>
    <row r="157" spans="1:4" x14ac:dyDescent="0.45">
      <c r="A157">
        <f ca="1">dict_zul_Var_Meth[ID_Methods]</f>
        <v>213</v>
      </c>
      <c r="B157">
        <f ca="1">dict_zul_Var_Meth[ID_Variables]</f>
        <v>41</v>
      </c>
      <c r="C1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7" t="str">
        <f ca="1">IF(dict_zuord_Meth_Pos[[#This Row],[kval_active]],dict_zuord_Meth_Pos[[#This Row],[ID_Positions]],"")</f>
        <v/>
      </c>
    </row>
    <row r="158" spans="1:4" x14ac:dyDescent="0.45">
      <c r="A158">
        <f ca="1">dict_zul_Var_Meth[ID_Methods]</f>
        <v>53</v>
      </c>
      <c r="B158">
        <f ca="1">dict_zul_Var_Meth[ID_Variables]</f>
        <v>41</v>
      </c>
      <c r="C1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8" t="str">
        <f ca="1">IF(dict_zuord_Meth_Pos[[#This Row],[kval_active]],dict_zuord_Meth_Pos[[#This Row],[ID_Positions]],"")</f>
        <v/>
      </c>
    </row>
    <row r="159" spans="1:4" x14ac:dyDescent="0.45">
      <c r="A159">
        <f ca="1">dict_zul_Var_Meth[ID_Methods]</f>
        <v>57</v>
      </c>
      <c r="B159">
        <f ca="1">dict_zul_Var_Meth[ID_Variables]</f>
        <v>42</v>
      </c>
      <c r="C1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59" t="str">
        <f ca="1">IF(dict_zuord_Meth_Pos[[#This Row],[kval_active]],dict_zuord_Meth_Pos[[#This Row],[ID_Positions]],"")</f>
        <v/>
      </c>
    </row>
    <row r="160" spans="1:4" x14ac:dyDescent="0.45">
      <c r="A160">
        <f ca="1">dict_zul_Var_Meth[ID_Methods]</f>
        <v>663</v>
      </c>
      <c r="B160">
        <f ca="1">dict_zul_Var_Meth[ID_Variables]</f>
        <v>42</v>
      </c>
      <c r="C1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0" t="str">
        <f ca="1">IF(dict_zuord_Meth_Pos[[#This Row],[kval_active]],dict_zuord_Meth_Pos[[#This Row],[ID_Positions]],"")</f>
        <v/>
      </c>
    </row>
    <row r="161" spans="1:4" x14ac:dyDescent="0.45">
      <c r="A161">
        <f ca="1">dict_zul_Var_Meth[ID_Methods]</f>
        <v>285</v>
      </c>
      <c r="B161">
        <f ca="1">dict_zul_Var_Meth[ID_Variables]</f>
        <v>43</v>
      </c>
      <c r="C1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1" t="str">
        <f ca="1">IF(dict_zuord_Meth_Pos[[#This Row],[kval_active]],dict_zuord_Meth_Pos[[#This Row],[ID_Positions]],"")</f>
        <v/>
      </c>
    </row>
    <row r="162" spans="1:4" x14ac:dyDescent="0.45">
      <c r="A162">
        <f ca="1">dict_zul_Var_Meth[ID_Methods]</f>
        <v>460</v>
      </c>
      <c r="B162">
        <f ca="1">dict_zul_Var_Meth[ID_Variables]</f>
        <v>43</v>
      </c>
      <c r="C1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2" t="str">
        <f ca="1">IF(dict_zuord_Meth_Pos[[#This Row],[kval_active]],dict_zuord_Meth_Pos[[#This Row],[ID_Positions]],"")</f>
        <v/>
      </c>
    </row>
    <row r="163" spans="1:4" x14ac:dyDescent="0.45">
      <c r="A163">
        <f ca="1">dict_zul_Var_Meth[ID_Methods]</f>
        <v>319</v>
      </c>
      <c r="B163">
        <f ca="1">dict_zul_Var_Meth[ID_Variables]</f>
        <v>43</v>
      </c>
      <c r="C1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3" t="str">
        <f ca="1">IF(dict_zuord_Meth_Pos[[#This Row],[kval_active]],dict_zuord_Meth_Pos[[#This Row],[ID_Positions]],"")</f>
        <v/>
      </c>
    </row>
    <row r="164" spans="1:4" x14ac:dyDescent="0.45">
      <c r="A164">
        <f ca="1">dict_zul_Var_Meth[ID_Methods]</f>
        <v>504</v>
      </c>
      <c r="B164">
        <f ca="1">dict_zul_Var_Meth[ID_Variables]</f>
        <v>43</v>
      </c>
      <c r="C1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4" t="str">
        <f ca="1">IF(dict_zuord_Meth_Pos[[#This Row],[kval_active]],dict_zuord_Meth_Pos[[#This Row],[ID_Positions]],"")</f>
        <v/>
      </c>
    </row>
    <row r="165" spans="1:4" x14ac:dyDescent="0.45">
      <c r="A165">
        <f ca="1">dict_zul_Var_Meth[ID_Methods]</f>
        <v>199</v>
      </c>
      <c r="B165">
        <f ca="1">dict_zul_Var_Meth[ID_Variables]</f>
        <v>43</v>
      </c>
      <c r="C1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5" t="str">
        <f ca="1">IF(dict_zuord_Meth_Pos[[#This Row],[kval_active]],dict_zuord_Meth_Pos[[#This Row],[ID_Positions]],"")</f>
        <v/>
      </c>
    </row>
    <row r="166" spans="1:4" x14ac:dyDescent="0.45">
      <c r="A166">
        <f ca="1">dict_zul_Var_Meth[ID_Methods]</f>
        <v>413</v>
      </c>
      <c r="B166">
        <f ca="1">dict_zul_Var_Meth[ID_Variables]</f>
        <v>44</v>
      </c>
      <c r="C1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6" t="str">
        <f ca="1">IF(dict_zuord_Meth_Pos[[#This Row],[kval_active]],dict_zuord_Meth_Pos[[#This Row],[ID_Positions]],"")</f>
        <v/>
      </c>
    </row>
    <row r="167" spans="1:4" x14ac:dyDescent="0.45">
      <c r="A167">
        <f ca="1">dict_zul_Var_Meth[ID_Methods]</f>
        <v>674</v>
      </c>
      <c r="B167">
        <f ca="1">dict_zul_Var_Meth[ID_Variables]</f>
        <v>44</v>
      </c>
      <c r="C1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7" t="str">
        <f ca="1">IF(dict_zuord_Meth_Pos[[#This Row],[kval_active]],dict_zuord_Meth_Pos[[#This Row],[ID_Positions]],"")</f>
        <v/>
      </c>
    </row>
    <row r="168" spans="1:4" x14ac:dyDescent="0.45">
      <c r="A168">
        <f ca="1">dict_zul_Var_Meth[ID_Methods]</f>
        <v>392</v>
      </c>
      <c r="B168">
        <f ca="1">dict_zul_Var_Meth[ID_Variables]</f>
        <v>44</v>
      </c>
      <c r="C1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8" t="str">
        <f ca="1">IF(dict_zuord_Meth_Pos[[#This Row],[kval_active]],dict_zuord_Meth_Pos[[#This Row],[ID_Positions]],"")</f>
        <v/>
      </c>
    </row>
    <row r="169" spans="1:4" x14ac:dyDescent="0.45">
      <c r="A169">
        <f ca="1">dict_zul_Var_Meth[ID_Methods]</f>
        <v>642</v>
      </c>
      <c r="B169">
        <f ca="1">dict_zul_Var_Meth[ID_Variables]</f>
        <v>44</v>
      </c>
      <c r="C1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69" t="str">
        <f ca="1">IF(dict_zuord_Meth_Pos[[#This Row],[kval_active]],dict_zuord_Meth_Pos[[#This Row],[ID_Positions]],"")</f>
        <v/>
      </c>
    </row>
    <row r="170" spans="1:4" x14ac:dyDescent="0.45">
      <c r="A170">
        <f ca="1">dict_zul_Var_Meth[ID_Methods]</f>
        <v>682</v>
      </c>
      <c r="B170">
        <f ca="1">dict_zul_Var_Meth[ID_Variables]</f>
        <v>45</v>
      </c>
      <c r="C1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0" t="str">
        <f ca="1">IF(dict_zuord_Meth_Pos[[#This Row],[kval_active]],dict_zuord_Meth_Pos[[#This Row],[ID_Positions]],"")</f>
        <v/>
      </c>
    </row>
    <row r="171" spans="1:4" x14ac:dyDescent="0.45">
      <c r="A171">
        <f ca="1">dict_zul_Var_Meth[ID_Methods]</f>
        <v>209</v>
      </c>
      <c r="B171">
        <f ca="1">dict_zul_Var_Meth[ID_Variables]</f>
        <v>45</v>
      </c>
      <c r="C1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1" t="str">
        <f ca="1">IF(dict_zuord_Meth_Pos[[#This Row],[kval_active]],dict_zuord_Meth_Pos[[#This Row],[ID_Positions]],"")</f>
        <v/>
      </c>
    </row>
    <row r="172" spans="1:4" x14ac:dyDescent="0.45">
      <c r="A172">
        <f ca="1">dict_zul_Var_Meth[ID_Methods]</f>
        <v>434</v>
      </c>
      <c r="B172">
        <f ca="1">dict_zul_Var_Meth[ID_Variables]</f>
        <v>45</v>
      </c>
      <c r="C1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2" t="str">
        <f ca="1">IF(dict_zuord_Meth_Pos[[#This Row],[kval_active]],dict_zuord_Meth_Pos[[#This Row],[ID_Positions]],"")</f>
        <v/>
      </c>
    </row>
    <row r="173" spans="1:4" x14ac:dyDescent="0.45">
      <c r="A173">
        <f ca="1">dict_zul_Var_Meth[ID_Methods]</f>
        <v>332</v>
      </c>
      <c r="B173">
        <f ca="1">dict_zul_Var_Meth[ID_Variables]</f>
        <v>46</v>
      </c>
      <c r="C1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3" t="str">
        <f ca="1">IF(dict_zuord_Meth_Pos[[#This Row],[kval_active]],dict_zuord_Meth_Pos[[#This Row],[ID_Positions]],"")</f>
        <v/>
      </c>
    </row>
    <row r="174" spans="1:4" x14ac:dyDescent="0.45">
      <c r="A174">
        <f ca="1">dict_zul_Var_Meth[ID_Methods]</f>
        <v>511</v>
      </c>
      <c r="B174">
        <f ca="1">dict_zul_Var_Meth[ID_Variables]</f>
        <v>46</v>
      </c>
      <c r="C1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4" t="str">
        <f ca="1">IF(dict_zuord_Meth_Pos[[#This Row],[kval_active]],dict_zuord_Meth_Pos[[#This Row],[ID_Positions]],"")</f>
        <v/>
      </c>
    </row>
    <row r="175" spans="1:4" x14ac:dyDescent="0.45">
      <c r="A175">
        <f ca="1">dict_zul_Var_Meth[ID_Methods]</f>
        <v>309</v>
      </c>
      <c r="B175">
        <f ca="1">dict_zul_Var_Meth[ID_Variables]</f>
        <v>46</v>
      </c>
      <c r="C1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5" t="str">
        <f ca="1">IF(dict_zuord_Meth_Pos[[#This Row],[kval_active]],dict_zuord_Meth_Pos[[#This Row],[ID_Positions]],"")</f>
        <v/>
      </c>
    </row>
    <row r="176" spans="1:4" x14ac:dyDescent="0.45">
      <c r="A176">
        <f ca="1">dict_zul_Var_Meth[ID_Methods]</f>
        <v>604</v>
      </c>
      <c r="B176">
        <f ca="1">dict_zul_Var_Meth[ID_Variables]</f>
        <v>46</v>
      </c>
      <c r="C1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6" t="str">
        <f ca="1">IF(dict_zuord_Meth_Pos[[#This Row],[kval_active]],dict_zuord_Meth_Pos[[#This Row],[ID_Positions]],"")</f>
        <v/>
      </c>
    </row>
    <row r="177" spans="1:4" x14ac:dyDescent="0.45">
      <c r="A177">
        <f ca="1">dict_zul_Var_Meth[ID_Methods]</f>
        <v>389</v>
      </c>
      <c r="B177">
        <f ca="1">dict_zul_Var_Meth[ID_Variables]</f>
        <v>46</v>
      </c>
      <c r="C1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7" t="str">
        <f ca="1">IF(dict_zuord_Meth_Pos[[#This Row],[kval_active]],dict_zuord_Meth_Pos[[#This Row],[ID_Positions]],"")</f>
        <v/>
      </c>
    </row>
    <row r="178" spans="1:4" x14ac:dyDescent="0.45">
      <c r="A178">
        <f ca="1">dict_zul_Var_Meth[ID_Methods]</f>
        <v>8</v>
      </c>
      <c r="B178">
        <f ca="1">dict_zul_Var_Meth[ID_Variables]</f>
        <v>47</v>
      </c>
      <c r="C1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8" t="str">
        <f ca="1">IF(dict_zuord_Meth_Pos[[#This Row],[kval_active]],dict_zuord_Meth_Pos[[#This Row],[ID_Positions]],"")</f>
        <v/>
      </c>
    </row>
    <row r="179" spans="1:4" x14ac:dyDescent="0.45">
      <c r="A179">
        <f ca="1">dict_zul_Var_Meth[ID_Methods]</f>
        <v>9</v>
      </c>
      <c r="B179">
        <f ca="1">dict_zul_Var_Meth[ID_Variables]</f>
        <v>47</v>
      </c>
      <c r="C1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79" t="str">
        <f ca="1">IF(dict_zuord_Meth_Pos[[#This Row],[kval_active]],dict_zuord_Meth_Pos[[#This Row],[ID_Positions]],"")</f>
        <v/>
      </c>
    </row>
    <row r="180" spans="1:4" x14ac:dyDescent="0.45">
      <c r="A180">
        <f ca="1">dict_zul_Var_Meth[ID_Methods]</f>
        <v>463</v>
      </c>
      <c r="B180">
        <f ca="1">dict_zul_Var_Meth[ID_Variables]</f>
        <v>48</v>
      </c>
      <c r="C1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0" t="str">
        <f ca="1">IF(dict_zuord_Meth_Pos[[#This Row],[kval_active]],dict_zuord_Meth_Pos[[#This Row],[ID_Positions]],"")</f>
        <v/>
      </c>
    </row>
    <row r="181" spans="1:4" x14ac:dyDescent="0.45">
      <c r="A181">
        <f ca="1">dict_zul_Var_Meth[ID_Methods]</f>
        <v>454</v>
      </c>
      <c r="B181">
        <f ca="1">dict_zul_Var_Meth[ID_Variables]</f>
        <v>48</v>
      </c>
      <c r="C1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1" t="str">
        <f ca="1">IF(dict_zuord_Meth_Pos[[#This Row],[kval_active]],dict_zuord_Meth_Pos[[#This Row],[ID_Positions]],"")</f>
        <v/>
      </c>
    </row>
    <row r="182" spans="1:4" x14ac:dyDescent="0.45">
      <c r="A182">
        <f ca="1">dict_zul_Var_Meth[ID_Methods]</f>
        <v>258</v>
      </c>
      <c r="B182">
        <f ca="1">dict_zul_Var_Meth[ID_Variables]</f>
        <v>48</v>
      </c>
      <c r="C1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2" t="str">
        <f ca="1">IF(dict_zuord_Meth_Pos[[#This Row],[kval_active]],dict_zuord_Meth_Pos[[#This Row],[ID_Positions]],"")</f>
        <v/>
      </c>
    </row>
    <row r="183" spans="1:4" x14ac:dyDescent="0.45">
      <c r="A183">
        <f ca="1">dict_zul_Var_Meth[ID_Methods]</f>
        <v>619</v>
      </c>
      <c r="B183">
        <f ca="1">dict_zul_Var_Meth[ID_Variables]</f>
        <v>48</v>
      </c>
      <c r="C1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3" t="str">
        <f ca="1">IF(dict_zuord_Meth_Pos[[#This Row],[kval_active]],dict_zuord_Meth_Pos[[#This Row],[ID_Positions]],"")</f>
        <v/>
      </c>
    </row>
    <row r="184" spans="1:4" x14ac:dyDescent="0.45">
      <c r="A184">
        <f ca="1">dict_zul_Var_Meth[ID_Methods]</f>
        <v>38</v>
      </c>
      <c r="B184">
        <f ca="1">dict_zul_Var_Meth[ID_Variables]</f>
        <v>49</v>
      </c>
      <c r="C1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4" t="str">
        <f ca="1">IF(dict_zuord_Meth_Pos[[#This Row],[kval_active]],dict_zuord_Meth_Pos[[#This Row],[ID_Positions]],"")</f>
        <v/>
      </c>
    </row>
    <row r="185" spans="1:4" x14ac:dyDescent="0.45">
      <c r="A185">
        <f ca="1">dict_zul_Var_Meth[ID_Methods]</f>
        <v>136</v>
      </c>
      <c r="B185">
        <f ca="1">dict_zul_Var_Meth[ID_Variables]</f>
        <v>49</v>
      </c>
      <c r="C1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5" t="str">
        <f ca="1">IF(dict_zuord_Meth_Pos[[#This Row],[kval_active]],dict_zuord_Meth_Pos[[#This Row],[ID_Positions]],"")</f>
        <v/>
      </c>
    </row>
    <row r="186" spans="1:4" x14ac:dyDescent="0.45">
      <c r="A186">
        <f ca="1">dict_zul_Var_Meth[ID_Methods]</f>
        <v>357</v>
      </c>
      <c r="B186">
        <f ca="1">dict_zul_Var_Meth[ID_Variables]</f>
        <v>49</v>
      </c>
      <c r="C1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6" t="str">
        <f ca="1">IF(dict_zuord_Meth_Pos[[#This Row],[kval_active]],dict_zuord_Meth_Pos[[#This Row],[ID_Positions]],"")</f>
        <v/>
      </c>
    </row>
    <row r="187" spans="1:4" x14ac:dyDescent="0.45">
      <c r="A187">
        <f ca="1">dict_zul_Var_Meth[ID_Methods]</f>
        <v>535</v>
      </c>
      <c r="B187">
        <f ca="1">dict_zul_Var_Meth[ID_Variables]</f>
        <v>49</v>
      </c>
      <c r="C1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7" t="str">
        <f ca="1">IF(dict_zuord_Meth_Pos[[#This Row],[kval_active]],dict_zuord_Meth_Pos[[#This Row],[ID_Positions]],"")</f>
        <v/>
      </c>
    </row>
    <row r="188" spans="1:4" x14ac:dyDescent="0.45">
      <c r="A188">
        <f ca="1">dict_zul_Var_Meth[ID_Methods]</f>
        <v>43</v>
      </c>
      <c r="B188">
        <f ca="1">dict_zul_Var_Meth[ID_Variables]</f>
        <v>50</v>
      </c>
      <c r="C1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8" t="str">
        <f ca="1">IF(dict_zuord_Meth_Pos[[#This Row],[kval_active]],dict_zuord_Meth_Pos[[#This Row],[ID_Positions]],"")</f>
        <v/>
      </c>
    </row>
    <row r="189" spans="1:4" x14ac:dyDescent="0.45">
      <c r="A189">
        <f ca="1">dict_zul_Var_Meth[ID_Methods]</f>
        <v>548</v>
      </c>
      <c r="B189">
        <f ca="1">dict_zul_Var_Meth[ID_Variables]</f>
        <v>50</v>
      </c>
      <c r="C1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89" t="str">
        <f ca="1">IF(dict_zuord_Meth_Pos[[#This Row],[kval_active]],dict_zuord_Meth_Pos[[#This Row],[ID_Positions]],"")</f>
        <v/>
      </c>
    </row>
    <row r="190" spans="1:4" x14ac:dyDescent="0.45">
      <c r="A190">
        <f ca="1">dict_zul_Var_Meth[ID_Methods]</f>
        <v>19</v>
      </c>
      <c r="B190">
        <f ca="1">dict_zul_Var_Meth[ID_Variables]</f>
        <v>50</v>
      </c>
      <c r="C1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0" t="str">
        <f ca="1">IF(dict_zuord_Meth_Pos[[#This Row],[kval_active]],dict_zuord_Meth_Pos[[#This Row],[ID_Positions]],"")</f>
        <v/>
      </c>
    </row>
    <row r="191" spans="1:4" x14ac:dyDescent="0.45">
      <c r="A191">
        <f ca="1">dict_zul_Var_Meth[ID_Methods]</f>
        <v>358</v>
      </c>
      <c r="B191">
        <f ca="1">dict_zul_Var_Meth[ID_Variables]</f>
        <v>50</v>
      </c>
      <c r="C1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1" t="str">
        <f ca="1">IF(dict_zuord_Meth_Pos[[#This Row],[kval_active]],dict_zuord_Meth_Pos[[#This Row],[ID_Positions]],"")</f>
        <v/>
      </c>
    </row>
    <row r="192" spans="1:4" x14ac:dyDescent="0.45">
      <c r="A192">
        <f ca="1">dict_zul_Var_Meth[ID_Methods]</f>
        <v>564</v>
      </c>
      <c r="B192">
        <f ca="1">dict_zul_Var_Meth[ID_Variables]</f>
        <v>51</v>
      </c>
      <c r="C1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2" t="str">
        <f ca="1">IF(dict_zuord_Meth_Pos[[#This Row],[kval_active]],dict_zuord_Meth_Pos[[#This Row],[ID_Positions]],"")</f>
        <v/>
      </c>
    </row>
    <row r="193" spans="1:4" x14ac:dyDescent="0.45">
      <c r="A193">
        <f ca="1">dict_zul_Var_Meth[ID_Methods]</f>
        <v>567</v>
      </c>
      <c r="B193">
        <f ca="1">dict_zul_Var_Meth[ID_Variables]</f>
        <v>51</v>
      </c>
      <c r="C1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3" t="str">
        <f ca="1">IF(dict_zuord_Meth_Pos[[#This Row],[kval_active]],dict_zuord_Meth_Pos[[#This Row],[ID_Positions]],"")</f>
        <v/>
      </c>
    </row>
    <row r="194" spans="1:4" x14ac:dyDescent="0.45">
      <c r="A194">
        <f ca="1">dict_zul_Var_Meth[ID_Methods]</f>
        <v>478</v>
      </c>
      <c r="B194">
        <f ca="1">dict_zul_Var_Meth[ID_Variables]</f>
        <v>51</v>
      </c>
      <c r="C1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4" t="str">
        <f ca="1">IF(dict_zuord_Meth_Pos[[#This Row],[kval_active]],dict_zuord_Meth_Pos[[#This Row],[ID_Positions]],"")</f>
        <v/>
      </c>
    </row>
    <row r="195" spans="1:4" x14ac:dyDescent="0.45">
      <c r="A195">
        <f ca="1">dict_zul_Var_Meth[ID_Methods]</f>
        <v>0</v>
      </c>
      <c r="B195">
        <f ca="1">dict_zul_Var_Meth[ID_Variables]</f>
        <v>51</v>
      </c>
      <c r="C1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5" t="str">
        <f ca="1">IF(dict_zuord_Meth_Pos[[#This Row],[kval_active]],dict_zuord_Meth_Pos[[#This Row],[ID_Positions]],"")</f>
        <v/>
      </c>
    </row>
    <row r="196" spans="1:4" x14ac:dyDescent="0.45">
      <c r="A196">
        <f ca="1">dict_zul_Var_Meth[ID_Methods]</f>
        <v>541</v>
      </c>
      <c r="B196">
        <f ca="1">dict_zul_Var_Meth[ID_Variables]</f>
        <v>51</v>
      </c>
      <c r="C1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6" t="str">
        <f ca="1">IF(dict_zuord_Meth_Pos[[#This Row],[kval_active]],dict_zuord_Meth_Pos[[#This Row],[ID_Positions]],"")</f>
        <v/>
      </c>
    </row>
    <row r="197" spans="1:4" x14ac:dyDescent="0.45">
      <c r="A197">
        <f ca="1">dict_zul_Var_Meth[ID_Methods]</f>
        <v>341</v>
      </c>
      <c r="B197">
        <f ca="1">dict_zul_Var_Meth[ID_Variables]</f>
        <v>52</v>
      </c>
      <c r="C1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7" t="str">
        <f ca="1">IF(dict_zuord_Meth_Pos[[#This Row],[kval_active]],dict_zuord_Meth_Pos[[#This Row],[ID_Positions]],"")</f>
        <v/>
      </c>
    </row>
    <row r="198" spans="1:4" x14ac:dyDescent="0.45">
      <c r="A198">
        <f ca="1">dict_zul_Var_Meth[ID_Methods]</f>
        <v>668</v>
      </c>
      <c r="B198">
        <f ca="1">dict_zul_Var_Meth[ID_Variables]</f>
        <v>52</v>
      </c>
      <c r="C1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8" t="str">
        <f ca="1">IF(dict_zuord_Meth_Pos[[#This Row],[kval_active]],dict_zuord_Meth_Pos[[#This Row],[ID_Positions]],"")</f>
        <v/>
      </c>
    </row>
    <row r="199" spans="1:4" x14ac:dyDescent="0.45">
      <c r="A199">
        <f ca="1">dict_zul_Var_Meth[ID_Methods]</f>
        <v>62</v>
      </c>
      <c r="B199">
        <f ca="1">dict_zul_Var_Meth[ID_Variables]</f>
        <v>53</v>
      </c>
      <c r="C1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199" t="str">
        <f ca="1">IF(dict_zuord_Meth_Pos[[#This Row],[kval_active]],dict_zuord_Meth_Pos[[#This Row],[ID_Positions]],"")</f>
        <v/>
      </c>
    </row>
    <row r="200" spans="1:4" x14ac:dyDescent="0.45">
      <c r="A200">
        <f ca="1">dict_zul_Var_Meth[ID_Methods]</f>
        <v>88</v>
      </c>
      <c r="B200">
        <f ca="1">dict_zul_Var_Meth[ID_Variables]</f>
        <v>53</v>
      </c>
      <c r="C2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0" t="str">
        <f ca="1">IF(dict_zuord_Meth_Pos[[#This Row],[kval_active]],dict_zuord_Meth_Pos[[#This Row],[ID_Positions]],"")</f>
        <v/>
      </c>
    </row>
    <row r="201" spans="1:4" x14ac:dyDescent="0.45">
      <c r="A201">
        <f ca="1">dict_zul_Var_Meth[ID_Methods]</f>
        <v>93</v>
      </c>
      <c r="B201">
        <f ca="1">dict_zul_Var_Meth[ID_Variables]</f>
        <v>53</v>
      </c>
      <c r="C2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1" t="str">
        <f ca="1">IF(dict_zuord_Meth_Pos[[#This Row],[kval_active]],dict_zuord_Meth_Pos[[#This Row],[ID_Positions]],"")</f>
        <v/>
      </c>
    </row>
    <row r="202" spans="1:4" x14ac:dyDescent="0.45">
      <c r="A202">
        <f ca="1">dict_zul_Var_Meth[ID_Methods]</f>
        <v>259</v>
      </c>
      <c r="B202">
        <f ca="1">dict_zul_Var_Meth[ID_Variables]</f>
        <v>53</v>
      </c>
      <c r="C2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2" t="str">
        <f ca="1">IF(dict_zuord_Meth_Pos[[#This Row],[kval_active]],dict_zuord_Meth_Pos[[#This Row],[ID_Positions]],"")</f>
        <v/>
      </c>
    </row>
    <row r="203" spans="1:4" x14ac:dyDescent="0.45">
      <c r="A203">
        <f ca="1">dict_zul_Var_Meth[ID_Methods]</f>
        <v>146</v>
      </c>
      <c r="B203">
        <f ca="1">dict_zul_Var_Meth[ID_Variables]</f>
        <v>54</v>
      </c>
      <c r="C2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3" t="str">
        <f ca="1">IF(dict_zuord_Meth_Pos[[#This Row],[kval_active]],dict_zuord_Meth_Pos[[#This Row],[ID_Positions]],"")</f>
        <v/>
      </c>
    </row>
    <row r="204" spans="1:4" x14ac:dyDescent="0.45">
      <c r="A204">
        <f ca="1">dict_zul_Var_Meth[ID_Methods]</f>
        <v>19</v>
      </c>
      <c r="B204">
        <f ca="1">dict_zul_Var_Meth[ID_Variables]</f>
        <v>54</v>
      </c>
      <c r="C2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4" t="str">
        <f ca="1">IF(dict_zuord_Meth_Pos[[#This Row],[kval_active]],dict_zuord_Meth_Pos[[#This Row],[ID_Positions]],"")</f>
        <v/>
      </c>
    </row>
    <row r="205" spans="1:4" x14ac:dyDescent="0.45">
      <c r="A205">
        <f ca="1">dict_zul_Var_Meth[ID_Methods]</f>
        <v>225</v>
      </c>
      <c r="B205">
        <f ca="1">dict_zul_Var_Meth[ID_Variables]</f>
        <v>54</v>
      </c>
      <c r="C2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5" t="str">
        <f ca="1">IF(dict_zuord_Meth_Pos[[#This Row],[kval_active]],dict_zuord_Meth_Pos[[#This Row],[ID_Positions]],"")</f>
        <v/>
      </c>
    </row>
    <row r="206" spans="1:4" x14ac:dyDescent="0.45">
      <c r="A206">
        <f ca="1">dict_zul_Var_Meth[ID_Methods]</f>
        <v>464</v>
      </c>
      <c r="B206">
        <f ca="1">dict_zul_Var_Meth[ID_Variables]</f>
        <v>54</v>
      </c>
      <c r="C2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6" t="str">
        <f ca="1">IF(dict_zuord_Meth_Pos[[#This Row],[kval_active]],dict_zuord_Meth_Pos[[#This Row],[ID_Positions]],"")</f>
        <v/>
      </c>
    </row>
    <row r="207" spans="1:4" x14ac:dyDescent="0.45">
      <c r="A207">
        <f ca="1">dict_zul_Var_Meth[ID_Methods]</f>
        <v>163</v>
      </c>
      <c r="B207">
        <f ca="1">dict_zul_Var_Meth[ID_Variables]</f>
        <v>55</v>
      </c>
      <c r="C2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7" t="str">
        <f ca="1">IF(dict_zuord_Meth_Pos[[#This Row],[kval_active]],dict_zuord_Meth_Pos[[#This Row],[ID_Positions]],"")</f>
        <v/>
      </c>
    </row>
    <row r="208" spans="1:4" x14ac:dyDescent="0.45">
      <c r="A208">
        <f ca="1">dict_zul_Var_Meth[ID_Methods]</f>
        <v>592</v>
      </c>
      <c r="B208">
        <f ca="1">dict_zul_Var_Meth[ID_Variables]</f>
        <v>55</v>
      </c>
      <c r="C2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8" t="str">
        <f ca="1">IF(dict_zuord_Meth_Pos[[#This Row],[kval_active]],dict_zuord_Meth_Pos[[#This Row],[ID_Positions]],"")</f>
        <v/>
      </c>
    </row>
    <row r="209" spans="1:4" x14ac:dyDescent="0.45">
      <c r="A209">
        <f ca="1">dict_zul_Var_Meth[ID_Methods]</f>
        <v>322</v>
      </c>
      <c r="B209">
        <f ca="1">dict_zul_Var_Meth[ID_Variables]</f>
        <v>55</v>
      </c>
      <c r="C2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09" t="str">
        <f ca="1">IF(dict_zuord_Meth_Pos[[#This Row],[kval_active]],dict_zuord_Meth_Pos[[#This Row],[ID_Positions]],"")</f>
        <v/>
      </c>
    </row>
    <row r="210" spans="1:4" x14ac:dyDescent="0.45">
      <c r="A210">
        <f ca="1">dict_zul_Var_Meth[ID_Methods]</f>
        <v>205</v>
      </c>
      <c r="B210">
        <f ca="1">dict_zul_Var_Meth[ID_Variables]</f>
        <v>56</v>
      </c>
      <c r="C2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0" t="str">
        <f ca="1">IF(dict_zuord_Meth_Pos[[#This Row],[kval_active]],dict_zuord_Meth_Pos[[#This Row],[ID_Positions]],"")</f>
        <v/>
      </c>
    </row>
    <row r="211" spans="1:4" x14ac:dyDescent="0.45">
      <c r="A211">
        <f ca="1">dict_zul_Var_Meth[ID_Methods]</f>
        <v>75</v>
      </c>
      <c r="B211">
        <f ca="1">dict_zul_Var_Meth[ID_Variables]</f>
        <v>56</v>
      </c>
      <c r="C2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1" t="str">
        <f ca="1">IF(dict_zuord_Meth_Pos[[#This Row],[kval_active]],dict_zuord_Meth_Pos[[#This Row],[ID_Positions]],"")</f>
        <v/>
      </c>
    </row>
    <row r="212" spans="1:4" x14ac:dyDescent="0.45">
      <c r="A212">
        <f ca="1">dict_zul_Var_Meth[ID_Methods]</f>
        <v>36</v>
      </c>
      <c r="B212">
        <f ca="1">dict_zul_Var_Meth[ID_Variables]</f>
        <v>56</v>
      </c>
      <c r="C2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2" t="str">
        <f ca="1">IF(dict_zuord_Meth_Pos[[#This Row],[kval_active]],dict_zuord_Meth_Pos[[#This Row],[ID_Positions]],"")</f>
        <v/>
      </c>
    </row>
    <row r="213" spans="1:4" x14ac:dyDescent="0.45">
      <c r="A213">
        <f ca="1">dict_zul_Var_Meth[ID_Methods]</f>
        <v>525</v>
      </c>
      <c r="B213">
        <f ca="1">dict_zul_Var_Meth[ID_Variables]</f>
        <v>56</v>
      </c>
      <c r="C2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3" t="str">
        <f ca="1">IF(dict_zuord_Meth_Pos[[#This Row],[kval_active]],dict_zuord_Meth_Pos[[#This Row],[ID_Positions]],"")</f>
        <v/>
      </c>
    </row>
    <row r="214" spans="1:4" x14ac:dyDescent="0.45">
      <c r="A214">
        <f ca="1">dict_zul_Var_Meth[ID_Methods]</f>
        <v>26</v>
      </c>
      <c r="B214">
        <f ca="1">dict_zul_Var_Meth[ID_Variables]</f>
        <v>57</v>
      </c>
      <c r="C2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4" t="str">
        <f ca="1">IF(dict_zuord_Meth_Pos[[#This Row],[kval_active]],dict_zuord_Meth_Pos[[#This Row],[ID_Positions]],"")</f>
        <v/>
      </c>
    </row>
    <row r="215" spans="1:4" x14ac:dyDescent="0.45">
      <c r="A215">
        <f ca="1">dict_zul_Var_Meth[ID_Methods]</f>
        <v>100</v>
      </c>
      <c r="B215">
        <f ca="1">dict_zul_Var_Meth[ID_Variables]</f>
        <v>57</v>
      </c>
      <c r="C2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5" t="str">
        <f ca="1">IF(dict_zuord_Meth_Pos[[#This Row],[kval_active]],dict_zuord_Meth_Pos[[#This Row],[ID_Positions]],"")</f>
        <v/>
      </c>
    </row>
    <row r="216" spans="1:4" x14ac:dyDescent="0.45">
      <c r="A216">
        <f ca="1">dict_zul_Var_Meth[ID_Methods]</f>
        <v>144</v>
      </c>
      <c r="B216">
        <f ca="1">dict_zul_Var_Meth[ID_Variables]</f>
        <v>57</v>
      </c>
      <c r="C2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6" t="str">
        <f ca="1">IF(dict_zuord_Meth_Pos[[#This Row],[kval_active]],dict_zuord_Meth_Pos[[#This Row],[ID_Positions]],"")</f>
        <v/>
      </c>
    </row>
    <row r="217" spans="1:4" x14ac:dyDescent="0.45">
      <c r="A217">
        <f ca="1">dict_zul_Var_Meth[ID_Methods]</f>
        <v>16</v>
      </c>
      <c r="B217">
        <f ca="1">dict_zul_Var_Meth[ID_Variables]</f>
        <v>57</v>
      </c>
      <c r="C2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7" t="str">
        <f ca="1">IF(dict_zuord_Meth_Pos[[#This Row],[kval_active]],dict_zuord_Meth_Pos[[#This Row],[ID_Positions]],"")</f>
        <v/>
      </c>
    </row>
    <row r="218" spans="1:4" x14ac:dyDescent="0.45">
      <c r="A218">
        <f ca="1">dict_zul_Var_Meth[ID_Methods]</f>
        <v>178</v>
      </c>
      <c r="B218">
        <f ca="1">dict_zul_Var_Meth[ID_Variables]</f>
        <v>57</v>
      </c>
      <c r="C2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8" t="str">
        <f ca="1">IF(dict_zuord_Meth_Pos[[#This Row],[kval_active]],dict_zuord_Meth_Pos[[#This Row],[ID_Positions]],"")</f>
        <v/>
      </c>
    </row>
    <row r="219" spans="1:4" x14ac:dyDescent="0.45">
      <c r="A219">
        <f ca="1">dict_zul_Var_Meth[ID_Methods]</f>
        <v>590</v>
      </c>
      <c r="B219">
        <f ca="1">dict_zul_Var_Meth[ID_Variables]</f>
        <v>58</v>
      </c>
      <c r="C2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19" t="str">
        <f ca="1">IF(dict_zuord_Meth_Pos[[#This Row],[kval_active]],dict_zuord_Meth_Pos[[#This Row],[ID_Positions]],"")</f>
        <v/>
      </c>
    </row>
    <row r="220" spans="1:4" x14ac:dyDescent="0.45">
      <c r="A220">
        <f ca="1">dict_zul_Var_Meth[ID_Methods]</f>
        <v>637</v>
      </c>
      <c r="B220">
        <f ca="1">dict_zul_Var_Meth[ID_Variables]</f>
        <v>58</v>
      </c>
      <c r="C2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0" t="str">
        <f ca="1">IF(dict_zuord_Meth_Pos[[#This Row],[kval_active]],dict_zuord_Meth_Pos[[#This Row],[ID_Positions]],"")</f>
        <v/>
      </c>
    </row>
    <row r="221" spans="1:4" x14ac:dyDescent="0.45">
      <c r="A221">
        <f ca="1">dict_zul_Var_Meth[ID_Methods]</f>
        <v>472</v>
      </c>
      <c r="B221">
        <f ca="1">dict_zul_Var_Meth[ID_Variables]</f>
        <v>58</v>
      </c>
      <c r="C2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1" t="str">
        <f ca="1">IF(dict_zuord_Meth_Pos[[#This Row],[kval_active]],dict_zuord_Meth_Pos[[#This Row],[ID_Positions]],"")</f>
        <v/>
      </c>
    </row>
    <row r="222" spans="1:4" x14ac:dyDescent="0.45">
      <c r="A222">
        <f ca="1">dict_zul_Var_Meth[ID_Methods]</f>
        <v>28</v>
      </c>
      <c r="B222">
        <f ca="1">dict_zul_Var_Meth[ID_Variables]</f>
        <v>59</v>
      </c>
      <c r="C2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2" t="str">
        <f ca="1">IF(dict_zuord_Meth_Pos[[#This Row],[kval_active]],dict_zuord_Meth_Pos[[#This Row],[ID_Positions]],"")</f>
        <v/>
      </c>
    </row>
    <row r="223" spans="1:4" x14ac:dyDescent="0.45">
      <c r="A223">
        <f ca="1">dict_zul_Var_Meth[ID_Methods]</f>
        <v>486</v>
      </c>
      <c r="B223">
        <f ca="1">dict_zul_Var_Meth[ID_Variables]</f>
        <v>59</v>
      </c>
      <c r="C2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3" t="str">
        <f ca="1">IF(dict_zuord_Meth_Pos[[#This Row],[kval_active]],dict_zuord_Meth_Pos[[#This Row],[ID_Positions]],"")</f>
        <v/>
      </c>
    </row>
    <row r="224" spans="1:4" x14ac:dyDescent="0.45">
      <c r="A224">
        <f ca="1">dict_zul_Var_Meth[ID_Methods]</f>
        <v>28</v>
      </c>
      <c r="B224">
        <f ca="1">dict_zul_Var_Meth[ID_Variables]</f>
        <v>59</v>
      </c>
      <c r="C2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4" t="str">
        <f ca="1">IF(dict_zuord_Meth_Pos[[#This Row],[kval_active]],dict_zuord_Meth_Pos[[#This Row],[ID_Positions]],"")</f>
        <v/>
      </c>
    </row>
    <row r="225" spans="1:4" x14ac:dyDescent="0.45">
      <c r="A225">
        <f ca="1">dict_zul_Var_Meth[ID_Methods]</f>
        <v>216</v>
      </c>
      <c r="B225">
        <f ca="1">dict_zul_Var_Meth[ID_Variables]</f>
        <v>59</v>
      </c>
      <c r="C2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5" t="str">
        <f ca="1">IF(dict_zuord_Meth_Pos[[#This Row],[kval_active]],dict_zuord_Meth_Pos[[#This Row],[ID_Positions]],"")</f>
        <v/>
      </c>
    </row>
    <row r="226" spans="1:4" x14ac:dyDescent="0.45">
      <c r="A226">
        <f ca="1">dict_zul_Var_Meth[ID_Methods]</f>
        <v>151</v>
      </c>
      <c r="B226">
        <f ca="1">dict_zul_Var_Meth[ID_Variables]</f>
        <v>60</v>
      </c>
      <c r="C2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6" t="str">
        <f ca="1">IF(dict_zuord_Meth_Pos[[#This Row],[kval_active]],dict_zuord_Meth_Pos[[#This Row],[ID_Positions]],"")</f>
        <v/>
      </c>
    </row>
    <row r="227" spans="1:4" x14ac:dyDescent="0.45">
      <c r="A227">
        <f ca="1">dict_zul_Var_Meth[ID_Methods]</f>
        <v>625</v>
      </c>
      <c r="B227">
        <f ca="1">dict_zul_Var_Meth[ID_Variables]</f>
        <v>60</v>
      </c>
      <c r="C2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7" t="str">
        <f ca="1">IF(dict_zuord_Meth_Pos[[#This Row],[kval_active]],dict_zuord_Meth_Pos[[#This Row],[ID_Positions]],"")</f>
        <v/>
      </c>
    </row>
    <row r="228" spans="1:4" x14ac:dyDescent="0.45">
      <c r="A228">
        <f ca="1">dict_zul_Var_Meth[ID_Methods]</f>
        <v>500</v>
      </c>
      <c r="B228">
        <f ca="1">dict_zul_Var_Meth[ID_Variables]</f>
        <v>60</v>
      </c>
      <c r="C2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8" t="str">
        <f ca="1">IF(dict_zuord_Meth_Pos[[#This Row],[kval_active]],dict_zuord_Meth_Pos[[#This Row],[ID_Positions]],"")</f>
        <v/>
      </c>
    </row>
    <row r="229" spans="1:4" x14ac:dyDescent="0.45">
      <c r="A229">
        <f ca="1">dict_zul_Var_Meth[ID_Methods]</f>
        <v>661</v>
      </c>
      <c r="B229">
        <f ca="1">dict_zul_Var_Meth[ID_Variables]</f>
        <v>60</v>
      </c>
      <c r="C2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29" t="str">
        <f ca="1">IF(dict_zuord_Meth_Pos[[#This Row],[kval_active]],dict_zuord_Meth_Pos[[#This Row],[ID_Positions]],"")</f>
        <v/>
      </c>
    </row>
    <row r="230" spans="1:4" x14ac:dyDescent="0.45">
      <c r="A230">
        <f ca="1">dict_zul_Var_Meth[ID_Methods]</f>
        <v>156</v>
      </c>
      <c r="B230">
        <f ca="1">dict_zul_Var_Meth[ID_Variables]</f>
        <v>61</v>
      </c>
      <c r="C2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0" t="str">
        <f ca="1">IF(dict_zuord_Meth_Pos[[#This Row],[kval_active]],dict_zuord_Meth_Pos[[#This Row],[ID_Positions]],"")</f>
        <v/>
      </c>
    </row>
    <row r="231" spans="1:4" x14ac:dyDescent="0.45">
      <c r="A231">
        <f ca="1">dict_zul_Var_Meth[ID_Methods]</f>
        <v>696</v>
      </c>
      <c r="B231">
        <f ca="1">dict_zul_Var_Meth[ID_Variables]</f>
        <v>61</v>
      </c>
      <c r="C2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1" t="str">
        <f ca="1">IF(dict_zuord_Meth_Pos[[#This Row],[kval_active]],dict_zuord_Meth_Pos[[#This Row],[ID_Positions]],"")</f>
        <v/>
      </c>
    </row>
    <row r="232" spans="1:4" x14ac:dyDescent="0.45">
      <c r="A232">
        <f ca="1">dict_zul_Var_Meth[ID_Methods]</f>
        <v>516</v>
      </c>
      <c r="B232">
        <f ca="1">dict_zul_Var_Meth[ID_Variables]</f>
        <v>61</v>
      </c>
      <c r="C2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2" t="str">
        <f ca="1">IF(dict_zuord_Meth_Pos[[#This Row],[kval_active]],dict_zuord_Meth_Pos[[#This Row],[ID_Positions]],"")</f>
        <v/>
      </c>
    </row>
    <row r="233" spans="1:4" x14ac:dyDescent="0.45">
      <c r="A233">
        <f ca="1">dict_zul_Var_Meth[ID_Methods]</f>
        <v>451</v>
      </c>
      <c r="B233">
        <f ca="1">dict_zul_Var_Meth[ID_Variables]</f>
        <v>62</v>
      </c>
      <c r="C2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3" t="str">
        <f ca="1">IF(dict_zuord_Meth_Pos[[#This Row],[kval_active]],dict_zuord_Meth_Pos[[#This Row],[ID_Positions]],"")</f>
        <v/>
      </c>
    </row>
    <row r="234" spans="1:4" x14ac:dyDescent="0.45">
      <c r="A234">
        <f ca="1">dict_zul_Var_Meth[ID_Methods]</f>
        <v>27</v>
      </c>
      <c r="B234">
        <f ca="1">dict_zul_Var_Meth[ID_Variables]</f>
        <v>62</v>
      </c>
      <c r="C2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4" t="str">
        <f ca="1">IF(dict_zuord_Meth_Pos[[#This Row],[kval_active]],dict_zuord_Meth_Pos[[#This Row],[ID_Positions]],"")</f>
        <v/>
      </c>
    </row>
    <row r="235" spans="1:4" x14ac:dyDescent="0.45">
      <c r="A235">
        <f ca="1">dict_zul_Var_Meth[ID_Methods]</f>
        <v>613</v>
      </c>
      <c r="B235">
        <f ca="1">dict_zul_Var_Meth[ID_Variables]</f>
        <v>62</v>
      </c>
      <c r="C2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5" t="str">
        <f ca="1">IF(dict_zuord_Meth_Pos[[#This Row],[kval_active]],dict_zuord_Meth_Pos[[#This Row],[ID_Positions]],"")</f>
        <v/>
      </c>
    </row>
    <row r="236" spans="1:4" x14ac:dyDescent="0.45">
      <c r="A236">
        <f ca="1">dict_zul_Var_Meth[ID_Methods]</f>
        <v>484</v>
      </c>
      <c r="B236">
        <f ca="1">dict_zul_Var_Meth[ID_Variables]</f>
        <v>62</v>
      </c>
      <c r="C2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6" t="str">
        <f ca="1">IF(dict_zuord_Meth_Pos[[#This Row],[kval_active]],dict_zuord_Meth_Pos[[#This Row],[ID_Positions]],"")</f>
        <v/>
      </c>
    </row>
    <row r="237" spans="1:4" x14ac:dyDescent="0.45">
      <c r="A237">
        <f ca="1">dict_zul_Var_Meth[ID_Methods]</f>
        <v>455</v>
      </c>
      <c r="B237">
        <f ca="1">dict_zul_Var_Meth[ID_Variables]</f>
        <v>63</v>
      </c>
      <c r="C2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7" t="str">
        <f ca="1">IF(dict_zuord_Meth_Pos[[#This Row],[kval_active]],dict_zuord_Meth_Pos[[#This Row],[ID_Positions]],"")</f>
        <v/>
      </c>
    </row>
    <row r="238" spans="1:4" x14ac:dyDescent="0.45">
      <c r="A238">
        <f ca="1">dict_zul_Var_Meth[ID_Methods]</f>
        <v>269</v>
      </c>
      <c r="B238">
        <f ca="1">dict_zul_Var_Meth[ID_Variables]</f>
        <v>63</v>
      </c>
      <c r="C2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8" t="str">
        <f ca="1">IF(dict_zuord_Meth_Pos[[#This Row],[kval_active]],dict_zuord_Meth_Pos[[#This Row],[ID_Positions]],"")</f>
        <v/>
      </c>
    </row>
    <row r="239" spans="1:4" x14ac:dyDescent="0.45">
      <c r="A239">
        <f ca="1">dict_zul_Var_Meth[ID_Methods]</f>
        <v>607</v>
      </c>
      <c r="B239">
        <f ca="1">dict_zul_Var_Meth[ID_Variables]</f>
        <v>63</v>
      </c>
      <c r="C2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39" t="str">
        <f ca="1">IF(dict_zuord_Meth_Pos[[#This Row],[kval_active]],dict_zuord_Meth_Pos[[#This Row],[ID_Positions]],"")</f>
        <v/>
      </c>
    </row>
    <row r="240" spans="1:4" x14ac:dyDescent="0.45">
      <c r="A240">
        <f ca="1">dict_zul_Var_Meth[ID_Methods]</f>
        <v>215</v>
      </c>
      <c r="B240">
        <f ca="1">dict_zul_Var_Meth[ID_Variables]</f>
        <v>63</v>
      </c>
      <c r="C2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0" t="str">
        <f ca="1">IF(dict_zuord_Meth_Pos[[#This Row],[kval_active]],dict_zuord_Meth_Pos[[#This Row],[ID_Positions]],"")</f>
        <v/>
      </c>
    </row>
    <row r="241" spans="1:4" x14ac:dyDescent="0.45">
      <c r="A241">
        <f ca="1">dict_zul_Var_Meth[ID_Methods]</f>
        <v>278</v>
      </c>
      <c r="B241">
        <f ca="1">dict_zul_Var_Meth[ID_Variables]</f>
        <v>63</v>
      </c>
      <c r="C2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1" t="str">
        <f ca="1">IF(dict_zuord_Meth_Pos[[#This Row],[kval_active]],dict_zuord_Meth_Pos[[#This Row],[ID_Positions]],"")</f>
        <v/>
      </c>
    </row>
    <row r="242" spans="1:4" x14ac:dyDescent="0.45">
      <c r="A242">
        <f ca="1">dict_zul_Var_Meth[ID_Methods]</f>
        <v>474</v>
      </c>
      <c r="B242">
        <f ca="1">dict_zul_Var_Meth[ID_Variables]</f>
        <v>64</v>
      </c>
      <c r="C2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2" t="str">
        <f ca="1">IF(dict_zuord_Meth_Pos[[#This Row],[kval_active]],dict_zuord_Meth_Pos[[#This Row],[ID_Positions]],"")</f>
        <v/>
      </c>
    </row>
    <row r="243" spans="1:4" x14ac:dyDescent="0.45">
      <c r="A243">
        <f ca="1">dict_zul_Var_Meth[ID_Methods]</f>
        <v>230</v>
      </c>
      <c r="B243">
        <f ca="1">dict_zul_Var_Meth[ID_Variables]</f>
        <v>64</v>
      </c>
      <c r="C2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3" t="str">
        <f ca="1">IF(dict_zuord_Meth_Pos[[#This Row],[kval_active]],dict_zuord_Meth_Pos[[#This Row],[ID_Positions]],"")</f>
        <v/>
      </c>
    </row>
    <row r="244" spans="1:4" x14ac:dyDescent="0.45">
      <c r="A244">
        <f ca="1">dict_zul_Var_Meth[ID_Methods]</f>
        <v>338</v>
      </c>
      <c r="B244">
        <f ca="1">dict_zul_Var_Meth[ID_Variables]</f>
        <v>64</v>
      </c>
      <c r="C2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4" t="str">
        <f ca="1">IF(dict_zuord_Meth_Pos[[#This Row],[kval_active]],dict_zuord_Meth_Pos[[#This Row],[ID_Positions]],"")</f>
        <v/>
      </c>
    </row>
    <row r="245" spans="1:4" x14ac:dyDescent="0.45">
      <c r="A245">
        <f ca="1">dict_zul_Var_Meth[ID_Methods]</f>
        <v>499</v>
      </c>
      <c r="B245">
        <f ca="1">dict_zul_Var_Meth[ID_Variables]</f>
        <v>64</v>
      </c>
      <c r="C2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5" t="str">
        <f ca="1">IF(dict_zuord_Meth_Pos[[#This Row],[kval_active]],dict_zuord_Meth_Pos[[#This Row],[ID_Positions]],"")</f>
        <v/>
      </c>
    </row>
    <row r="246" spans="1:4" x14ac:dyDescent="0.45">
      <c r="A246">
        <f ca="1">dict_zul_Var_Meth[ID_Methods]</f>
        <v>126</v>
      </c>
      <c r="B246">
        <f ca="1">dict_zul_Var_Meth[ID_Variables]</f>
        <v>65</v>
      </c>
      <c r="C2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6" t="str">
        <f ca="1">IF(dict_zuord_Meth_Pos[[#This Row],[kval_active]],dict_zuord_Meth_Pos[[#This Row],[ID_Positions]],"")</f>
        <v/>
      </c>
    </row>
    <row r="247" spans="1:4" x14ac:dyDescent="0.45">
      <c r="A247">
        <f ca="1">dict_zul_Var_Meth[ID_Methods]</f>
        <v>688</v>
      </c>
      <c r="B247">
        <f ca="1">dict_zul_Var_Meth[ID_Variables]</f>
        <v>66</v>
      </c>
      <c r="C2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7" t="str">
        <f ca="1">IF(dict_zuord_Meth_Pos[[#This Row],[kval_active]],dict_zuord_Meth_Pos[[#This Row],[ID_Positions]],"")</f>
        <v/>
      </c>
    </row>
    <row r="248" spans="1:4" x14ac:dyDescent="0.45">
      <c r="A248">
        <f ca="1">dict_zul_Var_Meth[ID_Methods]</f>
        <v>608</v>
      </c>
      <c r="B248">
        <f ca="1">dict_zul_Var_Meth[ID_Variables]</f>
        <v>66</v>
      </c>
      <c r="C2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8" t="str">
        <f ca="1">IF(dict_zuord_Meth_Pos[[#This Row],[kval_active]],dict_zuord_Meth_Pos[[#This Row],[ID_Positions]],"")</f>
        <v/>
      </c>
    </row>
    <row r="249" spans="1:4" x14ac:dyDescent="0.45">
      <c r="A249">
        <f ca="1">dict_zul_Var_Meth[ID_Methods]</f>
        <v>256</v>
      </c>
      <c r="B249">
        <f ca="1">dict_zul_Var_Meth[ID_Variables]</f>
        <v>66</v>
      </c>
      <c r="C2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49" t="str">
        <f ca="1">IF(dict_zuord_Meth_Pos[[#This Row],[kval_active]],dict_zuord_Meth_Pos[[#This Row],[ID_Positions]],"")</f>
        <v/>
      </c>
    </row>
    <row r="250" spans="1:4" x14ac:dyDescent="0.45">
      <c r="A250">
        <f ca="1">dict_zul_Var_Meth[ID_Methods]</f>
        <v>39</v>
      </c>
      <c r="B250">
        <f ca="1">dict_zul_Var_Meth[ID_Variables]</f>
        <v>66</v>
      </c>
      <c r="C2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0" t="str">
        <f ca="1">IF(dict_zuord_Meth_Pos[[#This Row],[kval_active]],dict_zuord_Meth_Pos[[#This Row],[ID_Positions]],"")</f>
        <v/>
      </c>
    </row>
    <row r="251" spans="1:4" x14ac:dyDescent="0.45">
      <c r="A251">
        <f ca="1">dict_zul_Var_Meth[ID_Methods]</f>
        <v>659</v>
      </c>
      <c r="B251">
        <f ca="1">dict_zul_Var_Meth[ID_Variables]</f>
        <v>66</v>
      </c>
      <c r="C2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1" t="str">
        <f ca="1">IF(dict_zuord_Meth_Pos[[#This Row],[kval_active]],dict_zuord_Meth_Pos[[#This Row],[ID_Positions]],"")</f>
        <v/>
      </c>
    </row>
    <row r="252" spans="1:4" x14ac:dyDescent="0.45">
      <c r="A252">
        <f ca="1">dict_zul_Var_Meth[ID_Methods]</f>
        <v>482</v>
      </c>
      <c r="B252">
        <f ca="1">dict_zul_Var_Meth[ID_Variables]</f>
        <v>67</v>
      </c>
      <c r="C2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2" t="str">
        <f ca="1">IF(dict_zuord_Meth_Pos[[#This Row],[kval_active]],dict_zuord_Meth_Pos[[#This Row],[ID_Positions]],"")</f>
        <v/>
      </c>
    </row>
    <row r="253" spans="1:4" x14ac:dyDescent="0.45">
      <c r="A253">
        <f ca="1">dict_zul_Var_Meth[ID_Methods]</f>
        <v>249</v>
      </c>
      <c r="B253">
        <f ca="1">dict_zul_Var_Meth[ID_Variables]</f>
        <v>67</v>
      </c>
      <c r="C2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3" t="str">
        <f ca="1">IF(dict_zuord_Meth_Pos[[#This Row],[kval_active]],dict_zuord_Meth_Pos[[#This Row],[ID_Positions]],"")</f>
        <v/>
      </c>
    </row>
    <row r="254" spans="1:4" x14ac:dyDescent="0.45">
      <c r="A254">
        <f ca="1">dict_zul_Var_Meth[ID_Methods]</f>
        <v>14</v>
      </c>
      <c r="B254">
        <f ca="1">dict_zul_Var_Meth[ID_Variables]</f>
        <v>67</v>
      </c>
      <c r="C2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4" t="str">
        <f ca="1">IF(dict_zuord_Meth_Pos[[#This Row],[kval_active]],dict_zuord_Meth_Pos[[#This Row],[ID_Positions]],"")</f>
        <v/>
      </c>
    </row>
    <row r="255" spans="1:4" x14ac:dyDescent="0.45">
      <c r="A255">
        <f ca="1">dict_zul_Var_Meth[ID_Methods]</f>
        <v>421</v>
      </c>
      <c r="B255">
        <f ca="1">dict_zul_Var_Meth[ID_Variables]</f>
        <v>67</v>
      </c>
      <c r="C2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5" t="str">
        <f ca="1">IF(dict_zuord_Meth_Pos[[#This Row],[kval_active]],dict_zuord_Meth_Pos[[#This Row],[ID_Positions]],"")</f>
        <v/>
      </c>
    </row>
    <row r="256" spans="1:4" x14ac:dyDescent="0.45">
      <c r="A256">
        <f ca="1">dict_zul_Var_Meth[ID_Methods]</f>
        <v>38</v>
      </c>
      <c r="B256">
        <f ca="1">dict_zul_Var_Meth[ID_Variables]</f>
        <v>67</v>
      </c>
      <c r="C2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6" t="str">
        <f ca="1">IF(dict_zuord_Meth_Pos[[#This Row],[kval_active]],dict_zuord_Meth_Pos[[#This Row],[ID_Positions]],"")</f>
        <v/>
      </c>
    </row>
    <row r="257" spans="1:4" x14ac:dyDescent="0.45">
      <c r="A257">
        <f ca="1">dict_zul_Var_Meth[ID_Methods]</f>
        <v>627</v>
      </c>
      <c r="B257">
        <f ca="1">dict_zul_Var_Meth[ID_Variables]</f>
        <v>68</v>
      </c>
      <c r="C2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7" t="str">
        <f ca="1">IF(dict_zuord_Meth_Pos[[#This Row],[kval_active]],dict_zuord_Meth_Pos[[#This Row],[ID_Positions]],"")</f>
        <v/>
      </c>
    </row>
    <row r="258" spans="1:4" x14ac:dyDescent="0.45">
      <c r="A258">
        <f ca="1">dict_zul_Var_Meth[ID_Methods]</f>
        <v>349</v>
      </c>
      <c r="B258">
        <f ca="1">dict_zul_Var_Meth[ID_Variables]</f>
        <v>68</v>
      </c>
      <c r="C2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8" t="str">
        <f ca="1">IF(dict_zuord_Meth_Pos[[#This Row],[kval_active]],dict_zuord_Meth_Pos[[#This Row],[ID_Positions]],"")</f>
        <v/>
      </c>
    </row>
    <row r="259" spans="1:4" x14ac:dyDescent="0.45">
      <c r="A259">
        <f ca="1">dict_zul_Var_Meth[ID_Methods]</f>
        <v>31</v>
      </c>
      <c r="B259">
        <f ca="1">dict_zul_Var_Meth[ID_Variables]</f>
        <v>69</v>
      </c>
      <c r="C2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59" t="str">
        <f ca="1">IF(dict_zuord_Meth_Pos[[#This Row],[kval_active]],dict_zuord_Meth_Pos[[#This Row],[ID_Positions]],"")</f>
        <v/>
      </c>
    </row>
    <row r="260" spans="1:4" x14ac:dyDescent="0.45">
      <c r="A260">
        <f ca="1">dict_zul_Var_Meth[ID_Methods]</f>
        <v>584</v>
      </c>
      <c r="B260">
        <f ca="1">dict_zul_Var_Meth[ID_Variables]</f>
        <v>69</v>
      </c>
      <c r="C2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0" t="str">
        <f ca="1">IF(dict_zuord_Meth_Pos[[#This Row],[kval_active]],dict_zuord_Meth_Pos[[#This Row],[ID_Positions]],"")</f>
        <v/>
      </c>
    </row>
    <row r="261" spans="1:4" x14ac:dyDescent="0.45">
      <c r="A261">
        <f ca="1">dict_zul_Var_Meth[ID_Methods]</f>
        <v>124</v>
      </c>
      <c r="B261">
        <f ca="1">dict_zul_Var_Meth[ID_Variables]</f>
        <v>69</v>
      </c>
      <c r="C2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1" t="str">
        <f ca="1">IF(dict_zuord_Meth_Pos[[#This Row],[kval_active]],dict_zuord_Meth_Pos[[#This Row],[ID_Positions]],"")</f>
        <v/>
      </c>
    </row>
    <row r="262" spans="1:4" x14ac:dyDescent="0.45">
      <c r="A262">
        <f ca="1">dict_zul_Var_Meth[ID_Methods]</f>
        <v>228</v>
      </c>
      <c r="B262">
        <f ca="1">dict_zul_Var_Meth[ID_Variables]</f>
        <v>70</v>
      </c>
      <c r="C2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2" t="str">
        <f ca="1">IF(dict_zuord_Meth_Pos[[#This Row],[kval_active]],dict_zuord_Meth_Pos[[#This Row],[ID_Positions]],"")</f>
        <v/>
      </c>
    </row>
    <row r="263" spans="1:4" x14ac:dyDescent="0.45">
      <c r="A263">
        <f ca="1">dict_zul_Var_Meth[ID_Methods]</f>
        <v>275</v>
      </c>
      <c r="B263">
        <f ca="1">dict_zul_Var_Meth[ID_Variables]</f>
        <v>70</v>
      </c>
      <c r="C2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3" t="str">
        <f ca="1">IF(dict_zuord_Meth_Pos[[#This Row],[kval_active]],dict_zuord_Meth_Pos[[#This Row],[ID_Positions]],"")</f>
        <v/>
      </c>
    </row>
    <row r="264" spans="1:4" x14ac:dyDescent="0.45">
      <c r="A264">
        <f ca="1">dict_zul_Var_Meth[ID_Methods]</f>
        <v>91</v>
      </c>
      <c r="B264">
        <f ca="1">dict_zul_Var_Meth[ID_Variables]</f>
        <v>70</v>
      </c>
      <c r="C2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4" t="str">
        <f ca="1">IF(dict_zuord_Meth_Pos[[#This Row],[kval_active]],dict_zuord_Meth_Pos[[#This Row],[ID_Positions]],"")</f>
        <v/>
      </c>
    </row>
    <row r="265" spans="1:4" x14ac:dyDescent="0.45">
      <c r="A265">
        <f ca="1">dict_zul_Var_Meth[ID_Methods]</f>
        <v>340</v>
      </c>
      <c r="B265">
        <f ca="1">dict_zul_Var_Meth[ID_Variables]</f>
        <v>70</v>
      </c>
      <c r="C2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5" t="str">
        <f ca="1">IF(dict_zuord_Meth_Pos[[#This Row],[kval_active]],dict_zuord_Meth_Pos[[#This Row],[ID_Positions]],"")</f>
        <v/>
      </c>
    </row>
    <row r="266" spans="1:4" x14ac:dyDescent="0.45">
      <c r="A266">
        <f ca="1">dict_zul_Var_Meth[ID_Methods]</f>
        <v>651</v>
      </c>
      <c r="B266">
        <f ca="1">dict_zul_Var_Meth[ID_Variables]</f>
        <v>70</v>
      </c>
      <c r="C2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6" t="str">
        <f ca="1">IF(dict_zuord_Meth_Pos[[#This Row],[kval_active]],dict_zuord_Meth_Pos[[#This Row],[ID_Positions]],"")</f>
        <v/>
      </c>
    </row>
    <row r="267" spans="1:4" x14ac:dyDescent="0.45">
      <c r="A267">
        <f ca="1">dict_zul_Var_Meth[ID_Methods]</f>
        <v>354</v>
      </c>
      <c r="B267">
        <f ca="1">dict_zul_Var_Meth[ID_Variables]</f>
        <v>71</v>
      </c>
      <c r="C2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7" t="str">
        <f ca="1">IF(dict_zuord_Meth_Pos[[#This Row],[kval_active]],dict_zuord_Meth_Pos[[#This Row],[ID_Positions]],"")</f>
        <v/>
      </c>
    </row>
    <row r="268" spans="1:4" x14ac:dyDescent="0.45">
      <c r="A268">
        <f ca="1">dict_zul_Var_Meth[ID_Methods]</f>
        <v>236</v>
      </c>
      <c r="B268">
        <f ca="1">dict_zul_Var_Meth[ID_Variables]</f>
        <v>71</v>
      </c>
      <c r="C2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8" t="str">
        <f ca="1">IF(dict_zuord_Meth_Pos[[#This Row],[kval_active]],dict_zuord_Meth_Pos[[#This Row],[ID_Positions]],"")</f>
        <v/>
      </c>
    </row>
    <row r="269" spans="1:4" x14ac:dyDescent="0.45">
      <c r="A269">
        <f ca="1">dict_zul_Var_Meth[ID_Methods]</f>
        <v>328</v>
      </c>
      <c r="B269">
        <f ca="1">dict_zul_Var_Meth[ID_Variables]</f>
        <v>71</v>
      </c>
      <c r="C2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69" t="str">
        <f ca="1">IF(dict_zuord_Meth_Pos[[#This Row],[kval_active]],dict_zuord_Meth_Pos[[#This Row],[ID_Positions]],"")</f>
        <v/>
      </c>
    </row>
    <row r="270" spans="1:4" x14ac:dyDescent="0.45">
      <c r="A270">
        <f ca="1">dict_zul_Var_Meth[ID_Methods]</f>
        <v>159</v>
      </c>
      <c r="B270">
        <f ca="1">dict_zul_Var_Meth[ID_Variables]</f>
        <v>71</v>
      </c>
      <c r="C2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0" t="str">
        <f ca="1">IF(dict_zuord_Meth_Pos[[#This Row],[kval_active]],dict_zuord_Meth_Pos[[#This Row],[ID_Positions]],"")</f>
        <v/>
      </c>
    </row>
    <row r="271" spans="1:4" x14ac:dyDescent="0.45">
      <c r="A271">
        <f ca="1">dict_zul_Var_Meth[ID_Methods]</f>
        <v>572</v>
      </c>
      <c r="B271">
        <f ca="1">dict_zul_Var_Meth[ID_Variables]</f>
        <v>72</v>
      </c>
      <c r="C2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1" t="str">
        <f ca="1">IF(dict_zuord_Meth_Pos[[#This Row],[kval_active]],dict_zuord_Meth_Pos[[#This Row],[ID_Positions]],"")</f>
        <v/>
      </c>
    </row>
    <row r="272" spans="1:4" x14ac:dyDescent="0.45">
      <c r="A272">
        <f ca="1">dict_zul_Var_Meth[ID_Methods]</f>
        <v>509</v>
      </c>
      <c r="B272">
        <f ca="1">dict_zul_Var_Meth[ID_Variables]</f>
        <v>72</v>
      </c>
      <c r="C2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2" t="str">
        <f ca="1">IF(dict_zuord_Meth_Pos[[#This Row],[kval_active]],dict_zuord_Meth_Pos[[#This Row],[ID_Positions]],"")</f>
        <v/>
      </c>
    </row>
    <row r="273" spans="1:4" x14ac:dyDescent="0.45">
      <c r="A273">
        <f ca="1">dict_zul_Var_Meth[ID_Methods]</f>
        <v>10</v>
      </c>
      <c r="B273">
        <f ca="1">dict_zul_Var_Meth[ID_Variables]</f>
        <v>72</v>
      </c>
      <c r="C2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3" t="str">
        <f ca="1">IF(dict_zuord_Meth_Pos[[#This Row],[kval_active]],dict_zuord_Meth_Pos[[#This Row],[ID_Positions]],"")</f>
        <v/>
      </c>
    </row>
    <row r="274" spans="1:4" x14ac:dyDescent="0.45">
      <c r="A274">
        <f ca="1">dict_zul_Var_Meth[ID_Methods]</f>
        <v>427</v>
      </c>
      <c r="B274">
        <f ca="1">dict_zul_Var_Meth[ID_Variables]</f>
        <v>72</v>
      </c>
      <c r="C2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4" t="str">
        <f ca="1">IF(dict_zuord_Meth_Pos[[#This Row],[kval_active]],dict_zuord_Meth_Pos[[#This Row],[ID_Positions]],"")</f>
        <v/>
      </c>
    </row>
    <row r="275" spans="1:4" x14ac:dyDescent="0.45">
      <c r="A275">
        <f ca="1">dict_zul_Var_Meth[ID_Methods]</f>
        <v>430</v>
      </c>
      <c r="B275">
        <f ca="1">dict_zul_Var_Meth[ID_Variables]</f>
        <v>73</v>
      </c>
      <c r="C2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5" t="str">
        <f ca="1">IF(dict_zuord_Meth_Pos[[#This Row],[kval_active]],dict_zuord_Meth_Pos[[#This Row],[ID_Positions]],"")</f>
        <v/>
      </c>
    </row>
    <row r="276" spans="1:4" x14ac:dyDescent="0.45">
      <c r="A276">
        <f ca="1">dict_zul_Var_Meth[ID_Methods]</f>
        <v>671</v>
      </c>
      <c r="B276">
        <f ca="1">dict_zul_Var_Meth[ID_Variables]</f>
        <v>73</v>
      </c>
      <c r="C2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6" t="str">
        <f ca="1">IF(dict_zuord_Meth_Pos[[#This Row],[kval_active]],dict_zuord_Meth_Pos[[#This Row],[ID_Positions]],"")</f>
        <v/>
      </c>
    </row>
    <row r="277" spans="1:4" x14ac:dyDescent="0.45">
      <c r="A277">
        <f ca="1">dict_zul_Var_Meth[ID_Methods]</f>
        <v>123</v>
      </c>
      <c r="B277">
        <f ca="1">dict_zul_Var_Meth[ID_Variables]</f>
        <v>73</v>
      </c>
      <c r="C2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7" t="str">
        <f ca="1">IF(dict_zuord_Meth_Pos[[#This Row],[kval_active]],dict_zuord_Meth_Pos[[#This Row],[ID_Positions]],"")</f>
        <v/>
      </c>
    </row>
    <row r="278" spans="1:4" x14ac:dyDescent="0.45">
      <c r="A278">
        <f ca="1">dict_zul_Var_Meth[ID_Methods]</f>
        <v>388</v>
      </c>
      <c r="B278">
        <f ca="1">dict_zul_Var_Meth[ID_Variables]</f>
        <v>74</v>
      </c>
      <c r="C2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8" t="str">
        <f ca="1">IF(dict_zuord_Meth_Pos[[#This Row],[kval_active]],dict_zuord_Meth_Pos[[#This Row],[ID_Positions]],"")</f>
        <v/>
      </c>
    </row>
    <row r="279" spans="1:4" x14ac:dyDescent="0.45">
      <c r="A279">
        <f ca="1">dict_zul_Var_Meth[ID_Methods]</f>
        <v>122</v>
      </c>
      <c r="B279">
        <f ca="1">dict_zul_Var_Meth[ID_Variables]</f>
        <v>74</v>
      </c>
      <c r="C2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79" t="str">
        <f ca="1">IF(dict_zuord_Meth_Pos[[#This Row],[kval_active]],dict_zuord_Meth_Pos[[#This Row],[ID_Positions]],"")</f>
        <v/>
      </c>
    </row>
    <row r="280" spans="1:4" x14ac:dyDescent="0.45">
      <c r="A280">
        <f ca="1">dict_zul_Var_Meth[ID_Methods]</f>
        <v>33</v>
      </c>
      <c r="B280">
        <f ca="1">dict_zul_Var_Meth[ID_Variables]</f>
        <v>74</v>
      </c>
      <c r="C2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0" t="str">
        <f ca="1">IF(dict_zuord_Meth_Pos[[#This Row],[kval_active]],dict_zuord_Meth_Pos[[#This Row],[ID_Positions]],"")</f>
        <v/>
      </c>
    </row>
    <row r="281" spans="1:4" x14ac:dyDescent="0.45">
      <c r="A281">
        <f ca="1">dict_zul_Var_Meth[ID_Methods]</f>
        <v>628</v>
      </c>
      <c r="B281">
        <f ca="1">dict_zul_Var_Meth[ID_Variables]</f>
        <v>75</v>
      </c>
      <c r="C2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1" t="str">
        <f ca="1">IF(dict_zuord_Meth_Pos[[#This Row],[kval_active]],dict_zuord_Meth_Pos[[#This Row],[ID_Positions]],"")</f>
        <v/>
      </c>
    </row>
    <row r="282" spans="1:4" x14ac:dyDescent="0.45">
      <c r="A282">
        <f ca="1">dict_zul_Var_Meth[ID_Methods]</f>
        <v>101</v>
      </c>
      <c r="B282">
        <f ca="1">dict_zul_Var_Meth[ID_Variables]</f>
        <v>75</v>
      </c>
      <c r="C2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2" t="str">
        <f ca="1">IF(dict_zuord_Meth_Pos[[#This Row],[kval_active]],dict_zuord_Meth_Pos[[#This Row],[ID_Positions]],"")</f>
        <v/>
      </c>
    </row>
    <row r="283" spans="1:4" x14ac:dyDescent="0.45">
      <c r="A283">
        <f ca="1">dict_zul_Var_Meth[ID_Methods]</f>
        <v>12</v>
      </c>
      <c r="B283">
        <f ca="1">dict_zul_Var_Meth[ID_Variables]</f>
        <v>75</v>
      </c>
      <c r="C2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3" t="str">
        <f ca="1">IF(dict_zuord_Meth_Pos[[#This Row],[kval_active]],dict_zuord_Meth_Pos[[#This Row],[ID_Positions]],"")</f>
        <v/>
      </c>
    </row>
    <row r="284" spans="1:4" x14ac:dyDescent="0.45">
      <c r="A284">
        <f ca="1">dict_zul_Var_Meth[ID_Methods]</f>
        <v>690</v>
      </c>
      <c r="B284">
        <f ca="1">dict_zul_Var_Meth[ID_Variables]</f>
        <v>75</v>
      </c>
      <c r="C2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4" t="str">
        <f ca="1">IF(dict_zuord_Meth_Pos[[#This Row],[kval_active]],dict_zuord_Meth_Pos[[#This Row],[ID_Positions]],"")</f>
        <v/>
      </c>
    </row>
    <row r="285" spans="1:4" x14ac:dyDescent="0.45">
      <c r="A285">
        <f ca="1">dict_zul_Var_Meth[ID_Methods]</f>
        <v>40</v>
      </c>
      <c r="B285">
        <f ca="1">dict_zul_Var_Meth[ID_Variables]</f>
        <v>75</v>
      </c>
      <c r="C2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5" t="str">
        <f ca="1">IF(dict_zuord_Meth_Pos[[#This Row],[kval_active]],dict_zuord_Meth_Pos[[#This Row],[ID_Positions]],"")</f>
        <v/>
      </c>
    </row>
    <row r="286" spans="1:4" x14ac:dyDescent="0.45">
      <c r="A286">
        <f ca="1">dict_zul_Var_Meth[ID_Methods]</f>
        <v>82</v>
      </c>
      <c r="B286">
        <f ca="1">dict_zul_Var_Meth[ID_Variables]</f>
        <v>76</v>
      </c>
      <c r="C2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6" t="str">
        <f ca="1">IF(dict_zuord_Meth_Pos[[#This Row],[kval_active]],dict_zuord_Meth_Pos[[#This Row],[ID_Positions]],"")</f>
        <v/>
      </c>
    </row>
    <row r="287" spans="1:4" x14ac:dyDescent="0.45">
      <c r="A287">
        <f ca="1">dict_zul_Var_Meth[ID_Methods]</f>
        <v>273</v>
      </c>
      <c r="B287">
        <f ca="1">dict_zul_Var_Meth[ID_Variables]</f>
        <v>76</v>
      </c>
      <c r="C2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7" t="str">
        <f ca="1">IF(dict_zuord_Meth_Pos[[#This Row],[kval_active]],dict_zuord_Meth_Pos[[#This Row],[ID_Positions]],"")</f>
        <v/>
      </c>
    </row>
    <row r="288" spans="1:4" x14ac:dyDescent="0.45">
      <c r="A288">
        <f ca="1">dict_zul_Var_Meth[ID_Methods]</f>
        <v>46</v>
      </c>
      <c r="B288">
        <f ca="1">dict_zul_Var_Meth[ID_Variables]</f>
        <v>77</v>
      </c>
      <c r="C2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8" t="str">
        <f ca="1">IF(dict_zuord_Meth_Pos[[#This Row],[kval_active]],dict_zuord_Meth_Pos[[#This Row],[ID_Positions]],"")</f>
        <v/>
      </c>
    </row>
    <row r="289" spans="1:4" x14ac:dyDescent="0.45">
      <c r="A289">
        <f ca="1">dict_zul_Var_Meth[ID_Methods]</f>
        <v>554</v>
      </c>
      <c r="B289">
        <f ca="1">dict_zul_Var_Meth[ID_Variables]</f>
        <v>77</v>
      </c>
      <c r="C2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89" t="str">
        <f ca="1">IF(dict_zuord_Meth_Pos[[#This Row],[kval_active]],dict_zuord_Meth_Pos[[#This Row],[ID_Positions]],"")</f>
        <v/>
      </c>
    </row>
    <row r="290" spans="1:4" x14ac:dyDescent="0.45">
      <c r="A290">
        <f ca="1">dict_zul_Var_Meth[ID_Methods]</f>
        <v>63</v>
      </c>
      <c r="B290">
        <f ca="1">dict_zul_Var_Meth[ID_Variables]</f>
        <v>77</v>
      </c>
      <c r="C2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0" t="str">
        <f ca="1">IF(dict_zuord_Meth_Pos[[#This Row],[kval_active]],dict_zuord_Meth_Pos[[#This Row],[ID_Positions]],"")</f>
        <v/>
      </c>
    </row>
    <row r="291" spans="1:4" x14ac:dyDescent="0.45">
      <c r="A291">
        <f ca="1">dict_zul_Var_Meth[ID_Methods]</f>
        <v>283</v>
      </c>
      <c r="B291">
        <f ca="1">dict_zul_Var_Meth[ID_Variables]</f>
        <v>77</v>
      </c>
      <c r="C2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1" t="str">
        <f ca="1">IF(dict_zuord_Meth_Pos[[#This Row],[kval_active]],dict_zuord_Meth_Pos[[#This Row],[ID_Positions]],"")</f>
        <v/>
      </c>
    </row>
    <row r="292" spans="1:4" x14ac:dyDescent="0.45">
      <c r="A292">
        <f ca="1">dict_zul_Var_Meth[ID_Methods]</f>
        <v>381</v>
      </c>
      <c r="B292">
        <f ca="1">dict_zul_Var_Meth[ID_Variables]</f>
        <v>77</v>
      </c>
      <c r="C2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2" t="str">
        <f ca="1">IF(dict_zuord_Meth_Pos[[#This Row],[kval_active]],dict_zuord_Meth_Pos[[#This Row],[ID_Positions]],"")</f>
        <v/>
      </c>
    </row>
    <row r="293" spans="1:4" x14ac:dyDescent="0.45">
      <c r="A293">
        <f ca="1">dict_zul_Var_Meth[ID_Methods]</f>
        <v>74</v>
      </c>
      <c r="B293">
        <f ca="1">dict_zul_Var_Meth[ID_Variables]</f>
        <v>78</v>
      </c>
      <c r="C2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3" t="str">
        <f ca="1">IF(dict_zuord_Meth_Pos[[#This Row],[kval_active]],dict_zuord_Meth_Pos[[#This Row],[ID_Positions]],"")</f>
        <v/>
      </c>
    </row>
    <row r="294" spans="1:4" x14ac:dyDescent="0.45">
      <c r="A294">
        <f ca="1">dict_zul_Var_Meth[ID_Methods]</f>
        <v>187</v>
      </c>
      <c r="B294">
        <f ca="1">dict_zul_Var_Meth[ID_Variables]</f>
        <v>78</v>
      </c>
      <c r="C2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4" t="str">
        <f ca="1">IF(dict_zuord_Meth_Pos[[#This Row],[kval_active]],dict_zuord_Meth_Pos[[#This Row],[ID_Positions]],"")</f>
        <v/>
      </c>
    </row>
    <row r="295" spans="1:4" x14ac:dyDescent="0.45">
      <c r="A295">
        <f ca="1">dict_zul_Var_Meth[ID_Methods]</f>
        <v>114</v>
      </c>
      <c r="B295">
        <f ca="1">dict_zul_Var_Meth[ID_Variables]</f>
        <v>78</v>
      </c>
      <c r="C2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5" t="str">
        <f ca="1">IF(dict_zuord_Meth_Pos[[#This Row],[kval_active]],dict_zuord_Meth_Pos[[#This Row],[ID_Positions]],"")</f>
        <v/>
      </c>
    </row>
    <row r="296" spans="1:4" x14ac:dyDescent="0.45">
      <c r="A296">
        <f ca="1">dict_zul_Var_Meth[ID_Methods]</f>
        <v>436</v>
      </c>
      <c r="B296">
        <f ca="1">dict_zul_Var_Meth[ID_Variables]</f>
        <v>78</v>
      </c>
      <c r="C2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6" t="str">
        <f ca="1">IF(dict_zuord_Meth_Pos[[#This Row],[kval_active]],dict_zuord_Meth_Pos[[#This Row],[ID_Positions]],"")</f>
        <v/>
      </c>
    </row>
    <row r="297" spans="1:4" x14ac:dyDescent="0.45">
      <c r="A297">
        <f ca="1">dict_zul_Var_Meth[ID_Methods]</f>
        <v>345</v>
      </c>
      <c r="B297">
        <f ca="1">dict_zul_Var_Meth[ID_Variables]</f>
        <v>79</v>
      </c>
      <c r="C2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7" t="str">
        <f ca="1">IF(dict_zuord_Meth_Pos[[#This Row],[kval_active]],dict_zuord_Meth_Pos[[#This Row],[ID_Positions]],"")</f>
        <v/>
      </c>
    </row>
    <row r="298" spans="1:4" x14ac:dyDescent="0.45">
      <c r="A298">
        <f ca="1">dict_zul_Var_Meth[ID_Methods]</f>
        <v>497</v>
      </c>
      <c r="B298">
        <f ca="1">dict_zul_Var_Meth[ID_Variables]</f>
        <v>79</v>
      </c>
      <c r="C2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8" t="str">
        <f ca="1">IF(dict_zuord_Meth_Pos[[#This Row],[kval_active]],dict_zuord_Meth_Pos[[#This Row],[ID_Positions]],"")</f>
        <v/>
      </c>
    </row>
    <row r="299" spans="1:4" x14ac:dyDescent="0.45">
      <c r="A299">
        <f ca="1">dict_zul_Var_Meth[ID_Methods]</f>
        <v>166</v>
      </c>
      <c r="B299">
        <f ca="1">dict_zul_Var_Meth[ID_Variables]</f>
        <v>79</v>
      </c>
      <c r="C2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299" t="str">
        <f ca="1">IF(dict_zuord_Meth_Pos[[#This Row],[kval_active]],dict_zuord_Meth_Pos[[#This Row],[ID_Positions]],"")</f>
        <v/>
      </c>
    </row>
    <row r="300" spans="1:4" x14ac:dyDescent="0.45">
      <c r="A300">
        <f ca="1">dict_zul_Var_Meth[ID_Methods]</f>
        <v>493</v>
      </c>
      <c r="B300">
        <f ca="1">dict_zul_Var_Meth[ID_Variables]</f>
        <v>79</v>
      </c>
      <c r="C3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0" t="str">
        <f ca="1">IF(dict_zuord_Meth_Pos[[#This Row],[kval_active]],dict_zuord_Meth_Pos[[#This Row],[ID_Positions]],"")</f>
        <v/>
      </c>
    </row>
    <row r="301" spans="1:4" x14ac:dyDescent="0.45">
      <c r="A301">
        <f ca="1">dict_zul_Var_Meth[ID_Methods]</f>
        <v>488</v>
      </c>
      <c r="B301">
        <f ca="1">dict_zul_Var_Meth[ID_Variables]</f>
        <v>79</v>
      </c>
      <c r="C3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1" t="str">
        <f ca="1">IF(dict_zuord_Meth_Pos[[#This Row],[kval_active]],dict_zuord_Meth_Pos[[#This Row],[ID_Positions]],"")</f>
        <v/>
      </c>
    </row>
    <row r="302" spans="1:4" x14ac:dyDescent="0.45">
      <c r="A302">
        <f ca="1">dict_zul_Var_Meth[ID_Methods]</f>
        <v>531</v>
      </c>
      <c r="B302">
        <f ca="1">dict_zul_Var_Meth[ID_Variables]</f>
        <v>80</v>
      </c>
      <c r="C3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2" t="str">
        <f ca="1">IF(dict_zuord_Meth_Pos[[#This Row],[kval_active]],dict_zuord_Meth_Pos[[#This Row],[ID_Positions]],"")</f>
        <v/>
      </c>
    </row>
    <row r="303" spans="1:4" x14ac:dyDescent="0.45">
      <c r="A303">
        <f ca="1">dict_zul_Var_Meth[ID_Methods]</f>
        <v>254</v>
      </c>
      <c r="B303">
        <f ca="1">dict_zul_Var_Meth[ID_Variables]</f>
        <v>80</v>
      </c>
      <c r="C3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3" t="str">
        <f ca="1">IF(dict_zuord_Meth_Pos[[#This Row],[kval_active]],dict_zuord_Meth_Pos[[#This Row],[ID_Positions]],"")</f>
        <v/>
      </c>
    </row>
    <row r="304" spans="1:4" x14ac:dyDescent="0.45">
      <c r="A304">
        <f ca="1">dict_zul_Var_Meth[ID_Methods]</f>
        <v>279</v>
      </c>
      <c r="B304">
        <f ca="1">dict_zul_Var_Meth[ID_Variables]</f>
        <v>81</v>
      </c>
      <c r="C3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4" t="str">
        <f ca="1">IF(dict_zuord_Meth_Pos[[#This Row],[kval_active]],dict_zuord_Meth_Pos[[#This Row],[ID_Positions]],"")</f>
        <v/>
      </c>
    </row>
    <row r="305" spans="1:4" x14ac:dyDescent="0.45">
      <c r="A305">
        <f ca="1">dict_zul_Var_Meth[ID_Methods]</f>
        <v>424</v>
      </c>
      <c r="B305">
        <f ca="1">dict_zul_Var_Meth[ID_Variables]</f>
        <v>81</v>
      </c>
      <c r="C3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5" t="str">
        <f ca="1">IF(dict_zuord_Meth_Pos[[#This Row],[kval_active]],dict_zuord_Meth_Pos[[#This Row],[ID_Positions]],"")</f>
        <v/>
      </c>
    </row>
    <row r="306" spans="1:4" x14ac:dyDescent="0.45">
      <c r="A306">
        <f ca="1">dict_zul_Var_Meth[ID_Methods]</f>
        <v>437</v>
      </c>
      <c r="B306">
        <f ca="1">dict_zul_Var_Meth[ID_Variables]</f>
        <v>81</v>
      </c>
      <c r="C3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6" t="str">
        <f ca="1">IF(dict_zuord_Meth_Pos[[#This Row],[kval_active]],dict_zuord_Meth_Pos[[#This Row],[ID_Positions]],"")</f>
        <v/>
      </c>
    </row>
    <row r="307" spans="1:4" x14ac:dyDescent="0.45">
      <c r="A307">
        <f ca="1">dict_zul_Var_Meth[ID_Methods]</f>
        <v>255</v>
      </c>
      <c r="B307">
        <f ca="1">dict_zul_Var_Meth[ID_Variables]</f>
        <v>81</v>
      </c>
      <c r="C3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7" t="str">
        <f ca="1">IF(dict_zuord_Meth_Pos[[#This Row],[kval_active]],dict_zuord_Meth_Pos[[#This Row],[ID_Positions]],"")</f>
        <v/>
      </c>
    </row>
    <row r="308" spans="1:4" x14ac:dyDescent="0.45">
      <c r="A308">
        <f ca="1">dict_zul_Var_Meth[ID_Methods]</f>
        <v>640</v>
      </c>
      <c r="B308">
        <f ca="1">dict_zul_Var_Meth[ID_Variables]</f>
        <v>82</v>
      </c>
      <c r="C3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8" t="str">
        <f ca="1">IF(dict_zuord_Meth_Pos[[#This Row],[kval_active]],dict_zuord_Meth_Pos[[#This Row],[ID_Positions]],"")</f>
        <v/>
      </c>
    </row>
    <row r="309" spans="1:4" x14ac:dyDescent="0.45">
      <c r="A309">
        <f ca="1">dict_zul_Var_Meth[ID_Methods]</f>
        <v>615</v>
      </c>
      <c r="B309">
        <f ca="1">dict_zul_Var_Meth[ID_Variables]</f>
        <v>82</v>
      </c>
      <c r="C3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09" t="str">
        <f ca="1">IF(dict_zuord_Meth_Pos[[#This Row],[kval_active]],dict_zuord_Meth_Pos[[#This Row],[ID_Positions]],"")</f>
        <v/>
      </c>
    </row>
    <row r="310" spans="1:4" x14ac:dyDescent="0.45">
      <c r="A310">
        <f ca="1">dict_zul_Var_Meth[ID_Methods]</f>
        <v>152</v>
      </c>
      <c r="B310">
        <f ca="1">dict_zul_Var_Meth[ID_Variables]</f>
        <v>82</v>
      </c>
      <c r="C3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0" t="str">
        <f ca="1">IF(dict_zuord_Meth_Pos[[#This Row],[kval_active]],dict_zuord_Meth_Pos[[#This Row],[ID_Positions]],"")</f>
        <v/>
      </c>
    </row>
    <row r="311" spans="1:4" x14ac:dyDescent="0.45">
      <c r="A311">
        <f ca="1">dict_zul_Var_Meth[ID_Methods]</f>
        <v>344</v>
      </c>
      <c r="B311">
        <f ca="1">dict_zul_Var_Meth[ID_Variables]</f>
        <v>83</v>
      </c>
      <c r="C3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1" t="str">
        <f ca="1">IF(dict_zuord_Meth_Pos[[#This Row],[kval_active]],dict_zuord_Meth_Pos[[#This Row],[ID_Positions]],"")</f>
        <v/>
      </c>
    </row>
    <row r="312" spans="1:4" x14ac:dyDescent="0.45">
      <c r="A312">
        <f ca="1">dict_zul_Var_Meth[ID_Methods]</f>
        <v>540</v>
      </c>
      <c r="B312">
        <f ca="1">dict_zul_Var_Meth[ID_Variables]</f>
        <v>83</v>
      </c>
      <c r="C3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2" t="str">
        <f ca="1">IF(dict_zuord_Meth_Pos[[#This Row],[kval_active]],dict_zuord_Meth_Pos[[#This Row],[ID_Positions]],"")</f>
        <v/>
      </c>
    </row>
    <row r="313" spans="1:4" x14ac:dyDescent="0.45">
      <c r="A313">
        <f ca="1">dict_zul_Var_Meth[ID_Methods]</f>
        <v>264</v>
      </c>
      <c r="B313">
        <f ca="1">dict_zul_Var_Meth[ID_Variables]</f>
        <v>83</v>
      </c>
      <c r="C3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3" t="str">
        <f ca="1">IF(dict_zuord_Meth_Pos[[#This Row],[kval_active]],dict_zuord_Meth_Pos[[#This Row],[ID_Positions]],"")</f>
        <v/>
      </c>
    </row>
    <row r="314" spans="1:4" x14ac:dyDescent="0.45">
      <c r="A314">
        <f ca="1">dict_zul_Var_Meth[ID_Methods]</f>
        <v>406</v>
      </c>
      <c r="B314">
        <f ca="1">dict_zul_Var_Meth[ID_Variables]</f>
        <v>83</v>
      </c>
      <c r="C3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4" t="str">
        <f ca="1">IF(dict_zuord_Meth_Pos[[#This Row],[kval_active]],dict_zuord_Meth_Pos[[#This Row],[ID_Positions]],"")</f>
        <v/>
      </c>
    </row>
    <row r="315" spans="1:4" x14ac:dyDescent="0.45">
      <c r="A315">
        <f ca="1">dict_zul_Var_Meth[ID_Methods]</f>
        <v>626</v>
      </c>
      <c r="B315">
        <f ca="1">dict_zul_Var_Meth[ID_Variables]</f>
        <v>84</v>
      </c>
      <c r="C3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5" t="str">
        <f ca="1">IF(dict_zuord_Meth_Pos[[#This Row],[kval_active]],dict_zuord_Meth_Pos[[#This Row],[ID_Positions]],"")</f>
        <v/>
      </c>
    </row>
    <row r="316" spans="1:4" x14ac:dyDescent="0.45">
      <c r="A316">
        <f ca="1">dict_zul_Var_Meth[ID_Methods]</f>
        <v>657</v>
      </c>
      <c r="B316">
        <f ca="1">dict_zul_Var_Meth[ID_Variables]</f>
        <v>84</v>
      </c>
      <c r="C3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6" t="str">
        <f ca="1">IF(dict_zuord_Meth_Pos[[#This Row],[kval_active]],dict_zuord_Meth_Pos[[#This Row],[ID_Positions]],"")</f>
        <v/>
      </c>
    </row>
    <row r="317" spans="1:4" x14ac:dyDescent="0.45">
      <c r="A317">
        <f ca="1">dict_zul_Var_Meth[ID_Methods]</f>
        <v>17</v>
      </c>
      <c r="B317">
        <f ca="1">dict_zul_Var_Meth[ID_Variables]</f>
        <v>84</v>
      </c>
      <c r="C3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7" t="str">
        <f ca="1">IF(dict_zuord_Meth_Pos[[#This Row],[kval_active]],dict_zuord_Meth_Pos[[#This Row],[ID_Positions]],"")</f>
        <v/>
      </c>
    </row>
    <row r="318" spans="1:4" x14ac:dyDescent="0.45">
      <c r="A318">
        <f ca="1">dict_zul_Var_Meth[ID_Methods]</f>
        <v>30</v>
      </c>
      <c r="B318">
        <f ca="1">dict_zul_Var_Meth[ID_Variables]</f>
        <v>84</v>
      </c>
      <c r="C3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8" t="str">
        <f ca="1">IF(dict_zuord_Meth_Pos[[#This Row],[kval_active]],dict_zuord_Meth_Pos[[#This Row],[ID_Positions]],"")</f>
        <v/>
      </c>
    </row>
    <row r="319" spans="1:4" x14ac:dyDescent="0.45">
      <c r="A319">
        <f ca="1">dict_zul_Var_Meth[ID_Methods]</f>
        <v>78</v>
      </c>
      <c r="B319">
        <f ca="1">dict_zul_Var_Meth[ID_Variables]</f>
        <v>85</v>
      </c>
      <c r="C3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19" t="str">
        <f ca="1">IF(dict_zuord_Meth_Pos[[#This Row],[kval_active]],dict_zuord_Meth_Pos[[#This Row],[ID_Positions]],"")</f>
        <v/>
      </c>
    </row>
    <row r="320" spans="1:4" x14ac:dyDescent="0.45">
      <c r="A320">
        <f ca="1">dict_zul_Var_Meth[ID_Methods]</f>
        <v>330</v>
      </c>
      <c r="B320">
        <f ca="1">dict_zul_Var_Meth[ID_Variables]</f>
        <v>85</v>
      </c>
      <c r="C3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0" t="str">
        <f ca="1">IF(dict_zuord_Meth_Pos[[#This Row],[kval_active]],dict_zuord_Meth_Pos[[#This Row],[ID_Positions]],"")</f>
        <v/>
      </c>
    </row>
    <row r="321" spans="1:4" x14ac:dyDescent="0.45">
      <c r="A321">
        <f ca="1">dict_zul_Var_Meth[ID_Methods]</f>
        <v>694</v>
      </c>
      <c r="B321">
        <f ca="1">dict_zul_Var_Meth[ID_Variables]</f>
        <v>85</v>
      </c>
      <c r="C3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1" t="str">
        <f ca="1">IF(dict_zuord_Meth_Pos[[#This Row],[kval_active]],dict_zuord_Meth_Pos[[#This Row],[ID_Positions]],"")</f>
        <v/>
      </c>
    </row>
    <row r="322" spans="1:4" x14ac:dyDescent="0.45">
      <c r="A322">
        <f ca="1">dict_zul_Var_Meth[ID_Methods]</f>
        <v>72</v>
      </c>
      <c r="B322">
        <f ca="1">dict_zul_Var_Meth[ID_Variables]</f>
        <v>85</v>
      </c>
      <c r="C3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2" t="str">
        <f ca="1">IF(dict_zuord_Meth_Pos[[#This Row],[kval_active]],dict_zuord_Meth_Pos[[#This Row],[ID_Positions]],"")</f>
        <v/>
      </c>
    </row>
    <row r="323" spans="1:4" x14ac:dyDescent="0.45">
      <c r="A323">
        <f ca="1">dict_zul_Var_Meth[ID_Methods]</f>
        <v>522</v>
      </c>
      <c r="B323">
        <f ca="1">dict_zul_Var_Meth[ID_Variables]</f>
        <v>85</v>
      </c>
      <c r="C3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3" t="str">
        <f ca="1">IF(dict_zuord_Meth_Pos[[#This Row],[kval_active]],dict_zuord_Meth_Pos[[#This Row],[ID_Positions]],"")</f>
        <v/>
      </c>
    </row>
    <row r="324" spans="1:4" x14ac:dyDescent="0.45">
      <c r="A324">
        <f ca="1">dict_zul_Var_Meth[ID_Methods]</f>
        <v>234</v>
      </c>
      <c r="B324">
        <f ca="1">dict_zul_Var_Meth[ID_Variables]</f>
        <v>86</v>
      </c>
      <c r="C3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4" t="str">
        <f ca="1">IF(dict_zuord_Meth_Pos[[#This Row],[kval_active]],dict_zuord_Meth_Pos[[#This Row],[ID_Positions]],"")</f>
        <v/>
      </c>
    </row>
    <row r="325" spans="1:4" x14ac:dyDescent="0.45">
      <c r="A325">
        <f ca="1">dict_zul_Var_Meth[ID_Methods]</f>
        <v>233</v>
      </c>
      <c r="B325">
        <f ca="1">dict_zul_Var_Meth[ID_Variables]</f>
        <v>86</v>
      </c>
      <c r="C3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5" t="str">
        <f ca="1">IF(dict_zuord_Meth_Pos[[#This Row],[kval_active]],dict_zuord_Meth_Pos[[#This Row],[ID_Positions]],"")</f>
        <v/>
      </c>
    </row>
    <row r="326" spans="1:4" x14ac:dyDescent="0.45">
      <c r="A326">
        <f ca="1">dict_zul_Var_Meth[ID_Methods]</f>
        <v>13</v>
      </c>
      <c r="B326">
        <f ca="1">dict_zul_Var_Meth[ID_Variables]</f>
        <v>86</v>
      </c>
      <c r="C3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6" t="str">
        <f ca="1">IF(dict_zuord_Meth_Pos[[#This Row],[kval_active]],dict_zuord_Meth_Pos[[#This Row],[ID_Positions]],"")</f>
        <v/>
      </c>
    </row>
    <row r="327" spans="1:4" x14ac:dyDescent="0.45">
      <c r="A327">
        <f ca="1">dict_zul_Var_Meth[ID_Methods]</f>
        <v>623</v>
      </c>
      <c r="B327">
        <f ca="1">dict_zul_Var_Meth[ID_Variables]</f>
        <v>87</v>
      </c>
      <c r="C3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7" t="str">
        <f ca="1">IF(dict_zuord_Meth_Pos[[#This Row],[kval_active]],dict_zuord_Meth_Pos[[#This Row],[ID_Positions]],"")</f>
        <v/>
      </c>
    </row>
    <row r="328" spans="1:4" x14ac:dyDescent="0.45">
      <c r="A328">
        <f ca="1">dict_zul_Var_Meth[ID_Methods]</f>
        <v>681</v>
      </c>
      <c r="B328">
        <f ca="1">dict_zul_Var_Meth[ID_Variables]</f>
        <v>87</v>
      </c>
      <c r="C3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8" t="str">
        <f ca="1">IF(dict_zuord_Meth_Pos[[#This Row],[kval_active]],dict_zuord_Meth_Pos[[#This Row],[ID_Positions]],"")</f>
        <v/>
      </c>
    </row>
    <row r="329" spans="1:4" x14ac:dyDescent="0.45">
      <c r="A329">
        <f ca="1">dict_zul_Var_Meth[ID_Methods]</f>
        <v>620</v>
      </c>
      <c r="B329">
        <f ca="1">dict_zul_Var_Meth[ID_Variables]</f>
        <v>87</v>
      </c>
      <c r="C3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29" t="str">
        <f ca="1">IF(dict_zuord_Meth_Pos[[#This Row],[kval_active]],dict_zuord_Meth_Pos[[#This Row],[ID_Positions]],"")</f>
        <v/>
      </c>
    </row>
    <row r="330" spans="1:4" x14ac:dyDescent="0.45">
      <c r="A330">
        <f ca="1">dict_zul_Var_Meth[ID_Methods]</f>
        <v>113</v>
      </c>
      <c r="B330">
        <f ca="1">dict_zul_Var_Meth[ID_Variables]</f>
        <v>88</v>
      </c>
      <c r="C3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0" t="str">
        <f ca="1">IF(dict_zuord_Meth_Pos[[#This Row],[kval_active]],dict_zuord_Meth_Pos[[#This Row],[ID_Positions]],"")</f>
        <v/>
      </c>
    </row>
    <row r="331" spans="1:4" x14ac:dyDescent="0.45">
      <c r="A331">
        <f ca="1">dict_zul_Var_Meth[ID_Methods]</f>
        <v>560</v>
      </c>
      <c r="B331">
        <f ca="1">dict_zul_Var_Meth[ID_Variables]</f>
        <v>88</v>
      </c>
      <c r="C3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1" t="str">
        <f ca="1">IF(dict_zuord_Meth_Pos[[#This Row],[kval_active]],dict_zuord_Meth_Pos[[#This Row],[ID_Positions]],"")</f>
        <v/>
      </c>
    </row>
    <row r="332" spans="1:4" x14ac:dyDescent="0.45">
      <c r="A332">
        <f ca="1">dict_zul_Var_Meth[ID_Methods]</f>
        <v>335</v>
      </c>
      <c r="B332">
        <f ca="1">dict_zul_Var_Meth[ID_Variables]</f>
        <v>88</v>
      </c>
      <c r="C3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2" t="str">
        <f ca="1">IF(dict_zuord_Meth_Pos[[#This Row],[kval_active]],dict_zuord_Meth_Pos[[#This Row],[ID_Positions]],"")</f>
        <v/>
      </c>
    </row>
    <row r="333" spans="1:4" x14ac:dyDescent="0.45">
      <c r="A333">
        <f ca="1">dict_zul_Var_Meth[ID_Methods]</f>
        <v>638</v>
      </c>
      <c r="B333">
        <f ca="1">dict_zul_Var_Meth[ID_Variables]</f>
        <v>88</v>
      </c>
      <c r="C3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3" t="str">
        <f ca="1">IF(dict_zuord_Meth_Pos[[#This Row],[kval_active]],dict_zuord_Meth_Pos[[#This Row],[ID_Positions]],"")</f>
        <v/>
      </c>
    </row>
    <row r="334" spans="1:4" x14ac:dyDescent="0.45">
      <c r="A334">
        <f ca="1">dict_zul_Var_Meth[ID_Methods]</f>
        <v>68</v>
      </c>
      <c r="B334">
        <f ca="1">dict_zul_Var_Meth[ID_Variables]</f>
        <v>88</v>
      </c>
      <c r="C3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4" t="str">
        <f ca="1">IF(dict_zuord_Meth_Pos[[#This Row],[kval_active]],dict_zuord_Meth_Pos[[#This Row],[ID_Positions]],"")</f>
        <v/>
      </c>
    </row>
    <row r="335" spans="1:4" x14ac:dyDescent="0.45">
      <c r="A335">
        <f ca="1">dict_zul_Var_Meth[ID_Methods]</f>
        <v>570</v>
      </c>
      <c r="B335">
        <f ca="1">dict_zul_Var_Meth[ID_Variables]</f>
        <v>89</v>
      </c>
      <c r="C3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5" t="str">
        <f ca="1">IF(dict_zuord_Meth_Pos[[#This Row],[kval_active]],dict_zuord_Meth_Pos[[#This Row],[ID_Positions]],"")</f>
        <v/>
      </c>
    </row>
    <row r="336" spans="1:4" x14ac:dyDescent="0.45">
      <c r="A336">
        <f ca="1">dict_zul_Var_Meth[ID_Methods]</f>
        <v>184</v>
      </c>
      <c r="B336">
        <f ca="1">dict_zul_Var_Meth[ID_Variables]</f>
        <v>89</v>
      </c>
      <c r="C3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6" t="str">
        <f ca="1">IF(dict_zuord_Meth_Pos[[#This Row],[kval_active]],dict_zuord_Meth_Pos[[#This Row],[ID_Positions]],"")</f>
        <v/>
      </c>
    </row>
    <row r="337" spans="1:4" x14ac:dyDescent="0.45">
      <c r="A337">
        <f ca="1">dict_zul_Var_Meth[ID_Methods]</f>
        <v>168</v>
      </c>
      <c r="B337">
        <f ca="1">dict_zul_Var_Meth[ID_Variables]</f>
        <v>89</v>
      </c>
      <c r="C3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7" t="str">
        <f ca="1">IF(dict_zuord_Meth_Pos[[#This Row],[kval_active]],dict_zuord_Meth_Pos[[#This Row],[ID_Positions]],"")</f>
        <v/>
      </c>
    </row>
    <row r="338" spans="1:4" x14ac:dyDescent="0.45">
      <c r="A338">
        <f ca="1">dict_zul_Var_Meth[ID_Methods]</f>
        <v>177</v>
      </c>
      <c r="B338">
        <f ca="1">dict_zul_Var_Meth[ID_Variables]</f>
        <v>89</v>
      </c>
      <c r="C3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8" t="str">
        <f ca="1">IF(dict_zuord_Meth_Pos[[#This Row],[kval_active]],dict_zuord_Meth_Pos[[#This Row],[ID_Positions]],"")</f>
        <v/>
      </c>
    </row>
    <row r="339" spans="1:4" x14ac:dyDescent="0.45">
      <c r="A339">
        <f ca="1">dict_zul_Var_Meth[ID_Methods]</f>
        <v>182</v>
      </c>
      <c r="B339">
        <f ca="1">dict_zul_Var_Meth[ID_Variables]</f>
        <v>90</v>
      </c>
      <c r="C3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39" t="str">
        <f ca="1">IF(dict_zuord_Meth_Pos[[#This Row],[kval_active]],dict_zuord_Meth_Pos[[#This Row],[ID_Positions]],"")</f>
        <v/>
      </c>
    </row>
    <row r="340" spans="1:4" x14ac:dyDescent="0.45">
      <c r="A340">
        <f ca="1">dict_zul_Var_Meth[ID_Methods]</f>
        <v>544</v>
      </c>
      <c r="B340">
        <f ca="1">dict_zul_Var_Meth[ID_Variables]</f>
        <v>90</v>
      </c>
      <c r="C3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0" t="str">
        <f ca="1">IF(dict_zuord_Meth_Pos[[#This Row],[kval_active]],dict_zuord_Meth_Pos[[#This Row],[ID_Positions]],"")</f>
        <v/>
      </c>
    </row>
    <row r="341" spans="1:4" x14ac:dyDescent="0.45">
      <c r="A341">
        <f ca="1">dict_zul_Var_Meth[ID_Methods]</f>
        <v>37</v>
      </c>
      <c r="B341">
        <f ca="1">dict_zul_Var_Meth[ID_Variables]</f>
        <v>90</v>
      </c>
      <c r="C3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1" t="str">
        <f ca="1">IF(dict_zuord_Meth_Pos[[#This Row],[kval_active]],dict_zuord_Meth_Pos[[#This Row],[ID_Positions]],"")</f>
        <v/>
      </c>
    </row>
    <row r="342" spans="1:4" x14ac:dyDescent="0.45">
      <c r="A342">
        <f ca="1">dict_zul_Var_Meth[ID_Methods]</f>
        <v>150</v>
      </c>
      <c r="B342">
        <f ca="1">dict_zul_Var_Meth[ID_Variables]</f>
        <v>90</v>
      </c>
      <c r="C3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2" t="str">
        <f ca="1">IF(dict_zuord_Meth_Pos[[#This Row],[kval_active]],dict_zuord_Meth_Pos[[#This Row],[ID_Positions]],"")</f>
        <v/>
      </c>
    </row>
    <row r="343" spans="1:4" x14ac:dyDescent="0.45">
      <c r="A343">
        <f ca="1">dict_zul_Var_Meth[ID_Methods]</f>
        <v>206</v>
      </c>
      <c r="B343">
        <f ca="1">dict_zul_Var_Meth[ID_Variables]</f>
        <v>91</v>
      </c>
      <c r="C3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3" t="str">
        <f ca="1">IF(dict_zuord_Meth_Pos[[#This Row],[kval_active]],dict_zuord_Meth_Pos[[#This Row],[ID_Positions]],"")</f>
        <v/>
      </c>
    </row>
    <row r="344" spans="1:4" x14ac:dyDescent="0.45">
      <c r="A344">
        <f ca="1">dict_zul_Var_Meth[ID_Methods]</f>
        <v>3</v>
      </c>
      <c r="B344">
        <f ca="1">dict_zul_Var_Meth[ID_Variables]</f>
        <v>91</v>
      </c>
      <c r="C3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4" t="str">
        <f ca="1">IF(dict_zuord_Meth_Pos[[#This Row],[kval_active]],dict_zuord_Meth_Pos[[#This Row],[ID_Positions]],"")</f>
        <v/>
      </c>
    </row>
    <row r="345" spans="1:4" x14ac:dyDescent="0.45">
      <c r="A345">
        <f ca="1">dict_zul_Var_Meth[ID_Methods]</f>
        <v>476</v>
      </c>
      <c r="B345">
        <f ca="1">dict_zul_Var_Meth[ID_Variables]</f>
        <v>91</v>
      </c>
      <c r="C3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5" t="str">
        <f ca="1">IF(dict_zuord_Meth_Pos[[#This Row],[kval_active]],dict_zuord_Meth_Pos[[#This Row],[ID_Positions]],"")</f>
        <v/>
      </c>
    </row>
    <row r="346" spans="1:4" x14ac:dyDescent="0.45">
      <c r="A346">
        <f ca="1">dict_zul_Var_Meth[ID_Methods]</f>
        <v>528</v>
      </c>
      <c r="B346">
        <f ca="1">dict_zul_Var_Meth[ID_Variables]</f>
        <v>92</v>
      </c>
      <c r="C3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6" t="str">
        <f ca="1">IF(dict_zuord_Meth_Pos[[#This Row],[kval_active]],dict_zuord_Meth_Pos[[#This Row],[ID_Positions]],"")</f>
        <v/>
      </c>
    </row>
    <row r="347" spans="1:4" x14ac:dyDescent="0.45">
      <c r="A347">
        <f ca="1">dict_zul_Var_Meth[ID_Methods]</f>
        <v>351</v>
      </c>
      <c r="B347">
        <f ca="1">dict_zul_Var_Meth[ID_Variables]</f>
        <v>92</v>
      </c>
      <c r="C3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7" t="str">
        <f ca="1">IF(dict_zuord_Meth_Pos[[#This Row],[kval_active]],dict_zuord_Meth_Pos[[#This Row],[ID_Positions]],"")</f>
        <v/>
      </c>
    </row>
    <row r="348" spans="1:4" x14ac:dyDescent="0.45">
      <c r="A348">
        <f ca="1">dict_zul_Var_Meth[ID_Methods]</f>
        <v>20</v>
      </c>
      <c r="B348">
        <f ca="1">dict_zul_Var_Meth[ID_Variables]</f>
        <v>92</v>
      </c>
      <c r="C3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8" t="str">
        <f ca="1">IF(dict_zuord_Meth_Pos[[#This Row],[kval_active]],dict_zuord_Meth_Pos[[#This Row],[ID_Positions]],"")</f>
        <v/>
      </c>
    </row>
    <row r="349" spans="1:4" x14ac:dyDescent="0.45">
      <c r="A349">
        <f ca="1">dict_zul_Var_Meth[ID_Methods]</f>
        <v>52</v>
      </c>
      <c r="B349">
        <f ca="1">dict_zul_Var_Meth[ID_Variables]</f>
        <v>93</v>
      </c>
      <c r="C3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49" t="str">
        <f ca="1">IF(dict_zuord_Meth_Pos[[#This Row],[kval_active]],dict_zuord_Meth_Pos[[#This Row],[ID_Positions]],"")</f>
        <v/>
      </c>
    </row>
    <row r="350" spans="1:4" x14ac:dyDescent="0.45">
      <c r="A350">
        <f ca="1">dict_zul_Var_Meth[ID_Methods]</f>
        <v>25</v>
      </c>
      <c r="B350">
        <f ca="1">dict_zul_Var_Meth[ID_Variables]</f>
        <v>93</v>
      </c>
      <c r="C3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0" t="str">
        <f ca="1">IF(dict_zuord_Meth_Pos[[#This Row],[kval_active]],dict_zuord_Meth_Pos[[#This Row],[ID_Positions]],"")</f>
        <v/>
      </c>
    </row>
    <row r="351" spans="1:4" x14ac:dyDescent="0.45">
      <c r="A351">
        <f ca="1">dict_zul_Var_Meth[ID_Methods]</f>
        <v>221</v>
      </c>
      <c r="B351">
        <f ca="1">dict_zul_Var_Meth[ID_Variables]</f>
        <v>93</v>
      </c>
      <c r="C3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1" t="str">
        <f ca="1">IF(dict_zuord_Meth_Pos[[#This Row],[kval_active]],dict_zuord_Meth_Pos[[#This Row],[ID_Positions]],"")</f>
        <v/>
      </c>
    </row>
    <row r="352" spans="1:4" x14ac:dyDescent="0.45">
      <c r="A352">
        <f ca="1">dict_zul_Var_Meth[ID_Methods]</f>
        <v>290</v>
      </c>
      <c r="B352">
        <f ca="1">dict_zul_Var_Meth[ID_Variables]</f>
        <v>93</v>
      </c>
      <c r="C3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2" t="str">
        <f ca="1">IF(dict_zuord_Meth_Pos[[#This Row],[kval_active]],dict_zuord_Meth_Pos[[#This Row],[ID_Positions]],"")</f>
        <v/>
      </c>
    </row>
    <row r="353" spans="1:4" x14ac:dyDescent="0.45">
      <c r="A353">
        <f ca="1">dict_zul_Var_Meth[ID_Methods]</f>
        <v>377</v>
      </c>
      <c r="B353">
        <f ca="1">dict_zul_Var_Meth[ID_Variables]</f>
        <v>93</v>
      </c>
      <c r="C3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3" t="str">
        <f ca="1">IF(dict_zuord_Meth_Pos[[#This Row],[kval_active]],dict_zuord_Meth_Pos[[#This Row],[ID_Positions]],"")</f>
        <v/>
      </c>
    </row>
    <row r="354" spans="1:4" x14ac:dyDescent="0.45">
      <c r="A354">
        <f ca="1">dict_zul_Var_Meth[ID_Methods]</f>
        <v>41</v>
      </c>
      <c r="B354">
        <f ca="1">dict_zul_Var_Meth[ID_Variables]</f>
        <v>94</v>
      </c>
      <c r="C3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4" t="str">
        <f ca="1">IF(dict_zuord_Meth_Pos[[#This Row],[kval_active]],dict_zuord_Meth_Pos[[#This Row],[ID_Positions]],"")</f>
        <v/>
      </c>
    </row>
    <row r="355" spans="1:4" x14ac:dyDescent="0.45">
      <c r="A355">
        <f ca="1">dict_zul_Var_Meth[ID_Methods]</f>
        <v>598</v>
      </c>
      <c r="B355">
        <f ca="1">dict_zul_Var_Meth[ID_Variables]</f>
        <v>94</v>
      </c>
      <c r="C3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5" t="str">
        <f ca="1">IF(dict_zuord_Meth_Pos[[#This Row],[kval_active]],dict_zuord_Meth_Pos[[#This Row],[ID_Positions]],"")</f>
        <v/>
      </c>
    </row>
    <row r="356" spans="1:4" x14ac:dyDescent="0.45">
      <c r="A356">
        <f ca="1">dict_zul_Var_Meth[ID_Methods]</f>
        <v>293</v>
      </c>
      <c r="B356">
        <f ca="1">dict_zul_Var_Meth[ID_Variables]</f>
        <v>94</v>
      </c>
      <c r="C3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6" t="str">
        <f ca="1">IF(dict_zuord_Meth_Pos[[#This Row],[kval_active]],dict_zuord_Meth_Pos[[#This Row],[ID_Positions]],"")</f>
        <v/>
      </c>
    </row>
    <row r="357" spans="1:4" x14ac:dyDescent="0.45">
      <c r="A357">
        <f ca="1">dict_zul_Var_Meth[ID_Methods]</f>
        <v>218</v>
      </c>
      <c r="B357">
        <f ca="1">dict_zul_Var_Meth[ID_Variables]</f>
        <v>95</v>
      </c>
      <c r="C3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7" t="str">
        <f ca="1">IF(dict_zuord_Meth_Pos[[#This Row],[kval_active]],dict_zuord_Meth_Pos[[#This Row],[ID_Positions]],"")</f>
        <v/>
      </c>
    </row>
    <row r="358" spans="1:4" x14ac:dyDescent="0.45">
      <c r="A358">
        <f ca="1">dict_zul_Var_Meth[ID_Methods]</f>
        <v>565</v>
      </c>
      <c r="B358">
        <f ca="1">dict_zul_Var_Meth[ID_Variables]</f>
        <v>95</v>
      </c>
      <c r="C3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8" t="str">
        <f ca="1">IF(dict_zuord_Meth_Pos[[#This Row],[kval_active]],dict_zuord_Meth_Pos[[#This Row],[ID_Positions]],"")</f>
        <v/>
      </c>
    </row>
    <row r="359" spans="1:4" x14ac:dyDescent="0.45">
      <c r="A359">
        <f ca="1">dict_zul_Var_Meth[ID_Methods]</f>
        <v>97</v>
      </c>
      <c r="B359">
        <f ca="1">dict_zul_Var_Meth[ID_Variables]</f>
        <v>95</v>
      </c>
      <c r="C3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59" t="str">
        <f ca="1">IF(dict_zuord_Meth_Pos[[#This Row],[kval_active]],dict_zuord_Meth_Pos[[#This Row],[ID_Positions]],"")</f>
        <v/>
      </c>
    </row>
    <row r="360" spans="1:4" x14ac:dyDescent="0.45">
      <c r="A360">
        <f ca="1">dict_zul_Var_Meth[ID_Methods]</f>
        <v>183</v>
      </c>
      <c r="B360">
        <f ca="1">dict_zul_Var_Meth[ID_Variables]</f>
        <v>95</v>
      </c>
      <c r="C3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0" t="str">
        <f ca="1">IF(dict_zuord_Meth_Pos[[#This Row],[kval_active]],dict_zuord_Meth_Pos[[#This Row],[ID_Positions]],"")</f>
        <v/>
      </c>
    </row>
    <row r="361" spans="1:4" x14ac:dyDescent="0.45">
      <c r="A361">
        <f ca="1">dict_zul_Var_Meth[ID_Methods]</f>
        <v>432</v>
      </c>
      <c r="B361">
        <f ca="1">dict_zul_Var_Meth[ID_Variables]</f>
        <v>96</v>
      </c>
      <c r="C3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1" t="str">
        <f ca="1">IF(dict_zuord_Meth_Pos[[#This Row],[kval_active]],dict_zuord_Meth_Pos[[#This Row],[ID_Positions]],"")</f>
        <v/>
      </c>
    </row>
    <row r="362" spans="1:4" x14ac:dyDescent="0.45">
      <c r="A362">
        <f ca="1">dict_zul_Var_Meth[ID_Methods]</f>
        <v>520</v>
      </c>
      <c r="B362">
        <f ca="1">dict_zul_Var_Meth[ID_Variables]</f>
        <v>96</v>
      </c>
      <c r="C3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2" t="str">
        <f ca="1">IF(dict_zuord_Meth_Pos[[#This Row],[kval_active]],dict_zuord_Meth_Pos[[#This Row],[ID_Positions]],"")</f>
        <v/>
      </c>
    </row>
    <row r="363" spans="1:4" x14ac:dyDescent="0.45">
      <c r="A363">
        <f ca="1">dict_zul_Var_Meth[ID_Methods]</f>
        <v>301</v>
      </c>
      <c r="B363">
        <f ca="1">dict_zul_Var_Meth[ID_Variables]</f>
        <v>96</v>
      </c>
      <c r="C3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3" t="str">
        <f ca="1">IF(dict_zuord_Meth_Pos[[#This Row],[kval_active]],dict_zuord_Meth_Pos[[#This Row],[ID_Positions]],"")</f>
        <v/>
      </c>
    </row>
    <row r="364" spans="1:4" x14ac:dyDescent="0.45">
      <c r="A364">
        <f ca="1">dict_zul_Var_Meth[ID_Methods]</f>
        <v>414</v>
      </c>
      <c r="B364">
        <f ca="1">dict_zul_Var_Meth[ID_Variables]</f>
        <v>96</v>
      </c>
      <c r="C3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4" t="str">
        <f ca="1">IF(dict_zuord_Meth_Pos[[#This Row],[kval_active]],dict_zuord_Meth_Pos[[#This Row],[ID_Positions]],"")</f>
        <v/>
      </c>
    </row>
    <row r="365" spans="1:4" x14ac:dyDescent="0.45">
      <c r="A365">
        <f ca="1">dict_zul_Var_Meth[ID_Methods]</f>
        <v>248</v>
      </c>
      <c r="B365">
        <f ca="1">dict_zul_Var_Meth[ID_Variables]</f>
        <v>97</v>
      </c>
      <c r="C3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5" t="str">
        <f ca="1">IF(dict_zuord_Meth_Pos[[#This Row],[kval_active]],dict_zuord_Meth_Pos[[#This Row],[ID_Positions]],"")</f>
        <v/>
      </c>
    </row>
    <row r="366" spans="1:4" x14ac:dyDescent="0.45">
      <c r="A366">
        <f ca="1">dict_zul_Var_Meth[ID_Methods]</f>
        <v>408</v>
      </c>
      <c r="B366">
        <f ca="1">dict_zul_Var_Meth[ID_Variables]</f>
        <v>97</v>
      </c>
      <c r="C3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6" t="str">
        <f ca="1">IF(dict_zuord_Meth_Pos[[#This Row],[kval_active]],dict_zuord_Meth_Pos[[#This Row],[ID_Positions]],"")</f>
        <v/>
      </c>
    </row>
    <row r="367" spans="1:4" x14ac:dyDescent="0.45">
      <c r="A367">
        <f ca="1">dict_zul_Var_Meth[ID_Methods]</f>
        <v>533</v>
      </c>
      <c r="B367">
        <f ca="1">dict_zul_Var_Meth[ID_Variables]</f>
        <v>97</v>
      </c>
      <c r="C3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7" t="str">
        <f ca="1">IF(dict_zuord_Meth_Pos[[#This Row],[kval_active]],dict_zuord_Meth_Pos[[#This Row],[ID_Positions]],"")</f>
        <v/>
      </c>
    </row>
    <row r="368" spans="1:4" x14ac:dyDescent="0.45">
      <c r="A368">
        <f ca="1">dict_zul_Var_Meth[ID_Methods]</f>
        <v>128</v>
      </c>
      <c r="B368">
        <f ca="1">dict_zul_Var_Meth[ID_Variables]</f>
        <v>98</v>
      </c>
      <c r="C3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8" t="str">
        <f ca="1">IF(dict_zuord_Meth_Pos[[#This Row],[kval_active]],dict_zuord_Meth_Pos[[#This Row],[ID_Positions]],"")</f>
        <v/>
      </c>
    </row>
    <row r="369" spans="1:4" x14ac:dyDescent="0.45">
      <c r="A369">
        <f ca="1">dict_zul_Var_Meth[ID_Methods]</f>
        <v>66</v>
      </c>
      <c r="B369">
        <f ca="1">dict_zul_Var_Meth[ID_Variables]</f>
        <v>98</v>
      </c>
      <c r="C3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69" t="str">
        <f ca="1">IF(dict_zuord_Meth_Pos[[#This Row],[kval_active]],dict_zuord_Meth_Pos[[#This Row],[ID_Positions]],"")</f>
        <v/>
      </c>
    </row>
    <row r="370" spans="1:4" x14ac:dyDescent="0.45">
      <c r="A370">
        <f ca="1">dict_zul_Var_Meth[ID_Methods]</f>
        <v>110</v>
      </c>
      <c r="B370">
        <f ca="1">dict_zul_Var_Meth[ID_Variables]</f>
        <v>98</v>
      </c>
      <c r="C3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0" t="str">
        <f ca="1">IF(dict_zuord_Meth_Pos[[#This Row],[kval_active]],dict_zuord_Meth_Pos[[#This Row],[ID_Positions]],"")</f>
        <v/>
      </c>
    </row>
    <row r="371" spans="1:4" x14ac:dyDescent="0.45">
      <c r="A371">
        <f ca="1">dict_zul_Var_Meth[ID_Methods]</f>
        <v>665</v>
      </c>
      <c r="B371">
        <f ca="1">dict_zul_Var_Meth[ID_Variables]</f>
        <v>98</v>
      </c>
      <c r="C3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1" t="str">
        <f ca="1">IF(dict_zuord_Meth_Pos[[#This Row],[kval_active]],dict_zuord_Meth_Pos[[#This Row],[ID_Positions]],"")</f>
        <v/>
      </c>
    </row>
    <row r="372" spans="1:4" x14ac:dyDescent="0.45">
      <c r="A372">
        <f ca="1">dict_zul_Var_Meth[ID_Methods]</f>
        <v>112</v>
      </c>
      <c r="B372">
        <f ca="1">dict_zul_Var_Meth[ID_Variables]</f>
        <v>98</v>
      </c>
      <c r="C3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2" t="str">
        <f ca="1">IF(dict_zuord_Meth_Pos[[#This Row],[kval_active]],dict_zuord_Meth_Pos[[#This Row],[ID_Positions]],"")</f>
        <v/>
      </c>
    </row>
    <row r="373" spans="1:4" x14ac:dyDescent="0.45">
      <c r="A373">
        <f ca="1">dict_zul_Var_Meth[ID_Methods]</f>
        <v>605</v>
      </c>
      <c r="B373">
        <f ca="1">dict_zul_Var_Meth[ID_Variables]</f>
        <v>99</v>
      </c>
      <c r="C3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3" t="str">
        <f ca="1">IF(dict_zuord_Meth_Pos[[#This Row],[kval_active]],dict_zuord_Meth_Pos[[#This Row],[ID_Positions]],"")</f>
        <v/>
      </c>
    </row>
    <row r="374" spans="1:4" x14ac:dyDescent="0.45">
      <c r="A374">
        <f ca="1">dict_zul_Var_Meth[ID_Methods]</f>
        <v>691</v>
      </c>
      <c r="B374">
        <f ca="1">dict_zul_Var_Meth[ID_Variables]</f>
        <v>99</v>
      </c>
      <c r="C3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4" t="str">
        <f ca="1">IF(dict_zuord_Meth_Pos[[#This Row],[kval_active]],dict_zuord_Meth_Pos[[#This Row],[ID_Positions]],"")</f>
        <v/>
      </c>
    </row>
    <row r="375" spans="1:4" x14ac:dyDescent="0.45">
      <c r="A375">
        <f ca="1">dict_zul_Var_Meth[ID_Methods]</f>
        <v>22</v>
      </c>
      <c r="B375">
        <f ca="1">dict_zul_Var_Meth[ID_Variables]</f>
        <v>100</v>
      </c>
      <c r="C3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5" t="str">
        <f ca="1">IF(dict_zuord_Meth_Pos[[#This Row],[kval_active]],dict_zuord_Meth_Pos[[#This Row],[ID_Positions]],"")</f>
        <v/>
      </c>
    </row>
    <row r="376" spans="1:4" x14ac:dyDescent="0.45">
      <c r="A376">
        <f ca="1">dict_zul_Var_Meth[ID_Methods]</f>
        <v>447</v>
      </c>
      <c r="B376">
        <f ca="1">dict_zul_Var_Meth[ID_Variables]</f>
        <v>100</v>
      </c>
      <c r="C3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6" t="str">
        <f ca="1">IF(dict_zuord_Meth_Pos[[#This Row],[kval_active]],dict_zuord_Meth_Pos[[#This Row],[ID_Positions]],"")</f>
        <v/>
      </c>
    </row>
    <row r="377" spans="1:4" x14ac:dyDescent="0.45">
      <c r="A377">
        <f ca="1">dict_zul_Var_Meth[ID_Methods]</f>
        <v>305</v>
      </c>
      <c r="B377">
        <f ca="1">dict_zul_Var_Meth[ID_Variables]</f>
        <v>100</v>
      </c>
      <c r="C3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7" t="str">
        <f ca="1">IF(dict_zuord_Meth_Pos[[#This Row],[kval_active]],dict_zuord_Meth_Pos[[#This Row],[ID_Positions]],"")</f>
        <v/>
      </c>
    </row>
    <row r="378" spans="1:4" x14ac:dyDescent="0.45">
      <c r="A378">
        <f ca="1">dict_zul_Var_Meth[ID_Methods]</f>
        <v>610</v>
      </c>
      <c r="B378">
        <f ca="1">dict_zul_Var_Meth[ID_Variables]</f>
        <v>100</v>
      </c>
      <c r="C3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8" t="str">
        <f ca="1">IF(dict_zuord_Meth_Pos[[#This Row],[kval_active]],dict_zuord_Meth_Pos[[#This Row],[ID_Positions]],"")</f>
        <v/>
      </c>
    </row>
    <row r="379" spans="1:4" x14ac:dyDescent="0.45">
      <c r="A379">
        <f ca="1">dict_zul_Var_Meth[ID_Methods]</f>
        <v>289</v>
      </c>
      <c r="B379">
        <f ca="1">dict_zul_Var_Meth[ID_Variables]</f>
        <v>101</v>
      </c>
      <c r="C3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79" t="str">
        <f ca="1">IF(dict_zuord_Meth_Pos[[#This Row],[kval_active]],dict_zuord_Meth_Pos[[#This Row],[ID_Positions]],"")</f>
        <v/>
      </c>
    </row>
    <row r="380" spans="1:4" x14ac:dyDescent="0.45">
      <c r="A380">
        <f ca="1">dict_zul_Var_Meth[ID_Methods]</f>
        <v>194</v>
      </c>
      <c r="B380">
        <f ca="1">dict_zul_Var_Meth[ID_Variables]</f>
        <v>101</v>
      </c>
      <c r="C3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0" t="str">
        <f ca="1">IF(dict_zuord_Meth_Pos[[#This Row],[kval_active]],dict_zuord_Meth_Pos[[#This Row],[ID_Positions]],"")</f>
        <v/>
      </c>
    </row>
    <row r="381" spans="1:4" x14ac:dyDescent="0.45">
      <c r="A381">
        <f ca="1">dict_zul_Var_Meth[ID_Methods]</f>
        <v>644</v>
      </c>
      <c r="B381">
        <f ca="1">dict_zul_Var_Meth[ID_Variables]</f>
        <v>101</v>
      </c>
      <c r="C3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1" t="str">
        <f ca="1">IF(dict_zuord_Meth_Pos[[#This Row],[kval_active]],dict_zuord_Meth_Pos[[#This Row],[ID_Positions]],"")</f>
        <v/>
      </c>
    </row>
    <row r="382" spans="1:4" x14ac:dyDescent="0.45">
      <c r="A382">
        <f ca="1">dict_zul_Var_Meth[ID_Methods]</f>
        <v>589</v>
      </c>
      <c r="B382">
        <f ca="1">dict_zul_Var_Meth[ID_Variables]</f>
        <v>101</v>
      </c>
      <c r="C3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2" t="str">
        <f ca="1">IF(dict_zuord_Meth_Pos[[#This Row],[kval_active]],dict_zuord_Meth_Pos[[#This Row],[ID_Positions]],"")</f>
        <v/>
      </c>
    </row>
    <row r="383" spans="1:4" x14ac:dyDescent="0.45">
      <c r="A383">
        <f ca="1">dict_zul_Var_Meth[ID_Methods]</f>
        <v>240</v>
      </c>
      <c r="B383">
        <f ca="1">dict_zul_Var_Meth[ID_Variables]</f>
        <v>102</v>
      </c>
      <c r="C3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3" t="str">
        <f ca="1">IF(dict_zuord_Meth_Pos[[#This Row],[kval_active]],dict_zuord_Meth_Pos[[#This Row],[ID_Positions]],"")</f>
        <v/>
      </c>
    </row>
    <row r="384" spans="1:4" x14ac:dyDescent="0.45">
      <c r="A384">
        <f ca="1">dict_zul_Var_Meth[ID_Methods]</f>
        <v>600</v>
      </c>
      <c r="B384">
        <f ca="1">dict_zul_Var_Meth[ID_Variables]</f>
        <v>102</v>
      </c>
      <c r="C3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4" t="str">
        <f ca="1">IF(dict_zuord_Meth_Pos[[#This Row],[kval_active]],dict_zuord_Meth_Pos[[#This Row],[ID_Positions]],"")</f>
        <v/>
      </c>
    </row>
    <row r="385" spans="1:4" x14ac:dyDescent="0.45">
      <c r="A385">
        <f ca="1">dict_zul_Var_Meth[ID_Methods]</f>
        <v>407</v>
      </c>
      <c r="B385">
        <f ca="1">dict_zul_Var_Meth[ID_Variables]</f>
        <v>102</v>
      </c>
      <c r="C3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5" t="str">
        <f ca="1">IF(dict_zuord_Meth_Pos[[#This Row],[kval_active]],dict_zuord_Meth_Pos[[#This Row],[ID_Positions]],"")</f>
        <v/>
      </c>
    </row>
    <row r="386" spans="1:4" x14ac:dyDescent="0.45">
      <c r="A386">
        <f ca="1">dict_zul_Var_Meth[ID_Methods]</f>
        <v>298</v>
      </c>
      <c r="B386">
        <f ca="1">dict_zul_Var_Meth[ID_Variables]</f>
        <v>102</v>
      </c>
      <c r="C3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6" t="str">
        <f ca="1">IF(dict_zuord_Meth_Pos[[#This Row],[kval_active]],dict_zuord_Meth_Pos[[#This Row],[ID_Positions]],"")</f>
        <v/>
      </c>
    </row>
    <row r="387" spans="1:4" x14ac:dyDescent="0.45">
      <c r="A387">
        <f ca="1">dict_zul_Var_Meth[ID_Methods]</f>
        <v>367</v>
      </c>
      <c r="B387">
        <f ca="1">dict_zul_Var_Meth[ID_Variables]</f>
        <v>103</v>
      </c>
      <c r="C3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7" t="str">
        <f ca="1">IF(dict_zuord_Meth_Pos[[#This Row],[kval_active]],dict_zuord_Meth_Pos[[#This Row],[ID_Positions]],"")</f>
        <v/>
      </c>
    </row>
    <row r="388" spans="1:4" x14ac:dyDescent="0.45">
      <c r="A388">
        <f ca="1">dict_zul_Var_Meth[ID_Methods]</f>
        <v>485</v>
      </c>
      <c r="B388">
        <f ca="1">dict_zul_Var_Meth[ID_Variables]</f>
        <v>103</v>
      </c>
      <c r="C3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8" t="str">
        <f ca="1">IF(dict_zuord_Meth_Pos[[#This Row],[kval_active]],dict_zuord_Meth_Pos[[#This Row],[ID_Positions]],"")</f>
        <v/>
      </c>
    </row>
    <row r="389" spans="1:4" x14ac:dyDescent="0.45">
      <c r="A389">
        <f ca="1">dict_zul_Var_Meth[ID_Methods]</f>
        <v>94</v>
      </c>
      <c r="B389">
        <f ca="1">dict_zul_Var_Meth[ID_Variables]</f>
        <v>103</v>
      </c>
      <c r="C3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89" t="str">
        <f ca="1">IF(dict_zuord_Meth_Pos[[#This Row],[kval_active]],dict_zuord_Meth_Pos[[#This Row],[ID_Positions]],"")</f>
        <v/>
      </c>
    </row>
    <row r="390" spans="1:4" x14ac:dyDescent="0.45">
      <c r="A390">
        <f ca="1">dict_zul_Var_Meth[ID_Methods]</f>
        <v>699</v>
      </c>
      <c r="B390">
        <f ca="1">dict_zul_Var_Meth[ID_Variables]</f>
        <v>103</v>
      </c>
      <c r="C3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0" t="str">
        <f ca="1">IF(dict_zuord_Meth_Pos[[#This Row],[kval_active]],dict_zuord_Meth_Pos[[#This Row],[ID_Positions]],"")</f>
        <v/>
      </c>
    </row>
    <row r="391" spans="1:4" x14ac:dyDescent="0.45">
      <c r="A391">
        <f ca="1">dict_zul_Var_Meth[ID_Methods]</f>
        <v>624</v>
      </c>
      <c r="B391">
        <f ca="1">dict_zul_Var_Meth[ID_Variables]</f>
        <v>104</v>
      </c>
      <c r="C3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1" t="str">
        <f ca="1">IF(dict_zuord_Meth_Pos[[#This Row],[kval_active]],dict_zuord_Meth_Pos[[#This Row],[ID_Positions]],"")</f>
        <v/>
      </c>
    </row>
    <row r="392" spans="1:4" x14ac:dyDescent="0.45">
      <c r="A392">
        <f ca="1">dict_zul_Var_Meth[ID_Methods]</f>
        <v>559</v>
      </c>
      <c r="B392">
        <f ca="1">dict_zul_Var_Meth[ID_Variables]</f>
        <v>104</v>
      </c>
      <c r="C3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2" t="str">
        <f ca="1">IF(dict_zuord_Meth_Pos[[#This Row],[kval_active]],dict_zuord_Meth_Pos[[#This Row],[ID_Positions]],"")</f>
        <v/>
      </c>
    </row>
    <row r="393" spans="1:4" x14ac:dyDescent="0.45">
      <c r="A393">
        <f ca="1">dict_zul_Var_Meth[ID_Methods]</f>
        <v>508</v>
      </c>
      <c r="B393">
        <f ca="1">dict_zul_Var_Meth[ID_Variables]</f>
        <v>105</v>
      </c>
      <c r="C3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3" t="str">
        <f ca="1">IF(dict_zuord_Meth_Pos[[#This Row],[kval_active]],dict_zuord_Meth_Pos[[#This Row],[ID_Positions]],"")</f>
        <v/>
      </c>
    </row>
    <row r="394" spans="1:4" x14ac:dyDescent="0.45">
      <c r="A394">
        <f ca="1">dict_zul_Var_Meth[ID_Methods]</f>
        <v>462</v>
      </c>
      <c r="B394">
        <f ca="1">dict_zul_Var_Meth[ID_Variables]</f>
        <v>105</v>
      </c>
      <c r="C3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4" t="str">
        <f ca="1">IF(dict_zuord_Meth_Pos[[#This Row],[kval_active]],dict_zuord_Meth_Pos[[#This Row],[ID_Positions]],"")</f>
        <v/>
      </c>
    </row>
    <row r="395" spans="1:4" x14ac:dyDescent="0.45">
      <c r="A395">
        <f ca="1">dict_zul_Var_Meth[ID_Methods]</f>
        <v>50</v>
      </c>
      <c r="B395">
        <f ca="1">dict_zul_Var_Meth[ID_Variables]</f>
        <v>105</v>
      </c>
      <c r="C3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5" t="str">
        <f ca="1">IF(dict_zuord_Meth_Pos[[#This Row],[kval_active]],dict_zuord_Meth_Pos[[#This Row],[ID_Positions]],"")</f>
        <v/>
      </c>
    </row>
    <row r="396" spans="1:4" x14ac:dyDescent="0.45">
      <c r="A396">
        <f ca="1">dict_zul_Var_Meth[ID_Methods]</f>
        <v>212</v>
      </c>
      <c r="B396">
        <f ca="1">dict_zul_Var_Meth[ID_Variables]</f>
        <v>105</v>
      </c>
      <c r="C3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6" t="str">
        <f ca="1">IF(dict_zuord_Meth_Pos[[#This Row],[kval_active]],dict_zuord_Meth_Pos[[#This Row],[ID_Positions]],"")</f>
        <v/>
      </c>
    </row>
    <row r="397" spans="1:4" x14ac:dyDescent="0.45">
      <c r="A397">
        <f ca="1">dict_zul_Var_Meth[ID_Methods]</f>
        <v>181</v>
      </c>
      <c r="B397">
        <f ca="1">dict_zul_Var_Meth[ID_Variables]</f>
        <v>105</v>
      </c>
      <c r="C3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7" t="str">
        <f ca="1">IF(dict_zuord_Meth_Pos[[#This Row],[kval_active]],dict_zuord_Meth_Pos[[#This Row],[ID_Positions]],"")</f>
        <v/>
      </c>
    </row>
    <row r="398" spans="1:4" x14ac:dyDescent="0.45">
      <c r="A398">
        <f ca="1">dict_zul_Var_Meth[ID_Methods]</f>
        <v>51</v>
      </c>
      <c r="B398">
        <f ca="1">dict_zul_Var_Meth[ID_Variables]</f>
        <v>105</v>
      </c>
      <c r="C3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8" t="str">
        <f ca="1">IF(dict_zuord_Meth_Pos[[#This Row],[kval_active]],dict_zuord_Meth_Pos[[#This Row],[ID_Positions]],"")</f>
        <v/>
      </c>
    </row>
    <row r="399" spans="1:4" x14ac:dyDescent="0.45">
      <c r="A399">
        <f ca="1">dict_zul_Var_Meth[ID_Methods]</f>
        <v>359</v>
      </c>
      <c r="B399">
        <f ca="1">dict_zul_Var_Meth[ID_Variables]</f>
        <v>106</v>
      </c>
      <c r="C3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399" t="str">
        <f ca="1">IF(dict_zuord_Meth_Pos[[#This Row],[kval_active]],dict_zuord_Meth_Pos[[#This Row],[ID_Positions]],"")</f>
        <v/>
      </c>
    </row>
    <row r="400" spans="1:4" x14ac:dyDescent="0.45">
      <c r="A400">
        <f ca="1">dict_zul_Var_Meth[ID_Methods]</f>
        <v>418</v>
      </c>
      <c r="B400">
        <f ca="1">dict_zul_Var_Meth[ID_Variables]</f>
        <v>106</v>
      </c>
      <c r="C4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0" t="str">
        <f ca="1">IF(dict_zuord_Meth_Pos[[#This Row],[kval_active]],dict_zuord_Meth_Pos[[#This Row],[ID_Positions]],"")</f>
        <v/>
      </c>
    </row>
    <row r="401" spans="1:4" x14ac:dyDescent="0.45">
      <c r="A401">
        <f ca="1">dict_zul_Var_Meth[ID_Methods]</f>
        <v>132</v>
      </c>
      <c r="B401">
        <f ca="1">dict_zul_Var_Meth[ID_Variables]</f>
        <v>106</v>
      </c>
      <c r="C4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1" t="str">
        <f ca="1">IF(dict_zuord_Meth_Pos[[#This Row],[kval_active]],dict_zuord_Meth_Pos[[#This Row],[ID_Positions]],"")</f>
        <v/>
      </c>
    </row>
    <row r="402" spans="1:4" x14ac:dyDescent="0.45">
      <c r="A402">
        <f ca="1">dict_zul_Var_Meth[ID_Methods]</f>
        <v>496</v>
      </c>
      <c r="B402">
        <f ca="1">dict_zul_Var_Meth[ID_Variables]</f>
        <v>107</v>
      </c>
      <c r="C4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2" t="str">
        <f ca="1">IF(dict_zuord_Meth_Pos[[#This Row],[kval_active]],dict_zuord_Meth_Pos[[#This Row],[ID_Positions]],"")</f>
        <v/>
      </c>
    </row>
    <row r="403" spans="1:4" x14ac:dyDescent="0.45">
      <c r="A403">
        <f ca="1">dict_zul_Var_Meth[ID_Methods]</f>
        <v>411</v>
      </c>
      <c r="B403">
        <f ca="1">dict_zul_Var_Meth[ID_Variables]</f>
        <v>107</v>
      </c>
      <c r="C4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3" t="str">
        <f ca="1">IF(dict_zuord_Meth_Pos[[#This Row],[kval_active]],dict_zuord_Meth_Pos[[#This Row],[ID_Positions]],"")</f>
        <v/>
      </c>
    </row>
    <row r="404" spans="1:4" x14ac:dyDescent="0.45">
      <c r="A404">
        <f ca="1">dict_zul_Var_Meth[ID_Methods]</f>
        <v>291</v>
      </c>
      <c r="B404">
        <f ca="1">dict_zul_Var_Meth[ID_Variables]</f>
        <v>107</v>
      </c>
      <c r="C4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4" t="str">
        <f ca="1">IF(dict_zuord_Meth_Pos[[#This Row],[kval_active]],dict_zuord_Meth_Pos[[#This Row],[ID_Positions]],"")</f>
        <v/>
      </c>
    </row>
    <row r="405" spans="1:4" x14ac:dyDescent="0.45">
      <c r="A405">
        <f ca="1">dict_zul_Var_Meth[ID_Methods]</f>
        <v>180</v>
      </c>
      <c r="B405">
        <f ca="1">dict_zul_Var_Meth[ID_Variables]</f>
        <v>108</v>
      </c>
      <c r="C4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5" t="str">
        <f ca="1">IF(dict_zuord_Meth_Pos[[#This Row],[kval_active]],dict_zuord_Meth_Pos[[#This Row],[ID_Positions]],"")</f>
        <v/>
      </c>
    </row>
    <row r="406" spans="1:4" x14ac:dyDescent="0.45">
      <c r="A406">
        <f ca="1">dict_zul_Var_Meth[ID_Methods]</f>
        <v>495</v>
      </c>
      <c r="B406">
        <f ca="1">dict_zul_Var_Meth[ID_Variables]</f>
        <v>108</v>
      </c>
      <c r="C4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6" t="str">
        <f ca="1">IF(dict_zuord_Meth_Pos[[#This Row],[kval_active]],dict_zuord_Meth_Pos[[#This Row],[ID_Positions]],"")</f>
        <v/>
      </c>
    </row>
    <row r="407" spans="1:4" x14ac:dyDescent="0.45">
      <c r="A407">
        <f ca="1">dict_zul_Var_Meth[ID_Methods]</f>
        <v>574</v>
      </c>
      <c r="B407">
        <f ca="1">dict_zul_Var_Meth[ID_Variables]</f>
        <v>108</v>
      </c>
      <c r="C4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7" t="str">
        <f ca="1">IF(dict_zuord_Meth_Pos[[#This Row],[kval_active]],dict_zuord_Meth_Pos[[#This Row],[ID_Positions]],"")</f>
        <v/>
      </c>
    </row>
    <row r="408" spans="1:4" x14ac:dyDescent="0.45">
      <c r="A408">
        <f ca="1">dict_zul_Var_Meth[ID_Methods]</f>
        <v>30</v>
      </c>
      <c r="B408">
        <f ca="1">dict_zul_Var_Meth[ID_Variables]</f>
        <v>109</v>
      </c>
      <c r="C4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8" t="str">
        <f ca="1">IF(dict_zuord_Meth_Pos[[#This Row],[kval_active]],dict_zuord_Meth_Pos[[#This Row],[ID_Positions]],"")</f>
        <v/>
      </c>
    </row>
    <row r="409" spans="1:4" x14ac:dyDescent="0.45">
      <c r="A409">
        <f ca="1">dict_zul_Var_Meth[ID_Methods]</f>
        <v>81</v>
      </c>
      <c r="B409">
        <f ca="1">dict_zul_Var_Meth[ID_Variables]</f>
        <v>109</v>
      </c>
      <c r="C4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09" t="str">
        <f ca="1">IF(dict_zuord_Meth_Pos[[#This Row],[kval_active]],dict_zuord_Meth_Pos[[#This Row],[ID_Positions]],"")</f>
        <v/>
      </c>
    </row>
    <row r="410" spans="1:4" x14ac:dyDescent="0.45">
      <c r="A410">
        <f ca="1">dict_zul_Var_Meth[ID_Methods]</f>
        <v>441</v>
      </c>
      <c r="B410">
        <f ca="1">dict_zul_Var_Meth[ID_Variables]</f>
        <v>109</v>
      </c>
      <c r="C4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0" t="str">
        <f ca="1">IF(dict_zuord_Meth_Pos[[#This Row],[kval_active]],dict_zuord_Meth_Pos[[#This Row],[ID_Positions]],"")</f>
        <v/>
      </c>
    </row>
    <row r="411" spans="1:4" x14ac:dyDescent="0.45">
      <c r="A411">
        <f ca="1">dict_zul_Var_Meth[ID_Methods]</f>
        <v>12</v>
      </c>
      <c r="B411">
        <f ca="1">dict_zul_Var_Meth[ID_Variables]</f>
        <v>109</v>
      </c>
      <c r="C4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1" t="str">
        <f ca="1">IF(dict_zuord_Meth_Pos[[#This Row],[kval_active]],dict_zuord_Meth_Pos[[#This Row],[ID_Positions]],"")</f>
        <v/>
      </c>
    </row>
    <row r="412" spans="1:4" x14ac:dyDescent="0.45">
      <c r="A412">
        <f ca="1">dict_zul_Var_Meth[ID_Methods]</f>
        <v>629</v>
      </c>
      <c r="B412">
        <f ca="1">dict_zul_Var_Meth[ID_Variables]</f>
        <v>109</v>
      </c>
      <c r="C4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2" t="str">
        <f ca="1">IF(dict_zuord_Meth_Pos[[#This Row],[kval_active]],dict_zuord_Meth_Pos[[#This Row],[ID_Positions]],"")</f>
        <v/>
      </c>
    </row>
    <row r="413" spans="1:4" x14ac:dyDescent="0.45">
      <c r="A413">
        <f ca="1">dict_zul_Var_Meth[ID_Methods]</f>
        <v>612</v>
      </c>
      <c r="B413">
        <f ca="1">dict_zul_Var_Meth[ID_Variables]</f>
        <v>110</v>
      </c>
      <c r="C4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3" t="str">
        <f ca="1">IF(dict_zuord_Meth_Pos[[#This Row],[kval_active]],dict_zuord_Meth_Pos[[#This Row],[ID_Positions]],"")</f>
        <v/>
      </c>
    </row>
    <row r="414" spans="1:4" x14ac:dyDescent="0.45">
      <c r="A414">
        <f ca="1">dict_zul_Var_Meth[ID_Methods]</f>
        <v>412</v>
      </c>
      <c r="B414">
        <f ca="1">dict_zul_Var_Meth[ID_Variables]</f>
        <v>110</v>
      </c>
      <c r="C4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4" t="str">
        <f ca="1">IF(dict_zuord_Meth_Pos[[#This Row],[kval_active]],dict_zuord_Meth_Pos[[#This Row],[ID_Positions]],"")</f>
        <v/>
      </c>
    </row>
    <row r="415" spans="1:4" x14ac:dyDescent="0.45">
      <c r="A415">
        <f ca="1">dict_zul_Var_Meth[ID_Methods]</f>
        <v>250</v>
      </c>
      <c r="B415">
        <f ca="1">dict_zul_Var_Meth[ID_Variables]</f>
        <v>110</v>
      </c>
      <c r="C4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5" t="str">
        <f ca="1">IF(dict_zuord_Meth_Pos[[#This Row],[kval_active]],dict_zuord_Meth_Pos[[#This Row],[ID_Positions]],"")</f>
        <v/>
      </c>
    </row>
    <row r="416" spans="1:4" x14ac:dyDescent="0.45">
      <c r="A416">
        <f ca="1">dict_zul_Var_Meth[ID_Methods]</f>
        <v>616</v>
      </c>
      <c r="B416">
        <f ca="1">dict_zul_Var_Meth[ID_Variables]</f>
        <v>110</v>
      </c>
      <c r="C4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6" t="str">
        <f ca="1">IF(dict_zuord_Meth_Pos[[#This Row],[kval_active]],dict_zuord_Meth_Pos[[#This Row],[ID_Positions]],"")</f>
        <v/>
      </c>
    </row>
    <row r="417" spans="1:4" x14ac:dyDescent="0.45">
      <c r="A417">
        <f ca="1">dict_zul_Var_Meth[ID_Methods]</f>
        <v>55</v>
      </c>
      <c r="B417">
        <f ca="1">dict_zul_Var_Meth[ID_Variables]</f>
        <v>110</v>
      </c>
      <c r="C4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7" t="str">
        <f ca="1">IF(dict_zuord_Meth_Pos[[#This Row],[kval_active]],dict_zuord_Meth_Pos[[#This Row],[ID_Positions]],"")</f>
        <v/>
      </c>
    </row>
    <row r="418" spans="1:4" x14ac:dyDescent="0.45">
      <c r="A418">
        <f ca="1">dict_zul_Var_Meth[ID_Methods]</f>
        <v>403</v>
      </c>
      <c r="B418">
        <f ca="1">dict_zul_Var_Meth[ID_Variables]</f>
        <v>111</v>
      </c>
      <c r="C4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8" t="str">
        <f ca="1">IF(dict_zuord_Meth_Pos[[#This Row],[kval_active]],dict_zuord_Meth_Pos[[#This Row],[ID_Positions]],"")</f>
        <v/>
      </c>
    </row>
    <row r="419" spans="1:4" x14ac:dyDescent="0.45">
      <c r="A419">
        <f ca="1">dict_zul_Var_Meth[ID_Methods]</f>
        <v>568</v>
      </c>
      <c r="B419">
        <f ca="1">dict_zul_Var_Meth[ID_Variables]</f>
        <v>111</v>
      </c>
      <c r="C4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19" t="str">
        <f ca="1">IF(dict_zuord_Meth_Pos[[#This Row],[kval_active]],dict_zuord_Meth_Pos[[#This Row],[ID_Positions]],"")</f>
        <v/>
      </c>
    </row>
    <row r="420" spans="1:4" x14ac:dyDescent="0.45">
      <c r="A420">
        <f ca="1">dict_zul_Var_Meth[ID_Methods]</f>
        <v>577</v>
      </c>
      <c r="B420">
        <f ca="1">dict_zul_Var_Meth[ID_Variables]</f>
        <v>111</v>
      </c>
      <c r="C4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0" t="str">
        <f ca="1">IF(dict_zuord_Meth_Pos[[#This Row],[kval_active]],dict_zuord_Meth_Pos[[#This Row],[ID_Positions]],"")</f>
        <v/>
      </c>
    </row>
    <row r="421" spans="1:4" x14ac:dyDescent="0.45">
      <c r="A421">
        <f ca="1">dict_zul_Var_Meth[ID_Methods]</f>
        <v>29</v>
      </c>
      <c r="B421">
        <f ca="1">dict_zul_Var_Meth[ID_Variables]</f>
        <v>112</v>
      </c>
      <c r="C4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1" t="str">
        <f ca="1">IF(dict_zuord_Meth_Pos[[#This Row],[kval_active]],dict_zuord_Meth_Pos[[#This Row],[ID_Positions]],"")</f>
        <v/>
      </c>
    </row>
    <row r="422" spans="1:4" x14ac:dyDescent="0.45">
      <c r="A422">
        <f ca="1">dict_zul_Var_Meth[ID_Methods]</f>
        <v>121</v>
      </c>
      <c r="B422">
        <f ca="1">dict_zul_Var_Meth[ID_Variables]</f>
        <v>112</v>
      </c>
      <c r="C4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2" t="str">
        <f ca="1">IF(dict_zuord_Meth_Pos[[#This Row],[kval_active]],dict_zuord_Meth_Pos[[#This Row],[ID_Positions]],"")</f>
        <v/>
      </c>
    </row>
    <row r="423" spans="1:4" x14ac:dyDescent="0.45">
      <c r="A423">
        <f ca="1">dict_zul_Var_Meth[ID_Methods]</f>
        <v>198</v>
      </c>
      <c r="B423">
        <f ca="1">dict_zul_Var_Meth[ID_Variables]</f>
        <v>113</v>
      </c>
      <c r="C4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3" t="str">
        <f ca="1">IF(dict_zuord_Meth_Pos[[#This Row],[kval_active]],dict_zuord_Meth_Pos[[#This Row],[ID_Positions]],"")</f>
        <v/>
      </c>
    </row>
    <row r="424" spans="1:4" x14ac:dyDescent="0.45">
      <c r="A424">
        <f ca="1">dict_zul_Var_Meth[ID_Methods]</f>
        <v>83</v>
      </c>
      <c r="B424">
        <f ca="1">dict_zul_Var_Meth[ID_Variables]</f>
        <v>113</v>
      </c>
      <c r="C4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4" t="str">
        <f ca="1">IF(dict_zuord_Meth_Pos[[#This Row],[kval_active]],dict_zuord_Meth_Pos[[#This Row],[ID_Positions]],"")</f>
        <v/>
      </c>
    </row>
    <row r="425" spans="1:4" x14ac:dyDescent="0.45">
      <c r="A425">
        <f ca="1">dict_zul_Var_Meth[ID_Methods]</f>
        <v>545</v>
      </c>
      <c r="B425">
        <f ca="1">dict_zul_Var_Meth[ID_Variables]</f>
        <v>113</v>
      </c>
      <c r="C4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5" t="str">
        <f ca="1">IF(dict_zuord_Meth_Pos[[#This Row],[kval_active]],dict_zuord_Meth_Pos[[#This Row],[ID_Positions]],"")</f>
        <v/>
      </c>
    </row>
    <row r="426" spans="1:4" x14ac:dyDescent="0.45">
      <c r="A426">
        <f ca="1">dict_zul_Var_Meth[ID_Methods]</f>
        <v>261</v>
      </c>
      <c r="B426">
        <f ca="1">dict_zul_Var_Meth[ID_Variables]</f>
        <v>113</v>
      </c>
      <c r="C4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6" t="str">
        <f ca="1">IF(dict_zuord_Meth_Pos[[#This Row],[kval_active]],dict_zuord_Meth_Pos[[#This Row],[ID_Positions]],"")</f>
        <v/>
      </c>
    </row>
    <row r="427" spans="1:4" x14ac:dyDescent="0.45">
      <c r="A427">
        <f ca="1">dict_zul_Var_Meth[ID_Methods]</f>
        <v>49</v>
      </c>
      <c r="B427">
        <f ca="1">dict_zul_Var_Meth[ID_Variables]</f>
        <v>114</v>
      </c>
      <c r="C4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7" t="str">
        <f ca="1">IF(dict_zuord_Meth_Pos[[#This Row],[kval_active]],dict_zuord_Meth_Pos[[#This Row],[ID_Positions]],"")</f>
        <v/>
      </c>
    </row>
    <row r="428" spans="1:4" x14ac:dyDescent="0.45">
      <c r="A428">
        <f ca="1">dict_zul_Var_Meth[ID_Methods]</f>
        <v>356</v>
      </c>
      <c r="B428">
        <f ca="1">dict_zul_Var_Meth[ID_Variables]</f>
        <v>114</v>
      </c>
      <c r="C4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8" t="str">
        <f ca="1">IF(dict_zuord_Meth_Pos[[#This Row],[kval_active]],dict_zuord_Meth_Pos[[#This Row],[ID_Positions]],"")</f>
        <v/>
      </c>
    </row>
    <row r="429" spans="1:4" x14ac:dyDescent="0.45">
      <c r="A429">
        <f ca="1">dict_zul_Var_Meth[ID_Methods]</f>
        <v>532</v>
      </c>
      <c r="B429">
        <f ca="1">dict_zul_Var_Meth[ID_Variables]</f>
        <v>114</v>
      </c>
      <c r="C4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29" t="str">
        <f ca="1">IF(dict_zuord_Meth_Pos[[#This Row],[kval_active]],dict_zuord_Meth_Pos[[#This Row],[ID_Positions]],"")</f>
        <v/>
      </c>
    </row>
    <row r="430" spans="1:4" x14ac:dyDescent="0.45">
      <c r="A430">
        <f ca="1">dict_zul_Var_Meth[ID_Methods]</f>
        <v>448</v>
      </c>
      <c r="B430">
        <f ca="1">dict_zul_Var_Meth[ID_Variables]</f>
        <v>114</v>
      </c>
      <c r="C4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0" t="str">
        <f ca="1">IF(dict_zuord_Meth_Pos[[#This Row],[kval_active]],dict_zuord_Meth_Pos[[#This Row],[ID_Positions]],"")</f>
        <v/>
      </c>
    </row>
    <row r="431" spans="1:4" x14ac:dyDescent="0.45">
      <c r="A431">
        <f ca="1">dict_zul_Var_Meth[ID_Methods]</f>
        <v>502</v>
      </c>
      <c r="B431">
        <f ca="1">dict_zul_Var_Meth[ID_Variables]</f>
        <v>115</v>
      </c>
      <c r="C4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1" t="str">
        <f ca="1">IF(dict_zuord_Meth_Pos[[#This Row],[kval_active]],dict_zuord_Meth_Pos[[#This Row],[ID_Positions]],"")</f>
        <v/>
      </c>
    </row>
    <row r="432" spans="1:4" x14ac:dyDescent="0.45">
      <c r="A432">
        <f ca="1">dict_zul_Var_Meth[ID_Methods]</f>
        <v>490</v>
      </c>
      <c r="B432">
        <f ca="1">dict_zul_Var_Meth[ID_Variables]</f>
        <v>115</v>
      </c>
      <c r="C4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2" t="str">
        <f ca="1">IF(dict_zuord_Meth_Pos[[#This Row],[kval_active]],dict_zuord_Meth_Pos[[#This Row],[ID_Positions]],"")</f>
        <v/>
      </c>
    </row>
    <row r="433" spans="1:4" x14ac:dyDescent="0.45">
      <c r="A433">
        <f ca="1">dict_zul_Var_Meth[ID_Methods]</f>
        <v>656</v>
      </c>
      <c r="B433">
        <f ca="1">dict_zul_Var_Meth[ID_Variables]</f>
        <v>115</v>
      </c>
      <c r="C4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3" t="str">
        <f ca="1">IF(dict_zuord_Meth_Pos[[#This Row],[kval_active]],dict_zuord_Meth_Pos[[#This Row],[ID_Positions]],"")</f>
        <v/>
      </c>
    </row>
    <row r="434" spans="1:4" x14ac:dyDescent="0.45">
      <c r="A434">
        <f ca="1">dict_zul_Var_Meth[ID_Methods]</f>
        <v>196</v>
      </c>
      <c r="B434">
        <f ca="1">dict_zul_Var_Meth[ID_Variables]</f>
        <v>115</v>
      </c>
      <c r="C4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4" t="str">
        <f ca="1">IF(dict_zuord_Meth_Pos[[#This Row],[kval_active]],dict_zuord_Meth_Pos[[#This Row],[ID_Positions]],"")</f>
        <v/>
      </c>
    </row>
    <row r="435" spans="1:4" x14ac:dyDescent="0.45">
      <c r="A435">
        <f ca="1">dict_zul_Var_Meth[ID_Methods]</f>
        <v>118</v>
      </c>
      <c r="B435">
        <f ca="1">dict_zul_Var_Meth[ID_Variables]</f>
        <v>116</v>
      </c>
      <c r="C4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5" t="str">
        <f ca="1">IF(dict_zuord_Meth_Pos[[#This Row],[kval_active]],dict_zuord_Meth_Pos[[#This Row],[ID_Positions]],"")</f>
        <v/>
      </c>
    </row>
    <row r="436" spans="1:4" x14ac:dyDescent="0.45">
      <c r="A436">
        <f ca="1">dict_zul_Var_Meth[ID_Methods]</f>
        <v>102</v>
      </c>
      <c r="B436">
        <f ca="1">dict_zul_Var_Meth[ID_Variables]</f>
        <v>116</v>
      </c>
      <c r="C4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6" t="str">
        <f ca="1">IF(dict_zuord_Meth_Pos[[#This Row],[kval_active]],dict_zuord_Meth_Pos[[#This Row],[ID_Positions]],"")</f>
        <v/>
      </c>
    </row>
    <row r="437" spans="1:4" x14ac:dyDescent="0.45">
      <c r="A437">
        <f ca="1">dict_zul_Var_Meth[ID_Methods]</f>
        <v>326</v>
      </c>
      <c r="B437">
        <f ca="1">dict_zul_Var_Meth[ID_Variables]</f>
        <v>116</v>
      </c>
      <c r="C4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7" t="str">
        <f ca="1">IF(dict_zuord_Meth_Pos[[#This Row],[kval_active]],dict_zuord_Meth_Pos[[#This Row],[ID_Positions]],"")</f>
        <v/>
      </c>
    </row>
    <row r="438" spans="1:4" x14ac:dyDescent="0.45">
      <c r="A438">
        <f ca="1">dict_zul_Var_Meth[ID_Methods]</f>
        <v>420</v>
      </c>
      <c r="B438">
        <f ca="1">dict_zul_Var_Meth[ID_Variables]</f>
        <v>116</v>
      </c>
      <c r="C4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8" t="str">
        <f ca="1">IF(dict_zuord_Meth_Pos[[#This Row],[kval_active]],dict_zuord_Meth_Pos[[#This Row],[ID_Positions]],"")</f>
        <v/>
      </c>
    </row>
    <row r="439" spans="1:4" x14ac:dyDescent="0.45">
      <c r="A439">
        <f ca="1">dict_zul_Var_Meth[ID_Methods]</f>
        <v>58</v>
      </c>
      <c r="B439">
        <f ca="1">dict_zul_Var_Meth[ID_Variables]</f>
        <v>116</v>
      </c>
      <c r="C4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39" t="str">
        <f ca="1">IF(dict_zuord_Meth_Pos[[#This Row],[kval_active]],dict_zuord_Meth_Pos[[#This Row],[ID_Positions]],"")</f>
        <v/>
      </c>
    </row>
    <row r="440" spans="1:4" x14ac:dyDescent="0.45">
      <c r="A440">
        <f ca="1">dict_zul_Var_Meth[ID_Methods]</f>
        <v>676</v>
      </c>
      <c r="B440">
        <f ca="1">dict_zul_Var_Meth[ID_Variables]</f>
        <v>117</v>
      </c>
      <c r="C4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0" t="str">
        <f ca="1">IF(dict_zuord_Meth_Pos[[#This Row],[kval_active]],dict_zuord_Meth_Pos[[#This Row],[ID_Positions]],"")</f>
        <v/>
      </c>
    </row>
    <row r="441" spans="1:4" x14ac:dyDescent="0.45">
      <c r="A441">
        <f ca="1">dict_zul_Var_Meth[ID_Methods]</f>
        <v>70</v>
      </c>
      <c r="B441">
        <f ca="1">dict_zul_Var_Meth[ID_Variables]</f>
        <v>117</v>
      </c>
      <c r="C4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1" t="str">
        <f ca="1">IF(dict_zuord_Meth_Pos[[#This Row],[kval_active]],dict_zuord_Meth_Pos[[#This Row],[ID_Positions]],"")</f>
        <v/>
      </c>
    </row>
    <row r="442" spans="1:4" x14ac:dyDescent="0.45">
      <c r="A442">
        <f ca="1">dict_zul_Var_Meth[ID_Methods]</f>
        <v>611</v>
      </c>
      <c r="B442">
        <f ca="1">dict_zul_Var_Meth[ID_Variables]</f>
        <v>117</v>
      </c>
      <c r="C4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2" t="str">
        <f ca="1">IF(dict_zuord_Meth_Pos[[#This Row],[kval_active]],dict_zuord_Meth_Pos[[#This Row],[ID_Positions]],"")</f>
        <v/>
      </c>
    </row>
    <row r="443" spans="1:4" x14ac:dyDescent="0.45">
      <c r="A443">
        <f ca="1">dict_zul_Var_Meth[ID_Methods]</f>
        <v>583</v>
      </c>
      <c r="B443">
        <f ca="1">dict_zul_Var_Meth[ID_Variables]</f>
        <v>118</v>
      </c>
      <c r="C4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3" t="str">
        <f ca="1">IF(dict_zuord_Meth_Pos[[#This Row],[kval_active]],dict_zuord_Meth_Pos[[#This Row],[ID_Positions]],"")</f>
        <v/>
      </c>
    </row>
    <row r="444" spans="1:4" x14ac:dyDescent="0.45">
      <c r="A444">
        <f ca="1">dict_zul_Var_Meth[ID_Methods]</f>
        <v>368</v>
      </c>
      <c r="B444">
        <f ca="1">dict_zul_Var_Meth[ID_Variables]</f>
        <v>118</v>
      </c>
      <c r="C4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4" t="str">
        <f ca="1">IF(dict_zuord_Meth_Pos[[#This Row],[kval_active]],dict_zuord_Meth_Pos[[#This Row],[ID_Positions]],"")</f>
        <v/>
      </c>
    </row>
    <row r="445" spans="1:4" x14ac:dyDescent="0.45">
      <c r="A445">
        <f ca="1">dict_zul_Var_Meth[ID_Methods]</f>
        <v>601</v>
      </c>
      <c r="B445">
        <f ca="1">dict_zul_Var_Meth[ID_Variables]</f>
        <v>118</v>
      </c>
      <c r="C4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5" t="str">
        <f ca="1">IF(dict_zuord_Meth_Pos[[#This Row],[kval_active]],dict_zuord_Meth_Pos[[#This Row],[ID_Positions]],"")</f>
        <v/>
      </c>
    </row>
    <row r="446" spans="1:4" x14ac:dyDescent="0.45">
      <c r="A446">
        <f ca="1">dict_zul_Var_Meth[ID_Methods]</f>
        <v>32</v>
      </c>
      <c r="B446">
        <f ca="1">dict_zul_Var_Meth[ID_Variables]</f>
        <v>118</v>
      </c>
      <c r="C4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6" t="str">
        <f ca="1">IF(dict_zuord_Meth_Pos[[#This Row],[kval_active]],dict_zuord_Meth_Pos[[#This Row],[ID_Positions]],"")</f>
        <v/>
      </c>
    </row>
    <row r="447" spans="1:4" x14ac:dyDescent="0.45">
      <c r="A447">
        <f ca="1">dict_zul_Var_Meth[ID_Methods]</f>
        <v>119</v>
      </c>
      <c r="B447">
        <f ca="1">dict_zul_Var_Meth[ID_Variables]</f>
        <v>119</v>
      </c>
      <c r="C4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7" t="str">
        <f ca="1">IF(dict_zuord_Meth_Pos[[#This Row],[kval_active]],dict_zuord_Meth_Pos[[#This Row],[ID_Positions]],"")</f>
        <v/>
      </c>
    </row>
    <row r="448" spans="1:4" x14ac:dyDescent="0.45">
      <c r="A448">
        <f ca="1">dict_zul_Var_Meth[ID_Methods]</f>
        <v>103</v>
      </c>
      <c r="B448">
        <f ca="1">dict_zul_Var_Meth[ID_Variables]</f>
        <v>119</v>
      </c>
      <c r="C4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8" t="str">
        <f ca="1">IF(dict_zuord_Meth_Pos[[#This Row],[kval_active]],dict_zuord_Meth_Pos[[#This Row],[ID_Positions]],"")</f>
        <v/>
      </c>
    </row>
    <row r="449" spans="1:4" x14ac:dyDescent="0.45">
      <c r="A449">
        <f ca="1">dict_zul_Var_Meth[ID_Methods]</f>
        <v>606</v>
      </c>
      <c r="B449">
        <f ca="1">dict_zul_Var_Meth[ID_Variables]</f>
        <v>119</v>
      </c>
      <c r="C4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49" t="str">
        <f ca="1">IF(dict_zuord_Meth_Pos[[#This Row],[kval_active]],dict_zuord_Meth_Pos[[#This Row],[ID_Positions]],"")</f>
        <v/>
      </c>
    </row>
    <row r="450" spans="1:4" x14ac:dyDescent="0.45">
      <c r="A450">
        <f ca="1">dict_zul_Var_Meth[ID_Methods]</f>
        <v>281</v>
      </c>
      <c r="B450">
        <f ca="1">dict_zul_Var_Meth[ID_Variables]</f>
        <v>120</v>
      </c>
      <c r="C4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0" t="str">
        <f ca="1">IF(dict_zuord_Meth_Pos[[#This Row],[kval_active]],dict_zuord_Meth_Pos[[#This Row],[ID_Positions]],"")</f>
        <v/>
      </c>
    </row>
    <row r="451" spans="1:4" x14ac:dyDescent="0.45">
      <c r="A451">
        <f ca="1">dict_zul_Var_Meth[ID_Methods]</f>
        <v>223</v>
      </c>
      <c r="B451">
        <f ca="1">dict_zul_Var_Meth[ID_Variables]</f>
        <v>120</v>
      </c>
      <c r="C4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1" t="str">
        <f ca="1">IF(dict_zuord_Meth_Pos[[#This Row],[kval_active]],dict_zuord_Meth_Pos[[#This Row],[ID_Positions]],"")</f>
        <v/>
      </c>
    </row>
    <row r="452" spans="1:4" x14ac:dyDescent="0.45">
      <c r="A452">
        <f ca="1">dict_zul_Var_Meth[ID_Methods]</f>
        <v>443</v>
      </c>
      <c r="B452">
        <f ca="1">dict_zul_Var_Meth[ID_Variables]</f>
        <v>120</v>
      </c>
      <c r="C4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2" t="str">
        <f ca="1">IF(dict_zuord_Meth_Pos[[#This Row],[kval_active]],dict_zuord_Meth_Pos[[#This Row],[ID_Positions]],"")</f>
        <v/>
      </c>
    </row>
    <row r="453" spans="1:4" x14ac:dyDescent="0.45">
      <c r="A453">
        <f ca="1">dict_zul_Var_Meth[ID_Methods]</f>
        <v>666</v>
      </c>
      <c r="B453">
        <f ca="1">dict_zul_Var_Meth[ID_Variables]</f>
        <v>120</v>
      </c>
      <c r="C4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3" t="str">
        <f ca="1">IF(dict_zuord_Meth_Pos[[#This Row],[kval_active]],dict_zuord_Meth_Pos[[#This Row],[ID_Positions]],"")</f>
        <v/>
      </c>
    </row>
    <row r="454" spans="1:4" x14ac:dyDescent="0.45">
      <c r="A454">
        <f ca="1">dict_zul_Var_Meth[ID_Methods]</f>
        <v>46</v>
      </c>
      <c r="B454">
        <f ca="1">dict_zul_Var_Meth[ID_Variables]</f>
        <v>121</v>
      </c>
      <c r="C4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4" t="str">
        <f ca="1">IF(dict_zuord_Meth_Pos[[#This Row],[kval_active]],dict_zuord_Meth_Pos[[#This Row],[ID_Positions]],"")</f>
        <v/>
      </c>
    </row>
    <row r="455" spans="1:4" x14ac:dyDescent="0.45">
      <c r="A455">
        <f ca="1">dict_zul_Var_Meth[ID_Methods]</f>
        <v>115</v>
      </c>
      <c r="B455">
        <f ca="1">dict_zul_Var_Meth[ID_Variables]</f>
        <v>121</v>
      </c>
      <c r="C4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5" t="str">
        <f ca="1">IF(dict_zuord_Meth_Pos[[#This Row],[kval_active]],dict_zuord_Meth_Pos[[#This Row],[ID_Positions]],"")</f>
        <v/>
      </c>
    </row>
    <row r="456" spans="1:4" x14ac:dyDescent="0.45">
      <c r="A456">
        <f ca="1">dict_zul_Var_Meth[ID_Methods]</f>
        <v>55</v>
      </c>
      <c r="B456">
        <f ca="1">dict_zul_Var_Meth[ID_Variables]</f>
        <v>121</v>
      </c>
      <c r="C4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6" t="str">
        <f ca="1">IF(dict_zuord_Meth_Pos[[#This Row],[kval_active]],dict_zuord_Meth_Pos[[#This Row],[ID_Positions]],"")</f>
        <v/>
      </c>
    </row>
    <row r="457" spans="1:4" x14ac:dyDescent="0.45">
      <c r="A457">
        <f ca="1">dict_zul_Var_Meth[ID_Methods]</f>
        <v>282</v>
      </c>
      <c r="B457">
        <f ca="1">dict_zul_Var_Meth[ID_Variables]</f>
        <v>121</v>
      </c>
      <c r="C4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7" t="str">
        <f ca="1">IF(dict_zuord_Meth_Pos[[#This Row],[kval_active]],dict_zuord_Meth_Pos[[#This Row],[ID_Positions]],"")</f>
        <v/>
      </c>
    </row>
    <row r="458" spans="1:4" x14ac:dyDescent="0.45">
      <c r="A458">
        <f ca="1">dict_zul_Var_Meth[ID_Methods]</f>
        <v>632</v>
      </c>
      <c r="B458">
        <f ca="1">dict_zul_Var_Meth[ID_Variables]</f>
        <v>122</v>
      </c>
      <c r="C4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8" t="str">
        <f ca="1">IF(dict_zuord_Meth_Pos[[#This Row],[kval_active]],dict_zuord_Meth_Pos[[#This Row],[ID_Positions]],"")</f>
        <v/>
      </c>
    </row>
    <row r="459" spans="1:4" x14ac:dyDescent="0.45">
      <c r="A459">
        <f ca="1">dict_zul_Var_Meth[ID_Methods]</f>
        <v>373</v>
      </c>
      <c r="B459">
        <f ca="1">dict_zul_Var_Meth[ID_Variables]</f>
        <v>122</v>
      </c>
      <c r="C4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59" t="str">
        <f ca="1">IF(dict_zuord_Meth_Pos[[#This Row],[kval_active]],dict_zuord_Meth_Pos[[#This Row],[ID_Positions]],"")</f>
        <v/>
      </c>
    </row>
    <row r="460" spans="1:4" x14ac:dyDescent="0.45">
      <c r="A460">
        <f ca="1">dict_zul_Var_Meth[ID_Methods]</f>
        <v>241</v>
      </c>
      <c r="B460">
        <f ca="1">dict_zul_Var_Meth[ID_Variables]</f>
        <v>122</v>
      </c>
      <c r="C4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0" t="str">
        <f ca="1">IF(dict_zuord_Meth_Pos[[#This Row],[kval_active]],dict_zuord_Meth_Pos[[#This Row],[ID_Positions]],"")</f>
        <v/>
      </c>
    </row>
    <row r="461" spans="1:4" x14ac:dyDescent="0.45">
      <c r="A461">
        <f ca="1">dict_zul_Var_Meth[ID_Methods]</f>
        <v>537</v>
      </c>
      <c r="B461">
        <f ca="1">dict_zul_Var_Meth[ID_Variables]</f>
        <v>122</v>
      </c>
      <c r="C4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1" t="str">
        <f ca="1">IF(dict_zuord_Meth_Pos[[#This Row],[kval_active]],dict_zuord_Meth_Pos[[#This Row],[ID_Positions]],"")</f>
        <v/>
      </c>
    </row>
    <row r="462" spans="1:4" x14ac:dyDescent="0.45">
      <c r="A462">
        <f ca="1">dict_zul_Var_Meth[ID_Methods]</f>
        <v>372</v>
      </c>
      <c r="B462">
        <f ca="1">dict_zul_Var_Meth[ID_Variables]</f>
        <v>122</v>
      </c>
      <c r="C4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2" t="str">
        <f ca="1">IF(dict_zuord_Meth_Pos[[#This Row],[kval_active]],dict_zuord_Meth_Pos[[#This Row],[ID_Positions]],"")</f>
        <v/>
      </c>
    </row>
    <row r="463" spans="1:4" x14ac:dyDescent="0.45">
      <c r="A463">
        <f ca="1">dict_zul_Var_Meth[ID_Methods]</f>
        <v>450</v>
      </c>
      <c r="B463">
        <f ca="1">dict_zul_Var_Meth[ID_Variables]</f>
        <v>123</v>
      </c>
      <c r="C4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3" t="str">
        <f ca="1">IF(dict_zuord_Meth_Pos[[#This Row],[kval_active]],dict_zuord_Meth_Pos[[#This Row],[ID_Positions]],"")</f>
        <v/>
      </c>
    </row>
    <row r="464" spans="1:4" x14ac:dyDescent="0.45">
      <c r="A464">
        <f ca="1">dict_zul_Var_Meth[ID_Methods]</f>
        <v>61</v>
      </c>
      <c r="B464">
        <f ca="1">dict_zul_Var_Meth[ID_Variables]</f>
        <v>124</v>
      </c>
      <c r="C4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4" t="str">
        <f ca="1">IF(dict_zuord_Meth_Pos[[#This Row],[kval_active]],dict_zuord_Meth_Pos[[#This Row],[ID_Positions]],"")</f>
        <v/>
      </c>
    </row>
    <row r="465" spans="1:4" x14ac:dyDescent="0.45">
      <c r="A465">
        <f ca="1">dict_zul_Var_Meth[ID_Methods]</f>
        <v>491</v>
      </c>
      <c r="B465">
        <f ca="1">dict_zul_Var_Meth[ID_Variables]</f>
        <v>124</v>
      </c>
      <c r="C4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5" t="str">
        <f ca="1">IF(dict_zuord_Meth_Pos[[#This Row],[kval_active]],dict_zuord_Meth_Pos[[#This Row],[ID_Positions]],"")</f>
        <v/>
      </c>
    </row>
    <row r="466" spans="1:4" x14ac:dyDescent="0.45">
      <c r="A466">
        <f ca="1">dict_zul_Var_Meth[ID_Methods]</f>
        <v>295</v>
      </c>
      <c r="B466">
        <f ca="1">dict_zul_Var_Meth[ID_Variables]</f>
        <v>124</v>
      </c>
      <c r="C4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6" t="str">
        <f ca="1">IF(dict_zuord_Meth_Pos[[#This Row],[kval_active]],dict_zuord_Meth_Pos[[#This Row],[ID_Positions]],"")</f>
        <v/>
      </c>
    </row>
    <row r="467" spans="1:4" x14ac:dyDescent="0.45">
      <c r="A467">
        <f ca="1">dict_zul_Var_Meth[ID_Methods]</f>
        <v>56</v>
      </c>
      <c r="B467">
        <f ca="1">dict_zul_Var_Meth[ID_Variables]</f>
        <v>124</v>
      </c>
      <c r="C4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7" t="str">
        <f ca="1">IF(dict_zuord_Meth_Pos[[#This Row],[kval_active]],dict_zuord_Meth_Pos[[#This Row],[ID_Positions]],"")</f>
        <v/>
      </c>
    </row>
    <row r="468" spans="1:4" x14ac:dyDescent="0.45">
      <c r="A468">
        <f ca="1">dict_zul_Var_Meth[ID_Methods]</f>
        <v>34</v>
      </c>
      <c r="B468">
        <f ca="1">dict_zul_Var_Meth[ID_Variables]</f>
        <v>124</v>
      </c>
      <c r="C4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8" t="str">
        <f ca="1">IF(dict_zuord_Meth_Pos[[#This Row],[kval_active]],dict_zuord_Meth_Pos[[#This Row],[ID_Positions]],"")</f>
        <v/>
      </c>
    </row>
    <row r="469" spans="1:4" x14ac:dyDescent="0.45">
      <c r="A469">
        <f ca="1">dict_zul_Var_Meth[ID_Methods]</f>
        <v>18</v>
      </c>
      <c r="B469">
        <f ca="1">dict_zul_Var_Meth[ID_Variables]</f>
        <v>125</v>
      </c>
      <c r="C4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69" t="str">
        <f ca="1">IF(dict_zuord_Meth_Pos[[#This Row],[kval_active]],dict_zuord_Meth_Pos[[#This Row],[ID_Positions]],"")</f>
        <v/>
      </c>
    </row>
    <row r="470" spans="1:4" x14ac:dyDescent="0.45">
      <c r="A470">
        <f ca="1">dict_zul_Var_Meth[ID_Methods]</f>
        <v>5</v>
      </c>
      <c r="B470">
        <f ca="1">dict_zul_Var_Meth[ID_Variables]</f>
        <v>125</v>
      </c>
      <c r="C4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0" t="str">
        <f ca="1">IF(dict_zuord_Meth_Pos[[#This Row],[kval_active]],dict_zuord_Meth_Pos[[#This Row],[ID_Positions]],"")</f>
        <v/>
      </c>
    </row>
    <row r="471" spans="1:4" x14ac:dyDescent="0.45">
      <c r="A471">
        <f ca="1">dict_zul_Var_Meth[ID_Methods]</f>
        <v>697</v>
      </c>
      <c r="B471">
        <f ca="1">dict_zul_Var_Meth[ID_Variables]</f>
        <v>125</v>
      </c>
      <c r="C4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1" t="str">
        <f ca="1">IF(dict_zuord_Meth_Pos[[#This Row],[kval_active]],dict_zuord_Meth_Pos[[#This Row],[ID_Positions]],"")</f>
        <v/>
      </c>
    </row>
    <row r="472" spans="1:4" x14ac:dyDescent="0.45">
      <c r="A472">
        <f ca="1">dict_zul_Var_Meth[ID_Methods]</f>
        <v>634</v>
      </c>
      <c r="B472">
        <f ca="1">dict_zul_Var_Meth[ID_Variables]</f>
        <v>126</v>
      </c>
      <c r="C4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2" t="str">
        <f ca="1">IF(dict_zuord_Meth_Pos[[#This Row],[kval_active]],dict_zuord_Meth_Pos[[#This Row],[ID_Positions]],"")</f>
        <v/>
      </c>
    </row>
    <row r="473" spans="1:4" x14ac:dyDescent="0.45">
      <c r="A473">
        <f ca="1">dict_zul_Var_Meth[ID_Methods]</f>
        <v>21</v>
      </c>
      <c r="B473">
        <f ca="1">dict_zul_Var_Meth[ID_Variables]</f>
        <v>126</v>
      </c>
      <c r="C4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3" t="str">
        <f ca="1">IF(dict_zuord_Meth_Pos[[#This Row],[kval_active]],dict_zuord_Meth_Pos[[#This Row],[ID_Positions]],"")</f>
        <v/>
      </c>
    </row>
    <row r="474" spans="1:4" x14ac:dyDescent="0.45">
      <c r="A474">
        <f ca="1">dict_zul_Var_Meth[ID_Methods]</f>
        <v>48</v>
      </c>
      <c r="B474">
        <f ca="1">dict_zul_Var_Meth[ID_Variables]</f>
        <v>126</v>
      </c>
      <c r="C4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4" t="str">
        <f ca="1">IF(dict_zuord_Meth_Pos[[#This Row],[kval_active]],dict_zuord_Meth_Pos[[#This Row],[ID_Positions]],"")</f>
        <v/>
      </c>
    </row>
    <row r="475" spans="1:4" x14ac:dyDescent="0.45">
      <c r="A475">
        <f ca="1">dict_zul_Var_Meth[ID_Methods]</f>
        <v>32</v>
      </c>
      <c r="B475">
        <f ca="1">dict_zul_Var_Meth[ID_Variables]</f>
        <v>127</v>
      </c>
      <c r="C4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5" t="str">
        <f ca="1">IF(dict_zuord_Meth_Pos[[#This Row],[kval_active]],dict_zuord_Meth_Pos[[#This Row],[ID_Positions]],"")</f>
        <v/>
      </c>
    </row>
    <row r="476" spans="1:4" x14ac:dyDescent="0.45">
      <c r="A476">
        <f ca="1">dict_zul_Var_Meth[ID_Methods]</f>
        <v>175</v>
      </c>
      <c r="B476">
        <f ca="1">dict_zul_Var_Meth[ID_Variables]</f>
        <v>127</v>
      </c>
      <c r="C4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6" t="str">
        <f ca="1">IF(dict_zuord_Meth_Pos[[#This Row],[kval_active]],dict_zuord_Meth_Pos[[#This Row],[ID_Positions]],"")</f>
        <v/>
      </c>
    </row>
    <row r="477" spans="1:4" x14ac:dyDescent="0.45">
      <c r="A477">
        <f ca="1">dict_zul_Var_Meth[ID_Methods]</f>
        <v>379</v>
      </c>
      <c r="B477">
        <f ca="1">dict_zul_Var_Meth[ID_Variables]</f>
        <v>127</v>
      </c>
      <c r="C4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7" t="str">
        <f ca="1">IF(dict_zuord_Meth_Pos[[#This Row],[kval_active]],dict_zuord_Meth_Pos[[#This Row],[ID_Positions]],"")</f>
        <v/>
      </c>
    </row>
    <row r="478" spans="1:4" x14ac:dyDescent="0.45">
      <c r="A478">
        <f ca="1">dict_zul_Var_Meth[ID_Methods]</f>
        <v>346</v>
      </c>
      <c r="B478">
        <f ca="1">dict_zul_Var_Meth[ID_Variables]</f>
        <v>127</v>
      </c>
      <c r="C4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8" t="str">
        <f ca="1">IF(dict_zuord_Meth_Pos[[#This Row],[kval_active]],dict_zuord_Meth_Pos[[#This Row],[ID_Positions]],"")</f>
        <v/>
      </c>
    </row>
    <row r="479" spans="1:4" x14ac:dyDescent="0.45">
      <c r="A479">
        <f ca="1">dict_zul_Var_Meth[ID_Methods]</f>
        <v>20</v>
      </c>
      <c r="B479">
        <f ca="1">dict_zul_Var_Meth[ID_Variables]</f>
        <v>127</v>
      </c>
      <c r="C4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79" t="str">
        <f ca="1">IF(dict_zuord_Meth_Pos[[#This Row],[kval_active]],dict_zuord_Meth_Pos[[#This Row],[ID_Positions]],"")</f>
        <v/>
      </c>
    </row>
    <row r="480" spans="1:4" x14ac:dyDescent="0.45">
      <c r="A480">
        <f ca="1">dict_zul_Var_Meth[ID_Methods]</f>
        <v>415</v>
      </c>
      <c r="B480">
        <f ca="1">dict_zul_Var_Meth[ID_Variables]</f>
        <v>128</v>
      </c>
      <c r="C4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0" t="str">
        <f ca="1">IF(dict_zuord_Meth_Pos[[#This Row],[kval_active]],dict_zuord_Meth_Pos[[#This Row],[ID_Positions]],"")</f>
        <v/>
      </c>
    </row>
    <row r="481" spans="1:4" x14ac:dyDescent="0.45">
      <c r="A481">
        <f ca="1">dict_zul_Var_Meth[ID_Methods]</f>
        <v>360</v>
      </c>
      <c r="B481">
        <f ca="1">dict_zul_Var_Meth[ID_Variables]</f>
        <v>128</v>
      </c>
      <c r="C4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1" t="str">
        <f ca="1">IF(dict_zuord_Meth_Pos[[#This Row],[kval_active]],dict_zuord_Meth_Pos[[#This Row],[ID_Positions]],"")</f>
        <v/>
      </c>
    </row>
    <row r="482" spans="1:4" x14ac:dyDescent="0.45">
      <c r="A482">
        <f ca="1">dict_zul_Var_Meth[ID_Methods]</f>
        <v>526</v>
      </c>
      <c r="B482">
        <f ca="1">dict_zul_Var_Meth[ID_Variables]</f>
        <v>128</v>
      </c>
      <c r="C4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2" t="str">
        <f ca="1">IF(dict_zuord_Meth_Pos[[#This Row],[kval_active]],dict_zuord_Meth_Pos[[#This Row],[ID_Positions]],"")</f>
        <v/>
      </c>
    </row>
    <row r="483" spans="1:4" x14ac:dyDescent="0.45">
      <c r="A483">
        <f ca="1">dict_zul_Var_Meth[ID_Methods]</f>
        <v>211</v>
      </c>
      <c r="B483">
        <f ca="1">dict_zul_Var_Meth[ID_Variables]</f>
        <v>128</v>
      </c>
      <c r="C4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3" t="str">
        <f ca="1">IF(dict_zuord_Meth_Pos[[#This Row],[kval_active]],dict_zuord_Meth_Pos[[#This Row],[ID_Positions]],"")</f>
        <v/>
      </c>
    </row>
    <row r="484" spans="1:4" x14ac:dyDescent="0.45">
      <c r="A484">
        <f ca="1">dict_zul_Var_Meth[ID_Methods]</f>
        <v>207</v>
      </c>
      <c r="B484">
        <f ca="1">dict_zul_Var_Meth[ID_Variables]</f>
        <v>129</v>
      </c>
      <c r="C4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4" t="str">
        <f ca="1">IF(dict_zuord_Meth_Pos[[#This Row],[kval_active]],dict_zuord_Meth_Pos[[#This Row],[ID_Positions]],"")</f>
        <v/>
      </c>
    </row>
    <row r="485" spans="1:4" x14ac:dyDescent="0.45">
      <c r="A485">
        <f ca="1">dict_zul_Var_Meth[ID_Methods]</f>
        <v>693</v>
      </c>
      <c r="B485">
        <f ca="1">dict_zul_Var_Meth[ID_Variables]</f>
        <v>129</v>
      </c>
      <c r="C4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5" t="str">
        <f ca="1">IF(dict_zuord_Meth_Pos[[#This Row],[kval_active]],dict_zuord_Meth_Pos[[#This Row],[ID_Positions]],"")</f>
        <v/>
      </c>
    </row>
    <row r="486" spans="1:4" x14ac:dyDescent="0.45">
      <c r="A486">
        <f ca="1">dict_zul_Var_Meth[ID_Methods]</f>
        <v>64</v>
      </c>
      <c r="B486">
        <f ca="1">dict_zul_Var_Meth[ID_Variables]</f>
        <v>129</v>
      </c>
      <c r="C4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6" t="str">
        <f ca="1">IF(dict_zuord_Meth_Pos[[#This Row],[kval_active]],dict_zuord_Meth_Pos[[#This Row],[ID_Positions]],"")</f>
        <v/>
      </c>
    </row>
    <row r="487" spans="1:4" x14ac:dyDescent="0.45">
      <c r="A487">
        <f ca="1">dict_zul_Var_Meth[ID_Methods]</f>
        <v>85</v>
      </c>
      <c r="B487">
        <f ca="1">dict_zul_Var_Meth[ID_Variables]</f>
        <v>129</v>
      </c>
      <c r="C4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7" t="str">
        <f ca="1">IF(dict_zuord_Meth_Pos[[#This Row],[kval_active]],dict_zuord_Meth_Pos[[#This Row],[ID_Positions]],"")</f>
        <v/>
      </c>
    </row>
    <row r="488" spans="1:4" x14ac:dyDescent="0.45">
      <c r="A488">
        <f ca="1">dict_zul_Var_Meth[ID_Methods]</f>
        <v>446</v>
      </c>
      <c r="B488">
        <f ca="1">dict_zul_Var_Meth[ID_Variables]</f>
        <v>129</v>
      </c>
      <c r="C4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8" t="str">
        <f ca="1">IF(dict_zuord_Meth_Pos[[#This Row],[kval_active]],dict_zuord_Meth_Pos[[#This Row],[ID_Positions]],"")</f>
        <v/>
      </c>
    </row>
    <row r="489" spans="1:4" x14ac:dyDescent="0.45">
      <c r="A489">
        <f ca="1">dict_zul_Var_Meth[ID_Methods]</f>
        <v>680</v>
      </c>
      <c r="B489">
        <f ca="1">dict_zul_Var_Meth[ID_Variables]</f>
        <v>130</v>
      </c>
      <c r="C4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89" t="str">
        <f ca="1">IF(dict_zuord_Meth_Pos[[#This Row],[kval_active]],dict_zuord_Meth_Pos[[#This Row],[ID_Positions]],"")</f>
        <v/>
      </c>
    </row>
    <row r="490" spans="1:4" x14ac:dyDescent="0.45">
      <c r="A490">
        <f ca="1">dict_zul_Var_Meth[ID_Methods]</f>
        <v>135</v>
      </c>
      <c r="B490">
        <f ca="1">dict_zul_Var_Meth[ID_Variables]</f>
        <v>130</v>
      </c>
      <c r="C4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0" t="str">
        <f ca="1">IF(dict_zuord_Meth_Pos[[#This Row],[kval_active]],dict_zuord_Meth_Pos[[#This Row],[ID_Positions]],"")</f>
        <v/>
      </c>
    </row>
    <row r="491" spans="1:4" x14ac:dyDescent="0.45">
      <c r="A491">
        <f ca="1">dict_zul_Var_Meth[ID_Methods]</f>
        <v>247</v>
      </c>
      <c r="B491">
        <f ca="1">dict_zul_Var_Meth[ID_Variables]</f>
        <v>130</v>
      </c>
      <c r="C4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1" t="str">
        <f ca="1">IF(dict_zuord_Meth_Pos[[#This Row],[kval_active]],dict_zuord_Meth_Pos[[#This Row],[ID_Positions]],"")</f>
        <v/>
      </c>
    </row>
    <row r="492" spans="1:4" x14ac:dyDescent="0.45">
      <c r="A492">
        <f ca="1">dict_zul_Var_Meth[ID_Methods]</f>
        <v>8</v>
      </c>
      <c r="B492">
        <f ca="1">dict_zul_Var_Meth[ID_Variables]</f>
        <v>131</v>
      </c>
      <c r="C4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2" t="str">
        <f ca="1">IF(dict_zuord_Meth_Pos[[#This Row],[kval_active]],dict_zuord_Meth_Pos[[#This Row],[ID_Positions]],"")</f>
        <v/>
      </c>
    </row>
    <row r="493" spans="1:4" x14ac:dyDescent="0.45">
      <c r="A493">
        <f ca="1">dict_zul_Var_Meth[ID_Methods]</f>
        <v>7</v>
      </c>
      <c r="B493">
        <f ca="1">dict_zul_Var_Meth[ID_Variables]</f>
        <v>131</v>
      </c>
      <c r="C4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3" t="str">
        <f ca="1">IF(dict_zuord_Meth_Pos[[#This Row],[kval_active]],dict_zuord_Meth_Pos[[#This Row],[ID_Positions]],"")</f>
        <v/>
      </c>
    </row>
    <row r="494" spans="1:4" x14ac:dyDescent="0.45">
      <c r="A494">
        <f ca="1">dict_zul_Var_Meth[ID_Methods]</f>
        <v>47</v>
      </c>
      <c r="B494">
        <f ca="1">dict_zul_Var_Meth[ID_Variables]</f>
        <v>131</v>
      </c>
      <c r="C4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4" t="str">
        <f ca="1">IF(dict_zuord_Meth_Pos[[#This Row],[kval_active]],dict_zuord_Meth_Pos[[#This Row],[ID_Positions]],"")</f>
        <v/>
      </c>
    </row>
    <row r="495" spans="1:4" x14ac:dyDescent="0.45">
      <c r="A495">
        <f ca="1">dict_zul_Var_Meth[ID_Methods]</f>
        <v>546</v>
      </c>
      <c r="B495">
        <f ca="1">dict_zul_Var_Meth[ID_Variables]</f>
        <v>132</v>
      </c>
      <c r="C4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5" t="str">
        <f ca="1">IF(dict_zuord_Meth_Pos[[#This Row],[kval_active]],dict_zuord_Meth_Pos[[#This Row],[ID_Positions]],"")</f>
        <v/>
      </c>
    </row>
    <row r="496" spans="1:4" x14ac:dyDescent="0.45">
      <c r="A496">
        <f ca="1">dict_zul_Var_Meth[ID_Methods]</f>
        <v>274</v>
      </c>
      <c r="B496">
        <f ca="1">dict_zul_Var_Meth[ID_Variables]</f>
        <v>132</v>
      </c>
      <c r="C4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6" t="str">
        <f ca="1">IF(dict_zuord_Meth_Pos[[#This Row],[kval_active]],dict_zuord_Meth_Pos[[#This Row],[ID_Positions]],"")</f>
        <v/>
      </c>
    </row>
    <row r="497" spans="1:4" x14ac:dyDescent="0.45">
      <c r="A497">
        <f ca="1">dict_zul_Var_Meth[ID_Methods]</f>
        <v>550</v>
      </c>
      <c r="B497">
        <f ca="1">dict_zul_Var_Meth[ID_Variables]</f>
        <v>132</v>
      </c>
      <c r="C4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7" t="str">
        <f ca="1">IF(dict_zuord_Meth_Pos[[#This Row],[kval_active]],dict_zuord_Meth_Pos[[#This Row],[ID_Positions]],"")</f>
        <v/>
      </c>
    </row>
    <row r="498" spans="1:4" x14ac:dyDescent="0.45">
      <c r="A498">
        <f ca="1">dict_zul_Var_Meth[ID_Methods]</f>
        <v>361</v>
      </c>
      <c r="B498">
        <f ca="1">dict_zul_Var_Meth[ID_Variables]</f>
        <v>132</v>
      </c>
      <c r="C4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8" t="str">
        <f ca="1">IF(dict_zuord_Meth_Pos[[#This Row],[kval_active]],dict_zuord_Meth_Pos[[#This Row],[ID_Positions]],"")</f>
        <v/>
      </c>
    </row>
    <row r="499" spans="1:4" x14ac:dyDescent="0.45">
      <c r="A499">
        <f ca="1">dict_zul_Var_Meth[ID_Methods]</f>
        <v>440</v>
      </c>
      <c r="B499">
        <f ca="1">dict_zul_Var_Meth[ID_Variables]</f>
        <v>133</v>
      </c>
      <c r="C4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499" t="str">
        <f ca="1">IF(dict_zuord_Meth_Pos[[#This Row],[kval_active]],dict_zuord_Meth_Pos[[#This Row],[ID_Positions]],"")</f>
        <v/>
      </c>
    </row>
    <row r="500" spans="1:4" x14ac:dyDescent="0.45">
      <c r="A500">
        <f ca="1">dict_zul_Var_Meth[ID_Methods]</f>
        <v>602</v>
      </c>
      <c r="B500">
        <f ca="1">dict_zul_Var_Meth[ID_Variables]</f>
        <v>133</v>
      </c>
      <c r="C5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0" t="str">
        <f ca="1">IF(dict_zuord_Meth_Pos[[#This Row],[kval_active]],dict_zuord_Meth_Pos[[#This Row],[ID_Positions]],"")</f>
        <v/>
      </c>
    </row>
    <row r="501" spans="1:4" x14ac:dyDescent="0.45">
      <c r="A501">
        <f ca="1">dict_zul_Var_Meth[ID_Methods]</f>
        <v>643</v>
      </c>
      <c r="B501">
        <f ca="1">dict_zul_Var_Meth[ID_Variables]</f>
        <v>133</v>
      </c>
      <c r="C5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1" t="str">
        <f ca="1">IF(dict_zuord_Meth_Pos[[#This Row],[kval_active]],dict_zuord_Meth_Pos[[#This Row],[ID_Positions]],"")</f>
        <v/>
      </c>
    </row>
    <row r="502" spans="1:4" x14ac:dyDescent="0.45">
      <c r="A502">
        <f ca="1">dict_zul_Var_Meth[ID_Methods]</f>
        <v>174</v>
      </c>
      <c r="B502">
        <f ca="1">dict_zul_Var_Meth[ID_Variables]</f>
        <v>133</v>
      </c>
      <c r="C5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2" t="str">
        <f ca="1">IF(dict_zuord_Meth_Pos[[#This Row],[kval_active]],dict_zuord_Meth_Pos[[#This Row],[ID_Positions]],"")</f>
        <v/>
      </c>
    </row>
    <row r="503" spans="1:4" x14ac:dyDescent="0.45">
      <c r="A503">
        <f ca="1">dict_zul_Var_Meth[ID_Methods]</f>
        <v>4</v>
      </c>
      <c r="B503">
        <f ca="1">dict_zul_Var_Meth[ID_Variables]</f>
        <v>133</v>
      </c>
      <c r="C5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3" t="str">
        <f ca="1">IF(dict_zuord_Meth_Pos[[#This Row],[kval_active]],dict_zuord_Meth_Pos[[#This Row],[ID_Positions]],"")</f>
        <v/>
      </c>
    </row>
    <row r="504" spans="1:4" x14ac:dyDescent="0.45">
      <c r="A504">
        <f ca="1">dict_zul_Var_Meth[ID_Methods]</f>
        <v>157</v>
      </c>
      <c r="B504">
        <f ca="1">dict_zul_Var_Meth[ID_Variables]</f>
        <v>134</v>
      </c>
      <c r="C5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4" t="str">
        <f ca="1">IF(dict_zuord_Meth_Pos[[#This Row],[kval_active]],dict_zuord_Meth_Pos[[#This Row],[ID_Positions]],"")</f>
        <v/>
      </c>
    </row>
    <row r="505" spans="1:4" x14ac:dyDescent="0.45">
      <c r="A505">
        <f ca="1">dict_zul_Var_Meth[ID_Methods]</f>
        <v>442</v>
      </c>
      <c r="B505">
        <f ca="1">dict_zul_Var_Meth[ID_Variables]</f>
        <v>134</v>
      </c>
      <c r="C5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5" t="str">
        <f ca="1">IF(dict_zuord_Meth_Pos[[#This Row],[kval_active]],dict_zuord_Meth_Pos[[#This Row],[ID_Positions]],"")</f>
        <v/>
      </c>
    </row>
    <row r="506" spans="1:4" x14ac:dyDescent="0.45">
      <c r="A506">
        <f ca="1">dict_zul_Var_Meth[ID_Methods]</f>
        <v>670</v>
      </c>
      <c r="B506">
        <f ca="1">dict_zul_Var_Meth[ID_Variables]</f>
        <v>134</v>
      </c>
      <c r="C5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6" t="str">
        <f ca="1">IF(dict_zuord_Meth_Pos[[#This Row],[kval_active]],dict_zuord_Meth_Pos[[#This Row],[ID_Positions]],"")</f>
        <v/>
      </c>
    </row>
    <row r="507" spans="1:4" x14ac:dyDescent="0.45">
      <c r="A507">
        <f ca="1">dict_zul_Var_Meth[ID_Methods]</f>
        <v>79</v>
      </c>
      <c r="B507">
        <f ca="1">dict_zul_Var_Meth[ID_Variables]</f>
        <v>135</v>
      </c>
      <c r="C5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7" t="str">
        <f ca="1">IF(dict_zuord_Meth_Pos[[#This Row],[kval_active]],dict_zuord_Meth_Pos[[#This Row],[ID_Positions]],"")</f>
        <v/>
      </c>
    </row>
    <row r="508" spans="1:4" x14ac:dyDescent="0.45">
      <c r="A508">
        <f ca="1">dict_zul_Var_Meth[ID_Methods]</f>
        <v>471</v>
      </c>
      <c r="B508">
        <f ca="1">dict_zul_Var_Meth[ID_Variables]</f>
        <v>135</v>
      </c>
      <c r="C5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8" t="str">
        <f ca="1">IF(dict_zuord_Meth_Pos[[#This Row],[kval_active]],dict_zuord_Meth_Pos[[#This Row],[ID_Positions]],"")</f>
        <v/>
      </c>
    </row>
    <row r="509" spans="1:4" x14ac:dyDescent="0.45">
      <c r="A509">
        <f ca="1">dict_zul_Var_Meth[ID_Methods]</f>
        <v>308</v>
      </c>
      <c r="B509">
        <f ca="1">dict_zul_Var_Meth[ID_Variables]</f>
        <v>135</v>
      </c>
      <c r="C5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09" t="str">
        <f ca="1">IF(dict_zuord_Meth_Pos[[#This Row],[kval_active]],dict_zuord_Meth_Pos[[#This Row],[ID_Positions]],"")</f>
        <v/>
      </c>
    </row>
    <row r="510" spans="1:4" x14ac:dyDescent="0.45">
      <c r="A510">
        <f ca="1">dict_zul_Var_Meth[ID_Methods]</f>
        <v>203</v>
      </c>
      <c r="B510">
        <f ca="1">dict_zul_Var_Meth[ID_Variables]</f>
        <v>136</v>
      </c>
      <c r="C5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0" t="str">
        <f ca="1">IF(dict_zuord_Meth_Pos[[#This Row],[kval_active]],dict_zuord_Meth_Pos[[#This Row],[ID_Positions]],"")</f>
        <v/>
      </c>
    </row>
    <row r="511" spans="1:4" x14ac:dyDescent="0.45">
      <c r="A511">
        <f ca="1">dict_zul_Var_Meth[ID_Methods]</f>
        <v>563</v>
      </c>
      <c r="B511">
        <f ca="1">dict_zul_Var_Meth[ID_Variables]</f>
        <v>136</v>
      </c>
      <c r="C5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1" t="str">
        <f ca="1">IF(dict_zuord_Meth_Pos[[#This Row],[kval_active]],dict_zuord_Meth_Pos[[#This Row],[ID_Positions]],"")</f>
        <v/>
      </c>
    </row>
    <row r="512" spans="1:4" x14ac:dyDescent="0.45">
      <c r="A512">
        <f ca="1">dict_zul_Var_Meth[ID_Methods]</f>
        <v>329</v>
      </c>
      <c r="B512">
        <f ca="1">dict_zul_Var_Meth[ID_Variables]</f>
        <v>136</v>
      </c>
      <c r="C5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2" t="str">
        <f ca="1">IF(dict_zuord_Meth_Pos[[#This Row],[kval_active]],dict_zuord_Meth_Pos[[#This Row],[ID_Positions]],"")</f>
        <v/>
      </c>
    </row>
    <row r="513" spans="1:4" x14ac:dyDescent="0.45">
      <c r="A513">
        <f ca="1">dict_zul_Var_Meth[ID_Methods]</f>
        <v>439</v>
      </c>
      <c r="B513">
        <f ca="1">dict_zul_Var_Meth[ID_Variables]</f>
        <v>136</v>
      </c>
      <c r="C5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3" t="str">
        <f ca="1">IF(dict_zuord_Meth_Pos[[#This Row],[kval_active]],dict_zuord_Meth_Pos[[#This Row],[ID_Positions]],"")</f>
        <v/>
      </c>
    </row>
    <row r="514" spans="1:4" x14ac:dyDescent="0.45">
      <c r="A514">
        <f ca="1">dict_zul_Var_Meth[ID_Methods]</f>
        <v>3</v>
      </c>
      <c r="B514">
        <f ca="1">dict_zul_Var_Meth[ID_Variables]</f>
        <v>137</v>
      </c>
      <c r="C5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4" t="str">
        <f ca="1">IF(dict_zuord_Meth_Pos[[#This Row],[kval_active]],dict_zuord_Meth_Pos[[#This Row],[ID_Positions]],"")</f>
        <v/>
      </c>
    </row>
    <row r="515" spans="1:4" x14ac:dyDescent="0.45">
      <c r="A515">
        <f ca="1">dict_zul_Var_Meth[ID_Methods]</f>
        <v>141</v>
      </c>
      <c r="B515">
        <f ca="1">dict_zul_Var_Meth[ID_Variables]</f>
        <v>137</v>
      </c>
      <c r="C5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5" t="str">
        <f ca="1">IF(dict_zuord_Meth_Pos[[#This Row],[kval_active]],dict_zuord_Meth_Pos[[#This Row],[ID_Positions]],"")</f>
        <v/>
      </c>
    </row>
    <row r="516" spans="1:4" x14ac:dyDescent="0.45">
      <c r="A516">
        <f ca="1">dict_zul_Var_Meth[ID_Methods]</f>
        <v>51</v>
      </c>
      <c r="B516">
        <f ca="1">dict_zul_Var_Meth[ID_Variables]</f>
        <v>137</v>
      </c>
      <c r="C5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6" t="str">
        <f ca="1">IF(dict_zuord_Meth_Pos[[#This Row],[kval_active]],dict_zuord_Meth_Pos[[#This Row],[ID_Positions]],"")</f>
        <v/>
      </c>
    </row>
    <row r="517" spans="1:4" x14ac:dyDescent="0.45">
      <c r="A517">
        <f ca="1">dict_zul_Var_Meth[ID_Methods]</f>
        <v>105</v>
      </c>
      <c r="B517">
        <f ca="1">dict_zul_Var_Meth[ID_Variables]</f>
        <v>137</v>
      </c>
      <c r="C5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7" t="str">
        <f ca="1">IF(dict_zuord_Meth_Pos[[#This Row],[kval_active]],dict_zuord_Meth_Pos[[#This Row],[ID_Positions]],"")</f>
        <v/>
      </c>
    </row>
    <row r="518" spans="1:4" x14ac:dyDescent="0.45">
      <c r="A518">
        <f ca="1">dict_zul_Var_Meth[ID_Methods]</f>
        <v>173</v>
      </c>
      <c r="B518">
        <f ca="1">dict_zul_Var_Meth[ID_Variables]</f>
        <v>138</v>
      </c>
      <c r="C5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8" t="str">
        <f ca="1">IF(dict_zuord_Meth_Pos[[#This Row],[kval_active]],dict_zuord_Meth_Pos[[#This Row],[ID_Positions]],"")</f>
        <v/>
      </c>
    </row>
    <row r="519" spans="1:4" x14ac:dyDescent="0.45">
      <c r="A519">
        <f ca="1">dict_zul_Var_Meth[ID_Methods]</f>
        <v>400</v>
      </c>
      <c r="B519">
        <f ca="1">dict_zul_Var_Meth[ID_Variables]</f>
        <v>138</v>
      </c>
      <c r="C5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19" t="str">
        <f ca="1">IF(dict_zuord_Meth_Pos[[#This Row],[kval_active]],dict_zuord_Meth_Pos[[#This Row],[ID_Positions]],"")</f>
        <v/>
      </c>
    </row>
    <row r="520" spans="1:4" x14ac:dyDescent="0.45">
      <c r="A520">
        <f ca="1">dict_zul_Var_Meth[ID_Methods]</f>
        <v>398</v>
      </c>
      <c r="B520">
        <f ca="1">dict_zul_Var_Meth[ID_Variables]</f>
        <v>139</v>
      </c>
      <c r="C5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0" t="str">
        <f ca="1">IF(dict_zuord_Meth_Pos[[#This Row],[kval_active]],dict_zuord_Meth_Pos[[#This Row],[ID_Positions]],"")</f>
        <v/>
      </c>
    </row>
    <row r="521" spans="1:4" x14ac:dyDescent="0.45">
      <c r="A521">
        <f ca="1">dict_zul_Var_Meth[ID_Methods]</f>
        <v>303</v>
      </c>
      <c r="B521">
        <f ca="1">dict_zul_Var_Meth[ID_Variables]</f>
        <v>139</v>
      </c>
      <c r="C5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1" t="str">
        <f ca="1">IF(dict_zuord_Meth_Pos[[#This Row],[kval_active]],dict_zuord_Meth_Pos[[#This Row],[ID_Positions]],"")</f>
        <v/>
      </c>
    </row>
    <row r="522" spans="1:4" x14ac:dyDescent="0.45">
      <c r="A522">
        <f ca="1">dict_zul_Var_Meth[ID_Methods]</f>
        <v>435</v>
      </c>
      <c r="B522">
        <f ca="1">dict_zul_Var_Meth[ID_Variables]</f>
        <v>139</v>
      </c>
      <c r="C5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2" t="str">
        <f ca="1">IF(dict_zuord_Meth_Pos[[#This Row],[kval_active]],dict_zuord_Meth_Pos[[#This Row],[ID_Positions]],"")</f>
        <v/>
      </c>
    </row>
    <row r="523" spans="1:4" x14ac:dyDescent="0.45">
      <c r="A523">
        <f ca="1">dict_zul_Var_Meth[ID_Methods]</f>
        <v>36</v>
      </c>
      <c r="B523">
        <f ca="1">dict_zul_Var_Meth[ID_Variables]</f>
        <v>139</v>
      </c>
      <c r="C5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3" t="str">
        <f ca="1">IF(dict_zuord_Meth_Pos[[#This Row],[kval_active]],dict_zuord_Meth_Pos[[#This Row],[ID_Positions]],"")</f>
        <v/>
      </c>
    </row>
    <row r="524" spans="1:4" x14ac:dyDescent="0.45">
      <c r="A524">
        <f ca="1">dict_zul_Var_Meth[ID_Methods]</f>
        <v>698</v>
      </c>
      <c r="B524">
        <f ca="1">dict_zul_Var_Meth[ID_Variables]</f>
        <v>140</v>
      </c>
      <c r="C5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4" t="str">
        <f ca="1">IF(dict_zuord_Meth_Pos[[#This Row],[kval_active]],dict_zuord_Meth_Pos[[#This Row],[ID_Positions]],"")</f>
        <v/>
      </c>
    </row>
    <row r="525" spans="1:4" x14ac:dyDescent="0.45">
      <c r="A525">
        <f ca="1">dict_zul_Var_Meth[ID_Methods]</f>
        <v>342</v>
      </c>
      <c r="B525">
        <f ca="1">dict_zul_Var_Meth[ID_Variables]</f>
        <v>140</v>
      </c>
      <c r="C5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5" t="str">
        <f ca="1">IF(dict_zuord_Meth_Pos[[#This Row],[kval_active]],dict_zuord_Meth_Pos[[#This Row],[ID_Positions]],"")</f>
        <v/>
      </c>
    </row>
    <row r="526" spans="1:4" x14ac:dyDescent="0.45">
      <c r="A526">
        <f ca="1">dict_zul_Var_Meth[ID_Methods]</f>
        <v>318</v>
      </c>
      <c r="B526">
        <f ca="1">dict_zul_Var_Meth[ID_Variables]</f>
        <v>140</v>
      </c>
      <c r="C5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6" t="str">
        <f ca="1">IF(dict_zuord_Meth_Pos[[#This Row],[kval_active]],dict_zuord_Meth_Pos[[#This Row],[ID_Positions]],"")</f>
        <v/>
      </c>
    </row>
    <row r="527" spans="1:4" x14ac:dyDescent="0.45">
      <c r="A527">
        <f ca="1">dict_zul_Var_Meth[ID_Methods]</f>
        <v>647</v>
      </c>
      <c r="B527">
        <f ca="1">dict_zul_Var_Meth[ID_Variables]</f>
        <v>140</v>
      </c>
      <c r="C5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7" t="str">
        <f ca="1">IF(dict_zuord_Meth_Pos[[#This Row],[kval_active]],dict_zuord_Meth_Pos[[#This Row],[ID_Positions]],"")</f>
        <v/>
      </c>
    </row>
    <row r="528" spans="1:4" x14ac:dyDescent="0.45">
      <c r="A528">
        <f ca="1">dict_zul_Var_Meth[ID_Methods]</f>
        <v>224</v>
      </c>
      <c r="B528">
        <f ca="1">dict_zul_Var_Meth[ID_Variables]</f>
        <v>140</v>
      </c>
      <c r="C5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8" t="str">
        <f ca="1">IF(dict_zuord_Meth_Pos[[#This Row],[kval_active]],dict_zuord_Meth_Pos[[#This Row],[ID_Positions]],"")</f>
        <v/>
      </c>
    </row>
    <row r="529" spans="1:4" x14ac:dyDescent="0.45">
      <c r="A529">
        <f ca="1">dict_zul_Var_Meth[ID_Methods]</f>
        <v>142</v>
      </c>
      <c r="B529">
        <f ca="1">dict_zul_Var_Meth[ID_Variables]</f>
        <v>140</v>
      </c>
      <c r="C5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29" t="str">
        <f ca="1">IF(dict_zuord_Meth_Pos[[#This Row],[kval_active]],dict_zuord_Meth_Pos[[#This Row],[ID_Positions]],"")</f>
        <v/>
      </c>
    </row>
    <row r="530" spans="1:4" x14ac:dyDescent="0.45">
      <c r="A530">
        <f ca="1">dict_zul_Var_Meth[ID_Methods]</f>
        <v>343</v>
      </c>
      <c r="B530">
        <f ca="1">dict_zul_Var_Meth[ID_Variables]</f>
        <v>141</v>
      </c>
      <c r="C5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0" t="str">
        <f ca="1">IF(dict_zuord_Meth_Pos[[#This Row],[kval_active]],dict_zuord_Meth_Pos[[#This Row],[ID_Positions]],"")</f>
        <v/>
      </c>
    </row>
    <row r="531" spans="1:4" x14ac:dyDescent="0.45">
      <c r="A531">
        <f ca="1">dict_zul_Var_Meth[ID_Methods]</f>
        <v>339</v>
      </c>
      <c r="B531">
        <f ca="1">dict_zul_Var_Meth[ID_Variables]</f>
        <v>141</v>
      </c>
      <c r="C5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1" t="str">
        <f ca="1">IF(dict_zuord_Meth_Pos[[#This Row],[kval_active]],dict_zuord_Meth_Pos[[#This Row],[ID_Positions]],"")</f>
        <v/>
      </c>
    </row>
    <row r="532" spans="1:4" x14ac:dyDescent="0.45">
      <c r="A532">
        <f ca="1">dict_zul_Var_Meth[ID_Methods]</f>
        <v>673</v>
      </c>
      <c r="B532">
        <f ca="1">dict_zul_Var_Meth[ID_Variables]</f>
        <v>141</v>
      </c>
      <c r="C5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2" t="str">
        <f ca="1">IF(dict_zuord_Meth_Pos[[#This Row],[kval_active]],dict_zuord_Meth_Pos[[#This Row],[ID_Positions]],"")</f>
        <v/>
      </c>
    </row>
    <row r="533" spans="1:4" x14ac:dyDescent="0.45">
      <c r="A533">
        <f ca="1">dict_zul_Var_Meth[ID_Methods]</f>
        <v>271</v>
      </c>
      <c r="B533">
        <f ca="1">dict_zul_Var_Meth[ID_Variables]</f>
        <v>141</v>
      </c>
      <c r="C5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3" t="str">
        <f ca="1">IF(dict_zuord_Meth_Pos[[#This Row],[kval_active]],dict_zuord_Meth_Pos[[#This Row],[ID_Positions]],"")</f>
        <v/>
      </c>
    </row>
    <row r="534" spans="1:4" x14ac:dyDescent="0.45">
      <c r="A534">
        <f ca="1">dict_zul_Var_Meth[ID_Methods]</f>
        <v>353</v>
      </c>
      <c r="B534">
        <f ca="1">dict_zul_Var_Meth[ID_Variables]</f>
        <v>142</v>
      </c>
      <c r="C5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4" t="str">
        <f ca="1">IF(dict_zuord_Meth_Pos[[#This Row],[kval_active]],dict_zuord_Meth_Pos[[#This Row],[ID_Positions]],"")</f>
        <v/>
      </c>
    </row>
    <row r="535" spans="1:4" x14ac:dyDescent="0.45">
      <c r="A535">
        <f ca="1">dict_zul_Var_Meth[ID_Methods]</f>
        <v>76</v>
      </c>
      <c r="B535">
        <f ca="1">dict_zul_Var_Meth[ID_Variables]</f>
        <v>143</v>
      </c>
      <c r="C5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5" t="str">
        <f ca="1">IF(dict_zuord_Meth_Pos[[#This Row],[kval_active]],dict_zuord_Meth_Pos[[#This Row],[ID_Positions]],"")</f>
        <v/>
      </c>
    </row>
    <row r="536" spans="1:4" x14ac:dyDescent="0.45">
      <c r="A536">
        <f ca="1">dict_zul_Var_Meth[ID_Methods]</f>
        <v>649</v>
      </c>
      <c r="B536">
        <f ca="1">dict_zul_Var_Meth[ID_Variables]</f>
        <v>143</v>
      </c>
      <c r="C5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6" t="str">
        <f ca="1">IF(dict_zuord_Meth_Pos[[#This Row],[kval_active]],dict_zuord_Meth_Pos[[#This Row],[ID_Positions]],"")</f>
        <v/>
      </c>
    </row>
    <row r="537" spans="1:4" x14ac:dyDescent="0.45">
      <c r="A537">
        <f ca="1">dict_zul_Var_Meth[ID_Methods]</f>
        <v>89</v>
      </c>
      <c r="B537">
        <f ca="1">dict_zul_Var_Meth[ID_Variables]</f>
        <v>143</v>
      </c>
      <c r="C5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7" t="str">
        <f ca="1">IF(dict_zuord_Meth_Pos[[#This Row],[kval_active]],dict_zuord_Meth_Pos[[#This Row],[ID_Positions]],"")</f>
        <v/>
      </c>
    </row>
    <row r="538" spans="1:4" x14ac:dyDescent="0.45">
      <c r="A538">
        <f ca="1">dict_zul_Var_Meth[ID_Methods]</f>
        <v>539</v>
      </c>
      <c r="B538">
        <f ca="1">dict_zul_Var_Meth[ID_Variables]</f>
        <v>143</v>
      </c>
      <c r="C5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8" t="str">
        <f ca="1">IF(dict_zuord_Meth_Pos[[#This Row],[kval_active]],dict_zuord_Meth_Pos[[#This Row],[ID_Positions]],"")</f>
        <v/>
      </c>
    </row>
    <row r="539" spans="1:4" x14ac:dyDescent="0.45">
      <c r="A539">
        <f ca="1">dict_zul_Var_Meth[ID_Methods]</f>
        <v>513</v>
      </c>
      <c r="B539">
        <f ca="1">dict_zul_Var_Meth[ID_Variables]</f>
        <v>144</v>
      </c>
      <c r="C5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39" t="str">
        <f ca="1">IF(dict_zuord_Meth_Pos[[#This Row],[kval_active]],dict_zuord_Meth_Pos[[#This Row],[ID_Positions]],"")</f>
        <v/>
      </c>
    </row>
    <row r="540" spans="1:4" x14ac:dyDescent="0.45">
      <c r="A540">
        <f ca="1">dict_zul_Var_Meth[ID_Methods]</f>
        <v>423</v>
      </c>
      <c r="B540">
        <f ca="1">dict_zul_Var_Meth[ID_Variables]</f>
        <v>144</v>
      </c>
      <c r="C5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0" t="str">
        <f ca="1">IF(dict_zuord_Meth_Pos[[#This Row],[kval_active]],dict_zuord_Meth_Pos[[#This Row],[ID_Positions]],"")</f>
        <v/>
      </c>
    </row>
    <row r="541" spans="1:4" x14ac:dyDescent="0.45">
      <c r="A541">
        <f ca="1">dict_zul_Var_Meth[ID_Methods]</f>
        <v>277</v>
      </c>
      <c r="B541">
        <f ca="1">dict_zul_Var_Meth[ID_Variables]</f>
        <v>144</v>
      </c>
      <c r="C5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1" t="str">
        <f ca="1">IF(dict_zuord_Meth_Pos[[#This Row],[kval_active]],dict_zuord_Meth_Pos[[#This Row],[ID_Positions]],"")</f>
        <v/>
      </c>
    </row>
    <row r="542" spans="1:4" x14ac:dyDescent="0.45">
      <c r="A542">
        <f ca="1">dict_zul_Var_Meth[ID_Methods]</f>
        <v>11</v>
      </c>
      <c r="B542">
        <f ca="1">dict_zul_Var_Meth[ID_Variables]</f>
        <v>144</v>
      </c>
      <c r="C5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2" t="str">
        <f ca="1">IF(dict_zuord_Meth_Pos[[#This Row],[kval_active]],dict_zuord_Meth_Pos[[#This Row],[ID_Positions]],"")</f>
        <v/>
      </c>
    </row>
    <row r="543" spans="1:4" x14ac:dyDescent="0.45">
      <c r="A543">
        <f ca="1">dict_zul_Var_Meth[ID_Methods]</f>
        <v>515</v>
      </c>
      <c r="B543">
        <f ca="1">dict_zul_Var_Meth[ID_Variables]</f>
        <v>144</v>
      </c>
      <c r="C5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3" t="str">
        <f ca="1">IF(dict_zuord_Meth_Pos[[#This Row],[kval_active]],dict_zuord_Meth_Pos[[#This Row],[ID_Positions]],"")</f>
        <v/>
      </c>
    </row>
    <row r="544" spans="1:4" x14ac:dyDescent="0.45">
      <c r="A544">
        <f ca="1">dict_zul_Var_Meth[ID_Methods]</f>
        <v>603</v>
      </c>
      <c r="B544">
        <f ca="1">dict_zul_Var_Meth[ID_Variables]</f>
        <v>145</v>
      </c>
      <c r="C5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4" t="str">
        <f ca="1">IF(dict_zuord_Meth_Pos[[#This Row],[kval_active]],dict_zuord_Meth_Pos[[#This Row],[ID_Positions]],"")</f>
        <v/>
      </c>
    </row>
    <row r="545" spans="1:4" x14ac:dyDescent="0.45">
      <c r="A545">
        <f ca="1">dict_zul_Var_Meth[ID_Methods]</f>
        <v>86</v>
      </c>
      <c r="B545">
        <f ca="1">dict_zul_Var_Meth[ID_Variables]</f>
        <v>145</v>
      </c>
      <c r="C5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5" t="str">
        <f ca="1">IF(dict_zuord_Meth_Pos[[#This Row],[kval_active]],dict_zuord_Meth_Pos[[#This Row],[ID_Positions]],"")</f>
        <v/>
      </c>
    </row>
    <row r="546" spans="1:4" x14ac:dyDescent="0.45">
      <c r="A546">
        <f ca="1">dict_zul_Var_Meth[ID_Methods]</f>
        <v>237</v>
      </c>
      <c r="B546">
        <f ca="1">dict_zul_Var_Meth[ID_Variables]</f>
        <v>145</v>
      </c>
      <c r="C5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6" t="str">
        <f ca="1">IF(dict_zuord_Meth_Pos[[#This Row],[kval_active]],dict_zuord_Meth_Pos[[#This Row],[ID_Positions]],"")</f>
        <v/>
      </c>
    </row>
    <row r="547" spans="1:4" x14ac:dyDescent="0.45">
      <c r="A547">
        <f ca="1">dict_zul_Var_Meth[ID_Methods]</f>
        <v>658</v>
      </c>
      <c r="B547">
        <f ca="1">dict_zul_Var_Meth[ID_Variables]</f>
        <v>145</v>
      </c>
      <c r="C5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7" t="str">
        <f ca="1">IF(dict_zuord_Meth_Pos[[#This Row],[kval_active]],dict_zuord_Meth_Pos[[#This Row],[ID_Positions]],"")</f>
        <v/>
      </c>
    </row>
    <row r="548" spans="1:4" x14ac:dyDescent="0.45">
      <c r="A548">
        <f ca="1">dict_zul_Var_Meth[ID_Methods]</f>
        <v>99</v>
      </c>
      <c r="B548">
        <f ca="1">dict_zul_Var_Meth[ID_Variables]</f>
        <v>145</v>
      </c>
      <c r="C5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8" t="str">
        <f ca="1">IF(dict_zuord_Meth_Pos[[#This Row],[kval_active]],dict_zuord_Meth_Pos[[#This Row],[ID_Positions]],"")</f>
        <v/>
      </c>
    </row>
    <row r="549" spans="1:4" x14ac:dyDescent="0.45">
      <c r="A549">
        <f ca="1">dict_zul_Var_Meth[ID_Methods]</f>
        <v>164</v>
      </c>
      <c r="B549">
        <f ca="1">dict_zul_Var_Meth[ID_Variables]</f>
        <v>146</v>
      </c>
      <c r="C5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49" t="str">
        <f ca="1">IF(dict_zuord_Meth_Pos[[#This Row],[kval_active]],dict_zuord_Meth_Pos[[#This Row],[ID_Positions]],"")</f>
        <v/>
      </c>
    </row>
    <row r="550" spans="1:4" x14ac:dyDescent="0.45">
      <c r="A550">
        <f ca="1">dict_zul_Var_Meth[ID_Methods]</f>
        <v>654</v>
      </c>
      <c r="B550">
        <f ca="1">dict_zul_Var_Meth[ID_Variables]</f>
        <v>146</v>
      </c>
      <c r="C5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0" t="str">
        <f ca="1">IF(dict_zuord_Meth_Pos[[#This Row],[kval_active]],dict_zuord_Meth_Pos[[#This Row],[ID_Positions]],"")</f>
        <v/>
      </c>
    </row>
    <row r="551" spans="1:4" x14ac:dyDescent="0.45">
      <c r="A551">
        <f ca="1">dict_zul_Var_Meth[ID_Methods]</f>
        <v>231</v>
      </c>
      <c r="B551">
        <f ca="1">dict_zul_Var_Meth[ID_Variables]</f>
        <v>147</v>
      </c>
      <c r="C5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1" t="str">
        <f ca="1">IF(dict_zuord_Meth_Pos[[#This Row],[kval_active]],dict_zuord_Meth_Pos[[#This Row],[ID_Positions]],"")</f>
        <v/>
      </c>
    </row>
    <row r="552" spans="1:4" x14ac:dyDescent="0.45">
      <c r="A552">
        <f ca="1">dict_zul_Var_Meth[ID_Methods]</f>
        <v>23</v>
      </c>
      <c r="B552">
        <f ca="1">dict_zul_Var_Meth[ID_Variables]</f>
        <v>147</v>
      </c>
      <c r="C5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2" t="str">
        <f ca="1">IF(dict_zuord_Meth_Pos[[#This Row],[kval_active]],dict_zuord_Meth_Pos[[#This Row],[ID_Positions]],"")</f>
        <v/>
      </c>
    </row>
    <row r="553" spans="1:4" x14ac:dyDescent="0.45">
      <c r="A553">
        <f ca="1">dict_zul_Var_Meth[ID_Methods]</f>
        <v>481</v>
      </c>
      <c r="B553">
        <f ca="1">dict_zul_Var_Meth[ID_Variables]</f>
        <v>147</v>
      </c>
      <c r="C5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3" t="str">
        <f ca="1">IF(dict_zuord_Meth_Pos[[#This Row],[kval_active]],dict_zuord_Meth_Pos[[#This Row],[ID_Positions]],"")</f>
        <v/>
      </c>
    </row>
    <row r="554" spans="1:4" x14ac:dyDescent="0.45">
      <c r="A554">
        <f ca="1">dict_zul_Var_Meth[ID_Methods]</f>
        <v>648</v>
      </c>
      <c r="B554">
        <f ca="1">dict_zul_Var_Meth[ID_Variables]</f>
        <v>147</v>
      </c>
      <c r="C5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4" t="str">
        <f ca="1">IF(dict_zuord_Meth_Pos[[#This Row],[kval_active]],dict_zuord_Meth_Pos[[#This Row],[ID_Positions]],"")</f>
        <v/>
      </c>
    </row>
    <row r="555" spans="1:4" x14ac:dyDescent="0.45">
      <c r="A555">
        <f ca="1">dict_zul_Var_Meth[ID_Methods]</f>
        <v>170</v>
      </c>
      <c r="B555">
        <f ca="1">dict_zul_Var_Meth[ID_Variables]</f>
        <v>147</v>
      </c>
      <c r="C5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5" t="str">
        <f ca="1">IF(dict_zuord_Meth_Pos[[#This Row],[kval_active]],dict_zuord_Meth_Pos[[#This Row],[ID_Positions]],"")</f>
        <v/>
      </c>
    </row>
    <row r="556" spans="1:4" x14ac:dyDescent="0.45">
      <c r="A556">
        <f ca="1">dict_zul_Var_Meth[ID_Methods]</f>
        <v>633</v>
      </c>
      <c r="B556">
        <f ca="1">dict_zul_Var_Meth[ID_Variables]</f>
        <v>148</v>
      </c>
      <c r="C5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6" t="str">
        <f ca="1">IF(dict_zuord_Meth_Pos[[#This Row],[kval_active]],dict_zuord_Meth_Pos[[#This Row],[ID_Positions]],"")</f>
        <v/>
      </c>
    </row>
    <row r="557" spans="1:4" x14ac:dyDescent="0.45">
      <c r="A557">
        <f ca="1">dict_zul_Var_Meth[ID_Methods]</f>
        <v>286</v>
      </c>
      <c r="B557">
        <f ca="1">dict_zul_Var_Meth[ID_Variables]</f>
        <v>148</v>
      </c>
      <c r="C5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7" t="str">
        <f ca="1">IF(dict_zuord_Meth_Pos[[#This Row],[kval_active]],dict_zuord_Meth_Pos[[#This Row],[ID_Positions]],"")</f>
        <v/>
      </c>
    </row>
    <row r="558" spans="1:4" x14ac:dyDescent="0.45">
      <c r="A558">
        <f ca="1">dict_zul_Var_Meth[ID_Methods]</f>
        <v>487</v>
      </c>
      <c r="B558">
        <f ca="1">dict_zul_Var_Meth[ID_Variables]</f>
        <v>149</v>
      </c>
      <c r="C5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8" t="str">
        <f ca="1">IF(dict_zuord_Meth_Pos[[#This Row],[kval_active]],dict_zuord_Meth_Pos[[#This Row],[ID_Positions]],"")</f>
        <v/>
      </c>
    </row>
    <row r="559" spans="1:4" x14ac:dyDescent="0.45">
      <c r="A559">
        <f ca="1">dict_zul_Var_Meth[ID_Methods]</f>
        <v>422</v>
      </c>
      <c r="B559">
        <f ca="1">dict_zul_Var_Meth[ID_Variables]</f>
        <v>149</v>
      </c>
      <c r="C5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59" t="str">
        <f ca="1">IF(dict_zuord_Meth_Pos[[#This Row],[kval_active]],dict_zuord_Meth_Pos[[#This Row],[ID_Positions]],"")</f>
        <v/>
      </c>
    </row>
    <row r="560" spans="1:4" x14ac:dyDescent="0.45">
      <c r="A560">
        <f ca="1">dict_zul_Var_Meth[ID_Methods]</f>
        <v>687</v>
      </c>
      <c r="B560">
        <f ca="1">dict_zul_Var_Meth[ID_Variables]</f>
        <v>149</v>
      </c>
      <c r="C5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0" t="str">
        <f ca="1">IF(dict_zuord_Meth_Pos[[#This Row],[kval_active]],dict_zuord_Meth_Pos[[#This Row],[ID_Positions]],"")</f>
        <v/>
      </c>
    </row>
    <row r="561" spans="1:4" x14ac:dyDescent="0.45">
      <c r="A561">
        <f ca="1">dict_zul_Var_Meth[ID_Methods]</f>
        <v>576</v>
      </c>
      <c r="B561">
        <f ca="1">dict_zul_Var_Meth[ID_Variables]</f>
        <v>149</v>
      </c>
      <c r="C5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1" t="str">
        <f ca="1">IF(dict_zuord_Meth_Pos[[#This Row],[kval_active]],dict_zuord_Meth_Pos[[#This Row],[ID_Positions]],"")</f>
        <v/>
      </c>
    </row>
    <row r="562" spans="1:4" x14ac:dyDescent="0.45">
      <c r="A562">
        <f ca="1">dict_zul_Var_Meth[ID_Methods]</f>
        <v>547</v>
      </c>
      <c r="B562">
        <f ca="1">dict_zul_Var_Meth[ID_Variables]</f>
        <v>149</v>
      </c>
      <c r="C5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2" t="str">
        <f ca="1">IF(dict_zuord_Meth_Pos[[#This Row],[kval_active]],dict_zuord_Meth_Pos[[#This Row],[ID_Positions]],"")</f>
        <v/>
      </c>
    </row>
    <row r="563" spans="1:4" x14ac:dyDescent="0.45">
      <c r="A563">
        <f ca="1">dict_zul_Var_Meth[ID_Methods]</f>
        <v>138</v>
      </c>
      <c r="B563">
        <f ca="1">dict_zul_Var_Meth[ID_Variables]</f>
        <v>150</v>
      </c>
      <c r="C5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3" t="str">
        <f ca="1">IF(dict_zuord_Meth_Pos[[#This Row],[kval_active]],dict_zuord_Meth_Pos[[#This Row],[ID_Positions]],"")</f>
        <v/>
      </c>
    </row>
    <row r="564" spans="1:4" x14ac:dyDescent="0.45">
      <c r="A564">
        <f ca="1">dict_zul_Var_Meth[ID_Methods]</f>
        <v>47</v>
      </c>
      <c r="B564">
        <f ca="1">dict_zul_Var_Meth[ID_Variables]</f>
        <v>150</v>
      </c>
      <c r="C5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4" t="str">
        <f ca="1">IF(dict_zuord_Meth_Pos[[#This Row],[kval_active]],dict_zuord_Meth_Pos[[#This Row],[ID_Positions]],"")</f>
        <v/>
      </c>
    </row>
    <row r="565" spans="1:4" x14ac:dyDescent="0.45">
      <c r="A565">
        <f ca="1">dict_zul_Var_Meth[ID_Methods]</f>
        <v>350</v>
      </c>
      <c r="B565">
        <f ca="1">dict_zul_Var_Meth[ID_Variables]</f>
        <v>150</v>
      </c>
      <c r="C5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5" t="str">
        <f ca="1">IF(dict_zuord_Meth_Pos[[#This Row],[kval_active]],dict_zuord_Meth_Pos[[#This Row],[ID_Positions]],"")</f>
        <v/>
      </c>
    </row>
    <row r="566" spans="1:4" x14ac:dyDescent="0.45">
      <c r="A566">
        <f ca="1">dict_zul_Var_Meth[ID_Methods]</f>
        <v>107</v>
      </c>
      <c r="B566">
        <f ca="1">dict_zul_Var_Meth[ID_Variables]</f>
        <v>150</v>
      </c>
      <c r="C5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6" t="str">
        <f ca="1">IF(dict_zuord_Meth_Pos[[#This Row],[kval_active]],dict_zuord_Meth_Pos[[#This Row],[ID_Positions]],"")</f>
        <v/>
      </c>
    </row>
    <row r="567" spans="1:4" x14ac:dyDescent="0.45">
      <c r="A567">
        <f ca="1">dict_zul_Var_Meth[ID_Methods]</f>
        <v>507</v>
      </c>
      <c r="B567">
        <f ca="1">dict_zul_Var_Meth[ID_Variables]</f>
        <v>151</v>
      </c>
      <c r="C5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7" t="str">
        <f ca="1">IF(dict_zuord_Meth_Pos[[#This Row],[kval_active]],dict_zuord_Meth_Pos[[#This Row],[ID_Positions]],"")</f>
        <v/>
      </c>
    </row>
    <row r="568" spans="1:4" x14ac:dyDescent="0.45">
      <c r="A568">
        <f ca="1">dict_zul_Var_Meth[ID_Methods]</f>
        <v>266</v>
      </c>
      <c r="B568">
        <f ca="1">dict_zul_Var_Meth[ID_Variables]</f>
        <v>151</v>
      </c>
      <c r="C5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8" t="str">
        <f ca="1">IF(dict_zuord_Meth_Pos[[#This Row],[kval_active]],dict_zuord_Meth_Pos[[#This Row],[ID_Positions]],"")</f>
        <v/>
      </c>
    </row>
    <row r="569" spans="1:4" x14ac:dyDescent="0.45">
      <c r="A569">
        <f ca="1">dict_zul_Var_Meth[ID_Methods]</f>
        <v>246</v>
      </c>
      <c r="B569">
        <f ca="1">dict_zul_Var_Meth[ID_Variables]</f>
        <v>151</v>
      </c>
      <c r="C5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69" t="str">
        <f ca="1">IF(dict_zuord_Meth_Pos[[#This Row],[kval_active]],dict_zuord_Meth_Pos[[#This Row],[ID_Positions]],"")</f>
        <v/>
      </c>
    </row>
    <row r="570" spans="1:4" x14ac:dyDescent="0.45">
      <c r="A570">
        <f ca="1">dict_zul_Var_Meth[ID_Methods]</f>
        <v>536</v>
      </c>
      <c r="B570">
        <f ca="1">dict_zul_Var_Meth[ID_Variables]</f>
        <v>151</v>
      </c>
      <c r="C5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0" t="str">
        <f ca="1">IF(dict_zuord_Meth_Pos[[#This Row],[kval_active]],dict_zuord_Meth_Pos[[#This Row],[ID_Positions]],"")</f>
        <v/>
      </c>
    </row>
    <row r="571" spans="1:4" x14ac:dyDescent="0.45">
      <c r="A571">
        <f ca="1">dict_zul_Var_Meth[ID_Methods]</f>
        <v>374</v>
      </c>
      <c r="B571">
        <f ca="1">dict_zul_Var_Meth[ID_Variables]</f>
        <v>152</v>
      </c>
      <c r="C5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1" t="str">
        <f ca="1">IF(dict_zuord_Meth_Pos[[#This Row],[kval_active]],dict_zuord_Meth_Pos[[#This Row],[ID_Positions]],"")</f>
        <v/>
      </c>
    </row>
    <row r="572" spans="1:4" x14ac:dyDescent="0.45">
      <c r="A572">
        <f ca="1">dict_zul_Var_Meth[ID_Methods]</f>
        <v>0</v>
      </c>
      <c r="B572">
        <f ca="1">dict_zul_Var_Meth[ID_Variables]</f>
        <v>152</v>
      </c>
      <c r="C5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2" t="str">
        <f ca="1">IF(dict_zuord_Meth_Pos[[#This Row],[kval_active]],dict_zuord_Meth_Pos[[#This Row],[ID_Positions]],"")</f>
        <v/>
      </c>
    </row>
    <row r="573" spans="1:4" x14ac:dyDescent="0.45">
      <c r="A573">
        <f ca="1">dict_zul_Var_Meth[ID_Methods]</f>
        <v>519</v>
      </c>
      <c r="B573">
        <f ca="1">dict_zul_Var_Meth[ID_Variables]</f>
        <v>152</v>
      </c>
      <c r="C5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3" t="str">
        <f ca="1">IF(dict_zuord_Meth_Pos[[#This Row],[kval_active]],dict_zuord_Meth_Pos[[#This Row],[ID_Positions]],"")</f>
        <v/>
      </c>
    </row>
    <row r="574" spans="1:4" x14ac:dyDescent="0.45">
      <c r="A574">
        <f ca="1">dict_zul_Var_Meth[ID_Methods]</f>
        <v>683</v>
      </c>
      <c r="B574">
        <f ca="1">dict_zul_Var_Meth[ID_Variables]</f>
        <v>153</v>
      </c>
      <c r="C5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4" t="str">
        <f ca="1">IF(dict_zuord_Meth_Pos[[#This Row],[kval_active]],dict_zuord_Meth_Pos[[#This Row],[ID_Positions]],"")</f>
        <v/>
      </c>
    </row>
    <row r="575" spans="1:4" x14ac:dyDescent="0.45">
      <c r="A575">
        <f ca="1">dict_zul_Var_Meth[ID_Methods]</f>
        <v>609</v>
      </c>
      <c r="B575">
        <f ca="1">dict_zul_Var_Meth[ID_Variables]</f>
        <v>153</v>
      </c>
      <c r="C5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5" t="str">
        <f ca="1">IF(dict_zuord_Meth_Pos[[#This Row],[kval_active]],dict_zuord_Meth_Pos[[#This Row],[ID_Positions]],"")</f>
        <v/>
      </c>
    </row>
    <row r="576" spans="1:4" x14ac:dyDescent="0.45">
      <c r="A576">
        <f ca="1">dict_zul_Var_Meth[ID_Methods]</f>
        <v>386</v>
      </c>
      <c r="B576">
        <f ca="1">dict_zul_Var_Meth[ID_Variables]</f>
        <v>153</v>
      </c>
      <c r="C5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6" t="str">
        <f ca="1">IF(dict_zuord_Meth_Pos[[#This Row],[kval_active]],dict_zuord_Meth_Pos[[#This Row],[ID_Positions]],"")</f>
        <v/>
      </c>
    </row>
    <row r="577" spans="1:4" x14ac:dyDescent="0.45">
      <c r="A577">
        <f ca="1">dict_zul_Var_Meth[ID_Methods]</f>
        <v>653</v>
      </c>
      <c r="B577">
        <f ca="1">dict_zul_Var_Meth[ID_Variables]</f>
        <v>153</v>
      </c>
      <c r="C5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7" t="str">
        <f ca="1">IF(dict_zuord_Meth_Pos[[#This Row],[kval_active]],dict_zuord_Meth_Pos[[#This Row],[ID_Positions]],"")</f>
        <v/>
      </c>
    </row>
    <row r="578" spans="1:4" x14ac:dyDescent="0.45">
      <c r="A578">
        <f ca="1">dict_zul_Var_Meth[ID_Methods]</f>
        <v>336</v>
      </c>
      <c r="B578">
        <f ca="1">dict_zul_Var_Meth[ID_Variables]</f>
        <v>154</v>
      </c>
      <c r="C5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8" t="str">
        <f ca="1">IF(dict_zuord_Meth_Pos[[#This Row],[kval_active]],dict_zuord_Meth_Pos[[#This Row],[ID_Positions]],"")</f>
        <v/>
      </c>
    </row>
    <row r="579" spans="1:4" x14ac:dyDescent="0.45">
      <c r="A579">
        <f ca="1">dict_zul_Var_Meth[ID_Methods]</f>
        <v>226</v>
      </c>
      <c r="B579">
        <f ca="1">dict_zul_Var_Meth[ID_Variables]</f>
        <v>154</v>
      </c>
      <c r="C5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79" t="str">
        <f ca="1">IF(dict_zuord_Meth_Pos[[#This Row],[kval_active]],dict_zuord_Meth_Pos[[#This Row],[ID_Positions]],"")</f>
        <v/>
      </c>
    </row>
    <row r="580" spans="1:4" x14ac:dyDescent="0.45">
      <c r="A580">
        <f ca="1">dict_zul_Var_Meth[ID_Methods]</f>
        <v>69</v>
      </c>
      <c r="B580">
        <f ca="1">dict_zul_Var_Meth[ID_Variables]</f>
        <v>154</v>
      </c>
      <c r="C5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0" t="str">
        <f ca="1">IF(dict_zuord_Meth_Pos[[#This Row],[kval_active]],dict_zuord_Meth_Pos[[#This Row],[ID_Positions]],"")</f>
        <v/>
      </c>
    </row>
    <row r="581" spans="1:4" x14ac:dyDescent="0.45">
      <c r="A581">
        <f ca="1">dict_zul_Var_Meth[ID_Methods]</f>
        <v>17</v>
      </c>
      <c r="B581">
        <f ca="1">dict_zul_Var_Meth[ID_Variables]</f>
        <v>155</v>
      </c>
      <c r="C5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1" t="str">
        <f ca="1">IF(dict_zuord_Meth_Pos[[#This Row],[kval_active]],dict_zuord_Meth_Pos[[#This Row],[ID_Positions]],"")</f>
        <v/>
      </c>
    </row>
    <row r="582" spans="1:4" x14ac:dyDescent="0.45">
      <c r="A582">
        <f ca="1">dict_zul_Var_Meth[ID_Methods]</f>
        <v>347</v>
      </c>
      <c r="B582">
        <f ca="1">dict_zul_Var_Meth[ID_Variables]</f>
        <v>155</v>
      </c>
      <c r="C5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2" t="str">
        <f ca="1">IF(dict_zuord_Meth_Pos[[#This Row],[kval_active]],dict_zuord_Meth_Pos[[#This Row],[ID_Positions]],"")</f>
        <v/>
      </c>
    </row>
    <row r="583" spans="1:4" x14ac:dyDescent="0.45">
      <c r="A583">
        <f ca="1">dict_zul_Var_Meth[ID_Methods]</f>
        <v>276</v>
      </c>
      <c r="B583">
        <f ca="1">dict_zul_Var_Meth[ID_Variables]</f>
        <v>155</v>
      </c>
      <c r="C5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3" t="str">
        <f ca="1">IF(dict_zuord_Meth_Pos[[#This Row],[kval_active]],dict_zuord_Meth_Pos[[#This Row],[ID_Positions]],"")</f>
        <v/>
      </c>
    </row>
    <row r="584" spans="1:4" x14ac:dyDescent="0.45">
      <c r="A584">
        <f ca="1">dict_zul_Var_Meth[ID_Methods]</f>
        <v>44</v>
      </c>
      <c r="B584">
        <f ca="1">dict_zul_Var_Meth[ID_Variables]</f>
        <v>156</v>
      </c>
      <c r="C5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4" t="str">
        <f ca="1">IF(dict_zuord_Meth_Pos[[#This Row],[kval_active]],dict_zuord_Meth_Pos[[#This Row],[ID_Positions]],"")</f>
        <v/>
      </c>
    </row>
    <row r="585" spans="1:4" x14ac:dyDescent="0.45">
      <c r="A585">
        <f ca="1">dict_zul_Var_Meth[ID_Methods]</f>
        <v>280</v>
      </c>
      <c r="B585">
        <f ca="1">dict_zul_Var_Meth[ID_Variables]</f>
        <v>156</v>
      </c>
      <c r="C5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5" t="str">
        <f ca="1">IF(dict_zuord_Meth_Pos[[#This Row],[kval_active]],dict_zuord_Meth_Pos[[#This Row],[ID_Positions]],"")</f>
        <v/>
      </c>
    </row>
    <row r="586" spans="1:4" x14ac:dyDescent="0.45">
      <c r="A586">
        <f ca="1">dict_zul_Var_Meth[ID_Methods]</f>
        <v>219</v>
      </c>
      <c r="B586">
        <f ca="1">dict_zul_Var_Meth[ID_Variables]</f>
        <v>156</v>
      </c>
      <c r="C5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6" t="str">
        <f ca="1">IF(dict_zuord_Meth_Pos[[#This Row],[kval_active]],dict_zuord_Meth_Pos[[#This Row],[ID_Positions]],"")</f>
        <v/>
      </c>
    </row>
    <row r="587" spans="1:4" x14ac:dyDescent="0.45">
      <c r="A587">
        <f ca="1">dict_zul_Var_Meth[ID_Methods]</f>
        <v>599</v>
      </c>
      <c r="B587">
        <f ca="1">dict_zul_Var_Meth[ID_Variables]</f>
        <v>156</v>
      </c>
      <c r="C5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7" t="str">
        <f ca="1">IF(dict_zuord_Meth_Pos[[#This Row],[kval_active]],dict_zuord_Meth_Pos[[#This Row],[ID_Positions]],"")</f>
        <v/>
      </c>
    </row>
    <row r="588" spans="1:4" x14ac:dyDescent="0.45">
      <c r="A588">
        <f ca="1">dict_zul_Var_Meth[ID_Methods]</f>
        <v>323</v>
      </c>
      <c r="B588">
        <f ca="1">dict_zul_Var_Meth[ID_Variables]</f>
        <v>156</v>
      </c>
      <c r="C5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8" t="str">
        <f ca="1">IF(dict_zuord_Meth_Pos[[#This Row],[kval_active]],dict_zuord_Meth_Pos[[#This Row],[ID_Positions]],"")</f>
        <v/>
      </c>
    </row>
    <row r="589" spans="1:4" x14ac:dyDescent="0.45">
      <c r="A589">
        <f ca="1">dict_zul_Var_Meth[ID_Methods]</f>
        <v>95</v>
      </c>
      <c r="B589">
        <f ca="1">dict_zul_Var_Meth[ID_Variables]</f>
        <v>156</v>
      </c>
      <c r="C5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89" t="str">
        <f ca="1">IF(dict_zuord_Meth_Pos[[#This Row],[kval_active]],dict_zuord_Meth_Pos[[#This Row],[ID_Positions]],"")</f>
        <v/>
      </c>
    </row>
    <row r="590" spans="1:4" x14ac:dyDescent="0.45">
      <c r="A590">
        <f ca="1">dict_zul_Var_Meth[ID_Methods]</f>
        <v>586</v>
      </c>
      <c r="B590">
        <f ca="1">dict_zul_Var_Meth[ID_Variables]</f>
        <v>157</v>
      </c>
      <c r="C5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0" t="str">
        <f ca="1">IF(dict_zuord_Meth_Pos[[#This Row],[kval_active]],dict_zuord_Meth_Pos[[#This Row],[ID_Positions]],"")</f>
        <v/>
      </c>
    </row>
    <row r="591" spans="1:4" x14ac:dyDescent="0.45">
      <c r="A591">
        <f ca="1">dict_zul_Var_Meth[ID_Methods]</f>
        <v>370</v>
      </c>
      <c r="B591">
        <f ca="1">dict_zul_Var_Meth[ID_Variables]</f>
        <v>157</v>
      </c>
      <c r="C5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1" t="str">
        <f ca="1">IF(dict_zuord_Meth_Pos[[#This Row],[kval_active]],dict_zuord_Meth_Pos[[#This Row],[ID_Positions]],"")</f>
        <v/>
      </c>
    </row>
    <row r="592" spans="1:4" x14ac:dyDescent="0.45">
      <c r="A592">
        <f ca="1">dict_zul_Var_Meth[ID_Methods]</f>
        <v>202</v>
      </c>
      <c r="B592">
        <f ca="1">dict_zul_Var_Meth[ID_Variables]</f>
        <v>158</v>
      </c>
      <c r="C5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2" t="str">
        <f ca="1">IF(dict_zuord_Meth_Pos[[#This Row],[kval_active]],dict_zuord_Meth_Pos[[#This Row],[ID_Positions]],"")</f>
        <v/>
      </c>
    </row>
    <row r="593" spans="1:4" x14ac:dyDescent="0.45">
      <c r="A593">
        <f ca="1">dict_zul_Var_Meth[ID_Methods]</f>
        <v>470</v>
      </c>
      <c r="B593">
        <f ca="1">dict_zul_Var_Meth[ID_Variables]</f>
        <v>158</v>
      </c>
      <c r="C5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3" t="str">
        <f ca="1">IF(dict_zuord_Meth_Pos[[#This Row],[kval_active]],dict_zuord_Meth_Pos[[#This Row],[ID_Positions]],"")</f>
        <v/>
      </c>
    </row>
    <row r="594" spans="1:4" x14ac:dyDescent="0.45">
      <c r="A594">
        <f ca="1">dict_zul_Var_Meth[ID_Methods]</f>
        <v>134</v>
      </c>
      <c r="B594">
        <f ca="1">dict_zul_Var_Meth[ID_Variables]</f>
        <v>158</v>
      </c>
      <c r="C5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4" t="str">
        <f ca="1">IF(dict_zuord_Meth_Pos[[#This Row],[kval_active]],dict_zuord_Meth_Pos[[#This Row],[ID_Positions]],"")</f>
        <v/>
      </c>
    </row>
    <row r="595" spans="1:4" x14ac:dyDescent="0.45">
      <c r="A595">
        <f ca="1">dict_zul_Var_Meth[ID_Methods]</f>
        <v>449</v>
      </c>
      <c r="B595">
        <f ca="1">dict_zul_Var_Meth[ID_Variables]</f>
        <v>158</v>
      </c>
      <c r="C5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5" t="str">
        <f ca="1">IF(dict_zuord_Meth_Pos[[#This Row],[kval_active]],dict_zuord_Meth_Pos[[#This Row],[ID_Positions]],"")</f>
        <v/>
      </c>
    </row>
    <row r="596" spans="1:4" x14ac:dyDescent="0.45">
      <c r="A596">
        <f ca="1">dict_zul_Var_Meth[ID_Methods]</f>
        <v>193</v>
      </c>
      <c r="B596">
        <f ca="1">dict_zul_Var_Meth[ID_Variables]</f>
        <v>158</v>
      </c>
      <c r="C5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6" t="str">
        <f ca="1">IF(dict_zuord_Meth_Pos[[#This Row],[kval_active]],dict_zuord_Meth_Pos[[#This Row],[ID_Positions]],"")</f>
        <v/>
      </c>
    </row>
    <row r="597" spans="1:4" x14ac:dyDescent="0.45">
      <c r="A597">
        <f ca="1">dict_zul_Var_Meth[ID_Methods]</f>
        <v>376</v>
      </c>
      <c r="B597">
        <f ca="1">dict_zul_Var_Meth[ID_Variables]</f>
        <v>159</v>
      </c>
      <c r="C5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7" t="str">
        <f ca="1">IF(dict_zuord_Meth_Pos[[#This Row],[kval_active]],dict_zuord_Meth_Pos[[#This Row],[ID_Positions]],"")</f>
        <v/>
      </c>
    </row>
    <row r="598" spans="1:4" x14ac:dyDescent="0.45">
      <c r="A598">
        <f ca="1">dict_zul_Var_Meth[ID_Methods]</f>
        <v>617</v>
      </c>
      <c r="B598">
        <f ca="1">dict_zul_Var_Meth[ID_Variables]</f>
        <v>159</v>
      </c>
      <c r="C5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8" t="str">
        <f ca="1">IF(dict_zuord_Meth_Pos[[#This Row],[kval_active]],dict_zuord_Meth_Pos[[#This Row],[ID_Positions]],"")</f>
        <v/>
      </c>
    </row>
    <row r="599" spans="1:4" x14ac:dyDescent="0.45">
      <c r="A599">
        <f ca="1">dict_zul_Var_Meth[ID_Methods]</f>
        <v>5</v>
      </c>
      <c r="B599">
        <f ca="1">dict_zul_Var_Meth[ID_Variables]</f>
        <v>160</v>
      </c>
      <c r="C5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599" t="str">
        <f ca="1">IF(dict_zuord_Meth_Pos[[#This Row],[kval_active]],dict_zuord_Meth_Pos[[#This Row],[ID_Positions]],"")</f>
        <v/>
      </c>
    </row>
    <row r="600" spans="1:4" x14ac:dyDescent="0.45">
      <c r="A600">
        <f ca="1">dict_zul_Var_Meth[ID_Methods]</f>
        <v>452</v>
      </c>
      <c r="B600">
        <f ca="1">dict_zul_Var_Meth[ID_Variables]</f>
        <v>160</v>
      </c>
      <c r="C6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0" t="str">
        <f ca="1">IF(dict_zuord_Meth_Pos[[#This Row],[kval_active]],dict_zuord_Meth_Pos[[#This Row],[ID_Positions]],"")</f>
        <v/>
      </c>
    </row>
    <row r="601" spans="1:4" x14ac:dyDescent="0.45">
      <c r="A601">
        <f ca="1">dict_zul_Var_Meth[ID_Methods]</f>
        <v>67</v>
      </c>
      <c r="B601">
        <f ca="1">dict_zul_Var_Meth[ID_Variables]</f>
        <v>160</v>
      </c>
      <c r="C6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1" t="str">
        <f ca="1">IF(dict_zuord_Meth_Pos[[#This Row],[kval_active]],dict_zuord_Meth_Pos[[#This Row],[ID_Positions]],"")</f>
        <v/>
      </c>
    </row>
    <row r="602" spans="1:4" x14ac:dyDescent="0.45">
      <c r="A602">
        <f ca="1">dict_zul_Var_Meth[ID_Methods]</f>
        <v>35</v>
      </c>
      <c r="B602">
        <f ca="1">dict_zul_Var_Meth[ID_Variables]</f>
        <v>160</v>
      </c>
      <c r="C6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2" t="str">
        <f ca="1">IF(dict_zuord_Meth_Pos[[#This Row],[kval_active]],dict_zuord_Meth_Pos[[#This Row],[ID_Positions]],"")</f>
        <v/>
      </c>
    </row>
    <row r="603" spans="1:4" x14ac:dyDescent="0.45">
      <c r="A603">
        <f ca="1">dict_zul_Var_Meth[ID_Methods]</f>
        <v>380</v>
      </c>
      <c r="B603">
        <f ca="1">dict_zul_Var_Meth[ID_Variables]</f>
        <v>160</v>
      </c>
      <c r="C6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3" t="str">
        <f ca="1">IF(dict_zuord_Meth_Pos[[#This Row],[kval_active]],dict_zuord_Meth_Pos[[#This Row],[ID_Positions]],"")</f>
        <v/>
      </c>
    </row>
    <row r="604" spans="1:4" x14ac:dyDescent="0.45">
      <c r="A604">
        <f ca="1">dict_zul_Var_Meth[ID_Methods]</f>
        <v>242</v>
      </c>
      <c r="B604">
        <f ca="1">dict_zul_Var_Meth[ID_Variables]</f>
        <v>160</v>
      </c>
      <c r="C6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4" t="str">
        <f ca="1">IF(dict_zuord_Meth_Pos[[#This Row],[kval_active]],dict_zuord_Meth_Pos[[#This Row],[ID_Positions]],"")</f>
        <v/>
      </c>
    </row>
    <row r="605" spans="1:4" x14ac:dyDescent="0.45">
      <c r="A605">
        <f ca="1">dict_zul_Var_Meth[ID_Methods]</f>
        <v>117</v>
      </c>
      <c r="B605">
        <f ca="1">dict_zul_Var_Meth[ID_Variables]</f>
        <v>161</v>
      </c>
      <c r="C6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5" t="str">
        <f ca="1">IF(dict_zuord_Meth_Pos[[#This Row],[kval_active]],dict_zuord_Meth_Pos[[#This Row],[ID_Positions]],"")</f>
        <v/>
      </c>
    </row>
    <row r="606" spans="1:4" x14ac:dyDescent="0.45">
      <c r="A606">
        <f ca="1">dict_zul_Var_Meth[ID_Methods]</f>
        <v>29</v>
      </c>
      <c r="B606">
        <f ca="1">dict_zul_Var_Meth[ID_Variables]</f>
        <v>161</v>
      </c>
      <c r="C6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6" t="str">
        <f ca="1">IF(dict_zuord_Meth_Pos[[#This Row],[kval_active]],dict_zuord_Meth_Pos[[#This Row],[ID_Positions]],"")</f>
        <v/>
      </c>
    </row>
    <row r="607" spans="1:4" x14ac:dyDescent="0.45">
      <c r="A607">
        <f ca="1">dict_zul_Var_Meth[ID_Methods]</f>
        <v>622</v>
      </c>
      <c r="B607">
        <f ca="1">dict_zul_Var_Meth[ID_Variables]</f>
        <v>162</v>
      </c>
      <c r="C6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7" t="str">
        <f ca="1">IF(dict_zuord_Meth_Pos[[#This Row],[kval_active]],dict_zuord_Meth_Pos[[#This Row],[ID_Positions]],"")</f>
        <v/>
      </c>
    </row>
    <row r="608" spans="1:4" x14ac:dyDescent="0.45">
      <c r="A608">
        <f ca="1">dict_zul_Var_Meth[ID_Methods]</f>
        <v>125</v>
      </c>
      <c r="B608">
        <f ca="1">dict_zul_Var_Meth[ID_Variables]</f>
        <v>162</v>
      </c>
      <c r="C6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8" t="str">
        <f ca="1">IF(dict_zuord_Meth_Pos[[#This Row],[kval_active]],dict_zuord_Meth_Pos[[#This Row],[ID_Positions]],"")</f>
        <v/>
      </c>
    </row>
    <row r="609" spans="1:4" x14ac:dyDescent="0.45">
      <c r="A609">
        <f ca="1">dict_zul_Var_Meth[ID_Methods]</f>
        <v>469</v>
      </c>
      <c r="B609">
        <f ca="1">dict_zul_Var_Meth[ID_Variables]</f>
        <v>162</v>
      </c>
      <c r="C6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09" t="str">
        <f ca="1">IF(dict_zuord_Meth_Pos[[#This Row],[kval_active]],dict_zuord_Meth_Pos[[#This Row],[ID_Positions]],"")</f>
        <v/>
      </c>
    </row>
    <row r="610" spans="1:4" x14ac:dyDescent="0.45">
      <c r="A610">
        <f ca="1">dict_zul_Var_Meth[ID_Methods]</f>
        <v>11</v>
      </c>
      <c r="B610">
        <f ca="1">dict_zul_Var_Meth[ID_Variables]</f>
        <v>163</v>
      </c>
      <c r="C6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0" t="str">
        <f ca="1">IF(dict_zuord_Meth_Pos[[#This Row],[kval_active]],dict_zuord_Meth_Pos[[#This Row],[ID_Positions]],"")</f>
        <v/>
      </c>
    </row>
    <row r="611" spans="1:4" x14ac:dyDescent="0.45">
      <c r="A611">
        <f ca="1">dict_zul_Var_Meth[ID_Methods]</f>
        <v>489</v>
      </c>
      <c r="B611">
        <f ca="1">dict_zul_Var_Meth[ID_Variables]</f>
        <v>163</v>
      </c>
      <c r="C6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1" t="str">
        <f ca="1">IF(dict_zuord_Meth_Pos[[#This Row],[kval_active]],dict_zuord_Meth_Pos[[#This Row],[ID_Positions]],"")</f>
        <v/>
      </c>
    </row>
    <row r="612" spans="1:4" x14ac:dyDescent="0.45">
      <c r="A612">
        <f ca="1">dict_zul_Var_Meth[ID_Methods]</f>
        <v>270</v>
      </c>
      <c r="B612">
        <f ca="1">dict_zul_Var_Meth[ID_Variables]</f>
        <v>163</v>
      </c>
      <c r="C6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2" t="str">
        <f ca="1">IF(dict_zuord_Meth_Pos[[#This Row],[kval_active]],dict_zuord_Meth_Pos[[#This Row],[ID_Positions]],"")</f>
        <v/>
      </c>
    </row>
    <row r="613" spans="1:4" x14ac:dyDescent="0.45">
      <c r="A613">
        <f ca="1">dict_zul_Var_Meth[ID_Methods]</f>
        <v>689</v>
      </c>
      <c r="B613">
        <f ca="1">dict_zul_Var_Meth[ID_Variables]</f>
        <v>163</v>
      </c>
      <c r="C6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3" t="str">
        <f ca="1">IF(dict_zuord_Meth_Pos[[#This Row],[kval_active]],dict_zuord_Meth_Pos[[#This Row],[ID_Positions]],"")</f>
        <v/>
      </c>
    </row>
    <row r="614" spans="1:4" x14ac:dyDescent="0.45">
      <c r="A614">
        <f ca="1">dict_zul_Var_Meth[ID_Methods]</f>
        <v>54</v>
      </c>
      <c r="B614">
        <f ca="1">dict_zul_Var_Meth[ID_Variables]</f>
        <v>163</v>
      </c>
      <c r="C6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4" t="str">
        <f ca="1">IF(dict_zuord_Meth_Pos[[#This Row],[kval_active]],dict_zuord_Meth_Pos[[#This Row],[ID_Positions]],"")</f>
        <v/>
      </c>
    </row>
    <row r="615" spans="1:4" x14ac:dyDescent="0.45">
      <c r="A615">
        <f ca="1">dict_zul_Var_Meth[ID_Methods]</f>
        <v>384</v>
      </c>
      <c r="B615">
        <f ca="1">dict_zul_Var_Meth[ID_Variables]</f>
        <v>164</v>
      </c>
      <c r="C6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5" t="str">
        <f ca="1">IF(dict_zuord_Meth_Pos[[#This Row],[kval_active]],dict_zuord_Meth_Pos[[#This Row],[ID_Positions]],"")</f>
        <v/>
      </c>
    </row>
    <row r="616" spans="1:4" x14ac:dyDescent="0.45">
      <c r="A616">
        <f ca="1">dict_zul_Var_Meth[ID_Methods]</f>
        <v>311</v>
      </c>
      <c r="B616">
        <f ca="1">dict_zul_Var_Meth[ID_Variables]</f>
        <v>164</v>
      </c>
      <c r="C6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6" t="str">
        <f ca="1">IF(dict_zuord_Meth_Pos[[#This Row],[kval_active]],dict_zuord_Meth_Pos[[#This Row],[ID_Positions]],"")</f>
        <v/>
      </c>
    </row>
    <row r="617" spans="1:4" x14ac:dyDescent="0.45">
      <c r="A617">
        <f ca="1">dict_zul_Var_Meth[ID_Methods]</f>
        <v>37</v>
      </c>
      <c r="B617">
        <f ca="1">dict_zul_Var_Meth[ID_Variables]</f>
        <v>164</v>
      </c>
      <c r="C6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7" t="str">
        <f ca="1">IF(dict_zuord_Meth_Pos[[#This Row],[kval_active]],dict_zuord_Meth_Pos[[#This Row],[ID_Positions]],"")</f>
        <v/>
      </c>
    </row>
    <row r="618" spans="1:4" x14ac:dyDescent="0.45">
      <c r="A618">
        <f ca="1">dict_zul_Var_Meth[ID_Methods]</f>
        <v>466</v>
      </c>
      <c r="B618">
        <f ca="1">dict_zul_Var_Meth[ID_Variables]</f>
        <v>164</v>
      </c>
      <c r="C6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8" t="str">
        <f ca="1">IF(dict_zuord_Meth_Pos[[#This Row],[kval_active]],dict_zuord_Meth_Pos[[#This Row],[ID_Positions]],"")</f>
        <v/>
      </c>
    </row>
    <row r="619" spans="1:4" x14ac:dyDescent="0.45">
      <c r="A619">
        <f ca="1">dict_zul_Var_Meth[ID_Methods]</f>
        <v>426</v>
      </c>
      <c r="B619">
        <f ca="1">dict_zul_Var_Meth[ID_Variables]</f>
        <v>164</v>
      </c>
      <c r="C6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19" t="str">
        <f ca="1">IF(dict_zuord_Meth_Pos[[#This Row],[kval_active]],dict_zuord_Meth_Pos[[#This Row],[ID_Positions]],"")</f>
        <v/>
      </c>
    </row>
    <row r="620" spans="1:4" x14ac:dyDescent="0.45">
      <c r="A620">
        <f ca="1">dict_zul_Var_Meth[ID_Methods]</f>
        <v>171</v>
      </c>
      <c r="B620">
        <f ca="1">dict_zul_Var_Meth[ID_Variables]</f>
        <v>165</v>
      </c>
      <c r="C6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0" t="str">
        <f ca="1">IF(dict_zuord_Meth_Pos[[#This Row],[kval_active]],dict_zuord_Meth_Pos[[#This Row],[ID_Positions]],"")</f>
        <v/>
      </c>
    </row>
    <row r="621" spans="1:4" x14ac:dyDescent="0.45">
      <c r="A621">
        <f ca="1">dict_zul_Var_Meth[ID_Methods]</f>
        <v>200</v>
      </c>
      <c r="B621">
        <f ca="1">dict_zul_Var_Meth[ID_Variables]</f>
        <v>165</v>
      </c>
      <c r="C6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1" t="str">
        <f ca="1">IF(dict_zuord_Meth_Pos[[#This Row],[kval_active]],dict_zuord_Meth_Pos[[#This Row],[ID_Positions]],"")</f>
        <v/>
      </c>
    </row>
    <row r="622" spans="1:4" x14ac:dyDescent="0.45">
      <c r="A622">
        <f ca="1">dict_zul_Var_Meth[ID_Methods]</f>
        <v>337</v>
      </c>
      <c r="B622">
        <f ca="1">dict_zul_Var_Meth[ID_Variables]</f>
        <v>165</v>
      </c>
      <c r="C6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2" t="str">
        <f ca="1">IF(dict_zuord_Meth_Pos[[#This Row],[kval_active]],dict_zuord_Meth_Pos[[#This Row],[ID_Positions]],"")</f>
        <v/>
      </c>
    </row>
    <row r="623" spans="1:4" x14ac:dyDescent="0.45">
      <c r="A623">
        <f ca="1">dict_zul_Var_Meth[ID_Methods]</f>
        <v>229</v>
      </c>
      <c r="B623">
        <f ca="1">dict_zul_Var_Meth[ID_Variables]</f>
        <v>166</v>
      </c>
      <c r="C6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3" t="str">
        <f ca="1">IF(dict_zuord_Meth_Pos[[#This Row],[kval_active]],dict_zuord_Meth_Pos[[#This Row],[ID_Positions]],"")</f>
        <v/>
      </c>
    </row>
    <row r="624" spans="1:4" x14ac:dyDescent="0.45">
      <c r="A624">
        <f ca="1">dict_zul_Var_Meth[ID_Methods]</f>
        <v>390</v>
      </c>
      <c r="B624">
        <f ca="1">dict_zul_Var_Meth[ID_Variables]</f>
        <v>166</v>
      </c>
      <c r="C6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4" t="str">
        <f ca="1">IF(dict_zuord_Meth_Pos[[#This Row],[kval_active]],dict_zuord_Meth_Pos[[#This Row],[ID_Positions]],"")</f>
        <v/>
      </c>
    </row>
    <row r="625" spans="1:4" x14ac:dyDescent="0.45">
      <c r="A625">
        <f ca="1">dict_zul_Var_Meth[ID_Methods]</f>
        <v>473</v>
      </c>
      <c r="B625">
        <f ca="1">dict_zul_Var_Meth[ID_Variables]</f>
        <v>166</v>
      </c>
      <c r="C6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5" t="str">
        <f ca="1">IF(dict_zuord_Meth_Pos[[#This Row],[kval_active]],dict_zuord_Meth_Pos[[#This Row],[ID_Positions]],"")</f>
        <v/>
      </c>
    </row>
    <row r="626" spans="1:4" x14ac:dyDescent="0.45">
      <c r="A626">
        <f ca="1">dict_zul_Var_Meth[ID_Methods]</f>
        <v>204</v>
      </c>
      <c r="B626">
        <f ca="1">dict_zul_Var_Meth[ID_Variables]</f>
        <v>167</v>
      </c>
      <c r="C6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6" t="str">
        <f ca="1">IF(dict_zuord_Meth_Pos[[#This Row],[kval_active]],dict_zuord_Meth_Pos[[#This Row],[ID_Positions]],"")</f>
        <v/>
      </c>
    </row>
    <row r="627" spans="1:4" x14ac:dyDescent="0.45">
      <c r="A627">
        <f ca="1">dict_zul_Var_Meth[ID_Methods]</f>
        <v>313</v>
      </c>
      <c r="B627">
        <f ca="1">dict_zul_Var_Meth[ID_Variables]</f>
        <v>167</v>
      </c>
      <c r="C6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7" t="str">
        <f ca="1">IF(dict_zuord_Meth_Pos[[#This Row],[kval_active]],dict_zuord_Meth_Pos[[#This Row],[ID_Positions]],"")</f>
        <v/>
      </c>
    </row>
    <row r="628" spans="1:4" x14ac:dyDescent="0.45">
      <c r="A628">
        <f ca="1">dict_zul_Var_Meth[ID_Methods]</f>
        <v>375</v>
      </c>
      <c r="B628">
        <f ca="1">dict_zul_Var_Meth[ID_Variables]</f>
        <v>167</v>
      </c>
      <c r="C6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8" t="str">
        <f ca="1">IF(dict_zuord_Meth_Pos[[#This Row],[kval_active]],dict_zuord_Meth_Pos[[#This Row],[ID_Positions]],"")</f>
        <v/>
      </c>
    </row>
    <row r="629" spans="1:4" x14ac:dyDescent="0.45">
      <c r="A629">
        <f ca="1">dict_zul_Var_Meth[ID_Methods]</f>
        <v>288</v>
      </c>
      <c r="B629">
        <f ca="1">dict_zul_Var_Meth[ID_Variables]</f>
        <v>168</v>
      </c>
      <c r="C6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29" t="str">
        <f ca="1">IF(dict_zuord_Meth_Pos[[#This Row],[kval_active]],dict_zuord_Meth_Pos[[#This Row],[ID_Positions]],"")</f>
        <v/>
      </c>
    </row>
    <row r="630" spans="1:4" x14ac:dyDescent="0.45">
      <c r="A630">
        <f ca="1">dict_zul_Var_Meth[ID_Methods]</f>
        <v>505</v>
      </c>
      <c r="B630">
        <f ca="1">dict_zul_Var_Meth[ID_Variables]</f>
        <v>168</v>
      </c>
      <c r="C6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0" t="str">
        <f ca="1">IF(dict_zuord_Meth_Pos[[#This Row],[kval_active]],dict_zuord_Meth_Pos[[#This Row],[ID_Positions]],"")</f>
        <v/>
      </c>
    </row>
    <row r="631" spans="1:4" x14ac:dyDescent="0.45">
      <c r="A631">
        <f ca="1">dict_zul_Var_Meth[ID_Methods]</f>
        <v>355</v>
      </c>
      <c r="B631">
        <f ca="1">dict_zul_Var_Meth[ID_Variables]</f>
        <v>168</v>
      </c>
      <c r="C6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1" t="str">
        <f ca="1">IF(dict_zuord_Meth_Pos[[#This Row],[kval_active]],dict_zuord_Meth_Pos[[#This Row],[ID_Positions]],"")</f>
        <v/>
      </c>
    </row>
    <row r="632" spans="1:4" x14ac:dyDescent="0.45">
      <c r="A632">
        <f ca="1">dict_zul_Var_Meth[ID_Methods]</f>
        <v>33</v>
      </c>
      <c r="B632">
        <f ca="1">dict_zul_Var_Meth[ID_Variables]</f>
        <v>168</v>
      </c>
      <c r="C6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2" t="str">
        <f ca="1">IF(dict_zuord_Meth_Pos[[#This Row],[kval_active]],dict_zuord_Meth_Pos[[#This Row],[ID_Positions]],"")</f>
        <v/>
      </c>
    </row>
    <row r="633" spans="1:4" x14ac:dyDescent="0.45">
      <c r="A633">
        <f ca="1">dict_zul_Var_Meth[ID_Methods]</f>
        <v>312</v>
      </c>
      <c r="B633">
        <f ca="1">dict_zul_Var_Meth[ID_Variables]</f>
        <v>169</v>
      </c>
      <c r="C6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3" t="str">
        <f ca="1">IF(dict_zuord_Meth_Pos[[#This Row],[kval_active]],dict_zuord_Meth_Pos[[#This Row],[ID_Positions]],"")</f>
        <v/>
      </c>
    </row>
    <row r="634" spans="1:4" x14ac:dyDescent="0.45">
      <c r="A634">
        <f ca="1">dict_zul_Var_Meth[ID_Methods]</f>
        <v>104</v>
      </c>
      <c r="B634">
        <f ca="1">dict_zul_Var_Meth[ID_Variables]</f>
        <v>169</v>
      </c>
      <c r="C6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4" t="str">
        <f ca="1">IF(dict_zuord_Meth_Pos[[#This Row],[kval_active]],dict_zuord_Meth_Pos[[#This Row],[ID_Positions]],"")</f>
        <v/>
      </c>
    </row>
    <row r="635" spans="1:4" x14ac:dyDescent="0.45">
      <c r="A635">
        <f ca="1">dict_zul_Var_Meth[ID_Methods]</f>
        <v>297</v>
      </c>
      <c r="B635">
        <f ca="1">dict_zul_Var_Meth[ID_Variables]</f>
        <v>169</v>
      </c>
      <c r="C6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5" t="str">
        <f ca="1">IF(dict_zuord_Meth_Pos[[#This Row],[kval_active]],dict_zuord_Meth_Pos[[#This Row],[ID_Positions]],"")</f>
        <v/>
      </c>
    </row>
    <row r="636" spans="1:4" x14ac:dyDescent="0.45">
      <c r="A636">
        <f ca="1">dict_zul_Var_Meth[ID_Methods]</f>
        <v>31</v>
      </c>
      <c r="B636">
        <f ca="1">dict_zul_Var_Meth[ID_Variables]</f>
        <v>169</v>
      </c>
      <c r="C6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6" t="str">
        <f ca="1">IF(dict_zuord_Meth_Pos[[#This Row],[kval_active]],dict_zuord_Meth_Pos[[#This Row],[ID_Positions]],"")</f>
        <v/>
      </c>
    </row>
    <row r="637" spans="1:4" x14ac:dyDescent="0.45">
      <c r="A637">
        <f ca="1">dict_zul_Var_Meth[ID_Methods]</f>
        <v>191</v>
      </c>
      <c r="B637">
        <f ca="1">dict_zul_Var_Meth[ID_Variables]</f>
        <v>170</v>
      </c>
      <c r="C6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7" t="str">
        <f ca="1">IF(dict_zuord_Meth_Pos[[#This Row],[kval_active]],dict_zuord_Meth_Pos[[#This Row],[ID_Positions]],"")</f>
        <v/>
      </c>
    </row>
    <row r="638" spans="1:4" x14ac:dyDescent="0.45">
      <c r="A638">
        <f ca="1">dict_zul_Var_Meth[ID_Methods]</f>
        <v>429</v>
      </c>
      <c r="B638">
        <f ca="1">dict_zul_Var_Meth[ID_Variables]</f>
        <v>170</v>
      </c>
      <c r="C6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8" t="str">
        <f ca="1">IF(dict_zuord_Meth_Pos[[#This Row],[kval_active]],dict_zuord_Meth_Pos[[#This Row],[ID_Positions]],"")</f>
        <v/>
      </c>
    </row>
    <row r="639" spans="1:4" x14ac:dyDescent="0.45">
      <c r="A639">
        <f ca="1">dict_zul_Var_Meth[ID_Methods]</f>
        <v>364</v>
      </c>
      <c r="B639">
        <f ca="1">dict_zul_Var_Meth[ID_Variables]</f>
        <v>170</v>
      </c>
      <c r="C6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39" t="str">
        <f ca="1">IF(dict_zuord_Meth_Pos[[#This Row],[kval_active]],dict_zuord_Meth_Pos[[#This Row],[ID_Positions]],"")</f>
        <v/>
      </c>
    </row>
    <row r="640" spans="1:4" x14ac:dyDescent="0.45">
      <c r="A640">
        <f ca="1">dict_zul_Var_Meth[ID_Methods]</f>
        <v>15</v>
      </c>
      <c r="B640">
        <f ca="1">dict_zul_Var_Meth[ID_Variables]</f>
        <v>170</v>
      </c>
      <c r="C6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0" t="str">
        <f ca="1">IF(dict_zuord_Meth_Pos[[#This Row],[kval_active]],dict_zuord_Meth_Pos[[#This Row],[ID_Positions]],"")</f>
        <v/>
      </c>
    </row>
    <row r="641" spans="1:4" x14ac:dyDescent="0.45">
      <c r="A641">
        <f ca="1">dict_zul_Var_Meth[ID_Methods]</f>
        <v>686</v>
      </c>
      <c r="B641">
        <f ca="1">dict_zul_Var_Meth[ID_Variables]</f>
        <v>170</v>
      </c>
      <c r="C6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1" t="str">
        <f ca="1">IF(dict_zuord_Meth_Pos[[#This Row],[kval_active]],dict_zuord_Meth_Pos[[#This Row],[ID_Positions]],"")</f>
        <v/>
      </c>
    </row>
    <row r="642" spans="1:4" x14ac:dyDescent="0.45">
      <c r="A642">
        <f ca="1">dict_zul_Var_Meth[ID_Methods]</f>
        <v>245</v>
      </c>
      <c r="B642">
        <f ca="1">dict_zul_Var_Meth[ID_Variables]</f>
        <v>171</v>
      </c>
      <c r="C6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2" t="str">
        <f ca="1">IF(dict_zuord_Meth_Pos[[#This Row],[kval_active]],dict_zuord_Meth_Pos[[#This Row],[ID_Positions]],"")</f>
        <v/>
      </c>
    </row>
    <row r="643" spans="1:4" x14ac:dyDescent="0.45">
      <c r="A643">
        <f ca="1">dict_zul_Var_Meth[ID_Methods]</f>
        <v>45</v>
      </c>
      <c r="B643">
        <f ca="1">dict_zul_Var_Meth[ID_Variables]</f>
        <v>171</v>
      </c>
      <c r="C6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3" t="str">
        <f ca="1">IF(dict_zuord_Meth_Pos[[#This Row],[kval_active]],dict_zuord_Meth_Pos[[#This Row],[ID_Positions]],"")</f>
        <v/>
      </c>
    </row>
    <row r="644" spans="1:4" x14ac:dyDescent="0.45">
      <c r="A644">
        <f ca="1">dict_zul_Var_Meth[ID_Methods]</f>
        <v>614</v>
      </c>
      <c r="B644">
        <f ca="1">dict_zul_Var_Meth[ID_Variables]</f>
        <v>171</v>
      </c>
      <c r="C6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4" t="str">
        <f ca="1">IF(dict_zuord_Meth_Pos[[#This Row],[kval_active]],dict_zuord_Meth_Pos[[#This Row],[ID_Positions]],"")</f>
        <v/>
      </c>
    </row>
    <row r="645" spans="1:4" x14ac:dyDescent="0.45">
      <c r="A645">
        <f ca="1">dict_zul_Var_Meth[ID_Methods]</f>
        <v>109</v>
      </c>
      <c r="B645">
        <f ca="1">dict_zul_Var_Meth[ID_Variables]</f>
        <v>172</v>
      </c>
      <c r="C6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5" t="str">
        <f ca="1">IF(dict_zuord_Meth_Pos[[#This Row],[kval_active]],dict_zuord_Meth_Pos[[#This Row],[ID_Positions]],"")</f>
        <v/>
      </c>
    </row>
    <row r="646" spans="1:4" x14ac:dyDescent="0.45">
      <c r="A646">
        <f ca="1">dict_zul_Var_Meth[ID_Methods]</f>
        <v>306</v>
      </c>
      <c r="B646">
        <f ca="1">dict_zul_Var_Meth[ID_Variables]</f>
        <v>172</v>
      </c>
      <c r="C6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6" t="str">
        <f ca="1">IF(dict_zuord_Meth_Pos[[#This Row],[kval_active]],dict_zuord_Meth_Pos[[#This Row],[ID_Positions]],"")</f>
        <v/>
      </c>
    </row>
    <row r="647" spans="1:4" x14ac:dyDescent="0.45">
      <c r="A647">
        <f ca="1">dict_zul_Var_Meth[ID_Methods]</f>
        <v>571</v>
      </c>
      <c r="B647">
        <f ca="1">dict_zul_Var_Meth[ID_Variables]</f>
        <v>172</v>
      </c>
      <c r="C6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7" t="str">
        <f ca="1">IF(dict_zuord_Meth_Pos[[#This Row],[kval_active]],dict_zuord_Meth_Pos[[#This Row],[ID_Positions]],"")</f>
        <v/>
      </c>
    </row>
    <row r="648" spans="1:4" x14ac:dyDescent="0.45">
      <c r="A648">
        <f ca="1">dict_zul_Var_Meth[ID_Methods]</f>
        <v>578</v>
      </c>
      <c r="B648">
        <f ca="1">dict_zul_Var_Meth[ID_Variables]</f>
        <v>172</v>
      </c>
      <c r="C6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8" t="str">
        <f ca="1">IF(dict_zuord_Meth_Pos[[#This Row],[kval_active]],dict_zuord_Meth_Pos[[#This Row],[ID_Positions]],"")</f>
        <v/>
      </c>
    </row>
    <row r="649" spans="1:4" x14ac:dyDescent="0.45">
      <c r="A649">
        <f ca="1">dict_zul_Var_Meth[ID_Methods]</f>
        <v>363</v>
      </c>
      <c r="B649">
        <f ca="1">dict_zul_Var_Meth[ID_Variables]</f>
        <v>173</v>
      </c>
      <c r="C6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49" t="str">
        <f ca="1">IF(dict_zuord_Meth_Pos[[#This Row],[kval_active]],dict_zuord_Meth_Pos[[#This Row],[ID_Positions]],"")</f>
        <v/>
      </c>
    </row>
    <row r="650" spans="1:4" x14ac:dyDescent="0.45">
      <c r="A650">
        <f ca="1">dict_zul_Var_Meth[ID_Methods]</f>
        <v>459</v>
      </c>
      <c r="B650">
        <f ca="1">dict_zul_Var_Meth[ID_Variables]</f>
        <v>173</v>
      </c>
      <c r="C6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0" t="str">
        <f ca="1">IF(dict_zuord_Meth_Pos[[#This Row],[kval_active]],dict_zuord_Meth_Pos[[#This Row],[ID_Positions]],"")</f>
        <v/>
      </c>
    </row>
    <row r="651" spans="1:4" x14ac:dyDescent="0.45">
      <c r="A651">
        <f ca="1">dict_zul_Var_Meth[ID_Methods]</f>
        <v>214</v>
      </c>
      <c r="B651">
        <f ca="1">dict_zul_Var_Meth[ID_Variables]</f>
        <v>173</v>
      </c>
      <c r="C6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1" t="str">
        <f ca="1">IF(dict_zuord_Meth_Pos[[#This Row],[kval_active]],dict_zuord_Meth_Pos[[#This Row],[ID_Positions]],"")</f>
        <v/>
      </c>
    </row>
    <row r="652" spans="1:4" x14ac:dyDescent="0.45">
      <c r="A652">
        <f ca="1">dict_zul_Var_Meth[ID_Methods]</f>
        <v>518</v>
      </c>
      <c r="B652">
        <f ca="1">dict_zul_Var_Meth[ID_Variables]</f>
        <v>174</v>
      </c>
      <c r="C6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2" t="str">
        <f ca="1">IF(dict_zuord_Meth_Pos[[#This Row],[kval_active]],dict_zuord_Meth_Pos[[#This Row],[ID_Positions]],"")</f>
        <v/>
      </c>
    </row>
    <row r="653" spans="1:4" x14ac:dyDescent="0.45">
      <c r="A653">
        <f ca="1">dict_zul_Var_Meth[ID_Methods]</f>
        <v>534</v>
      </c>
      <c r="B653">
        <f ca="1">dict_zul_Var_Meth[ID_Variables]</f>
        <v>174</v>
      </c>
      <c r="C6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3" t="str">
        <f ca="1">IF(dict_zuord_Meth_Pos[[#This Row],[kval_active]],dict_zuord_Meth_Pos[[#This Row],[ID_Positions]],"")</f>
        <v/>
      </c>
    </row>
    <row r="654" spans="1:4" x14ac:dyDescent="0.45">
      <c r="A654">
        <f ca="1">dict_zul_Var_Meth[ID_Methods]</f>
        <v>222</v>
      </c>
      <c r="B654">
        <f ca="1">dict_zul_Var_Meth[ID_Variables]</f>
        <v>174</v>
      </c>
      <c r="C6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4" t="str">
        <f ca="1">IF(dict_zuord_Meth_Pos[[#This Row],[kval_active]],dict_zuord_Meth_Pos[[#This Row],[ID_Positions]],"")</f>
        <v/>
      </c>
    </row>
    <row r="655" spans="1:4" x14ac:dyDescent="0.45">
      <c r="A655">
        <f ca="1">dict_zul_Var_Meth[ID_Methods]</f>
        <v>514</v>
      </c>
      <c r="B655">
        <f ca="1">dict_zul_Var_Meth[ID_Variables]</f>
        <v>174</v>
      </c>
      <c r="C6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5" t="str">
        <f ca="1">IF(dict_zuord_Meth_Pos[[#This Row],[kval_active]],dict_zuord_Meth_Pos[[#This Row],[ID_Positions]],"")</f>
        <v/>
      </c>
    </row>
    <row r="656" spans="1:4" x14ac:dyDescent="0.45">
      <c r="A656">
        <f ca="1">dict_zul_Var_Meth[ID_Methods]</f>
        <v>457</v>
      </c>
      <c r="B656">
        <f ca="1">dict_zul_Var_Meth[ID_Variables]</f>
        <v>174</v>
      </c>
      <c r="C6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6" t="str">
        <f ca="1">IF(dict_zuord_Meth_Pos[[#This Row],[kval_active]],dict_zuord_Meth_Pos[[#This Row],[ID_Positions]],"")</f>
        <v/>
      </c>
    </row>
    <row r="657" spans="1:4" x14ac:dyDescent="0.45">
      <c r="A657">
        <f ca="1">dict_zul_Var_Meth[ID_Methods]</f>
        <v>172</v>
      </c>
      <c r="B657">
        <f ca="1">dict_zul_Var_Meth[ID_Variables]</f>
        <v>175</v>
      </c>
      <c r="C6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7" t="str">
        <f ca="1">IF(dict_zuord_Meth_Pos[[#This Row],[kval_active]],dict_zuord_Meth_Pos[[#This Row],[ID_Positions]],"")</f>
        <v/>
      </c>
    </row>
    <row r="658" spans="1:4" x14ac:dyDescent="0.45">
      <c r="A658">
        <f ca="1">dict_zul_Var_Meth[ID_Methods]</f>
        <v>34</v>
      </c>
      <c r="B658">
        <f ca="1">dict_zul_Var_Meth[ID_Variables]</f>
        <v>175</v>
      </c>
      <c r="C6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8" t="str">
        <f ca="1">IF(dict_zuord_Meth_Pos[[#This Row],[kval_active]],dict_zuord_Meth_Pos[[#This Row],[ID_Positions]],"")</f>
        <v/>
      </c>
    </row>
    <row r="659" spans="1:4" x14ac:dyDescent="0.45">
      <c r="A659">
        <f ca="1">dict_zul_Var_Meth[ID_Methods]</f>
        <v>300</v>
      </c>
      <c r="B659">
        <f ca="1">dict_zul_Var_Meth[ID_Variables]</f>
        <v>175</v>
      </c>
      <c r="C6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59" t="str">
        <f ca="1">IF(dict_zuord_Meth_Pos[[#This Row],[kval_active]],dict_zuord_Meth_Pos[[#This Row],[ID_Positions]],"")</f>
        <v/>
      </c>
    </row>
    <row r="660" spans="1:4" x14ac:dyDescent="0.45">
      <c r="A660">
        <f ca="1">dict_zul_Var_Meth[ID_Methods]</f>
        <v>477</v>
      </c>
      <c r="B660">
        <f ca="1">dict_zul_Var_Meth[ID_Variables]</f>
        <v>175</v>
      </c>
      <c r="C6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0" t="str">
        <f ca="1">IF(dict_zuord_Meth_Pos[[#This Row],[kval_active]],dict_zuord_Meth_Pos[[#This Row],[ID_Positions]],"")</f>
        <v/>
      </c>
    </row>
    <row r="661" spans="1:4" x14ac:dyDescent="0.45">
      <c r="A661">
        <f ca="1">dict_zul_Var_Meth[ID_Methods]</f>
        <v>327</v>
      </c>
      <c r="B661">
        <f ca="1">dict_zul_Var_Meth[ID_Variables]</f>
        <v>176</v>
      </c>
      <c r="C6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1" t="str">
        <f ca="1">IF(dict_zuord_Meth_Pos[[#This Row],[kval_active]],dict_zuord_Meth_Pos[[#This Row],[ID_Positions]],"")</f>
        <v/>
      </c>
    </row>
    <row r="662" spans="1:4" x14ac:dyDescent="0.45">
      <c r="A662">
        <f ca="1">dict_zul_Var_Meth[ID_Methods]</f>
        <v>621</v>
      </c>
      <c r="B662">
        <f ca="1">dict_zul_Var_Meth[ID_Variables]</f>
        <v>177</v>
      </c>
      <c r="C66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2" t="str">
        <f ca="1">IF(dict_zuord_Meth_Pos[[#This Row],[kval_active]],dict_zuord_Meth_Pos[[#This Row],[ID_Positions]],"")</f>
        <v/>
      </c>
    </row>
    <row r="663" spans="1:4" x14ac:dyDescent="0.45">
      <c r="A663">
        <f ca="1">dict_zul_Var_Meth[ID_Methods]</f>
        <v>538</v>
      </c>
      <c r="B663">
        <f ca="1">dict_zul_Var_Meth[ID_Variables]</f>
        <v>177</v>
      </c>
      <c r="C66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3" t="str">
        <f ca="1">IF(dict_zuord_Meth_Pos[[#This Row],[kval_active]],dict_zuord_Meth_Pos[[#This Row],[ID_Positions]],"")</f>
        <v/>
      </c>
    </row>
    <row r="664" spans="1:4" x14ac:dyDescent="0.45">
      <c r="A664">
        <f ca="1">dict_zul_Var_Meth[ID_Methods]</f>
        <v>197</v>
      </c>
      <c r="B664">
        <f ca="1">dict_zul_Var_Meth[ID_Variables]</f>
        <v>177</v>
      </c>
      <c r="C66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4" t="str">
        <f ca="1">IF(dict_zuord_Meth_Pos[[#This Row],[kval_active]],dict_zuord_Meth_Pos[[#This Row],[ID_Positions]],"")</f>
        <v/>
      </c>
    </row>
    <row r="665" spans="1:4" x14ac:dyDescent="0.45">
      <c r="A665">
        <f ca="1">dict_zul_Var_Meth[ID_Methods]</f>
        <v>217</v>
      </c>
      <c r="B665">
        <f ca="1">dict_zul_Var_Meth[ID_Variables]</f>
        <v>177</v>
      </c>
      <c r="C66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5" t="str">
        <f ca="1">IF(dict_zuord_Meth_Pos[[#This Row],[kval_active]],dict_zuord_Meth_Pos[[#This Row],[ID_Positions]],"")</f>
        <v/>
      </c>
    </row>
    <row r="666" spans="1:4" x14ac:dyDescent="0.45">
      <c r="A666">
        <f ca="1">dict_zul_Var_Meth[ID_Methods]</f>
        <v>685</v>
      </c>
      <c r="B666">
        <f ca="1">dict_zul_Var_Meth[ID_Variables]</f>
        <v>177</v>
      </c>
      <c r="C66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6" t="str">
        <f ca="1">IF(dict_zuord_Meth_Pos[[#This Row],[kval_active]],dict_zuord_Meth_Pos[[#This Row],[ID_Positions]],"")</f>
        <v/>
      </c>
    </row>
    <row r="667" spans="1:4" x14ac:dyDescent="0.45">
      <c r="A667">
        <f ca="1">dict_zul_Var_Meth[ID_Methods]</f>
        <v>465</v>
      </c>
      <c r="B667">
        <f ca="1">dict_zul_Var_Meth[ID_Variables]</f>
        <v>177</v>
      </c>
      <c r="C66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7" t="str">
        <f ca="1">IF(dict_zuord_Meth_Pos[[#This Row],[kval_active]],dict_zuord_Meth_Pos[[#This Row],[ID_Positions]],"")</f>
        <v/>
      </c>
    </row>
    <row r="668" spans="1:4" x14ac:dyDescent="0.45">
      <c r="A668">
        <f ca="1">dict_zul_Var_Meth[ID_Methods]</f>
        <v>287</v>
      </c>
      <c r="B668">
        <f ca="1">dict_zul_Var_Meth[ID_Variables]</f>
        <v>178</v>
      </c>
      <c r="C66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8" t="str">
        <f ca="1">IF(dict_zuord_Meth_Pos[[#This Row],[kval_active]],dict_zuord_Meth_Pos[[#This Row],[ID_Positions]],"")</f>
        <v/>
      </c>
    </row>
    <row r="669" spans="1:4" x14ac:dyDescent="0.45">
      <c r="A669">
        <f ca="1">dict_zul_Var_Meth[ID_Methods]</f>
        <v>595</v>
      </c>
      <c r="B669">
        <f ca="1">dict_zul_Var_Meth[ID_Variables]</f>
        <v>178</v>
      </c>
      <c r="C66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69" t="str">
        <f ca="1">IF(dict_zuord_Meth_Pos[[#This Row],[kval_active]],dict_zuord_Meth_Pos[[#This Row],[ID_Positions]],"")</f>
        <v/>
      </c>
    </row>
    <row r="670" spans="1:4" x14ac:dyDescent="0.45">
      <c r="A670">
        <f ca="1">dict_zul_Var_Meth[ID_Methods]</f>
        <v>145</v>
      </c>
      <c r="B670">
        <f ca="1">dict_zul_Var_Meth[ID_Variables]</f>
        <v>178</v>
      </c>
      <c r="C67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0" t="str">
        <f ca="1">IF(dict_zuord_Meth_Pos[[#This Row],[kval_active]],dict_zuord_Meth_Pos[[#This Row],[ID_Positions]],"")</f>
        <v/>
      </c>
    </row>
    <row r="671" spans="1:4" x14ac:dyDescent="0.45">
      <c r="A671">
        <f ca="1">dict_zul_Var_Meth[ID_Methods]</f>
        <v>316</v>
      </c>
      <c r="B671">
        <f ca="1">dict_zul_Var_Meth[ID_Variables]</f>
        <v>178</v>
      </c>
      <c r="C67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1" t="str">
        <f ca="1">IF(dict_zuord_Meth_Pos[[#This Row],[kval_active]],dict_zuord_Meth_Pos[[#This Row],[ID_Positions]],"")</f>
        <v/>
      </c>
    </row>
    <row r="672" spans="1:4" x14ac:dyDescent="0.45">
      <c r="A672">
        <f ca="1">dict_zul_Var_Meth[ID_Methods]</f>
        <v>307</v>
      </c>
      <c r="B672">
        <f ca="1">dict_zul_Var_Meth[ID_Variables]</f>
        <v>179</v>
      </c>
      <c r="C67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2" t="str">
        <f ca="1">IF(dict_zuord_Meth_Pos[[#This Row],[kval_active]],dict_zuord_Meth_Pos[[#This Row],[ID_Positions]],"")</f>
        <v/>
      </c>
    </row>
    <row r="673" spans="1:4" x14ac:dyDescent="0.45">
      <c r="A673">
        <f ca="1">dict_zul_Var_Meth[ID_Methods]</f>
        <v>21</v>
      </c>
      <c r="B673">
        <f ca="1">dict_zul_Var_Meth[ID_Variables]</f>
        <v>179</v>
      </c>
      <c r="C67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3" t="str">
        <f ca="1">IF(dict_zuord_Meth_Pos[[#This Row],[kval_active]],dict_zuord_Meth_Pos[[#This Row],[ID_Positions]],"")</f>
        <v/>
      </c>
    </row>
    <row r="674" spans="1:4" x14ac:dyDescent="0.45">
      <c r="A674">
        <f ca="1">dict_zul_Var_Meth[ID_Methods]</f>
        <v>551</v>
      </c>
      <c r="B674">
        <f ca="1">dict_zul_Var_Meth[ID_Variables]</f>
        <v>179</v>
      </c>
      <c r="C67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4" t="str">
        <f ca="1">IF(dict_zuord_Meth_Pos[[#This Row],[kval_active]],dict_zuord_Meth_Pos[[#This Row],[ID_Positions]],"")</f>
        <v/>
      </c>
    </row>
    <row r="675" spans="1:4" x14ac:dyDescent="0.45">
      <c r="A675">
        <f ca="1">dict_zul_Var_Meth[ID_Methods]</f>
        <v>208</v>
      </c>
      <c r="B675">
        <f ca="1">dict_zul_Var_Meth[ID_Variables]</f>
        <v>179</v>
      </c>
      <c r="C67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5" t="str">
        <f ca="1">IF(dict_zuord_Meth_Pos[[#This Row],[kval_active]],dict_zuord_Meth_Pos[[#This Row],[ID_Positions]],"")</f>
        <v/>
      </c>
    </row>
    <row r="676" spans="1:4" x14ac:dyDescent="0.45">
      <c r="A676">
        <f ca="1">dict_zul_Var_Meth[ID_Methods]</f>
        <v>130</v>
      </c>
      <c r="B676">
        <f ca="1">dict_zul_Var_Meth[ID_Variables]</f>
        <v>180</v>
      </c>
      <c r="C67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6" t="str">
        <f ca="1">IF(dict_zuord_Meth_Pos[[#This Row],[kval_active]],dict_zuord_Meth_Pos[[#This Row],[ID_Positions]],"")</f>
        <v/>
      </c>
    </row>
    <row r="677" spans="1:4" x14ac:dyDescent="0.45">
      <c r="A677">
        <f ca="1">dict_zul_Var_Meth[ID_Methods]</f>
        <v>385</v>
      </c>
      <c r="B677">
        <f ca="1">dict_zul_Var_Meth[ID_Variables]</f>
        <v>181</v>
      </c>
      <c r="C67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7" t="str">
        <f ca="1">IF(dict_zuord_Meth_Pos[[#This Row],[kval_active]],dict_zuord_Meth_Pos[[#This Row],[ID_Positions]],"")</f>
        <v/>
      </c>
    </row>
    <row r="678" spans="1:4" x14ac:dyDescent="0.45">
      <c r="A678">
        <f ca="1">dict_zul_Var_Meth[ID_Methods]</f>
        <v>42</v>
      </c>
      <c r="B678">
        <f ca="1">dict_zul_Var_Meth[ID_Variables]</f>
        <v>181</v>
      </c>
      <c r="C67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8" t="str">
        <f ca="1">IF(dict_zuord_Meth_Pos[[#This Row],[kval_active]],dict_zuord_Meth_Pos[[#This Row],[ID_Positions]],"")</f>
        <v/>
      </c>
    </row>
    <row r="679" spans="1:4" x14ac:dyDescent="0.45">
      <c r="A679">
        <f ca="1">dict_zul_Var_Meth[ID_Methods]</f>
        <v>26</v>
      </c>
      <c r="B679">
        <f ca="1">dict_zul_Var_Meth[ID_Variables]</f>
        <v>181</v>
      </c>
      <c r="C67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79" t="str">
        <f ca="1">IF(dict_zuord_Meth_Pos[[#This Row],[kval_active]],dict_zuord_Meth_Pos[[#This Row],[ID_Positions]],"")</f>
        <v/>
      </c>
    </row>
    <row r="680" spans="1:4" x14ac:dyDescent="0.45">
      <c r="A680">
        <f ca="1">dict_zul_Var_Meth[ID_Methods]</f>
        <v>641</v>
      </c>
      <c r="B680">
        <f ca="1">dict_zul_Var_Meth[ID_Variables]</f>
        <v>181</v>
      </c>
      <c r="C68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0" t="str">
        <f ca="1">IF(dict_zuord_Meth_Pos[[#This Row],[kval_active]],dict_zuord_Meth_Pos[[#This Row],[ID_Positions]],"")</f>
        <v/>
      </c>
    </row>
    <row r="681" spans="1:4" x14ac:dyDescent="0.45">
      <c r="A681">
        <f ca="1">dict_zul_Var_Meth[ID_Methods]</f>
        <v>90</v>
      </c>
      <c r="B681">
        <f ca="1">dict_zul_Var_Meth[ID_Variables]</f>
        <v>181</v>
      </c>
      <c r="C68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1" t="str">
        <f ca="1">IF(dict_zuord_Meth_Pos[[#This Row],[kval_active]],dict_zuord_Meth_Pos[[#This Row],[ID_Positions]],"")</f>
        <v/>
      </c>
    </row>
    <row r="682" spans="1:4" x14ac:dyDescent="0.45">
      <c r="A682">
        <f ca="1">dict_zul_Var_Meth[ID_Methods]</f>
        <v>186</v>
      </c>
      <c r="B682">
        <f ca="1">dict_zul_Var_Meth[ID_Variables]</f>
        <v>182</v>
      </c>
      <c r="C68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2" t="str">
        <f ca="1">IF(dict_zuord_Meth_Pos[[#This Row],[kval_active]],dict_zuord_Meth_Pos[[#This Row],[ID_Positions]],"")</f>
        <v/>
      </c>
    </row>
    <row r="683" spans="1:4" x14ac:dyDescent="0.45">
      <c r="A683">
        <f ca="1">dict_zul_Var_Meth[ID_Methods]</f>
        <v>492</v>
      </c>
      <c r="B683">
        <f ca="1">dict_zul_Var_Meth[ID_Variables]</f>
        <v>182</v>
      </c>
      <c r="C68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3" t="str">
        <f ca="1">IF(dict_zuord_Meth_Pos[[#This Row],[kval_active]],dict_zuord_Meth_Pos[[#This Row],[ID_Positions]],"")</f>
        <v/>
      </c>
    </row>
    <row r="684" spans="1:4" x14ac:dyDescent="0.45">
      <c r="A684">
        <f ca="1">dict_zul_Var_Meth[ID_Methods]</f>
        <v>120</v>
      </c>
      <c r="B684">
        <f ca="1">dict_zul_Var_Meth[ID_Variables]</f>
        <v>182</v>
      </c>
      <c r="C68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4" t="str">
        <f ca="1">IF(dict_zuord_Meth_Pos[[#This Row],[kval_active]],dict_zuord_Meth_Pos[[#This Row],[ID_Positions]],"")</f>
        <v/>
      </c>
    </row>
    <row r="685" spans="1:4" x14ac:dyDescent="0.45">
      <c r="A685">
        <f ca="1">dict_zul_Var_Meth[ID_Methods]</f>
        <v>433</v>
      </c>
      <c r="B685">
        <f ca="1">dict_zul_Var_Meth[ID_Variables]</f>
        <v>182</v>
      </c>
      <c r="C68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5" t="str">
        <f ca="1">IF(dict_zuord_Meth_Pos[[#This Row],[kval_active]],dict_zuord_Meth_Pos[[#This Row],[ID_Positions]],"")</f>
        <v/>
      </c>
    </row>
    <row r="686" spans="1:4" x14ac:dyDescent="0.45">
      <c r="A686">
        <f ca="1">dict_zul_Var_Meth[ID_Methods]</f>
        <v>402</v>
      </c>
      <c r="B686">
        <f ca="1">dict_zul_Var_Meth[ID_Variables]</f>
        <v>183</v>
      </c>
      <c r="C68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6" t="str">
        <f ca="1">IF(dict_zuord_Meth_Pos[[#This Row],[kval_active]],dict_zuord_Meth_Pos[[#This Row],[ID_Positions]],"")</f>
        <v/>
      </c>
    </row>
    <row r="687" spans="1:4" x14ac:dyDescent="0.45">
      <c r="A687">
        <f ca="1">dict_zul_Var_Meth[ID_Methods]</f>
        <v>456</v>
      </c>
      <c r="B687">
        <f ca="1">dict_zul_Var_Meth[ID_Variables]</f>
        <v>183</v>
      </c>
      <c r="C68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7" t="str">
        <f ca="1">IF(dict_zuord_Meth_Pos[[#This Row],[kval_active]],dict_zuord_Meth_Pos[[#This Row],[ID_Positions]],"")</f>
        <v/>
      </c>
    </row>
    <row r="688" spans="1:4" x14ac:dyDescent="0.45">
      <c r="A688">
        <f ca="1">dict_zul_Var_Meth[ID_Methods]</f>
        <v>581</v>
      </c>
      <c r="B688">
        <f ca="1">dict_zul_Var_Meth[ID_Variables]</f>
        <v>183</v>
      </c>
      <c r="C68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8" t="str">
        <f ca="1">IF(dict_zuord_Meth_Pos[[#This Row],[kval_active]],dict_zuord_Meth_Pos[[#This Row],[ID_Positions]],"")</f>
        <v/>
      </c>
    </row>
    <row r="689" spans="1:4" x14ac:dyDescent="0.45">
      <c r="A689">
        <f ca="1">dict_zul_Var_Meth[ID_Methods]</f>
        <v>16</v>
      </c>
      <c r="B689">
        <f ca="1">dict_zul_Var_Meth[ID_Variables]</f>
        <v>184</v>
      </c>
      <c r="C68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89" t="str">
        <f ca="1">IF(dict_zuord_Meth_Pos[[#This Row],[kval_active]],dict_zuord_Meth_Pos[[#This Row],[ID_Positions]],"")</f>
        <v/>
      </c>
    </row>
    <row r="690" spans="1:4" x14ac:dyDescent="0.45">
      <c r="A690">
        <f ca="1">dict_zul_Var_Meth[ID_Methods]</f>
        <v>161</v>
      </c>
      <c r="B690">
        <f ca="1">dict_zul_Var_Meth[ID_Variables]</f>
        <v>184</v>
      </c>
      <c r="C69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0" t="str">
        <f ca="1">IF(dict_zuord_Meth_Pos[[#This Row],[kval_active]],dict_zuord_Meth_Pos[[#This Row],[ID_Positions]],"")</f>
        <v/>
      </c>
    </row>
    <row r="691" spans="1:4" x14ac:dyDescent="0.45">
      <c r="A691">
        <f ca="1">dict_zul_Var_Meth[ID_Methods]</f>
        <v>684</v>
      </c>
      <c r="B691">
        <f ca="1">dict_zul_Var_Meth[ID_Variables]</f>
        <v>184</v>
      </c>
      <c r="C69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1" t="str">
        <f ca="1">IF(dict_zuord_Meth_Pos[[#This Row],[kval_active]],dict_zuord_Meth_Pos[[#This Row],[ID_Positions]],"")</f>
        <v/>
      </c>
    </row>
    <row r="692" spans="1:4" x14ac:dyDescent="0.45">
      <c r="A692">
        <f ca="1">dict_zul_Var_Meth[ID_Methods]</f>
        <v>137</v>
      </c>
      <c r="B692">
        <f ca="1">dict_zul_Var_Meth[ID_Variables]</f>
        <v>184</v>
      </c>
      <c r="C69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2" t="str">
        <f ca="1">IF(dict_zuord_Meth_Pos[[#This Row],[kval_active]],dict_zuord_Meth_Pos[[#This Row],[ID_Positions]],"")</f>
        <v/>
      </c>
    </row>
    <row r="693" spans="1:4" x14ac:dyDescent="0.45">
      <c r="A693">
        <f ca="1">dict_zul_Var_Meth[ID_Methods]</f>
        <v>111</v>
      </c>
      <c r="B693">
        <f ca="1">dict_zul_Var_Meth[ID_Variables]</f>
        <v>185</v>
      </c>
      <c r="C69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3" t="str">
        <f ca="1">IF(dict_zuord_Meth_Pos[[#This Row],[kval_active]],dict_zuord_Meth_Pos[[#This Row],[ID_Positions]],"")</f>
        <v/>
      </c>
    </row>
    <row r="694" spans="1:4" x14ac:dyDescent="0.45">
      <c r="A694">
        <f ca="1">dict_zul_Var_Meth[ID_Methods]</f>
        <v>22</v>
      </c>
      <c r="B694">
        <f ca="1">dict_zul_Var_Meth[ID_Variables]</f>
        <v>185</v>
      </c>
      <c r="C69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4" t="str">
        <f ca="1">IF(dict_zuord_Meth_Pos[[#This Row],[kval_active]],dict_zuord_Meth_Pos[[#This Row],[ID_Positions]],"")</f>
        <v/>
      </c>
    </row>
    <row r="695" spans="1:4" x14ac:dyDescent="0.45">
      <c r="A695">
        <f ca="1">dict_zul_Var_Meth[ID_Methods]</f>
        <v>65</v>
      </c>
      <c r="B695">
        <f ca="1">dict_zul_Var_Meth[ID_Variables]</f>
        <v>185</v>
      </c>
      <c r="C69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5" t="str">
        <f ca="1">IF(dict_zuord_Meth_Pos[[#This Row],[kval_active]],dict_zuord_Meth_Pos[[#This Row],[ID_Positions]],"")</f>
        <v/>
      </c>
    </row>
    <row r="696" spans="1:4" x14ac:dyDescent="0.45">
      <c r="A696">
        <f ca="1">dict_zul_Var_Meth[ID_Methods]</f>
        <v>521</v>
      </c>
      <c r="B696">
        <f ca="1">dict_zul_Var_Meth[ID_Variables]</f>
        <v>185</v>
      </c>
      <c r="C69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6" t="str">
        <f ca="1">IF(dict_zuord_Meth_Pos[[#This Row],[kval_active]],dict_zuord_Meth_Pos[[#This Row],[ID_Positions]],"")</f>
        <v/>
      </c>
    </row>
    <row r="697" spans="1:4" x14ac:dyDescent="0.45">
      <c r="A697">
        <f ca="1">dict_zul_Var_Meth[ID_Methods]</f>
        <v>695</v>
      </c>
      <c r="B697">
        <f ca="1">dict_zul_Var_Meth[ID_Variables]</f>
        <v>186</v>
      </c>
      <c r="C69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7" t="str">
        <f ca="1">IF(dict_zuord_Meth_Pos[[#This Row],[kval_active]],dict_zuord_Meth_Pos[[#This Row],[ID_Positions]],"")</f>
        <v/>
      </c>
    </row>
    <row r="698" spans="1:4" x14ac:dyDescent="0.45">
      <c r="A698">
        <f ca="1">dict_zul_Var_Meth[ID_Methods]</f>
        <v>410</v>
      </c>
      <c r="B698">
        <f ca="1">dict_zul_Var_Meth[ID_Variables]</f>
        <v>186</v>
      </c>
      <c r="C69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8" t="str">
        <f ca="1">IF(dict_zuord_Meth_Pos[[#This Row],[kval_active]],dict_zuord_Meth_Pos[[#This Row],[ID_Positions]],"")</f>
        <v/>
      </c>
    </row>
    <row r="699" spans="1:4" x14ac:dyDescent="0.45">
      <c r="A699">
        <f ca="1">dict_zul_Var_Meth[ID_Methods]</f>
        <v>530</v>
      </c>
      <c r="B699">
        <f ca="1">dict_zul_Var_Meth[ID_Variables]</f>
        <v>186</v>
      </c>
      <c r="C69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699" t="str">
        <f ca="1">IF(dict_zuord_Meth_Pos[[#This Row],[kval_active]],dict_zuord_Meth_Pos[[#This Row],[ID_Positions]],"")</f>
        <v/>
      </c>
    </row>
    <row r="700" spans="1:4" x14ac:dyDescent="0.45">
      <c r="A700">
        <f ca="1">dict_zul_Var_Meth[ID_Methods]</f>
        <v>445</v>
      </c>
      <c r="B700">
        <f ca="1">dict_zul_Var_Meth[ID_Variables]</f>
        <v>186</v>
      </c>
      <c r="C70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0" t="str">
        <f ca="1">IF(dict_zuord_Meth_Pos[[#This Row],[kval_active]],dict_zuord_Meth_Pos[[#This Row],[ID_Positions]],"")</f>
        <v/>
      </c>
    </row>
    <row r="701" spans="1:4" x14ac:dyDescent="0.45">
      <c r="A701">
        <f ca="1">dict_zul_Var_Meth[ID_Methods]</f>
        <v>2</v>
      </c>
      <c r="B701">
        <f ca="1">dict_zul_Var_Meth[ID_Variables]</f>
        <v>187</v>
      </c>
      <c r="C70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1" t="str">
        <f ca="1">IF(dict_zuord_Meth_Pos[[#This Row],[kval_active]],dict_zuord_Meth_Pos[[#This Row],[ID_Positions]],"")</f>
        <v/>
      </c>
    </row>
    <row r="702" spans="1:4" x14ac:dyDescent="0.45">
      <c r="A702">
        <f ca="1">dict_zul_Var_Meth[ID_Methods]</f>
        <v>243</v>
      </c>
      <c r="B702">
        <f ca="1">dict_zul_Var_Meth[ID_Variables]</f>
        <v>187</v>
      </c>
      <c r="C70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2" t="str">
        <f ca="1">IF(dict_zuord_Meth_Pos[[#This Row],[kval_active]],dict_zuord_Meth_Pos[[#This Row],[ID_Positions]],"")</f>
        <v/>
      </c>
    </row>
    <row r="703" spans="1:4" x14ac:dyDescent="0.45">
      <c r="A703">
        <f ca="1">dict_zul_Var_Meth[ID_Methods]</f>
        <v>84</v>
      </c>
      <c r="B703">
        <f ca="1">dict_zul_Var_Meth[ID_Variables]</f>
        <v>187</v>
      </c>
      <c r="C70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3" t="str">
        <f ca="1">IF(dict_zuord_Meth_Pos[[#This Row],[kval_active]],dict_zuord_Meth_Pos[[#This Row],[ID_Positions]],"")</f>
        <v/>
      </c>
    </row>
    <row r="704" spans="1:4" x14ac:dyDescent="0.45">
      <c r="A704">
        <f ca="1">dict_zul_Var_Meth[ID_Methods]</f>
        <v>527</v>
      </c>
      <c r="B704">
        <f ca="1">dict_zul_Var_Meth[ID_Variables]</f>
        <v>187</v>
      </c>
      <c r="C70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4" t="str">
        <f ca="1">IF(dict_zuord_Meth_Pos[[#This Row],[kval_active]],dict_zuord_Meth_Pos[[#This Row],[ID_Positions]],"")</f>
        <v/>
      </c>
    </row>
    <row r="705" spans="1:4" x14ac:dyDescent="0.45">
      <c r="A705">
        <f ca="1">dict_zul_Var_Meth[ID_Methods]</f>
        <v>387</v>
      </c>
      <c r="B705">
        <f ca="1">dict_zul_Var_Meth[ID_Variables]</f>
        <v>187</v>
      </c>
      <c r="C70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5" t="str">
        <f ca="1">IF(dict_zuord_Meth_Pos[[#This Row],[kval_active]],dict_zuord_Meth_Pos[[#This Row],[ID_Positions]],"")</f>
        <v/>
      </c>
    </row>
    <row r="706" spans="1:4" x14ac:dyDescent="0.45">
      <c r="A706">
        <f ca="1">dict_zul_Var_Meth[ID_Methods]</f>
        <v>585</v>
      </c>
      <c r="B706">
        <f ca="1">dict_zul_Var_Meth[ID_Variables]</f>
        <v>188</v>
      </c>
      <c r="C70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6" t="str">
        <f ca="1">IF(dict_zuord_Meth_Pos[[#This Row],[kval_active]],dict_zuord_Meth_Pos[[#This Row],[ID_Positions]],"")</f>
        <v/>
      </c>
    </row>
    <row r="707" spans="1:4" x14ac:dyDescent="0.45">
      <c r="A707">
        <f ca="1">dict_zul_Var_Meth[ID_Methods]</f>
        <v>190</v>
      </c>
      <c r="B707">
        <f ca="1">dict_zul_Var_Meth[ID_Variables]</f>
        <v>189</v>
      </c>
      <c r="C70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7" t="str">
        <f ca="1">IF(dict_zuord_Meth_Pos[[#This Row],[kval_active]],dict_zuord_Meth_Pos[[#This Row],[ID_Positions]],"")</f>
        <v/>
      </c>
    </row>
    <row r="708" spans="1:4" x14ac:dyDescent="0.45">
      <c r="A708">
        <f ca="1">dict_zul_Var_Meth[ID_Methods]</f>
        <v>579</v>
      </c>
      <c r="B708">
        <f ca="1">dict_zul_Var_Meth[ID_Variables]</f>
        <v>189</v>
      </c>
      <c r="C70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8" t="str">
        <f ca="1">IF(dict_zuord_Meth_Pos[[#This Row],[kval_active]],dict_zuord_Meth_Pos[[#This Row],[ID_Positions]],"")</f>
        <v/>
      </c>
    </row>
    <row r="709" spans="1:4" x14ac:dyDescent="0.45">
      <c r="A709">
        <f ca="1">dict_zul_Var_Meth[ID_Methods]</f>
        <v>553</v>
      </c>
      <c r="B709">
        <f ca="1">dict_zul_Var_Meth[ID_Variables]</f>
        <v>189</v>
      </c>
      <c r="C70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09" t="str">
        <f ca="1">IF(dict_zuord_Meth_Pos[[#This Row],[kval_active]],dict_zuord_Meth_Pos[[#This Row],[ID_Positions]],"")</f>
        <v/>
      </c>
    </row>
    <row r="710" spans="1:4" x14ac:dyDescent="0.45">
      <c r="A710">
        <f ca="1">dict_zul_Var_Meth[ID_Methods]</f>
        <v>71</v>
      </c>
      <c r="B710">
        <f ca="1">dict_zul_Var_Meth[ID_Variables]</f>
        <v>189</v>
      </c>
      <c r="C71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0" t="str">
        <f ca="1">IF(dict_zuord_Meth_Pos[[#This Row],[kval_active]],dict_zuord_Meth_Pos[[#This Row],[ID_Positions]],"")</f>
        <v/>
      </c>
    </row>
    <row r="711" spans="1:4" x14ac:dyDescent="0.45">
      <c r="A711">
        <f ca="1">dict_zul_Var_Meth[ID_Methods]</f>
        <v>252</v>
      </c>
      <c r="B711">
        <f ca="1">dict_zul_Var_Meth[ID_Variables]</f>
        <v>189</v>
      </c>
      <c r="C71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1" t="str">
        <f ca="1">IF(dict_zuord_Meth_Pos[[#This Row],[kval_active]],dict_zuord_Meth_Pos[[#This Row],[ID_Positions]],"")</f>
        <v/>
      </c>
    </row>
    <row r="712" spans="1:4" x14ac:dyDescent="0.45">
      <c r="A712">
        <f ca="1">dict_zul_Var_Meth[ID_Methods]</f>
        <v>162</v>
      </c>
      <c r="B712">
        <f ca="1">dict_zul_Var_Meth[ID_Variables]</f>
        <v>189</v>
      </c>
      <c r="C71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2" t="str">
        <f ca="1">IF(dict_zuord_Meth_Pos[[#This Row],[kval_active]],dict_zuord_Meth_Pos[[#This Row],[ID_Positions]],"")</f>
        <v/>
      </c>
    </row>
    <row r="713" spans="1:4" x14ac:dyDescent="0.45">
      <c r="A713">
        <f ca="1">dict_zul_Var_Meth[ID_Methods]</f>
        <v>557</v>
      </c>
      <c r="B713">
        <f ca="1">dict_zul_Var_Meth[ID_Variables]</f>
        <v>190</v>
      </c>
      <c r="C71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3" t="str">
        <f ca="1">IF(dict_zuord_Meth_Pos[[#This Row],[kval_active]],dict_zuord_Meth_Pos[[#This Row],[ID_Positions]],"")</f>
        <v/>
      </c>
    </row>
    <row r="714" spans="1:4" x14ac:dyDescent="0.45">
      <c r="A714">
        <f ca="1">dict_zul_Var_Meth[ID_Methods]</f>
        <v>672</v>
      </c>
      <c r="B714">
        <f ca="1">dict_zul_Var_Meth[ID_Variables]</f>
        <v>190</v>
      </c>
      <c r="C71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4" t="str">
        <f ca="1">IF(dict_zuord_Meth_Pos[[#This Row],[kval_active]],dict_zuord_Meth_Pos[[#This Row],[ID_Positions]],"")</f>
        <v/>
      </c>
    </row>
    <row r="715" spans="1:4" x14ac:dyDescent="0.45">
      <c r="A715">
        <f ca="1">dict_zul_Var_Meth[ID_Methods]</f>
        <v>369</v>
      </c>
      <c r="B715">
        <f ca="1">dict_zul_Var_Meth[ID_Variables]</f>
        <v>190</v>
      </c>
      <c r="C71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5" t="str">
        <f ca="1">IF(dict_zuord_Meth_Pos[[#This Row],[kval_active]],dict_zuord_Meth_Pos[[#This Row],[ID_Positions]],"")</f>
        <v/>
      </c>
    </row>
    <row r="716" spans="1:4" x14ac:dyDescent="0.45">
      <c r="A716">
        <f ca="1">dict_zul_Var_Meth[ID_Methods]</f>
        <v>192</v>
      </c>
      <c r="B716">
        <f ca="1">dict_zul_Var_Meth[ID_Variables]</f>
        <v>190</v>
      </c>
      <c r="C71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6" t="str">
        <f ca="1">IF(dict_zuord_Meth_Pos[[#This Row],[kval_active]],dict_zuord_Meth_Pos[[#This Row],[ID_Positions]],"")</f>
        <v/>
      </c>
    </row>
    <row r="717" spans="1:4" x14ac:dyDescent="0.45">
      <c r="A717">
        <f ca="1">dict_zul_Var_Meth[ID_Methods]</f>
        <v>284</v>
      </c>
      <c r="B717">
        <f ca="1">dict_zul_Var_Meth[ID_Variables]</f>
        <v>191</v>
      </c>
      <c r="C71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7" t="str">
        <f ca="1">IF(dict_zuord_Meth_Pos[[#This Row],[kval_active]],dict_zuord_Meth_Pos[[#This Row],[ID_Positions]],"")</f>
        <v/>
      </c>
    </row>
    <row r="718" spans="1:4" x14ac:dyDescent="0.45">
      <c r="A718">
        <f ca="1">dict_zul_Var_Meth[ID_Methods]</f>
        <v>232</v>
      </c>
      <c r="B718">
        <f ca="1">dict_zul_Var_Meth[ID_Variables]</f>
        <v>191</v>
      </c>
      <c r="C71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8" t="str">
        <f ca="1">IF(dict_zuord_Meth_Pos[[#This Row],[kval_active]],dict_zuord_Meth_Pos[[#This Row],[ID_Positions]],"")</f>
        <v/>
      </c>
    </row>
    <row r="719" spans="1:4" x14ac:dyDescent="0.45">
      <c r="A719">
        <f ca="1">dict_zul_Var_Meth[ID_Methods]</f>
        <v>552</v>
      </c>
      <c r="B719">
        <f ca="1">dict_zul_Var_Meth[ID_Variables]</f>
        <v>191</v>
      </c>
      <c r="C71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19" t="str">
        <f ca="1">IF(dict_zuord_Meth_Pos[[#This Row],[kval_active]],dict_zuord_Meth_Pos[[#This Row],[ID_Positions]],"")</f>
        <v/>
      </c>
    </row>
    <row r="720" spans="1:4" x14ac:dyDescent="0.45">
      <c r="A720">
        <f ca="1">dict_zul_Var_Meth[ID_Methods]</f>
        <v>54</v>
      </c>
      <c r="B720">
        <f ca="1">dict_zul_Var_Meth[ID_Variables]</f>
        <v>192</v>
      </c>
      <c r="C72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0" t="str">
        <f ca="1">IF(dict_zuord_Meth_Pos[[#This Row],[kval_active]],dict_zuord_Meth_Pos[[#This Row],[ID_Positions]],"")</f>
        <v/>
      </c>
    </row>
    <row r="721" spans="1:4" x14ac:dyDescent="0.45">
      <c r="A721">
        <f ca="1">dict_zul_Var_Meth[ID_Methods]</f>
        <v>41</v>
      </c>
      <c r="B721">
        <f ca="1">dict_zul_Var_Meth[ID_Variables]</f>
        <v>192</v>
      </c>
      <c r="C72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1" t="str">
        <f ca="1">IF(dict_zuord_Meth_Pos[[#This Row],[kval_active]],dict_zuord_Meth_Pos[[#This Row],[ID_Positions]],"")</f>
        <v/>
      </c>
    </row>
    <row r="722" spans="1:4" x14ac:dyDescent="0.45">
      <c r="A722">
        <f ca="1">dict_zul_Var_Meth[ID_Methods]</f>
        <v>453</v>
      </c>
      <c r="B722">
        <f ca="1">dict_zul_Var_Meth[ID_Variables]</f>
        <v>193</v>
      </c>
      <c r="C72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2" t="str">
        <f ca="1">IF(dict_zuord_Meth_Pos[[#This Row],[kval_active]],dict_zuord_Meth_Pos[[#This Row],[ID_Positions]],"")</f>
        <v/>
      </c>
    </row>
    <row r="723" spans="1:4" x14ac:dyDescent="0.45">
      <c r="A723">
        <f ca="1">dict_zul_Var_Meth[ID_Methods]</f>
        <v>50</v>
      </c>
      <c r="B723">
        <f ca="1">dict_zul_Var_Meth[ID_Variables]</f>
        <v>193</v>
      </c>
      <c r="C72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3" t="str">
        <f ca="1">IF(dict_zuord_Meth_Pos[[#This Row],[kval_active]],dict_zuord_Meth_Pos[[#This Row],[ID_Positions]],"")</f>
        <v/>
      </c>
    </row>
    <row r="724" spans="1:4" x14ac:dyDescent="0.45">
      <c r="A724">
        <f ca="1">dict_zul_Var_Meth[ID_Methods]</f>
        <v>176</v>
      </c>
      <c r="B724">
        <f ca="1">dict_zul_Var_Meth[ID_Variables]</f>
        <v>193</v>
      </c>
      <c r="C72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4" t="str">
        <f ca="1">IF(dict_zuord_Meth_Pos[[#This Row],[kval_active]],dict_zuord_Meth_Pos[[#This Row],[ID_Positions]],"")</f>
        <v/>
      </c>
    </row>
    <row r="725" spans="1:4" x14ac:dyDescent="0.45">
      <c r="A725">
        <f ca="1">dict_zul_Var_Meth[ID_Methods]</f>
        <v>294</v>
      </c>
      <c r="B725">
        <f ca="1">dict_zul_Var_Meth[ID_Variables]</f>
        <v>193</v>
      </c>
      <c r="C72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5" t="str">
        <f ca="1">IF(dict_zuord_Meth_Pos[[#This Row],[kval_active]],dict_zuord_Meth_Pos[[#This Row],[ID_Positions]],"")</f>
        <v/>
      </c>
    </row>
    <row r="726" spans="1:4" x14ac:dyDescent="0.45">
      <c r="A726">
        <f ca="1">dict_zul_Var_Meth[ID_Methods]</f>
        <v>257</v>
      </c>
      <c r="B726">
        <f ca="1">dict_zul_Var_Meth[ID_Variables]</f>
        <v>194</v>
      </c>
      <c r="C72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6" t="str">
        <f ca="1">IF(dict_zuord_Meth_Pos[[#This Row],[kval_active]],dict_zuord_Meth_Pos[[#This Row],[ID_Positions]],"")</f>
        <v/>
      </c>
    </row>
    <row r="727" spans="1:4" x14ac:dyDescent="0.45">
      <c r="A727">
        <f ca="1">dict_zul_Var_Meth[ID_Methods]</f>
        <v>650</v>
      </c>
      <c r="B727">
        <f ca="1">dict_zul_Var_Meth[ID_Variables]</f>
        <v>194</v>
      </c>
      <c r="C72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7" t="str">
        <f ca="1">IF(dict_zuord_Meth_Pos[[#This Row],[kval_active]],dict_zuord_Meth_Pos[[#This Row],[ID_Positions]],"")</f>
        <v/>
      </c>
    </row>
    <row r="728" spans="1:4" x14ac:dyDescent="0.45">
      <c r="A728">
        <f ca="1">dict_zul_Var_Meth[ID_Methods]</f>
        <v>140</v>
      </c>
      <c r="B728">
        <f ca="1">dict_zul_Var_Meth[ID_Variables]</f>
        <v>194</v>
      </c>
      <c r="C72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8" t="str">
        <f ca="1">IF(dict_zuord_Meth_Pos[[#This Row],[kval_active]],dict_zuord_Meth_Pos[[#This Row],[ID_Positions]],"")</f>
        <v/>
      </c>
    </row>
    <row r="729" spans="1:4" x14ac:dyDescent="0.45">
      <c r="A729">
        <f ca="1">dict_zul_Var_Meth[ID_Methods]</f>
        <v>331</v>
      </c>
      <c r="B729">
        <f ca="1">dict_zul_Var_Meth[ID_Variables]</f>
        <v>194</v>
      </c>
      <c r="C72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29" t="str">
        <f ca="1">IF(dict_zuord_Meth_Pos[[#This Row],[kval_active]],dict_zuord_Meth_Pos[[#This Row],[ID_Positions]],"")</f>
        <v/>
      </c>
    </row>
    <row r="730" spans="1:4" x14ac:dyDescent="0.45">
      <c r="A730">
        <f ca="1">dict_zul_Var_Meth[ID_Methods]</f>
        <v>529</v>
      </c>
      <c r="B730">
        <f ca="1">dict_zul_Var_Meth[ID_Variables]</f>
        <v>194</v>
      </c>
      <c r="C73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0" t="str">
        <f ca="1">IF(dict_zuord_Meth_Pos[[#This Row],[kval_active]],dict_zuord_Meth_Pos[[#This Row],[ID_Positions]],"")</f>
        <v/>
      </c>
    </row>
    <row r="731" spans="1:4" x14ac:dyDescent="0.45">
      <c r="A731">
        <f ca="1">dict_zul_Var_Meth[ID_Methods]</f>
        <v>56</v>
      </c>
      <c r="B731">
        <f ca="1">dict_zul_Var_Meth[ID_Variables]</f>
        <v>195</v>
      </c>
      <c r="C73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1" t="str">
        <f ca="1">IF(dict_zuord_Meth_Pos[[#This Row],[kval_active]],dict_zuord_Meth_Pos[[#This Row],[ID_Positions]],"")</f>
        <v/>
      </c>
    </row>
    <row r="732" spans="1:4" x14ac:dyDescent="0.45">
      <c r="A732">
        <f ca="1">dict_zul_Var_Meth[ID_Methods]</f>
        <v>549</v>
      </c>
      <c r="B732">
        <f ca="1">dict_zul_Var_Meth[ID_Variables]</f>
        <v>195</v>
      </c>
      <c r="C73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2" t="str">
        <f ca="1">IF(dict_zuord_Meth_Pos[[#This Row],[kval_active]],dict_zuord_Meth_Pos[[#This Row],[ID_Positions]],"")</f>
        <v/>
      </c>
    </row>
    <row r="733" spans="1:4" x14ac:dyDescent="0.45">
      <c r="A733">
        <f ca="1">dict_zul_Var_Meth[ID_Methods]</f>
        <v>244</v>
      </c>
      <c r="B733">
        <f ca="1">dict_zul_Var_Meth[ID_Variables]</f>
        <v>195</v>
      </c>
      <c r="C73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3" t="str">
        <f ca="1">IF(dict_zuord_Meth_Pos[[#This Row],[kval_active]],dict_zuord_Meth_Pos[[#This Row],[ID_Positions]],"")</f>
        <v/>
      </c>
    </row>
    <row r="734" spans="1:4" x14ac:dyDescent="0.45">
      <c r="A734">
        <f ca="1">dict_zul_Var_Meth[ID_Methods]</f>
        <v>1</v>
      </c>
      <c r="B734">
        <f ca="1">dict_zul_Var_Meth[ID_Variables]</f>
        <v>195</v>
      </c>
      <c r="C73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1</v>
      </c>
      <c r="D734">
        <f ca="1">IF(dict_zuord_Meth_Pos[[#This Row],[kval_active]],dict_zuord_Meth_Pos[[#This Row],[ID_Positions]],"")</f>
        <v>195</v>
      </c>
    </row>
    <row r="735" spans="1:4" x14ac:dyDescent="0.45">
      <c r="A735">
        <f ca="1">dict_zul_Var_Meth[ID_Methods]</f>
        <v>23</v>
      </c>
      <c r="B735">
        <f ca="1">dict_zul_Var_Meth[ID_Variables]</f>
        <v>196</v>
      </c>
      <c r="C73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5" t="str">
        <f ca="1">IF(dict_zuord_Meth_Pos[[#This Row],[kval_active]],dict_zuord_Meth_Pos[[#This Row],[ID_Positions]],"")</f>
        <v/>
      </c>
    </row>
    <row r="736" spans="1:4" x14ac:dyDescent="0.45">
      <c r="A736">
        <f ca="1">dict_zul_Var_Meth[ID_Methods]</f>
        <v>333</v>
      </c>
      <c r="B736">
        <f ca="1">dict_zul_Var_Meth[ID_Variables]</f>
        <v>196</v>
      </c>
      <c r="C73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6" t="str">
        <f ca="1">IF(dict_zuord_Meth_Pos[[#This Row],[kval_active]],dict_zuord_Meth_Pos[[#This Row],[ID_Positions]],"")</f>
        <v/>
      </c>
    </row>
    <row r="737" spans="1:4" x14ac:dyDescent="0.45">
      <c r="A737">
        <f ca="1">dict_zul_Var_Meth[ID_Methods]</f>
        <v>35</v>
      </c>
      <c r="B737">
        <f ca="1">dict_zul_Var_Meth[ID_Variables]</f>
        <v>196</v>
      </c>
      <c r="C73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7" t="str">
        <f ca="1">IF(dict_zuord_Meth_Pos[[#This Row],[kval_active]],dict_zuord_Meth_Pos[[#This Row],[ID_Positions]],"")</f>
        <v/>
      </c>
    </row>
    <row r="738" spans="1:4" x14ac:dyDescent="0.45">
      <c r="A738">
        <f ca="1">dict_zul_Var_Meth[ID_Methods]</f>
        <v>235</v>
      </c>
      <c r="B738">
        <f ca="1">dict_zul_Var_Meth[ID_Variables]</f>
        <v>197</v>
      </c>
      <c r="C73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8" t="str">
        <f ca="1">IF(dict_zuord_Meth_Pos[[#This Row],[kval_active]],dict_zuord_Meth_Pos[[#This Row],[ID_Positions]],"")</f>
        <v/>
      </c>
    </row>
    <row r="739" spans="1:4" x14ac:dyDescent="0.45">
      <c r="A739">
        <f ca="1">dict_zul_Var_Meth[ID_Methods]</f>
        <v>321</v>
      </c>
      <c r="B739">
        <f ca="1">dict_zul_Var_Meth[ID_Variables]</f>
        <v>197</v>
      </c>
      <c r="C73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39" t="str">
        <f ca="1">IF(dict_zuord_Meth_Pos[[#This Row],[kval_active]],dict_zuord_Meth_Pos[[#This Row],[ID_Positions]],"")</f>
        <v/>
      </c>
    </row>
    <row r="740" spans="1:4" x14ac:dyDescent="0.45">
      <c r="A740">
        <f ca="1">dict_zul_Var_Meth[ID_Methods]</f>
        <v>494</v>
      </c>
      <c r="B740">
        <f ca="1">dict_zul_Var_Meth[ID_Variables]</f>
        <v>197</v>
      </c>
      <c r="C74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0" t="str">
        <f ca="1">IF(dict_zuord_Meth_Pos[[#This Row],[kval_active]],dict_zuord_Meth_Pos[[#This Row],[ID_Positions]],"")</f>
        <v/>
      </c>
    </row>
    <row r="741" spans="1:4" x14ac:dyDescent="0.45">
      <c r="A741">
        <f ca="1">dict_zul_Var_Meth[ID_Methods]</f>
        <v>57</v>
      </c>
      <c r="B741">
        <f ca="1">dict_zul_Var_Meth[ID_Variables]</f>
        <v>197</v>
      </c>
      <c r="C74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1" t="str">
        <f ca="1">IF(dict_zuord_Meth_Pos[[#This Row],[kval_active]],dict_zuord_Meth_Pos[[#This Row],[ID_Positions]],"")</f>
        <v/>
      </c>
    </row>
    <row r="742" spans="1:4" x14ac:dyDescent="0.45">
      <c r="A742">
        <f ca="1">dict_zul_Var_Meth[ID_Methods]</f>
        <v>60</v>
      </c>
      <c r="B742">
        <f ca="1">dict_zul_Var_Meth[ID_Variables]</f>
        <v>198</v>
      </c>
      <c r="C74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2" t="str">
        <f ca="1">IF(dict_zuord_Meth_Pos[[#This Row],[kval_active]],dict_zuord_Meth_Pos[[#This Row],[ID_Positions]],"")</f>
        <v/>
      </c>
    </row>
    <row r="743" spans="1:4" x14ac:dyDescent="0.45">
      <c r="A743">
        <f ca="1">dict_zul_Var_Meth[ID_Methods]</f>
        <v>461</v>
      </c>
      <c r="B743">
        <f ca="1">dict_zul_Var_Meth[ID_Variables]</f>
        <v>198</v>
      </c>
      <c r="C74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3" t="str">
        <f ca="1">IF(dict_zuord_Meth_Pos[[#This Row],[kval_active]],dict_zuord_Meth_Pos[[#This Row],[ID_Positions]],"")</f>
        <v/>
      </c>
    </row>
    <row r="744" spans="1:4" x14ac:dyDescent="0.45">
      <c r="A744">
        <f ca="1">dict_zul_Var_Meth[ID_Methods]</f>
        <v>158</v>
      </c>
      <c r="B744">
        <f ca="1">dict_zul_Var_Meth[ID_Variables]</f>
        <v>198</v>
      </c>
      <c r="C74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4" t="str">
        <f ca="1">IF(dict_zuord_Meth_Pos[[#This Row],[kval_active]],dict_zuord_Meth_Pos[[#This Row],[ID_Positions]],"")</f>
        <v/>
      </c>
    </row>
    <row r="745" spans="1:4" x14ac:dyDescent="0.45">
      <c r="A745">
        <f ca="1">dict_zul_Var_Meth[ID_Methods]</f>
        <v>561</v>
      </c>
      <c r="B745">
        <f ca="1">dict_zul_Var_Meth[ID_Variables]</f>
        <v>198</v>
      </c>
      <c r="C74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5" t="str">
        <f ca="1">IF(dict_zuord_Meth_Pos[[#This Row],[kval_active]],dict_zuord_Meth_Pos[[#This Row],[ID_Positions]],"")</f>
        <v/>
      </c>
    </row>
    <row r="746" spans="1:4" x14ac:dyDescent="0.45">
      <c r="A746">
        <f ca="1">dict_zul_Var_Meth[ID_Methods]</f>
        <v>362</v>
      </c>
      <c r="B746">
        <f ca="1">dict_zul_Var_Meth[ID_Variables]</f>
        <v>199</v>
      </c>
      <c r="C74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6" t="str">
        <f ca="1">IF(dict_zuord_Meth_Pos[[#This Row],[kval_active]],dict_zuord_Meth_Pos[[#This Row],[ID_Positions]],"")</f>
        <v/>
      </c>
    </row>
    <row r="747" spans="1:4" x14ac:dyDescent="0.45">
      <c r="A747">
        <f ca="1">dict_zul_Var_Meth[ID_Methods]</f>
        <v>129</v>
      </c>
      <c r="B747">
        <f ca="1">dict_zul_Var_Meth[ID_Variables]</f>
        <v>199</v>
      </c>
      <c r="C74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7" t="str">
        <f ca="1">IF(dict_zuord_Meth_Pos[[#This Row],[kval_active]],dict_zuord_Meth_Pos[[#This Row],[ID_Positions]],"")</f>
        <v/>
      </c>
    </row>
    <row r="748" spans="1:4" x14ac:dyDescent="0.45">
      <c r="A748">
        <f ca="1">dict_zul_Var_Meth[ID_Methods]</f>
        <v>425</v>
      </c>
      <c r="B748">
        <f ca="1">dict_zul_Var_Meth[ID_Variables]</f>
        <v>199</v>
      </c>
      <c r="C74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8" t="str">
        <f ca="1">IF(dict_zuord_Meth_Pos[[#This Row],[kval_active]],dict_zuord_Meth_Pos[[#This Row],[ID_Positions]],"")</f>
        <v/>
      </c>
    </row>
    <row r="749" spans="1:4" x14ac:dyDescent="0.45">
      <c r="A749">
        <f ca="1">dict_zul_Var_Meth[ID_Methods]</f>
        <v>542</v>
      </c>
      <c r="B749">
        <f ca="1">dict_zul_Var_Meth[ID_Variables]</f>
        <v>199</v>
      </c>
      <c r="C74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49" t="str">
        <f ca="1">IF(dict_zuord_Meth_Pos[[#This Row],[kval_active]],dict_zuord_Meth_Pos[[#This Row],[ID_Positions]],"")</f>
        <v/>
      </c>
    </row>
    <row r="750" spans="1:4" x14ac:dyDescent="0.45">
      <c r="A750">
        <f ca="1">dict_zul_Var_Meth[ID_Methods]</f>
        <v>25</v>
      </c>
      <c r="B750">
        <f ca="1">dict_zul_Var_Meth[ID_Variables]</f>
        <v>200</v>
      </c>
      <c r="C75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0" t="str">
        <f ca="1">IF(dict_zuord_Meth_Pos[[#This Row],[kval_active]],dict_zuord_Meth_Pos[[#This Row],[ID_Positions]],"")</f>
        <v/>
      </c>
    </row>
    <row r="751" spans="1:4" x14ac:dyDescent="0.45">
      <c r="A751">
        <f ca="1">dict_zul_Var_Meth[ID_Methods]</f>
        <v>52</v>
      </c>
      <c r="B751">
        <f ca="1">dict_zul_Var_Meth[ID_Variables]</f>
        <v>200</v>
      </c>
      <c r="C75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1" t="str">
        <f ca="1">IF(dict_zuord_Meth_Pos[[#This Row],[kval_active]],dict_zuord_Meth_Pos[[#This Row],[ID_Positions]],"")</f>
        <v/>
      </c>
    </row>
    <row r="752" spans="1:4" x14ac:dyDescent="0.45">
      <c r="A752">
        <f ca="1">dict_zul_Var_Meth[ID_Methods]</f>
        <v>265</v>
      </c>
      <c r="B752">
        <f ca="1">dict_zul_Var_Meth[ID_Variables]</f>
        <v>200</v>
      </c>
      <c r="C752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2" t="str">
        <f ca="1">IF(dict_zuord_Meth_Pos[[#This Row],[kval_active]],dict_zuord_Meth_Pos[[#This Row],[ID_Positions]],"")</f>
        <v/>
      </c>
    </row>
    <row r="753" spans="1:4" x14ac:dyDescent="0.45">
      <c r="A753">
        <f ca="1">dict_zul_Var_Meth[ID_Methods]</f>
        <v>662</v>
      </c>
      <c r="B753">
        <f ca="1">dict_zul_Var_Meth[ID_Variables]</f>
        <v>200</v>
      </c>
      <c r="C753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3" t="str">
        <f ca="1">IF(dict_zuord_Meth_Pos[[#This Row],[kval_active]],dict_zuord_Meth_Pos[[#This Row],[ID_Positions]],"")</f>
        <v/>
      </c>
    </row>
    <row r="754" spans="1:4" x14ac:dyDescent="0.45">
      <c r="A754">
        <f ca="1">dict_zul_Var_Meth[ID_Methods]</f>
        <v>510</v>
      </c>
      <c r="B754">
        <f ca="1">dict_zul_Var_Meth[ID_Variables]</f>
        <v>200</v>
      </c>
      <c r="C754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4" t="str">
        <f ca="1">IF(dict_zuord_Meth_Pos[[#This Row],[kval_active]],dict_zuord_Meth_Pos[[#This Row],[ID_Positions]],"")</f>
        <v/>
      </c>
    </row>
    <row r="755" spans="1:4" x14ac:dyDescent="0.45">
      <c r="A755">
        <f ca="1">dict_zul_Var_Meth[ID_Methods]</f>
        <v>160</v>
      </c>
      <c r="B755">
        <f ca="1">dict_zul_Var_Meth[ID_Variables]</f>
        <v>200</v>
      </c>
      <c r="C755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5" t="str">
        <f ca="1">IF(dict_zuord_Meth_Pos[[#This Row],[kval_active]],dict_zuord_Meth_Pos[[#This Row],[ID_Positions]],"")</f>
        <v/>
      </c>
    </row>
    <row r="756" spans="1:4" x14ac:dyDescent="0.45">
      <c r="A756">
        <f ca="1">dict_zul_Var_Meth[ID_Methods]</f>
        <v>506</v>
      </c>
      <c r="B756">
        <f ca="1">dict_zul_Var_Meth[ID_Variables]</f>
        <v>200</v>
      </c>
      <c r="C756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6" t="str">
        <f ca="1">IF(dict_zuord_Meth_Pos[[#This Row],[kval_active]],dict_zuord_Meth_Pos[[#This Row],[ID_Positions]],"")</f>
        <v/>
      </c>
    </row>
    <row r="757" spans="1:4" x14ac:dyDescent="0.45">
      <c r="A757">
        <f ca="1">dict_zul_Var_Meth[ID_Methods]</f>
        <v>352</v>
      </c>
      <c r="B757">
        <f ca="1">dict_zul_Var_Meth[ID_Variables]</f>
        <v>200</v>
      </c>
      <c r="C757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7" t="str">
        <f ca="1">IF(dict_zuord_Meth_Pos[[#This Row],[kval_active]],dict_zuord_Meth_Pos[[#This Row],[ID_Positions]],"")</f>
        <v/>
      </c>
    </row>
    <row r="758" spans="1:4" x14ac:dyDescent="0.45">
      <c r="A758">
        <f ca="1">dict_zul_Var_Meth[ID_Methods]</f>
        <v>669</v>
      </c>
      <c r="B758">
        <f ca="1">dict_zul_Var_Meth[ID_Variables]</f>
        <v>200</v>
      </c>
      <c r="C758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8" t="str">
        <f ca="1">IF(dict_zuord_Meth_Pos[[#This Row],[kval_active]],dict_zuord_Meth_Pos[[#This Row],[ID_Positions]],"")</f>
        <v/>
      </c>
    </row>
    <row r="759" spans="1:4" x14ac:dyDescent="0.45">
      <c r="A759">
        <f ca="1">dict_zul_Var_Meth[ID_Methods]</f>
        <v>13</v>
      </c>
      <c r="B759">
        <f ca="1">dict_zul_Var_Meth[ID_Variables]</f>
        <v>200</v>
      </c>
      <c r="C759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59" t="str">
        <f ca="1">IF(dict_zuord_Meth_Pos[[#This Row],[kval_active]],dict_zuord_Meth_Pos[[#This Row],[ID_Positions]],"")</f>
        <v/>
      </c>
    </row>
    <row r="760" spans="1:4" x14ac:dyDescent="0.45">
      <c r="A760">
        <f ca="1">dict_zul_Var_Meth[ID_Methods]</f>
        <v>260</v>
      </c>
      <c r="B760">
        <f ca="1">dict_zul_Var_Meth[ID_Variables]</f>
        <v>200</v>
      </c>
      <c r="C760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0" t="str">
        <f ca="1">IF(dict_zuord_Meth_Pos[[#This Row],[kval_active]],dict_zuord_Meth_Pos[[#This Row],[ID_Positions]],"")</f>
        <v/>
      </c>
    </row>
    <row r="761" spans="1:4" x14ac:dyDescent="0.45">
      <c r="A761">
        <f ca="1">dict_zul_Var_Meth[ID_Methods]</f>
        <v>43</v>
      </c>
      <c r="B761">
        <f ca="1">dict_zul_Var_Meth[ID_Variables]</f>
        <v>200</v>
      </c>
      <c r="C761" s="3" t="b">
        <f ca="1">IF(MIN(SUMPRODUCT(SUBTOTAL(103,OFFSET(table_Positions[ID],ROW(table_Positions[ID])-MIN(ROW(table_Positions[ID])),,1))*(table_Positions[ID]=dict_zuord_Meth_Pos[[#This Row],[ID_Positions]])),N(INDEX(table_Methods[kval_active],MATCH(dict_zuord_Meth_Pos[[#This Row],[ID_Methods]],table_Methods[ID]))))&gt;0,TRUE,FALSE)</f>
        <v>0</v>
      </c>
      <c r="D761" t="str">
        <f ca="1">IF(dict_zuord_Meth_Pos[[#This Row],[kval_active]],dict_zuord_Meth_Pos[[#This Row],[ID_Positions]],"")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/>
  <dimension ref="A1:D4207"/>
  <sheetViews>
    <sheetView topLeftCell="A268" workbookViewId="0">
      <selection activeCell="D3" sqref="D3"/>
    </sheetView>
  </sheetViews>
  <sheetFormatPr baseColWidth="10" defaultRowHeight="14.25" x14ac:dyDescent="0.45"/>
  <cols>
    <col min="2" max="2" width="14.265625" bestFit="1" customWidth="1"/>
  </cols>
  <sheetData>
    <row r="1" spans="1:4" x14ac:dyDescent="0.45">
      <c r="A1" t="s">
        <v>27</v>
      </c>
      <c r="B1" t="s">
        <v>60</v>
      </c>
      <c r="C1" t="s">
        <v>66</v>
      </c>
      <c r="D1" t="s">
        <v>348</v>
      </c>
    </row>
    <row r="2" spans="1:4" x14ac:dyDescent="0.45">
      <c r="A2">
        <v>0</v>
      </c>
      <c r="B2">
        <f t="shared" ref="B2:B65" ca="1" si="0">RANDBETWEEN(0,200)</f>
        <v>87</v>
      </c>
      <c r="C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" t="str">
        <f ca="1">IF(dict_zuord_Meth_Transfers[[#This Row],[kval_active]],dict_zuord_Meth_Transfers[[#This Row],[ID_Transfers]],"")</f>
        <v/>
      </c>
    </row>
    <row r="3" spans="1:4" x14ac:dyDescent="0.45">
      <c r="A3">
        <v>0</v>
      </c>
      <c r="B3">
        <f t="shared" ca="1" si="0"/>
        <v>198</v>
      </c>
      <c r="C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" t="str">
        <f ca="1">IF(dict_zuord_Meth_Transfers[[#This Row],[kval_active]],dict_zuord_Meth_Transfers[[#This Row],[ID_Transfers]],"")</f>
        <v/>
      </c>
    </row>
    <row r="4" spans="1:4" x14ac:dyDescent="0.45">
      <c r="A4">
        <v>0</v>
      </c>
      <c r="B4" s="3">
        <f t="shared" ca="1" si="0"/>
        <v>180</v>
      </c>
      <c r="C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" t="str">
        <f ca="1">IF(dict_zuord_Meth_Transfers[[#This Row],[kval_active]],dict_zuord_Meth_Transfers[[#This Row],[ID_Transfers]],"")</f>
        <v/>
      </c>
    </row>
    <row r="5" spans="1:4" x14ac:dyDescent="0.45">
      <c r="A5">
        <v>0</v>
      </c>
      <c r="B5">
        <f t="shared" ca="1" si="0"/>
        <v>66</v>
      </c>
      <c r="C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" t="str">
        <f ca="1">IF(dict_zuord_Meth_Transfers[[#This Row],[kval_active]],dict_zuord_Meth_Transfers[[#This Row],[ID_Transfers]],"")</f>
        <v/>
      </c>
    </row>
    <row r="6" spans="1:4" x14ac:dyDescent="0.45">
      <c r="A6">
        <v>0</v>
      </c>
      <c r="B6" s="3">
        <f t="shared" ca="1" si="0"/>
        <v>184</v>
      </c>
      <c r="C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" t="str">
        <f ca="1">IF(dict_zuord_Meth_Transfers[[#This Row],[kval_active]],dict_zuord_Meth_Transfers[[#This Row],[ID_Transfers]],"")</f>
        <v/>
      </c>
    </row>
    <row r="7" spans="1:4" x14ac:dyDescent="0.45">
      <c r="A7">
        <v>0</v>
      </c>
      <c r="B7" s="3">
        <f t="shared" ca="1" si="0"/>
        <v>104</v>
      </c>
      <c r="C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" t="str">
        <f ca="1">IF(dict_zuord_Meth_Transfers[[#This Row],[kval_active]],dict_zuord_Meth_Transfers[[#This Row],[ID_Transfers]],"")</f>
        <v/>
      </c>
    </row>
    <row r="8" spans="1:4" x14ac:dyDescent="0.45">
      <c r="A8">
        <v>1</v>
      </c>
      <c r="B8">
        <f t="shared" ca="1" si="0"/>
        <v>28</v>
      </c>
      <c r="C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8">
        <f ca="1">IF(dict_zuord_Meth_Transfers[[#This Row],[kval_active]],dict_zuord_Meth_Transfers[[#This Row],[ID_Transfers]],"")</f>
        <v>28</v>
      </c>
    </row>
    <row r="9" spans="1:4" x14ac:dyDescent="0.45">
      <c r="A9">
        <v>1</v>
      </c>
      <c r="B9">
        <f t="shared" ca="1" si="0"/>
        <v>78</v>
      </c>
      <c r="C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9">
        <f ca="1">IF(dict_zuord_Meth_Transfers[[#This Row],[kval_active]],dict_zuord_Meth_Transfers[[#This Row],[ID_Transfers]],"")</f>
        <v>78</v>
      </c>
    </row>
    <row r="10" spans="1:4" x14ac:dyDescent="0.45">
      <c r="A10">
        <v>1</v>
      </c>
      <c r="B10" s="3">
        <f t="shared" ca="1" si="0"/>
        <v>18</v>
      </c>
      <c r="C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">
        <f ca="1">IF(dict_zuord_Meth_Transfers[[#This Row],[kval_active]],dict_zuord_Meth_Transfers[[#This Row],[ID_Transfers]],"")</f>
        <v>18</v>
      </c>
    </row>
    <row r="11" spans="1:4" x14ac:dyDescent="0.45">
      <c r="A11">
        <v>1</v>
      </c>
      <c r="B11">
        <f t="shared" ca="1" si="0"/>
        <v>64</v>
      </c>
      <c r="C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">
        <f ca="1">IF(dict_zuord_Meth_Transfers[[#This Row],[kval_active]],dict_zuord_Meth_Transfers[[#This Row],[ID_Transfers]],"")</f>
        <v>64</v>
      </c>
    </row>
    <row r="12" spans="1:4" x14ac:dyDescent="0.45">
      <c r="A12">
        <v>1</v>
      </c>
      <c r="B12" s="3">
        <f t="shared" ca="1" si="0"/>
        <v>138</v>
      </c>
      <c r="C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">
        <f ca="1">IF(dict_zuord_Meth_Transfers[[#This Row],[kval_active]],dict_zuord_Meth_Transfers[[#This Row],[ID_Transfers]],"")</f>
        <v>138</v>
      </c>
    </row>
    <row r="13" spans="1:4" x14ac:dyDescent="0.45">
      <c r="A13">
        <v>1</v>
      </c>
      <c r="B13" s="3">
        <f t="shared" ca="1" si="0"/>
        <v>172</v>
      </c>
      <c r="C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3">
        <f ca="1">IF(dict_zuord_Meth_Transfers[[#This Row],[kval_active]],dict_zuord_Meth_Transfers[[#This Row],[ID_Transfers]],"")</f>
        <v>172</v>
      </c>
    </row>
    <row r="14" spans="1:4" x14ac:dyDescent="0.45">
      <c r="A14">
        <v>2</v>
      </c>
      <c r="B14">
        <f t="shared" ca="1" si="0"/>
        <v>105</v>
      </c>
      <c r="C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" t="str">
        <f ca="1">IF(dict_zuord_Meth_Transfers[[#This Row],[kval_active]],dict_zuord_Meth_Transfers[[#This Row],[ID_Transfers]],"")</f>
        <v/>
      </c>
    </row>
    <row r="15" spans="1:4" x14ac:dyDescent="0.45">
      <c r="A15">
        <v>2</v>
      </c>
      <c r="B15" s="3">
        <f t="shared" ca="1" si="0"/>
        <v>99</v>
      </c>
      <c r="C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" t="str">
        <f ca="1">IF(dict_zuord_Meth_Transfers[[#This Row],[kval_active]],dict_zuord_Meth_Transfers[[#This Row],[ID_Transfers]],"")</f>
        <v/>
      </c>
    </row>
    <row r="16" spans="1:4" x14ac:dyDescent="0.45">
      <c r="A16">
        <v>2</v>
      </c>
      <c r="B16" s="3">
        <f t="shared" ca="1" si="0"/>
        <v>36</v>
      </c>
      <c r="C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" t="str">
        <f ca="1">IF(dict_zuord_Meth_Transfers[[#This Row],[kval_active]],dict_zuord_Meth_Transfers[[#This Row],[ID_Transfers]],"")</f>
        <v/>
      </c>
    </row>
    <row r="17" spans="1:4" x14ac:dyDescent="0.45">
      <c r="A17">
        <v>2</v>
      </c>
      <c r="B17" s="3">
        <f t="shared" ca="1" si="0"/>
        <v>4</v>
      </c>
      <c r="C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" t="str">
        <f ca="1">IF(dict_zuord_Meth_Transfers[[#This Row],[kval_active]],dict_zuord_Meth_Transfers[[#This Row],[ID_Transfers]],"")</f>
        <v/>
      </c>
    </row>
    <row r="18" spans="1:4" x14ac:dyDescent="0.45">
      <c r="A18">
        <v>2</v>
      </c>
      <c r="B18">
        <f t="shared" ca="1" si="0"/>
        <v>27</v>
      </c>
      <c r="C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" t="str">
        <f ca="1">IF(dict_zuord_Meth_Transfers[[#This Row],[kval_active]],dict_zuord_Meth_Transfers[[#This Row],[ID_Transfers]],"")</f>
        <v/>
      </c>
    </row>
    <row r="19" spans="1:4" x14ac:dyDescent="0.45">
      <c r="A19">
        <v>2</v>
      </c>
      <c r="B19">
        <f t="shared" ca="1" si="0"/>
        <v>162</v>
      </c>
      <c r="C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" t="str">
        <f ca="1">IF(dict_zuord_Meth_Transfers[[#This Row],[kval_active]],dict_zuord_Meth_Transfers[[#This Row],[ID_Transfers]],"")</f>
        <v/>
      </c>
    </row>
    <row r="20" spans="1:4" x14ac:dyDescent="0.45">
      <c r="A20">
        <v>3</v>
      </c>
      <c r="B20" s="3">
        <f t="shared" ca="1" si="0"/>
        <v>132</v>
      </c>
      <c r="C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" t="str">
        <f ca="1">IF(dict_zuord_Meth_Transfers[[#This Row],[kval_active]],dict_zuord_Meth_Transfers[[#This Row],[ID_Transfers]],"")</f>
        <v/>
      </c>
    </row>
    <row r="21" spans="1:4" x14ac:dyDescent="0.45">
      <c r="A21">
        <v>3</v>
      </c>
      <c r="B21">
        <f t="shared" ca="1" si="0"/>
        <v>83</v>
      </c>
      <c r="C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" t="str">
        <f ca="1">IF(dict_zuord_Meth_Transfers[[#This Row],[kval_active]],dict_zuord_Meth_Transfers[[#This Row],[ID_Transfers]],"")</f>
        <v/>
      </c>
    </row>
    <row r="22" spans="1:4" x14ac:dyDescent="0.45">
      <c r="A22">
        <v>3</v>
      </c>
      <c r="B22" s="3">
        <f t="shared" ca="1" si="0"/>
        <v>118</v>
      </c>
      <c r="C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" t="str">
        <f ca="1">IF(dict_zuord_Meth_Transfers[[#This Row],[kval_active]],dict_zuord_Meth_Transfers[[#This Row],[ID_Transfers]],"")</f>
        <v/>
      </c>
    </row>
    <row r="23" spans="1:4" x14ac:dyDescent="0.45">
      <c r="A23">
        <v>3</v>
      </c>
      <c r="B23">
        <f t="shared" ca="1" si="0"/>
        <v>135</v>
      </c>
      <c r="C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" t="str">
        <f ca="1">IF(dict_zuord_Meth_Transfers[[#This Row],[kval_active]],dict_zuord_Meth_Transfers[[#This Row],[ID_Transfers]],"")</f>
        <v/>
      </c>
    </row>
    <row r="24" spans="1:4" x14ac:dyDescent="0.45">
      <c r="A24">
        <v>3</v>
      </c>
      <c r="B24">
        <f t="shared" ca="1" si="0"/>
        <v>123</v>
      </c>
      <c r="C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" t="str">
        <f ca="1">IF(dict_zuord_Meth_Transfers[[#This Row],[kval_active]],dict_zuord_Meth_Transfers[[#This Row],[ID_Transfers]],"")</f>
        <v/>
      </c>
    </row>
    <row r="25" spans="1:4" x14ac:dyDescent="0.45">
      <c r="A25">
        <v>3</v>
      </c>
      <c r="B25" s="3">
        <f t="shared" ca="1" si="0"/>
        <v>70</v>
      </c>
      <c r="C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" t="str">
        <f ca="1">IF(dict_zuord_Meth_Transfers[[#This Row],[kval_active]],dict_zuord_Meth_Transfers[[#This Row],[ID_Transfers]],"")</f>
        <v/>
      </c>
    </row>
    <row r="26" spans="1:4" x14ac:dyDescent="0.45">
      <c r="A26">
        <v>4</v>
      </c>
      <c r="B26">
        <f t="shared" ca="1" si="0"/>
        <v>197</v>
      </c>
      <c r="C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" t="str">
        <f ca="1">IF(dict_zuord_Meth_Transfers[[#This Row],[kval_active]],dict_zuord_Meth_Transfers[[#This Row],[ID_Transfers]],"")</f>
        <v/>
      </c>
    </row>
    <row r="27" spans="1:4" x14ac:dyDescent="0.45">
      <c r="A27">
        <v>4</v>
      </c>
      <c r="B27">
        <f t="shared" ca="1" si="0"/>
        <v>157</v>
      </c>
      <c r="C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" t="str">
        <f ca="1">IF(dict_zuord_Meth_Transfers[[#This Row],[kval_active]],dict_zuord_Meth_Transfers[[#This Row],[ID_Transfers]],"")</f>
        <v/>
      </c>
    </row>
    <row r="28" spans="1:4" x14ac:dyDescent="0.45">
      <c r="A28">
        <v>4</v>
      </c>
      <c r="B28">
        <f t="shared" ca="1" si="0"/>
        <v>159</v>
      </c>
      <c r="C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" t="str">
        <f ca="1">IF(dict_zuord_Meth_Transfers[[#This Row],[kval_active]],dict_zuord_Meth_Transfers[[#This Row],[ID_Transfers]],"")</f>
        <v/>
      </c>
    </row>
    <row r="29" spans="1:4" x14ac:dyDescent="0.45">
      <c r="A29">
        <v>4</v>
      </c>
      <c r="B29" s="3">
        <f t="shared" ca="1" si="0"/>
        <v>49</v>
      </c>
      <c r="C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" t="str">
        <f ca="1">IF(dict_zuord_Meth_Transfers[[#This Row],[kval_active]],dict_zuord_Meth_Transfers[[#This Row],[ID_Transfers]],"")</f>
        <v/>
      </c>
    </row>
    <row r="30" spans="1:4" x14ac:dyDescent="0.45">
      <c r="A30">
        <v>4</v>
      </c>
      <c r="B30" s="3">
        <f t="shared" ca="1" si="0"/>
        <v>73</v>
      </c>
      <c r="C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" t="str">
        <f ca="1">IF(dict_zuord_Meth_Transfers[[#This Row],[kval_active]],dict_zuord_Meth_Transfers[[#This Row],[ID_Transfers]],"")</f>
        <v/>
      </c>
    </row>
    <row r="31" spans="1:4" x14ac:dyDescent="0.45">
      <c r="A31">
        <v>4</v>
      </c>
      <c r="B31" s="3">
        <f t="shared" ca="1" si="0"/>
        <v>135</v>
      </c>
      <c r="C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" t="str">
        <f ca="1">IF(dict_zuord_Meth_Transfers[[#This Row],[kval_active]],dict_zuord_Meth_Transfers[[#This Row],[ID_Transfers]],"")</f>
        <v/>
      </c>
    </row>
    <row r="32" spans="1:4" x14ac:dyDescent="0.45">
      <c r="A32">
        <v>5</v>
      </c>
      <c r="B32" s="3">
        <f t="shared" ca="1" si="0"/>
        <v>45</v>
      </c>
      <c r="C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" t="str">
        <f ca="1">IF(dict_zuord_Meth_Transfers[[#This Row],[kval_active]],dict_zuord_Meth_Transfers[[#This Row],[ID_Transfers]],"")</f>
        <v/>
      </c>
    </row>
    <row r="33" spans="1:4" x14ac:dyDescent="0.45">
      <c r="A33">
        <v>5</v>
      </c>
      <c r="B33">
        <f t="shared" ca="1" si="0"/>
        <v>107</v>
      </c>
      <c r="C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" t="str">
        <f ca="1">IF(dict_zuord_Meth_Transfers[[#This Row],[kval_active]],dict_zuord_Meth_Transfers[[#This Row],[ID_Transfers]],"")</f>
        <v/>
      </c>
    </row>
    <row r="34" spans="1:4" x14ac:dyDescent="0.45">
      <c r="A34">
        <v>5</v>
      </c>
      <c r="B34">
        <f t="shared" ca="1" si="0"/>
        <v>88</v>
      </c>
      <c r="C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" t="str">
        <f ca="1">IF(dict_zuord_Meth_Transfers[[#This Row],[kval_active]],dict_zuord_Meth_Transfers[[#This Row],[ID_Transfers]],"")</f>
        <v/>
      </c>
    </row>
    <row r="35" spans="1:4" x14ac:dyDescent="0.45">
      <c r="A35">
        <v>5</v>
      </c>
      <c r="B35" s="3">
        <f t="shared" ca="1" si="0"/>
        <v>19</v>
      </c>
      <c r="C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" t="str">
        <f ca="1">IF(dict_zuord_Meth_Transfers[[#This Row],[kval_active]],dict_zuord_Meth_Transfers[[#This Row],[ID_Transfers]],"")</f>
        <v/>
      </c>
    </row>
    <row r="36" spans="1:4" x14ac:dyDescent="0.45">
      <c r="A36">
        <v>5</v>
      </c>
      <c r="B36" s="3">
        <f t="shared" ca="1" si="0"/>
        <v>140</v>
      </c>
      <c r="C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" t="str">
        <f ca="1">IF(dict_zuord_Meth_Transfers[[#This Row],[kval_active]],dict_zuord_Meth_Transfers[[#This Row],[ID_Transfers]],"")</f>
        <v/>
      </c>
    </row>
    <row r="37" spans="1:4" x14ac:dyDescent="0.45">
      <c r="A37">
        <v>5</v>
      </c>
      <c r="B37">
        <f t="shared" ca="1" si="0"/>
        <v>123</v>
      </c>
      <c r="C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" t="str">
        <f ca="1">IF(dict_zuord_Meth_Transfers[[#This Row],[kval_active]],dict_zuord_Meth_Transfers[[#This Row],[ID_Transfers]],"")</f>
        <v/>
      </c>
    </row>
    <row r="38" spans="1:4" x14ac:dyDescent="0.45">
      <c r="A38">
        <v>6</v>
      </c>
      <c r="B38">
        <f t="shared" ca="1" si="0"/>
        <v>44</v>
      </c>
      <c r="C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" t="str">
        <f ca="1">IF(dict_zuord_Meth_Transfers[[#This Row],[kval_active]],dict_zuord_Meth_Transfers[[#This Row],[ID_Transfers]],"")</f>
        <v/>
      </c>
    </row>
    <row r="39" spans="1:4" x14ac:dyDescent="0.45">
      <c r="A39">
        <v>6</v>
      </c>
      <c r="B39">
        <f t="shared" ca="1" si="0"/>
        <v>125</v>
      </c>
      <c r="C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" t="str">
        <f ca="1">IF(dict_zuord_Meth_Transfers[[#This Row],[kval_active]],dict_zuord_Meth_Transfers[[#This Row],[ID_Transfers]],"")</f>
        <v/>
      </c>
    </row>
    <row r="40" spans="1:4" x14ac:dyDescent="0.45">
      <c r="A40">
        <v>6</v>
      </c>
      <c r="B40" s="3">
        <f t="shared" ca="1" si="0"/>
        <v>149</v>
      </c>
      <c r="C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" t="str">
        <f ca="1">IF(dict_zuord_Meth_Transfers[[#This Row],[kval_active]],dict_zuord_Meth_Transfers[[#This Row],[ID_Transfers]],"")</f>
        <v/>
      </c>
    </row>
    <row r="41" spans="1:4" x14ac:dyDescent="0.45">
      <c r="A41">
        <v>6</v>
      </c>
      <c r="B41">
        <f t="shared" ca="1" si="0"/>
        <v>91</v>
      </c>
      <c r="C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" t="str">
        <f ca="1">IF(dict_zuord_Meth_Transfers[[#This Row],[kval_active]],dict_zuord_Meth_Transfers[[#This Row],[ID_Transfers]],"")</f>
        <v/>
      </c>
    </row>
    <row r="42" spans="1:4" x14ac:dyDescent="0.45">
      <c r="A42">
        <v>6</v>
      </c>
      <c r="B42" s="3">
        <f t="shared" ca="1" si="0"/>
        <v>102</v>
      </c>
      <c r="C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" t="str">
        <f ca="1">IF(dict_zuord_Meth_Transfers[[#This Row],[kval_active]],dict_zuord_Meth_Transfers[[#This Row],[ID_Transfers]],"")</f>
        <v/>
      </c>
    </row>
    <row r="43" spans="1:4" x14ac:dyDescent="0.45">
      <c r="A43">
        <v>6</v>
      </c>
      <c r="B43" s="3">
        <f t="shared" ca="1" si="0"/>
        <v>23</v>
      </c>
      <c r="C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" t="str">
        <f ca="1">IF(dict_zuord_Meth_Transfers[[#This Row],[kval_active]],dict_zuord_Meth_Transfers[[#This Row],[ID_Transfers]],"")</f>
        <v/>
      </c>
    </row>
    <row r="44" spans="1:4" x14ac:dyDescent="0.45">
      <c r="A44">
        <v>7</v>
      </c>
      <c r="B44">
        <f t="shared" ca="1" si="0"/>
        <v>79</v>
      </c>
      <c r="C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" t="str">
        <f ca="1">IF(dict_zuord_Meth_Transfers[[#This Row],[kval_active]],dict_zuord_Meth_Transfers[[#This Row],[ID_Transfers]],"")</f>
        <v/>
      </c>
    </row>
    <row r="45" spans="1:4" x14ac:dyDescent="0.45">
      <c r="A45">
        <v>7</v>
      </c>
      <c r="B45" s="3">
        <f t="shared" ca="1" si="0"/>
        <v>88</v>
      </c>
      <c r="C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" t="str">
        <f ca="1">IF(dict_zuord_Meth_Transfers[[#This Row],[kval_active]],dict_zuord_Meth_Transfers[[#This Row],[ID_Transfers]],"")</f>
        <v/>
      </c>
    </row>
    <row r="46" spans="1:4" x14ac:dyDescent="0.45">
      <c r="A46">
        <v>7</v>
      </c>
      <c r="B46">
        <f t="shared" ca="1" si="0"/>
        <v>38</v>
      </c>
      <c r="C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" t="str">
        <f ca="1">IF(dict_zuord_Meth_Transfers[[#This Row],[kval_active]],dict_zuord_Meth_Transfers[[#This Row],[ID_Transfers]],"")</f>
        <v/>
      </c>
    </row>
    <row r="47" spans="1:4" x14ac:dyDescent="0.45">
      <c r="A47">
        <v>7</v>
      </c>
      <c r="B47" s="3">
        <f t="shared" ca="1" si="0"/>
        <v>126</v>
      </c>
      <c r="C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" t="str">
        <f ca="1">IF(dict_zuord_Meth_Transfers[[#This Row],[kval_active]],dict_zuord_Meth_Transfers[[#This Row],[ID_Transfers]],"")</f>
        <v/>
      </c>
    </row>
    <row r="48" spans="1:4" x14ac:dyDescent="0.45">
      <c r="A48">
        <v>7</v>
      </c>
      <c r="B48">
        <f t="shared" ca="1" si="0"/>
        <v>42</v>
      </c>
      <c r="C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" t="str">
        <f ca="1">IF(dict_zuord_Meth_Transfers[[#This Row],[kval_active]],dict_zuord_Meth_Transfers[[#This Row],[ID_Transfers]],"")</f>
        <v/>
      </c>
    </row>
    <row r="49" spans="1:4" x14ac:dyDescent="0.45">
      <c r="A49">
        <v>7</v>
      </c>
      <c r="B49" s="3">
        <f t="shared" ca="1" si="0"/>
        <v>179</v>
      </c>
      <c r="C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" t="str">
        <f ca="1">IF(dict_zuord_Meth_Transfers[[#This Row],[kval_active]],dict_zuord_Meth_Transfers[[#This Row],[ID_Transfers]],"")</f>
        <v/>
      </c>
    </row>
    <row r="50" spans="1:4" x14ac:dyDescent="0.45">
      <c r="A50">
        <v>8</v>
      </c>
      <c r="B50" s="3">
        <f t="shared" ca="1" si="0"/>
        <v>126</v>
      </c>
      <c r="C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" t="str">
        <f ca="1">IF(dict_zuord_Meth_Transfers[[#This Row],[kval_active]],dict_zuord_Meth_Transfers[[#This Row],[ID_Transfers]],"")</f>
        <v/>
      </c>
    </row>
    <row r="51" spans="1:4" x14ac:dyDescent="0.45">
      <c r="A51">
        <v>8</v>
      </c>
      <c r="B51" s="3">
        <f t="shared" ca="1" si="0"/>
        <v>131</v>
      </c>
      <c r="C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" t="str">
        <f ca="1">IF(dict_zuord_Meth_Transfers[[#This Row],[kval_active]],dict_zuord_Meth_Transfers[[#This Row],[ID_Transfers]],"")</f>
        <v/>
      </c>
    </row>
    <row r="52" spans="1:4" x14ac:dyDescent="0.45">
      <c r="A52">
        <v>8</v>
      </c>
      <c r="B52" s="3">
        <f t="shared" ca="1" si="0"/>
        <v>99</v>
      </c>
      <c r="C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" t="str">
        <f ca="1">IF(dict_zuord_Meth_Transfers[[#This Row],[kval_active]],dict_zuord_Meth_Transfers[[#This Row],[ID_Transfers]],"")</f>
        <v/>
      </c>
    </row>
    <row r="53" spans="1:4" x14ac:dyDescent="0.45">
      <c r="A53">
        <v>8</v>
      </c>
      <c r="B53">
        <f t="shared" ca="1" si="0"/>
        <v>28</v>
      </c>
      <c r="C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" t="str">
        <f ca="1">IF(dict_zuord_Meth_Transfers[[#This Row],[kval_active]],dict_zuord_Meth_Transfers[[#This Row],[ID_Transfers]],"")</f>
        <v/>
      </c>
    </row>
    <row r="54" spans="1:4" x14ac:dyDescent="0.45">
      <c r="A54">
        <v>8</v>
      </c>
      <c r="B54">
        <f t="shared" ca="1" si="0"/>
        <v>166</v>
      </c>
      <c r="C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" t="str">
        <f ca="1">IF(dict_zuord_Meth_Transfers[[#This Row],[kval_active]],dict_zuord_Meth_Transfers[[#This Row],[ID_Transfers]],"")</f>
        <v/>
      </c>
    </row>
    <row r="55" spans="1:4" x14ac:dyDescent="0.45">
      <c r="A55">
        <v>8</v>
      </c>
      <c r="B55">
        <f t="shared" ca="1" si="0"/>
        <v>125</v>
      </c>
      <c r="C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" t="str">
        <f ca="1">IF(dict_zuord_Meth_Transfers[[#This Row],[kval_active]],dict_zuord_Meth_Transfers[[#This Row],[ID_Transfers]],"")</f>
        <v/>
      </c>
    </row>
    <row r="56" spans="1:4" x14ac:dyDescent="0.45">
      <c r="A56">
        <v>9</v>
      </c>
      <c r="B56">
        <f t="shared" ca="1" si="0"/>
        <v>49</v>
      </c>
      <c r="C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" t="str">
        <f ca="1">IF(dict_zuord_Meth_Transfers[[#This Row],[kval_active]],dict_zuord_Meth_Transfers[[#This Row],[ID_Transfers]],"")</f>
        <v/>
      </c>
    </row>
    <row r="57" spans="1:4" x14ac:dyDescent="0.45">
      <c r="A57">
        <v>9</v>
      </c>
      <c r="B57" s="3">
        <f t="shared" ca="1" si="0"/>
        <v>130</v>
      </c>
      <c r="C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" t="str">
        <f ca="1">IF(dict_zuord_Meth_Transfers[[#This Row],[kval_active]],dict_zuord_Meth_Transfers[[#This Row],[ID_Transfers]],"")</f>
        <v/>
      </c>
    </row>
    <row r="58" spans="1:4" x14ac:dyDescent="0.45">
      <c r="A58">
        <v>9</v>
      </c>
      <c r="B58">
        <f t="shared" ca="1" si="0"/>
        <v>21</v>
      </c>
      <c r="C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" t="str">
        <f ca="1">IF(dict_zuord_Meth_Transfers[[#This Row],[kval_active]],dict_zuord_Meth_Transfers[[#This Row],[ID_Transfers]],"")</f>
        <v/>
      </c>
    </row>
    <row r="59" spans="1:4" x14ac:dyDescent="0.45">
      <c r="A59">
        <v>9</v>
      </c>
      <c r="B59" s="3">
        <f t="shared" ca="1" si="0"/>
        <v>35</v>
      </c>
      <c r="C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" t="str">
        <f ca="1">IF(dict_zuord_Meth_Transfers[[#This Row],[kval_active]],dict_zuord_Meth_Transfers[[#This Row],[ID_Transfers]],"")</f>
        <v/>
      </c>
    </row>
    <row r="60" spans="1:4" x14ac:dyDescent="0.45">
      <c r="A60">
        <v>9</v>
      </c>
      <c r="B60">
        <f t="shared" ca="1" si="0"/>
        <v>122</v>
      </c>
      <c r="C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" t="str">
        <f ca="1">IF(dict_zuord_Meth_Transfers[[#This Row],[kval_active]],dict_zuord_Meth_Transfers[[#This Row],[ID_Transfers]],"")</f>
        <v/>
      </c>
    </row>
    <row r="61" spans="1:4" x14ac:dyDescent="0.45">
      <c r="A61">
        <v>9</v>
      </c>
      <c r="B61" s="3">
        <f t="shared" ca="1" si="0"/>
        <v>65</v>
      </c>
      <c r="C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" t="str">
        <f ca="1">IF(dict_zuord_Meth_Transfers[[#This Row],[kval_active]],dict_zuord_Meth_Transfers[[#This Row],[ID_Transfers]],"")</f>
        <v/>
      </c>
    </row>
    <row r="62" spans="1:4" x14ac:dyDescent="0.45">
      <c r="A62">
        <v>10</v>
      </c>
      <c r="B62" s="3">
        <f t="shared" ca="1" si="0"/>
        <v>173</v>
      </c>
      <c r="C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" t="str">
        <f ca="1">IF(dict_zuord_Meth_Transfers[[#This Row],[kval_active]],dict_zuord_Meth_Transfers[[#This Row],[ID_Transfers]],"")</f>
        <v/>
      </c>
    </row>
    <row r="63" spans="1:4" x14ac:dyDescent="0.45">
      <c r="A63">
        <v>10</v>
      </c>
      <c r="B63">
        <f t="shared" ca="1" si="0"/>
        <v>77</v>
      </c>
      <c r="C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" t="str">
        <f ca="1">IF(dict_zuord_Meth_Transfers[[#This Row],[kval_active]],dict_zuord_Meth_Transfers[[#This Row],[ID_Transfers]],"")</f>
        <v/>
      </c>
    </row>
    <row r="64" spans="1:4" x14ac:dyDescent="0.45">
      <c r="A64">
        <v>10</v>
      </c>
      <c r="B64">
        <f t="shared" ca="1" si="0"/>
        <v>135</v>
      </c>
      <c r="C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" t="str">
        <f ca="1">IF(dict_zuord_Meth_Transfers[[#This Row],[kval_active]],dict_zuord_Meth_Transfers[[#This Row],[ID_Transfers]],"")</f>
        <v/>
      </c>
    </row>
    <row r="65" spans="1:4" x14ac:dyDescent="0.45">
      <c r="A65">
        <v>10</v>
      </c>
      <c r="B65" s="3">
        <f t="shared" ca="1" si="0"/>
        <v>163</v>
      </c>
      <c r="C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" t="str">
        <f ca="1">IF(dict_zuord_Meth_Transfers[[#This Row],[kval_active]],dict_zuord_Meth_Transfers[[#This Row],[ID_Transfers]],"")</f>
        <v/>
      </c>
    </row>
    <row r="66" spans="1:4" x14ac:dyDescent="0.45">
      <c r="A66">
        <v>10</v>
      </c>
      <c r="B66" s="3">
        <f t="shared" ref="B66:B129" ca="1" si="1">RANDBETWEEN(0,200)</f>
        <v>30</v>
      </c>
      <c r="C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" t="str">
        <f ca="1">IF(dict_zuord_Meth_Transfers[[#This Row],[kval_active]],dict_zuord_Meth_Transfers[[#This Row],[ID_Transfers]],"")</f>
        <v/>
      </c>
    </row>
    <row r="67" spans="1:4" x14ac:dyDescent="0.45">
      <c r="A67">
        <v>10</v>
      </c>
      <c r="B67">
        <f t="shared" ca="1" si="1"/>
        <v>74</v>
      </c>
      <c r="C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" t="str">
        <f ca="1">IF(dict_zuord_Meth_Transfers[[#This Row],[kval_active]],dict_zuord_Meth_Transfers[[#This Row],[ID_Transfers]],"")</f>
        <v/>
      </c>
    </row>
    <row r="68" spans="1:4" x14ac:dyDescent="0.45">
      <c r="A68">
        <v>11</v>
      </c>
      <c r="B68">
        <f t="shared" ca="1" si="1"/>
        <v>12</v>
      </c>
      <c r="C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" t="str">
        <f ca="1">IF(dict_zuord_Meth_Transfers[[#This Row],[kval_active]],dict_zuord_Meth_Transfers[[#This Row],[ID_Transfers]],"")</f>
        <v/>
      </c>
    </row>
    <row r="69" spans="1:4" x14ac:dyDescent="0.45">
      <c r="A69">
        <v>11</v>
      </c>
      <c r="B69" s="3">
        <f t="shared" ca="1" si="1"/>
        <v>197</v>
      </c>
      <c r="C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" t="str">
        <f ca="1">IF(dict_zuord_Meth_Transfers[[#This Row],[kval_active]],dict_zuord_Meth_Transfers[[#This Row],[ID_Transfers]],"")</f>
        <v/>
      </c>
    </row>
    <row r="70" spans="1:4" x14ac:dyDescent="0.45">
      <c r="A70">
        <v>11</v>
      </c>
      <c r="B70" s="3">
        <f t="shared" ca="1" si="1"/>
        <v>49</v>
      </c>
      <c r="C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" t="str">
        <f ca="1">IF(dict_zuord_Meth_Transfers[[#This Row],[kval_active]],dict_zuord_Meth_Transfers[[#This Row],[ID_Transfers]],"")</f>
        <v/>
      </c>
    </row>
    <row r="71" spans="1:4" x14ac:dyDescent="0.45">
      <c r="A71">
        <v>11</v>
      </c>
      <c r="B71" s="3">
        <f t="shared" ca="1" si="1"/>
        <v>64</v>
      </c>
      <c r="C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" t="str">
        <f ca="1">IF(dict_zuord_Meth_Transfers[[#This Row],[kval_active]],dict_zuord_Meth_Transfers[[#This Row],[ID_Transfers]],"")</f>
        <v/>
      </c>
    </row>
    <row r="72" spans="1:4" x14ac:dyDescent="0.45">
      <c r="A72">
        <v>11</v>
      </c>
      <c r="B72">
        <f t="shared" ca="1" si="1"/>
        <v>159</v>
      </c>
      <c r="C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" t="str">
        <f ca="1">IF(dict_zuord_Meth_Transfers[[#This Row],[kval_active]],dict_zuord_Meth_Transfers[[#This Row],[ID_Transfers]],"")</f>
        <v/>
      </c>
    </row>
    <row r="73" spans="1:4" x14ac:dyDescent="0.45">
      <c r="A73">
        <v>11</v>
      </c>
      <c r="B73">
        <f t="shared" ca="1" si="1"/>
        <v>65</v>
      </c>
      <c r="C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" t="str">
        <f ca="1">IF(dict_zuord_Meth_Transfers[[#This Row],[kval_active]],dict_zuord_Meth_Transfers[[#This Row],[ID_Transfers]],"")</f>
        <v/>
      </c>
    </row>
    <row r="74" spans="1:4" x14ac:dyDescent="0.45">
      <c r="A74">
        <v>12</v>
      </c>
      <c r="B74">
        <f t="shared" ca="1" si="1"/>
        <v>66</v>
      </c>
      <c r="C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" t="str">
        <f ca="1">IF(dict_zuord_Meth_Transfers[[#This Row],[kval_active]],dict_zuord_Meth_Transfers[[#This Row],[ID_Transfers]],"")</f>
        <v/>
      </c>
    </row>
    <row r="75" spans="1:4" x14ac:dyDescent="0.45">
      <c r="A75">
        <v>12</v>
      </c>
      <c r="B75" s="3">
        <f t="shared" ca="1" si="1"/>
        <v>48</v>
      </c>
      <c r="C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" t="str">
        <f ca="1">IF(dict_zuord_Meth_Transfers[[#This Row],[kval_active]],dict_zuord_Meth_Transfers[[#This Row],[ID_Transfers]],"")</f>
        <v/>
      </c>
    </row>
    <row r="76" spans="1:4" x14ac:dyDescent="0.45">
      <c r="A76">
        <v>12</v>
      </c>
      <c r="B76" s="3">
        <f t="shared" ca="1" si="1"/>
        <v>191</v>
      </c>
      <c r="C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" t="str">
        <f ca="1">IF(dict_zuord_Meth_Transfers[[#This Row],[kval_active]],dict_zuord_Meth_Transfers[[#This Row],[ID_Transfers]],"")</f>
        <v/>
      </c>
    </row>
    <row r="77" spans="1:4" x14ac:dyDescent="0.45">
      <c r="A77">
        <v>12</v>
      </c>
      <c r="B77">
        <f t="shared" ca="1" si="1"/>
        <v>118</v>
      </c>
      <c r="C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" t="str">
        <f ca="1">IF(dict_zuord_Meth_Transfers[[#This Row],[kval_active]],dict_zuord_Meth_Transfers[[#This Row],[ID_Transfers]],"")</f>
        <v/>
      </c>
    </row>
    <row r="78" spans="1:4" x14ac:dyDescent="0.45">
      <c r="A78">
        <v>12</v>
      </c>
      <c r="B78" s="3">
        <f t="shared" ca="1" si="1"/>
        <v>136</v>
      </c>
      <c r="C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" t="str">
        <f ca="1">IF(dict_zuord_Meth_Transfers[[#This Row],[kval_active]],dict_zuord_Meth_Transfers[[#This Row],[ID_Transfers]],"")</f>
        <v/>
      </c>
    </row>
    <row r="79" spans="1:4" x14ac:dyDescent="0.45">
      <c r="A79">
        <v>12</v>
      </c>
      <c r="B79">
        <f t="shared" ca="1" si="1"/>
        <v>90</v>
      </c>
      <c r="C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" t="str">
        <f ca="1">IF(dict_zuord_Meth_Transfers[[#This Row],[kval_active]],dict_zuord_Meth_Transfers[[#This Row],[ID_Transfers]],"")</f>
        <v/>
      </c>
    </row>
    <row r="80" spans="1:4" x14ac:dyDescent="0.45">
      <c r="A80">
        <v>13</v>
      </c>
      <c r="B80">
        <f t="shared" ca="1" si="1"/>
        <v>109</v>
      </c>
      <c r="C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" t="str">
        <f ca="1">IF(dict_zuord_Meth_Transfers[[#This Row],[kval_active]],dict_zuord_Meth_Transfers[[#This Row],[ID_Transfers]],"")</f>
        <v/>
      </c>
    </row>
    <row r="81" spans="1:4" x14ac:dyDescent="0.45">
      <c r="A81">
        <v>13</v>
      </c>
      <c r="B81" s="3">
        <f t="shared" ca="1" si="1"/>
        <v>159</v>
      </c>
      <c r="C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" t="str">
        <f ca="1">IF(dict_zuord_Meth_Transfers[[#This Row],[kval_active]],dict_zuord_Meth_Transfers[[#This Row],[ID_Transfers]],"")</f>
        <v/>
      </c>
    </row>
    <row r="82" spans="1:4" x14ac:dyDescent="0.45">
      <c r="A82">
        <v>13</v>
      </c>
      <c r="B82">
        <f t="shared" ca="1" si="1"/>
        <v>200</v>
      </c>
      <c r="C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" t="str">
        <f ca="1">IF(dict_zuord_Meth_Transfers[[#This Row],[kval_active]],dict_zuord_Meth_Transfers[[#This Row],[ID_Transfers]],"")</f>
        <v/>
      </c>
    </row>
    <row r="83" spans="1:4" x14ac:dyDescent="0.45">
      <c r="A83">
        <v>13</v>
      </c>
      <c r="B83">
        <f t="shared" ca="1" si="1"/>
        <v>199</v>
      </c>
      <c r="C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" t="str">
        <f ca="1">IF(dict_zuord_Meth_Transfers[[#This Row],[kval_active]],dict_zuord_Meth_Transfers[[#This Row],[ID_Transfers]],"")</f>
        <v/>
      </c>
    </row>
    <row r="84" spans="1:4" x14ac:dyDescent="0.45">
      <c r="A84">
        <v>13</v>
      </c>
      <c r="B84" s="3">
        <f t="shared" ca="1" si="1"/>
        <v>176</v>
      </c>
      <c r="C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" t="str">
        <f ca="1">IF(dict_zuord_Meth_Transfers[[#This Row],[kval_active]],dict_zuord_Meth_Transfers[[#This Row],[ID_Transfers]],"")</f>
        <v/>
      </c>
    </row>
    <row r="85" spans="1:4" x14ac:dyDescent="0.45">
      <c r="A85">
        <v>13</v>
      </c>
      <c r="B85" s="3">
        <f t="shared" ca="1" si="1"/>
        <v>110</v>
      </c>
      <c r="C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" t="str">
        <f ca="1">IF(dict_zuord_Meth_Transfers[[#This Row],[kval_active]],dict_zuord_Meth_Transfers[[#This Row],[ID_Transfers]],"")</f>
        <v/>
      </c>
    </row>
    <row r="86" spans="1:4" x14ac:dyDescent="0.45">
      <c r="A86">
        <v>14</v>
      </c>
      <c r="B86" s="3">
        <f t="shared" ca="1" si="1"/>
        <v>105</v>
      </c>
      <c r="C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" t="str">
        <f ca="1">IF(dict_zuord_Meth_Transfers[[#This Row],[kval_active]],dict_zuord_Meth_Transfers[[#This Row],[ID_Transfers]],"")</f>
        <v/>
      </c>
    </row>
    <row r="87" spans="1:4" x14ac:dyDescent="0.45">
      <c r="A87">
        <v>14</v>
      </c>
      <c r="B87" s="3">
        <f t="shared" ca="1" si="1"/>
        <v>162</v>
      </c>
      <c r="C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" t="str">
        <f ca="1">IF(dict_zuord_Meth_Transfers[[#This Row],[kval_active]],dict_zuord_Meth_Transfers[[#This Row],[ID_Transfers]],"")</f>
        <v/>
      </c>
    </row>
    <row r="88" spans="1:4" x14ac:dyDescent="0.45">
      <c r="A88">
        <v>14</v>
      </c>
      <c r="B88" s="3">
        <f t="shared" ca="1" si="1"/>
        <v>23</v>
      </c>
      <c r="C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" t="str">
        <f ca="1">IF(dict_zuord_Meth_Transfers[[#This Row],[kval_active]],dict_zuord_Meth_Transfers[[#This Row],[ID_Transfers]],"")</f>
        <v/>
      </c>
    </row>
    <row r="89" spans="1:4" x14ac:dyDescent="0.45">
      <c r="A89">
        <v>14</v>
      </c>
      <c r="B89">
        <f t="shared" ca="1" si="1"/>
        <v>160</v>
      </c>
      <c r="C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" t="str">
        <f ca="1">IF(dict_zuord_Meth_Transfers[[#This Row],[kval_active]],dict_zuord_Meth_Transfers[[#This Row],[ID_Transfers]],"")</f>
        <v/>
      </c>
    </row>
    <row r="90" spans="1:4" x14ac:dyDescent="0.45">
      <c r="A90">
        <v>14</v>
      </c>
      <c r="B90">
        <f t="shared" ca="1" si="1"/>
        <v>93</v>
      </c>
      <c r="C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" t="str">
        <f ca="1">IF(dict_zuord_Meth_Transfers[[#This Row],[kval_active]],dict_zuord_Meth_Transfers[[#This Row],[ID_Transfers]],"")</f>
        <v/>
      </c>
    </row>
    <row r="91" spans="1:4" x14ac:dyDescent="0.45">
      <c r="A91">
        <v>14</v>
      </c>
      <c r="B91">
        <f t="shared" ca="1" si="1"/>
        <v>146</v>
      </c>
      <c r="C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" t="str">
        <f ca="1">IF(dict_zuord_Meth_Transfers[[#This Row],[kval_active]],dict_zuord_Meth_Transfers[[#This Row],[ID_Transfers]],"")</f>
        <v/>
      </c>
    </row>
    <row r="92" spans="1:4" x14ac:dyDescent="0.45">
      <c r="A92">
        <v>15</v>
      </c>
      <c r="B92" s="3">
        <f t="shared" ca="1" si="1"/>
        <v>191</v>
      </c>
      <c r="C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" t="str">
        <f ca="1">IF(dict_zuord_Meth_Transfers[[#This Row],[kval_active]],dict_zuord_Meth_Transfers[[#This Row],[ID_Transfers]],"")</f>
        <v/>
      </c>
    </row>
    <row r="93" spans="1:4" x14ac:dyDescent="0.45">
      <c r="A93">
        <v>15</v>
      </c>
      <c r="B93">
        <f t="shared" ca="1" si="1"/>
        <v>72</v>
      </c>
      <c r="C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" t="str">
        <f ca="1">IF(dict_zuord_Meth_Transfers[[#This Row],[kval_active]],dict_zuord_Meth_Transfers[[#This Row],[ID_Transfers]],"")</f>
        <v/>
      </c>
    </row>
    <row r="94" spans="1:4" x14ac:dyDescent="0.45">
      <c r="A94">
        <v>15</v>
      </c>
      <c r="B94" s="3">
        <f t="shared" ca="1" si="1"/>
        <v>174</v>
      </c>
      <c r="C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" t="str">
        <f ca="1">IF(dict_zuord_Meth_Transfers[[#This Row],[kval_active]],dict_zuord_Meth_Transfers[[#This Row],[ID_Transfers]],"")</f>
        <v/>
      </c>
    </row>
    <row r="95" spans="1:4" x14ac:dyDescent="0.45">
      <c r="A95">
        <v>15</v>
      </c>
      <c r="B95" s="3">
        <f t="shared" ca="1" si="1"/>
        <v>35</v>
      </c>
      <c r="C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" t="str">
        <f ca="1">IF(dict_zuord_Meth_Transfers[[#This Row],[kval_active]],dict_zuord_Meth_Transfers[[#This Row],[ID_Transfers]],"")</f>
        <v/>
      </c>
    </row>
    <row r="96" spans="1:4" x14ac:dyDescent="0.45">
      <c r="A96">
        <v>15</v>
      </c>
      <c r="B96">
        <f t="shared" ca="1" si="1"/>
        <v>177</v>
      </c>
      <c r="C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" t="str">
        <f ca="1">IF(dict_zuord_Meth_Transfers[[#This Row],[kval_active]],dict_zuord_Meth_Transfers[[#This Row],[ID_Transfers]],"")</f>
        <v/>
      </c>
    </row>
    <row r="97" spans="1:4" x14ac:dyDescent="0.45">
      <c r="A97">
        <v>15</v>
      </c>
      <c r="B97">
        <f t="shared" ca="1" si="1"/>
        <v>115</v>
      </c>
      <c r="C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" t="str">
        <f ca="1">IF(dict_zuord_Meth_Transfers[[#This Row],[kval_active]],dict_zuord_Meth_Transfers[[#This Row],[ID_Transfers]],"")</f>
        <v/>
      </c>
    </row>
    <row r="98" spans="1:4" x14ac:dyDescent="0.45">
      <c r="A98">
        <v>16</v>
      </c>
      <c r="B98" s="3">
        <f t="shared" ca="1" si="1"/>
        <v>104</v>
      </c>
      <c r="C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" t="str">
        <f ca="1">IF(dict_zuord_Meth_Transfers[[#This Row],[kval_active]],dict_zuord_Meth_Transfers[[#This Row],[ID_Transfers]],"")</f>
        <v/>
      </c>
    </row>
    <row r="99" spans="1:4" x14ac:dyDescent="0.45">
      <c r="A99">
        <v>16</v>
      </c>
      <c r="B99">
        <f t="shared" ca="1" si="1"/>
        <v>70</v>
      </c>
      <c r="C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" t="str">
        <f ca="1">IF(dict_zuord_Meth_Transfers[[#This Row],[kval_active]],dict_zuord_Meth_Transfers[[#This Row],[ID_Transfers]],"")</f>
        <v/>
      </c>
    </row>
    <row r="100" spans="1:4" x14ac:dyDescent="0.45">
      <c r="A100">
        <v>16</v>
      </c>
      <c r="B100" s="3">
        <f t="shared" ca="1" si="1"/>
        <v>145</v>
      </c>
      <c r="C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" t="str">
        <f ca="1">IF(dict_zuord_Meth_Transfers[[#This Row],[kval_active]],dict_zuord_Meth_Transfers[[#This Row],[ID_Transfers]],"")</f>
        <v/>
      </c>
    </row>
    <row r="101" spans="1:4" x14ac:dyDescent="0.45">
      <c r="A101">
        <v>16</v>
      </c>
      <c r="B101">
        <f t="shared" ca="1" si="1"/>
        <v>184</v>
      </c>
      <c r="C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" t="str">
        <f ca="1">IF(dict_zuord_Meth_Transfers[[#This Row],[kval_active]],dict_zuord_Meth_Transfers[[#This Row],[ID_Transfers]],"")</f>
        <v/>
      </c>
    </row>
    <row r="102" spans="1:4" x14ac:dyDescent="0.45">
      <c r="A102">
        <v>16</v>
      </c>
      <c r="B102" s="3">
        <f t="shared" ca="1" si="1"/>
        <v>159</v>
      </c>
      <c r="C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" t="str">
        <f ca="1">IF(dict_zuord_Meth_Transfers[[#This Row],[kval_active]],dict_zuord_Meth_Transfers[[#This Row],[ID_Transfers]],"")</f>
        <v/>
      </c>
    </row>
    <row r="103" spans="1:4" x14ac:dyDescent="0.45">
      <c r="A103">
        <v>16</v>
      </c>
      <c r="B103">
        <f t="shared" ca="1" si="1"/>
        <v>133</v>
      </c>
      <c r="C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" t="str">
        <f ca="1">IF(dict_zuord_Meth_Transfers[[#This Row],[kval_active]],dict_zuord_Meth_Transfers[[#This Row],[ID_Transfers]],"")</f>
        <v/>
      </c>
    </row>
    <row r="104" spans="1:4" x14ac:dyDescent="0.45">
      <c r="A104">
        <v>17</v>
      </c>
      <c r="B104">
        <f t="shared" ca="1" si="1"/>
        <v>195</v>
      </c>
      <c r="C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" t="str">
        <f ca="1">IF(dict_zuord_Meth_Transfers[[#This Row],[kval_active]],dict_zuord_Meth_Transfers[[#This Row],[ID_Transfers]],"")</f>
        <v/>
      </c>
    </row>
    <row r="105" spans="1:4" x14ac:dyDescent="0.45">
      <c r="A105">
        <v>17</v>
      </c>
      <c r="B105" s="3">
        <f t="shared" ca="1" si="1"/>
        <v>24</v>
      </c>
      <c r="C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" t="str">
        <f ca="1">IF(dict_zuord_Meth_Transfers[[#This Row],[kval_active]],dict_zuord_Meth_Transfers[[#This Row],[ID_Transfers]],"")</f>
        <v/>
      </c>
    </row>
    <row r="106" spans="1:4" x14ac:dyDescent="0.45">
      <c r="A106">
        <v>17</v>
      </c>
      <c r="B106" s="3">
        <f t="shared" ca="1" si="1"/>
        <v>97</v>
      </c>
      <c r="C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" t="str">
        <f ca="1">IF(dict_zuord_Meth_Transfers[[#This Row],[kval_active]],dict_zuord_Meth_Transfers[[#This Row],[ID_Transfers]],"")</f>
        <v/>
      </c>
    </row>
    <row r="107" spans="1:4" x14ac:dyDescent="0.45">
      <c r="A107">
        <v>17</v>
      </c>
      <c r="B107">
        <f t="shared" ca="1" si="1"/>
        <v>188</v>
      </c>
      <c r="C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" t="str">
        <f ca="1">IF(dict_zuord_Meth_Transfers[[#This Row],[kval_active]],dict_zuord_Meth_Transfers[[#This Row],[ID_Transfers]],"")</f>
        <v/>
      </c>
    </row>
    <row r="108" spans="1:4" x14ac:dyDescent="0.45">
      <c r="A108">
        <v>17</v>
      </c>
      <c r="B108">
        <f t="shared" ca="1" si="1"/>
        <v>151</v>
      </c>
      <c r="C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" t="str">
        <f ca="1">IF(dict_zuord_Meth_Transfers[[#This Row],[kval_active]],dict_zuord_Meth_Transfers[[#This Row],[ID_Transfers]],"")</f>
        <v/>
      </c>
    </row>
    <row r="109" spans="1:4" x14ac:dyDescent="0.45">
      <c r="A109">
        <v>17</v>
      </c>
      <c r="B109" s="3">
        <f t="shared" ca="1" si="1"/>
        <v>142</v>
      </c>
      <c r="C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" t="str">
        <f ca="1">IF(dict_zuord_Meth_Transfers[[#This Row],[kval_active]],dict_zuord_Meth_Transfers[[#This Row],[ID_Transfers]],"")</f>
        <v/>
      </c>
    </row>
    <row r="110" spans="1:4" x14ac:dyDescent="0.45">
      <c r="A110">
        <v>18</v>
      </c>
      <c r="B110" s="3">
        <f t="shared" ca="1" si="1"/>
        <v>182</v>
      </c>
      <c r="C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" t="str">
        <f ca="1">IF(dict_zuord_Meth_Transfers[[#This Row],[kval_active]],dict_zuord_Meth_Transfers[[#This Row],[ID_Transfers]],"")</f>
        <v/>
      </c>
    </row>
    <row r="111" spans="1:4" x14ac:dyDescent="0.45">
      <c r="A111">
        <v>18</v>
      </c>
      <c r="B111">
        <f t="shared" ca="1" si="1"/>
        <v>27</v>
      </c>
      <c r="C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" t="str">
        <f ca="1">IF(dict_zuord_Meth_Transfers[[#This Row],[kval_active]],dict_zuord_Meth_Transfers[[#This Row],[ID_Transfers]],"")</f>
        <v/>
      </c>
    </row>
    <row r="112" spans="1:4" x14ac:dyDescent="0.45">
      <c r="A112">
        <v>18</v>
      </c>
      <c r="B112" s="3">
        <f t="shared" ca="1" si="1"/>
        <v>41</v>
      </c>
      <c r="C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" t="str">
        <f ca="1">IF(dict_zuord_Meth_Transfers[[#This Row],[kval_active]],dict_zuord_Meth_Transfers[[#This Row],[ID_Transfers]],"")</f>
        <v/>
      </c>
    </row>
    <row r="113" spans="1:4" x14ac:dyDescent="0.45">
      <c r="A113">
        <v>18</v>
      </c>
      <c r="B113" s="3">
        <f t="shared" ca="1" si="1"/>
        <v>83</v>
      </c>
      <c r="C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" t="str">
        <f ca="1">IF(dict_zuord_Meth_Transfers[[#This Row],[kval_active]],dict_zuord_Meth_Transfers[[#This Row],[ID_Transfers]],"")</f>
        <v/>
      </c>
    </row>
    <row r="114" spans="1:4" x14ac:dyDescent="0.45">
      <c r="A114">
        <v>18</v>
      </c>
      <c r="B114">
        <f t="shared" ca="1" si="1"/>
        <v>158</v>
      </c>
      <c r="C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" t="str">
        <f ca="1">IF(dict_zuord_Meth_Transfers[[#This Row],[kval_active]],dict_zuord_Meth_Transfers[[#This Row],[ID_Transfers]],"")</f>
        <v/>
      </c>
    </row>
    <row r="115" spans="1:4" x14ac:dyDescent="0.45">
      <c r="A115">
        <v>18</v>
      </c>
      <c r="B115">
        <f t="shared" ca="1" si="1"/>
        <v>172</v>
      </c>
      <c r="C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" t="str">
        <f ca="1">IF(dict_zuord_Meth_Transfers[[#This Row],[kval_active]],dict_zuord_Meth_Transfers[[#This Row],[ID_Transfers]],"")</f>
        <v/>
      </c>
    </row>
    <row r="116" spans="1:4" x14ac:dyDescent="0.45">
      <c r="A116">
        <v>19</v>
      </c>
      <c r="B116" s="3">
        <f t="shared" ca="1" si="1"/>
        <v>135</v>
      </c>
      <c r="C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" t="str">
        <f ca="1">IF(dict_zuord_Meth_Transfers[[#This Row],[kval_active]],dict_zuord_Meth_Transfers[[#This Row],[ID_Transfers]],"")</f>
        <v/>
      </c>
    </row>
    <row r="117" spans="1:4" x14ac:dyDescent="0.45">
      <c r="A117">
        <v>19</v>
      </c>
      <c r="B117">
        <f t="shared" ca="1" si="1"/>
        <v>113</v>
      </c>
      <c r="C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" t="str">
        <f ca="1">IF(dict_zuord_Meth_Transfers[[#This Row],[kval_active]],dict_zuord_Meth_Transfers[[#This Row],[ID_Transfers]],"")</f>
        <v/>
      </c>
    </row>
    <row r="118" spans="1:4" x14ac:dyDescent="0.45">
      <c r="A118">
        <v>19</v>
      </c>
      <c r="B118">
        <f t="shared" ca="1" si="1"/>
        <v>177</v>
      </c>
      <c r="C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" t="str">
        <f ca="1">IF(dict_zuord_Meth_Transfers[[#This Row],[kval_active]],dict_zuord_Meth_Transfers[[#This Row],[ID_Transfers]],"")</f>
        <v/>
      </c>
    </row>
    <row r="119" spans="1:4" x14ac:dyDescent="0.45">
      <c r="A119">
        <v>19</v>
      </c>
      <c r="B119">
        <f t="shared" ca="1" si="1"/>
        <v>30</v>
      </c>
      <c r="C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" t="str">
        <f ca="1">IF(dict_zuord_Meth_Transfers[[#This Row],[kval_active]],dict_zuord_Meth_Transfers[[#This Row],[ID_Transfers]],"")</f>
        <v/>
      </c>
    </row>
    <row r="120" spans="1:4" x14ac:dyDescent="0.45">
      <c r="A120">
        <v>19</v>
      </c>
      <c r="B120" s="3">
        <f t="shared" ca="1" si="1"/>
        <v>68</v>
      </c>
      <c r="C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" t="str">
        <f ca="1">IF(dict_zuord_Meth_Transfers[[#This Row],[kval_active]],dict_zuord_Meth_Transfers[[#This Row],[ID_Transfers]],"")</f>
        <v/>
      </c>
    </row>
    <row r="121" spans="1:4" x14ac:dyDescent="0.45">
      <c r="A121">
        <v>19</v>
      </c>
      <c r="B121" s="3">
        <f t="shared" ca="1" si="1"/>
        <v>116</v>
      </c>
      <c r="C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" t="str">
        <f ca="1">IF(dict_zuord_Meth_Transfers[[#This Row],[kval_active]],dict_zuord_Meth_Transfers[[#This Row],[ID_Transfers]],"")</f>
        <v/>
      </c>
    </row>
    <row r="122" spans="1:4" x14ac:dyDescent="0.45">
      <c r="A122">
        <v>20</v>
      </c>
      <c r="B122">
        <f t="shared" ca="1" si="1"/>
        <v>73</v>
      </c>
      <c r="C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" t="str">
        <f ca="1">IF(dict_zuord_Meth_Transfers[[#This Row],[kval_active]],dict_zuord_Meth_Transfers[[#This Row],[ID_Transfers]],"")</f>
        <v/>
      </c>
    </row>
    <row r="123" spans="1:4" x14ac:dyDescent="0.45">
      <c r="A123">
        <v>20</v>
      </c>
      <c r="B123" s="3">
        <f t="shared" ca="1" si="1"/>
        <v>165</v>
      </c>
      <c r="C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" t="str">
        <f ca="1">IF(dict_zuord_Meth_Transfers[[#This Row],[kval_active]],dict_zuord_Meth_Transfers[[#This Row],[ID_Transfers]],"")</f>
        <v/>
      </c>
    </row>
    <row r="124" spans="1:4" x14ac:dyDescent="0.45">
      <c r="A124">
        <v>20</v>
      </c>
      <c r="B124" s="3">
        <f t="shared" ca="1" si="1"/>
        <v>149</v>
      </c>
      <c r="C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" t="str">
        <f ca="1">IF(dict_zuord_Meth_Transfers[[#This Row],[kval_active]],dict_zuord_Meth_Transfers[[#This Row],[ID_Transfers]],"")</f>
        <v/>
      </c>
    </row>
    <row r="125" spans="1:4" x14ac:dyDescent="0.45">
      <c r="A125">
        <v>20</v>
      </c>
      <c r="B125">
        <f t="shared" ca="1" si="1"/>
        <v>191</v>
      </c>
      <c r="C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" t="str">
        <f ca="1">IF(dict_zuord_Meth_Transfers[[#This Row],[kval_active]],dict_zuord_Meth_Transfers[[#This Row],[ID_Transfers]],"")</f>
        <v/>
      </c>
    </row>
    <row r="126" spans="1:4" x14ac:dyDescent="0.45">
      <c r="A126">
        <v>20</v>
      </c>
      <c r="B126">
        <f t="shared" ca="1" si="1"/>
        <v>105</v>
      </c>
      <c r="C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" t="str">
        <f ca="1">IF(dict_zuord_Meth_Transfers[[#This Row],[kval_active]],dict_zuord_Meth_Transfers[[#This Row],[ID_Transfers]],"")</f>
        <v/>
      </c>
    </row>
    <row r="127" spans="1:4" x14ac:dyDescent="0.45">
      <c r="A127">
        <v>20</v>
      </c>
      <c r="B127" s="3">
        <f t="shared" ca="1" si="1"/>
        <v>169</v>
      </c>
      <c r="C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" t="str">
        <f ca="1">IF(dict_zuord_Meth_Transfers[[#This Row],[kval_active]],dict_zuord_Meth_Transfers[[#This Row],[ID_Transfers]],"")</f>
        <v/>
      </c>
    </row>
    <row r="128" spans="1:4" x14ac:dyDescent="0.45">
      <c r="A128">
        <v>21</v>
      </c>
      <c r="B128">
        <f t="shared" ca="1" si="1"/>
        <v>57</v>
      </c>
      <c r="C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" t="str">
        <f ca="1">IF(dict_zuord_Meth_Transfers[[#This Row],[kval_active]],dict_zuord_Meth_Transfers[[#This Row],[ID_Transfers]],"")</f>
        <v/>
      </c>
    </row>
    <row r="129" spans="1:4" x14ac:dyDescent="0.45">
      <c r="A129">
        <v>21</v>
      </c>
      <c r="B129">
        <f t="shared" ca="1" si="1"/>
        <v>9</v>
      </c>
      <c r="C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" t="str">
        <f ca="1">IF(dict_zuord_Meth_Transfers[[#This Row],[kval_active]],dict_zuord_Meth_Transfers[[#This Row],[ID_Transfers]],"")</f>
        <v/>
      </c>
    </row>
    <row r="130" spans="1:4" x14ac:dyDescent="0.45">
      <c r="A130">
        <v>21</v>
      </c>
      <c r="B130">
        <f t="shared" ref="B130:B193" ca="1" si="2">RANDBETWEEN(0,200)</f>
        <v>27</v>
      </c>
      <c r="C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" t="str">
        <f ca="1">IF(dict_zuord_Meth_Transfers[[#This Row],[kval_active]],dict_zuord_Meth_Transfers[[#This Row],[ID_Transfers]],"")</f>
        <v/>
      </c>
    </row>
    <row r="131" spans="1:4" x14ac:dyDescent="0.45">
      <c r="A131">
        <v>21</v>
      </c>
      <c r="B131" s="3">
        <f t="shared" ca="1" si="2"/>
        <v>154</v>
      </c>
      <c r="C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" t="str">
        <f ca="1">IF(dict_zuord_Meth_Transfers[[#This Row],[kval_active]],dict_zuord_Meth_Transfers[[#This Row],[ID_Transfers]],"")</f>
        <v/>
      </c>
    </row>
    <row r="132" spans="1:4" x14ac:dyDescent="0.45">
      <c r="A132">
        <v>21</v>
      </c>
      <c r="B132" s="3">
        <f t="shared" ca="1" si="2"/>
        <v>161</v>
      </c>
      <c r="C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" t="str">
        <f ca="1">IF(dict_zuord_Meth_Transfers[[#This Row],[kval_active]],dict_zuord_Meth_Transfers[[#This Row],[ID_Transfers]],"")</f>
        <v/>
      </c>
    </row>
    <row r="133" spans="1:4" x14ac:dyDescent="0.45">
      <c r="A133">
        <v>21</v>
      </c>
      <c r="B133" s="3">
        <f t="shared" ca="1" si="2"/>
        <v>98</v>
      </c>
      <c r="C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" t="str">
        <f ca="1">IF(dict_zuord_Meth_Transfers[[#This Row],[kval_active]],dict_zuord_Meth_Transfers[[#This Row],[ID_Transfers]],"")</f>
        <v/>
      </c>
    </row>
    <row r="134" spans="1:4" x14ac:dyDescent="0.45">
      <c r="A134">
        <v>22</v>
      </c>
      <c r="B134">
        <f t="shared" ca="1" si="2"/>
        <v>36</v>
      </c>
      <c r="C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" t="str">
        <f ca="1">IF(dict_zuord_Meth_Transfers[[#This Row],[kval_active]],dict_zuord_Meth_Transfers[[#This Row],[ID_Transfers]],"")</f>
        <v/>
      </c>
    </row>
    <row r="135" spans="1:4" x14ac:dyDescent="0.45">
      <c r="A135">
        <v>22</v>
      </c>
      <c r="B135">
        <f t="shared" ca="1" si="2"/>
        <v>63</v>
      </c>
      <c r="C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" t="str">
        <f ca="1">IF(dict_zuord_Meth_Transfers[[#This Row],[kval_active]],dict_zuord_Meth_Transfers[[#This Row],[ID_Transfers]],"")</f>
        <v/>
      </c>
    </row>
    <row r="136" spans="1:4" x14ac:dyDescent="0.45">
      <c r="A136">
        <v>22</v>
      </c>
      <c r="B136" s="3">
        <f t="shared" ca="1" si="2"/>
        <v>165</v>
      </c>
      <c r="C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" t="str">
        <f ca="1">IF(dict_zuord_Meth_Transfers[[#This Row],[kval_active]],dict_zuord_Meth_Transfers[[#This Row],[ID_Transfers]],"")</f>
        <v/>
      </c>
    </row>
    <row r="137" spans="1:4" x14ac:dyDescent="0.45">
      <c r="A137">
        <v>22</v>
      </c>
      <c r="B137" s="3">
        <f t="shared" ca="1" si="2"/>
        <v>21</v>
      </c>
      <c r="C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" t="str">
        <f ca="1">IF(dict_zuord_Meth_Transfers[[#This Row],[kval_active]],dict_zuord_Meth_Transfers[[#This Row],[ID_Transfers]],"")</f>
        <v/>
      </c>
    </row>
    <row r="138" spans="1:4" x14ac:dyDescent="0.45">
      <c r="A138">
        <v>22</v>
      </c>
      <c r="B138" s="3">
        <f t="shared" ca="1" si="2"/>
        <v>20</v>
      </c>
      <c r="C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" t="str">
        <f ca="1">IF(dict_zuord_Meth_Transfers[[#This Row],[kval_active]],dict_zuord_Meth_Transfers[[#This Row],[ID_Transfers]],"")</f>
        <v/>
      </c>
    </row>
    <row r="139" spans="1:4" x14ac:dyDescent="0.45">
      <c r="A139">
        <v>22</v>
      </c>
      <c r="B139">
        <f t="shared" ca="1" si="2"/>
        <v>54</v>
      </c>
      <c r="C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" t="str">
        <f ca="1">IF(dict_zuord_Meth_Transfers[[#This Row],[kval_active]],dict_zuord_Meth_Transfers[[#This Row],[ID_Transfers]],"")</f>
        <v/>
      </c>
    </row>
    <row r="140" spans="1:4" x14ac:dyDescent="0.45">
      <c r="A140">
        <v>23</v>
      </c>
      <c r="B140" s="3">
        <f t="shared" ca="1" si="2"/>
        <v>55</v>
      </c>
      <c r="C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" t="str">
        <f ca="1">IF(dict_zuord_Meth_Transfers[[#This Row],[kval_active]],dict_zuord_Meth_Transfers[[#This Row],[ID_Transfers]],"")</f>
        <v/>
      </c>
    </row>
    <row r="141" spans="1:4" x14ac:dyDescent="0.45">
      <c r="A141">
        <v>23</v>
      </c>
      <c r="B141">
        <f t="shared" ca="1" si="2"/>
        <v>64</v>
      </c>
      <c r="C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" t="str">
        <f ca="1">IF(dict_zuord_Meth_Transfers[[#This Row],[kval_active]],dict_zuord_Meth_Transfers[[#This Row],[ID_Transfers]],"")</f>
        <v/>
      </c>
    </row>
    <row r="142" spans="1:4" x14ac:dyDescent="0.45">
      <c r="A142">
        <v>23</v>
      </c>
      <c r="B142">
        <f t="shared" ca="1" si="2"/>
        <v>185</v>
      </c>
      <c r="C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" t="str">
        <f ca="1">IF(dict_zuord_Meth_Transfers[[#This Row],[kval_active]],dict_zuord_Meth_Transfers[[#This Row],[ID_Transfers]],"")</f>
        <v/>
      </c>
    </row>
    <row r="143" spans="1:4" x14ac:dyDescent="0.45">
      <c r="A143">
        <v>23</v>
      </c>
      <c r="B143">
        <f t="shared" ca="1" si="2"/>
        <v>6</v>
      </c>
      <c r="C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" t="str">
        <f ca="1">IF(dict_zuord_Meth_Transfers[[#This Row],[kval_active]],dict_zuord_Meth_Transfers[[#This Row],[ID_Transfers]],"")</f>
        <v/>
      </c>
    </row>
    <row r="144" spans="1:4" x14ac:dyDescent="0.45">
      <c r="A144">
        <v>23</v>
      </c>
      <c r="B144" s="3">
        <f t="shared" ca="1" si="2"/>
        <v>84</v>
      </c>
      <c r="C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" t="str">
        <f ca="1">IF(dict_zuord_Meth_Transfers[[#This Row],[kval_active]],dict_zuord_Meth_Transfers[[#This Row],[ID_Transfers]],"")</f>
        <v/>
      </c>
    </row>
    <row r="145" spans="1:4" x14ac:dyDescent="0.45">
      <c r="A145">
        <v>23</v>
      </c>
      <c r="B145" s="3">
        <f t="shared" ca="1" si="2"/>
        <v>28</v>
      </c>
      <c r="C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" t="str">
        <f ca="1">IF(dict_zuord_Meth_Transfers[[#This Row],[kval_active]],dict_zuord_Meth_Transfers[[#This Row],[ID_Transfers]],"")</f>
        <v/>
      </c>
    </row>
    <row r="146" spans="1:4" x14ac:dyDescent="0.45">
      <c r="A146">
        <v>24</v>
      </c>
      <c r="B146">
        <f t="shared" ca="1" si="2"/>
        <v>74</v>
      </c>
      <c r="C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6">
        <f ca="1">IF(dict_zuord_Meth_Transfers[[#This Row],[kval_active]],dict_zuord_Meth_Transfers[[#This Row],[ID_Transfers]],"")</f>
        <v>74</v>
      </c>
    </row>
    <row r="147" spans="1:4" x14ac:dyDescent="0.45">
      <c r="A147">
        <v>24</v>
      </c>
      <c r="B147">
        <f t="shared" ca="1" si="2"/>
        <v>52</v>
      </c>
      <c r="C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7">
        <f ca="1">IF(dict_zuord_Meth_Transfers[[#This Row],[kval_active]],dict_zuord_Meth_Transfers[[#This Row],[ID_Transfers]],"")</f>
        <v>52</v>
      </c>
    </row>
    <row r="148" spans="1:4" x14ac:dyDescent="0.45">
      <c r="A148">
        <v>24</v>
      </c>
      <c r="B148" s="3">
        <f t="shared" ca="1" si="2"/>
        <v>69</v>
      </c>
      <c r="C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8">
        <f ca="1">IF(dict_zuord_Meth_Transfers[[#This Row],[kval_active]],dict_zuord_Meth_Transfers[[#This Row],[ID_Transfers]],"")</f>
        <v>69</v>
      </c>
    </row>
    <row r="149" spans="1:4" x14ac:dyDescent="0.45">
      <c r="A149">
        <v>24</v>
      </c>
      <c r="B149" s="3">
        <f t="shared" ca="1" si="2"/>
        <v>51</v>
      </c>
      <c r="C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49">
        <f ca="1">IF(dict_zuord_Meth_Transfers[[#This Row],[kval_active]],dict_zuord_Meth_Transfers[[#This Row],[ID_Transfers]],"")</f>
        <v>51</v>
      </c>
    </row>
    <row r="150" spans="1:4" x14ac:dyDescent="0.45">
      <c r="A150">
        <v>24</v>
      </c>
      <c r="B150">
        <f t="shared" ca="1" si="2"/>
        <v>183</v>
      </c>
      <c r="C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">
        <f ca="1">IF(dict_zuord_Meth_Transfers[[#This Row],[kval_active]],dict_zuord_Meth_Transfers[[#This Row],[ID_Transfers]],"")</f>
        <v>183</v>
      </c>
    </row>
    <row r="151" spans="1:4" x14ac:dyDescent="0.45">
      <c r="A151">
        <v>24</v>
      </c>
      <c r="B151" s="3">
        <f t="shared" ca="1" si="2"/>
        <v>197</v>
      </c>
      <c r="C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">
        <f ca="1">IF(dict_zuord_Meth_Transfers[[#This Row],[kval_active]],dict_zuord_Meth_Transfers[[#This Row],[ID_Transfers]],"")</f>
        <v>197</v>
      </c>
    </row>
    <row r="152" spans="1:4" x14ac:dyDescent="0.45">
      <c r="A152">
        <v>25</v>
      </c>
      <c r="B152" s="3">
        <f t="shared" ca="1" si="2"/>
        <v>5</v>
      </c>
      <c r="C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" t="str">
        <f ca="1">IF(dict_zuord_Meth_Transfers[[#This Row],[kval_active]],dict_zuord_Meth_Transfers[[#This Row],[ID_Transfers]],"")</f>
        <v/>
      </c>
    </row>
    <row r="153" spans="1:4" x14ac:dyDescent="0.45">
      <c r="A153">
        <v>25</v>
      </c>
      <c r="B153">
        <f t="shared" ca="1" si="2"/>
        <v>111</v>
      </c>
      <c r="C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" t="str">
        <f ca="1">IF(dict_zuord_Meth_Transfers[[#This Row],[kval_active]],dict_zuord_Meth_Transfers[[#This Row],[ID_Transfers]],"")</f>
        <v/>
      </c>
    </row>
    <row r="154" spans="1:4" x14ac:dyDescent="0.45">
      <c r="A154">
        <v>25</v>
      </c>
      <c r="B154" s="3">
        <f t="shared" ca="1" si="2"/>
        <v>170</v>
      </c>
      <c r="C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" t="str">
        <f ca="1">IF(dict_zuord_Meth_Transfers[[#This Row],[kval_active]],dict_zuord_Meth_Transfers[[#This Row],[ID_Transfers]],"")</f>
        <v/>
      </c>
    </row>
    <row r="155" spans="1:4" x14ac:dyDescent="0.45">
      <c r="A155">
        <v>25</v>
      </c>
      <c r="B155" s="3">
        <f t="shared" ca="1" si="2"/>
        <v>142</v>
      </c>
      <c r="C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" t="str">
        <f ca="1">IF(dict_zuord_Meth_Transfers[[#This Row],[kval_active]],dict_zuord_Meth_Transfers[[#This Row],[ID_Transfers]],"")</f>
        <v/>
      </c>
    </row>
    <row r="156" spans="1:4" x14ac:dyDescent="0.45">
      <c r="A156">
        <v>25</v>
      </c>
      <c r="B156">
        <f t="shared" ca="1" si="2"/>
        <v>43</v>
      </c>
      <c r="C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" t="str">
        <f ca="1">IF(dict_zuord_Meth_Transfers[[#This Row],[kval_active]],dict_zuord_Meth_Transfers[[#This Row],[ID_Transfers]],"")</f>
        <v/>
      </c>
    </row>
    <row r="157" spans="1:4" x14ac:dyDescent="0.45">
      <c r="A157">
        <v>25</v>
      </c>
      <c r="B157">
        <f t="shared" ca="1" si="2"/>
        <v>196</v>
      </c>
      <c r="C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" t="str">
        <f ca="1">IF(dict_zuord_Meth_Transfers[[#This Row],[kval_active]],dict_zuord_Meth_Transfers[[#This Row],[ID_Transfers]],"")</f>
        <v/>
      </c>
    </row>
    <row r="158" spans="1:4" x14ac:dyDescent="0.45">
      <c r="A158">
        <v>26</v>
      </c>
      <c r="B158" s="3">
        <f t="shared" ca="1" si="2"/>
        <v>73</v>
      </c>
      <c r="C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" t="str">
        <f ca="1">IF(dict_zuord_Meth_Transfers[[#This Row],[kval_active]],dict_zuord_Meth_Transfers[[#This Row],[ID_Transfers]],"")</f>
        <v/>
      </c>
    </row>
    <row r="159" spans="1:4" x14ac:dyDescent="0.45">
      <c r="A159">
        <v>26</v>
      </c>
      <c r="B159">
        <f t="shared" ca="1" si="2"/>
        <v>70</v>
      </c>
      <c r="C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" t="str">
        <f ca="1">IF(dict_zuord_Meth_Transfers[[#This Row],[kval_active]],dict_zuord_Meth_Transfers[[#This Row],[ID_Transfers]],"")</f>
        <v/>
      </c>
    </row>
    <row r="160" spans="1:4" x14ac:dyDescent="0.45">
      <c r="A160">
        <v>26</v>
      </c>
      <c r="B160" s="3">
        <f t="shared" ca="1" si="2"/>
        <v>12</v>
      </c>
      <c r="C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" t="str">
        <f ca="1">IF(dict_zuord_Meth_Transfers[[#This Row],[kval_active]],dict_zuord_Meth_Transfers[[#This Row],[ID_Transfers]],"")</f>
        <v/>
      </c>
    </row>
    <row r="161" spans="1:4" x14ac:dyDescent="0.45">
      <c r="A161">
        <v>26</v>
      </c>
      <c r="B161" s="3">
        <f t="shared" ca="1" si="2"/>
        <v>59</v>
      </c>
      <c r="C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" t="str">
        <f ca="1">IF(dict_zuord_Meth_Transfers[[#This Row],[kval_active]],dict_zuord_Meth_Transfers[[#This Row],[ID_Transfers]],"")</f>
        <v/>
      </c>
    </row>
    <row r="162" spans="1:4" x14ac:dyDescent="0.45">
      <c r="A162">
        <v>26</v>
      </c>
      <c r="B162">
        <f t="shared" ca="1" si="2"/>
        <v>153</v>
      </c>
      <c r="C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" t="str">
        <f ca="1">IF(dict_zuord_Meth_Transfers[[#This Row],[kval_active]],dict_zuord_Meth_Transfers[[#This Row],[ID_Transfers]],"")</f>
        <v/>
      </c>
    </row>
    <row r="163" spans="1:4" x14ac:dyDescent="0.45">
      <c r="A163">
        <v>26</v>
      </c>
      <c r="B163">
        <f t="shared" ca="1" si="2"/>
        <v>112</v>
      </c>
      <c r="C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" t="str">
        <f ca="1">IF(dict_zuord_Meth_Transfers[[#This Row],[kval_active]],dict_zuord_Meth_Transfers[[#This Row],[ID_Transfers]],"")</f>
        <v/>
      </c>
    </row>
    <row r="164" spans="1:4" x14ac:dyDescent="0.45">
      <c r="A164">
        <v>27</v>
      </c>
      <c r="B164" s="3">
        <f t="shared" ca="1" si="2"/>
        <v>27</v>
      </c>
      <c r="C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" t="str">
        <f ca="1">IF(dict_zuord_Meth_Transfers[[#This Row],[kval_active]],dict_zuord_Meth_Transfers[[#This Row],[ID_Transfers]],"")</f>
        <v/>
      </c>
    </row>
    <row r="165" spans="1:4" x14ac:dyDescent="0.45">
      <c r="A165">
        <v>27</v>
      </c>
      <c r="B165">
        <f t="shared" ca="1" si="2"/>
        <v>92</v>
      </c>
      <c r="C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" t="str">
        <f ca="1">IF(dict_zuord_Meth_Transfers[[#This Row],[kval_active]],dict_zuord_Meth_Transfers[[#This Row],[ID_Transfers]],"")</f>
        <v/>
      </c>
    </row>
    <row r="166" spans="1:4" x14ac:dyDescent="0.45">
      <c r="A166">
        <v>27</v>
      </c>
      <c r="B166" s="3">
        <f t="shared" ca="1" si="2"/>
        <v>109</v>
      </c>
      <c r="C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" t="str">
        <f ca="1">IF(dict_zuord_Meth_Transfers[[#This Row],[kval_active]],dict_zuord_Meth_Transfers[[#This Row],[ID_Transfers]],"")</f>
        <v/>
      </c>
    </row>
    <row r="167" spans="1:4" x14ac:dyDescent="0.45">
      <c r="A167">
        <v>27</v>
      </c>
      <c r="B167">
        <f t="shared" ca="1" si="2"/>
        <v>139</v>
      </c>
      <c r="C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" t="str">
        <f ca="1">IF(dict_zuord_Meth_Transfers[[#This Row],[kval_active]],dict_zuord_Meth_Transfers[[#This Row],[ID_Transfers]],"")</f>
        <v/>
      </c>
    </row>
    <row r="168" spans="1:4" x14ac:dyDescent="0.45">
      <c r="A168">
        <v>27</v>
      </c>
      <c r="B168">
        <f t="shared" ca="1" si="2"/>
        <v>141</v>
      </c>
      <c r="C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" t="str">
        <f ca="1">IF(dict_zuord_Meth_Transfers[[#This Row],[kval_active]],dict_zuord_Meth_Transfers[[#This Row],[ID_Transfers]],"")</f>
        <v/>
      </c>
    </row>
    <row r="169" spans="1:4" x14ac:dyDescent="0.45">
      <c r="A169">
        <v>27</v>
      </c>
      <c r="B169" s="3">
        <f t="shared" ca="1" si="2"/>
        <v>106</v>
      </c>
      <c r="C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" t="str">
        <f ca="1">IF(dict_zuord_Meth_Transfers[[#This Row],[kval_active]],dict_zuord_Meth_Transfers[[#This Row],[ID_Transfers]],"")</f>
        <v/>
      </c>
    </row>
    <row r="170" spans="1:4" x14ac:dyDescent="0.45">
      <c r="A170">
        <v>28</v>
      </c>
      <c r="B170">
        <f t="shared" ca="1" si="2"/>
        <v>38</v>
      </c>
      <c r="C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" t="str">
        <f ca="1">IF(dict_zuord_Meth_Transfers[[#This Row],[kval_active]],dict_zuord_Meth_Transfers[[#This Row],[ID_Transfers]],"")</f>
        <v/>
      </c>
    </row>
    <row r="171" spans="1:4" x14ac:dyDescent="0.45">
      <c r="A171">
        <v>28</v>
      </c>
      <c r="B171">
        <f t="shared" ca="1" si="2"/>
        <v>184</v>
      </c>
      <c r="C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" t="str">
        <f ca="1">IF(dict_zuord_Meth_Transfers[[#This Row],[kval_active]],dict_zuord_Meth_Transfers[[#This Row],[ID_Transfers]],"")</f>
        <v/>
      </c>
    </row>
    <row r="172" spans="1:4" x14ac:dyDescent="0.45">
      <c r="A172">
        <v>28</v>
      </c>
      <c r="B172" s="3">
        <f t="shared" ca="1" si="2"/>
        <v>2</v>
      </c>
      <c r="C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" t="str">
        <f ca="1">IF(dict_zuord_Meth_Transfers[[#This Row],[kval_active]],dict_zuord_Meth_Transfers[[#This Row],[ID_Transfers]],"")</f>
        <v/>
      </c>
    </row>
    <row r="173" spans="1:4" x14ac:dyDescent="0.45">
      <c r="A173">
        <v>28</v>
      </c>
      <c r="B173" s="3">
        <f t="shared" ca="1" si="2"/>
        <v>169</v>
      </c>
      <c r="C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" t="str">
        <f ca="1">IF(dict_zuord_Meth_Transfers[[#This Row],[kval_active]],dict_zuord_Meth_Transfers[[#This Row],[ID_Transfers]],"")</f>
        <v/>
      </c>
    </row>
    <row r="174" spans="1:4" x14ac:dyDescent="0.45">
      <c r="A174">
        <v>28</v>
      </c>
      <c r="B174">
        <f t="shared" ca="1" si="2"/>
        <v>15</v>
      </c>
      <c r="C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" t="str">
        <f ca="1">IF(dict_zuord_Meth_Transfers[[#This Row],[kval_active]],dict_zuord_Meth_Transfers[[#This Row],[ID_Transfers]],"")</f>
        <v/>
      </c>
    </row>
    <row r="175" spans="1:4" x14ac:dyDescent="0.45">
      <c r="A175">
        <v>28</v>
      </c>
      <c r="B175" s="3">
        <f t="shared" ca="1" si="2"/>
        <v>7</v>
      </c>
      <c r="C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" t="str">
        <f ca="1">IF(dict_zuord_Meth_Transfers[[#This Row],[kval_active]],dict_zuord_Meth_Transfers[[#This Row],[ID_Transfers]],"")</f>
        <v/>
      </c>
    </row>
    <row r="176" spans="1:4" x14ac:dyDescent="0.45">
      <c r="A176">
        <v>29</v>
      </c>
      <c r="B176">
        <f t="shared" ca="1" si="2"/>
        <v>150</v>
      </c>
      <c r="C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" t="str">
        <f ca="1">IF(dict_zuord_Meth_Transfers[[#This Row],[kval_active]],dict_zuord_Meth_Transfers[[#This Row],[ID_Transfers]],"")</f>
        <v/>
      </c>
    </row>
    <row r="177" spans="1:4" x14ac:dyDescent="0.45">
      <c r="A177">
        <v>29</v>
      </c>
      <c r="B177" s="3">
        <f t="shared" ca="1" si="2"/>
        <v>184</v>
      </c>
      <c r="C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" t="str">
        <f ca="1">IF(dict_zuord_Meth_Transfers[[#This Row],[kval_active]],dict_zuord_Meth_Transfers[[#This Row],[ID_Transfers]],"")</f>
        <v/>
      </c>
    </row>
    <row r="178" spans="1:4" x14ac:dyDescent="0.45">
      <c r="A178">
        <v>29</v>
      </c>
      <c r="B178" s="3">
        <f t="shared" ca="1" si="2"/>
        <v>103</v>
      </c>
      <c r="C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" t="str">
        <f ca="1">IF(dict_zuord_Meth_Transfers[[#This Row],[kval_active]],dict_zuord_Meth_Transfers[[#This Row],[ID_Transfers]],"")</f>
        <v/>
      </c>
    </row>
    <row r="179" spans="1:4" x14ac:dyDescent="0.45">
      <c r="A179">
        <v>29</v>
      </c>
      <c r="B179" s="3">
        <f t="shared" ca="1" si="2"/>
        <v>96</v>
      </c>
      <c r="C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" t="str">
        <f ca="1">IF(dict_zuord_Meth_Transfers[[#This Row],[kval_active]],dict_zuord_Meth_Transfers[[#This Row],[ID_Transfers]],"")</f>
        <v/>
      </c>
    </row>
    <row r="180" spans="1:4" x14ac:dyDescent="0.45">
      <c r="A180">
        <v>29</v>
      </c>
      <c r="B180">
        <f t="shared" ca="1" si="2"/>
        <v>71</v>
      </c>
      <c r="C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" t="str">
        <f ca="1">IF(dict_zuord_Meth_Transfers[[#This Row],[kval_active]],dict_zuord_Meth_Transfers[[#This Row],[ID_Transfers]],"")</f>
        <v/>
      </c>
    </row>
    <row r="181" spans="1:4" x14ac:dyDescent="0.45">
      <c r="A181">
        <v>29</v>
      </c>
      <c r="B181">
        <f t="shared" ca="1" si="2"/>
        <v>61</v>
      </c>
      <c r="C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" t="str">
        <f ca="1">IF(dict_zuord_Meth_Transfers[[#This Row],[kval_active]],dict_zuord_Meth_Transfers[[#This Row],[ID_Transfers]],"")</f>
        <v/>
      </c>
    </row>
    <row r="182" spans="1:4" x14ac:dyDescent="0.45">
      <c r="A182">
        <v>30</v>
      </c>
      <c r="B182">
        <f t="shared" ca="1" si="2"/>
        <v>167</v>
      </c>
      <c r="C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" t="str">
        <f ca="1">IF(dict_zuord_Meth_Transfers[[#This Row],[kval_active]],dict_zuord_Meth_Transfers[[#This Row],[ID_Transfers]],"")</f>
        <v/>
      </c>
    </row>
    <row r="183" spans="1:4" x14ac:dyDescent="0.45">
      <c r="A183">
        <v>30</v>
      </c>
      <c r="B183">
        <f t="shared" ca="1" si="2"/>
        <v>111</v>
      </c>
      <c r="C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" t="str">
        <f ca="1">IF(dict_zuord_Meth_Transfers[[#This Row],[kval_active]],dict_zuord_Meth_Transfers[[#This Row],[ID_Transfers]],"")</f>
        <v/>
      </c>
    </row>
    <row r="184" spans="1:4" x14ac:dyDescent="0.45">
      <c r="A184">
        <v>30</v>
      </c>
      <c r="B184" s="3">
        <f t="shared" ca="1" si="2"/>
        <v>62</v>
      </c>
      <c r="C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" t="str">
        <f ca="1">IF(dict_zuord_Meth_Transfers[[#This Row],[kval_active]],dict_zuord_Meth_Transfers[[#This Row],[ID_Transfers]],"")</f>
        <v/>
      </c>
    </row>
    <row r="185" spans="1:4" x14ac:dyDescent="0.45">
      <c r="A185">
        <v>30</v>
      </c>
      <c r="B185" s="3">
        <f t="shared" ca="1" si="2"/>
        <v>189</v>
      </c>
      <c r="C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" t="str">
        <f ca="1">IF(dict_zuord_Meth_Transfers[[#This Row],[kval_active]],dict_zuord_Meth_Transfers[[#This Row],[ID_Transfers]],"")</f>
        <v/>
      </c>
    </row>
    <row r="186" spans="1:4" x14ac:dyDescent="0.45">
      <c r="A186">
        <v>30</v>
      </c>
      <c r="B186" s="3">
        <f t="shared" ca="1" si="2"/>
        <v>123</v>
      </c>
      <c r="C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" t="str">
        <f ca="1">IF(dict_zuord_Meth_Transfers[[#This Row],[kval_active]],dict_zuord_Meth_Transfers[[#This Row],[ID_Transfers]],"")</f>
        <v/>
      </c>
    </row>
    <row r="187" spans="1:4" x14ac:dyDescent="0.45">
      <c r="A187">
        <v>30</v>
      </c>
      <c r="B187">
        <f t="shared" ca="1" si="2"/>
        <v>33</v>
      </c>
      <c r="C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" t="str">
        <f ca="1">IF(dict_zuord_Meth_Transfers[[#This Row],[kval_active]],dict_zuord_Meth_Transfers[[#This Row],[ID_Transfers]],"")</f>
        <v/>
      </c>
    </row>
    <row r="188" spans="1:4" x14ac:dyDescent="0.45">
      <c r="A188">
        <v>31</v>
      </c>
      <c r="B188" s="3">
        <f t="shared" ca="1" si="2"/>
        <v>117</v>
      </c>
      <c r="C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" t="str">
        <f ca="1">IF(dict_zuord_Meth_Transfers[[#This Row],[kval_active]],dict_zuord_Meth_Transfers[[#This Row],[ID_Transfers]],"")</f>
        <v/>
      </c>
    </row>
    <row r="189" spans="1:4" x14ac:dyDescent="0.45">
      <c r="A189">
        <v>31</v>
      </c>
      <c r="B189">
        <f t="shared" ca="1" si="2"/>
        <v>82</v>
      </c>
      <c r="C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" t="str">
        <f ca="1">IF(dict_zuord_Meth_Transfers[[#This Row],[kval_active]],dict_zuord_Meth_Transfers[[#This Row],[ID_Transfers]],"")</f>
        <v/>
      </c>
    </row>
    <row r="190" spans="1:4" x14ac:dyDescent="0.45">
      <c r="A190">
        <v>31</v>
      </c>
      <c r="B190">
        <f t="shared" ca="1" si="2"/>
        <v>45</v>
      </c>
      <c r="C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" t="str">
        <f ca="1">IF(dict_zuord_Meth_Transfers[[#This Row],[kval_active]],dict_zuord_Meth_Transfers[[#This Row],[ID_Transfers]],"")</f>
        <v/>
      </c>
    </row>
    <row r="191" spans="1:4" x14ac:dyDescent="0.45">
      <c r="A191">
        <v>31</v>
      </c>
      <c r="B191" s="3">
        <f t="shared" ca="1" si="2"/>
        <v>142</v>
      </c>
      <c r="C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" t="str">
        <f ca="1">IF(dict_zuord_Meth_Transfers[[#This Row],[kval_active]],dict_zuord_Meth_Transfers[[#This Row],[ID_Transfers]],"")</f>
        <v/>
      </c>
    </row>
    <row r="192" spans="1:4" x14ac:dyDescent="0.45">
      <c r="A192">
        <v>31</v>
      </c>
      <c r="B192" s="3">
        <f t="shared" ca="1" si="2"/>
        <v>138</v>
      </c>
      <c r="C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" t="str">
        <f ca="1">IF(dict_zuord_Meth_Transfers[[#This Row],[kval_active]],dict_zuord_Meth_Transfers[[#This Row],[ID_Transfers]],"")</f>
        <v/>
      </c>
    </row>
    <row r="193" spans="1:4" x14ac:dyDescent="0.45">
      <c r="A193">
        <v>31</v>
      </c>
      <c r="B193">
        <f t="shared" ca="1" si="2"/>
        <v>134</v>
      </c>
      <c r="C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" t="str">
        <f ca="1">IF(dict_zuord_Meth_Transfers[[#This Row],[kval_active]],dict_zuord_Meth_Transfers[[#This Row],[ID_Transfers]],"")</f>
        <v/>
      </c>
    </row>
    <row r="194" spans="1:4" x14ac:dyDescent="0.45">
      <c r="A194">
        <v>32</v>
      </c>
      <c r="B194" s="3">
        <f t="shared" ref="B194:B257" ca="1" si="3">RANDBETWEEN(0,200)</f>
        <v>71</v>
      </c>
      <c r="C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" t="str">
        <f ca="1">IF(dict_zuord_Meth_Transfers[[#This Row],[kval_active]],dict_zuord_Meth_Transfers[[#This Row],[ID_Transfers]],"")</f>
        <v/>
      </c>
    </row>
    <row r="195" spans="1:4" x14ac:dyDescent="0.45">
      <c r="A195">
        <v>32</v>
      </c>
      <c r="B195">
        <f t="shared" ca="1" si="3"/>
        <v>67</v>
      </c>
      <c r="C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" t="str">
        <f ca="1">IF(dict_zuord_Meth_Transfers[[#This Row],[kval_active]],dict_zuord_Meth_Transfers[[#This Row],[ID_Transfers]],"")</f>
        <v/>
      </c>
    </row>
    <row r="196" spans="1:4" x14ac:dyDescent="0.45">
      <c r="A196">
        <v>32</v>
      </c>
      <c r="B196" s="3">
        <f t="shared" ca="1" si="3"/>
        <v>27</v>
      </c>
      <c r="C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" t="str">
        <f ca="1">IF(dict_zuord_Meth_Transfers[[#This Row],[kval_active]],dict_zuord_Meth_Transfers[[#This Row],[ID_Transfers]],"")</f>
        <v/>
      </c>
    </row>
    <row r="197" spans="1:4" x14ac:dyDescent="0.45">
      <c r="A197">
        <v>32</v>
      </c>
      <c r="B197" s="3">
        <f t="shared" ca="1" si="3"/>
        <v>129</v>
      </c>
      <c r="C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" t="str">
        <f ca="1">IF(dict_zuord_Meth_Transfers[[#This Row],[kval_active]],dict_zuord_Meth_Transfers[[#This Row],[ID_Transfers]],"")</f>
        <v/>
      </c>
    </row>
    <row r="198" spans="1:4" x14ac:dyDescent="0.45">
      <c r="A198">
        <v>32</v>
      </c>
      <c r="B198">
        <f t="shared" ca="1" si="3"/>
        <v>100</v>
      </c>
      <c r="C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" t="str">
        <f ca="1">IF(dict_zuord_Meth_Transfers[[#This Row],[kval_active]],dict_zuord_Meth_Transfers[[#This Row],[ID_Transfers]],"")</f>
        <v/>
      </c>
    </row>
    <row r="199" spans="1:4" x14ac:dyDescent="0.45">
      <c r="A199">
        <v>32</v>
      </c>
      <c r="B199">
        <f t="shared" ca="1" si="3"/>
        <v>181</v>
      </c>
      <c r="C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" t="str">
        <f ca="1">IF(dict_zuord_Meth_Transfers[[#This Row],[kval_active]],dict_zuord_Meth_Transfers[[#This Row],[ID_Transfers]],"")</f>
        <v/>
      </c>
    </row>
    <row r="200" spans="1:4" x14ac:dyDescent="0.45">
      <c r="A200">
        <v>33</v>
      </c>
      <c r="B200">
        <f t="shared" ca="1" si="3"/>
        <v>72</v>
      </c>
      <c r="C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" t="str">
        <f ca="1">IF(dict_zuord_Meth_Transfers[[#This Row],[kval_active]],dict_zuord_Meth_Transfers[[#This Row],[ID_Transfers]],"")</f>
        <v/>
      </c>
    </row>
    <row r="201" spans="1:4" x14ac:dyDescent="0.45">
      <c r="A201">
        <v>33</v>
      </c>
      <c r="B201" s="3">
        <f t="shared" ca="1" si="3"/>
        <v>94</v>
      </c>
      <c r="C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" t="str">
        <f ca="1">IF(dict_zuord_Meth_Transfers[[#This Row],[kval_active]],dict_zuord_Meth_Transfers[[#This Row],[ID_Transfers]],"")</f>
        <v/>
      </c>
    </row>
    <row r="202" spans="1:4" x14ac:dyDescent="0.45">
      <c r="A202">
        <v>33</v>
      </c>
      <c r="B202" s="3">
        <f t="shared" ca="1" si="3"/>
        <v>91</v>
      </c>
      <c r="C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" t="str">
        <f ca="1">IF(dict_zuord_Meth_Transfers[[#This Row],[kval_active]],dict_zuord_Meth_Transfers[[#This Row],[ID_Transfers]],"")</f>
        <v/>
      </c>
    </row>
    <row r="203" spans="1:4" x14ac:dyDescent="0.45">
      <c r="A203">
        <v>33</v>
      </c>
      <c r="B203" s="3">
        <f t="shared" ca="1" si="3"/>
        <v>81</v>
      </c>
      <c r="C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" t="str">
        <f ca="1">IF(dict_zuord_Meth_Transfers[[#This Row],[kval_active]],dict_zuord_Meth_Transfers[[#This Row],[ID_Transfers]],"")</f>
        <v/>
      </c>
    </row>
    <row r="204" spans="1:4" x14ac:dyDescent="0.45">
      <c r="A204">
        <v>33</v>
      </c>
      <c r="B204">
        <f t="shared" ca="1" si="3"/>
        <v>106</v>
      </c>
      <c r="C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" t="str">
        <f ca="1">IF(dict_zuord_Meth_Transfers[[#This Row],[kval_active]],dict_zuord_Meth_Transfers[[#This Row],[ID_Transfers]],"")</f>
        <v/>
      </c>
    </row>
    <row r="205" spans="1:4" x14ac:dyDescent="0.45">
      <c r="A205">
        <v>33</v>
      </c>
      <c r="B205">
        <f t="shared" ca="1" si="3"/>
        <v>189</v>
      </c>
      <c r="C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" t="str">
        <f ca="1">IF(dict_zuord_Meth_Transfers[[#This Row],[kval_active]],dict_zuord_Meth_Transfers[[#This Row],[ID_Transfers]],"")</f>
        <v/>
      </c>
    </row>
    <row r="206" spans="1:4" x14ac:dyDescent="0.45">
      <c r="A206">
        <v>34</v>
      </c>
      <c r="B206" s="3">
        <f t="shared" ca="1" si="3"/>
        <v>187</v>
      </c>
      <c r="C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" t="str">
        <f ca="1">IF(dict_zuord_Meth_Transfers[[#This Row],[kval_active]],dict_zuord_Meth_Transfers[[#This Row],[ID_Transfers]],"")</f>
        <v/>
      </c>
    </row>
    <row r="207" spans="1:4" x14ac:dyDescent="0.45">
      <c r="A207">
        <v>34</v>
      </c>
      <c r="B207">
        <f t="shared" ca="1" si="3"/>
        <v>67</v>
      </c>
      <c r="C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" t="str">
        <f ca="1">IF(dict_zuord_Meth_Transfers[[#This Row],[kval_active]],dict_zuord_Meth_Transfers[[#This Row],[ID_Transfers]],"")</f>
        <v/>
      </c>
    </row>
    <row r="208" spans="1:4" x14ac:dyDescent="0.45">
      <c r="A208">
        <v>34</v>
      </c>
      <c r="B208">
        <f t="shared" ca="1" si="3"/>
        <v>86</v>
      </c>
      <c r="C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" t="str">
        <f ca="1">IF(dict_zuord_Meth_Transfers[[#This Row],[kval_active]],dict_zuord_Meth_Transfers[[#This Row],[ID_Transfers]],"")</f>
        <v/>
      </c>
    </row>
    <row r="209" spans="1:4" x14ac:dyDescent="0.45">
      <c r="A209">
        <v>34</v>
      </c>
      <c r="B209">
        <f t="shared" ca="1" si="3"/>
        <v>108</v>
      </c>
      <c r="C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" t="str">
        <f ca="1">IF(dict_zuord_Meth_Transfers[[#This Row],[kval_active]],dict_zuord_Meth_Transfers[[#This Row],[ID_Transfers]],"")</f>
        <v/>
      </c>
    </row>
    <row r="210" spans="1:4" x14ac:dyDescent="0.45">
      <c r="A210">
        <v>34</v>
      </c>
      <c r="B210" s="3">
        <f t="shared" ca="1" si="3"/>
        <v>76</v>
      </c>
      <c r="C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" t="str">
        <f ca="1">IF(dict_zuord_Meth_Transfers[[#This Row],[kval_active]],dict_zuord_Meth_Transfers[[#This Row],[ID_Transfers]],"")</f>
        <v/>
      </c>
    </row>
    <row r="211" spans="1:4" x14ac:dyDescent="0.45">
      <c r="A211">
        <v>34</v>
      </c>
      <c r="B211" s="3">
        <f t="shared" ca="1" si="3"/>
        <v>190</v>
      </c>
      <c r="C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" t="str">
        <f ca="1">IF(dict_zuord_Meth_Transfers[[#This Row],[kval_active]],dict_zuord_Meth_Transfers[[#This Row],[ID_Transfers]],"")</f>
        <v/>
      </c>
    </row>
    <row r="212" spans="1:4" x14ac:dyDescent="0.45">
      <c r="A212">
        <v>35</v>
      </c>
      <c r="B212" s="3">
        <f t="shared" ca="1" si="3"/>
        <v>117</v>
      </c>
      <c r="C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" t="str">
        <f ca="1">IF(dict_zuord_Meth_Transfers[[#This Row],[kval_active]],dict_zuord_Meth_Transfers[[#This Row],[ID_Transfers]],"")</f>
        <v/>
      </c>
    </row>
    <row r="213" spans="1:4" x14ac:dyDescent="0.45">
      <c r="A213">
        <v>35</v>
      </c>
      <c r="B213">
        <f t="shared" ca="1" si="3"/>
        <v>109</v>
      </c>
      <c r="C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" t="str">
        <f ca="1">IF(dict_zuord_Meth_Transfers[[#This Row],[kval_active]],dict_zuord_Meth_Transfers[[#This Row],[ID_Transfers]],"")</f>
        <v/>
      </c>
    </row>
    <row r="214" spans="1:4" x14ac:dyDescent="0.45">
      <c r="A214">
        <v>35</v>
      </c>
      <c r="B214">
        <f t="shared" ca="1" si="3"/>
        <v>56</v>
      </c>
      <c r="C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" t="str">
        <f ca="1">IF(dict_zuord_Meth_Transfers[[#This Row],[kval_active]],dict_zuord_Meth_Transfers[[#This Row],[ID_Transfers]],"")</f>
        <v/>
      </c>
    </row>
    <row r="215" spans="1:4" x14ac:dyDescent="0.45">
      <c r="A215">
        <v>35</v>
      </c>
      <c r="B215" s="3">
        <f t="shared" ca="1" si="3"/>
        <v>94</v>
      </c>
      <c r="C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" t="str">
        <f ca="1">IF(dict_zuord_Meth_Transfers[[#This Row],[kval_active]],dict_zuord_Meth_Transfers[[#This Row],[ID_Transfers]],"")</f>
        <v/>
      </c>
    </row>
    <row r="216" spans="1:4" x14ac:dyDescent="0.45">
      <c r="A216">
        <v>35</v>
      </c>
      <c r="B216">
        <f t="shared" ca="1" si="3"/>
        <v>64</v>
      </c>
      <c r="C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" t="str">
        <f ca="1">IF(dict_zuord_Meth_Transfers[[#This Row],[kval_active]],dict_zuord_Meth_Transfers[[#This Row],[ID_Transfers]],"")</f>
        <v/>
      </c>
    </row>
    <row r="217" spans="1:4" x14ac:dyDescent="0.45">
      <c r="A217">
        <v>35</v>
      </c>
      <c r="B217" s="3">
        <f t="shared" ca="1" si="3"/>
        <v>2</v>
      </c>
      <c r="C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" t="str">
        <f ca="1">IF(dict_zuord_Meth_Transfers[[#This Row],[kval_active]],dict_zuord_Meth_Transfers[[#This Row],[ID_Transfers]],"")</f>
        <v/>
      </c>
    </row>
    <row r="218" spans="1:4" x14ac:dyDescent="0.45">
      <c r="A218">
        <v>36</v>
      </c>
      <c r="B218" s="3">
        <f t="shared" ca="1" si="3"/>
        <v>148</v>
      </c>
      <c r="C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" t="str">
        <f ca="1">IF(dict_zuord_Meth_Transfers[[#This Row],[kval_active]],dict_zuord_Meth_Transfers[[#This Row],[ID_Transfers]],"")</f>
        <v/>
      </c>
    </row>
    <row r="219" spans="1:4" x14ac:dyDescent="0.45">
      <c r="A219">
        <v>36</v>
      </c>
      <c r="B219">
        <f t="shared" ca="1" si="3"/>
        <v>56</v>
      </c>
      <c r="C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" t="str">
        <f ca="1">IF(dict_zuord_Meth_Transfers[[#This Row],[kval_active]],dict_zuord_Meth_Transfers[[#This Row],[ID_Transfers]],"")</f>
        <v/>
      </c>
    </row>
    <row r="220" spans="1:4" x14ac:dyDescent="0.45">
      <c r="A220">
        <v>36</v>
      </c>
      <c r="B220" s="3">
        <f t="shared" ca="1" si="3"/>
        <v>10</v>
      </c>
      <c r="C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" t="str">
        <f ca="1">IF(dict_zuord_Meth_Transfers[[#This Row],[kval_active]],dict_zuord_Meth_Transfers[[#This Row],[ID_Transfers]],"")</f>
        <v/>
      </c>
    </row>
    <row r="221" spans="1:4" x14ac:dyDescent="0.45">
      <c r="A221">
        <v>36</v>
      </c>
      <c r="B221">
        <f t="shared" ca="1" si="3"/>
        <v>38</v>
      </c>
      <c r="C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" t="str">
        <f ca="1">IF(dict_zuord_Meth_Transfers[[#This Row],[kval_active]],dict_zuord_Meth_Transfers[[#This Row],[ID_Transfers]],"")</f>
        <v/>
      </c>
    </row>
    <row r="222" spans="1:4" x14ac:dyDescent="0.45">
      <c r="A222">
        <v>36</v>
      </c>
      <c r="B222" s="3">
        <f t="shared" ca="1" si="3"/>
        <v>145</v>
      </c>
      <c r="C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" t="str">
        <f ca="1">IF(dict_zuord_Meth_Transfers[[#This Row],[kval_active]],dict_zuord_Meth_Transfers[[#This Row],[ID_Transfers]],"")</f>
        <v/>
      </c>
    </row>
    <row r="223" spans="1:4" x14ac:dyDescent="0.45">
      <c r="A223">
        <v>36</v>
      </c>
      <c r="B223">
        <f t="shared" ca="1" si="3"/>
        <v>52</v>
      </c>
      <c r="C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" t="str">
        <f ca="1">IF(dict_zuord_Meth_Transfers[[#This Row],[kval_active]],dict_zuord_Meth_Transfers[[#This Row],[ID_Transfers]],"")</f>
        <v/>
      </c>
    </row>
    <row r="224" spans="1:4" x14ac:dyDescent="0.45">
      <c r="A224">
        <v>37</v>
      </c>
      <c r="B224">
        <f t="shared" ca="1" si="3"/>
        <v>181</v>
      </c>
      <c r="C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" t="str">
        <f ca="1">IF(dict_zuord_Meth_Transfers[[#This Row],[kval_active]],dict_zuord_Meth_Transfers[[#This Row],[ID_Transfers]],"")</f>
        <v/>
      </c>
    </row>
    <row r="225" spans="1:4" x14ac:dyDescent="0.45">
      <c r="A225">
        <v>37</v>
      </c>
      <c r="B225" s="3">
        <f t="shared" ca="1" si="3"/>
        <v>173</v>
      </c>
      <c r="C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" t="str">
        <f ca="1">IF(dict_zuord_Meth_Transfers[[#This Row],[kval_active]],dict_zuord_Meth_Transfers[[#This Row],[ID_Transfers]],"")</f>
        <v/>
      </c>
    </row>
    <row r="226" spans="1:4" x14ac:dyDescent="0.45">
      <c r="A226">
        <v>37</v>
      </c>
      <c r="B226" s="3">
        <f t="shared" ca="1" si="3"/>
        <v>186</v>
      </c>
      <c r="C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" t="str">
        <f ca="1">IF(dict_zuord_Meth_Transfers[[#This Row],[kval_active]],dict_zuord_Meth_Transfers[[#This Row],[ID_Transfers]],"")</f>
        <v/>
      </c>
    </row>
    <row r="227" spans="1:4" x14ac:dyDescent="0.45">
      <c r="A227">
        <v>37</v>
      </c>
      <c r="B227">
        <f t="shared" ca="1" si="3"/>
        <v>7</v>
      </c>
      <c r="C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" t="str">
        <f ca="1">IF(dict_zuord_Meth_Transfers[[#This Row],[kval_active]],dict_zuord_Meth_Transfers[[#This Row],[ID_Transfers]],"")</f>
        <v/>
      </c>
    </row>
    <row r="228" spans="1:4" x14ac:dyDescent="0.45">
      <c r="A228">
        <v>37</v>
      </c>
      <c r="B228">
        <f t="shared" ca="1" si="3"/>
        <v>98</v>
      </c>
      <c r="C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" t="str">
        <f ca="1">IF(dict_zuord_Meth_Transfers[[#This Row],[kval_active]],dict_zuord_Meth_Transfers[[#This Row],[ID_Transfers]],"")</f>
        <v/>
      </c>
    </row>
    <row r="229" spans="1:4" x14ac:dyDescent="0.45">
      <c r="A229">
        <v>37</v>
      </c>
      <c r="B229" s="3">
        <f t="shared" ca="1" si="3"/>
        <v>97</v>
      </c>
      <c r="C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" t="str">
        <f ca="1">IF(dict_zuord_Meth_Transfers[[#This Row],[kval_active]],dict_zuord_Meth_Transfers[[#This Row],[ID_Transfers]],"")</f>
        <v/>
      </c>
    </row>
    <row r="230" spans="1:4" x14ac:dyDescent="0.45">
      <c r="A230">
        <v>38</v>
      </c>
      <c r="B230" s="3">
        <f t="shared" ca="1" si="3"/>
        <v>155</v>
      </c>
      <c r="C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" t="str">
        <f ca="1">IF(dict_zuord_Meth_Transfers[[#This Row],[kval_active]],dict_zuord_Meth_Transfers[[#This Row],[ID_Transfers]],"")</f>
        <v/>
      </c>
    </row>
    <row r="231" spans="1:4" x14ac:dyDescent="0.45">
      <c r="A231">
        <v>38</v>
      </c>
      <c r="B231">
        <f t="shared" ca="1" si="3"/>
        <v>54</v>
      </c>
      <c r="C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" t="str">
        <f ca="1">IF(dict_zuord_Meth_Transfers[[#This Row],[kval_active]],dict_zuord_Meth_Transfers[[#This Row],[ID_Transfers]],"")</f>
        <v/>
      </c>
    </row>
    <row r="232" spans="1:4" x14ac:dyDescent="0.45">
      <c r="A232">
        <v>38</v>
      </c>
      <c r="B232" s="3">
        <f t="shared" ca="1" si="3"/>
        <v>96</v>
      </c>
      <c r="C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" t="str">
        <f ca="1">IF(dict_zuord_Meth_Transfers[[#This Row],[kval_active]],dict_zuord_Meth_Transfers[[#This Row],[ID_Transfers]],"")</f>
        <v/>
      </c>
    </row>
    <row r="233" spans="1:4" x14ac:dyDescent="0.45">
      <c r="A233">
        <v>38</v>
      </c>
      <c r="B233">
        <f t="shared" ca="1" si="3"/>
        <v>121</v>
      </c>
      <c r="C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" t="str">
        <f ca="1">IF(dict_zuord_Meth_Transfers[[#This Row],[kval_active]],dict_zuord_Meth_Transfers[[#This Row],[ID_Transfers]],"")</f>
        <v/>
      </c>
    </row>
    <row r="234" spans="1:4" x14ac:dyDescent="0.45">
      <c r="A234">
        <v>38</v>
      </c>
      <c r="B234">
        <f t="shared" ca="1" si="3"/>
        <v>176</v>
      </c>
      <c r="C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" t="str">
        <f ca="1">IF(dict_zuord_Meth_Transfers[[#This Row],[kval_active]],dict_zuord_Meth_Transfers[[#This Row],[ID_Transfers]],"")</f>
        <v/>
      </c>
    </row>
    <row r="235" spans="1:4" x14ac:dyDescent="0.45">
      <c r="A235">
        <v>38</v>
      </c>
      <c r="B235" s="3">
        <f t="shared" ca="1" si="3"/>
        <v>98</v>
      </c>
      <c r="C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" t="str">
        <f ca="1">IF(dict_zuord_Meth_Transfers[[#This Row],[kval_active]],dict_zuord_Meth_Transfers[[#This Row],[ID_Transfers]],"")</f>
        <v/>
      </c>
    </row>
    <row r="236" spans="1:4" x14ac:dyDescent="0.45">
      <c r="A236">
        <v>39</v>
      </c>
      <c r="B236" s="3">
        <f t="shared" ca="1" si="3"/>
        <v>36</v>
      </c>
      <c r="C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" t="str">
        <f ca="1">IF(dict_zuord_Meth_Transfers[[#This Row],[kval_active]],dict_zuord_Meth_Transfers[[#This Row],[ID_Transfers]],"")</f>
        <v/>
      </c>
    </row>
    <row r="237" spans="1:4" x14ac:dyDescent="0.45">
      <c r="A237">
        <v>39</v>
      </c>
      <c r="B237" s="3">
        <f t="shared" ca="1" si="3"/>
        <v>7</v>
      </c>
      <c r="C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" t="str">
        <f ca="1">IF(dict_zuord_Meth_Transfers[[#This Row],[kval_active]],dict_zuord_Meth_Transfers[[#This Row],[ID_Transfers]],"")</f>
        <v/>
      </c>
    </row>
    <row r="238" spans="1:4" x14ac:dyDescent="0.45">
      <c r="A238">
        <v>39</v>
      </c>
      <c r="B238" s="3">
        <f t="shared" ca="1" si="3"/>
        <v>111</v>
      </c>
      <c r="C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" t="str">
        <f ca="1">IF(dict_zuord_Meth_Transfers[[#This Row],[kval_active]],dict_zuord_Meth_Transfers[[#This Row],[ID_Transfers]],"")</f>
        <v/>
      </c>
    </row>
    <row r="239" spans="1:4" x14ac:dyDescent="0.45">
      <c r="A239">
        <v>39</v>
      </c>
      <c r="B239">
        <f t="shared" ca="1" si="3"/>
        <v>53</v>
      </c>
      <c r="C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" t="str">
        <f ca="1">IF(dict_zuord_Meth_Transfers[[#This Row],[kval_active]],dict_zuord_Meth_Transfers[[#This Row],[ID_Transfers]],"")</f>
        <v/>
      </c>
    </row>
    <row r="240" spans="1:4" x14ac:dyDescent="0.45">
      <c r="A240">
        <v>39</v>
      </c>
      <c r="B240">
        <f t="shared" ca="1" si="3"/>
        <v>57</v>
      </c>
      <c r="C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" t="str">
        <f ca="1">IF(dict_zuord_Meth_Transfers[[#This Row],[kval_active]],dict_zuord_Meth_Transfers[[#This Row],[ID_Transfers]],"")</f>
        <v/>
      </c>
    </row>
    <row r="241" spans="1:4" x14ac:dyDescent="0.45">
      <c r="A241">
        <v>39</v>
      </c>
      <c r="B241">
        <f t="shared" ca="1" si="3"/>
        <v>91</v>
      </c>
      <c r="C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" t="str">
        <f ca="1">IF(dict_zuord_Meth_Transfers[[#This Row],[kval_active]],dict_zuord_Meth_Transfers[[#This Row],[ID_Transfers]],"")</f>
        <v/>
      </c>
    </row>
    <row r="242" spans="1:4" x14ac:dyDescent="0.45">
      <c r="A242">
        <v>40</v>
      </c>
      <c r="B242" s="3">
        <f t="shared" ca="1" si="3"/>
        <v>164</v>
      </c>
      <c r="C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" t="str">
        <f ca="1">IF(dict_zuord_Meth_Transfers[[#This Row],[kval_active]],dict_zuord_Meth_Transfers[[#This Row],[ID_Transfers]],"")</f>
        <v/>
      </c>
    </row>
    <row r="243" spans="1:4" x14ac:dyDescent="0.45">
      <c r="A243">
        <v>40</v>
      </c>
      <c r="B243" s="3">
        <f t="shared" ca="1" si="3"/>
        <v>18</v>
      </c>
      <c r="C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" t="str">
        <f ca="1">IF(dict_zuord_Meth_Transfers[[#This Row],[kval_active]],dict_zuord_Meth_Transfers[[#This Row],[ID_Transfers]],"")</f>
        <v/>
      </c>
    </row>
    <row r="244" spans="1:4" x14ac:dyDescent="0.45">
      <c r="A244">
        <v>40</v>
      </c>
      <c r="B244">
        <f t="shared" ca="1" si="3"/>
        <v>14</v>
      </c>
      <c r="C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" t="str">
        <f ca="1">IF(dict_zuord_Meth_Transfers[[#This Row],[kval_active]],dict_zuord_Meth_Transfers[[#This Row],[ID_Transfers]],"")</f>
        <v/>
      </c>
    </row>
    <row r="245" spans="1:4" x14ac:dyDescent="0.45">
      <c r="A245">
        <v>40</v>
      </c>
      <c r="B245" s="3">
        <f t="shared" ca="1" si="3"/>
        <v>168</v>
      </c>
      <c r="C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" t="str">
        <f ca="1">IF(dict_zuord_Meth_Transfers[[#This Row],[kval_active]],dict_zuord_Meth_Transfers[[#This Row],[ID_Transfers]],"")</f>
        <v/>
      </c>
    </row>
    <row r="246" spans="1:4" x14ac:dyDescent="0.45">
      <c r="A246">
        <v>40</v>
      </c>
      <c r="B246">
        <f t="shared" ca="1" si="3"/>
        <v>143</v>
      </c>
      <c r="C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" t="str">
        <f ca="1">IF(dict_zuord_Meth_Transfers[[#This Row],[kval_active]],dict_zuord_Meth_Transfers[[#This Row],[ID_Transfers]],"")</f>
        <v/>
      </c>
    </row>
    <row r="247" spans="1:4" x14ac:dyDescent="0.45">
      <c r="A247">
        <v>40</v>
      </c>
      <c r="B247">
        <f t="shared" ca="1" si="3"/>
        <v>68</v>
      </c>
      <c r="C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" t="str">
        <f ca="1">IF(dict_zuord_Meth_Transfers[[#This Row],[kval_active]],dict_zuord_Meth_Transfers[[#This Row],[ID_Transfers]],"")</f>
        <v/>
      </c>
    </row>
    <row r="248" spans="1:4" x14ac:dyDescent="0.45">
      <c r="A248">
        <v>41</v>
      </c>
      <c r="B248">
        <f t="shared" ca="1" si="3"/>
        <v>40</v>
      </c>
      <c r="C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" t="str">
        <f ca="1">IF(dict_zuord_Meth_Transfers[[#This Row],[kval_active]],dict_zuord_Meth_Transfers[[#This Row],[ID_Transfers]],"")</f>
        <v/>
      </c>
    </row>
    <row r="249" spans="1:4" x14ac:dyDescent="0.45">
      <c r="A249">
        <v>41</v>
      </c>
      <c r="B249">
        <f t="shared" ca="1" si="3"/>
        <v>87</v>
      </c>
      <c r="C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" t="str">
        <f ca="1">IF(dict_zuord_Meth_Transfers[[#This Row],[kval_active]],dict_zuord_Meth_Transfers[[#This Row],[ID_Transfers]],"")</f>
        <v/>
      </c>
    </row>
    <row r="250" spans="1:4" x14ac:dyDescent="0.45">
      <c r="A250">
        <v>41</v>
      </c>
      <c r="B250">
        <f t="shared" ca="1" si="3"/>
        <v>165</v>
      </c>
      <c r="C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" t="str">
        <f ca="1">IF(dict_zuord_Meth_Transfers[[#This Row],[kval_active]],dict_zuord_Meth_Transfers[[#This Row],[ID_Transfers]],"")</f>
        <v/>
      </c>
    </row>
    <row r="251" spans="1:4" x14ac:dyDescent="0.45">
      <c r="A251">
        <v>41</v>
      </c>
      <c r="B251" s="3">
        <f t="shared" ca="1" si="3"/>
        <v>17</v>
      </c>
      <c r="C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" t="str">
        <f ca="1">IF(dict_zuord_Meth_Transfers[[#This Row],[kval_active]],dict_zuord_Meth_Transfers[[#This Row],[ID_Transfers]],"")</f>
        <v/>
      </c>
    </row>
    <row r="252" spans="1:4" x14ac:dyDescent="0.45">
      <c r="A252">
        <v>41</v>
      </c>
      <c r="B252" s="3">
        <f t="shared" ca="1" si="3"/>
        <v>152</v>
      </c>
      <c r="C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" t="str">
        <f ca="1">IF(dict_zuord_Meth_Transfers[[#This Row],[kval_active]],dict_zuord_Meth_Transfers[[#This Row],[ID_Transfers]],"")</f>
        <v/>
      </c>
    </row>
    <row r="253" spans="1:4" x14ac:dyDescent="0.45">
      <c r="A253">
        <v>41</v>
      </c>
      <c r="B253" s="3">
        <f t="shared" ca="1" si="3"/>
        <v>194</v>
      </c>
      <c r="C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" t="str">
        <f ca="1">IF(dict_zuord_Meth_Transfers[[#This Row],[kval_active]],dict_zuord_Meth_Transfers[[#This Row],[ID_Transfers]],"")</f>
        <v/>
      </c>
    </row>
    <row r="254" spans="1:4" x14ac:dyDescent="0.45">
      <c r="A254">
        <v>42</v>
      </c>
      <c r="B254" s="3">
        <f t="shared" ca="1" si="3"/>
        <v>59</v>
      </c>
      <c r="C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" t="str">
        <f ca="1">IF(dict_zuord_Meth_Transfers[[#This Row],[kval_active]],dict_zuord_Meth_Transfers[[#This Row],[ID_Transfers]],"")</f>
        <v/>
      </c>
    </row>
    <row r="255" spans="1:4" x14ac:dyDescent="0.45">
      <c r="A255">
        <v>42</v>
      </c>
      <c r="B255">
        <f t="shared" ca="1" si="3"/>
        <v>118</v>
      </c>
      <c r="C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" t="str">
        <f ca="1">IF(dict_zuord_Meth_Transfers[[#This Row],[kval_active]],dict_zuord_Meth_Transfers[[#This Row],[ID_Transfers]],"")</f>
        <v/>
      </c>
    </row>
    <row r="256" spans="1:4" x14ac:dyDescent="0.45">
      <c r="A256">
        <v>42</v>
      </c>
      <c r="B256" s="3">
        <f t="shared" ca="1" si="3"/>
        <v>58</v>
      </c>
      <c r="C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" t="str">
        <f ca="1">IF(dict_zuord_Meth_Transfers[[#This Row],[kval_active]],dict_zuord_Meth_Transfers[[#This Row],[ID_Transfers]],"")</f>
        <v/>
      </c>
    </row>
    <row r="257" spans="1:4" x14ac:dyDescent="0.45">
      <c r="A257">
        <v>42</v>
      </c>
      <c r="B257">
        <f t="shared" ca="1" si="3"/>
        <v>134</v>
      </c>
      <c r="C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" t="str">
        <f ca="1">IF(dict_zuord_Meth_Transfers[[#This Row],[kval_active]],dict_zuord_Meth_Transfers[[#This Row],[ID_Transfers]],"")</f>
        <v/>
      </c>
    </row>
    <row r="258" spans="1:4" x14ac:dyDescent="0.45">
      <c r="A258">
        <v>42</v>
      </c>
      <c r="B258" s="3">
        <f t="shared" ref="B258:B321" ca="1" si="4">RANDBETWEEN(0,200)</f>
        <v>133</v>
      </c>
      <c r="C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" t="str">
        <f ca="1">IF(dict_zuord_Meth_Transfers[[#This Row],[kval_active]],dict_zuord_Meth_Transfers[[#This Row],[ID_Transfers]],"")</f>
        <v/>
      </c>
    </row>
    <row r="259" spans="1:4" x14ac:dyDescent="0.45">
      <c r="A259">
        <v>42</v>
      </c>
      <c r="B259">
        <f t="shared" ca="1" si="4"/>
        <v>198</v>
      </c>
      <c r="C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" t="str">
        <f ca="1">IF(dict_zuord_Meth_Transfers[[#This Row],[kval_active]],dict_zuord_Meth_Transfers[[#This Row],[ID_Transfers]],"")</f>
        <v/>
      </c>
    </row>
    <row r="260" spans="1:4" x14ac:dyDescent="0.45">
      <c r="A260">
        <v>43</v>
      </c>
      <c r="B260" s="3">
        <f t="shared" ca="1" si="4"/>
        <v>105</v>
      </c>
      <c r="C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" t="str">
        <f ca="1">IF(dict_zuord_Meth_Transfers[[#This Row],[kval_active]],dict_zuord_Meth_Transfers[[#This Row],[ID_Transfers]],"")</f>
        <v/>
      </c>
    </row>
    <row r="261" spans="1:4" x14ac:dyDescent="0.45">
      <c r="A261">
        <v>43</v>
      </c>
      <c r="B261" s="3">
        <f t="shared" ca="1" si="4"/>
        <v>88</v>
      </c>
      <c r="C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" t="str">
        <f ca="1">IF(dict_zuord_Meth_Transfers[[#This Row],[kval_active]],dict_zuord_Meth_Transfers[[#This Row],[ID_Transfers]],"")</f>
        <v/>
      </c>
    </row>
    <row r="262" spans="1:4" x14ac:dyDescent="0.45">
      <c r="A262">
        <v>43</v>
      </c>
      <c r="B262">
        <f t="shared" ca="1" si="4"/>
        <v>156</v>
      </c>
      <c r="C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" t="str">
        <f ca="1">IF(dict_zuord_Meth_Transfers[[#This Row],[kval_active]],dict_zuord_Meth_Transfers[[#This Row],[ID_Transfers]],"")</f>
        <v/>
      </c>
    </row>
    <row r="263" spans="1:4" x14ac:dyDescent="0.45">
      <c r="A263">
        <v>43</v>
      </c>
      <c r="B263">
        <f t="shared" ca="1" si="4"/>
        <v>99</v>
      </c>
      <c r="C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" t="str">
        <f ca="1">IF(dict_zuord_Meth_Transfers[[#This Row],[kval_active]],dict_zuord_Meth_Transfers[[#This Row],[ID_Transfers]],"")</f>
        <v/>
      </c>
    </row>
    <row r="264" spans="1:4" x14ac:dyDescent="0.45">
      <c r="A264">
        <v>43</v>
      </c>
      <c r="B264" s="3">
        <f t="shared" ca="1" si="4"/>
        <v>47</v>
      </c>
      <c r="C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" t="str">
        <f ca="1">IF(dict_zuord_Meth_Transfers[[#This Row],[kval_active]],dict_zuord_Meth_Transfers[[#This Row],[ID_Transfers]],"")</f>
        <v/>
      </c>
    </row>
    <row r="265" spans="1:4" x14ac:dyDescent="0.45">
      <c r="A265">
        <v>43</v>
      </c>
      <c r="B265">
        <f t="shared" ca="1" si="4"/>
        <v>4</v>
      </c>
      <c r="C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" t="str">
        <f ca="1">IF(dict_zuord_Meth_Transfers[[#This Row],[kval_active]],dict_zuord_Meth_Transfers[[#This Row],[ID_Transfers]],"")</f>
        <v/>
      </c>
    </row>
    <row r="266" spans="1:4" x14ac:dyDescent="0.45">
      <c r="A266">
        <v>44</v>
      </c>
      <c r="B266">
        <f t="shared" ca="1" si="4"/>
        <v>4</v>
      </c>
      <c r="C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" t="str">
        <f ca="1">IF(dict_zuord_Meth_Transfers[[#This Row],[kval_active]],dict_zuord_Meth_Transfers[[#This Row],[ID_Transfers]],"")</f>
        <v/>
      </c>
    </row>
    <row r="267" spans="1:4" x14ac:dyDescent="0.45">
      <c r="A267">
        <v>44</v>
      </c>
      <c r="B267" s="3">
        <f t="shared" ca="1" si="4"/>
        <v>58</v>
      </c>
      <c r="C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" t="str">
        <f ca="1">IF(dict_zuord_Meth_Transfers[[#This Row],[kval_active]],dict_zuord_Meth_Transfers[[#This Row],[ID_Transfers]],"")</f>
        <v/>
      </c>
    </row>
    <row r="268" spans="1:4" x14ac:dyDescent="0.45">
      <c r="A268">
        <v>44</v>
      </c>
      <c r="B268" s="3">
        <f t="shared" ca="1" si="4"/>
        <v>133</v>
      </c>
      <c r="C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" t="str">
        <f ca="1">IF(dict_zuord_Meth_Transfers[[#This Row],[kval_active]],dict_zuord_Meth_Transfers[[#This Row],[ID_Transfers]],"")</f>
        <v/>
      </c>
    </row>
    <row r="269" spans="1:4" x14ac:dyDescent="0.45">
      <c r="A269">
        <v>44</v>
      </c>
      <c r="B269">
        <f t="shared" ca="1" si="4"/>
        <v>156</v>
      </c>
      <c r="C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" t="str">
        <f ca="1">IF(dict_zuord_Meth_Transfers[[#This Row],[kval_active]],dict_zuord_Meth_Transfers[[#This Row],[ID_Transfers]],"")</f>
        <v/>
      </c>
    </row>
    <row r="270" spans="1:4" x14ac:dyDescent="0.45">
      <c r="A270">
        <v>44</v>
      </c>
      <c r="B270">
        <f t="shared" ca="1" si="4"/>
        <v>37</v>
      </c>
      <c r="C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" t="str">
        <f ca="1">IF(dict_zuord_Meth_Transfers[[#This Row],[kval_active]],dict_zuord_Meth_Transfers[[#This Row],[ID_Transfers]],"")</f>
        <v/>
      </c>
    </row>
    <row r="271" spans="1:4" x14ac:dyDescent="0.45">
      <c r="A271">
        <v>44</v>
      </c>
      <c r="B271" s="3">
        <f t="shared" ca="1" si="4"/>
        <v>40</v>
      </c>
      <c r="C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" t="str">
        <f ca="1">IF(dict_zuord_Meth_Transfers[[#This Row],[kval_active]],dict_zuord_Meth_Transfers[[#This Row],[ID_Transfers]],"")</f>
        <v/>
      </c>
    </row>
    <row r="272" spans="1:4" x14ac:dyDescent="0.45">
      <c r="A272">
        <v>45</v>
      </c>
      <c r="B272" s="3">
        <f t="shared" ca="1" si="4"/>
        <v>20</v>
      </c>
      <c r="C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" t="str">
        <f ca="1">IF(dict_zuord_Meth_Transfers[[#This Row],[kval_active]],dict_zuord_Meth_Transfers[[#This Row],[ID_Transfers]],"")</f>
        <v/>
      </c>
    </row>
    <row r="273" spans="1:4" x14ac:dyDescent="0.45">
      <c r="A273">
        <v>45</v>
      </c>
      <c r="B273" s="3">
        <f t="shared" ca="1" si="4"/>
        <v>156</v>
      </c>
      <c r="C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" t="str">
        <f ca="1">IF(dict_zuord_Meth_Transfers[[#This Row],[kval_active]],dict_zuord_Meth_Transfers[[#This Row],[ID_Transfers]],"")</f>
        <v/>
      </c>
    </row>
    <row r="274" spans="1:4" x14ac:dyDescent="0.45">
      <c r="A274">
        <v>45</v>
      </c>
      <c r="B274">
        <f t="shared" ca="1" si="4"/>
        <v>189</v>
      </c>
      <c r="C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" t="str">
        <f ca="1">IF(dict_zuord_Meth_Transfers[[#This Row],[kval_active]],dict_zuord_Meth_Transfers[[#This Row],[ID_Transfers]],"")</f>
        <v/>
      </c>
    </row>
    <row r="275" spans="1:4" x14ac:dyDescent="0.45">
      <c r="A275">
        <v>45</v>
      </c>
      <c r="B275" s="3">
        <f t="shared" ca="1" si="4"/>
        <v>89</v>
      </c>
      <c r="C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" t="str">
        <f ca="1">IF(dict_zuord_Meth_Transfers[[#This Row],[kval_active]],dict_zuord_Meth_Transfers[[#This Row],[ID_Transfers]],"")</f>
        <v/>
      </c>
    </row>
    <row r="276" spans="1:4" x14ac:dyDescent="0.45">
      <c r="A276">
        <v>45</v>
      </c>
      <c r="B276">
        <f t="shared" ca="1" si="4"/>
        <v>42</v>
      </c>
      <c r="C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" t="str">
        <f ca="1">IF(dict_zuord_Meth_Transfers[[#This Row],[kval_active]],dict_zuord_Meth_Transfers[[#This Row],[ID_Transfers]],"")</f>
        <v/>
      </c>
    </row>
    <row r="277" spans="1:4" x14ac:dyDescent="0.45">
      <c r="A277">
        <v>45</v>
      </c>
      <c r="B277">
        <f t="shared" ca="1" si="4"/>
        <v>183</v>
      </c>
      <c r="C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" t="str">
        <f ca="1">IF(dict_zuord_Meth_Transfers[[#This Row],[kval_active]],dict_zuord_Meth_Transfers[[#This Row],[ID_Transfers]],"")</f>
        <v/>
      </c>
    </row>
    <row r="278" spans="1:4" x14ac:dyDescent="0.45">
      <c r="A278">
        <v>46</v>
      </c>
      <c r="B278">
        <f t="shared" ca="1" si="4"/>
        <v>51</v>
      </c>
      <c r="C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" t="str">
        <f ca="1">IF(dict_zuord_Meth_Transfers[[#This Row],[kval_active]],dict_zuord_Meth_Transfers[[#This Row],[ID_Transfers]],"")</f>
        <v/>
      </c>
    </row>
    <row r="279" spans="1:4" x14ac:dyDescent="0.45">
      <c r="A279">
        <v>46</v>
      </c>
      <c r="B279" s="3">
        <f t="shared" ca="1" si="4"/>
        <v>175</v>
      </c>
      <c r="C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" t="str">
        <f ca="1">IF(dict_zuord_Meth_Transfers[[#This Row],[kval_active]],dict_zuord_Meth_Transfers[[#This Row],[ID_Transfers]],"")</f>
        <v/>
      </c>
    </row>
    <row r="280" spans="1:4" x14ac:dyDescent="0.45">
      <c r="A280">
        <v>46</v>
      </c>
      <c r="B280">
        <f t="shared" ca="1" si="4"/>
        <v>139</v>
      </c>
      <c r="C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" t="str">
        <f ca="1">IF(dict_zuord_Meth_Transfers[[#This Row],[kval_active]],dict_zuord_Meth_Transfers[[#This Row],[ID_Transfers]],"")</f>
        <v/>
      </c>
    </row>
    <row r="281" spans="1:4" x14ac:dyDescent="0.45">
      <c r="A281">
        <v>46</v>
      </c>
      <c r="B281" s="3">
        <f t="shared" ca="1" si="4"/>
        <v>67</v>
      </c>
      <c r="C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" t="str">
        <f ca="1">IF(dict_zuord_Meth_Transfers[[#This Row],[kval_active]],dict_zuord_Meth_Transfers[[#This Row],[ID_Transfers]],"")</f>
        <v/>
      </c>
    </row>
    <row r="282" spans="1:4" x14ac:dyDescent="0.45">
      <c r="A282">
        <v>46</v>
      </c>
      <c r="B282" s="3">
        <f t="shared" ca="1" si="4"/>
        <v>198</v>
      </c>
      <c r="C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" t="str">
        <f ca="1">IF(dict_zuord_Meth_Transfers[[#This Row],[kval_active]],dict_zuord_Meth_Transfers[[#This Row],[ID_Transfers]],"")</f>
        <v/>
      </c>
    </row>
    <row r="283" spans="1:4" x14ac:dyDescent="0.45">
      <c r="A283">
        <v>46</v>
      </c>
      <c r="B283">
        <f t="shared" ca="1" si="4"/>
        <v>40</v>
      </c>
      <c r="C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" t="str">
        <f ca="1">IF(dict_zuord_Meth_Transfers[[#This Row],[kval_active]],dict_zuord_Meth_Transfers[[#This Row],[ID_Transfers]],"")</f>
        <v/>
      </c>
    </row>
    <row r="284" spans="1:4" x14ac:dyDescent="0.45">
      <c r="A284">
        <v>47</v>
      </c>
      <c r="B284">
        <f t="shared" ca="1" si="4"/>
        <v>147</v>
      </c>
      <c r="C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" t="str">
        <f ca="1">IF(dict_zuord_Meth_Transfers[[#This Row],[kval_active]],dict_zuord_Meth_Transfers[[#This Row],[ID_Transfers]],"")</f>
        <v/>
      </c>
    </row>
    <row r="285" spans="1:4" x14ac:dyDescent="0.45">
      <c r="A285">
        <v>47</v>
      </c>
      <c r="B285" s="3">
        <f t="shared" ca="1" si="4"/>
        <v>113</v>
      </c>
      <c r="C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" t="str">
        <f ca="1">IF(dict_zuord_Meth_Transfers[[#This Row],[kval_active]],dict_zuord_Meth_Transfers[[#This Row],[ID_Transfers]],"")</f>
        <v/>
      </c>
    </row>
    <row r="286" spans="1:4" x14ac:dyDescent="0.45">
      <c r="A286">
        <v>47</v>
      </c>
      <c r="B286">
        <f t="shared" ca="1" si="4"/>
        <v>133</v>
      </c>
      <c r="C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" t="str">
        <f ca="1">IF(dict_zuord_Meth_Transfers[[#This Row],[kval_active]],dict_zuord_Meth_Transfers[[#This Row],[ID_Transfers]],"")</f>
        <v/>
      </c>
    </row>
    <row r="287" spans="1:4" x14ac:dyDescent="0.45">
      <c r="A287">
        <v>47</v>
      </c>
      <c r="B287" s="3">
        <f t="shared" ca="1" si="4"/>
        <v>10</v>
      </c>
      <c r="C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" t="str">
        <f ca="1">IF(dict_zuord_Meth_Transfers[[#This Row],[kval_active]],dict_zuord_Meth_Transfers[[#This Row],[ID_Transfers]],"")</f>
        <v/>
      </c>
    </row>
    <row r="288" spans="1:4" x14ac:dyDescent="0.45">
      <c r="A288">
        <v>47</v>
      </c>
      <c r="B288" s="3">
        <f t="shared" ca="1" si="4"/>
        <v>119</v>
      </c>
      <c r="C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" t="str">
        <f ca="1">IF(dict_zuord_Meth_Transfers[[#This Row],[kval_active]],dict_zuord_Meth_Transfers[[#This Row],[ID_Transfers]],"")</f>
        <v/>
      </c>
    </row>
    <row r="289" spans="1:4" x14ac:dyDescent="0.45">
      <c r="A289">
        <v>47</v>
      </c>
      <c r="B289">
        <f t="shared" ca="1" si="4"/>
        <v>154</v>
      </c>
      <c r="C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" t="str">
        <f ca="1">IF(dict_zuord_Meth_Transfers[[#This Row],[kval_active]],dict_zuord_Meth_Transfers[[#This Row],[ID_Transfers]],"")</f>
        <v/>
      </c>
    </row>
    <row r="290" spans="1:4" x14ac:dyDescent="0.45">
      <c r="A290">
        <v>48</v>
      </c>
      <c r="B290">
        <f t="shared" ca="1" si="4"/>
        <v>58</v>
      </c>
      <c r="C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" t="str">
        <f ca="1">IF(dict_zuord_Meth_Transfers[[#This Row],[kval_active]],dict_zuord_Meth_Transfers[[#This Row],[ID_Transfers]],"")</f>
        <v/>
      </c>
    </row>
    <row r="291" spans="1:4" x14ac:dyDescent="0.45">
      <c r="A291">
        <v>48</v>
      </c>
      <c r="B291">
        <f t="shared" ca="1" si="4"/>
        <v>35</v>
      </c>
      <c r="C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" t="str">
        <f ca="1">IF(dict_zuord_Meth_Transfers[[#This Row],[kval_active]],dict_zuord_Meth_Transfers[[#This Row],[ID_Transfers]],"")</f>
        <v/>
      </c>
    </row>
    <row r="292" spans="1:4" x14ac:dyDescent="0.45">
      <c r="A292">
        <v>48</v>
      </c>
      <c r="B292" s="3">
        <f t="shared" ca="1" si="4"/>
        <v>117</v>
      </c>
      <c r="C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" t="str">
        <f ca="1">IF(dict_zuord_Meth_Transfers[[#This Row],[kval_active]],dict_zuord_Meth_Transfers[[#This Row],[ID_Transfers]],"")</f>
        <v/>
      </c>
    </row>
    <row r="293" spans="1:4" x14ac:dyDescent="0.45">
      <c r="A293">
        <v>48</v>
      </c>
      <c r="B293" s="3">
        <f t="shared" ca="1" si="4"/>
        <v>44</v>
      </c>
      <c r="C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" t="str">
        <f ca="1">IF(dict_zuord_Meth_Transfers[[#This Row],[kval_active]],dict_zuord_Meth_Transfers[[#This Row],[ID_Transfers]],"")</f>
        <v/>
      </c>
    </row>
    <row r="294" spans="1:4" x14ac:dyDescent="0.45">
      <c r="A294">
        <v>48</v>
      </c>
      <c r="B294" s="3">
        <f t="shared" ca="1" si="4"/>
        <v>134</v>
      </c>
      <c r="C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" t="str">
        <f ca="1">IF(dict_zuord_Meth_Transfers[[#This Row],[kval_active]],dict_zuord_Meth_Transfers[[#This Row],[ID_Transfers]],"")</f>
        <v/>
      </c>
    </row>
    <row r="295" spans="1:4" x14ac:dyDescent="0.45">
      <c r="A295">
        <v>48</v>
      </c>
      <c r="B295">
        <f t="shared" ca="1" si="4"/>
        <v>70</v>
      </c>
      <c r="C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" t="str">
        <f ca="1">IF(dict_zuord_Meth_Transfers[[#This Row],[kval_active]],dict_zuord_Meth_Transfers[[#This Row],[ID_Transfers]],"")</f>
        <v/>
      </c>
    </row>
    <row r="296" spans="1:4" x14ac:dyDescent="0.45">
      <c r="A296">
        <v>49</v>
      </c>
      <c r="B296">
        <f t="shared" ca="1" si="4"/>
        <v>147</v>
      </c>
      <c r="C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" t="str">
        <f ca="1">IF(dict_zuord_Meth_Transfers[[#This Row],[kval_active]],dict_zuord_Meth_Transfers[[#This Row],[ID_Transfers]],"")</f>
        <v/>
      </c>
    </row>
    <row r="297" spans="1:4" x14ac:dyDescent="0.45">
      <c r="A297">
        <v>49</v>
      </c>
      <c r="B297">
        <f t="shared" ca="1" si="4"/>
        <v>55</v>
      </c>
      <c r="C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" t="str">
        <f ca="1">IF(dict_zuord_Meth_Transfers[[#This Row],[kval_active]],dict_zuord_Meth_Transfers[[#This Row],[ID_Transfers]],"")</f>
        <v/>
      </c>
    </row>
    <row r="298" spans="1:4" x14ac:dyDescent="0.45">
      <c r="A298">
        <v>49</v>
      </c>
      <c r="B298" s="3">
        <f t="shared" ca="1" si="4"/>
        <v>146</v>
      </c>
      <c r="C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" t="str">
        <f ca="1">IF(dict_zuord_Meth_Transfers[[#This Row],[kval_active]],dict_zuord_Meth_Transfers[[#This Row],[ID_Transfers]],"")</f>
        <v/>
      </c>
    </row>
    <row r="299" spans="1:4" x14ac:dyDescent="0.45">
      <c r="A299">
        <v>49</v>
      </c>
      <c r="B299" s="3">
        <f t="shared" ca="1" si="4"/>
        <v>56</v>
      </c>
      <c r="C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" t="str">
        <f ca="1">IF(dict_zuord_Meth_Transfers[[#This Row],[kval_active]],dict_zuord_Meth_Transfers[[#This Row],[ID_Transfers]],"")</f>
        <v/>
      </c>
    </row>
    <row r="300" spans="1:4" x14ac:dyDescent="0.45">
      <c r="A300">
        <v>49</v>
      </c>
      <c r="B300" s="3">
        <f t="shared" ca="1" si="4"/>
        <v>139</v>
      </c>
      <c r="C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" t="str">
        <f ca="1">IF(dict_zuord_Meth_Transfers[[#This Row],[kval_active]],dict_zuord_Meth_Transfers[[#This Row],[ID_Transfers]],"")</f>
        <v/>
      </c>
    </row>
    <row r="301" spans="1:4" x14ac:dyDescent="0.45">
      <c r="A301">
        <v>49</v>
      </c>
      <c r="B301">
        <f t="shared" ca="1" si="4"/>
        <v>131</v>
      </c>
      <c r="C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" t="str">
        <f ca="1">IF(dict_zuord_Meth_Transfers[[#This Row],[kval_active]],dict_zuord_Meth_Transfers[[#This Row],[ID_Transfers]],"")</f>
        <v/>
      </c>
    </row>
    <row r="302" spans="1:4" x14ac:dyDescent="0.45">
      <c r="A302">
        <v>50</v>
      </c>
      <c r="B302" s="3">
        <f t="shared" ca="1" si="4"/>
        <v>157</v>
      </c>
      <c r="C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" t="str">
        <f ca="1">IF(dict_zuord_Meth_Transfers[[#This Row],[kval_active]],dict_zuord_Meth_Transfers[[#This Row],[ID_Transfers]],"")</f>
        <v/>
      </c>
    </row>
    <row r="303" spans="1:4" x14ac:dyDescent="0.45">
      <c r="A303">
        <v>50</v>
      </c>
      <c r="B303">
        <f t="shared" ca="1" si="4"/>
        <v>80</v>
      </c>
      <c r="C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" t="str">
        <f ca="1">IF(dict_zuord_Meth_Transfers[[#This Row],[kval_active]],dict_zuord_Meth_Transfers[[#This Row],[ID_Transfers]],"")</f>
        <v/>
      </c>
    </row>
    <row r="304" spans="1:4" x14ac:dyDescent="0.45">
      <c r="A304">
        <v>50</v>
      </c>
      <c r="B304" s="3">
        <f t="shared" ca="1" si="4"/>
        <v>67</v>
      </c>
      <c r="C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" t="str">
        <f ca="1">IF(dict_zuord_Meth_Transfers[[#This Row],[kval_active]],dict_zuord_Meth_Transfers[[#This Row],[ID_Transfers]],"")</f>
        <v/>
      </c>
    </row>
    <row r="305" spans="1:4" x14ac:dyDescent="0.45">
      <c r="A305">
        <v>50</v>
      </c>
      <c r="B305">
        <f t="shared" ca="1" si="4"/>
        <v>165</v>
      </c>
      <c r="C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" t="str">
        <f ca="1">IF(dict_zuord_Meth_Transfers[[#This Row],[kval_active]],dict_zuord_Meth_Transfers[[#This Row],[ID_Transfers]],"")</f>
        <v/>
      </c>
    </row>
    <row r="306" spans="1:4" x14ac:dyDescent="0.45">
      <c r="A306">
        <v>50</v>
      </c>
      <c r="B306">
        <f t="shared" ca="1" si="4"/>
        <v>98</v>
      </c>
      <c r="C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" t="str">
        <f ca="1">IF(dict_zuord_Meth_Transfers[[#This Row],[kval_active]],dict_zuord_Meth_Transfers[[#This Row],[ID_Transfers]],"")</f>
        <v/>
      </c>
    </row>
    <row r="307" spans="1:4" x14ac:dyDescent="0.45">
      <c r="A307">
        <v>50</v>
      </c>
      <c r="B307" s="3">
        <f t="shared" ca="1" si="4"/>
        <v>95</v>
      </c>
      <c r="C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" t="str">
        <f ca="1">IF(dict_zuord_Meth_Transfers[[#This Row],[kval_active]],dict_zuord_Meth_Transfers[[#This Row],[ID_Transfers]],"")</f>
        <v/>
      </c>
    </row>
    <row r="308" spans="1:4" x14ac:dyDescent="0.45">
      <c r="A308">
        <v>51</v>
      </c>
      <c r="B308" s="3">
        <f t="shared" ca="1" si="4"/>
        <v>36</v>
      </c>
      <c r="C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" t="str">
        <f ca="1">IF(dict_zuord_Meth_Transfers[[#This Row],[kval_active]],dict_zuord_Meth_Transfers[[#This Row],[ID_Transfers]],"")</f>
        <v/>
      </c>
    </row>
    <row r="309" spans="1:4" x14ac:dyDescent="0.45">
      <c r="A309">
        <v>51</v>
      </c>
      <c r="B309" s="3">
        <f t="shared" ca="1" si="4"/>
        <v>173</v>
      </c>
      <c r="C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" t="str">
        <f ca="1">IF(dict_zuord_Meth_Transfers[[#This Row],[kval_active]],dict_zuord_Meth_Transfers[[#This Row],[ID_Transfers]],"")</f>
        <v/>
      </c>
    </row>
    <row r="310" spans="1:4" x14ac:dyDescent="0.45">
      <c r="A310">
        <v>51</v>
      </c>
      <c r="B310">
        <f t="shared" ca="1" si="4"/>
        <v>179</v>
      </c>
      <c r="C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" t="str">
        <f ca="1">IF(dict_zuord_Meth_Transfers[[#This Row],[kval_active]],dict_zuord_Meth_Transfers[[#This Row],[ID_Transfers]],"")</f>
        <v/>
      </c>
    </row>
    <row r="311" spans="1:4" x14ac:dyDescent="0.45">
      <c r="A311">
        <v>51</v>
      </c>
      <c r="B311">
        <f t="shared" ca="1" si="4"/>
        <v>167</v>
      </c>
      <c r="C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" t="str">
        <f ca="1">IF(dict_zuord_Meth_Transfers[[#This Row],[kval_active]],dict_zuord_Meth_Transfers[[#This Row],[ID_Transfers]],"")</f>
        <v/>
      </c>
    </row>
    <row r="312" spans="1:4" x14ac:dyDescent="0.45">
      <c r="A312">
        <v>51</v>
      </c>
      <c r="B312" s="3">
        <f t="shared" ca="1" si="4"/>
        <v>129</v>
      </c>
      <c r="C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" t="str">
        <f ca="1">IF(dict_zuord_Meth_Transfers[[#This Row],[kval_active]],dict_zuord_Meth_Transfers[[#This Row],[ID_Transfers]],"")</f>
        <v/>
      </c>
    </row>
    <row r="313" spans="1:4" x14ac:dyDescent="0.45">
      <c r="A313">
        <v>51</v>
      </c>
      <c r="B313">
        <f t="shared" ca="1" si="4"/>
        <v>55</v>
      </c>
      <c r="C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" t="str">
        <f ca="1">IF(dict_zuord_Meth_Transfers[[#This Row],[kval_active]],dict_zuord_Meth_Transfers[[#This Row],[ID_Transfers]],"")</f>
        <v/>
      </c>
    </row>
    <row r="314" spans="1:4" x14ac:dyDescent="0.45">
      <c r="A314">
        <v>52</v>
      </c>
      <c r="B314" s="3">
        <f t="shared" ca="1" si="4"/>
        <v>122</v>
      </c>
      <c r="C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" t="str">
        <f ca="1">IF(dict_zuord_Meth_Transfers[[#This Row],[kval_active]],dict_zuord_Meth_Transfers[[#This Row],[ID_Transfers]],"")</f>
        <v/>
      </c>
    </row>
    <row r="315" spans="1:4" x14ac:dyDescent="0.45">
      <c r="A315">
        <v>52</v>
      </c>
      <c r="B315" s="3">
        <f t="shared" ca="1" si="4"/>
        <v>0</v>
      </c>
      <c r="C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" t="str">
        <f ca="1">IF(dict_zuord_Meth_Transfers[[#This Row],[kval_active]],dict_zuord_Meth_Transfers[[#This Row],[ID_Transfers]],"")</f>
        <v/>
      </c>
    </row>
    <row r="316" spans="1:4" x14ac:dyDescent="0.45">
      <c r="A316">
        <v>52</v>
      </c>
      <c r="B316" s="3">
        <f t="shared" ca="1" si="4"/>
        <v>121</v>
      </c>
      <c r="C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" t="str">
        <f ca="1">IF(dict_zuord_Meth_Transfers[[#This Row],[kval_active]],dict_zuord_Meth_Transfers[[#This Row],[ID_Transfers]],"")</f>
        <v/>
      </c>
    </row>
    <row r="317" spans="1:4" x14ac:dyDescent="0.45">
      <c r="A317">
        <v>52</v>
      </c>
      <c r="B317">
        <f t="shared" ca="1" si="4"/>
        <v>130</v>
      </c>
      <c r="C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" t="str">
        <f ca="1">IF(dict_zuord_Meth_Transfers[[#This Row],[kval_active]],dict_zuord_Meth_Transfers[[#This Row],[ID_Transfers]],"")</f>
        <v/>
      </c>
    </row>
    <row r="318" spans="1:4" x14ac:dyDescent="0.45">
      <c r="A318">
        <v>52</v>
      </c>
      <c r="B318">
        <f t="shared" ca="1" si="4"/>
        <v>27</v>
      </c>
      <c r="C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" t="str">
        <f ca="1">IF(dict_zuord_Meth_Transfers[[#This Row],[kval_active]],dict_zuord_Meth_Transfers[[#This Row],[ID_Transfers]],"")</f>
        <v/>
      </c>
    </row>
    <row r="319" spans="1:4" x14ac:dyDescent="0.45">
      <c r="A319">
        <v>52</v>
      </c>
      <c r="B319">
        <f t="shared" ca="1" si="4"/>
        <v>165</v>
      </c>
      <c r="C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" t="str">
        <f ca="1">IF(dict_zuord_Meth_Transfers[[#This Row],[kval_active]],dict_zuord_Meth_Transfers[[#This Row],[ID_Transfers]],"")</f>
        <v/>
      </c>
    </row>
    <row r="320" spans="1:4" x14ac:dyDescent="0.45">
      <c r="A320">
        <v>53</v>
      </c>
      <c r="B320" s="3">
        <f t="shared" ca="1" si="4"/>
        <v>2</v>
      </c>
      <c r="C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" t="str">
        <f ca="1">IF(dict_zuord_Meth_Transfers[[#This Row],[kval_active]],dict_zuord_Meth_Transfers[[#This Row],[ID_Transfers]],"")</f>
        <v/>
      </c>
    </row>
    <row r="321" spans="1:4" x14ac:dyDescent="0.45">
      <c r="A321">
        <v>53</v>
      </c>
      <c r="B321" s="3">
        <f t="shared" ca="1" si="4"/>
        <v>35</v>
      </c>
      <c r="C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" t="str">
        <f ca="1">IF(dict_zuord_Meth_Transfers[[#This Row],[kval_active]],dict_zuord_Meth_Transfers[[#This Row],[ID_Transfers]],"")</f>
        <v/>
      </c>
    </row>
    <row r="322" spans="1:4" x14ac:dyDescent="0.45">
      <c r="A322">
        <v>53</v>
      </c>
      <c r="B322" s="3">
        <f t="shared" ref="B322:B385" ca="1" si="5">RANDBETWEEN(0,200)</f>
        <v>167</v>
      </c>
      <c r="C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" t="str">
        <f ca="1">IF(dict_zuord_Meth_Transfers[[#This Row],[kval_active]],dict_zuord_Meth_Transfers[[#This Row],[ID_Transfers]],"")</f>
        <v/>
      </c>
    </row>
    <row r="323" spans="1:4" x14ac:dyDescent="0.45">
      <c r="A323">
        <v>53</v>
      </c>
      <c r="B323">
        <f t="shared" ca="1" si="5"/>
        <v>135</v>
      </c>
      <c r="C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" t="str">
        <f ca="1">IF(dict_zuord_Meth_Transfers[[#This Row],[kval_active]],dict_zuord_Meth_Transfers[[#This Row],[ID_Transfers]],"")</f>
        <v/>
      </c>
    </row>
    <row r="324" spans="1:4" x14ac:dyDescent="0.45">
      <c r="A324">
        <v>53</v>
      </c>
      <c r="B324">
        <f t="shared" ca="1" si="5"/>
        <v>105</v>
      </c>
      <c r="C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" t="str">
        <f ca="1">IF(dict_zuord_Meth_Transfers[[#This Row],[kval_active]],dict_zuord_Meth_Transfers[[#This Row],[ID_Transfers]],"")</f>
        <v/>
      </c>
    </row>
    <row r="325" spans="1:4" x14ac:dyDescent="0.45">
      <c r="A325">
        <v>53</v>
      </c>
      <c r="B325">
        <f t="shared" ca="1" si="5"/>
        <v>15</v>
      </c>
      <c r="C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" t="str">
        <f ca="1">IF(dict_zuord_Meth_Transfers[[#This Row],[kval_active]],dict_zuord_Meth_Transfers[[#This Row],[ID_Transfers]],"")</f>
        <v/>
      </c>
    </row>
    <row r="326" spans="1:4" x14ac:dyDescent="0.45">
      <c r="A326">
        <v>54</v>
      </c>
      <c r="B326" s="3">
        <f t="shared" ca="1" si="5"/>
        <v>56</v>
      </c>
      <c r="C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" t="str">
        <f ca="1">IF(dict_zuord_Meth_Transfers[[#This Row],[kval_active]],dict_zuord_Meth_Transfers[[#This Row],[ID_Transfers]],"")</f>
        <v/>
      </c>
    </row>
    <row r="327" spans="1:4" x14ac:dyDescent="0.45">
      <c r="A327">
        <v>54</v>
      </c>
      <c r="B327">
        <f t="shared" ca="1" si="5"/>
        <v>55</v>
      </c>
      <c r="C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" t="str">
        <f ca="1">IF(dict_zuord_Meth_Transfers[[#This Row],[kval_active]],dict_zuord_Meth_Transfers[[#This Row],[ID_Transfers]],"")</f>
        <v/>
      </c>
    </row>
    <row r="328" spans="1:4" x14ac:dyDescent="0.45">
      <c r="A328">
        <v>54</v>
      </c>
      <c r="B328" s="3">
        <f t="shared" ca="1" si="5"/>
        <v>2</v>
      </c>
      <c r="C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" t="str">
        <f ca="1">IF(dict_zuord_Meth_Transfers[[#This Row],[kval_active]],dict_zuord_Meth_Transfers[[#This Row],[ID_Transfers]],"")</f>
        <v/>
      </c>
    </row>
    <row r="329" spans="1:4" x14ac:dyDescent="0.45">
      <c r="A329">
        <v>54</v>
      </c>
      <c r="B329" s="3">
        <f t="shared" ca="1" si="5"/>
        <v>50</v>
      </c>
      <c r="C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" t="str">
        <f ca="1">IF(dict_zuord_Meth_Transfers[[#This Row],[kval_active]],dict_zuord_Meth_Transfers[[#This Row],[ID_Transfers]],"")</f>
        <v/>
      </c>
    </row>
    <row r="330" spans="1:4" x14ac:dyDescent="0.45">
      <c r="A330">
        <v>54</v>
      </c>
      <c r="B330">
        <f t="shared" ca="1" si="5"/>
        <v>41</v>
      </c>
      <c r="C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" t="str">
        <f ca="1">IF(dict_zuord_Meth_Transfers[[#This Row],[kval_active]],dict_zuord_Meth_Transfers[[#This Row],[ID_Transfers]],"")</f>
        <v/>
      </c>
    </row>
    <row r="331" spans="1:4" x14ac:dyDescent="0.45">
      <c r="A331">
        <v>54</v>
      </c>
      <c r="B331">
        <f t="shared" ca="1" si="5"/>
        <v>44</v>
      </c>
      <c r="C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" t="str">
        <f ca="1">IF(dict_zuord_Meth_Transfers[[#This Row],[kval_active]],dict_zuord_Meth_Transfers[[#This Row],[ID_Transfers]],"")</f>
        <v/>
      </c>
    </row>
    <row r="332" spans="1:4" x14ac:dyDescent="0.45">
      <c r="A332">
        <v>55</v>
      </c>
      <c r="B332" s="3">
        <f t="shared" ca="1" si="5"/>
        <v>53</v>
      </c>
      <c r="C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" t="str">
        <f ca="1">IF(dict_zuord_Meth_Transfers[[#This Row],[kval_active]],dict_zuord_Meth_Transfers[[#This Row],[ID_Transfers]],"")</f>
        <v/>
      </c>
    </row>
    <row r="333" spans="1:4" x14ac:dyDescent="0.45">
      <c r="A333">
        <v>55</v>
      </c>
      <c r="B333">
        <f t="shared" ca="1" si="5"/>
        <v>50</v>
      </c>
      <c r="C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" t="str">
        <f ca="1">IF(dict_zuord_Meth_Transfers[[#This Row],[kval_active]],dict_zuord_Meth_Transfers[[#This Row],[ID_Transfers]],"")</f>
        <v/>
      </c>
    </row>
    <row r="334" spans="1:4" x14ac:dyDescent="0.45">
      <c r="A334">
        <v>55</v>
      </c>
      <c r="B334">
        <f t="shared" ca="1" si="5"/>
        <v>91</v>
      </c>
      <c r="C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" t="str">
        <f ca="1">IF(dict_zuord_Meth_Transfers[[#This Row],[kval_active]],dict_zuord_Meth_Transfers[[#This Row],[ID_Transfers]],"")</f>
        <v/>
      </c>
    </row>
    <row r="335" spans="1:4" x14ac:dyDescent="0.45">
      <c r="A335">
        <v>55</v>
      </c>
      <c r="B335">
        <f t="shared" ca="1" si="5"/>
        <v>140</v>
      </c>
      <c r="C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" t="str">
        <f ca="1">IF(dict_zuord_Meth_Transfers[[#This Row],[kval_active]],dict_zuord_Meth_Transfers[[#This Row],[ID_Transfers]],"")</f>
        <v/>
      </c>
    </row>
    <row r="336" spans="1:4" x14ac:dyDescent="0.45">
      <c r="A336">
        <v>55</v>
      </c>
      <c r="B336" s="3">
        <f t="shared" ca="1" si="5"/>
        <v>166</v>
      </c>
      <c r="C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" t="str">
        <f ca="1">IF(dict_zuord_Meth_Transfers[[#This Row],[kval_active]],dict_zuord_Meth_Transfers[[#This Row],[ID_Transfers]],"")</f>
        <v/>
      </c>
    </row>
    <row r="337" spans="1:4" x14ac:dyDescent="0.45">
      <c r="A337">
        <v>55</v>
      </c>
      <c r="B337" s="3">
        <f t="shared" ca="1" si="5"/>
        <v>161</v>
      </c>
      <c r="C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" t="str">
        <f ca="1">IF(dict_zuord_Meth_Transfers[[#This Row],[kval_active]],dict_zuord_Meth_Transfers[[#This Row],[ID_Transfers]],"")</f>
        <v/>
      </c>
    </row>
    <row r="338" spans="1:4" x14ac:dyDescent="0.45">
      <c r="A338">
        <v>56</v>
      </c>
      <c r="B338" s="3">
        <f t="shared" ca="1" si="5"/>
        <v>190</v>
      </c>
      <c r="C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" t="str">
        <f ca="1">IF(dict_zuord_Meth_Transfers[[#This Row],[kval_active]],dict_zuord_Meth_Transfers[[#This Row],[ID_Transfers]],"")</f>
        <v/>
      </c>
    </row>
    <row r="339" spans="1:4" x14ac:dyDescent="0.45">
      <c r="A339">
        <v>56</v>
      </c>
      <c r="B339">
        <f t="shared" ca="1" si="5"/>
        <v>73</v>
      </c>
      <c r="C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" t="str">
        <f ca="1">IF(dict_zuord_Meth_Transfers[[#This Row],[kval_active]],dict_zuord_Meth_Transfers[[#This Row],[ID_Transfers]],"")</f>
        <v/>
      </c>
    </row>
    <row r="340" spans="1:4" x14ac:dyDescent="0.45">
      <c r="A340">
        <v>56</v>
      </c>
      <c r="B340">
        <f t="shared" ca="1" si="5"/>
        <v>41</v>
      </c>
      <c r="C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" t="str">
        <f ca="1">IF(dict_zuord_Meth_Transfers[[#This Row],[kval_active]],dict_zuord_Meth_Transfers[[#This Row],[ID_Transfers]],"")</f>
        <v/>
      </c>
    </row>
    <row r="341" spans="1:4" x14ac:dyDescent="0.45">
      <c r="A341">
        <v>56</v>
      </c>
      <c r="B341" s="3">
        <f t="shared" ca="1" si="5"/>
        <v>28</v>
      </c>
      <c r="C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" t="str">
        <f ca="1">IF(dict_zuord_Meth_Transfers[[#This Row],[kval_active]],dict_zuord_Meth_Transfers[[#This Row],[ID_Transfers]],"")</f>
        <v/>
      </c>
    </row>
    <row r="342" spans="1:4" x14ac:dyDescent="0.45">
      <c r="A342">
        <v>56</v>
      </c>
      <c r="B342">
        <f t="shared" ca="1" si="5"/>
        <v>66</v>
      </c>
      <c r="C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" t="str">
        <f ca="1">IF(dict_zuord_Meth_Transfers[[#This Row],[kval_active]],dict_zuord_Meth_Transfers[[#This Row],[ID_Transfers]],"")</f>
        <v/>
      </c>
    </row>
    <row r="343" spans="1:4" x14ac:dyDescent="0.45">
      <c r="A343">
        <v>56</v>
      </c>
      <c r="B343" s="3">
        <f t="shared" ca="1" si="5"/>
        <v>140</v>
      </c>
      <c r="C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" t="str">
        <f ca="1">IF(dict_zuord_Meth_Transfers[[#This Row],[kval_active]],dict_zuord_Meth_Transfers[[#This Row],[ID_Transfers]],"")</f>
        <v/>
      </c>
    </row>
    <row r="344" spans="1:4" x14ac:dyDescent="0.45">
      <c r="A344">
        <v>57</v>
      </c>
      <c r="B344">
        <f t="shared" ca="1" si="5"/>
        <v>97</v>
      </c>
      <c r="C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" t="str">
        <f ca="1">IF(dict_zuord_Meth_Transfers[[#This Row],[kval_active]],dict_zuord_Meth_Transfers[[#This Row],[ID_Transfers]],"")</f>
        <v/>
      </c>
    </row>
    <row r="345" spans="1:4" x14ac:dyDescent="0.45">
      <c r="A345">
        <v>57</v>
      </c>
      <c r="B345" s="3">
        <f t="shared" ca="1" si="5"/>
        <v>109</v>
      </c>
      <c r="C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" t="str">
        <f ca="1">IF(dict_zuord_Meth_Transfers[[#This Row],[kval_active]],dict_zuord_Meth_Transfers[[#This Row],[ID_Transfers]],"")</f>
        <v/>
      </c>
    </row>
    <row r="346" spans="1:4" x14ac:dyDescent="0.45">
      <c r="A346">
        <v>57</v>
      </c>
      <c r="B346">
        <f t="shared" ca="1" si="5"/>
        <v>23</v>
      </c>
      <c r="C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" t="str">
        <f ca="1">IF(dict_zuord_Meth_Transfers[[#This Row],[kval_active]],dict_zuord_Meth_Transfers[[#This Row],[ID_Transfers]],"")</f>
        <v/>
      </c>
    </row>
    <row r="347" spans="1:4" x14ac:dyDescent="0.45">
      <c r="A347">
        <v>57</v>
      </c>
      <c r="B347" s="3">
        <f t="shared" ca="1" si="5"/>
        <v>179</v>
      </c>
      <c r="C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" t="str">
        <f ca="1">IF(dict_zuord_Meth_Transfers[[#This Row],[kval_active]],dict_zuord_Meth_Transfers[[#This Row],[ID_Transfers]],"")</f>
        <v/>
      </c>
    </row>
    <row r="348" spans="1:4" x14ac:dyDescent="0.45">
      <c r="A348">
        <v>57</v>
      </c>
      <c r="B348" s="3">
        <f t="shared" ca="1" si="5"/>
        <v>84</v>
      </c>
      <c r="C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" t="str">
        <f ca="1">IF(dict_zuord_Meth_Transfers[[#This Row],[kval_active]],dict_zuord_Meth_Transfers[[#This Row],[ID_Transfers]],"")</f>
        <v/>
      </c>
    </row>
    <row r="349" spans="1:4" x14ac:dyDescent="0.45">
      <c r="A349">
        <v>57</v>
      </c>
      <c r="B349">
        <f t="shared" ca="1" si="5"/>
        <v>50</v>
      </c>
      <c r="C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" t="str">
        <f ca="1">IF(dict_zuord_Meth_Transfers[[#This Row],[kval_active]],dict_zuord_Meth_Transfers[[#This Row],[ID_Transfers]],"")</f>
        <v/>
      </c>
    </row>
    <row r="350" spans="1:4" x14ac:dyDescent="0.45">
      <c r="A350">
        <v>58</v>
      </c>
      <c r="B350">
        <f t="shared" ca="1" si="5"/>
        <v>134</v>
      </c>
      <c r="C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" t="str">
        <f ca="1">IF(dict_zuord_Meth_Transfers[[#This Row],[kval_active]],dict_zuord_Meth_Transfers[[#This Row],[ID_Transfers]],"")</f>
        <v/>
      </c>
    </row>
    <row r="351" spans="1:4" x14ac:dyDescent="0.45">
      <c r="A351">
        <v>58</v>
      </c>
      <c r="B351" s="3">
        <f t="shared" ca="1" si="5"/>
        <v>88</v>
      </c>
      <c r="C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" t="str">
        <f ca="1">IF(dict_zuord_Meth_Transfers[[#This Row],[kval_active]],dict_zuord_Meth_Transfers[[#This Row],[ID_Transfers]],"")</f>
        <v/>
      </c>
    </row>
    <row r="352" spans="1:4" x14ac:dyDescent="0.45">
      <c r="A352">
        <v>58</v>
      </c>
      <c r="B352" s="3">
        <f t="shared" ca="1" si="5"/>
        <v>173</v>
      </c>
      <c r="C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" t="str">
        <f ca="1">IF(dict_zuord_Meth_Transfers[[#This Row],[kval_active]],dict_zuord_Meth_Transfers[[#This Row],[ID_Transfers]],"")</f>
        <v/>
      </c>
    </row>
    <row r="353" spans="1:4" x14ac:dyDescent="0.45">
      <c r="A353">
        <v>58</v>
      </c>
      <c r="B353">
        <f t="shared" ca="1" si="5"/>
        <v>38</v>
      </c>
      <c r="C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" t="str">
        <f ca="1">IF(dict_zuord_Meth_Transfers[[#This Row],[kval_active]],dict_zuord_Meth_Transfers[[#This Row],[ID_Transfers]],"")</f>
        <v/>
      </c>
    </row>
    <row r="354" spans="1:4" x14ac:dyDescent="0.45">
      <c r="A354">
        <v>58</v>
      </c>
      <c r="B354">
        <f t="shared" ca="1" si="5"/>
        <v>48</v>
      </c>
      <c r="C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" t="str">
        <f ca="1">IF(dict_zuord_Meth_Transfers[[#This Row],[kval_active]],dict_zuord_Meth_Transfers[[#This Row],[ID_Transfers]],"")</f>
        <v/>
      </c>
    </row>
    <row r="355" spans="1:4" x14ac:dyDescent="0.45">
      <c r="A355">
        <v>58</v>
      </c>
      <c r="B355" s="3">
        <f t="shared" ca="1" si="5"/>
        <v>106</v>
      </c>
      <c r="C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" t="str">
        <f ca="1">IF(dict_zuord_Meth_Transfers[[#This Row],[kval_active]],dict_zuord_Meth_Transfers[[#This Row],[ID_Transfers]],"")</f>
        <v/>
      </c>
    </row>
    <row r="356" spans="1:4" x14ac:dyDescent="0.45">
      <c r="A356">
        <v>59</v>
      </c>
      <c r="B356">
        <f t="shared" ca="1" si="5"/>
        <v>155</v>
      </c>
      <c r="C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" t="str">
        <f ca="1">IF(dict_zuord_Meth_Transfers[[#This Row],[kval_active]],dict_zuord_Meth_Transfers[[#This Row],[ID_Transfers]],"")</f>
        <v/>
      </c>
    </row>
    <row r="357" spans="1:4" x14ac:dyDescent="0.45">
      <c r="A357">
        <v>59</v>
      </c>
      <c r="B357" s="3">
        <f t="shared" ca="1" si="5"/>
        <v>90</v>
      </c>
      <c r="C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" t="str">
        <f ca="1">IF(dict_zuord_Meth_Transfers[[#This Row],[kval_active]],dict_zuord_Meth_Transfers[[#This Row],[ID_Transfers]],"")</f>
        <v/>
      </c>
    </row>
    <row r="358" spans="1:4" x14ac:dyDescent="0.45">
      <c r="A358">
        <v>59</v>
      </c>
      <c r="B358" s="3">
        <f t="shared" ca="1" si="5"/>
        <v>192</v>
      </c>
      <c r="C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" t="str">
        <f ca="1">IF(dict_zuord_Meth_Transfers[[#This Row],[kval_active]],dict_zuord_Meth_Transfers[[#This Row],[ID_Transfers]],"")</f>
        <v/>
      </c>
    </row>
    <row r="359" spans="1:4" x14ac:dyDescent="0.45">
      <c r="A359">
        <v>59</v>
      </c>
      <c r="B359">
        <f t="shared" ca="1" si="5"/>
        <v>42</v>
      </c>
      <c r="C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" t="str">
        <f ca="1">IF(dict_zuord_Meth_Transfers[[#This Row],[kval_active]],dict_zuord_Meth_Transfers[[#This Row],[ID_Transfers]],"")</f>
        <v/>
      </c>
    </row>
    <row r="360" spans="1:4" x14ac:dyDescent="0.45">
      <c r="A360">
        <v>59</v>
      </c>
      <c r="B360" s="3">
        <f t="shared" ca="1" si="5"/>
        <v>129</v>
      </c>
      <c r="C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" t="str">
        <f ca="1">IF(dict_zuord_Meth_Transfers[[#This Row],[kval_active]],dict_zuord_Meth_Transfers[[#This Row],[ID_Transfers]],"")</f>
        <v/>
      </c>
    </row>
    <row r="361" spans="1:4" x14ac:dyDescent="0.45">
      <c r="A361">
        <v>59</v>
      </c>
      <c r="B361">
        <f t="shared" ca="1" si="5"/>
        <v>92</v>
      </c>
      <c r="C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" t="str">
        <f ca="1">IF(dict_zuord_Meth_Transfers[[#This Row],[kval_active]],dict_zuord_Meth_Transfers[[#This Row],[ID_Transfers]],"")</f>
        <v/>
      </c>
    </row>
    <row r="362" spans="1:4" x14ac:dyDescent="0.45">
      <c r="A362">
        <v>60</v>
      </c>
      <c r="B362">
        <f t="shared" ca="1" si="5"/>
        <v>102</v>
      </c>
      <c r="C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" t="str">
        <f ca="1">IF(dict_zuord_Meth_Transfers[[#This Row],[kval_active]],dict_zuord_Meth_Transfers[[#This Row],[ID_Transfers]],"")</f>
        <v/>
      </c>
    </row>
    <row r="363" spans="1:4" x14ac:dyDescent="0.45">
      <c r="A363">
        <v>60</v>
      </c>
      <c r="B363">
        <f t="shared" ca="1" si="5"/>
        <v>95</v>
      </c>
      <c r="C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" t="str">
        <f ca="1">IF(dict_zuord_Meth_Transfers[[#This Row],[kval_active]],dict_zuord_Meth_Transfers[[#This Row],[ID_Transfers]],"")</f>
        <v/>
      </c>
    </row>
    <row r="364" spans="1:4" x14ac:dyDescent="0.45">
      <c r="A364">
        <v>60</v>
      </c>
      <c r="B364" s="3">
        <f t="shared" ca="1" si="5"/>
        <v>70</v>
      </c>
      <c r="C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" t="str">
        <f ca="1">IF(dict_zuord_Meth_Transfers[[#This Row],[kval_active]],dict_zuord_Meth_Transfers[[#This Row],[ID_Transfers]],"")</f>
        <v/>
      </c>
    </row>
    <row r="365" spans="1:4" x14ac:dyDescent="0.45">
      <c r="A365">
        <v>60</v>
      </c>
      <c r="B365">
        <f t="shared" ca="1" si="5"/>
        <v>145</v>
      </c>
      <c r="C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" t="str">
        <f ca="1">IF(dict_zuord_Meth_Transfers[[#This Row],[kval_active]],dict_zuord_Meth_Transfers[[#This Row],[ID_Transfers]],"")</f>
        <v/>
      </c>
    </row>
    <row r="366" spans="1:4" x14ac:dyDescent="0.45">
      <c r="A366">
        <v>60</v>
      </c>
      <c r="B366" s="3">
        <f t="shared" ca="1" si="5"/>
        <v>36</v>
      </c>
      <c r="C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" t="str">
        <f ca="1">IF(dict_zuord_Meth_Transfers[[#This Row],[kval_active]],dict_zuord_Meth_Transfers[[#This Row],[ID_Transfers]],"")</f>
        <v/>
      </c>
    </row>
    <row r="367" spans="1:4" x14ac:dyDescent="0.45">
      <c r="A367">
        <v>60</v>
      </c>
      <c r="B367" s="3">
        <f t="shared" ca="1" si="5"/>
        <v>106</v>
      </c>
      <c r="C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" t="str">
        <f ca="1">IF(dict_zuord_Meth_Transfers[[#This Row],[kval_active]],dict_zuord_Meth_Transfers[[#This Row],[ID_Transfers]],"")</f>
        <v/>
      </c>
    </row>
    <row r="368" spans="1:4" x14ac:dyDescent="0.45">
      <c r="A368">
        <v>61</v>
      </c>
      <c r="B368" s="3">
        <f t="shared" ca="1" si="5"/>
        <v>111</v>
      </c>
      <c r="C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" t="str">
        <f ca="1">IF(dict_zuord_Meth_Transfers[[#This Row],[kval_active]],dict_zuord_Meth_Transfers[[#This Row],[ID_Transfers]],"")</f>
        <v/>
      </c>
    </row>
    <row r="369" spans="1:4" x14ac:dyDescent="0.45">
      <c r="A369">
        <v>61</v>
      </c>
      <c r="B369" s="3">
        <f t="shared" ca="1" si="5"/>
        <v>69</v>
      </c>
      <c r="C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" t="str">
        <f ca="1">IF(dict_zuord_Meth_Transfers[[#This Row],[kval_active]],dict_zuord_Meth_Transfers[[#This Row],[ID_Transfers]],"")</f>
        <v/>
      </c>
    </row>
    <row r="370" spans="1:4" x14ac:dyDescent="0.45">
      <c r="A370">
        <v>61</v>
      </c>
      <c r="B370">
        <f t="shared" ca="1" si="5"/>
        <v>0</v>
      </c>
      <c r="C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" t="str">
        <f ca="1">IF(dict_zuord_Meth_Transfers[[#This Row],[kval_active]],dict_zuord_Meth_Transfers[[#This Row],[ID_Transfers]],"")</f>
        <v/>
      </c>
    </row>
    <row r="371" spans="1:4" x14ac:dyDescent="0.45">
      <c r="A371">
        <v>61</v>
      </c>
      <c r="B371">
        <f t="shared" ca="1" si="5"/>
        <v>3</v>
      </c>
      <c r="C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" t="str">
        <f ca="1">IF(dict_zuord_Meth_Transfers[[#This Row],[kval_active]],dict_zuord_Meth_Transfers[[#This Row],[ID_Transfers]],"")</f>
        <v/>
      </c>
    </row>
    <row r="372" spans="1:4" x14ac:dyDescent="0.45">
      <c r="A372">
        <v>61</v>
      </c>
      <c r="B372" s="3">
        <f t="shared" ca="1" si="5"/>
        <v>163</v>
      </c>
      <c r="C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" t="str">
        <f ca="1">IF(dict_zuord_Meth_Transfers[[#This Row],[kval_active]],dict_zuord_Meth_Transfers[[#This Row],[ID_Transfers]],"")</f>
        <v/>
      </c>
    </row>
    <row r="373" spans="1:4" x14ac:dyDescent="0.45">
      <c r="A373">
        <v>61</v>
      </c>
      <c r="B373">
        <f t="shared" ca="1" si="5"/>
        <v>72</v>
      </c>
      <c r="C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" t="str">
        <f ca="1">IF(dict_zuord_Meth_Transfers[[#This Row],[kval_active]],dict_zuord_Meth_Transfers[[#This Row],[ID_Transfers]],"")</f>
        <v/>
      </c>
    </row>
    <row r="374" spans="1:4" x14ac:dyDescent="0.45">
      <c r="A374">
        <v>62</v>
      </c>
      <c r="B374" s="3">
        <f t="shared" ca="1" si="5"/>
        <v>21</v>
      </c>
      <c r="C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" t="str">
        <f ca="1">IF(dict_zuord_Meth_Transfers[[#This Row],[kval_active]],dict_zuord_Meth_Transfers[[#This Row],[ID_Transfers]],"")</f>
        <v/>
      </c>
    </row>
    <row r="375" spans="1:4" x14ac:dyDescent="0.45">
      <c r="A375">
        <v>62</v>
      </c>
      <c r="B375">
        <f t="shared" ca="1" si="5"/>
        <v>192</v>
      </c>
      <c r="C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" t="str">
        <f ca="1">IF(dict_zuord_Meth_Transfers[[#This Row],[kval_active]],dict_zuord_Meth_Transfers[[#This Row],[ID_Transfers]],"")</f>
        <v/>
      </c>
    </row>
    <row r="376" spans="1:4" x14ac:dyDescent="0.45">
      <c r="A376">
        <v>62</v>
      </c>
      <c r="B376">
        <f t="shared" ca="1" si="5"/>
        <v>135</v>
      </c>
      <c r="C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" t="str">
        <f ca="1">IF(dict_zuord_Meth_Transfers[[#This Row],[kval_active]],dict_zuord_Meth_Transfers[[#This Row],[ID_Transfers]],"")</f>
        <v/>
      </c>
    </row>
    <row r="377" spans="1:4" x14ac:dyDescent="0.45">
      <c r="A377">
        <v>62</v>
      </c>
      <c r="B377">
        <f t="shared" ca="1" si="5"/>
        <v>185</v>
      </c>
      <c r="C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" t="str">
        <f ca="1">IF(dict_zuord_Meth_Transfers[[#This Row],[kval_active]],dict_zuord_Meth_Transfers[[#This Row],[ID_Transfers]],"")</f>
        <v/>
      </c>
    </row>
    <row r="378" spans="1:4" x14ac:dyDescent="0.45">
      <c r="A378">
        <v>62</v>
      </c>
      <c r="B378" s="3">
        <f t="shared" ca="1" si="5"/>
        <v>155</v>
      </c>
      <c r="C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" t="str">
        <f ca="1">IF(dict_zuord_Meth_Transfers[[#This Row],[kval_active]],dict_zuord_Meth_Transfers[[#This Row],[ID_Transfers]],"")</f>
        <v/>
      </c>
    </row>
    <row r="379" spans="1:4" x14ac:dyDescent="0.45">
      <c r="A379">
        <v>62</v>
      </c>
      <c r="B379" s="3">
        <f t="shared" ca="1" si="5"/>
        <v>61</v>
      </c>
      <c r="C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" t="str">
        <f ca="1">IF(dict_zuord_Meth_Transfers[[#This Row],[kval_active]],dict_zuord_Meth_Transfers[[#This Row],[ID_Transfers]],"")</f>
        <v/>
      </c>
    </row>
    <row r="380" spans="1:4" x14ac:dyDescent="0.45">
      <c r="A380">
        <v>63</v>
      </c>
      <c r="B380" s="3">
        <f t="shared" ca="1" si="5"/>
        <v>157</v>
      </c>
      <c r="C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" t="str">
        <f ca="1">IF(dict_zuord_Meth_Transfers[[#This Row],[kval_active]],dict_zuord_Meth_Transfers[[#This Row],[ID_Transfers]],"")</f>
        <v/>
      </c>
    </row>
    <row r="381" spans="1:4" x14ac:dyDescent="0.45">
      <c r="A381">
        <v>63</v>
      </c>
      <c r="B381">
        <f t="shared" ca="1" si="5"/>
        <v>1</v>
      </c>
      <c r="C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" t="str">
        <f ca="1">IF(dict_zuord_Meth_Transfers[[#This Row],[kval_active]],dict_zuord_Meth_Transfers[[#This Row],[ID_Transfers]],"")</f>
        <v/>
      </c>
    </row>
    <row r="382" spans="1:4" x14ac:dyDescent="0.45">
      <c r="A382">
        <v>63</v>
      </c>
      <c r="B382" s="3">
        <f t="shared" ca="1" si="5"/>
        <v>98</v>
      </c>
      <c r="C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" t="str">
        <f ca="1">IF(dict_zuord_Meth_Transfers[[#This Row],[kval_active]],dict_zuord_Meth_Transfers[[#This Row],[ID_Transfers]],"")</f>
        <v/>
      </c>
    </row>
    <row r="383" spans="1:4" x14ac:dyDescent="0.45">
      <c r="A383">
        <v>63</v>
      </c>
      <c r="B383">
        <f t="shared" ca="1" si="5"/>
        <v>70</v>
      </c>
      <c r="C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" t="str">
        <f ca="1">IF(dict_zuord_Meth_Transfers[[#This Row],[kval_active]],dict_zuord_Meth_Transfers[[#This Row],[ID_Transfers]],"")</f>
        <v/>
      </c>
    </row>
    <row r="384" spans="1:4" x14ac:dyDescent="0.45">
      <c r="A384">
        <v>63</v>
      </c>
      <c r="B384">
        <f t="shared" ca="1" si="5"/>
        <v>55</v>
      </c>
      <c r="C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" t="str">
        <f ca="1">IF(dict_zuord_Meth_Transfers[[#This Row],[kval_active]],dict_zuord_Meth_Transfers[[#This Row],[ID_Transfers]],"")</f>
        <v/>
      </c>
    </row>
    <row r="385" spans="1:4" x14ac:dyDescent="0.45">
      <c r="A385">
        <v>63</v>
      </c>
      <c r="B385" s="3">
        <f t="shared" ca="1" si="5"/>
        <v>125</v>
      </c>
      <c r="C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" t="str">
        <f ca="1">IF(dict_zuord_Meth_Transfers[[#This Row],[kval_active]],dict_zuord_Meth_Transfers[[#This Row],[ID_Transfers]],"")</f>
        <v/>
      </c>
    </row>
    <row r="386" spans="1:4" x14ac:dyDescent="0.45">
      <c r="A386">
        <v>64</v>
      </c>
      <c r="B386">
        <f t="shared" ref="B386:B449" ca="1" si="6">RANDBETWEEN(0,200)</f>
        <v>140</v>
      </c>
      <c r="C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" t="str">
        <f ca="1">IF(dict_zuord_Meth_Transfers[[#This Row],[kval_active]],dict_zuord_Meth_Transfers[[#This Row],[ID_Transfers]],"")</f>
        <v/>
      </c>
    </row>
    <row r="387" spans="1:4" x14ac:dyDescent="0.45">
      <c r="A387">
        <v>64</v>
      </c>
      <c r="B387" s="3">
        <f t="shared" ca="1" si="6"/>
        <v>171</v>
      </c>
      <c r="C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" t="str">
        <f ca="1">IF(dict_zuord_Meth_Transfers[[#This Row],[kval_active]],dict_zuord_Meth_Transfers[[#This Row],[ID_Transfers]],"")</f>
        <v/>
      </c>
    </row>
    <row r="388" spans="1:4" x14ac:dyDescent="0.45">
      <c r="A388">
        <v>64</v>
      </c>
      <c r="B388">
        <f t="shared" ca="1" si="6"/>
        <v>15</v>
      </c>
      <c r="C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" t="str">
        <f ca="1">IF(dict_zuord_Meth_Transfers[[#This Row],[kval_active]],dict_zuord_Meth_Transfers[[#This Row],[ID_Transfers]],"")</f>
        <v/>
      </c>
    </row>
    <row r="389" spans="1:4" x14ac:dyDescent="0.45">
      <c r="A389">
        <v>64</v>
      </c>
      <c r="B389" s="3">
        <f t="shared" ca="1" si="6"/>
        <v>34</v>
      </c>
      <c r="C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" t="str">
        <f ca="1">IF(dict_zuord_Meth_Transfers[[#This Row],[kval_active]],dict_zuord_Meth_Transfers[[#This Row],[ID_Transfers]],"")</f>
        <v/>
      </c>
    </row>
    <row r="390" spans="1:4" x14ac:dyDescent="0.45">
      <c r="A390">
        <v>64</v>
      </c>
      <c r="B390" s="3">
        <f t="shared" ca="1" si="6"/>
        <v>63</v>
      </c>
      <c r="C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" t="str">
        <f ca="1">IF(dict_zuord_Meth_Transfers[[#This Row],[kval_active]],dict_zuord_Meth_Transfers[[#This Row],[ID_Transfers]],"")</f>
        <v/>
      </c>
    </row>
    <row r="391" spans="1:4" x14ac:dyDescent="0.45">
      <c r="A391">
        <v>64</v>
      </c>
      <c r="B391">
        <f t="shared" ca="1" si="6"/>
        <v>116</v>
      </c>
      <c r="C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" t="str">
        <f ca="1">IF(dict_zuord_Meth_Transfers[[#This Row],[kval_active]],dict_zuord_Meth_Transfers[[#This Row],[ID_Transfers]],"")</f>
        <v/>
      </c>
    </row>
    <row r="392" spans="1:4" x14ac:dyDescent="0.45">
      <c r="A392">
        <v>65</v>
      </c>
      <c r="B392">
        <f t="shared" ca="1" si="6"/>
        <v>113</v>
      </c>
      <c r="C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" t="str">
        <f ca="1">IF(dict_zuord_Meth_Transfers[[#This Row],[kval_active]],dict_zuord_Meth_Transfers[[#This Row],[ID_Transfers]],"")</f>
        <v/>
      </c>
    </row>
    <row r="393" spans="1:4" x14ac:dyDescent="0.45">
      <c r="A393">
        <v>65</v>
      </c>
      <c r="B393" s="3">
        <f t="shared" ca="1" si="6"/>
        <v>134</v>
      </c>
      <c r="C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" t="str">
        <f ca="1">IF(dict_zuord_Meth_Transfers[[#This Row],[kval_active]],dict_zuord_Meth_Transfers[[#This Row],[ID_Transfers]],"")</f>
        <v/>
      </c>
    </row>
    <row r="394" spans="1:4" x14ac:dyDescent="0.45">
      <c r="A394">
        <v>65</v>
      </c>
      <c r="B394">
        <f t="shared" ca="1" si="6"/>
        <v>62</v>
      </c>
      <c r="C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" t="str">
        <f ca="1">IF(dict_zuord_Meth_Transfers[[#This Row],[kval_active]],dict_zuord_Meth_Transfers[[#This Row],[ID_Transfers]],"")</f>
        <v/>
      </c>
    </row>
    <row r="395" spans="1:4" x14ac:dyDescent="0.45">
      <c r="A395">
        <v>65</v>
      </c>
      <c r="B395">
        <f t="shared" ca="1" si="6"/>
        <v>46</v>
      </c>
      <c r="C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" t="str">
        <f ca="1">IF(dict_zuord_Meth_Transfers[[#This Row],[kval_active]],dict_zuord_Meth_Transfers[[#This Row],[ID_Transfers]],"")</f>
        <v/>
      </c>
    </row>
    <row r="396" spans="1:4" x14ac:dyDescent="0.45">
      <c r="A396">
        <v>65</v>
      </c>
      <c r="B396" s="3">
        <f t="shared" ca="1" si="6"/>
        <v>68</v>
      </c>
      <c r="C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" t="str">
        <f ca="1">IF(dict_zuord_Meth_Transfers[[#This Row],[kval_active]],dict_zuord_Meth_Transfers[[#This Row],[ID_Transfers]],"")</f>
        <v/>
      </c>
    </row>
    <row r="397" spans="1:4" x14ac:dyDescent="0.45">
      <c r="A397">
        <v>65</v>
      </c>
      <c r="B397" s="3">
        <f t="shared" ca="1" si="6"/>
        <v>150</v>
      </c>
      <c r="C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" t="str">
        <f ca="1">IF(dict_zuord_Meth_Transfers[[#This Row],[kval_active]],dict_zuord_Meth_Transfers[[#This Row],[ID_Transfers]],"")</f>
        <v/>
      </c>
    </row>
    <row r="398" spans="1:4" x14ac:dyDescent="0.45">
      <c r="A398">
        <v>66</v>
      </c>
      <c r="B398" s="3">
        <f t="shared" ca="1" si="6"/>
        <v>83</v>
      </c>
      <c r="C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" t="str">
        <f ca="1">IF(dict_zuord_Meth_Transfers[[#This Row],[kval_active]],dict_zuord_Meth_Transfers[[#This Row],[ID_Transfers]],"")</f>
        <v/>
      </c>
    </row>
    <row r="399" spans="1:4" x14ac:dyDescent="0.45">
      <c r="A399">
        <v>66</v>
      </c>
      <c r="B399">
        <f t="shared" ca="1" si="6"/>
        <v>114</v>
      </c>
      <c r="C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" t="str">
        <f ca="1">IF(dict_zuord_Meth_Transfers[[#This Row],[kval_active]],dict_zuord_Meth_Transfers[[#This Row],[ID_Transfers]],"")</f>
        <v/>
      </c>
    </row>
    <row r="400" spans="1:4" x14ac:dyDescent="0.45">
      <c r="A400">
        <v>66</v>
      </c>
      <c r="B400" s="3">
        <f t="shared" ca="1" si="6"/>
        <v>138</v>
      </c>
      <c r="C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" t="str">
        <f ca="1">IF(dict_zuord_Meth_Transfers[[#This Row],[kval_active]],dict_zuord_Meth_Transfers[[#This Row],[ID_Transfers]],"")</f>
        <v/>
      </c>
    </row>
    <row r="401" spans="1:4" x14ac:dyDescent="0.45">
      <c r="A401">
        <v>66</v>
      </c>
      <c r="B401">
        <f t="shared" ca="1" si="6"/>
        <v>101</v>
      </c>
      <c r="C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" t="str">
        <f ca="1">IF(dict_zuord_Meth_Transfers[[#This Row],[kval_active]],dict_zuord_Meth_Transfers[[#This Row],[ID_Transfers]],"")</f>
        <v/>
      </c>
    </row>
    <row r="402" spans="1:4" x14ac:dyDescent="0.45">
      <c r="A402">
        <v>66</v>
      </c>
      <c r="B402">
        <f t="shared" ca="1" si="6"/>
        <v>146</v>
      </c>
      <c r="C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" t="str">
        <f ca="1">IF(dict_zuord_Meth_Transfers[[#This Row],[kval_active]],dict_zuord_Meth_Transfers[[#This Row],[ID_Transfers]],"")</f>
        <v/>
      </c>
    </row>
    <row r="403" spans="1:4" x14ac:dyDescent="0.45">
      <c r="A403">
        <v>66</v>
      </c>
      <c r="B403" s="3">
        <f t="shared" ca="1" si="6"/>
        <v>114</v>
      </c>
      <c r="C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" t="str">
        <f ca="1">IF(dict_zuord_Meth_Transfers[[#This Row],[kval_active]],dict_zuord_Meth_Transfers[[#This Row],[ID_Transfers]],"")</f>
        <v/>
      </c>
    </row>
    <row r="404" spans="1:4" x14ac:dyDescent="0.45">
      <c r="A404">
        <v>67</v>
      </c>
      <c r="B404">
        <f t="shared" ca="1" si="6"/>
        <v>189</v>
      </c>
      <c r="C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" t="str">
        <f ca="1">IF(dict_zuord_Meth_Transfers[[#This Row],[kval_active]],dict_zuord_Meth_Transfers[[#This Row],[ID_Transfers]],"")</f>
        <v/>
      </c>
    </row>
    <row r="405" spans="1:4" x14ac:dyDescent="0.45">
      <c r="A405">
        <v>67</v>
      </c>
      <c r="B405" s="3">
        <f t="shared" ca="1" si="6"/>
        <v>161</v>
      </c>
      <c r="C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" t="str">
        <f ca="1">IF(dict_zuord_Meth_Transfers[[#This Row],[kval_active]],dict_zuord_Meth_Transfers[[#This Row],[ID_Transfers]],"")</f>
        <v/>
      </c>
    </row>
    <row r="406" spans="1:4" x14ac:dyDescent="0.45">
      <c r="A406">
        <v>67</v>
      </c>
      <c r="B406">
        <f t="shared" ca="1" si="6"/>
        <v>109</v>
      </c>
      <c r="C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" t="str">
        <f ca="1">IF(dict_zuord_Meth_Transfers[[#This Row],[kval_active]],dict_zuord_Meth_Transfers[[#This Row],[ID_Transfers]],"")</f>
        <v/>
      </c>
    </row>
    <row r="407" spans="1:4" x14ac:dyDescent="0.45">
      <c r="A407">
        <v>67</v>
      </c>
      <c r="B407">
        <f t="shared" ca="1" si="6"/>
        <v>39</v>
      </c>
      <c r="C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" t="str">
        <f ca="1">IF(dict_zuord_Meth_Transfers[[#This Row],[kval_active]],dict_zuord_Meth_Transfers[[#This Row],[ID_Transfers]],"")</f>
        <v/>
      </c>
    </row>
    <row r="408" spans="1:4" x14ac:dyDescent="0.45">
      <c r="A408">
        <v>67</v>
      </c>
      <c r="B408" s="3">
        <f t="shared" ca="1" si="6"/>
        <v>146</v>
      </c>
      <c r="C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" t="str">
        <f ca="1">IF(dict_zuord_Meth_Transfers[[#This Row],[kval_active]],dict_zuord_Meth_Transfers[[#This Row],[ID_Transfers]],"")</f>
        <v/>
      </c>
    </row>
    <row r="409" spans="1:4" x14ac:dyDescent="0.45">
      <c r="A409">
        <v>67</v>
      </c>
      <c r="B409" s="3">
        <f t="shared" ca="1" si="6"/>
        <v>161</v>
      </c>
      <c r="C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" t="str">
        <f ca="1">IF(dict_zuord_Meth_Transfers[[#This Row],[kval_active]],dict_zuord_Meth_Transfers[[#This Row],[ID_Transfers]],"")</f>
        <v/>
      </c>
    </row>
    <row r="410" spans="1:4" x14ac:dyDescent="0.45">
      <c r="A410">
        <v>68</v>
      </c>
      <c r="B410" s="3">
        <f t="shared" ca="1" si="6"/>
        <v>105</v>
      </c>
      <c r="C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" t="str">
        <f ca="1">IF(dict_zuord_Meth_Transfers[[#This Row],[kval_active]],dict_zuord_Meth_Transfers[[#This Row],[ID_Transfers]],"")</f>
        <v/>
      </c>
    </row>
    <row r="411" spans="1:4" x14ac:dyDescent="0.45">
      <c r="A411">
        <v>68</v>
      </c>
      <c r="B411">
        <f t="shared" ca="1" si="6"/>
        <v>154</v>
      </c>
      <c r="C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" t="str">
        <f ca="1">IF(dict_zuord_Meth_Transfers[[#This Row],[kval_active]],dict_zuord_Meth_Transfers[[#This Row],[ID_Transfers]],"")</f>
        <v/>
      </c>
    </row>
    <row r="412" spans="1:4" x14ac:dyDescent="0.45">
      <c r="A412">
        <v>68</v>
      </c>
      <c r="B412" s="3">
        <f t="shared" ca="1" si="6"/>
        <v>144</v>
      </c>
      <c r="C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" t="str">
        <f ca="1">IF(dict_zuord_Meth_Transfers[[#This Row],[kval_active]],dict_zuord_Meth_Transfers[[#This Row],[ID_Transfers]],"")</f>
        <v/>
      </c>
    </row>
    <row r="413" spans="1:4" x14ac:dyDescent="0.45">
      <c r="A413">
        <v>68</v>
      </c>
      <c r="B413">
        <f t="shared" ca="1" si="6"/>
        <v>144</v>
      </c>
      <c r="C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" t="str">
        <f ca="1">IF(dict_zuord_Meth_Transfers[[#This Row],[kval_active]],dict_zuord_Meth_Transfers[[#This Row],[ID_Transfers]],"")</f>
        <v/>
      </c>
    </row>
    <row r="414" spans="1:4" x14ac:dyDescent="0.45">
      <c r="A414">
        <v>68</v>
      </c>
      <c r="B414">
        <f t="shared" ca="1" si="6"/>
        <v>156</v>
      </c>
      <c r="C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" t="str">
        <f ca="1">IF(dict_zuord_Meth_Transfers[[#This Row],[kval_active]],dict_zuord_Meth_Transfers[[#This Row],[ID_Transfers]],"")</f>
        <v/>
      </c>
    </row>
    <row r="415" spans="1:4" x14ac:dyDescent="0.45">
      <c r="A415">
        <v>68</v>
      </c>
      <c r="B415" s="3">
        <f t="shared" ca="1" si="6"/>
        <v>35</v>
      </c>
      <c r="C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" t="str">
        <f ca="1">IF(dict_zuord_Meth_Transfers[[#This Row],[kval_active]],dict_zuord_Meth_Transfers[[#This Row],[ID_Transfers]],"")</f>
        <v/>
      </c>
    </row>
    <row r="416" spans="1:4" x14ac:dyDescent="0.45">
      <c r="A416">
        <v>69</v>
      </c>
      <c r="B416" s="3">
        <f t="shared" ca="1" si="6"/>
        <v>155</v>
      </c>
      <c r="C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" t="str">
        <f ca="1">IF(dict_zuord_Meth_Transfers[[#This Row],[kval_active]],dict_zuord_Meth_Transfers[[#This Row],[ID_Transfers]],"")</f>
        <v/>
      </c>
    </row>
    <row r="417" spans="1:4" x14ac:dyDescent="0.45">
      <c r="A417">
        <v>69</v>
      </c>
      <c r="B417" s="3">
        <f t="shared" ca="1" si="6"/>
        <v>87</v>
      </c>
      <c r="C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" t="str">
        <f ca="1">IF(dict_zuord_Meth_Transfers[[#This Row],[kval_active]],dict_zuord_Meth_Transfers[[#This Row],[ID_Transfers]],"")</f>
        <v/>
      </c>
    </row>
    <row r="418" spans="1:4" x14ac:dyDescent="0.45">
      <c r="A418">
        <v>69</v>
      </c>
      <c r="B418">
        <f t="shared" ca="1" si="6"/>
        <v>84</v>
      </c>
      <c r="C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" t="str">
        <f ca="1">IF(dict_zuord_Meth_Transfers[[#This Row],[kval_active]],dict_zuord_Meth_Transfers[[#This Row],[ID_Transfers]],"")</f>
        <v/>
      </c>
    </row>
    <row r="419" spans="1:4" x14ac:dyDescent="0.45">
      <c r="A419">
        <v>69</v>
      </c>
      <c r="B419">
        <f t="shared" ca="1" si="6"/>
        <v>41</v>
      </c>
      <c r="C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" t="str">
        <f ca="1">IF(dict_zuord_Meth_Transfers[[#This Row],[kval_active]],dict_zuord_Meth_Transfers[[#This Row],[ID_Transfers]],"")</f>
        <v/>
      </c>
    </row>
    <row r="420" spans="1:4" x14ac:dyDescent="0.45">
      <c r="A420">
        <v>69</v>
      </c>
      <c r="B420">
        <f t="shared" ca="1" si="6"/>
        <v>98</v>
      </c>
      <c r="C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" t="str">
        <f ca="1">IF(dict_zuord_Meth_Transfers[[#This Row],[kval_active]],dict_zuord_Meth_Transfers[[#This Row],[ID_Transfers]],"")</f>
        <v/>
      </c>
    </row>
    <row r="421" spans="1:4" x14ac:dyDescent="0.45">
      <c r="A421">
        <v>69</v>
      </c>
      <c r="B421" s="3">
        <f t="shared" ca="1" si="6"/>
        <v>102</v>
      </c>
      <c r="C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1" t="str">
        <f ca="1">IF(dict_zuord_Meth_Transfers[[#This Row],[kval_active]],dict_zuord_Meth_Transfers[[#This Row],[ID_Transfers]],"")</f>
        <v/>
      </c>
    </row>
    <row r="422" spans="1:4" x14ac:dyDescent="0.45">
      <c r="A422">
        <v>70</v>
      </c>
      <c r="B422" s="3">
        <f t="shared" ca="1" si="6"/>
        <v>120</v>
      </c>
      <c r="C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2" t="str">
        <f ca="1">IF(dict_zuord_Meth_Transfers[[#This Row],[kval_active]],dict_zuord_Meth_Transfers[[#This Row],[ID_Transfers]],"")</f>
        <v/>
      </c>
    </row>
    <row r="423" spans="1:4" x14ac:dyDescent="0.45">
      <c r="A423">
        <v>70</v>
      </c>
      <c r="B423" s="3">
        <f t="shared" ca="1" si="6"/>
        <v>184</v>
      </c>
      <c r="C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3" t="str">
        <f ca="1">IF(dict_zuord_Meth_Transfers[[#This Row],[kval_active]],dict_zuord_Meth_Transfers[[#This Row],[ID_Transfers]],"")</f>
        <v/>
      </c>
    </row>
    <row r="424" spans="1:4" x14ac:dyDescent="0.45">
      <c r="A424">
        <v>70</v>
      </c>
      <c r="B424">
        <f t="shared" ca="1" si="6"/>
        <v>155</v>
      </c>
      <c r="C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4" t="str">
        <f ca="1">IF(dict_zuord_Meth_Transfers[[#This Row],[kval_active]],dict_zuord_Meth_Transfers[[#This Row],[ID_Transfers]],"")</f>
        <v/>
      </c>
    </row>
    <row r="425" spans="1:4" x14ac:dyDescent="0.45">
      <c r="A425">
        <v>70</v>
      </c>
      <c r="B425">
        <f t="shared" ca="1" si="6"/>
        <v>96</v>
      </c>
      <c r="C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5" t="str">
        <f ca="1">IF(dict_zuord_Meth_Transfers[[#This Row],[kval_active]],dict_zuord_Meth_Transfers[[#This Row],[ID_Transfers]],"")</f>
        <v/>
      </c>
    </row>
    <row r="426" spans="1:4" x14ac:dyDescent="0.45">
      <c r="A426">
        <v>70</v>
      </c>
      <c r="B426">
        <f t="shared" ca="1" si="6"/>
        <v>0</v>
      </c>
      <c r="C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6" t="str">
        <f ca="1">IF(dict_zuord_Meth_Transfers[[#This Row],[kval_active]],dict_zuord_Meth_Transfers[[#This Row],[ID_Transfers]],"")</f>
        <v/>
      </c>
    </row>
    <row r="427" spans="1:4" x14ac:dyDescent="0.45">
      <c r="A427">
        <v>70</v>
      </c>
      <c r="B427" s="3">
        <f t="shared" ca="1" si="6"/>
        <v>3</v>
      </c>
      <c r="C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7" t="str">
        <f ca="1">IF(dict_zuord_Meth_Transfers[[#This Row],[kval_active]],dict_zuord_Meth_Transfers[[#This Row],[ID_Transfers]],"")</f>
        <v/>
      </c>
    </row>
    <row r="428" spans="1:4" x14ac:dyDescent="0.45">
      <c r="A428">
        <v>71</v>
      </c>
      <c r="B428">
        <f t="shared" ca="1" si="6"/>
        <v>182</v>
      </c>
      <c r="C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8" t="str">
        <f ca="1">IF(dict_zuord_Meth_Transfers[[#This Row],[kval_active]],dict_zuord_Meth_Transfers[[#This Row],[ID_Transfers]],"")</f>
        <v/>
      </c>
    </row>
    <row r="429" spans="1:4" x14ac:dyDescent="0.45">
      <c r="A429">
        <v>71</v>
      </c>
      <c r="B429">
        <f t="shared" ca="1" si="6"/>
        <v>34</v>
      </c>
      <c r="C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9" t="str">
        <f ca="1">IF(dict_zuord_Meth_Transfers[[#This Row],[kval_active]],dict_zuord_Meth_Transfers[[#This Row],[ID_Transfers]],"")</f>
        <v/>
      </c>
    </row>
    <row r="430" spans="1:4" x14ac:dyDescent="0.45">
      <c r="A430">
        <v>71</v>
      </c>
      <c r="B430" s="3">
        <f t="shared" ca="1" si="6"/>
        <v>135</v>
      </c>
      <c r="C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0" t="str">
        <f ca="1">IF(dict_zuord_Meth_Transfers[[#This Row],[kval_active]],dict_zuord_Meth_Transfers[[#This Row],[ID_Transfers]],"")</f>
        <v/>
      </c>
    </row>
    <row r="431" spans="1:4" x14ac:dyDescent="0.45">
      <c r="A431">
        <v>71</v>
      </c>
      <c r="B431" s="3">
        <f t="shared" ca="1" si="6"/>
        <v>49</v>
      </c>
      <c r="C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1" t="str">
        <f ca="1">IF(dict_zuord_Meth_Transfers[[#This Row],[kval_active]],dict_zuord_Meth_Transfers[[#This Row],[ID_Transfers]],"")</f>
        <v/>
      </c>
    </row>
    <row r="432" spans="1:4" x14ac:dyDescent="0.45">
      <c r="A432">
        <v>71</v>
      </c>
      <c r="B432" s="3">
        <f t="shared" ca="1" si="6"/>
        <v>174</v>
      </c>
      <c r="C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2" t="str">
        <f ca="1">IF(dict_zuord_Meth_Transfers[[#This Row],[kval_active]],dict_zuord_Meth_Transfers[[#This Row],[ID_Transfers]],"")</f>
        <v/>
      </c>
    </row>
    <row r="433" spans="1:4" x14ac:dyDescent="0.45">
      <c r="A433">
        <v>71</v>
      </c>
      <c r="B433">
        <f t="shared" ca="1" si="6"/>
        <v>101</v>
      </c>
      <c r="C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3" t="str">
        <f ca="1">IF(dict_zuord_Meth_Transfers[[#This Row],[kval_active]],dict_zuord_Meth_Transfers[[#This Row],[ID_Transfers]],"")</f>
        <v/>
      </c>
    </row>
    <row r="434" spans="1:4" x14ac:dyDescent="0.45">
      <c r="A434">
        <v>72</v>
      </c>
      <c r="B434">
        <f t="shared" ca="1" si="6"/>
        <v>44</v>
      </c>
      <c r="C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4" t="str">
        <f ca="1">IF(dict_zuord_Meth_Transfers[[#This Row],[kval_active]],dict_zuord_Meth_Transfers[[#This Row],[ID_Transfers]],"")</f>
        <v/>
      </c>
    </row>
    <row r="435" spans="1:4" x14ac:dyDescent="0.45">
      <c r="A435">
        <v>72</v>
      </c>
      <c r="B435" s="3">
        <f t="shared" ca="1" si="6"/>
        <v>129</v>
      </c>
      <c r="C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5" t="str">
        <f ca="1">IF(dict_zuord_Meth_Transfers[[#This Row],[kval_active]],dict_zuord_Meth_Transfers[[#This Row],[ID_Transfers]],"")</f>
        <v/>
      </c>
    </row>
    <row r="436" spans="1:4" x14ac:dyDescent="0.45">
      <c r="A436">
        <v>72</v>
      </c>
      <c r="B436">
        <f t="shared" ca="1" si="6"/>
        <v>176</v>
      </c>
      <c r="C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6" t="str">
        <f ca="1">IF(dict_zuord_Meth_Transfers[[#This Row],[kval_active]],dict_zuord_Meth_Transfers[[#This Row],[ID_Transfers]],"")</f>
        <v/>
      </c>
    </row>
    <row r="437" spans="1:4" x14ac:dyDescent="0.45">
      <c r="A437">
        <v>72</v>
      </c>
      <c r="B437">
        <f t="shared" ca="1" si="6"/>
        <v>47</v>
      </c>
      <c r="C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7" t="str">
        <f ca="1">IF(dict_zuord_Meth_Transfers[[#This Row],[kval_active]],dict_zuord_Meth_Transfers[[#This Row],[ID_Transfers]],"")</f>
        <v/>
      </c>
    </row>
    <row r="438" spans="1:4" x14ac:dyDescent="0.45">
      <c r="A438">
        <v>72</v>
      </c>
      <c r="B438" s="3">
        <f t="shared" ca="1" si="6"/>
        <v>200</v>
      </c>
      <c r="C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8" t="str">
        <f ca="1">IF(dict_zuord_Meth_Transfers[[#This Row],[kval_active]],dict_zuord_Meth_Transfers[[#This Row],[ID_Transfers]],"")</f>
        <v/>
      </c>
    </row>
    <row r="439" spans="1:4" x14ac:dyDescent="0.45">
      <c r="A439">
        <v>72</v>
      </c>
      <c r="B439" s="3">
        <f t="shared" ca="1" si="6"/>
        <v>61</v>
      </c>
      <c r="C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39" t="str">
        <f ca="1">IF(dict_zuord_Meth_Transfers[[#This Row],[kval_active]],dict_zuord_Meth_Transfers[[#This Row],[ID_Transfers]],"")</f>
        <v/>
      </c>
    </row>
    <row r="440" spans="1:4" x14ac:dyDescent="0.45">
      <c r="A440">
        <v>73</v>
      </c>
      <c r="B440" s="3">
        <f t="shared" ca="1" si="6"/>
        <v>4</v>
      </c>
      <c r="C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0" t="str">
        <f ca="1">IF(dict_zuord_Meth_Transfers[[#This Row],[kval_active]],dict_zuord_Meth_Transfers[[#This Row],[ID_Transfers]],"")</f>
        <v/>
      </c>
    </row>
    <row r="441" spans="1:4" x14ac:dyDescent="0.45">
      <c r="A441">
        <v>73</v>
      </c>
      <c r="B441">
        <f t="shared" ca="1" si="6"/>
        <v>64</v>
      </c>
      <c r="C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1" t="str">
        <f ca="1">IF(dict_zuord_Meth_Transfers[[#This Row],[kval_active]],dict_zuord_Meth_Transfers[[#This Row],[ID_Transfers]],"")</f>
        <v/>
      </c>
    </row>
    <row r="442" spans="1:4" x14ac:dyDescent="0.45">
      <c r="A442">
        <v>73</v>
      </c>
      <c r="B442" s="3">
        <f t="shared" ca="1" si="6"/>
        <v>172</v>
      </c>
      <c r="C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2" t="str">
        <f ca="1">IF(dict_zuord_Meth_Transfers[[#This Row],[kval_active]],dict_zuord_Meth_Transfers[[#This Row],[ID_Transfers]],"")</f>
        <v/>
      </c>
    </row>
    <row r="443" spans="1:4" x14ac:dyDescent="0.45">
      <c r="A443">
        <v>73</v>
      </c>
      <c r="B443">
        <f t="shared" ca="1" si="6"/>
        <v>74</v>
      </c>
      <c r="C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3" t="str">
        <f ca="1">IF(dict_zuord_Meth_Transfers[[#This Row],[kval_active]],dict_zuord_Meth_Transfers[[#This Row],[ID_Transfers]],"")</f>
        <v/>
      </c>
    </row>
    <row r="444" spans="1:4" x14ac:dyDescent="0.45">
      <c r="A444">
        <v>73</v>
      </c>
      <c r="B444">
        <f t="shared" ca="1" si="6"/>
        <v>85</v>
      </c>
      <c r="C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4" t="str">
        <f ca="1">IF(dict_zuord_Meth_Transfers[[#This Row],[kval_active]],dict_zuord_Meth_Transfers[[#This Row],[ID_Transfers]],"")</f>
        <v/>
      </c>
    </row>
    <row r="445" spans="1:4" x14ac:dyDescent="0.45">
      <c r="A445">
        <v>73</v>
      </c>
      <c r="B445" s="3">
        <f t="shared" ca="1" si="6"/>
        <v>26</v>
      </c>
      <c r="C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5" t="str">
        <f ca="1">IF(dict_zuord_Meth_Transfers[[#This Row],[kval_active]],dict_zuord_Meth_Transfers[[#This Row],[ID_Transfers]],"")</f>
        <v/>
      </c>
    </row>
    <row r="446" spans="1:4" x14ac:dyDescent="0.45">
      <c r="A446">
        <v>74</v>
      </c>
      <c r="B446" s="3">
        <f t="shared" ca="1" si="6"/>
        <v>70</v>
      </c>
      <c r="C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6" t="str">
        <f ca="1">IF(dict_zuord_Meth_Transfers[[#This Row],[kval_active]],dict_zuord_Meth_Transfers[[#This Row],[ID_Transfers]],"")</f>
        <v/>
      </c>
    </row>
    <row r="447" spans="1:4" x14ac:dyDescent="0.45">
      <c r="A447">
        <v>74</v>
      </c>
      <c r="B447">
        <f t="shared" ca="1" si="6"/>
        <v>65</v>
      </c>
      <c r="C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7" t="str">
        <f ca="1">IF(dict_zuord_Meth_Transfers[[#This Row],[kval_active]],dict_zuord_Meth_Transfers[[#This Row],[ID_Transfers]],"")</f>
        <v/>
      </c>
    </row>
    <row r="448" spans="1:4" x14ac:dyDescent="0.45">
      <c r="A448">
        <v>74</v>
      </c>
      <c r="B448" s="3">
        <f t="shared" ca="1" si="6"/>
        <v>189</v>
      </c>
      <c r="C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8" t="str">
        <f ca="1">IF(dict_zuord_Meth_Transfers[[#This Row],[kval_active]],dict_zuord_Meth_Transfers[[#This Row],[ID_Transfers]],"")</f>
        <v/>
      </c>
    </row>
    <row r="449" spans="1:4" x14ac:dyDescent="0.45">
      <c r="A449">
        <v>74</v>
      </c>
      <c r="B449">
        <f t="shared" ca="1" si="6"/>
        <v>17</v>
      </c>
      <c r="C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49" t="str">
        <f ca="1">IF(dict_zuord_Meth_Transfers[[#This Row],[kval_active]],dict_zuord_Meth_Transfers[[#This Row],[ID_Transfers]],"")</f>
        <v/>
      </c>
    </row>
    <row r="450" spans="1:4" x14ac:dyDescent="0.45">
      <c r="A450">
        <v>74</v>
      </c>
      <c r="B450">
        <f t="shared" ref="B450:B513" ca="1" si="7">RANDBETWEEN(0,200)</f>
        <v>73</v>
      </c>
      <c r="C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0" t="str">
        <f ca="1">IF(dict_zuord_Meth_Transfers[[#This Row],[kval_active]],dict_zuord_Meth_Transfers[[#This Row],[ID_Transfers]],"")</f>
        <v/>
      </c>
    </row>
    <row r="451" spans="1:4" x14ac:dyDescent="0.45">
      <c r="A451">
        <v>74</v>
      </c>
      <c r="B451" s="3">
        <f t="shared" ca="1" si="7"/>
        <v>5</v>
      </c>
      <c r="C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1" t="str">
        <f ca="1">IF(dict_zuord_Meth_Transfers[[#This Row],[kval_active]],dict_zuord_Meth_Transfers[[#This Row],[ID_Transfers]],"")</f>
        <v/>
      </c>
    </row>
    <row r="452" spans="1:4" x14ac:dyDescent="0.45">
      <c r="A452">
        <v>75</v>
      </c>
      <c r="B452">
        <f t="shared" ca="1" si="7"/>
        <v>93</v>
      </c>
      <c r="C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2" t="str">
        <f ca="1">IF(dict_zuord_Meth_Transfers[[#This Row],[kval_active]],dict_zuord_Meth_Transfers[[#This Row],[ID_Transfers]],"")</f>
        <v/>
      </c>
    </row>
    <row r="453" spans="1:4" x14ac:dyDescent="0.45">
      <c r="A453">
        <v>75</v>
      </c>
      <c r="B453" s="3">
        <f t="shared" ca="1" si="7"/>
        <v>111</v>
      </c>
      <c r="C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3" t="str">
        <f ca="1">IF(dict_zuord_Meth_Transfers[[#This Row],[kval_active]],dict_zuord_Meth_Transfers[[#This Row],[ID_Transfers]],"")</f>
        <v/>
      </c>
    </row>
    <row r="454" spans="1:4" x14ac:dyDescent="0.45">
      <c r="A454">
        <v>75</v>
      </c>
      <c r="B454">
        <f t="shared" ca="1" si="7"/>
        <v>106</v>
      </c>
      <c r="C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4" t="str">
        <f ca="1">IF(dict_zuord_Meth_Transfers[[#This Row],[kval_active]],dict_zuord_Meth_Transfers[[#This Row],[ID_Transfers]],"")</f>
        <v/>
      </c>
    </row>
    <row r="455" spans="1:4" x14ac:dyDescent="0.45">
      <c r="A455">
        <v>75</v>
      </c>
      <c r="B455" s="3">
        <f t="shared" ca="1" si="7"/>
        <v>33</v>
      </c>
      <c r="C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5" t="str">
        <f ca="1">IF(dict_zuord_Meth_Transfers[[#This Row],[kval_active]],dict_zuord_Meth_Transfers[[#This Row],[ID_Transfers]],"")</f>
        <v/>
      </c>
    </row>
    <row r="456" spans="1:4" x14ac:dyDescent="0.45">
      <c r="A456">
        <v>75</v>
      </c>
      <c r="B456">
        <f t="shared" ca="1" si="7"/>
        <v>108</v>
      </c>
      <c r="C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6" t="str">
        <f ca="1">IF(dict_zuord_Meth_Transfers[[#This Row],[kval_active]],dict_zuord_Meth_Transfers[[#This Row],[ID_Transfers]],"")</f>
        <v/>
      </c>
    </row>
    <row r="457" spans="1:4" x14ac:dyDescent="0.45">
      <c r="A457">
        <v>75</v>
      </c>
      <c r="B457" s="3">
        <f t="shared" ca="1" si="7"/>
        <v>173</v>
      </c>
      <c r="C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7" t="str">
        <f ca="1">IF(dict_zuord_Meth_Transfers[[#This Row],[kval_active]],dict_zuord_Meth_Transfers[[#This Row],[ID_Transfers]],"")</f>
        <v/>
      </c>
    </row>
    <row r="458" spans="1:4" x14ac:dyDescent="0.45">
      <c r="A458">
        <v>76</v>
      </c>
      <c r="B458">
        <f t="shared" ca="1" si="7"/>
        <v>139</v>
      </c>
      <c r="C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8" t="str">
        <f ca="1">IF(dict_zuord_Meth_Transfers[[#This Row],[kval_active]],dict_zuord_Meth_Transfers[[#This Row],[ID_Transfers]],"")</f>
        <v/>
      </c>
    </row>
    <row r="459" spans="1:4" x14ac:dyDescent="0.45">
      <c r="A459">
        <v>76</v>
      </c>
      <c r="B459" s="3">
        <f t="shared" ca="1" si="7"/>
        <v>151</v>
      </c>
      <c r="C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59" t="str">
        <f ca="1">IF(dict_zuord_Meth_Transfers[[#This Row],[kval_active]],dict_zuord_Meth_Transfers[[#This Row],[ID_Transfers]],"")</f>
        <v/>
      </c>
    </row>
    <row r="460" spans="1:4" x14ac:dyDescent="0.45">
      <c r="A460">
        <v>76</v>
      </c>
      <c r="B460" s="3">
        <f t="shared" ca="1" si="7"/>
        <v>66</v>
      </c>
      <c r="C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0" t="str">
        <f ca="1">IF(dict_zuord_Meth_Transfers[[#This Row],[kval_active]],dict_zuord_Meth_Transfers[[#This Row],[ID_Transfers]],"")</f>
        <v/>
      </c>
    </row>
    <row r="461" spans="1:4" x14ac:dyDescent="0.45">
      <c r="A461">
        <v>76</v>
      </c>
      <c r="B461" s="3">
        <f t="shared" ca="1" si="7"/>
        <v>133</v>
      </c>
      <c r="C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1" t="str">
        <f ca="1">IF(dict_zuord_Meth_Transfers[[#This Row],[kval_active]],dict_zuord_Meth_Transfers[[#This Row],[ID_Transfers]],"")</f>
        <v/>
      </c>
    </row>
    <row r="462" spans="1:4" x14ac:dyDescent="0.45">
      <c r="A462">
        <v>76</v>
      </c>
      <c r="B462">
        <f t="shared" ca="1" si="7"/>
        <v>52</v>
      </c>
      <c r="C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2" t="str">
        <f ca="1">IF(dict_zuord_Meth_Transfers[[#This Row],[kval_active]],dict_zuord_Meth_Transfers[[#This Row],[ID_Transfers]],"")</f>
        <v/>
      </c>
    </row>
    <row r="463" spans="1:4" x14ac:dyDescent="0.45">
      <c r="A463">
        <v>76</v>
      </c>
      <c r="B463">
        <f t="shared" ca="1" si="7"/>
        <v>123</v>
      </c>
      <c r="C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63" t="str">
        <f ca="1">IF(dict_zuord_Meth_Transfers[[#This Row],[kval_active]],dict_zuord_Meth_Transfers[[#This Row],[ID_Transfers]],"")</f>
        <v/>
      </c>
    </row>
    <row r="464" spans="1:4" x14ac:dyDescent="0.45">
      <c r="A464">
        <v>77</v>
      </c>
      <c r="B464">
        <f t="shared" ca="1" si="7"/>
        <v>89</v>
      </c>
      <c r="C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4">
        <f ca="1">IF(dict_zuord_Meth_Transfers[[#This Row],[kval_active]],dict_zuord_Meth_Transfers[[#This Row],[ID_Transfers]],"")</f>
        <v>89</v>
      </c>
    </row>
    <row r="465" spans="1:4" x14ac:dyDescent="0.45">
      <c r="A465">
        <v>77</v>
      </c>
      <c r="B465" s="3">
        <f t="shared" ca="1" si="7"/>
        <v>116</v>
      </c>
      <c r="C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5">
        <f ca="1">IF(dict_zuord_Meth_Transfers[[#This Row],[kval_active]],dict_zuord_Meth_Transfers[[#This Row],[ID_Transfers]],"")</f>
        <v>116</v>
      </c>
    </row>
    <row r="466" spans="1:4" x14ac:dyDescent="0.45">
      <c r="A466">
        <v>77</v>
      </c>
      <c r="B466" s="3">
        <f t="shared" ca="1" si="7"/>
        <v>111</v>
      </c>
      <c r="C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6">
        <f ca="1">IF(dict_zuord_Meth_Transfers[[#This Row],[kval_active]],dict_zuord_Meth_Transfers[[#This Row],[ID_Transfers]],"")</f>
        <v>111</v>
      </c>
    </row>
    <row r="467" spans="1:4" x14ac:dyDescent="0.45">
      <c r="A467">
        <v>77</v>
      </c>
      <c r="B467" s="3">
        <f t="shared" ca="1" si="7"/>
        <v>62</v>
      </c>
      <c r="C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7">
        <f ca="1">IF(dict_zuord_Meth_Transfers[[#This Row],[kval_active]],dict_zuord_Meth_Transfers[[#This Row],[ID_Transfers]],"")</f>
        <v>62</v>
      </c>
    </row>
    <row r="468" spans="1:4" x14ac:dyDescent="0.45">
      <c r="A468">
        <v>77</v>
      </c>
      <c r="B468">
        <f t="shared" ca="1" si="7"/>
        <v>53</v>
      </c>
      <c r="C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8">
        <f ca="1">IF(dict_zuord_Meth_Transfers[[#This Row],[kval_active]],dict_zuord_Meth_Transfers[[#This Row],[ID_Transfers]],"")</f>
        <v>53</v>
      </c>
    </row>
    <row r="469" spans="1:4" x14ac:dyDescent="0.45">
      <c r="A469">
        <v>77</v>
      </c>
      <c r="B469">
        <f t="shared" ca="1" si="7"/>
        <v>80</v>
      </c>
      <c r="C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69">
        <f ca="1">IF(dict_zuord_Meth_Transfers[[#This Row],[kval_active]],dict_zuord_Meth_Transfers[[#This Row],[ID_Transfers]],"")</f>
        <v>80</v>
      </c>
    </row>
    <row r="470" spans="1:4" x14ac:dyDescent="0.45">
      <c r="A470">
        <v>78</v>
      </c>
      <c r="B470" s="3">
        <f t="shared" ca="1" si="7"/>
        <v>45</v>
      </c>
      <c r="C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0" t="str">
        <f ca="1">IF(dict_zuord_Meth_Transfers[[#This Row],[kval_active]],dict_zuord_Meth_Transfers[[#This Row],[ID_Transfers]],"")</f>
        <v/>
      </c>
    </row>
    <row r="471" spans="1:4" x14ac:dyDescent="0.45">
      <c r="A471">
        <v>78</v>
      </c>
      <c r="B471">
        <f t="shared" ca="1" si="7"/>
        <v>0</v>
      </c>
      <c r="C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1" t="str">
        <f ca="1">IF(dict_zuord_Meth_Transfers[[#This Row],[kval_active]],dict_zuord_Meth_Transfers[[#This Row],[ID_Transfers]],"")</f>
        <v/>
      </c>
    </row>
    <row r="472" spans="1:4" x14ac:dyDescent="0.45">
      <c r="A472">
        <v>78</v>
      </c>
      <c r="B472">
        <f t="shared" ca="1" si="7"/>
        <v>108</v>
      </c>
      <c r="C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2" t="str">
        <f ca="1">IF(dict_zuord_Meth_Transfers[[#This Row],[kval_active]],dict_zuord_Meth_Transfers[[#This Row],[ID_Transfers]],"")</f>
        <v/>
      </c>
    </row>
    <row r="473" spans="1:4" x14ac:dyDescent="0.45">
      <c r="A473">
        <v>78</v>
      </c>
      <c r="B473" s="3">
        <f t="shared" ca="1" si="7"/>
        <v>34</v>
      </c>
      <c r="C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3" t="str">
        <f ca="1">IF(dict_zuord_Meth_Transfers[[#This Row],[kval_active]],dict_zuord_Meth_Transfers[[#This Row],[ID_Transfers]],"")</f>
        <v/>
      </c>
    </row>
    <row r="474" spans="1:4" x14ac:dyDescent="0.45">
      <c r="A474">
        <v>78</v>
      </c>
      <c r="B474">
        <f t="shared" ca="1" si="7"/>
        <v>111</v>
      </c>
      <c r="C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4" t="str">
        <f ca="1">IF(dict_zuord_Meth_Transfers[[#This Row],[kval_active]],dict_zuord_Meth_Transfers[[#This Row],[ID_Transfers]],"")</f>
        <v/>
      </c>
    </row>
    <row r="475" spans="1:4" x14ac:dyDescent="0.45">
      <c r="A475">
        <v>78</v>
      </c>
      <c r="B475" s="3">
        <f t="shared" ca="1" si="7"/>
        <v>92</v>
      </c>
      <c r="C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5" t="str">
        <f ca="1">IF(dict_zuord_Meth_Transfers[[#This Row],[kval_active]],dict_zuord_Meth_Transfers[[#This Row],[ID_Transfers]],"")</f>
        <v/>
      </c>
    </row>
    <row r="476" spans="1:4" x14ac:dyDescent="0.45">
      <c r="A476">
        <v>79</v>
      </c>
      <c r="B476">
        <f t="shared" ca="1" si="7"/>
        <v>110</v>
      </c>
      <c r="C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6" t="str">
        <f ca="1">IF(dict_zuord_Meth_Transfers[[#This Row],[kval_active]],dict_zuord_Meth_Transfers[[#This Row],[ID_Transfers]],"")</f>
        <v/>
      </c>
    </row>
    <row r="477" spans="1:4" x14ac:dyDescent="0.45">
      <c r="A477">
        <v>79</v>
      </c>
      <c r="B477" s="3">
        <f t="shared" ca="1" si="7"/>
        <v>119</v>
      </c>
      <c r="C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7" t="str">
        <f ca="1">IF(dict_zuord_Meth_Transfers[[#This Row],[kval_active]],dict_zuord_Meth_Transfers[[#This Row],[ID_Transfers]],"")</f>
        <v/>
      </c>
    </row>
    <row r="478" spans="1:4" x14ac:dyDescent="0.45">
      <c r="A478">
        <v>79</v>
      </c>
      <c r="B478">
        <f t="shared" ca="1" si="7"/>
        <v>35</v>
      </c>
      <c r="C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8" t="str">
        <f ca="1">IF(dict_zuord_Meth_Transfers[[#This Row],[kval_active]],dict_zuord_Meth_Transfers[[#This Row],[ID_Transfers]],"")</f>
        <v/>
      </c>
    </row>
    <row r="479" spans="1:4" x14ac:dyDescent="0.45">
      <c r="A479">
        <v>79</v>
      </c>
      <c r="B479" s="3">
        <f t="shared" ca="1" si="7"/>
        <v>108</v>
      </c>
      <c r="C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79" t="str">
        <f ca="1">IF(dict_zuord_Meth_Transfers[[#This Row],[kval_active]],dict_zuord_Meth_Transfers[[#This Row],[ID_Transfers]],"")</f>
        <v/>
      </c>
    </row>
    <row r="480" spans="1:4" x14ac:dyDescent="0.45">
      <c r="A480">
        <v>79</v>
      </c>
      <c r="B480" s="3">
        <f t="shared" ca="1" si="7"/>
        <v>58</v>
      </c>
      <c r="C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0" t="str">
        <f ca="1">IF(dict_zuord_Meth_Transfers[[#This Row],[kval_active]],dict_zuord_Meth_Transfers[[#This Row],[ID_Transfers]],"")</f>
        <v/>
      </c>
    </row>
    <row r="481" spans="1:4" x14ac:dyDescent="0.45">
      <c r="A481">
        <v>79</v>
      </c>
      <c r="B481">
        <f t="shared" ca="1" si="7"/>
        <v>25</v>
      </c>
      <c r="C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1" t="str">
        <f ca="1">IF(dict_zuord_Meth_Transfers[[#This Row],[kval_active]],dict_zuord_Meth_Transfers[[#This Row],[ID_Transfers]],"")</f>
        <v/>
      </c>
    </row>
    <row r="482" spans="1:4" x14ac:dyDescent="0.45">
      <c r="A482">
        <v>80</v>
      </c>
      <c r="B482">
        <f t="shared" ca="1" si="7"/>
        <v>137</v>
      </c>
      <c r="C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2">
        <f ca="1">IF(dict_zuord_Meth_Transfers[[#This Row],[kval_active]],dict_zuord_Meth_Transfers[[#This Row],[ID_Transfers]],"")</f>
        <v>137</v>
      </c>
    </row>
    <row r="483" spans="1:4" x14ac:dyDescent="0.45">
      <c r="A483">
        <v>80</v>
      </c>
      <c r="B483" s="3">
        <f t="shared" ca="1" si="7"/>
        <v>196</v>
      </c>
      <c r="C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3">
        <f ca="1">IF(dict_zuord_Meth_Transfers[[#This Row],[kval_active]],dict_zuord_Meth_Transfers[[#This Row],[ID_Transfers]],"")</f>
        <v>196</v>
      </c>
    </row>
    <row r="484" spans="1:4" x14ac:dyDescent="0.45">
      <c r="A484">
        <v>80</v>
      </c>
      <c r="B484">
        <f t="shared" ca="1" si="7"/>
        <v>56</v>
      </c>
      <c r="C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4">
        <f ca="1">IF(dict_zuord_Meth_Transfers[[#This Row],[kval_active]],dict_zuord_Meth_Transfers[[#This Row],[ID_Transfers]],"")</f>
        <v>56</v>
      </c>
    </row>
    <row r="485" spans="1:4" x14ac:dyDescent="0.45">
      <c r="A485">
        <v>80</v>
      </c>
      <c r="B485" s="3">
        <f t="shared" ca="1" si="7"/>
        <v>11</v>
      </c>
      <c r="C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5">
        <f ca="1">IF(dict_zuord_Meth_Transfers[[#This Row],[kval_active]],dict_zuord_Meth_Transfers[[#This Row],[ID_Transfers]],"")</f>
        <v>11</v>
      </c>
    </row>
    <row r="486" spans="1:4" x14ac:dyDescent="0.45">
      <c r="A486">
        <v>80</v>
      </c>
      <c r="B486" s="3">
        <f t="shared" ca="1" si="7"/>
        <v>189</v>
      </c>
      <c r="C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6">
        <f ca="1">IF(dict_zuord_Meth_Transfers[[#This Row],[kval_active]],dict_zuord_Meth_Transfers[[#This Row],[ID_Transfers]],"")</f>
        <v>189</v>
      </c>
    </row>
    <row r="487" spans="1:4" x14ac:dyDescent="0.45">
      <c r="A487">
        <v>80</v>
      </c>
      <c r="B487">
        <f t="shared" ca="1" si="7"/>
        <v>130</v>
      </c>
      <c r="C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87">
        <f ca="1">IF(dict_zuord_Meth_Transfers[[#This Row],[kval_active]],dict_zuord_Meth_Transfers[[#This Row],[ID_Transfers]],"")</f>
        <v>130</v>
      </c>
    </row>
    <row r="488" spans="1:4" x14ac:dyDescent="0.45">
      <c r="A488">
        <v>81</v>
      </c>
      <c r="B488" s="3">
        <f t="shared" ca="1" si="7"/>
        <v>37</v>
      </c>
      <c r="C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8" t="str">
        <f ca="1">IF(dict_zuord_Meth_Transfers[[#This Row],[kval_active]],dict_zuord_Meth_Transfers[[#This Row],[ID_Transfers]],"")</f>
        <v/>
      </c>
    </row>
    <row r="489" spans="1:4" x14ac:dyDescent="0.45">
      <c r="A489">
        <v>81</v>
      </c>
      <c r="B489">
        <f t="shared" ca="1" si="7"/>
        <v>56</v>
      </c>
      <c r="C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89" t="str">
        <f ca="1">IF(dict_zuord_Meth_Transfers[[#This Row],[kval_active]],dict_zuord_Meth_Transfers[[#This Row],[ID_Transfers]],"")</f>
        <v/>
      </c>
    </row>
    <row r="490" spans="1:4" x14ac:dyDescent="0.45">
      <c r="A490">
        <v>81</v>
      </c>
      <c r="B490" s="3">
        <f t="shared" ca="1" si="7"/>
        <v>13</v>
      </c>
      <c r="C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0" t="str">
        <f ca="1">IF(dict_zuord_Meth_Transfers[[#This Row],[kval_active]],dict_zuord_Meth_Transfers[[#This Row],[ID_Transfers]],"")</f>
        <v/>
      </c>
    </row>
    <row r="491" spans="1:4" x14ac:dyDescent="0.45">
      <c r="A491">
        <v>81</v>
      </c>
      <c r="B491">
        <f t="shared" ca="1" si="7"/>
        <v>42</v>
      </c>
      <c r="C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1" t="str">
        <f ca="1">IF(dict_zuord_Meth_Transfers[[#This Row],[kval_active]],dict_zuord_Meth_Transfers[[#This Row],[ID_Transfers]],"")</f>
        <v/>
      </c>
    </row>
    <row r="492" spans="1:4" x14ac:dyDescent="0.45">
      <c r="A492">
        <v>81</v>
      </c>
      <c r="B492">
        <f t="shared" ca="1" si="7"/>
        <v>97</v>
      </c>
      <c r="C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2" t="str">
        <f ca="1">IF(dict_zuord_Meth_Transfers[[#This Row],[kval_active]],dict_zuord_Meth_Transfers[[#This Row],[ID_Transfers]],"")</f>
        <v/>
      </c>
    </row>
    <row r="493" spans="1:4" x14ac:dyDescent="0.45">
      <c r="A493">
        <v>81</v>
      </c>
      <c r="B493" s="3">
        <f t="shared" ca="1" si="7"/>
        <v>96</v>
      </c>
      <c r="C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3" t="str">
        <f ca="1">IF(dict_zuord_Meth_Transfers[[#This Row],[kval_active]],dict_zuord_Meth_Transfers[[#This Row],[ID_Transfers]],"")</f>
        <v/>
      </c>
    </row>
    <row r="494" spans="1:4" x14ac:dyDescent="0.45">
      <c r="A494">
        <v>82</v>
      </c>
      <c r="B494" s="3">
        <f t="shared" ca="1" si="7"/>
        <v>45</v>
      </c>
      <c r="C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4" t="str">
        <f ca="1">IF(dict_zuord_Meth_Transfers[[#This Row],[kval_active]],dict_zuord_Meth_Transfers[[#This Row],[ID_Transfers]],"")</f>
        <v/>
      </c>
    </row>
    <row r="495" spans="1:4" x14ac:dyDescent="0.45">
      <c r="A495">
        <v>82</v>
      </c>
      <c r="B495">
        <f t="shared" ca="1" si="7"/>
        <v>112</v>
      </c>
      <c r="C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5" t="str">
        <f ca="1">IF(dict_zuord_Meth_Transfers[[#This Row],[kval_active]],dict_zuord_Meth_Transfers[[#This Row],[ID_Transfers]],"")</f>
        <v/>
      </c>
    </row>
    <row r="496" spans="1:4" x14ac:dyDescent="0.45">
      <c r="A496">
        <v>82</v>
      </c>
      <c r="B496" s="3">
        <f t="shared" ca="1" si="7"/>
        <v>145</v>
      </c>
      <c r="C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6" t="str">
        <f ca="1">IF(dict_zuord_Meth_Transfers[[#This Row],[kval_active]],dict_zuord_Meth_Transfers[[#This Row],[ID_Transfers]],"")</f>
        <v/>
      </c>
    </row>
    <row r="497" spans="1:4" x14ac:dyDescent="0.45">
      <c r="A497">
        <v>82</v>
      </c>
      <c r="B497">
        <f t="shared" ca="1" si="7"/>
        <v>110</v>
      </c>
      <c r="C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7" t="str">
        <f ca="1">IF(dict_zuord_Meth_Transfers[[#This Row],[kval_active]],dict_zuord_Meth_Transfers[[#This Row],[ID_Transfers]],"")</f>
        <v/>
      </c>
    </row>
    <row r="498" spans="1:4" x14ac:dyDescent="0.45">
      <c r="A498">
        <v>82</v>
      </c>
      <c r="B498" s="3">
        <f t="shared" ca="1" si="7"/>
        <v>49</v>
      </c>
      <c r="C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8" t="str">
        <f ca="1">IF(dict_zuord_Meth_Transfers[[#This Row],[kval_active]],dict_zuord_Meth_Transfers[[#This Row],[ID_Transfers]],"")</f>
        <v/>
      </c>
    </row>
    <row r="499" spans="1:4" x14ac:dyDescent="0.45">
      <c r="A499">
        <v>82</v>
      </c>
      <c r="B499">
        <f t="shared" ca="1" si="7"/>
        <v>173</v>
      </c>
      <c r="C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99" t="str">
        <f ca="1">IF(dict_zuord_Meth_Transfers[[#This Row],[kval_active]],dict_zuord_Meth_Transfers[[#This Row],[ID_Transfers]],"")</f>
        <v/>
      </c>
    </row>
    <row r="500" spans="1:4" x14ac:dyDescent="0.45">
      <c r="A500">
        <v>83</v>
      </c>
      <c r="B500">
        <f t="shared" ca="1" si="7"/>
        <v>155</v>
      </c>
      <c r="C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0" t="str">
        <f ca="1">IF(dict_zuord_Meth_Transfers[[#This Row],[kval_active]],dict_zuord_Meth_Transfers[[#This Row],[ID_Transfers]],"")</f>
        <v/>
      </c>
    </row>
    <row r="501" spans="1:4" x14ac:dyDescent="0.45">
      <c r="A501">
        <v>83</v>
      </c>
      <c r="B501" s="3">
        <f t="shared" ca="1" si="7"/>
        <v>124</v>
      </c>
      <c r="C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1" t="str">
        <f ca="1">IF(dict_zuord_Meth_Transfers[[#This Row],[kval_active]],dict_zuord_Meth_Transfers[[#This Row],[ID_Transfers]],"")</f>
        <v/>
      </c>
    </row>
    <row r="502" spans="1:4" x14ac:dyDescent="0.45">
      <c r="A502">
        <v>83</v>
      </c>
      <c r="B502">
        <f t="shared" ca="1" si="7"/>
        <v>21</v>
      </c>
      <c r="C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2" t="str">
        <f ca="1">IF(dict_zuord_Meth_Transfers[[#This Row],[kval_active]],dict_zuord_Meth_Transfers[[#This Row],[ID_Transfers]],"")</f>
        <v/>
      </c>
    </row>
    <row r="503" spans="1:4" x14ac:dyDescent="0.45">
      <c r="A503">
        <v>83</v>
      </c>
      <c r="B503" s="3">
        <f t="shared" ca="1" si="7"/>
        <v>127</v>
      </c>
      <c r="C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3" t="str">
        <f ca="1">IF(dict_zuord_Meth_Transfers[[#This Row],[kval_active]],dict_zuord_Meth_Transfers[[#This Row],[ID_Transfers]],"")</f>
        <v/>
      </c>
    </row>
    <row r="504" spans="1:4" x14ac:dyDescent="0.45">
      <c r="A504">
        <v>83</v>
      </c>
      <c r="B504">
        <f t="shared" ca="1" si="7"/>
        <v>147</v>
      </c>
      <c r="C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4" t="str">
        <f ca="1">IF(dict_zuord_Meth_Transfers[[#This Row],[kval_active]],dict_zuord_Meth_Transfers[[#This Row],[ID_Transfers]],"")</f>
        <v/>
      </c>
    </row>
    <row r="505" spans="1:4" x14ac:dyDescent="0.45">
      <c r="A505">
        <v>83</v>
      </c>
      <c r="B505" s="3">
        <f t="shared" ca="1" si="7"/>
        <v>150</v>
      </c>
      <c r="C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5" t="str">
        <f ca="1">IF(dict_zuord_Meth_Transfers[[#This Row],[kval_active]],dict_zuord_Meth_Transfers[[#This Row],[ID_Transfers]],"")</f>
        <v/>
      </c>
    </row>
    <row r="506" spans="1:4" x14ac:dyDescent="0.45">
      <c r="A506">
        <v>84</v>
      </c>
      <c r="B506">
        <f t="shared" ca="1" si="7"/>
        <v>116</v>
      </c>
      <c r="C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6" t="str">
        <f ca="1">IF(dict_zuord_Meth_Transfers[[#This Row],[kval_active]],dict_zuord_Meth_Transfers[[#This Row],[ID_Transfers]],"")</f>
        <v/>
      </c>
    </row>
    <row r="507" spans="1:4" x14ac:dyDescent="0.45">
      <c r="A507">
        <v>84</v>
      </c>
      <c r="B507" s="3">
        <f t="shared" ca="1" si="7"/>
        <v>8</v>
      </c>
      <c r="C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7" t="str">
        <f ca="1">IF(dict_zuord_Meth_Transfers[[#This Row],[kval_active]],dict_zuord_Meth_Transfers[[#This Row],[ID_Transfers]],"")</f>
        <v/>
      </c>
    </row>
    <row r="508" spans="1:4" x14ac:dyDescent="0.45">
      <c r="A508">
        <v>84</v>
      </c>
      <c r="B508">
        <f t="shared" ca="1" si="7"/>
        <v>103</v>
      </c>
      <c r="C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8" t="str">
        <f ca="1">IF(dict_zuord_Meth_Transfers[[#This Row],[kval_active]],dict_zuord_Meth_Transfers[[#This Row],[ID_Transfers]],"")</f>
        <v/>
      </c>
    </row>
    <row r="509" spans="1:4" x14ac:dyDescent="0.45">
      <c r="A509">
        <v>84</v>
      </c>
      <c r="B509">
        <f t="shared" ca="1" si="7"/>
        <v>39</v>
      </c>
      <c r="C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09" t="str">
        <f ca="1">IF(dict_zuord_Meth_Transfers[[#This Row],[kval_active]],dict_zuord_Meth_Transfers[[#This Row],[ID_Transfers]],"")</f>
        <v/>
      </c>
    </row>
    <row r="510" spans="1:4" x14ac:dyDescent="0.45">
      <c r="A510">
        <v>84</v>
      </c>
      <c r="B510" s="3">
        <f t="shared" ca="1" si="7"/>
        <v>36</v>
      </c>
      <c r="C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0" t="str">
        <f ca="1">IF(dict_zuord_Meth_Transfers[[#This Row],[kval_active]],dict_zuord_Meth_Transfers[[#This Row],[ID_Transfers]],"")</f>
        <v/>
      </c>
    </row>
    <row r="511" spans="1:4" x14ac:dyDescent="0.45">
      <c r="A511">
        <v>84</v>
      </c>
      <c r="B511" s="3">
        <f t="shared" ca="1" si="7"/>
        <v>108</v>
      </c>
      <c r="C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1" t="str">
        <f ca="1">IF(dict_zuord_Meth_Transfers[[#This Row],[kval_active]],dict_zuord_Meth_Transfers[[#This Row],[ID_Transfers]],"")</f>
        <v/>
      </c>
    </row>
    <row r="512" spans="1:4" x14ac:dyDescent="0.45">
      <c r="A512">
        <v>85</v>
      </c>
      <c r="B512">
        <f t="shared" ca="1" si="7"/>
        <v>105</v>
      </c>
      <c r="C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2" t="str">
        <f ca="1">IF(dict_zuord_Meth_Transfers[[#This Row],[kval_active]],dict_zuord_Meth_Transfers[[#This Row],[ID_Transfers]],"")</f>
        <v/>
      </c>
    </row>
    <row r="513" spans="1:4" x14ac:dyDescent="0.45">
      <c r="A513">
        <v>85</v>
      </c>
      <c r="B513" s="3">
        <f t="shared" ca="1" si="7"/>
        <v>19</v>
      </c>
      <c r="C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3" t="str">
        <f ca="1">IF(dict_zuord_Meth_Transfers[[#This Row],[kval_active]],dict_zuord_Meth_Transfers[[#This Row],[ID_Transfers]],"")</f>
        <v/>
      </c>
    </row>
    <row r="514" spans="1:4" x14ac:dyDescent="0.45">
      <c r="A514">
        <v>85</v>
      </c>
      <c r="B514">
        <f t="shared" ref="B514:B577" ca="1" si="8">RANDBETWEEN(0,200)</f>
        <v>137</v>
      </c>
      <c r="C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4" t="str">
        <f ca="1">IF(dict_zuord_Meth_Transfers[[#This Row],[kval_active]],dict_zuord_Meth_Transfers[[#This Row],[ID_Transfers]],"")</f>
        <v/>
      </c>
    </row>
    <row r="515" spans="1:4" x14ac:dyDescent="0.45">
      <c r="A515">
        <v>85</v>
      </c>
      <c r="B515">
        <f t="shared" ca="1" si="8"/>
        <v>40</v>
      </c>
      <c r="C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5" t="str">
        <f ca="1">IF(dict_zuord_Meth_Transfers[[#This Row],[kval_active]],dict_zuord_Meth_Transfers[[#This Row],[ID_Transfers]],"")</f>
        <v/>
      </c>
    </row>
    <row r="516" spans="1:4" x14ac:dyDescent="0.45">
      <c r="A516">
        <v>85</v>
      </c>
      <c r="B516" s="3">
        <f t="shared" ca="1" si="8"/>
        <v>139</v>
      </c>
      <c r="C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6" t="str">
        <f ca="1">IF(dict_zuord_Meth_Transfers[[#This Row],[kval_active]],dict_zuord_Meth_Transfers[[#This Row],[ID_Transfers]],"")</f>
        <v/>
      </c>
    </row>
    <row r="517" spans="1:4" x14ac:dyDescent="0.45">
      <c r="A517">
        <v>85</v>
      </c>
      <c r="B517" s="3">
        <f t="shared" ca="1" si="8"/>
        <v>23</v>
      </c>
      <c r="C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7" t="str">
        <f ca="1">IF(dict_zuord_Meth_Transfers[[#This Row],[kval_active]],dict_zuord_Meth_Transfers[[#This Row],[ID_Transfers]],"")</f>
        <v/>
      </c>
    </row>
    <row r="518" spans="1:4" x14ac:dyDescent="0.45">
      <c r="A518">
        <v>86</v>
      </c>
      <c r="B518">
        <f t="shared" ca="1" si="8"/>
        <v>102</v>
      </c>
      <c r="C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8" t="str">
        <f ca="1">IF(dict_zuord_Meth_Transfers[[#This Row],[kval_active]],dict_zuord_Meth_Transfers[[#This Row],[ID_Transfers]],"")</f>
        <v/>
      </c>
    </row>
    <row r="519" spans="1:4" x14ac:dyDescent="0.45">
      <c r="A519">
        <v>86</v>
      </c>
      <c r="B519" s="3">
        <f t="shared" ca="1" si="8"/>
        <v>59</v>
      </c>
      <c r="C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19" t="str">
        <f ca="1">IF(dict_zuord_Meth_Transfers[[#This Row],[kval_active]],dict_zuord_Meth_Transfers[[#This Row],[ID_Transfers]],"")</f>
        <v/>
      </c>
    </row>
    <row r="520" spans="1:4" x14ac:dyDescent="0.45">
      <c r="A520">
        <v>86</v>
      </c>
      <c r="B520" s="3">
        <f t="shared" ca="1" si="8"/>
        <v>160</v>
      </c>
      <c r="C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0" t="str">
        <f ca="1">IF(dict_zuord_Meth_Transfers[[#This Row],[kval_active]],dict_zuord_Meth_Transfers[[#This Row],[ID_Transfers]],"")</f>
        <v/>
      </c>
    </row>
    <row r="521" spans="1:4" x14ac:dyDescent="0.45">
      <c r="A521">
        <v>86</v>
      </c>
      <c r="B521">
        <f t="shared" ca="1" si="8"/>
        <v>78</v>
      </c>
      <c r="C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1" t="str">
        <f ca="1">IF(dict_zuord_Meth_Transfers[[#This Row],[kval_active]],dict_zuord_Meth_Transfers[[#This Row],[ID_Transfers]],"")</f>
        <v/>
      </c>
    </row>
    <row r="522" spans="1:4" x14ac:dyDescent="0.45">
      <c r="A522">
        <v>86</v>
      </c>
      <c r="B522">
        <f t="shared" ca="1" si="8"/>
        <v>125</v>
      </c>
      <c r="C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2" t="str">
        <f ca="1">IF(dict_zuord_Meth_Transfers[[#This Row],[kval_active]],dict_zuord_Meth_Transfers[[#This Row],[ID_Transfers]],"")</f>
        <v/>
      </c>
    </row>
    <row r="523" spans="1:4" x14ac:dyDescent="0.45">
      <c r="A523">
        <v>86</v>
      </c>
      <c r="B523" s="3">
        <f t="shared" ca="1" si="8"/>
        <v>81</v>
      </c>
      <c r="C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23" t="str">
        <f ca="1">IF(dict_zuord_Meth_Transfers[[#This Row],[kval_active]],dict_zuord_Meth_Transfers[[#This Row],[ID_Transfers]],"")</f>
        <v/>
      </c>
    </row>
    <row r="524" spans="1:4" x14ac:dyDescent="0.45">
      <c r="A524">
        <v>87</v>
      </c>
      <c r="B524" s="3">
        <f t="shared" ca="1" si="8"/>
        <v>0</v>
      </c>
      <c r="C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4">
        <f ca="1">IF(dict_zuord_Meth_Transfers[[#This Row],[kval_active]],dict_zuord_Meth_Transfers[[#This Row],[ID_Transfers]],"")</f>
        <v>0</v>
      </c>
    </row>
    <row r="525" spans="1:4" x14ac:dyDescent="0.45">
      <c r="A525">
        <v>87</v>
      </c>
      <c r="B525">
        <f t="shared" ca="1" si="8"/>
        <v>74</v>
      </c>
      <c r="C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5">
        <f ca="1">IF(dict_zuord_Meth_Transfers[[#This Row],[kval_active]],dict_zuord_Meth_Transfers[[#This Row],[ID_Transfers]],"")</f>
        <v>74</v>
      </c>
    </row>
    <row r="526" spans="1:4" x14ac:dyDescent="0.45">
      <c r="A526">
        <v>87</v>
      </c>
      <c r="B526" s="3">
        <f t="shared" ca="1" si="8"/>
        <v>69</v>
      </c>
      <c r="C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6">
        <f ca="1">IF(dict_zuord_Meth_Transfers[[#This Row],[kval_active]],dict_zuord_Meth_Transfers[[#This Row],[ID_Transfers]],"")</f>
        <v>69</v>
      </c>
    </row>
    <row r="527" spans="1:4" x14ac:dyDescent="0.45">
      <c r="A527">
        <v>87</v>
      </c>
      <c r="B527" s="3">
        <f t="shared" ca="1" si="8"/>
        <v>89</v>
      </c>
      <c r="C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7">
        <f ca="1">IF(dict_zuord_Meth_Transfers[[#This Row],[kval_active]],dict_zuord_Meth_Transfers[[#This Row],[ID_Transfers]],"")</f>
        <v>89</v>
      </c>
    </row>
    <row r="528" spans="1:4" x14ac:dyDescent="0.45">
      <c r="A528">
        <v>87</v>
      </c>
      <c r="B528">
        <f t="shared" ca="1" si="8"/>
        <v>136</v>
      </c>
      <c r="C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8">
        <f ca="1">IF(dict_zuord_Meth_Transfers[[#This Row],[kval_active]],dict_zuord_Meth_Transfers[[#This Row],[ID_Transfers]],"")</f>
        <v>136</v>
      </c>
    </row>
    <row r="529" spans="1:4" x14ac:dyDescent="0.45">
      <c r="A529">
        <v>87</v>
      </c>
      <c r="B529">
        <f t="shared" ca="1" si="8"/>
        <v>131</v>
      </c>
      <c r="C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529">
        <f ca="1">IF(dict_zuord_Meth_Transfers[[#This Row],[kval_active]],dict_zuord_Meth_Transfers[[#This Row],[ID_Transfers]],"")</f>
        <v>131</v>
      </c>
    </row>
    <row r="530" spans="1:4" x14ac:dyDescent="0.45">
      <c r="A530">
        <v>88</v>
      </c>
      <c r="B530">
        <f t="shared" ca="1" si="8"/>
        <v>99</v>
      </c>
      <c r="C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0" t="str">
        <f ca="1">IF(dict_zuord_Meth_Transfers[[#This Row],[kval_active]],dict_zuord_Meth_Transfers[[#This Row],[ID_Transfers]],"")</f>
        <v/>
      </c>
    </row>
    <row r="531" spans="1:4" x14ac:dyDescent="0.45">
      <c r="A531">
        <v>88</v>
      </c>
      <c r="B531" s="3">
        <f t="shared" ca="1" si="8"/>
        <v>117</v>
      </c>
      <c r="C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1" t="str">
        <f ca="1">IF(dict_zuord_Meth_Transfers[[#This Row],[kval_active]],dict_zuord_Meth_Transfers[[#This Row],[ID_Transfers]],"")</f>
        <v/>
      </c>
    </row>
    <row r="532" spans="1:4" x14ac:dyDescent="0.45">
      <c r="A532">
        <v>88</v>
      </c>
      <c r="B532">
        <f t="shared" ca="1" si="8"/>
        <v>89</v>
      </c>
      <c r="C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2" t="str">
        <f ca="1">IF(dict_zuord_Meth_Transfers[[#This Row],[kval_active]],dict_zuord_Meth_Transfers[[#This Row],[ID_Transfers]],"")</f>
        <v/>
      </c>
    </row>
    <row r="533" spans="1:4" x14ac:dyDescent="0.45">
      <c r="A533">
        <v>88</v>
      </c>
      <c r="B533">
        <f t="shared" ca="1" si="8"/>
        <v>2</v>
      </c>
      <c r="C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3" t="str">
        <f ca="1">IF(dict_zuord_Meth_Transfers[[#This Row],[kval_active]],dict_zuord_Meth_Transfers[[#This Row],[ID_Transfers]],"")</f>
        <v/>
      </c>
    </row>
    <row r="534" spans="1:4" x14ac:dyDescent="0.45">
      <c r="A534">
        <v>88</v>
      </c>
      <c r="B534" s="3">
        <f t="shared" ca="1" si="8"/>
        <v>50</v>
      </c>
      <c r="C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4" t="str">
        <f ca="1">IF(dict_zuord_Meth_Transfers[[#This Row],[kval_active]],dict_zuord_Meth_Transfers[[#This Row],[ID_Transfers]],"")</f>
        <v/>
      </c>
    </row>
    <row r="535" spans="1:4" x14ac:dyDescent="0.45">
      <c r="A535">
        <v>88</v>
      </c>
      <c r="B535" s="3">
        <f t="shared" ca="1" si="8"/>
        <v>7</v>
      </c>
      <c r="C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5" t="str">
        <f ca="1">IF(dict_zuord_Meth_Transfers[[#This Row],[kval_active]],dict_zuord_Meth_Transfers[[#This Row],[ID_Transfers]],"")</f>
        <v/>
      </c>
    </row>
    <row r="536" spans="1:4" x14ac:dyDescent="0.45">
      <c r="A536">
        <v>89</v>
      </c>
      <c r="B536" s="3">
        <f t="shared" ca="1" si="8"/>
        <v>121</v>
      </c>
      <c r="C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6" t="str">
        <f ca="1">IF(dict_zuord_Meth_Transfers[[#This Row],[kval_active]],dict_zuord_Meth_Transfers[[#This Row],[ID_Transfers]],"")</f>
        <v/>
      </c>
    </row>
    <row r="537" spans="1:4" x14ac:dyDescent="0.45">
      <c r="A537">
        <v>89</v>
      </c>
      <c r="B537" s="3">
        <f t="shared" ca="1" si="8"/>
        <v>1</v>
      </c>
      <c r="C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7" t="str">
        <f ca="1">IF(dict_zuord_Meth_Transfers[[#This Row],[kval_active]],dict_zuord_Meth_Transfers[[#This Row],[ID_Transfers]],"")</f>
        <v/>
      </c>
    </row>
    <row r="538" spans="1:4" x14ac:dyDescent="0.45">
      <c r="A538">
        <v>89</v>
      </c>
      <c r="B538">
        <f t="shared" ca="1" si="8"/>
        <v>176</v>
      </c>
      <c r="C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8" t="str">
        <f ca="1">IF(dict_zuord_Meth_Transfers[[#This Row],[kval_active]],dict_zuord_Meth_Transfers[[#This Row],[ID_Transfers]],"")</f>
        <v/>
      </c>
    </row>
    <row r="539" spans="1:4" x14ac:dyDescent="0.45">
      <c r="A539">
        <v>89</v>
      </c>
      <c r="B539">
        <f t="shared" ca="1" si="8"/>
        <v>110</v>
      </c>
      <c r="C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39" t="str">
        <f ca="1">IF(dict_zuord_Meth_Transfers[[#This Row],[kval_active]],dict_zuord_Meth_Transfers[[#This Row],[ID_Transfers]],"")</f>
        <v/>
      </c>
    </row>
    <row r="540" spans="1:4" x14ac:dyDescent="0.45">
      <c r="A540">
        <v>89</v>
      </c>
      <c r="B540">
        <f t="shared" ca="1" si="8"/>
        <v>200</v>
      </c>
      <c r="C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0" t="str">
        <f ca="1">IF(dict_zuord_Meth_Transfers[[#This Row],[kval_active]],dict_zuord_Meth_Transfers[[#This Row],[ID_Transfers]],"")</f>
        <v/>
      </c>
    </row>
    <row r="541" spans="1:4" x14ac:dyDescent="0.45">
      <c r="A541">
        <v>89</v>
      </c>
      <c r="B541" s="3">
        <f t="shared" ca="1" si="8"/>
        <v>161</v>
      </c>
      <c r="C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1" t="str">
        <f ca="1">IF(dict_zuord_Meth_Transfers[[#This Row],[kval_active]],dict_zuord_Meth_Transfers[[#This Row],[ID_Transfers]],"")</f>
        <v/>
      </c>
    </row>
    <row r="542" spans="1:4" x14ac:dyDescent="0.45">
      <c r="A542">
        <v>90</v>
      </c>
      <c r="B542">
        <f t="shared" ca="1" si="8"/>
        <v>24</v>
      </c>
      <c r="C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2" t="str">
        <f ca="1">IF(dict_zuord_Meth_Transfers[[#This Row],[kval_active]],dict_zuord_Meth_Transfers[[#This Row],[ID_Transfers]],"")</f>
        <v/>
      </c>
    </row>
    <row r="543" spans="1:4" x14ac:dyDescent="0.45">
      <c r="A543">
        <v>90</v>
      </c>
      <c r="B543" s="3">
        <f t="shared" ca="1" si="8"/>
        <v>132</v>
      </c>
      <c r="C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3" t="str">
        <f ca="1">IF(dict_zuord_Meth_Transfers[[#This Row],[kval_active]],dict_zuord_Meth_Transfers[[#This Row],[ID_Transfers]],"")</f>
        <v/>
      </c>
    </row>
    <row r="544" spans="1:4" x14ac:dyDescent="0.45">
      <c r="A544">
        <v>90</v>
      </c>
      <c r="B544">
        <f t="shared" ca="1" si="8"/>
        <v>95</v>
      </c>
      <c r="C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4" t="str">
        <f ca="1">IF(dict_zuord_Meth_Transfers[[#This Row],[kval_active]],dict_zuord_Meth_Transfers[[#This Row],[ID_Transfers]],"")</f>
        <v/>
      </c>
    </row>
    <row r="545" spans="1:4" x14ac:dyDescent="0.45">
      <c r="A545">
        <v>90</v>
      </c>
      <c r="B545" s="3">
        <f t="shared" ca="1" si="8"/>
        <v>178</v>
      </c>
      <c r="C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5" t="str">
        <f ca="1">IF(dict_zuord_Meth_Transfers[[#This Row],[kval_active]],dict_zuord_Meth_Transfers[[#This Row],[ID_Transfers]],"")</f>
        <v/>
      </c>
    </row>
    <row r="546" spans="1:4" x14ac:dyDescent="0.45">
      <c r="A546">
        <v>90</v>
      </c>
      <c r="B546" s="3">
        <f t="shared" ca="1" si="8"/>
        <v>91</v>
      </c>
      <c r="C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6" t="str">
        <f ca="1">IF(dict_zuord_Meth_Transfers[[#This Row],[kval_active]],dict_zuord_Meth_Transfers[[#This Row],[ID_Transfers]],"")</f>
        <v/>
      </c>
    </row>
    <row r="547" spans="1:4" x14ac:dyDescent="0.45">
      <c r="A547">
        <v>90</v>
      </c>
      <c r="B547">
        <f t="shared" ca="1" si="8"/>
        <v>178</v>
      </c>
      <c r="C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7" t="str">
        <f ca="1">IF(dict_zuord_Meth_Transfers[[#This Row],[kval_active]],dict_zuord_Meth_Transfers[[#This Row],[ID_Transfers]],"")</f>
        <v/>
      </c>
    </row>
    <row r="548" spans="1:4" x14ac:dyDescent="0.45">
      <c r="A548">
        <v>91</v>
      </c>
      <c r="B548">
        <f t="shared" ca="1" si="8"/>
        <v>68</v>
      </c>
      <c r="C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8" t="str">
        <f ca="1">IF(dict_zuord_Meth_Transfers[[#This Row],[kval_active]],dict_zuord_Meth_Transfers[[#This Row],[ID_Transfers]],"")</f>
        <v/>
      </c>
    </row>
    <row r="549" spans="1:4" x14ac:dyDescent="0.45">
      <c r="A549">
        <v>91</v>
      </c>
      <c r="B549" s="3">
        <f t="shared" ca="1" si="8"/>
        <v>109</v>
      </c>
      <c r="C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49" t="str">
        <f ca="1">IF(dict_zuord_Meth_Transfers[[#This Row],[kval_active]],dict_zuord_Meth_Transfers[[#This Row],[ID_Transfers]],"")</f>
        <v/>
      </c>
    </row>
    <row r="550" spans="1:4" x14ac:dyDescent="0.45">
      <c r="A550">
        <v>91</v>
      </c>
      <c r="B550" s="3">
        <f t="shared" ca="1" si="8"/>
        <v>29</v>
      </c>
      <c r="C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0" t="str">
        <f ca="1">IF(dict_zuord_Meth_Transfers[[#This Row],[kval_active]],dict_zuord_Meth_Transfers[[#This Row],[ID_Transfers]],"")</f>
        <v/>
      </c>
    </row>
    <row r="551" spans="1:4" x14ac:dyDescent="0.45">
      <c r="A551">
        <v>91</v>
      </c>
      <c r="B551">
        <f t="shared" ca="1" si="8"/>
        <v>132</v>
      </c>
      <c r="C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1" t="str">
        <f ca="1">IF(dict_zuord_Meth_Transfers[[#This Row],[kval_active]],dict_zuord_Meth_Transfers[[#This Row],[ID_Transfers]],"")</f>
        <v/>
      </c>
    </row>
    <row r="552" spans="1:4" x14ac:dyDescent="0.45">
      <c r="A552">
        <v>91</v>
      </c>
      <c r="B552">
        <f t="shared" ca="1" si="8"/>
        <v>98</v>
      </c>
      <c r="C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2" t="str">
        <f ca="1">IF(dict_zuord_Meth_Transfers[[#This Row],[kval_active]],dict_zuord_Meth_Transfers[[#This Row],[ID_Transfers]],"")</f>
        <v/>
      </c>
    </row>
    <row r="553" spans="1:4" x14ac:dyDescent="0.45">
      <c r="A553">
        <v>91</v>
      </c>
      <c r="B553" s="3">
        <f t="shared" ca="1" si="8"/>
        <v>194</v>
      </c>
      <c r="C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3" t="str">
        <f ca="1">IF(dict_zuord_Meth_Transfers[[#This Row],[kval_active]],dict_zuord_Meth_Transfers[[#This Row],[ID_Transfers]],"")</f>
        <v/>
      </c>
    </row>
    <row r="554" spans="1:4" x14ac:dyDescent="0.45">
      <c r="A554">
        <v>92</v>
      </c>
      <c r="B554">
        <f t="shared" ca="1" si="8"/>
        <v>188</v>
      </c>
      <c r="C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4" t="str">
        <f ca="1">IF(dict_zuord_Meth_Transfers[[#This Row],[kval_active]],dict_zuord_Meth_Transfers[[#This Row],[ID_Transfers]],"")</f>
        <v/>
      </c>
    </row>
    <row r="555" spans="1:4" x14ac:dyDescent="0.45">
      <c r="A555">
        <v>92</v>
      </c>
      <c r="B555">
        <f t="shared" ca="1" si="8"/>
        <v>1</v>
      </c>
      <c r="C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5" t="str">
        <f ca="1">IF(dict_zuord_Meth_Transfers[[#This Row],[kval_active]],dict_zuord_Meth_Transfers[[#This Row],[ID_Transfers]],"")</f>
        <v/>
      </c>
    </row>
    <row r="556" spans="1:4" x14ac:dyDescent="0.45">
      <c r="A556">
        <v>92</v>
      </c>
      <c r="B556" s="3">
        <f t="shared" ca="1" si="8"/>
        <v>14</v>
      </c>
      <c r="C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6" t="str">
        <f ca="1">IF(dict_zuord_Meth_Transfers[[#This Row],[kval_active]],dict_zuord_Meth_Transfers[[#This Row],[ID_Transfers]],"")</f>
        <v/>
      </c>
    </row>
    <row r="557" spans="1:4" x14ac:dyDescent="0.45">
      <c r="A557">
        <v>92</v>
      </c>
      <c r="B557" s="3">
        <f t="shared" ca="1" si="8"/>
        <v>134</v>
      </c>
      <c r="C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7" t="str">
        <f ca="1">IF(dict_zuord_Meth_Transfers[[#This Row],[kval_active]],dict_zuord_Meth_Transfers[[#This Row],[ID_Transfers]],"")</f>
        <v/>
      </c>
    </row>
    <row r="558" spans="1:4" x14ac:dyDescent="0.45">
      <c r="A558">
        <v>92</v>
      </c>
      <c r="B558" s="3">
        <f t="shared" ca="1" si="8"/>
        <v>65</v>
      </c>
      <c r="C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8" t="str">
        <f ca="1">IF(dict_zuord_Meth_Transfers[[#This Row],[kval_active]],dict_zuord_Meth_Transfers[[#This Row],[ID_Transfers]],"")</f>
        <v/>
      </c>
    </row>
    <row r="559" spans="1:4" x14ac:dyDescent="0.45">
      <c r="A559">
        <v>92</v>
      </c>
      <c r="B559">
        <f t="shared" ca="1" si="8"/>
        <v>19</v>
      </c>
      <c r="C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59" t="str">
        <f ca="1">IF(dict_zuord_Meth_Transfers[[#This Row],[kval_active]],dict_zuord_Meth_Transfers[[#This Row],[ID_Transfers]],"")</f>
        <v/>
      </c>
    </row>
    <row r="560" spans="1:4" x14ac:dyDescent="0.45">
      <c r="A560">
        <v>93</v>
      </c>
      <c r="B560">
        <f t="shared" ca="1" si="8"/>
        <v>122</v>
      </c>
      <c r="C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0" t="str">
        <f ca="1">IF(dict_zuord_Meth_Transfers[[#This Row],[kval_active]],dict_zuord_Meth_Transfers[[#This Row],[ID_Transfers]],"")</f>
        <v/>
      </c>
    </row>
    <row r="561" spans="1:4" x14ac:dyDescent="0.45">
      <c r="A561">
        <v>93</v>
      </c>
      <c r="B561">
        <f t="shared" ca="1" si="8"/>
        <v>71</v>
      </c>
      <c r="C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1" t="str">
        <f ca="1">IF(dict_zuord_Meth_Transfers[[#This Row],[kval_active]],dict_zuord_Meth_Transfers[[#This Row],[ID_Transfers]],"")</f>
        <v/>
      </c>
    </row>
    <row r="562" spans="1:4" x14ac:dyDescent="0.45">
      <c r="A562">
        <v>93</v>
      </c>
      <c r="B562" s="3">
        <f t="shared" ca="1" si="8"/>
        <v>73</v>
      </c>
      <c r="C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2" t="str">
        <f ca="1">IF(dict_zuord_Meth_Transfers[[#This Row],[kval_active]],dict_zuord_Meth_Transfers[[#This Row],[ID_Transfers]],"")</f>
        <v/>
      </c>
    </row>
    <row r="563" spans="1:4" x14ac:dyDescent="0.45">
      <c r="A563">
        <v>93</v>
      </c>
      <c r="B563">
        <f t="shared" ca="1" si="8"/>
        <v>153</v>
      </c>
      <c r="C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3" t="str">
        <f ca="1">IF(dict_zuord_Meth_Transfers[[#This Row],[kval_active]],dict_zuord_Meth_Transfers[[#This Row],[ID_Transfers]],"")</f>
        <v/>
      </c>
    </row>
    <row r="564" spans="1:4" x14ac:dyDescent="0.45">
      <c r="A564">
        <v>93</v>
      </c>
      <c r="B564" s="3">
        <f t="shared" ca="1" si="8"/>
        <v>74</v>
      </c>
      <c r="C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4" t="str">
        <f ca="1">IF(dict_zuord_Meth_Transfers[[#This Row],[kval_active]],dict_zuord_Meth_Transfers[[#This Row],[ID_Transfers]],"")</f>
        <v/>
      </c>
    </row>
    <row r="565" spans="1:4" x14ac:dyDescent="0.45">
      <c r="A565">
        <v>93</v>
      </c>
      <c r="B565" s="3">
        <f t="shared" ca="1" si="8"/>
        <v>179</v>
      </c>
      <c r="C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5" t="str">
        <f ca="1">IF(dict_zuord_Meth_Transfers[[#This Row],[kval_active]],dict_zuord_Meth_Transfers[[#This Row],[ID_Transfers]],"")</f>
        <v/>
      </c>
    </row>
    <row r="566" spans="1:4" x14ac:dyDescent="0.45">
      <c r="A566">
        <v>94</v>
      </c>
      <c r="B566">
        <f t="shared" ca="1" si="8"/>
        <v>65</v>
      </c>
      <c r="C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6" t="str">
        <f ca="1">IF(dict_zuord_Meth_Transfers[[#This Row],[kval_active]],dict_zuord_Meth_Transfers[[#This Row],[ID_Transfers]],"")</f>
        <v/>
      </c>
    </row>
    <row r="567" spans="1:4" x14ac:dyDescent="0.45">
      <c r="A567">
        <v>94</v>
      </c>
      <c r="B567" s="3">
        <f t="shared" ca="1" si="8"/>
        <v>81</v>
      </c>
      <c r="C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7" t="str">
        <f ca="1">IF(dict_zuord_Meth_Transfers[[#This Row],[kval_active]],dict_zuord_Meth_Transfers[[#This Row],[ID_Transfers]],"")</f>
        <v/>
      </c>
    </row>
    <row r="568" spans="1:4" x14ac:dyDescent="0.45">
      <c r="A568">
        <v>94</v>
      </c>
      <c r="B568" s="3">
        <f t="shared" ca="1" si="8"/>
        <v>70</v>
      </c>
      <c r="C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8" t="str">
        <f ca="1">IF(dict_zuord_Meth_Transfers[[#This Row],[kval_active]],dict_zuord_Meth_Transfers[[#This Row],[ID_Transfers]],"")</f>
        <v/>
      </c>
    </row>
    <row r="569" spans="1:4" x14ac:dyDescent="0.45">
      <c r="A569">
        <v>94</v>
      </c>
      <c r="B569">
        <f t="shared" ca="1" si="8"/>
        <v>197</v>
      </c>
      <c r="C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69" t="str">
        <f ca="1">IF(dict_zuord_Meth_Transfers[[#This Row],[kval_active]],dict_zuord_Meth_Transfers[[#This Row],[ID_Transfers]],"")</f>
        <v/>
      </c>
    </row>
    <row r="570" spans="1:4" x14ac:dyDescent="0.45">
      <c r="A570">
        <v>94</v>
      </c>
      <c r="B570">
        <f t="shared" ca="1" si="8"/>
        <v>101</v>
      </c>
      <c r="C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0" t="str">
        <f ca="1">IF(dict_zuord_Meth_Transfers[[#This Row],[kval_active]],dict_zuord_Meth_Transfers[[#This Row],[ID_Transfers]],"")</f>
        <v/>
      </c>
    </row>
    <row r="571" spans="1:4" x14ac:dyDescent="0.45">
      <c r="A571">
        <v>94</v>
      </c>
      <c r="B571" s="3">
        <f t="shared" ca="1" si="8"/>
        <v>0</v>
      </c>
      <c r="C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1" t="str">
        <f ca="1">IF(dict_zuord_Meth_Transfers[[#This Row],[kval_active]],dict_zuord_Meth_Transfers[[#This Row],[ID_Transfers]],"")</f>
        <v/>
      </c>
    </row>
    <row r="572" spans="1:4" x14ac:dyDescent="0.45">
      <c r="A572">
        <v>95</v>
      </c>
      <c r="B572">
        <f t="shared" ca="1" si="8"/>
        <v>196</v>
      </c>
      <c r="C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2" t="str">
        <f ca="1">IF(dict_zuord_Meth_Transfers[[#This Row],[kval_active]],dict_zuord_Meth_Transfers[[#This Row],[ID_Transfers]],"")</f>
        <v/>
      </c>
    </row>
    <row r="573" spans="1:4" x14ac:dyDescent="0.45">
      <c r="A573">
        <v>95</v>
      </c>
      <c r="B573">
        <f t="shared" ca="1" si="8"/>
        <v>157</v>
      </c>
      <c r="C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3" t="str">
        <f ca="1">IF(dict_zuord_Meth_Transfers[[#This Row],[kval_active]],dict_zuord_Meth_Transfers[[#This Row],[ID_Transfers]],"")</f>
        <v/>
      </c>
    </row>
    <row r="574" spans="1:4" x14ac:dyDescent="0.45">
      <c r="A574">
        <v>95</v>
      </c>
      <c r="B574">
        <f t="shared" ca="1" si="8"/>
        <v>88</v>
      </c>
      <c r="C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4" t="str">
        <f ca="1">IF(dict_zuord_Meth_Transfers[[#This Row],[kval_active]],dict_zuord_Meth_Transfers[[#This Row],[ID_Transfers]],"")</f>
        <v/>
      </c>
    </row>
    <row r="575" spans="1:4" x14ac:dyDescent="0.45">
      <c r="A575">
        <v>95</v>
      </c>
      <c r="B575" s="3">
        <f t="shared" ca="1" si="8"/>
        <v>125</v>
      </c>
      <c r="C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5" t="str">
        <f ca="1">IF(dict_zuord_Meth_Transfers[[#This Row],[kval_active]],dict_zuord_Meth_Transfers[[#This Row],[ID_Transfers]],"")</f>
        <v/>
      </c>
    </row>
    <row r="576" spans="1:4" x14ac:dyDescent="0.45">
      <c r="A576">
        <v>95</v>
      </c>
      <c r="B576" s="3">
        <f t="shared" ca="1" si="8"/>
        <v>67</v>
      </c>
      <c r="C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6" t="str">
        <f ca="1">IF(dict_zuord_Meth_Transfers[[#This Row],[kval_active]],dict_zuord_Meth_Transfers[[#This Row],[ID_Transfers]],"")</f>
        <v/>
      </c>
    </row>
    <row r="577" spans="1:4" x14ac:dyDescent="0.45">
      <c r="A577">
        <v>95</v>
      </c>
      <c r="B577" s="3">
        <f t="shared" ca="1" si="8"/>
        <v>89</v>
      </c>
      <c r="C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7" t="str">
        <f ca="1">IF(dict_zuord_Meth_Transfers[[#This Row],[kval_active]],dict_zuord_Meth_Transfers[[#This Row],[ID_Transfers]],"")</f>
        <v/>
      </c>
    </row>
    <row r="578" spans="1:4" x14ac:dyDescent="0.45">
      <c r="A578">
        <v>96</v>
      </c>
      <c r="B578" s="3">
        <f t="shared" ref="B578:B641" ca="1" si="9">RANDBETWEEN(0,200)</f>
        <v>63</v>
      </c>
      <c r="C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8" t="str">
        <f ca="1">IF(dict_zuord_Meth_Transfers[[#This Row],[kval_active]],dict_zuord_Meth_Transfers[[#This Row],[ID_Transfers]],"")</f>
        <v/>
      </c>
    </row>
    <row r="579" spans="1:4" x14ac:dyDescent="0.45">
      <c r="A579">
        <v>96</v>
      </c>
      <c r="B579">
        <f t="shared" ca="1" si="9"/>
        <v>173</v>
      </c>
      <c r="C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79" t="str">
        <f ca="1">IF(dict_zuord_Meth_Transfers[[#This Row],[kval_active]],dict_zuord_Meth_Transfers[[#This Row],[ID_Transfers]],"")</f>
        <v/>
      </c>
    </row>
    <row r="580" spans="1:4" x14ac:dyDescent="0.45">
      <c r="A580">
        <v>96</v>
      </c>
      <c r="B580" s="3">
        <f t="shared" ca="1" si="9"/>
        <v>16</v>
      </c>
      <c r="C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0" t="str">
        <f ca="1">IF(dict_zuord_Meth_Transfers[[#This Row],[kval_active]],dict_zuord_Meth_Transfers[[#This Row],[ID_Transfers]],"")</f>
        <v/>
      </c>
    </row>
    <row r="581" spans="1:4" x14ac:dyDescent="0.45">
      <c r="A581">
        <v>96</v>
      </c>
      <c r="B581" s="3">
        <f t="shared" ca="1" si="9"/>
        <v>55</v>
      </c>
      <c r="C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1" t="str">
        <f ca="1">IF(dict_zuord_Meth_Transfers[[#This Row],[kval_active]],dict_zuord_Meth_Transfers[[#This Row],[ID_Transfers]],"")</f>
        <v/>
      </c>
    </row>
    <row r="582" spans="1:4" x14ac:dyDescent="0.45">
      <c r="A582">
        <v>96</v>
      </c>
      <c r="B582">
        <f t="shared" ca="1" si="9"/>
        <v>34</v>
      </c>
      <c r="C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2" t="str">
        <f ca="1">IF(dict_zuord_Meth_Transfers[[#This Row],[kval_active]],dict_zuord_Meth_Transfers[[#This Row],[ID_Transfers]],"")</f>
        <v/>
      </c>
    </row>
    <row r="583" spans="1:4" x14ac:dyDescent="0.45">
      <c r="A583">
        <v>96</v>
      </c>
      <c r="B583">
        <f t="shared" ca="1" si="9"/>
        <v>73</v>
      </c>
      <c r="C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3" t="str">
        <f ca="1">IF(dict_zuord_Meth_Transfers[[#This Row],[kval_active]],dict_zuord_Meth_Transfers[[#This Row],[ID_Transfers]],"")</f>
        <v/>
      </c>
    </row>
    <row r="584" spans="1:4" x14ac:dyDescent="0.45">
      <c r="A584">
        <v>97</v>
      </c>
      <c r="B584">
        <f t="shared" ca="1" si="9"/>
        <v>70</v>
      </c>
      <c r="C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4" t="str">
        <f ca="1">IF(dict_zuord_Meth_Transfers[[#This Row],[kval_active]],dict_zuord_Meth_Transfers[[#This Row],[ID_Transfers]],"")</f>
        <v/>
      </c>
    </row>
    <row r="585" spans="1:4" x14ac:dyDescent="0.45">
      <c r="A585">
        <v>97</v>
      </c>
      <c r="B585" s="3">
        <f t="shared" ca="1" si="9"/>
        <v>29</v>
      </c>
      <c r="C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5" t="str">
        <f ca="1">IF(dict_zuord_Meth_Transfers[[#This Row],[kval_active]],dict_zuord_Meth_Transfers[[#This Row],[ID_Transfers]],"")</f>
        <v/>
      </c>
    </row>
    <row r="586" spans="1:4" x14ac:dyDescent="0.45">
      <c r="A586">
        <v>97</v>
      </c>
      <c r="B586">
        <f t="shared" ca="1" si="9"/>
        <v>13</v>
      </c>
      <c r="C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6" t="str">
        <f ca="1">IF(dict_zuord_Meth_Transfers[[#This Row],[kval_active]],dict_zuord_Meth_Transfers[[#This Row],[ID_Transfers]],"")</f>
        <v/>
      </c>
    </row>
    <row r="587" spans="1:4" x14ac:dyDescent="0.45">
      <c r="A587">
        <v>97</v>
      </c>
      <c r="B587">
        <f t="shared" ca="1" si="9"/>
        <v>142</v>
      </c>
      <c r="C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7" t="str">
        <f ca="1">IF(dict_zuord_Meth_Transfers[[#This Row],[kval_active]],dict_zuord_Meth_Transfers[[#This Row],[ID_Transfers]],"")</f>
        <v/>
      </c>
    </row>
    <row r="588" spans="1:4" x14ac:dyDescent="0.45">
      <c r="A588">
        <v>97</v>
      </c>
      <c r="B588" s="3">
        <f t="shared" ca="1" si="9"/>
        <v>18</v>
      </c>
      <c r="C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8" t="str">
        <f ca="1">IF(dict_zuord_Meth_Transfers[[#This Row],[kval_active]],dict_zuord_Meth_Transfers[[#This Row],[ID_Transfers]],"")</f>
        <v/>
      </c>
    </row>
    <row r="589" spans="1:4" x14ac:dyDescent="0.45">
      <c r="A589">
        <v>97</v>
      </c>
      <c r="B589" s="3">
        <f t="shared" ca="1" si="9"/>
        <v>29</v>
      </c>
      <c r="C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89" t="str">
        <f ca="1">IF(dict_zuord_Meth_Transfers[[#This Row],[kval_active]],dict_zuord_Meth_Transfers[[#This Row],[ID_Transfers]],"")</f>
        <v/>
      </c>
    </row>
    <row r="590" spans="1:4" x14ac:dyDescent="0.45">
      <c r="A590">
        <v>98</v>
      </c>
      <c r="B590">
        <f t="shared" ca="1" si="9"/>
        <v>15</v>
      </c>
      <c r="C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0" t="str">
        <f ca="1">IF(dict_zuord_Meth_Transfers[[#This Row],[kval_active]],dict_zuord_Meth_Transfers[[#This Row],[ID_Transfers]],"")</f>
        <v/>
      </c>
    </row>
    <row r="591" spans="1:4" x14ac:dyDescent="0.45">
      <c r="A591">
        <v>98</v>
      </c>
      <c r="B591" s="3">
        <f t="shared" ca="1" si="9"/>
        <v>5</v>
      </c>
      <c r="C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1" t="str">
        <f ca="1">IF(dict_zuord_Meth_Transfers[[#This Row],[kval_active]],dict_zuord_Meth_Transfers[[#This Row],[ID_Transfers]],"")</f>
        <v/>
      </c>
    </row>
    <row r="592" spans="1:4" x14ac:dyDescent="0.45">
      <c r="A592">
        <v>98</v>
      </c>
      <c r="B592" s="3">
        <f t="shared" ca="1" si="9"/>
        <v>113</v>
      </c>
      <c r="C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2" t="str">
        <f ca="1">IF(dict_zuord_Meth_Transfers[[#This Row],[kval_active]],dict_zuord_Meth_Transfers[[#This Row],[ID_Transfers]],"")</f>
        <v/>
      </c>
    </row>
    <row r="593" spans="1:4" x14ac:dyDescent="0.45">
      <c r="A593">
        <v>98</v>
      </c>
      <c r="B593" s="3">
        <f t="shared" ca="1" si="9"/>
        <v>2</v>
      </c>
      <c r="C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3" t="str">
        <f ca="1">IF(dict_zuord_Meth_Transfers[[#This Row],[kval_active]],dict_zuord_Meth_Transfers[[#This Row],[ID_Transfers]],"")</f>
        <v/>
      </c>
    </row>
    <row r="594" spans="1:4" x14ac:dyDescent="0.45">
      <c r="A594">
        <v>98</v>
      </c>
      <c r="B594">
        <f t="shared" ca="1" si="9"/>
        <v>80</v>
      </c>
      <c r="C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4" t="str">
        <f ca="1">IF(dict_zuord_Meth_Transfers[[#This Row],[kval_active]],dict_zuord_Meth_Transfers[[#This Row],[ID_Transfers]],"")</f>
        <v/>
      </c>
    </row>
    <row r="595" spans="1:4" x14ac:dyDescent="0.45">
      <c r="A595">
        <v>98</v>
      </c>
      <c r="B595">
        <f t="shared" ca="1" si="9"/>
        <v>23</v>
      </c>
      <c r="C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5" t="str">
        <f ca="1">IF(dict_zuord_Meth_Transfers[[#This Row],[kval_active]],dict_zuord_Meth_Transfers[[#This Row],[ID_Transfers]],"")</f>
        <v/>
      </c>
    </row>
    <row r="596" spans="1:4" x14ac:dyDescent="0.45">
      <c r="A596">
        <v>99</v>
      </c>
      <c r="B596">
        <f t="shared" ca="1" si="9"/>
        <v>184</v>
      </c>
      <c r="C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6" t="str">
        <f ca="1">IF(dict_zuord_Meth_Transfers[[#This Row],[kval_active]],dict_zuord_Meth_Transfers[[#This Row],[ID_Transfers]],"")</f>
        <v/>
      </c>
    </row>
    <row r="597" spans="1:4" x14ac:dyDescent="0.45">
      <c r="A597">
        <v>99</v>
      </c>
      <c r="B597">
        <f t="shared" ca="1" si="9"/>
        <v>130</v>
      </c>
      <c r="C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7" t="str">
        <f ca="1">IF(dict_zuord_Meth_Transfers[[#This Row],[kval_active]],dict_zuord_Meth_Transfers[[#This Row],[ID_Transfers]],"")</f>
        <v/>
      </c>
    </row>
    <row r="598" spans="1:4" x14ac:dyDescent="0.45">
      <c r="A598">
        <v>99</v>
      </c>
      <c r="B598" s="3">
        <f t="shared" ca="1" si="9"/>
        <v>186</v>
      </c>
      <c r="C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8" t="str">
        <f ca="1">IF(dict_zuord_Meth_Transfers[[#This Row],[kval_active]],dict_zuord_Meth_Transfers[[#This Row],[ID_Transfers]],"")</f>
        <v/>
      </c>
    </row>
    <row r="599" spans="1:4" x14ac:dyDescent="0.45">
      <c r="A599">
        <v>99</v>
      </c>
      <c r="B599" s="3">
        <f t="shared" ca="1" si="9"/>
        <v>54</v>
      </c>
      <c r="C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599" t="str">
        <f ca="1">IF(dict_zuord_Meth_Transfers[[#This Row],[kval_active]],dict_zuord_Meth_Transfers[[#This Row],[ID_Transfers]],"")</f>
        <v/>
      </c>
    </row>
    <row r="600" spans="1:4" x14ac:dyDescent="0.45">
      <c r="A600">
        <v>99</v>
      </c>
      <c r="B600" s="3">
        <f t="shared" ca="1" si="9"/>
        <v>88</v>
      </c>
      <c r="C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0" t="str">
        <f ca="1">IF(dict_zuord_Meth_Transfers[[#This Row],[kval_active]],dict_zuord_Meth_Transfers[[#This Row],[ID_Transfers]],"")</f>
        <v/>
      </c>
    </row>
    <row r="601" spans="1:4" x14ac:dyDescent="0.45">
      <c r="A601">
        <v>99</v>
      </c>
      <c r="B601">
        <f t="shared" ca="1" si="9"/>
        <v>171</v>
      </c>
      <c r="C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1" t="str">
        <f ca="1">IF(dict_zuord_Meth_Transfers[[#This Row],[kval_active]],dict_zuord_Meth_Transfers[[#This Row],[ID_Transfers]],"")</f>
        <v/>
      </c>
    </row>
    <row r="602" spans="1:4" x14ac:dyDescent="0.45">
      <c r="A602">
        <v>100</v>
      </c>
      <c r="B602" s="3">
        <f t="shared" ca="1" si="9"/>
        <v>140</v>
      </c>
      <c r="C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2" t="str">
        <f ca="1">IF(dict_zuord_Meth_Transfers[[#This Row],[kval_active]],dict_zuord_Meth_Transfers[[#This Row],[ID_Transfers]],"")</f>
        <v/>
      </c>
    </row>
    <row r="603" spans="1:4" x14ac:dyDescent="0.45">
      <c r="A603">
        <v>100</v>
      </c>
      <c r="B603" s="3">
        <f t="shared" ca="1" si="9"/>
        <v>39</v>
      </c>
      <c r="C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3" t="str">
        <f ca="1">IF(dict_zuord_Meth_Transfers[[#This Row],[kval_active]],dict_zuord_Meth_Transfers[[#This Row],[ID_Transfers]],"")</f>
        <v/>
      </c>
    </row>
    <row r="604" spans="1:4" x14ac:dyDescent="0.45">
      <c r="A604">
        <v>100</v>
      </c>
      <c r="B604">
        <f t="shared" ca="1" si="9"/>
        <v>76</v>
      </c>
      <c r="C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4" t="str">
        <f ca="1">IF(dict_zuord_Meth_Transfers[[#This Row],[kval_active]],dict_zuord_Meth_Transfers[[#This Row],[ID_Transfers]],"")</f>
        <v/>
      </c>
    </row>
    <row r="605" spans="1:4" x14ac:dyDescent="0.45">
      <c r="A605">
        <v>100</v>
      </c>
      <c r="B605">
        <f t="shared" ca="1" si="9"/>
        <v>171</v>
      </c>
      <c r="C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5" t="str">
        <f ca="1">IF(dict_zuord_Meth_Transfers[[#This Row],[kval_active]],dict_zuord_Meth_Transfers[[#This Row],[ID_Transfers]],"")</f>
        <v/>
      </c>
    </row>
    <row r="606" spans="1:4" x14ac:dyDescent="0.45">
      <c r="A606">
        <v>100</v>
      </c>
      <c r="B606">
        <f t="shared" ca="1" si="9"/>
        <v>190</v>
      </c>
      <c r="C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6" t="str">
        <f ca="1">IF(dict_zuord_Meth_Transfers[[#This Row],[kval_active]],dict_zuord_Meth_Transfers[[#This Row],[ID_Transfers]],"")</f>
        <v/>
      </c>
    </row>
    <row r="607" spans="1:4" x14ac:dyDescent="0.45">
      <c r="A607">
        <v>100</v>
      </c>
      <c r="B607" s="3">
        <f t="shared" ca="1" si="9"/>
        <v>12</v>
      </c>
      <c r="C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7" t="str">
        <f ca="1">IF(dict_zuord_Meth_Transfers[[#This Row],[kval_active]],dict_zuord_Meth_Transfers[[#This Row],[ID_Transfers]],"")</f>
        <v/>
      </c>
    </row>
    <row r="608" spans="1:4" x14ac:dyDescent="0.45">
      <c r="A608">
        <v>101</v>
      </c>
      <c r="B608" s="3">
        <f t="shared" ca="1" si="9"/>
        <v>194</v>
      </c>
      <c r="C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8" t="str">
        <f ca="1">IF(dict_zuord_Meth_Transfers[[#This Row],[kval_active]],dict_zuord_Meth_Transfers[[#This Row],[ID_Transfers]],"")</f>
        <v/>
      </c>
    </row>
    <row r="609" spans="1:4" x14ac:dyDescent="0.45">
      <c r="A609">
        <v>101</v>
      </c>
      <c r="B609" s="3">
        <f t="shared" ca="1" si="9"/>
        <v>13</v>
      </c>
      <c r="C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09" t="str">
        <f ca="1">IF(dict_zuord_Meth_Transfers[[#This Row],[kval_active]],dict_zuord_Meth_Transfers[[#This Row],[ID_Transfers]],"")</f>
        <v/>
      </c>
    </row>
    <row r="610" spans="1:4" x14ac:dyDescent="0.45">
      <c r="A610">
        <v>101</v>
      </c>
      <c r="B610">
        <f t="shared" ca="1" si="9"/>
        <v>24</v>
      </c>
      <c r="C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0" t="str">
        <f ca="1">IF(dict_zuord_Meth_Transfers[[#This Row],[kval_active]],dict_zuord_Meth_Transfers[[#This Row],[ID_Transfers]],"")</f>
        <v/>
      </c>
    </row>
    <row r="611" spans="1:4" x14ac:dyDescent="0.45">
      <c r="A611">
        <v>101</v>
      </c>
      <c r="B611">
        <f t="shared" ca="1" si="9"/>
        <v>138</v>
      </c>
      <c r="C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1" t="str">
        <f ca="1">IF(dict_zuord_Meth_Transfers[[#This Row],[kval_active]],dict_zuord_Meth_Transfers[[#This Row],[ID_Transfers]],"")</f>
        <v/>
      </c>
    </row>
    <row r="612" spans="1:4" x14ac:dyDescent="0.45">
      <c r="A612">
        <v>101</v>
      </c>
      <c r="B612" s="3">
        <f t="shared" ca="1" si="9"/>
        <v>157</v>
      </c>
      <c r="C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2" t="str">
        <f ca="1">IF(dict_zuord_Meth_Transfers[[#This Row],[kval_active]],dict_zuord_Meth_Transfers[[#This Row],[ID_Transfers]],"")</f>
        <v/>
      </c>
    </row>
    <row r="613" spans="1:4" x14ac:dyDescent="0.45">
      <c r="A613">
        <v>101</v>
      </c>
      <c r="B613">
        <f t="shared" ca="1" si="9"/>
        <v>11</v>
      </c>
      <c r="C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3" t="str">
        <f ca="1">IF(dict_zuord_Meth_Transfers[[#This Row],[kval_active]],dict_zuord_Meth_Transfers[[#This Row],[ID_Transfers]],"")</f>
        <v/>
      </c>
    </row>
    <row r="614" spans="1:4" x14ac:dyDescent="0.45">
      <c r="A614">
        <v>102</v>
      </c>
      <c r="B614">
        <f t="shared" ca="1" si="9"/>
        <v>98</v>
      </c>
      <c r="C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4" t="str">
        <f ca="1">IF(dict_zuord_Meth_Transfers[[#This Row],[kval_active]],dict_zuord_Meth_Transfers[[#This Row],[ID_Transfers]],"")</f>
        <v/>
      </c>
    </row>
    <row r="615" spans="1:4" x14ac:dyDescent="0.45">
      <c r="A615">
        <v>102</v>
      </c>
      <c r="B615" s="3">
        <f t="shared" ca="1" si="9"/>
        <v>50</v>
      </c>
      <c r="C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5" t="str">
        <f ca="1">IF(dict_zuord_Meth_Transfers[[#This Row],[kval_active]],dict_zuord_Meth_Transfers[[#This Row],[ID_Transfers]],"")</f>
        <v/>
      </c>
    </row>
    <row r="616" spans="1:4" x14ac:dyDescent="0.45">
      <c r="A616">
        <v>102</v>
      </c>
      <c r="B616">
        <f t="shared" ca="1" si="9"/>
        <v>57</v>
      </c>
      <c r="C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6" t="str">
        <f ca="1">IF(dict_zuord_Meth_Transfers[[#This Row],[kval_active]],dict_zuord_Meth_Transfers[[#This Row],[ID_Transfers]],"")</f>
        <v/>
      </c>
    </row>
    <row r="617" spans="1:4" x14ac:dyDescent="0.45">
      <c r="A617">
        <v>102</v>
      </c>
      <c r="B617" s="3">
        <f t="shared" ca="1" si="9"/>
        <v>56</v>
      </c>
      <c r="C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7" t="str">
        <f ca="1">IF(dict_zuord_Meth_Transfers[[#This Row],[kval_active]],dict_zuord_Meth_Transfers[[#This Row],[ID_Transfers]],"")</f>
        <v/>
      </c>
    </row>
    <row r="618" spans="1:4" x14ac:dyDescent="0.45">
      <c r="A618">
        <v>102</v>
      </c>
      <c r="B618">
        <f t="shared" ca="1" si="9"/>
        <v>146</v>
      </c>
      <c r="C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8" t="str">
        <f ca="1">IF(dict_zuord_Meth_Transfers[[#This Row],[kval_active]],dict_zuord_Meth_Transfers[[#This Row],[ID_Transfers]],"")</f>
        <v/>
      </c>
    </row>
    <row r="619" spans="1:4" x14ac:dyDescent="0.45">
      <c r="A619">
        <v>102</v>
      </c>
      <c r="B619" s="3">
        <f t="shared" ca="1" si="9"/>
        <v>192</v>
      </c>
      <c r="C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19" t="str">
        <f ca="1">IF(dict_zuord_Meth_Transfers[[#This Row],[kval_active]],dict_zuord_Meth_Transfers[[#This Row],[ID_Transfers]],"")</f>
        <v/>
      </c>
    </row>
    <row r="620" spans="1:4" x14ac:dyDescent="0.45">
      <c r="A620">
        <v>103</v>
      </c>
      <c r="B620">
        <f t="shared" ca="1" si="9"/>
        <v>178</v>
      </c>
      <c r="C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0" t="str">
        <f ca="1">IF(dict_zuord_Meth_Transfers[[#This Row],[kval_active]],dict_zuord_Meth_Transfers[[#This Row],[ID_Transfers]],"")</f>
        <v/>
      </c>
    </row>
    <row r="621" spans="1:4" x14ac:dyDescent="0.45">
      <c r="A621">
        <v>103</v>
      </c>
      <c r="B621">
        <f t="shared" ca="1" si="9"/>
        <v>161</v>
      </c>
      <c r="C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1" t="str">
        <f ca="1">IF(dict_zuord_Meth_Transfers[[#This Row],[kval_active]],dict_zuord_Meth_Transfers[[#This Row],[ID_Transfers]],"")</f>
        <v/>
      </c>
    </row>
    <row r="622" spans="1:4" x14ac:dyDescent="0.45">
      <c r="A622">
        <v>103</v>
      </c>
      <c r="B622" s="3">
        <f t="shared" ca="1" si="9"/>
        <v>126</v>
      </c>
      <c r="C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2" t="str">
        <f ca="1">IF(dict_zuord_Meth_Transfers[[#This Row],[kval_active]],dict_zuord_Meth_Transfers[[#This Row],[ID_Transfers]],"")</f>
        <v/>
      </c>
    </row>
    <row r="623" spans="1:4" x14ac:dyDescent="0.45">
      <c r="A623">
        <v>103</v>
      </c>
      <c r="B623">
        <f t="shared" ca="1" si="9"/>
        <v>81</v>
      </c>
      <c r="C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3" t="str">
        <f ca="1">IF(dict_zuord_Meth_Transfers[[#This Row],[kval_active]],dict_zuord_Meth_Transfers[[#This Row],[ID_Transfers]],"")</f>
        <v/>
      </c>
    </row>
    <row r="624" spans="1:4" x14ac:dyDescent="0.45">
      <c r="A624">
        <v>103</v>
      </c>
      <c r="B624" s="3">
        <f t="shared" ca="1" si="9"/>
        <v>142</v>
      </c>
      <c r="C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4" t="str">
        <f ca="1">IF(dict_zuord_Meth_Transfers[[#This Row],[kval_active]],dict_zuord_Meth_Transfers[[#This Row],[ID_Transfers]],"")</f>
        <v/>
      </c>
    </row>
    <row r="625" spans="1:4" x14ac:dyDescent="0.45">
      <c r="A625">
        <v>103</v>
      </c>
      <c r="B625" s="3">
        <f t="shared" ca="1" si="9"/>
        <v>174</v>
      </c>
      <c r="C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5" t="str">
        <f ca="1">IF(dict_zuord_Meth_Transfers[[#This Row],[kval_active]],dict_zuord_Meth_Transfers[[#This Row],[ID_Transfers]],"")</f>
        <v/>
      </c>
    </row>
    <row r="626" spans="1:4" x14ac:dyDescent="0.45">
      <c r="A626">
        <v>104</v>
      </c>
      <c r="B626">
        <f t="shared" ca="1" si="9"/>
        <v>169</v>
      </c>
      <c r="C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6" t="str">
        <f ca="1">IF(dict_zuord_Meth_Transfers[[#This Row],[kval_active]],dict_zuord_Meth_Transfers[[#This Row],[ID_Transfers]],"")</f>
        <v/>
      </c>
    </row>
    <row r="627" spans="1:4" x14ac:dyDescent="0.45">
      <c r="A627">
        <v>104</v>
      </c>
      <c r="B627" s="3">
        <f t="shared" ca="1" si="9"/>
        <v>74</v>
      </c>
      <c r="C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7" t="str">
        <f ca="1">IF(dict_zuord_Meth_Transfers[[#This Row],[kval_active]],dict_zuord_Meth_Transfers[[#This Row],[ID_Transfers]],"")</f>
        <v/>
      </c>
    </row>
    <row r="628" spans="1:4" x14ac:dyDescent="0.45">
      <c r="A628">
        <v>104</v>
      </c>
      <c r="B628" s="3">
        <f t="shared" ca="1" si="9"/>
        <v>142</v>
      </c>
      <c r="C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8" t="str">
        <f ca="1">IF(dict_zuord_Meth_Transfers[[#This Row],[kval_active]],dict_zuord_Meth_Transfers[[#This Row],[ID_Transfers]],"")</f>
        <v/>
      </c>
    </row>
    <row r="629" spans="1:4" x14ac:dyDescent="0.45">
      <c r="A629">
        <v>104</v>
      </c>
      <c r="B629" s="3">
        <f t="shared" ca="1" si="9"/>
        <v>61</v>
      </c>
      <c r="C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29" t="str">
        <f ca="1">IF(dict_zuord_Meth_Transfers[[#This Row],[kval_active]],dict_zuord_Meth_Transfers[[#This Row],[ID_Transfers]],"")</f>
        <v/>
      </c>
    </row>
    <row r="630" spans="1:4" x14ac:dyDescent="0.45">
      <c r="A630">
        <v>104</v>
      </c>
      <c r="B630">
        <f t="shared" ca="1" si="9"/>
        <v>163</v>
      </c>
      <c r="C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0" t="str">
        <f ca="1">IF(dict_zuord_Meth_Transfers[[#This Row],[kval_active]],dict_zuord_Meth_Transfers[[#This Row],[ID_Transfers]],"")</f>
        <v/>
      </c>
    </row>
    <row r="631" spans="1:4" x14ac:dyDescent="0.45">
      <c r="A631">
        <v>104</v>
      </c>
      <c r="B631">
        <f t="shared" ca="1" si="9"/>
        <v>70</v>
      </c>
      <c r="C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1" t="str">
        <f ca="1">IF(dict_zuord_Meth_Transfers[[#This Row],[kval_active]],dict_zuord_Meth_Transfers[[#This Row],[ID_Transfers]],"")</f>
        <v/>
      </c>
    </row>
    <row r="632" spans="1:4" x14ac:dyDescent="0.45">
      <c r="A632">
        <v>105</v>
      </c>
      <c r="B632">
        <f t="shared" ca="1" si="9"/>
        <v>124</v>
      </c>
      <c r="C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2" t="str">
        <f ca="1">IF(dict_zuord_Meth_Transfers[[#This Row],[kval_active]],dict_zuord_Meth_Transfers[[#This Row],[ID_Transfers]],"")</f>
        <v/>
      </c>
    </row>
    <row r="633" spans="1:4" x14ac:dyDescent="0.45">
      <c r="A633">
        <v>105</v>
      </c>
      <c r="B633">
        <f t="shared" ca="1" si="9"/>
        <v>138</v>
      </c>
      <c r="C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3" t="str">
        <f ca="1">IF(dict_zuord_Meth_Transfers[[#This Row],[kval_active]],dict_zuord_Meth_Transfers[[#This Row],[ID_Transfers]],"")</f>
        <v/>
      </c>
    </row>
    <row r="634" spans="1:4" x14ac:dyDescent="0.45">
      <c r="A634">
        <v>105</v>
      </c>
      <c r="B634">
        <f t="shared" ca="1" si="9"/>
        <v>105</v>
      </c>
      <c r="C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4" t="str">
        <f ca="1">IF(dict_zuord_Meth_Transfers[[#This Row],[kval_active]],dict_zuord_Meth_Transfers[[#This Row],[ID_Transfers]],"")</f>
        <v/>
      </c>
    </row>
    <row r="635" spans="1:4" x14ac:dyDescent="0.45">
      <c r="A635">
        <v>105</v>
      </c>
      <c r="B635" s="3">
        <f t="shared" ca="1" si="9"/>
        <v>78</v>
      </c>
      <c r="C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5" t="str">
        <f ca="1">IF(dict_zuord_Meth_Transfers[[#This Row],[kval_active]],dict_zuord_Meth_Transfers[[#This Row],[ID_Transfers]],"")</f>
        <v/>
      </c>
    </row>
    <row r="636" spans="1:4" x14ac:dyDescent="0.45">
      <c r="A636">
        <v>105</v>
      </c>
      <c r="B636" s="3">
        <f t="shared" ca="1" si="9"/>
        <v>170</v>
      </c>
      <c r="C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6" t="str">
        <f ca="1">IF(dict_zuord_Meth_Transfers[[#This Row],[kval_active]],dict_zuord_Meth_Transfers[[#This Row],[ID_Transfers]],"")</f>
        <v/>
      </c>
    </row>
    <row r="637" spans="1:4" x14ac:dyDescent="0.45">
      <c r="A637">
        <v>105</v>
      </c>
      <c r="B637" s="3">
        <f t="shared" ca="1" si="9"/>
        <v>12</v>
      </c>
      <c r="C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37" t="str">
        <f ca="1">IF(dict_zuord_Meth_Transfers[[#This Row],[kval_active]],dict_zuord_Meth_Transfers[[#This Row],[ID_Transfers]],"")</f>
        <v/>
      </c>
    </row>
    <row r="638" spans="1:4" x14ac:dyDescent="0.45">
      <c r="A638">
        <v>106</v>
      </c>
      <c r="B638">
        <f t="shared" ca="1" si="9"/>
        <v>150</v>
      </c>
      <c r="C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38">
        <f ca="1">IF(dict_zuord_Meth_Transfers[[#This Row],[kval_active]],dict_zuord_Meth_Transfers[[#This Row],[ID_Transfers]],"")</f>
        <v>150</v>
      </c>
    </row>
    <row r="639" spans="1:4" x14ac:dyDescent="0.45">
      <c r="A639">
        <v>106</v>
      </c>
      <c r="B639">
        <f t="shared" ca="1" si="9"/>
        <v>96</v>
      </c>
      <c r="C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39">
        <f ca="1">IF(dict_zuord_Meth_Transfers[[#This Row],[kval_active]],dict_zuord_Meth_Transfers[[#This Row],[ID_Transfers]],"")</f>
        <v>96</v>
      </c>
    </row>
    <row r="640" spans="1:4" x14ac:dyDescent="0.45">
      <c r="A640">
        <v>106</v>
      </c>
      <c r="B640">
        <f t="shared" ca="1" si="9"/>
        <v>80</v>
      </c>
      <c r="C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0">
        <f ca="1">IF(dict_zuord_Meth_Transfers[[#This Row],[kval_active]],dict_zuord_Meth_Transfers[[#This Row],[ID_Transfers]],"")</f>
        <v>80</v>
      </c>
    </row>
    <row r="641" spans="1:4" x14ac:dyDescent="0.45">
      <c r="A641">
        <v>106</v>
      </c>
      <c r="B641" s="3">
        <f t="shared" ca="1" si="9"/>
        <v>123</v>
      </c>
      <c r="C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1">
        <f ca="1">IF(dict_zuord_Meth_Transfers[[#This Row],[kval_active]],dict_zuord_Meth_Transfers[[#This Row],[ID_Transfers]],"")</f>
        <v>123</v>
      </c>
    </row>
    <row r="642" spans="1:4" x14ac:dyDescent="0.45">
      <c r="A642">
        <v>106</v>
      </c>
      <c r="B642" s="3">
        <f t="shared" ref="B642:B705" ca="1" si="10">RANDBETWEEN(0,200)</f>
        <v>95</v>
      </c>
      <c r="C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2">
        <f ca="1">IF(dict_zuord_Meth_Transfers[[#This Row],[kval_active]],dict_zuord_Meth_Transfers[[#This Row],[ID_Transfers]],"")</f>
        <v>95</v>
      </c>
    </row>
    <row r="643" spans="1:4" x14ac:dyDescent="0.45">
      <c r="A643">
        <v>106</v>
      </c>
      <c r="B643" s="3">
        <f t="shared" ca="1" si="10"/>
        <v>194</v>
      </c>
      <c r="C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43">
        <f ca="1">IF(dict_zuord_Meth_Transfers[[#This Row],[kval_active]],dict_zuord_Meth_Transfers[[#This Row],[ID_Transfers]],"")</f>
        <v>194</v>
      </c>
    </row>
    <row r="644" spans="1:4" x14ac:dyDescent="0.45">
      <c r="A644">
        <v>107</v>
      </c>
      <c r="B644">
        <f t="shared" ca="1" si="10"/>
        <v>128</v>
      </c>
      <c r="C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4" t="str">
        <f ca="1">IF(dict_zuord_Meth_Transfers[[#This Row],[kval_active]],dict_zuord_Meth_Transfers[[#This Row],[ID_Transfers]],"")</f>
        <v/>
      </c>
    </row>
    <row r="645" spans="1:4" x14ac:dyDescent="0.45">
      <c r="A645">
        <v>107</v>
      </c>
      <c r="B645">
        <f t="shared" ca="1" si="10"/>
        <v>82</v>
      </c>
      <c r="C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5" t="str">
        <f ca="1">IF(dict_zuord_Meth_Transfers[[#This Row],[kval_active]],dict_zuord_Meth_Transfers[[#This Row],[ID_Transfers]],"")</f>
        <v/>
      </c>
    </row>
    <row r="646" spans="1:4" x14ac:dyDescent="0.45">
      <c r="A646">
        <v>107</v>
      </c>
      <c r="B646" s="3">
        <f t="shared" ca="1" si="10"/>
        <v>99</v>
      </c>
      <c r="C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6" t="str">
        <f ca="1">IF(dict_zuord_Meth_Transfers[[#This Row],[kval_active]],dict_zuord_Meth_Transfers[[#This Row],[ID_Transfers]],"")</f>
        <v/>
      </c>
    </row>
    <row r="647" spans="1:4" x14ac:dyDescent="0.45">
      <c r="A647">
        <v>107</v>
      </c>
      <c r="B647" s="3">
        <f t="shared" ca="1" si="10"/>
        <v>57</v>
      </c>
      <c r="C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7" t="str">
        <f ca="1">IF(dict_zuord_Meth_Transfers[[#This Row],[kval_active]],dict_zuord_Meth_Transfers[[#This Row],[ID_Transfers]],"")</f>
        <v/>
      </c>
    </row>
    <row r="648" spans="1:4" x14ac:dyDescent="0.45">
      <c r="A648">
        <v>107</v>
      </c>
      <c r="B648">
        <f t="shared" ca="1" si="10"/>
        <v>2</v>
      </c>
      <c r="C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8" t="str">
        <f ca="1">IF(dict_zuord_Meth_Transfers[[#This Row],[kval_active]],dict_zuord_Meth_Transfers[[#This Row],[ID_Transfers]],"")</f>
        <v/>
      </c>
    </row>
    <row r="649" spans="1:4" x14ac:dyDescent="0.45">
      <c r="A649">
        <v>107</v>
      </c>
      <c r="B649" s="3">
        <f t="shared" ca="1" si="10"/>
        <v>191</v>
      </c>
      <c r="C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49" t="str">
        <f ca="1">IF(dict_zuord_Meth_Transfers[[#This Row],[kval_active]],dict_zuord_Meth_Transfers[[#This Row],[ID_Transfers]],"")</f>
        <v/>
      </c>
    </row>
    <row r="650" spans="1:4" x14ac:dyDescent="0.45">
      <c r="A650">
        <v>108</v>
      </c>
      <c r="B650" s="3">
        <f t="shared" ca="1" si="10"/>
        <v>91</v>
      </c>
      <c r="C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0">
        <f ca="1">IF(dict_zuord_Meth_Transfers[[#This Row],[kval_active]],dict_zuord_Meth_Transfers[[#This Row],[ID_Transfers]],"")</f>
        <v>91</v>
      </c>
    </row>
    <row r="651" spans="1:4" x14ac:dyDescent="0.45">
      <c r="A651">
        <v>108</v>
      </c>
      <c r="B651">
        <f t="shared" ca="1" si="10"/>
        <v>163</v>
      </c>
      <c r="C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1">
        <f ca="1">IF(dict_zuord_Meth_Transfers[[#This Row],[kval_active]],dict_zuord_Meth_Transfers[[#This Row],[ID_Transfers]],"")</f>
        <v>163</v>
      </c>
    </row>
    <row r="652" spans="1:4" x14ac:dyDescent="0.45">
      <c r="A652">
        <v>108</v>
      </c>
      <c r="B652">
        <f t="shared" ca="1" si="10"/>
        <v>14</v>
      </c>
      <c r="C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2">
        <f ca="1">IF(dict_zuord_Meth_Transfers[[#This Row],[kval_active]],dict_zuord_Meth_Transfers[[#This Row],[ID_Transfers]],"")</f>
        <v>14</v>
      </c>
    </row>
    <row r="653" spans="1:4" x14ac:dyDescent="0.45">
      <c r="A653">
        <v>108</v>
      </c>
      <c r="B653">
        <f t="shared" ca="1" si="10"/>
        <v>120</v>
      </c>
      <c r="C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3">
        <f ca="1">IF(dict_zuord_Meth_Transfers[[#This Row],[kval_active]],dict_zuord_Meth_Transfers[[#This Row],[ID_Transfers]],"")</f>
        <v>120</v>
      </c>
    </row>
    <row r="654" spans="1:4" x14ac:dyDescent="0.45">
      <c r="A654">
        <v>108</v>
      </c>
      <c r="B654" s="3">
        <f t="shared" ca="1" si="10"/>
        <v>199</v>
      </c>
      <c r="C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4">
        <f ca="1">IF(dict_zuord_Meth_Transfers[[#This Row],[kval_active]],dict_zuord_Meth_Transfers[[#This Row],[ID_Transfers]],"")</f>
        <v>199</v>
      </c>
    </row>
    <row r="655" spans="1:4" x14ac:dyDescent="0.45">
      <c r="A655">
        <v>108</v>
      </c>
      <c r="B655" s="3">
        <f t="shared" ca="1" si="10"/>
        <v>177</v>
      </c>
      <c r="C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655">
        <f ca="1">IF(dict_zuord_Meth_Transfers[[#This Row],[kval_active]],dict_zuord_Meth_Transfers[[#This Row],[ID_Transfers]],"")</f>
        <v>177</v>
      </c>
    </row>
    <row r="656" spans="1:4" x14ac:dyDescent="0.45">
      <c r="A656">
        <v>109</v>
      </c>
      <c r="B656" s="3">
        <f t="shared" ca="1" si="10"/>
        <v>137</v>
      </c>
      <c r="C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6" t="str">
        <f ca="1">IF(dict_zuord_Meth_Transfers[[#This Row],[kval_active]],dict_zuord_Meth_Transfers[[#This Row],[ID_Transfers]],"")</f>
        <v/>
      </c>
    </row>
    <row r="657" spans="1:4" x14ac:dyDescent="0.45">
      <c r="A657">
        <v>109</v>
      </c>
      <c r="B657">
        <f t="shared" ca="1" si="10"/>
        <v>150</v>
      </c>
      <c r="C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7" t="str">
        <f ca="1">IF(dict_zuord_Meth_Transfers[[#This Row],[kval_active]],dict_zuord_Meth_Transfers[[#This Row],[ID_Transfers]],"")</f>
        <v/>
      </c>
    </row>
    <row r="658" spans="1:4" x14ac:dyDescent="0.45">
      <c r="A658">
        <v>109</v>
      </c>
      <c r="B658" s="3">
        <f t="shared" ca="1" si="10"/>
        <v>14</v>
      </c>
      <c r="C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8" t="str">
        <f ca="1">IF(dict_zuord_Meth_Transfers[[#This Row],[kval_active]],dict_zuord_Meth_Transfers[[#This Row],[ID_Transfers]],"")</f>
        <v/>
      </c>
    </row>
    <row r="659" spans="1:4" x14ac:dyDescent="0.45">
      <c r="A659">
        <v>109</v>
      </c>
      <c r="B659" s="3">
        <f t="shared" ca="1" si="10"/>
        <v>109</v>
      </c>
      <c r="C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59" t="str">
        <f ca="1">IF(dict_zuord_Meth_Transfers[[#This Row],[kval_active]],dict_zuord_Meth_Transfers[[#This Row],[ID_Transfers]],"")</f>
        <v/>
      </c>
    </row>
    <row r="660" spans="1:4" x14ac:dyDescent="0.45">
      <c r="A660">
        <v>109</v>
      </c>
      <c r="B660">
        <f t="shared" ca="1" si="10"/>
        <v>106</v>
      </c>
      <c r="C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0" t="str">
        <f ca="1">IF(dict_zuord_Meth_Transfers[[#This Row],[kval_active]],dict_zuord_Meth_Transfers[[#This Row],[ID_Transfers]],"")</f>
        <v/>
      </c>
    </row>
    <row r="661" spans="1:4" x14ac:dyDescent="0.45">
      <c r="A661">
        <v>109</v>
      </c>
      <c r="B661">
        <f t="shared" ca="1" si="10"/>
        <v>133</v>
      </c>
      <c r="C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1" t="str">
        <f ca="1">IF(dict_zuord_Meth_Transfers[[#This Row],[kval_active]],dict_zuord_Meth_Transfers[[#This Row],[ID_Transfers]],"")</f>
        <v/>
      </c>
    </row>
    <row r="662" spans="1:4" x14ac:dyDescent="0.45">
      <c r="A662">
        <v>110</v>
      </c>
      <c r="B662" s="3">
        <f t="shared" ca="1" si="10"/>
        <v>98</v>
      </c>
      <c r="C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2" t="str">
        <f ca="1">IF(dict_zuord_Meth_Transfers[[#This Row],[kval_active]],dict_zuord_Meth_Transfers[[#This Row],[ID_Transfers]],"")</f>
        <v/>
      </c>
    </row>
    <row r="663" spans="1:4" x14ac:dyDescent="0.45">
      <c r="A663">
        <v>110</v>
      </c>
      <c r="B663">
        <f t="shared" ca="1" si="10"/>
        <v>145</v>
      </c>
      <c r="C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3" t="str">
        <f ca="1">IF(dict_zuord_Meth_Transfers[[#This Row],[kval_active]],dict_zuord_Meth_Transfers[[#This Row],[ID_Transfers]],"")</f>
        <v/>
      </c>
    </row>
    <row r="664" spans="1:4" x14ac:dyDescent="0.45">
      <c r="A664">
        <v>110</v>
      </c>
      <c r="B664">
        <f t="shared" ca="1" si="10"/>
        <v>165</v>
      </c>
      <c r="C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4" t="str">
        <f ca="1">IF(dict_zuord_Meth_Transfers[[#This Row],[kval_active]],dict_zuord_Meth_Transfers[[#This Row],[ID_Transfers]],"")</f>
        <v/>
      </c>
    </row>
    <row r="665" spans="1:4" x14ac:dyDescent="0.45">
      <c r="A665">
        <v>110</v>
      </c>
      <c r="B665">
        <f t="shared" ca="1" si="10"/>
        <v>79</v>
      </c>
      <c r="C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5" t="str">
        <f ca="1">IF(dict_zuord_Meth_Transfers[[#This Row],[kval_active]],dict_zuord_Meth_Transfers[[#This Row],[ID_Transfers]],"")</f>
        <v/>
      </c>
    </row>
    <row r="666" spans="1:4" x14ac:dyDescent="0.45">
      <c r="A666">
        <v>110</v>
      </c>
      <c r="B666" s="3">
        <f t="shared" ca="1" si="10"/>
        <v>63</v>
      </c>
      <c r="C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6" t="str">
        <f ca="1">IF(dict_zuord_Meth_Transfers[[#This Row],[kval_active]],dict_zuord_Meth_Transfers[[#This Row],[ID_Transfers]],"")</f>
        <v/>
      </c>
    </row>
    <row r="667" spans="1:4" x14ac:dyDescent="0.45">
      <c r="A667">
        <v>110</v>
      </c>
      <c r="B667" s="3">
        <f t="shared" ca="1" si="10"/>
        <v>55</v>
      </c>
      <c r="C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7" t="str">
        <f ca="1">IF(dict_zuord_Meth_Transfers[[#This Row],[kval_active]],dict_zuord_Meth_Transfers[[#This Row],[ID_Transfers]],"")</f>
        <v/>
      </c>
    </row>
    <row r="668" spans="1:4" x14ac:dyDescent="0.45">
      <c r="A668">
        <v>111</v>
      </c>
      <c r="B668" s="3">
        <f t="shared" ca="1" si="10"/>
        <v>64</v>
      </c>
      <c r="C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8" t="str">
        <f ca="1">IF(dict_zuord_Meth_Transfers[[#This Row],[kval_active]],dict_zuord_Meth_Transfers[[#This Row],[ID_Transfers]],"")</f>
        <v/>
      </c>
    </row>
    <row r="669" spans="1:4" x14ac:dyDescent="0.45">
      <c r="A669">
        <v>111</v>
      </c>
      <c r="B669" s="3">
        <f t="shared" ca="1" si="10"/>
        <v>175</v>
      </c>
      <c r="C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69" t="str">
        <f ca="1">IF(dict_zuord_Meth_Transfers[[#This Row],[kval_active]],dict_zuord_Meth_Transfers[[#This Row],[ID_Transfers]],"")</f>
        <v/>
      </c>
    </row>
    <row r="670" spans="1:4" x14ac:dyDescent="0.45">
      <c r="A670">
        <v>111</v>
      </c>
      <c r="B670">
        <f t="shared" ca="1" si="10"/>
        <v>77</v>
      </c>
      <c r="C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0" t="str">
        <f ca="1">IF(dict_zuord_Meth_Transfers[[#This Row],[kval_active]],dict_zuord_Meth_Transfers[[#This Row],[ID_Transfers]],"")</f>
        <v/>
      </c>
    </row>
    <row r="671" spans="1:4" x14ac:dyDescent="0.45">
      <c r="A671">
        <v>111</v>
      </c>
      <c r="B671">
        <f t="shared" ca="1" si="10"/>
        <v>65</v>
      </c>
      <c r="C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1" t="str">
        <f ca="1">IF(dict_zuord_Meth_Transfers[[#This Row],[kval_active]],dict_zuord_Meth_Transfers[[#This Row],[ID_Transfers]],"")</f>
        <v/>
      </c>
    </row>
    <row r="672" spans="1:4" x14ac:dyDescent="0.45">
      <c r="A672">
        <v>111</v>
      </c>
      <c r="B672">
        <f t="shared" ca="1" si="10"/>
        <v>0</v>
      </c>
      <c r="C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2" t="str">
        <f ca="1">IF(dict_zuord_Meth_Transfers[[#This Row],[kval_active]],dict_zuord_Meth_Transfers[[#This Row],[ID_Transfers]],"")</f>
        <v/>
      </c>
    </row>
    <row r="673" spans="1:4" x14ac:dyDescent="0.45">
      <c r="A673">
        <v>111</v>
      </c>
      <c r="B673" s="3">
        <f t="shared" ca="1" si="10"/>
        <v>69</v>
      </c>
      <c r="C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3" t="str">
        <f ca="1">IF(dict_zuord_Meth_Transfers[[#This Row],[kval_active]],dict_zuord_Meth_Transfers[[#This Row],[ID_Transfers]],"")</f>
        <v/>
      </c>
    </row>
    <row r="674" spans="1:4" x14ac:dyDescent="0.45">
      <c r="A674">
        <v>112</v>
      </c>
      <c r="B674" s="3">
        <f t="shared" ca="1" si="10"/>
        <v>4</v>
      </c>
      <c r="C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4" t="str">
        <f ca="1">IF(dict_zuord_Meth_Transfers[[#This Row],[kval_active]],dict_zuord_Meth_Transfers[[#This Row],[ID_Transfers]],"")</f>
        <v/>
      </c>
    </row>
    <row r="675" spans="1:4" x14ac:dyDescent="0.45">
      <c r="A675">
        <v>112</v>
      </c>
      <c r="B675" s="3">
        <f t="shared" ca="1" si="10"/>
        <v>165</v>
      </c>
      <c r="C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5" t="str">
        <f ca="1">IF(dict_zuord_Meth_Transfers[[#This Row],[kval_active]],dict_zuord_Meth_Transfers[[#This Row],[ID_Transfers]],"")</f>
        <v/>
      </c>
    </row>
    <row r="676" spans="1:4" x14ac:dyDescent="0.45">
      <c r="A676">
        <v>112</v>
      </c>
      <c r="B676">
        <f t="shared" ca="1" si="10"/>
        <v>76</v>
      </c>
      <c r="C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6" t="str">
        <f ca="1">IF(dict_zuord_Meth_Transfers[[#This Row],[kval_active]],dict_zuord_Meth_Transfers[[#This Row],[ID_Transfers]],"")</f>
        <v/>
      </c>
    </row>
    <row r="677" spans="1:4" x14ac:dyDescent="0.45">
      <c r="A677">
        <v>112</v>
      </c>
      <c r="B677" s="3">
        <f t="shared" ca="1" si="10"/>
        <v>182</v>
      </c>
      <c r="C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7" t="str">
        <f ca="1">IF(dict_zuord_Meth_Transfers[[#This Row],[kval_active]],dict_zuord_Meth_Transfers[[#This Row],[ID_Transfers]],"")</f>
        <v/>
      </c>
    </row>
    <row r="678" spans="1:4" x14ac:dyDescent="0.45">
      <c r="A678">
        <v>112</v>
      </c>
      <c r="B678">
        <f t="shared" ca="1" si="10"/>
        <v>8</v>
      </c>
      <c r="C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8" t="str">
        <f ca="1">IF(dict_zuord_Meth_Transfers[[#This Row],[kval_active]],dict_zuord_Meth_Transfers[[#This Row],[ID_Transfers]],"")</f>
        <v/>
      </c>
    </row>
    <row r="679" spans="1:4" x14ac:dyDescent="0.45">
      <c r="A679">
        <v>112</v>
      </c>
      <c r="B679">
        <f t="shared" ca="1" si="10"/>
        <v>114</v>
      </c>
      <c r="C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79" t="str">
        <f ca="1">IF(dict_zuord_Meth_Transfers[[#This Row],[kval_active]],dict_zuord_Meth_Transfers[[#This Row],[ID_Transfers]],"")</f>
        <v/>
      </c>
    </row>
    <row r="680" spans="1:4" x14ac:dyDescent="0.45">
      <c r="A680">
        <v>113</v>
      </c>
      <c r="B680" s="3">
        <f t="shared" ca="1" si="10"/>
        <v>56</v>
      </c>
      <c r="C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0" t="str">
        <f ca="1">IF(dict_zuord_Meth_Transfers[[#This Row],[kval_active]],dict_zuord_Meth_Transfers[[#This Row],[ID_Transfers]],"")</f>
        <v/>
      </c>
    </row>
    <row r="681" spans="1:4" x14ac:dyDescent="0.45">
      <c r="A681">
        <v>113</v>
      </c>
      <c r="B681">
        <f t="shared" ca="1" si="10"/>
        <v>53</v>
      </c>
      <c r="C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1" t="str">
        <f ca="1">IF(dict_zuord_Meth_Transfers[[#This Row],[kval_active]],dict_zuord_Meth_Transfers[[#This Row],[ID_Transfers]],"")</f>
        <v/>
      </c>
    </row>
    <row r="682" spans="1:4" x14ac:dyDescent="0.45">
      <c r="A682">
        <v>113</v>
      </c>
      <c r="B682" s="3">
        <f t="shared" ca="1" si="10"/>
        <v>176</v>
      </c>
      <c r="C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2" t="str">
        <f ca="1">IF(dict_zuord_Meth_Transfers[[#This Row],[kval_active]],dict_zuord_Meth_Transfers[[#This Row],[ID_Transfers]],"")</f>
        <v/>
      </c>
    </row>
    <row r="683" spans="1:4" x14ac:dyDescent="0.45">
      <c r="A683">
        <v>113</v>
      </c>
      <c r="B683">
        <f t="shared" ca="1" si="10"/>
        <v>191</v>
      </c>
      <c r="C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3" t="str">
        <f ca="1">IF(dict_zuord_Meth_Transfers[[#This Row],[kval_active]],dict_zuord_Meth_Transfers[[#This Row],[ID_Transfers]],"")</f>
        <v/>
      </c>
    </row>
    <row r="684" spans="1:4" x14ac:dyDescent="0.45">
      <c r="A684">
        <v>113</v>
      </c>
      <c r="B684" s="3">
        <f t="shared" ca="1" si="10"/>
        <v>106</v>
      </c>
      <c r="C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4" t="str">
        <f ca="1">IF(dict_zuord_Meth_Transfers[[#This Row],[kval_active]],dict_zuord_Meth_Transfers[[#This Row],[ID_Transfers]],"")</f>
        <v/>
      </c>
    </row>
    <row r="685" spans="1:4" x14ac:dyDescent="0.45">
      <c r="A685">
        <v>113</v>
      </c>
      <c r="B685">
        <f t="shared" ca="1" si="10"/>
        <v>2</v>
      </c>
      <c r="C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5" t="str">
        <f ca="1">IF(dict_zuord_Meth_Transfers[[#This Row],[kval_active]],dict_zuord_Meth_Transfers[[#This Row],[ID_Transfers]],"")</f>
        <v/>
      </c>
    </row>
    <row r="686" spans="1:4" x14ac:dyDescent="0.45">
      <c r="A686">
        <v>114</v>
      </c>
      <c r="B686" s="3">
        <f t="shared" ca="1" si="10"/>
        <v>107</v>
      </c>
      <c r="C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6" t="str">
        <f ca="1">IF(dict_zuord_Meth_Transfers[[#This Row],[kval_active]],dict_zuord_Meth_Transfers[[#This Row],[ID_Transfers]],"")</f>
        <v/>
      </c>
    </row>
    <row r="687" spans="1:4" x14ac:dyDescent="0.45">
      <c r="A687">
        <v>114</v>
      </c>
      <c r="B687" s="3">
        <f t="shared" ca="1" si="10"/>
        <v>179</v>
      </c>
      <c r="C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7" t="str">
        <f ca="1">IF(dict_zuord_Meth_Transfers[[#This Row],[kval_active]],dict_zuord_Meth_Transfers[[#This Row],[ID_Transfers]],"")</f>
        <v/>
      </c>
    </row>
    <row r="688" spans="1:4" x14ac:dyDescent="0.45">
      <c r="A688">
        <v>114</v>
      </c>
      <c r="B688">
        <f t="shared" ca="1" si="10"/>
        <v>184</v>
      </c>
      <c r="C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8" t="str">
        <f ca="1">IF(dict_zuord_Meth_Transfers[[#This Row],[kval_active]],dict_zuord_Meth_Transfers[[#This Row],[ID_Transfers]],"")</f>
        <v/>
      </c>
    </row>
    <row r="689" spans="1:4" x14ac:dyDescent="0.45">
      <c r="A689">
        <v>114</v>
      </c>
      <c r="B689" s="3">
        <f t="shared" ca="1" si="10"/>
        <v>127</v>
      </c>
      <c r="C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89" t="str">
        <f ca="1">IF(dict_zuord_Meth_Transfers[[#This Row],[kval_active]],dict_zuord_Meth_Transfers[[#This Row],[ID_Transfers]],"")</f>
        <v/>
      </c>
    </row>
    <row r="690" spans="1:4" x14ac:dyDescent="0.45">
      <c r="A690">
        <v>114</v>
      </c>
      <c r="B690">
        <f t="shared" ca="1" si="10"/>
        <v>160</v>
      </c>
      <c r="C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0" t="str">
        <f ca="1">IF(dict_zuord_Meth_Transfers[[#This Row],[kval_active]],dict_zuord_Meth_Transfers[[#This Row],[ID_Transfers]],"")</f>
        <v/>
      </c>
    </row>
    <row r="691" spans="1:4" x14ac:dyDescent="0.45">
      <c r="A691">
        <v>114</v>
      </c>
      <c r="B691">
        <f t="shared" ca="1" si="10"/>
        <v>160</v>
      </c>
      <c r="C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1" t="str">
        <f ca="1">IF(dict_zuord_Meth_Transfers[[#This Row],[kval_active]],dict_zuord_Meth_Transfers[[#This Row],[ID_Transfers]],"")</f>
        <v/>
      </c>
    </row>
    <row r="692" spans="1:4" x14ac:dyDescent="0.45">
      <c r="A692">
        <v>115</v>
      </c>
      <c r="B692">
        <f t="shared" ca="1" si="10"/>
        <v>111</v>
      </c>
      <c r="C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2" t="str">
        <f ca="1">IF(dict_zuord_Meth_Transfers[[#This Row],[kval_active]],dict_zuord_Meth_Transfers[[#This Row],[ID_Transfers]],"")</f>
        <v/>
      </c>
    </row>
    <row r="693" spans="1:4" x14ac:dyDescent="0.45">
      <c r="A693">
        <v>115</v>
      </c>
      <c r="B693">
        <f t="shared" ca="1" si="10"/>
        <v>88</v>
      </c>
      <c r="C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3" t="str">
        <f ca="1">IF(dict_zuord_Meth_Transfers[[#This Row],[kval_active]],dict_zuord_Meth_Transfers[[#This Row],[ID_Transfers]],"")</f>
        <v/>
      </c>
    </row>
    <row r="694" spans="1:4" x14ac:dyDescent="0.45">
      <c r="A694">
        <v>115</v>
      </c>
      <c r="B694" s="3">
        <f t="shared" ca="1" si="10"/>
        <v>172</v>
      </c>
      <c r="C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4" t="str">
        <f ca="1">IF(dict_zuord_Meth_Transfers[[#This Row],[kval_active]],dict_zuord_Meth_Transfers[[#This Row],[ID_Transfers]],"")</f>
        <v/>
      </c>
    </row>
    <row r="695" spans="1:4" x14ac:dyDescent="0.45">
      <c r="A695">
        <v>115</v>
      </c>
      <c r="B695" s="3">
        <f t="shared" ca="1" si="10"/>
        <v>159</v>
      </c>
      <c r="C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5" t="str">
        <f ca="1">IF(dict_zuord_Meth_Transfers[[#This Row],[kval_active]],dict_zuord_Meth_Transfers[[#This Row],[ID_Transfers]],"")</f>
        <v/>
      </c>
    </row>
    <row r="696" spans="1:4" x14ac:dyDescent="0.45">
      <c r="A696">
        <v>115</v>
      </c>
      <c r="B696">
        <f t="shared" ca="1" si="10"/>
        <v>76</v>
      </c>
      <c r="C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6" t="str">
        <f ca="1">IF(dict_zuord_Meth_Transfers[[#This Row],[kval_active]],dict_zuord_Meth_Transfers[[#This Row],[ID_Transfers]],"")</f>
        <v/>
      </c>
    </row>
    <row r="697" spans="1:4" x14ac:dyDescent="0.45">
      <c r="A697">
        <v>115</v>
      </c>
      <c r="B697" s="3">
        <f t="shared" ca="1" si="10"/>
        <v>19</v>
      </c>
      <c r="C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7" t="str">
        <f ca="1">IF(dict_zuord_Meth_Transfers[[#This Row],[kval_active]],dict_zuord_Meth_Transfers[[#This Row],[ID_Transfers]],"")</f>
        <v/>
      </c>
    </row>
    <row r="698" spans="1:4" x14ac:dyDescent="0.45">
      <c r="A698">
        <v>116</v>
      </c>
      <c r="B698">
        <f t="shared" ca="1" si="10"/>
        <v>36</v>
      </c>
      <c r="C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8" t="str">
        <f ca="1">IF(dict_zuord_Meth_Transfers[[#This Row],[kval_active]],dict_zuord_Meth_Transfers[[#This Row],[ID_Transfers]],"")</f>
        <v/>
      </c>
    </row>
    <row r="699" spans="1:4" x14ac:dyDescent="0.45">
      <c r="A699">
        <v>116</v>
      </c>
      <c r="B699">
        <f t="shared" ca="1" si="10"/>
        <v>128</v>
      </c>
      <c r="C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699" t="str">
        <f ca="1">IF(dict_zuord_Meth_Transfers[[#This Row],[kval_active]],dict_zuord_Meth_Transfers[[#This Row],[ID_Transfers]],"")</f>
        <v/>
      </c>
    </row>
    <row r="700" spans="1:4" x14ac:dyDescent="0.45">
      <c r="A700">
        <v>116</v>
      </c>
      <c r="B700" s="3">
        <f t="shared" ca="1" si="10"/>
        <v>89</v>
      </c>
      <c r="C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0" t="str">
        <f ca="1">IF(dict_zuord_Meth_Transfers[[#This Row],[kval_active]],dict_zuord_Meth_Transfers[[#This Row],[ID_Transfers]],"")</f>
        <v/>
      </c>
    </row>
    <row r="701" spans="1:4" x14ac:dyDescent="0.45">
      <c r="A701">
        <v>116</v>
      </c>
      <c r="B701">
        <f t="shared" ca="1" si="10"/>
        <v>142</v>
      </c>
      <c r="C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1" t="str">
        <f ca="1">IF(dict_zuord_Meth_Transfers[[#This Row],[kval_active]],dict_zuord_Meth_Transfers[[#This Row],[ID_Transfers]],"")</f>
        <v/>
      </c>
    </row>
    <row r="702" spans="1:4" x14ac:dyDescent="0.45">
      <c r="A702">
        <v>116</v>
      </c>
      <c r="B702" s="3">
        <f t="shared" ca="1" si="10"/>
        <v>83</v>
      </c>
      <c r="C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2" t="str">
        <f ca="1">IF(dict_zuord_Meth_Transfers[[#This Row],[kval_active]],dict_zuord_Meth_Transfers[[#This Row],[ID_Transfers]],"")</f>
        <v/>
      </c>
    </row>
    <row r="703" spans="1:4" x14ac:dyDescent="0.45">
      <c r="A703">
        <v>116</v>
      </c>
      <c r="B703" s="3">
        <f t="shared" ca="1" si="10"/>
        <v>28</v>
      </c>
      <c r="C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3" t="str">
        <f ca="1">IF(dict_zuord_Meth_Transfers[[#This Row],[kval_active]],dict_zuord_Meth_Transfers[[#This Row],[ID_Transfers]],"")</f>
        <v/>
      </c>
    </row>
    <row r="704" spans="1:4" x14ac:dyDescent="0.45">
      <c r="A704">
        <v>117</v>
      </c>
      <c r="B704" s="3">
        <f t="shared" ca="1" si="10"/>
        <v>184</v>
      </c>
      <c r="C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4" t="str">
        <f ca="1">IF(dict_zuord_Meth_Transfers[[#This Row],[kval_active]],dict_zuord_Meth_Transfers[[#This Row],[ID_Transfers]],"")</f>
        <v/>
      </c>
    </row>
    <row r="705" spans="1:4" x14ac:dyDescent="0.45">
      <c r="A705">
        <v>117</v>
      </c>
      <c r="B705">
        <f t="shared" ca="1" si="10"/>
        <v>29</v>
      </c>
      <c r="C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5" t="str">
        <f ca="1">IF(dict_zuord_Meth_Transfers[[#This Row],[kval_active]],dict_zuord_Meth_Transfers[[#This Row],[ID_Transfers]],"")</f>
        <v/>
      </c>
    </row>
    <row r="706" spans="1:4" x14ac:dyDescent="0.45">
      <c r="A706">
        <v>117</v>
      </c>
      <c r="B706" s="3">
        <f t="shared" ref="B706:B769" ca="1" si="11">RANDBETWEEN(0,200)</f>
        <v>69</v>
      </c>
      <c r="C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6" t="str">
        <f ca="1">IF(dict_zuord_Meth_Transfers[[#This Row],[kval_active]],dict_zuord_Meth_Transfers[[#This Row],[ID_Transfers]],"")</f>
        <v/>
      </c>
    </row>
    <row r="707" spans="1:4" x14ac:dyDescent="0.45">
      <c r="A707">
        <v>117</v>
      </c>
      <c r="B707">
        <f t="shared" ca="1" si="11"/>
        <v>100</v>
      </c>
      <c r="C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7" t="str">
        <f ca="1">IF(dict_zuord_Meth_Transfers[[#This Row],[kval_active]],dict_zuord_Meth_Transfers[[#This Row],[ID_Transfers]],"")</f>
        <v/>
      </c>
    </row>
    <row r="708" spans="1:4" x14ac:dyDescent="0.45">
      <c r="A708">
        <v>117</v>
      </c>
      <c r="B708">
        <f t="shared" ca="1" si="11"/>
        <v>123</v>
      </c>
      <c r="C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8" t="str">
        <f ca="1">IF(dict_zuord_Meth_Transfers[[#This Row],[kval_active]],dict_zuord_Meth_Transfers[[#This Row],[ID_Transfers]],"")</f>
        <v/>
      </c>
    </row>
    <row r="709" spans="1:4" x14ac:dyDescent="0.45">
      <c r="A709">
        <v>117</v>
      </c>
      <c r="B709" s="3">
        <f t="shared" ca="1" si="11"/>
        <v>13</v>
      </c>
      <c r="C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09" t="str">
        <f ca="1">IF(dict_zuord_Meth_Transfers[[#This Row],[kval_active]],dict_zuord_Meth_Transfers[[#This Row],[ID_Transfers]],"")</f>
        <v/>
      </c>
    </row>
    <row r="710" spans="1:4" x14ac:dyDescent="0.45">
      <c r="A710">
        <v>118</v>
      </c>
      <c r="B710">
        <f t="shared" ca="1" si="11"/>
        <v>82</v>
      </c>
      <c r="C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0" t="str">
        <f ca="1">IF(dict_zuord_Meth_Transfers[[#This Row],[kval_active]],dict_zuord_Meth_Transfers[[#This Row],[ID_Transfers]],"")</f>
        <v/>
      </c>
    </row>
    <row r="711" spans="1:4" x14ac:dyDescent="0.45">
      <c r="A711">
        <v>118</v>
      </c>
      <c r="B711" s="3">
        <f t="shared" ca="1" si="11"/>
        <v>2</v>
      </c>
      <c r="C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1" t="str">
        <f ca="1">IF(dict_zuord_Meth_Transfers[[#This Row],[kval_active]],dict_zuord_Meth_Transfers[[#This Row],[ID_Transfers]],"")</f>
        <v/>
      </c>
    </row>
    <row r="712" spans="1:4" x14ac:dyDescent="0.45">
      <c r="A712">
        <v>118</v>
      </c>
      <c r="B712" s="3">
        <f t="shared" ca="1" si="11"/>
        <v>41</v>
      </c>
      <c r="C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2" t="str">
        <f ca="1">IF(dict_zuord_Meth_Transfers[[#This Row],[kval_active]],dict_zuord_Meth_Transfers[[#This Row],[ID_Transfers]],"")</f>
        <v/>
      </c>
    </row>
    <row r="713" spans="1:4" x14ac:dyDescent="0.45">
      <c r="A713">
        <v>118</v>
      </c>
      <c r="B713">
        <f t="shared" ca="1" si="11"/>
        <v>193</v>
      </c>
      <c r="C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3" t="str">
        <f ca="1">IF(dict_zuord_Meth_Transfers[[#This Row],[kval_active]],dict_zuord_Meth_Transfers[[#This Row],[ID_Transfers]],"")</f>
        <v/>
      </c>
    </row>
    <row r="714" spans="1:4" x14ac:dyDescent="0.45">
      <c r="A714">
        <v>118</v>
      </c>
      <c r="B714" s="3">
        <f t="shared" ca="1" si="11"/>
        <v>142</v>
      </c>
      <c r="C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4" t="str">
        <f ca="1">IF(dict_zuord_Meth_Transfers[[#This Row],[kval_active]],dict_zuord_Meth_Transfers[[#This Row],[ID_Transfers]],"")</f>
        <v/>
      </c>
    </row>
    <row r="715" spans="1:4" x14ac:dyDescent="0.45">
      <c r="A715">
        <v>118</v>
      </c>
      <c r="B715">
        <f t="shared" ca="1" si="11"/>
        <v>181</v>
      </c>
      <c r="C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5" t="str">
        <f ca="1">IF(dict_zuord_Meth_Transfers[[#This Row],[kval_active]],dict_zuord_Meth_Transfers[[#This Row],[ID_Transfers]],"")</f>
        <v/>
      </c>
    </row>
    <row r="716" spans="1:4" x14ac:dyDescent="0.45">
      <c r="A716">
        <v>119</v>
      </c>
      <c r="B716">
        <f t="shared" ca="1" si="11"/>
        <v>128</v>
      </c>
      <c r="C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6" t="str">
        <f ca="1">IF(dict_zuord_Meth_Transfers[[#This Row],[kval_active]],dict_zuord_Meth_Transfers[[#This Row],[ID_Transfers]],"")</f>
        <v/>
      </c>
    </row>
    <row r="717" spans="1:4" x14ac:dyDescent="0.45">
      <c r="A717">
        <v>119</v>
      </c>
      <c r="B717" s="3">
        <f t="shared" ca="1" si="11"/>
        <v>177</v>
      </c>
      <c r="C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7" t="str">
        <f ca="1">IF(dict_zuord_Meth_Transfers[[#This Row],[kval_active]],dict_zuord_Meth_Transfers[[#This Row],[ID_Transfers]],"")</f>
        <v/>
      </c>
    </row>
    <row r="718" spans="1:4" x14ac:dyDescent="0.45">
      <c r="A718">
        <v>119</v>
      </c>
      <c r="B718">
        <f t="shared" ca="1" si="11"/>
        <v>65</v>
      </c>
      <c r="C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8" t="str">
        <f ca="1">IF(dict_zuord_Meth_Transfers[[#This Row],[kval_active]],dict_zuord_Meth_Transfers[[#This Row],[ID_Transfers]],"")</f>
        <v/>
      </c>
    </row>
    <row r="719" spans="1:4" x14ac:dyDescent="0.45">
      <c r="A719">
        <v>119</v>
      </c>
      <c r="B719" s="3">
        <f t="shared" ca="1" si="11"/>
        <v>26</v>
      </c>
      <c r="C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19" t="str">
        <f ca="1">IF(dict_zuord_Meth_Transfers[[#This Row],[kval_active]],dict_zuord_Meth_Transfers[[#This Row],[ID_Transfers]],"")</f>
        <v/>
      </c>
    </row>
    <row r="720" spans="1:4" x14ac:dyDescent="0.45">
      <c r="A720">
        <v>119</v>
      </c>
      <c r="B720" s="3">
        <f t="shared" ca="1" si="11"/>
        <v>24</v>
      </c>
      <c r="C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0" t="str">
        <f ca="1">IF(dict_zuord_Meth_Transfers[[#This Row],[kval_active]],dict_zuord_Meth_Transfers[[#This Row],[ID_Transfers]],"")</f>
        <v/>
      </c>
    </row>
    <row r="721" spans="1:4" x14ac:dyDescent="0.45">
      <c r="A721">
        <v>119</v>
      </c>
      <c r="B721">
        <f t="shared" ca="1" si="11"/>
        <v>89</v>
      </c>
      <c r="C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1" t="str">
        <f ca="1">IF(dict_zuord_Meth_Transfers[[#This Row],[kval_active]],dict_zuord_Meth_Transfers[[#This Row],[ID_Transfers]],"")</f>
        <v/>
      </c>
    </row>
    <row r="722" spans="1:4" x14ac:dyDescent="0.45">
      <c r="A722">
        <v>120</v>
      </c>
      <c r="B722">
        <f t="shared" ca="1" si="11"/>
        <v>76</v>
      </c>
      <c r="C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2" t="str">
        <f ca="1">IF(dict_zuord_Meth_Transfers[[#This Row],[kval_active]],dict_zuord_Meth_Transfers[[#This Row],[ID_Transfers]],"")</f>
        <v/>
      </c>
    </row>
    <row r="723" spans="1:4" x14ac:dyDescent="0.45">
      <c r="A723">
        <v>120</v>
      </c>
      <c r="B723" s="3">
        <f t="shared" ca="1" si="11"/>
        <v>144</v>
      </c>
      <c r="C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3" t="str">
        <f ca="1">IF(dict_zuord_Meth_Transfers[[#This Row],[kval_active]],dict_zuord_Meth_Transfers[[#This Row],[ID_Transfers]],"")</f>
        <v/>
      </c>
    </row>
    <row r="724" spans="1:4" x14ac:dyDescent="0.45">
      <c r="A724">
        <v>120</v>
      </c>
      <c r="B724" s="3">
        <f t="shared" ca="1" si="11"/>
        <v>160</v>
      </c>
      <c r="C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4" t="str">
        <f ca="1">IF(dict_zuord_Meth_Transfers[[#This Row],[kval_active]],dict_zuord_Meth_Transfers[[#This Row],[ID_Transfers]],"")</f>
        <v/>
      </c>
    </row>
    <row r="725" spans="1:4" x14ac:dyDescent="0.45">
      <c r="A725">
        <v>120</v>
      </c>
      <c r="B725" s="3">
        <f t="shared" ca="1" si="11"/>
        <v>111</v>
      </c>
      <c r="C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5" t="str">
        <f ca="1">IF(dict_zuord_Meth_Transfers[[#This Row],[kval_active]],dict_zuord_Meth_Transfers[[#This Row],[ID_Transfers]],"")</f>
        <v/>
      </c>
    </row>
    <row r="726" spans="1:4" x14ac:dyDescent="0.45">
      <c r="A726">
        <v>120</v>
      </c>
      <c r="B726">
        <f t="shared" ca="1" si="11"/>
        <v>84</v>
      </c>
      <c r="C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6" t="str">
        <f ca="1">IF(dict_zuord_Meth_Transfers[[#This Row],[kval_active]],dict_zuord_Meth_Transfers[[#This Row],[ID_Transfers]],"")</f>
        <v/>
      </c>
    </row>
    <row r="727" spans="1:4" x14ac:dyDescent="0.45">
      <c r="A727">
        <v>120</v>
      </c>
      <c r="B727">
        <f t="shared" ca="1" si="11"/>
        <v>138</v>
      </c>
      <c r="C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7" t="str">
        <f ca="1">IF(dict_zuord_Meth_Transfers[[#This Row],[kval_active]],dict_zuord_Meth_Transfers[[#This Row],[ID_Transfers]],"")</f>
        <v/>
      </c>
    </row>
    <row r="728" spans="1:4" x14ac:dyDescent="0.45">
      <c r="A728">
        <v>121</v>
      </c>
      <c r="B728" s="3">
        <f t="shared" ca="1" si="11"/>
        <v>82</v>
      </c>
      <c r="C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8" t="str">
        <f ca="1">IF(dict_zuord_Meth_Transfers[[#This Row],[kval_active]],dict_zuord_Meth_Transfers[[#This Row],[ID_Transfers]],"")</f>
        <v/>
      </c>
    </row>
    <row r="729" spans="1:4" x14ac:dyDescent="0.45">
      <c r="A729">
        <v>121</v>
      </c>
      <c r="B729">
        <f t="shared" ca="1" si="11"/>
        <v>81</v>
      </c>
      <c r="C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29" t="str">
        <f ca="1">IF(dict_zuord_Meth_Transfers[[#This Row],[kval_active]],dict_zuord_Meth_Transfers[[#This Row],[ID_Transfers]],"")</f>
        <v/>
      </c>
    </row>
    <row r="730" spans="1:4" x14ac:dyDescent="0.45">
      <c r="A730">
        <v>121</v>
      </c>
      <c r="B730">
        <f t="shared" ca="1" si="11"/>
        <v>26</v>
      </c>
      <c r="C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0" t="str">
        <f ca="1">IF(dict_zuord_Meth_Transfers[[#This Row],[kval_active]],dict_zuord_Meth_Transfers[[#This Row],[ID_Transfers]],"")</f>
        <v/>
      </c>
    </row>
    <row r="731" spans="1:4" x14ac:dyDescent="0.45">
      <c r="A731">
        <v>121</v>
      </c>
      <c r="B731">
        <f t="shared" ca="1" si="11"/>
        <v>35</v>
      </c>
      <c r="C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1" t="str">
        <f ca="1">IF(dict_zuord_Meth_Transfers[[#This Row],[kval_active]],dict_zuord_Meth_Transfers[[#This Row],[ID_Transfers]],"")</f>
        <v/>
      </c>
    </row>
    <row r="732" spans="1:4" x14ac:dyDescent="0.45">
      <c r="A732">
        <v>121</v>
      </c>
      <c r="B732" s="3">
        <f t="shared" ca="1" si="11"/>
        <v>95</v>
      </c>
      <c r="C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2" t="str">
        <f ca="1">IF(dict_zuord_Meth_Transfers[[#This Row],[kval_active]],dict_zuord_Meth_Transfers[[#This Row],[ID_Transfers]],"")</f>
        <v/>
      </c>
    </row>
    <row r="733" spans="1:4" x14ac:dyDescent="0.45">
      <c r="A733">
        <v>121</v>
      </c>
      <c r="B733" s="3">
        <f t="shared" ca="1" si="11"/>
        <v>98</v>
      </c>
      <c r="C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3" t="str">
        <f ca="1">IF(dict_zuord_Meth_Transfers[[#This Row],[kval_active]],dict_zuord_Meth_Transfers[[#This Row],[ID_Transfers]],"")</f>
        <v/>
      </c>
    </row>
    <row r="734" spans="1:4" x14ac:dyDescent="0.45">
      <c r="A734">
        <v>122</v>
      </c>
      <c r="B734">
        <f t="shared" ca="1" si="11"/>
        <v>123</v>
      </c>
      <c r="C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4" t="str">
        <f ca="1">IF(dict_zuord_Meth_Transfers[[#This Row],[kval_active]],dict_zuord_Meth_Transfers[[#This Row],[ID_Transfers]],"")</f>
        <v/>
      </c>
    </row>
    <row r="735" spans="1:4" x14ac:dyDescent="0.45">
      <c r="A735">
        <v>122</v>
      </c>
      <c r="B735" s="3">
        <f t="shared" ca="1" si="11"/>
        <v>53</v>
      </c>
      <c r="C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5" t="str">
        <f ca="1">IF(dict_zuord_Meth_Transfers[[#This Row],[kval_active]],dict_zuord_Meth_Transfers[[#This Row],[ID_Transfers]],"")</f>
        <v/>
      </c>
    </row>
    <row r="736" spans="1:4" x14ac:dyDescent="0.45">
      <c r="A736">
        <v>122</v>
      </c>
      <c r="B736" s="3">
        <f t="shared" ca="1" si="11"/>
        <v>48</v>
      </c>
      <c r="C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6" t="str">
        <f ca="1">IF(dict_zuord_Meth_Transfers[[#This Row],[kval_active]],dict_zuord_Meth_Transfers[[#This Row],[ID_Transfers]],"")</f>
        <v/>
      </c>
    </row>
    <row r="737" spans="1:4" x14ac:dyDescent="0.45">
      <c r="A737">
        <v>122</v>
      </c>
      <c r="B737" s="3">
        <f t="shared" ca="1" si="11"/>
        <v>95</v>
      </c>
      <c r="C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7" t="str">
        <f ca="1">IF(dict_zuord_Meth_Transfers[[#This Row],[kval_active]],dict_zuord_Meth_Transfers[[#This Row],[ID_Transfers]],"")</f>
        <v/>
      </c>
    </row>
    <row r="738" spans="1:4" x14ac:dyDescent="0.45">
      <c r="A738">
        <v>122</v>
      </c>
      <c r="B738">
        <f t="shared" ca="1" si="11"/>
        <v>160</v>
      </c>
      <c r="C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8" t="str">
        <f ca="1">IF(dict_zuord_Meth_Transfers[[#This Row],[kval_active]],dict_zuord_Meth_Transfers[[#This Row],[ID_Transfers]],"")</f>
        <v/>
      </c>
    </row>
    <row r="739" spans="1:4" x14ac:dyDescent="0.45">
      <c r="A739">
        <v>122</v>
      </c>
      <c r="B739">
        <f t="shared" ca="1" si="11"/>
        <v>92</v>
      </c>
      <c r="C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39" t="str">
        <f ca="1">IF(dict_zuord_Meth_Transfers[[#This Row],[kval_active]],dict_zuord_Meth_Transfers[[#This Row],[ID_Transfers]],"")</f>
        <v/>
      </c>
    </row>
    <row r="740" spans="1:4" x14ac:dyDescent="0.45">
      <c r="A740">
        <v>123</v>
      </c>
      <c r="B740" s="3">
        <f t="shared" ca="1" si="11"/>
        <v>179</v>
      </c>
      <c r="C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0" t="str">
        <f ca="1">IF(dict_zuord_Meth_Transfers[[#This Row],[kval_active]],dict_zuord_Meth_Transfers[[#This Row],[ID_Transfers]],"")</f>
        <v/>
      </c>
    </row>
    <row r="741" spans="1:4" x14ac:dyDescent="0.45">
      <c r="A741">
        <v>123</v>
      </c>
      <c r="B741">
        <f t="shared" ca="1" si="11"/>
        <v>161</v>
      </c>
      <c r="C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1" t="str">
        <f ca="1">IF(dict_zuord_Meth_Transfers[[#This Row],[kval_active]],dict_zuord_Meth_Transfers[[#This Row],[ID_Transfers]],"")</f>
        <v/>
      </c>
    </row>
    <row r="742" spans="1:4" x14ac:dyDescent="0.45">
      <c r="A742">
        <v>123</v>
      </c>
      <c r="B742">
        <f t="shared" ca="1" si="11"/>
        <v>137</v>
      </c>
      <c r="C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2" t="str">
        <f ca="1">IF(dict_zuord_Meth_Transfers[[#This Row],[kval_active]],dict_zuord_Meth_Transfers[[#This Row],[ID_Transfers]],"")</f>
        <v/>
      </c>
    </row>
    <row r="743" spans="1:4" x14ac:dyDescent="0.45">
      <c r="A743">
        <v>123</v>
      </c>
      <c r="B743" s="3">
        <f t="shared" ca="1" si="11"/>
        <v>78</v>
      </c>
      <c r="C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3" t="str">
        <f ca="1">IF(dict_zuord_Meth_Transfers[[#This Row],[kval_active]],dict_zuord_Meth_Transfers[[#This Row],[ID_Transfers]],"")</f>
        <v/>
      </c>
    </row>
    <row r="744" spans="1:4" x14ac:dyDescent="0.45">
      <c r="A744">
        <v>123</v>
      </c>
      <c r="B744">
        <f t="shared" ca="1" si="11"/>
        <v>89</v>
      </c>
      <c r="C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4" t="str">
        <f ca="1">IF(dict_zuord_Meth_Transfers[[#This Row],[kval_active]],dict_zuord_Meth_Transfers[[#This Row],[ID_Transfers]],"")</f>
        <v/>
      </c>
    </row>
    <row r="745" spans="1:4" x14ac:dyDescent="0.45">
      <c r="A745">
        <v>123</v>
      </c>
      <c r="B745" s="3">
        <f t="shared" ca="1" si="11"/>
        <v>198</v>
      </c>
      <c r="C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5" t="str">
        <f ca="1">IF(dict_zuord_Meth_Transfers[[#This Row],[kval_active]],dict_zuord_Meth_Transfers[[#This Row],[ID_Transfers]],"")</f>
        <v/>
      </c>
    </row>
    <row r="746" spans="1:4" x14ac:dyDescent="0.45">
      <c r="A746">
        <v>124</v>
      </c>
      <c r="B746" s="3">
        <f t="shared" ca="1" si="11"/>
        <v>178</v>
      </c>
      <c r="C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6" t="str">
        <f ca="1">IF(dict_zuord_Meth_Transfers[[#This Row],[kval_active]],dict_zuord_Meth_Transfers[[#This Row],[ID_Transfers]],"")</f>
        <v/>
      </c>
    </row>
    <row r="747" spans="1:4" x14ac:dyDescent="0.45">
      <c r="A747">
        <v>124</v>
      </c>
      <c r="B747">
        <f t="shared" ca="1" si="11"/>
        <v>13</v>
      </c>
      <c r="C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7" t="str">
        <f ca="1">IF(dict_zuord_Meth_Transfers[[#This Row],[kval_active]],dict_zuord_Meth_Transfers[[#This Row],[ID_Transfers]],"")</f>
        <v/>
      </c>
    </row>
    <row r="748" spans="1:4" x14ac:dyDescent="0.45">
      <c r="A748">
        <v>124</v>
      </c>
      <c r="B748">
        <f t="shared" ca="1" si="11"/>
        <v>133</v>
      </c>
      <c r="C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8" t="str">
        <f ca="1">IF(dict_zuord_Meth_Transfers[[#This Row],[kval_active]],dict_zuord_Meth_Transfers[[#This Row],[ID_Transfers]],"")</f>
        <v/>
      </c>
    </row>
    <row r="749" spans="1:4" x14ac:dyDescent="0.45">
      <c r="A749">
        <v>124</v>
      </c>
      <c r="B749" s="3">
        <f t="shared" ca="1" si="11"/>
        <v>72</v>
      </c>
      <c r="C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49" t="str">
        <f ca="1">IF(dict_zuord_Meth_Transfers[[#This Row],[kval_active]],dict_zuord_Meth_Transfers[[#This Row],[ID_Transfers]],"")</f>
        <v/>
      </c>
    </row>
    <row r="750" spans="1:4" x14ac:dyDescent="0.45">
      <c r="A750">
        <v>124</v>
      </c>
      <c r="B750">
        <f t="shared" ca="1" si="11"/>
        <v>75</v>
      </c>
      <c r="C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0" t="str">
        <f ca="1">IF(dict_zuord_Meth_Transfers[[#This Row],[kval_active]],dict_zuord_Meth_Transfers[[#This Row],[ID_Transfers]],"")</f>
        <v/>
      </c>
    </row>
    <row r="751" spans="1:4" x14ac:dyDescent="0.45">
      <c r="A751">
        <v>124</v>
      </c>
      <c r="B751" s="3">
        <f t="shared" ca="1" si="11"/>
        <v>40</v>
      </c>
      <c r="C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1" t="str">
        <f ca="1">IF(dict_zuord_Meth_Transfers[[#This Row],[kval_active]],dict_zuord_Meth_Transfers[[#This Row],[ID_Transfers]],"")</f>
        <v/>
      </c>
    </row>
    <row r="752" spans="1:4" x14ac:dyDescent="0.45">
      <c r="A752">
        <v>125</v>
      </c>
      <c r="B752">
        <f t="shared" ca="1" si="11"/>
        <v>183</v>
      </c>
      <c r="C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2" t="str">
        <f ca="1">IF(dict_zuord_Meth_Transfers[[#This Row],[kval_active]],dict_zuord_Meth_Transfers[[#This Row],[ID_Transfers]],"")</f>
        <v/>
      </c>
    </row>
    <row r="753" spans="1:4" x14ac:dyDescent="0.45">
      <c r="A753">
        <v>125</v>
      </c>
      <c r="B753" s="3">
        <f t="shared" ca="1" si="11"/>
        <v>149</v>
      </c>
      <c r="C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3" t="str">
        <f ca="1">IF(dict_zuord_Meth_Transfers[[#This Row],[kval_active]],dict_zuord_Meth_Transfers[[#This Row],[ID_Transfers]],"")</f>
        <v/>
      </c>
    </row>
    <row r="754" spans="1:4" x14ac:dyDescent="0.45">
      <c r="A754">
        <v>125</v>
      </c>
      <c r="B754">
        <f t="shared" ca="1" si="11"/>
        <v>176</v>
      </c>
      <c r="C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4" t="str">
        <f ca="1">IF(dict_zuord_Meth_Transfers[[#This Row],[kval_active]],dict_zuord_Meth_Transfers[[#This Row],[ID_Transfers]],"")</f>
        <v/>
      </c>
    </row>
    <row r="755" spans="1:4" x14ac:dyDescent="0.45">
      <c r="A755">
        <v>125</v>
      </c>
      <c r="B755" s="3">
        <f t="shared" ca="1" si="11"/>
        <v>78</v>
      </c>
      <c r="C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5" t="str">
        <f ca="1">IF(dict_zuord_Meth_Transfers[[#This Row],[kval_active]],dict_zuord_Meth_Transfers[[#This Row],[ID_Transfers]],"")</f>
        <v/>
      </c>
    </row>
    <row r="756" spans="1:4" x14ac:dyDescent="0.45">
      <c r="A756">
        <v>125</v>
      </c>
      <c r="B756" s="3">
        <f t="shared" ca="1" si="11"/>
        <v>100</v>
      </c>
      <c r="C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6" t="str">
        <f ca="1">IF(dict_zuord_Meth_Transfers[[#This Row],[kval_active]],dict_zuord_Meth_Transfers[[#This Row],[ID_Transfers]],"")</f>
        <v/>
      </c>
    </row>
    <row r="757" spans="1:4" x14ac:dyDescent="0.45">
      <c r="A757">
        <v>125</v>
      </c>
      <c r="B757">
        <f t="shared" ca="1" si="11"/>
        <v>68</v>
      </c>
      <c r="C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7" t="str">
        <f ca="1">IF(dict_zuord_Meth_Transfers[[#This Row],[kval_active]],dict_zuord_Meth_Transfers[[#This Row],[ID_Transfers]],"")</f>
        <v/>
      </c>
    </row>
    <row r="758" spans="1:4" x14ac:dyDescent="0.45">
      <c r="A758">
        <v>126</v>
      </c>
      <c r="B758" s="3">
        <f t="shared" ca="1" si="11"/>
        <v>32</v>
      </c>
      <c r="C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8" t="str">
        <f ca="1">IF(dict_zuord_Meth_Transfers[[#This Row],[kval_active]],dict_zuord_Meth_Transfers[[#This Row],[ID_Transfers]],"")</f>
        <v/>
      </c>
    </row>
    <row r="759" spans="1:4" x14ac:dyDescent="0.45">
      <c r="A759">
        <v>126</v>
      </c>
      <c r="B759" s="3">
        <f t="shared" ca="1" si="11"/>
        <v>1</v>
      </c>
      <c r="C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59" t="str">
        <f ca="1">IF(dict_zuord_Meth_Transfers[[#This Row],[kval_active]],dict_zuord_Meth_Transfers[[#This Row],[ID_Transfers]],"")</f>
        <v/>
      </c>
    </row>
    <row r="760" spans="1:4" x14ac:dyDescent="0.45">
      <c r="A760">
        <v>126</v>
      </c>
      <c r="B760" s="3">
        <f t="shared" ca="1" si="11"/>
        <v>50</v>
      </c>
      <c r="C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0" t="str">
        <f ca="1">IF(dict_zuord_Meth_Transfers[[#This Row],[kval_active]],dict_zuord_Meth_Transfers[[#This Row],[ID_Transfers]],"")</f>
        <v/>
      </c>
    </row>
    <row r="761" spans="1:4" x14ac:dyDescent="0.45">
      <c r="A761">
        <v>126</v>
      </c>
      <c r="B761">
        <f t="shared" ca="1" si="11"/>
        <v>117</v>
      </c>
      <c r="C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1" t="str">
        <f ca="1">IF(dict_zuord_Meth_Transfers[[#This Row],[kval_active]],dict_zuord_Meth_Transfers[[#This Row],[ID_Transfers]],"")</f>
        <v/>
      </c>
    </row>
    <row r="762" spans="1:4" x14ac:dyDescent="0.45">
      <c r="A762">
        <v>126</v>
      </c>
      <c r="B762">
        <f t="shared" ca="1" si="11"/>
        <v>184</v>
      </c>
      <c r="C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2" t="str">
        <f ca="1">IF(dict_zuord_Meth_Transfers[[#This Row],[kval_active]],dict_zuord_Meth_Transfers[[#This Row],[ID_Transfers]],"")</f>
        <v/>
      </c>
    </row>
    <row r="763" spans="1:4" x14ac:dyDescent="0.45">
      <c r="A763">
        <v>126</v>
      </c>
      <c r="B763">
        <f t="shared" ca="1" si="11"/>
        <v>71</v>
      </c>
      <c r="C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3" t="str">
        <f ca="1">IF(dict_zuord_Meth_Transfers[[#This Row],[kval_active]],dict_zuord_Meth_Transfers[[#This Row],[ID_Transfers]],"")</f>
        <v/>
      </c>
    </row>
    <row r="764" spans="1:4" x14ac:dyDescent="0.45">
      <c r="A764">
        <v>127</v>
      </c>
      <c r="B764">
        <f t="shared" ca="1" si="11"/>
        <v>109</v>
      </c>
      <c r="C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4" t="str">
        <f ca="1">IF(dict_zuord_Meth_Transfers[[#This Row],[kval_active]],dict_zuord_Meth_Transfers[[#This Row],[ID_Transfers]],"")</f>
        <v/>
      </c>
    </row>
    <row r="765" spans="1:4" x14ac:dyDescent="0.45">
      <c r="A765">
        <v>127</v>
      </c>
      <c r="B765">
        <f t="shared" ca="1" si="11"/>
        <v>66</v>
      </c>
      <c r="C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5" t="str">
        <f ca="1">IF(dict_zuord_Meth_Transfers[[#This Row],[kval_active]],dict_zuord_Meth_Transfers[[#This Row],[ID_Transfers]],"")</f>
        <v/>
      </c>
    </row>
    <row r="766" spans="1:4" x14ac:dyDescent="0.45">
      <c r="A766">
        <v>127</v>
      </c>
      <c r="B766" s="3">
        <f t="shared" ca="1" si="11"/>
        <v>131</v>
      </c>
      <c r="C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6" t="str">
        <f ca="1">IF(dict_zuord_Meth_Transfers[[#This Row],[kval_active]],dict_zuord_Meth_Transfers[[#This Row],[ID_Transfers]],"")</f>
        <v/>
      </c>
    </row>
    <row r="767" spans="1:4" x14ac:dyDescent="0.45">
      <c r="A767">
        <v>127</v>
      </c>
      <c r="B767" s="3">
        <f t="shared" ca="1" si="11"/>
        <v>117</v>
      </c>
      <c r="C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7" t="str">
        <f ca="1">IF(dict_zuord_Meth_Transfers[[#This Row],[kval_active]],dict_zuord_Meth_Transfers[[#This Row],[ID_Transfers]],"")</f>
        <v/>
      </c>
    </row>
    <row r="768" spans="1:4" x14ac:dyDescent="0.45">
      <c r="A768">
        <v>127</v>
      </c>
      <c r="B768" s="3">
        <f t="shared" ca="1" si="11"/>
        <v>128</v>
      </c>
      <c r="C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8" t="str">
        <f ca="1">IF(dict_zuord_Meth_Transfers[[#This Row],[kval_active]],dict_zuord_Meth_Transfers[[#This Row],[ID_Transfers]],"")</f>
        <v/>
      </c>
    </row>
    <row r="769" spans="1:4" x14ac:dyDescent="0.45">
      <c r="A769">
        <v>127</v>
      </c>
      <c r="B769">
        <f t="shared" ca="1" si="11"/>
        <v>179</v>
      </c>
      <c r="C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69" t="str">
        <f ca="1">IF(dict_zuord_Meth_Transfers[[#This Row],[kval_active]],dict_zuord_Meth_Transfers[[#This Row],[ID_Transfers]],"")</f>
        <v/>
      </c>
    </row>
    <row r="770" spans="1:4" x14ac:dyDescent="0.45">
      <c r="A770">
        <v>128</v>
      </c>
      <c r="B770" s="3">
        <f t="shared" ref="B770:B833" ca="1" si="12">RANDBETWEEN(0,200)</f>
        <v>160</v>
      </c>
      <c r="C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0" t="str">
        <f ca="1">IF(dict_zuord_Meth_Transfers[[#This Row],[kval_active]],dict_zuord_Meth_Transfers[[#This Row],[ID_Transfers]],"")</f>
        <v/>
      </c>
    </row>
    <row r="771" spans="1:4" x14ac:dyDescent="0.45">
      <c r="A771">
        <v>128</v>
      </c>
      <c r="B771" s="3">
        <f t="shared" ca="1" si="12"/>
        <v>148</v>
      </c>
      <c r="C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1" t="str">
        <f ca="1">IF(dict_zuord_Meth_Transfers[[#This Row],[kval_active]],dict_zuord_Meth_Transfers[[#This Row],[ID_Transfers]],"")</f>
        <v/>
      </c>
    </row>
    <row r="772" spans="1:4" x14ac:dyDescent="0.45">
      <c r="A772">
        <v>128</v>
      </c>
      <c r="B772">
        <f t="shared" ca="1" si="12"/>
        <v>96</v>
      </c>
      <c r="C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2" t="str">
        <f ca="1">IF(dict_zuord_Meth_Transfers[[#This Row],[kval_active]],dict_zuord_Meth_Transfers[[#This Row],[ID_Transfers]],"")</f>
        <v/>
      </c>
    </row>
    <row r="773" spans="1:4" x14ac:dyDescent="0.45">
      <c r="A773">
        <v>128</v>
      </c>
      <c r="B773">
        <f t="shared" ca="1" si="12"/>
        <v>144</v>
      </c>
      <c r="C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3" t="str">
        <f ca="1">IF(dict_zuord_Meth_Transfers[[#This Row],[kval_active]],dict_zuord_Meth_Transfers[[#This Row],[ID_Transfers]],"")</f>
        <v/>
      </c>
    </row>
    <row r="774" spans="1:4" x14ac:dyDescent="0.45">
      <c r="A774">
        <v>128</v>
      </c>
      <c r="B774" s="3">
        <f t="shared" ca="1" si="12"/>
        <v>198</v>
      </c>
      <c r="C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4" t="str">
        <f ca="1">IF(dict_zuord_Meth_Transfers[[#This Row],[kval_active]],dict_zuord_Meth_Transfers[[#This Row],[ID_Transfers]],"")</f>
        <v/>
      </c>
    </row>
    <row r="775" spans="1:4" x14ac:dyDescent="0.45">
      <c r="A775">
        <v>128</v>
      </c>
      <c r="B775">
        <f t="shared" ca="1" si="12"/>
        <v>200</v>
      </c>
      <c r="C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5" t="str">
        <f ca="1">IF(dict_zuord_Meth_Transfers[[#This Row],[kval_active]],dict_zuord_Meth_Transfers[[#This Row],[ID_Transfers]],"")</f>
        <v/>
      </c>
    </row>
    <row r="776" spans="1:4" x14ac:dyDescent="0.45">
      <c r="A776">
        <v>129</v>
      </c>
      <c r="B776" s="3">
        <f t="shared" ca="1" si="12"/>
        <v>100</v>
      </c>
      <c r="C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6" t="str">
        <f ca="1">IF(dict_zuord_Meth_Transfers[[#This Row],[kval_active]],dict_zuord_Meth_Transfers[[#This Row],[ID_Transfers]],"")</f>
        <v/>
      </c>
    </row>
    <row r="777" spans="1:4" x14ac:dyDescent="0.45">
      <c r="A777">
        <v>129</v>
      </c>
      <c r="B777" s="3">
        <f t="shared" ca="1" si="12"/>
        <v>23</v>
      </c>
      <c r="C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7" t="str">
        <f ca="1">IF(dict_zuord_Meth_Transfers[[#This Row],[kval_active]],dict_zuord_Meth_Transfers[[#This Row],[ID_Transfers]],"")</f>
        <v/>
      </c>
    </row>
    <row r="778" spans="1:4" x14ac:dyDescent="0.45">
      <c r="A778">
        <v>129</v>
      </c>
      <c r="B778" s="3">
        <f t="shared" ca="1" si="12"/>
        <v>36</v>
      </c>
      <c r="C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8" t="str">
        <f ca="1">IF(dict_zuord_Meth_Transfers[[#This Row],[kval_active]],dict_zuord_Meth_Transfers[[#This Row],[ID_Transfers]],"")</f>
        <v/>
      </c>
    </row>
    <row r="779" spans="1:4" x14ac:dyDescent="0.45">
      <c r="A779">
        <v>129</v>
      </c>
      <c r="B779">
        <f t="shared" ca="1" si="12"/>
        <v>93</v>
      </c>
      <c r="C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79" t="str">
        <f ca="1">IF(dict_zuord_Meth_Transfers[[#This Row],[kval_active]],dict_zuord_Meth_Transfers[[#This Row],[ID_Transfers]],"")</f>
        <v/>
      </c>
    </row>
    <row r="780" spans="1:4" x14ac:dyDescent="0.45">
      <c r="A780">
        <v>129</v>
      </c>
      <c r="B780">
        <f t="shared" ca="1" si="12"/>
        <v>21</v>
      </c>
      <c r="C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0" t="str">
        <f ca="1">IF(dict_zuord_Meth_Transfers[[#This Row],[kval_active]],dict_zuord_Meth_Transfers[[#This Row],[ID_Transfers]],"")</f>
        <v/>
      </c>
    </row>
    <row r="781" spans="1:4" x14ac:dyDescent="0.45">
      <c r="A781">
        <v>129</v>
      </c>
      <c r="B781">
        <f t="shared" ca="1" si="12"/>
        <v>179</v>
      </c>
      <c r="C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1" t="str">
        <f ca="1">IF(dict_zuord_Meth_Transfers[[#This Row],[kval_active]],dict_zuord_Meth_Transfers[[#This Row],[ID_Transfers]],"")</f>
        <v/>
      </c>
    </row>
    <row r="782" spans="1:4" x14ac:dyDescent="0.45">
      <c r="A782">
        <v>130</v>
      </c>
      <c r="B782">
        <f t="shared" ca="1" si="12"/>
        <v>167</v>
      </c>
      <c r="C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2" t="str">
        <f ca="1">IF(dict_zuord_Meth_Transfers[[#This Row],[kval_active]],dict_zuord_Meth_Transfers[[#This Row],[ID_Transfers]],"")</f>
        <v/>
      </c>
    </row>
    <row r="783" spans="1:4" x14ac:dyDescent="0.45">
      <c r="A783">
        <v>130</v>
      </c>
      <c r="B783">
        <f t="shared" ca="1" si="12"/>
        <v>61</v>
      </c>
      <c r="C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3" t="str">
        <f ca="1">IF(dict_zuord_Meth_Transfers[[#This Row],[kval_active]],dict_zuord_Meth_Transfers[[#This Row],[ID_Transfers]],"")</f>
        <v/>
      </c>
    </row>
    <row r="784" spans="1:4" x14ac:dyDescent="0.45">
      <c r="A784">
        <v>130</v>
      </c>
      <c r="B784">
        <f t="shared" ca="1" si="12"/>
        <v>54</v>
      </c>
      <c r="C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4" t="str">
        <f ca="1">IF(dict_zuord_Meth_Transfers[[#This Row],[kval_active]],dict_zuord_Meth_Transfers[[#This Row],[ID_Transfers]],"")</f>
        <v/>
      </c>
    </row>
    <row r="785" spans="1:4" x14ac:dyDescent="0.45">
      <c r="A785">
        <v>130</v>
      </c>
      <c r="B785" s="3">
        <f t="shared" ca="1" si="12"/>
        <v>30</v>
      </c>
      <c r="C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5" t="str">
        <f ca="1">IF(dict_zuord_Meth_Transfers[[#This Row],[kval_active]],dict_zuord_Meth_Transfers[[#This Row],[ID_Transfers]],"")</f>
        <v/>
      </c>
    </row>
    <row r="786" spans="1:4" x14ac:dyDescent="0.45">
      <c r="A786">
        <v>130</v>
      </c>
      <c r="B786" s="3">
        <f t="shared" ca="1" si="12"/>
        <v>179</v>
      </c>
      <c r="C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6" t="str">
        <f ca="1">IF(dict_zuord_Meth_Transfers[[#This Row],[kval_active]],dict_zuord_Meth_Transfers[[#This Row],[ID_Transfers]],"")</f>
        <v/>
      </c>
    </row>
    <row r="787" spans="1:4" x14ac:dyDescent="0.45">
      <c r="A787">
        <v>130</v>
      </c>
      <c r="B787" s="3">
        <f t="shared" ca="1" si="12"/>
        <v>159</v>
      </c>
      <c r="C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7" t="str">
        <f ca="1">IF(dict_zuord_Meth_Transfers[[#This Row],[kval_active]],dict_zuord_Meth_Transfers[[#This Row],[ID_Transfers]],"")</f>
        <v/>
      </c>
    </row>
    <row r="788" spans="1:4" x14ac:dyDescent="0.45">
      <c r="A788">
        <v>131</v>
      </c>
      <c r="B788">
        <f t="shared" ca="1" si="12"/>
        <v>191</v>
      </c>
      <c r="C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8" t="str">
        <f ca="1">IF(dict_zuord_Meth_Transfers[[#This Row],[kval_active]],dict_zuord_Meth_Transfers[[#This Row],[ID_Transfers]],"")</f>
        <v/>
      </c>
    </row>
    <row r="789" spans="1:4" x14ac:dyDescent="0.45">
      <c r="A789">
        <v>131</v>
      </c>
      <c r="B789" s="3">
        <f t="shared" ca="1" si="12"/>
        <v>127</v>
      </c>
      <c r="C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89" t="str">
        <f ca="1">IF(dict_zuord_Meth_Transfers[[#This Row],[kval_active]],dict_zuord_Meth_Transfers[[#This Row],[ID_Transfers]],"")</f>
        <v/>
      </c>
    </row>
    <row r="790" spans="1:4" x14ac:dyDescent="0.45">
      <c r="A790">
        <v>131</v>
      </c>
      <c r="B790" s="3">
        <f t="shared" ca="1" si="12"/>
        <v>130</v>
      </c>
      <c r="C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0" t="str">
        <f ca="1">IF(dict_zuord_Meth_Transfers[[#This Row],[kval_active]],dict_zuord_Meth_Transfers[[#This Row],[ID_Transfers]],"")</f>
        <v/>
      </c>
    </row>
    <row r="791" spans="1:4" x14ac:dyDescent="0.45">
      <c r="A791">
        <v>131</v>
      </c>
      <c r="B791" s="3">
        <f t="shared" ca="1" si="12"/>
        <v>105</v>
      </c>
      <c r="C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1" t="str">
        <f ca="1">IF(dict_zuord_Meth_Transfers[[#This Row],[kval_active]],dict_zuord_Meth_Transfers[[#This Row],[ID_Transfers]],"")</f>
        <v/>
      </c>
    </row>
    <row r="792" spans="1:4" x14ac:dyDescent="0.45">
      <c r="A792">
        <v>131</v>
      </c>
      <c r="B792">
        <f t="shared" ca="1" si="12"/>
        <v>77</v>
      </c>
      <c r="C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2" t="str">
        <f ca="1">IF(dict_zuord_Meth_Transfers[[#This Row],[kval_active]],dict_zuord_Meth_Transfers[[#This Row],[ID_Transfers]],"")</f>
        <v/>
      </c>
    </row>
    <row r="793" spans="1:4" x14ac:dyDescent="0.45">
      <c r="A793">
        <v>131</v>
      </c>
      <c r="B793">
        <f t="shared" ca="1" si="12"/>
        <v>105</v>
      </c>
      <c r="C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3" t="str">
        <f ca="1">IF(dict_zuord_Meth_Transfers[[#This Row],[kval_active]],dict_zuord_Meth_Transfers[[#This Row],[ID_Transfers]],"")</f>
        <v/>
      </c>
    </row>
    <row r="794" spans="1:4" x14ac:dyDescent="0.45">
      <c r="A794">
        <v>132</v>
      </c>
      <c r="B794">
        <f t="shared" ca="1" si="12"/>
        <v>32</v>
      </c>
      <c r="C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4" t="str">
        <f ca="1">IF(dict_zuord_Meth_Transfers[[#This Row],[kval_active]],dict_zuord_Meth_Transfers[[#This Row],[ID_Transfers]],"")</f>
        <v/>
      </c>
    </row>
    <row r="795" spans="1:4" x14ac:dyDescent="0.45">
      <c r="A795">
        <v>132</v>
      </c>
      <c r="B795" s="3">
        <f t="shared" ca="1" si="12"/>
        <v>41</v>
      </c>
      <c r="C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5" t="str">
        <f ca="1">IF(dict_zuord_Meth_Transfers[[#This Row],[kval_active]],dict_zuord_Meth_Transfers[[#This Row],[ID_Transfers]],"")</f>
        <v/>
      </c>
    </row>
    <row r="796" spans="1:4" x14ac:dyDescent="0.45">
      <c r="A796">
        <v>132</v>
      </c>
      <c r="B796">
        <f t="shared" ca="1" si="12"/>
        <v>84</v>
      </c>
      <c r="C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6" t="str">
        <f ca="1">IF(dict_zuord_Meth_Transfers[[#This Row],[kval_active]],dict_zuord_Meth_Transfers[[#This Row],[ID_Transfers]],"")</f>
        <v/>
      </c>
    </row>
    <row r="797" spans="1:4" x14ac:dyDescent="0.45">
      <c r="A797">
        <v>132</v>
      </c>
      <c r="B797">
        <f t="shared" ca="1" si="12"/>
        <v>0</v>
      </c>
      <c r="C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7" t="str">
        <f ca="1">IF(dict_zuord_Meth_Transfers[[#This Row],[kval_active]],dict_zuord_Meth_Transfers[[#This Row],[ID_Transfers]],"")</f>
        <v/>
      </c>
    </row>
    <row r="798" spans="1:4" x14ac:dyDescent="0.45">
      <c r="A798">
        <v>132</v>
      </c>
      <c r="B798" s="3">
        <f t="shared" ca="1" si="12"/>
        <v>109</v>
      </c>
      <c r="C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8" t="str">
        <f ca="1">IF(dict_zuord_Meth_Transfers[[#This Row],[kval_active]],dict_zuord_Meth_Transfers[[#This Row],[ID_Transfers]],"")</f>
        <v/>
      </c>
    </row>
    <row r="799" spans="1:4" x14ac:dyDescent="0.45">
      <c r="A799">
        <v>132</v>
      </c>
      <c r="B799" s="3">
        <f t="shared" ca="1" si="12"/>
        <v>11</v>
      </c>
      <c r="C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799" t="str">
        <f ca="1">IF(dict_zuord_Meth_Transfers[[#This Row],[kval_active]],dict_zuord_Meth_Transfers[[#This Row],[ID_Transfers]],"")</f>
        <v/>
      </c>
    </row>
    <row r="800" spans="1:4" x14ac:dyDescent="0.45">
      <c r="A800">
        <v>133</v>
      </c>
      <c r="B800" s="3">
        <f t="shared" ca="1" si="12"/>
        <v>37</v>
      </c>
      <c r="C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0" t="str">
        <f ca="1">IF(dict_zuord_Meth_Transfers[[#This Row],[kval_active]],dict_zuord_Meth_Transfers[[#This Row],[ID_Transfers]],"")</f>
        <v/>
      </c>
    </row>
    <row r="801" spans="1:4" x14ac:dyDescent="0.45">
      <c r="A801">
        <v>133</v>
      </c>
      <c r="B801">
        <f t="shared" ca="1" si="12"/>
        <v>77</v>
      </c>
      <c r="C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1" t="str">
        <f ca="1">IF(dict_zuord_Meth_Transfers[[#This Row],[kval_active]],dict_zuord_Meth_Transfers[[#This Row],[ID_Transfers]],"")</f>
        <v/>
      </c>
    </row>
    <row r="802" spans="1:4" x14ac:dyDescent="0.45">
      <c r="A802">
        <v>133</v>
      </c>
      <c r="B802" s="3">
        <f t="shared" ca="1" si="12"/>
        <v>42</v>
      </c>
      <c r="C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2" t="str">
        <f ca="1">IF(dict_zuord_Meth_Transfers[[#This Row],[kval_active]],dict_zuord_Meth_Transfers[[#This Row],[ID_Transfers]],"")</f>
        <v/>
      </c>
    </row>
    <row r="803" spans="1:4" x14ac:dyDescent="0.45">
      <c r="A803">
        <v>133</v>
      </c>
      <c r="B803">
        <f t="shared" ca="1" si="12"/>
        <v>7</v>
      </c>
      <c r="C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3" t="str">
        <f ca="1">IF(dict_zuord_Meth_Transfers[[#This Row],[kval_active]],dict_zuord_Meth_Transfers[[#This Row],[ID_Transfers]],"")</f>
        <v/>
      </c>
    </row>
    <row r="804" spans="1:4" x14ac:dyDescent="0.45">
      <c r="A804">
        <v>133</v>
      </c>
      <c r="B804">
        <f t="shared" ca="1" si="12"/>
        <v>101</v>
      </c>
      <c r="C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4" t="str">
        <f ca="1">IF(dict_zuord_Meth_Transfers[[#This Row],[kval_active]],dict_zuord_Meth_Transfers[[#This Row],[ID_Transfers]],"")</f>
        <v/>
      </c>
    </row>
    <row r="805" spans="1:4" x14ac:dyDescent="0.45">
      <c r="A805">
        <v>133</v>
      </c>
      <c r="B805" s="3">
        <f t="shared" ca="1" si="12"/>
        <v>177</v>
      </c>
      <c r="C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5" t="str">
        <f ca="1">IF(dict_zuord_Meth_Transfers[[#This Row],[kval_active]],dict_zuord_Meth_Transfers[[#This Row],[ID_Transfers]],"")</f>
        <v/>
      </c>
    </row>
    <row r="806" spans="1:4" x14ac:dyDescent="0.45">
      <c r="A806">
        <v>134</v>
      </c>
      <c r="B806" s="3">
        <f t="shared" ca="1" si="12"/>
        <v>137</v>
      </c>
      <c r="C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6" t="str">
        <f ca="1">IF(dict_zuord_Meth_Transfers[[#This Row],[kval_active]],dict_zuord_Meth_Transfers[[#This Row],[ID_Transfers]],"")</f>
        <v/>
      </c>
    </row>
    <row r="807" spans="1:4" x14ac:dyDescent="0.45">
      <c r="A807">
        <v>134</v>
      </c>
      <c r="B807" s="3">
        <f t="shared" ca="1" si="12"/>
        <v>51</v>
      </c>
      <c r="C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7" t="str">
        <f ca="1">IF(dict_zuord_Meth_Transfers[[#This Row],[kval_active]],dict_zuord_Meth_Transfers[[#This Row],[ID_Transfers]],"")</f>
        <v/>
      </c>
    </row>
    <row r="808" spans="1:4" x14ac:dyDescent="0.45">
      <c r="A808">
        <v>134</v>
      </c>
      <c r="B808" s="3">
        <f t="shared" ca="1" si="12"/>
        <v>24</v>
      </c>
      <c r="C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8" t="str">
        <f ca="1">IF(dict_zuord_Meth_Transfers[[#This Row],[kval_active]],dict_zuord_Meth_Transfers[[#This Row],[ID_Transfers]],"")</f>
        <v/>
      </c>
    </row>
    <row r="809" spans="1:4" x14ac:dyDescent="0.45">
      <c r="A809">
        <v>134</v>
      </c>
      <c r="B809">
        <f t="shared" ca="1" si="12"/>
        <v>130</v>
      </c>
      <c r="C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09" t="str">
        <f ca="1">IF(dict_zuord_Meth_Transfers[[#This Row],[kval_active]],dict_zuord_Meth_Transfers[[#This Row],[ID_Transfers]],"")</f>
        <v/>
      </c>
    </row>
    <row r="810" spans="1:4" x14ac:dyDescent="0.45">
      <c r="A810">
        <v>134</v>
      </c>
      <c r="B810">
        <f t="shared" ca="1" si="12"/>
        <v>79</v>
      </c>
      <c r="C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0" t="str">
        <f ca="1">IF(dict_zuord_Meth_Transfers[[#This Row],[kval_active]],dict_zuord_Meth_Transfers[[#This Row],[ID_Transfers]],"")</f>
        <v/>
      </c>
    </row>
    <row r="811" spans="1:4" x14ac:dyDescent="0.45">
      <c r="A811">
        <v>134</v>
      </c>
      <c r="B811">
        <f t="shared" ca="1" si="12"/>
        <v>123</v>
      </c>
      <c r="C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1" t="str">
        <f ca="1">IF(dict_zuord_Meth_Transfers[[#This Row],[kval_active]],dict_zuord_Meth_Transfers[[#This Row],[ID_Transfers]],"")</f>
        <v/>
      </c>
    </row>
    <row r="812" spans="1:4" x14ac:dyDescent="0.45">
      <c r="A812">
        <v>135</v>
      </c>
      <c r="B812">
        <f t="shared" ca="1" si="12"/>
        <v>37</v>
      </c>
      <c r="C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2" t="str">
        <f ca="1">IF(dict_zuord_Meth_Transfers[[#This Row],[kval_active]],dict_zuord_Meth_Transfers[[#This Row],[ID_Transfers]],"")</f>
        <v/>
      </c>
    </row>
    <row r="813" spans="1:4" x14ac:dyDescent="0.45">
      <c r="A813">
        <v>135</v>
      </c>
      <c r="B813" s="3">
        <f t="shared" ca="1" si="12"/>
        <v>80</v>
      </c>
      <c r="C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3" t="str">
        <f ca="1">IF(dict_zuord_Meth_Transfers[[#This Row],[kval_active]],dict_zuord_Meth_Transfers[[#This Row],[ID_Transfers]],"")</f>
        <v/>
      </c>
    </row>
    <row r="814" spans="1:4" x14ac:dyDescent="0.45">
      <c r="A814">
        <v>135</v>
      </c>
      <c r="B814">
        <f t="shared" ca="1" si="12"/>
        <v>138</v>
      </c>
      <c r="C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4" t="str">
        <f ca="1">IF(dict_zuord_Meth_Transfers[[#This Row],[kval_active]],dict_zuord_Meth_Transfers[[#This Row],[ID_Transfers]],"")</f>
        <v/>
      </c>
    </row>
    <row r="815" spans="1:4" x14ac:dyDescent="0.45">
      <c r="A815">
        <v>135</v>
      </c>
      <c r="B815" s="3">
        <f t="shared" ca="1" si="12"/>
        <v>11</v>
      </c>
      <c r="C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5" t="str">
        <f ca="1">IF(dict_zuord_Meth_Transfers[[#This Row],[kval_active]],dict_zuord_Meth_Transfers[[#This Row],[ID_Transfers]],"")</f>
        <v/>
      </c>
    </row>
    <row r="816" spans="1:4" x14ac:dyDescent="0.45">
      <c r="A816">
        <v>135</v>
      </c>
      <c r="B816" s="3">
        <f t="shared" ca="1" si="12"/>
        <v>120</v>
      </c>
      <c r="C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6" t="str">
        <f ca="1">IF(dict_zuord_Meth_Transfers[[#This Row],[kval_active]],dict_zuord_Meth_Transfers[[#This Row],[ID_Transfers]],"")</f>
        <v/>
      </c>
    </row>
    <row r="817" spans="1:4" x14ac:dyDescent="0.45">
      <c r="A817">
        <v>135</v>
      </c>
      <c r="B817">
        <f t="shared" ca="1" si="12"/>
        <v>178</v>
      </c>
      <c r="C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7" t="str">
        <f ca="1">IF(dict_zuord_Meth_Transfers[[#This Row],[kval_active]],dict_zuord_Meth_Transfers[[#This Row],[ID_Transfers]],"")</f>
        <v/>
      </c>
    </row>
    <row r="818" spans="1:4" x14ac:dyDescent="0.45">
      <c r="A818">
        <v>136</v>
      </c>
      <c r="B818">
        <f t="shared" ca="1" si="12"/>
        <v>122</v>
      </c>
      <c r="C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8" t="str">
        <f ca="1">IF(dict_zuord_Meth_Transfers[[#This Row],[kval_active]],dict_zuord_Meth_Transfers[[#This Row],[ID_Transfers]],"")</f>
        <v/>
      </c>
    </row>
    <row r="819" spans="1:4" x14ac:dyDescent="0.45">
      <c r="A819">
        <v>136</v>
      </c>
      <c r="B819" s="3">
        <f t="shared" ca="1" si="12"/>
        <v>168</v>
      </c>
      <c r="C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19" t="str">
        <f ca="1">IF(dict_zuord_Meth_Transfers[[#This Row],[kval_active]],dict_zuord_Meth_Transfers[[#This Row],[ID_Transfers]],"")</f>
        <v/>
      </c>
    </row>
    <row r="820" spans="1:4" x14ac:dyDescent="0.45">
      <c r="A820">
        <v>136</v>
      </c>
      <c r="B820" s="3">
        <f t="shared" ca="1" si="12"/>
        <v>198</v>
      </c>
      <c r="C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0" t="str">
        <f ca="1">IF(dict_zuord_Meth_Transfers[[#This Row],[kval_active]],dict_zuord_Meth_Transfers[[#This Row],[ID_Transfers]],"")</f>
        <v/>
      </c>
    </row>
    <row r="821" spans="1:4" x14ac:dyDescent="0.45">
      <c r="A821">
        <v>136</v>
      </c>
      <c r="B821" s="3">
        <f t="shared" ca="1" si="12"/>
        <v>180</v>
      </c>
      <c r="C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1" t="str">
        <f ca="1">IF(dict_zuord_Meth_Transfers[[#This Row],[kval_active]],dict_zuord_Meth_Transfers[[#This Row],[ID_Transfers]],"")</f>
        <v/>
      </c>
    </row>
    <row r="822" spans="1:4" x14ac:dyDescent="0.45">
      <c r="A822">
        <v>136</v>
      </c>
      <c r="B822">
        <f t="shared" ca="1" si="12"/>
        <v>1</v>
      </c>
      <c r="C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2" t="str">
        <f ca="1">IF(dict_zuord_Meth_Transfers[[#This Row],[kval_active]],dict_zuord_Meth_Transfers[[#This Row],[ID_Transfers]],"")</f>
        <v/>
      </c>
    </row>
    <row r="823" spans="1:4" x14ac:dyDescent="0.45">
      <c r="A823">
        <v>136</v>
      </c>
      <c r="B823">
        <f t="shared" ca="1" si="12"/>
        <v>186</v>
      </c>
      <c r="C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3" t="str">
        <f ca="1">IF(dict_zuord_Meth_Transfers[[#This Row],[kval_active]],dict_zuord_Meth_Transfers[[#This Row],[ID_Transfers]],"")</f>
        <v/>
      </c>
    </row>
    <row r="824" spans="1:4" x14ac:dyDescent="0.45">
      <c r="A824">
        <v>137</v>
      </c>
      <c r="B824">
        <f t="shared" ca="1" si="12"/>
        <v>12</v>
      </c>
      <c r="C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4" t="str">
        <f ca="1">IF(dict_zuord_Meth_Transfers[[#This Row],[kval_active]],dict_zuord_Meth_Transfers[[#This Row],[ID_Transfers]],"")</f>
        <v/>
      </c>
    </row>
    <row r="825" spans="1:4" x14ac:dyDescent="0.45">
      <c r="A825">
        <v>137</v>
      </c>
      <c r="B825">
        <f t="shared" ca="1" si="12"/>
        <v>12</v>
      </c>
      <c r="C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5" t="str">
        <f ca="1">IF(dict_zuord_Meth_Transfers[[#This Row],[kval_active]],dict_zuord_Meth_Transfers[[#This Row],[ID_Transfers]],"")</f>
        <v/>
      </c>
    </row>
    <row r="826" spans="1:4" x14ac:dyDescent="0.45">
      <c r="A826">
        <v>137</v>
      </c>
      <c r="B826">
        <f t="shared" ca="1" si="12"/>
        <v>104</v>
      </c>
      <c r="C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6" t="str">
        <f ca="1">IF(dict_zuord_Meth_Transfers[[#This Row],[kval_active]],dict_zuord_Meth_Transfers[[#This Row],[ID_Transfers]],"")</f>
        <v/>
      </c>
    </row>
    <row r="827" spans="1:4" x14ac:dyDescent="0.45">
      <c r="A827">
        <v>137</v>
      </c>
      <c r="B827" s="3">
        <f t="shared" ca="1" si="12"/>
        <v>76</v>
      </c>
      <c r="C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7" t="str">
        <f ca="1">IF(dict_zuord_Meth_Transfers[[#This Row],[kval_active]],dict_zuord_Meth_Transfers[[#This Row],[ID_Transfers]],"")</f>
        <v/>
      </c>
    </row>
    <row r="828" spans="1:4" x14ac:dyDescent="0.45">
      <c r="A828">
        <v>137</v>
      </c>
      <c r="B828" s="3">
        <f t="shared" ca="1" si="12"/>
        <v>184</v>
      </c>
      <c r="C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8" t="str">
        <f ca="1">IF(dict_zuord_Meth_Transfers[[#This Row],[kval_active]],dict_zuord_Meth_Transfers[[#This Row],[ID_Transfers]],"")</f>
        <v/>
      </c>
    </row>
    <row r="829" spans="1:4" x14ac:dyDescent="0.45">
      <c r="A829">
        <v>137</v>
      </c>
      <c r="B829" s="3">
        <f t="shared" ca="1" si="12"/>
        <v>71</v>
      </c>
      <c r="C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29" t="str">
        <f ca="1">IF(dict_zuord_Meth_Transfers[[#This Row],[kval_active]],dict_zuord_Meth_Transfers[[#This Row],[ID_Transfers]],"")</f>
        <v/>
      </c>
    </row>
    <row r="830" spans="1:4" x14ac:dyDescent="0.45">
      <c r="A830">
        <v>138</v>
      </c>
      <c r="B830">
        <f t="shared" ca="1" si="12"/>
        <v>95</v>
      </c>
      <c r="C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0" t="str">
        <f ca="1">IF(dict_zuord_Meth_Transfers[[#This Row],[kval_active]],dict_zuord_Meth_Transfers[[#This Row],[ID_Transfers]],"")</f>
        <v/>
      </c>
    </row>
    <row r="831" spans="1:4" x14ac:dyDescent="0.45">
      <c r="A831">
        <v>138</v>
      </c>
      <c r="B831">
        <f t="shared" ca="1" si="12"/>
        <v>81</v>
      </c>
      <c r="C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1" t="str">
        <f ca="1">IF(dict_zuord_Meth_Transfers[[#This Row],[kval_active]],dict_zuord_Meth_Transfers[[#This Row],[ID_Transfers]],"")</f>
        <v/>
      </c>
    </row>
    <row r="832" spans="1:4" x14ac:dyDescent="0.45">
      <c r="A832">
        <v>138</v>
      </c>
      <c r="B832" s="3">
        <f t="shared" ca="1" si="12"/>
        <v>12</v>
      </c>
      <c r="C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2" t="str">
        <f ca="1">IF(dict_zuord_Meth_Transfers[[#This Row],[kval_active]],dict_zuord_Meth_Transfers[[#This Row],[ID_Transfers]],"")</f>
        <v/>
      </c>
    </row>
    <row r="833" spans="1:4" x14ac:dyDescent="0.45">
      <c r="A833">
        <v>138</v>
      </c>
      <c r="B833" s="3">
        <f t="shared" ca="1" si="12"/>
        <v>0</v>
      </c>
      <c r="C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3" t="str">
        <f ca="1">IF(dict_zuord_Meth_Transfers[[#This Row],[kval_active]],dict_zuord_Meth_Transfers[[#This Row],[ID_Transfers]],"")</f>
        <v/>
      </c>
    </row>
    <row r="834" spans="1:4" x14ac:dyDescent="0.45">
      <c r="A834">
        <v>138</v>
      </c>
      <c r="B834">
        <f t="shared" ref="B834:B897" ca="1" si="13">RANDBETWEEN(0,200)</f>
        <v>156</v>
      </c>
      <c r="C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4" t="str">
        <f ca="1">IF(dict_zuord_Meth_Transfers[[#This Row],[kval_active]],dict_zuord_Meth_Transfers[[#This Row],[ID_Transfers]],"")</f>
        <v/>
      </c>
    </row>
    <row r="835" spans="1:4" x14ac:dyDescent="0.45">
      <c r="A835">
        <v>138</v>
      </c>
      <c r="B835" s="3">
        <f t="shared" ca="1" si="13"/>
        <v>188</v>
      </c>
      <c r="C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5" t="str">
        <f ca="1">IF(dict_zuord_Meth_Transfers[[#This Row],[kval_active]],dict_zuord_Meth_Transfers[[#This Row],[ID_Transfers]],"")</f>
        <v/>
      </c>
    </row>
    <row r="836" spans="1:4" x14ac:dyDescent="0.45">
      <c r="A836">
        <v>139</v>
      </c>
      <c r="B836">
        <f t="shared" ca="1" si="13"/>
        <v>11</v>
      </c>
      <c r="C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6" t="str">
        <f ca="1">IF(dict_zuord_Meth_Transfers[[#This Row],[kval_active]],dict_zuord_Meth_Transfers[[#This Row],[ID_Transfers]],"")</f>
        <v/>
      </c>
    </row>
    <row r="837" spans="1:4" x14ac:dyDescent="0.45">
      <c r="A837">
        <v>139</v>
      </c>
      <c r="B837">
        <f t="shared" ca="1" si="13"/>
        <v>55</v>
      </c>
      <c r="C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7" t="str">
        <f ca="1">IF(dict_zuord_Meth_Transfers[[#This Row],[kval_active]],dict_zuord_Meth_Transfers[[#This Row],[ID_Transfers]],"")</f>
        <v/>
      </c>
    </row>
    <row r="838" spans="1:4" x14ac:dyDescent="0.45">
      <c r="A838">
        <v>139</v>
      </c>
      <c r="B838" s="3">
        <f t="shared" ca="1" si="13"/>
        <v>116</v>
      </c>
      <c r="C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8" t="str">
        <f ca="1">IF(dict_zuord_Meth_Transfers[[#This Row],[kval_active]],dict_zuord_Meth_Transfers[[#This Row],[ID_Transfers]],"")</f>
        <v/>
      </c>
    </row>
    <row r="839" spans="1:4" x14ac:dyDescent="0.45">
      <c r="A839">
        <v>139</v>
      </c>
      <c r="B839" s="3">
        <f t="shared" ca="1" si="13"/>
        <v>115</v>
      </c>
      <c r="C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39" t="str">
        <f ca="1">IF(dict_zuord_Meth_Transfers[[#This Row],[kval_active]],dict_zuord_Meth_Transfers[[#This Row],[ID_Transfers]],"")</f>
        <v/>
      </c>
    </row>
    <row r="840" spans="1:4" x14ac:dyDescent="0.45">
      <c r="A840">
        <v>139</v>
      </c>
      <c r="B840">
        <f t="shared" ca="1" si="13"/>
        <v>56</v>
      </c>
      <c r="C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0" t="str">
        <f ca="1">IF(dict_zuord_Meth_Transfers[[#This Row],[kval_active]],dict_zuord_Meth_Transfers[[#This Row],[ID_Transfers]],"")</f>
        <v/>
      </c>
    </row>
    <row r="841" spans="1:4" x14ac:dyDescent="0.45">
      <c r="A841">
        <v>139</v>
      </c>
      <c r="B841" s="3">
        <f t="shared" ca="1" si="13"/>
        <v>103</v>
      </c>
      <c r="C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1" t="str">
        <f ca="1">IF(dict_zuord_Meth_Transfers[[#This Row],[kval_active]],dict_zuord_Meth_Transfers[[#This Row],[ID_Transfers]],"")</f>
        <v/>
      </c>
    </row>
    <row r="842" spans="1:4" x14ac:dyDescent="0.45">
      <c r="A842">
        <v>140</v>
      </c>
      <c r="B842">
        <f t="shared" ca="1" si="13"/>
        <v>70</v>
      </c>
      <c r="C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2" t="str">
        <f ca="1">IF(dict_zuord_Meth_Transfers[[#This Row],[kval_active]],dict_zuord_Meth_Transfers[[#This Row],[ID_Transfers]],"")</f>
        <v/>
      </c>
    </row>
    <row r="843" spans="1:4" x14ac:dyDescent="0.45">
      <c r="A843">
        <v>140</v>
      </c>
      <c r="B843" s="3">
        <f t="shared" ca="1" si="13"/>
        <v>107</v>
      </c>
      <c r="C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3" t="str">
        <f ca="1">IF(dict_zuord_Meth_Transfers[[#This Row],[kval_active]],dict_zuord_Meth_Transfers[[#This Row],[ID_Transfers]],"")</f>
        <v/>
      </c>
    </row>
    <row r="844" spans="1:4" x14ac:dyDescent="0.45">
      <c r="A844">
        <v>140</v>
      </c>
      <c r="B844">
        <f t="shared" ca="1" si="13"/>
        <v>176</v>
      </c>
      <c r="C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4" t="str">
        <f ca="1">IF(dict_zuord_Meth_Transfers[[#This Row],[kval_active]],dict_zuord_Meth_Transfers[[#This Row],[ID_Transfers]],"")</f>
        <v/>
      </c>
    </row>
    <row r="845" spans="1:4" x14ac:dyDescent="0.45">
      <c r="A845">
        <v>140</v>
      </c>
      <c r="B845">
        <f t="shared" ca="1" si="13"/>
        <v>112</v>
      </c>
      <c r="C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5" t="str">
        <f ca="1">IF(dict_zuord_Meth_Transfers[[#This Row],[kval_active]],dict_zuord_Meth_Transfers[[#This Row],[ID_Transfers]],"")</f>
        <v/>
      </c>
    </row>
    <row r="846" spans="1:4" x14ac:dyDescent="0.45">
      <c r="A846">
        <v>140</v>
      </c>
      <c r="B846" s="3">
        <f t="shared" ca="1" si="13"/>
        <v>92</v>
      </c>
      <c r="C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6" t="str">
        <f ca="1">IF(dict_zuord_Meth_Transfers[[#This Row],[kval_active]],dict_zuord_Meth_Transfers[[#This Row],[ID_Transfers]],"")</f>
        <v/>
      </c>
    </row>
    <row r="847" spans="1:4" x14ac:dyDescent="0.45">
      <c r="A847">
        <v>140</v>
      </c>
      <c r="B847" s="3">
        <f t="shared" ca="1" si="13"/>
        <v>119</v>
      </c>
      <c r="C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7" t="str">
        <f ca="1">IF(dict_zuord_Meth_Transfers[[#This Row],[kval_active]],dict_zuord_Meth_Transfers[[#This Row],[ID_Transfers]],"")</f>
        <v/>
      </c>
    </row>
    <row r="848" spans="1:4" x14ac:dyDescent="0.45">
      <c r="A848">
        <v>141</v>
      </c>
      <c r="B848" s="3">
        <f t="shared" ca="1" si="13"/>
        <v>162</v>
      </c>
      <c r="C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8" t="str">
        <f ca="1">IF(dict_zuord_Meth_Transfers[[#This Row],[kval_active]],dict_zuord_Meth_Transfers[[#This Row],[ID_Transfers]],"")</f>
        <v/>
      </c>
    </row>
    <row r="849" spans="1:4" x14ac:dyDescent="0.45">
      <c r="A849">
        <v>141</v>
      </c>
      <c r="B849" s="3">
        <f t="shared" ca="1" si="13"/>
        <v>72</v>
      </c>
      <c r="C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49" t="str">
        <f ca="1">IF(dict_zuord_Meth_Transfers[[#This Row],[kval_active]],dict_zuord_Meth_Transfers[[#This Row],[ID_Transfers]],"")</f>
        <v/>
      </c>
    </row>
    <row r="850" spans="1:4" x14ac:dyDescent="0.45">
      <c r="A850">
        <v>141</v>
      </c>
      <c r="B850">
        <f t="shared" ca="1" si="13"/>
        <v>17</v>
      </c>
      <c r="C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0" t="str">
        <f ca="1">IF(dict_zuord_Meth_Transfers[[#This Row],[kval_active]],dict_zuord_Meth_Transfers[[#This Row],[ID_Transfers]],"")</f>
        <v/>
      </c>
    </row>
    <row r="851" spans="1:4" x14ac:dyDescent="0.45">
      <c r="A851">
        <v>141</v>
      </c>
      <c r="B851">
        <f t="shared" ca="1" si="13"/>
        <v>155</v>
      </c>
      <c r="C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1" t="str">
        <f ca="1">IF(dict_zuord_Meth_Transfers[[#This Row],[kval_active]],dict_zuord_Meth_Transfers[[#This Row],[ID_Transfers]],"")</f>
        <v/>
      </c>
    </row>
    <row r="852" spans="1:4" x14ac:dyDescent="0.45">
      <c r="A852">
        <v>141</v>
      </c>
      <c r="B852">
        <f t="shared" ca="1" si="13"/>
        <v>181</v>
      </c>
      <c r="C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2" t="str">
        <f ca="1">IF(dict_zuord_Meth_Transfers[[#This Row],[kval_active]],dict_zuord_Meth_Transfers[[#This Row],[ID_Transfers]],"")</f>
        <v/>
      </c>
    </row>
    <row r="853" spans="1:4" x14ac:dyDescent="0.45">
      <c r="A853">
        <v>141</v>
      </c>
      <c r="B853" s="3">
        <f t="shared" ca="1" si="13"/>
        <v>133</v>
      </c>
      <c r="C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3" t="str">
        <f ca="1">IF(dict_zuord_Meth_Transfers[[#This Row],[kval_active]],dict_zuord_Meth_Transfers[[#This Row],[ID_Transfers]],"")</f>
        <v/>
      </c>
    </row>
    <row r="854" spans="1:4" x14ac:dyDescent="0.45">
      <c r="A854">
        <v>142</v>
      </c>
      <c r="B854">
        <f t="shared" ca="1" si="13"/>
        <v>159</v>
      </c>
      <c r="C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4" t="str">
        <f ca="1">IF(dict_zuord_Meth_Transfers[[#This Row],[kval_active]],dict_zuord_Meth_Transfers[[#This Row],[ID_Transfers]],"")</f>
        <v/>
      </c>
    </row>
    <row r="855" spans="1:4" x14ac:dyDescent="0.45">
      <c r="A855">
        <v>142</v>
      </c>
      <c r="B855" s="3">
        <f t="shared" ca="1" si="13"/>
        <v>178</v>
      </c>
      <c r="C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5" t="str">
        <f ca="1">IF(dict_zuord_Meth_Transfers[[#This Row],[kval_active]],dict_zuord_Meth_Transfers[[#This Row],[ID_Transfers]],"")</f>
        <v/>
      </c>
    </row>
    <row r="856" spans="1:4" x14ac:dyDescent="0.45">
      <c r="A856">
        <v>142</v>
      </c>
      <c r="B856" s="3">
        <f t="shared" ca="1" si="13"/>
        <v>171</v>
      </c>
      <c r="C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6" t="str">
        <f ca="1">IF(dict_zuord_Meth_Transfers[[#This Row],[kval_active]],dict_zuord_Meth_Transfers[[#This Row],[ID_Transfers]],"")</f>
        <v/>
      </c>
    </row>
    <row r="857" spans="1:4" x14ac:dyDescent="0.45">
      <c r="A857">
        <v>142</v>
      </c>
      <c r="B857" s="3">
        <f t="shared" ca="1" si="13"/>
        <v>129</v>
      </c>
      <c r="C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7" t="str">
        <f ca="1">IF(dict_zuord_Meth_Transfers[[#This Row],[kval_active]],dict_zuord_Meth_Transfers[[#This Row],[ID_Transfers]],"")</f>
        <v/>
      </c>
    </row>
    <row r="858" spans="1:4" x14ac:dyDescent="0.45">
      <c r="A858">
        <v>142</v>
      </c>
      <c r="B858">
        <f t="shared" ca="1" si="13"/>
        <v>51</v>
      </c>
      <c r="C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8" t="str">
        <f ca="1">IF(dict_zuord_Meth_Transfers[[#This Row],[kval_active]],dict_zuord_Meth_Transfers[[#This Row],[ID_Transfers]],"")</f>
        <v/>
      </c>
    </row>
    <row r="859" spans="1:4" x14ac:dyDescent="0.45">
      <c r="A859">
        <v>142</v>
      </c>
      <c r="B859">
        <f t="shared" ca="1" si="13"/>
        <v>140</v>
      </c>
      <c r="C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59" t="str">
        <f ca="1">IF(dict_zuord_Meth_Transfers[[#This Row],[kval_active]],dict_zuord_Meth_Transfers[[#This Row],[ID_Transfers]],"")</f>
        <v/>
      </c>
    </row>
    <row r="860" spans="1:4" x14ac:dyDescent="0.45">
      <c r="A860">
        <v>143</v>
      </c>
      <c r="B860">
        <f t="shared" ca="1" si="13"/>
        <v>31</v>
      </c>
      <c r="C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0" t="str">
        <f ca="1">IF(dict_zuord_Meth_Transfers[[#This Row],[kval_active]],dict_zuord_Meth_Transfers[[#This Row],[ID_Transfers]],"")</f>
        <v/>
      </c>
    </row>
    <row r="861" spans="1:4" x14ac:dyDescent="0.45">
      <c r="A861">
        <v>143</v>
      </c>
      <c r="B861">
        <f t="shared" ca="1" si="13"/>
        <v>50</v>
      </c>
      <c r="C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1" t="str">
        <f ca="1">IF(dict_zuord_Meth_Transfers[[#This Row],[kval_active]],dict_zuord_Meth_Transfers[[#This Row],[ID_Transfers]],"")</f>
        <v/>
      </c>
    </row>
    <row r="862" spans="1:4" x14ac:dyDescent="0.45">
      <c r="A862">
        <v>143</v>
      </c>
      <c r="B862">
        <f t="shared" ca="1" si="13"/>
        <v>62</v>
      </c>
      <c r="C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2" t="str">
        <f ca="1">IF(dict_zuord_Meth_Transfers[[#This Row],[kval_active]],dict_zuord_Meth_Transfers[[#This Row],[ID_Transfers]],"")</f>
        <v/>
      </c>
    </row>
    <row r="863" spans="1:4" x14ac:dyDescent="0.45">
      <c r="A863">
        <v>143</v>
      </c>
      <c r="B863" s="3">
        <f t="shared" ca="1" si="13"/>
        <v>135</v>
      </c>
      <c r="C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3" t="str">
        <f ca="1">IF(dict_zuord_Meth_Transfers[[#This Row],[kval_active]],dict_zuord_Meth_Transfers[[#This Row],[ID_Transfers]],"")</f>
        <v/>
      </c>
    </row>
    <row r="864" spans="1:4" x14ac:dyDescent="0.45">
      <c r="A864">
        <v>143</v>
      </c>
      <c r="B864" s="3">
        <f t="shared" ca="1" si="13"/>
        <v>153</v>
      </c>
      <c r="C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4" t="str">
        <f ca="1">IF(dict_zuord_Meth_Transfers[[#This Row],[kval_active]],dict_zuord_Meth_Transfers[[#This Row],[ID_Transfers]],"")</f>
        <v/>
      </c>
    </row>
    <row r="865" spans="1:4" x14ac:dyDescent="0.45">
      <c r="A865">
        <v>143</v>
      </c>
      <c r="B865" s="3">
        <f t="shared" ca="1" si="13"/>
        <v>151</v>
      </c>
      <c r="C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5" t="str">
        <f ca="1">IF(dict_zuord_Meth_Transfers[[#This Row],[kval_active]],dict_zuord_Meth_Transfers[[#This Row],[ID_Transfers]],"")</f>
        <v/>
      </c>
    </row>
    <row r="866" spans="1:4" x14ac:dyDescent="0.45">
      <c r="A866">
        <v>144</v>
      </c>
      <c r="B866">
        <f t="shared" ca="1" si="13"/>
        <v>17</v>
      </c>
      <c r="C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6" t="str">
        <f ca="1">IF(dict_zuord_Meth_Transfers[[#This Row],[kval_active]],dict_zuord_Meth_Transfers[[#This Row],[ID_Transfers]],"")</f>
        <v/>
      </c>
    </row>
    <row r="867" spans="1:4" x14ac:dyDescent="0.45">
      <c r="A867">
        <v>144</v>
      </c>
      <c r="B867" s="3">
        <f t="shared" ca="1" si="13"/>
        <v>54</v>
      </c>
      <c r="C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7" t="str">
        <f ca="1">IF(dict_zuord_Meth_Transfers[[#This Row],[kval_active]],dict_zuord_Meth_Transfers[[#This Row],[ID_Transfers]],"")</f>
        <v/>
      </c>
    </row>
    <row r="868" spans="1:4" x14ac:dyDescent="0.45">
      <c r="A868">
        <v>144</v>
      </c>
      <c r="B868" s="3">
        <f t="shared" ca="1" si="13"/>
        <v>35</v>
      </c>
      <c r="C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8" t="str">
        <f ca="1">IF(dict_zuord_Meth_Transfers[[#This Row],[kval_active]],dict_zuord_Meth_Transfers[[#This Row],[ID_Transfers]],"")</f>
        <v/>
      </c>
    </row>
    <row r="869" spans="1:4" x14ac:dyDescent="0.45">
      <c r="A869">
        <v>144</v>
      </c>
      <c r="B869" s="3">
        <f t="shared" ca="1" si="13"/>
        <v>78</v>
      </c>
      <c r="C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69" t="str">
        <f ca="1">IF(dict_zuord_Meth_Transfers[[#This Row],[kval_active]],dict_zuord_Meth_Transfers[[#This Row],[ID_Transfers]],"")</f>
        <v/>
      </c>
    </row>
    <row r="870" spans="1:4" x14ac:dyDescent="0.45">
      <c r="A870">
        <v>144</v>
      </c>
      <c r="B870">
        <f t="shared" ca="1" si="13"/>
        <v>80</v>
      </c>
      <c r="C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0" t="str">
        <f ca="1">IF(dict_zuord_Meth_Transfers[[#This Row],[kval_active]],dict_zuord_Meth_Transfers[[#This Row],[ID_Transfers]],"")</f>
        <v/>
      </c>
    </row>
    <row r="871" spans="1:4" x14ac:dyDescent="0.45">
      <c r="A871">
        <v>144</v>
      </c>
      <c r="B871">
        <f t="shared" ca="1" si="13"/>
        <v>81</v>
      </c>
      <c r="C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1" t="str">
        <f ca="1">IF(dict_zuord_Meth_Transfers[[#This Row],[kval_active]],dict_zuord_Meth_Transfers[[#This Row],[ID_Transfers]],"")</f>
        <v/>
      </c>
    </row>
    <row r="872" spans="1:4" x14ac:dyDescent="0.45">
      <c r="A872">
        <v>145</v>
      </c>
      <c r="B872" s="3">
        <f t="shared" ca="1" si="13"/>
        <v>22</v>
      </c>
      <c r="C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2" t="str">
        <f ca="1">IF(dict_zuord_Meth_Transfers[[#This Row],[kval_active]],dict_zuord_Meth_Transfers[[#This Row],[ID_Transfers]],"")</f>
        <v/>
      </c>
    </row>
    <row r="873" spans="1:4" x14ac:dyDescent="0.45">
      <c r="A873">
        <v>145</v>
      </c>
      <c r="B873">
        <f t="shared" ca="1" si="13"/>
        <v>144</v>
      </c>
      <c r="C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3" t="str">
        <f ca="1">IF(dict_zuord_Meth_Transfers[[#This Row],[kval_active]],dict_zuord_Meth_Transfers[[#This Row],[ID_Transfers]],"")</f>
        <v/>
      </c>
    </row>
    <row r="874" spans="1:4" x14ac:dyDescent="0.45">
      <c r="A874">
        <v>145</v>
      </c>
      <c r="B874">
        <f t="shared" ca="1" si="13"/>
        <v>143</v>
      </c>
      <c r="C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4" t="str">
        <f ca="1">IF(dict_zuord_Meth_Transfers[[#This Row],[kval_active]],dict_zuord_Meth_Transfers[[#This Row],[ID_Transfers]],"")</f>
        <v/>
      </c>
    </row>
    <row r="875" spans="1:4" x14ac:dyDescent="0.45">
      <c r="A875">
        <v>145</v>
      </c>
      <c r="B875">
        <f t="shared" ca="1" si="13"/>
        <v>116</v>
      </c>
      <c r="C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5" t="str">
        <f ca="1">IF(dict_zuord_Meth_Transfers[[#This Row],[kval_active]],dict_zuord_Meth_Transfers[[#This Row],[ID_Transfers]],"")</f>
        <v/>
      </c>
    </row>
    <row r="876" spans="1:4" x14ac:dyDescent="0.45">
      <c r="A876">
        <v>145</v>
      </c>
      <c r="B876" s="3">
        <f t="shared" ca="1" si="13"/>
        <v>150</v>
      </c>
      <c r="C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6" t="str">
        <f ca="1">IF(dict_zuord_Meth_Transfers[[#This Row],[kval_active]],dict_zuord_Meth_Transfers[[#This Row],[ID_Transfers]],"")</f>
        <v/>
      </c>
    </row>
    <row r="877" spans="1:4" x14ac:dyDescent="0.45">
      <c r="A877">
        <v>145</v>
      </c>
      <c r="B877" s="3">
        <f t="shared" ca="1" si="13"/>
        <v>89</v>
      </c>
      <c r="C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7" t="str">
        <f ca="1">IF(dict_zuord_Meth_Transfers[[#This Row],[kval_active]],dict_zuord_Meth_Transfers[[#This Row],[ID_Transfers]],"")</f>
        <v/>
      </c>
    </row>
    <row r="878" spans="1:4" x14ac:dyDescent="0.45">
      <c r="A878">
        <v>146</v>
      </c>
      <c r="B878" s="3">
        <f t="shared" ca="1" si="13"/>
        <v>5</v>
      </c>
      <c r="C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8" t="str">
        <f ca="1">IF(dict_zuord_Meth_Transfers[[#This Row],[kval_active]],dict_zuord_Meth_Transfers[[#This Row],[ID_Transfers]],"")</f>
        <v/>
      </c>
    </row>
    <row r="879" spans="1:4" x14ac:dyDescent="0.45">
      <c r="A879">
        <v>146</v>
      </c>
      <c r="B879" s="3">
        <f t="shared" ca="1" si="13"/>
        <v>142</v>
      </c>
      <c r="C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79" t="str">
        <f ca="1">IF(dict_zuord_Meth_Transfers[[#This Row],[kval_active]],dict_zuord_Meth_Transfers[[#This Row],[ID_Transfers]],"")</f>
        <v/>
      </c>
    </row>
    <row r="880" spans="1:4" x14ac:dyDescent="0.45">
      <c r="A880">
        <v>146</v>
      </c>
      <c r="B880">
        <f t="shared" ca="1" si="13"/>
        <v>165</v>
      </c>
      <c r="C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0" t="str">
        <f ca="1">IF(dict_zuord_Meth_Transfers[[#This Row],[kval_active]],dict_zuord_Meth_Transfers[[#This Row],[ID_Transfers]],"")</f>
        <v/>
      </c>
    </row>
    <row r="881" spans="1:4" x14ac:dyDescent="0.45">
      <c r="A881">
        <v>146</v>
      </c>
      <c r="B881" s="3">
        <f t="shared" ca="1" si="13"/>
        <v>142</v>
      </c>
      <c r="C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1" t="str">
        <f ca="1">IF(dict_zuord_Meth_Transfers[[#This Row],[kval_active]],dict_zuord_Meth_Transfers[[#This Row],[ID_Transfers]],"")</f>
        <v/>
      </c>
    </row>
    <row r="882" spans="1:4" x14ac:dyDescent="0.45">
      <c r="A882">
        <v>146</v>
      </c>
      <c r="B882">
        <f t="shared" ca="1" si="13"/>
        <v>187</v>
      </c>
      <c r="C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2" t="str">
        <f ca="1">IF(dict_zuord_Meth_Transfers[[#This Row],[kval_active]],dict_zuord_Meth_Transfers[[#This Row],[ID_Transfers]],"")</f>
        <v/>
      </c>
    </row>
    <row r="883" spans="1:4" x14ac:dyDescent="0.45">
      <c r="A883">
        <v>146</v>
      </c>
      <c r="B883">
        <f t="shared" ca="1" si="13"/>
        <v>95</v>
      </c>
      <c r="C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3" t="str">
        <f ca="1">IF(dict_zuord_Meth_Transfers[[#This Row],[kval_active]],dict_zuord_Meth_Transfers[[#This Row],[ID_Transfers]],"")</f>
        <v/>
      </c>
    </row>
    <row r="884" spans="1:4" x14ac:dyDescent="0.45">
      <c r="A884">
        <v>147</v>
      </c>
      <c r="B884" s="3">
        <f t="shared" ca="1" si="13"/>
        <v>73</v>
      </c>
      <c r="C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4" t="str">
        <f ca="1">IF(dict_zuord_Meth_Transfers[[#This Row],[kval_active]],dict_zuord_Meth_Transfers[[#This Row],[ID_Transfers]],"")</f>
        <v/>
      </c>
    </row>
    <row r="885" spans="1:4" x14ac:dyDescent="0.45">
      <c r="A885">
        <v>147</v>
      </c>
      <c r="B885" s="3">
        <f t="shared" ca="1" si="13"/>
        <v>39</v>
      </c>
      <c r="C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5" t="str">
        <f ca="1">IF(dict_zuord_Meth_Transfers[[#This Row],[kval_active]],dict_zuord_Meth_Transfers[[#This Row],[ID_Transfers]],"")</f>
        <v/>
      </c>
    </row>
    <row r="886" spans="1:4" x14ac:dyDescent="0.45">
      <c r="A886">
        <v>147</v>
      </c>
      <c r="B886">
        <f t="shared" ca="1" si="13"/>
        <v>185</v>
      </c>
      <c r="C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6" t="str">
        <f ca="1">IF(dict_zuord_Meth_Transfers[[#This Row],[kval_active]],dict_zuord_Meth_Transfers[[#This Row],[ID_Transfers]],"")</f>
        <v/>
      </c>
    </row>
    <row r="887" spans="1:4" x14ac:dyDescent="0.45">
      <c r="A887">
        <v>147</v>
      </c>
      <c r="B887" s="3">
        <f t="shared" ca="1" si="13"/>
        <v>130</v>
      </c>
      <c r="C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7" t="str">
        <f ca="1">IF(dict_zuord_Meth_Transfers[[#This Row],[kval_active]],dict_zuord_Meth_Transfers[[#This Row],[ID_Transfers]],"")</f>
        <v/>
      </c>
    </row>
    <row r="888" spans="1:4" x14ac:dyDescent="0.45">
      <c r="A888">
        <v>147</v>
      </c>
      <c r="B888">
        <f t="shared" ca="1" si="13"/>
        <v>164</v>
      </c>
      <c r="C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8" t="str">
        <f ca="1">IF(dict_zuord_Meth_Transfers[[#This Row],[kval_active]],dict_zuord_Meth_Transfers[[#This Row],[ID_Transfers]],"")</f>
        <v/>
      </c>
    </row>
    <row r="889" spans="1:4" x14ac:dyDescent="0.45">
      <c r="A889">
        <v>147</v>
      </c>
      <c r="B889">
        <f t="shared" ca="1" si="13"/>
        <v>91</v>
      </c>
      <c r="C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89" t="str">
        <f ca="1">IF(dict_zuord_Meth_Transfers[[#This Row],[kval_active]],dict_zuord_Meth_Transfers[[#This Row],[ID_Transfers]],"")</f>
        <v/>
      </c>
    </row>
    <row r="890" spans="1:4" x14ac:dyDescent="0.45">
      <c r="A890">
        <v>148</v>
      </c>
      <c r="B890" s="3">
        <f t="shared" ca="1" si="13"/>
        <v>192</v>
      </c>
      <c r="C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0" t="str">
        <f ca="1">IF(dict_zuord_Meth_Transfers[[#This Row],[kval_active]],dict_zuord_Meth_Transfers[[#This Row],[ID_Transfers]],"")</f>
        <v/>
      </c>
    </row>
    <row r="891" spans="1:4" x14ac:dyDescent="0.45">
      <c r="A891">
        <v>148</v>
      </c>
      <c r="B891" s="3">
        <f t="shared" ca="1" si="13"/>
        <v>26</v>
      </c>
      <c r="C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1" t="str">
        <f ca="1">IF(dict_zuord_Meth_Transfers[[#This Row],[kval_active]],dict_zuord_Meth_Transfers[[#This Row],[ID_Transfers]],"")</f>
        <v/>
      </c>
    </row>
    <row r="892" spans="1:4" x14ac:dyDescent="0.45">
      <c r="A892">
        <v>148</v>
      </c>
      <c r="B892">
        <f t="shared" ca="1" si="13"/>
        <v>36</v>
      </c>
      <c r="C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2" t="str">
        <f ca="1">IF(dict_zuord_Meth_Transfers[[#This Row],[kval_active]],dict_zuord_Meth_Transfers[[#This Row],[ID_Transfers]],"")</f>
        <v/>
      </c>
    </row>
    <row r="893" spans="1:4" x14ac:dyDescent="0.45">
      <c r="A893">
        <v>148</v>
      </c>
      <c r="B893">
        <f t="shared" ca="1" si="13"/>
        <v>112</v>
      </c>
      <c r="C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3" t="str">
        <f ca="1">IF(dict_zuord_Meth_Transfers[[#This Row],[kval_active]],dict_zuord_Meth_Transfers[[#This Row],[ID_Transfers]],"")</f>
        <v/>
      </c>
    </row>
    <row r="894" spans="1:4" x14ac:dyDescent="0.45">
      <c r="A894">
        <v>148</v>
      </c>
      <c r="B894">
        <f t="shared" ca="1" si="13"/>
        <v>186</v>
      </c>
      <c r="C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4" t="str">
        <f ca="1">IF(dict_zuord_Meth_Transfers[[#This Row],[kval_active]],dict_zuord_Meth_Transfers[[#This Row],[ID_Transfers]],"")</f>
        <v/>
      </c>
    </row>
    <row r="895" spans="1:4" x14ac:dyDescent="0.45">
      <c r="A895">
        <v>148</v>
      </c>
      <c r="B895" s="3">
        <f t="shared" ca="1" si="13"/>
        <v>4</v>
      </c>
      <c r="C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5" t="str">
        <f ca="1">IF(dict_zuord_Meth_Transfers[[#This Row],[kval_active]],dict_zuord_Meth_Transfers[[#This Row],[ID_Transfers]],"")</f>
        <v/>
      </c>
    </row>
    <row r="896" spans="1:4" x14ac:dyDescent="0.45">
      <c r="A896">
        <v>149</v>
      </c>
      <c r="B896" s="3">
        <f t="shared" ca="1" si="13"/>
        <v>180</v>
      </c>
      <c r="C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6" t="str">
        <f ca="1">IF(dict_zuord_Meth_Transfers[[#This Row],[kval_active]],dict_zuord_Meth_Transfers[[#This Row],[ID_Transfers]],"")</f>
        <v/>
      </c>
    </row>
    <row r="897" spans="1:4" x14ac:dyDescent="0.45">
      <c r="A897">
        <v>149</v>
      </c>
      <c r="B897" s="3">
        <f t="shared" ca="1" si="13"/>
        <v>117</v>
      </c>
      <c r="C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7" t="str">
        <f ca="1">IF(dict_zuord_Meth_Transfers[[#This Row],[kval_active]],dict_zuord_Meth_Transfers[[#This Row],[ID_Transfers]],"")</f>
        <v/>
      </c>
    </row>
    <row r="898" spans="1:4" x14ac:dyDescent="0.45">
      <c r="A898">
        <v>149</v>
      </c>
      <c r="B898">
        <f t="shared" ref="B898:B961" ca="1" si="14">RANDBETWEEN(0,200)</f>
        <v>175</v>
      </c>
      <c r="C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8" t="str">
        <f ca="1">IF(dict_zuord_Meth_Transfers[[#This Row],[kval_active]],dict_zuord_Meth_Transfers[[#This Row],[ID_Transfers]],"")</f>
        <v/>
      </c>
    </row>
    <row r="899" spans="1:4" x14ac:dyDescent="0.45">
      <c r="A899">
        <v>149</v>
      </c>
      <c r="B899">
        <f t="shared" ca="1" si="14"/>
        <v>104</v>
      </c>
      <c r="C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899" t="str">
        <f ca="1">IF(dict_zuord_Meth_Transfers[[#This Row],[kval_active]],dict_zuord_Meth_Transfers[[#This Row],[ID_Transfers]],"")</f>
        <v/>
      </c>
    </row>
    <row r="900" spans="1:4" x14ac:dyDescent="0.45">
      <c r="A900">
        <v>149</v>
      </c>
      <c r="B900" s="3">
        <f t="shared" ca="1" si="14"/>
        <v>135</v>
      </c>
      <c r="C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0" t="str">
        <f ca="1">IF(dict_zuord_Meth_Transfers[[#This Row],[kval_active]],dict_zuord_Meth_Transfers[[#This Row],[ID_Transfers]],"")</f>
        <v/>
      </c>
    </row>
    <row r="901" spans="1:4" x14ac:dyDescent="0.45">
      <c r="A901">
        <v>149</v>
      </c>
      <c r="B901">
        <f t="shared" ca="1" si="14"/>
        <v>97</v>
      </c>
      <c r="C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1" t="str">
        <f ca="1">IF(dict_zuord_Meth_Transfers[[#This Row],[kval_active]],dict_zuord_Meth_Transfers[[#This Row],[ID_Transfers]],"")</f>
        <v/>
      </c>
    </row>
    <row r="902" spans="1:4" x14ac:dyDescent="0.45">
      <c r="A902">
        <v>150</v>
      </c>
      <c r="B902" s="3">
        <f t="shared" ca="1" si="14"/>
        <v>147</v>
      </c>
      <c r="C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2" t="str">
        <f ca="1">IF(dict_zuord_Meth_Transfers[[#This Row],[kval_active]],dict_zuord_Meth_Transfers[[#This Row],[ID_Transfers]],"")</f>
        <v/>
      </c>
    </row>
    <row r="903" spans="1:4" x14ac:dyDescent="0.45">
      <c r="A903">
        <v>150</v>
      </c>
      <c r="B903">
        <f t="shared" ca="1" si="14"/>
        <v>66</v>
      </c>
      <c r="C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3" t="str">
        <f ca="1">IF(dict_zuord_Meth_Transfers[[#This Row],[kval_active]],dict_zuord_Meth_Transfers[[#This Row],[ID_Transfers]],"")</f>
        <v/>
      </c>
    </row>
    <row r="904" spans="1:4" x14ac:dyDescent="0.45">
      <c r="A904">
        <v>150</v>
      </c>
      <c r="B904">
        <f t="shared" ca="1" si="14"/>
        <v>62</v>
      </c>
      <c r="C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4" t="str">
        <f ca="1">IF(dict_zuord_Meth_Transfers[[#This Row],[kval_active]],dict_zuord_Meth_Transfers[[#This Row],[ID_Transfers]],"")</f>
        <v/>
      </c>
    </row>
    <row r="905" spans="1:4" x14ac:dyDescent="0.45">
      <c r="A905">
        <v>150</v>
      </c>
      <c r="B905">
        <f t="shared" ca="1" si="14"/>
        <v>133</v>
      </c>
      <c r="C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5" t="str">
        <f ca="1">IF(dict_zuord_Meth_Transfers[[#This Row],[kval_active]],dict_zuord_Meth_Transfers[[#This Row],[ID_Transfers]],"")</f>
        <v/>
      </c>
    </row>
    <row r="906" spans="1:4" x14ac:dyDescent="0.45">
      <c r="A906">
        <v>150</v>
      </c>
      <c r="B906" s="3">
        <f t="shared" ca="1" si="14"/>
        <v>124</v>
      </c>
      <c r="C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6" t="str">
        <f ca="1">IF(dict_zuord_Meth_Transfers[[#This Row],[kval_active]],dict_zuord_Meth_Transfers[[#This Row],[ID_Transfers]],"")</f>
        <v/>
      </c>
    </row>
    <row r="907" spans="1:4" x14ac:dyDescent="0.45">
      <c r="A907">
        <v>150</v>
      </c>
      <c r="B907" s="3">
        <f t="shared" ca="1" si="14"/>
        <v>73</v>
      </c>
      <c r="C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7" t="str">
        <f ca="1">IF(dict_zuord_Meth_Transfers[[#This Row],[kval_active]],dict_zuord_Meth_Transfers[[#This Row],[ID_Transfers]],"")</f>
        <v/>
      </c>
    </row>
    <row r="908" spans="1:4" x14ac:dyDescent="0.45">
      <c r="A908">
        <v>151</v>
      </c>
      <c r="B908">
        <f t="shared" ca="1" si="14"/>
        <v>60</v>
      </c>
      <c r="C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8" t="str">
        <f ca="1">IF(dict_zuord_Meth_Transfers[[#This Row],[kval_active]],dict_zuord_Meth_Transfers[[#This Row],[ID_Transfers]],"")</f>
        <v/>
      </c>
    </row>
    <row r="909" spans="1:4" x14ac:dyDescent="0.45">
      <c r="A909">
        <v>151</v>
      </c>
      <c r="B909" s="3">
        <f t="shared" ca="1" si="14"/>
        <v>99</v>
      </c>
      <c r="C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09" t="str">
        <f ca="1">IF(dict_zuord_Meth_Transfers[[#This Row],[kval_active]],dict_zuord_Meth_Transfers[[#This Row],[ID_Transfers]],"")</f>
        <v/>
      </c>
    </row>
    <row r="910" spans="1:4" x14ac:dyDescent="0.45">
      <c r="A910">
        <v>151</v>
      </c>
      <c r="B910" s="3">
        <f t="shared" ca="1" si="14"/>
        <v>164</v>
      </c>
      <c r="C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0" t="str">
        <f ca="1">IF(dict_zuord_Meth_Transfers[[#This Row],[kval_active]],dict_zuord_Meth_Transfers[[#This Row],[ID_Transfers]],"")</f>
        <v/>
      </c>
    </row>
    <row r="911" spans="1:4" x14ac:dyDescent="0.45">
      <c r="A911">
        <v>151</v>
      </c>
      <c r="B911">
        <f t="shared" ca="1" si="14"/>
        <v>21</v>
      </c>
      <c r="C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1" t="str">
        <f ca="1">IF(dict_zuord_Meth_Transfers[[#This Row],[kval_active]],dict_zuord_Meth_Transfers[[#This Row],[ID_Transfers]],"")</f>
        <v/>
      </c>
    </row>
    <row r="912" spans="1:4" x14ac:dyDescent="0.45">
      <c r="A912">
        <v>151</v>
      </c>
      <c r="B912" s="3">
        <f t="shared" ca="1" si="14"/>
        <v>79</v>
      </c>
      <c r="C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2" t="str">
        <f ca="1">IF(dict_zuord_Meth_Transfers[[#This Row],[kval_active]],dict_zuord_Meth_Transfers[[#This Row],[ID_Transfers]],"")</f>
        <v/>
      </c>
    </row>
    <row r="913" spans="1:4" x14ac:dyDescent="0.45">
      <c r="A913">
        <v>151</v>
      </c>
      <c r="B913">
        <f t="shared" ca="1" si="14"/>
        <v>85</v>
      </c>
      <c r="C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3" t="str">
        <f ca="1">IF(dict_zuord_Meth_Transfers[[#This Row],[kval_active]],dict_zuord_Meth_Transfers[[#This Row],[ID_Transfers]],"")</f>
        <v/>
      </c>
    </row>
    <row r="914" spans="1:4" x14ac:dyDescent="0.45">
      <c r="A914">
        <v>152</v>
      </c>
      <c r="B914" s="3">
        <f t="shared" ca="1" si="14"/>
        <v>200</v>
      </c>
      <c r="C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4" t="str">
        <f ca="1">IF(dict_zuord_Meth_Transfers[[#This Row],[kval_active]],dict_zuord_Meth_Transfers[[#This Row],[ID_Transfers]],"")</f>
        <v/>
      </c>
    </row>
    <row r="915" spans="1:4" x14ac:dyDescent="0.45">
      <c r="A915">
        <v>152</v>
      </c>
      <c r="B915">
        <f t="shared" ca="1" si="14"/>
        <v>95</v>
      </c>
      <c r="C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5" t="str">
        <f ca="1">IF(dict_zuord_Meth_Transfers[[#This Row],[kval_active]],dict_zuord_Meth_Transfers[[#This Row],[ID_Transfers]],"")</f>
        <v/>
      </c>
    </row>
    <row r="916" spans="1:4" x14ac:dyDescent="0.45">
      <c r="A916">
        <v>152</v>
      </c>
      <c r="B916">
        <f t="shared" ca="1" si="14"/>
        <v>127</v>
      </c>
      <c r="C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6" t="str">
        <f ca="1">IF(dict_zuord_Meth_Transfers[[#This Row],[kval_active]],dict_zuord_Meth_Transfers[[#This Row],[ID_Transfers]],"")</f>
        <v/>
      </c>
    </row>
    <row r="917" spans="1:4" x14ac:dyDescent="0.45">
      <c r="A917">
        <v>152</v>
      </c>
      <c r="B917">
        <f t="shared" ca="1" si="14"/>
        <v>175</v>
      </c>
      <c r="C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7" t="str">
        <f ca="1">IF(dict_zuord_Meth_Transfers[[#This Row],[kval_active]],dict_zuord_Meth_Transfers[[#This Row],[ID_Transfers]],"")</f>
        <v/>
      </c>
    </row>
    <row r="918" spans="1:4" x14ac:dyDescent="0.45">
      <c r="A918">
        <v>152</v>
      </c>
      <c r="B918" s="3">
        <f t="shared" ca="1" si="14"/>
        <v>60</v>
      </c>
      <c r="C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8" t="str">
        <f ca="1">IF(dict_zuord_Meth_Transfers[[#This Row],[kval_active]],dict_zuord_Meth_Transfers[[#This Row],[ID_Transfers]],"")</f>
        <v/>
      </c>
    </row>
    <row r="919" spans="1:4" x14ac:dyDescent="0.45">
      <c r="A919">
        <v>152</v>
      </c>
      <c r="B919" s="3">
        <f t="shared" ca="1" si="14"/>
        <v>191</v>
      </c>
      <c r="C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19" t="str">
        <f ca="1">IF(dict_zuord_Meth_Transfers[[#This Row],[kval_active]],dict_zuord_Meth_Transfers[[#This Row],[ID_Transfers]],"")</f>
        <v/>
      </c>
    </row>
    <row r="920" spans="1:4" x14ac:dyDescent="0.45">
      <c r="A920">
        <v>153</v>
      </c>
      <c r="B920" s="3">
        <f t="shared" ca="1" si="14"/>
        <v>187</v>
      </c>
      <c r="C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0" t="str">
        <f ca="1">IF(dict_zuord_Meth_Transfers[[#This Row],[kval_active]],dict_zuord_Meth_Transfers[[#This Row],[ID_Transfers]],"")</f>
        <v/>
      </c>
    </row>
    <row r="921" spans="1:4" x14ac:dyDescent="0.45">
      <c r="A921">
        <v>153</v>
      </c>
      <c r="B921">
        <f t="shared" ca="1" si="14"/>
        <v>102</v>
      </c>
      <c r="C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1" t="str">
        <f ca="1">IF(dict_zuord_Meth_Transfers[[#This Row],[kval_active]],dict_zuord_Meth_Transfers[[#This Row],[ID_Transfers]],"")</f>
        <v/>
      </c>
    </row>
    <row r="922" spans="1:4" x14ac:dyDescent="0.45">
      <c r="A922">
        <v>153</v>
      </c>
      <c r="B922">
        <f t="shared" ca="1" si="14"/>
        <v>25</v>
      </c>
      <c r="C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2" t="str">
        <f ca="1">IF(dict_zuord_Meth_Transfers[[#This Row],[kval_active]],dict_zuord_Meth_Transfers[[#This Row],[ID_Transfers]],"")</f>
        <v/>
      </c>
    </row>
    <row r="923" spans="1:4" x14ac:dyDescent="0.45">
      <c r="A923">
        <v>153</v>
      </c>
      <c r="B923">
        <f t="shared" ca="1" si="14"/>
        <v>165</v>
      </c>
      <c r="C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3" t="str">
        <f ca="1">IF(dict_zuord_Meth_Transfers[[#This Row],[kval_active]],dict_zuord_Meth_Transfers[[#This Row],[ID_Transfers]],"")</f>
        <v/>
      </c>
    </row>
    <row r="924" spans="1:4" x14ac:dyDescent="0.45">
      <c r="A924">
        <v>153</v>
      </c>
      <c r="B924" s="3">
        <f t="shared" ca="1" si="14"/>
        <v>68</v>
      </c>
      <c r="C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4" t="str">
        <f ca="1">IF(dict_zuord_Meth_Transfers[[#This Row],[kval_active]],dict_zuord_Meth_Transfers[[#This Row],[ID_Transfers]],"")</f>
        <v/>
      </c>
    </row>
    <row r="925" spans="1:4" x14ac:dyDescent="0.45">
      <c r="A925">
        <v>153</v>
      </c>
      <c r="B925" s="3">
        <f t="shared" ca="1" si="14"/>
        <v>48</v>
      </c>
      <c r="C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5" t="str">
        <f ca="1">IF(dict_zuord_Meth_Transfers[[#This Row],[kval_active]],dict_zuord_Meth_Transfers[[#This Row],[ID_Transfers]],"")</f>
        <v/>
      </c>
    </row>
    <row r="926" spans="1:4" x14ac:dyDescent="0.45">
      <c r="A926">
        <v>154</v>
      </c>
      <c r="B926">
        <f t="shared" ca="1" si="14"/>
        <v>29</v>
      </c>
      <c r="C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6" t="str">
        <f ca="1">IF(dict_zuord_Meth_Transfers[[#This Row],[kval_active]],dict_zuord_Meth_Transfers[[#This Row],[ID_Transfers]],"")</f>
        <v/>
      </c>
    </row>
    <row r="927" spans="1:4" x14ac:dyDescent="0.45">
      <c r="A927">
        <v>154</v>
      </c>
      <c r="B927">
        <f t="shared" ca="1" si="14"/>
        <v>75</v>
      </c>
      <c r="C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7" t="str">
        <f ca="1">IF(dict_zuord_Meth_Transfers[[#This Row],[kval_active]],dict_zuord_Meth_Transfers[[#This Row],[ID_Transfers]],"")</f>
        <v/>
      </c>
    </row>
    <row r="928" spans="1:4" x14ac:dyDescent="0.45">
      <c r="A928">
        <v>154</v>
      </c>
      <c r="B928" s="3">
        <f t="shared" ca="1" si="14"/>
        <v>4</v>
      </c>
      <c r="C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8" t="str">
        <f ca="1">IF(dict_zuord_Meth_Transfers[[#This Row],[kval_active]],dict_zuord_Meth_Transfers[[#This Row],[ID_Transfers]],"")</f>
        <v/>
      </c>
    </row>
    <row r="929" spans="1:4" x14ac:dyDescent="0.45">
      <c r="A929">
        <v>154</v>
      </c>
      <c r="B929" s="3">
        <f t="shared" ca="1" si="14"/>
        <v>118</v>
      </c>
      <c r="C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29" t="str">
        <f ca="1">IF(dict_zuord_Meth_Transfers[[#This Row],[kval_active]],dict_zuord_Meth_Transfers[[#This Row],[ID_Transfers]],"")</f>
        <v/>
      </c>
    </row>
    <row r="930" spans="1:4" x14ac:dyDescent="0.45">
      <c r="A930">
        <v>154</v>
      </c>
      <c r="B930">
        <f t="shared" ca="1" si="14"/>
        <v>81</v>
      </c>
      <c r="C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0" t="str">
        <f ca="1">IF(dict_zuord_Meth_Transfers[[#This Row],[kval_active]],dict_zuord_Meth_Transfers[[#This Row],[ID_Transfers]],"")</f>
        <v/>
      </c>
    </row>
    <row r="931" spans="1:4" x14ac:dyDescent="0.45">
      <c r="A931">
        <v>154</v>
      </c>
      <c r="B931" s="3">
        <f t="shared" ca="1" si="14"/>
        <v>67</v>
      </c>
      <c r="C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1" t="str">
        <f ca="1">IF(dict_zuord_Meth_Transfers[[#This Row],[kval_active]],dict_zuord_Meth_Transfers[[#This Row],[ID_Transfers]],"")</f>
        <v/>
      </c>
    </row>
    <row r="932" spans="1:4" x14ac:dyDescent="0.45">
      <c r="A932">
        <v>155</v>
      </c>
      <c r="B932" s="3">
        <f t="shared" ca="1" si="14"/>
        <v>140</v>
      </c>
      <c r="C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2" t="str">
        <f ca="1">IF(dict_zuord_Meth_Transfers[[#This Row],[kval_active]],dict_zuord_Meth_Transfers[[#This Row],[ID_Transfers]],"")</f>
        <v/>
      </c>
    </row>
    <row r="933" spans="1:4" x14ac:dyDescent="0.45">
      <c r="A933">
        <v>155</v>
      </c>
      <c r="B933">
        <f t="shared" ca="1" si="14"/>
        <v>198</v>
      </c>
      <c r="C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3" t="str">
        <f ca="1">IF(dict_zuord_Meth_Transfers[[#This Row],[kval_active]],dict_zuord_Meth_Transfers[[#This Row],[ID_Transfers]],"")</f>
        <v/>
      </c>
    </row>
    <row r="934" spans="1:4" x14ac:dyDescent="0.45">
      <c r="A934">
        <v>155</v>
      </c>
      <c r="B934" s="3">
        <f t="shared" ca="1" si="14"/>
        <v>145</v>
      </c>
      <c r="C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4" t="str">
        <f ca="1">IF(dict_zuord_Meth_Transfers[[#This Row],[kval_active]],dict_zuord_Meth_Transfers[[#This Row],[ID_Transfers]],"")</f>
        <v/>
      </c>
    </row>
    <row r="935" spans="1:4" x14ac:dyDescent="0.45">
      <c r="A935">
        <v>155</v>
      </c>
      <c r="B935" s="3">
        <f t="shared" ca="1" si="14"/>
        <v>157</v>
      </c>
      <c r="C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5" t="str">
        <f ca="1">IF(dict_zuord_Meth_Transfers[[#This Row],[kval_active]],dict_zuord_Meth_Transfers[[#This Row],[ID_Transfers]],"")</f>
        <v/>
      </c>
    </row>
    <row r="936" spans="1:4" x14ac:dyDescent="0.45">
      <c r="A936">
        <v>155</v>
      </c>
      <c r="B936">
        <f t="shared" ca="1" si="14"/>
        <v>196</v>
      </c>
      <c r="C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6" t="str">
        <f ca="1">IF(dict_zuord_Meth_Transfers[[#This Row],[kval_active]],dict_zuord_Meth_Transfers[[#This Row],[ID_Transfers]],"")</f>
        <v/>
      </c>
    </row>
    <row r="937" spans="1:4" x14ac:dyDescent="0.45">
      <c r="A937">
        <v>155</v>
      </c>
      <c r="B937">
        <f t="shared" ca="1" si="14"/>
        <v>24</v>
      </c>
      <c r="C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7" t="str">
        <f ca="1">IF(dict_zuord_Meth_Transfers[[#This Row],[kval_active]],dict_zuord_Meth_Transfers[[#This Row],[ID_Transfers]],"")</f>
        <v/>
      </c>
    </row>
    <row r="938" spans="1:4" x14ac:dyDescent="0.45">
      <c r="A938">
        <v>156</v>
      </c>
      <c r="B938">
        <f t="shared" ca="1" si="14"/>
        <v>80</v>
      </c>
      <c r="C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8" t="str">
        <f ca="1">IF(dict_zuord_Meth_Transfers[[#This Row],[kval_active]],dict_zuord_Meth_Transfers[[#This Row],[ID_Transfers]],"")</f>
        <v/>
      </c>
    </row>
    <row r="939" spans="1:4" x14ac:dyDescent="0.45">
      <c r="A939">
        <v>156</v>
      </c>
      <c r="B939">
        <f t="shared" ca="1" si="14"/>
        <v>51</v>
      </c>
      <c r="C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39" t="str">
        <f ca="1">IF(dict_zuord_Meth_Transfers[[#This Row],[kval_active]],dict_zuord_Meth_Transfers[[#This Row],[ID_Transfers]],"")</f>
        <v/>
      </c>
    </row>
    <row r="940" spans="1:4" x14ac:dyDescent="0.45">
      <c r="A940">
        <v>156</v>
      </c>
      <c r="B940" s="3">
        <f t="shared" ca="1" si="14"/>
        <v>5</v>
      </c>
      <c r="C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0" t="str">
        <f ca="1">IF(dict_zuord_Meth_Transfers[[#This Row],[kval_active]],dict_zuord_Meth_Transfers[[#This Row],[ID_Transfers]],"")</f>
        <v/>
      </c>
    </row>
    <row r="941" spans="1:4" x14ac:dyDescent="0.45">
      <c r="A941">
        <v>156</v>
      </c>
      <c r="B941" s="3">
        <f t="shared" ca="1" si="14"/>
        <v>20</v>
      </c>
      <c r="C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1" t="str">
        <f ca="1">IF(dict_zuord_Meth_Transfers[[#This Row],[kval_active]],dict_zuord_Meth_Transfers[[#This Row],[ID_Transfers]],"")</f>
        <v/>
      </c>
    </row>
    <row r="942" spans="1:4" x14ac:dyDescent="0.45">
      <c r="A942">
        <v>156</v>
      </c>
      <c r="B942" s="3">
        <f t="shared" ca="1" si="14"/>
        <v>44</v>
      </c>
      <c r="C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2" t="str">
        <f ca="1">IF(dict_zuord_Meth_Transfers[[#This Row],[kval_active]],dict_zuord_Meth_Transfers[[#This Row],[ID_Transfers]],"")</f>
        <v/>
      </c>
    </row>
    <row r="943" spans="1:4" x14ac:dyDescent="0.45">
      <c r="A943">
        <v>156</v>
      </c>
      <c r="B943">
        <f t="shared" ca="1" si="14"/>
        <v>170</v>
      </c>
      <c r="C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3" t="str">
        <f ca="1">IF(dict_zuord_Meth_Transfers[[#This Row],[kval_active]],dict_zuord_Meth_Transfers[[#This Row],[ID_Transfers]],"")</f>
        <v/>
      </c>
    </row>
    <row r="944" spans="1:4" x14ac:dyDescent="0.45">
      <c r="A944">
        <v>157</v>
      </c>
      <c r="B944">
        <f t="shared" ca="1" si="14"/>
        <v>41</v>
      </c>
      <c r="C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4" t="str">
        <f ca="1">IF(dict_zuord_Meth_Transfers[[#This Row],[kval_active]],dict_zuord_Meth_Transfers[[#This Row],[ID_Transfers]],"")</f>
        <v/>
      </c>
    </row>
    <row r="945" spans="1:4" x14ac:dyDescent="0.45">
      <c r="A945">
        <v>157</v>
      </c>
      <c r="B945">
        <f t="shared" ca="1" si="14"/>
        <v>111</v>
      </c>
      <c r="C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5" t="str">
        <f ca="1">IF(dict_zuord_Meth_Transfers[[#This Row],[kval_active]],dict_zuord_Meth_Transfers[[#This Row],[ID_Transfers]],"")</f>
        <v/>
      </c>
    </row>
    <row r="946" spans="1:4" x14ac:dyDescent="0.45">
      <c r="A946">
        <v>157</v>
      </c>
      <c r="B946" s="3">
        <f t="shared" ca="1" si="14"/>
        <v>194</v>
      </c>
      <c r="C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6" t="str">
        <f ca="1">IF(dict_zuord_Meth_Transfers[[#This Row],[kval_active]],dict_zuord_Meth_Transfers[[#This Row],[ID_Transfers]],"")</f>
        <v/>
      </c>
    </row>
    <row r="947" spans="1:4" x14ac:dyDescent="0.45">
      <c r="A947">
        <v>157</v>
      </c>
      <c r="B947" s="3">
        <f t="shared" ca="1" si="14"/>
        <v>164</v>
      </c>
      <c r="C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7" t="str">
        <f ca="1">IF(dict_zuord_Meth_Transfers[[#This Row],[kval_active]],dict_zuord_Meth_Transfers[[#This Row],[ID_Transfers]],"")</f>
        <v/>
      </c>
    </row>
    <row r="948" spans="1:4" x14ac:dyDescent="0.45">
      <c r="A948">
        <v>157</v>
      </c>
      <c r="B948">
        <f t="shared" ca="1" si="14"/>
        <v>102</v>
      </c>
      <c r="C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8" t="str">
        <f ca="1">IF(dict_zuord_Meth_Transfers[[#This Row],[kval_active]],dict_zuord_Meth_Transfers[[#This Row],[ID_Transfers]],"")</f>
        <v/>
      </c>
    </row>
    <row r="949" spans="1:4" x14ac:dyDescent="0.45">
      <c r="A949">
        <v>157</v>
      </c>
      <c r="B949" s="3">
        <f t="shared" ca="1" si="14"/>
        <v>143</v>
      </c>
      <c r="C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49" t="str">
        <f ca="1">IF(dict_zuord_Meth_Transfers[[#This Row],[kval_active]],dict_zuord_Meth_Transfers[[#This Row],[ID_Transfers]],"")</f>
        <v/>
      </c>
    </row>
    <row r="950" spans="1:4" x14ac:dyDescent="0.45">
      <c r="A950">
        <v>158</v>
      </c>
      <c r="B950" s="3">
        <f t="shared" ca="1" si="14"/>
        <v>148</v>
      </c>
      <c r="C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0" t="str">
        <f ca="1">IF(dict_zuord_Meth_Transfers[[#This Row],[kval_active]],dict_zuord_Meth_Transfers[[#This Row],[ID_Transfers]],"")</f>
        <v/>
      </c>
    </row>
    <row r="951" spans="1:4" x14ac:dyDescent="0.45">
      <c r="A951">
        <v>158</v>
      </c>
      <c r="B951">
        <f t="shared" ca="1" si="14"/>
        <v>162</v>
      </c>
      <c r="C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1" t="str">
        <f ca="1">IF(dict_zuord_Meth_Transfers[[#This Row],[kval_active]],dict_zuord_Meth_Transfers[[#This Row],[ID_Transfers]],"")</f>
        <v/>
      </c>
    </row>
    <row r="952" spans="1:4" x14ac:dyDescent="0.45">
      <c r="A952">
        <v>158</v>
      </c>
      <c r="B952">
        <f t="shared" ca="1" si="14"/>
        <v>153</v>
      </c>
      <c r="C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2" t="str">
        <f ca="1">IF(dict_zuord_Meth_Transfers[[#This Row],[kval_active]],dict_zuord_Meth_Transfers[[#This Row],[ID_Transfers]],"")</f>
        <v/>
      </c>
    </row>
    <row r="953" spans="1:4" x14ac:dyDescent="0.45">
      <c r="A953">
        <v>158</v>
      </c>
      <c r="B953">
        <f t="shared" ca="1" si="14"/>
        <v>132</v>
      </c>
      <c r="C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3" t="str">
        <f ca="1">IF(dict_zuord_Meth_Transfers[[#This Row],[kval_active]],dict_zuord_Meth_Transfers[[#This Row],[ID_Transfers]],"")</f>
        <v/>
      </c>
    </row>
    <row r="954" spans="1:4" x14ac:dyDescent="0.45">
      <c r="A954">
        <v>158</v>
      </c>
      <c r="B954" s="3">
        <f t="shared" ca="1" si="14"/>
        <v>106</v>
      </c>
      <c r="C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4" t="str">
        <f ca="1">IF(dict_zuord_Meth_Transfers[[#This Row],[kval_active]],dict_zuord_Meth_Transfers[[#This Row],[ID_Transfers]],"")</f>
        <v/>
      </c>
    </row>
    <row r="955" spans="1:4" x14ac:dyDescent="0.45">
      <c r="A955">
        <v>158</v>
      </c>
      <c r="B955" s="3">
        <f t="shared" ca="1" si="14"/>
        <v>154</v>
      </c>
      <c r="C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5" t="str">
        <f ca="1">IF(dict_zuord_Meth_Transfers[[#This Row],[kval_active]],dict_zuord_Meth_Transfers[[#This Row],[ID_Transfers]],"")</f>
        <v/>
      </c>
    </row>
    <row r="956" spans="1:4" x14ac:dyDescent="0.45">
      <c r="A956">
        <v>159</v>
      </c>
      <c r="B956" s="3">
        <f t="shared" ca="1" si="14"/>
        <v>144</v>
      </c>
      <c r="C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6" t="str">
        <f ca="1">IF(dict_zuord_Meth_Transfers[[#This Row],[kval_active]],dict_zuord_Meth_Transfers[[#This Row],[ID_Transfers]],"")</f>
        <v/>
      </c>
    </row>
    <row r="957" spans="1:4" x14ac:dyDescent="0.45">
      <c r="A957">
        <v>159</v>
      </c>
      <c r="B957">
        <f t="shared" ca="1" si="14"/>
        <v>159</v>
      </c>
      <c r="C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7" t="str">
        <f ca="1">IF(dict_zuord_Meth_Transfers[[#This Row],[kval_active]],dict_zuord_Meth_Transfers[[#This Row],[ID_Transfers]],"")</f>
        <v/>
      </c>
    </row>
    <row r="958" spans="1:4" x14ac:dyDescent="0.45">
      <c r="A958">
        <v>159</v>
      </c>
      <c r="B958" s="3">
        <f t="shared" ca="1" si="14"/>
        <v>15</v>
      </c>
      <c r="C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8" t="str">
        <f ca="1">IF(dict_zuord_Meth_Transfers[[#This Row],[kval_active]],dict_zuord_Meth_Transfers[[#This Row],[ID_Transfers]],"")</f>
        <v/>
      </c>
    </row>
    <row r="959" spans="1:4" x14ac:dyDescent="0.45">
      <c r="A959">
        <v>159</v>
      </c>
      <c r="B959">
        <f t="shared" ca="1" si="14"/>
        <v>99</v>
      </c>
      <c r="C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59" t="str">
        <f ca="1">IF(dict_zuord_Meth_Transfers[[#This Row],[kval_active]],dict_zuord_Meth_Transfers[[#This Row],[ID_Transfers]],"")</f>
        <v/>
      </c>
    </row>
    <row r="960" spans="1:4" x14ac:dyDescent="0.45">
      <c r="A960">
        <v>159</v>
      </c>
      <c r="B960" s="3">
        <f t="shared" ca="1" si="14"/>
        <v>171</v>
      </c>
      <c r="C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0" t="str">
        <f ca="1">IF(dict_zuord_Meth_Transfers[[#This Row],[kval_active]],dict_zuord_Meth_Transfers[[#This Row],[ID_Transfers]],"")</f>
        <v/>
      </c>
    </row>
    <row r="961" spans="1:4" x14ac:dyDescent="0.45">
      <c r="A961">
        <v>159</v>
      </c>
      <c r="B961">
        <f t="shared" ca="1" si="14"/>
        <v>46</v>
      </c>
      <c r="C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1" t="str">
        <f ca="1">IF(dict_zuord_Meth_Transfers[[#This Row],[kval_active]],dict_zuord_Meth_Transfers[[#This Row],[ID_Transfers]],"")</f>
        <v/>
      </c>
    </row>
    <row r="962" spans="1:4" x14ac:dyDescent="0.45">
      <c r="A962">
        <v>160</v>
      </c>
      <c r="B962">
        <f t="shared" ref="B962:B1025" ca="1" si="15">RANDBETWEEN(0,200)</f>
        <v>154</v>
      </c>
      <c r="C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2" t="str">
        <f ca="1">IF(dict_zuord_Meth_Transfers[[#This Row],[kval_active]],dict_zuord_Meth_Transfers[[#This Row],[ID_Transfers]],"")</f>
        <v/>
      </c>
    </row>
    <row r="963" spans="1:4" x14ac:dyDescent="0.45">
      <c r="A963">
        <v>160</v>
      </c>
      <c r="B963" s="3">
        <f t="shared" ca="1" si="15"/>
        <v>35</v>
      </c>
      <c r="C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3" t="str">
        <f ca="1">IF(dict_zuord_Meth_Transfers[[#This Row],[kval_active]],dict_zuord_Meth_Transfers[[#This Row],[ID_Transfers]],"")</f>
        <v/>
      </c>
    </row>
    <row r="964" spans="1:4" x14ac:dyDescent="0.45">
      <c r="A964">
        <v>160</v>
      </c>
      <c r="B964">
        <f t="shared" ca="1" si="15"/>
        <v>160</v>
      </c>
      <c r="C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4" t="str">
        <f ca="1">IF(dict_zuord_Meth_Transfers[[#This Row],[kval_active]],dict_zuord_Meth_Transfers[[#This Row],[ID_Transfers]],"")</f>
        <v/>
      </c>
    </row>
    <row r="965" spans="1:4" x14ac:dyDescent="0.45">
      <c r="A965">
        <v>160</v>
      </c>
      <c r="B965" s="3">
        <f t="shared" ca="1" si="15"/>
        <v>151</v>
      </c>
      <c r="C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5" t="str">
        <f ca="1">IF(dict_zuord_Meth_Transfers[[#This Row],[kval_active]],dict_zuord_Meth_Transfers[[#This Row],[ID_Transfers]],"")</f>
        <v/>
      </c>
    </row>
    <row r="966" spans="1:4" x14ac:dyDescent="0.45">
      <c r="A966">
        <v>160</v>
      </c>
      <c r="B966">
        <f t="shared" ca="1" si="15"/>
        <v>135</v>
      </c>
      <c r="C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6" t="str">
        <f ca="1">IF(dict_zuord_Meth_Transfers[[#This Row],[kval_active]],dict_zuord_Meth_Transfers[[#This Row],[ID_Transfers]],"")</f>
        <v/>
      </c>
    </row>
    <row r="967" spans="1:4" x14ac:dyDescent="0.45">
      <c r="A967">
        <v>160</v>
      </c>
      <c r="B967" s="3">
        <f t="shared" ca="1" si="15"/>
        <v>28</v>
      </c>
      <c r="C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7" t="str">
        <f ca="1">IF(dict_zuord_Meth_Transfers[[#This Row],[kval_active]],dict_zuord_Meth_Transfers[[#This Row],[ID_Transfers]],"")</f>
        <v/>
      </c>
    </row>
    <row r="968" spans="1:4" x14ac:dyDescent="0.45">
      <c r="A968">
        <v>161</v>
      </c>
      <c r="B968">
        <f t="shared" ca="1" si="15"/>
        <v>12</v>
      </c>
      <c r="C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8" t="str">
        <f ca="1">IF(dict_zuord_Meth_Transfers[[#This Row],[kval_active]],dict_zuord_Meth_Transfers[[#This Row],[ID_Transfers]],"")</f>
        <v/>
      </c>
    </row>
    <row r="969" spans="1:4" x14ac:dyDescent="0.45">
      <c r="A969">
        <v>161</v>
      </c>
      <c r="B969" s="3">
        <f t="shared" ca="1" si="15"/>
        <v>172</v>
      </c>
      <c r="C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69" t="str">
        <f ca="1">IF(dict_zuord_Meth_Transfers[[#This Row],[kval_active]],dict_zuord_Meth_Transfers[[#This Row],[ID_Transfers]],"")</f>
        <v/>
      </c>
    </row>
    <row r="970" spans="1:4" x14ac:dyDescent="0.45">
      <c r="A970">
        <v>161</v>
      </c>
      <c r="B970" s="3">
        <f t="shared" ca="1" si="15"/>
        <v>120</v>
      </c>
      <c r="C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0" t="str">
        <f ca="1">IF(dict_zuord_Meth_Transfers[[#This Row],[kval_active]],dict_zuord_Meth_Transfers[[#This Row],[ID_Transfers]],"")</f>
        <v/>
      </c>
    </row>
    <row r="971" spans="1:4" x14ac:dyDescent="0.45">
      <c r="A971">
        <v>161</v>
      </c>
      <c r="B971" s="3">
        <f t="shared" ca="1" si="15"/>
        <v>5</v>
      </c>
      <c r="C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1" t="str">
        <f ca="1">IF(dict_zuord_Meth_Transfers[[#This Row],[kval_active]],dict_zuord_Meth_Transfers[[#This Row],[ID_Transfers]],"")</f>
        <v/>
      </c>
    </row>
    <row r="972" spans="1:4" x14ac:dyDescent="0.45">
      <c r="A972">
        <v>161</v>
      </c>
      <c r="B972">
        <f t="shared" ca="1" si="15"/>
        <v>41</v>
      </c>
      <c r="C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2" t="str">
        <f ca="1">IF(dict_zuord_Meth_Transfers[[#This Row],[kval_active]],dict_zuord_Meth_Transfers[[#This Row],[ID_Transfers]],"")</f>
        <v/>
      </c>
    </row>
    <row r="973" spans="1:4" x14ac:dyDescent="0.45">
      <c r="A973">
        <v>161</v>
      </c>
      <c r="B973">
        <f t="shared" ca="1" si="15"/>
        <v>27</v>
      </c>
      <c r="C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3" t="str">
        <f ca="1">IF(dict_zuord_Meth_Transfers[[#This Row],[kval_active]],dict_zuord_Meth_Transfers[[#This Row],[ID_Transfers]],"")</f>
        <v/>
      </c>
    </row>
    <row r="974" spans="1:4" x14ac:dyDescent="0.45">
      <c r="A974">
        <v>162</v>
      </c>
      <c r="B974" s="3">
        <f t="shared" ca="1" si="15"/>
        <v>56</v>
      </c>
      <c r="C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4" t="str">
        <f ca="1">IF(dict_zuord_Meth_Transfers[[#This Row],[kval_active]],dict_zuord_Meth_Transfers[[#This Row],[ID_Transfers]],"")</f>
        <v/>
      </c>
    </row>
    <row r="975" spans="1:4" x14ac:dyDescent="0.45">
      <c r="A975">
        <v>162</v>
      </c>
      <c r="B975" s="3">
        <f t="shared" ca="1" si="15"/>
        <v>47</v>
      </c>
      <c r="C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5" t="str">
        <f ca="1">IF(dict_zuord_Meth_Transfers[[#This Row],[kval_active]],dict_zuord_Meth_Transfers[[#This Row],[ID_Transfers]],"")</f>
        <v/>
      </c>
    </row>
    <row r="976" spans="1:4" x14ac:dyDescent="0.45">
      <c r="A976">
        <v>162</v>
      </c>
      <c r="B976">
        <f t="shared" ca="1" si="15"/>
        <v>75</v>
      </c>
      <c r="C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6" t="str">
        <f ca="1">IF(dict_zuord_Meth_Transfers[[#This Row],[kval_active]],dict_zuord_Meth_Transfers[[#This Row],[ID_Transfers]],"")</f>
        <v/>
      </c>
    </row>
    <row r="977" spans="1:4" x14ac:dyDescent="0.45">
      <c r="A977">
        <v>162</v>
      </c>
      <c r="B977" s="3">
        <f t="shared" ca="1" si="15"/>
        <v>104</v>
      </c>
      <c r="C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7" t="str">
        <f ca="1">IF(dict_zuord_Meth_Transfers[[#This Row],[kval_active]],dict_zuord_Meth_Transfers[[#This Row],[ID_Transfers]],"")</f>
        <v/>
      </c>
    </row>
    <row r="978" spans="1:4" x14ac:dyDescent="0.45">
      <c r="A978">
        <v>162</v>
      </c>
      <c r="B978">
        <f t="shared" ca="1" si="15"/>
        <v>181</v>
      </c>
      <c r="C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8" t="str">
        <f ca="1">IF(dict_zuord_Meth_Transfers[[#This Row],[kval_active]],dict_zuord_Meth_Transfers[[#This Row],[ID_Transfers]],"")</f>
        <v/>
      </c>
    </row>
    <row r="979" spans="1:4" x14ac:dyDescent="0.45">
      <c r="A979">
        <v>162</v>
      </c>
      <c r="B979">
        <f t="shared" ca="1" si="15"/>
        <v>31</v>
      </c>
      <c r="C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79" t="str">
        <f ca="1">IF(dict_zuord_Meth_Transfers[[#This Row],[kval_active]],dict_zuord_Meth_Transfers[[#This Row],[ID_Transfers]],"")</f>
        <v/>
      </c>
    </row>
    <row r="980" spans="1:4" x14ac:dyDescent="0.45">
      <c r="A980">
        <v>163</v>
      </c>
      <c r="B980" s="3">
        <f t="shared" ca="1" si="15"/>
        <v>21</v>
      </c>
      <c r="C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0" t="str">
        <f ca="1">IF(dict_zuord_Meth_Transfers[[#This Row],[kval_active]],dict_zuord_Meth_Transfers[[#This Row],[ID_Transfers]],"")</f>
        <v/>
      </c>
    </row>
    <row r="981" spans="1:4" x14ac:dyDescent="0.45">
      <c r="A981">
        <v>163</v>
      </c>
      <c r="B981">
        <f t="shared" ca="1" si="15"/>
        <v>12</v>
      </c>
      <c r="C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1" t="str">
        <f ca="1">IF(dict_zuord_Meth_Transfers[[#This Row],[kval_active]],dict_zuord_Meth_Transfers[[#This Row],[ID_Transfers]],"")</f>
        <v/>
      </c>
    </row>
    <row r="982" spans="1:4" x14ac:dyDescent="0.45">
      <c r="A982">
        <v>163</v>
      </c>
      <c r="B982" s="3">
        <f t="shared" ca="1" si="15"/>
        <v>117</v>
      </c>
      <c r="C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2" t="str">
        <f ca="1">IF(dict_zuord_Meth_Transfers[[#This Row],[kval_active]],dict_zuord_Meth_Transfers[[#This Row],[ID_Transfers]],"")</f>
        <v/>
      </c>
    </row>
    <row r="983" spans="1:4" x14ac:dyDescent="0.45">
      <c r="A983">
        <v>163</v>
      </c>
      <c r="B983" s="3">
        <f t="shared" ca="1" si="15"/>
        <v>162</v>
      </c>
      <c r="C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3" t="str">
        <f ca="1">IF(dict_zuord_Meth_Transfers[[#This Row],[kval_active]],dict_zuord_Meth_Transfers[[#This Row],[ID_Transfers]],"")</f>
        <v/>
      </c>
    </row>
    <row r="984" spans="1:4" x14ac:dyDescent="0.45">
      <c r="A984">
        <v>163</v>
      </c>
      <c r="B984">
        <f t="shared" ca="1" si="15"/>
        <v>30</v>
      </c>
      <c r="C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4" t="str">
        <f ca="1">IF(dict_zuord_Meth_Transfers[[#This Row],[kval_active]],dict_zuord_Meth_Transfers[[#This Row],[ID_Transfers]],"")</f>
        <v/>
      </c>
    </row>
    <row r="985" spans="1:4" x14ac:dyDescent="0.45">
      <c r="A985">
        <v>163</v>
      </c>
      <c r="B985">
        <f t="shared" ca="1" si="15"/>
        <v>48</v>
      </c>
      <c r="C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5" t="str">
        <f ca="1">IF(dict_zuord_Meth_Transfers[[#This Row],[kval_active]],dict_zuord_Meth_Transfers[[#This Row],[ID_Transfers]],"")</f>
        <v/>
      </c>
    </row>
    <row r="986" spans="1:4" x14ac:dyDescent="0.45">
      <c r="A986">
        <v>164</v>
      </c>
      <c r="B986">
        <f t="shared" ca="1" si="15"/>
        <v>119</v>
      </c>
      <c r="C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6" t="str">
        <f ca="1">IF(dict_zuord_Meth_Transfers[[#This Row],[kval_active]],dict_zuord_Meth_Transfers[[#This Row],[ID_Transfers]],"")</f>
        <v/>
      </c>
    </row>
    <row r="987" spans="1:4" x14ac:dyDescent="0.45">
      <c r="A987">
        <v>164</v>
      </c>
      <c r="B987" s="3">
        <f t="shared" ca="1" si="15"/>
        <v>127</v>
      </c>
      <c r="C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7" t="str">
        <f ca="1">IF(dict_zuord_Meth_Transfers[[#This Row],[kval_active]],dict_zuord_Meth_Transfers[[#This Row],[ID_Transfers]],"")</f>
        <v/>
      </c>
    </row>
    <row r="988" spans="1:4" x14ac:dyDescent="0.45">
      <c r="A988">
        <v>164</v>
      </c>
      <c r="B988" s="3">
        <f t="shared" ca="1" si="15"/>
        <v>130</v>
      </c>
      <c r="C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8" t="str">
        <f ca="1">IF(dict_zuord_Meth_Transfers[[#This Row],[kval_active]],dict_zuord_Meth_Transfers[[#This Row],[ID_Transfers]],"")</f>
        <v/>
      </c>
    </row>
    <row r="989" spans="1:4" x14ac:dyDescent="0.45">
      <c r="A989">
        <v>164</v>
      </c>
      <c r="B989" s="3">
        <f t="shared" ca="1" si="15"/>
        <v>75</v>
      </c>
      <c r="C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89" t="str">
        <f ca="1">IF(dict_zuord_Meth_Transfers[[#This Row],[kval_active]],dict_zuord_Meth_Transfers[[#This Row],[ID_Transfers]],"")</f>
        <v/>
      </c>
    </row>
    <row r="990" spans="1:4" x14ac:dyDescent="0.45">
      <c r="A990">
        <v>164</v>
      </c>
      <c r="B990">
        <f t="shared" ca="1" si="15"/>
        <v>147</v>
      </c>
      <c r="C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0" t="str">
        <f ca="1">IF(dict_zuord_Meth_Transfers[[#This Row],[kval_active]],dict_zuord_Meth_Transfers[[#This Row],[ID_Transfers]],"")</f>
        <v/>
      </c>
    </row>
    <row r="991" spans="1:4" x14ac:dyDescent="0.45">
      <c r="A991">
        <v>164</v>
      </c>
      <c r="B991">
        <f t="shared" ca="1" si="15"/>
        <v>48</v>
      </c>
      <c r="C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1" t="str">
        <f ca="1">IF(dict_zuord_Meth_Transfers[[#This Row],[kval_active]],dict_zuord_Meth_Transfers[[#This Row],[ID_Transfers]],"")</f>
        <v/>
      </c>
    </row>
    <row r="992" spans="1:4" x14ac:dyDescent="0.45">
      <c r="A992">
        <v>165</v>
      </c>
      <c r="B992" s="3">
        <f t="shared" ca="1" si="15"/>
        <v>122</v>
      </c>
      <c r="C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2" t="str">
        <f ca="1">IF(dict_zuord_Meth_Transfers[[#This Row],[kval_active]],dict_zuord_Meth_Transfers[[#This Row],[ID_Transfers]],"")</f>
        <v/>
      </c>
    </row>
    <row r="993" spans="1:4" x14ac:dyDescent="0.45">
      <c r="A993">
        <v>165</v>
      </c>
      <c r="B993">
        <f t="shared" ca="1" si="15"/>
        <v>27</v>
      </c>
      <c r="C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3" t="str">
        <f ca="1">IF(dict_zuord_Meth_Transfers[[#This Row],[kval_active]],dict_zuord_Meth_Transfers[[#This Row],[ID_Transfers]],"")</f>
        <v/>
      </c>
    </row>
    <row r="994" spans="1:4" x14ac:dyDescent="0.45">
      <c r="A994">
        <v>165</v>
      </c>
      <c r="B994">
        <f t="shared" ca="1" si="15"/>
        <v>76</v>
      </c>
      <c r="C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4" t="str">
        <f ca="1">IF(dict_zuord_Meth_Transfers[[#This Row],[kval_active]],dict_zuord_Meth_Transfers[[#This Row],[ID_Transfers]],"")</f>
        <v/>
      </c>
    </row>
    <row r="995" spans="1:4" x14ac:dyDescent="0.45">
      <c r="A995">
        <v>165</v>
      </c>
      <c r="B995">
        <f t="shared" ca="1" si="15"/>
        <v>111</v>
      </c>
      <c r="C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5" t="str">
        <f ca="1">IF(dict_zuord_Meth_Transfers[[#This Row],[kval_active]],dict_zuord_Meth_Transfers[[#This Row],[ID_Transfers]],"")</f>
        <v/>
      </c>
    </row>
    <row r="996" spans="1:4" x14ac:dyDescent="0.45">
      <c r="A996">
        <v>165</v>
      </c>
      <c r="B996" s="3">
        <f t="shared" ca="1" si="15"/>
        <v>104</v>
      </c>
      <c r="C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6" t="str">
        <f ca="1">IF(dict_zuord_Meth_Transfers[[#This Row],[kval_active]],dict_zuord_Meth_Transfers[[#This Row],[ID_Transfers]],"")</f>
        <v/>
      </c>
    </row>
    <row r="997" spans="1:4" x14ac:dyDescent="0.45">
      <c r="A997">
        <v>165</v>
      </c>
      <c r="B997" s="3">
        <f t="shared" ca="1" si="15"/>
        <v>111</v>
      </c>
      <c r="C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7" t="str">
        <f ca="1">IF(dict_zuord_Meth_Transfers[[#This Row],[kval_active]],dict_zuord_Meth_Transfers[[#This Row],[ID_Transfers]],"")</f>
        <v/>
      </c>
    </row>
    <row r="998" spans="1:4" x14ac:dyDescent="0.45">
      <c r="A998">
        <v>166</v>
      </c>
      <c r="B998" s="3">
        <f t="shared" ca="1" si="15"/>
        <v>43</v>
      </c>
      <c r="C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8" t="str">
        <f ca="1">IF(dict_zuord_Meth_Transfers[[#This Row],[kval_active]],dict_zuord_Meth_Transfers[[#This Row],[ID_Transfers]],"")</f>
        <v/>
      </c>
    </row>
    <row r="999" spans="1:4" x14ac:dyDescent="0.45">
      <c r="A999">
        <v>166</v>
      </c>
      <c r="B999">
        <f t="shared" ca="1" si="15"/>
        <v>92</v>
      </c>
      <c r="C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999" t="str">
        <f ca="1">IF(dict_zuord_Meth_Transfers[[#This Row],[kval_active]],dict_zuord_Meth_Transfers[[#This Row],[ID_Transfers]],"")</f>
        <v/>
      </c>
    </row>
    <row r="1000" spans="1:4" x14ac:dyDescent="0.45">
      <c r="A1000">
        <v>166</v>
      </c>
      <c r="B1000">
        <f t="shared" ca="1" si="15"/>
        <v>123</v>
      </c>
      <c r="C1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0" t="str">
        <f ca="1">IF(dict_zuord_Meth_Transfers[[#This Row],[kval_active]],dict_zuord_Meth_Transfers[[#This Row],[ID_Transfers]],"")</f>
        <v/>
      </c>
    </row>
    <row r="1001" spans="1:4" x14ac:dyDescent="0.45">
      <c r="A1001">
        <v>166</v>
      </c>
      <c r="B1001">
        <f t="shared" ca="1" si="15"/>
        <v>140</v>
      </c>
      <c r="C1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1" t="str">
        <f ca="1">IF(dict_zuord_Meth_Transfers[[#This Row],[kval_active]],dict_zuord_Meth_Transfers[[#This Row],[ID_Transfers]],"")</f>
        <v/>
      </c>
    </row>
    <row r="1002" spans="1:4" x14ac:dyDescent="0.45">
      <c r="A1002">
        <v>166</v>
      </c>
      <c r="B1002" s="3">
        <f t="shared" ca="1" si="15"/>
        <v>148</v>
      </c>
      <c r="C1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2" t="str">
        <f ca="1">IF(dict_zuord_Meth_Transfers[[#This Row],[kval_active]],dict_zuord_Meth_Transfers[[#This Row],[ID_Transfers]],"")</f>
        <v/>
      </c>
    </row>
    <row r="1003" spans="1:4" x14ac:dyDescent="0.45">
      <c r="A1003">
        <v>166</v>
      </c>
      <c r="B1003" s="3">
        <f t="shared" ca="1" si="15"/>
        <v>141</v>
      </c>
      <c r="C1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3" t="str">
        <f ca="1">IF(dict_zuord_Meth_Transfers[[#This Row],[kval_active]],dict_zuord_Meth_Transfers[[#This Row],[ID_Transfers]],"")</f>
        <v/>
      </c>
    </row>
    <row r="1004" spans="1:4" x14ac:dyDescent="0.45">
      <c r="A1004">
        <v>167</v>
      </c>
      <c r="B1004" s="3">
        <f t="shared" ca="1" si="15"/>
        <v>106</v>
      </c>
      <c r="C1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4" t="str">
        <f ca="1">IF(dict_zuord_Meth_Transfers[[#This Row],[kval_active]],dict_zuord_Meth_Transfers[[#This Row],[ID_Transfers]],"")</f>
        <v/>
      </c>
    </row>
    <row r="1005" spans="1:4" x14ac:dyDescent="0.45">
      <c r="A1005">
        <v>167</v>
      </c>
      <c r="B1005">
        <f t="shared" ca="1" si="15"/>
        <v>165</v>
      </c>
      <c r="C1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5" t="str">
        <f ca="1">IF(dict_zuord_Meth_Transfers[[#This Row],[kval_active]],dict_zuord_Meth_Transfers[[#This Row],[ID_Transfers]],"")</f>
        <v/>
      </c>
    </row>
    <row r="1006" spans="1:4" x14ac:dyDescent="0.45">
      <c r="A1006">
        <v>167</v>
      </c>
      <c r="B1006" s="3">
        <f t="shared" ca="1" si="15"/>
        <v>82</v>
      </c>
      <c r="C1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6" t="str">
        <f ca="1">IF(dict_zuord_Meth_Transfers[[#This Row],[kval_active]],dict_zuord_Meth_Transfers[[#This Row],[ID_Transfers]],"")</f>
        <v/>
      </c>
    </row>
    <row r="1007" spans="1:4" x14ac:dyDescent="0.45">
      <c r="A1007">
        <v>167</v>
      </c>
      <c r="B1007">
        <f t="shared" ca="1" si="15"/>
        <v>64</v>
      </c>
      <c r="C1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7" t="str">
        <f ca="1">IF(dict_zuord_Meth_Transfers[[#This Row],[kval_active]],dict_zuord_Meth_Transfers[[#This Row],[ID_Transfers]],"")</f>
        <v/>
      </c>
    </row>
    <row r="1008" spans="1:4" x14ac:dyDescent="0.45">
      <c r="A1008">
        <v>167</v>
      </c>
      <c r="B1008">
        <f t="shared" ca="1" si="15"/>
        <v>94</v>
      </c>
      <c r="C1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8" t="str">
        <f ca="1">IF(dict_zuord_Meth_Transfers[[#This Row],[kval_active]],dict_zuord_Meth_Transfers[[#This Row],[ID_Transfers]],"")</f>
        <v/>
      </c>
    </row>
    <row r="1009" spans="1:4" x14ac:dyDescent="0.45">
      <c r="A1009">
        <v>167</v>
      </c>
      <c r="B1009" s="3">
        <f t="shared" ca="1" si="15"/>
        <v>140</v>
      </c>
      <c r="C1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09" t="str">
        <f ca="1">IF(dict_zuord_Meth_Transfers[[#This Row],[kval_active]],dict_zuord_Meth_Transfers[[#This Row],[ID_Transfers]],"")</f>
        <v/>
      </c>
    </row>
    <row r="1010" spans="1:4" x14ac:dyDescent="0.45">
      <c r="A1010">
        <v>168</v>
      </c>
      <c r="B1010">
        <f t="shared" ca="1" si="15"/>
        <v>46</v>
      </c>
      <c r="C1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0" t="str">
        <f ca="1">IF(dict_zuord_Meth_Transfers[[#This Row],[kval_active]],dict_zuord_Meth_Transfers[[#This Row],[ID_Transfers]],"")</f>
        <v/>
      </c>
    </row>
    <row r="1011" spans="1:4" x14ac:dyDescent="0.45">
      <c r="A1011">
        <v>168</v>
      </c>
      <c r="B1011" s="3">
        <f t="shared" ca="1" si="15"/>
        <v>50</v>
      </c>
      <c r="C1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1" t="str">
        <f ca="1">IF(dict_zuord_Meth_Transfers[[#This Row],[kval_active]],dict_zuord_Meth_Transfers[[#This Row],[ID_Transfers]],"")</f>
        <v/>
      </c>
    </row>
    <row r="1012" spans="1:4" x14ac:dyDescent="0.45">
      <c r="A1012">
        <v>168</v>
      </c>
      <c r="B1012">
        <f t="shared" ca="1" si="15"/>
        <v>25</v>
      </c>
      <c r="C1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2" t="str">
        <f ca="1">IF(dict_zuord_Meth_Transfers[[#This Row],[kval_active]],dict_zuord_Meth_Transfers[[#This Row],[ID_Transfers]],"")</f>
        <v/>
      </c>
    </row>
    <row r="1013" spans="1:4" x14ac:dyDescent="0.45">
      <c r="A1013">
        <v>168</v>
      </c>
      <c r="B1013" s="3">
        <f t="shared" ca="1" si="15"/>
        <v>152</v>
      </c>
      <c r="C1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3" t="str">
        <f ca="1">IF(dict_zuord_Meth_Transfers[[#This Row],[kval_active]],dict_zuord_Meth_Transfers[[#This Row],[ID_Transfers]],"")</f>
        <v/>
      </c>
    </row>
    <row r="1014" spans="1:4" x14ac:dyDescent="0.45">
      <c r="A1014">
        <v>168</v>
      </c>
      <c r="B1014">
        <f t="shared" ca="1" si="15"/>
        <v>163</v>
      </c>
      <c r="C1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4" t="str">
        <f ca="1">IF(dict_zuord_Meth_Transfers[[#This Row],[kval_active]],dict_zuord_Meth_Transfers[[#This Row],[ID_Transfers]],"")</f>
        <v/>
      </c>
    </row>
    <row r="1015" spans="1:4" x14ac:dyDescent="0.45">
      <c r="A1015">
        <v>168</v>
      </c>
      <c r="B1015" s="3">
        <f t="shared" ca="1" si="15"/>
        <v>132</v>
      </c>
      <c r="C1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15" t="str">
        <f ca="1">IF(dict_zuord_Meth_Transfers[[#This Row],[kval_active]],dict_zuord_Meth_Transfers[[#This Row],[ID_Transfers]],"")</f>
        <v/>
      </c>
    </row>
    <row r="1016" spans="1:4" x14ac:dyDescent="0.45">
      <c r="A1016">
        <v>169</v>
      </c>
      <c r="B1016">
        <f t="shared" ca="1" si="15"/>
        <v>89</v>
      </c>
      <c r="C1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6">
        <f ca="1">IF(dict_zuord_Meth_Transfers[[#This Row],[kval_active]],dict_zuord_Meth_Transfers[[#This Row],[ID_Transfers]],"")</f>
        <v>89</v>
      </c>
    </row>
    <row r="1017" spans="1:4" x14ac:dyDescent="0.45">
      <c r="A1017">
        <v>169</v>
      </c>
      <c r="B1017">
        <f t="shared" ca="1" si="15"/>
        <v>43</v>
      </c>
      <c r="C1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7">
        <f ca="1">IF(dict_zuord_Meth_Transfers[[#This Row],[kval_active]],dict_zuord_Meth_Transfers[[#This Row],[ID_Transfers]],"")</f>
        <v>43</v>
      </c>
    </row>
    <row r="1018" spans="1:4" x14ac:dyDescent="0.45">
      <c r="A1018">
        <v>169</v>
      </c>
      <c r="B1018" s="3">
        <f t="shared" ca="1" si="15"/>
        <v>82</v>
      </c>
      <c r="C1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8">
        <f ca="1">IF(dict_zuord_Meth_Transfers[[#This Row],[kval_active]],dict_zuord_Meth_Transfers[[#This Row],[ID_Transfers]],"")</f>
        <v>82</v>
      </c>
    </row>
    <row r="1019" spans="1:4" x14ac:dyDescent="0.45">
      <c r="A1019">
        <v>169</v>
      </c>
      <c r="B1019" s="3">
        <f t="shared" ca="1" si="15"/>
        <v>72</v>
      </c>
      <c r="C1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19">
        <f ca="1">IF(dict_zuord_Meth_Transfers[[#This Row],[kval_active]],dict_zuord_Meth_Transfers[[#This Row],[ID_Transfers]],"")</f>
        <v>72</v>
      </c>
    </row>
    <row r="1020" spans="1:4" x14ac:dyDescent="0.45">
      <c r="A1020">
        <v>169</v>
      </c>
      <c r="B1020" s="3">
        <f t="shared" ca="1" si="15"/>
        <v>136</v>
      </c>
      <c r="C1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0">
        <f ca="1">IF(dict_zuord_Meth_Transfers[[#This Row],[kval_active]],dict_zuord_Meth_Transfers[[#This Row],[ID_Transfers]],"")</f>
        <v>136</v>
      </c>
    </row>
    <row r="1021" spans="1:4" x14ac:dyDescent="0.45">
      <c r="A1021">
        <v>169</v>
      </c>
      <c r="B1021">
        <f t="shared" ca="1" si="15"/>
        <v>123</v>
      </c>
      <c r="C1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021">
        <f ca="1">IF(dict_zuord_Meth_Transfers[[#This Row],[kval_active]],dict_zuord_Meth_Transfers[[#This Row],[ID_Transfers]],"")</f>
        <v>123</v>
      </c>
    </row>
    <row r="1022" spans="1:4" x14ac:dyDescent="0.45">
      <c r="A1022">
        <v>170</v>
      </c>
      <c r="B1022" s="3">
        <f t="shared" ca="1" si="15"/>
        <v>181</v>
      </c>
      <c r="C1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2" t="str">
        <f ca="1">IF(dict_zuord_Meth_Transfers[[#This Row],[kval_active]],dict_zuord_Meth_Transfers[[#This Row],[ID_Transfers]],"")</f>
        <v/>
      </c>
    </row>
    <row r="1023" spans="1:4" x14ac:dyDescent="0.45">
      <c r="A1023">
        <v>170</v>
      </c>
      <c r="B1023" s="3">
        <f t="shared" ca="1" si="15"/>
        <v>121</v>
      </c>
      <c r="C1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3" t="str">
        <f ca="1">IF(dict_zuord_Meth_Transfers[[#This Row],[kval_active]],dict_zuord_Meth_Transfers[[#This Row],[ID_Transfers]],"")</f>
        <v/>
      </c>
    </row>
    <row r="1024" spans="1:4" x14ac:dyDescent="0.45">
      <c r="A1024">
        <v>170</v>
      </c>
      <c r="B1024" s="3">
        <f t="shared" ca="1" si="15"/>
        <v>173</v>
      </c>
      <c r="C1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4" t="str">
        <f ca="1">IF(dict_zuord_Meth_Transfers[[#This Row],[kval_active]],dict_zuord_Meth_Transfers[[#This Row],[ID_Transfers]],"")</f>
        <v/>
      </c>
    </row>
    <row r="1025" spans="1:4" x14ac:dyDescent="0.45">
      <c r="A1025">
        <v>170</v>
      </c>
      <c r="B1025">
        <f t="shared" ca="1" si="15"/>
        <v>135</v>
      </c>
      <c r="C1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5" t="str">
        <f ca="1">IF(dict_zuord_Meth_Transfers[[#This Row],[kval_active]],dict_zuord_Meth_Transfers[[#This Row],[ID_Transfers]],"")</f>
        <v/>
      </c>
    </row>
    <row r="1026" spans="1:4" x14ac:dyDescent="0.45">
      <c r="A1026">
        <v>170</v>
      </c>
      <c r="B1026">
        <f t="shared" ref="B1026:B1089" ca="1" si="16">RANDBETWEEN(0,200)</f>
        <v>140</v>
      </c>
      <c r="C1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6" t="str">
        <f ca="1">IF(dict_zuord_Meth_Transfers[[#This Row],[kval_active]],dict_zuord_Meth_Transfers[[#This Row],[ID_Transfers]],"")</f>
        <v/>
      </c>
    </row>
    <row r="1027" spans="1:4" x14ac:dyDescent="0.45">
      <c r="A1027">
        <v>170</v>
      </c>
      <c r="B1027">
        <f t="shared" ca="1" si="16"/>
        <v>129</v>
      </c>
      <c r="C1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7" t="str">
        <f ca="1">IF(dict_zuord_Meth_Transfers[[#This Row],[kval_active]],dict_zuord_Meth_Transfers[[#This Row],[ID_Transfers]],"")</f>
        <v/>
      </c>
    </row>
    <row r="1028" spans="1:4" x14ac:dyDescent="0.45">
      <c r="A1028">
        <v>171</v>
      </c>
      <c r="B1028">
        <f t="shared" ca="1" si="16"/>
        <v>41</v>
      </c>
      <c r="C1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8" t="str">
        <f ca="1">IF(dict_zuord_Meth_Transfers[[#This Row],[kval_active]],dict_zuord_Meth_Transfers[[#This Row],[ID_Transfers]],"")</f>
        <v/>
      </c>
    </row>
    <row r="1029" spans="1:4" x14ac:dyDescent="0.45">
      <c r="A1029">
        <v>171</v>
      </c>
      <c r="B1029">
        <f t="shared" ca="1" si="16"/>
        <v>182</v>
      </c>
      <c r="C1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29" t="str">
        <f ca="1">IF(dict_zuord_Meth_Transfers[[#This Row],[kval_active]],dict_zuord_Meth_Transfers[[#This Row],[ID_Transfers]],"")</f>
        <v/>
      </c>
    </row>
    <row r="1030" spans="1:4" x14ac:dyDescent="0.45">
      <c r="A1030">
        <v>171</v>
      </c>
      <c r="B1030" s="3">
        <f t="shared" ca="1" si="16"/>
        <v>33</v>
      </c>
      <c r="C1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0" t="str">
        <f ca="1">IF(dict_zuord_Meth_Transfers[[#This Row],[kval_active]],dict_zuord_Meth_Transfers[[#This Row],[ID_Transfers]],"")</f>
        <v/>
      </c>
    </row>
    <row r="1031" spans="1:4" x14ac:dyDescent="0.45">
      <c r="A1031">
        <v>171</v>
      </c>
      <c r="B1031" s="3">
        <f t="shared" ca="1" si="16"/>
        <v>42</v>
      </c>
      <c r="C1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1" t="str">
        <f ca="1">IF(dict_zuord_Meth_Transfers[[#This Row],[kval_active]],dict_zuord_Meth_Transfers[[#This Row],[ID_Transfers]],"")</f>
        <v/>
      </c>
    </row>
    <row r="1032" spans="1:4" x14ac:dyDescent="0.45">
      <c r="A1032">
        <v>171</v>
      </c>
      <c r="B1032" s="3">
        <f t="shared" ca="1" si="16"/>
        <v>43</v>
      </c>
      <c r="C1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2" t="str">
        <f ca="1">IF(dict_zuord_Meth_Transfers[[#This Row],[kval_active]],dict_zuord_Meth_Transfers[[#This Row],[ID_Transfers]],"")</f>
        <v/>
      </c>
    </row>
    <row r="1033" spans="1:4" x14ac:dyDescent="0.45">
      <c r="A1033">
        <v>171</v>
      </c>
      <c r="B1033">
        <f t="shared" ca="1" si="16"/>
        <v>164</v>
      </c>
      <c r="C1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3" t="str">
        <f ca="1">IF(dict_zuord_Meth_Transfers[[#This Row],[kval_active]],dict_zuord_Meth_Transfers[[#This Row],[ID_Transfers]],"")</f>
        <v/>
      </c>
    </row>
    <row r="1034" spans="1:4" x14ac:dyDescent="0.45">
      <c r="A1034">
        <v>172</v>
      </c>
      <c r="B1034" s="3">
        <f t="shared" ca="1" si="16"/>
        <v>86</v>
      </c>
      <c r="C1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4" t="str">
        <f ca="1">IF(dict_zuord_Meth_Transfers[[#This Row],[kval_active]],dict_zuord_Meth_Transfers[[#This Row],[ID_Transfers]],"")</f>
        <v/>
      </c>
    </row>
    <row r="1035" spans="1:4" x14ac:dyDescent="0.45">
      <c r="A1035">
        <v>172</v>
      </c>
      <c r="B1035" s="3">
        <f t="shared" ca="1" si="16"/>
        <v>148</v>
      </c>
      <c r="C1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5" t="str">
        <f ca="1">IF(dict_zuord_Meth_Transfers[[#This Row],[kval_active]],dict_zuord_Meth_Transfers[[#This Row],[ID_Transfers]],"")</f>
        <v/>
      </c>
    </row>
    <row r="1036" spans="1:4" x14ac:dyDescent="0.45">
      <c r="A1036">
        <v>172</v>
      </c>
      <c r="B1036" s="3">
        <f t="shared" ca="1" si="16"/>
        <v>19</v>
      </c>
      <c r="C1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6" t="str">
        <f ca="1">IF(dict_zuord_Meth_Transfers[[#This Row],[kval_active]],dict_zuord_Meth_Transfers[[#This Row],[ID_Transfers]],"")</f>
        <v/>
      </c>
    </row>
    <row r="1037" spans="1:4" x14ac:dyDescent="0.45">
      <c r="A1037">
        <v>172</v>
      </c>
      <c r="B1037">
        <f t="shared" ca="1" si="16"/>
        <v>25</v>
      </c>
      <c r="C1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7" t="str">
        <f ca="1">IF(dict_zuord_Meth_Transfers[[#This Row],[kval_active]],dict_zuord_Meth_Transfers[[#This Row],[ID_Transfers]],"")</f>
        <v/>
      </c>
    </row>
    <row r="1038" spans="1:4" x14ac:dyDescent="0.45">
      <c r="A1038">
        <v>172</v>
      </c>
      <c r="B1038">
        <f t="shared" ca="1" si="16"/>
        <v>186</v>
      </c>
      <c r="C1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8" t="str">
        <f ca="1">IF(dict_zuord_Meth_Transfers[[#This Row],[kval_active]],dict_zuord_Meth_Transfers[[#This Row],[ID_Transfers]],"")</f>
        <v/>
      </c>
    </row>
    <row r="1039" spans="1:4" x14ac:dyDescent="0.45">
      <c r="A1039">
        <v>172</v>
      </c>
      <c r="B1039">
        <f t="shared" ca="1" si="16"/>
        <v>107</v>
      </c>
      <c r="C1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39" t="str">
        <f ca="1">IF(dict_zuord_Meth_Transfers[[#This Row],[kval_active]],dict_zuord_Meth_Transfers[[#This Row],[ID_Transfers]],"")</f>
        <v/>
      </c>
    </row>
    <row r="1040" spans="1:4" x14ac:dyDescent="0.45">
      <c r="A1040">
        <v>173</v>
      </c>
      <c r="B1040">
        <f t="shared" ca="1" si="16"/>
        <v>16</v>
      </c>
      <c r="C1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0" t="str">
        <f ca="1">IF(dict_zuord_Meth_Transfers[[#This Row],[kval_active]],dict_zuord_Meth_Transfers[[#This Row],[ID_Transfers]],"")</f>
        <v/>
      </c>
    </row>
    <row r="1041" spans="1:4" x14ac:dyDescent="0.45">
      <c r="A1041">
        <v>173</v>
      </c>
      <c r="B1041">
        <f t="shared" ca="1" si="16"/>
        <v>130</v>
      </c>
      <c r="C1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1" t="str">
        <f ca="1">IF(dict_zuord_Meth_Transfers[[#This Row],[kval_active]],dict_zuord_Meth_Transfers[[#This Row],[ID_Transfers]],"")</f>
        <v/>
      </c>
    </row>
    <row r="1042" spans="1:4" x14ac:dyDescent="0.45">
      <c r="A1042">
        <v>173</v>
      </c>
      <c r="B1042" s="3">
        <f t="shared" ca="1" si="16"/>
        <v>24</v>
      </c>
      <c r="C1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2" t="str">
        <f ca="1">IF(dict_zuord_Meth_Transfers[[#This Row],[kval_active]],dict_zuord_Meth_Transfers[[#This Row],[ID_Transfers]],"")</f>
        <v/>
      </c>
    </row>
    <row r="1043" spans="1:4" x14ac:dyDescent="0.45">
      <c r="A1043">
        <v>173</v>
      </c>
      <c r="B1043">
        <f t="shared" ca="1" si="16"/>
        <v>29</v>
      </c>
      <c r="C1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3" t="str">
        <f ca="1">IF(dict_zuord_Meth_Transfers[[#This Row],[kval_active]],dict_zuord_Meth_Transfers[[#This Row],[ID_Transfers]],"")</f>
        <v/>
      </c>
    </row>
    <row r="1044" spans="1:4" x14ac:dyDescent="0.45">
      <c r="A1044">
        <v>173</v>
      </c>
      <c r="B1044" s="3">
        <f t="shared" ca="1" si="16"/>
        <v>73</v>
      </c>
      <c r="C1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4" t="str">
        <f ca="1">IF(dict_zuord_Meth_Transfers[[#This Row],[kval_active]],dict_zuord_Meth_Transfers[[#This Row],[ID_Transfers]],"")</f>
        <v/>
      </c>
    </row>
    <row r="1045" spans="1:4" x14ac:dyDescent="0.45">
      <c r="A1045">
        <v>173</v>
      </c>
      <c r="B1045" s="3">
        <f t="shared" ca="1" si="16"/>
        <v>105</v>
      </c>
      <c r="C1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5" t="str">
        <f ca="1">IF(dict_zuord_Meth_Transfers[[#This Row],[kval_active]],dict_zuord_Meth_Transfers[[#This Row],[ID_Transfers]],"")</f>
        <v/>
      </c>
    </row>
    <row r="1046" spans="1:4" x14ac:dyDescent="0.45">
      <c r="A1046">
        <v>174</v>
      </c>
      <c r="B1046" s="3">
        <f t="shared" ca="1" si="16"/>
        <v>169</v>
      </c>
      <c r="C1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6" t="str">
        <f ca="1">IF(dict_zuord_Meth_Transfers[[#This Row],[kval_active]],dict_zuord_Meth_Transfers[[#This Row],[ID_Transfers]],"")</f>
        <v/>
      </c>
    </row>
    <row r="1047" spans="1:4" x14ac:dyDescent="0.45">
      <c r="A1047">
        <v>174</v>
      </c>
      <c r="B1047">
        <f t="shared" ca="1" si="16"/>
        <v>105</v>
      </c>
      <c r="C1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7" t="str">
        <f ca="1">IF(dict_zuord_Meth_Transfers[[#This Row],[kval_active]],dict_zuord_Meth_Transfers[[#This Row],[ID_Transfers]],"")</f>
        <v/>
      </c>
    </row>
    <row r="1048" spans="1:4" x14ac:dyDescent="0.45">
      <c r="A1048">
        <v>174</v>
      </c>
      <c r="B1048" s="3">
        <f t="shared" ca="1" si="16"/>
        <v>197</v>
      </c>
      <c r="C1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8" t="str">
        <f ca="1">IF(dict_zuord_Meth_Transfers[[#This Row],[kval_active]],dict_zuord_Meth_Transfers[[#This Row],[ID_Transfers]],"")</f>
        <v/>
      </c>
    </row>
    <row r="1049" spans="1:4" x14ac:dyDescent="0.45">
      <c r="A1049">
        <v>174</v>
      </c>
      <c r="B1049">
        <f t="shared" ca="1" si="16"/>
        <v>148</v>
      </c>
      <c r="C1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49" t="str">
        <f ca="1">IF(dict_zuord_Meth_Transfers[[#This Row],[kval_active]],dict_zuord_Meth_Transfers[[#This Row],[ID_Transfers]],"")</f>
        <v/>
      </c>
    </row>
    <row r="1050" spans="1:4" x14ac:dyDescent="0.45">
      <c r="A1050">
        <v>174</v>
      </c>
      <c r="B1050">
        <f t="shared" ca="1" si="16"/>
        <v>184</v>
      </c>
      <c r="C1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0" t="str">
        <f ca="1">IF(dict_zuord_Meth_Transfers[[#This Row],[kval_active]],dict_zuord_Meth_Transfers[[#This Row],[ID_Transfers]],"")</f>
        <v/>
      </c>
    </row>
    <row r="1051" spans="1:4" x14ac:dyDescent="0.45">
      <c r="A1051">
        <v>174</v>
      </c>
      <c r="B1051" s="3">
        <f t="shared" ca="1" si="16"/>
        <v>190</v>
      </c>
      <c r="C1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1" t="str">
        <f ca="1">IF(dict_zuord_Meth_Transfers[[#This Row],[kval_active]],dict_zuord_Meth_Transfers[[#This Row],[ID_Transfers]],"")</f>
        <v/>
      </c>
    </row>
    <row r="1052" spans="1:4" x14ac:dyDescent="0.45">
      <c r="A1052">
        <v>175</v>
      </c>
      <c r="B1052" s="3">
        <f t="shared" ca="1" si="16"/>
        <v>93</v>
      </c>
      <c r="C1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2" t="str">
        <f ca="1">IF(dict_zuord_Meth_Transfers[[#This Row],[kval_active]],dict_zuord_Meth_Transfers[[#This Row],[ID_Transfers]],"")</f>
        <v/>
      </c>
    </row>
    <row r="1053" spans="1:4" x14ac:dyDescent="0.45">
      <c r="A1053">
        <v>175</v>
      </c>
      <c r="B1053">
        <f t="shared" ca="1" si="16"/>
        <v>166</v>
      </c>
      <c r="C1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3" t="str">
        <f ca="1">IF(dict_zuord_Meth_Transfers[[#This Row],[kval_active]],dict_zuord_Meth_Transfers[[#This Row],[ID_Transfers]],"")</f>
        <v/>
      </c>
    </row>
    <row r="1054" spans="1:4" x14ac:dyDescent="0.45">
      <c r="A1054">
        <v>175</v>
      </c>
      <c r="B1054">
        <f t="shared" ca="1" si="16"/>
        <v>168</v>
      </c>
      <c r="C1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4" t="str">
        <f ca="1">IF(dict_zuord_Meth_Transfers[[#This Row],[kval_active]],dict_zuord_Meth_Transfers[[#This Row],[ID_Transfers]],"")</f>
        <v/>
      </c>
    </row>
    <row r="1055" spans="1:4" x14ac:dyDescent="0.45">
      <c r="A1055">
        <v>175</v>
      </c>
      <c r="B1055">
        <f t="shared" ca="1" si="16"/>
        <v>153</v>
      </c>
      <c r="C1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5" t="str">
        <f ca="1">IF(dict_zuord_Meth_Transfers[[#This Row],[kval_active]],dict_zuord_Meth_Transfers[[#This Row],[ID_Transfers]],"")</f>
        <v/>
      </c>
    </row>
    <row r="1056" spans="1:4" x14ac:dyDescent="0.45">
      <c r="A1056">
        <v>175</v>
      </c>
      <c r="B1056" s="3">
        <f t="shared" ca="1" si="16"/>
        <v>181</v>
      </c>
      <c r="C1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6" t="str">
        <f ca="1">IF(dict_zuord_Meth_Transfers[[#This Row],[kval_active]],dict_zuord_Meth_Transfers[[#This Row],[ID_Transfers]],"")</f>
        <v/>
      </c>
    </row>
    <row r="1057" spans="1:4" x14ac:dyDescent="0.45">
      <c r="A1057">
        <v>175</v>
      </c>
      <c r="B1057" s="3">
        <f t="shared" ca="1" si="16"/>
        <v>86</v>
      </c>
      <c r="C1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7" t="str">
        <f ca="1">IF(dict_zuord_Meth_Transfers[[#This Row],[kval_active]],dict_zuord_Meth_Transfers[[#This Row],[ID_Transfers]],"")</f>
        <v/>
      </c>
    </row>
    <row r="1058" spans="1:4" x14ac:dyDescent="0.45">
      <c r="A1058">
        <v>176</v>
      </c>
      <c r="B1058" s="3">
        <f t="shared" ca="1" si="16"/>
        <v>33</v>
      </c>
      <c r="C1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8" t="str">
        <f ca="1">IF(dict_zuord_Meth_Transfers[[#This Row],[kval_active]],dict_zuord_Meth_Transfers[[#This Row],[ID_Transfers]],"")</f>
        <v/>
      </c>
    </row>
    <row r="1059" spans="1:4" x14ac:dyDescent="0.45">
      <c r="A1059">
        <v>176</v>
      </c>
      <c r="B1059">
        <f t="shared" ca="1" si="16"/>
        <v>14</v>
      </c>
      <c r="C1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59" t="str">
        <f ca="1">IF(dict_zuord_Meth_Transfers[[#This Row],[kval_active]],dict_zuord_Meth_Transfers[[#This Row],[ID_Transfers]],"")</f>
        <v/>
      </c>
    </row>
    <row r="1060" spans="1:4" x14ac:dyDescent="0.45">
      <c r="A1060">
        <v>176</v>
      </c>
      <c r="B1060">
        <f t="shared" ca="1" si="16"/>
        <v>58</v>
      </c>
      <c r="C1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0" t="str">
        <f ca="1">IF(dict_zuord_Meth_Transfers[[#This Row],[kval_active]],dict_zuord_Meth_Transfers[[#This Row],[ID_Transfers]],"")</f>
        <v/>
      </c>
    </row>
    <row r="1061" spans="1:4" x14ac:dyDescent="0.45">
      <c r="A1061">
        <v>176</v>
      </c>
      <c r="B1061" s="3">
        <f t="shared" ca="1" si="16"/>
        <v>43</v>
      </c>
      <c r="C1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1" t="str">
        <f ca="1">IF(dict_zuord_Meth_Transfers[[#This Row],[kval_active]],dict_zuord_Meth_Transfers[[#This Row],[ID_Transfers]],"")</f>
        <v/>
      </c>
    </row>
    <row r="1062" spans="1:4" x14ac:dyDescent="0.45">
      <c r="A1062">
        <v>176</v>
      </c>
      <c r="B1062" s="3">
        <f t="shared" ca="1" si="16"/>
        <v>144</v>
      </c>
      <c r="C1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2" t="str">
        <f ca="1">IF(dict_zuord_Meth_Transfers[[#This Row],[kval_active]],dict_zuord_Meth_Transfers[[#This Row],[ID_Transfers]],"")</f>
        <v/>
      </c>
    </row>
    <row r="1063" spans="1:4" x14ac:dyDescent="0.45">
      <c r="A1063">
        <v>176</v>
      </c>
      <c r="B1063">
        <f t="shared" ca="1" si="16"/>
        <v>9</v>
      </c>
      <c r="C1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3" t="str">
        <f ca="1">IF(dict_zuord_Meth_Transfers[[#This Row],[kval_active]],dict_zuord_Meth_Transfers[[#This Row],[ID_Transfers]],"")</f>
        <v/>
      </c>
    </row>
    <row r="1064" spans="1:4" x14ac:dyDescent="0.45">
      <c r="A1064">
        <v>177</v>
      </c>
      <c r="B1064">
        <f t="shared" ca="1" si="16"/>
        <v>2</v>
      </c>
      <c r="C1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4" t="str">
        <f ca="1">IF(dict_zuord_Meth_Transfers[[#This Row],[kval_active]],dict_zuord_Meth_Transfers[[#This Row],[ID_Transfers]],"")</f>
        <v/>
      </c>
    </row>
    <row r="1065" spans="1:4" x14ac:dyDescent="0.45">
      <c r="A1065">
        <v>177</v>
      </c>
      <c r="B1065" s="3">
        <f t="shared" ca="1" si="16"/>
        <v>50</v>
      </c>
      <c r="C1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5" t="str">
        <f ca="1">IF(dict_zuord_Meth_Transfers[[#This Row],[kval_active]],dict_zuord_Meth_Transfers[[#This Row],[ID_Transfers]],"")</f>
        <v/>
      </c>
    </row>
    <row r="1066" spans="1:4" x14ac:dyDescent="0.45">
      <c r="A1066">
        <v>177</v>
      </c>
      <c r="B1066" s="3">
        <f t="shared" ca="1" si="16"/>
        <v>27</v>
      </c>
      <c r="C1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6" t="str">
        <f ca="1">IF(dict_zuord_Meth_Transfers[[#This Row],[kval_active]],dict_zuord_Meth_Transfers[[#This Row],[ID_Transfers]],"")</f>
        <v/>
      </c>
    </row>
    <row r="1067" spans="1:4" x14ac:dyDescent="0.45">
      <c r="A1067">
        <v>177</v>
      </c>
      <c r="B1067" s="3">
        <f t="shared" ca="1" si="16"/>
        <v>12</v>
      </c>
      <c r="C1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7" t="str">
        <f ca="1">IF(dict_zuord_Meth_Transfers[[#This Row],[kval_active]],dict_zuord_Meth_Transfers[[#This Row],[ID_Transfers]],"")</f>
        <v/>
      </c>
    </row>
    <row r="1068" spans="1:4" x14ac:dyDescent="0.45">
      <c r="A1068">
        <v>177</v>
      </c>
      <c r="B1068">
        <f t="shared" ca="1" si="16"/>
        <v>156</v>
      </c>
      <c r="C1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8" t="str">
        <f ca="1">IF(dict_zuord_Meth_Transfers[[#This Row],[kval_active]],dict_zuord_Meth_Transfers[[#This Row],[ID_Transfers]],"")</f>
        <v/>
      </c>
    </row>
    <row r="1069" spans="1:4" x14ac:dyDescent="0.45">
      <c r="A1069">
        <v>177</v>
      </c>
      <c r="B1069">
        <f t="shared" ca="1" si="16"/>
        <v>119</v>
      </c>
      <c r="C1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69" t="str">
        <f ca="1">IF(dict_zuord_Meth_Transfers[[#This Row],[kval_active]],dict_zuord_Meth_Transfers[[#This Row],[ID_Transfers]],"")</f>
        <v/>
      </c>
    </row>
    <row r="1070" spans="1:4" x14ac:dyDescent="0.45">
      <c r="A1070">
        <v>178</v>
      </c>
      <c r="B1070" s="3">
        <f t="shared" ca="1" si="16"/>
        <v>133</v>
      </c>
      <c r="C1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0" t="str">
        <f ca="1">IF(dict_zuord_Meth_Transfers[[#This Row],[kval_active]],dict_zuord_Meth_Transfers[[#This Row],[ID_Transfers]],"")</f>
        <v/>
      </c>
    </row>
    <row r="1071" spans="1:4" x14ac:dyDescent="0.45">
      <c r="A1071">
        <v>178</v>
      </c>
      <c r="B1071">
        <f t="shared" ca="1" si="16"/>
        <v>98</v>
      </c>
      <c r="C1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1" t="str">
        <f ca="1">IF(dict_zuord_Meth_Transfers[[#This Row],[kval_active]],dict_zuord_Meth_Transfers[[#This Row],[ID_Transfers]],"")</f>
        <v/>
      </c>
    </row>
    <row r="1072" spans="1:4" x14ac:dyDescent="0.45">
      <c r="A1072">
        <v>178</v>
      </c>
      <c r="B1072">
        <f t="shared" ca="1" si="16"/>
        <v>117</v>
      </c>
      <c r="C1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2" t="str">
        <f ca="1">IF(dict_zuord_Meth_Transfers[[#This Row],[kval_active]],dict_zuord_Meth_Transfers[[#This Row],[ID_Transfers]],"")</f>
        <v/>
      </c>
    </row>
    <row r="1073" spans="1:4" x14ac:dyDescent="0.45">
      <c r="A1073">
        <v>178</v>
      </c>
      <c r="B1073" s="3">
        <f t="shared" ca="1" si="16"/>
        <v>180</v>
      </c>
      <c r="C1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3" t="str">
        <f ca="1">IF(dict_zuord_Meth_Transfers[[#This Row],[kval_active]],dict_zuord_Meth_Transfers[[#This Row],[ID_Transfers]],"")</f>
        <v/>
      </c>
    </row>
    <row r="1074" spans="1:4" x14ac:dyDescent="0.45">
      <c r="A1074">
        <v>178</v>
      </c>
      <c r="B1074" s="3">
        <f t="shared" ca="1" si="16"/>
        <v>125</v>
      </c>
      <c r="C1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4" t="str">
        <f ca="1">IF(dict_zuord_Meth_Transfers[[#This Row],[kval_active]],dict_zuord_Meth_Transfers[[#This Row],[ID_Transfers]],"")</f>
        <v/>
      </c>
    </row>
    <row r="1075" spans="1:4" x14ac:dyDescent="0.45">
      <c r="A1075">
        <v>178</v>
      </c>
      <c r="B1075">
        <f t="shared" ca="1" si="16"/>
        <v>54</v>
      </c>
      <c r="C1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5" t="str">
        <f ca="1">IF(dict_zuord_Meth_Transfers[[#This Row],[kval_active]],dict_zuord_Meth_Transfers[[#This Row],[ID_Transfers]],"")</f>
        <v/>
      </c>
    </row>
    <row r="1076" spans="1:4" x14ac:dyDescent="0.45">
      <c r="A1076">
        <v>179</v>
      </c>
      <c r="B1076">
        <f t="shared" ca="1" si="16"/>
        <v>178</v>
      </c>
      <c r="C1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6" t="str">
        <f ca="1">IF(dict_zuord_Meth_Transfers[[#This Row],[kval_active]],dict_zuord_Meth_Transfers[[#This Row],[ID_Transfers]],"")</f>
        <v/>
      </c>
    </row>
    <row r="1077" spans="1:4" x14ac:dyDescent="0.45">
      <c r="A1077">
        <v>179</v>
      </c>
      <c r="B1077">
        <f t="shared" ca="1" si="16"/>
        <v>111</v>
      </c>
      <c r="C1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7" t="str">
        <f ca="1">IF(dict_zuord_Meth_Transfers[[#This Row],[kval_active]],dict_zuord_Meth_Transfers[[#This Row],[ID_Transfers]],"")</f>
        <v/>
      </c>
    </row>
    <row r="1078" spans="1:4" x14ac:dyDescent="0.45">
      <c r="A1078">
        <v>179</v>
      </c>
      <c r="B1078">
        <f t="shared" ca="1" si="16"/>
        <v>120</v>
      </c>
      <c r="C1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8" t="str">
        <f ca="1">IF(dict_zuord_Meth_Transfers[[#This Row],[kval_active]],dict_zuord_Meth_Transfers[[#This Row],[ID_Transfers]],"")</f>
        <v/>
      </c>
    </row>
    <row r="1079" spans="1:4" x14ac:dyDescent="0.45">
      <c r="A1079">
        <v>179</v>
      </c>
      <c r="B1079" s="3">
        <f t="shared" ca="1" si="16"/>
        <v>24</v>
      </c>
      <c r="C1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79" t="str">
        <f ca="1">IF(dict_zuord_Meth_Transfers[[#This Row],[kval_active]],dict_zuord_Meth_Transfers[[#This Row],[ID_Transfers]],"")</f>
        <v/>
      </c>
    </row>
    <row r="1080" spans="1:4" x14ac:dyDescent="0.45">
      <c r="A1080">
        <v>179</v>
      </c>
      <c r="B1080" s="3">
        <f t="shared" ca="1" si="16"/>
        <v>130</v>
      </c>
      <c r="C1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0" t="str">
        <f ca="1">IF(dict_zuord_Meth_Transfers[[#This Row],[kval_active]],dict_zuord_Meth_Transfers[[#This Row],[ID_Transfers]],"")</f>
        <v/>
      </c>
    </row>
    <row r="1081" spans="1:4" x14ac:dyDescent="0.45">
      <c r="A1081">
        <v>179</v>
      </c>
      <c r="B1081" s="3">
        <f t="shared" ca="1" si="16"/>
        <v>139</v>
      </c>
      <c r="C1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1" t="str">
        <f ca="1">IF(dict_zuord_Meth_Transfers[[#This Row],[kval_active]],dict_zuord_Meth_Transfers[[#This Row],[ID_Transfers]],"")</f>
        <v/>
      </c>
    </row>
    <row r="1082" spans="1:4" x14ac:dyDescent="0.45">
      <c r="A1082">
        <v>180</v>
      </c>
      <c r="B1082" s="3">
        <f t="shared" ca="1" si="16"/>
        <v>122</v>
      </c>
      <c r="C1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2" t="str">
        <f ca="1">IF(dict_zuord_Meth_Transfers[[#This Row],[kval_active]],dict_zuord_Meth_Transfers[[#This Row],[ID_Transfers]],"")</f>
        <v/>
      </c>
    </row>
    <row r="1083" spans="1:4" x14ac:dyDescent="0.45">
      <c r="A1083">
        <v>180</v>
      </c>
      <c r="B1083" s="3">
        <f t="shared" ca="1" si="16"/>
        <v>113</v>
      </c>
      <c r="C1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3" t="str">
        <f ca="1">IF(dict_zuord_Meth_Transfers[[#This Row],[kval_active]],dict_zuord_Meth_Transfers[[#This Row],[ID_Transfers]],"")</f>
        <v/>
      </c>
    </row>
    <row r="1084" spans="1:4" x14ac:dyDescent="0.45">
      <c r="A1084">
        <v>180</v>
      </c>
      <c r="B1084">
        <f t="shared" ca="1" si="16"/>
        <v>139</v>
      </c>
      <c r="C1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4" t="str">
        <f ca="1">IF(dict_zuord_Meth_Transfers[[#This Row],[kval_active]],dict_zuord_Meth_Transfers[[#This Row],[ID_Transfers]],"")</f>
        <v/>
      </c>
    </row>
    <row r="1085" spans="1:4" x14ac:dyDescent="0.45">
      <c r="A1085">
        <v>180</v>
      </c>
      <c r="B1085">
        <f t="shared" ca="1" si="16"/>
        <v>79</v>
      </c>
      <c r="C1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5" t="str">
        <f ca="1">IF(dict_zuord_Meth_Transfers[[#This Row],[kval_active]],dict_zuord_Meth_Transfers[[#This Row],[ID_Transfers]],"")</f>
        <v/>
      </c>
    </row>
    <row r="1086" spans="1:4" x14ac:dyDescent="0.45">
      <c r="A1086">
        <v>180</v>
      </c>
      <c r="B1086">
        <f t="shared" ca="1" si="16"/>
        <v>118</v>
      </c>
      <c r="C1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6" t="str">
        <f ca="1">IF(dict_zuord_Meth_Transfers[[#This Row],[kval_active]],dict_zuord_Meth_Transfers[[#This Row],[ID_Transfers]],"")</f>
        <v/>
      </c>
    </row>
    <row r="1087" spans="1:4" x14ac:dyDescent="0.45">
      <c r="A1087">
        <v>180</v>
      </c>
      <c r="B1087" s="3">
        <f t="shared" ca="1" si="16"/>
        <v>184</v>
      </c>
      <c r="C1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7" t="str">
        <f ca="1">IF(dict_zuord_Meth_Transfers[[#This Row],[kval_active]],dict_zuord_Meth_Transfers[[#This Row],[ID_Transfers]],"")</f>
        <v/>
      </c>
    </row>
    <row r="1088" spans="1:4" x14ac:dyDescent="0.45">
      <c r="A1088">
        <v>181</v>
      </c>
      <c r="B1088">
        <f t="shared" ca="1" si="16"/>
        <v>181</v>
      </c>
      <c r="C1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8" t="str">
        <f ca="1">IF(dict_zuord_Meth_Transfers[[#This Row],[kval_active]],dict_zuord_Meth_Transfers[[#This Row],[ID_Transfers]],"")</f>
        <v/>
      </c>
    </row>
    <row r="1089" spans="1:4" x14ac:dyDescent="0.45">
      <c r="A1089">
        <v>181</v>
      </c>
      <c r="B1089" s="3">
        <f t="shared" ca="1" si="16"/>
        <v>7</v>
      </c>
      <c r="C1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89" t="str">
        <f ca="1">IF(dict_zuord_Meth_Transfers[[#This Row],[kval_active]],dict_zuord_Meth_Transfers[[#This Row],[ID_Transfers]],"")</f>
        <v/>
      </c>
    </row>
    <row r="1090" spans="1:4" x14ac:dyDescent="0.45">
      <c r="A1090">
        <v>181</v>
      </c>
      <c r="B1090">
        <f t="shared" ref="B1090:B1153" ca="1" si="17">RANDBETWEEN(0,200)</f>
        <v>3</v>
      </c>
      <c r="C1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0" t="str">
        <f ca="1">IF(dict_zuord_Meth_Transfers[[#This Row],[kval_active]],dict_zuord_Meth_Transfers[[#This Row],[ID_Transfers]],"")</f>
        <v/>
      </c>
    </row>
    <row r="1091" spans="1:4" x14ac:dyDescent="0.45">
      <c r="A1091">
        <v>181</v>
      </c>
      <c r="B1091" s="3">
        <f t="shared" ca="1" si="17"/>
        <v>98</v>
      </c>
      <c r="C1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1" t="str">
        <f ca="1">IF(dict_zuord_Meth_Transfers[[#This Row],[kval_active]],dict_zuord_Meth_Transfers[[#This Row],[ID_Transfers]],"")</f>
        <v/>
      </c>
    </row>
    <row r="1092" spans="1:4" x14ac:dyDescent="0.45">
      <c r="A1092">
        <v>181</v>
      </c>
      <c r="B1092" s="3">
        <f t="shared" ca="1" si="17"/>
        <v>184</v>
      </c>
      <c r="C1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2" t="str">
        <f ca="1">IF(dict_zuord_Meth_Transfers[[#This Row],[kval_active]],dict_zuord_Meth_Transfers[[#This Row],[ID_Transfers]],"")</f>
        <v/>
      </c>
    </row>
    <row r="1093" spans="1:4" x14ac:dyDescent="0.45">
      <c r="A1093">
        <v>181</v>
      </c>
      <c r="B1093">
        <f t="shared" ca="1" si="17"/>
        <v>86</v>
      </c>
      <c r="C1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3" t="str">
        <f ca="1">IF(dict_zuord_Meth_Transfers[[#This Row],[kval_active]],dict_zuord_Meth_Transfers[[#This Row],[ID_Transfers]],"")</f>
        <v/>
      </c>
    </row>
    <row r="1094" spans="1:4" x14ac:dyDescent="0.45">
      <c r="A1094">
        <v>182</v>
      </c>
      <c r="B1094">
        <f t="shared" ca="1" si="17"/>
        <v>97</v>
      </c>
      <c r="C1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4" t="str">
        <f ca="1">IF(dict_zuord_Meth_Transfers[[#This Row],[kval_active]],dict_zuord_Meth_Transfers[[#This Row],[ID_Transfers]],"")</f>
        <v/>
      </c>
    </row>
    <row r="1095" spans="1:4" x14ac:dyDescent="0.45">
      <c r="A1095">
        <v>182</v>
      </c>
      <c r="B1095" s="3">
        <f t="shared" ca="1" si="17"/>
        <v>105</v>
      </c>
      <c r="C1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5" t="str">
        <f ca="1">IF(dict_zuord_Meth_Transfers[[#This Row],[kval_active]],dict_zuord_Meth_Transfers[[#This Row],[ID_Transfers]],"")</f>
        <v/>
      </c>
    </row>
    <row r="1096" spans="1:4" x14ac:dyDescent="0.45">
      <c r="A1096">
        <v>182</v>
      </c>
      <c r="B1096">
        <f t="shared" ca="1" si="17"/>
        <v>14</v>
      </c>
      <c r="C1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6" t="str">
        <f ca="1">IF(dict_zuord_Meth_Transfers[[#This Row],[kval_active]],dict_zuord_Meth_Transfers[[#This Row],[ID_Transfers]],"")</f>
        <v/>
      </c>
    </row>
    <row r="1097" spans="1:4" x14ac:dyDescent="0.45">
      <c r="A1097">
        <v>182</v>
      </c>
      <c r="B1097" s="3">
        <f t="shared" ca="1" si="17"/>
        <v>32</v>
      </c>
      <c r="C1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7" t="str">
        <f ca="1">IF(dict_zuord_Meth_Transfers[[#This Row],[kval_active]],dict_zuord_Meth_Transfers[[#This Row],[ID_Transfers]],"")</f>
        <v/>
      </c>
    </row>
    <row r="1098" spans="1:4" x14ac:dyDescent="0.45">
      <c r="A1098">
        <v>182</v>
      </c>
      <c r="B1098">
        <f t="shared" ca="1" si="17"/>
        <v>42</v>
      </c>
      <c r="C1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8" t="str">
        <f ca="1">IF(dict_zuord_Meth_Transfers[[#This Row],[kval_active]],dict_zuord_Meth_Transfers[[#This Row],[ID_Transfers]],"")</f>
        <v/>
      </c>
    </row>
    <row r="1099" spans="1:4" x14ac:dyDescent="0.45">
      <c r="A1099">
        <v>182</v>
      </c>
      <c r="B1099" s="3">
        <f t="shared" ca="1" si="17"/>
        <v>187</v>
      </c>
      <c r="C1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099" t="str">
        <f ca="1">IF(dict_zuord_Meth_Transfers[[#This Row],[kval_active]],dict_zuord_Meth_Transfers[[#This Row],[ID_Transfers]],"")</f>
        <v/>
      </c>
    </row>
    <row r="1100" spans="1:4" x14ac:dyDescent="0.45">
      <c r="A1100">
        <v>183</v>
      </c>
      <c r="B1100" s="3">
        <f t="shared" ca="1" si="17"/>
        <v>196</v>
      </c>
      <c r="C1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0" t="str">
        <f ca="1">IF(dict_zuord_Meth_Transfers[[#This Row],[kval_active]],dict_zuord_Meth_Transfers[[#This Row],[ID_Transfers]],"")</f>
        <v/>
      </c>
    </row>
    <row r="1101" spans="1:4" x14ac:dyDescent="0.45">
      <c r="A1101">
        <v>183</v>
      </c>
      <c r="B1101" s="3">
        <f t="shared" ca="1" si="17"/>
        <v>161</v>
      </c>
      <c r="C1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1" t="str">
        <f ca="1">IF(dict_zuord_Meth_Transfers[[#This Row],[kval_active]],dict_zuord_Meth_Transfers[[#This Row],[ID_Transfers]],"")</f>
        <v/>
      </c>
    </row>
    <row r="1102" spans="1:4" x14ac:dyDescent="0.45">
      <c r="A1102">
        <v>183</v>
      </c>
      <c r="B1102">
        <f t="shared" ca="1" si="17"/>
        <v>194</v>
      </c>
      <c r="C1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2" t="str">
        <f ca="1">IF(dict_zuord_Meth_Transfers[[#This Row],[kval_active]],dict_zuord_Meth_Transfers[[#This Row],[ID_Transfers]],"")</f>
        <v/>
      </c>
    </row>
    <row r="1103" spans="1:4" x14ac:dyDescent="0.45">
      <c r="A1103">
        <v>183</v>
      </c>
      <c r="B1103">
        <f t="shared" ca="1" si="17"/>
        <v>105</v>
      </c>
      <c r="C1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3" t="str">
        <f ca="1">IF(dict_zuord_Meth_Transfers[[#This Row],[kval_active]],dict_zuord_Meth_Transfers[[#This Row],[ID_Transfers]],"")</f>
        <v/>
      </c>
    </row>
    <row r="1104" spans="1:4" x14ac:dyDescent="0.45">
      <c r="A1104">
        <v>183</v>
      </c>
      <c r="B1104">
        <f t="shared" ca="1" si="17"/>
        <v>194</v>
      </c>
      <c r="C1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4" t="str">
        <f ca="1">IF(dict_zuord_Meth_Transfers[[#This Row],[kval_active]],dict_zuord_Meth_Transfers[[#This Row],[ID_Transfers]],"")</f>
        <v/>
      </c>
    </row>
    <row r="1105" spans="1:4" x14ac:dyDescent="0.45">
      <c r="A1105">
        <v>183</v>
      </c>
      <c r="B1105" s="3">
        <f t="shared" ca="1" si="17"/>
        <v>42</v>
      </c>
      <c r="C1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5" t="str">
        <f ca="1">IF(dict_zuord_Meth_Transfers[[#This Row],[kval_active]],dict_zuord_Meth_Transfers[[#This Row],[ID_Transfers]],"")</f>
        <v/>
      </c>
    </row>
    <row r="1106" spans="1:4" x14ac:dyDescent="0.45">
      <c r="A1106">
        <v>184</v>
      </c>
      <c r="B1106">
        <f t="shared" ca="1" si="17"/>
        <v>181</v>
      </c>
      <c r="C1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6" t="str">
        <f ca="1">IF(dict_zuord_Meth_Transfers[[#This Row],[kval_active]],dict_zuord_Meth_Transfers[[#This Row],[ID_Transfers]],"")</f>
        <v/>
      </c>
    </row>
    <row r="1107" spans="1:4" x14ac:dyDescent="0.45">
      <c r="A1107">
        <v>184</v>
      </c>
      <c r="B1107" s="3">
        <f t="shared" ca="1" si="17"/>
        <v>189</v>
      </c>
      <c r="C1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7" t="str">
        <f ca="1">IF(dict_zuord_Meth_Transfers[[#This Row],[kval_active]],dict_zuord_Meth_Transfers[[#This Row],[ID_Transfers]],"")</f>
        <v/>
      </c>
    </row>
    <row r="1108" spans="1:4" x14ac:dyDescent="0.45">
      <c r="A1108">
        <v>184</v>
      </c>
      <c r="B1108" s="3">
        <f t="shared" ca="1" si="17"/>
        <v>144</v>
      </c>
      <c r="C1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8" t="str">
        <f ca="1">IF(dict_zuord_Meth_Transfers[[#This Row],[kval_active]],dict_zuord_Meth_Transfers[[#This Row],[ID_Transfers]],"")</f>
        <v/>
      </c>
    </row>
    <row r="1109" spans="1:4" x14ac:dyDescent="0.45">
      <c r="A1109">
        <v>184</v>
      </c>
      <c r="B1109" s="3">
        <f t="shared" ca="1" si="17"/>
        <v>2</v>
      </c>
      <c r="C1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09" t="str">
        <f ca="1">IF(dict_zuord_Meth_Transfers[[#This Row],[kval_active]],dict_zuord_Meth_Transfers[[#This Row],[ID_Transfers]],"")</f>
        <v/>
      </c>
    </row>
    <row r="1110" spans="1:4" x14ac:dyDescent="0.45">
      <c r="A1110">
        <v>184</v>
      </c>
      <c r="B1110">
        <f t="shared" ca="1" si="17"/>
        <v>185</v>
      </c>
      <c r="C1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0" t="str">
        <f ca="1">IF(dict_zuord_Meth_Transfers[[#This Row],[kval_active]],dict_zuord_Meth_Transfers[[#This Row],[ID_Transfers]],"")</f>
        <v/>
      </c>
    </row>
    <row r="1111" spans="1:4" x14ac:dyDescent="0.45">
      <c r="A1111">
        <v>184</v>
      </c>
      <c r="B1111">
        <f t="shared" ca="1" si="17"/>
        <v>193</v>
      </c>
      <c r="C1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1" t="str">
        <f ca="1">IF(dict_zuord_Meth_Transfers[[#This Row],[kval_active]],dict_zuord_Meth_Transfers[[#This Row],[ID_Transfers]],"")</f>
        <v/>
      </c>
    </row>
    <row r="1112" spans="1:4" x14ac:dyDescent="0.45">
      <c r="A1112">
        <v>185</v>
      </c>
      <c r="B1112" s="3">
        <f t="shared" ca="1" si="17"/>
        <v>18</v>
      </c>
      <c r="C1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2">
        <f ca="1">IF(dict_zuord_Meth_Transfers[[#This Row],[kval_active]],dict_zuord_Meth_Transfers[[#This Row],[ID_Transfers]],"")</f>
        <v>18</v>
      </c>
    </row>
    <row r="1113" spans="1:4" x14ac:dyDescent="0.45">
      <c r="A1113">
        <v>185</v>
      </c>
      <c r="B1113">
        <f t="shared" ca="1" si="17"/>
        <v>113</v>
      </c>
      <c r="C1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3">
        <f ca="1">IF(dict_zuord_Meth_Transfers[[#This Row],[kval_active]],dict_zuord_Meth_Transfers[[#This Row],[ID_Transfers]],"")</f>
        <v>113</v>
      </c>
    </row>
    <row r="1114" spans="1:4" x14ac:dyDescent="0.45">
      <c r="A1114">
        <v>185</v>
      </c>
      <c r="B1114">
        <f t="shared" ca="1" si="17"/>
        <v>25</v>
      </c>
      <c r="C1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4">
        <f ca="1">IF(dict_zuord_Meth_Transfers[[#This Row],[kval_active]],dict_zuord_Meth_Transfers[[#This Row],[ID_Transfers]],"")</f>
        <v>25</v>
      </c>
    </row>
    <row r="1115" spans="1:4" x14ac:dyDescent="0.45">
      <c r="A1115">
        <v>185</v>
      </c>
      <c r="B1115" s="3">
        <f t="shared" ca="1" si="17"/>
        <v>129</v>
      </c>
      <c r="C1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5">
        <f ca="1">IF(dict_zuord_Meth_Transfers[[#This Row],[kval_active]],dict_zuord_Meth_Transfers[[#This Row],[ID_Transfers]],"")</f>
        <v>129</v>
      </c>
    </row>
    <row r="1116" spans="1:4" x14ac:dyDescent="0.45">
      <c r="A1116">
        <v>185</v>
      </c>
      <c r="B1116" s="3">
        <f t="shared" ca="1" si="17"/>
        <v>108</v>
      </c>
      <c r="C1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6">
        <f ca="1">IF(dict_zuord_Meth_Transfers[[#This Row],[kval_active]],dict_zuord_Meth_Transfers[[#This Row],[ID_Transfers]],"")</f>
        <v>108</v>
      </c>
    </row>
    <row r="1117" spans="1:4" x14ac:dyDescent="0.45">
      <c r="A1117">
        <v>185</v>
      </c>
      <c r="B1117">
        <f t="shared" ca="1" si="17"/>
        <v>124</v>
      </c>
      <c r="C1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17">
        <f ca="1">IF(dict_zuord_Meth_Transfers[[#This Row],[kval_active]],dict_zuord_Meth_Transfers[[#This Row],[ID_Transfers]],"")</f>
        <v>124</v>
      </c>
    </row>
    <row r="1118" spans="1:4" x14ac:dyDescent="0.45">
      <c r="A1118">
        <v>186</v>
      </c>
      <c r="B1118">
        <f t="shared" ca="1" si="17"/>
        <v>12</v>
      </c>
      <c r="C1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8" t="str">
        <f ca="1">IF(dict_zuord_Meth_Transfers[[#This Row],[kval_active]],dict_zuord_Meth_Transfers[[#This Row],[ID_Transfers]],"")</f>
        <v/>
      </c>
    </row>
    <row r="1119" spans="1:4" x14ac:dyDescent="0.45">
      <c r="A1119">
        <v>186</v>
      </c>
      <c r="B1119" s="3">
        <f t="shared" ca="1" si="17"/>
        <v>82</v>
      </c>
      <c r="C1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19" t="str">
        <f ca="1">IF(dict_zuord_Meth_Transfers[[#This Row],[kval_active]],dict_zuord_Meth_Transfers[[#This Row],[ID_Transfers]],"")</f>
        <v/>
      </c>
    </row>
    <row r="1120" spans="1:4" x14ac:dyDescent="0.45">
      <c r="A1120">
        <v>186</v>
      </c>
      <c r="B1120" s="3">
        <f t="shared" ca="1" si="17"/>
        <v>133</v>
      </c>
      <c r="C1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0" t="str">
        <f ca="1">IF(dict_zuord_Meth_Transfers[[#This Row],[kval_active]],dict_zuord_Meth_Transfers[[#This Row],[ID_Transfers]],"")</f>
        <v/>
      </c>
    </row>
    <row r="1121" spans="1:4" x14ac:dyDescent="0.45">
      <c r="A1121">
        <v>186</v>
      </c>
      <c r="B1121">
        <f t="shared" ca="1" si="17"/>
        <v>2</v>
      </c>
      <c r="C1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1" t="str">
        <f ca="1">IF(dict_zuord_Meth_Transfers[[#This Row],[kval_active]],dict_zuord_Meth_Transfers[[#This Row],[ID_Transfers]],"")</f>
        <v/>
      </c>
    </row>
    <row r="1122" spans="1:4" x14ac:dyDescent="0.45">
      <c r="A1122">
        <v>186</v>
      </c>
      <c r="B1122">
        <f t="shared" ca="1" si="17"/>
        <v>135</v>
      </c>
      <c r="C1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2" t="str">
        <f ca="1">IF(dict_zuord_Meth_Transfers[[#This Row],[kval_active]],dict_zuord_Meth_Transfers[[#This Row],[ID_Transfers]],"")</f>
        <v/>
      </c>
    </row>
    <row r="1123" spans="1:4" x14ac:dyDescent="0.45">
      <c r="A1123">
        <v>186</v>
      </c>
      <c r="B1123" s="3">
        <f t="shared" ca="1" si="17"/>
        <v>84</v>
      </c>
      <c r="C1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3" t="str">
        <f ca="1">IF(dict_zuord_Meth_Transfers[[#This Row],[kval_active]],dict_zuord_Meth_Transfers[[#This Row],[ID_Transfers]],"")</f>
        <v/>
      </c>
    </row>
    <row r="1124" spans="1:4" x14ac:dyDescent="0.45">
      <c r="A1124">
        <v>187</v>
      </c>
      <c r="B1124" s="3">
        <f t="shared" ca="1" si="17"/>
        <v>84</v>
      </c>
      <c r="C1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4" t="str">
        <f ca="1">IF(dict_zuord_Meth_Transfers[[#This Row],[kval_active]],dict_zuord_Meth_Transfers[[#This Row],[ID_Transfers]],"")</f>
        <v/>
      </c>
    </row>
    <row r="1125" spans="1:4" x14ac:dyDescent="0.45">
      <c r="A1125">
        <v>187</v>
      </c>
      <c r="B1125">
        <f t="shared" ca="1" si="17"/>
        <v>75</v>
      </c>
      <c r="C1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5" t="str">
        <f ca="1">IF(dict_zuord_Meth_Transfers[[#This Row],[kval_active]],dict_zuord_Meth_Transfers[[#This Row],[ID_Transfers]],"")</f>
        <v/>
      </c>
    </row>
    <row r="1126" spans="1:4" x14ac:dyDescent="0.45">
      <c r="A1126">
        <v>187</v>
      </c>
      <c r="B1126" s="3">
        <f t="shared" ca="1" si="17"/>
        <v>26</v>
      </c>
      <c r="C1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6" t="str">
        <f ca="1">IF(dict_zuord_Meth_Transfers[[#This Row],[kval_active]],dict_zuord_Meth_Transfers[[#This Row],[ID_Transfers]],"")</f>
        <v/>
      </c>
    </row>
    <row r="1127" spans="1:4" x14ac:dyDescent="0.45">
      <c r="A1127">
        <v>187</v>
      </c>
      <c r="B1127" s="3">
        <f t="shared" ca="1" si="17"/>
        <v>175</v>
      </c>
      <c r="C1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7" t="str">
        <f ca="1">IF(dict_zuord_Meth_Transfers[[#This Row],[kval_active]],dict_zuord_Meth_Transfers[[#This Row],[ID_Transfers]],"")</f>
        <v/>
      </c>
    </row>
    <row r="1128" spans="1:4" x14ac:dyDescent="0.45">
      <c r="A1128">
        <v>187</v>
      </c>
      <c r="B1128">
        <f t="shared" ca="1" si="17"/>
        <v>97</v>
      </c>
      <c r="C1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8" t="str">
        <f ca="1">IF(dict_zuord_Meth_Transfers[[#This Row],[kval_active]],dict_zuord_Meth_Transfers[[#This Row],[ID_Transfers]],"")</f>
        <v/>
      </c>
    </row>
    <row r="1129" spans="1:4" x14ac:dyDescent="0.45">
      <c r="A1129">
        <v>187</v>
      </c>
      <c r="B1129">
        <f t="shared" ca="1" si="17"/>
        <v>86</v>
      </c>
      <c r="C1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29" t="str">
        <f ca="1">IF(dict_zuord_Meth_Transfers[[#This Row],[kval_active]],dict_zuord_Meth_Transfers[[#This Row],[ID_Transfers]],"")</f>
        <v/>
      </c>
    </row>
    <row r="1130" spans="1:4" x14ac:dyDescent="0.45">
      <c r="A1130">
        <v>188</v>
      </c>
      <c r="B1130" s="3">
        <f t="shared" ca="1" si="17"/>
        <v>61</v>
      </c>
      <c r="C1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0" t="str">
        <f ca="1">IF(dict_zuord_Meth_Transfers[[#This Row],[kval_active]],dict_zuord_Meth_Transfers[[#This Row],[ID_Transfers]],"")</f>
        <v/>
      </c>
    </row>
    <row r="1131" spans="1:4" x14ac:dyDescent="0.45">
      <c r="A1131">
        <v>188</v>
      </c>
      <c r="B1131">
        <f t="shared" ca="1" si="17"/>
        <v>184</v>
      </c>
      <c r="C1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1" t="str">
        <f ca="1">IF(dict_zuord_Meth_Transfers[[#This Row],[kval_active]],dict_zuord_Meth_Transfers[[#This Row],[ID_Transfers]],"")</f>
        <v/>
      </c>
    </row>
    <row r="1132" spans="1:4" x14ac:dyDescent="0.45">
      <c r="A1132">
        <v>188</v>
      </c>
      <c r="B1132" s="3">
        <f t="shared" ca="1" si="17"/>
        <v>153</v>
      </c>
      <c r="C1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2" t="str">
        <f ca="1">IF(dict_zuord_Meth_Transfers[[#This Row],[kval_active]],dict_zuord_Meth_Transfers[[#This Row],[ID_Transfers]],"")</f>
        <v/>
      </c>
    </row>
    <row r="1133" spans="1:4" x14ac:dyDescent="0.45">
      <c r="A1133">
        <v>188</v>
      </c>
      <c r="B1133" s="3">
        <f t="shared" ca="1" si="17"/>
        <v>179</v>
      </c>
      <c r="C1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3" t="str">
        <f ca="1">IF(dict_zuord_Meth_Transfers[[#This Row],[kval_active]],dict_zuord_Meth_Transfers[[#This Row],[ID_Transfers]],"")</f>
        <v/>
      </c>
    </row>
    <row r="1134" spans="1:4" x14ac:dyDescent="0.45">
      <c r="A1134">
        <v>188</v>
      </c>
      <c r="B1134">
        <f t="shared" ca="1" si="17"/>
        <v>89</v>
      </c>
      <c r="C1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4" t="str">
        <f ca="1">IF(dict_zuord_Meth_Transfers[[#This Row],[kval_active]],dict_zuord_Meth_Transfers[[#This Row],[ID_Transfers]],"")</f>
        <v/>
      </c>
    </row>
    <row r="1135" spans="1:4" x14ac:dyDescent="0.45">
      <c r="A1135">
        <v>188</v>
      </c>
      <c r="B1135">
        <f t="shared" ca="1" si="17"/>
        <v>64</v>
      </c>
      <c r="C1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35" t="str">
        <f ca="1">IF(dict_zuord_Meth_Transfers[[#This Row],[kval_active]],dict_zuord_Meth_Transfers[[#This Row],[ID_Transfers]],"")</f>
        <v/>
      </c>
    </row>
    <row r="1136" spans="1:4" x14ac:dyDescent="0.45">
      <c r="A1136">
        <v>189</v>
      </c>
      <c r="B1136">
        <f t="shared" ca="1" si="17"/>
        <v>102</v>
      </c>
      <c r="C1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6">
        <f ca="1">IF(dict_zuord_Meth_Transfers[[#This Row],[kval_active]],dict_zuord_Meth_Transfers[[#This Row],[ID_Transfers]],"")</f>
        <v>102</v>
      </c>
    </row>
    <row r="1137" spans="1:4" x14ac:dyDescent="0.45">
      <c r="A1137">
        <v>189</v>
      </c>
      <c r="B1137" s="3">
        <f t="shared" ca="1" si="17"/>
        <v>33</v>
      </c>
      <c r="C1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7">
        <f ca="1">IF(dict_zuord_Meth_Transfers[[#This Row],[kval_active]],dict_zuord_Meth_Transfers[[#This Row],[ID_Transfers]],"")</f>
        <v>33</v>
      </c>
    </row>
    <row r="1138" spans="1:4" x14ac:dyDescent="0.45">
      <c r="A1138">
        <v>189</v>
      </c>
      <c r="B1138" s="3">
        <f t="shared" ca="1" si="17"/>
        <v>185</v>
      </c>
      <c r="C1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8">
        <f ca="1">IF(dict_zuord_Meth_Transfers[[#This Row],[kval_active]],dict_zuord_Meth_Transfers[[#This Row],[ID_Transfers]],"")</f>
        <v>185</v>
      </c>
    </row>
    <row r="1139" spans="1:4" x14ac:dyDescent="0.45">
      <c r="A1139">
        <v>189</v>
      </c>
      <c r="B1139">
        <f t="shared" ca="1" si="17"/>
        <v>78</v>
      </c>
      <c r="C1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39">
        <f ca="1">IF(dict_zuord_Meth_Transfers[[#This Row],[kval_active]],dict_zuord_Meth_Transfers[[#This Row],[ID_Transfers]],"")</f>
        <v>78</v>
      </c>
    </row>
    <row r="1140" spans="1:4" x14ac:dyDescent="0.45">
      <c r="A1140">
        <v>189</v>
      </c>
      <c r="B1140" s="3">
        <f t="shared" ca="1" si="17"/>
        <v>27</v>
      </c>
      <c r="C1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0">
        <f ca="1">IF(dict_zuord_Meth_Transfers[[#This Row],[kval_active]],dict_zuord_Meth_Transfers[[#This Row],[ID_Transfers]],"")</f>
        <v>27</v>
      </c>
    </row>
    <row r="1141" spans="1:4" x14ac:dyDescent="0.45">
      <c r="A1141">
        <v>189</v>
      </c>
      <c r="B1141">
        <f t="shared" ca="1" si="17"/>
        <v>131</v>
      </c>
      <c r="C1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141">
        <f ca="1">IF(dict_zuord_Meth_Transfers[[#This Row],[kval_active]],dict_zuord_Meth_Transfers[[#This Row],[ID_Transfers]],"")</f>
        <v>131</v>
      </c>
    </row>
    <row r="1142" spans="1:4" x14ac:dyDescent="0.45">
      <c r="A1142">
        <v>190</v>
      </c>
      <c r="B1142">
        <f t="shared" ca="1" si="17"/>
        <v>170</v>
      </c>
      <c r="C1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2" t="str">
        <f ca="1">IF(dict_zuord_Meth_Transfers[[#This Row],[kval_active]],dict_zuord_Meth_Transfers[[#This Row],[ID_Transfers]],"")</f>
        <v/>
      </c>
    </row>
    <row r="1143" spans="1:4" x14ac:dyDescent="0.45">
      <c r="A1143">
        <v>190</v>
      </c>
      <c r="B1143" s="3">
        <f t="shared" ca="1" si="17"/>
        <v>79</v>
      </c>
      <c r="C1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3" t="str">
        <f ca="1">IF(dict_zuord_Meth_Transfers[[#This Row],[kval_active]],dict_zuord_Meth_Transfers[[#This Row],[ID_Transfers]],"")</f>
        <v/>
      </c>
    </row>
    <row r="1144" spans="1:4" x14ac:dyDescent="0.45">
      <c r="A1144">
        <v>190</v>
      </c>
      <c r="B1144">
        <f t="shared" ca="1" si="17"/>
        <v>117</v>
      </c>
      <c r="C1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4" t="str">
        <f ca="1">IF(dict_zuord_Meth_Transfers[[#This Row],[kval_active]],dict_zuord_Meth_Transfers[[#This Row],[ID_Transfers]],"")</f>
        <v/>
      </c>
    </row>
    <row r="1145" spans="1:4" x14ac:dyDescent="0.45">
      <c r="A1145">
        <v>190</v>
      </c>
      <c r="B1145" s="3">
        <f t="shared" ca="1" si="17"/>
        <v>177</v>
      </c>
      <c r="C1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5" t="str">
        <f ca="1">IF(dict_zuord_Meth_Transfers[[#This Row],[kval_active]],dict_zuord_Meth_Transfers[[#This Row],[ID_Transfers]],"")</f>
        <v/>
      </c>
    </row>
    <row r="1146" spans="1:4" x14ac:dyDescent="0.45">
      <c r="A1146">
        <v>190</v>
      </c>
      <c r="B1146">
        <f t="shared" ca="1" si="17"/>
        <v>89</v>
      </c>
      <c r="C1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6" t="str">
        <f ca="1">IF(dict_zuord_Meth_Transfers[[#This Row],[kval_active]],dict_zuord_Meth_Transfers[[#This Row],[ID_Transfers]],"")</f>
        <v/>
      </c>
    </row>
    <row r="1147" spans="1:4" x14ac:dyDescent="0.45">
      <c r="A1147">
        <v>190</v>
      </c>
      <c r="B1147" s="3">
        <f t="shared" ca="1" si="17"/>
        <v>9</v>
      </c>
      <c r="C1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7" t="str">
        <f ca="1">IF(dict_zuord_Meth_Transfers[[#This Row],[kval_active]],dict_zuord_Meth_Transfers[[#This Row],[ID_Transfers]],"")</f>
        <v/>
      </c>
    </row>
    <row r="1148" spans="1:4" x14ac:dyDescent="0.45">
      <c r="A1148">
        <v>191</v>
      </c>
      <c r="B1148" s="3">
        <f t="shared" ca="1" si="17"/>
        <v>13</v>
      </c>
      <c r="C1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8" t="str">
        <f ca="1">IF(dict_zuord_Meth_Transfers[[#This Row],[kval_active]],dict_zuord_Meth_Transfers[[#This Row],[ID_Transfers]],"")</f>
        <v/>
      </c>
    </row>
    <row r="1149" spans="1:4" x14ac:dyDescent="0.45">
      <c r="A1149">
        <v>191</v>
      </c>
      <c r="B1149">
        <f t="shared" ca="1" si="17"/>
        <v>135</v>
      </c>
      <c r="C1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49" t="str">
        <f ca="1">IF(dict_zuord_Meth_Transfers[[#This Row],[kval_active]],dict_zuord_Meth_Transfers[[#This Row],[ID_Transfers]],"")</f>
        <v/>
      </c>
    </row>
    <row r="1150" spans="1:4" x14ac:dyDescent="0.45">
      <c r="A1150">
        <v>191</v>
      </c>
      <c r="B1150" s="3">
        <f t="shared" ca="1" si="17"/>
        <v>3</v>
      </c>
      <c r="C1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0" t="str">
        <f ca="1">IF(dict_zuord_Meth_Transfers[[#This Row],[kval_active]],dict_zuord_Meth_Transfers[[#This Row],[ID_Transfers]],"")</f>
        <v/>
      </c>
    </row>
    <row r="1151" spans="1:4" x14ac:dyDescent="0.45">
      <c r="A1151">
        <v>191</v>
      </c>
      <c r="B1151">
        <f t="shared" ca="1" si="17"/>
        <v>102</v>
      </c>
      <c r="C1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1" t="str">
        <f ca="1">IF(dict_zuord_Meth_Transfers[[#This Row],[kval_active]],dict_zuord_Meth_Transfers[[#This Row],[ID_Transfers]],"")</f>
        <v/>
      </c>
    </row>
    <row r="1152" spans="1:4" x14ac:dyDescent="0.45">
      <c r="A1152">
        <v>191</v>
      </c>
      <c r="B1152" s="3">
        <f t="shared" ca="1" si="17"/>
        <v>193</v>
      </c>
      <c r="C1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2" t="str">
        <f ca="1">IF(dict_zuord_Meth_Transfers[[#This Row],[kval_active]],dict_zuord_Meth_Transfers[[#This Row],[ID_Transfers]],"")</f>
        <v/>
      </c>
    </row>
    <row r="1153" spans="1:4" x14ac:dyDescent="0.45">
      <c r="A1153">
        <v>191</v>
      </c>
      <c r="B1153">
        <f t="shared" ca="1" si="17"/>
        <v>23</v>
      </c>
      <c r="C1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3" t="str">
        <f ca="1">IF(dict_zuord_Meth_Transfers[[#This Row],[kval_active]],dict_zuord_Meth_Transfers[[#This Row],[ID_Transfers]],"")</f>
        <v/>
      </c>
    </row>
    <row r="1154" spans="1:4" x14ac:dyDescent="0.45">
      <c r="A1154">
        <v>192</v>
      </c>
      <c r="B1154" s="3">
        <f t="shared" ref="B1154:B1217" ca="1" si="18">RANDBETWEEN(0,200)</f>
        <v>133</v>
      </c>
      <c r="C1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4" t="str">
        <f ca="1">IF(dict_zuord_Meth_Transfers[[#This Row],[kval_active]],dict_zuord_Meth_Transfers[[#This Row],[ID_Transfers]],"")</f>
        <v/>
      </c>
    </row>
    <row r="1155" spans="1:4" x14ac:dyDescent="0.45">
      <c r="A1155">
        <v>192</v>
      </c>
      <c r="B1155">
        <f t="shared" ca="1" si="18"/>
        <v>14</v>
      </c>
      <c r="C1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5" t="str">
        <f ca="1">IF(dict_zuord_Meth_Transfers[[#This Row],[kval_active]],dict_zuord_Meth_Transfers[[#This Row],[ID_Transfers]],"")</f>
        <v/>
      </c>
    </row>
    <row r="1156" spans="1:4" x14ac:dyDescent="0.45">
      <c r="A1156">
        <v>192</v>
      </c>
      <c r="B1156" s="3">
        <f t="shared" ca="1" si="18"/>
        <v>193</v>
      </c>
      <c r="C1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6" t="str">
        <f ca="1">IF(dict_zuord_Meth_Transfers[[#This Row],[kval_active]],dict_zuord_Meth_Transfers[[#This Row],[ID_Transfers]],"")</f>
        <v/>
      </c>
    </row>
    <row r="1157" spans="1:4" x14ac:dyDescent="0.45">
      <c r="A1157">
        <v>192</v>
      </c>
      <c r="B1157" s="3">
        <f t="shared" ca="1" si="18"/>
        <v>8</v>
      </c>
      <c r="C1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7" t="str">
        <f ca="1">IF(dict_zuord_Meth_Transfers[[#This Row],[kval_active]],dict_zuord_Meth_Transfers[[#This Row],[ID_Transfers]],"")</f>
        <v/>
      </c>
    </row>
    <row r="1158" spans="1:4" x14ac:dyDescent="0.45">
      <c r="A1158">
        <v>192</v>
      </c>
      <c r="B1158">
        <f t="shared" ca="1" si="18"/>
        <v>192</v>
      </c>
      <c r="C1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8" t="str">
        <f ca="1">IF(dict_zuord_Meth_Transfers[[#This Row],[kval_active]],dict_zuord_Meth_Transfers[[#This Row],[ID_Transfers]],"")</f>
        <v/>
      </c>
    </row>
    <row r="1159" spans="1:4" x14ac:dyDescent="0.45">
      <c r="A1159">
        <v>192</v>
      </c>
      <c r="B1159">
        <f t="shared" ca="1" si="18"/>
        <v>4</v>
      </c>
      <c r="C1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59" t="str">
        <f ca="1">IF(dict_zuord_Meth_Transfers[[#This Row],[kval_active]],dict_zuord_Meth_Transfers[[#This Row],[ID_Transfers]],"")</f>
        <v/>
      </c>
    </row>
    <row r="1160" spans="1:4" x14ac:dyDescent="0.45">
      <c r="A1160">
        <v>193</v>
      </c>
      <c r="B1160">
        <f t="shared" ca="1" si="18"/>
        <v>180</v>
      </c>
      <c r="C1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0" t="str">
        <f ca="1">IF(dict_zuord_Meth_Transfers[[#This Row],[kval_active]],dict_zuord_Meth_Transfers[[#This Row],[ID_Transfers]],"")</f>
        <v/>
      </c>
    </row>
    <row r="1161" spans="1:4" x14ac:dyDescent="0.45">
      <c r="A1161">
        <v>193</v>
      </c>
      <c r="B1161">
        <f t="shared" ca="1" si="18"/>
        <v>136</v>
      </c>
      <c r="C1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1" t="str">
        <f ca="1">IF(dict_zuord_Meth_Transfers[[#This Row],[kval_active]],dict_zuord_Meth_Transfers[[#This Row],[ID_Transfers]],"")</f>
        <v/>
      </c>
    </row>
    <row r="1162" spans="1:4" x14ac:dyDescent="0.45">
      <c r="A1162">
        <v>193</v>
      </c>
      <c r="B1162" s="3">
        <f t="shared" ca="1" si="18"/>
        <v>17</v>
      </c>
      <c r="C1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2" t="str">
        <f ca="1">IF(dict_zuord_Meth_Transfers[[#This Row],[kval_active]],dict_zuord_Meth_Transfers[[#This Row],[ID_Transfers]],"")</f>
        <v/>
      </c>
    </row>
    <row r="1163" spans="1:4" x14ac:dyDescent="0.45">
      <c r="A1163">
        <v>193</v>
      </c>
      <c r="B1163">
        <f t="shared" ca="1" si="18"/>
        <v>85</v>
      </c>
      <c r="C1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3" t="str">
        <f ca="1">IF(dict_zuord_Meth_Transfers[[#This Row],[kval_active]],dict_zuord_Meth_Transfers[[#This Row],[ID_Transfers]],"")</f>
        <v/>
      </c>
    </row>
    <row r="1164" spans="1:4" x14ac:dyDescent="0.45">
      <c r="A1164">
        <v>193</v>
      </c>
      <c r="B1164" s="3">
        <f t="shared" ca="1" si="18"/>
        <v>161</v>
      </c>
      <c r="C1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4" t="str">
        <f ca="1">IF(dict_zuord_Meth_Transfers[[#This Row],[kval_active]],dict_zuord_Meth_Transfers[[#This Row],[ID_Transfers]],"")</f>
        <v/>
      </c>
    </row>
    <row r="1165" spans="1:4" x14ac:dyDescent="0.45">
      <c r="A1165">
        <v>193</v>
      </c>
      <c r="B1165" s="3">
        <f t="shared" ca="1" si="18"/>
        <v>193</v>
      </c>
      <c r="C1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5" t="str">
        <f ca="1">IF(dict_zuord_Meth_Transfers[[#This Row],[kval_active]],dict_zuord_Meth_Transfers[[#This Row],[ID_Transfers]],"")</f>
        <v/>
      </c>
    </row>
    <row r="1166" spans="1:4" x14ac:dyDescent="0.45">
      <c r="A1166">
        <v>194</v>
      </c>
      <c r="B1166">
        <f t="shared" ca="1" si="18"/>
        <v>148</v>
      </c>
      <c r="C1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6" t="str">
        <f ca="1">IF(dict_zuord_Meth_Transfers[[#This Row],[kval_active]],dict_zuord_Meth_Transfers[[#This Row],[ID_Transfers]],"")</f>
        <v/>
      </c>
    </row>
    <row r="1167" spans="1:4" x14ac:dyDescent="0.45">
      <c r="A1167">
        <v>194</v>
      </c>
      <c r="B1167" s="3">
        <f t="shared" ca="1" si="18"/>
        <v>38</v>
      </c>
      <c r="C1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7" t="str">
        <f ca="1">IF(dict_zuord_Meth_Transfers[[#This Row],[kval_active]],dict_zuord_Meth_Transfers[[#This Row],[ID_Transfers]],"")</f>
        <v/>
      </c>
    </row>
    <row r="1168" spans="1:4" x14ac:dyDescent="0.45">
      <c r="A1168">
        <v>194</v>
      </c>
      <c r="B1168">
        <f t="shared" ca="1" si="18"/>
        <v>189</v>
      </c>
      <c r="C1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8" t="str">
        <f ca="1">IF(dict_zuord_Meth_Transfers[[#This Row],[kval_active]],dict_zuord_Meth_Transfers[[#This Row],[ID_Transfers]],"")</f>
        <v/>
      </c>
    </row>
    <row r="1169" spans="1:4" x14ac:dyDescent="0.45">
      <c r="A1169">
        <v>194</v>
      </c>
      <c r="B1169" s="3">
        <f t="shared" ca="1" si="18"/>
        <v>25</v>
      </c>
      <c r="C1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69" t="str">
        <f ca="1">IF(dict_zuord_Meth_Transfers[[#This Row],[kval_active]],dict_zuord_Meth_Transfers[[#This Row],[ID_Transfers]],"")</f>
        <v/>
      </c>
    </row>
    <row r="1170" spans="1:4" x14ac:dyDescent="0.45">
      <c r="A1170">
        <v>194</v>
      </c>
      <c r="B1170" s="3">
        <f t="shared" ca="1" si="18"/>
        <v>139</v>
      </c>
      <c r="C1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0" t="str">
        <f ca="1">IF(dict_zuord_Meth_Transfers[[#This Row],[kval_active]],dict_zuord_Meth_Transfers[[#This Row],[ID_Transfers]],"")</f>
        <v/>
      </c>
    </row>
    <row r="1171" spans="1:4" x14ac:dyDescent="0.45">
      <c r="A1171">
        <v>194</v>
      </c>
      <c r="B1171">
        <f t="shared" ca="1" si="18"/>
        <v>180</v>
      </c>
      <c r="C1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1" t="str">
        <f ca="1">IF(dict_zuord_Meth_Transfers[[#This Row],[kval_active]],dict_zuord_Meth_Transfers[[#This Row],[ID_Transfers]],"")</f>
        <v/>
      </c>
    </row>
    <row r="1172" spans="1:4" x14ac:dyDescent="0.45">
      <c r="A1172">
        <v>195</v>
      </c>
      <c r="B1172">
        <f t="shared" ca="1" si="18"/>
        <v>3</v>
      </c>
      <c r="C1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2" t="str">
        <f ca="1">IF(dict_zuord_Meth_Transfers[[#This Row],[kval_active]],dict_zuord_Meth_Transfers[[#This Row],[ID_Transfers]],"")</f>
        <v/>
      </c>
    </row>
    <row r="1173" spans="1:4" x14ac:dyDescent="0.45">
      <c r="A1173">
        <v>195</v>
      </c>
      <c r="B1173">
        <f t="shared" ca="1" si="18"/>
        <v>143</v>
      </c>
      <c r="C1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3" t="str">
        <f ca="1">IF(dict_zuord_Meth_Transfers[[#This Row],[kval_active]],dict_zuord_Meth_Transfers[[#This Row],[ID_Transfers]],"")</f>
        <v/>
      </c>
    </row>
    <row r="1174" spans="1:4" x14ac:dyDescent="0.45">
      <c r="A1174">
        <v>195</v>
      </c>
      <c r="B1174" s="3">
        <f t="shared" ca="1" si="18"/>
        <v>138</v>
      </c>
      <c r="C1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4" t="str">
        <f ca="1">IF(dict_zuord_Meth_Transfers[[#This Row],[kval_active]],dict_zuord_Meth_Transfers[[#This Row],[ID_Transfers]],"")</f>
        <v/>
      </c>
    </row>
    <row r="1175" spans="1:4" x14ac:dyDescent="0.45">
      <c r="A1175">
        <v>195</v>
      </c>
      <c r="B1175" s="3">
        <f t="shared" ca="1" si="18"/>
        <v>127</v>
      </c>
      <c r="C1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5" t="str">
        <f ca="1">IF(dict_zuord_Meth_Transfers[[#This Row],[kval_active]],dict_zuord_Meth_Transfers[[#This Row],[ID_Transfers]],"")</f>
        <v/>
      </c>
    </row>
    <row r="1176" spans="1:4" x14ac:dyDescent="0.45">
      <c r="A1176">
        <v>195</v>
      </c>
      <c r="B1176" s="3">
        <f t="shared" ca="1" si="18"/>
        <v>92</v>
      </c>
      <c r="C1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6" t="str">
        <f ca="1">IF(dict_zuord_Meth_Transfers[[#This Row],[kval_active]],dict_zuord_Meth_Transfers[[#This Row],[ID_Transfers]],"")</f>
        <v/>
      </c>
    </row>
    <row r="1177" spans="1:4" x14ac:dyDescent="0.45">
      <c r="A1177">
        <v>195</v>
      </c>
      <c r="B1177">
        <f t="shared" ca="1" si="18"/>
        <v>17</v>
      </c>
      <c r="C1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7" t="str">
        <f ca="1">IF(dict_zuord_Meth_Transfers[[#This Row],[kval_active]],dict_zuord_Meth_Transfers[[#This Row],[ID_Transfers]],"")</f>
        <v/>
      </c>
    </row>
    <row r="1178" spans="1:4" x14ac:dyDescent="0.45">
      <c r="A1178">
        <v>196</v>
      </c>
      <c r="B1178" s="3">
        <f t="shared" ca="1" si="18"/>
        <v>143</v>
      </c>
      <c r="C1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8" t="str">
        <f ca="1">IF(dict_zuord_Meth_Transfers[[#This Row],[kval_active]],dict_zuord_Meth_Transfers[[#This Row],[ID_Transfers]],"")</f>
        <v/>
      </c>
    </row>
    <row r="1179" spans="1:4" x14ac:dyDescent="0.45">
      <c r="A1179">
        <v>196</v>
      </c>
      <c r="B1179">
        <f t="shared" ca="1" si="18"/>
        <v>96</v>
      </c>
      <c r="C1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79" t="str">
        <f ca="1">IF(dict_zuord_Meth_Transfers[[#This Row],[kval_active]],dict_zuord_Meth_Transfers[[#This Row],[ID_Transfers]],"")</f>
        <v/>
      </c>
    </row>
    <row r="1180" spans="1:4" x14ac:dyDescent="0.45">
      <c r="A1180">
        <v>196</v>
      </c>
      <c r="B1180">
        <f t="shared" ca="1" si="18"/>
        <v>63</v>
      </c>
      <c r="C1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0" t="str">
        <f ca="1">IF(dict_zuord_Meth_Transfers[[#This Row],[kval_active]],dict_zuord_Meth_Transfers[[#This Row],[ID_Transfers]],"")</f>
        <v/>
      </c>
    </row>
    <row r="1181" spans="1:4" x14ac:dyDescent="0.45">
      <c r="A1181">
        <v>196</v>
      </c>
      <c r="B1181" s="3">
        <f t="shared" ca="1" si="18"/>
        <v>100</v>
      </c>
      <c r="C1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1" t="str">
        <f ca="1">IF(dict_zuord_Meth_Transfers[[#This Row],[kval_active]],dict_zuord_Meth_Transfers[[#This Row],[ID_Transfers]],"")</f>
        <v/>
      </c>
    </row>
    <row r="1182" spans="1:4" x14ac:dyDescent="0.45">
      <c r="A1182">
        <v>196</v>
      </c>
      <c r="B1182" s="3">
        <f t="shared" ca="1" si="18"/>
        <v>188</v>
      </c>
      <c r="C1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2" t="str">
        <f ca="1">IF(dict_zuord_Meth_Transfers[[#This Row],[kval_active]],dict_zuord_Meth_Transfers[[#This Row],[ID_Transfers]],"")</f>
        <v/>
      </c>
    </row>
    <row r="1183" spans="1:4" x14ac:dyDescent="0.45">
      <c r="A1183">
        <v>196</v>
      </c>
      <c r="B1183">
        <f t="shared" ca="1" si="18"/>
        <v>79</v>
      </c>
      <c r="C1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3" t="str">
        <f ca="1">IF(dict_zuord_Meth_Transfers[[#This Row],[kval_active]],dict_zuord_Meth_Transfers[[#This Row],[ID_Transfers]],"")</f>
        <v/>
      </c>
    </row>
    <row r="1184" spans="1:4" x14ac:dyDescent="0.45">
      <c r="A1184">
        <v>197</v>
      </c>
      <c r="B1184">
        <f t="shared" ca="1" si="18"/>
        <v>176</v>
      </c>
      <c r="C1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4" t="str">
        <f ca="1">IF(dict_zuord_Meth_Transfers[[#This Row],[kval_active]],dict_zuord_Meth_Transfers[[#This Row],[ID_Transfers]],"")</f>
        <v/>
      </c>
    </row>
    <row r="1185" spans="1:4" x14ac:dyDescent="0.45">
      <c r="A1185">
        <v>197</v>
      </c>
      <c r="B1185">
        <f t="shared" ca="1" si="18"/>
        <v>46</v>
      </c>
      <c r="C1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5" t="str">
        <f ca="1">IF(dict_zuord_Meth_Transfers[[#This Row],[kval_active]],dict_zuord_Meth_Transfers[[#This Row],[ID_Transfers]],"")</f>
        <v/>
      </c>
    </row>
    <row r="1186" spans="1:4" x14ac:dyDescent="0.45">
      <c r="A1186">
        <v>197</v>
      </c>
      <c r="B1186" s="3">
        <f t="shared" ca="1" si="18"/>
        <v>148</v>
      </c>
      <c r="C1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6" t="str">
        <f ca="1">IF(dict_zuord_Meth_Transfers[[#This Row],[kval_active]],dict_zuord_Meth_Transfers[[#This Row],[ID_Transfers]],"")</f>
        <v/>
      </c>
    </row>
    <row r="1187" spans="1:4" x14ac:dyDescent="0.45">
      <c r="A1187">
        <v>197</v>
      </c>
      <c r="B1187">
        <f t="shared" ca="1" si="18"/>
        <v>183</v>
      </c>
      <c r="C1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7" t="str">
        <f ca="1">IF(dict_zuord_Meth_Transfers[[#This Row],[kval_active]],dict_zuord_Meth_Transfers[[#This Row],[ID_Transfers]],"")</f>
        <v/>
      </c>
    </row>
    <row r="1188" spans="1:4" x14ac:dyDescent="0.45">
      <c r="A1188">
        <v>197</v>
      </c>
      <c r="B1188" s="3">
        <f t="shared" ca="1" si="18"/>
        <v>188</v>
      </c>
      <c r="C1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8" t="str">
        <f ca="1">IF(dict_zuord_Meth_Transfers[[#This Row],[kval_active]],dict_zuord_Meth_Transfers[[#This Row],[ID_Transfers]],"")</f>
        <v/>
      </c>
    </row>
    <row r="1189" spans="1:4" x14ac:dyDescent="0.45">
      <c r="A1189">
        <v>197</v>
      </c>
      <c r="B1189" s="3">
        <f t="shared" ca="1" si="18"/>
        <v>102</v>
      </c>
      <c r="C1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89" t="str">
        <f ca="1">IF(dict_zuord_Meth_Transfers[[#This Row],[kval_active]],dict_zuord_Meth_Transfers[[#This Row],[ID_Transfers]],"")</f>
        <v/>
      </c>
    </row>
    <row r="1190" spans="1:4" x14ac:dyDescent="0.45">
      <c r="A1190">
        <v>198</v>
      </c>
      <c r="B1190" s="3">
        <f t="shared" ca="1" si="18"/>
        <v>0</v>
      </c>
      <c r="C1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0" t="str">
        <f ca="1">IF(dict_zuord_Meth_Transfers[[#This Row],[kval_active]],dict_zuord_Meth_Transfers[[#This Row],[ID_Transfers]],"")</f>
        <v/>
      </c>
    </row>
    <row r="1191" spans="1:4" x14ac:dyDescent="0.45">
      <c r="A1191">
        <v>198</v>
      </c>
      <c r="B1191">
        <f t="shared" ca="1" si="18"/>
        <v>7</v>
      </c>
      <c r="C1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1" t="str">
        <f ca="1">IF(dict_zuord_Meth_Transfers[[#This Row],[kval_active]],dict_zuord_Meth_Transfers[[#This Row],[ID_Transfers]],"")</f>
        <v/>
      </c>
    </row>
    <row r="1192" spans="1:4" x14ac:dyDescent="0.45">
      <c r="A1192">
        <v>198</v>
      </c>
      <c r="B1192">
        <f t="shared" ca="1" si="18"/>
        <v>195</v>
      </c>
      <c r="C1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2" t="str">
        <f ca="1">IF(dict_zuord_Meth_Transfers[[#This Row],[kval_active]],dict_zuord_Meth_Transfers[[#This Row],[ID_Transfers]],"")</f>
        <v/>
      </c>
    </row>
    <row r="1193" spans="1:4" x14ac:dyDescent="0.45">
      <c r="A1193">
        <v>198</v>
      </c>
      <c r="B1193">
        <f t="shared" ca="1" si="18"/>
        <v>100</v>
      </c>
      <c r="C1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3" t="str">
        <f ca="1">IF(dict_zuord_Meth_Transfers[[#This Row],[kval_active]],dict_zuord_Meth_Transfers[[#This Row],[ID_Transfers]],"")</f>
        <v/>
      </c>
    </row>
    <row r="1194" spans="1:4" x14ac:dyDescent="0.45">
      <c r="A1194">
        <v>198</v>
      </c>
      <c r="B1194" s="3">
        <f t="shared" ca="1" si="18"/>
        <v>150</v>
      </c>
      <c r="C1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4" t="str">
        <f ca="1">IF(dict_zuord_Meth_Transfers[[#This Row],[kval_active]],dict_zuord_Meth_Transfers[[#This Row],[ID_Transfers]],"")</f>
        <v/>
      </c>
    </row>
    <row r="1195" spans="1:4" x14ac:dyDescent="0.45">
      <c r="A1195">
        <v>198</v>
      </c>
      <c r="B1195" s="3">
        <f t="shared" ca="1" si="18"/>
        <v>118</v>
      </c>
      <c r="C1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5" t="str">
        <f ca="1">IF(dict_zuord_Meth_Transfers[[#This Row],[kval_active]],dict_zuord_Meth_Transfers[[#This Row],[ID_Transfers]],"")</f>
        <v/>
      </c>
    </row>
    <row r="1196" spans="1:4" x14ac:dyDescent="0.45">
      <c r="A1196">
        <v>199</v>
      </c>
      <c r="B1196">
        <f t="shared" ca="1" si="18"/>
        <v>19</v>
      </c>
      <c r="C1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6" t="str">
        <f ca="1">IF(dict_zuord_Meth_Transfers[[#This Row],[kval_active]],dict_zuord_Meth_Transfers[[#This Row],[ID_Transfers]],"")</f>
        <v/>
      </c>
    </row>
    <row r="1197" spans="1:4" x14ac:dyDescent="0.45">
      <c r="A1197">
        <v>199</v>
      </c>
      <c r="B1197" s="3">
        <f t="shared" ca="1" si="18"/>
        <v>166</v>
      </c>
      <c r="C1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7" t="str">
        <f ca="1">IF(dict_zuord_Meth_Transfers[[#This Row],[kval_active]],dict_zuord_Meth_Transfers[[#This Row],[ID_Transfers]],"")</f>
        <v/>
      </c>
    </row>
    <row r="1198" spans="1:4" x14ac:dyDescent="0.45">
      <c r="A1198">
        <v>199</v>
      </c>
      <c r="B1198" s="3">
        <f t="shared" ca="1" si="18"/>
        <v>106</v>
      </c>
      <c r="C1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8" t="str">
        <f ca="1">IF(dict_zuord_Meth_Transfers[[#This Row],[kval_active]],dict_zuord_Meth_Transfers[[#This Row],[ID_Transfers]],"")</f>
        <v/>
      </c>
    </row>
    <row r="1199" spans="1:4" x14ac:dyDescent="0.45">
      <c r="A1199">
        <v>199</v>
      </c>
      <c r="B1199">
        <f t="shared" ca="1" si="18"/>
        <v>28</v>
      </c>
      <c r="C1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199" t="str">
        <f ca="1">IF(dict_zuord_Meth_Transfers[[#This Row],[kval_active]],dict_zuord_Meth_Transfers[[#This Row],[ID_Transfers]],"")</f>
        <v/>
      </c>
    </row>
    <row r="1200" spans="1:4" x14ac:dyDescent="0.45">
      <c r="A1200">
        <v>199</v>
      </c>
      <c r="B1200">
        <f t="shared" ca="1" si="18"/>
        <v>130</v>
      </c>
      <c r="C1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0" t="str">
        <f ca="1">IF(dict_zuord_Meth_Transfers[[#This Row],[kval_active]],dict_zuord_Meth_Transfers[[#This Row],[ID_Transfers]],"")</f>
        <v/>
      </c>
    </row>
    <row r="1201" spans="1:4" x14ac:dyDescent="0.45">
      <c r="A1201">
        <v>199</v>
      </c>
      <c r="B1201" s="3">
        <f t="shared" ca="1" si="18"/>
        <v>53</v>
      </c>
      <c r="C1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1" t="str">
        <f ca="1">IF(dict_zuord_Meth_Transfers[[#This Row],[kval_active]],dict_zuord_Meth_Transfers[[#This Row],[ID_Transfers]],"")</f>
        <v/>
      </c>
    </row>
    <row r="1202" spans="1:4" x14ac:dyDescent="0.45">
      <c r="A1202">
        <v>200</v>
      </c>
      <c r="B1202">
        <f t="shared" ca="1" si="18"/>
        <v>82</v>
      </c>
      <c r="C1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2" t="str">
        <f ca="1">IF(dict_zuord_Meth_Transfers[[#This Row],[kval_active]],dict_zuord_Meth_Transfers[[#This Row],[ID_Transfers]],"")</f>
        <v/>
      </c>
    </row>
    <row r="1203" spans="1:4" x14ac:dyDescent="0.45">
      <c r="A1203">
        <v>200</v>
      </c>
      <c r="B1203" s="3">
        <f t="shared" ca="1" si="18"/>
        <v>43</v>
      </c>
      <c r="C1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3" t="str">
        <f ca="1">IF(dict_zuord_Meth_Transfers[[#This Row],[kval_active]],dict_zuord_Meth_Transfers[[#This Row],[ID_Transfers]],"")</f>
        <v/>
      </c>
    </row>
    <row r="1204" spans="1:4" x14ac:dyDescent="0.45">
      <c r="A1204">
        <v>200</v>
      </c>
      <c r="B1204" s="3">
        <f t="shared" ca="1" si="18"/>
        <v>101</v>
      </c>
      <c r="C1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4" t="str">
        <f ca="1">IF(dict_zuord_Meth_Transfers[[#This Row],[kval_active]],dict_zuord_Meth_Transfers[[#This Row],[ID_Transfers]],"")</f>
        <v/>
      </c>
    </row>
    <row r="1205" spans="1:4" x14ac:dyDescent="0.45">
      <c r="A1205">
        <v>200</v>
      </c>
      <c r="B1205">
        <f t="shared" ca="1" si="18"/>
        <v>45</v>
      </c>
      <c r="C1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5" t="str">
        <f ca="1">IF(dict_zuord_Meth_Transfers[[#This Row],[kval_active]],dict_zuord_Meth_Transfers[[#This Row],[ID_Transfers]],"")</f>
        <v/>
      </c>
    </row>
    <row r="1206" spans="1:4" x14ac:dyDescent="0.45">
      <c r="A1206">
        <v>200</v>
      </c>
      <c r="B1206" s="3">
        <f t="shared" ca="1" si="18"/>
        <v>171</v>
      </c>
      <c r="C1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6" t="str">
        <f ca="1">IF(dict_zuord_Meth_Transfers[[#This Row],[kval_active]],dict_zuord_Meth_Transfers[[#This Row],[ID_Transfers]],"")</f>
        <v/>
      </c>
    </row>
    <row r="1207" spans="1:4" x14ac:dyDescent="0.45">
      <c r="A1207">
        <v>200</v>
      </c>
      <c r="B1207">
        <f t="shared" ca="1" si="18"/>
        <v>194</v>
      </c>
      <c r="C1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7" t="str">
        <f ca="1">IF(dict_zuord_Meth_Transfers[[#This Row],[kval_active]],dict_zuord_Meth_Transfers[[#This Row],[ID_Transfers]],"")</f>
        <v/>
      </c>
    </row>
    <row r="1208" spans="1:4" x14ac:dyDescent="0.45">
      <c r="A1208">
        <v>201</v>
      </c>
      <c r="B1208" s="3">
        <f t="shared" ca="1" si="18"/>
        <v>183</v>
      </c>
      <c r="C1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8" t="str">
        <f ca="1">IF(dict_zuord_Meth_Transfers[[#This Row],[kval_active]],dict_zuord_Meth_Transfers[[#This Row],[ID_Transfers]],"")</f>
        <v/>
      </c>
    </row>
    <row r="1209" spans="1:4" x14ac:dyDescent="0.45">
      <c r="A1209">
        <v>201</v>
      </c>
      <c r="B1209">
        <f t="shared" ca="1" si="18"/>
        <v>108</v>
      </c>
      <c r="C1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09" t="str">
        <f ca="1">IF(dict_zuord_Meth_Transfers[[#This Row],[kval_active]],dict_zuord_Meth_Transfers[[#This Row],[ID_Transfers]],"")</f>
        <v/>
      </c>
    </row>
    <row r="1210" spans="1:4" x14ac:dyDescent="0.45">
      <c r="A1210">
        <v>201</v>
      </c>
      <c r="B1210">
        <f t="shared" ca="1" si="18"/>
        <v>40</v>
      </c>
      <c r="C1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0" t="str">
        <f ca="1">IF(dict_zuord_Meth_Transfers[[#This Row],[kval_active]],dict_zuord_Meth_Transfers[[#This Row],[ID_Transfers]],"")</f>
        <v/>
      </c>
    </row>
    <row r="1211" spans="1:4" x14ac:dyDescent="0.45">
      <c r="A1211">
        <v>201</v>
      </c>
      <c r="B1211" s="3">
        <f t="shared" ca="1" si="18"/>
        <v>108</v>
      </c>
      <c r="C1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1" t="str">
        <f ca="1">IF(dict_zuord_Meth_Transfers[[#This Row],[kval_active]],dict_zuord_Meth_Transfers[[#This Row],[ID_Transfers]],"")</f>
        <v/>
      </c>
    </row>
    <row r="1212" spans="1:4" x14ac:dyDescent="0.45">
      <c r="A1212">
        <v>201</v>
      </c>
      <c r="B1212">
        <f t="shared" ca="1" si="18"/>
        <v>183</v>
      </c>
      <c r="C1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2" t="str">
        <f ca="1">IF(dict_zuord_Meth_Transfers[[#This Row],[kval_active]],dict_zuord_Meth_Transfers[[#This Row],[ID_Transfers]],"")</f>
        <v/>
      </c>
    </row>
    <row r="1213" spans="1:4" x14ac:dyDescent="0.45">
      <c r="A1213">
        <v>201</v>
      </c>
      <c r="B1213" s="3">
        <f t="shared" ca="1" si="18"/>
        <v>90</v>
      </c>
      <c r="C1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3" t="str">
        <f ca="1">IF(dict_zuord_Meth_Transfers[[#This Row],[kval_active]],dict_zuord_Meth_Transfers[[#This Row],[ID_Transfers]],"")</f>
        <v/>
      </c>
    </row>
    <row r="1214" spans="1:4" x14ac:dyDescent="0.45">
      <c r="A1214">
        <v>202</v>
      </c>
      <c r="B1214">
        <f t="shared" ca="1" si="18"/>
        <v>141</v>
      </c>
      <c r="C1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4" t="str">
        <f ca="1">IF(dict_zuord_Meth_Transfers[[#This Row],[kval_active]],dict_zuord_Meth_Transfers[[#This Row],[ID_Transfers]],"")</f>
        <v/>
      </c>
    </row>
    <row r="1215" spans="1:4" x14ac:dyDescent="0.45">
      <c r="A1215">
        <v>202</v>
      </c>
      <c r="B1215" s="3">
        <f t="shared" ca="1" si="18"/>
        <v>85</v>
      </c>
      <c r="C1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5" t="str">
        <f ca="1">IF(dict_zuord_Meth_Transfers[[#This Row],[kval_active]],dict_zuord_Meth_Transfers[[#This Row],[ID_Transfers]],"")</f>
        <v/>
      </c>
    </row>
    <row r="1216" spans="1:4" x14ac:dyDescent="0.45">
      <c r="A1216">
        <v>202</v>
      </c>
      <c r="B1216">
        <f t="shared" ca="1" si="18"/>
        <v>120</v>
      </c>
      <c r="C1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6" t="str">
        <f ca="1">IF(dict_zuord_Meth_Transfers[[#This Row],[kval_active]],dict_zuord_Meth_Transfers[[#This Row],[ID_Transfers]],"")</f>
        <v/>
      </c>
    </row>
    <row r="1217" spans="1:4" x14ac:dyDescent="0.45">
      <c r="A1217">
        <v>202</v>
      </c>
      <c r="B1217" s="3">
        <f t="shared" ca="1" si="18"/>
        <v>30</v>
      </c>
      <c r="C1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7" t="str">
        <f ca="1">IF(dict_zuord_Meth_Transfers[[#This Row],[kval_active]],dict_zuord_Meth_Transfers[[#This Row],[ID_Transfers]],"")</f>
        <v/>
      </c>
    </row>
    <row r="1218" spans="1:4" x14ac:dyDescent="0.45">
      <c r="A1218">
        <v>202</v>
      </c>
      <c r="B1218">
        <f t="shared" ref="B1218:B1281" ca="1" si="19">RANDBETWEEN(0,200)</f>
        <v>197</v>
      </c>
      <c r="C1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8" t="str">
        <f ca="1">IF(dict_zuord_Meth_Transfers[[#This Row],[kval_active]],dict_zuord_Meth_Transfers[[#This Row],[ID_Transfers]],"")</f>
        <v/>
      </c>
    </row>
    <row r="1219" spans="1:4" x14ac:dyDescent="0.45">
      <c r="A1219">
        <v>202</v>
      </c>
      <c r="B1219" s="3">
        <f t="shared" ca="1" si="19"/>
        <v>49</v>
      </c>
      <c r="C1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19" t="str">
        <f ca="1">IF(dict_zuord_Meth_Transfers[[#This Row],[kval_active]],dict_zuord_Meth_Transfers[[#This Row],[ID_Transfers]],"")</f>
        <v/>
      </c>
    </row>
    <row r="1220" spans="1:4" x14ac:dyDescent="0.45">
      <c r="A1220">
        <v>203</v>
      </c>
      <c r="B1220" s="3">
        <f t="shared" ca="1" si="19"/>
        <v>5</v>
      </c>
      <c r="C1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0" t="str">
        <f ca="1">IF(dict_zuord_Meth_Transfers[[#This Row],[kval_active]],dict_zuord_Meth_Transfers[[#This Row],[ID_Transfers]],"")</f>
        <v/>
      </c>
    </row>
    <row r="1221" spans="1:4" x14ac:dyDescent="0.45">
      <c r="A1221">
        <v>203</v>
      </c>
      <c r="B1221">
        <f t="shared" ca="1" si="19"/>
        <v>48</v>
      </c>
      <c r="C1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1" t="str">
        <f ca="1">IF(dict_zuord_Meth_Transfers[[#This Row],[kval_active]],dict_zuord_Meth_Transfers[[#This Row],[ID_Transfers]],"")</f>
        <v/>
      </c>
    </row>
    <row r="1222" spans="1:4" x14ac:dyDescent="0.45">
      <c r="A1222">
        <v>203</v>
      </c>
      <c r="B1222">
        <f t="shared" ca="1" si="19"/>
        <v>151</v>
      </c>
      <c r="C1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2" t="str">
        <f ca="1">IF(dict_zuord_Meth_Transfers[[#This Row],[kval_active]],dict_zuord_Meth_Transfers[[#This Row],[ID_Transfers]],"")</f>
        <v/>
      </c>
    </row>
    <row r="1223" spans="1:4" x14ac:dyDescent="0.45">
      <c r="A1223">
        <v>203</v>
      </c>
      <c r="B1223" s="3">
        <f t="shared" ca="1" si="19"/>
        <v>156</v>
      </c>
      <c r="C1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3" t="str">
        <f ca="1">IF(dict_zuord_Meth_Transfers[[#This Row],[kval_active]],dict_zuord_Meth_Transfers[[#This Row],[ID_Transfers]],"")</f>
        <v/>
      </c>
    </row>
    <row r="1224" spans="1:4" x14ac:dyDescent="0.45">
      <c r="A1224">
        <v>203</v>
      </c>
      <c r="B1224" s="3">
        <f t="shared" ca="1" si="19"/>
        <v>110</v>
      </c>
      <c r="C1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4" t="str">
        <f ca="1">IF(dict_zuord_Meth_Transfers[[#This Row],[kval_active]],dict_zuord_Meth_Transfers[[#This Row],[ID_Transfers]],"")</f>
        <v/>
      </c>
    </row>
    <row r="1225" spans="1:4" x14ac:dyDescent="0.45">
      <c r="A1225">
        <v>203</v>
      </c>
      <c r="B1225">
        <f t="shared" ca="1" si="19"/>
        <v>87</v>
      </c>
      <c r="C1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5" t="str">
        <f ca="1">IF(dict_zuord_Meth_Transfers[[#This Row],[kval_active]],dict_zuord_Meth_Transfers[[#This Row],[ID_Transfers]],"")</f>
        <v/>
      </c>
    </row>
    <row r="1226" spans="1:4" x14ac:dyDescent="0.45">
      <c r="A1226">
        <v>204</v>
      </c>
      <c r="B1226" s="3">
        <f t="shared" ca="1" si="19"/>
        <v>151</v>
      </c>
      <c r="C1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6" t="str">
        <f ca="1">IF(dict_zuord_Meth_Transfers[[#This Row],[kval_active]],dict_zuord_Meth_Transfers[[#This Row],[ID_Transfers]],"")</f>
        <v/>
      </c>
    </row>
    <row r="1227" spans="1:4" x14ac:dyDescent="0.45">
      <c r="A1227">
        <v>204</v>
      </c>
      <c r="B1227">
        <f t="shared" ca="1" si="19"/>
        <v>154</v>
      </c>
      <c r="C1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7" t="str">
        <f ca="1">IF(dict_zuord_Meth_Transfers[[#This Row],[kval_active]],dict_zuord_Meth_Transfers[[#This Row],[ID_Transfers]],"")</f>
        <v/>
      </c>
    </row>
    <row r="1228" spans="1:4" x14ac:dyDescent="0.45">
      <c r="A1228">
        <v>204</v>
      </c>
      <c r="B1228" s="3">
        <f t="shared" ca="1" si="19"/>
        <v>151</v>
      </c>
      <c r="C1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8" t="str">
        <f ca="1">IF(dict_zuord_Meth_Transfers[[#This Row],[kval_active]],dict_zuord_Meth_Transfers[[#This Row],[ID_Transfers]],"")</f>
        <v/>
      </c>
    </row>
    <row r="1229" spans="1:4" x14ac:dyDescent="0.45">
      <c r="A1229">
        <v>204</v>
      </c>
      <c r="B1229">
        <f t="shared" ca="1" si="19"/>
        <v>35</v>
      </c>
      <c r="C1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29" t="str">
        <f ca="1">IF(dict_zuord_Meth_Transfers[[#This Row],[kval_active]],dict_zuord_Meth_Transfers[[#This Row],[ID_Transfers]],"")</f>
        <v/>
      </c>
    </row>
    <row r="1230" spans="1:4" x14ac:dyDescent="0.45">
      <c r="A1230">
        <v>204</v>
      </c>
      <c r="B1230" s="3">
        <f t="shared" ca="1" si="19"/>
        <v>13</v>
      </c>
      <c r="C1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0" t="str">
        <f ca="1">IF(dict_zuord_Meth_Transfers[[#This Row],[kval_active]],dict_zuord_Meth_Transfers[[#This Row],[ID_Transfers]],"")</f>
        <v/>
      </c>
    </row>
    <row r="1231" spans="1:4" x14ac:dyDescent="0.45">
      <c r="A1231">
        <v>204</v>
      </c>
      <c r="B1231">
        <f t="shared" ca="1" si="19"/>
        <v>177</v>
      </c>
      <c r="C1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1" t="str">
        <f ca="1">IF(dict_zuord_Meth_Transfers[[#This Row],[kval_active]],dict_zuord_Meth_Transfers[[#This Row],[ID_Transfers]],"")</f>
        <v/>
      </c>
    </row>
    <row r="1232" spans="1:4" x14ac:dyDescent="0.45">
      <c r="A1232">
        <v>205</v>
      </c>
      <c r="B1232" s="3">
        <f t="shared" ca="1" si="19"/>
        <v>38</v>
      </c>
      <c r="C1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2" t="str">
        <f ca="1">IF(dict_zuord_Meth_Transfers[[#This Row],[kval_active]],dict_zuord_Meth_Transfers[[#This Row],[ID_Transfers]],"")</f>
        <v/>
      </c>
    </row>
    <row r="1233" spans="1:4" x14ac:dyDescent="0.45">
      <c r="A1233">
        <v>205</v>
      </c>
      <c r="B1233">
        <f t="shared" ca="1" si="19"/>
        <v>61</v>
      </c>
      <c r="C1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3" t="str">
        <f ca="1">IF(dict_zuord_Meth_Transfers[[#This Row],[kval_active]],dict_zuord_Meth_Transfers[[#This Row],[ID_Transfers]],"")</f>
        <v/>
      </c>
    </row>
    <row r="1234" spans="1:4" x14ac:dyDescent="0.45">
      <c r="A1234">
        <v>205</v>
      </c>
      <c r="B1234" s="3">
        <f t="shared" ca="1" si="19"/>
        <v>171</v>
      </c>
      <c r="C1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4" t="str">
        <f ca="1">IF(dict_zuord_Meth_Transfers[[#This Row],[kval_active]],dict_zuord_Meth_Transfers[[#This Row],[ID_Transfers]],"")</f>
        <v/>
      </c>
    </row>
    <row r="1235" spans="1:4" x14ac:dyDescent="0.45">
      <c r="A1235">
        <v>205</v>
      </c>
      <c r="B1235">
        <f t="shared" ca="1" si="19"/>
        <v>119</v>
      </c>
      <c r="C1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5" t="str">
        <f ca="1">IF(dict_zuord_Meth_Transfers[[#This Row],[kval_active]],dict_zuord_Meth_Transfers[[#This Row],[ID_Transfers]],"")</f>
        <v/>
      </c>
    </row>
    <row r="1236" spans="1:4" x14ac:dyDescent="0.45">
      <c r="A1236">
        <v>205</v>
      </c>
      <c r="B1236">
        <f t="shared" ca="1" si="19"/>
        <v>142</v>
      </c>
      <c r="C1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6" t="str">
        <f ca="1">IF(dict_zuord_Meth_Transfers[[#This Row],[kval_active]],dict_zuord_Meth_Transfers[[#This Row],[ID_Transfers]],"")</f>
        <v/>
      </c>
    </row>
    <row r="1237" spans="1:4" x14ac:dyDescent="0.45">
      <c r="A1237">
        <v>205</v>
      </c>
      <c r="B1237" s="3">
        <f t="shared" ca="1" si="19"/>
        <v>5</v>
      </c>
      <c r="C1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7" t="str">
        <f ca="1">IF(dict_zuord_Meth_Transfers[[#This Row],[kval_active]],dict_zuord_Meth_Transfers[[#This Row],[ID_Transfers]],"")</f>
        <v/>
      </c>
    </row>
    <row r="1238" spans="1:4" x14ac:dyDescent="0.45">
      <c r="A1238">
        <v>206</v>
      </c>
      <c r="B1238">
        <f t="shared" ca="1" si="19"/>
        <v>193</v>
      </c>
      <c r="C1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8" t="str">
        <f ca="1">IF(dict_zuord_Meth_Transfers[[#This Row],[kval_active]],dict_zuord_Meth_Transfers[[#This Row],[ID_Transfers]],"")</f>
        <v/>
      </c>
    </row>
    <row r="1239" spans="1:4" x14ac:dyDescent="0.45">
      <c r="A1239">
        <v>206</v>
      </c>
      <c r="B1239">
        <f t="shared" ca="1" si="19"/>
        <v>103</v>
      </c>
      <c r="C1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39" t="str">
        <f ca="1">IF(dict_zuord_Meth_Transfers[[#This Row],[kval_active]],dict_zuord_Meth_Transfers[[#This Row],[ID_Transfers]],"")</f>
        <v/>
      </c>
    </row>
    <row r="1240" spans="1:4" x14ac:dyDescent="0.45">
      <c r="A1240">
        <v>206</v>
      </c>
      <c r="B1240" s="3">
        <f t="shared" ca="1" si="19"/>
        <v>109</v>
      </c>
      <c r="C1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0" t="str">
        <f ca="1">IF(dict_zuord_Meth_Transfers[[#This Row],[kval_active]],dict_zuord_Meth_Transfers[[#This Row],[ID_Transfers]],"")</f>
        <v/>
      </c>
    </row>
    <row r="1241" spans="1:4" x14ac:dyDescent="0.45">
      <c r="A1241">
        <v>206</v>
      </c>
      <c r="B1241" s="3">
        <f t="shared" ca="1" si="19"/>
        <v>114</v>
      </c>
      <c r="C1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1" t="str">
        <f ca="1">IF(dict_zuord_Meth_Transfers[[#This Row],[kval_active]],dict_zuord_Meth_Transfers[[#This Row],[ID_Transfers]],"")</f>
        <v/>
      </c>
    </row>
    <row r="1242" spans="1:4" x14ac:dyDescent="0.45">
      <c r="A1242">
        <v>206</v>
      </c>
      <c r="B1242">
        <f t="shared" ca="1" si="19"/>
        <v>64</v>
      </c>
      <c r="C1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2" t="str">
        <f ca="1">IF(dict_zuord_Meth_Transfers[[#This Row],[kval_active]],dict_zuord_Meth_Transfers[[#This Row],[ID_Transfers]],"")</f>
        <v/>
      </c>
    </row>
    <row r="1243" spans="1:4" x14ac:dyDescent="0.45">
      <c r="A1243">
        <v>206</v>
      </c>
      <c r="B1243" s="3">
        <f t="shared" ca="1" si="19"/>
        <v>105</v>
      </c>
      <c r="C1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3" t="str">
        <f ca="1">IF(dict_zuord_Meth_Transfers[[#This Row],[kval_active]],dict_zuord_Meth_Transfers[[#This Row],[ID_Transfers]],"")</f>
        <v/>
      </c>
    </row>
    <row r="1244" spans="1:4" x14ac:dyDescent="0.45">
      <c r="A1244">
        <v>207</v>
      </c>
      <c r="B1244">
        <f t="shared" ca="1" si="19"/>
        <v>81</v>
      </c>
      <c r="C1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4" t="str">
        <f ca="1">IF(dict_zuord_Meth_Transfers[[#This Row],[kval_active]],dict_zuord_Meth_Transfers[[#This Row],[ID_Transfers]],"")</f>
        <v/>
      </c>
    </row>
    <row r="1245" spans="1:4" x14ac:dyDescent="0.45">
      <c r="A1245">
        <v>207</v>
      </c>
      <c r="B1245">
        <f t="shared" ca="1" si="19"/>
        <v>118</v>
      </c>
      <c r="C1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5" t="str">
        <f ca="1">IF(dict_zuord_Meth_Transfers[[#This Row],[kval_active]],dict_zuord_Meth_Transfers[[#This Row],[ID_Transfers]],"")</f>
        <v/>
      </c>
    </row>
    <row r="1246" spans="1:4" x14ac:dyDescent="0.45">
      <c r="A1246">
        <v>207</v>
      </c>
      <c r="B1246" s="3">
        <f t="shared" ca="1" si="19"/>
        <v>55</v>
      </c>
      <c r="C1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6" t="str">
        <f ca="1">IF(dict_zuord_Meth_Transfers[[#This Row],[kval_active]],dict_zuord_Meth_Transfers[[#This Row],[ID_Transfers]],"")</f>
        <v/>
      </c>
    </row>
    <row r="1247" spans="1:4" x14ac:dyDescent="0.45">
      <c r="A1247">
        <v>207</v>
      </c>
      <c r="B1247" s="3">
        <f t="shared" ca="1" si="19"/>
        <v>196</v>
      </c>
      <c r="C1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7" t="str">
        <f ca="1">IF(dict_zuord_Meth_Transfers[[#This Row],[kval_active]],dict_zuord_Meth_Transfers[[#This Row],[ID_Transfers]],"")</f>
        <v/>
      </c>
    </row>
    <row r="1248" spans="1:4" x14ac:dyDescent="0.45">
      <c r="A1248">
        <v>207</v>
      </c>
      <c r="B1248" s="3">
        <f t="shared" ca="1" si="19"/>
        <v>37</v>
      </c>
      <c r="C1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8" t="str">
        <f ca="1">IF(dict_zuord_Meth_Transfers[[#This Row],[kval_active]],dict_zuord_Meth_Transfers[[#This Row],[ID_Transfers]],"")</f>
        <v/>
      </c>
    </row>
    <row r="1249" spans="1:4" x14ac:dyDescent="0.45">
      <c r="A1249">
        <v>207</v>
      </c>
      <c r="B1249">
        <f t="shared" ca="1" si="19"/>
        <v>96</v>
      </c>
      <c r="C1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49" t="str">
        <f ca="1">IF(dict_zuord_Meth_Transfers[[#This Row],[kval_active]],dict_zuord_Meth_Transfers[[#This Row],[ID_Transfers]],"")</f>
        <v/>
      </c>
    </row>
    <row r="1250" spans="1:4" x14ac:dyDescent="0.45">
      <c r="A1250">
        <v>208</v>
      </c>
      <c r="B1250" s="3">
        <f t="shared" ca="1" si="19"/>
        <v>111</v>
      </c>
      <c r="C1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0" t="str">
        <f ca="1">IF(dict_zuord_Meth_Transfers[[#This Row],[kval_active]],dict_zuord_Meth_Transfers[[#This Row],[ID_Transfers]],"")</f>
        <v/>
      </c>
    </row>
    <row r="1251" spans="1:4" x14ac:dyDescent="0.45">
      <c r="A1251">
        <v>208</v>
      </c>
      <c r="B1251" s="3">
        <f t="shared" ca="1" si="19"/>
        <v>80</v>
      </c>
      <c r="C1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1" t="str">
        <f ca="1">IF(dict_zuord_Meth_Transfers[[#This Row],[kval_active]],dict_zuord_Meth_Transfers[[#This Row],[ID_Transfers]],"")</f>
        <v/>
      </c>
    </row>
    <row r="1252" spans="1:4" x14ac:dyDescent="0.45">
      <c r="A1252">
        <v>208</v>
      </c>
      <c r="B1252">
        <f t="shared" ca="1" si="19"/>
        <v>41</v>
      </c>
      <c r="C1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2" t="str">
        <f ca="1">IF(dict_zuord_Meth_Transfers[[#This Row],[kval_active]],dict_zuord_Meth_Transfers[[#This Row],[ID_Transfers]],"")</f>
        <v/>
      </c>
    </row>
    <row r="1253" spans="1:4" x14ac:dyDescent="0.45">
      <c r="A1253">
        <v>208</v>
      </c>
      <c r="B1253" s="3">
        <f t="shared" ca="1" si="19"/>
        <v>66</v>
      </c>
      <c r="C1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3" t="str">
        <f ca="1">IF(dict_zuord_Meth_Transfers[[#This Row],[kval_active]],dict_zuord_Meth_Transfers[[#This Row],[ID_Transfers]],"")</f>
        <v/>
      </c>
    </row>
    <row r="1254" spans="1:4" x14ac:dyDescent="0.45">
      <c r="A1254">
        <v>208</v>
      </c>
      <c r="B1254">
        <f t="shared" ca="1" si="19"/>
        <v>31</v>
      </c>
      <c r="C1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4" t="str">
        <f ca="1">IF(dict_zuord_Meth_Transfers[[#This Row],[kval_active]],dict_zuord_Meth_Transfers[[#This Row],[ID_Transfers]],"")</f>
        <v/>
      </c>
    </row>
    <row r="1255" spans="1:4" x14ac:dyDescent="0.45">
      <c r="A1255">
        <v>208</v>
      </c>
      <c r="B1255">
        <f t="shared" ca="1" si="19"/>
        <v>145</v>
      </c>
      <c r="C1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5" t="str">
        <f ca="1">IF(dict_zuord_Meth_Transfers[[#This Row],[kval_active]],dict_zuord_Meth_Transfers[[#This Row],[ID_Transfers]],"")</f>
        <v/>
      </c>
    </row>
    <row r="1256" spans="1:4" x14ac:dyDescent="0.45">
      <c r="A1256">
        <v>209</v>
      </c>
      <c r="B1256">
        <f t="shared" ca="1" si="19"/>
        <v>172</v>
      </c>
      <c r="C1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6" t="str">
        <f ca="1">IF(dict_zuord_Meth_Transfers[[#This Row],[kval_active]],dict_zuord_Meth_Transfers[[#This Row],[ID_Transfers]],"")</f>
        <v/>
      </c>
    </row>
    <row r="1257" spans="1:4" x14ac:dyDescent="0.45">
      <c r="A1257">
        <v>209</v>
      </c>
      <c r="B1257">
        <f t="shared" ca="1" si="19"/>
        <v>123</v>
      </c>
      <c r="C1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7" t="str">
        <f ca="1">IF(dict_zuord_Meth_Transfers[[#This Row],[kval_active]],dict_zuord_Meth_Transfers[[#This Row],[ID_Transfers]],"")</f>
        <v/>
      </c>
    </row>
    <row r="1258" spans="1:4" x14ac:dyDescent="0.45">
      <c r="A1258">
        <v>209</v>
      </c>
      <c r="B1258" s="3">
        <f t="shared" ca="1" si="19"/>
        <v>50</v>
      </c>
      <c r="C1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8" t="str">
        <f ca="1">IF(dict_zuord_Meth_Transfers[[#This Row],[kval_active]],dict_zuord_Meth_Transfers[[#This Row],[ID_Transfers]],"")</f>
        <v/>
      </c>
    </row>
    <row r="1259" spans="1:4" x14ac:dyDescent="0.45">
      <c r="A1259">
        <v>209</v>
      </c>
      <c r="B1259" s="3">
        <f t="shared" ca="1" si="19"/>
        <v>180</v>
      </c>
      <c r="C1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59" t="str">
        <f ca="1">IF(dict_zuord_Meth_Transfers[[#This Row],[kval_active]],dict_zuord_Meth_Transfers[[#This Row],[ID_Transfers]],"")</f>
        <v/>
      </c>
    </row>
    <row r="1260" spans="1:4" x14ac:dyDescent="0.45">
      <c r="A1260">
        <v>209</v>
      </c>
      <c r="B1260" s="3">
        <f t="shared" ca="1" si="19"/>
        <v>4</v>
      </c>
      <c r="C1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0" t="str">
        <f ca="1">IF(dict_zuord_Meth_Transfers[[#This Row],[kval_active]],dict_zuord_Meth_Transfers[[#This Row],[ID_Transfers]],"")</f>
        <v/>
      </c>
    </row>
    <row r="1261" spans="1:4" x14ac:dyDescent="0.45">
      <c r="A1261">
        <v>209</v>
      </c>
      <c r="B1261">
        <f t="shared" ca="1" si="19"/>
        <v>174</v>
      </c>
      <c r="C1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1" t="str">
        <f ca="1">IF(dict_zuord_Meth_Transfers[[#This Row],[kval_active]],dict_zuord_Meth_Transfers[[#This Row],[ID_Transfers]],"")</f>
        <v/>
      </c>
    </row>
    <row r="1262" spans="1:4" x14ac:dyDescent="0.45">
      <c r="A1262">
        <v>210</v>
      </c>
      <c r="B1262">
        <f t="shared" ca="1" si="19"/>
        <v>10</v>
      </c>
      <c r="C1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2">
        <f ca="1">IF(dict_zuord_Meth_Transfers[[#This Row],[kval_active]],dict_zuord_Meth_Transfers[[#This Row],[ID_Transfers]],"")</f>
        <v>10</v>
      </c>
    </row>
    <row r="1263" spans="1:4" x14ac:dyDescent="0.45">
      <c r="A1263">
        <v>210</v>
      </c>
      <c r="B1263" s="3">
        <f t="shared" ca="1" si="19"/>
        <v>128</v>
      </c>
      <c r="C1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3">
        <f ca="1">IF(dict_zuord_Meth_Transfers[[#This Row],[kval_active]],dict_zuord_Meth_Transfers[[#This Row],[ID_Transfers]],"")</f>
        <v>128</v>
      </c>
    </row>
    <row r="1264" spans="1:4" x14ac:dyDescent="0.45">
      <c r="A1264">
        <v>210</v>
      </c>
      <c r="B1264" s="3">
        <f t="shared" ca="1" si="19"/>
        <v>84</v>
      </c>
      <c r="C1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4">
        <f ca="1">IF(dict_zuord_Meth_Transfers[[#This Row],[kval_active]],dict_zuord_Meth_Transfers[[#This Row],[ID_Transfers]],"")</f>
        <v>84</v>
      </c>
    </row>
    <row r="1265" spans="1:4" x14ac:dyDescent="0.45">
      <c r="A1265">
        <v>210</v>
      </c>
      <c r="B1265">
        <f t="shared" ca="1" si="19"/>
        <v>52</v>
      </c>
      <c r="C1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5">
        <f ca="1">IF(dict_zuord_Meth_Transfers[[#This Row],[kval_active]],dict_zuord_Meth_Transfers[[#This Row],[ID_Transfers]],"")</f>
        <v>52</v>
      </c>
    </row>
    <row r="1266" spans="1:4" x14ac:dyDescent="0.45">
      <c r="A1266">
        <v>210</v>
      </c>
      <c r="B1266">
        <f t="shared" ca="1" si="19"/>
        <v>179</v>
      </c>
      <c r="C1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6">
        <f ca="1">IF(dict_zuord_Meth_Transfers[[#This Row],[kval_active]],dict_zuord_Meth_Transfers[[#This Row],[ID_Transfers]],"")</f>
        <v>179</v>
      </c>
    </row>
    <row r="1267" spans="1:4" x14ac:dyDescent="0.45">
      <c r="A1267">
        <v>210</v>
      </c>
      <c r="B1267" s="3">
        <f t="shared" ca="1" si="19"/>
        <v>131</v>
      </c>
      <c r="C1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267">
        <f ca="1">IF(dict_zuord_Meth_Transfers[[#This Row],[kval_active]],dict_zuord_Meth_Transfers[[#This Row],[ID_Transfers]],"")</f>
        <v>131</v>
      </c>
    </row>
    <row r="1268" spans="1:4" x14ac:dyDescent="0.45">
      <c r="A1268">
        <v>211</v>
      </c>
      <c r="B1268" s="3">
        <f t="shared" ca="1" si="19"/>
        <v>170</v>
      </c>
      <c r="C1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8" t="str">
        <f ca="1">IF(dict_zuord_Meth_Transfers[[#This Row],[kval_active]],dict_zuord_Meth_Transfers[[#This Row],[ID_Transfers]],"")</f>
        <v/>
      </c>
    </row>
    <row r="1269" spans="1:4" x14ac:dyDescent="0.45">
      <c r="A1269">
        <v>211</v>
      </c>
      <c r="B1269">
        <f t="shared" ca="1" si="19"/>
        <v>52</v>
      </c>
      <c r="C1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69" t="str">
        <f ca="1">IF(dict_zuord_Meth_Transfers[[#This Row],[kval_active]],dict_zuord_Meth_Transfers[[#This Row],[ID_Transfers]],"")</f>
        <v/>
      </c>
    </row>
    <row r="1270" spans="1:4" x14ac:dyDescent="0.45">
      <c r="A1270">
        <v>211</v>
      </c>
      <c r="B1270">
        <f t="shared" ca="1" si="19"/>
        <v>118</v>
      </c>
      <c r="C1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0" t="str">
        <f ca="1">IF(dict_zuord_Meth_Transfers[[#This Row],[kval_active]],dict_zuord_Meth_Transfers[[#This Row],[ID_Transfers]],"")</f>
        <v/>
      </c>
    </row>
    <row r="1271" spans="1:4" x14ac:dyDescent="0.45">
      <c r="A1271">
        <v>211</v>
      </c>
      <c r="B1271" s="3">
        <f t="shared" ca="1" si="19"/>
        <v>74</v>
      </c>
      <c r="C1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1" t="str">
        <f ca="1">IF(dict_zuord_Meth_Transfers[[#This Row],[kval_active]],dict_zuord_Meth_Transfers[[#This Row],[ID_Transfers]],"")</f>
        <v/>
      </c>
    </row>
    <row r="1272" spans="1:4" x14ac:dyDescent="0.45">
      <c r="A1272">
        <v>211</v>
      </c>
      <c r="B1272" s="3">
        <f t="shared" ca="1" si="19"/>
        <v>23</v>
      </c>
      <c r="C1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2" t="str">
        <f ca="1">IF(dict_zuord_Meth_Transfers[[#This Row],[kval_active]],dict_zuord_Meth_Transfers[[#This Row],[ID_Transfers]],"")</f>
        <v/>
      </c>
    </row>
    <row r="1273" spans="1:4" x14ac:dyDescent="0.45">
      <c r="A1273">
        <v>211</v>
      </c>
      <c r="B1273">
        <f t="shared" ca="1" si="19"/>
        <v>196</v>
      </c>
      <c r="C1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3" t="str">
        <f ca="1">IF(dict_zuord_Meth_Transfers[[#This Row],[kval_active]],dict_zuord_Meth_Transfers[[#This Row],[ID_Transfers]],"")</f>
        <v/>
      </c>
    </row>
    <row r="1274" spans="1:4" x14ac:dyDescent="0.45">
      <c r="A1274">
        <v>212</v>
      </c>
      <c r="B1274" s="3">
        <f t="shared" ca="1" si="19"/>
        <v>174</v>
      </c>
      <c r="C1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4" t="str">
        <f ca="1">IF(dict_zuord_Meth_Transfers[[#This Row],[kval_active]],dict_zuord_Meth_Transfers[[#This Row],[ID_Transfers]],"")</f>
        <v/>
      </c>
    </row>
    <row r="1275" spans="1:4" x14ac:dyDescent="0.45">
      <c r="A1275">
        <v>212</v>
      </c>
      <c r="B1275">
        <f t="shared" ca="1" si="19"/>
        <v>187</v>
      </c>
      <c r="C1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5" t="str">
        <f ca="1">IF(dict_zuord_Meth_Transfers[[#This Row],[kval_active]],dict_zuord_Meth_Transfers[[#This Row],[ID_Transfers]],"")</f>
        <v/>
      </c>
    </row>
    <row r="1276" spans="1:4" x14ac:dyDescent="0.45">
      <c r="A1276">
        <v>212</v>
      </c>
      <c r="B1276" s="3">
        <f t="shared" ca="1" si="19"/>
        <v>122</v>
      </c>
      <c r="C1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6" t="str">
        <f ca="1">IF(dict_zuord_Meth_Transfers[[#This Row],[kval_active]],dict_zuord_Meth_Transfers[[#This Row],[ID_Transfers]],"")</f>
        <v/>
      </c>
    </row>
    <row r="1277" spans="1:4" x14ac:dyDescent="0.45">
      <c r="A1277">
        <v>212</v>
      </c>
      <c r="B1277">
        <f t="shared" ca="1" si="19"/>
        <v>70</v>
      </c>
      <c r="C1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7" t="str">
        <f ca="1">IF(dict_zuord_Meth_Transfers[[#This Row],[kval_active]],dict_zuord_Meth_Transfers[[#This Row],[ID_Transfers]],"")</f>
        <v/>
      </c>
    </row>
    <row r="1278" spans="1:4" x14ac:dyDescent="0.45">
      <c r="A1278">
        <v>212</v>
      </c>
      <c r="B1278" s="3">
        <f t="shared" ca="1" si="19"/>
        <v>189</v>
      </c>
      <c r="C1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8" t="str">
        <f ca="1">IF(dict_zuord_Meth_Transfers[[#This Row],[kval_active]],dict_zuord_Meth_Transfers[[#This Row],[ID_Transfers]],"")</f>
        <v/>
      </c>
    </row>
    <row r="1279" spans="1:4" x14ac:dyDescent="0.45">
      <c r="A1279">
        <v>212</v>
      </c>
      <c r="B1279">
        <f t="shared" ca="1" si="19"/>
        <v>15</v>
      </c>
      <c r="C1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79" t="str">
        <f ca="1">IF(dict_zuord_Meth_Transfers[[#This Row],[kval_active]],dict_zuord_Meth_Transfers[[#This Row],[ID_Transfers]],"")</f>
        <v/>
      </c>
    </row>
    <row r="1280" spans="1:4" x14ac:dyDescent="0.45">
      <c r="A1280">
        <v>213</v>
      </c>
      <c r="B1280" s="3">
        <f t="shared" ca="1" si="19"/>
        <v>172</v>
      </c>
      <c r="C1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0" t="str">
        <f ca="1">IF(dict_zuord_Meth_Transfers[[#This Row],[kval_active]],dict_zuord_Meth_Transfers[[#This Row],[ID_Transfers]],"")</f>
        <v/>
      </c>
    </row>
    <row r="1281" spans="1:4" x14ac:dyDescent="0.45">
      <c r="A1281">
        <v>213</v>
      </c>
      <c r="B1281" s="3">
        <f t="shared" ca="1" si="19"/>
        <v>114</v>
      </c>
      <c r="C1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1" t="str">
        <f ca="1">IF(dict_zuord_Meth_Transfers[[#This Row],[kval_active]],dict_zuord_Meth_Transfers[[#This Row],[ID_Transfers]],"")</f>
        <v/>
      </c>
    </row>
    <row r="1282" spans="1:4" x14ac:dyDescent="0.45">
      <c r="A1282">
        <v>213</v>
      </c>
      <c r="B1282" s="3">
        <f t="shared" ref="B1282:B1345" ca="1" si="20">RANDBETWEEN(0,200)</f>
        <v>184</v>
      </c>
      <c r="C1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2" t="str">
        <f ca="1">IF(dict_zuord_Meth_Transfers[[#This Row],[kval_active]],dict_zuord_Meth_Transfers[[#This Row],[ID_Transfers]],"")</f>
        <v/>
      </c>
    </row>
    <row r="1283" spans="1:4" x14ac:dyDescent="0.45">
      <c r="A1283">
        <v>213</v>
      </c>
      <c r="B1283">
        <f t="shared" ca="1" si="20"/>
        <v>133</v>
      </c>
      <c r="C1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3" t="str">
        <f ca="1">IF(dict_zuord_Meth_Transfers[[#This Row],[kval_active]],dict_zuord_Meth_Transfers[[#This Row],[ID_Transfers]],"")</f>
        <v/>
      </c>
    </row>
    <row r="1284" spans="1:4" x14ac:dyDescent="0.45">
      <c r="A1284">
        <v>213</v>
      </c>
      <c r="B1284">
        <f t="shared" ca="1" si="20"/>
        <v>1</v>
      </c>
      <c r="C1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4" t="str">
        <f ca="1">IF(dict_zuord_Meth_Transfers[[#This Row],[kval_active]],dict_zuord_Meth_Transfers[[#This Row],[ID_Transfers]],"")</f>
        <v/>
      </c>
    </row>
    <row r="1285" spans="1:4" x14ac:dyDescent="0.45">
      <c r="A1285">
        <v>213</v>
      </c>
      <c r="B1285">
        <f t="shared" ca="1" si="20"/>
        <v>135</v>
      </c>
      <c r="C1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5" t="str">
        <f ca="1">IF(dict_zuord_Meth_Transfers[[#This Row],[kval_active]],dict_zuord_Meth_Transfers[[#This Row],[ID_Transfers]],"")</f>
        <v/>
      </c>
    </row>
    <row r="1286" spans="1:4" x14ac:dyDescent="0.45">
      <c r="A1286">
        <v>214</v>
      </c>
      <c r="B1286" s="3">
        <f t="shared" ca="1" si="20"/>
        <v>158</v>
      </c>
      <c r="C1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6" t="str">
        <f ca="1">IF(dict_zuord_Meth_Transfers[[#This Row],[kval_active]],dict_zuord_Meth_Transfers[[#This Row],[ID_Transfers]],"")</f>
        <v/>
      </c>
    </row>
    <row r="1287" spans="1:4" x14ac:dyDescent="0.45">
      <c r="A1287">
        <v>214</v>
      </c>
      <c r="B1287">
        <f t="shared" ca="1" si="20"/>
        <v>23</v>
      </c>
      <c r="C1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7" t="str">
        <f ca="1">IF(dict_zuord_Meth_Transfers[[#This Row],[kval_active]],dict_zuord_Meth_Transfers[[#This Row],[ID_Transfers]],"")</f>
        <v/>
      </c>
    </row>
    <row r="1288" spans="1:4" x14ac:dyDescent="0.45">
      <c r="A1288">
        <v>214</v>
      </c>
      <c r="B1288" s="3">
        <f t="shared" ca="1" si="20"/>
        <v>185</v>
      </c>
      <c r="C1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8" t="str">
        <f ca="1">IF(dict_zuord_Meth_Transfers[[#This Row],[kval_active]],dict_zuord_Meth_Transfers[[#This Row],[ID_Transfers]],"")</f>
        <v/>
      </c>
    </row>
    <row r="1289" spans="1:4" x14ac:dyDescent="0.45">
      <c r="A1289">
        <v>214</v>
      </c>
      <c r="B1289">
        <f t="shared" ca="1" si="20"/>
        <v>171</v>
      </c>
      <c r="C1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89" t="str">
        <f ca="1">IF(dict_zuord_Meth_Transfers[[#This Row],[kval_active]],dict_zuord_Meth_Transfers[[#This Row],[ID_Transfers]],"")</f>
        <v/>
      </c>
    </row>
    <row r="1290" spans="1:4" x14ac:dyDescent="0.45">
      <c r="A1290">
        <v>214</v>
      </c>
      <c r="B1290">
        <f t="shared" ca="1" si="20"/>
        <v>73</v>
      </c>
      <c r="C1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0" t="str">
        <f ca="1">IF(dict_zuord_Meth_Transfers[[#This Row],[kval_active]],dict_zuord_Meth_Transfers[[#This Row],[ID_Transfers]],"")</f>
        <v/>
      </c>
    </row>
    <row r="1291" spans="1:4" x14ac:dyDescent="0.45">
      <c r="A1291">
        <v>214</v>
      </c>
      <c r="B1291" s="3">
        <f t="shared" ca="1" si="20"/>
        <v>12</v>
      </c>
      <c r="C1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1" t="str">
        <f ca="1">IF(dict_zuord_Meth_Transfers[[#This Row],[kval_active]],dict_zuord_Meth_Transfers[[#This Row],[ID_Transfers]],"")</f>
        <v/>
      </c>
    </row>
    <row r="1292" spans="1:4" x14ac:dyDescent="0.45">
      <c r="A1292">
        <v>215</v>
      </c>
      <c r="B1292" s="3">
        <f t="shared" ca="1" si="20"/>
        <v>67</v>
      </c>
      <c r="C1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2" t="str">
        <f ca="1">IF(dict_zuord_Meth_Transfers[[#This Row],[kval_active]],dict_zuord_Meth_Transfers[[#This Row],[ID_Transfers]],"")</f>
        <v/>
      </c>
    </row>
    <row r="1293" spans="1:4" x14ac:dyDescent="0.45">
      <c r="A1293">
        <v>215</v>
      </c>
      <c r="B1293">
        <f t="shared" ca="1" si="20"/>
        <v>15</v>
      </c>
      <c r="C1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3" t="str">
        <f ca="1">IF(dict_zuord_Meth_Transfers[[#This Row],[kval_active]],dict_zuord_Meth_Transfers[[#This Row],[ID_Transfers]],"")</f>
        <v/>
      </c>
    </row>
    <row r="1294" spans="1:4" x14ac:dyDescent="0.45">
      <c r="A1294">
        <v>215</v>
      </c>
      <c r="B1294" s="3">
        <f t="shared" ca="1" si="20"/>
        <v>94</v>
      </c>
      <c r="C1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4" t="str">
        <f ca="1">IF(dict_zuord_Meth_Transfers[[#This Row],[kval_active]],dict_zuord_Meth_Transfers[[#This Row],[ID_Transfers]],"")</f>
        <v/>
      </c>
    </row>
    <row r="1295" spans="1:4" x14ac:dyDescent="0.45">
      <c r="A1295">
        <v>215</v>
      </c>
      <c r="B1295">
        <f t="shared" ca="1" si="20"/>
        <v>70</v>
      </c>
      <c r="C1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5" t="str">
        <f ca="1">IF(dict_zuord_Meth_Transfers[[#This Row],[kval_active]],dict_zuord_Meth_Transfers[[#This Row],[ID_Transfers]],"")</f>
        <v/>
      </c>
    </row>
    <row r="1296" spans="1:4" x14ac:dyDescent="0.45">
      <c r="A1296">
        <v>215</v>
      </c>
      <c r="B1296" s="3">
        <f t="shared" ca="1" si="20"/>
        <v>166</v>
      </c>
      <c r="C1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6" t="str">
        <f ca="1">IF(dict_zuord_Meth_Transfers[[#This Row],[kval_active]],dict_zuord_Meth_Transfers[[#This Row],[ID_Transfers]],"")</f>
        <v/>
      </c>
    </row>
    <row r="1297" spans="1:4" x14ac:dyDescent="0.45">
      <c r="A1297">
        <v>215</v>
      </c>
      <c r="B1297">
        <f t="shared" ca="1" si="20"/>
        <v>183</v>
      </c>
      <c r="C1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7" t="str">
        <f ca="1">IF(dict_zuord_Meth_Transfers[[#This Row],[kval_active]],dict_zuord_Meth_Transfers[[#This Row],[ID_Transfers]],"")</f>
        <v/>
      </c>
    </row>
    <row r="1298" spans="1:4" x14ac:dyDescent="0.45">
      <c r="A1298">
        <v>216</v>
      </c>
      <c r="B1298" s="3">
        <f t="shared" ca="1" si="20"/>
        <v>156</v>
      </c>
      <c r="C1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8" t="str">
        <f ca="1">IF(dict_zuord_Meth_Transfers[[#This Row],[kval_active]],dict_zuord_Meth_Transfers[[#This Row],[ID_Transfers]],"")</f>
        <v/>
      </c>
    </row>
    <row r="1299" spans="1:4" x14ac:dyDescent="0.45">
      <c r="A1299">
        <v>216</v>
      </c>
      <c r="B1299" s="3">
        <f t="shared" ca="1" si="20"/>
        <v>13</v>
      </c>
      <c r="C1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299" t="str">
        <f ca="1">IF(dict_zuord_Meth_Transfers[[#This Row],[kval_active]],dict_zuord_Meth_Transfers[[#This Row],[ID_Transfers]],"")</f>
        <v/>
      </c>
    </row>
    <row r="1300" spans="1:4" x14ac:dyDescent="0.45">
      <c r="A1300">
        <v>216</v>
      </c>
      <c r="B1300" s="3">
        <f t="shared" ca="1" si="20"/>
        <v>97</v>
      </c>
      <c r="C1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0" t="str">
        <f ca="1">IF(dict_zuord_Meth_Transfers[[#This Row],[kval_active]],dict_zuord_Meth_Transfers[[#This Row],[ID_Transfers]],"")</f>
        <v/>
      </c>
    </row>
    <row r="1301" spans="1:4" x14ac:dyDescent="0.45">
      <c r="A1301">
        <v>216</v>
      </c>
      <c r="B1301">
        <f t="shared" ca="1" si="20"/>
        <v>45</v>
      </c>
      <c r="C1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1" t="str">
        <f ca="1">IF(dict_zuord_Meth_Transfers[[#This Row],[kval_active]],dict_zuord_Meth_Transfers[[#This Row],[ID_Transfers]],"")</f>
        <v/>
      </c>
    </row>
    <row r="1302" spans="1:4" x14ac:dyDescent="0.45">
      <c r="A1302">
        <v>216</v>
      </c>
      <c r="B1302">
        <f t="shared" ca="1" si="20"/>
        <v>107</v>
      </c>
      <c r="C1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2" t="str">
        <f ca="1">IF(dict_zuord_Meth_Transfers[[#This Row],[kval_active]],dict_zuord_Meth_Transfers[[#This Row],[ID_Transfers]],"")</f>
        <v/>
      </c>
    </row>
    <row r="1303" spans="1:4" x14ac:dyDescent="0.45">
      <c r="A1303">
        <v>216</v>
      </c>
      <c r="B1303">
        <f t="shared" ca="1" si="20"/>
        <v>185</v>
      </c>
      <c r="C1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3" t="str">
        <f ca="1">IF(dict_zuord_Meth_Transfers[[#This Row],[kval_active]],dict_zuord_Meth_Transfers[[#This Row],[ID_Transfers]],"")</f>
        <v/>
      </c>
    </row>
    <row r="1304" spans="1:4" x14ac:dyDescent="0.45">
      <c r="A1304">
        <v>217</v>
      </c>
      <c r="B1304" s="3">
        <f t="shared" ca="1" si="20"/>
        <v>196</v>
      </c>
      <c r="C1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4" t="str">
        <f ca="1">IF(dict_zuord_Meth_Transfers[[#This Row],[kval_active]],dict_zuord_Meth_Transfers[[#This Row],[ID_Transfers]],"")</f>
        <v/>
      </c>
    </row>
    <row r="1305" spans="1:4" x14ac:dyDescent="0.45">
      <c r="A1305">
        <v>217</v>
      </c>
      <c r="B1305" s="3">
        <f t="shared" ca="1" si="20"/>
        <v>183</v>
      </c>
      <c r="C1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5" t="str">
        <f ca="1">IF(dict_zuord_Meth_Transfers[[#This Row],[kval_active]],dict_zuord_Meth_Transfers[[#This Row],[ID_Transfers]],"")</f>
        <v/>
      </c>
    </row>
    <row r="1306" spans="1:4" x14ac:dyDescent="0.45">
      <c r="A1306">
        <v>217</v>
      </c>
      <c r="B1306">
        <f t="shared" ca="1" si="20"/>
        <v>76</v>
      </c>
      <c r="C1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6" t="str">
        <f ca="1">IF(dict_zuord_Meth_Transfers[[#This Row],[kval_active]],dict_zuord_Meth_Transfers[[#This Row],[ID_Transfers]],"")</f>
        <v/>
      </c>
    </row>
    <row r="1307" spans="1:4" x14ac:dyDescent="0.45">
      <c r="A1307">
        <v>217</v>
      </c>
      <c r="B1307" s="3">
        <f t="shared" ca="1" si="20"/>
        <v>94</v>
      </c>
      <c r="C1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7" t="str">
        <f ca="1">IF(dict_zuord_Meth_Transfers[[#This Row],[kval_active]],dict_zuord_Meth_Transfers[[#This Row],[ID_Transfers]],"")</f>
        <v/>
      </c>
    </row>
    <row r="1308" spans="1:4" x14ac:dyDescent="0.45">
      <c r="A1308">
        <v>217</v>
      </c>
      <c r="B1308">
        <f t="shared" ca="1" si="20"/>
        <v>13</v>
      </c>
      <c r="C1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8" t="str">
        <f ca="1">IF(dict_zuord_Meth_Transfers[[#This Row],[kval_active]],dict_zuord_Meth_Transfers[[#This Row],[ID_Transfers]],"")</f>
        <v/>
      </c>
    </row>
    <row r="1309" spans="1:4" x14ac:dyDescent="0.45">
      <c r="A1309">
        <v>217</v>
      </c>
      <c r="B1309">
        <f t="shared" ca="1" si="20"/>
        <v>160</v>
      </c>
      <c r="C1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09" t="str">
        <f ca="1">IF(dict_zuord_Meth_Transfers[[#This Row],[kval_active]],dict_zuord_Meth_Transfers[[#This Row],[ID_Transfers]],"")</f>
        <v/>
      </c>
    </row>
    <row r="1310" spans="1:4" x14ac:dyDescent="0.45">
      <c r="A1310">
        <v>218</v>
      </c>
      <c r="B1310" s="3">
        <f t="shared" ca="1" si="20"/>
        <v>179</v>
      </c>
      <c r="C1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0" t="str">
        <f ca="1">IF(dict_zuord_Meth_Transfers[[#This Row],[kval_active]],dict_zuord_Meth_Transfers[[#This Row],[ID_Transfers]],"")</f>
        <v/>
      </c>
    </row>
    <row r="1311" spans="1:4" x14ac:dyDescent="0.45">
      <c r="A1311">
        <v>218</v>
      </c>
      <c r="B1311" s="3">
        <f t="shared" ca="1" si="20"/>
        <v>164</v>
      </c>
      <c r="C1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1" t="str">
        <f ca="1">IF(dict_zuord_Meth_Transfers[[#This Row],[kval_active]],dict_zuord_Meth_Transfers[[#This Row],[ID_Transfers]],"")</f>
        <v/>
      </c>
    </row>
    <row r="1312" spans="1:4" x14ac:dyDescent="0.45">
      <c r="A1312">
        <v>218</v>
      </c>
      <c r="B1312">
        <f t="shared" ca="1" si="20"/>
        <v>64</v>
      </c>
      <c r="C1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2" t="str">
        <f ca="1">IF(dict_zuord_Meth_Transfers[[#This Row],[kval_active]],dict_zuord_Meth_Transfers[[#This Row],[ID_Transfers]],"")</f>
        <v/>
      </c>
    </row>
    <row r="1313" spans="1:4" x14ac:dyDescent="0.45">
      <c r="A1313">
        <v>218</v>
      </c>
      <c r="B1313">
        <f t="shared" ca="1" si="20"/>
        <v>94</v>
      </c>
      <c r="C1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3" t="str">
        <f ca="1">IF(dict_zuord_Meth_Transfers[[#This Row],[kval_active]],dict_zuord_Meth_Transfers[[#This Row],[ID_Transfers]],"")</f>
        <v/>
      </c>
    </row>
    <row r="1314" spans="1:4" x14ac:dyDescent="0.45">
      <c r="A1314">
        <v>218</v>
      </c>
      <c r="B1314">
        <f t="shared" ca="1" si="20"/>
        <v>35</v>
      </c>
      <c r="C1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4" t="str">
        <f ca="1">IF(dict_zuord_Meth_Transfers[[#This Row],[kval_active]],dict_zuord_Meth_Transfers[[#This Row],[ID_Transfers]],"")</f>
        <v/>
      </c>
    </row>
    <row r="1315" spans="1:4" x14ac:dyDescent="0.45">
      <c r="A1315">
        <v>218</v>
      </c>
      <c r="B1315" s="3">
        <f t="shared" ca="1" si="20"/>
        <v>109</v>
      </c>
      <c r="C1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5" t="str">
        <f ca="1">IF(dict_zuord_Meth_Transfers[[#This Row],[kval_active]],dict_zuord_Meth_Transfers[[#This Row],[ID_Transfers]],"")</f>
        <v/>
      </c>
    </row>
    <row r="1316" spans="1:4" x14ac:dyDescent="0.45">
      <c r="A1316">
        <v>219</v>
      </c>
      <c r="B1316" s="3">
        <f t="shared" ca="1" si="20"/>
        <v>16</v>
      </c>
      <c r="C1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6" t="str">
        <f ca="1">IF(dict_zuord_Meth_Transfers[[#This Row],[kval_active]],dict_zuord_Meth_Transfers[[#This Row],[ID_Transfers]],"")</f>
        <v/>
      </c>
    </row>
    <row r="1317" spans="1:4" x14ac:dyDescent="0.45">
      <c r="A1317">
        <v>219</v>
      </c>
      <c r="B1317">
        <f t="shared" ca="1" si="20"/>
        <v>1</v>
      </c>
      <c r="C1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7" t="str">
        <f ca="1">IF(dict_zuord_Meth_Transfers[[#This Row],[kval_active]],dict_zuord_Meth_Transfers[[#This Row],[ID_Transfers]],"")</f>
        <v/>
      </c>
    </row>
    <row r="1318" spans="1:4" x14ac:dyDescent="0.45">
      <c r="A1318">
        <v>219</v>
      </c>
      <c r="B1318" s="3">
        <f t="shared" ca="1" si="20"/>
        <v>108</v>
      </c>
      <c r="C1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8" t="str">
        <f ca="1">IF(dict_zuord_Meth_Transfers[[#This Row],[kval_active]],dict_zuord_Meth_Transfers[[#This Row],[ID_Transfers]],"")</f>
        <v/>
      </c>
    </row>
    <row r="1319" spans="1:4" x14ac:dyDescent="0.45">
      <c r="A1319">
        <v>219</v>
      </c>
      <c r="B1319" s="3">
        <f t="shared" ca="1" si="20"/>
        <v>106</v>
      </c>
      <c r="C1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19" t="str">
        <f ca="1">IF(dict_zuord_Meth_Transfers[[#This Row],[kval_active]],dict_zuord_Meth_Transfers[[#This Row],[ID_Transfers]],"")</f>
        <v/>
      </c>
    </row>
    <row r="1320" spans="1:4" x14ac:dyDescent="0.45">
      <c r="A1320">
        <v>219</v>
      </c>
      <c r="B1320">
        <f t="shared" ca="1" si="20"/>
        <v>152</v>
      </c>
      <c r="C1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0" t="str">
        <f ca="1">IF(dict_zuord_Meth_Transfers[[#This Row],[kval_active]],dict_zuord_Meth_Transfers[[#This Row],[ID_Transfers]],"")</f>
        <v/>
      </c>
    </row>
    <row r="1321" spans="1:4" x14ac:dyDescent="0.45">
      <c r="A1321">
        <v>219</v>
      </c>
      <c r="B1321">
        <f t="shared" ca="1" si="20"/>
        <v>12</v>
      </c>
      <c r="C1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1" t="str">
        <f ca="1">IF(dict_zuord_Meth_Transfers[[#This Row],[kval_active]],dict_zuord_Meth_Transfers[[#This Row],[ID_Transfers]],"")</f>
        <v/>
      </c>
    </row>
    <row r="1322" spans="1:4" x14ac:dyDescent="0.45">
      <c r="A1322">
        <v>220</v>
      </c>
      <c r="B1322" s="3">
        <f t="shared" ca="1" si="20"/>
        <v>133</v>
      </c>
      <c r="C1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2" t="str">
        <f ca="1">IF(dict_zuord_Meth_Transfers[[#This Row],[kval_active]],dict_zuord_Meth_Transfers[[#This Row],[ID_Transfers]],"")</f>
        <v/>
      </c>
    </row>
    <row r="1323" spans="1:4" x14ac:dyDescent="0.45">
      <c r="A1323">
        <v>220</v>
      </c>
      <c r="B1323" s="3">
        <f t="shared" ca="1" si="20"/>
        <v>163</v>
      </c>
      <c r="C1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3" t="str">
        <f ca="1">IF(dict_zuord_Meth_Transfers[[#This Row],[kval_active]],dict_zuord_Meth_Transfers[[#This Row],[ID_Transfers]],"")</f>
        <v/>
      </c>
    </row>
    <row r="1324" spans="1:4" x14ac:dyDescent="0.45">
      <c r="A1324">
        <v>220</v>
      </c>
      <c r="B1324">
        <f t="shared" ca="1" si="20"/>
        <v>23</v>
      </c>
      <c r="C1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4" t="str">
        <f ca="1">IF(dict_zuord_Meth_Transfers[[#This Row],[kval_active]],dict_zuord_Meth_Transfers[[#This Row],[ID_Transfers]],"")</f>
        <v/>
      </c>
    </row>
    <row r="1325" spans="1:4" x14ac:dyDescent="0.45">
      <c r="A1325">
        <v>220</v>
      </c>
      <c r="B1325">
        <f t="shared" ca="1" si="20"/>
        <v>83</v>
      </c>
      <c r="C1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5" t="str">
        <f ca="1">IF(dict_zuord_Meth_Transfers[[#This Row],[kval_active]],dict_zuord_Meth_Transfers[[#This Row],[ID_Transfers]],"")</f>
        <v/>
      </c>
    </row>
    <row r="1326" spans="1:4" x14ac:dyDescent="0.45">
      <c r="A1326">
        <v>220</v>
      </c>
      <c r="B1326">
        <f t="shared" ca="1" si="20"/>
        <v>170</v>
      </c>
      <c r="C1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6" t="str">
        <f ca="1">IF(dict_zuord_Meth_Transfers[[#This Row],[kval_active]],dict_zuord_Meth_Transfers[[#This Row],[ID_Transfers]],"")</f>
        <v/>
      </c>
    </row>
    <row r="1327" spans="1:4" x14ac:dyDescent="0.45">
      <c r="A1327">
        <v>220</v>
      </c>
      <c r="B1327" s="3">
        <f t="shared" ca="1" si="20"/>
        <v>108</v>
      </c>
      <c r="C1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7" t="str">
        <f ca="1">IF(dict_zuord_Meth_Transfers[[#This Row],[kval_active]],dict_zuord_Meth_Transfers[[#This Row],[ID_Transfers]],"")</f>
        <v/>
      </c>
    </row>
    <row r="1328" spans="1:4" x14ac:dyDescent="0.45">
      <c r="A1328">
        <v>221</v>
      </c>
      <c r="B1328" s="3">
        <f t="shared" ca="1" si="20"/>
        <v>147</v>
      </c>
      <c r="C1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8" t="str">
        <f ca="1">IF(dict_zuord_Meth_Transfers[[#This Row],[kval_active]],dict_zuord_Meth_Transfers[[#This Row],[ID_Transfers]],"")</f>
        <v/>
      </c>
    </row>
    <row r="1329" spans="1:4" x14ac:dyDescent="0.45">
      <c r="A1329">
        <v>221</v>
      </c>
      <c r="B1329">
        <f t="shared" ca="1" si="20"/>
        <v>15</v>
      </c>
      <c r="C1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29" t="str">
        <f ca="1">IF(dict_zuord_Meth_Transfers[[#This Row],[kval_active]],dict_zuord_Meth_Transfers[[#This Row],[ID_Transfers]],"")</f>
        <v/>
      </c>
    </row>
    <row r="1330" spans="1:4" x14ac:dyDescent="0.45">
      <c r="A1330">
        <v>221</v>
      </c>
      <c r="B1330">
        <f t="shared" ca="1" si="20"/>
        <v>58</v>
      </c>
      <c r="C1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0" t="str">
        <f ca="1">IF(dict_zuord_Meth_Transfers[[#This Row],[kval_active]],dict_zuord_Meth_Transfers[[#This Row],[ID_Transfers]],"")</f>
        <v/>
      </c>
    </row>
    <row r="1331" spans="1:4" x14ac:dyDescent="0.45">
      <c r="A1331">
        <v>221</v>
      </c>
      <c r="B1331" s="3">
        <f t="shared" ca="1" si="20"/>
        <v>42</v>
      </c>
      <c r="C1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1" t="str">
        <f ca="1">IF(dict_zuord_Meth_Transfers[[#This Row],[kval_active]],dict_zuord_Meth_Transfers[[#This Row],[ID_Transfers]],"")</f>
        <v/>
      </c>
    </row>
    <row r="1332" spans="1:4" x14ac:dyDescent="0.45">
      <c r="A1332">
        <v>221</v>
      </c>
      <c r="B1332" s="3">
        <f t="shared" ca="1" si="20"/>
        <v>82</v>
      </c>
      <c r="C1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2" t="str">
        <f ca="1">IF(dict_zuord_Meth_Transfers[[#This Row],[kval_active]],dict_zuord_Meth_Transfers[[#This Row],[ID_Transfers]],"")</f>
        <v/>
      </c>
    </row>
    <row r="1333" spans="1:4" x14ac:dyDescent="0.45">
      <c r="A1333">
        <v>221</v>
      </c>
      <c r="B1333">
        <f t="shared" ca="1" si="20"/>
        <v>17</v>
      </c>
      <c r="C1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3" t="str">
        <f ca="1">IF(dict_zuord_Meth_Transfers[[#This Row],[kval_active]],dict_zuord_Meth_Transfers[[#This Row],[ID_Transfers]],"")</f>
        <v/>
      </c>
    </row>
    <row r="1334" spans="1:4" x14ac:dyDescent="0.45">
      <c r="A1334">
        <v>222</v>
      </c>
      <c r="B1334">
        <f t="shared" ca="1" si="20"/>
        <v>105</v>
      </c>
      <c r="C1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4" t="str">
        <f ca="1">IF(dict_zuord_Meth_Transfers[[#This Row],[kval_active]],dict_zuord_Meth_Transfers[[#This Row],[ID_Transfers]],"")</f>
        <v/>
      </c>
    </row>
    <row r="1335" spans="1:4" x14ac:dyDescent="0.45">
      <c r="A1335">
        <v>222</v>
      </c>
      <c r="B1335">
        <f t="shared" ca="1" si="20"/>
        <v>180</v>
      </c>
      <c r="C1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5" t="str">
        <f ca="1">IF(dict_zuord_Meth_Transfers[[#This Row],[kval_active]],dict_zuord_Meth_Transfers[[#This Row],[ID_Transfers]],"")</f>
        <v/>
      </c>
    </row>
    <row r="1336" spans="1:4" x14ac:dyDescent="0.45">
      <c r="A1336">
        <v>222</v>
      </c>
      <c r="B1336" s="3">
        <f t="shared" ca="1" si="20"/>
        <v>20</v>
      </c>
      <c r="C1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6" t="str">
        <f ca="1">IF(dict_zuord_Meth_Transfers[[#This Row],[kval_active]],dict_zuord_Meth_Transfers[[#This Row],[ID_Transfers]],"")</f>
        <v/>
      </c>
    </row>
    <row r="1337" spans="1:4" x14ac:dyDescent="0.45">
      <c r="A1337">
        <v>222</v>
      </c>
      <c r="B1337" s="3">
        <f t="shared" ca="1" si="20"/>
        <v>45</v>
      </c>
      <c r="C1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7" t="str">
        <f ca="1">IF(dict_zuord_Meth_Transfers[[#This Row],[kval_active]],dict_zuord_Meth_Transfers[[#This Row],[ID_Transfers]],"")</f>
        <v/>
      </c>
    </row>
    <row r="1338" spans="1:4" x14ac:dyDescent="0.45">
      <c r="A1338">
        <v>222</v>
      </c>
      <c r="B1338" s="3">
        <f t="shared" ca="1" si="20"/>
        <v>145</v>
      </c>
      <c r="C1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8" t="str">
        <f ca="1">IF(dict_zuord_Meth_Transfers[[#This Row],[kval_active]],dict_zuord_Meth_Transfers[[#This Row],[ID_Transfers]],"")</f>
        <v/>
      </c>
    </row>
    <row r="1339" spans="1:4" x14ac:dyDescent="0.45">
      <c r="A1339">
        <v>222</v>
      </c>
      <c r="B1339">
        <f t="shared" ca="1" si="20"/>
        <v>97</v>
      </c>
      <c r="C1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39" t="str">
        <f ca="1">IF(dict_zuord_Meth_Transfers[[#This Row],[kval_active]],dict_zuord_Meth_Transfers[[#This Row],[ID_Transfers]],"")</f>
        <v/>
      </c>
    </row>
    <row r="1340" spans="1:4" x14ac:dyDescent="0.45">
      <c r="A1340">
        <v>223</v>
      </c>
      <c r="B1340" s="3">
        <f t="shared" ca="1" si="20"/>
        <v>129</v>
      </c>
      <c r="C1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0" t="str">
        <f ca="1">IF(dict_zuord_Meth_Transfers[[#This Row],[kval_active]],dict_zuord_Meth_Transfers[[#This Row],[ID_Transfers]],"")</f>
        <v/>
      </c>
    </row>
    <row r="1341" spans="1:4" x14ac:dyDescent="0.45">
      <c r="A1341">
        <v>223</v>
      </c>
      <c r="B1341">
        <f t="shared" ca="1" si="20"/>
        <v>174</v>
      </c>
      <c r="C1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1" t="str">
        <f ca="1">IF(dict_zuord_Meth_Transfers[[#This Row],[kval_active]],dict_zuord_Meth_Transfers[[#This Row],[ID_Transfers]],"")</f>
        <v/>
      </c>
    </row>
    <row r="1342" spans="1:4" x14ac:dyDescent="0.45">
      <c r="A1342">
        <v>223</v>
      </c>
      <c r="B1342" s="3">
        <f t="shared" ca="1" si="20"/>
        <v>199</v>
      </c>
      <c r="C1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2" t="str">
        <f ca="1">IF(dict_zuord_Meth_Transfers[[#This Row],[kval_active]],dict_zuord_Meth_Transfers[[#This Row],[ID_Transfers]],"")</f>
        <v/>
      </c>
    </row>
    <row r="1343" spans="1:4" x14ac:dyDescent="0.45">
      <c r="A1343">
        <v>223</v>
      </c>
      <c r="B1343" s="3">
        <f t="shared" ca="1" si="20"/>
        <v>102</v>
      </c>
      <c r="C1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3" t="str">
        <f ca="1">IF(dict_zuord_Meth_Transfers[[#This Row],[kval_active]],dict_zuord_Meth_Transfers[[#This Row],[ID_Transfers]],"")</f>
        <v/>
      </c>
    </row>
    <row r="1344" spans="1:4" x14ac:dyDescent="0.45">
      <c r="A1344">
        <v>223</v>
      </c>
      <c r="B1344">
        <f t="shared" ca="1" si="20"/>
        <v>76</v>
      </c>
      <c r="C1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4" t="str">
        <f ca="1">IF(dict_zuord_Meth_Transfers[[#This Row],[kval_active]],dict_zuord_Meth_Transfers[[#This Row],[ID_Transfers]],"")</f>
        <v/>
      </c>
    </row>
    <row r="1345" spans="1:4" x14ac:dyDescent="0.45">
      <c r="A1345">
        <v>223</v>
      </c>
      <c r="B1345">
        <f t="shared" ca="1" si="20"/>
        <v>40</v>
      </c>
      <c r="C1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5" t="str">
        <f ca="1">IF(dict_zuord_Meth_Transfers[[#This Row],[kval_active]],dict_zuord_Meth_Transfers[[#This Row],[ID_Transfers]],"")</f>
        <v/>
      </c>
    </row>
    <row r="1346" spans="1:4" x14ac:dyDescent="0.45">
      <c r="A1346">
        <v>224</v>
      </c>
      <c r="B1346" s="3">
        <f t="shared" ref="B1346:B1409" ca="1" si="21">RANDBETWEEN(0,200)</f>
        <v>16</v>
      </c>
      <c r="C1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6" t="str">
        <f ca="1">IF(dict_zuord_Meth_Transfers[[#This Row],[kval_active]],dict_zuord_Meth_Transfers[[#This Row],[ID_Transfers]],"")</f>
        <v/>
      </c>
    </row>
    <row r="1347" spans="1:4" x14ac:dyDescent="0.45">
      <c r="A1347">
        <v>224</v>
      </c>
      <c r="B1347" s="3">
        <f t="shared" ca="1" si="21"/>
        <v>76</v>
      </c>
      <c r="C1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7" t="str">
        <f ca="1">IF(dict_zuord_Meth_Transfers[[#This Row],[kval_active]],dict_zuord_Meth_Transfers[[#This Row],[ID_Transfers]],"")</f>
        <v/>
      </c>
    </row>
    <row r="1348" spans="1:4" x14ac:dyDescent="0.45">
      <c r="A1348">
        <v>224</v>
      </c>
      <c r="B1348">
        <f t="shared" ca="1" si="21"/>
        <v>174</v>
      </c>
      <c r="C1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8" t="str">
        <f ca="1">IF(dict_zuord_Meth_Transfers[[#This Row],[kval_active]],dict_zuord_Meth_Transfers[[#This Row],[ID_Transfers]],"")</f>
        <v/>
      </c>
    </row>
    <row r="1349" spans="1:4" x14ac:dyDescent="0.45">
      <c r="A1349">
        <v>224</v>
      </c>
      <c r="B1349">
        <f t="shared" ca="1" si="21"/>
        <v>173</v>
      </c>
      <c r="C1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49" t="str">
        <f ca="1">IF(dict_zuord_Meth_Transfers[[#This Row],[kval_active]],dict_zuord_Meth_Transfers[[#This Row],[ID_Transfers]],"")</f>
        <v/>
      </c>
    </row>
    <row r="1350" spans="1:4" x14ac:dyDescent="0.45">
      <c r="A1350">
        <v>224</v>
      </c>
      <c r="B1350">
        <f t="shared" ca="1" si="21"/>
        <v>37</v>
      </c>
      <c r="C1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0" t="str">
        <f ca="1">IF(dict_zuord_Meth_Transfers[[#This Row],[kval_active]],dict_zuord_Meth_Transfers[[#This Row],[ID_Transfers]],"")</f>
        <v/>
      </c>
    </row>
    <row r="1351" spans="1:4" x14ac:dyDescent="0.45">
      <c r="A1351">
        <v>224</v>
      </c>
      <c r="B1351" s="3">
        <f t="shared" ca="1" si="21"/>
        <v>170</v>
      </c>
      <c r="C1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1" t="str">
        <f ca="1">IF(dict_zuord_Meth_Transfers[[#This Row],[kval_active]],dict_zuord_Meth_Transfers[[#This Row],[ID_Transfers]],"")</f>
        <v/>
      </c>
    </row>
    <row r="1352" spans="1:4" x14ac:dyDescent="0.45">
      <c r="A1352">
        <v>225</v>
      </c>
      <c r="B1352">
        <f t="shared" ca="1" si="21"/>
        <v>3</v>
      </c>
      <c r="C1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2" t="str">
        <f ca="1">IF(dict_zuord_Meth_Transfers[[#This Row],[kval_active]],dict_zuord_Meth_Transfers[[#This Row],[ID_Transfers]],"")</f>
        <v/>
      </c>
    </row>
    <row r="1353" spans="1:4" x14ac:dyDescent="0.45">
      <c r="A1353">
        <v>225</v>
      </c>
      <c r="B1353" s="3">
        <f t="shared" ca="1" si="21"/>
        <v>65</v>
      </c>
      <c r="C1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3" t="str">
        <f ca="1">IF(dict_zuord_Meth_Transfers[[#This Row],[kval_active]],dict_zuord_Meth_Transfers[[#This Row],[ID_Transfers]],"")</f>
        <v/>
      </c>
    </row>
    <row r="1354" spans="1:4" x14ac:dyDescent="0.45">
      <c r="A1354">
        <v>225</v>
      </c>
      <c r="B1354">
        <f t="shared" ca="1" si="21"/>
        <v>129</v>
      </c>
      <c r="C1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4" t="str">
        <f ca="1">IF(dict_zuord_Meth_Transfers[[#This Row],[kval_active]],dict_zuord_Meth_Transfers[[#This Row],[ID_Transfers]],"")</f>
        <v/>
      </c>
    </row>
    <row r="1355" spans="1:4" x14ac:dyDescent="0.45">
      <c r="A1355">
        <v>225</v>
      </c>
      <c r="B1355">
        <f t="shared" ca="1" si="21"/>
        <v>189</v>
      </c>
      <c r="C1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5" t="str">
        <f ca="1">IF(dict_zuord_Meth_Transfers[[#This Row],[kval_active]],dict_zuord_Meth_Transfers[[#This Row],[ID_Transfers]],"")</f>
        <v/>
      </c>
    </row>
    <row r="1356" spans="1:4" x14ac:dyDescent="0.45">
      <c r="A1356">
        <v>225</v>
      </c>
      <c r="B1356" s="3">
        <f t="shared" ca="1" si="21"/>
        <v>56</v>
      </c>
      <c r="C1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6" t="str">
        <f ca="1">IF(dict_zuord_Meth_Transfers[[#This Row],[kval_active]],dict_zuord_Meth_Transfers[[#This Row],[ID_Transfers]],"")</f>
        <v/>
      </c>
    </row>
    <row r="1357" spans="1:4" x14ac:dyDescent="0.45">
      <c r="A1357">
        <v>225</v>
      </c>
      <c r="B1357" s="3">
        <f t="shared" ca="1" si="21"/>
        <v>33</v>
      </c>
      <c r="C1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7" t="str">
        <f ca="1">IF(dict_zuord_Meth_Transfers[[#This Row],[kval_active]],dict_zuord_Meth_Transfers[[#This Row],[ID_Transfers]],"")</f>
        <v/>
      </c>
    </row>
    <row r="1358" spans="1:4" x14ac:dyDescent="0.45">
      <c r="A1358">
        <v>226</v>
      </c>
      <c r="B1358" s="3">
        <f t="shared" ca="1" si="21"/>
        <v>49</v>
      </c>
      <c r="C1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8" t="str">
        <f ca="1">IF(dict_zuord_Meth_Transfers[[#This Row],[kval_active]],dict_zuord_Meth_Transfers[[#This Row],[ID_Transfers]],"")</f>
        <v/>
      </c>
    </row>
    <row r="1359" spans="1:4" x14ac:dyDescent="0.45">
      <c r="A1359">
        <v>226</v>
      </c>
      <c r="B1359" s="3">
        <f t="shared" ca="1" si="21"/>
        <v>133</v>
      </c>
      <c r="C1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59" t="str">
        <f ca="1">IF(dict_zuord_Meth_Transfers[[#This Row],[kval_active]],dict_zuord_Meth_Transfers[[#This Row],[ID_Transfers]],"")</f>
        <v/>
      </c>
    </row>
    <row r="1360" spans="1:4" x14ac:dyDescent="0.45">
      <c r="A1360">
        <v>226</v>
      </c>
      <c r="B1360" s="3">
        <f t="shared" ca="1" si="21"/>
        <v>79</v>
      </c>
      <c r="C1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0" t="str">
        <f ca="1">IF(dict_zuord_Meth_Transfers[[#This Row],[kval_active]],dict_zuord_Meth_Transfers[[#This Row],[ID_Transfers]],"")</f>
        <v/>
      </c>
    </row>
    <row r="1361" spans="1:4" x14ac:dyDescent="0.45">
      <c r="A1361">
        <v>226</v>
      </c>
      <c r="B1361">
        <f t="shared" ca="1" si="21"/>
        <v>91</v>
      </c>
      <c r="C1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1" t="str">
        <f ca="1">IF(dict_zuord_Meth_Transfers[[#This Row],[kval_active]],dict_zuord_Meth_Transfers[[#This Row],[ID_Transfers]],"")</f>
        <v/>
      </c>
    </row>
    <row r="1362" spans="1:4" x14ac:dyDescent="0.45">
      <c r="A1362">
        <v>226</v>
      </c>
      <c r="B1362">
        <f t="shared" ca="1" si="21"/>
        <v>193</v>
      </c>
      <c r="C1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2" t="str">
        <f ca="1">IF(dict_zuord_Meth_Transfers[[#This Row],[kval_active]],dict_zuord_Meth_Transfers[[#This Row],[ID_Transfers]],"")</f>
        <v/>
      </c>
    </row>
    <row r="1363" spans="1:4" x14ac:dyDescent="0.45">
      <c r="A1363">
        <v>226</v>
      </c>
      <c r="B1363">
        <f t="shared" ca="1" si="21"/>
        <v>51</v>
      </c>
      <c r="C1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3" t="str">
        <f ca="1">IF(dict_zuord_Meth_Transfers[[#This Row],[kval_active]],dict_zuord_Meth_Transfers[[#This Row],[ID_Transfers]],"")</f>
        <v/>
      </c>
    </row>
    <row r="1364" spans="1:4" x14ac:dyDescent="0.45">
      <c r="A1364">
        <v>227</v>
      </c>
      <c r="B1364" s="3">
        <f t="shared" ca="1" si="21"/>
        <v>160</v>
      </c>
      <c r="C1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4" t="str">
        <f ca="1">IF(dict_zuord_Meth_Transfers[[#This Row],[kval_active]],dict_zuord_Meth_Transfers[[#This Row],[ID_Transfers]],"")</f>
        <v/>
      </c>
    </row>
    <row r="1365" spans="1:4" x14ac:dyDescent="0.45">
      <c r="A1365">
        <v>227</v>
      </c>
      <c r="B1365">
        <f t="shared" ca="1" si="21"/>
        <v>111</v>
      </c>
      <c r="C1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5" t="str">
        <f ca="1">IF(dict_zuord_Meth_Transfers[[#This Row],[kval_active]],dict_zuord_Meth_Transfers[[#This Row],[ID_Transfers]],"")</f>
        <v/>
      </c>
    </row>
    <row r="1366" spans="1:4" x14ac:dyDescent="0.45">
      <c r="A1366">
        <v>227</v>
      </c>
      <c r="B1366" s="3">
        <f t="shared" ca="1" si="21"/>
        <v>88</v>
      </c>
      <c r="C1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6" t="str">
        <f ca="1">IF(dict_zuord_Meth_Transfers[[#This Row],[kval_active]],dict_zuord_Meth_Transfers[[#This Row],[ID_Transfers]],"")</f>
        <v/>
      </c>
    </row>
    <row r="1367" spans="1:4" x14ac:dyDescent="0.45">
      <c r="A1367">
        <v>227</v>
      </c>
      <c r="B1367">
        <f t="shared" ca="1" si="21"/>
        <v>90</v>
      </c>
      <c r="C1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7" t="str">
        <f ca="1">IF(dict_zuord_Meth_Transfers[[#This Row],[kval_active]],dict_zuord_Meth_Transfers[[#This Row],[ID_Transfers]],"")</f>
        <v/>
      </c>
    </row>
    <row r="1368" spans="1:4" x14ac:dyDescent="0.45">
      <c r="A1368">
        <v>227</v>
      </c>
      <c r="B1368">
        <f t="shared" ca="1" si="21"/>
        <v>122</v>
      </c>
      <c r="C1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8" t="str">
        <f ca="1">IF(dict_zuord_Meth_Transfers[[#This Row],[kval_active]],dict_zuord_Meth_Transfers[[#This Row],[ID_Transfers]],"")</f>
        <v/>
      </c>
    </row>
    <row r="1369" spans="1:4" x14ac:dyDescent="0.45">
      <c r="A1369">
        <v>227</v>
      </c>
      <c r="B1369" s="3">
        <f t="shared" ca="1" si="21"/>
        <v>196</v>
      </c>
      <c r="C1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69" t="str">
        <f ca="1">IF(dict_zuord_Meth_Transfers[[#This Row],[kval_active]],dict_zuord_Meth_Transfers[[#This Row],[ID_Transfers]],"")</f>
        <v/>
      </c>
    </row>
    <row r="1370" spans="1:4" x14ac:dyDescent="0.45">
      <c r="A1370">
        <v>228</v>
      </c>
      <c r="B1370">
        <f t="shared" ca="1" si="21"/>
        <v>57</v>
      </c>
      <c r="C1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0" t="str">
        <f ca="1">IF(dict_zuord_Meth_Transfers[[#This Row],[kval_active]],dict_zuord_Meth_Transfers[[#This Row],[ID_Transfers]],"")</f>
        <v/>
      </c>
    </row>
    <row r="1371" spans="1:4" x14ac:dyDescent="0.45">
      <c r="A1371">
        <v>228</v>
      </c>
      <c r="B1371" s="3">
        <f t="shared" ca="1" si="21"/>
        <v>108</v>
      </c>
      <c r="C1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1" t="str">
        <f ca="1">IF(dict_zuord_Meth_Transfers[[#This Row],[kval_active]],dict_zuord_Meth_Transfers[[#This Row],[ID_Transfers]],"")</f>
        <v/>
      </c>
    </row>
    <row r="1372" spans="1:4" x14ac:dyDescent="0.45">
      <c r="A1372">
        <v>228</v>
      </c>
      <c r="B1372" s="3">
        <f t="shared" ca="1" si="21"/>
        <v>110</v>
      </c>
      <c r="C1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2" t="str">
        <f ca="1">IF(dict_zuord_Meth_Transfers[[#This Row],[kval_active]],dict_zuord_Meth_Transfers[[#This Row],[ID_Transfers]],"")</f>
        <v/>
      </c>
    </row>
    <row r="1373" spans="1:4" x14ac:dyDescent="0.45">
      <c r="A1373">
        <v>228</v>
      </c>
      <c r="B1373" s="3">
        <f t="shared" ca="1" si="21"/>
        <v>119</v>
      </c>
      <c r="C1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3" t="str">
        <f ca="1">IF(dict_zuord_Meth_Transfers[[#This Row],[kval_active]],dict_zuord_Meth_Transfers[[#This Row],[ID_Transfers]],"")</f>
        <v/>
      </c>
    </row>
    <row r="1374" spans="1:4" x14ac:dyDescent="0.45">
      <c r="A1374">
        <v>228</v>
      </c>
      <c r="B1374">
        <f t="shared" ca="1" si="21"/>
        <v>24</v>
      </c>
      <c r="C1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4" t="str">
        <f ca="1">IF(dict_zuord_Meth_Transfers[[#This Row],[kval_active]],dict_zuord_Meth_Transfers[[#This Row],[ID_Transfers]],"")</f>
        <v/>
      </c>
    </row>
    <row r="1375" spans="1:4" x14ac:dyDescent="0.45">
      <c r="A1375">
        <v>228</v>
      </c>
      <c r="B1375">
        <f t="shared" ca="1" si="21"/>
        <v>119</v>
      </c>
      <c r="C1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5" t="str">
        <f ca="1">IF(dict_zuord_Meth_Transfers[[#This Row],[kval_active]],dict_zuord_Meth_Transfers[[#This Row],[ID_Transfers]],"")</f>
        <v/>
      </c>
    </row>
    <row r="1376" spans="1:4" x14ac:dyDescent="0.45">
      <c r="A1376">
        <v>229</v>
      </c>
      <c r="B1376">
        <f t="shared" ca="1" si="21"/>
        <v>125</v>
      </c>
      <c r="C1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6" t="str">
        <f ca="1">IF(dict_zuord_Meth_Transfers[[#This Row],[kval_active]],dict_zuord_Meth_Transfers[[#This Row],[ID_Transfers]],"")</f>
        <v/>
      </c>
    </row>
    <row r="1377" spans="1:4" x14ac:dyDescent="0.45">
      <c r="A1377">
        <v>229</v>
      </c>
      <c r="B1377" s="3">
        <f t="shared" ca="1" si="21"/>
        <v>117</v>
      </c>
      <c r="C1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7" t="str">
        <f ca="1">IF(dict_zuord_Meth_Transfers[[#This Row],[kval_active]],dict_zuord_Meth_Transfers[[#This Row],[ID_Transfers]],"")</f>
        <v/>
      </c>
    </row>
    <row r="1378" spans="1:4" x14ac:dyDescent="0.45">
      <c r="A1378">
        <v>229</v>
      </c>
      <c r="B1378" s="3">
        <f t="shared" ca="1" si="21"/>
        <v>133</v>
      </c>
      <c r="C1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8" t="str">
        <f ca="1">IF(dict_zuord_Meth_Transfers[[#This Row],[kval_active]],dict_zuord_Meth_Transfers[[#This Row],[ID_Transfers]],"")</f>
        <v/>
      </c>
    </row>
    <row r="1379" spans="1:4" x14ac:dyDescent="0.45">
      <c r="A1379">
        <v>229</v>
      </c>
      <c r="B1379" s="3">
        <f t="shared" ca="1" si="21"/>
        <v>74</v>
      </c>
      <c r="C1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79" t="str">
        <f ca="1">IF(dict_zuord_Meth_Transfers[[#This Row],[kval_active]],dict_zuord_Meth_Transfers[[#This Row],[ID_Transfers]],"")</f>
        <v/>
      </c>
    </row>
    <row r="1380" spans="1:4" x14ac:dyDescent="0.45">
      <c r="A1380">
        <v>229</v>
      </c>
      <c r="B1380">
        <f t="shared" ca="1" si="21"/>
        <v>137</v>
      </c>
      <c r="C1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0" t="str">
        <f ca="1">IF(dict_zuord_Meth_Transfers[[#This Row],[kval_active]],dict_zuord_Meth_Transfers[[#This Row],[ID_Transfers]],"")</f>
        <v/>
      </c>
    </row>
    <row r="1381" spans="1:4" x14ac:dyDescent="0.45">
      <c r="A1381">
        <v>229</v>
      </c>
      <c r="B1381">
        <f t="shared" ca="1" si="21"/>
        <v>79</v>
      </c>
      <c r="C1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1" t="str">
        <f ca="1">IF(dict_zuord_Meth_Transfers[[#This Row],[kval_active]],dict_zuord_Meth_Transfers[[#This Row],[ID_Transfers]],"")</f>
        <v/>
      </c>
    </row>
    <row r="1382" spans="1:4" x14ac:dyDescent="0.45">
      <c r="A1382">
        <v>230</v>
      </c>
      <c r="B1382" s="3">
        <f t="shared" ca="1" si="21"/>
        <v>6</v>
      </c>
      <c r="C1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2" t="str">
        <f ca="1">IF(dict_zuord_Meth_Transfers[[#This Row],[kval_active]],dict_zuord_Meth_Transfers[[#This Row],[ID_Transfers]],"")</f>
        <v/>
      </c>
    </row>
    <row r="1383" spans="1:4" x14ac:dyDescent="0.45">
      <c r="A1383">
        <v>230</v>
      </c>
      <c r="B1383">
        <f t="shared" ca="1" si="21"/>
        <v>135</v>
      </c>
      <c r="C1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3" t="str">
        <f ca="1">IF(dict_zuord_Meth_Transfers[[#This Row],[kval_active]],dict_zuord_Meth_Transfers[[#This Row],[ID_Transfers]],"")</f>
        <v/>
      </c>
    </row>
    <row r="1384" spans="1:4" x14ac:dyDescent="0.45">
      <c r="A1384">
        <v>230</v>
      </c>
      <c r="B1384" s="3">
        <f t="shared" ca="1" si="21"/>
        <v>122</v>
      </c>
      <c r="C1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4" t="str">
        <f ca="1">IF(dict_zuord_Meth_Transfers[[#This Row],[kval_active]],dict_zuord_Meth_Transfers[[#This Row],[ID_Transfers]],"")</f>
        <v/>
      </c>
    </row>
    <row r="1385" spans="1:4" x14ac:dyDescent="0.45">
      <c r="A1385">
        <v>230</v>
      </c>
      <c r="B1385" s="3">
        <f t="shared" ca="1" si="21"/>
        <v>88</v>
      </c>
      <c r="C1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5" t="str">
        <f ca="1">IF(dict_zuord_Meth_Transfers[[#This Row],[kval_active]],dict_zuord_Meth_Transfers[[#This Row],[ID_Transfers]],"")</f>
        <v/>
      </c>
    </row>
    <row r="1386" spans="1:4" x14ac:dyDescent="0.45">
      <c r="A1386">
        <v>230</v>
      </c>
      <c r="B1386">
        <f t="shared" ca="1" si="21"/>
        <v>64</v>
      </c>
      <c r="C1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6" t="str">
        <f ca="1">IF(dict_zuord_Meth_Transfers[[#This Row],[kval_active]],dict_zuord_Meth_Transfers[[#This Row],[ID_Transfers]],"")</f>
        <v/>
      </c>
    </row>
    <row r="1387" spans="1:4" x14ac:dyDescent="0.45">
      <c r="A1387">
        <v>230</v>
      </c>
      <c r="B1387">
        <f t="shared" ca="1" si="21"/>
        <v>105</v>
      </c>
      <c r="C1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7" t="str">
        <f ca="1">IF(dict_zuord_Meth_Transfers[[#This Row],[kval_active]],dict_zuord_Meth_Transfers[[#This Row],[ID_Transfers]],"")</f>
        <v/>
      </c>
    </row>
    <row r="1388" spans="1:4" x14ac:dyDescent="0.45">
      <c r="A1388">
        <v>231</v>
      </c>
      <c r="B1388">
        <f t="shared" ca="1" si="21"/>
        <v>45</v>
      </c>
      <c r="C1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8" t="str">
        <f ca="1">IF(dict_zuord_Meth_Transfers[[#This Row],[kval_active]],dict_zuord_Meth_Transfers[[#This Row],[ID_Transfers]],"")</f>
        <v/>
      </c>
    </row>
    <row r="1389" spans="1:4" x14ac:dyDescent="0.45">
      <c r="A1389">
        <v>231</v>
      </c>
      <c r="B1389" s="3">
        <f t="shared" ca="1" si="21"/>
        <v>25</v>
      </c>
      <c r="C1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89" t="str">
        <f ca="1">IF(dict_zuord_Meth_Transfers[[#This Row],[kval_active]],dict_zuord_Meth_Transfers[[#This Row],[ID_Transfers]],"")</f>
        <v/>
      </c>
    </row>
    <row r="1390" spans="1:4" x14ac:dyDescent="0.45">
      <c r="A1390">
        <v>231</v>
      </c>
      <c r="B1390">
        <f t="shared" ca="1" si="21"/>
        <v>171</v>
      </c>
      <c r="C1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0" t="str">
        <f ca="1">IF(dict_zuord_Meth_Transfers[[#This Row],[kval_active]],dict_zuord_Meth_Transfers[[#This Row],[ID_Transfers]],"")</f>
        <v/>
      </c>
    </row>
    <row r="1391" spans="1:4" x14ac:dyDescent="0.45">
      <c r="A1391">
        <v>231</v>
      </c>
      <c r="B1391" s="3">
        <f t="shared" ca="1" si="21"/>
        <v>162</v>
      </c>
      <c r="C1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1" t="str">
        <f ca="1">IF(dict_zuord_Meth_Transfers[[#This Row],[kval_active]],dict_zuord_Meth_Transfers[[#This Row],[ID_Transfers]],"")</f>
        <v/>
      </c>
    </row>
    <row r="1392" spans="1:4" x14ac:dyDescent="0.45">
      <c r="A1392">
        <v>231</v>
      </c>
      <c r="B1392">
        <f t="shared" ca="1" si="21"/>
        <v>156</v>
      </c>
      <c r="C1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2" t="str">
        <f ca="1">IF(dict_zuord_Meth_Transfers[[#This Row],[kval_active]],dict_zuord_Meth_Transfers[[#This Row],[ID_Transfers]],"")</f>
        <v/>
      </c>
    </row>
    <row r="1393" spans="1:4" x14ac:dyDescent="0.45">
      <c r="A1393">
        <v>231</v>
      </c>
      <c r="B1393" s="3">
        <f t="shared" ca="1" si="21"/>
        <v>24</v>
      </c>
      <c r="C1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3" t="str">
        <f ca="1">IF(dict_zuord_Meth_Transfers[[#This Row],[kval_active]],dict_zuord_Meth_Transfers[[#This Row],[ID_Transfers]],"")</f>
        <v/>
      </c>
    </row>
    <row r="1394" spans="1:4" x14ac:dyDescent="0.45">
      <c r="A1394">
        <v>232</v>
      </c>
      <c r="B1394" s="3">
        <f t="shared" ca="1" si="21"/>
        <v>105</v>
      </c>
      <c r="C1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4" t="str">
        <f ca="1">IF(dict_zuord_Meth_Transfers[[#This Row],[kval_active]],dict_zuord_Meth_Transfers[[#This Row],[ID_Transfers]],"")</f>
        <v/>
      </c>
    </row>
    <row r="1395" spans="1:4" x14ac:dyDescent="0.45">
      <c r="A1395">
        <v>232</v>
      </c>
      <c r="B1395">
        <f t="shared" ca="1" si="21"/>
        <v>99</v>
      </c>
      <c r="C1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5" t="str">
        <f ca="1">IF(dict_zuord_Meth_Transfers[[#This Row],[kval_active]],dict_zuord_Meth_Transfers[[#This Row],[ID_Transfers]],"")</f>
        <v/>
      </c>
    </row>
    <row r="1396" spans="1:4" x14ac:dyDescent="0.45">
      <c r="A1396">
        <v>232</v>
      </c>
      <c r="B1396">
        <f t="shared" ca="1" si="21"/>
        <v>187</v>
      </c>
      <c r="C1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6" t="str">
        <f ca="1">IF(dict_zuord_Meth_Transfers[[#This Row],[kval_active]],dict_zuord_Meth_Transfers[[#This Row],[ID_Transfers]],"")</f>
        <v/>
      </c>
    </row>
    <row r="1397" spans="1:4" x14ac:dyDescent="0.45">
      <c r="A1397">
        <v>232</v>
      </c>
      <c r="B1397" s="3">
        <f t="shared" ca="1" si="21"/>
        <v>197</v>
      </c>
      <c r="C1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7" t="str">
        <f ca="1">IF(dict_zuord_Meth_Transfers[[#This Row],[kval_active]],dict_zuord_Meth_Transfers[[#This Row],[ID_Transfers]],"")</f>
        <v/>
      </c>
    </row>
    <row r="1398" spans="1:4" x14ac:dyDescent="0.45">
      <c r="A1398">
        <v>232</v>
      </c>
      <c r="B1398" s="3">
        <f t="shared" ca="1" si="21"/>
        <v>113</v>
      </c>
      <c r="C1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8" t="str">
        <f ca="1">IF(dict_zuord_Meth_Transfers[[#This Row],[kval_active]],dict_zuord_Meth_Transfers[[#This Row],[ID_Transfers]],"")</f>
        <v/>
      </c>
    </row>
    <row r="1399" spans="1:4" x14ac:dyDescent="0.45">
      <c r="A1399">
        <v>232</v>
      </c>
      <c r="B1399">
        <f t="shared" ca="1" si="21"/>
        <v>56</v>
      </c>
      <c r="C1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399" t="str">
        <f ca="1">IF(dict_zuord_Meth_Transfers[[#This Row],[kval_active]],dict_zuord_Meth_Transfers[[#This Row],[ID_Transfers]],"")</f>
        <v/>
      </c>
    </row>
    <row r="1400" spans="1:4" x14ac:dyDescent="0.45">
      <c r="A1400">
        <v>233</v>
      </c>
      <c r="B1400">
        <f t="shared" ca="1" si="21"/>
        <v>96</v>
      </c>
      <c r="C1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0" t="str">
        <f ca="1">IF(dict_zuord_Meth_Transfers[[#This Row],[kval_active]],dict_zuord_Meth_Transfers[[#This Row],[ID_Transfers]],"")</f>
        <v/>
      </c>
    </row>
    <row r="1401" spans="1:4" x14ac:dyDescent="0.45">
      <c r="A1401">
        <v>233</v>
      </c>
      <c r="B1401">
        <f t="shared" ca="1" si="21"/>
        <v>139</v>
      </c>
      <c r="C1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1" t="str">
        <f ca="1">IF(dict_zuord_Meth_Transfers[[#This Row],[kval_active]],dict_zuord_Meth_Transfers[[#This Row],[ID_Transfers]],"")</f>
        <v/>
      </c>
    </row>
    <row r="1402" spans="1:4" x14ac:dyDescent="0.45">
      <c r="A1402">
        <v>233</v>
      </c>
      <c r="B1402" s="3">
        <f t="shared" ca="1" si="21"/>
        <v>103</v>
      </c>
      <c r="C1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2" t="str">
        <f ca="1">IF(dict_zuord_Meth_Transfers[[#This Row],[kval_active]],dict_zuord_Meth_Transfers[[#This Row],[ID_Transfers]],"")</f>
        <v/>
      </c>
    </row>
    <row r="1403" spans="1:4" x14ac:dyDescent="0.45">
      <c r="A1403">
        <v>233</v>
      </c>
      <c r="B1403" s="3">
        <f t="shared" ca="1" si="21"/>
        <v>24</v>
      </c>
      <c r="C1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3" t="str">
        <f ca="1">IF(dict_zuord_Meth_Transfers[[#This Row],[kval_active]],dict_zuord_Meth_Transfers[[#This Row],[ID_Transfers]],"")</f>
        <v/>
      </c>
    </row>
    <row r="1404" spans="1:4" x14ac:dyDescent="0.45">
      <c r="A1404">
        <v>233</v>
      </c>
      <c r="B1404">
        <f t="shared" ca="1" si="21"/>
        <v>156</v>
      </c>
      <c r="C1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4" t="str">
        <f ca="1">IF(dict_zuord_Meth_Transfers[[#This Row],[kval_active]],dict_zuord_Meth_Transfers[[#This Row],[ID_Transfers]],"")</f>
        <v/>
      </c>
    </row>
    <row r="1405" spans="1:4" x14ac:dyDescent="0.45">
      <c r="A1405">
        <v>233</v>
      </c>
      <c r="B1405" s="3">
        <f t="shared" ca="1" si="21"/>
        <v>186</v>
      </c>
      <c r="C1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5" t="str">
        <f ca="1">IF(dict_zuord_Meth_Transfers[[#This Row],[kval_active]],dict_zuord_Meth_Transfers[[#This Row],[ID_Transfers]],"")</f>
        <v/>
      </c>
    </row>
    <row r="1406" spans="1:4" x14ac:dyDescent="0.45">
      <c r="A1406">
        <v>234</v>
      </c>
      <c r="B1406" s="3">
        <f t="shared" ca="1" si="21"/>
        <v>124</v>
      </c>
      <c r="C1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6" t="str">
        <f ca="1">IF(dict_zuord_Meth_Transfers[[#This Row],[kval_active]],dict_zuord_Meth_Transfers[[#This Row],[ID_Transfers]],"")</f>
        <v/>
      </c>
    </row>
    <row r="1407" spans="1:4" x14ac:dyDescent="0.45">
      <c r="A1407">
        <v>234</v>
      </c>
      <c r="B1407">
        <f t="shared" ca="1" si="21"/>
        <v>2</v>
      </c>
      <c r="C1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7" t="str">
        <f ca="1">IF(dict_zuord_Meth_Transfers[[#This Row],[kval_active]],dict_zuord_Meth_Transfers[[#This Row],[ID_Transfers]],"")</f>
        <v/>
      </c>
    </row>
    <row r="1408" spans="1:4" x14ac:dyDescent="0.45">
      <c r="A1408">
        <v>234</v>
      </c>
      <c r="B1408">
        <f t="shared" ca="1" si="21"/>
        <v>71</v>
      </c>
      <c r="C1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8" t="str">
        <f ca="1">IF(dict_zuord_Meth_Transfers[[#This Row],[kval_active]],dict_zuord_Meth_Transfers[[#This Row],[ID_Transfers]],"")</f>
        <v/>
      </c>
    </row>
    <row r="1409" spans="1:4" x14ac:dyDescent="0.45">
      <c r="A1409">
        <v>234</v>
      </c>
      <c r="B1409" s="3">
        <f t="shared" ca="1" si="21"/>
        <v>54</v>
      </c>
      <c r="C1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09" t="str">
        <f ca="1">IF(dict_zuord_Meth_Transfers[[#This Row],[kval_active]],dict_zuord_Meth_Transfers[[#This Row],[ID_Transfers]],"")</f>
        <v/>
      </c>
    </row>
    <row r="1410" spans="1:4" x14ac:dyDescent="0.45">
      <c r="A1410">
        <v>234</v>
      </c>
      <c r="B1410" s="3">
        <f t="shared" ref="B1410:B1473" ca="1" si="22">RANDBETWEEN(0,200)</f>
        <v>90</v>
      </c>
      <c r="C1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0" t="str">
        <f ca="1">IF(dict_zuord_Meth_Transfers[[#This Row],[kval_active]],dict_zuord_Meth_Transfers[[#This Row],[ID_Transfers]],"")</f>
        <v/>
      </c>
    </row>
    <row r="1411" spans="1:4" x14ac:dyDescent="0.45">
      <c r="A1411">
        <v>234</v>
      </c>
      <c r="B1411">
        <f t="shared" ca="1" si="22"/>
        <v>46</v>
      </c>
      <c r="C1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1" t="str">
        <f ca="1">IF(dict_zuord_Meth_Transfers[[#This Row],[kval_active]],dict_zuord_Meth_Transfers[[#This Row],[ID_Transfers]],"")</f>
        <v/>
      </c>
    </row>
    <row r="1412" spans="1:4" x14ac:dyDescent="0.45">
      <c r="A1412">
        <v>235</v>
      </c>
      <c r="B1412">
        <f t="shared" ca="1" si="22"/>
        <v>154</v>
      </c>
      <c r="C1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2" t="str">
        <f ca="1">IF(dict_zuord_Meth_Transfers[[#This Row],[kval_active]],dict_zuord_Meth_Transfers[[#This Row],[ID_Transfers]],"")</f>
        <v/>
      </c>
    </row>
    <row r="1413" spans="1:4" x14ac:dyDescent="0.45">
      <c r="A1413">
        <v>235</v>
      </c>
      <c r="B1413">
        <f t="shared" ca="1" si="22"/>
        <v>103</v>
      </c>
      <c r="C1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3" t="str">
        <f ca="1">IF(dict_zuord_Meth_Transfers[[#This Row],[kval_active]],dict_zuord_Meth_Transfers[[#This Row],[ID_Transfers]],"")</f>
        <v/>
      </c>
    </row>
    <row r="1414" spans="1:4" x14ac:dyDescent="0.45">
      <c r="A1414">
        <v>235</v>
      </c>
      <c r="B1414" s="3">
        <f t="shared" ca="1" si="22"/>
        <v>75</v>
      </c>
      <c r="C1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4" t="str">
        <f ca="1">IF(dict_zuord_Meth_Transfers[[#This Row],[kval_active]],dict_zuord_Meth_Transfers[[#This Row],[ID_Transfers]],"")</f>
        <v/>
      </c>
    </row>
    <row r="1415" spans="1:4" x14ac:dyDescent="0.45">
      <c r="A1415">
        <v>235</v>
      </c>
      <c r="B1415" s="3">
        <f t="shared" ca="1" si="22"/>
        <v>179</v>
      </c>
      <c r="C1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5" t="str">
        <f ca="1">IF(dict_zuord_Meth_Transfers[[#This Row],[kval_active]],dict_zuord_Meth_Transfers[[#This Row],[ID_Transfers]],"")</f>
        <v/>
      </c>
    </row>
    <row r="1416" spans="1:4" x14ac:dyDescent="0.45">
      <c r="A1416">
        <v>235</v>
      </c>
      <c r="B1416">
        <f t="shared" ca="1" si="22"/>
        <v>188</v>
      </c>
      <c r="C1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6" t="str">
        <f ca="1">IF(dict_zuord_Meth_Transfers[[#This Row],[kval_active]],dict_zuord_Meth_Transfers[[#This Row],[ID_Transfers]],"")</f>
        <v/>
      </c>
    </row>
    <row r="1417" spans="1:4" x14ac:dyDescent="0.45">
      <c r="A1417">
        <v>235</v>
      </c>
      <c r="B1417" s="3">
        <f t="shared" ca="1" si="22"/>
        <v>83</v>
      </c>
      <c r="C1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7" t="str">
        <f ca="1">IF(dict_zuord_Meth_Transfers[[#This Row],[kval_active]],dict_zuord_Meth_Transfers[[#This Row],[ID_Transfers]],"")</f>
        <v/>
      </c>
    </row>
    <row r="1418" spans="1:4" x14ac:dyDescent="0.45">
      <c r="A1418">
        <v>236</v>
      </c>
      <c r="B1418" s="3">
        <f t="shared" ca="1" si="22"/>
        <v>24</v>
      </c>
      <c r="C1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8" t="str">
        <f ca="1">IF(dict_zuord_Meth_Transfers[[#This Row],[kval_active]],dict_zuord_Meth_Transfers[[#This Row],[ID_Transfers]],"")</f>
        <v/>
      </c>
    </row>
    <row r="1419" spans="1:4" x14ac:dyDescent="0.45">
      <c r="A1419">
        <v>236</v>
      </c>
      <c r="B1419">
        <f t="shared" ca="1" si="22"/>
        <v>20</v>
      </c>
      <c r="C1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19" t="str">
        <f ca="1">IF(dict_zuord_Meth_Transfers[[#This Row],[kval_active]],dict_zuord_Meth_Transfers[[#This Row],[ID_Transfers]],"")</f>
        <v/>
      </c>
    </row>
    <row r="1420" spans="1:4" x14ac:dyDescent="0.45">
      <c r="A1420">
        <v>236</v>
      </c>
      <c r="B1420">
        <f t="shared" ca="1" si="22"/>
        <v>131</v>
      </c>
      <c r="C1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0" t="str">
        <f ca="1">IF(dict_zuord_Meth_Transfers[[#This Row],[kval_active]],dict_zuord_Meth_Transfers[[#This Row],[ID_Transfers]],"")</f>
        <v/>
      </c>
    </row>
    <row r="1421" spans="1:4" x14ac:dyDescent="0.45">
      <c r="A1421">
        <v>236</v>
      </c>
      <c r="B1421">
        <f t="shared" ca="1" si="22"/>
        <v>165</v>
      </c>
      <c r="C1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1" t="str">
        <f ca="1">IF(dict_zuord_Meth_Transfers[[#This Row],[kval_active]],dict_zuord_Meth_Transfers[[#This Row],[ID_Transfers]],"")</f>
        <v/>
      </c>
    </row>
    <row r="1422" spans="1:4" x14ac:dyDescent="0.45">
      <c r="A1422">
        <v>236</v>
      </c>
      <c r="B1422" s="3">
        <f t="shared" ca="1" si="22"/>
        <v>144</v>
      </c>
      <c r="C1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2" t="str">
        <f ca="1">IF(dict_zuord_Meth_Transfers[[#This Row],[kval_active]],dict_zuord_Meth_Transfers[[#This Row],[ID_Transfers]],"")</f>
        <v/>
      </c>
    </row>
    <row r="1423" spans="1:4" x14ac:dyDescent="0.45">
      <c r="A1423">
        <v>236</v>
      </c>
      <c r="B1423" s="3">
        <f t="shared" ca="1" si="22"/>
        <v>158</v>
      </c>
      <c r="C1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3" t="str">
        <f ca="1">IF(dict_zuord_Meth_Transfers[[#This Row],[kval_active]],dict_zuord_Meth_Transfers[[#This Row],[ID_Transfers]],"")</f>
        <v/>
      </c>
    </row>
    <row r="1424" spans="1:4" x14ac:dyDescent="0.45">
      <c r="A1424">
        <v>237</v>
      </c>
      <c r="B1424">
        <f t="shared" ca="1" si="22"/>
        <v>158</v>
      </c>
      <c r="C1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4" t="str">
        <f ca="1">IF(dict_zuord_Meth_Transfers[[#This Row],[kval_active]],dict_zuord_Meth_Transfers[[#This Row],[ID_Transfers]],"")</f>
        <v/>
      </c>
    </row>
    <row r="1425" spans="1:4" x14ac:dyDescent="0.45">
      <c r="A1425">
        <v>237</v>
      </c>
      <c r="B1425">
        <f t="shared" ca="1" si="22"/>
        <v>106</v>
      </c>
      <c r="C1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5" t="str">
        <f ca="1">IF(dict_zuord_Meth_Transfers[[#This Row],[kval_active]],dict_zuord_Meth_Transfers[[#This Row],[ID_Transfers]],"")</f>
        <v/>
      </c>
    </row>
    <row r="1426" spans="1:4" x14ac:dyDescent="0.45">
      <c r="A1426">
        <v>237</v>
      </c>
      <c r="B1426">
        <f t="shared" ca="1" si="22"/>
        <v>5</v>
      </c>
      <c r="C1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6" t="str">
        <f ca="1">IF(dict_zuord_Meth_Transfers[[#This Row],[kval_active]],dict_zuord_Meth_Transfers[[#This Row],[ID_Transfers]],"")</f>
        <v/>
      </c>
    </row>
    <row r="1427" spans="1:4" x14ac:dyDescent="0.45">
      <c r="A1427">
        <v>237</v>
      </c>
      <c r="B1427" s="3">
        <f t="shared" ca="1" si="22"/>
        <v>3</v>
      </c>
      <c r="C1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7" t="str">
        <f ca="1">IF(dict_zuord_Meth_Transfers[[#This Row],[kval_active]],dict_zuord_Meth_Transfers[[#This Row],[ID_Transfers]],"")</f>
        <v/>
      </c>
    </row>
    <row r="1428" spans="1:4" x14ac:dyDescent="0.45">
      <c r="A1428">
        <v>237</v>
      </c>
      <c r="B1428" s="3">
        <f t="shared" ca="1" si="22"/>
        <v>57</v>
      </c>
      <c r="C1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8" t="str">
        <f ca="1">IF(dict_zuord_Meth_Transfers[[#This Row],[kval_active]],dict_zuord_Meth_Transfers[[#This Row],[ID_Transfers]],"")</f>
        <v/>
      </c>
    </row>
    <row r="1429" spans="1:4" x14ac:dyDescent="0.45">
      <c r="A1429">
        <v>237</v>
      </c>
      <c r="B1429" s="3">
        <f t="shared" ca="1" si="22"/>
        <v>121</v>
      </c>
      <c r="C1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29" t="str">
        <f ca="1">IF(dict_zuord_Meth_Transfers[[#This Row],[kval_active]],dict_zuord_Meth_Transfers[[#This Row],[ID_Transfers]],"")</f>
        <v/>
      </c>
    </row>
    <row r="1430" spans="1:4" x14ac:dyDescent="0.45">
      <c r="A1430">
        <v>238</v>
      </c>
      <c r="B1430" s="3">
        <f t="shared" ca="1" si="22"/>
        <v>48</v>
      </c>
      <c r="C1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0" t="str">
        <f ca="1">IF(dict_zuord_Meth_Transfers[[#This Row],[kval_active]],dict_zuord_Meth_Transfers[[#This Row],[ID_Transfers]],"")</f>
        <v/>
      </c>
    </row>
    <row r="1431" spans="1:4" x14ac:dyDescent="0.45">
      <c r="A1431">
        <v>238</v>
      </c>
      <c r="B1431">
        <f t="shared" ca="1" si="22"/>
        <v>24</v>
      </c>
      <c r="C1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1" t="str">
        <f ca="1">IF(dict_zuord_Meth_Transfers[[#This Row],[kval_active]],dict_zuord_Meth_Transfers[[#This Row],[ID_Transfers]],"")</f>
        <v/>
      </c>
    </row>
    <row r="1432" spans="1:4" x14ac:dyDescent="0.45">
      <c r="A1432">
        <v>238</v>
      </c>
      <c r="B1432" s="3">
        <f t="shared" ca="1" si="22"/>
        <v>143</v>
      </c>
      <c r="C1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2" t="str">
        <f ca="1">IF(dict_zuord_Meth_Transfers[[#This Row],[kval_active]],dict_zuord_Meth_Transfers[[#This Row],[ID_Transfers]],"")</f>
        <v/>
      </c>
    </row>
    <row r="1433" spans="1:4" x14ac:dyDescent="0.45">
      <c r="A1433">
        <v>238</v>
      </c>
      <c r="B1433">
        <f t="shared" ca="1" si="22"/>
        <v>92</v>
      </c>
      <c r="C1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3" t="str">
        <f ca="1">IF(dict_zuord_Meth_Transfers[[#This Row],[kval_active]],dict_zuord_Meth_Transfers[[#This Row],[ID_Transfers]],"")</f>
        <v/>
      </c>
    </row>
    <row r="1434" spans="1:4" x14ac:dyDescent="0.45">
      <c r="A1434">
        <v>238</v>
      </c>
      <c r="B1434" s="3">
        <f t="shared" ca="1" si="22"/>
        <v>69</v>
      </c>
      <c r="C1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4" t="str">
        <f ca="1">IF(dict_zuord_Meth_Transfers[[#This Row],[kval_active]],dict_zuord_Meth_Transfers[[#This Row],[ID_Transfers]],"")</f>
        <v/>
      </c>
    </row>
    <row r="1435" spans="1:4" x14ac:dyDescent="0.45">
      <c r="A1435">
        <v>238</v>
      </c>
      <c r="B1435">
        <f t="shared" ca="1" si="22"/>
        <v>48</v>
      </c>
      <c r="C1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5" t="str">
        <f ca="1">IF(dict_zuord_Meth_Transfers[[#This Row],[kval_active]],dict_zuord_Meth_Transfers[[#This Row],[ID_Transfers]],"")</f>
        <v/>
      </c>
    </row>
    <row r="1436" spans="1:4" x14ac:dyDescent="0.45">
      <c r="A1436">
        <v>239</v>
      </c>
      <c r="B1436" s="3">
        <f t="shared" ca="1" si="22"/>
        <v>94</v>
      </c>
      <c r="C1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6" t="str">
        <f ca="1">IF(dict_zuord_Meth_Transfers[[#This Row],[kval_active]],dict_zuord_Meth_Transfers[[#This Row],[ID_Transfers]],"")</f>
        <v/>
      </c>
    </row>
    <row r="1437" spans="1:4" x14ac:dyDescent="0.45">
      <c r="A1437">
        <v>239</v>
      </c>
      <c r="B1437">
        <f t="shared" ca="1" si="22"/>
        <v>140</v>
      </c>
      <c r="C1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7" t="str">
        <f ca="1">IF(dict_zuord_Meth_Transfers[[#This Row],[kval_active]],dict_zuord_Meth_Transfers[[#This Row],[ID_Transfers]],"")</f>
        <v/>
      </c>
    </row>
    <row r="1438" spans="1:4" x14ac:dyDescent="0.45">
      <c r="A1438">
        <v>239</v>
      </c>
      <c r="B1438">
        <f t="shared" ca="1" si="22"/>
        <v>29</v>
      </c>
      <c r="C1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8" t="str">
        <f ca="1">IF(dict_zuord_Meth_Transfers[[#This Row],[kval_active]],dict_zuord_Meth_Transfers[[#This Row],[ID_Transfers]],"")</f>
        <v/>
      </c>
    </row>
    <row r="1439" spans="1:4" x14ac:dyDescent="0.45">
      <c r="A1439">
        <v>239</v>
      </c>
      <c r="B1439" s="3">
        <f t="shared" ca="1" si="22"/>
        <v>75</v>
      </c>
      <c r="C1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39" t="str">
        <f ca="1">IF(dict_zuord_Meth_Transfers[[#This Row],[kval_active]],dict_zuord_Meth_Transfers[[#This Row],[ID_Transfers]],"")</f>
        <v/>
      </c>
    </row>
    <row r="1440" spans="1:4" x14ac:dyDescent="0.45">
      <c r="A1440">
        <v>239</v>
      </c>
      <c r="B1440">
        <f t="shared" ca="1" si="22"/>
        <v>169</v>
      </c>
      <c r="C1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0" t="str">
        <f ca="1">IF(dict_zuord_Meth_Transfers[[#This Row],[kval_active]],dict_zuord_Meth_Transfers[[#This Row],[ID_Transfers]],"")</f>
        <v/>
      </c>
    </row>
    <row r="1441" spans="1:4" x14ac:dyDescent="0.45">
      <c r="A1441">
        <v>239</v>
      </c>
      <c r="B1441" s="3">
        <f t="shared" ca="1" si="22"/>
        <v>147</v>
      </c>
      <c r="C1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1" t="str">
        <f ca="1">IF(dict_zuord_Meth_Transfers[[#This Row],[kval_active]],dict_zuord_Meth_Transfers[[#This Row],[ID_Transfers]],"")</f>
        <v/>
      </c>
    </row>
    <row r="1442" spans="1:4" x14ac:dyDescent="0.45">
      <c r="A1442">
        <v>240</v>
      </c>
      <c r="B1442" s="3">
        <f t="shared" ca="1" si="22"/>
        <v>188</v>
      </c>
      <c r="C1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2" t="str">
        <f ca="1">IF(dict_zuord_Meth_Transfers[[#This Row],[kval_active]],dict_zuord_Meth_Transfers[[#This Row],[ID_Transfers]],"")</f>
        <v/>
      </c>
    </row>
    <row r="1443" spans="1:4" x14ac:dyDescent="0.45">
      <c r="A1443">
        <v>240</v>
      </c>
      <c r="B1443" s="3">
        <f t="shared" ca="1" si="22"/>
        <v>82</v>
      </c>
      <c r="C1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3" t="str">
        <f ca="1">IF(dict_zuord_Meth_Transfers[[#This Row],[kval_active]],dict_zuord_Meth_Transfers[[#This Row],[ID_Transfers]],"")</f>
        <v/>
      </c>
    </row>
    <row r="1444" spans="1:4" x14ac:dyDescent="0.45">
      <c r="A1444">
        <v>240</v>
      </c>
      <c r="B1444">
        <f t="shared" ca="1" si="22"/>
        <v>91</v>
      </c>
      <c r="C1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4" t="str">
        <f ca="1">IF(dict_zuord_Meth_Transfers[[#This Row],[kval_active]],dict_zuord_Meth_Transfers[[#This Row],[ID_Transfers]],"")</f>
        <v/>
      </c>
    </row>
    <row r="1445" spans="1:4" x14ac:dyDescent="0.45">
      <c r="A1445">
        <v>240</v>
      </c>
      <c r="B1445">
        <f t="shared" ca="1" si="22"/>
        <v>69</v>
      </c>
      <c r="C1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5" t="str">
        <f ca="1">IF(dict_zuord_Meth_Transfers[[#This Row],[kval_active]],dict_zuord_Meth_Transfers[[#This Row],[ID_Transfers]],"")</f>
        <v/>
      </c>
    </row>
    <row r="1446" spans="1:4" x14ac:dyDescent="0.45">
      <c r="A1446">
        <v>240</v>
      </c>
      <c r="B1446" s="3">
        <f t="shared" ca="1" si="22"/>
        <v>173</v>
      </c>
      <c r="C1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6" t="str">
        <f ca="1">IF(dict_zuord_Meth_Transfers[[#This Row],[kval_active]],dict_zuord_Meth_Transfers[[#This Row],[ID_Transfers]],"")</f>
        <v/>
      </c>
    </row>
    <row r="1447" spans="1:4" x14ac:dyDescent="0.45">
      <c r="A1447">
        <v>240</v>
      </c>
      <c r="B1447">
        <f t="shared" ca="1" si="22"/>
        <v>66</v>
      </c>
      <c r="C1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7" t="str">
        <f ca="1">IF(dict_zuord_Meth_Transfers[[#This Row],[kval_active]],dict_zuord_Meth_Transfers[[#This Row],[ID_Transfers]],"")</f>
        <v/>
      </c>
    </row>
    <row r="1448" spans="1:4" x14ac:dyDescent="0.45">
      <c r="A1448">
        <v>241</v>
      </c>
      <c r="B1448" s="3">
        <f t="shared" ca="1" si="22"/>
        <v>96</v>
      </c>
      <c r="C1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8" t="str">
        <f ca="1">IF(dict_zuord_Meth_Transfers[[#This Row],[kval_active]],dict_zuord_Meth_Transfers[[#This Row],[ID_Transfers]],"")</f>
        <v/>
      </c>
    </row>
    <row r="1449" spans="1:4" x14ac:dyDescent="0.45">
      <c r="A1449">
        <v>241</v>
      </c>
      <c r="B1449" s="3">
        <f t="shared" ca="1" si="22"/>
        <v>60</v>
      </c>
      <c r="C1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49" t="str">
        <f ca="1">IF(dict_zuord_Meth_Transfers[[#This Row],[kval_active]],dict_zuord_Meth_Transfers[[#This Row],[ID_Transfers]],"")</f>
        <v/>
      </c>
    </row>
    <row r="1450" spans="1:4" x14ac:dyDescent="0.45">
      <c r="A1450">
        <v>241</v>
      </c>
      <c r="B1450" s="3">
        <f t="shared" ca="1" si="22"/>
        <v>85</v>
      </c>
      <c r="C1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0" t="str">
        <f ca="1">IF(dict_zuord_Meth_Transfers[[#This Row],[kval_active]],dict_zuord_Meth_Transfers[[#This Row],[ID_Transfers]],"")</f>
        <v/>
      </c>
    </row>
    <row r="1451" spans="1:4" x14ac:dyDescent="0.45">
      <c r="A1451">
        <v>241</v>
      </c>
      <c r="B1451">
        <f t="shared" ca="1" si="22"/>
        <v>152</v>
      </c>
      <c r="C1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1" t="str">
        <f ca="1">IF(dict_zuord_Meth_Transfers[[#This Row],[kval_active]],dict_zuord_Meth_Transfers[[#This Row],[ID_Transfers]],"")</f>
        <v/>
      </c>
    </row>
    <row r="1452" spans="1:4" x14ac:dyDescent="0.45">
      <c r="A1452">
        <v>241</v>
      </c>
      <c r="B1452">
        <f t="shared" ca="1" si="22"/>
        <v>18</v>
      </c>
      <c r="C1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2" t="str">
        <f ca="1">IF(dict_zuord_Meth_Transfers[[#This Row],[kval_active]],dict_zuord_Meth_Transfers[[#This Row],[ID_Transfers]],"")</f>
        <v/>
      </c>
    </row>
    <row r="1453" spans="1:4" x14ac:dyDescent="0.45">
      <c r="A1453">
        <v>241</v>
      </c>
      <c r="B1453">
        <f t="shared" ca="1" si="22"/>
        <v>45</v>
      </c>
      <c r="C1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3" t="str">
        <f ca="1">IF(dict_zuord_Meth_Transfers[[#This Row],[kval_active]],dict_zuord_Meth_Transfers[[#This Row],[ID_Transfers]],"")</f>
        <v/>
      </c>
    </row>
    <row r="1454" spans="1:4" x14ac:dyDescent="0.45">
      <c r="A1454">
        <v>242</v>
      </c>
      <c r="B1454" s="3">
        <f t="shared" ca="1" si="22"/>
        <v>180</v>
      </c>
      <c r="C1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4" t="str">
        <f ca="1">IF(dict_zuord_Meth_Transfers[[#This Row],[kval_active]],dict_zuord_Meth_Transfers[[#This Row],[ID_Transfers]],"")</f>
        <v/>
      </c>
    </row>
    <row r="1455" spans="1:4" x14ac:dyDescent="0.45">
      <c r="A1455">
        <v>242</v>
      </c>
      <c r="B1455" s="3">
        <f t="shared" ca="1" si="22"/>
        <v>193</v>
      </c>
      <c r="C1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5" t="str">
        <f ca="1">IF(dict_zuord_Meth_Transfers[[#This Row],[kval_active]],dict_zuord_Meth_Transfers[[#This Row],[ID_Transfers]],"")</f>
        <v/>
      </c>
    </row>
    <row r="1456" spans="1:4" x14ac:dyDescent="0.45">
      <c r="A1456">
        <v>242</v>
      </c>
      <c r="B1456">
        <f t="shared" ca="1" si="22"/>
        <v>135</v>
      </c>
      <c r="C1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6" t="str">
        <f ca="1">IF(dict_zuord_Meth_Transfers[[#This Row],[kval_active]],dict_zuord_Meth_Transfers[[#This Row],[ID_Transfers]],"")</f>
        <v/>
      </c>
    </row>
    <row r="1457" spans="1:4" x14ac:dyDescent="0.45">
      <c r="A1457">
        <v>242</v>
      </c>
      <c r="B1457">
        <f t="shared" ca="1" si="22"/>
        <v>136</v>
      </c>
      <c r="C1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7" t="str">
        <f ca="1">IF(dict_zuord_Meth_Transfers[[#This Row],[kval_active]],dict_zuord_Meth_Transfers[[#This Row],[ID_Transfers]],"")</f>
        <v/>
      </c>
    </row>
    <row r="1458" spans="1:4" x14ac:dyDescent="0.45">
      <c r="A1458">
        <v>242</v>
      </c>
      <c r="B1458" s="3">
        <f t="shared" ca="1" si="22"/>
        <v>76</v>
      </c>
      <c r="C1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8" t="str">
        <f ca="1">IF(dict_zuord_Meth_Transfers[[#This Row],[kval_active]],dict_zuord_Meth_Transfers[[#This Row],[ID_Transfers]],"")</f>
        <v/>
      </c>
    </row>
    <row r="1459" spans="1:4" x14ac:dyDescent="0.45">
      <c r="A1459">
        <v>242</v>
      </c>
      <c r="B1459">
        <f t="shared" ca="1" si="22"/>
        <v>144</v>
      </c>
      <c r="C1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59" t="str">
        <f ca="1">IF(dict_zuord_Meth_Transfers[[#This Row],[kval_active]],dict_zuord_Meth_Transfers[[#This Row],[ID_Transfers]],"")</f>
        <v/>
      </c>
    </row>
    <row r="1460" spans="1:4" x14ac:dyDescent="0.45">
      <c r="A1460">
        <v>243</v>
      </c>
      <c r="B1460">
        <f t="shared" ca="1" si="22"/>
        <v>41</v>
      </c>
      <c r="C1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0" t="str">
        <f ca="1">IF(dict_zuord_Meth_Transfers[[#This Row],[kval_active]],dict_zuord_Meth_Transfers[[#This Row],[ID_Transfers]],"")</f>
        <v/>
      </c>
    </row>
    <row r="1461" spans="1:4" x14ac:dyDescent="0.45">
      <c r="A1461">
        <v>243</v>
      </c>
      <c r="B1461">
        <f t="shared" ca="1" si="22"/>
        <v>4</v>
      </c>
      <c r="C1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1" t="str">
        <f ca="1">IF(dict_zuord_Meth_Transfers[[#This Row],[kval_active]],dict_zuord_Meth_Transfers[[#This Row],[ID_Transfers]],"")</f>
        <v/>
      </c>
    </row>
    <row r="1462" spans="1:4" x14ac:dyDescent="0.45">
      <c r="A1462">
        <v>243</v>
      </c>
      <c r="B1462" s="3">
        <f t="shared" ca="1" si="22"/>
        <v>199</v>
      </c>
      <c r="C1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2" t="str">
        <f ca="1">IF(dict_zuord_Meth_Transfers[[#This Row],[kval_active]],dict_zuord_Meth_Transfers[[#This Row],[ID_Transfers]],"")</f>
        <v/>
      </c>
    </row>
    <row r="1463" spans="1:4" x14ac:dyDescent="0.45">
      <c r="A1463">
        <v>243</v>
      </c>
      <c r="B1463">
        <f t="shared" ca="1" si="22"/>
        <v>154</v>
      </c>
      <c r="C1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3" t="str">
        <f ca="1">IF(dict_zuord_Meth_Transfers[[#This Row],[kval_active]],dict_zuord_Meth_Transfers[[#This Row],[ID_Transfers]],"")</f>
        <v/>
      </c>
    </row>
    <row r="1464" spans="1:4" x14ac:dyDescent="0.45">
      <c r="A1464">
        <v>243</v>
      </c>
      <c r="B1464" s="3">
        <f t="shared" ca="1" si="22"/>
        <v>130</v>
      </c>
      <c r="C1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4" t="str">
        <f ca="1">IF(dict_zuord_Meth_Transfers[[#This Row],[kval_active]],dict_zuord_Meth_Transfers[[#This Row],[ID_Transfers]],"")</f>
        <v/>
      </c>
    </row>
    <row r="1465" spans="1:4" x14ac:dyDescent="0.45">
      <c r="A1465">
        <v>243</v>
      </c>
      <c r="B1465" s="3">
        <f t="shared" ca="1" si="22"/>
        <v>122</v>
      </c>
      <c r="C1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5" t="str">
        <f ca="1">IF(dict_zuord_Meth_Transfers[[#This Row],[kval_active]],dict_zuord_Meth_Transfers[[#This Row],[ID_Transfers]],"")</f>
        <v/>
      </c>
    </row>
    <row r="1466" spans="1:4" x14ac:dyDescent="0.45">
      <c r="A1466">
        <v>244</v>
      </c>
      <c r="B1466">
        <f t="shared" ca="1" si="22"/>
        <v>50</v>
      </c>
      <c r="C1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6" t="str">
        <f ca="1">IF(dict_zuord_Meth_Transfers[[#This Row],[kval_active]],dict_zuord_Meth_Transfers[[#This Row],[ID_Transfers]],"")</f>
        <v/>
      </c>
    </row>
    <row r="1467" spans="1:4" x14ac:dyDescent="0.45">
      <c r="A1467">
        <v>244</v>
      </c>
      <c r="B1467">
        <f t="shared" ca="1" si="22"/>
        <v>175</v>
      </c>
      <c r="C1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7" t="str">
        <f ca="1">IF(dict_zuord_Meth_Transfers[[#This Row],[kval_active]],dict_zuord_Meth_Transfers[[#This Row],[ID_Transfers]],"")</f>
        <v/>
      </c>
    </row>
    <row r="1468" spans="1:4" x14ac:dyDescent="0.45">
      <c r="A1468">
        <v>244</v>
      </c>
      <c r="B1468" s="3">
        <f t="shared" ca="1" si="22"/>
        <v>17</v>
      </c>
      <c r="C1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8" t="str">
        <f ca="1">IF(dict_zuord_Meth_Transfers[[#This Row],[kval_active]],dict_zuord_Meth_Transfers[[#This Row],[ID_Transfers]],"")</f>
        <v/>
      </c>
    </row>
    <row r="1469" spans="1:4" x14ac:dyDescent="0.45">
      <c r="A1469">
        <v>244</v>
      </c>
      <c r="B1469" s="3">
        <f t="shared" ca="1" si="22"/>
        <v>36</v>
      </c>
      <c r="C1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69" t="str">
        <f ca="1">IF(dict_zuord_Meth_Transfers[[#This Row],[kval_active]],dict_zuord_Meth_Transfers[[#This Row],[ID_Transfers]],"")</f>
        <v/>
      </c>
    </row>
    <row r="1470" spans="1:4" x14ac:dyDescent="0.45">
      <c r="A1470">
        <v>244</v>
      </c>
      <c r="B1470" s="3">
        <f t="shared" ca="1" si="22"/>
        <v>49</v>
      </c>
      <c r="C1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0" t="str">
        <f ca="1">IF(dict_zuord_Meth_Transfers[[#This Row],[kval_active]],dict_zuord_Meth_Transfers[[#This Row],[ID_Transfers]],"")</f>
        <v/>
      </c>
    </row>
    <row r="1471" spans="1:4" x14ac:dyDescent="0.45">
      <c r="A1471">
        <v>244</v>
      </c>
      <c r="B1471">
        <f t="shared" ca="1" si="22"/>
        <v>163</v>
      </c>
      <c r="C1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1" t="str">
        <f ca="1">IF(dict_zuord_Meth_Transfers[[#This Row],[kval_active]],dict_zuord_Meth_Transfers[[#This Row],[ID_Transfers]],"")</f>
        <v/>
      </c>
    </row>
    <row r="1472" spans="1:4" x14ac:dyDescent="0.45">
      <c r="A1472">
        <v>245</v>
      </c>
      <c r="B1472">
        <f t="shared" ca="1" si="22"/>
        <v>8</v>
      </c>
      <c r="C1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2" t="str">
        <f ca="1">IF(dict_zuord_Meth_Transfers[[#This Row],[kval_active]],dict_zuord_Meth_Transfers[[#This Row],[ID_Transfers]],"")</f>
        <v/>
      </c>
    </row>
    <row r="1473" spans="1:4" x14ac:dyDescent="0.45">
      <c r="A1473">
        <v>245</v>
      </c>
      <c r="B1473" s="3">
        <f t="shared" ca="1" si="22"/>
        <v>77</v>
      </c>
      <c r="C1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3" t="str">
        <f ca="1">IF(dict_zuord_Meth_Transfers[[#This Row],[kval_active]],dict_zuord_Meth_Transfers[[#This Row],[ID_Transfers]],"")</f>
        <v/>
      </c>
    </row>
    <row r="1474" spans="1:4" x14ac:dyDescent="0.45">
      <c r="A1474">
        <v>245</v>
      </c>
      <c r="B1474">
        <f t="shared" ref="B1474:B1537" ca="1" si="23">RANDBETWEEN(0,200)</f>
        <v>56</v>
      </c>
      <c r="C1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4" t="str">
        <f ca="1">IF(dict_zuord_Meth_Transfers[[#This Row],[kval_active]],dict_zuord_Meth_Transfers[[#This Row],[ID_Transfers]],"")</f>
        <v/>
      </c>
    </row>
    <row r="1475" spans="1:4" x14ac:dyDescent="0.45">
      <c r="A1475">
        <v>245</v>
      </c>
      <c r="B1475" s="3">
        <f t="shared" ca="1" si="23"/>
        <v>43</v>
      </c>
      <c r="C1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5" t="str">
        <f ca="1">IF(dict_zuord_Meth_Transfers[[#This Row],[kval_active]],dict_zuord_Meth_Transfers[[#This Row],[ID_Transfers]],"")</f>
        <v/>
      </c>
    </row>
    <row r="1476" spans="1:4" x14ac:dyDescent="0.45">
      <c r="A1476">
        <v>245</v>
      </c>
      <c r="B1476">
        <f t="shared" ca="1" si="23"/>
        <v>173</v>
      </c>
      <c r="C1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6" t="str">
        <f ca="1">IF(dict_zuord_Meth_Transfers[[#This Row],[kval_active]],dict_zuord_Meth_Transfers[[#This Row],[ID_Transfers]],"")</f>
        <v/>
      </c>
    </row>
    <row r="1477" spans="1:4" x14ac:dyDescent="0.45">
      <c r="A1477">
        <v>245</v>
      </c>
      <c r="B1477" s="3">
        <f t="shared" ca="1" si="23"/>
        <v>164</v>
      </c>
      <c r="C1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7" t="str">
        <f ca="1">IF(dict_zuord_Meth_Transfers[[#This Row],[kval_active]],dict_zuord_Meth_Transfers[[#This Row],[ID_Transfers]],"")</f>
        <v/>
      </c>
    </row>
    <row r="1478" spans="1:4" x14ac:dyDescent="0.45">
      <c r="A1478">
        <v>246</v>
      </c>
      <c r="B1478">
        <f t="shared" ca="1" si="23"/>
        <v>200</v>
      </c>
      <c r="C1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8" t="str">
        <f ca="1">IF(dict_zuord_Meth_Transfers[[#This Row],[kval_active]],dict_zuord_Meth_Transfers[[#This Row],[ID_Transfers]],"")</f>
        <v/>
      </c>
    </row>
    <row r="1479" spans="1:4" x14ac:dyDescent="0.45">
      <c r="A1479">
        <v>246</v>
      </c>
      <c r="B1479">
        <f t="shared" ca="1" si="23"/>
        <v>92</v>
      </c>
      <c r="C1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79" t="str">
        <f ca="1">IF(dict_zuord_Meth_Transfers[[#This Row],[kval_active]],dict_zuord_Meth_Transfers[[#This Row],[ID_Transfers]],"")</f>
        <v/>
      </c>
    </row>
    <row r="1480" spans="1:4" x14ac:dyDescent="0.45">
      <c r="A1480">
        <v>246</v>
      </c>
      <c r="B1480">
        <f t="shared" ca="1" si="23"/>
        <v>63</v>
      </c>
      <c r="C1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0" t="str">
        <f ca="1">IF(dict_zuord_Meth_Transfers[[#This Row],[kval_active]],dict_zuord_Meth_Transfers[[#This Row],[ID_Transfers]],"")</f>
        <v/>
      </c>
    </row>
    <row r="1481" spans="1:4" x14ac:dyDescent="0.45">
      <c r="A1481">
        <v>246</v>
      </c>
      <c r="B1481" s="3">
        <f t="shared" ca="1" si="23"/>
        <v>37</v>
      </c>
      <c r="C1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1" t="str">
        <f ca="1">IF(dict_zuord_Meth_Transfers[[#This Row],[kval_active]],dict_zuord_Meth_Transfers[[#This Row],[ID_Transfers]],"")</f>
        <v/>
      </c>
    </row>
    <row r="1482" spans="1:4" x14ac:dyDescent="0.45">
      <c r="A1482">
        <v>246</v>
      </c>
      <c r="B1482" s="3">
        <f t="shared" ca="1" si="23"/>
        <v>100</v>
      </c>
      <c r="C1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2" t="str">
        <f ca="1">IF(dict_zuord_Meth_Transfers[[#This Row],[kval_active]],dict_zuord_Meth_Transfers[[#This Row],[ID_Transfers]],"")</f>
        <v/>
      </c>
    </row>
    <row r="1483" spans="1:4" x14ac:dyDescent="0.45">
      <c r="A1483">
        <v>246</v>
      </c>
      <c r="B1483" s="3">
        <f t="shared" ca="1" si="23"/>
        <v>200</v>
      </c>
      <c r="C1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3" t="str">
        <f ca="1">IF(dict_zuord_Meth_Transfers[[#This Row],[kval_active]],dict_zuord_Meth_Transfers[[#This Row],[ID_Transfers]],"")</f>
        <v/>
      </c>
    </row>
    <row r="1484" spans="1:4" x14ac:dyDescent="0.45">
      <c r="A1484">
        <v>247</v>
      </c>
      <c r="B1484">
        <f t="shared" ca="1" si="23"/>
        <v>16</v>
      </c>
      <c r="C1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4" t="str">
        <f ca="1">IF(dict_zuord_Meth_Transfers[[#This Row],[kval_active]],dict_zuord_Meth_Transfers[[#This Row],[ID_Transfers]],"")</f>
        <v/>
      </c>
    </row>
    <row r="1485" spans="1:4" x14ac:dyDescent="0.45">
      <c r="A1485">
        <v>247</v>
      </c>
      <c r="B1485" s="3">
        <f t="shared" ca="1" si="23"/>
        <v>14</v>
      </c>
      <c r="C1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5" t="str">
        <f ca="1">IF(dict_zuord_Meth_Transfers[[#This Row],[kval_active]],dict_zuord_Meth_Transfers[[#This Row],[ID_Transfers]],"")</f>
        <v/>
      </c>
    </row>
    <row r="1486" spans="1:4" x14ac:dyDescent="0.45">
      <c r="A1486">
        <v>247</v>
      </c>
      <c r="B1486">
        <f t="shared" ca="1" si="23"/>
        <v>6</v>
      </c>
      <c r="C1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6" t="str">
        <f ca="1">IF(dict_zuord_Meth_Transfers[[#This Row],[kval_active]],dict_zuord_Meth_Transfers[[#This Row],[ID_Transfers]],"")</f>
        <v/>
      </c>
    </row>
    <row r="1487" spans="1:4" x14ac:dyDescent="0.45">
      <c r="A1487">
        <v>247</v>
      </c>
      <c r="B1487" s="3">
        <f t="shared" ca="1" si="23"/>
        <v>200</v>
      </c>
      <c r="C1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7" t="str">
        <f ca="1">IF(dict_zuord_Meth_Transfers[[#This Row],[kval_active]],dict_zuord_Meth_Transfers[[#This Row],[ID_Transfers]],"")</f>
        <v/>
      </c>
    </row>
    <row r="1488" spans="1:4" x14ac:dyDescent="0.45">
      <c r="A1488">
        <v>247</v>
      </c>
      <c r="B1488" s="3">
        <f t="shared" ca="1" si="23"/>
        <v>172</v>
      </c>
      <c r="C1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8" t="str">
        <f ca="1">IF(dict_zuord_Meth_Transfers[[#This Row],[kval_active]],dict_zuord_Meth_Transfers[[#This Row],[ID_Transfers]],"")</f>
        <v/>
      </c>
    </row>
    <row r="1489" spans="1:4" x14ac:dyDescent="0.45">
      <c r="A1489">
        <v>247</v>
      </c>
      <c r="B1489">
        <f t="shared" ca="1" si="23"/>
        <v>68</v>
      </c>
      <c r="C1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89" t="str">
        <f ca="1">IF(dict_zuord_Meth_Transfers[[#This Row],[kval_active]],dict_zuord_Meth_Transfers[[#This Row],[ID_Transfers]],"")</f>
        <v/>
      </c>
    </row>
    <row r="1490" spans="1:4" x14ac:dyDescent="0.45">
      <c r="A1490">
        <v>248</v>
      </c>
      <c r="B1490" s="3">
        <f t="shared" ca="1" si="23"/>
        <v>122</v>
      </c>
      <c r="C1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0" t="str">
        <f ca="1">IF(dict_zuord_Meth_Transfers[[#This Row],[kval_active]],dict_zuord_Meth_Transfers[[#This Row],[ID_Transfers]],"")</f>
        <v/>
      </c>
    </row>
    <row r="1491" spans="1:4" x14ac:dyDescent="0.45">
      <c r="A1491">
        <v>248</v>
      </c>
      <c r="B1491">
        <f t="shared" ca="1" si="23"/>
        <v>156</v>
      </c>
      <c r="C1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1" t="str">
        <f ca="1">IF(dict_zuord_Meth_Transfers[[#This Row],[kval_active]],dict_zuord_Meth_Transfers[[#This Row],[ID_Transfers]],"")</f>
        <v/>
      </c>
    </row>
    <row r="1492" spans="1:4" x14ac:dyDescent="0.45">
      <c r="A1492">
        <v>248</v>
      </c>
      <c r="B1492" s="3">
        <f t="shared" ca="1" si="23"/>
        <v>61</v>
      </c>
      <c r="C1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2" t="str">
        <f ca="1">IF(dict_zuord_Meth_Transfers[[#This Row],[kval_active]],dict_zuord_Meth_Transfers[[#This Row],[ID_Transfers]],"")</f>
        <v/>
      </c>
    </row>
    <row r="1493" spans="1:4" x14ac:dyDescent="0.45">
      <c r="A1493">
        <v>248</v>
      </c>
      <c r="B1493">
        <f t="shared" ca="1" si="23"/>
        <v>161</v>
      </c>
      <c r="C1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3" t="str">
        <f ca="1">IF(dict_zuord_Meth_Transfers[[#This Row],[kval_active]],dict_zuord_Meth_Transfers[[#This Row],[ID_Transfers]],"")</f>
        <v/>
      </c>
    </row>
    <row r="1494" spans="1:4" x14ac:dyDescent="0.45">
      <c r="A1494">
        <v>248</v>
      </c>
      <c r="B1494" s="3">
        <f t="shared" ca="1" si="23"/>
        <v>30</v>
      </c>
      <c r="C1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4" t="str">
        <f ca="1">IF(dict_zuord_Meth_Transfers[[#This Row],[kval_active]],dict_zuord_Meth_Transfers[[#This Row],[ID_Transfers]],"")</f>
        <v/>
      </c>
    </row>
    <row r="1495" spans="1:4" x14ac:dyDescent="0.45">
      <c r="A1495">
        <v>248</v>
      </c>
      <c r="B1495">
        <f t="shared" ca="1" si="23"/>
        <v>96</v>
      </c>
      <c r="C1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5" t="str">
        <f ca="1">IF(dict_zuord_Meth_Transfers[[#This Row],[kval_active]],dict_zuord_Meth_Transfers[[#This Row],[ID_Transfers]],"")</f>
        <v/>
      </c>
    </row>
    <row r="1496" spans="1:4" x14ac:dyDescent="0.45">
      <c r="A1496">
        <v>249</v>
      </c>
      <c r="B1496" s="3">
        <f t="shared" ca="1" si="23"/>
        <v>43</v>
      </c>
      <c r="C1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6" t="str">
        <f ca="1">IF(dict_zuord_Meth_Transfers[[#This Row],[kval_active]],dict_zuord_Meth_Transfers[[#This Row],[ID_Transfers]],"")</f>
        <v/>
      </c>
    </row>
    <row r="1497" spans="1:4" x14ac:dyDescent="0.45">
      <c r="A1497">
        <v>249</v>
      </c>
      <c r="B1497" s="3">
        <f t="shared" ca="1" si="23"/>
        <v>5</v>
      </c>
      <c r="C1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7" t="str">
        <f ca="1">IF(dict_zuord_Meth_Transfers[[#This Row],[kval_active]],dict_zuord_Meth_Transfers[[#This Row],[ID_Transfers]],"")</f>
        <v/>
      </c>
    </row>
    <row r="1498" spans="1:4" x14ac:dyDescent="0.45">
      <c r="A1498">
        <v>249</v>
      </c>
      <c r="B1498" s="3">
        <f t="shared" ca="1" si="23"/>
        <v>16</v>
      </c>
      <c r="C1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8" t="str">
        <f ca="1">IF(dict_zuord_Meth_Transfers[[#This Row],[kval_active]],dict_zuord_Meth_Transfers[[#This Row],[ID_Transfers]],"")</f>
        <v/>
      </c>
    </row>
    <row r="1499" spans="1:4" x14ac:dyDescent="0.45">
      <c r="A1499">
        <v>249</v>
      </c>
      <c r="B1499">
        <f t="shared" ca="1" si="23"/>
        <v>194</v>
      </c>
      <c r="C1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499" t="str">
        <f ca="1">IF(dict_zuord_Meth_Transfers[[#This Row],[kval_active]],dict_zuord_Meth_Transfers[[#This Row],[ID_Transfers]],"")</f>
        <v/>
      </c>
    </row>
    <row r="1500" spans="1:4" x14ac:dyDescent="0.45">
      <c r="A1500">
        <v>249</v>
      </c>
      <c r="B1500">
        <f t="shared" ca="1" si="23"/>
        <v>155</v>
      </c>
      <c r="C1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0" t="str">
        <f ca="1">IF(dict_zuord_Meth_Transfers[[#This Row],[kval_active]],dict_zuord_Meth_Transfers[[#This Row],[ID_Transfers]],"")</f>
        <v/>
      </c>
    </row>
    <row r="1501" spans="1:4" x14ac:dyDescent="0.45">
      <c r="A1501">
        <v>249</v>
      </c>
      <c r="B1501">
        <f t="shared" ca="1" si="23"/>
        <v>184</v>
      </c>
      <c r="C1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1" t="str">
        <f ca="1">IF(dict_zuord_Meth_Transfers[[#This Row],[kval_active]],dict_zuord_Meth_Transfers[[#This Row],[ID_Transfers]],"")</f>
        <v/>
      </c>
    </row>
    <row r="1502" spans="1:4" x14ac:dyDescent="0.45">
      <c r="A1502">
        <v>250</v>
      </c>
      <c r="B1502">
        <f t="shared" ca="1" si="23"/>
        <v>150</v>
      </c>
      <c r="C1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2" t="str">
        <f ca="1">IF(dict_zuord_Meth_Transfers[[#This Row],[kval_active]],dict_zuord_Meth_Transfers[[#This Row],[ID_Transfers]],"")</f>
        <v/>
      </c>
    </row>
    <row r="1503" spans="1:4" x14ac:dyDescent="0.45">
      <c r="A1503">
        <v>250</v>
      </c>
      <c r="B1503" s="3">
        <f t="shared" ca="1" si="23"/>
        <v>0</v>
      </c>
      <c r="C1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3" t="str">
        <f ca="1">IF(dict_zuord_Meth_Transfers[[#This Row],[kval_active]],dict_zuord_Meth_Transfers[[#This Row],[ID_Transfers]],"")</f>
        <v/>
      </c>
    </row>
    <row r="1504" spans="1:4" x14ac:dyDescent="0.45">
      <c r="A1504">
        <v>250</v>
      </c>
      <c r="B1504" s="3">
        <f t="shared" ca="1" si="23"/>
        <v>109</v>
      </c>
      <c r="C1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4" t="str">
        <f ca="1">IF(dict_zuord_Meth_Transfers[[#This Row],[kval_active]],dict_zuord_Meth_Transfers[[#This Row],[ID_Transfers]],"")</f>
        <v/>
      </c>
    </row>
    <row r="1505" spans="1:4" x14ac:dyDescent="0.45">
      <c r="A1505">
        <v>250</v>
      </c>
      <c r="B1505">
        <f t="shared" ca="1" si="23"/>
        <v>31</v>
      </c>
      <c r="C1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5" t="str">
        <f ca="1">IF(dict_zuord_Meth_Transfers[[#This Row],[kval_active]],dict_zuord_Meth_Transfers[[#This Row],[ID_Transfers]],"")</f>
        <v/>
      </c>
    </row>
    <row r="1506" spans="1:4" x14ac:dyDescent="0.45">
      <c r="A1506">
        <v>250</v>
      </c>
      <c r="B1506">
        <f t="shared" ca="1" si="23"/>
        <v>122</v>
      </c>
      <c r="C1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6" t="str">
        <f ca="1">IF(dict_zuord_Meth_Transfers[[#This Row],[kval_active]],dict_zuord_Meth_Transfers[[#This Row],[ID_Transfers]],"")</f>
        <v/>
      </c>
    </row>
    <row r="1507" spans="1:4" x14ac:dyDescent="0.45">
      <c r="A1507">
        <v>250</v>
      </c>
      <c r="B1507" s="3">
        <f t="shared" ca="1" si="23"/>
        <v>106</v>
      </c>
      <c r="C1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07" t="str">
        <f ca="1">IF(dict_zuord_Meth_Transfers[[#This Row],[kval_active]],dict_zuord_Meth_Transfers[[#This Row],[ID_Transfers]],"")</f>
        <v/>
      </c>
    </row>
    <row r="1508" spans="1:4" x14ac:dyDescent="0.45">
      <c r="A1508">
        <v>251</v>
      </c>
      <c r="B1508" s="3">
        <f t="shared" ca="1" si="23"/>
        <v>7</v>
      </c>
      <c r="C1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8">
        <f ca="1">IF(dict_zuord_Meth_Transfers[[#This Row],[kval_active]],dict_zuord_Meth_Transfers[[#This Row],[ID_Transfers]],"")</f>
        <v>7</v>
      </c>
    </row>
    <row r="1509" spans="1:4" x14ac:dyDescent="0.45">
      <c r="A1509">
        <v>251</v>
      </c>
      <c r="B1509">
        <f t="shared" ca="1" si="23"/>
        <v>176</v>
      </c>
      <c r="C1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09">
        <f ca="1">IF(dict_zuord_Meth_Transfers[[#This Row],[kval_active]],dict_zuord_Meth_Transfers[[#This Row],[ID_Transfers]],"")</f>
        <v>176</v>
      </c>
    </row>
    <row r="1510" spans="1:4" x14ac:dyDescent="0.45">
      <c r="A1510">
        <v>251</v>
      </c>
      <c r="B1510" s="3">
        <f t="shared" ca="1" si="23"/>
        <v>146</v>
      </c>
      <c r="C1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0">
        <f ca="1">IF(dict_zuord_Meth_Transfers[[#This Row],[kval_active]],dict_zuord_Meth_Transfers[[#This Row],[ID_Transfers]],"")</f>
        <v>146</v>
      </c>
    </row>
    <row r="1511" spans="1:4" x14ac:dyDescent="0.45">
      <c r="A1511">
        <v>251</v>
      </c>
      <c r="B1511">
        <f t="shared" ca="1" si="23"/>
        <v>185</v>
      </c>
      <c r="C1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1">
        <f ca="1">IF(dict_zuord_Meth_Transfers[[#This Row],[kval_active]],dict_zuord_Meth_Transfers[[#This Row],[ID_Transfers]],"")</f>
        <v>185</v>
      </c>
    </row>
    <row r="1512" spans="1:4" x14ac:dyDescent="0.45">
      <c r="A1512">
        <v>251</v>
      </c>
      <c r="B1512">
        <f t="shared" ca="1" si="23"/>
        <v>126</v>
      </c>
      <c r="C1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2">
        <f ca="1">IF(dict_zuord_Meth_Transfers[[#This Row],[kval_active]],dict_zuord_Meth_Transfers[[#This Row],[ID_Transfers]],"")</f>
        <v>126</v>
      </c>
    </row>
    <row r="1513" spans="1:4" x14ac:dyDescent="0.45">
      <c r="A1513">
        <v>251</v>
      </c>
      <c r="B1513" s="3">
        <f t="shared" ca="1" si="23"/>
        <v>28</v>
      </c>
      <c r="C1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513">
        <f ca="1">IF(dict_zuord_Meth_Transfers[[#This Row],[kval_active]],dict_zuord_Meth_Transfers[[#This Row],[ID_Transfers]],"")</f>
        <v>28</v>
      </c>
    </row>
    <row r="1514" spans="1:4" x14ac:dyDescent="0.45">
      <c r="A1514">
        <v>252</v>
      </c>
      <c r="B1514">
        <f t="shared" ca="1" si="23"/>
        <v>42</v>
      </c>
      <c r="C1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4" t="str">
        <f ca="1">IF(dict_zuord_Meth_Transfers[[#This Row],[kval_active]],dict_zuord_Meth_Transfers[[#This Row],[ID_Transfers]],"")</f>
        <v/>
      </c>
    </row>
    <row r="1515" spans="1:4" x14ac:dyDescent="0.45">
      <c r="A1515">
        <v>252</v>
      </c>
      <c r="B1515" s="3">
        <f t="shared" ca="1" si="23"/>
        <v>87</v>
      </c>
      <c r="C1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5" t="str">
        <f ca="1">IF(dict_zuord_Meth_Transfers[[#This Row],[kval_active]],dict_zuord_Meth_Transfers[[#This Row],[ID_Transfers]],"")</f>
        <v/>
      </c>
    </row>
    <row r="1516" spans="1:4" x14ac:dyDescent="0.45">
      <c r="A1516">
        <v>252</v>
      </c>
      <c r="B1516" s="3">
        <f t="shared" ca="1" si="23"/>
        <v>140</v>
      </c>
      <c r="C1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6" t="str">
        <f ca="1">IF(dict_zuord_Meth_Transfers[[#This Row],[kval_active]],dict_zuord_Meth_Transfers[[#This Row],[ID_Transfers]],"")</f>
        <v/>
      </c>
    </row>
    <row r="1517" spans="1:4" x14ac:dyDescent="0.45">
      <c r="A1517">
        <v>252</v>
      </c>
      <c r="B1517">
        <f t="shared" ca="1" si="23"/>
        <v>76</v>
      </c>
      <c r="C1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7" t="str">
        <f ca="1">IF(dict_zuord_Meth_Transfers[[#This Row],[kval_active]],dict_zuord_Meth_Transfers[[#This Row],[ID_Transfers]],"")</f>
        <v/>
      </c>
    </row>
    <row r="1518" spans="1:4" x14ac:dyDescent="0.45">
      <c r="A1518">
        <v>252</v>
      </c>
      <c r="B1518">
        <f t="shared" ca="1" si="23"/>
        <v>170</v>
      </c>
      <c r="C1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8" t="str">
        <f ca="1">IF(dict_zuord_Meth_Transfers[[#This Row],[kval_active]],dict_zuord_Meth_Transfers[[#This Row],[ID_Transfers]],"")</f>
        <v/>
      </c>
    </row>
    <row r="1519" spans="1:4" x14ac:dyDescent="0.45">
      <c r="A1519">
        <v>252</v>
      </c>
      <c r="B1519" s="3">
        <f t="shared" ca="1" si="23"/>
        <v>85</v>
      </c>
      <c r="C1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19" t="str">
        <f ca="1">IF(dict_zuord_Meth_Transfers[[#This Row],[kval_active]],dict_zuord_Meth_Transfers[[#This Row],[ID_Transfers]],"")</f>
        <v/>
      </c>
    </row>
    <row r="1520" spans="1:4" x14ac:dyDescent="0.45">
      <c r="A1520">
        <v>253</v>
      </c>
      <c r="B1520" s="3">
        <f t="shared" ca="1" si="23"/>
        <v>101</v>
      </c>
      <c r="C1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0" t="str">
        <f ca="1">IF(dict_zuord_Meth_Transfers[[#This Row],[kval_active]],dict_zuord_Meth_Transfers[[#This Row],[ID_Transfers]],"")</f>
        <v/>
      </c>
    </row>
    <row r="1521" spans="1:4" x14ac:dyDescent="0.45">
      <c r="A1521">
        <v>253</v>
      </c>
      <c r="B1521">
        <f t="shared" ca="1" si="23"/>
        <v>111</v>
      </c>
      <c r="C1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1" t="str">
        <f ca="1">IF(dict_zuord_Meth_Transfers[[#This Row],[kval_active]],dict_zuord_Meth_Transfers[[#This Row],[ID_Transfers]],"")</f>
        <v/>
      </c>
    </row>
    <row r="1522" spans="1:4" x14ac:dyDescent="0.45">
      <c r="A1522">
        <v>253</v>
      </c>
      <c r="B1522" s="3">
        <f t="shared" ca="1" si="23"/>
        <v>107</v>
      </c>
      <c r="C1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2" t="str">
        <f ca="1">IF(dict_zuord_Meth_Transfers[[#This Row],[kval_active]],dict_zuord_Meth_Transfers[[#This Row],[ID_Transfers]],"")</f>
        <v/>
      </c>
    </row>
    <row r="1523" spans="1:4" x14ac:dyDescent="0.45">
      <c r="A1523">
        <v>253</v>
      </c>
      <c r="B1523" s="3">
        <f t="shared" ca="1" si="23"/>
        <v>158</v>
      </c>
      <c r="C1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3" t="str">
        <f ca="1">IF(dict_zuord_Meth_Transfers[[#This Row],[kval_active]],dict_zuord_Meth_Transfers[[#This Row],[ID_Transfers]],"")</f>
        <v/>
      </c>
    </row>
    <row r="1524" spans="1:4" x14ac:dyDescent="0.45">
      <c r="A1524">
        <v>253</v>
      </c>
      <c r="B1524">
        <f t="shared" ca="1" si="23"/>
        <v>92</v>
      </c>
      <c r="C1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4" t="str">
        <f ca="1">IF(dict_zuord_Meth_Transfers[[#This Row],[kval_active]],dict_zuord_Meth_Transfers[[#This Row],[ID_Transfers]],"")</f>
        <v/>
      </c>
    </row>
    <row r="1525" spans="1:4" x14ac:dyDescent="0.45">
      <c r="A1525">
        <v>253</v>
      </c>
      <c r="B1525">
        <f t="shared" ca="1" si="23"/>
        <v>1</v>
      </c>
      <c r="C1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5" t="str">
        <f ca="1">IF(dict_zuord_Meth_Transfers[[#This Row],[kval_active]],dict_zuord_Meth_Transfers[[#This Row],[ID_Transfers]],"")</f>
        <v/>
      </c>
    </row>
    <row r="1526" spans="1:4" x14ac:dyDescent="0.45">
      <c r="A1526">
        <v>254</v>
      </c>
      <c r="B1526">
        <f t="shared" ca="1" si="23"/>
        <v>129</v>
      </c>
      <c r="C1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6" t="str">
        <f ca="1">IF(dict_zuord_Meth_Transfers[[#This Row],[kval_active]],dict_zuord_Meth_Transfers[[#This Row],[ID_Transfers]],"")</f>
        <v/>
      </c>
    </row>
    <row r="1527" spans="1:4" x14ac:dyDescent="0.45">
      <c r="A1527">
        <v>254</v>
      </c>
      <c r="B1527">
        <f t="shared" ca="1" si="23"/>
        <v>37</v>
      </c>
      <c r="C1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7" t="str">
        <f ca="1">IF(dict_zuord_Meth_Transfers[[#This Row],[kval_active]],dict_zuord_Meth_Transfers[[#This Row],[ID_Transfers]],"")</f>
        <v/>
      </c>
    </row>
    <row r="1528" spans="1:4" x14ac:dyDescent="0.45">
      <c r="A1528">
        <v>254</v>
      </c>
      <c r="B1528" s="3">
        <f t="shared" ca="1" si="23"/>
        <v>117</v>
      </c>
      <c r="C1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8" t="str">
        <f ca="1">IF(dict_zuord_Meth_Transfers[[#This Row],[kval_active]],dict_zuord_Meth_Transfers[[#This Row],[ID_Transfers]],"")</f>
        <v/>
      </c>
    </row>
    <row r="1529" spans="1:4" x14ac:dyDescent="0.45">
      <c r="A1529">
        <v>254</v>
      </c>
      <c r="B1529" s="3">
        <f t="shared" ca="1" si="23"/>
        <v>41</v>
      </c>
      <c r="C1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29" t="str">
        <f ca="1">IF(dict_zuord_Meth_Transfers[[#This Row],[kval_active]],dict_zuord_Meth_Transfers[[#This Row],[ID_Transfers]],"")</f>
        <v/>
      </c>
    </row>
    <row r="1530" spans="1:4" x14ac:dyDescent="0.45">
      <c r="A1530">
        <v>254</v>
      </c>
      <c r="B1530" s="3">
        <f t="shared" ca="1" si="23"/>
        <v>171</v>
      </c>
      <c r="C1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0" t="str">
        <f ca="1">IF(dict_zuord_Meth_Transfers[[#This Row],[kval_active]],dict_zuord_Meth_Transfers[[#This Row],[ID_Transfers]],"")</f>
        <v/>
      </c>
    </row>
    <row r="1531" spans="1:4" x14ac:dyDescent="0.45">
      <c r="A1531">
        <v>254</v>
      </c>
      <c r="B1531">
        <f t="shared" ca="1" si="23"/>
        <v>34</v>
      </c>
      <c r="C1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1" t="str">
        <f ca="1">IF(dict_zuord_Meth_Transfers[[#This Row],[kval_active]],dict_zuord_Meth_Transfers[[#This Row],[ID_Transfers]],"")</f>
        <v/>
      </c>
    </row>
    <row r="1532" spans="1:4" x14ac:dyDescent="0.45">
      <c r="A1532">
        <v>255</v>
      </c>
      <c r="B1532" s="3">
        <f t="shared" ca="1" si="23"/>
        <v>44</v>
      </c>
      <c r="C1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2" t="str">
        <f ca="1">IF(dict_zuord_Meth_Transfers[[#This Row],[kval_active]],dict_zuord_Meth_Transfers[[#This Row],[ID_Transfers]],"")</f>
        <v/>
      </c>
    </row>
    <row r="1533" spans="1:4" x14ac:dyDescent="0.45">
      <c r="A1533">
        <v>255</v>
      </c>
      <c r="B1533" s="3">
        <f t="shared" ca="1" si="23"/>
        <v>25</v>
      </c>
      <c r="C1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3" t="str">
        <f ca="1">IF(dict_zuord_Meth_Transfers[[#This Row],[kval_active]],dict_zuord_Meth_Transfers[[#This Row],[ID_Transfers]],"")</f>
        <v/>
      </c>
    </row>
    <row r="1534" spans="1:4" x14ac:dyDescent="0.45">
      <c r="A1534">
        <v>255</v>
      </c>
      <c r="B1534" s="3">
        <f t="shared" ca="1" si="23"/>
        <v>118</v>
      </c>
      <c r="C1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4" t="str">
        <f ca="1">IF(dict_zuord_Meth_Transfers[[#This Row],[kval_active]],dict_zuord_Meth_Transfers[[#This Row],[ID_Transfers]],"")</f>
        <v/>
      </c>
    </row>
    <row r="1535" spans="1:4" x14ac:dyDescent="0.45">
      <c r="A1535">
        <v>255</v>
      </c>
      <c r="B1535">
        <f t="shared" ca="1" si="23"/>
        <v>167</v>
      </c>
      <c r="C1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5" t="str">
        <f ca="1">IF(dict_zuord_Meth_Transfers[[#This Row],[kval_active]],dict_zuord_Meth_Transfers[[#This Row],[ID_Transfers]],"")</f>
        <v/>
      </c>
    </row>
    <row r="1536" spans="1:4" x14ac:dyDescent="0.45">
      <c r="A1536">
        <v>255</v>
      </c>
      <c r="B1536">
        <f t="shared" ca="1" si="23"/>
        <v>45</v>
      </c>
      <c r="C1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6" t="str">
        <f ca="1">IF(dict_zuord_Meth_Transfers[[#This Row],[kval_active]],dict_zuord_Meth_Transfers[[#This Row],[ID_Transfers]],"")</f>
        <v/>
      </c>
    </row>
    <row r="1537" spans="1:4" x14ac:dyDescent="0.45">
      <c r="A1537">
        <v>255</v>
      </c>
      <c r="B1537">
        <f t="shared" ca="1" si="23"/>
        <v>161</v>
      </c>
      <c r="C1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7" t="str">
        <f ca="1">IF(dict_zuord_Meth_Transfers[[#This Row],[kval_active]],dict_zuord_Meth_Transfers[[#This Row],[ID_Transfers]],"")</f>
        <v/>
      </c>
    </row>
    <row r="1538" spans="1:4" x14ac:dyDescent="0.45">
      <c r="A1538">
        <v>256</v>
      </c>
      <c r="B1538" s="3">
        <f t="shared" ref="B1538:B1601" ca="1" si="24">RANDBETWEEN(0,200)</f>
        <v>165</v>
      </c>
      <c r="C1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8" t="str">
        <f ca="1">IF(dict_zuord_Meth_Transfers[[#This Row],[kval_active]],dict_zuord_Meth_Transfers[[#This Row],[ID_Transfers]],"")</f>
        <v/>
      </c>
    </row>
    <row r="1539" spans="1:4" x14ac:dyDescent="0.45">
      <c r="A1539">
        <v>256</v>
      </c>
      <c r="B1539">
        <f t="shared" ca="1" si="24"/>
        <v>34</v>
      </c>
      <c r="C1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39" t="str">
        <f ca="1">IF(dict_zuord_Meth_Transfers[[#This Row],[kval_active]],dict_zuord_Meth_Transfers[[#This Row],[ID_Transfers]],"")</f>
        <v/>
      </c>
    </row>
    <row r="1540" spans="1:4" x14ac:dyDescent="0.45">
      <c r="A1540">
        <v>256</v>
      </c>
      <c r="B1540">
        <f t="shared" ca="1" si="24"/>
        <v>146</v>
      </c>
      <c r="C1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0" t="str">
        <f ca="1">IF(dict_zuord_Meth_Transfers[[#This Row],[kval_active]],dict_zuord_Meth_Transfers[[#This Row],[ID_Transfers]],"")</f>
        <v/>
      </c>
    </row>
    <row r="1541" spans="1:4" x14ac:dyDescent="0.45">
      <c r="A1541">
        <v>256</v>
      </c>
      <c r="B1541">
        <f t="shared" ca="1" si="24"/>
        <v>8</v>
      </c>
      <c r="C1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1" t="str">
        <f ca="1">IF(dict_zuord_Meth_Transfers[[#This Row],[kval_active]],dict_zuord_Meth_Transfers[[#This Row],[ID_Transfers]],"")</f>
        <v/>
      </c>
    </row>
    <row r="1542" spans="1:4" x14ac:dyDescent="0.45">
      <c r="A1542">
        <v>256</v>
      </c>
      <c r="B1542" s="3">
        <f t="shared" ca="1" si="24"/>
        <v>115</v>
      </c>
      <c r="C1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2" t="str">
        <f ca="1">IF(dict_zuord_Meth_Transfers[[#This Row],[kval_active]],dict_zuord_Meth_Transfers[[#This Row],[ID_Transfers]],"")</f>
        <v/>
      </c>
    </row>
    <row r="1543" spans="1:4" x14ac:dyDescent="0.45">
      <c r="A1543">
        <v>256</v>
      </c>
      <c r="B1543" s="3">
        <f t="shared" ca="1" si="24"/>
        <v>41</v>
      </c>
      <c r="C1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3" t="str">
        <f ca="1">IF(dict_zuord_Meth_Transfers[[#This Row],[kval_active]],dict_zuord_Meth_Transfers[[#This Row],[ID_Transfers]],"")</f>
        <v/>
      </c>
    </row>
    <row r="1544" spans="1:4" x14ac:dyDescent="0.45">
      <c r="A1544">
        <v>257</v>
      </c>
      <c r="B1544">
        <f t="shared" ca="1" si="24"/>
        <v>82</v>
      </c>
      <c r="C1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4" t="str">
        <f ca="1">IF(dict_zuord_Meth_Transfers[[#This Row],[kval_active]],dict_zuord_Meth_Transfers[[#This Row],[ID_Transfers]],"")</f>
        <v/>
      </c>
    </row>
    <row r="1545" spans="1:4" x14ac:dyDescent="0.45">
      <c r="A1545">
        <v>257</v>
      </c>
      <c r="B1545" s="3">
        <f t="shared" ca="1" si="24"/>
        <v>193</v>
      </c>
      <c r="C1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5" t="str">
        <f ca="1">IF(dict_zuord_Meth_Transfers[[#This Row],[kval_active]],dict_zuord_Meth_Transfers[[#This Row],[ID_Transfers]],"")</f>
        <v/>
      </c>
    </row>
    <row r="1546" spans="1:4" x14ac:dyDescent="0.45">
      <c r="A1546">
        <v>257</v>
      </c>
      <c r="B1546" s="3">
        <f t="shared" ca="1" si="24"/>
        <v>81</v>
      </c>
      <c r="C1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6" t="str">
        <f ca="1">IF(dict_zuord_Meth_Transfers[[#This Row],[kval_active]],dict_zuord_Meth_Transfers[[#This Row],[ID_Transfers]],"")</f>
        <v/>
      </c>
    </row>
    <row r="1547" spans="1:4" x14ac:dyDescent="0.45">
      <c r="A1547">
        <v>257</v>
      </c>
      <c r="B1547">
        <f t="shared" ca="1" si="24"/>
        <v>183</v>
      </c>
      <c r="C1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7" t="str">
        <f ca="1">IF(dict_zuord_Meth_Transfers[[#This Row],[kval_active]],dict_zuord_Meth_Transfers[[#This Row],[ID_Transfers]],"")</f>
        <v/>
      </c>
    </row>
    <row r="1548" spans="1:4" x14ac:dyDescent="0.45">
      <c r="A1548">
        <v>257</v>
      </c>
      <c r="B1548" s="3">
        <f t="shared" ca="1" si="24"/>
        <v>153</v>
      </c>
      <c r="C1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8" t="str">
        <f ca="1">IF(dict_zuord_Meth_Transfers[[#This Row],[kval_active]],dict_zuord_Meth_Transfers[[#This Row],[ID_Transfers]],"")</f>
        <v/>
      </c>
    </row>
    <row r="1549" spans="1:4" x14ac:dyDescent="0.45">
      <c r="A1549">
        <v>257</v>
      </c>
      <c r="B1549">
        <f t="shared" ca="1" si="24"/>
        <v>113</v>
      </c>
      <c r="C1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49" t="str">
        <f ca="1">IF(dict_zuord_Meth_Transfers[[#This Row],[kval_active]],dict_zuord_Meth_Transfers[[#This Row],[ID_Transfers]],"")</f>
        <v/>
      </c>
    </row>
    <row r="1550" spans="1:4" x14ac:dyDescent="0.45">
      <c r="A1550">
        <v>258</v>
      </c>
      <c r="B1550">
        <f t="shared" ca="1" si="24"/>
        <v>130</v>
      </c>
      <c r="C1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0" t="str">
        <f ca="1">IF(dict_zuord_Meth_Transfers[[#This Row],[kval_active]],dict_zuord_Meth_Transfers[[#This Row],[ID_Transfers]],"")</f>
        <v/>
      </c>
    </row>
    <row r="1551" spans="1:4" x14ac:dyDescent="0.45">
      <c r="A1551">
        <v>258</v>
      </c>
      <c r="B1551" s="3">
        <f t="shared" ca="1" si="24"/>
        <v>118</v>
      </c>
      <c r="C1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1" t="str">
        <f ca="1">IF(dict_zuord_Meth_Transfers[[#This Row],[kval_active]],dict_zuord_Meth_Transfers[[#This Row],[ID_Transfers]],"")</f>
        <v/>
      </c>
    </row>
    <row r="1552" spans="1:4" x14ac:dyDescent="0.45">
      <c r="A1552">
        <v>258</v>
      </c>
      <c r="B1552">
        <f t="shared" ca="1" si="24"/>
        <v>1</v>
      </c>
      <c r="C1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2" t="str">
        <f ca="1">IF(dict_zuord_Meth_Transfers[[#This Row],[kval_active]],dict_zuord_Meth_Transfers[[#This Row],[ID_Transfers]],"")</f>
        <v/>
      </c>
    </row>
    <row r="1553" spans="1:4" x14ac:dyDescent="0.45">
      <c r="A1553">
        <v>258</v>
      </c>
      <c r="B1553" s="3">
        <f t="shared" ca="1" si="24"/>
        <v>148</v>
      </c>
      <c r="C1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3" t="str">
        <f ca="1">IF(dict_zuord_Meth_Transfers[[#This Row],[kval_active]],dict_zuord_Meth_Transfers[[#This Row],[ID_Transfers]],"")</f>
        <v/>
      </c>
    </row>
    <row r="1554" spans="1:4" x14ac:dyDescent="0.45">
      <c r="A1554">
        <v>258</v>
      </c>
      <c r="B1554" s="3">
        <f t="shared" ca="1" si="24"/>
        <v>175</v>
      </c>
      <c r="C1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4" t="str">
        <f ca="1">IF(dict_zuord_Meth_Transfers[[#This Row],[kval_active]],dict_zuord_Meth_Transfers[[#This Row],[ID_Transfers]],"")</f>
        <v/>
      </c>
    </row>
    <row r="1555" spans="1:4" x14ac:dyDescent="0.45">
      <c r="A1555">
        <v>258</v>
      </c>
      <c r="B1555">
        <f t="shared" ca="1" si="24"/>
        <v>8</v>
      </c>
      <c r="C1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5" t="str">
        <f ca="1">IF(dict_zuord_Meth_Transfers[[#This Row],[kval_active]],dict_zuord_Meth_Transfers[[#This Row],[ID_Transfers]],"")</f>
        <v/>
      </c>
    </row>
    <row r="1556" spans="1:4" x14ac:dyDescent="0.45">
      <c r="A1556">
        <v>259</v>
      </c>
      <c r="B1556" s="3">
        <f t="shared" ca="1" si="24"/>
        <v>191</v>
      </c>
      <c r="C1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6" t="str">
        <f ca="1">IF(dict_zuord_Meth_Transfers[[#This Row],[kval_active]],dict_zuord_Meth_Transfers[[#This Row],[ID_Transfers]],"")</f>
        <v/>
      </c>
    </row>
    <row r="1557" spans="1:4" x14ac:dyDescent="0.45">
      <c r="A1557">
        <v>259</v>
      </c>
      <c r="B1557">
        <f t="shared" ca="1" si="24"/>
        <v>53</v>
      </c>
      <c r="C1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7" t="str">
        <f ca="1">IF(dict_zuord_Meth_Transfers[[#This Row],[kval_active]],dict_zuord_Meth_Transfers[[#This Row],[ID_Transfers]],"")</f>
        <v/>
      </c>
    </row>
    <row r="1558" spans="1:4" x14ac:dyDescent="0.45">
      <c r="A1558">
        <v>259</v>
      </c>
      <c r="B1558" s="3">
        <f t="shared" ca="1" si="24"/>
        <v>104</v>
      </c>
      <c r="C1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8" t="str">
        <f ca="1">IF(dict_zuord_Meth_Transfers[[#This Row],[kval_active]],dict_zuord_Meth_Transfers[[#This Row],[ID_Transfers]],"")</f>
        <v/>
      </c>
    </row>
    <row r="1559" spans="1:4" x14ac:dyDescent="0.45">
      <c r="A1559">
        <v>259</v>
      </c>
      <c r="B1559">
        <f t="shared" ca="1" si="24"/>
        <v>33</v>
      </c>
      <c r="C1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59" t="str">
        <f ca="1">IF(dict_zuord_Meth_Transfers[[#This Row],[kval_active]],dict_zuord_Meth_Transfers[[#This Row],[ID_Transfers]],"")</f>
        <v/>
      </c>
    </row>
    <row r="1560" spans="1:4" x14ac:dyDescent="0.45">
      <c r="A1560">
        <v>259</v>
      </c>
      <c r="B1560" s="3">
        <f t="shared" ca="1" si="24"/>
        <v>23</v>
      </c>
      <c r="C1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0" t="str">
        <f ca="1">IF(dict_zuord_Meth_Transfers[[#This Row],[kval_active]],dict_zuord_Meth_Transfers[[#This Row],[ID_Transfers]],"")</f>
        <v/>
      </c>
    </row>
    <row r="1561" spans="1:4" x14ac:dyDescent="0.45">
      <c r="A1561">
        <v>259</v>
      </c>
      <c r="B1561">
        <f t="shared" ca="1" si="24"/>
        <v>109</v>
      </c>
      <c r="C1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1" t="str">
        <f ca="1">IF(dict_zuord_Meth_Transfers[[#This Row],[kval_active]],dict_zuord_Meth_Transfers[[#This Row],[ID_Transfers]],"")</f>
        <v/>
      </c>
    </row>
    <row r="1562" spans="1:4" x14ac:dyDescent="0.45">
      <c r="A1562">
        <v>260</v>
      </c>
      <c r="B1562">
        <f t="shared" ca="1" si="24"/>
        <v>20</v>
      </c>
      <c r="C1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2" t="str">
        <f ca="1">IF(dict_zuord_Meth_Transfers[[#This Row],[kval_active]],dict_zuord_Meth_Transfers[[#This Row],[ID_Transfers]],"")</f>
        <v/>
      </c>
    </row>
    <row r="1563" spans="1:4" x14ac:dyDescent="0.45">
      <c r="A1563">
        <v>260</v>
      </c>
      <c r="B1563">
        <f t="shared" ca="1" si="24"/>
        <v>153</v>
      </c>
      <c r="C1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3" t="str">
        <f ca="1">IF(dict_zuord_Meth_Transfers[[#This Row],[kval_active]],dict_zuord_Meth_Transfers[[#This Row],[ID_Transfers]],"")</f>
        <v/>
      </c>
    </row>
    <row r="1564" spans="1:4" x14ac:dyDescent="0.45">
      <c r="A1564">
        <v>260</v>
      </c>
      <c r="B1564" s="3">
        <f t="shared" ca="1" si="24"/>
        <v>163</v>
      </c>
      <c r="C1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4" t="str">
        <f ca="1">IF(dict_zuord_Meth_Transfers[[#This Row],[kval_active]],dict_zuord_Meth_Transfers[[#This Row],[ID_Transfers]],"")</f>
        <v/>
      </c>
    </row>
    <row r="1565" spans="1:4" x14ac:dyDescent="0.45">
      <c r="A1565">
        <v>260</v>
      </c>
      <c r="B1565" s="3">
        <f t="shared" ca="1" si="24"/>
        <v>17</v>
      </c>
      <c r="C1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5" t="str">
        <f ca="1">IF(dict_zuord_Meth_Transfers[[#This Row],[kval_active]],dict_zuord_Meth_Transfers[[#This Row],[ID_Transfers]],"")</f>
        <v/>
      </c>
    </row>
    <row r="1566" spans="1:4" x14ac:dyDescent="0.45">
      <c r="A1566">
        <v>260</v>
      </c>
      <c r="B1566" s="3">
        <f t="shared" ca="1" si="24"/>
        <v>64</v>
      </c>
      <c r="C1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6" t="str">
        <f ca="1">IF(dict_zuord_Meth_Transfers[[#This Row],[kval_active]],dict_zuord_Meth_Transfers[[#This Row],[ID_Transfers]],"")</f>
        <v/>
      </c>
    </row>
    <row r="1567" spans="1:4" x14ac:dyDescent="0.45">
      <c r="A1567">
        <v>260</v>
      </c>
      <c r="B1567">
        <f t="shared" ca="1" si="24"/>
        <v>173</v>
      </c>
      <c r="C1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7" t="str">
        <f ca="1">IF(dict_zuord_Meth_Transfers[[#This Row],[kval_active]],dict_zuord_Meth_Transfers[[#This Row],[ID_Transfers]],"")</f>
        <v/>
      </c>
    </row>
    <row r="1568" spans="1:4" x14ac:dyDescent="0.45">
      <c r="A1568">
        <v>261</v>
      </c>
      <c r="B1568" s="3">
        <f t="shared" ca="1" si="24"/>
        <v>115</v>
      </c>
      <c r="C1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8" t="str">
        <f ca="1">IF(dict_zuord_Meth_Transfers[[#This Row],[kval_active]],dict_zuord_Meth_Transfers[[#This Row],[ID_Transfers]],"")</f>
        <v/>
      </c>
    </row>
    <row r="1569" spans="1:4" x14ac:dyDescent="0.45">
      <c r="A1569">
        <v>261</v>
      </c>
      <c r="B1569">
        <f t="shared" ca="1" si="24"/>
        <v>82</v>
      </c>
      <c r="C1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69" t="str">
        <f ca="1">IF(dict_zuord_Meth_Transfers[[#This Row],[kval_active]],dict_zuord_Meth_Transfers[[#This Row],[ID_Transfers]],"")</f>
        <v/>
      </c>
    </row>
    <row r="1570" spans="1:4" x14ac:dyDescent="0.45">
      <c r="A1570">
        <v>261</v>
      </c>
      <c r="B1570">
        <f t="shared" ca="1" si="24"/>
        <v>167</v>
      </c>
      <c r="C1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0" t="str">
        <f ca="1">IF(dict_zuord_Meth_Transfers[[#This Row],[kval_active]],dict_zuord_Meth_Transfers[[#This Row],[ID_Transfers]],"")</f>
        <v/>
      </c>
    </row>
    <row r="1571" spans="1:4" x14ac:dyDescent="0.45">
      <c r="A1571">
        <v>261</v>
      </c>
      <c r="B1571">
        <f t="shared" ca="1" si="24"/>
        <v>122</v>
      </c>
      <c r="C1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1" t="str">
        <f ca="1">IF(dict_zuord_Meth_Transfers[[#This Row],[kval_active]],dict_zuord_Meth_Transfers[[#This Row],[ID_Transfers]],"")</f>
        <v/>
      </c>
    </row>
    <row r="1572" spans="1:4" x14ac:dyDescent="0.45">
      <c r="A1572">
        <v>261</v>
      </c>
      <c r="B1572" s="3">
        <f t="shared" ca="1" si="24"/>
        <v>180</v>
      </c>
      <c r="C1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2" t="str">
        <f ca="1">IF(dict_zuord_Meth_Transfers[[#This Row],[kval_active]],dict_zuord_Meth_Transfers[[#This Row],[ID_Transfers]],"")</f>
        <v/>
      </c>
    </row>
    <row r="1573" spans="1:4" x14ac:dyDescent="0.45">
      <c r="A1573">
        <v>261</v>
      </c>
      <c r="B1573" s="3">
        <f t="shared" ca="1" si="24"/>
        <v>138</v>
      </c>
      <c r="C1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3" t="str">
        <f ca="1">IF(dict_zuord_Meth_Transfers[[#This Row],[kval_active]],dict_zuord_Meth_Transfers[[#This Row],[ID_Transfers]],"")</f>
        <v/>
      </c>
    </row>
    <row r="1574" spans="1:4" x14ac:dyDescent="0.45">
      <c r="A1574">
        <v>262</v>
      </c>
      <c r="B1574">
        <f t="shared" ca="1" si="24"/>
        <v>43</v>
      </c>
      <c r="C1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4" t="str">
        <f ca="1">IF(dict_zuord_Meth_Transfers[[#This Row],[kval_active]],dict_zuord_Meth_Transfers[[#This Row],[ID_Transfers]],"")</f>
        <v/>
      </c>
    </row>
    <row r="1575" spans="1:4" x14ac:dyDescent="0.45">
      <c r="A1575">
        <v>262</v>
      </c>
      <c r="B1575" s="3">
        <f t="shared" ca="1" si="24"/>
        <v>100</v>
      </c>
      <c r="C1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5" t="str">
        <f ca="1">IF(dict_zuord_Meth_Transfers[[#This Row],[kval_active]],dict_zuord_Meth_Transfers[[#This Row],[ID_Transfers]],"")</f>
        <v/>
      </c>
    </row>
    <row r="1576" spans="1:4" x14ac:dyDescent="0.45">
      <c r="A1576">
        <v>262</v>
      </c>
      <c r="B1576" s="3">
        <f t="shared" ca="1" si="24"/>
        <v>80</v>
      </c>
      <c r="C1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6" t="str">
        <f ca="1">IF(dict_zuord_Meth_Transfers[[#This Row],[kval_active]],dict_zuord_Meth_Transfers[[#This Row],[ID_Transfers]],"")</f>
        <v/>
      </c>
    </row>
    <row r="1577" spans="1:4" x14ac:dyDescent="0.45">
      <c r="A1577">
        <v>262</v>
      </c>
      <c r="B1577">
        <f t="shared" ca="1" si="24"/>
        <v>46</v>
      </c>
      <c r="C1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7" t="str">
        <f ca="1">IF(dict_zuord_Meth_Transfers[[#This Row],[kval_active]],dict_zuord_Meth_Transfers[[#This Row],[ID_Transfers]],"")</f>
        <v/>
      </c>
    </row>
    <row r="1578" spans="1:4" x14ac:dyDescent="0.45">
      <c r="A1578">
        <v>262</v>
      </c>
      <c r="B1578">
        <f t="shared" ca="1" si="24"/>
        <v>68</v>
      </c>
      <c r="C1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8" t="str">
        <f ca="1">IF(dict_zuord_Meth_Transfers[[#This Row],[kval_active]],dict_zuord_Meth_Transfers[[#This Row],[ID_Transfers]],"")</f>
        <v/>
      </c>
    </row>
    <row r="1579" spans="1:4" x14ac:dyDescent="0.45">
      <c r="A1579">
        <v>262</v>
      </c>
      <c r="B1579" s="3">
        <f t="shared" ca="1" si="24"/>
        <v>123</v>
      </c>
      <c r="C1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79" t="str">
        <f ca="1">IF(dict_zuord_Meth_Transfers[[#This Row],[kval_active]],dict_zuord_Meth_Transfers[[#This Row],[ID_Transfers]],"")</f>
        <v/>
      </c>
    </row>
    <row r="1580" spans="1:4" x14ac:dyDescent="0.45">
      <c r="A1580">
        <v>263</v>
      </c>
      <c r="B1580">
        <f t="shared" ca="1" si="24"/>
        <v>132</v>
      </c>
      <c r="C1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0" t="str">
        <f ca="1">IF(dict_zuord_Meth_Transfers[[#This Row],[kval_active]],dict_zuord_Meth_Transfers[[#This Row],[ID_Transfers]],"")</f>
        <v/>
      </c>
    </row>
    <row r="1581" spans="1:4" x14ac:dyDescent="0.45">
      <c r="A1581">
        <v>263</v>
      </c>
      <c r="B1581" s="3">
        <f t="shared" ca="1" si="24"/>
        <v>52</v>
      </c>
      <c r="C1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1" t="str">
        <f ca="1">IF(dict_zuord_Meth_Transfers[[#This Row],[kval_active]],dict_zuord_Meth_Transfers[[#This Row],[ID_Transfers]],"")</f>
        <v/>
      </c>
    </row>
    <row r="1582" spans="1:4" x14ac:dyDescent="0.45">
      <c r="A1582">
        <v>263</v>
      </c>
      <c r="B1582" s="3">
        <f t="shared" ca="1" si="24"/>
        <v>4</v>
      </c>
      <c r="C1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2" t="str">
        <f ca="1">IF(dict_zuord_Meth_Transfers[[#This Row],[kval_active]],dict_zuord_Meth_Transfers[[#This Row],[ID_Transfers]],"")</f>
        <v/>
      </c>
    </row>
    <row r="1583" spans="1:4" x14ac:dyDescent="0.45">
      <c r="A1583">
        <v>263</v>
      </c>
      <c r="B1583" s="3">
        <f t="shared" ca="1" si="24"/>
        <v>68</v>
      </c>
      <c r="C1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3" t="str">
        <f ca="1">IF(dict_zuord_Meth_Transfers[[#This Row],[kval_active]],dict_zuord_Meth_Transfers[[#This Row],[ID_Transfers]],"")</f>
        <v/>
      </c>
    </row>
    <row r="1584" spans="1:4" x14ac:dyDescent="0.45">
      <c r="A1584">
        <v>263</v>
      </c>
      <c r="B1584">
        <f t="shared" ca="1" si="24"/>
        <v>44</v>
      </c>
      <c r="C1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4" t="str">
        <f ca="1">IF(dict_zuord_Meth_Transfers[[#This Row],[kval_active]],dict_zuord_Meth_Transfers[[#This Row],[ID_Transfers]],"")</f>
        <v/>
      </c>
    </row>
    <row r="1585" spans="1:4" x14ac:dyDescent="0.45">
      <c r="A1585">
        <v>263</v>
      </c>
      <c r="B1585">
        <f t="shared" ca="1" si="24"/>
        <v>10</v>
      </c>
      <c r="C1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5" t="str">
        <f ca="1">IF(dict_zuord_Meth_Transfers[[#This Row],[kval_active]],dict_zuord_Meth_Transfers[[#This Row],[ID_Transfers]],"")</f>
        <v/>
      </c>
    </row>
    <row r="1586" spans="1:4" x14ac:dyDescent="0.45">
      <c r="A1586">
        <v>264</v>
      </c>
      <c r="B1586">
        <f t="shared" ca="1" si="24"/>
        <v>0</v>
      </c>
      <c r="C1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6" t="str">
        <f ca="1">IF(dict_zuord_Meth_Transfers[[#This Row],[kval_active]],dict_zuord_Meth_Transfers[[#This Row],[ID_Transfers]],"")</f>
        <v/>
      </c>
    </row>
    <row r="1587" spans="1:4" x14ac:dyDescent="0.45">
      <c r="A1587">
        <v>264</v>
      </c>
      <c r="B1587" s="3">
        <f t="shared" ca="1" si="24"/>
        <v>110</v>
      </c>
      <c r="C1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7" t="str">
        <f ca="1">IF(dict_zuord_Meth_Transfers[[#This Row],[kval_active]],dict_zuord_Meth_Transfers[[#This Row],[ID_Transfers]],"")</f>
        <v/>
      </c>
    </row>
    <row r="1588" spans="1:4" x14ac:dyDescent="0.45">
      <c r="A1588">
        <v>264</v>
      </c>
      <c r="B1588">
        <f t="shared" ca="1" si="24"/>
        <v>166</v>
      </c>
      <c r="C1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8" t="str">
        <f ca="1">IF(dict_zuord_Meth_Transfers[[#This Row],[kval_active]],dict_zuord_Meth_Transfers[[#This Row],[ID_Transfers]],"")</f>
        <v/>
      </c>
    </row>
    <row r="1589" spans="1:4" x14ac:dyDescent="0.45">
      <c r="A1589">
        <v>264</v>
      </c>
      <c r="B1589">
        <f t="shared" ca="1" si="24"/>
        <v>163</v>
      </c>
      <c r="C1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89" t="str">
        <f ca="1">IF(dict_zuord_Meth_Transfers[[#This Row],[kval_active]],dict_zuord_Meth_Transfers[[#This Row],[ID_Transfers]],"")</f>
        <v/>
      </c>
    </row>
    <row r="1590" spans="1:4" x14ac:dyDescent="0.45">
      <c r="A1590">
        <v>264</v>
      </c>
      <c r="B1590" s="3">
        <f t="shared" ca="1" si="24"/>
        <v>151</v>
      </c>
      <c r="C1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0" t="str">
        <f ca="1">IF(dict_zuord_Meth_Transfers[[#This Row],[kval_active]],dict_zuord_Meth_Transfers[[#This Row],[ID_Transfers]],"")</f>
        <v/>
      </c>
    </row>
    <row r="1591" spans="1:4" x14ac:dyDescent="0.45">
      <c r="A1591">
        <v>264</v>
      </c>
      <c r="B1591" s="3">
        <f t="shared" ca="1" si="24"/>
        <v>27</v>
      </c>
      <c r="C1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1" t="str">
        <f ca="1">IF(dict_zuord_Meth_Transfers[[#This Row],[kval_active]],dict_zuord_Meth_Transfers[[#This Row],[ID_Transfers]],"")</f>
        <v/>
      </c>
    </row>
    <row r="1592" spans="1:4" x14ac:dyDescent="0.45">
      <c r="A1592">
        <v>265</v>
      </c>
      <c r="B1592" s="3">
        <f t="shared" ca="1" si="24"/>
        <v>81</v>
      </c>
      <c r="C1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2" t="str">
        <f ca="1">IF(dict_zuord_Meth_Transfers[[#This Row],[kval_active]],dict_zuord_Meth_Transfers[[#This Row],[ID_Transfers]],"")</f>
        <v/>
      </c>
    </row>
    <row r="1593" spans="1:4" x14ac:dyDescent="0.45">
      <c r="A1593">
        <v>265</v>
      </c>
      <c r="B1593">
        <f t="shared" ca="1" si="24"/>
        <v>23</v>
      </c>
      <c r="C1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3" t="str">
        <f ca="1">IF(dict_zuord_Meth_Transfers[[#This Row],[kval_active]],dict_zuord_Meth_Transfers[[#This Row],[ID_Transfers]],"")</f>
        <v/>
      </c>
    </row>
    <row r="1594" spans="1:4" x14ac:dyDescent="0.45">
      <c r="A1594">
        <v>265</v>
      </c>
      <c r="B1594" s="3">
        <f t="shared" ca="1" si="24"/>
        <v>141</v>
      </c>
      <c r="C1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4" t="str">
        <f ca="1">IF(dict_zuord_Meth_Transfers[[#This Row],[kval_active]],dict_zuord_Meth_Transfers[[#This Row],[ID_Transfers]],"")</f>
        <v/>
      </c>
    </row>
    <row r="1595" spans="1:4" x14ac:dyDescent="0.45">
      <c r="A1595">
        <v>265</v>
      </c>
      <c r="B1595" s="3">
        <f t="shared" ca="1" si="24"/>
        <v>40</v>
      </c>
      <c r="C1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5" t="str">
        <f ca="1">IF(dict_zuord_Meth_Transfers[[#This Row],[kval_active]],dict_zuord_Meth_Transfers[[#This Row],[ID_Transfers]],"")</f>
        <v/>
      </c>
    </row>
    <row r="1596" spans="1:4" x14ac:dyDescent="0.45">
      <c r="A1596">
        <v>265</v>
      </c>
      <c r="B1596">
        <f t="shared" ca="1" si="24"/>
        <v>42</v>
      </c>
      <c r="C1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6" t="str">
        <f ca="1">IF(dict_zuord_Meth_Transfers[[#This Row],[kval_active]],dict_zuord_Meth_Transfers[[#This Row],[ID_Transfers]],"")</f>
        <v/>
      </c>
    </row>
    <row r="1597" spans="1:4" x14ac:dyDescent="0.45">
      <c r="A1597">
        <v>265</v>
      </c>
      <c r="B1597">
        <f t="shared" ca="1" si="24"/>
        <v>19</v>
      </c>
      <c r="C1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7" t="str">
        <f ca="1">IF(dict_zuord_Meth_Transfers[[#This Row],[kval_active]],dict_zuord_Meth_Transfers[[#This Row],[ID_Transfers]],"")</f>
        <v/>
      </c>
    </row>
    <row r="1598" spans="1:4" x14ac:dyDescent="0.45">
      <c r="A1598">
        <v>266</v>
      </c>
      <c r="B1598" s="3">
        <f t="shared" ca="1" si="24"/>
        <v>71</v>
      </c>
      <c r="C1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8" t="str">
        <f ca="1">IF(dict_zuord_Meth_Transfers[[#This Row],[kval_active]],dict_zuord_Meth_Transfers[[#This Row],[ID_Transfers]],"")</f>
        <v/>
      </c>
    </row>
    <row r="1599" spans="1:4" x14ac:dyDescent="0.45">
      <c r="A1599">
        <v>266</v>
      </c>
      <c r="B1599" s="3">
        <f t="shared" ca="1" si="24"/>
        <v>67</v>
      </c>
      <c r="C1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599" t="str">
        <f ca="1">IF(dict_zuord_Meth_Transfers[[#This Row],[kval_active]],dict_zuord_Meth_Transfers[[#This Row],[ID_Transfers]],"")</f>
        <v/>
      </c>
    </row>
    <row r="1600" spans="1:4" x14ac:dyDescent="0.45">
      <c r="A1600">
        <v>266</v>
      </c>
      <c r="B1600">
        <f t="shared" ca="1" si="24"/>
        <v>114</v>
      </c>
      <c r="C1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0" t="str">
        <f ca="1">IF(dict_zuord_Meth_Transfers[[#This Row],[kval_active]],dict_zuord_Meth_Transfers[[#This Row],[ID_Transfers]],"")</f>
        <v/>
      </c>
    </row>
    <row r="1601" spans="1:4" x14ac:dyDescent="0.45">
      <c r="A1601">
        <v>266</v>
      </c>
      <c r="B1601">
        <f t="shared" ca="1" si="24"/>
        <v>55</v>
      </c>
      <c r="C1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1" t="str">
        <f ca="1">IF(dict_zuord_Meth_Transfers[[#This Row],[kval_active]],dict_zuord_Meth_Transfers[[#This Row],[ID_Transfers]],"")</f>
        <v/>
      </c>
    </row>
    <row r="1602" spans="1:4" x14ac:dyDescent="0.45">
      <c r="A1602">
        <v>266</v>
      </c>
      <c r="B1602">
        <f t="shared" ref="B1602:B1665" ca="1" si="25">RANDBETWEEN(0,200)</f>
        <v>179</v>
      </c>
      <c r="C1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2" t="str">
        <f ca="1">IF(dict_zuord_Meth_Transfers[[#This Row],[kval_active]],dict_zuord_Meth_Transfers[[#This Row],[ID_Transfers]],"")</f>
        <v/>
      </c>
    </row>
    <row r="1603" spans="1:4" x14ac:dyDescent="0.45">
      <c r="A1603">
        <v>266</v>
      </c>
      <c r="B1603" s="3">
        <f t="shared" ca="1" si="25"/>
        <v>87</v>
      </c>
      <c r="C1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3" t="str">
        <f ca="1">IF(dict_zuord_Meth_Transfers[[#This Row],[kval_active]],dict_zuord_Meth_Transfers[[#This Row],[ID_Transfers]],"")</f>
        <v/>
      </c>
    </row>
    <row r="1604" spans="1:4" x14ac:dyDescent="0.45">
      <c r="A1604">
        <v>267</v>
      </c>
      <c r="B1604">
        <f t="shared" ca="1" si="25"/>
        <v>0</v>
      </c>
      <c r="C1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4" t="str">
        <f ca="1">IF(dict_zuord_Meth_Transfers[[#This Row],[kval_active]],dict_zuord_Meth_Transfers[[#This Row],[ID_Transfers]],"")</f>
        <v/>
      </c>
    </row>
    <row r="1605" spans="1:4" x14ac:dyDescent="0.45">
      <c r="A1605">
        <v>267</v>
      </c>
      <c r="B1605">
        <f t="shared" ca="1" si="25"/>
        <v>136</v>
      </c>
      <c r="C1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5" t="str">
        <f ca="1">IF(dict_zuord_Meth_Transfers[[#This Row],[kval_active]],dict_zuord_Meth_Transfers[[#This Row],[ID_Transfers]],"")</f>
        <v/>
      </c>
    </row>
    <row r="1606" spans="1:4" x14ac:dyDescent="0.45">
      <c r="A1606">
        <v>267</v>
      </c>
      <c r="B1606" s="3">
        <f t="shared" ca="1" si="25"/>
        <v>65</v>
      </c>
      <c r="C1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6" t="str">
        <f ca="1">IF(dict_zuord_Meth_Transfers[[#This Row],[kval_active]],dict_zuord_Meth_Transfers[[#This Row],[ID_Transfers]],"")</f>
        <v/>
      </c>
    </row>
    <row r="1607" spans="1:4" x14ac:dyDescent="0.45">
      <c r="A1607">
        <v>267</v>
      </c>
      <c r="B1607" s="3">
        <f t="shared" ca="1" si="25"/>
        <v>42</v>
      </c>
      <c r="C1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7" t="str">
        <f ca="1">IF(dict_zuord_Meth_Transfers[[#This Row],[kval_active]],dict_zuord_Meth_Transfers[[#This Row],[ID_Transfers]],"")</f>
        <v/>
      </c>
    </row>
    <row r="1608" spans="1:4" x14ac:dyDescent="0.45">
      <c r="A1608">
        <v>267</v>
      </c>
      <c r="B1608" s="3">
        <f t="shared" ca="1" si="25"/>
        <v>154</v>
      </c>
      <c r="C1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8" t="str">
        <f ca="1">IF(dict_zuord_Meth_Transfers[[#This Row],[kval_active]],dict_zuord_Meth_Transfers[[#This Row],[ID_Transfers]],"")</f>
        <v/>
      </c>
    </row>
    <row r="1609" spans="1:4" x14ac:dyDescent="0.45">
      <c r="A1609">
        <v>267</v>
      </c>
      <c r="B1609">
        <f t="shared" ca="1" si="25"/>
        <v>54</v>
      </c>
      <c r="C1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09" t="str">
        <f ca="1">IF(dict_zuord_Meth_Transfers[[#This Row],[kval_active]],dict_zuord_Meth_Transfers[[#This Row],[ID_Transfers]],"")</f>
        <v/>
      </c>
    </row>
    <row r="1610" spans="1:4" x14ac:dyDescent="0.45">
      <c r="A1610">
        <v>268</v>
      </c>
      <c r="B1610" s="3">
        <f t="shared" ca="1" si="25"/>
        <v>11</v>
      </c>
      <c r="C1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0" t="str">
        <f ca="1">IF(dict_zuord_Meth_Transfers[[#This Row],[kval_active]],dict_zuord_Meth_Transfers[[#This Row],[ID_Transfers]],"")</f>
        <v/>
      </c>
    </row>
    <row r="1611" spans="1:4" x14ac:dyDescent="0.45">
      <c r="A1611">
        <v>268</v>
      </c>
      <c r="B1611">
        <f t="shared" ca="1" si="25"/>
        <v>32</v>
      </c>
      <c r="C1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1" t="str">
        <f ca="1">IF(dict_zuord_Meth_Transfers[[#This Row],[kval_active]],dict_zuord_Meth_Transfers[[#This Row],[ID_Transfers]],"")</f>
        <v/>
      </c>
    </row>
    <row r="1612" spans="1:4" x14ac:dyDescent="0.45">
      <c r="A1612">
        <v>268</v>
      </c>
      <c r="B1612">
        <f t="shared" ca="1" si="25"/>
        <v>125</v>
      </c>
      <c r="C1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2" t="str">
        <f ca="1">IF(dict_zuord_Meth_Transfers[[#This Row],[kval_active]],dict_zuord_Meth_Transfers[[#This Row],[ID_Transfers]],"")</f>
        <v/>
      </c>
    </row>
    <row r="1613" spans="1:4" x14ac:dyDescent="0.45">
      <c r="A1613">
        <v>268</v>
      </c>
      <c r="B1613">
        <f t="shared" ca="1" si="25"/>
        <v>37</v>
      </c>
      <c r="C1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3" t="str">
        <f ca="1">IF(dict_zuord_Meth_Transfers[[#This Row],[kval_active]],dict_zuord_Meth_Transfers[[#This Row],[ID_Transfers]],"")</f>
        <v/>
      </c>
    </row>
    <row r="1614" spans="1:4" x14ac:dyDescent="0.45">
      <c r="A1614">
        <v>268</v>
      </c>
      <c r="B1614" s="3">
        <f t="shared" ca="1" si="25"/>
        <v>0</v>
      </c>
      <c r="C1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4" t="str">
        <f ca="1">IF(dict_zuord_Meth_Transfers[[#This Row],[kval_active]],dict_zuord_Meth_Transfers[[#This Row],[ID_Transfers]],"")</f>
        <v/>
      </c>
    </row>
    <row r="1615" spans="1:4" x14ac:dyDescent="0.45">
      <c r="A1615">
        <v>268</v>
      </c>
      <c r="B1615" s="3">
        <f t="shared" ca="1" si="25"/>
        <v>200</v>
      </c>
      <c r="C1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5" t="str">
        <f ca="1">IF(dict_zuord_Meth_Transfers[[#This Row],[kval_active]],dict_zuord_Meth_Transfers[[#This Row],[ID_Transfers]],"")</f>
        <v/>
      </c>
    </row>
    <row r="1616" spans="1:4" x14ac:dyDescent="0.45">
      <c r="A1616">
        <v>269</v>
      </c>
      <c r="B1616" s="3">
        <f t="shared" ca="1" si="25"/>
        <v>34</v>
      </c>
      <c r="C1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6" t="str">
        <f ca="1">IF(dict_zuord_Meth_Transfers[[#This Row],[kval_active]],dict_zuord_Meth_Transfers[[#This Row],[ID_Transfers]],"")</f>
        <v/>
      </c>
    </row>
    <row r="1617" spans="1:4" x14ac:dyDescent="0.45">
      <c r="A1617">
        <v>269</v>
      </c>
      <c r="B1617">
        <f t="shared" ca="1" si="25"/>
        <v>28</v>
      </c>
      <c r="C1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7" t="str">
        <f ca="1">IF(dict_zuord_Meth_Transfers[[#This Row],[kval_active]],dict_zuord_Meth_Transfers[[#This Row],[ID_Transfers]],"")</f>
        <v/>
      </c>
    </row>
    <row r="1618" spans="1:4" x14ac:dyDescent="0.45">
      <c r="A1618">
        <v>269</v>
      </c>
      <c r="B1618" s="3">
        <f t="shared" ca="1" si="25"/>
        <v>160</v>
      </c>
      <c r="C1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8" t="str">
        <f ca="1">IF(dict_zuord_Meth_Transfers[[#This Row],[kval_active]],dict_zuord_Meth_Transfers[[#This Row],[ID_Transfers]],"")</f>
        <v/>
      </c>
    </row>
    <row r="1619" spans="1:4" x14ac:dyDescent="0.45">
      <c r="A1619">
        <v>269</v>
      </c>
      <c r="B1619" s="3">
        <f t="shared" ca="1" si="25"/>
        <v>100</v>
      </c>
      <c r="C1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19" t="str">
        <f ca="1">IF(dict_zuord_Meth_Transfers[[#This Row],[kval_active]],dict_zuord_Meth_Transfers[[#This Row],[ID_Transfers]],"")</f>
        <v/>
      </c>
    </row>
    <row r="1620" spans="1:4" x14ac:dyDescent="0.45">
      <c r="A1620">
        <v>269</v>
      </c>
      <c r="B1620">
        <f t="shared" ca="1" si="25"/>
        <v>70</v>
      </c>
      <c r="C1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0" t="str">
        <f ca="1">IF(dict_zuord_Meth_Transfers[[#This Row],[kval_active]],dict_zuord_Meth_Transfers[[#This Row],[ID_Transfers]],"")</f>
        <v/>
      </c>
    </row>
    <row r="1621" spans="1:4" x14ac:dyDescent="0.45">
      <c r="A1621">
        <v>269</v>
      </c>
      <c r="B1621">
        <f t="shared" ca="1" si="25"/>
        <v>3</v>
      </c>
      <c r="C1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1" t="str">
        <f ca="1">IF(dict_zuord_Meth_Transfers[[#This Row],[kval_active]],dict_zuord_Meth_Transfers[[#This Row],[ID_Transfers]],"")</f>
        <v/>
      </c>
    </row>
    <row r="1622" spans="1:4" x14ac:dyDescent="0.45">
      <c r="A1622">
        <v>270</v>
      </c>
      <c r="B1622">
        <f t="shared" ca="1" si="25"/>
        <v>54</v>
      </c>
      <c r="C1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2" t="str">
        <f ca="1">IF(dict_zuord_Meth_Transfers[[#This Row],[kval_active]],dict_zuord_Meth_Transfers[[#This Row],[ID_Transfers]],"")</f>
        <v/>
      </c>
    </row>
    <row r="1623" spans="1:4" x14ac:dyDescent="0.45">
      <c r="A1623">
        <v>270</v>
      </c>
      <c r="B1623" s="3">
        <f t="shared" ca="1" si="25"/>
        <v>82</v>
      </c>
      <c r="C1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3" t="str">
        <f ca="1">IF(dict_zuord_Meth_Transfers[[#This Row],[kval_active]],dict_zuord_Meth_Transfers[[#This Row],[ID_Transfers]],"")</f>
        <v/>
      </c>
    </row>
    <row r="1624" spans="1:4" x14ac:dyDescent="0.45">
      <c r="A1624">
        <v>270</v>
      </c>
      <c r="B1624" s="3">
        <f t="shared" ca="1" si="25"/>
        <v>50</v>
      </c>
      <c r="C1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4" t="str">
        <f ca="1">IF(dict_zuord_Meth_Transfers[[#This Row],[kval_active]],dict_zuord_Meth_Transfers[[#This Row],[ID_Transfers]],"")</f>
        <v/>
      </c>
    </row>
    <row r="1625" spans="1:4" x14ac:dyDescent="0.45">
      <c r="A1625">
        <v>270</v>
      </c>
      <c r="B1625">
        <f t="shared" ca="1" si="25"/>
        <v>183</v>
      </c>
      <c r="C1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5" t="str">
        <f ca="1">IF(dict_zuord_Meth_Transfers[[#This Row],[kval_active]],dict_zuord_Meth_Transfers[[#This Row],[ID_Transfers]],"")</f>
        <v/>
      </c>
    </row>
    <row r="1626" spans="1:4" x14ac:dyDescent="0.45">
      <c r="A1626">
        <v>270</v>
      </c>
      <c r="B1626">
        <f t="shared" ca="1" si="25"/>
        <v>57</v>
      </c>
      <c r="C1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6" t="str">
        <f ca="1">IF(dict_zuord_Meth_Transfers[[#This Row],[kval_active]],dict_zuord_Meth_Transfers[[#This Row],[ID_Transfers]],"")</f>
        <v/>
      </c>
    </row>
    <row r="1627" spans="1:4" x14ac:dyDescent="0.45">
      <c r="A1627">
        <v>270</v>
      </c>
      <c r="B1627" s="3">
        <f t="shared" ca="1" si="25"/>
        <v>182</v>
      </c>
      <c r="C1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7" t="str">
        <f ca="1">IF(dict_zuord_Meth_Transfers[[#This Row],[kval_active]],dict_zuord_Meth_Transfers[[#This Row],[ID_Transfers]],"")</f>
        <v/>
      </c>
    </row>
    <row r="1628" spans="1:4" x14ac:dyDescent="0.45">
      <c r="A1628">
        <v>271</v>
      </c>
      <c r="B1628">
        <f t="shared" ca="1" si="25"/>
        <v>152</v>
      </c>
      <c r="C1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8" t="str">
        <f ca="1">IF(dict_zuord_Meth_Transfers[[#This Row],[kval_active]],dict_zuord_Meth_Transfers[[#This Row],[ID_Transfers]],"")</f>
        <v/>
      </c>
    </row>
    <row r="1629" spans="1:4" x14ac:dyDescent="0.45">
      <c r="A1629">
        <v>271</v>
      </c>
      <c r="B1629">
        <f t="shared" ca="1" si="25"/>
        <v>8</v>
      </c>
      <c r="C1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29" t="str">
        <f ca="1">IF(dict_zuord_Meth_Transfers[[#This Row],[kval_active]],dict_zuord_Meth_Transfers[[#This Row],[ID_Transfers]],"")</f>
        <v/>
      </c>
    </row>
    <row r="1630" spans="1:4" x14ac:dyDescent="0.45">
      <c r="A1630">
        <v>271</v>
      </c>
      <c r="B1630">
        <f t="shared" ca="1" si="25"/>
        <v>126</v>
      </c>
      <c r="C1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0" t="str">
        <f ca="1">IF(dict_zuord_Meth_Transfers[[#This Row],[kval_active]],dict_zuord_Meth_Transfers[[#This Row],[ID_Transfers]],"")</f>
        <v/>
      </c>
    </row>
    <row r="1631" spans="1:4" x14ac:dyDescent="0.45">
      <c r="A1631">
        <v>271</v>
      </c>
      <c r="B1631" s="3">
        <f t="shared" ca="1" si="25"/>
        <v>126</v>
      </c>
      <c r="C1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1" t="str">
        <f ca="1">IF(dict_zuord_Meth_Transfers[[#This Row],[kval_active]],dict_zuord_Meth_Transfers[[#This Row],[ID_Transfers]],"")</f>
        <v/>
      </c>
    </row>
    <row r="1632" spans="1:4" x14ac:dyDescent="0.45">
      <c r="A1632">
        <v>271</v>
      </c>
      <c r="B1632" s="3">
        <f t="shared" ca="1" si="25"/>
        <v>101</v>
      </c>
      <c r="C1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2" t="str">
        <f ca="1">IF(dict_zuord_Meth_Transfers[[#This Row],[kval_active]],dict_zuord_Meth_Transfers[[#This Row],[ID_Transfers]],"")</f>
        <v/>
      </c>
    </row>
    <row r="1633" spans="1:4" x14ac:dyDescent="0.45">
      <c r="A1633">
        <v>271</v>
      </c>
      <c r="B1633" s="3">
        <f t="shared" ca="1" si="25"/>
        <v>113</v>
      </c>
      <c r="C1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33" t="str">
        <f ca="1">IF(dict_zuord_Meth_Transfers[[#This Row],[kval_active]],dict_zuord_Meth_Transfers[[#This Row],[ID_Transfers]],"")</f>
        <v/>
      </c>
    </row>
    <row r="1634" spans="1:4" x14ac:dyDescent="0.45">
      <c r="A1634">
        <v>272</v>
      </c>
      <c r="B1634" s="3">
        <f t="shared" ca="1" si="25"/>
        <v>73</v>
      </c>
      <c r="C1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4">
        <f ca="1">IF(dict_zuord_Meth_Transfers[[#This Row],[kval_active]],dict_zuord_Meth_Transfers[[#This Row],[ID_Transfers]],"")</f>
        <v>73</v>
      </c>
    </row>
    <row r="1635" spans="1:4" x14ac:dyDescent="0.45">
      <c r="A1635">
        <v>272</v>
      </c>
      <c r="B1635">
        <f t="shared" ca="1" si="25"/>
        <v>29</v>
      </c>
      <c r="C1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5">
        <f ca="1">IF(dict_zuord_Meth_Transfers[[#This Row],[kval_active]],dict_zuord_Meth_Transfers[[#This Row],[ID_Transfers]],"")</f>
        <v>29</v>
      </c>
    </row>
    <row r="1636" spans="1:4" x14ac:dyDescent="0.45">
      <c r="A1636">
        <v>272</v>
      </c>
      <c r="B1636">
        <f t="shared" ca="1" si="25"/>
        <v>59</v>
      </c>
      <c r="C1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6">
        <f ca="1">IF(dict_zuord_Meth_Transfers[[#This Row],[kval_active]],dict_zuord_Meth_Transfers[[#This Row],[ID_Transfers]],"")</f>
        <v>59</v>
      </c>
    </row>
    <row r="1637" spans="1:4" x14ac:dyDescent="0.45">
      <c r="A1637">
        <v>272</v>
      </c>
      <c r="B1637">
        <f t="shared" ca="1" si="25"/>
        <v>3</v>
      </c>
      <c r="C1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7">
        <f ca="1">IF(dict_zuord_Meth_Transfers[[#This Row],[kval_active]],dict_zuord_Meth_Transfers[[#This Row],[ID_Transfers]],"")</f>
        <v>3</v>
      </c>
    </row>
    <row r="1638" spans="1:4" x14ac:dyDescent="0.45">
      <c r="A1638">
        <v>272</v>
      </c>
      <c r="B1638" s="3">
        <f t="shared" ca="1" si="25"/>
        <v>71</v>
      </c>
      <c r="C1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8">
        <f ca="1">IF(dict_zuord_Meth_Transfers[[#This Row],[kval_active]],dict_zuord_Meth_Transfers[[#This Row],[ID_Transfers]],"")</f>
        <v>71</v>
      </c>
    </row>
    <row r="1639" spans="1:4" x14ac:dyDescent="0.45">
      <c r="A1639">
        <v>272</v>
      </c>
      <c r="B1639" s="3">
        <f t="shared" ca="1" si="25"/>
        <v>176</v>
      </c>
      <c r="C1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639">
        <f ca="1">IF(dict_zuord_Meth_Transfers[[#This Row],[kval_active]],dict_zuord_Meth_Transfers[[#This Row],[ID_Transfers]],"")</f>
        <v>176</v>
      </c>
    </row>
    <row r="1640" spans="1:4" x14ac:dyDescent="0.45">
      <c r="A1640">
        <v>273</v>
      </c>
      <c r="B1640">
        <f t="shared" ca="1" si="25"/>
        <v>27</v>
      </c>
      <c r="C1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0" t="str">
        <f ca="1">IF(dict_zuord_Meth_Transfers[[#This Row],[kval_active]],dict_zuord_Meth_Transfers[[#This Row],[ID_Transfers]],"")</f>
        <v/>
      </c>
    </row>
    <row r="1641" spans="1:4" x14ac:dyDescent="0.45">
      <c r="A1641">
        <v>273</v>
      </c>
      <c r="B1641">
        <f t="shared" ca="1" si="25"/>
        <v>42</v>
      </c>
      <c r="C1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1" t="str">
        <f ca="1">IF(dict_zuord_Meth_Transfers[[#This Row],[kval_active]],dict_zuord_Meth_Transfers[[#This Row],[ID_Transfers]],"")</f>
        <v/>
      </c>
    </row>
    <row r="1642" spans="1:4" x14ac:dyDescent="0.45">
      <c r="A1642">
        <v>273</v>
      </c>
      <c r="B1642">
        <f t="shared" ca="1" si="25"/>
        <v>163</v>
      </c>
      <c r="C1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2" t="str">
        <f ca="1">IF(dict_zuord_Meth_Transfers[[#This Row],[kval_active]],dict_zuord_Meth_Transfers[[#This Row],[ID_Transfers]],"")</f>
        <v/>
      </c>
    </row>
    <row r="1643" spans="1:4" x14ac:dyDescent="0.45">
      <c r="A1643">
        <v>273</v>
      </c>
      <c r="B1643" s="3">
        <f t="shared" ca="1" si="25"/>
        <v>6</v>
      </c>
      <c r="C1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3" t="str">
        <f ca="1">IF(dict_zuord_Meth_Transfers[[#This Row],[kval_active]],dict_zuord_Meth_Transfers[[#This Row],[ID_Transfers]],"")</f>
        <v/>
      </c>
    </row>
    <row r="1644" spans="1:4" x14ac:dyDescent="0.45">
      <c r="A1644">
        <v>273</v>
      </c>
      <c r="B1644" s="3">
        <f t="shared" ca="1" si="25"/>
        <v>121</v>
      </c>
      <c r="C1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4" t="str">
        <f ca="1">IF(dict_zuord_Meth_Transfers[[#This Row],[kval_active]],dict_zuord_Meth_Transfers[[#This Row],[ID_Transfers]],"")</f>
        <v/>
      </c>
    </row>
    <row r="1645" spans="1:4" x14ac:dyDescent="0.45">
      <c r="A1645">
        <v>273</v>
      </c>
      <c r="B1645" s="3">
        <f t="shared" ca="1" si="25"/>
        <v>81</v>
      </c>
      <c r="C1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5" t="str">
        <f ca="1">IF(dict_zuord_Meth_Transfers[[#This Row],[kval_active]],dict_zuord_Meth_Transfers[[#This Row],[ID_Transfers]],"")</f>
        <v/>
      </c>
    </row>
    <row r="1646" spans="1:4" x14ac:dyDescent="0.45">
      <c r="A1646">
        <v>274</v>
      </c>
      <c r="B1646" s="3">
        <f t="shared" ca="1" si="25"/>
        <v>61</v>
      </c>
      <c r="C1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6" t="str">
        <f ca="1">IF(dict_zuord_Meth_Transfers[[#This Row],[kval_active]],dict_zuord_Meth_Transfers[[#This Row],[ID_Transfers]],"")</f>
        <v/>
      </c>
    </row>
    <row r="1647" spans="1:4" x14ac:dyDescent="0.45">
      <c r="A1647">
        <v>274</v>
      </c>
      <c r="B1647">
        <f t="shared" ca="1" si="25"/>
        <v>126</v>
      </c>
      <c r="C1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7" t="str">
        <f ca="1">IF(dict_zuord_Meth_Transfers[[#This Row],[kval_active]],dict_zuord_Meth_Transfers[[#This Row],[ID_Transfers]],"")</f>
        <v/>
      </c>
    </row>
    <row r="1648" spans="1:4" x14ac:dyDescent="0.45">
      <c r="A1648">
        <v>274</v>
      </c>
      <c r="B1648" s="3">
        <f t="shared" ca="1" si="25"/>
        <v>92</v>
      </c>
      <c r="C1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8" t="str">
        <f ca="1">IF(dict_zuord_Meth_Transfers[[#This Row],[kval_active]],dict_zuord_Meth_Transfers[[#This Row],[ID_Transfers]],"")</f>
        <v/>
      </c>
    </row>
    <row r="1649" spans="1:4" x14ac:dyDescent="0.45">
      <c r="A1649">
        <v>274</v>
      </c>
      <c r="B1649">
        <f t="shared" ca="1" si="25"/>
        <v>156</v>
      </c>
      <c r="C1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49" t="str">
        <f ca="1">IF(dict_zuord_Meth_Transfers[[#This Row],[kval_active]],dict_zuord_Meth_Transfers[[#This Row],[ID_Transfers]],"")</f>
        <v/>
      </c>
    </row>
    <row r="1650" spans="1:4" x14ac:dyDescent="0.45">
      <c r="A1650">
        <v>274</v>
      </c>
      <c r="B1650" s="3">
        <f t="shared" ca="1" si="25"/>
        <v>10</v>
      </c>
      <c r="C1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0" t="str">
        <f ca="1">IF(dict_zuord_Meth_Transfers[[#This Row],[kval_active]],dict_zuord_Meth_Transfers[[#This Row],[ID_Transfers]],"")</f>
        <v/>
      </c>
    </row>
    <row r="1651" spans="1:4" x14ac:dyDescent="0.45">
      <c r="A1651">
        <v>274</v>
      </c>
      <c r="B1651">
        <f t="shared" ca="1" si="25"/>
        <v>57</v>
      </c>
      <c r="C1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1" t="str">
        <f ca="1">IF(dict_zuord_Meth_Transfers[[#This Row],[kval_active]],dict_zuord_Meth_Transfers[[#This Row],[ID_Transfers]],"")</f>
        <v/>
      </c>
    </row>
    <row r="1652" spans="1:4" x14ac:dyDescent="0.45">
      <c r="A1652">
        <v>275</v>
      </c>
      <c r="B1652" s="3">
        <f t="shared" ca="1" si="25"/>
        <v>146</v>
      </c>
      <c r="C1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2" t="str">
        <f ca="1">IF(dict_zuord_Meth_Transfers[[#This Row],[kval_active]],dict_zuord_Meth_Transfers[[#This Row],[ID_Transfers]],"")</f>
        <v/>
      </c>
    </row>
    <row r="1653" spans="1:4" x14ac:dyDescent="0.45">
      <c r="A1653">
        <v>275</v>
      </c>
      <c r="B1653">
        <f t="shared" ca="1" si="25"/>
        <v>113</v>
      </c>
      <c r="C1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3" t="str">
        <f ca="1">IF(dict_zuord_Meth_Transfers[[#This Row],[kval_active]],dict_zuord_Meth_Transfers[[#This Row],[ID_Transfers]],"")</f>
        <v/>
      </c>
    </row>
    <row r="1654" spans="1:4" x14ac:dyDescent="0.45">
      <c r="A1654">
        <v>275</v>
      </c>
      <c r="B1654">
        <f t="shared" ca="1" si="25"/>
        <v>21</v>
      </c>
      <c r="C1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4" t="str">
        <f ca="1">IF(dict_zuord_Meth_Transfers[[#This Row],[kval_active]],dict_zuord_Meth_Transfers[[#This Row],[ID_Transfers]],"")</f>
        <v/>
      </c>
    </row>
    <row r="1655" spans="1:4" x14ac:dyDescent="0.45">
      <c r="A1655">
        <v>275</v>
      </c>
      <c r="B1655">
        <f t="shared" ca="1" si="25"/>
        <v>30</v>
      </c>
      <c r="C1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5" t="str">
        <f ca="1">IF(dict_zuord_Meth_Transfers[[#This Row],[kval_active]],dict_zuord_Meth_Transfers[[#This Row],[ID_Transfers]],"")</f>
        <v/>
      </c>
    </row>
    <row r="1656" spans="1:4" x14ac:dyDescent="0.45">
      <c r="A1656">
        <v>275</v>
      </c>
      <c r="B1656" s="3">
        <f t="shared" ca="1" si="25"/>
        <v>99</v>
      </c>
      <c r="C1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6" t="str">
        <f ca="1">IF(dict_zuord_Meth_Transfers[[#This Row],[kval_active]],dict_zuord_Meth_Transfers[[#This Row],[ID_Transfers]],"")</f>
        <v/>
      </c>
    </row>
    <row r="1657" spans="1:4" x14ac:dyDescent="0.45">
      <c r="A1657">
        <v>275</v>
      </c>
      <c r="B1657" s="3">
        <f t="shared" ca="1" si="25"/>
        <v>164</v>
      </c>
      <c r="C1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7" t="str">
        <f ca="1">IF(dict_zuord_Meth_Transfers[[#This Row],[kval_active]],dict_zuord_Meth_Transfers[[#This Row],[ID_Transfers]],"")</f>
        <v/>
      </c>
    </row>
    <row r="1658" spans="1:4" x14ac:dyDescent="0.45">
      <c r="A1658">
        <v>276</v>
      </c>
      <c r="B1658">
        <f t="shared" ca="1" si="25"/>
        <v>137</v>
      </c>
      <c r="C1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8" t="str">
        <f ca="1">IF(dict_zuord_Meth_Transfers[[#This Row],[kval_active]],dict_zuord_Meth_Transfers[[#This Row],[ID_Transfers]],"")</f>
        <v/>
      </c>
    </row>
    <row r="1659" spans="1:4" x14ac:dyDescent="0.45">
      <c r="A1659">
        <v>276</v>
      </c>
      <c r="B1659">
        <f t="shared" ca="1" si="25"/>
        <v>116</v>
      </c>
      <c r="C1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59" t="str">
        <f ca="1">IF(dict_zuord_Meth_Transfers[[#This Row],[kval_active]],dict_zuord_Meth_Transfers[[#This Row],[ID_Transfers]],"")</f>
        <v/>
      </c>
    </row>
    <row r="1660" spans="1:4" x14ac:dyDescent="0.45">
      <c r="A1660">
        <v>276</v>
      </c>
      <c r="B1660" s="3">
        <f t="shared" ca="1" si="25"/>
        <v>200</v>
      </c>
      <c r="C1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0" t="str">
        <f ca="1">IF(dict_zuord_Meth_Transfers[[#This Row],[kval_active]],dict_zuord_Meth_Transfers[[#This Row],[ID_Transfers]],"")</f>
        <v/>
      </c>
    </row>
    <row r="1661" spans="1:4" x14ac:dyDescent="0.45">
      <c r="A1661">
        <v>276</v>
      </c>
      <c r="B1661" s="3">
        <f t="shared" ca="1" si="25"/>
        <v>41</v>
      </c>
      <c r="C1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1" t="str">
        <f ca="1">IF(dict_zuord_Meth_Transfers[[#This Row],[kval_active]],dict_zuord_Meth_Transfers[[#This Row],[ID_Transfers]],"")</f>
        <v/>
      </c>
    </row>
    <row r="1662" spans="1:4" x14ac:dyDescent="0.45">
      <c r="A1662">
        <v>276</v>
      </c>
      <c r="B1662">
        <f t="shared" ca="1" si="25"/>
        <v>125</v>
      </c>
      <c r="C1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2" t="str">
        <f ca="1">IF(dict_zuord_Meth_Transfers[[#This Row],[kval_active]],dict_zuord_Meth_Transfers[[#This Row],[ID_Transfers]],"")</f>
        <v/>
      </c>
    </row>
    <row r="1663" spans="1:4" x14ac:dyDescent="0.45">
      <c r="A1663">
        <v>276</v>
      </c>
      <c r="B1663" s="3">
        <f t="shared" ca="1" si="25"/>
        <v>156</v>
      </c>
      <c r="C1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3" t="str">
        <f ca="1">IF(dict_zuord_Meth_Transfers[[#This Row],[kval_active]],dict_zuord_Meth_Transfers[[#This Row],[ID_Transfers]],"")</f>
        <v/>
      </c>
    </row>
    <row r="1664" spans="1:4" x14ac:dyDescent="0.45">
      <c r="A1664">
        <v>277</v>
      </c>
      <c r="B1664" s="3">
        <f t="shared" ca="1" si="25"/>
        <v>98</v>
      </c>
      <c r="C1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4" t="str">
        <f ca="1">IF(dict_zuord_Meth_Transfers[[#This Row],[kval_active]],dict_zuord_Meth_Transfers[[#This Row],[ID_Transfers]],"")</f>
        <v/>
      </c>
    </row>
    <row r="1665" spans="1:4" x14ac:dyDescent="0.45">
      <c r="A1665">
        <v>277</v>
      </c>
      <c r="B1665">
        <f t="shared" ca="1" si="25"/>
        <v>169</v>
      </c>
      <c r="C1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5" t="str">
        <f ca="1">IF(dict_zuord_Meth_Transfers[[#This Row],[kval_active]],dict_zuord_Meth_Transfers[[#This Row],[ID_Transfers]],"")</f>
        <v/>
      </c>
    </row>
    <row r="1666" spans="1:4" x14ac:dyDescent="0.45">
      <c r="A1666">
        <v>277</v>
      </c>
      <c r="B1666">
        <f t="shared" ref="B1666:B1729" ca="1" si="26">RANDBETWEEN(0,200)</f>
        <v>185</v>
      </c>
      <c r="C1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6" t="str">
        <f ca="1">IF(dict_zuord_Meth_Transfers[[#This Row],[kval_active]],dict_zuord_Meth_Transfers[[#This Row],[ID_Transfers]],"")</f>
        <v/>
      </c>
    </row>
    <row r="1667" spans="1:4" x14ac:dyDescent="0.45">
      <c r="A1667">
        <v>277</v>
      </c>
      <c r="B1667">
        <f t="shared" ca="1" si="26"/>
        <v>4</v>
      </c>
      <c r="C1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7" t="str">
        <f ca="1">IF(dict_zuord_Meth_Transfers[[#This Row],[kval_active]],dict_zuord_Meth_Transfers[[#This Row],[ID_Transfers]],"")</f>
        <v/>
      </c>
    </row>
    <row r="1668" spans="1:4" x14ac:dyDescent="0.45">
      <c r="A1668">
        <v>277</v>
      </c>
      <c r="B1668" s="3">
        <f t="shared" ca="1" si="26"/>
        <v>79</v>
      </c>
      <c r="C1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8" t="str">
        <f ca="1">IF(dict_zuord_Meth_Transfers[[#This Row],[kval_active]],dict_zuord_Meth_Transfers[[#This Row],[ID_Transfers]],"")</f>
        <v/>
      </c>
    </row>
    <row r="1669" spans="1:4" x14ac:dyDescent="0.45">
      <c r="A1669">
        <v>277</v>
      </c>
      <c r="B1669" s="3">
        <f t="shared" ca="1" si="26"/>
        <v>69</v>
      </c>
      <c r="C1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69" t="str">
        <f ca="1">IF(dict_zuord_Meth_Transfers[[#This Row],[kval_active]],dict_zuord_Meth_Transfers[[#This Row],[ID_Transfers]],"")</f>
        <v/>
      </c>
    </row>
    <row r="1670" spans="1:4" x14ac:dyDescent="0.45">
      <c r="A1670">
        <v>278</v>
      </c>
      <c r="B1670" s="3">
        <f t="shared" ca="1" si="26"/>
        <v>119</v>
      </c>
      <c r="C1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0" t="str">
        <f ca="1">IF(dict_zuord_Meth_Transfers[[#This Row],[kval_active]],dict_zuord_Meth_Transfers[[#This Row],[ID_Transfers]],"")</f>
        <v/>
      </c>
    </row>
    <row r="1671" spans="1:4" x14ac:dyDescent="0.45">
      <c r="A1671">
        <v>278</v>
      </c>
      <c r="B1671" s="3">
        <f t="shared" ca="1" si="26"/>
        <v>125</v>
      </c>
      <c r="C1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1" t="str">
        <f ca="1">IF(dict_zuord_Meth_Transfers[[#This Row],[kval_active]],dict_zuord_Meth_Transfers[[#This Row],[ID_Transfers]],"")</f>
        <v/>
      </c>
    </row>
    <row r="1672" spans="1:4" x14ac:dyDescent="0.45">
      <c r="A1672">
        <v>278</v>
      </c>
      <c r="B1672">
        <f t="shared" ca="1" si="26"/>
        <v>154</v>
      </c>
      <c r="C1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2" t="str">
        <f ca="1">IF(dict_zuord_Meth_Transfers[[#This Row],[kval_active]],dict_zuord_Meth_Transfers[[#This Row],[ID_Transfers]],"")</f>
        <v/>
      </c>
    </row>
    <row r="1673" spans="1:4" x14ac:dyDescent="0.45">
      <c r="A1673">
        <v>278</v>
      </c>
      <c r="B1673">
        <f t="shared" ca="1" si="26"/>
        <v>3</v>
      </c>
      <c r="C1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3" t="str">
        <f ca="1">IF(dict_zuord_Meth_Transfers[[#This Row],[kval_active]],dict_zuord_Meth_Transfers[[#This Row],[ID_Transfers]],"")</f>
        <v/>
      </c>
    </row>
    <row r="1674" spans="1:4" x14ac:dyDescent="0.45">
      <c r="A1674">
        <v>278</v>
      </c>
      <c r="B1674">
        <f t="shared" ca="1" si="26"/>
        <v>43</v>
      </c>
      <c r="C1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4" t="str">
        <f ca="1">IF(dict_zuord_Meth_Transfers[[#This Row],[kval_active]],dict_zuord_Meth_Transfers[[#This Row],[ID_Transfers]],"")</f>
        <v/>
      </c>
    </row>
    <row r="1675" spans="1:4" x14ac:dyDescent="0.45">
      <c r="A1675">
        <v>278</v>
      </c>
      <c r="B1675" s="3">
        <f t="shared" ca="1" si="26"/>
        <v>196</v>
      </c>
      <c r="C1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5" t="str">
        <f ca="1">IF(dict_zuord_Meth_Transfers[[#This Row],[kval_active]],dict_zuord_Meth_Transfers[[#This Row],[ID_Transfers]],"")</f>
        <v/>
      </c>
    </row>
    <row r="1676" spans="1:4" x14ac:dyDescent="0.45">
      <c r="A1676">
        <v>279</v>
      </c>
      <c r="B1676" s="3">
        <f t="shared" ca="1" si="26"/>
        <v>172</v>
      </c>
      <c r="C1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6" t="str">
        <f ca="1">IF(dict_zuord_Meth_Transfers[[#This Row],[kval_active]],dict_zuord_Meth_Transfers[[#This Row],[ID_Transfers]],"")</f>
        <v/>
      </c>
    </row>
    <row r="1677" spans="1:4" x14ac:dyDescent="0.45">
      <c r="A1677">
        <v>279</v>
      </c>
      <c r="B1677">
        <f t="shared" ca="1" si="26"/>
        <v>86</v>
      </c>
      <c r="C1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7" t="str">
        <f ca="1">IF(dict_zuord_Meth_Transfers[[#This Row],[kval_active]],dict_zuord_Meth_Transfers[[#This Row],[ID_Transfers]],"")</f>
        <v/>
      </c>
    </row>
    <row r="1678" spans="1:4" x14ac:dyDescent="0.45">
      <c r="A1678">
        <v>279</v>
      </c>
      <c r="B1678" s="3">
        <f t="shared" ca="1" si="26"/>
        <v>162</v>
      </c>
      <c r="C1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8" t="str">
        <f ca="1">IF(dict_zuord_Meth_Transfers[[#This Row],[kval_active]],dict_zuord_Meth_Transfers[[#This Row],[ID_Transfers]],"")</f>
        <v/>
      </c>
    </row>
    <row r="1679" spans="1:4" x14ac:dyDescent="0.45">
      <c r="A1679">
        <v>279</v>
      </c>
      <c r="B1679">
        <f t="shared" ca="1" si="26"/>
        <v>164</v>
      </c>
      <c r="C1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79" t="str">
        <f ca="1">IF(dict_zuord_Meth_Transfers[[#This Row],[kval_active]],dict_zuord_Meth_Transfers[[#This Row],[ID_Transfers]],"")</f>
        <v/>
      </c>
    </row>
    <row r="1680" spans="1:4" x14ac:dyDescent="0.45">
      <c r="A1680">
        <v>279</v>
      </c>
      <c r="B1680">
        <f t="shared" ca="1" si="26"/>
        <v>40</v>
      </c>
      <c r="C1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0" t="str">
        <f ca="1">IF(dict_zuord_Meth_Transfers[[#This Row],[kval_active]],dict_zuord_Meth_Transfers[[#This Row],[ID_Transfers]],"")</f>
        <v/>
      </c>
    </row>
    <row r="1681" spans="1:4" x14ac:dyDescent="0.45">
      <c r="A1681">
        <v>279</v>
      </c>
      <c r="B1681" s="3">
        <f t="shared" ca="1" si="26"/>
        <v>31</v>
      </c>
      <c r="C1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1" t="str">
        <f ca="1">IF(dict_zuord_Meth_Transfers[[#This Row],[kval_active]],dict_zuord_Meth_Transfers[[#This Row],[ID_Transfers]],"")</f>
        <v/>
      </c>
    </row>
    <row r="1682" spans="1:4" x14ac:dyDescent="0.45">
      <c r="A1682">
        <v>280</v>
      </c>
      <c r="B1682" s="3">
        <f t="shared" ca="1" si="26"/>
        <v>46</v>
      </c>
      <c r="C1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2" t="str">
        <f ca="1">IF(dict_zuord_Meth_Transfers[[#This Row],[kval_active]],dict_zuord_Meth_Transfers[[#This Row],[ID_Transfers]],"")</f>
        <v/>
      </c>
    </row>
    <row r="1683" spans="1:4" x14ac:dyDescent="0.45">
      <c r="A1683">
        <v>280</v>
      </c>
      <c r="B1683">
        <f t="shared" ca="1" si="26"/>
        <v>53</v>
      </c>
      <c r="C1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3" t="str">
        <f ca="1">IF(dict_zuord_Meth_Transfers[[#This Row],[kval_active]],dict_zuord_Meth_Transfers[[#This Row],[ID_Transfers]],"")</f>
        <v/>
      </c>
    </row>
    <row r="1684" spans="1:4" x14ac:dyDescent="0.45">
      <c r="A1684">
        <v>280</v>
      </c>
      <c r="B1684">
        <f t="shared" ca="1" si="26"/>
        <v>117</v>
      </c>
      <c r="C1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4" t="str">
        <f ca="1">IF(dict_zuord_Meth_Transfers[[#This Row],[kval_active]],dict_zuord_Meth_Transfers[[#This Row],[ID_Transfers]],"")</f>
        <v/>
      </c>
    </row>
    <row r="1685" spans="1:4" x14ac:dyDescent="0.45">
      <c r="A1685">
        <v>280</v>
      </c>
      <c r="B1685" s="3">
        <f t="shared" ca="1" si="26"/>
        <v>68</v>
      </c>
      <c r="C1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5" t="str">
        <f ca="1">IF(dict_zuord_Meth_Transfers[[#This Row],[kval_active]],dict_zuord_Meth_Transfers[[#This Row],[ID_Transfers]],"")</f>
        <v/>
      </c>
    </row>
    <row r="1686" spans="1:4" x14ac:dyDescent="0.45">
      <c r="A1686">
        <v>280</v>
      </c>
      <c r="B1686">
        <f t="shared" ca="1" si="26"/>
        <v>137</v>
      </c>
      <c r="C1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6" t="str">
        <f ca="1">IF(dict_zuord_Meth_Transfers[[#This Row],[kval_active]],dict_zuord_Meth_Transfers[[#This Row],[ID_Transfers]],"")</f>
        <v/>
      </c>
    </row>
    <row r="1687" spans="1:4" x14ac:dyDescent="0.45">
      <c r="A1687">
        <v>280</v>
      </c>
      <c r="B1687" s="3">
        <f t="shared" ca="1" si="26"/>
        <v>109</v>
      </c>
      <c r="C1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7" t="str">
        <f ca="1">IF(dict_zuord_Meth_Transfers[[#This Row],[kval_active]],dict_zuord_Meth_Transfers[[#This Row],[ID_Transfers]],"")</f>
        <v/>
      </c>
    </row>
    <row r="1688" spans="1:4" x14ac:dyDescent="0.45">
      <c r="A1688">
        <v>281</v>
      </c>
      <c r="B1688">
        <f t="shared" ca="1" si="26"/>
        <v>175</v>
      </c>
      <c r="C1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8" t="str">
        <f ca="1">IF(dict_zuord_Meth_Transfers[[#This Row],[kval_active]],dict_zuord_Meth_Transfers[[#This Row],[ID_Transfers]],"")</f>
        <v/>
      </c>
    </row>
    <row r="1689" spans="1:4" x14ac:dyDescent="0.45">
      <c r="A1689">
        <v>281</v>
      </c>
      <c r="B1689" s="3">
        <f t="shared" ca="1" si="26"/>
        <v>9</v>
      </c>
      <c r="C1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89" t="str">
        <f ca="1">IF(dict_zuord_Meth_Transfers[[#This Row],[kval_active]],dict_zuord_Meth_Transfers[[#This Row],[ID_Transfers]],"")</f>
        <v/>
      </c>
    </row>
    <row r="1690" spans="1:4" x14ac:dyDescent="0.45">
      <c r="A1690">
        <v>281</v>
      </c>
      <c r="B1690">
        <f t="shared" ca="1" si="26"/>
        <v>58</v>
      </c>
      <c r="C1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0" t="str">
        <f ca="1">IF(dict_zuord_Meth_Transfers[[#This Row],[kval_active]],dict_zuord_Meth_Transfers[[#This Row],[ID_Transfers]],"")</f>
        <v/>
      </c>
    </row>
    <row r="1691" spans="1:4" x14ac:dyDescent="0.45">
      <c r="A1691">
        <v>281</v>
      </c>
      <c r="B1691" s="3">
        <f t="shared" ca="1" si="26"/>
        <v>11</v>
      </c>
      <c r="C1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1" t="str">
        <f ca="1">IF(dict_zuord_Meth_Transfers[[#This Row],[kval_active]],dict_zuord_Meth_Transfers[[#This Row],[ID_Transfers]],"")</f>
        <v/>
      </c>
    </row>
    <row r="1692" spans="1:4" x14ac:dyDescent="0.45">
      <c r="A1692">
        <v>281</v>
      </c>
      <c r="B1692" s="3">
        <f t="shared" ca="1" si="26"/>
        <v>129</v>
      </c>
      <c r="C1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2" t="str">
        <f ca="1">IF(dict_zuord_Meth_Transfers[[#This Row],[kval_active]],dict_zuord_Meth_Transfers[[#This Row],[ID_Transfers]],"")</f>
        <v/>
      </c>
    </row>
    <row r="1693" spans="1:4" x14ac:dyDescent="0.45">
      <c r="A1693">
        <v>281</v>
      </c>
      <c r="B1693">
        <f t="shared" ca="1" si="26"/>
        <v>12</v>
      </c>
      <c r="C1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3" t="str">
        <f ca="1">IF(dict_zuord_Meth_Transfers[[#This Row],[kval_active]],dict_zuord_Meth_Transfers[[#This Row],[ID_Transfers]],"")</f>
        <v/>
      </c>
    </row>
    <row r="1694" spans="1:4" x14ac:dyDescent="0.45">
      <c r="A1694">
        <v>282</v>
      </c>
      <c r="B1694" s="3">
        <f t="shared" ca="1" si="26"/>
        <v>105</v>
      </c>
      <c r="C1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4" t="str">
        <f ca="1">IF(dict_zuord_Meth_Transfers[[#This Row],[kval_active]],dict_zuord_Meth_Transfers[[#This Row],[ID_Transfers]],"")</f>
        <v/>
      </c>
    </row>
    <row r="1695" spans="1:4" x14ac:dyDescent="0.45">
      <c r="A1695">
        <v>282</v>
      </c>
      <c r="B1695" s="3">
        <f t="shared" ca="1" si="26"/>
        <v>147</v>
      </c>
      <c r="C1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5" t="str">
        <f ca="1">IF(dict_zuord_Meth_Transfers[[#This Row],[kval_active]],dict_zuord_Meth_Transfers[[#This Row],[ID_Transfers]],"")</f>
        <v/>
      </c>
    </row>
    <row r="1696" spans="1:4" x14ac:dyDescent="0.45">
      <c r="A1696">
        <v>282</v>
      </c>
      <c r="B1696">
        <f t="shared" ca="1" si="26"/>
        <v>179</v>
      </c>
      <c r="C1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6" t="str">
        <f ca="1">IF(dict_zuord_Meth_Transfers[[#This Row],[kval_active]],dict_zuord_Meth_Transfers[[#This Row],[ID_Transfers]],"")</f>
        <v/>
      </c>
    </row>
    <row r="1697" spans="1:4" x14ac:dyDescent="0.45">
      <c r="A1697">
        <v>282</v>
      </c>
      <c r="B1697">
        <f t="shared" ca="1" si="26"/>
        <v>171</v>
      </c>
      <c r="C1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7" t="str">
        <f ca="1">IF(dict_zuord_Meth_Transfers[[#This Row],[kval_active]],dict_zuord_Meth_Transfers[[#This Row],[ID_Transfers]],"")</f>
        <v/>
      </c>
    </row>
    <row r="1698" spans="1:4" x14ac:dyDescent="0.45">
      <c r="A1698">
        <v>282</v>
      </c>
      <c r="B1698" s="3">
        <f t="shared" ca="1" si="26"/>
        <v>36</v>
      </c>
      <c r="C1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8" t="str">
        <f ca="1">IF(dict_zuord_Meth_Transfers[[#This Row],[kval_active]],dict_zuord_Meth_Transfers[[#This Row],[ID_Transfers]],"")</f>
        <v/>
      </c>
    </row>
    <row r="1699" spans="1:4" x14ac:dyDescent="0.45">
      <c r="A1699">
        <v>282</v>
      </c>
      <c r="B1699">
        <f t="shared" ca="1" si="26"/>
        <v>54</v>
      </c>
      <c r="C1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699" t="str">
        <f ca="1">IF(dict_zuord_Meth_Transfers[[#This Row],[kval_active]],dict_zuord_Meth_Transfers[[#This Row],[ID_Transfers]],"")</f>
        <v/>
      </c>
    </row>
    <row r="1700" spans="1:4" x14ac:dyDescent="0.45">
      <c r="A1700">
        <v>283</v>
      </c>
      <c r="B1700" s="3">
        <f t="shared" ca="1" si="26"/>
        <v>34</v>
      </c>
      <c r="C1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0" t="str">
        <f ca="1">IF(dict_zuord_Meth_Transfers[[#This Row],[kval_active]],dict_zuord_Meth_Transfers[[#This Row],[ID_Transfers]],"")</f>
        <v/>
      </c>
    </row>
    <row r="1701" spans="1:4" x14ac:dyDescent="0.45">
      <c r="A1701">
        <v>283</v>
      </c>
      <c r="B1701" s="3">
        <f t="shared" ca="1" si="26"/>
        <v>41</v>
      </c>
      <c r="C1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1" t="str">
        <f ca="1">IF(dict_zuord_Meth_Transfers[[#This Row],[kval_active]],dict_zuord_Meth_Transfers[[#This Row],[ID_Transfers]],"")</f>
        <v/>
      </c>
    </row>
    <row r="1702" spans="1:4" x14ac:dyDescent="0.45">
      <c r="A1702">
        <v>283</v>
      </c>
      <c r="B1702">
        <f t="shared" ca="1" si="26"/>
        <v>96</v>
      </c>
      <c r="C1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2" t="str">
        <f ca="1">IF(dict_zuord_Meth_Transfers[[#This Row],[kval_active]],dict_zuord_Meth_Transfers[[#This Row],[ID_Transfers]],"")</f>
        <v/>
      </c>
    </row>
    <row r="1703" spans="1:4" x14ac:dyDescent="0.45">
      <c r="A1703">
        <v>283</v>
      </c>
      <c r="B1703" s="3">
        <f t="shared" ca="1" si="26"/>
        <v>199</v>
      </c>
      <c r="C1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3" t="str">
        <f ca="1">IF(dict_zuord_Meth_Transfers[[#This Row],[kval_active]],dict_zuord_Meth_Transfers[[#This Row],[ID_Transfers]],"")</f>
        <v/>
      </c>
    </row>
    <row r="1704" spans="1:4" x14ac:dyDescent="0.45">
      <c r="A1704">
        <v>283</v>
      </c>
      <c r="B1704">
        <f t="shared" ca="1" si="26"/>
        <v>200</v>
      </c>
      <c r="C1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4" t="str">
        <f ca="1">IF(dict_zuord_Meth_Transfers[[#This Row],[kval_active]],dict_zuord_Meth_Transfers[[#This Row],[ID_Transfers]],"")</f>
        <v/>
      </c>
    </row>
    <row r="1705" spans="1:4" x14ac:dyDescent="0.45">
      <c r="A1705">
        <v>283</v>
      </c>
      <c r="B1705">
        <f t="shared" ca="1" si="26"/>
        <v>37</v>
      </c>
      <c r="C1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5" t="str">
        <f ca="1">IF(dict_zuord_Meth_Transfers[[#This Row],[kval_active]],dict_zuord_Meth_Transfers[[#This Row],[ID_Transfers]],"")</f>
        <v/>
      </c>
    </row>
    <row r="1706" spans="1:4" x14ac:dyDescent="0.45">
      <c r="A1706">
        <v>284</v>
      </c>
      <c r="B1706" s="3">
        <f t="shared" ca="1" si="26"/>
        <v>38</v>
      </c>
      <c r="C1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6" t="str">
        <f ca="1">IF(dict_zuord_Meth_Transfers[[#This Row],[kval_active]],dict_zuord_Meth_Transfers[[#This Row],[ID_Transfers]],"")</f>
        <v/>
      </c>
    </row>
    <row r="1707" spans="1:4" x14ac:dyDescent="0.45">
      <c r="A1707">
        <v>284</v>
      </c>
      <c r="B1707">
        <f t="shared" ca="1" si="26"/>
        <v>178</v>
      </c>
      <c r="C1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7" t="str">
        <f ca="1">IF(dict_zuord_Meth_Transfers[[#This Row],[kval_active]],dict_zuord_Meth_Transfers[[#This Row],[ID_Transfers]],"")</f>
        <v/>
      </c>
    </row>
    <row r="1708" spans="1:4" x14ac:dyDescent="0.45">
      <c r="A1708">
        <v>284</v>
      </c>
      <c r="B1708" s="3">
        <f t="shared" ca="1" si="26"/>
        <v>122</v>
      </c>
      <c r="C1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8" t="str">
        <f ca="1">IF(dict_zuord_Meth_Transfers[[#This Row],[kval_active]],dict_zuord_Meth_Transfers[[#This Row],[ID_Transfers]],"")</f>
        <v/>
      </c>
    </row>
    <row r="1709" spans="1:4" x14ac:dyDescent="0.45">
      <c r="A1709">
        <v>284</v>
      </c>
      <c r="B1709">
        <f t="shared" ca="1" si="26"/>
        <v>71</v>
      </c>
      <c r="C1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09" t="str">
        <f ca="1">IF(dict_zuord_Meth_Transfers[[#This Row],[kval_active]],dict_zuord_Meth_Transfers[[#This Row],[ID_Transfers]],"")</f>
        <v/>
      </c>
    </row>
    <row r="1710" spans="1:4" x14ac:dyDescent="0.45">
      <c r="A1710">
        <v>284</v>
      </c>
      <c r="B1710">
        <f t="shared" ca="1" si="26"/>
        <v>79</v>
      </c>
      <c r="C1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0" t="str">
        <f ca="1">IF(dict_zuord_Meth_Transfers[[#This Row],[kval_active]],dict_zuord_Meth_Transfers[[#This Row],[ID_Transfers]],"")</f>
        <v/>
      </c>
    </row>
    <row r="1711" spans="1:4" x14ac:dyDescent="0.45">
      <c r="A1711">
        <v>284</v>
      </c>
      <c r="B1711" s="3">
        <f t="shared" ca="1" si="26"/>
        <v>184</v>
      </c>
      <c r="C1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1" t="str">
        <f ca="1">IF(dict_zuord_Meth_Transfers[[#This Row],[kval_active]],dict_zuord_Meth_Transfers[[#This Row],[ID_Transfers]],"")</f>
        <v/>
      </c>
    </row>
    <row r="1712" spans="1:4" x14ac:dyDescent="0.45">
      <c r="A1712">
        <v>285</v>
      </c>
      <c r="B1712">
        <f t="shared" ca="1" si="26"/>
        <v>85</v>
      </c>
      <c r="C1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2" t="str">
        <f ca="1">IF(dict_zuord_Meth_Transfers[[#This Row],[kval_active]],dict_zuord_Meth_Transfers[[#This Row],[ID_Transfers]],"")</f>
        <v/>
      </c>
    </row>
    <row r="1713" spans="1:4" x14ac:dyDescent="0.45">
      <c r="A1713">
        <v>285</v>
      </c>
      <c r="B1713">
        <f t="shared" ca="1" si="26"/>
        <v>15</v>
      </c>
      <c r="C1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3" t="str">
        <f ca="1">IF(dict_zuord_Meth_Transfers[[#This Row],[kval_active]],dict_zuord_Meth_Transfers[[#This Row],[ID_Transfers]],"")</f>
        <v/>
      </c>
    </row>
    <row r="1714" spans="1:4" x14ac:dyDescent="0.45">
      <c r="A1714">
        <v>285</v>
      </c>
      <c r="B1714" s="3">
        <f t="shared" ca="1" si="26"/>
        <v>192</v>
      </c>
      <c r="C1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4" t="str">
        <f ca="1">IF(dict_zuord_Meth_Transfers[[#This Row],[kval_active]],dict_zuord_Meth_Transfers[[#This Row],[ID_Transfers]],"")</f>
        <v/>
      </c>
    </row>
    <row r="1715" spans="1:4" x14ac:dyDescent="0.45">
      <c r="A1715">
        <v>285</v>
      </c>
      <c r="B1715" s="3">
        <f t="shared" ca="1" si="26"/>
        <v>29</v>
      </c>
      <c r="C1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5" t="str">
        <f ca="1">IF(dict_zuord_Meth_Transfers[[#This Row],[kval_active]],dict_zuord_Meth_Transfers[[#This Row],[ID_Transfers]],"")</f>
        <v/>
      </c>
    </row>
    <row r="1716" spans="1:4" x14ac:dyDescent="0.45">
      <c r="A1716">
        <v>285</v>
      </c>
      <c r="B1716">
        <f t="shared" ca="1" si="26"/>
        <v>25</v>
      </c>
      <c r="C1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6" t="str">
        <f ca="1">IF(dict_zuord_Meth_Transfers[[#This Row],[kval_active]],dict_zuord_Meth_Transfers[[#This Row],[ID_Transfers]],"")</f>
        <v/>
      </c>
    </row>
    <row r="1717" spans="1:4" x14ac:dyDescent="0.45">
      <c r="A1717">
        <v>285</v>
      </c>
      <c r="B1717" s="3">
        <f t="shared" ca="1" si="26"/>
        <v>130</v>
      </c>
      <c r="C1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7" t="str">
        <f ca="1">IF(dict_zuord_Meth_Transfers[[#This Row],[kval_active]],dict_zuord_Meth_Transfers[[#This Row],[ID_Transfers]],"")</f>
        <v/>
      </c>
    </row>
    <row r="1718" spans="1:4" x14ac:dyDescent="0.45">
      <c r="A1718">
        <v>286</v>
      </c>
      <c r="B1718" s="3">
        <f t="shared" ca="1" si="26"/>
        <v>56</v>
      </c>
      <c r="C1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8" t="str">
        <f ca="1">IF(dict_zuord_Meth_Transfers[[#This Row],[kval_active]],dict_zuord_Meth_Transfers[[#This Row],[ID_Transfers]],"")</f>
        <v/>
      </c>
    </row>
    <row r="1719" spans="1:4" x14ac:dyDescent="0.45">
      <c r="A1719">
        <v>286</v>
      </c>
      <c r="B1719" s="3">
        <f t="shared" ca="1" si="26"/>
        <v>153</v>
      </c>
      <c r="C1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19" t="str">
        <f ca="1">IF(dict_zuord_Meth_Transfers[[#This Row],[kval_active]],dict_zuord_Meth_Transfers[[#This Row],[ID_Transfers]],"")</f>
        <v/>
      </c>
    </row>
    <row r="1720" spans="1:4" x14ac:dyDescent="0.45">
      <c r="A1720">
        <v>286</v>
      </c>
      <c r="B1720">
        <f t="shared" ca="1" si="26"/>
        <v>55</v>
      </c>
      <c r="C1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0" t="str">
        <f ca="1">IF(dict_zuord_Meth_Transfers[[#This Row],[kval_active]],dict_zuord_Meth_Transfers[[#This Row],[ID_Transfers]],"")</f>
        <v/>
      </c>
    </row>
    <row r="1721" spans="1:4" x14ac:dyDescent="0.45">
      <c r="A1721">
        <v>286</v>
      </c>
      <c r="B1721">
        <f t="shared" ca="1" si="26"/>
        <v>114</v>
      </c>
      <c r="C1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1" t="str">
        <f ca="1">IF(dict_zuord_Meth_Transfers[[#This Row],[kval_active]],dict_zuord_Meth_Transfers[[#This Row],[ID_Transfers]],"")</f>
        <v/>
      </c>
    </row>
    <row r="1722" spans="1:4" x14ac:dyDescent="0.45">
      <c r="A1722">
        <v>286</v>
      </c>
      <c r="B1722" s="3">
        <f t="shared" ca="1" si="26"/>
        <v>90</v>
      </c>
      <c r="C1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2" t="str">
        <f ca="1">IF(dict_zuord_Meth_Transfers[[#This Row],[kval_active]],dict_zuord_Meth_Transfers[[#This Row],[ID_Transfers]],"")</f>
        <v/>
      </c>
    </row>
    <row r="1723" spans="1:4" x14ac:dyDescent="0.45">
      <c r="A1723">
        <v>286</v>
      </c>
      <c r="B1723">
        <f t="shared" ca="1" si="26"/>
        <v>63</v>
      </c>
      <c r="C1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3" t="str">
        <f ca="1">IF(dict_zuord_Meth_Transfers[[#This Row],[kval_active]],dict_zuord_Meth_Transfers[[#This Row],[ID_Transfers]],"")</f>
        <v/>
      </c>
    </row>
    <row r="1724" spans="1:4" x14ac:dyDescent="0.45">
      <c r="A1724">
        <v>287</v>
      </c>
      <c r="B1724">
        <f t="shared" ca="1" si="26"/>
        <v>35</v>
      </c>
      <c r="C1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4" t="str">
        <f ca="1">IF(dict_zuord_Meth_Transfers[[#This Row],[kval_active]],dict_zuord_Meth_Transfers[[#This Row],[ID_Transfers]],"")</f>
        <v/>
      </c>
    </row>
    <row r="1725" spans="1:4" x14ac:dyDescent="0.45">
      <c r="A1725">
        <v>287</v>
      </c>
      <c r="B1725" s="3">
        <f t="shared" ca="1" si="26"/>
        <v>104</v>
      </c>
      <c r="C1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5" t="str">
        <f ca="1">IF(dict_zuord_Meth_Transfers[[#This Row],[kval_active]],dict_zuord_Meth_Transfers[[#This Row],[ID_Transfers]],"")</f>
        <v/>
      </c>
    </row>
    <row r="1726" spans="1:4" x14ac:dyDescent="0.45">
      <c r="A1726">
        <v>287</v>
      </c>
      <c r="B1726">
        <f t="shared" ca="1" si="26"/>
        <v>153</v>
      </c>
      <c r="C1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6" t="str">
        <f ca="1">IF(dict_zuord_Meth_Transfers[[#This Row],[kval_active]],dict_zuord_Meth_Transfers[[#This Row],[ID_Transfers]],"")</f>
        <v/>
      </c>
    </row>
    <row r="1727" spans="1:4" x14ac:dyDescent="0.45">
      <c r="A1727">
        <v>287</v>
      </c>
      <c r="B1727" s="3">
        <f t="shared" ca="1" si="26"/>
        <v>200</v>
      </c>
      <c r="C1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7" t="str">
        <f ca="1">IF(dict_zuord_Meth_Transfers[[#This Row],[kval_active]],dict_zuord_Meth_Transfers[[#This Row],[ID_Transfers]],"")</f>
        <v/>
      </c>
    </row>
    <row r="1728" spans="1:4" x14ac:dyDescent="0.45">
      <c r="A1728">
        <v>287</v>
      </c>
      <c r="B1728">
        <f t="shared" ca="1" si="26"/>
        <v>15</v>
      </c>
      <c r="C1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8" t="str">
        <f ca="1">IF(dict_zuord_Meth_Transfers[[#This Row],[kval_active]],dict_zuord_Meth_Transfers[[#This Row],[ID_Transfers]],"")</f>
        <v/>
      </c>
    </row>
    <row r="1729" spans="1:4" x14ac:dyDescent="0.45">
      <c r="A1729">
        <v>287</v>
      </c>
      <c r="B1729" s="3">
        <f t="shared" ca="1" si="26"/>
        <v>198</v>
      </c>
      <c r="C1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29" t="str">
        <f ca="1">IF(dict_zuord_Meth_Transfers[[#This Row],[kval_active]],dict_zuord_Meth_Transfers[[#This Row],[ID_Transfers]],"")</f>
        <v/>
      </c>
    </row>
    <row r="1730" spans="1:4" x14ac:dyDescent="0.45">
      <c r="A1730">
        <v>288</v>
      </c>
      <c r="B1730" s="3">
        <f t="shared" ref="B1730:B1793" ca="1" si="27">RANDBETWEEN(0,200)</f>
        <v>127</v>
      </c>
      <c r="C1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0" t="str">
        <f ca="1">IF(dict_zuord_Meth_Transfers[[#This Row],[kval_active]],dict_zuord_Meth_Transfers[[#This Row],[ID_Transfers]],"")</f>
        <v/>
      </c>
    </row>
    <row r="1731" spans="1:4" x14ac:dyDescent="0.45">
      <c r="A1731">
        <v>288</v>
      </c>
      <c r="B1731">
        <f t="shared" ca="1" si="27"/>
        <v>103</v>
      </c>
      <c r="C1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1" t="str">
        <f ca="1">IF(dict_zuord_Meth_Transfers[[#This Row],[kval_active]],dict_zuord_Meth_Transfers[[#This Row],[ID_Transfers]],"")</f>
        <v/>
      </c>
    </row>
    <row r="1732" spans="1:4" x14ac:dyDescent="0.45">
      <c r="A1732">
        <v>288</v>
      </c>
      <c r="B1732" s="3">
        <f t="shared" ca="1" si="27"/>
        <v>93</v>
      </c>
      <c r="C1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2" t="str">
        <f ca="1">IF(dict_zuord_Meth_Transfers[[#This Row],[kval_active]],dict_zuord_Meth_Transfers[[#This Row],[ID_Transfers]],"")</f>
        <v/>
      </c>
    </row>
    <row r="1733" spans="1:4" x14ac:dyDescent="0.45">
      <c r="A1733">
        <v>288</v>
      </c>
      <c r="B1733">
        <f t="shared" ca="1" si="27"/>
        <v>168</v>
      </c>
      <c r="C1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3" t="str">
        <f ca="1">IF(dict_zuord_Meth_Transfers[[#This Row],[kval_active]],dict_zuord_Meth_Transfers[[#This Row],[ID_Transfers]],"")</f>
        <v/>
      </c>
    </row>
    <row r="1734" spans="1:4" x14ac:dyDescent="0.45">
      <c r="A1734">
        <v>288</v>
      </c>
      <c r="B1734" s="3">
        <f t="shared" ca="1" si="27"/>
        <v>91</v>
      </c>
      <c r="C1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4" t="str">
        <f ca="1">IF(dict_zuord_Meth_Transfers[[#This Row],[kval_active]],dict_zuord_Meth_Transfers[[#This Row],[ID_Transfers]],"")</f>
        <v/>
      </c>
    </row>
    <row r="1735" spans="1:4" x14ac:dyDescent="0.45">
      <c r="A1735">
        <v>288</v>
      </c>
      <c r="B1735">
        <f t="shared" ca="1" si="27"/>
        <v>129</v>
      </c>
      <c r="C1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5" t="str">
        <f ca="1">IF(dict_zuord_Meth_Transfers[[#This Row],[kval_active]],dict_zuord_Meth_Transfers[[#This Row],[ID_Transfers]],"")</f>
        <v/>
      </c>
    </row>
    <row r="1736" spans="1:4" x14ac:dyDescent="0.45">
      <c r="A1736">
        <v>289</v>
      </c>
      <c r="B1736" s="3">
        <f t="shared" ca="1" si="27"/>
        <v>18</v>
      </c>
      <c r="C1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6" t="str">
        <f ca="1">IF(dict_zuord_Meth_Transfers[[#This Row],[kval_active]],dict_zuord_Meth_Transfers[[#This Row],[ID_Transfers]],"")</f>
        <v/>
      </c>
    </row>
    <row r="1737" spans="1:4" x14ac:dyDescent="0.45">
      <c r="A1737">
        <v>289</v>
      </c>
      <c r="B1737" s="3">
        <f t="shared" ca="1" si="27"/>
        <v>143</v>
      </c>
      <c r="C1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7" t="str">
        <f ca="1">IF(dict_zuord_Meth_Transfers[[#This Row],[kval_active]],dict_zuord_Meth_Transfers[[#This Row],[ID_Transfers]],"")</f>
        <v/>
      </c>
    </row>
    <row r="1738" spans="1:4" x14ac:dyDescent="0.45">
      <c r="A1738">
        <v>289</v>
      </c>
      <c r="B1738">
        <f t="shared" ca="1" si="27"/>
        <v>133</v>
      </c>
      <c r="C1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8" t="str">
        <f ca="1">IF(dict_zuord_Meth_Transfers[[#This Row],[kval_active]],dict_zuord_Meth_Transfers[[#This Row],[ID_Transfers]],"")</f>
        <v/>
      </c>
    </row>
    <row r="1739" spans="1:4" x14ac:dyDescent="0.45">
      <c r="A1739">
        <v>289</v>
      </c>
      <c r="B1739">
        <f t="shared" ca="1" si="27"/>
        <v>128</v>
      </c>
      <c r="C1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39" t="str">
        <f ca="1">IF(dict_zuord_Meth_Transfers[[#This Row],[kval_active]],dict_zuord_Meth_Transfers[[#This Row],[ID_Transfers]],"")</f>
        <v/>
      </c>
    </row>
    <row r="1740" spans="1:4" x14ac:dyDescent="0.45">
      <c r="A1740">
        <v>289</v>
      </c>
      <c r="B1740">
        <f t="shared" ca="1" si="27"/>
        <v>156</v>
      </c>
      <c r="C1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0" t="str">
        <f ca="1">IF(dict_zuord_Meth_Transfers[[#This Row],[kval_active]],dict_zuord_Meth_Transfers[[#This Row],[ID_Transfers]],"")</f>
        <v/>
      </c>
    </row>
    <row r="1741" spans="1:4" x14ac:dyDescent="0.45">
      <c r="A1741">
        <v>289</v>
      </c>
      <c r="B1741" s="3">
        <f t="shared" ca="1" si="27"/>
        <v>172</v>
      </c>
      <c r="C1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1" t="str">
        <f ca="1">IF(dict_zuord_Meth_Transfers[[#This Row],[kval_active]],dict_zuord_Meth_Transfers[[#This Row],[ID_Transfers]],"")</f>
        <v/>
      </c>
    </row>
    <row r="1742" spans="1:4" x14ac:dyDescent="0.45">
      <c r="A1742">
        <v>290</v>
      </c>
      <c r="B1742" s="3">
        <f t="shared" ca="1" si="27"/>
        <v>7</v>
      </c>
      <c r="C1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2" t="str">
        <f ca="1">IF(dict_zuord_Meth_Transfers[[#This Row],[kval_active]],dict_zuord_Meth_Transfers[[#This Row],[ID_Transfers]],"")</f>
        <v/>
      </c>
    </row>
    <row r="1743" spans="1:4" x14ac:dyDescent="0.45">
      <c r="A1743">
        <v>290</v>
      </c>
      <c r="B1743" s="3">
        <f t="shared" ca="1" si="27"/>
        <v>99</v>
      </c>
      <c r="C1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3" t="str">
        <f ca="1">IF(dict_zuord_Meth_Transfers[[#This Row],[kval_active]],dict_zuord_Meth_Transfers[[#This Row],[ID_Transfers]],"")</f>
        <v/>
      </c>
    </row>
    <row r="1744" spans="1:4" x14ac:dyDescent="0.45">
      <c r="A1744">
        <v>290</v>
      </c>
      <c r="B1744" s="3">
        <f t="shared" ca="1" si="27"/>
        <v>97</v>
      </c>
      <c r="C1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4" t="str">
        <f ca="1">IF(dict_zuord_Meth_Transfers[[#This Row],[kval_active]],dict_zuord_Meth_Transfers[[#This Row],[ID_Transfers]],"")</f>
        <v/>
      </c>
    </row>
    <row r="1745" spans="1:4" x14ac:dyDescent="0.45">
      <c r="A1745">
        <v>290</v>
      </c>
      <c r="B1745">
        <f t="shared" ca="1" si="27"/>
        <v>131</v>
      </c>
      <c r="C1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5" t="str">
        <f ca="1">IF(dict_zuord_Meth_Transfers[[#This Row],[kval_active]],dict_zuord_Meth_Transfers[[#This Row],[ID_Transfers]],"")</f>
        <v/>
      </c>
    </row>
    <row r="1746" spans="1:4" x14ac:dyDescent="0.45">
      <c r="A1746">
        <v>290</v>
      </c>
      <c r="B1746">
        <f t="shared" ca="1" si="27"/>
        <v>27</v>
      </c>
      <c r="C1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6" t="str">
        <f ca="1">IF(dict_zuord_Meth_Transfers[[#This Row],[kval_active]],dict_zuord_Meth_Transfers[[#This Row],[ID_Transfers]],"")</f>
        <v/>
      </c>
    </row>
    <row r="1747" spans="1:4" x14ac:dyDescent="0.45">
      <c r="A1747">
        <v>290</v>
      </c>
      <c r="B1747">
        <f t="shared" ca="1" si="27"/>
        <v>27</v>
      </c>
      <c r="C1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7" t="str">
        <f ca="1">IF(dict_zuord_Meth_Transfers[[#This Row],[kval_active]],dict_zuord_Meth_Transfers[[#This Row],[ID_Transfers]],"")</f>
        <v/>
      </c>
    </row>
    <row r="1748" spans="1:4" x14ac:dyDescent="0.45">
      <c r="A1748">
        <v>291</v>
      </c>
      <c r="B1748" s="3">
        <f t="shared" ca="1" si="27"/>
        <v>179</v>
      </c>
      <c r="C1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8" t="str">
        <f ca="1">IF(dict_zuord_Meth_Transfers[[#This Row],[kval_active]],dict_zuord_Meth_Transfers[[#This Row],[ID_Transfers]],"")</f>
        <v/>
      </c>
    </row>
    <row r="1749" spans="1:4" x14ac:dyDescent="0.45">
      <c r="A1749">
        <v>291</v>
      </c>
      <c r="B1749">
        <f t="shared" ca="1" si="27"/>
        <v>72</v>
      </c>
      <c r="C1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49" t="str">
        <f ca="1">IF(dict_zuord_Meth_Transfers[[#This Row],[kval_active]],dict_zuord_Meth_Transfers[[#This Row],[ID_Transfers]],"")</f>
        <v/>
      </c>
    </row>
    <row r="1750" spans="1:4" x14ac:dyDescent="0.45">
      <c r="A1750">
        <v>291</v>
      </c>
      <c r="B1750">
        <f t="shared" ca="1" si="27"/>
        <v>141</v>
      </c>
      <c r="C1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0" t="str">
        <f ca="1">IF(dict_zuord_Meth_Transfers[[#This Row],[kval_active]],dict_zuord_Meth_Transfers[[#This Row],[ID_Transfers]],"")</f>
        <v/>
      </c>
    </row>
    <row r="1751" spans="1:4" x14ac:dyDescent="0.45">
      <c r="A1751">
        <v>291</v>
      </c>
      <c r="B1751">
        <f t="shared" ca="1" si="27"/>
        <v>180</v>
      </c>
      <c r="C1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1" t="str">
        <f ca="1">IF(dict_zuord_Meth_Transfers[[#This Row],[kval_active]],dict_zuord_Meth_Transfers[[#This Row],[ID_Transfers]],"")</f>
        <v/>
      </c>
    </row>
    <row r="1752" spans="1:4" x14ac:dyDescent="0.45">
      <c r="A1752">
        <v>291</v>
      </c>
      <c r="B1752" s="3">
        <f t="shared" ca="1" si="27"/>
        <v>11</v>
      </c>
      <c r="C1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2" t="str">
        <f ca="1">IF(dict_zuord_Meth_Transfers[[#This Row],[kval_active]],dict_zuord_Meth_Transfers[[#This Row],[ID_Transfers]],"")</f>
        <v/>
      </c>
    </row>
    <row r="1753" spans="1:4" x14ac:dyDescent="0.45">
      <c r="A1753">
        <v>291</v>
      </c>
      <c r="B1753" s="3">
        <f t="shared" ca="1" si="27"/>
        <v>94</v>
      </c>
      <c r="C1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3" t="str">
        <f ca="1">IF(dict_zuord_Meth_Transfers[[#This Row],[kval_active]],dict_zuord_Meth_Transfers[[#This Row],[ID_Transfers]],"")</f>
        <v/>
      </c>
    </row>
    <row r="1754" spans="1:4" x14ac:dyDescent="0.45">
      <c r="A1754">
        <v>292</v>
      </c>
      <c r="B1754" s="3">
        <f t="shared" ca="1" si="27"/>
        <v>7</v>
      </c>
      <c r="C1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4" t="str">
        <f ca="1">IF(dict_zuord_Meth_Transfers[[#This Row],[kval_active]],dict_zuord_Meth_Transfers[[#This Row],[ID_Transfers]],"")</f>
        <v/>
      </c>
    </row>
    <row r="1755" spans="1:4" x14ac:dyDescent="0.45">
      <c r="A1755">
        <v>292</v>
      </c>
      <c r="B1755" s="3">
        <f t="shared" ca="1" si="27"/>
        <v>50</v>
      </c>
      <c r="C1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5" t="str">
        <f ca="1">IF(dict_zuord_Meth_Transfers[[#This Row],[kval_active]],dict_zuord_Meth_Transfers[[#This Row],[ID_Transfers]],"")</f>
        <v/>
      </c>
    </row>
    <row r="1756" spans="1:4" x14ac:dyDescent="0.45">
      <c r="A1756">
        <v>292</v>
      </c>
      <c r="B1756">
        <f t="shared" ca="1" si="27"/>
        <v>80</v>
      </c>
      <c r="C1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6" t="str">
        <f ca="1">IF(dict_zuord_Meth_Transfers[[#This Row],[kval_active]],dict_zuord_Meth_Transfers[[#This Row],[ID_Transfers]],"")</f>
        <v/>
      </c>
    </row>
    <row r="1757" spans="1:4" x14ac:dyDescent="0.45">
      <c r="A1757">
        <v>292</v>
      </c>
      <c r="B1757" s="3">
        <f t="shared" ca="1" si="27"/>
        <v>65</v>
      </c>
      <c r="C1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7" t="str">
        <f ca="1">IF(dict_zuord_Meth_Transfers[[#This Row],[kval_active]],dict_zuord_Meth_Transfers[[#This Row],[ID_Transfers]],"")</f>
        <v/>
      </c>
    </row>
    <row r="1758" spans="1:4" x14ac:dyDescent="0.45">
      <c r="A1758">
        <v>292</v>
      </c>
      <c r="B1758">
        <f t="shared" ca="1" si="27"/>
        <v>168</v>
      </c>
      <c r="C1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8" t="str">
        <f ca="1">IF(dict_zuord_Meth_Transfers[[#This Row],[kval_active]],dict_zuord_Meth_Transfers[[#This Row],[ID_Transfers]],"")</f>
        <v/>
      </c>
    </row>
    <row r="1759" spans="1:4" x14ac:dyDescent="0.45">
      <c r="A1759">
        <v>292</v>
      </c>
      <c r="B1759">
        <f t="shared" ca="1" si="27"/>
        <v>66</v>
      </c>
      <c r="C1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59" t="str">
        <f ca="1">IF(dict_zuord_Meth_Transfers[[#This Row],[kval_active]],dict_zuord_Meth_Transfers[[#This Row],[ID_Transfers]],"")</f>
        <v/>
      </c>
    </row>
    <row r="1760" spans="1:4" x14ac:dyDescent="0.45">
      <c r="A1760">
        <v>293</v>
      </c>
      <c r="B1760">
        <f t="shared" ca="1" si="27"/>
        <v>29</v>
      </c>
      <c r="C1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0" t="str">
        <f ca="1">IF(dict_zuord_Meth_Transfers[[#This Row],[kval_active]],dict_zuord_Meth_Transfers[[#This Row],[ID_Transfers]],"")</f>
        <v/>
      </c>
    </row>
    <row r="1761" spans="1:4" x14ac:dyDescent="0.45">
      <c r="A1761">
        <v>293</v>
      </c>
      <c r="B1761" s="3">
        <f t="shared" ca="1" si="27"/>
        <v>162</v>
      </c>
      <c r="C1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1" t="str">
        <f ca="1">IF(dict_zuord_Meth_Transfers[[#This Row],[kval_active]],dict_zuord_Meth_Transfers[[#This Row],[ID_Transfers]],"")</f>
        <v/>
      </c>
    </row>
    <row r="1762" spans="1:4" x14ac:dyDescent="0.45">
      <c r="A1762">
        <v>293</v>
      </c>
      <c r="B1762">
        <f t="shared" ca="1" si="27"/>
        <v>45</v>
      </c>
      <c r="C1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2" t="str">
        <f ca="1">IF(dict_zuord_Meth_Transfers[[#This Row],[kval_active]],dict_zuord_Meth_Transfers[[#This Row],[ID_Transfers]],"")</f>
        <v/>
      </c>
    </row>
    <row r="1763" spans="1:4" x14ac:dyDescent="0.45">
      <c r="A1763">
        <v>293</v>
      </c>
      <c r="B1763">
        <f t="shared" ca="1" si="27"/>
        <v>109</v>
      </c>
      <c r="C1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3" t="str">
        <f ca="1">IF(dict_zuord_Meth_Transfers[[#This Row],[kval_active]],dict_zuord_Meth_Transfers[[#This Row],[ID_Transfers]],"")</f>
        <v/>
      </c>
    </row>
    <row r="1764" spans="1:4" x14ac:dyDescent="0.45">
      <c r="A1764">
        <v>293</v>
      </c>
      <c r="B1764" s="3">
        <f t="shared" ca="1" si="27"/>
        <v>39</v>
      </c>
      <c r="C1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4" t="str">
        <f ca="1">IF(dict_zuord_Meth_Transfers[[#This Row],[kval_active]],dict_zuord_Meth_Transfers[[#This Row],[ID_Transfers]],"")</f>
        <v/>
      </c>
    </row>
    <row r="1765" spans="1:4" x14ac:dyDescent="0.45">
      <c r="A1765">
        <v>293</v>
      </c>
      <c r="B1765" s="3">
        <f t="shared" ca="1" si="27"/>
        <v>151</v>
      </c>
      <c r="C1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5" t="str">
        <f ca="1">IF(dict_zuord_Meth_Transfers[[#This Row],[kval_active]],dict_zuord_Meth_Transfers[[#This Row],[ID_Transfers]],"")</f>
        <v/>
      </c>
    </row>
    <row r="1766" spans="1:4" x14ac:dyDescent="0.45">
      <c r="A1766">
        <v>294</v>
      </c>
      <c r="B1766">
        <f t="shared" ca="1" si="27"/>
        <v>138</v>
      </c>
      <c r="C1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6" t="str">
        <f ca="1">IF(dict_zuord_Meth_Transfers[[#This Row],[kval_active]],dict_zuord_Meth_Transfers[[#This Row],[ID_Transfers]],"")</f>
        <v/>
      </c>
    </row>
    <row r="1767" spans="1:4" x14ac:dyDescent="0.45">
      <c r="A1767">
        <v>294</v>
      </c>
      <c r="B1767" s="3">
        <f t="shared" ca="1" si="27"/>
        <v>39</v>
      </c>
      <c r="C1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7" t="str">
        <f ca="1">IF(dict_zuord_Meth_Transfers[[#This Row],[kval_active]],dict_zuord_Meth_Transfers[[#This Row],[ID_Transfers]],"")</f>
        <v/>
      </c>
    </row>
    <row r="1768" spans="1:4" x14ac:dyDescent="0.45">
      <c r="A1768">
        <v>294</v>
      </c>
      <c r="B1768" s="3">
        <f t="shared" ca="1" si="27"/>
        <v>36</v>
      </c>
      <c r="C1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8" t="str">
        <f ca="1">IF(dict_zuord_Meth_Transfers[[#This Row],[kval_active]],dict_zuord_Meth_Transfers[[#This Row],[ID_Transfers]],"")</f>
        <v/>
      </c>
    </row>
    <row r="1769" spans="1:4" x14ac:dyDescent="0.45">
      <c r="A1769">
        <v>294</v>
      </c>
      <c r="B1769">
        <f t="shared" ca="1" si="27"/>
        <v>19</v>
      </c>
      <c r="C1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69" t="str">
        <f ca="1">IF(dict_zuord_Meth_Transfers[[#This Row],[kval_active]],dict_zuord_Meth_Transfers[[#This Row],[ID_Transfers]],"")</f>
        <v/>
      </c>
    </row>
    <row r="1770" spans="1:4" x14ac:dyDescent="0.45">
      <c r="A1770">
        <v>294</v>
      </c>
      <c r="B1770">
        <f t="shared" ca="1" si="27"/>
        <v>163</v>
      </c>
      <c r="C1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0" t="str">
        <f ca="1">IF(dict_zuord_Meth_Transfers[[#This Row],[kval_active]],dict_zuord_Meth_Transfers[[#This Row],[ID_Transfers]],"")</f>
        <v/>
      </c>
    </row>
    <row r="1771" spans="1:4" x14ac:dyDescent="0.45">
      <c r="A1771">
        <v>294</v>
      </c>
      <c r="B1771" s="3">
        <f t="shared" ca="1" si="27"/>
        <v>103</v>
      </c>
      <c r="C1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1" t="str">
        <f ca="1">IF(dict_zuord_Meth_Transfers[[#This Row],[kval_active]],dict_zuord_Meth_Transfers[[#This Row],[ID_Transfers]],"")</f>
        <v/>
      </c>
    </row>
    <row r="1772" spans="1:4" x14ac:dyDescent="0.45">
      <c r="A1772">
        <v>295</v>
      </c>
      <c r="B1772">
        <f t="shared" ca="1" si="27"/>
        <v>63</v>
      </c>
      <c r="C1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2" t="str">
        <f ca="1">IF(dict_zuord_Meth_Transfers[[#This Row],[kval_active]],dict_zuord_Meth_Transfers[[#This Row],[ID_Transfers]],"")</f>
        <v/>
      </c>
    </row>
    <row r="1773" spans="1:4" x14ac:dyDescent="0.45">
      <c r="A1773">
        <v>295</v>
      </c>
      <c r="B1773">
        <f t="shared" ca="1" si="27"/>
        <v>20</v>
      </c>
      <c r="C1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3" t="str">
        <f ca="1">IF(dict_zuord_Meth_Transfers[[#This Row],[kval_active]],dict_zuord_Meth_Transfers[[#This Row],[ID_Transfers]],"")</f>
        <v/>
      </c>
    </row>
    <row r="1774" spans="1:4" x14ac:dyDescent="0.45">
      <c r="A1774">
        <v>295</v>
      </c>
      <c r="B1774" s="3">
        <f t="shared" ca="1" si="27"/>
        <v>66</v>
      </c>
      <c r="C1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4" t="str">
        <f ca="1">IF(dict_zuord_Meth_Transfers[[#This Row],[kval_active]],dict_zuord_Meth_Transfers[[#This Row],[ID_Transfers]],"")</f>
        <v/>
      </c>
    </row>
    <row r="1775" spans="1:4" x14ac:dyDescent="0.45">
      <c r="A1775">
        <v>295</v>
      </c>
      <c r="B1775" s="3">
        <f t="shared" ca="1" si="27"/>
        <v>123</v>
      </c>
      <c r="C1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5" t="str">
        <f ca="1">IF(dict_zuord_Meth_Transfers[[#This Row],[kval_active]],dict_zuord_Meth_Transfers[[#This Row],[ID_Transfers]],"")</f>
        <v/>
      </c>
    </row>
    <row r="1776" spans="1:4" x14ac:dyDescent="0.45">
      <c r="A1776">
        <v>295</v>
      </c>
      <c r="B1776">
        <f t="shared" ca="1" si="27"/>
        <v>64</v>
      </c>
      <c r="C1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6" t="str">
        <f ca="1">IF(dict_zuord_Meth_Transfers[[#This Row],[kval_active]],dict_zuord_Meth_Transfers[[#This Row],[ID_Transfers]],"")</f>
        <v/>
      </c>
    </row>
    <row r="1777" spans="1:4" x14ac:dyDescent="0.45">
      <c r="A1777">
        <v>295</v>
      </c>
      <c r="B1777" s="3">
        <f t="shared" ca="1" si="27"/>
        <v>157</v>
      </c>
      <c r="C1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7" t="str">
        <f ca="1">IF(dict_zuord_Meth_Transfers[[#This Row],[kval_active]],dict_zuord_Meth_Transfers[[#This Row],[ID_Transfers]],"")</f>
        <v/>
      </c>
    </row>
    <row r="1778" spans="1:4" x14ac:dyDescent="0.45">
      <c r="A1778">
        <v>296</v>
      </c>
      <c r="B1778">
        <f t="shared" ca="1" si="27"/>
        <v>1</v>
      </c>
      <c r="C1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8" t="str">
        <f ca="1">IF(dict_zuord_Meth_Transfers[[#This Row],[kval_active]],dict_zuord_Meth_Transfers[[#This Row],[ID_Transfers]],"")</f>
        <v/>
      </c>
    </row>
    <row r="1779" spans="1:4" x14ac:dyDescent="0.45">
      <c r="A1779">
        <v>296</v>
      </c>
      <c r="B1779" s="3">
        <f t="shared" ca="1" si="27"/>
        <v>100</v>
      </c>
      <c r="C1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79" t="str">
        <f ca="1">IF(dict_zuord_Meth_Transfers[[#This Row],[kval_active]],dict_zuord_Meth_Transfers[[#This Row],[ID_Transfers]],"")</f>
        <v/>
      </c>
    </row>
    <row r="1780" spans="1:4" x14ac:dyDescent="0.45">
      <c r="A1780">
        <v>296</v>
      </c>
      <c r="B1780" s="3">
        <f t="shared" ca="1" si="27"/>
        <v>56</v>
      </c>
      <c r="C1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0" t="str">
        <f ca="1">IF(dict_zuord_Meth_Transfers[[#This Row],[kval_active]],dict_zuord_Meth_Transfers[[#This Row],[ID_Transfers]],"")</f>
        <v/>
      </c>
    </row>
    <row r="1781" spans="1:4" x14ac:dyDescent="0.45">
      <c r="A1781">
        <v>296</v>
      </c>
      <c r="B1781">
        <f t="shared" ca="1" si="27"/>
        <v>46</v>
      </c>
      <c r="C1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1" t="str">
        <f ca="1">IF(dict_zuord_Meth_Transfers[[#This Row],[kval_active]],dict_zuord_Meth_Transfers[[#This Row],[ID_Transfers]],"")</f>
        <v/>
      </c>
    </row>
    <row r="1782" spans="1:4" x14ac:dyDescent="0.45">
      <c r="A1782">
        <v>296</v>
      </c>
      <c r="B1782" s="3">
        <f t="shared" ca="1" si="27"/>
        <v>52</v>
      </c>
      <c r="C1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2" t="str">
        <f ca="1">IF(dict_zuord_Meth_Transfers[[#This Row],[kval_active]],dict_zuord_Meth_Transfers[[#This Row],[ID_Transfers]],"")</f>
        <v/>
      </c>
    </row>
    <row r="1783" spans="1:4" x14ac:dyDescent="0.45">
      <c r="A1783">
        <v>296</v>
      </c>
      <c r="B1783">
        <f t="shared" ca="1" si="27"/>
        <v>189</v>
      </c>
      <c r="C1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3" t="str">
        <f ca="1">IF(dict_zuord_Meth_Transfers[[#This Row],[kval_active]],dict_zuord_Meth_Transfers[[#This Row],[ID_Transfers]],"")</f>
        <v/>
      </c>
    </row>
    <row r="1784" spans="1:4" x14ac:dyDescent="0.45">
      <c r="A1784">
        <v>297</v>
      </c>
      <c r="B1784" s="3">
        <f t="shared" ca="1" si="27"/>
        <v>95</v>
      </c>
      <c r="C1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4" t="str">
        <f ca="1">IF(dict_zuord_Meth_Transfers[[#This Row],[kval_active]],dict_zuord_Meth_Transfers[[#This Row],[ID_Transfers]],"")</f>
        <v/>
      </c>
    </row>
    <row r="1785" spans="1:4" x14ac:dyDescent="0.45">
      <c r="A1785">
        <v>297</v>
      </c>
      <c r="B1785">
        <f t="shared" ca="1" si="27"/>
        <v>148</v>
      </c>
      <c r="C1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5" t="str">
        <f ca="1">IF(dict_zuord_Meth_Transfers[[#This Row],[kval_active]],dict_zuord_Meth_Transfers[[#This Row],[ID_Transfers]],"")</f>
        <v/>
      </c>
    </row>
    <row r="1786" spans="1:4" x14ac:dyDescent="0.45">
      <c r="A1786">
        <v>297</v>
      </c>
      <c r="B1786" s="3">
        <f t="shared" ca="1" si="27"/>
        <v>164</v>
      </c>
      <c r="C1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6" t="str">
        <f ca="1">IF(dict_zuord_Meth_Transfers[[#This Row],[kval_active]],dict_zuord_Meth_Transfers[[#This Row],[ID_Transfers]],"")</f>
        <v/>
      </c>
    </row>
    <row r="1787" spans="1:4" x14ac:dyDescent="0.45">
      <c r="A1787">
        <v>297</v>
      </c>
      <c r="B1787" s="3">
        <f t="shared" ca="1" si="27"/>
        <v>93</v>
      </c>
      <c r="C1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7" t="str">
        <f ca="1">IF(dict_zuord_Meth_Transfers[[#This Row],[kval_active]],dict_zuord_Meth_Transfers[[#This Row],[ID_Transfers]],"")</f>
        <v/>
      </c>
    </row>
    <row r="1788" spans="1:4" x14ac:dyDescent="0.45">
      <c r="A1788">
        <v>297</v>
      </c>
      <c r="B1788">
        <f t="shared" ca="1" si="27"/>
        <v>112</v>
      </c>
      <c r="C1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8" t="str">
        <f ca="1">IF(dict_zuord_Meth_Transfers[[#This Row],[kval_active]],dict_zuord_Meth_Transfers[[#This Row],[ID_Transfers]],"")</f>
        <v/>
      </c>
    </row>
    <row r="1789" spans="1:4" x14ac:dyDescent="0.45">
      <c r="A1789">
        <v>297</v>
      </c>
      <c r="B1789">
        <f t="shared" ca="1" si="27"/>
        <v>150</v>
      </c>
      <c r="C1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89" t="str">
        <f ca="1">IF(dict_zuord_Meth_Transfers[[#This Row],[kval_active]],dict_zuord_Meth_Transfers[[#This Row],[ID_Transfers]],"")</f>
        <v/>
      </c>
    </row>
    <row r="1790" spans="1:4" x14ac:dyDescent="0.45">
      <c r="A1790">
        <v>298</v>
      </c>
      <c r="B1790" s="3">
        <f t="shared" ca="1" si="27"/>
        <v>48</v>
      </c>
      <c r="C1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0" t="str">
        <f ca="1">IF(dict_zuord_Meth_Transfers[[#This Row],[kval_active]],dict_zuord_Meth_Transfers[[#This Row],[ID_Transfers]],"")</f>
        <v/>
      </c>
    </row>
    <row r="1791" spans="1:4" x14ac:dyDescent="0.45">
      <c r="A1791">
        <v>298</v>
      </c>
      <c r="B1791" s="3">
        <f t="shared" ca="1" si="27"/>
        <v>13</v>
      </c>
      <c r="C1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1" t="str">
        <f ca="1">IF(dict_zuord_Meth_Transfers[[#This Row],[kval_active]],dict_zuord_Meth_Transfers[[#This Row],[ID_Transfers]],"")</f>
        <v/>
      </c>
    </row>
    <row r="1792" spans="1:4" x14ac:dyDescent="0.45">
      <c r="A1792">
        <v>298</v>
      </c>
      <c r="B1792">
        <f t="shared" ca="1" si="27"/>
        <v>165</v>
      </c>
      <c r="C1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2" t="str">
        <f ca="1">IF(dict_zuord_Meth_Transfers[[#This Row],[kval_active]],dict_zuord_Meth_Transfers[[#This Row],[ID_Transfers]],"")</f>
        <v/>
      </c>
    </row>
    <row r="1793" spans="1:4" x14ac:dyDescent="0.45">
      <c r="A1793">
        <v>298</v>
      </c>
      <c r="B1793">
        <f t="shared" ca="1" si="27"/>
        <v>24</v>
      </c>
      <c r="C1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3" t="str">
        <f ca="1">IF(dict_zuord_Meth_Transfers[[#This Row],[kval_active]],dict_zuord_Meth_Transfers[[#This Row],[ID_Transfers]],"")</f>
        <v/>
      </c>
    </row>
    <row r="1794" spans="1:4" x14ac:dyDescent="0.45">
      <c r="A1794">
        <v>298</v>
      </c>
      <c r="B1794" s="3">
        <f t="shared" ref="B1794:B1857" ca="1" si="28">RANDBETWEEN(0,200)</f>
        <v>122</v>
      </c>
      <c r="C1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4" t="str">
        <f ca="1">IF(dict_zuord_Meth_Transfers[[#This Row],[kval_active]],dict_zuord_Meth_Transfers[[#This Row],[ID_Transfers]],"")</f>
        <v/>
      </c>
    </row>
    <row r="1795" spans="1:4" x14ac:dyDescent="0.45">
      <c r="A1795">
        <v>298</v>
      </c>
      <c r="B1795">
        <f t="shared" ca="1" si="28"/>
        <v>117</v>
      </c>
      <c r="C1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5" t="str">
        <f ca="1">IF(dict_zuord_Meth_Transfers[[#This Row],[kval_active]],dict_zuord_Meth_Transfers[[#This Row],[ID_Transfers]],"")</f>
        <v/>
      </c>
    </row>
    <row r="1796" spans="1:4" x14ac:dyDescent="0.45">
      <c r="A1796">
        <v>299</v>
      </c>
      <c r="B1796">
        <f t="shared" ca="1" si="28"/>
        <v>74</v>
      </c>
      <c r="C1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6" t="str">
        <f ca="1">IF(dict_zuord_Meth_Transfers[[#This Row],[kval_active]],dict_zuord_Meth_Transfers[[#This Row],[ID_Transfers]],"")</f>
        <v/>
      </c>
    </row>
    <row r="1797" spans="1:4" x14ac:dyDescent="0.45">
      <c r="A1797">
        <v>299</v>
      </c>
      <c r="B1797">
        <f t="shared" ca="1" si="28"/>
        <v>25</v>
      </c>
      <c r="C1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7" t="str">
        <f ca="1">IF(dict_zuord_Meth_Transfers[[#This Row],[kval_active]],dict_zuord_Meth_Transfers[[#This Row],[ID_Transfers]],"")</f>
        <v/>
      </c>
    </row>
    <row r="1798" spans="1:4" x14ac:dyDescent="0.45">
      <c r="A1798">
        <v>299</v>
      </c>
      <c r="B1798">
        <f t="shared" ca="1" si="28"/>
        <v>39</v>
      </c>
      <c r="C1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8" t="str">
        <f ca="1">IF(dict_zuord_Meth_Transfers[[#This Row],[kval_active]],dict_zuord_Meth_Transfers[[#This Row],[ID_Transfers]],"")</f>
        <v/>
      </c>
    </row>
    <row r="1799" spans="1:4" x14ac:dyDescent="0.45">
      <c r="A1799">
        <v>299</v>
      </c>
      <c r="B1799" s="3">
        <f t="shared" ca="1" si="28"/>
        <v>47</v>
      </c>
      <c r="C1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799" t="str">
        <f ca="1">IF(dict_zuord_Meth_Transfers[[#This Row],[kval_active]],dict_zuord_Meth_Transfers[[#This Row],[ID_Transfers]],"")</f>
        <v/>
      </c>
    </row>
    <row r="1800" spans="1:4" x14ac:dyDescent="0.45">
      <c r="A1800">
        <v>299</v>
      </c>
      <c r="B1800" s="3">
        <f t="shared" ca="1" si="28"/>
        <v>139</v>
      </c>
      <c r="C1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0" t="str">
        <f ca="1">IF(dict_zuord_Meth_Transfers[[#This Row],[kval_active]],dict_zuord_Meth_Transfers[[#This Row],[ID_Transfers]],"")</f>
        <v/>
      </c>
    </row>
    <row r="1801" spans="1:4" x14ac:dyDescent="0.45">
      <c r="A1801">
        <v>299</v>
      </c>
      <c r="B1801" s="3">
        <f t="shared" ca="1" si="28"/>
        <v>89</v>
      </c>
      <c r="C1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1" t="str">
        <f ca="1">IF(dict_zuord_Meth_Transfers[[#This Row],[kval_active]],dict_zuord_Meth_Transfers[[#This Row],[ID_Transfers]],"")</f>
        <v/>
      </c>
    </row>
    <row r="1802" spans="1:4" x14ac:dyDescent="0.45">
      <c r="A1802">
        <v>300</v>
      </c>
      <c r="B1802">
        <f t="shared" ca="1" si="28"/>
        <v>166</v>
      </c>
      <c r="C1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2" t="str">
        <f ca="1">IF(dict_zuord_Meth_Transfers[[#This Row],[kval_active]],dict_zuord_Meth_Transfers[[#This Row],[ID_Transfers]],"")</f>
        <v/>
      </c>
    </row>
    <row r="1803" spans="1:4" x14ac:dyDescent="0.45">
      <c r="A1803">
        <v>300</v>
      </c>
      <c r="B1803">
        <f t="shared" ca="1" si="28"/>
        <v>121</v>
      </c>
      <c r="C1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3" t="str">
        <f ca="1">IF(dict_zuord_Meth_Transfers[[#This Row],[kval_active]],dict_zuord_Meth_Transfers[[#This Row],[ID_Transfers]],"")</f>
        <v/>
      </c>
    </row>
    <row r="1804" spans="1:4" x14ac:dyDescent="0.45">
      <c r="A1804">
        <v>300</v>
      </c>
      <c r="B1804" s="3">
        <f t="shared" ca="1" si="28"/>
        <v>88</v>
      </c>
      <c r="C1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4" t="str">
        <f ca="1">IF(dict_zuord_Meth_Transfers[[#This Row],[kval_active]],dict_zuord_Meth_Transfers[[#This Row],[ID_Transfers]],"")</f>
        <v/>
      </c>
    </row>
    <row r="1805" spans="1:4" x14ac:dyDescent="0.45">
      <c r="A1805">
        <v>300</v>
      </c>
      <c r="B1805">
        <f t="shared" ca="1" si="28"/>
        <v>184</v>
      </c>
      <c r="C1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5" t="str">
        <f ca="1">IF(dict_zuord_Meth_Transfers[[#This Row],[kval_active]],dict_zuord_Meth_Transfers[[#This Row],[ID_Transfers]],"")</f>
        <v/>
      </c>
    </row>
    <row r="1806" spans="1:4" x14ac:dyDescent="0.45">
      <c r="A1806">
        <v>300</v>
      </c>
      <c r="B1806" s="3">
        <f t="shared" ca="1" si="28"/>
        <v>178</v>
      </c>
      <c r="C1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6" t="str">
        <f ca="1">IF(dict_zuord_Meth_Transfers[[#This Row],[kval_active]],dict_zuord_Meth_Transfers[[#This Row],[ID_Transfers]],"")</f>
        <v/>
      </c>
    </row>
    <row r="1807" spans="1:4" x14ac:dyDescent="0.45">
      <c r="A1807">
        <v>300</v>
      </c>
      <c r="B1807" s="3">
        <f t="shared" ca="1" si="28"/>
        <v>83</v>
      </c>
      <c r="C1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7" t="str">
        <f ca="1">IF(dict_zuord_Meth_Transfers[[#This Row],[kval_active]],dict_zuord_Meth_Transfers[[#This Row],[ID_Transfers]],"")</f>
        <v/>
      </c>
    </row>
    <row r="1808" spans="1:4" x14ac:dyDescent="0.45">
      <c r="A1808">
        <v>301</v>
      </c>
      <c r="B1808" s="3">
        <f t="shared" ca="1" si="28"/>
        <v>57</v>
      </c>
      <c r="C1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8" t="str">
        <f ca="1">IF(dict_zuord_Meth_Transfers[[#This Row],[kval_active]],dict_zuord_Meth_Transfers[[#This Row],[ID_Transfers]],"")</f>
        <v/>
      </c>
    </row>
    <row r="1809" spans="1:4" x14ac:dyDescent="0.45">
      <c r="A1809">
        <v>301</v>
      </c>
      <c r="B1809">
        <f t="shared" ca="1" si="28"/>
        <v>158</v>
      </c>
      <c r="C1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09" t="str">
        <f ca="1">IF(dict_zuord_Meth_Transfers[[#This Row],[kval_active]],dict_zuord_Meth_Transfers[[#This Row],[ID_Transfers]],"")</f>
        <v/>
      </c>
    </row>
    <row r="1810" spans="1:4" x14ac:dyDescent="0.45">
      <c r="A1810">
        <v>301</v>
      </c>
      <c r="B1810">
        <f t="shared" ca="1" si="28"/>
        <v>115</v>
      </c>
      <c r="C1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0" t="str">
        <f ca="1">IF(dict_zuord_Meth_Transfers[[#This Row],[kval_active]],dict_zuord_Meth_Transfers[[#This Row],[ID_Transfers]],"")</f>
        <v/>
      </c>
    </row>
    <row r="1811" spans="1:4" x14ac:dyDescent="0.45">
      <c r="A1811">
        <v>301</v>
      </c>
      <c r="B1811" s="3">
        <f t="shared" ca="1" si="28"/>
        <v>12</v>
      </c>
      <c r="C1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1" t="str">
        <f ca="1">IF(dict_zuord_Meth_Transfers[[#This Row],[kval_active]],dict_zuord_Meth_Transfers[[#This Row],[ID_Transfers]],"")</f>
        <v/>
      </c>
    </row>
    <row r="1812" spans="1:4" x14ac:dyDescent="0.45">
      <c r="A1812">
        <v>301</v>
      </c>
      <c r="B1812" s="3">
        <f t="shared" ca="1" si="28"/>
        <v>62</v>
      </c>
      <c r="C1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2" t="str">
        <f ca="1">IF(dict_zuord_Meth_Transfers[[#This Row],[kval_active]],dict_zuord_Meth_Transfers[[#This Row],[ID_Transfers]],"")</f>
        <v/>
      </c>
    </row>
    <row r="1813" spans="1:4" x14ac:dyDescent="0.45">
      <c r="A1813">
        <v>301</v>
      </c>
      <c r="B1813">
        <f t="shared" ca="1" si="28"/>
        <v>5</v>
      </c>
      <c r="C1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3" t="str">
        <f ca="1">IF(dict_zuord_Meth_Transfers[[#This Row],[kval_active]],dict_zuord_Meth_Transfers[[#This Row],[ID_Transfers]],"")</f>
        <v/>
      </c>
    </row>
    <row r="1814" spans="1:4" x14ac:dyDescent="0.45">
      <c r="A1814">
        <v>302</v>
      </c>
      <c r="B1814">
        <f t="shared" ca="1" si="28"/>
        <v>190</v>
      </c>
      <c r="C1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4" t="str">
        <f ca="1">IF(dict_zuord_Meth_Transfers[[#This Row],[kval_active]],dict_zuord_Meth_Transfers[[#This Row],[ID_Transfers]],"")</f>
        <v/>
      </c>
    </row>
    <row r="1815" spans="1:4" x14ac:dyDescent="0.45">
      <c r="A1815">
        <v>302</v>
      </c>
      <c r="B1815">
        <f t="shared" ca="1" si="28"/>
        <v>190</v>
      </c>
      <c r="C1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5" t="str">
        <f ca="1">IF(dict_zuord_Meth_Transfers[[#This Row],[kval_active]],dict_zuord_Meth_Transfers[[#This Row],[ID_Transfers]],"")</f>
        <v/>
      </c>
    </row>
    <row r="1816" spans="1:4" x14ac:dyDescent="0.45">
      <c r="A1816">
        <v>302</v>
      </c>
      <c r="B1816">
        <f t="shared" ca="1" si="28"/>
        <v>149</v>
      </c>
      <c r="C1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6" t="str">
        <f ca="1">IF(dict_zuord_Meth_Transfers[[#This Row],[kval_active]],dict_zuord_Meth_Transfers[[#This Row],[ID_Transfers]],"")</f>
        <v/>
      </c>
    </row>
    <row r="1817" spans="1:4" x14ac:dyDescent="0.45">
      <c r="A1817">
        <v>302</v>
      </c>
      <c r="B1817" s="3">
        <f t="shared" ca="1" si="28"/>
        <v>78</v>
      </c>
      <c r="C1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7" t="str">
        <f ca="1">IF(dict_zuord_Meth_Transfers[[#This Row],[kval_active]],dict_zuord_Meth_Transfers[[#This Row],[ID_Transfers]],"")</f>
        <v/>
      </c>
    </row>
    <row r="1818" spans="1:4" x14ac:dyDescent="0.45">
      <c r="A1818">
        <v>302</v>
      </c>
      <c r="B1818" s="3">
        <f t="shared" ca="1" si="28"/>
        <v>105</v>
      </c>
      <c r="C1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8" t="str">
        <f ca="1">IF(dict_zuord_Meth_Transfers[[#This Row],[kval_active]],dict_zuord_Meth_Transfers[[#This Row],[ID_Transfers]],"")</f>
        <v/>
      </c>
    </row>
    <row r="1819" spans="1:4" x14ac:dyDescent="0.45">
      <c r="A1819">
        <v>302</v>
      </c>
      <c r="B1819" s="3">
        <f t="shared" ca="1" si="28"/>
        <v>58</v>
      </c>
      <c r="C1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19" t="str">
        <f ca="1">IF(dict_zuord_Meth_Transfers[[#This Row],[kval_active]],dict_zuord_Meth_Transfers[[#This Row],[ID_Transfers]],"")</f>
        <v/>
      </c>
    </row>
    <row r="1820" spans="1:4" x14ac:dyDescent="0.45">
      <c r="A1820">
        <v>303</v>
      </c>
      <c r="B1820" s="3">
        <f t="shared" ca="1" si="28"/>
        <v>50</v>
      </c>
      <c r="C1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0" t="str">
        <f ca="1">IF(dict_zuord_Meth_Transfers[[#This Row],[kval_active]],dict_zuord_Meth_Transfers[[#This Row],[ID_Transfers]],"")</f>
        <v/>
      </c>
    </row>
    <row r="1821" spans="1:4" x14ac:dyDescent="0.45">
      <c r="A1821">
        <v>303</v>
      </c>
      <c r="B1821" s="3">
        <f t="shared" ca="1" si="28"/>
        <v>111</v>
      </c>
      <c r="C1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1" t="str">
        <f ca="1">IF(dict_zuord_Meth_Transfers[[#This Row],[kval_active]],dict_zuord_Meth_Transfers[[#This Row],[ID_Transfers]],"")</f>
        <v/>
      </c>
    </row>
    <row r="1822" spans="1:4" x14ac:dyDescent="0.45">
      <c r="A1822">
        <v>303</v>
      </c>
      <c r="B1822">
        <f t="shared" ca="1" si="28"/>
        <v>186</v>
      </c>
      <c r="C1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2" t="str">
        <f ca="1">IF(dict_zuord_Meth_Transfers[[#This Row],[kval_active]],dict_zuord_Meth_Transfers[[#This Row],[ID_Transfers]],"")</f>
        <v/>
      </c>
    </row>
    <row r="1823" spans="1:4" x14ac:dyDescent="0.45">
      <c r="A1823">
        <v>303</v>
      </c>
      <c r="B1823">
        <f t="shared" ca="1" si="28"/>
        <v>165</v>
      </c>
      <c r="C1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3" t="str">
        <f ca="1">IF(dict_zuord_Meth_Transfers[[#This Row],[kval_active]],dict_zuord_Meth_Transfers[[#This Row],[ID_Transfers]],"")</f>
        <v/>
      </c>
    </row>
    <row r="1824" spans="1:4" x14ac:dyDescent="0.45">
      <c r="A1824">
        <v>303</v>
      </c>
      <c r="B1824">
        <f t="shared" ca="1" si="28"/>
        <v>160</v>
      </c>
      <c r="C1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4" t="str">
        <f ca="1">IF(dict_zuord_Meth_Transfers[[#This Row],[kval_active]],dict_zuord_Meth_Transfers[[#This Row],[ID_Transfers]],"")</f>
        <v/>
      </c>
    </row>
    <row r="1825" spans="1:4" x14ac:dyDescent="0.45">
      <c r="A1825">
        <v>303</v>
      </c>
      <c r="B1825" s="3">
        <f t="shared" ca="1" si="28"/>
        <v>178</v>
      </c>
      <c r="C1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5" t="str">
        <f ca="1">IF(dict_zuord_Meth_Transfers[[#This Row],[kval_active]],dict_zuord_Meth_Transfers[[#This Row],[ID_Transfers]],"")</f>
        <v/>
      </c>
    </row>
    <row r="1826" spans="1:4" x14ac:dyDescent="0.45">
      <c r="A1826">
        <v>304</v>
      </c>
      <c r="B1826" s="3">
        <f t="shared" ca="1" si="28"/>
        <v>19</v>
      </c>
      <c r="C1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6" t="str">
        <f ca="1">IF(dict_zuord_Meth_Transfers[[#This Row],[kval_active]],dict_zuord_Meth_Transfers[[#This Row],[ID_Transfers]],"")</f>
        <v/>
      </c>
    </row>
    <row r="1827" spans="1:4" x14ac:dyDescent="0.45">
      <c r="A1827">
        <v>304</v>
      </c>
      <c r="B1827">
        <f t="shared" ca="1" si="28"/>
        <v>44</v>
      </c>
      <c r="C1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7" t="str">
        <f ca="1">IF(dict_zuord_Meth_Transfers[[#This Row],[kval_active]],dict_zuord_Meth_Transfers[[#This Row],[ID_Transfers]],"")</f>
        <v/>
      </c>
    </row>
    <row r="1828" spans="1:4" x14ac:dyDescent="0.45">
      <c r="A1828">
        <v>304</v>
      </c>
      <c r="B1828">
        <f t="shared" ca="1" si="28"/>
        <v>76</v>
      </c>
      <c r="C1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8" t="str">
        <f ca="1">IF(dict_zuord_Meth_Transfers[[#This Row],[kval_active]],dict_zuord_Meth_Transfers[[#This Row],[ID_Transfers]],"")</f>
        <v/>
      </c>
    </row>
    <row r="1829" spans="1:4" x14ac:dyDescent="0.45">
      <c r="A1829">
        <v>304</v>
      </c>
      <c r="B1829">
        <f t="shared" ca="1" si="28"/>
        <v>146</v>
      </c>
      <c r="C1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29" t="str">
        <f ca="1">IF(dict_zuord_Meth_Transfers[[#This Row],[kval_active]],dict_zuord_Meth_Transfers[[#This Row],[ID_Transfers]],"")</f>
        <v/>
      </c>
    </row>
    <row r="1830" spans="1:4" x14ac:dyDescent="0.45">
      <c r="A1830">
        <v>304</v>
      </c>
      <c r="B1830" s="3">
        <f t="shared" ca="1" si="28"/>
        <v>133</v>
      </c>
      <c r="C1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0" t="str">
        <f ca="1">IF(dict_zuord_Meth_Transfers[[#This Row],[kval_active]],dict_zuord_Meth_Transfers[[#This Row],[ID_Transfers]],"")</f>
        <v/>
      </c>
    </row>
    <row r="1831" spans="1:4" x14ac:dyDescent="0.45">
      <c r="A1831">
        <v>304</v>
      </c>
      <c r="B1831" s="3">
        <f t="shared" ca="1" si="28"/>
        <v>62</v>
      </c>
      <c r="C1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1" t="str">
        <f ca="1">IF(dict_zuord_Meth_Transfers[[#This Row],[kval_active]],dict_zuord_Meth_Transfers[[#This Row],[ID_Transfers]],"")</f>
        <v/>
      </c>
    </row>
    <row r="1832" spans="1:4" x14ac:dyDescent="0.45">
      <c r="A1832">
        <v>305</v>
      </c>
      <c r="B1832">
        <f t="shared" ca="1" si="28"/>
        <v>40</v>
      </c>
      <c r="C1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2" t="str">
        <f ca="1">IF(dict_zuord_Meth_Transfers[[#This Row],[kval_active]],dict_zuord_Meth_Transfers[[#This Row],[ID_Transfers]],"")</f>
        <v/>
      </c>
    </row>
    <row r="1833" spans="1:4" x14ac:dyDescent="0.45">
      <c r="A1833">
        <v>305</v>
      </c>
      <c r="B1833" s="3">
        <f t="shared" ca="1" si="28"/>
        <v>20</v>
      </c>
      <c r="C1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3" t="str">
        <f ca="1">IF(dict_zuord_Meth_Transfers[[#This Row],[kval_active]],dict_zuord_Meth_Transfers[[#This Row],[ID_Transfers]],"")</f>
        <v/>
      </c>
    </row>
    <row r="1834" spans="1:4" x14ac:dyDescent="0.45">
      <c r="A1834">
        <v>305</v>
      </c>
      <c r="B1834">
        <f t="shared" ca="1" si="28"/>
        <v>107</v>
      </c>
      <c r="C1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4" t="str">
        <f ca="1">IF(dict_zuord_Meth_Transfers[[#This Row],[kval_active]],dict_zuord_Meth_Transfers[[#This Row],[ID_Transfers]],"")</f>
        <v/>
      </c>
    </row>
    <row r="1835" spans="1:4" x14ac:dyDescent="0.45">
      <c r="A1835">
        <v>305</v>
      </c>
      <c r="B1835" s="3">
        <f t="shared" ca="1" si="28"/>
        <v>7</v>
      </c>
      <c r="C1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5" t="str">
        <f ca="1">IF(dict_zuord_Meth_Transfers[[#This Row],[kval_active]],dict_zuord_Meth_Transfers[[#This Row],[ID_Transfers]],"")</f>
        <v/>
      </c>
    </row>
    <row r="1836" spans="1:4" x14ac:dyDescent="0.45">
      <c r="A1836">
        <v>305</v>
      </c>
      <c r="B1836" s="3">
        <f t="shared" ca="1" si="28"/>
        <v>60</v>
      </c>
      <c r="C1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6" t="str">
        <f ca="1">IF(dict_zuord_Meth_Transfers[[#This Row],[kval_active]],dict_zuord_Meth_Transfers[[#This Row],[ID_Transfers]],"")</f>
        <v/>
      </c>
    </row>
    <row r="1837" spans="1:4" x14ac:dyDescent="0.45">
      <c r="A1837">
        <v>305</v>
      </c>
      <c r="B1837">
        <f t="shared" ca="1" si="28"/>
        <v>109</v>
      </c>
      <c r="C1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7" t="str">
        <f ca="1">IF(dict_zuord_Meth_Transfers[[#This Row],[kval_active]],dict_zuord_Meth_Transfers[[#This Row],[ID_Transfers]],"")</f>
        <v/>
      </c>
    </row>
    <row r="1838" spans="1:4" x14ac:dyDescent="0.45">
      <c r="A1838">
        <v>306</v>
      </c>
      <c r="B1838" s="3">
        <f t="shared" ca="1" si="28"/>
        <v>83</v>
      </c>
      <c r="C1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8" t="str">
        <f ca="1">IF(dict_zuord_Meth_Transfers[[#This Row],[kval_active]],dict_zuord_Meth_Transfers[[#This Row],[ID_Transfers]],"")</f>
        <v/>
      </c>
    </row>
    <row r="1839" spans="1:4" x14ac:dyDescent="0.45">
      <c r="A1839">
        <v>306</v>
      </c>
      <c r="B1839">
        <f t="shared" ca="1" si="28"/>
        <v>5</v>
      </c>
      <c r="C1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39" t="str">
        <f ca="1">IF(dict_zuord_Meth_Transfers[[#This Row],[kval_active]],dict_zuord_Meth_Transfers[[#This Row],[ID_Transfers]],"")</f>
        <v/>
      </c>
    </row>
    <row r="1840" spans="1:4" x14ac:dyDescent="0.45">
      <c r="A1840">
        <v>306</v>
      </c>
      <c r="B1840" s="3">
        <f t="shared" ca="1" si="28"/>
        <v>75</v>
      </c>
      <c r="C1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0" t="str">
        <f ca="1">IF(dict_zuord_Meth_Transfers[[#This Row],[kval_active]],dict_zuord_Meth_Transfers[[#This Row],[ID_Transfers]],"")</f>
        <v/>
      </c>
    </row>
    <row r="1841" spans="1:4" x14ac:dyDescent="0.45">
      <c r="A1841">
        <v>306</v>
      </c>
      <c r="B1841">
        <f t="shared" ca="1" si="28"/>
        <v>48</v>
      </c>
      <c r="C1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1" t="str">
        <f ca="1">IF(dict_zuord_Meth_Transfers[[#This Row],[kval_active]],dict_zuord_Meth_Transfers[[#This Row],[ID_Transfers]],"")</f>
        <v/>
      </c>
    </row>
    <row r="1842" spans="1:4" x14ac:dyDescent="0.45">
      <c r="A1842">
        <v>306</v>
      </c>
      <c r="B1842">
        <f t="shared" ca="1" si="28"/>
        <v>146</v>
      </c>
      <c r="C1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2" t="str">
        <f ca="1">IF(dict_zuord_Meth_Transfers[[#This Row],[kval_active]],dict_zuord_Meth_Transfers[[#This Row],[ID_Transfers]],"")</f>
        <v/>
      </c>
    </row>
    <row r="1843" spans="1:4" x14ac:dyDescent="0.45">
      <c r="A1843">
        <v>306</v>
      </c>
      <c r="B1843" s="3">
        <f t="shared" ca="1" si="28"/>
        <v>175</v>
      </c>
      <c r="C1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3" t="str">
        <f ca="1">IF(dict_zuord_Meth_Transfers[[#This Row],[kval_active]],dict_zuord_Meth_Transfers[[#This Row],[ID_Transfers]],"")</f>
        <v/>
      </c>
    </row>
    <row r="1844" spans="1:4" x14ac:dyDescent="0.45">
      <c r="A1844">
        <v>307</v>
      </c>
      <c r="B1844">
        <f t="shared" ca="1" si="28"/>
        <v>37</v>
      </c>
      <c r="C1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4" t="str">
        <f ca="1">IF(dict_zuord_Meth_Transfers[[#This Row],[kval_active]],dict_zuord_Meth_Transfers[[#This Row],[ID_Transfers]],"")</f>
        <v/>
      </c>
    </row>
    <row r="1845" spans="1:4" x14ac:dyDescent="0.45">
      <c r="A1845">
        <v>307</v>
      </c>
      <c r="B1845">
        <f t="shared" ca="1" si="28"/>
        <v>191</v>
      </c>
      <c r="C1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5" t="str">
        <f ca="1">IF(dict_zuord_Meth_Transfers[[#This Row],[kval_active]],dict_zuord_Meth_Transfers[[#This Row],[ID_Transfers]],"")</f>
        <v/>
      </c>
    </row>
    <row r="1846" spans="1:4" x14ac:dyDescent="0.45">
      <c r="A1846">
        <v>307</v>
      </c>
      <c r="B1846">
        <f t="shared" ca="1" si="28"/>
        <v>65</v>
      </c>
      <c r="C1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6" t="str">
        <f ca="1">IF(dict_zuord_Meth_Transfers[[#This Row],[kval_active]],dict_zuord_Meth_Transfers[[#This Row],[ID_Transfers]],"")</f>
        <v/>
      </c>
    </row>
    <row r="1847" spans="1:4" x14ac:dyDescent="0.45">
      <c r="A1847">
        <v>307</v>
      </c>
      <c r="B1847" s="3">
        <f t="shared" ca="1" si="28"/>
        <v>65</v>
      </c>
      <c r="C1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7" t="str">
        <f ca="1">IF(dict_zuord_Meth_Transfers[[#This Row],[kval_active]],dict_zuord_Meth_Transfers[[#This Row],[ID_Transfers]],"")</f>
        <v/>
      </c>
    </row>
    <row r="1848" spans="1:4" x14ac:dyDescent="0.45">
      <c r="A1848">
        <v>307</v>
      </c>
      <c r="B1848" s="3">
        <f t="shared" ca="1" si="28"/>
        <v>101</v>
      </c>
      <c r="C1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8" t="str">
        <f ca="1">IF(dict_zuord_Meth_Transfers[[#This Row],[kval_active]],dict_zuord_Meth_Transfers[[#This Row],[ID_Transfers]],"")</f>
        <v/>
      </c>
    </row>
    <row r="1849" spans="1:4" x14ac:dyDescent="0.45">
      <c r="A1849">
        <v>307</v>
      </c>
      <c r="B1849" s="3">
        <f t="shared" ca="1" si="28"/>
        <v>199</v>
      </c>
      <c r="C1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49" t="str">
        <f ca="1">IF(dict_zuord_Meth_Transfers[[#This Row],[kval_active]],dict_zuord_Meth_Transfers[[#This Row],[ID_Transfers]],"")</f>
        <v/>
      </c>
    </row>
    <row r="1850" spans="1:4" x14ac:dyDescent="0.45">
      <c r="A1850">
        <v>308</v>
      </c>
      <c r="B1850" s="3">
        <f t="shared" ca="1" si="28"/>
        <v>4</v>
      </c>
      <c r="C1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0" t="str">
        <f ca="1">IF(dict_zuord_Meth_Transfers[[#This Row],[kval_active]],dict_zuord_Meth_Transfers[[#This Row],[ID_Transfers]],"")</f>
        <v/>
      </c>
    </row>
    <row r="1851" spans="1:4" x14ac:dyDescent="0.45">
      <c r="A1851">
        <v>308</v>
      </c>
      <c r="B1851" s="3">
        <f t="shared" ca="1" si="28"/>
        <v>146</v>
      </c>
      <c r="C1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1" t="str">
        <f ca="1">IF(dict_zuord_Meth_Transfers[[#This Row],[kval_active]],dict_zuord_Meth_Transfers[[#This Row],[ID_Transfers]],"")</f>
        <v/>
      </c>
    </row>
    <row r="1852" spans="1:4" x14ac:dyDescent="0.45">
      <c r="A1852">
        <v>308</v>
      </c>
      <c r="B1852">
        <f t="shared" ca="1" si="28"/>
        <v>36</v>
      </c>
      <c r="C1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2" t="str">
        <f ca="1">IF(dict_zuord_Meth_Transfers[[#This Row],[kval_active]],dict_zuord_Meth_Transfers[[#This Row],[ID_Transfers]],"")</f>
        <v/>
      </c>
    </row>
    <row r="1853" spans="1:4" x14ac:dyDescent="0.45">
      <c r="A1853">
        <v>308</v>
      </c>
      <c r="B1853">
        <f t="shared" ca="1" si="28"/>
        <v>15</v>
      </c>
      <c r="C1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3" t="str">
        <f ca="1">IF(dict_zuord_Meth_Transfers[[#This Row],[kval_active]],dict_zuord_Meth_Transfers[[#This Row],[ID_Transfers]],"")</f>
        <v/>
      </c>
    </row>
    <row r="1854" spans="1:4" x14ac:dyDescent="0.45">
      <c r="A1854">
        <v>308</v>
      </c>
      <c r="B1854" s="3">
        <f t="shared" ca="1" si="28"/>
        <v>45</v>
      </c>
      <c r="C1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4" t="str">
        <f ca="1">IF(dict_zuord_Meth_Transfers[[#This Row],[kval_active]],dict_zuord_Meth_Transfers[[#This Row],[ID_Transfers]],"")</f>
        <v/>
      </c>
    </row>
    <row r="1855" spans="1:4" x14ac:dyDescent="0.45">
      <c r="A1855">
        <v>308</v>
      </c>
      <c r="B1855">
        <f t="shared" ca="1" si="28"/>
        <v>38</v>
      </c>
      <c r="C1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5" t="str">
        <f ca="1">IF(dict_zuord_Meth_Transfers[[#This Row],[kval_active]],dict_zuord_Meth_Transfers[[#This Row],[ID_Transfers]],"")</f>
        <v/>
      </c>
    </row>
    <row r="1856" spans="1:4" x14ac:dyDescent="0.45">
      <c r="A1856">
        <v>309</v>
      </c>
      <c r="B1856">
        <f t="shared" ca="1" si="28"/>
        <v>104</v>
      </c>
      <c r="C1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6" t="str">
        <f ca="1">IF(dict_zuord_Meth_Transfers[[#This Row],[kval_active]],dict_zuord_Meth_Transfers[[#This Row],[ID_Transfers]],"")</f>
        <v/>
      </c>
    </row>
    <row r="1857" spans="1:4" x14ac:dyDescent="0.45">
      <c r="A1857">
        <v>309</v>
      </c>
      <c r="B1857">
        <f t="shared" ca="1" si="28"/>
        <v>92</v>
      </c>
      <c r="C1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7" t="str">
        <f ca="1">IF(dict_zuord_Meth_Transfers[[#This Row],[kval_active]],dict_zuord_Meth_Transfers[[#This Row],[ID_Transfers]],"")</f>
        <v/>
      </c>
    </row>
    <row r="1858" spans="1:4" x14ac:dyDescent="0.45">
      <c r="A1858">
        <v>309</v>
      </c>
      <c r="B1858" s="3">
        <f t="shared" ref="B1858:B1921" ca="1" si="29">RANDBETWEEN(0,200)</f>
        <v>25</v>
      </c>
      <c r="C1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8" t="str">
        <f ca="1">IF(dict_zuord_Meth_Transfers[[#This Row],[kval_active]],dict_zuord_Meth_Transfers[[#This Row],[ID_Transfers]],"")</f>
        <v/>
      </c>
    </row>
    <row r="1859" spans="1:4" x14ac:dyDescent="0.45">
      <c r="A1859">
        <v>309</v>
      </c>
      <c r="B1859" s="3">
        <f t="shared" ca="1" si="29"/>
        <v>148</v>
      </c>
      <c r="C1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59" t="str">
        <f ca="1">IF(dict_zuord_Meth_Transfers[[#This Row],[kval_active]],dict_zuord_Meth_Transfers[[#This Row],[ID_Transfers]],"")</f>
        <v/>
      </c>
    </row>
    <row r="1860" spans="1:4" x14ac:dyDescent="0.45">
      <c r="A1860">
        <v>309</v>
      </c>
      <c r="B1860" s="3">
        <f t="shared" ca="1" si="29"/>
        <v>107</v>
      </c>
      <c r="C1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0" t="str">
        <f ca="1">IF(dict_zuord_Meth_Transfers[[#This Row],[kval_active]],dict_zuord_Meth_Transfers[[#This Row],[ID_Transfers]],"")</f>
        <v/>
      </c>
    </row>
    <row r="1861" spans="1:4" x14ac:dyDescent="0.45">
      <c r="A1861">
        <v>309</v>
      </c>
      <c r="B1861">
        <f t="shared" ca="1" si="29"/>
        <v>46</v>
      </c>
      <c r="C1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1" t="str">
        <f ca="1">IF(dict_zuord_Meth_Transfers[[#This Row],[kval_active]],dict_zuord_Meth_Transfers[[#This Row],[ID_Transfers]],"")</f>
        <v/>
      </c>
    </row>
    <row r="1862" spans="1:4" x14ac:dyDescent="0.45">
      <c r="A1862">
        <v>310</v>
      </c>
      <c r="B1862" s="3">
        <f t="shared" ca="1" si="29"/>
        <v>3</v>
      </c>
      <c r="C1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2" t="str">
        <f ca="1">IF(dict_zuord_Meth_Transfers[[#This Row],[kval_active]],dict_zuord_Meth_Transfers[[#This Row],[ID_Transfers]],"")</f>
        <v/>
      </c>
    </row>
    <row r="1863" spans="1:4" x14ac:dyDescent="0.45">
      <c r="A1863">
        <v>310</v>
      </c>
      <c r="B1863" s="3">
        <f t="shared" ca="1" si="29"/>
        <v>129</v>
      </c>
      <c r="C1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3" t="str">
        <f ca="1">IF(dict_zuord_Meth_Transfers[[#This Row],[kval_active]],dict_zuord_Meth_Transfers[[#This Row],[ID_Transfers]],"")</f>
        <v/>
      </c>
    </row>
    <row r="1864" spans="1:4" x14ac:dyDescent="0.45">
      <c r="A1864">
        <v>310</v>
      </c>
      <c r="B1864" s="3">
        <f t="shared" ca="1" si="29"/>
        <v>96</v>
      </c>
      <c r="C1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4" t="str">
        <f ca="1">IF(dict_zuord_Meth_Transfers[[#This Row],[kval_active]],dict_zuord_Meth_Transfers[[#This Row],[ID_Transfers]],"")</f>
        <v/>
      </c>
    </row>
    <row r="1865" spans="1:4" x14ac:dyDescent="0.45">
      <c r="A1865">
        <v>310</v>
      </c>
      <c r="B1865">
        <f t="shared" ca="1" si="29"/>
        <v>1</v>
      </c>
      <c r="C1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5" t="str">
        <f ca="1">IF(dict_zuord_Meth_Transfers[[#This Row],[kval_active]],dict_zuord_Meth_Transfers[[#This Row],[ID_Transfers]],"")</f>
        <v/>
      </c>
    </row>
    <row r="1866" spans="1:4" x14ac:dyDescent="0.45">
      <c r="A1866">
        <v>310</v>
      </c>
      <c r="B1866">
        <f t="shared" ca="1" si="29"/>
        <v>132</v>
      </c>
      <c r="C1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6" t="str">
        <f ca="1">IF(dict_zuord_Meth_Transfers[[#This Row],[kval_active]],dict_zuord_Meth_Transfers[[#This Row],[ID_Transfers]],"")</f>
        <v/>
      </c>
    </row>
    <row r="1867" spans="1:4" x14ac:dyDescent="0.45">
      <c r="A1867">
        <v>310</v>
      </c>
      <c r="B1867">
        <f t="shared" ca="1" si="29"/>
        <v>135</v>
      </c>
      <c r="C1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7" t="str">
        <f ca="1">IF(dict_zuord_Meth_Transfers[[#This Row],[kval_active]],dict_zuord_Meth_Transfers[[#This Row],[ID_Transfers]],"")</f>
        <v/>
      </c>
    </row>
    <row r="1868" spans="1:4" x14ac:dyDescent="0.45">
      <c r="A1868">
        <v>311</v>
      </c>
      <c r="B1868" s="3">
        <f t="shared" ca="1" si="29"/>
        <v>1</v>
      </c>
      <c r="C1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8" t="str">
        <f ca="1">IF(dict_zuord_Meth_Transfers[[#This Row],[kval_active]],dict_zuord_Meth_Transfers[[#This Row],[ID_Transfers]],"")</f>
        <v/>
      </c>
    </row>
    <row r="1869" spans="1:4" x14ac:dyDescent="0.45">
      <c r="A1869">
        <v>311</v>
      </c>
      <c r="B1869">
        <f t="shared" ca="1" si="29"/>
        <v>32</v>
      </c>
      <c r="C1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69" t="str">
        <f ca="1">IF(dict_zuord_Meth_Transfers[[#This Row],[kval_active]],dict_zuord_Meth_Transfers[[#This Row],[ID_Transfers]],"")</f>
        <v/>
      </c>
    </row>
    <row r="1870" spans="1:4" x14ac:dyDescent="0.45">
      <c r="A1870">
        <v>311</v>
      </c>
      <c r="B1870" s="3">
        <f t="shared" ca="1" si="29"/>
        <v>126</v>
      </c>
      <c r="C1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0" t="str">
        <f ca="1">IF(dict_zuord_Meth_Transfers[[#This Row],[kval_active]],dict_zuord_Meth_Transfers[[#This Row],[ID_Transfers]],"")</f>
        <v/>
      </c>
    </row>
    <row r="1871" spans="1:4" x14ac:dyDescent="0.45">
      <c r="A1871">
        <v>311</v>
      </c>
      <c r="B1871">
        <f t="shared" ca="1" si="29"/>
        <v>49</v>
      </c>
      <c r="C1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1" t="str">
        <f ca="1">IF(dict_zuord_Meth_Transfers[[#This Row],[kval_active]],dict_zuord_Meth_Transfers[[#This Row],[ID_Transfers]],"")</f>
        <v/>
      </c>
    </row>
    <row r="1872" spans="1:4" x14ac:dyDescent="0.45">
      <c r="A1872">
        <v>311</v>
      </c>
      <c r="B1872" s="3">
        <f t="shared" ca="1" si="29"/>
        <v>189</v>
      </c>
      <c r="C1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2" t="str">
        <f ca="1">IF(dict_zuord_Meth_Transfers[[#This Row],[kval_active]],dict_zuord_Meth_Transfers[[#This Row],[ID_Transfers]],"")</f>
        <v/>
      </c>
    </row>
    <row r="1873" spans="1:4" x14ac:dyDescent="0.45">
      <c r="A1873">
        <v>311</v>
      </c>
      <c r="B1873">
        <f t="shared" ca="1" si="29"/>
        <v>69</v>
      </c>
      <c r="C1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3" t="str">
        <f ca="1">IF(dict_zuord_Meth_Transfers[[#This Row],[kval_active]],dict_zuord_Meth_Transfers[[#This Row],[ID_Transfers]],"")</f>
        <v/>
      </c>
    </row>
    <row r="1874" spans="1:4" x14ac:dyDescent="0.45">
      <c r="A1874">
        <v>312</v>
      </c>
      <c r="B1874" s="3">
        <f t="shared" ca="1" si="29"/>
        <v>84</v>
      </c>
      <c r="C1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4" t="str">
        <f ca="1">IF(dict_zuord_Meth_Transfers[[#This Row],[kval_active]],dict_zuord_Meth_Transfers[[#This Row],[ID_Transfers]],"")</f>
        <v/>
      </c>
    </row>
    <row r="1875" spans="1:4" x14ac:dyDescent="0.45">
      <c r="A1875">
        <v>312</v>
      </c>
      <c r="B1875">
        <f t="shared" ca="1" si="29"/>
        <v>95</v>
      </c>
      <c r="C1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5" t="str">
        <f ca="1">IF(dict_zuord_Meth_Transfers[[#This Row],[kval_active]],dict_zuord_Meth_Transfers[[#This Row],[ID_Transfers]],"")</f>
        <v/>
      </c>
    </row>
    <row r="1876" spans="1:4" x14ac:dyDescent="0.45">
      <c r="A1876">
        <v>312</v>
      </c>
      <c r="B1876">
        <f t="shared" ca="1" si="29"/>
        <v>179</v>
      </c>
      <c r="C1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6" t="str">
        <f ca="1">IF(dict_zuord_Meth_Transfers[[#This Row],[kval_active]],dict_zuord_Meth_Transfers[[#This Row],[ID_Transfers]],"")</f>
        <v/>
      </c>
    </row>
    <row r="1877" spans="1:4" x14ac:dyDescent="0.45">
      <c r="A1877">
        <v>312</v>
      </c>
      <c r="B1877" s="3">
        <f t="shared" ca="1" si="29"/>
        <v>84</v>
      </c>
      <c r="C1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7" t="str">
        <f ca="1">IF(dict_zuord_Meth_Transfers[[#This Row],[kval_active]],dict_zuord_Meth_Transfers[[#This Row],[ID_Transfers]],"")</f>
        <v/>
      </c>
    </row>
    <row r="1878" spans="1:4" x14ac:dyDescent="0.45">
      <c r="A1878">
        <v>312</v>
      </c>
      <c r="B1878" s="3">
        <f t="shared" ca="1" si="29"/>
        <v>79</v>
      </c>
      <c r="C1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8" t="str">
        <f ca="1">IF(dict_zuord_Meth_Transfers[[#This Row],[kval_active]],dict_zuord_Meth_Transfers[[#This Row],[ID_Transfers]],"")</f>
        <v/>
      </c>
    </row>
    <row r="1879" spans="1:4" x14ac:dyDescent="0.45">
      <c r="A1879">
        <v>312</v>
      </c>
      <c r="B1879">
        <f t="shared" ca="1" si="29"/>
        <v>88</v>
      </c>
      <c r="C1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79" t="str">
        <f ca="1">IF(dict_zuord_Meth_Transfers[[#This Row],[kval_active]],dict_zuord_Meth_Transfers[[#This Row],[ID_Transfers]],"")</f>
        <v/>
      </c>
    </row>
    <row r="1880" spans="1:4" x14ac:dyDescent="0.45">
      <c r="A1880">
        <v>313</v>
      </c>
      <c r="B1880">
        <f t="shared" ca="1" si="29"/>
        <v>187</v>
      </c>
      <c r="C1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0" t="str">
        <f ca="1">IF(dict_zuord_Meth_Transfers[[#This Row],[kval_active]],dict_zuord_Meth_Transfers[[#This Row],[ID_Transfers]],"")</f>
        <v/>
      </c>
    </row>
    <row r="1881" spans="1:4" x14ac:dyDescent="0.45">
      <c r="A1881">
        <v>313</v>
      </c>
      <c r="B1881">
        <f t="shared" ca="1" si="29"/>
        <v>197</v>
      </c>
      <c r="C1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1" t="str">
        <f ca="1">IF(dict_zuord_Meth_Transfers[[#This Row],[kval_active]],dict_zuord_Meth_Transfers[[#This Row],[ID_Transfers]],"")</f>
        <v/>
      </c>
    </row>
    <row r="1882" spans="1:4" x14ac:dyDescent="0.45">
      <c r="A1882">
        <v>313</v>
      </c>
      <c r="B1882" s="3">
        <f t="shared" ca="1" si="29"/>
        <v>141</v>
      </c>
      <c r="C1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2" t="str">
        <f ca="1">IF(dict_zuord_Meth_Transfers[[#This Row],[kval_active]],dict_zuord_Meth_Transfers[[#This Row],[ID_Transfers]],"")</f>
        <v/>
      </c>
    </row>
    <row r="1883" spans="1:4" x14ac:dyDescent="0.45">
      <c r="A1883">
        <v>313</v>
      </c>
      <c r="B1883">
        <f t="shared" ca="1" si="29"/>
        <v>144</v>
      </c>
      <c r="C1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3" t="str">
        <f ca="1">IF(dict_zuord_Meth_Transfers[[#This Row],[kval_active]],dict_zuord_Meth_Transfers[[#This Row],[ID_Transfers]],"")</f>
        <v/>
      </c>
    </row>
    <row r="1884" spans="1:4" x14ac:dyDescent="0.45">
      <c r="A1884">
        <v>313</v>
      </c>
      <c r="B1884" s="3">
        <f t="shared" ca="1" si="29"/>
        <v>154</v>
      </c>
      <c r="C1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4" t="str">
        <f ca="1">IF(dict_zuord_Meth_Transfers[[#This Row],[kval_active]],dict_zuord_Meth_Transfers[[#This Row],[ID_Transfers]],"")</f>
        <v/>
      </c>
    </row>
    <row r="1885" spans="1:4" x14ac:dyDescent="0.45">
      <c r="A1885">
        <v>313</v>
      </c>
      <c r="B1885" s="3">
        <f t="shared" ca="1" si="29"/>
        <v>2</v>
      </c>
      <c r="C1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5" t="str">
        <f ca="1">IF(dict_zuord_Meth_Transfers[[#This Row],[kval_active]],dict_zuord_Meth_Transfers[[#This Row],[ID_Transfers]],"")</f>
        <v/>
      </c>
    </row>
    <row r="1886" spans="1:4" x14ac:dyDescent="0.45">
      <c r="A1886">
        <v>314</v>
      </c>
      <c r="B1886" s="3">
        <f t="shared" ca="1" si="29"/>
        <v>75</v>
      </c>
      <c r="C1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6" t="str">
        <f ca="1">IF(dict_zuord_Meth_Transfers[[#This Row],[kval_active]],dict_zuord_Meth_Transfers[[#This Row],[ID_Transfers]],"")</f>
        <v/>
      </c>
    </row>
    <row r="1887" spans="1:4" x14ac:dyDescent="0.45">
      <c r="A1887">
        <v>314</v>
      </c>
      <c r="B1887">
        <f t="shared" ca="1" si="29"/>
        <v>79</v>
      </c>
      <c r="C1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7" t="str">
        <f ca="1">IF(dict_zuord_Meth_Transfers[[#This Row],[kval_active]],dict_zuord_Meth_Transfers[[#This Row],[ID_Transfers]],"")</f>
        <v/>
      </c>
    </row>
    <row r="1888" spans="1:4" x14ac:dyDescent="0.45">
      <c r="A1888">
        <v>314</v>
      </c>
      <c r="B1888" s="3">
        <f t="shared" ca="1" si="29"/>
        <v>138</v>
      </c>
      <c r="C1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8" t="str">
        <f ca="1">IF(dict_zuord_Meth_Transfers[[#This Row],[kval_active]],dict_zuord_Meth_Transfers[[#This Row],[ID_Transfers]],"")</f>
        <v/>
      </c>
    </row>
    <row r="1889" spans="1:4" x14ac:dyDescent="0.45">
      <c r="A1889">
        <v>314</v>
      </c>
      <c r="B1889">
        <f t="shared" ca="1" si="29"/>
        <v>22</v>
      </c>
      <c r="C1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89" t="str">
        <f ca="1">IF(dict_zuord_Meth_Transfers[[#This Row],[kval_active]],dict_zuord_Meth_Transfers[[#This Row],[ID_Transfers]],"")</f>
        <v/>
      </c>
    </row>
    <row r="1890" spans="1:4" x14ac:dyDescent="0.45">
      <c r="A1890">
        <v>314</v>
      </c>
      <c r="B1890" s="3">
        <f t="shared" ca="1" si="29"/>
        <v>3</v>
      </c>
      <c r="C1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0" t="str">
        <f ca="1">IF(dict_zuord_Meth_Transfers[[#This Row],[kval_active]],dict_zuord_Meth_Transfers[[#This Row],[ID_Transfers]],"")</f>
        <v/>
      </c>
    </row>
    <row r="1891" spans="1:4" x14ac:dyDescent="0.45">
      <c r="A1891">
        <v>314</v>
      </c>
      <c r="B1891">
        <f t="shared" ca="1" si="29"/>
        <v>35</v>
      </c>
      <c r="C1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1" t="str">
        <f ca="1">IF(dict_zuord_Meth_Transfers[[#This Row],[kval_active]],dict_zuord_Meth_Transfers[[#This Row],[ID_Transfers]],"")</f>
        <v/>
      </c>
    </row>
    <row r="1892" spans="1:4" x14ac:dyDescent="0.45">
      <c r="A1892">
        <v>315</v>
      </c>
      <c r="B1892">
        <f t="shared" ca="1" si="29"/>
        <v>15</v>
      </c>
      <c r="C1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2">
        <f ca="1">IF(dict_zuord_Meth_Transfers[[#This Row],[kval_active]],dict_zuord_Meth_Transfers[[#This Row],[ID_Transfers]],"")</f>
        <v>15</v>
      </c>
    </row>
    <row r="1893" spans="1:4" x14ac:dyDescent="0.45">
      <c r="A1893">
        <v>315</v>
      </c>
      <c r="B1893">
        <f t="shared" ca="1" si="29"/>
        <v>180</v>
      </c>
      <c r="C1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3">
        <f ca="1">IF(dict_zuord_Meth_Transfers[[#This Row],[kval_active]],dict_zuord_Meth_Transfers[[#This Row],[ID_Transfers]],"")</f>
        <v>180</v>
      </c>
    </row>
    <row r="1894" spans="1:4" x14ac:dyDescent="0.45">
      <c r="A1894">
        <v>315</v>
      </c>
      <c r="B1894" s="3">
        <f t="shared" ca="1" si="29"/>
        <v>165</v>
      </c>
      <c r="C1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4">
        <f ca="1">IF(dict_zuord_Meth_Transfers[[#This Row],[kval_active]],dict_zuord_Meth_Transfers[[#This Row],[ID_Transfers]],"")</f>
        <v>165</v>
      </c>
    </row>
    <row r="1895" spans="1:4" x14ac:dyDescent="0.45">
      <c r="A1895">
        <v>315</v>
      </c>
      <c r="B1895" s="3">
        <f t="shared" ca="1" si="29"/>
        <v>37</v>
      </c>
      <c r="C1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5">
        <f ca="1">IF(dict_zuord_Meth_Transfers[[#This Row],[kval_active]],dict_zuord_Meth_Transfers[[#This Row],[ID_Transfers]],"")</f>
        <v>37</v>
      </c>
    </row>
    <row r="1896" spans="1:4" x14ac:dyDescent="0.45">
      <c r="A1896">
        <v>315</v>
      </c>
      <c r="B1896">
        <f t="shared" ca="1" si="29"/>
        <v>66</v>
      </c>
      <c r="C1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6">
        <f ca="1">IF(dict_zuord_Meth_Transfers[[#This Row],[kval_active]],dict_zuord_Meth_Transfers[[#This Row],[ID_Transfers]],"")</f>
        <v>66</v>
      </c>
    </row>
    <row r="1897" spans="1:4" x14ac:dyDescent="0.45">
      <c r="A1897">
        <v>315</v>
      </c>
      <c r="B1897" s="3">
        <f t="shared" ca="1" si="29"/>
        <v>196</v>
      </c>
      <c r="C1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1897">
        <f ca="1">IF(dict_zuord_Meth_Transfers[[#This Row],[kval_active]],dict_zuord_Meth_Transfers[[#This Row],[ID_Transfers]],"")</f>
        <v>196</v>
      </c>
    </row>
    <row r="1898" spans="1:4" x14ac:dyDescent="0.45">
      <c r="A1898">
        <v>316</v>
      </c>
      <c r="B1898" s="3">
        <f t="shared" ca="1" si="29"/>
        <v>129</v>
      </c>
      <c r="C1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8" t="str">
        <f ca="1">IF(dict_zuord_Meth_Transfers[[#This Row],[kval_active]],dict_zuord_Meth_Transfers[[#This Row],[ID_Transfers]],"")</f>
        <v/>
      </c>
    </row>
    <row r="1899" spans="1:4" x14ac:dyDescent="0.45">
      <c r="A1899">
        <v>316</v>
      </c>
      <c r="B1899">
        <f t="shared" ca="1" si="29"/>
        <v>1</v>
      </c>
      <c r="C1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899" t="str">
        <f ca="1">IF(dict_zuord_Meth_Transfers[[#This Row],[kval_active]],dict_zuord_Meth_Transfers[[#This Row],[ID_Transfers]],"")</f>
        <v/>
      </c>
    </row>
    <row r="1900" spans="1:4" x14ac:dyDescent="0.45">
      <c r="A1900">
        <v>316</v>
      </c>
      <c r="B1900">
        <f t="shared" ca="1" si="29"/>
        <v>40</v>
      </c>
      <c r="C1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0" t="str">
        <f ca="1">IF(dict_zuord_Meth_Transfers[[#This Row],[kval_active]],dict_zuord_Meth_Transfers[[#This Row],[ID_Transfers]],"")</f>
        <v/>
      </c>
    </row>
    <row r="1901" spans="1:4" x14ac:dyDescent="0.45">
      <c r="A1901">
        <v>316</v>
      </c>
      <c r="B1901">
        <f t="shared" ca="1" si="29"/>
        <v>19</v>
      </c>
      <c r="C1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1" t="str">
        <f ca="1">IF(dict_zuord_Meth_Transfers[[#This Row],[kval_active]],dict_zuord_Meth_Transfers[[#This Row],[ID_Transfers]],"")</f>
        <v/>
      </c>
    </row>
    <row r="1902" spans="1:4" x14ac:dyDescent="0.45">
      <c r="A1902">
        <v>316</v>
      </c>
      <c r="B1902" s="3">
        <f t="shared" ca="1" si="29"/>
        <v>61</v>
      </c>
      <c r="C1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2" t="str">
        <f ca="1">IF(dict_zuord_Meth_Transfers[[#This Row],[kval_active]],dict_zuord_Meth_Transfers[[#This Row],[ID_Transfers]],"")</f>
        <v/>
      </c>
    </row>
    <row r="1903" spans="1:4" x14ac:dyDescent="0.45">
      <c r="A1903">
        <v>316</v>
      </c>
      <c r="B1903" s="3">
        <f t="shared" ca="1" si="29"/>
        <v>122</v>
      </c>
      <c r="C1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3" t="str">
        <f ca="1">IF(dict_zuord_Meth_Transfers[[#This Row],[kval_active]],dict_zuord_Meth_Transfers[[#This Row],[ID_Transfers]],"")</f>
        <v/>
      </c>
    </row>
    <row r="1904" spans="1:4" x14ac:dyDescent="0.45">
      <c r="A1904">
        <v>317</v>
      </c>
      <c r="B1904" s="3">
        <f t="shared" ca="1" si="29"/>
        <v>75</v>
      </c>
      <c r="C1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4" t="str">
        <f ca="1">IF(dict_zuord_Meth_Transfers[[#This Row],[kval_active]],dict_zuord_Meth_Transfers[[#This Row],[ID_Transfers]],"")</f>
        <v/>
      </c>
    </row>
    <row r="1905" spans="1:4" x14ac:dyDescent="0.45">
      <c r="A1905">
        <v>317</v>
      </c>
      <c r="B1905" s="3">
        <f t="shared" ca="1" si="29"/>
        <v>115</v>
      </c>
      <c r="C1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5" t="str">
        <f ca="1">IF(dict_zuord_Meth_Transfers[[#This Row],[kval_active]],dict_zuord_Meth_Transfers[[#This Row],[ID_Transfers]],"")</f>
        <v/>
      </c>
    </row>
    <row r="1906" spans="1:4" x14ac:dyDescent="0.45">
      <c r="A1906">
        <v>317</v>
      </c>
      <c r="B1906">
        <f t="shared" ca="1" si="29"/>
        <v>151</v>
      </c>
      <c r="C1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6" t="str">
        <f ca="1">IF(dict_zuord_Meth_Transfers[[#This Row],[kval_active]],dict_zuord_Meth_Transfers[[#This Row],[ID_Transfers]],"")</f>
        <v/>
      </c>
    </row>
    <row r="1907" spans="1:4" x14ac:dyDescent="0.45">
      <c r="A1907">
        <v>317</v>
      </c>
      <c r="B1907">
        <f t="shared" ca="1" si="29"/>
        <v>113</v>
      </c>
      <c r="C1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7" t="str">
        <f ca="1">IF(dict_zuord_Meth_Transfers[[#This Row],[kval_active]],dict_zuord_Meth_Transfers[[#This Row],[ID_Transfers]],"")</f>
        <v/>
      </c>
    </row>
    <row r="1908" spans="1:4" x14ac:dyDescent="0.45">
      <c r="A1908">
        <v>317</v>
      </c>
      <c r="B1908" s="3">
        <f t="shared" ca="1" si="29"/>
        <v>152</v>
      </c>
      <c r="C1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8" t="str">
        <f ca="1">IF(dict_zuord_Meth_Transfers[[#This Row],[kval_active]],dict_zuord_Meth_Transfers[[#This Row],[ID_Transfers]],"")</f>
        <v/>
      </c>
    </row>
    <row r="1909" spans="1:4" x14ac:dyDescent="0.45">
      <c r="A1909">
        <v>317</v>
      </c>
      <c r="B1909">
        <f t="shared" ca="1" si="29"/>
        <v>88</v>
      </c>
      <c r="C1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09" t="str">
        <f ca="1">IF(dict_zuord_Meth_Transfers[[#This Row],[kval_active]],dict_zuord_Meth_Transfers[[#This Row],[ID_Transfers]],"")</f>
        <v/>
      </c>
    </row>
    <row r="1910" spans="1:4" x14ac:dyDescent="0.45">
      <c r="A1910">
        <v>318</v>
      </c>
      <c r="B1910" s="3">
        <f t="shared" ca="1" si="29"/>
        <v>130</v>
      </c>
      <c r="C1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0" t="str">
        <f ca="1">IF(dict_zuord_Meth_Transfers[[#This Row],[kval_active]],dict_zuord_Meth_Transfers[[#This Row],[ID_Transfers]],"")</f>
        <v/>
      </c>
    </row>
    <row r="1911" spans="1:4" x14ac:dyDescent="0.45">
      <c r="A1911">
        <v>318</v>
      </c>
      <c r="B1911" s="3">
        <f t="shared" ca="1" si="29"/>
        <v>121</v>
      </c>
      <c r="C1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1" t="str">
        <f ca="1">IF(dict_zuord_Meth_Transfers[[#This Row],[kval_active]],dict_zuord_Meth_Transfers[[#This Row],[ID_Transfers]],"")</f>
        <v/>
      </c>
    </row>
    <row r="1912" spans="1:4" x14ac:dyDescent="0.45">
      <c r="A1912">
        <v>318</v>
      </c>
      <c r="B1912">
        <f t="shared" ca="1" si="29"/>
        <v>38</v>
      </c>
      <c r="C1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2" t="str">
        <f ca="1">IF(dict_zuord_Meth_Transfers[[#This Row],[kval_active]],dict_zuord_Meth_Transfers[[#This Row],[ID_Transfers]],"")</f>
        <v/>
      </c>
    </row>
    <row r="1913" spans="1:4" x14ac:dyDescent="0.45">
      <c r="A1913">
        <v>318</v>
      </c>
      <c r="B1913">
        <f t="shared" ca="1" si="29"/>
        <v>97</v>
      </c>
      <c r="C1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3" t="str">
        <f ca="1">IF(dict_zuord_Meth_Transfers[[#This Row],[kval_active]],dict_zuord_Meth_Transfers[[#This Row],[ID_Transfers]],"")</f>
        <v/>
      </c>
    </row>
    <row r="1914" spans="1:4" x14ac:dyDescent="0.45">
      <c r="A1914">
        <v>318</v>
      </c>
      <c r="B1914" s="3">
        <f t="shared" ca="1" si="29"/>
        <v>179</v>
      </c>
      <c r="C1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4" t="str">
        <f ca="1">IF(dict_zuord_Meth_Transfers[[#This Row],[kval_active]],dict_zuord_Meth_Transfers[[#This Row],[ID_Transfers]],"")</f>
        <v/>
      </c>
    </row>
    <row r="1915" spans="1:4" x14ac:dyDescent="0.45">
      <c r="A1915">
        <v>318</v>
      </c>
      <c r="B1915">
        <f t="shared" ca="1" si="29"/>
        <v>70</v>
      </c>
      <c r="C1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5" t="str">
        <f ca="1">IF(dict_zuord_Meth_Transfers[[#This Row],[kval_active]],dict_zuord_Meth_Transfers[[#This Row],[ID_Transfers]],"")</f>
        <v/>
      </c>
    </row>
    <row r="1916" spans="1:4" x14ac:dyDescent="0.45">
      <c r="A1916">
        <v>319</v>
      </c>
      <c r="B1916" s="3">
        <f t="shared" ca="1" si="29"/>
        <v>43</v>
      </c>
      <c r="C1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6" t="str">
        <f ca="1">IF(dict_zuord_Meth_Transfers[[#This Row],[kval_active]],dict_zuord_Meth_Transfers[[#This Row],[ID_Transfers]],"")</f>
        <v/>
      </c>
    </row>
    <row r="1917" spans="1:4" x14ac:dyDescent="0.45">
      <c r="A1917">
        <v>319</v>
      </c>
      <c r="B1917">
        <f t="shared" ca="1" si="29"/>
        <v>42</v>
      </c>
      <c r="C1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7" t="str">
        <f ca="1">IF(dict_zuord_Meth_Transfers[[#This Row],[kval_active]],dict_zuord_Meth_Transfers[[#This Row],[ID_Transfers]],"")</f>
        <v/>
      </c>
    </row>
    <row r="1918" spans="1:4" x14ac:dyDescent="0.45">
      <c r="A1918">
        <v>319</v>
      </c>
      <c r="B1918">
        <f t="shared" ca="1" si="29"/>
        <v>155</v>
      </c>
      <c r="C1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8" t="str">
        <f ca="1">IF(dict_zuord_Meth_Transfers[[#This Row],[kval_active]],dict_zuord_Meth_Transfers[[#This Row],[ID_Transfers]],"")</f>
        <v/>
      </c>
    </row>
    <row r="1919" spans="1:4" x14ac:dyDescent="0.45">
      <c r="A1919">
        <v>319</v>
      </c>
      <c r="B1919">
        <f t="shared" ca="1" si="29"/>
        <v>121</v>
      </c>
      <c r="C1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19" t="str">
        <f ca="1">IF(dict_zuord_Meth_Transfers[[#This Row],[kval_active]],dict_zuord_Meth_Transfers[[#This Row],[ID_Transfers]],"")</f>
        <v/>
      </c>
    </row>
    <row r="1920" spans="1:4" x14ac:dyDescent="0.45">
      <c r="A1920">
        <v>319</v>
      </c>
      <c r="B1920" s="3">
        <f t="shared" ca="1" si="29"/>
        <v>12</v>
      </c>
      <c r="C1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0" t="str">
        <f ca="1">IF(dict_zuord_Meth_Transfers[[#This Row],[kval_active]],dict_zuord_Meth_Transfers[[#This Row],[ID_Transfers]],"")</f>
        <v/>
      </c>
    </row>
    <row r="1921" spans="1:4" x14ac:dyDescent="0.45">
      <c r="A1921">
        <v>319</v>
      </c>
      <c r="B1921" s="3">
        <f t="shared" ca="1" si="29"/>
        <v>163</v>
      </c>
      <c r="C1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1" t="str">
        <f ca="1">IF(dict_zuord_Meth_Transfers[[#This Row],[kval_active]],dict_zuord_Meth_Transfers[[#This Row],[ID_Transfers]],"")</f>
        <v/>
      </c>
    </row>
    <row r="1922" spans="1:4" x14ac:dyDescent="0.45">
      <c r="A1922">
        <v>320</v>
      </c>
      <c r="B1922">
        <f t="shared" ref="B1922:B1985" ca="1" si="30">RANDBETWEEN(0,200)</f>
        <v>131</v>
      </c>
      <c r="C1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2" t="str">
        <f ca="1">IF(dict_zuord_Meth_Transfers[[#This Row],[kval_active]],dict_zuord_Meth_Transfers[[#This Row],[ID_Transfers]],"")</f>
        <v/>
      </c>
    </row>
    <row r="1923" spans="1:4" x14ac:dyDescent="0.45">
      <c r="A1923">
        <v>320</v>
      </c>
      <c r="B1923" s="3">
        <f t="shared" ca="1" si="30"/>
        <v>30</v>
      </c>
      <c r="C1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3" t="str">
        <f ca="1">IF(dict_zuord_Meth_Transfers[[#This Row],[kval_active]],dict_zuord_Meth_Transfers[[#This Row],[ID_Transfers]],"")</f>
        <v/>
      </c>
    </row>
    <row r="1924" spans="1:4" x14ac:dyDescent="0.45">
      <c r="A1924">
        <v>320</v>
      </c>
      <c r="B1924">
        <f t="shared" ca="1" si="30"/>
        <v>1</v>
      </c>
      <c r="C1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4" t="str">
        <f ca="1">IF(dict_zuord_Meth_Transfers[[#This Row],[kval_active]],dict_zuord_Meth_Transfers[[#This Row],[ID_Transfers]],"")</f>
        <v/>
      </c>
    </row>
    <row r="1925" spans="1:4" x14ac:dyDescent="0.45">
      <c r="A1925">
        <v>320</v>
      </c>
      <c r="B1925">
        <f t="shared" ca="1" si="30"/>
        <v>129</v>
      </c>
      <c r="C1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5" t="str">
        <f ca="1">IF(dict_zuord_Meth_Transfers[[#This Row],[kval_active]],dict_zuord_Meth_Transfers[[#This Row],[ID_Transfers]],"")</f>
        <v/>
      </c>
    </row>
    <row r="1926" spans="1:4" x14ac:dyDescent="0.45">
      <c r="A1926">
        <v>320</v>
      </c>
      <c r="B1926" s="3">
        <f t="shared" ca="1" si="30"/>
        <v>4</v>
      </c>
      <c r="C1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6" t="str">
        <f ca="1">IF(dict_zuord_Meth_Transfers[[#This Row],[kval_active]],dict_zuord_Meth_Transfers[[#This Row],[ID_Transfers]],"")</f>
        <v/>
      </c>
    </row>
    <row r="1927" spans="1:4" x14ac:dyDescent="0.45">
      <c r="A1927">
        <v>320</v>
      </c>
      <c r="B1927" s="3">
        <f t="shared" ca="1" si="30"/>
        <v>57</v>
      </c>
      <c r="C1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7" t="str">
        <f ca="1">IF(dict_zuord_Meth_Transfers[[#This Row],[kval_active]],dict_zuord_Meth_Transfers[[#This Row],[ID_Transfers]],"")</f>
        <v/>
      </c>
    </row>
    <row r="1928" spans="1:4" x14ac:dyDescent="0.45">
      <c r="A1928">
        <v>321</v>
      </c>
      <c r="B1928" s="3">
        <f t="shared" ca="1" si="30"/>
        <v>22</v>
      </c>
      <c r="C1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8" t="str">
        <f ca="1">IF(dict_zuord_Meth_Transfers[[#This Row],[kval_active]],dict_zuord_Meth_Transfers[[#This Row],[ID_Transfers]],"")</f>
        <v/>
      </c>
    </row>
    <row r="1929" spans="1:4" x14ac:dyDescent="0.45">
      <c r="A1929">
        <v>321</v>
      </c>
      <c r="B1929" s="3">
        <f t="shared" ca="1" si="30"/>
        <v>21</v>
      </c>
      <c r="C1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29" t="str">
        <f ca="1">IF(dict_zuord_Meth_Transfers[[#This Row],[kval_active]],dict_zuord_Meth_Transfers[[#This Row],[ID_Transfers]],"")</f>
        <v/>
      </c>
    </row>
    <row r="1930" spans="1:4" x14ac:dyDescent="0.45">
      <c r="A1930">
        <v>321</v>
      </c>
      <c r="B1930">
        <f t="shared" ca="1" si="30"/>
        <v>107</v>
      </c>
      <c r="C1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0" t="str">
        <f ca="1">IF(dict_zuord_Meth_Transfers[[#This Row],[kval_active]],dict_zuord_Meth_Transfers[[#This Row],[ID_Transfers]],"")</f>
        <v/>
      </c>
    </row>
    <row r="1931" spans="1:4" x14ac:dyDescent="0.45">
      <c r="A1931">
        <v>321</v>
      </c>
      <c r="B1931">
        <f t="shared" ca="1" si="30"/>
        <v>158</v>
      </c>
      <c r="C1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1" t="str">
        <f ca="1">IF(dict_zuord_Meth_Transfers[[#This Row],[kval_active]],dict_zuord_Meth_Transfers[[#This Row],[ID_Transfers]],"")</f>
        <v/>
      </c>
    </row>
    <row r="1932" spans="1:4" x14ac:dyDescent="0.45">
      <c r="A1932">
        <v>321</v>
      </c>
      <c r="B1932">
        <f t="shared" ca="1" si="30"/>
        <v>170</v>
      </c>
      <c r="C1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2" t="str">
        <f ca="1">IF(dict_zuord_Meth_Transfers[[#This Row],[kval_active]],dict_zuord_Meth_Transfers[[#This Row],[ID_Transfers]],"")</f>
        <v/>
      </c>
    </row>
    <row r="1933" spans="1:4" x14ac:dyDescent="0.45">
      <c r="A1933">
        <v>321</v>
      </c>
      <c r="B1933" s="3">
        <f t="shared" ca="1" si="30"/>
        <v>8</v>
      </c>
      <c r="C1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3" t="str">
        <f ca="1">IF(dict_zuord_Meth_Transfers[[#This Row],[kval_active]],dict_zuord_Meth_Transfers[[#This Row],[ID_Transfers]],"")</f>
        <v/>
      </c>
    </row>
    <row r="1934" spans="1:4" x14ac:dyDescent="0.45">
      <c r="A1934">
        <v>322</v>
      </c>
      <c r="B1934" s="3">
        <f t="shared" ca="1" si="30"/>
        <v>123</v>
      </c>
      <c r="C1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4" t="str">
        <f ca="1">IF(dict_zuord_Meth_Transfers[[#This Row],[kval_active]],dict_zuord_Meth_Transfers[[#This Row],[ID_Transfers]],"")</f>
        <v/>
      </c>
    </row>
    <row r="1935" spans="1:4" x14ac:dyDescent="0.45">
      <c r="A1935">
        <v>322</v>
      </c>
      <c r="B1935" s="3">
        <f t="shared" ca="1" si="30"/>
        <v>184</v>
      </c>
      <c r="C1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5" t="str">
        <f ca="1">IF(dict_zuord_Meth_Transfers[[#This Row],[kval_active]],dict_zuord_Meth_Transfers[[#This Row],[ID_Transfers]],"")</f>
        <v/>
      </c>
    </row>
    <row r="1936" spans="1:4" x14ac:dyDescent="0.45">
      <c r="A1936">
        <v>322</v>
      </c>
      <c r="B1936" s="3">
        <f t="shared" ca="1" si="30"/>
        <v>22</v>
      </c>
      <c r="C1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6" t="str">
        <f ca="1">IF(dict_zuord_Meth_Transfers[[#This Row],[kval_active]],dict_zuord_Meth_Transfers[[#This Row],[ID_Transfers]],"")</f>
        <v/>
      </c>
    </row>
    <row r="1937" spans="1:4" x14ac:dyDescent="0.45">
      <c r="A1937">
        <v>322</v>
      </c>
      <c r="B1937">
        <f t="shared" ca="1" si="30"/>
        <v>120</v>
      </c>
      <c r="C1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7" t="str">
        <f ca="1">IF(dict_zuord_Meth_Transfers[[#This Row],[kval_active]],dict_zuord_Meth_Transfers[[#This Row],[ID_Transfers]],"")</f>
        <v/>
      </c>
    </row>
    <row r="1938" spans="1:4" x14ac:dyDescent="0.45">
      <c r="A1938">
        <v>322</v>
      </c>
      <c r="B1938">
        <f t="shared" ca="1" si="30"/>
        <v>186</v>
      </c>
      <c r="C1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8" t="str">
        <f ca="1">IF(dict_zuord_Meth_Transfers[[#This Row],[kval_active]],dict_zuord_Meth_Transfers[[#This Row],[ID_Transfers]],"")</f>
        <v/>
      </c>
    </row>
    <row r="1939" spans="1:4" x14ac:dyDescent="0.45">
      <c r="A1939">
        <v>322</v>
      </c>
      <c r="B1939">
        <f t="shared" ca="1" si="30"/>
        <v>88</v>
      </c>
      <c r="C1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39" t="str">
        <f ca="1">IF(dict_zuord_Meth_Transfers[[#This Row],[kval_active]],dict_zuord_Meth_Transfers[[#This Row],[ID_Transfers]],"")</f>
        <v/>
      </c>
    </row>
    <row r="1940" spans="1:4" x14ac:dyDescent="0.45">
      <c r="A1940">
        <v>323</v>
      </c>
      <c r="B1940" s="3">
        <f t="shared" ca="1" si="30"/>
        <v>116</v>
      </c>
      <c r="C1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0" t="str">
        <f ca="1">IF(dict_zuord_Meth_Transfers[[#This Row],[kval_active]],dict_zuord_Meth_Transfers[[#This Row],[ID_Transfers]],"")</f>
        <v/>
      </c>
    </row>
    <row r="1941" spans="1:4" x14ac:dyDescent="0.45">
      <c r="A1941">
        <v>323</v>
      </c>
      <c r="B1941">
        <f t="shared" ca="1" si="30"/>
        <v>48</v>
      </c>
      <c r="C1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1" t="str">
        <f ca="1">IF(dict_zuord_Meth_Transfers[[#This Row],[kval_active]],dict_zuord_Meth_Transfers[[#This Row],[ID_Transfers]],"")</f>
        <v/>
      </c>
    </row>
    <row r="1942" spans="1:4" x14ac:dyDescent="0.45">
      <c r="A1942">
        <v>323</v>
      </c>
      <c r="B1942" s="3">
        <f t="shared" ca="1" si="30"/>
        <v>104</v>
      </c>
      <c r="C1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2" t="str">
        <f ca="1">IF(dict_zuord_Meth_Transfers[[#This Row],[kval_active]],dict_zuord_Meth_Transfers[[#This Row],[ID_Transfers]],"")</f>
        <v/>
      </c>
    </row>
    <row r="1943" spans="1:4" x14ac:dyDescent="0.45">
      <c r="A1943">
        <v>323</v>
      </c>
      <c r="B1943">
        <f t="shared" ca="1" si="30"/>
        <v>62</v>
      </c>
      <c r="C1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3" t="str">
        <f ca="1">IF(dict_zuord_Meth_Transfers[[#This Row],[kval_active]],dict_zuord_Meth_Transfers[[#This Row],[ID_Transfers]],"")</f>
        <v/>
      </c>
    </row>
    <row r="1944" spans="1:4" x14ac:dyDescent="0.45">
      <c r="A1944">
        <v>323</v>
      </c>
      <c r="B1944" s="3">
        <f t="shared" ca="1" si="30"/>
        <v>85</v>
      </c>
      <c r="C1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4" t="str">
        <f ca="1">IF(dict_zuord_Meth_Transfers[[#This Row],[kval_active]],dict_zuord_Meth_Transfers[[#This Row],[ID_Transfers]],"")</f>
        <v/>
      </c>
    </row>
    <row r="1945" spans="1:4" x14ac:dyDescent="0.45">
      <c r="A1945">
        <v>323</v>
      </c>
      <c r="B1945">
        <f t="shared" ca="1" si="30"/>
        <v>51</v>
      </c>
      <c r="C1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5" t="str">
        <f ca="1">IF(dict_zuord_Meth_Transfers[[#This Row],[kval_active]],dict_zuord_Meth_Transfers[[#This Row],[ID_Transfers]],"")</f>
        <v/>
      </c>
    </row>
    <row r="1946" spans="1:4" x14ac:dyDescent="0.45">
      <c r="A1946">
        <v>324</v>
      </c>
      <c r="B1946" s="3">
        <f t="shared" ca="1" si="30"/>
        <v>17</v>
      </c>
      <c r="C1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6" t="str">
        <f ca="1">IF(dict_zuord_Meth_Transfers[[#This Row],[kval_active]],dict_zuord_Meth_Transfers[[#This Row],[ID_Transfers]],"")</f>
        <v/>
      </c>
    </row>
    <row r="1947" spans="1:4" x14ac:dyDescent="0.45">
      <c r="A1947">
        <v>324</v>
      </c>
      <c r="B1947">
        <f t="shared" ca="1" si="30"/>
        <v>107</v>
      </c>
      <c r="C1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7" t="str">
        <f ca="1">IF(dict_zuord_Meth_Transfers[[#This Row],[kval_active]],dict_zuord_Meth_Transfers[[#This Row],[ID_Transfers]],"")</f>
        <v/>
      </c>
    </row>
    <row r="1948" spans="1:4" x14ac:dyDescent="0.45">
      <c r="A1948">
        <v>324</v>
      </c>
      <c r="B1948" s="3">
        <f t="shared" ca="1" si="30"/>
        <v>98</v>
      </c>
      <c r="C1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8" t="str">
        <f ca="1">IF(dict_zuord_Meth_Transfers[[#This Row],[kval_active]],dict_zuord_Meth_Transfers[[#This Row],[ID_Transfers]],"")</f>
        <v/>
      </c>
    </row>
    <row r="1949" spans="1:4" x14ac:dyDescent="0.45">
      <c r="A1949">
        <v>324</v>
      </c>
      <c r="B1949" s="3">
        <f t="shared" ca="1" si="30"/>
        <v>130</v>
      </c>
      <c r="C1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49" t="str">
        <f ca="1">IF(dict_zuord_Meth_Transfers[[#This Row],[kval_active]],dict_zuord_Meth_Transfers[[#This Row],[ID_Transfers]],"")</f>
        <v/>
      </c>
    </row>
    <row r="1950" spans="1:4" x14ac:dyDescent="0.45">
      <c r="A1950">
        <v>324</v>
      </c>
      <c r="B1950">
        <f t="shared" ca="1" si="30"/>
        <v>4</v>
      </c>
      <c r="C1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0" t="str">
        <f ca="1">IF(dict_zuord_Meth_Transfers[[#This Row],[kval_active]],dict_zuord_Meth_Transfers[[#This Row],[ID_Transfers]],"")</f>
        <v/>
      </c>
    </row>
    <row r="1951" spans="1:4" x14ac:dyDescent="0.45">
      <c r="A1951">
        <v>324</v>
      </c>
      <c r="B1951">
        <f t="shared" ca="1" si="30"/>
        <v>147</v>
      </c>
      <c r="C1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1" t="str">
        <f ca="1">IF(dict_zuord_Meth_Transfers[[#This Row],[kval_active]],dict_zuord_Meth_Transfers[[#This Row],[ID_Transfers]],"")</f>
        <v/>
      </c>
    </row>
    <row r="1952" spans="1:4" x14ac:dyDescent="0.45">
      <c r="A1952">
        <v>325</v>
      </c>
      <c r="B1952" s="3">
        <f t="shared" ca="1" si="30"/>
        <v>98</v>
      </c>
      <c r="C1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2" t="str">
        <f ca="1">IF(dict_zuord_Meth_Transfers[[#This Row],[kval_active]],dict_zuord_Meth_Transfers[[#This Row],[ID_Transfers]],"")</f>
        <v/>
      </c>
    </row>
    <row r="1953" spans="1:4" x14ac:dyDescent="0.45">
      <c r="A1953">
        <v>325</v>
      </c>
      <c r="B1953" s="3">
        <f t="shared" ca="1" si="30"/>
        <v>61</v>
      </c>
      <c r="C1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3" t="str">
        <f ca="1">IF(dict_zuord_Meth_Transfers[[#This Row],[kval_active]],dict_zuord_Meth_Transfers[[#This Row],[ID_Transfers]],"")</f>
        <v/>
      </c>
    </row>
    <row r="1954" spans="1:4" x14ac:dyDescent="0.45">
      <c r="A1954">
        <v>325</v>
      </c>
      <c r="B1954">
        <f t="shared" ca="1" si="30"/>
        <v>32</v>
      </c>
      <c r="C1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4" t="str">
        <f ca="1">IF(dict_zuord_Meth_Transfers[[#This Row],[kval_active]],dict_zuord_Meth_Transfers[[#This Row],[ID_Transfers]],"")</f>
        <v/>
      </c>
    </row>
    <row r="1955" spans="1:4" x14ac:dyDescent="0.45">
      <c r="A1955">
        <v>325</v>
      </c>
      <c r="B1955" s="3">
        <f t="shared" ca="1" si="30"/>
        <v>94</v>
      </c>
      <c r="C1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5" t="str">
        <f ca="1">IF(dict_zuord_Meth_Transfers[[#This Row],[kval_active]],dict_zuord_Meth_Transfers[[#This Row],[ID_Transfers]],"")</f>
        <v/>
      </c>
    </row>
    <row r="1956" spans="1:4" x14ac:dyDescent="0.45">
      <c r="A1956">
        <v>325</v>
      </c>
      <c r="B1956">
        <f t="shared" ca="1" si="30"/>
        <v>44</v>
      </c>
      <c r="C1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6" t="str">
        <f ca="1">IF(dict_zuord_Meth_Transfers[[#This Row],[kval_active]],dict_zuord_Meth_Transfers[[#This Row],[ID_Transfers]],"")</f>
        <v/>
      </c>
    </row>
    <row r="1957" spans="1:4" x14ac:dyDescent="0.45">
      <c r="A1957">
        <v>325</v>
      </c>
      <c r="B1957">
        <f t="shared" ca="1" si="30"/>
        <v>157</v>
      </c>
      <c r="C1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7" t="str">
        <f ca="1">IF(dict_zuord_Meth_Transfers[[#This Row],[kval_active]],dict_zuord_Meth_Transfers[[#This Row],[ID_Transfers]],"")</f>
        <v/>
      </c>
    </row>
    <row r="1958" spans="1:4" x14ac:dyDescent="0.45">
      <c r="A1958">
        <v>326</v>
      </c>
      <c r="B1958" s="3">
        <f t="shared" ca="1" si="30"/>
        <v>167</v>
      </c>
      <c r="C1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8" t="str">
        <f ca="1">IF(dict_zuord_Meth_Transfers[[#This Row],[kval_active]],dict_zuord_Meth_Transfers[[#This Row],[ID_Transfers]],"")</f>
        <v/>
      </c>
    </row>
    <row r="1959" spans="1:4" x14ac:dyDescent="0.45">
      <c r="A1959">
        <v>326</v>
      </c>
      <c r="B1959" s="3">
        <f t="shared" ca="1" si="30"/>
        <v>92</v>
      </c>
      <c r="C1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59" t="str">
        <f ca="1">IF(dict_zuord_Meth_Transfers[[#This Row],[kval_active]],dict_zuord_Meth_Transfers[[#This Row],[ID_Transfers]],"")</f>
        <v/>
      </c>
    </row>
    <row r="1960" spans="1:4" x14ac:dyDescent="0.45">
      <c r="A1960">
        <v>326</v>
      </c>
      <c r="B1960">
        <f t="shared" ca="1" si="30"/>
        <v>83</v>
      </c>
      <c r="C1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0" t="str">
        <f ca="1">IF(dict_zuord_Meth_Transfers[[#This Row],[kval_active]],dict_zuord_Meth_Transfers[[#This Row],[ID_Transfers]],"")</f>
        <v/>
      </c>
    </row>
    <row r="1961" spans="1:4" x14ac:dyDescent="0.45">
      <c r="A1961">
        <v>326</v>
      </c>
      <c r="B1961" s="3">
        <f t="shared" ca="1" si="30"/>
        <v>49</v>
      </c>
      <c r="C1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1" t="str">
        <f ca="1">IF(dict_zuord_Meth_Transfers[[#This Row],[kval_active]],dict_zuord_Meth_Transfers[[#This Row],[ID_Transfers]],"")</f>
        <v/>
      </c>
    </row>
    <row r="1962" spans="1:4" x14ac:dyDescent="0.45">
      <c r="A1962">
        <v>326</v>
      </c>
      <c r="B1962">
        <f t="shared" ca="1" si="30"/>
        <v>164</v>
      </c>
      <c r="C1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2" t="str">
        <f ca="1">IF(dict_zuord_Meth_Transfers[[#This Row],[kval_active]],dict_zuord_Meth_Transfers[[#This Row],[ID_Transfers]],"")</f>
        <v/>
      </c>
    </row>
    <row r="1963" spans="1:4" x14ac:dyDescent="0.45">
      <c r="A1963">
        <v>326</v>
      </c>
      <c r="B1963">
        <f t="shared" ca="1" si="30"/>
        <v>108</v>
      </c>
      <c r="C1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3" t="str">
        <f ca="1">IF(dict_zuord_Meth_Transfers[[#This Row],[kval_active]],dict_zuord_Meth_Transfers[[#This Row],[ID_Transfers]],"")</f>
        <v/>
      </c>
    </row>
    <row r="1964" spans="1:4" x14ac:dyDescent="0.45">
      <c r="A1964">
        <v>327</v>
      </c>
      <c r="B1964" s="3">
        <f t="shared" ca="1" si="30"/>
        <v>181</v>
      </c>
      <c r="C1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4" t="str">
        <f ca="1">IF(dict_zuord_Meth_Transfers[[#This Row],[kval_active]],dict_zuord_Meth_Transfers[[#This Row],[ID_Transfers]],"")</f>
        <v/>
      </c>
    </row>
    <row r="1965" spans="1:4" x14ac:dyDescent="0.45">
      <c r="A1965">
        <v>327</v>
      </c>
      <c r="B1965">
        <f t="shared" ca="1" si="30"/>
        <v>162</v>
      </c>
      <c r="C1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5" t="str">
        <f ca="1">IF(dict_zuord_Meth_Transfers[[#This Row],[kval_active]],dict_zuord_Meth_Transfers[[#This Row],[ID_Transfers]],"")</f>
        <v/>
      </c>
    </row>
    <row r="1966" spans="1:4" x14ac:dyDescent="0.45">
      <c r="A1966">
        <v>327</v>
      </c>
      <c r="B1966">
        <f t="shared" ca="1" si="30"/>
        <v>22</v>
      </c>
      <c r="C1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6" t="str">
        <f ca="1">IF(dict_zuord_Meth_Transfers[[#This Row],[kval_active]],dict_zuord_Meth_Transfers[[#This Row],[ID_Transfers]],"")</f>
        <v/>
      </c>
    </row>
    <row r="1967" spans="1:4" x14ac:dyDescent="0.45">
      <c r="A1967">
        <v>327</v>
      </c>
      <c r="B1967" s="3">
        <f t="shared" ca="1" si="30"/>
        <v>77</v>
      </c>
      <c r="C1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7" t="str">
        <f ca="1">IF(dict_zuord_Meth_Transfers[[#This Row],[kval_active]],dict_zuord_Meth_Transfers[[#This Row],[ID_Transfers]],"")</f>
        <v/>
      </c>
    </row>
    <row r="1968" spans="1:4" x14ac:dyDescent="0.45">
      <c r="A1968">
        <v>327</v>
      </c>
      <c r="B1968">
        <f t="shared" ca="1" si="30"/>
        <v>137</v>
      </c>
      <c r="C1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8" t="str">
        <f ca="1">IF(dict_zuord_Meth_Transfers[[#This Row],[kval_active]],dict_zuord_Meth_Transfers[[#This Row],[ID_Transfers]],"")</f>
        <v/>
      </c>
    </row>
    <row r="1969" spans="1:4" x14ac:dyDescent="0.45">
      <c r="A1969">
        <v>327</v>
      </c>
      <c r="B1969" s="3">
        <f t="shared" ca="1" si="30"/>
        <v>138</v>
      </c>
      <c r="C1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69" t="str">
        <f ca="1">IF(dict_zuord_Meth_Transfers[[#This Row],[kval_active]],dict_zuord_Meth_Transfers[[#This Row],[ID_Transfers]],"")</f>
        <v/>
      </c>
    </row>
    <row r="1970" spans="1:4" x14ac:dyDescent="0.45">
      <c r="A1970">
        <v>328</v>
      </c>
      <c r="B1970">
        <f t="shared" ca="1" si="30"/>
        <v>134</v>
      </c>
      <c r="C1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0" t="str">
        <f ca="1">IF(dict_zuord_Meth_Transfers[[#This Row],[kval_active]],dict_zuord_Meth_Transfers[[#This Row],[ID_Transfers]],"")</f>
        <v/>
      </c>
    </row>
    <row r="1971" spans="1:4" x14ac:dyDescent="0.45">
      <c r="A1971">
        <v>328</v>
      </c>
      <c r="B1971">
        <f t="shared" ca="1" si="30"/>
        <v>110</v>
      </c>
      <c r="C1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1" t="str">
        <f ca="1">IF(dict_zuord_Meth_Transfers[[#This Row],[kval_active]],dict_zuord_Meth_Transfers[[#This Row],[ID_Transfers]],"")</f>
        <v/>
      </c>
    </row>
    <row r="1972" spans="1:4" x14ac:dyDescent="0.45">
      <c r="A1972">
        <v>328</v>
      </c>
      <c r="B1972">
        <f t="shared" ca="1" si="30"/>
        <v>169</v>
      </c>
      <c r="C1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2" t="str">
        <f ca="1">IF(dict_zuord_Meth_Transfers[[#This Row],[kval_active]],dict_zuord_Meth_Transfers[[#This Row],[ID_Transfers]],"")</f>
        <v/>
      </c>
    </row>
    <row r="1973" spans="1:4" x14ac:dyDescent="0.45">
      <c r="A1973">
        <v>328</v>
      </c>
      <c r="B1973" s="3">
        <f t="shared" ca="1" si="30"/>
        <v>39</v>
      </c>
      <c r="C1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3" t="str">
        <f ca="1">IF(dict_zuord_Meth_Transfers[[#This Row],[kval_active]],dict_zuord_Meth_Transfers[[#This Row],[ID_Transfers]],"")</f>
        <v/>
      </c>
    </row>
    <row r="1974" spans="1:4" x14ac:dyDescent="0.45">
      <c r="A1974">
        <v>328</v>
      </c>
      <c r="B1974" s="3">
        <f t="shared" ca="1" si="30"/>
        <v>165</v>
      </c>
      <c r="C1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4" t="str">
        <f ca="1">IF(dict_zuord_Meth_Transfers[[#This Row],[kval_active]],dict_zuord_Meth_Transfers[[#This Row],[ID_Transfers]],"")</f>
        <v/>
      </c>
    </row>
    <row r="1975" spans="1:4" x14ac:dyDescent="0.45">
      <c r="A1975">
        <v>328</v>
      </c>
      <c r="B1975" s="3">
        <f t="shared" ca="1" si="30"/>
        <v>31</v>
      </c>
      <c r="C1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5" t="str">
        <f ca="1">IF(dict_zuord_Meth_Transfers[[#This Row],[kval_active]],dict_zuord_Meth_Transfers[[#This Row],[ID_Transfers]],"")</f>
        <v/>
      </c>
    </row>
    <row r="1976" spans="1:4" x14ac:dyDescent="0.45">
      <c r="A1976">
        <v>329</v>
      </c>
      <c r="B1976" s="3">
        <f t="shared" ca="1" si="30"/>
        <v>86</v>
      </c>
      <c r="C1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6" t="str">
        <f ca="1">IF(dict_zuord_Meth_Transfers[[#This Row],[kval_active]],dict_zuord_Meth_Transfers[[#This Row],[ID_Transfers]],"")</f>
        <v/>
      </c>
    </row>
    <row r="1977" spans="1:4" x14ac:dyDescent="0.45">
      <c r="A1977">
        <v>329</v>
      </c>
      <c r="B1977">
        <f t="shared" ca="1" si="30"/>
        <v>47</v>
      </c>
      <c r="C1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7" t="str">
        <f ca="1">IF(dict_zuord_Meth_Transfers[[#This Row],[kval_active]],dict_zuord_Meth_Transfers[[#This Row],[ID_Transfers]],"")</f>
        <v/>
      </c>
    </row>
    <row r="1978" spans="1:4" x14ac:dyDescent="0.45">
      <c r="A1978">
        <v>329</v>
      </c>
      <c r="B1978">
        <f t="shared" ca="1" si="30"/>
        <v>182</v>
      </c>
      <c r="C1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8" t="str">
        <f ca="1">IF(dict_zuord_Meth_Transfers[[#This Row],[kval_active]],dict_zuord_Meth_Transfers[[#This Row],[ID_Transfers]],"")</f>
        <v/>
      </c>
    </row>
    <row r="1979" spans="1:4" x14ac:dyDescent="0.45">
      <c r="A1979">
        <v>329</v>
      </c>
      <c r="B1979" s="3">
        <f t="shared" ca="1" si="30"/>
        <v>120</v>
      </c>
      <c r="C1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79" t="str">
        <f ca="1">IF(dict_zuord_Meth_Transfers[[#This Row],[kval_active]],dict_zuord_Meth_Transfers[[#This Row],[ID_Transfers]],"")</f>
        <v/>
      </c>
    </row>
    <row r="1980" spans="1:4" x14ac:dyDescent="0.45">
      <c r="A1980">
        <v>329</v>
      </c>
      <c r="B1980">
        <f t="shared" ca="1" si="30"/>
        <v>194</v>
      </c>
      <c r="C1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0" t="str">
        <f ca="1">IF(dict_zuord_Meth_Transfers[[#This Row],[kval_active]],dict_zuord_Meth_Transfers[[#This Row],[ID_Transfers]],"")</f>
        <v/>
      </c>
    </row>
    <row r="1981" spans="1:4" x14ac:dyDescent="0.45">
      <c r="A1981">
        <v>329</v>
      </c>
      <c r="B1981" s="3">
        <f t="shared" ca="1" si="30"/>
        <v>114</v>
      </c>
      <c r="C1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1" t="str">
        <f ca="1">IF(dict_zuord_Meth_Transfers[[#This Row],[kval_active]],dict_zuord_Meth_Transfers[[#This Row],[ID_Transfers]],"")</f>
        <v/>
      </c>
    </row>
    <row r="1982" spans="1:4" x14ac:dyDescent="0.45">
      <c r="A1982">
        <v>330</v>
      </c>
      <c r="B1982" s="3">
        <f t="shared" ca="1" si="30"/>
        <v>196</v>
      </c>
      <c r="C1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2" t="str">
        <f ca="1">IF(dict_zuord_Meth_Transfers[[#This Row],[kval_active]],dict_zuord_Meth_Transfers[[#This Row],[ID_Transfers]],"")</f>
        <v/>
      </c>
    </row>
    <row r="1983" spans="1:4" x14ac:dyDescent="0.45">
      <c r="A1983">
        <v>330</v>
      </c>
      <c r="B1983">
        <f t="shared" ca="1" si="30"/>
        <v>108</v>
      </c>
      <c r="C1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3" t="str">
        <f ca="1">IF(dict_zuord_Meth_Transfers[[#This Row],[kval_active]],dict_zuord_Meth_Transfers[[#This Row],[ID_Transfers]],"")</f>
        <v/>
      </c>
    </row>
    <row r="1984" spans="1:4" x14ac:dyDescent="0.45">
      <c r="A1984">
        <v>330</v>
      </c>
      <c r="B1984">
        <f t="shared" ca="1" si="30"/>
        <v>18</v>
      </c>
      <c r="C1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4" t="str">
        <f ca="1">IF(dict_zuord_Meth_Transfers[[#This Row],[kval_active]],dict_zuord_Meth_Transfers[[#This Row],[ID_Transfers]],"")</f>
        <v/>
      </c>
    </row>
    <row r="1985" spans="1:4" x14ac:dyDescent="0.45">
      <c r="A1985">
        <v>330</v>
      </c>
      <c r="B1985" s="3">
        <f t="shared" ca="1" si="30"/>
        <v>7</v>
      </c>
      <c r="C1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5" t="str">
        <f ca="1">IF(dict_zuord_Meth_Transfers[[#This Row],[kval_active]],dict_zuord_Meth_Transfers[[#This Row],[ID_Transfers]],"")</f>
        <v/>
      </c>
    </row>
    <row r="1986" spans="1:4" x14ac:dyDescent="0.45">
      <c r="A1986">
        <v>330</v>
      </c>
      <c r="B1986">
        <f t="shared" ref="B1986:B2049" ca="1" si="31">RANDBETWEEN(0,200)</f>
        <v>46</v>
      </c>
      <c r="C1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6" t="str">
        <f ca="1">IF(dict_zuord_Meth_Transfers[[#This Row],[kval_active]],dict_zuord_Meth_Transfers[[#This Row],[ID_Transfers]],"")</f>
        <v/>
      </c>
    </row>
    <row r="1987" spans="1:4" x14ac:dyDescent="0.45">
      <c r="A1987">
        <v>330</v>
      </c>
      <c r="B1987" s="3">
        <f t="shared" ca="1" si="31"/>
        <v>180</v>
      </c>
      <c r="C1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7" t="str">
        <f ca="1">IF(dict_zuord_Meth_Transfers[[#This Row],[kval_active]],dict_zuord_Meth_Transfers[[#This Row],[ID_Transfers]],"")</f>
        <v/>
      </c>
    </row>
    <row r="1988" spans="1:4" x14ac:dyDescent="0.45">
      <c r="A1988">
        <v>331</v>
      </c>
      <c r="B1988">
        <f t="shared" ca="1" si="31"/>
        <v>171</v>
      </c>
      <c r="C1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8" t="str">
        <f ca="1">IF(dict_zuord_Meth_Transfers[[#This Row],[kval_active]],dict_zuord_Meth_Transfers[[#This Row],[ID_Transfers]],"")</f>
        <v/>
      </c>
    </row>
    <row r="1989" spans="1:4" x14ac:dyDescent="0.45">
      <c r="A1989">
        <v>331</v>
      </c>
      <c r="B1989" s="3">
        <f t="shared" ca="1" si="31"/>
        <v>34</v>
      </c>
      <c r="C1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89" t="str">
        <f ca="1">IF(dict_zuord_Meth_Transfers[[#This Row],[kval_active]],dict_zuord_Meth_Transfers[[#This Row],[ID_Transfers]],"")</f>
        <v/>
      </c>
    </row>
    <row r="1990" spans="1:4" x14ac:dyDescent="0.45">
      <c r="A1990">
        <v>331</v>
      </c>
      <c r="B1990">
        <f t="shared" ca="1" si="31"/>
        <v>62</v>
      </c>
      <c r="C1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0" t="str">
        <f ca="1">IF(dict_zuord_Meth_Transfers[[#This Row],[kval_active]],dict_zuord_Meth_Transfers[[#This Row],[ID_Transfers]],"")</f>
        <v/>
      </c>
    </row>
    <row r="1991" spans="1:4" x14ac:dyDescent="0.45">
      <c r="A1991">
        <v>331</v>
      </c>
      <c r="B1991">
        <f t="shared" ca="1" si="31"/>
        <v>49</v>
      </c>
      <c r="C1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1" t="str">
        <f ca="1">IF(dict_zuord_Meth_Transfers[[#This Row],[kval_active]],dict_zuord_Meth_Transfers[[#This Row],[ID_Transfers]],"")</f>
        <v/>
      </c>
    </row>
    <row r="1992" spans="1:4" x14ac:dyDescent="0.45">
      <c r="A1992">
        <v>331</v>
      </c>
      <c r="B1992" s="3">
        <f t="shared" ca="1" si="31"/>
        <v>146</v>
      </c>
      <c r="C1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2" t="str">
        <f ca="1">IF(dict_zuord_Meth_Transfers[[#This Row],[kval_active]],dict_zuord_Meth_Transfers[[#This Row],[ID_Transfers]],"")</f>
        <v/>
      </c>
    </row>
    <row r="1993" spans="1:4" x14ac:dyDescent="0.45">
      <c r="A1993">
        <v>331</v>
      </c>
      <c r="B1993" s="3">
        <f t="shared" ca="1" si="31"/>
        <v>55</v>
      </c>
      <c r="C1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3" t="str">
        <f ca="1">IF(dict_zuord_Meth_Transfers[[#This Row],[kval_active]],dict_zuord_Meth_Transfers[[#This Row],[ID_Transfers]],"")</f>
        <v/>
      </c>
    </row>
    <row r="1994" spans="1:4" x14ac:dyDescent="0.45">
      <c r="A1994">
        <v>332</v>
      </c>
      <c r="B1994" s="3">
        <f t="shared" ca="1" si="31"/>
        <v>149</v>
      </c>
      <c r="C1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4" t="str">
        <f ca="1">IF(dict_zuord_Meth_Transfers[[#This Row],[kval_active]],dict_zuord_Meth_Transfers[[#This Row],[ID_Transfers]],"")</f>
        <v/>
      </c>
    </row>
    <row r="1995" spans="1:4" x14ac:dyDescent="0.45">
      <c r="A1995">
        <v>332</v>
      </c>
      <c r="B1995" s="3">
        <f t="shared" ca="1" si="31"/>
        <v>134</v>
      </c>
      <c r="C1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5" t="str">
        <f ca="1">IF(dict_zuord_Meth_Transfers[[#This Row],[kval_active]],dict_zuord_Meth_Transfers[[#This Row],[ID_Transfers]],"")</f>
        <v/>
      </c>
    </row>
    <row r="1996" spans="1:4" x14ac:dyDescent="0.45">
      <c r="A1996">
        <v>332</v>
      </c>
      <c r="B1996">
        <f t="shared" ca="1" si="31"/>
        <v>4</v>
      </c>
      <c r="C1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6" t="str">
        <f ca="1">IF(dict_zuord_Meth_Transfers[[#This Row],[kval_active]],dict_zuord_Meth_Transfers[[#This Row],[ID_Transfers]],"")</f>
        <v/>
      </c>
    </row>
    <row r="1997" spans="1:4" x14ac:dyDescent="0.45">
      <c r="A1997">
        <v>332</v>
      </c>
      <c r="B1997" s="3">
        <f t="shared" ca="1" si="31"/>
        <v>122</v>
      </c>
      <c r="C1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7" t="str">
        <f ca="1">IF(dict_zuord_Meth_Transfers[[#This Row],[kval_active]],dict_zuord_Meth_Transfers[[#This Row],[ID_Transfers]],"")</f>
        <v/>
      </c>
    </row>
    <row r="1998" spans="1:4" x14ac:dyDescent="0.45">
      <c r="A1998">
        <v>332</v>
      </c>
      <c r="B1998">
        <f t="shared" ca="1" si="31"/>
        <v>131</v>
      </c>
      <c r="C1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8" t="str">
        <f ca="1">IF(dict_zuord_Meth_Transfers[[#This Row],[kval_active]],dict_zuord_Meth_Transfers[[#This Row],[ID_Transfers]],"")</f>
        <v/>
      </c>
    </row>
    <row r="1999" spans="1:4" x14ac:dyDescent="0.45">
      <c r="A1999">
        <v>332</v>
      </c>
      <c r="B1999">
        <f t="shared" ca="1" si="31"/>
        <v>175</v>
      </c>
      <c r="C1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1999" t="str">
        <f ca="1">IF(dict_zuord_Meth_Transfers[[#This Row],[kval_active]],dict_zuord_Meth_Transfers[[#This Row],[ID_Transfers]],"")</f>
        <v/>
      </c>
    </row>
    <row r="2000" spans="1:4" x14ac:dyDescent="0.45">
      <c r="A2000">
        <v>333</v>
      </c>
      <c r="B2000" s="3">
        <f t="shared" ca="1" si="31"/>
        <v>182</v>
      </c>
      <c r="C2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0" t="str">
        <f ca="1">IF(dict_zuord_Meth_Transfers[[#This Row],[kval_active]],dict_zuord_Meth_Transfers[[#This Row],[ID_Transfers]],"")</f>
        <v/>
      </c>
    </row>
    <row r="2001" spans="1:4" x14ac:dyDescent="0.45">
      <c r="A2001">
        <v>333</v>
      </c>
      <c r="B2001" s="3">
        <f t="shared" ca="1" si="31"/>
        <v>45</v>
      </c>
      <c r="C2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1" t="str">
        <f ca="1">IF(dict_zuord_Meth_Transfers[[#This Row],[kval_active]],dict_zuord_Meth_Transfers[[#This Row],[ID_Transfers]],"")</f>
        <v/>
      </c>
    </row>
    <row r="2002" spans="1:4" x14ac:dyDescent="0.45">
      <c r="A2002">
        <v>333</v>
      </c>
      <c r="B2002">
        <f t="shared" ca="1" si="31"/>
        <v>111</v>
      </c>
      <c r="C2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2" t="str">
        <f ca="1">IF(dict_zuord_Meth_Transfers[[#This Row],[kval_active]],dict_zuord_Meth_Transfers[[#This Row],[ID_Transfers]],"")</f>
        <v/>
      </c>
    </row>
    <row r="2003" spans="1:4" x14ac:dyDescent="0.45">
      <c r="A2003">
        <v>333</v>
      </c>
      <c r="B2003" s="3">
        <f t="shared" ca="1" si="31"/>
        <v>93</v>
      </c>
      <c r="C2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3" t="str">
        <f ca="1">IF(dict_zuord_Meth_Transfers[[#This Row],[kval_active]],dict_zuord_Meth_Transfers[[#This Row],[ID_Transfers]],"")</f>
        <v/>
      </c>
    </row>
    <row r="2004" spans="1:4" x14ac:dyDescent="0.45">
      <c r="A2004">
        <v>333</v>
      </c>
      <c r="B2004">
        <f t="shared" ca="1" si="31"/>
        <v>112</v>
      </c>
      <c r="C2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4" t="str">
        <f ca="1">IF(dict_zuord_Meth_Transfers[[#This Row],[kval_active]],dict_zuord_Meth_Transfers[[#This Row],[ID_Transfers]],"")</f>
        <v/>
      </c>
    </row>
    <row r="2005" spans="1:4" x14ac:dyDescent="0.45">
      <c r="A2005">
        <v>333</v>
      </c>
      <c r="B2005">
        <f t="shared" ca="1" si="31"/>
        <v>87</v>
      </c>
      <c r="C2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05" t="str">
        <f ca="1">IF(dict_zuord_Meth_Transfers[[#This Row],[kval_active]],dict_zuord_Meth_Transfers[[#This Row],[ID_Transfers]],"")</f>
        <v/>
      </c>
    </row>
    <row r="2006" spans="1:4" x14ac:dyDescent="0.45">
      <c r="A2006">
        <v>334</v>
      </c>
      <c r="B2006" s="3">
        <f t="shared" ca="1" si="31"/>
        <v>14</v>
      </c>
      <c r="C2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6">
        <f ca="1">IF(dict_zuord_Meth_Transfers[[#This Row],[kval_active]],dict_zuord_Meth_Transfers[[#This Row],[ID_Transfers]],"")</f>
        <v>14</v>
      </c>
    </row>
    <row r="2007" spans="1:4" x14ac:dyDescent="0.45">
      <c r="A2007">
        <v>334</v>
      </c>
      <c r="B2007">
        <f t="shared" ca="1" si="31"/>
        <v>0</v>
      </c>
      <c r="C2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7">
        <f ca="1">IF(dict_zuord_Meth_Transfers[[#This Row],[kval_active]],dict_zuord_Meth_Transfers[[#This Row],[ID_Transfers]],"")</f>
        <v>0</v>
      </c>
    </row>
    <row r="2008" spans="1:4" x14ac:dyDescent="0.45">
      <c r="A2008">
        <v>334</v>
      </c>
      <c r="B2008" s="3">
        <f t="shared" ca="1" si="31"/>
        <v>143</v>
      </c>
      <c r="C2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8">
        <f ca="1">IF(dict_zuord_Meth_Transfers[[#This Row],[kval_active]],dict_zuord_Meth_Transfers[[#This Row],[ID_Transfers]],"")</f>
        <v>143</v>
      </c>
    </row>
    <row r="2009" spans="1:4" x14ac:dyDescent="0.45">
      <c r="A2009">
        <v>334</v>
      </c>
      <c r="B2009">
        <f t="shared" ca="1" si="31"/>
        <v>68</v>
      </c>
      <c r="C2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09">
        <f ca="1">IF(dict_zuord_Meth_Transfers[[#This Row],[kval_active]],dict_zuord_Meth_Transfers[[#This Row],[ID_Transfers]],"")</f>
        <v>68</v>
      </c>
    </row>
    <row r="2010" spans="1:4" x14ac:dyDescent="0.45">
      <c r="A2010">
        <v>334</v>
      </c>
      <c r="B2010" s="3">
        <f t="shared" ca="1" si="31"/>
        <v>178</v>
      </c>
      <c r="C2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0">
        <f ca="1">IF(dict_zuord_Meth_Transfers[[#This Row],[kval_active]],dict_zuord_Meth_Transfers[[#This Row],[ID_Transfers]],"")</f>
        <v>178</v>
      </c>
    </row>
    <row r="2011" spans="1:4" x14ac:dyDescent="0.45">
      <c r="A2011">
        <v>334</v>
      </c>
      <c r="B2011">
        <f t="shared" ca="1" si="31"/>
        <v>193</v>
      </c>
      <c r="C2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011">
        <f ca="1">IF(dict_zuord_Meth_Transfers[[#This Row],[kval_active]],dict_zuord_Meth_Transfers[[#This Row],[ID_Transfers]],"")</f>
        <v>193</v>
      </c>
    </row>
    <row r="2012" spans="1:4" x14ac:dyDescent="0.45">
      <c r="A2012">
        <v>335</v>
      </c>
      <c r="B2012">
        <f t="shared" ca="1" si="31"/>
        <v>124</v>
      </c>
      <c r="C2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2" t="str">
        <f ca="1">IF(dict_zuord_Meth_Transfers[[#This Row],[kval_active]],dict_zuord_Meth_Transfers[[#This Row],[ID_Transfers]],"")</f>
        <v/>
      </c>
    </row>
    <row r="2013" spans="1:4" x14ac:dyDescent="0.45">
      <c r="A2013">
        <v>335</v>
      </c>
      <c r="B2013" s="3">
        <f t="shared" ca="1" si="31"/>
        <v>81</v>
      </c>
      <c r="C2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3" t="str">
        <f ca="1">IF(dict_zuord_Meth_Transfers[[#This Row],[kval_active]],dict_zuord_Meth_Transfers[[#This Row],[ID_Transfers]],"")</f>
        <v/>
      </c>
    </row>
    <row r="2014" spans="1:4" x14ac:dyDescent="0.45">
      <c r="A2014">
        <v>335</v>
      </c>
      <c r="B2014">
        <f t="shared" ca="1" si="31"/>
        <v>48</v>
      </c>
      <c r="C2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4" t="str">
        <f ca="1">IF(dict_zuord_Meth_Transfers[[#This Row],[kval_active]],dict_zuord_Meth_Transfers[[#This Row],[ID_Transfers]],"")</f>
        <v/>
      </c>
    </row>
    <row r="2015" spans="1:4" x14ac:dyDescent="0.45">
      <c r="A2015">
        <v>335</v>
      </c>
      <c r="B2015" s="3">
        <f t="shared" ca="1" si="31"/>
        <v>155</v>
      </c>
      <c r="C2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5" t="str">
        <f ca="1">IF(dict_zuord_Meth_Transfers[[#This Row],[kval_active]],dict_zuord_Meth_Transfers[[#This Row],[ID_Transfers]],"")</f>
        <v/>
      </c>
    </row>
    <row r="2016" spans="1:4" x14ac:dyDescent="0.45">
      <c r="A2016">
        <v>335</v>
      </c>
      <c r="B2016" s="3">
        <f t="shared" ca="1" si="31"/>
        <v>157</v>
      </c>
      <c r="C2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6" t="str">
        <f ca="1">IF(dict_zuord_Meth_Transfers[[#This Row],[kval_active]],dict_zuord_Meth_Transfers[[#This Row],[ID_Transfers]],"")</f>
        <v/>
      </c>
    </row>
    <row r="2017" spans="1:4" x14ac:dyDescent="0.45">
      <c r="A2017">
        <v>335</v>
      </c>
      <c r="B2017">
        <f t="shared" ca="1" si="31"/>
        <v>45</v>
      </c>
      <c r="C2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7" t="str">
        <f ca="1">IF(dict_zuord_Meth_Transfers[[#This Row],[kval_active]],dict_zuord_Meth_Transfers[[#This Row],[ID_Transfers]],"")</f>
        <v/>
      </c>
    </row>
    <row r="2018" spans="1:4" x14ac:dyDescent="0.45">
      <c r="A2018">
        <v>336</v>
      </c>
      <c r="B2018" s="3">
        <f t="shared" ca="1" si="31"/>
        <v>24</v>
      </c>
      <c r="C2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8" t="str">
        <f ca="1">IF(dict_zuord_Meth_Transfers[[#This Row],[kval_active]],dict_zuord_Meth_Transfers[[#This Row],[ID_Transfers]],"")</f>
        <v/>
      </c>
    </row>
    <row r="2019" spans="1:4" x14ac:dyDescent="0.45">
      <c r="A2019">
        <v>336</v>
      </c>
      <c r="B2019">
        <f t="shared" ca="1" si="31"/>
        <v>158</v>
      </c>
      <c r="C2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19" t="str">
        <f ca="1">IF(dict_zuord_Meth_Transfers[[#This Row],[kval_active]],dict_zuord_Meth_Transfers[[#This Row],[ID_Transfers]],"")</f>
        <v/>
      </c>
    </row>
    <row r="2020" spans="1:4" x14ac:dyDescent="0.45">
      <c r="A2020">
        <v>336</v>
      </c>
      <c r="B2020">
        <f t="shared" ca="1" si="31"/>
        <v>161</v>
      </c>
      <c r="C2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0" t="str">
        <f ca="1">IF(dict_zuord_Meth_Transfers[[#This Row],[kval_active]],dict_zuord_Meth_Transfers[[#This Row],[ID_Transfers]],"")</f>
        <v/>
      </c>
    </row>
    <row r="2021" spans="1:4" x14ac:dyDescent="0.45">
      <c r="A2021">
        <v>336</v>
      </c>
      <c r="B2021" s="3">
        <f t="shared" ca="1" si="31"/>
        <v>50</v>
      </c>
      <c r="C2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1" t="str">
        <f ca="1">IF(dict_zuord_Meth_Transfers[[#This Row],[kval_active]],dict_zuord_Meth_Transfers[[#This Row],[ID_Transfers]],"")</f>
        <v/>
      </c>
    </row>
    <row r="2022" spans="1:4" x14ac:dyDescent="0.45">
      <c r="A2022">
        <v>336</v>
      </c>
      <c r="B2022">
        <f t="shared" ca="1" si="31"/>
        <v>166</v>
      </c>
      <c r="C2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2" t="str">
        <f ca="1">IF(dict_zuord_Meth_Transfers[[#This Row],[kval_active]],dict_zuord_Meth_Transfers[[#This Row],[ID_Transfers]],"")</f>
        <v/>
      </c>
    </row>
    <row r="2023" spans="1:4" x14ac:dyDescent="0.45">
      <c r="A2023">
        <v>336</v>
      </c>
      <c r="B2023" s="3">
        <f t="shared" ca="1" si="31"/>
        <v>132</v>
      </c>
      <c r="C2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3" t="str">
        <f ca="1">IF(dict_zuord_Meth_Transfers[[#This Row],[kval_active]],dict_zuord_Meth_Transfers[[#This Row],[ID_Transfers]],"")</f>
        <v/>
      </c>
    </row>
    <row r="2024" spans="1:4" x14ac:dyDescent="0.45">
      <c r="A2024">
        <v>337</v>
      </c>
      <c r="B2024" s="3">
        <f t="shared" ca="1" si="31"/>
        <v>182</v>
      </c>
      <c r="C2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4" t="str">
        <f ca="1">IF(dict_zuord_Meth_Transfers[[#This Row],[kval_active]],dict_zuord_Meth_Transfers[[#This Row],[ID_Transfers]],"")</f>
        <v/>
      </c>
    </row>
    <row r="2025" spans="1:4" x14ac:dyDescent="0.45">
      <c r="A2025">
        <v>337</v>
      </c>
      <c r="B2025">
        <f t="shared" ca="1" si="31"/>
        <v>55</v>
      </c>
      <c r="C2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5" t="str">
        <f ca="1">IF(dict_zuord_Meth_Transfers[[#This Row],[kval_active]],dict_zuord_Meth_Transfers[[#This Row],[ID_Transfers]],"")</f>
        <v/>
      </c>
    </row>
    <row r="2026" spans="1:4" x14ac:dyDescent="0.45">
      <c r="A2026">
        <v>337</v>
      </c>
      <c r="B2026" s="3">
        <f t="shared" ca="1" si="31"/>
        <v>157</v>
      </c>
      <c r="C2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6" t="str">
        <f ca="1">IF(dict_zuord_Meth_Transfers[[#This Row],[kval_active]],dict_zuord_Meth_Transfers[[#This Row],[ID_Transfers]],"")</f>
        <v/>
      </c>
    </row>
    <row r="2027" spans="1:4" x14ac:dyDescent="0.45">
      <c r="A2027">
        <v>337</v>
      </c>
      <c r="B2027">
        <f t="shared" ca="1" si="31"/>
        <v>21</v>
      </c>
      <c r="C2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7" t="str">
        <f ca="1">IF(dict_zuord_Meth_Transfers[[#This Row],[kval_active]],dict_zuord_Meth_Transfers[[#This Row],[ID_Transfers]],"")</f>
        <v/>
      </c>
    </row>
    <row r="2028" spans="1:4" x14ac:dyDescent="0.45">
      <c r="A2028">
        <v>337</v>
      </c>
      <c r="B2028" s="3">
        <f t="shared" ca="1" si="31"/>
        <v>30</v>
      </c>
      <c r="C2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8" t="str">
        <f ca="1">IF(dict_zuord_Meth_Transfers[[#This Row],[kval_active]],dict_zuord_Meth_Transfers[[#This Row],[ID_Transfers]],"")</f>
        <v/>
      </c>
    </row>
    <row r="2029" spans="1:4" x14ac:dyDescent="0.45">
      <c r="A2029">
        <v>337</v>
      </c>
      <c r="B2029">
        <f t="shared" ca="1" si="31"/>
        <v>99</v>
      </c>
      <c r="C2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29" t="str">
        <f ca="1">IF(dict_zuord_Meth_Transfers[[#This Row],[kval_active]],dict_zuord_Meth_Transfers[[#This Row],[ID_Transfers]],"")</f>
        <v/>
      </c>
    </row>
    <row r="2030" spans="1:4" x14ac:dyDescent="0.45">
      <c r="A2030">
        <v>338</v>
      </c>
      <c r="B2030" s="3">
        <f t="shared" ca="1" si="31"/>
        <v>11</v>
      </c>
      <c r="C2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0" t="str">
        <f ca="1">IF(dict_zuord_Meth_Transfers[[#This Row],[kval_active]],dict_zuord_Meth_Transfers[[#This Row],[ID_Transfers]],"")</f>
        <v/>
      </c>
    </row>
    <row r="2031" spans="1:4" x14ac:dyDescent="0.45">
      <c r="A2031">
        <v>338</v>
      </c>
      <c r="B2031" s="3">
        <f t="shared" ca="1" si="31"/>
        <v>117</v>
      </c>
      <c r="C2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1" t="str">
        <f ca="1">IF(dict_zuord_Meth_Transfers[[#This Row],[kval_active]],dict_zuord_Meth_Transfers[[#This Row],[ID_Transfers]],"")</f>
        <v/>
      </c>
    </row>
    <row r="2032" spans="1:4" x14ac:dyDescent="0.45">
      <c r="A2032">
        <v>338</v>
      </c>
      <c r="B2032">
        <f t="shared" ca="1" si="31"/>
        <v>25</v>
      </c>
      <c r="C2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2" t="str">
        <f ca="1">IF(dict_zuord_Meth_Transfers[[#This Row],[kval_active]],dict_zuord_Meth_Transfers[[#This Row],[ID_Transfers]],"")</f>
        <v/>
      </c>
    </row>
    <row r="2033" spans="1:4" x14ac:dyDescent="0.45">
      <c r="A2033">
        <v>338</v>
      </c>
      <c r="B2033">
        <f t="shared" ca="1" si="31"/>
        <v>63</v>
      </c>
      <c r="C2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3" t="str">
        <f ca="1">IF(dict_zuord_Meth_Transfers[[#This Row],[kval_active]],dict_zuord_Meth_Transfers[[#This Row],[ID_Transfers]],"")</f>
        <v/>
      </c>
    </row>
    <row r="2034" spans="1:4" x14ac:dyDescent="0.45">
      <c r="A2034">
        <v>338</v>
      </c>
      <c r="B2034">
        <f t="shared" ca="1" si="31"/>
        <v>191</v>
      </c>
      <c r="C2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4" t="str">
        <f ca="1">IF(dict_zuord_Meth_Transfers[[#This Row],[kval_active]],dict_zuord_Meth_Transfers[[#This Row],[ID_Transfers]],"")</f>
        <v/>
      </c>
    </row>
    <row r="2035" spans="1:4" x14ac:dyDescent="0.45">
      <c r="A2035">
        <v>338</v>
      </c>
      <c r="B2035" s="3">
        <f t="shared" ca="1" si="31"/>
        <v>166</v>
      </c>
      <c r="C2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5" t="str">
        <f ca="1">IF(dict_zuord_Meth_Transfers[[#This Row],[kval_active]],dict_zuord_Meth_Transfers[[#This Row],[ID_Transfers]],"")</f>
        <v/>
      </c>
    </row>
    <row r="2036" spans="1:4" x14ac:dyDescent="0.45">
      <c r="A2036">
        <v>339</v>
      </c>
      <c r="B2036" s="3">
        <f t="shared" ca="1" si="31"/>
        <v>43</v>
      </c>
      <c r="C2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6" t="str">
        <f ca="1">IF(dict_zuord_Meth_Transfers[[#This Row],[kval_active]],dict_zuord_Meth_Transfers[[#This Row],[ID_Transfers]],"")</f>
        <v/>
      </c>
    </row>
    <row r="2037" spans="1:4" x14ac:dyDescent="0.45">
      <c r="A2037">
        <v>339</v>
      </c>
      <c r="B2037">
        <f t="shared" ca="1" si="31"/>
        <v>51</v>
      </c>
      <c r="C2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7" t="str">
        <f ca="1">IF(dict_zuord_Meth_Transfers[[#This Row],[kval_active]],dict_zuord_Meth_Transfers[[#This Row],[ID_Transfers]],"")</f>
        <v/>
      </c>
    </row>
    <row r="2038" spans="1:4" x14ac:dyDescent="0.45">
      <c r="A2038">
        <v>339</v>
      </c>
      <c r="B2038" s="3">
        <f t="shared" ca="1" si="31"/>
        <v>102</v>
      </c>
      <c r="C2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8" t="str">
        <f ca="1">IF(dict_zuord_Meth_Transfers[[#This Row],[kval_active]],dict_zuord_Meth_Transfers[[#This Row],[ID_Transfers]],"")</f>
        <v/>
      </c>
    </row>
    <row r="2039" spans="1:4" x14ac:dyDescent="0.45">
      <c r="A2039">
        <v>339</v>
      </c>
      <c r="B2039" s="3">
        <f t="shared" ca="1" si="31"/>
        <v>164</v>
      </c>
      <c r="C2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39" t="str">
        <f ca="1">IF(dict_zuord_Meth_Transfers[[#This Row],[kval_active]],dict_zuord_Meth_Transfers[[#This Row],[ID_Transfers]],"")</f>
        <v/>
      </c>
    </row>
    <row r="2040" spans="1:4" x14ac:dyDescent="0.45">
      <c r="A2040">
        <v>339</v>
      </c>
      <c r="B2040">
        <f t="shared" ca="1" si="31"/>
        <v>143</v>
      </c>
      <c r="C2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0" t="str">
        <f ca="1">IF(dict_zuord_Meth_Transfers[[#This Row],[kval_active]],dict_zuord_Meth_Transfers[[#This Row],[ID_Transfers]],"")</f>
        <v/>
      </c>
    </row>
    <row r="2041" spans="1:4" x14ac:dyDescent="0.45">
      <c r="A2041">
        <v>339</v>
      </c>
      <c r="B2041">
        <f t="shared" ca="1" si="31"/>
        <v>4</v>
      </c>
      <c r="C2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1" t="str">
        <f ca="1">IF(dict_zuord_Meth_Transfers[[#This Row],[kval_active]],dict_zuord_Meth_Transfers[[#This Row],[ID_Transfers]],"")</f>
        <v/>
      </c>
    </row>
    <row r="2042" spans="1:4" x14ac:dyDescent="0.45">
      <c r="A2042">
        <v>340</v>
      </c>
      <c r="B2042">
        <f t="shared" ca="1" si="31"/>
        <v>162</v>
      </c>
      <c r="C2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2" t="str">
        <f ca="1">IF(dict_zuord_Meth_Transfers[[#This Row],[kval_active]],dict_zuord_Meth_Transfers[[#This Row],[ID_Transfers]],"")</f>
        <v/>
      </c>
    </row>
    <row r="2043" spans="1:4" x14ac:dyDescent="0.45">
      <c r="A2043">
        <v>340</v>
      </c>
      <c r="B2043">
        <f t="shared" ca="1" si="31"/>
        <v>164</v>
      </c>
      <c r="C2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3" t="str">
        <f ca="1">IF(dict_zuord_Meth_Transfers[[#This Row],[kval_active]],dict_zuord_Meth_Transfers[[#This Row],[ID_Transfers]],"")</f>
        <v/>
      </c>
    </row>
    <row r="2044" spans="1:4" x14ac:dyDescent="0.45">
      <c r="A2044">
        <v>340</v>
      </c>
      <c r="B2044" s="3">
        <f t="shared" ca="1" si="31"/>
        <v>143</v>
      </c>
      <c r="C2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4" t="str">
        <f ca="1">IF(dict_zuord_Meth_Transfers[[#This Row],[kval_active]],dict_zuord_Meth_Transfers[[#This Row],[ID_Transfers]],"")</f>
        <v/>
      </c>
    </row>
    <row r="2045" spans="1:4" x14ac:dyDescent="0.45">
      <c r="A2045">
        <v>340</v>
      </c>
      <c r="B2045">
        <f t="shared" ca="1" si="31"/>
        <v>142</v>
      </c>
      <c r="C2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5" t="str">
        <f ca="1">IF(dict_zuord_Meth_Transfers[[#This Row],[kval_active]],dict_zuord_Meth_Transfers[[#This Row],[ID_Transfers]],"")</f>
        <v/>
      </c>
    </row>
    <row r="2046" spans="1:4" x14ac:dyDescent="0.45">
      <c r="A2046">
        <v>340</v>
      </c>
      <c r="B2046" s="3">
        <f t="shared" ca="1" si="31"/>
        <v>166</v>
      </c>
      <c r="C2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6" t="str">
        <f ca="1">IF(dict_zuord_Meth_Transfers[[#This Row],[kval_active]],dict_zuord_Meth_Transfers[[#This Row],[ID_Transfers]],"")</f>
        <v/>
      </c>
    </row>
    <row r="2047" spans="1:4" x14ac:dyDescent="0.45">
      <c r="A2047">
        <v>340</v>
      </c>
      <c r="B2047" s="3">
        <f t="shared" ca="1" si="31"/>
        <v>95</v>
      </c>
      <c r="C2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7" t="str">
        <f ca="1">IF(dict_zuord_Meth_Transfers[[#This Row],[kval_active]],dict_zuord_Meth_Transfers[[#This Row],[ID_Transfers]],"")</f>
        <v/>
      </c>
    </row>
    <row r="2048" spans="1:4" x14ac:dyDescent="0.45">
      <c r="A2048">
        <v>341</v>
      </c>
      <c r="B2048" s="3">
        <f t="shared" ca="1" si="31"/>
        <v>9</v>
      </c>
      <c r="C2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8" t="str">
        <f ca="1">IF(dict_zuord_Meth_Transfers[[#This Row],[kval_active]],dict_zuord_Meth_Transfers[[#This Row],[ID_Transfers]],"")</f>
        <v/>
      </c>
    </row>
    <row r="2049" spans="1:4" x14ac:dyDescent="0.45">
      <c r="A2049">
        <v>341</v>
      </c>
      <c r="B2049">
        <f t="shared" ca="1" si="31"/>
        <v>72</v>
      </c>
      <c r="C2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49" t="str">
        <f ca="1">IF(dict_zuord_Meth_Transfers[[#This Row],[kval_active]],dict_zuord_Meth_Transfers[[#This Row],[ID_Transfers]],"")</f>
        <v/>
      </c>
    </row>
    <row r="2050" spans="1:4" x14ac:dyDescent="0.45">
      <c r="A2050">
        <v>341</v>
      </c>
      <c r="B2050" s="3">
        <f t="shared" ref="B2050:B2113" ca="1" si="32">RANDBETWEEN(0,200)</f>
        <v>20</v>
      </c>
      <c r="C2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0" t="str">
        <f ca="1">IF(dict_zuord_Meth_Transfers[[#This Row],[kval_active]],dict_zuord_Meth_Transfers[[#This Row],[ID_Transfers]],"")</f>
        <v/>
      </c>
    </row>
    <row r="2051" spans="1:4" x14ac:dyDescent="0.45">
      <c r="A2051">
        <v>341</v>
      </c>
      <c r="B2051" s="3">
        <f t="shared" ca="1" si="32"/>
        <v>128</v>
      </c>
      <c r="C2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1" t="str">
        <f ca="1">IF(dict_zuord_Meth_Transfers[[#This Row],[kval_active]],dict_zuord_Meth_Transfers[[#This Row],[ID_Transfers]],"")</f>
        <v/>
      </c>
    </row>
    <row r="2052" spans="1:4" x14ac:dyDescent="0.45">
      <c r="A2052">
        <v>341</v>
      </c>
      <c r="B2052">
        <f t="shared" ca="1" si="32"/>
        <v>192</v>
      </c>
      <c r="C2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2" t="str">
        <f ca="1">IF(dict_zuord_Meth_Transfers[[#This Row],[kval_active]],dict_zuord_Meth_Transfers[[#This Row],[ID_Transfers]],"")</f>
        <v/>
      </c>
    </row>
    <row r="2053" spans="1:4" x14ac:dyDescent="0.45">
      <c r="A2053">
        <v>341</v>
      </c>
      <c r="B2053">
        <f t="shared" ca="1" si="32"/>
        <v>53</v>
      </c>
      <c r="C2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3" t="str">
        <f ca="1">IF(dict_zuord_Meth_Transfers[[#This Row],[kval_active]],dict_zuord_Meth_Transfers[[#This Row],[ID_Transfers]],"")</f>
        <v/>
      </c>
    </row>
    <row r="2054" spans="1:4" x14ac:dyDescent="0.45">
      <c r="A2054">
        <v>342</v>
      </c>
      <c r="B2054">
        <f t="shared" ca="1" si="32"/>
        <v>176</v>
      </c>
      <c r="C2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4" t="str">
        <f ca="1">IF(dict_zuord_Meth_Transfers[[#This Row],[kval_active]],dict_zuord_Meth_Transfers[[#This Row],[ID_Transfers]],"")</f>
        <v/>
      </c>
    </row>
    <row r="2055" spans="1:4" x14ac:dyDescent="0.45">
      <c r="A2055">
        <v>342</v>
      </c>
      <c r="B2055">
        <f t="shared" ca="1" si="32"/>
        <v>195</v>
      </c>
      <c r="C2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5" t="str">
        <f ca="1">IF(dict_zuord_Meth_Transfers[[#This Row],[kval_active]],dict_zuord_Meth_Transfers[[#This Row],[ID_Transfers]],"")</f>
        <v/>
      </c>
    </row>
    <row r="2056" spans="1:4" x14ac:dyDescent="0.45">
      <c r="A2056">
        <v>342</v>
      </c>
      <c r="B2056">
        <f t="shared" ca="1" si="32"/>
        <v>92</v>
      </c>
      <c r="C2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6" t="str">
        <f ca="1">IF(dict_zuord_Meth_Transfers[[#This Row],[kval_active]],dict_zuord_Meth_Transfers[[#This Row],[ID_Transfers]],"")</f>
        <v/>
      </c>
    </row>
    <row r="2057" spans="1:4" x14ac:dyDescent="0.45">
      <c r="A2057">
        <v>342</v>
      </c>
      <c r="B2057" s="3">
        <f t="shared" ca="1" si="32"/>
        <v>17</v>
      </c>
      <c r="C2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7" t="str">
        <f ca="1">IF(dict_zuord_Meth_Transfers[[#This Row],[kval_active]],dict_zuord_Meth_Transfers[[#This Row],[ID_Transfers]],"")</f>
        <v/>
      </c>
    </row>
    <row r="2058" spans="1:4" x14ac:dyDescent="0.45">
      <c r="A2058">
        <v>342</v>
      </c>
      <c r="B2058" s="3">
        <f t="shared" ca="1" si="32"/>
        <v>200</v>
      </c>
      <c r="C2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8" t="str">
        <f ca="1">IF(dict_zuord_Meth_Transfers[[#This Row],[kval_active]],dict_zuord_Meth_Transfers[[#This Row],[ID_Transfers]],"")</f>
        <v/>
      </c>
    </row>
    <row r="2059" spans="1:4" x14ac:dyDescent="0.45">
      <c r="A2059">
        <v>342</v>
      </c>
      <c r="B2059" s="3">
        <f t="shared" ca="1" si="32"/>
        <v>11</v>
      </c>
      <c r="C2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59" t="str">
        <f ca="1">IF(dict_zuord_Meth_Transfers[[#This Row],[kval_active]],dict_zuord_Meth_Transfers[[#This Row],[ID_Transfers]],"")</f>
        <v/>
      </c>
    </row>
    <row r="2060" spans="1:4" x14ac:dyDescent="0.45">
      <c r="A2060">
        <v>343</v>
      </c>
      <c r="B2060" s="3">
        <f t="shared" ca="1" si="32"/>
        <v>53</v>
      </c>
      <c r="C2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0" t="str">
        <f ca="1">IF(dict_zuord_Meth_Transfers[[#This Row],[kval_active]],dict_zuord_Meth_Transfers[[#This Row],[ID_Transfers]],"")</f>
        <v/>
      </c>
    </row>
    <row r="2061" spans="1:4" x14ac:dyDescent="0.45">
      <c r="A2061">
        <v>343</v>
      </c>
      <c r="B2061" s="3">
        <f t="shared" ca="1" si="32"/>
        <v>162</v>
      </c>
      <c r="C2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1" t="str">
        <f ca="1">IF(dict_zuord_Meth_Transfers[[#This Row],[kval_active]],dict_zuord_Meth_Transfers[[#This Row],[ID_Transfers]],"")</f>
        <v/>
      </c>
    </row>
    <row r="2062" spans="1:4" x14ac:dyDescent="0.45">
      <c r="A2062">
        <v>343</v>
      </c>
      <c r="B2062">
        <f t="shared" ca="1" si="32"/>
        <v>191</v>
      </c>
      <c r="C2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2" t="str">
        <f ca="1">IF(dict_zuord_Meth_Transfers[[#This Row],[kval_active]],dict_zuord_Meth_Transfers[[#This Row],[ID_Transfers]],"")</f>
        <v/>
      </c>
    </row>
    <row r="2063" spans="1:4" x14ac:dyDescent="0.45">
      <c r="A2063">
        <v>343</v>
      </c>
      <c r="B2063">
        <f t="shared" ca="1" si="32"/>
        <v>46</v>
      </c>
      <c r="C2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3" t="str">
        <f ca="1">IF(dict_zuord_Meth_Transfers[[#This Row],[kval_active]],dict_zuord_Meth_Transfers[[#This Row],[ID_Transfers]],"")</f>
        <v/>
      </c>
    </row>
    <row r="2064" spans="1:4" x14ac:dyDescent="0.45">
      <c r="A2064">
        <v>343</v>
      </c>
      <c r="B2064">
        <f t="shared" ca="1" si="32"/>
        <v>80</v>
      </c>
      <c r="C2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4" t="str">
        <f ca="1">IF(dict_zuord_Meth_Transfers[[#This Row],[kval_active]],dict_zuord_Meth_Transfers[[#This Row],[ID_Transfers]],"")</f>
        <v/>
      </c>
    </row>
    <row r="2065" spans="1:4" x14ac:dyDescent="0.45">
      <c r="A2065">
        <v>343</v>
      </c>
      <c r="B2065" s="3">
        <f t="shared" ca="1" si="32"/>
        <v>139</v>
      </c>
      <c r="C2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5" t="str">
        <f ca="1">IF(dict_zuord_Meth_Transfers[[#This Row],[kval_active]],dict_zuord_Meth_Transfers[[#This Row],[ID_Transfers]],"")</f>
        <v/>
      </c>
    </row>
    <row r="2066" spans="1:4" x14ac:dyDescent="0.45">
      <c r="A2066">
        <v>344</v>
      </c>
      <c r="B2066" s="3">
        <f t="shared" ca="1" si="32"/>
        <v>112</v>
      </c>
      <c r="C2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6" t="str">
        <f ca="1">IF(dict_zuord_Meth_Transfers[[#This Row],[kval_active]],dict_zuord_Meth_Transfers[[#This Row],[ID_Transfers]],"")</f>
        <v/>
      </c>
    </row>
    <row r="2067" spans="1:4" x14ac:dyDescent="0.45">
      <c r="A2067">
        <v>344</v>
      </c>
      <c r="B2067">
        <f t="shared" ca="1" si="32"/>
        <v>9</v>
      </c>
      <c r="C2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7" t="str">
        <f ca="1">IF(dict_zuord_Meth_Transfers[[#This Row],[kval_active]],dict_zuord_Meth_Transfers[[#This Row],[ID_Transfers]],"")</f>
        <v/>
      </c>
    </row>
    <row r="2068" spans="1:4" x14ac:dyDescent="0.45">
      <c r="A2068">
        <v>344</v>
      </c>
      <c r="B2068">
        <f t="shared" ca="1" si="32"/>
        <v>76</v>
      </c>
      <c r="C2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8" t="str">
        <f ca="1">IF(dict_zuord_Meth_Transfers[[#This Row],[kval_active]],dict_zuord_Meth_Transfers[[#This Row],[ID_Transfers]],"")</f>
        <v/>
      </c>
    </row>
    <row r="2069" spans="1:4" x14ac:dyDescent="0.45">
      <c r="A2069">
        <v>344</v>
      </c>
      <c r="B2069">
        <f t="shared" ca="1" si="32"/>
        <v>54</v>
      </c>
      <c r="C2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69" t="str">
        <f ca="1">IF(dict_zuord_Meth_Transfers[[#This Row],[kval_active]],dict_zuord_Meth_Transfers[[#This Row],[ID_Transfers]],"")</f>
        <v/>
      </c>
    </row>
    <row r="2070" spans="1:4" x14ac:dyDescent="0.45">
      <c r="A2070">
        <v>344</v>
      </c>
      <c r="B2070" s="3">
        <f t="shared" ca="1" si="32"/>
        <v>196</v>
      </c>
      <c r="C2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0" t="str">
        <f ca="1">IF(dict_zuord_Meth_Transfers[[#This Row],[kval_active]],dict_zuord_Meth_Transfers[[#This Row],[ID_Transfers]],"")</f>
        <v/>
      </c>
    </row>
    <row r="2071" spans="1:4" x14ac:dyDescent="0.45">
      <c r="A2071">
        <v>344</v>
      </c>
      <c r="B2071" s="3">
        <f t="shared" ca="1" si="32"/>
        <v>196</v>
      </c>
      <c r="C2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1" t="str">
        <f ca="1">IF(dict_zuord_Meth_Transfers[[#This Row],[kval_active]],dict_zuord_Meth_Transfers[[#This Row],[ID_Transfers]],"")</f>
        <v/>
      </c>
    </row>
    <row r="2072" spans="1:4" x14ac:dyDescent="0.45">
      <c r="A2072">
        <v>345</v>
      </c>
      <c r="B2072">
        <f t="shared" ca="1" si="32"/>
        <v>97</v>
      </c>
      <c r="C2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2" t="str">
        <f ca="1">IF(dict_zuord_Meth_Transfers[[#This Row],[kval_active]],dict_zuord_Meth_Transfers[[#This Row],[ID_Transfers]],"")</f>
        <v/>
      </c>
    </row>
    <row r="2073" spans="1:4" x14ac:dyDescent="0.45">
      <c r="A2073">
        <v>345</v>
      </c>
      <c r="B2073">
        <f t="shared" ca="1" si="32"/>
        <v>191</v>
      </c>
      <c r="C2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3" t="str">
        <f ca="1">IF(dict_zuord_Meth_Transfers[[#This Row],[kval_active]],dict_zuord_Meth_Transfers[[#This Row],[ID_Transfers]],"")</f>
        <v/>
      </c>
    </row>
    <row r="2074" spans="1:4" x14ac:dyDescent="0.45">
      <c r="A2074">
        <v>345</v>
      </c>
      <c r="B2074">
        <f t="shared" ca="1" si="32"/>
        <v>75</v>
      </c>
      <c r="C2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4" t="str">
        <f ca="1">IF(dict_zuord_Meth_Transfers[[#This Row],[kval_active]],dict_zuord_Meth_Transfers[[#This Row],[ID_Transfers]],"")</f>
        <v/>
      </c>
    </row>
    <row r="2075" spans="1:4" x14ac:dyDescent="0.45">
      <c r="A2075">
        <v>345</v>
      </c>
      <c r="B2075" s="3">
        <f t="shared" ca="1" si="32"/>
        <v>92</v>
      </c>
      <c r="C2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5" t="str">
        <f ca="1">IF(dict_zuord_Meth_Transfers[[#This Row],[kval_active]],dict_zuord_Meth_Transfers[[#This Row],[ID_Transfers]],"")</f>
        <v/>
      </c>
    </row>
    <row r="2076" spans="1:4" x14ac:dyDescent="0.45">
      <c r="A2076">
        <v>345</v>
      </c>
      <c r="B2076" s="3">
        <f t="shared" ca="1" si="32"/>
        <v>73</v>
      </c>
      <c r="C2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6" t="str">
        <f ca="1">IF(dict_zuord_Meth_Transfers[[#This Row],[kval_active]],dict_zuord_Meth_Transfers[[#This Row],[ID_Transfers]],"")</f>
        <v/>
      </c>
    </row>
    <row r="2077" spans="1:4" x14ac:dyDescent="0.45">
      <c r="A2077">
        <v>345</v>
      </c>
      <c r="B2077" s="3">
        <f t="shared" ca="1" si="32"/>
        <v>158</v>
      </c>
      <c r="C2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7" t="str">
        <f ca="1">IF(dict_zuord_Meth_Transfers[[#This Row],[kval_active]],dict_zuord_Meth_Transfers[[#This Row],[ID_Transfers]],"")</f>
        <v/>
      </c>
    </row>
    <row r="2078" spans="1:4" x14ac:dyDescent="0.45">
      <c r="A2078">
        <v>346</v>
      </c>
      <c r="B2078" s="3">
        <f t="shared" ca="1" si="32"/>
        <v>175</v>
      </c>
      <c r="C2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8" t="str">
        <f ca="1">IF(dict_zuord_Meth_Transfers[[#This Row],[kval_active]],dict_zuord_Meth_Transfers[[#This Row],[ID_Transfers]],"")</f>
        <v/>
      </c>
    </row>
    <row r="2079" spans="1:4" x14ac:dyDescent="0.45">
      <c r="A2079">
        <v>346</v>
      </c>
      <c r="B2079">
        <f t="shared" ca="1" si="32"/>
        <v>132</v>
      </c>
      <c r="C2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79" t="str">
        <f ca="1">IF(dict_zuord_Meth_Transfers[[#This Row],[kval_active]],dict_zuord_Meth_Transfers[[#This Row],[ID_Transfers]],"")</f>
        <v/>
      </c>
    </row>
    <row r="2080" spans="1:4" x14ac:dyDescent="0.45">
      <c r="A2080">
        <v>346</v>
      </c>
      <c r="B2080">
        <f t="shared" ca="1" si="32"/>
        <v>183</v>
      </c>
      <c r="C2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0" t="str">
        <f ca="1">IF(dict_zuord_Meth_Transfers[[#This Row],[kval_active]],dict_zuord_Meth_Transfers[[#This Row],[ID_Transfers]],"")</f>
        <v/>
      </c>
    </row>
    <row r="2081" spans="1:4" x14ac:dyDescent="0.45">
      <c r="A2081">
        <v>346</v>
      </c>
      <c r="B2081" s="3">
        <f t="shared" ca="1" si="32"/>
        <v>55</v>
      </c>
      <c r="C2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1" t="str">
        <f ca="1">IF(dict_zuord_Meth_Transfers[[#This Row],[kval_active]],dict_zuord_Meth_Transfers[[#This Row],[ID_Transfers]],"")</f>
        <v/>
      </c>
    </row>
    <row r="2082" spans="1:4" x14ac:dyDescent="0.45">
      <c r="A2082">
        <v>346</v>
      </c>
      <c r="B2082">
        <f t="shared" ca="1" si="32"/>
        <v>83</v>
      </c>
      <c r="C2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2" t="str">
        <f ca="1">IF(dict_zuord_Meth_Transfers[[#This Row],[kval_active]],dict_zuord_Meth_Transfers[[#This Row],[ID_Transfers]],"")</f>
        <v/>
      </c>
    </row>
    <row r="2083" spans="1:4" x14ac:dyDescent="0.45">
      <c r="A2083">
        <v>346</v>
      </c>
      <c r="B2083" s="3">
        <f t="shared" ca="1" si="32"/>
        <v>126</v>
      </c>
      <c r="C2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3" t="str">
        <f ca="1">IF(dict_zuord_Meth_Transfers[[#This Row],[kval_active]],dict_zuord_Meth_Transfers[[#This Row],[ID_Transfers]],"")</f>
        <v/>
      </c>
    </row>
    <row r="2084" spans="1:4" x14ac:dyDescent="0.45">
      <c r="A2084">
        <v>347</v>
      </c>
      <c r="B2084">
        <f t="shared" ca="1" si="32"/>
        <v>116</v>
      </c>
      <c r="C2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4" t="str">
        <f ca="1">IF(dict_zuord_Meth_Transfers[[#This Row],[kval_active]],dict_zuord_Meth_Transfers[[#This Row],[ID_Transfers]],"")</f>
        <v/>
      </c>
    </row>
    <row r="2085" spans="1:4" x14ac:dyDescent="0.45">
      <c r="A2085">
        <v>347</v>
      </c>
      <c r="B2085">
        <f t="shared" ca="1" si="32"/>
        <v>92</v>
      </c>
      <c r="C2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5" t="str">
        <f ca="1">IF(dict_zuord_Meth_Transfers[[#This Row],[kval_active]],dict_zuord_Meth_Transfers[[#This Row],[ID_Transfers]],"")</f>
        <v/>
      </c>
    </row>
    <row r="2086" spans="1:4" x14ac:dyDescent="0.45">
      <c r="A2086">
        <v>347</v>
      </c>
      <c r="B2086">
        <f t="shared" ca="1" si="32"/>
        <v>173</v>
      </c>
      <c r="C2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6" t="str">
        <f ca="1">IF(dict_zuord_Meth_Transfers[[#This Row],[kval_active]],dict_zuord_Meth_Transfers[[#This Row],[ID_Transfers]],"")</f>
        <v/>
      </c>
    </row>
    <row r="2087" spans="1:4" x14ac:dyDescent="0.45">
      <c r="A2087">
        <v>347</v>
      </c>
      <c r="B2087" s="3">
        <f t="shared" ca="1" si="32"/>
        <v>154</v>
      </c>
      <c r="C2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7" t="str">
        <f ca="1">IF(dict_zuord_Meth_Transfers[[#This Row],[kval_active]],dict_zuord_Meth_Transfers[[#This Row],[ID_Transfers]],"")</f>
        <v/>
      </c>
    </row>
    <row r="2088" spans="1:4" x14ac:dyDescent="0.45">
      <c r="A2088">
        <v>347</v>
      </c>
      <c r="B2088" s="3">
        <f t="shared" ca="1" si="32"/>
        <v>25</v>
      </c>
      <c r="C2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8" t="str">
        <f ca="1">IF(dict_zuord_Meth_Transfers[[#This Row],[kval_active]],dict_zuord_Meth_Transfers[[#This Row],[ID_Transfers]],"")</f>
        <v/>
      </c>
    </row>
    <row r="2089" spans="1:4" x14ac:dyDescent="0.45">
      <c r="A2089">
        <v>347</v>
      </c>
      <c r="B2089" s="3">
        <f t="shared" ca="1" si="32"/>
        <v>77</v>
      </c>
      <c r="C2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89" t="str">
        <f ca="1">IF(dict_zuord_Meth_Transfers[[#This Row],[kval_active]],dict_zuord_Meth_Transfers[[#This Row],[ID_Transfers]],"")</f>
        <v/>
      </c>
    </row>
    <row r="2090" spans="1:4" x14ac:dyDescent="0.45">
      <c r="A2090">
        <v>348</v>
      </c>
      <c r="B2090">
        <f t="shared" ca="1" si="32"/>
        <v>113</v>
      </c>
      <c r="C2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0" t="str">
        <f ca="1">IF(dict_zuord_Meth_Transfers[[#This Row],[kval_active]],dict_zuord_Meth_Transfers[[#This Row],[ID_Transfers]],"")</f>
        <v/>
      </c>
    </row>
    <row r="2091" spans="1:4" x14ac:dyDescent="0.45">
      <c r="A2091">
        <v>348</v>
      </c>
      <c r="B2091" s="3">
        <f t="shared" ca="1" si="32"/>
        <v>32</v>
      </c>
      <c r="C2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1" t="str">
        <f ca="1">IF(dict_zuord_Meth_Transfers[[#This Row],[kval_active]],dict_zuord_Meth_Transfers[[#This Row],[ID_Transfers]],"")</f>
        <v/>
      </c>
    </row>
    <row r="2092" spans="1:4" x14ac:dyDescent="0.45">
      <c r="A2092">
        <v>348</v>
      </c>
      <c r="B2092" s="3">
        <f t="shared" ca="1" si="32"/>
        <v>142</v>
      </c>
      <c r="C2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2" t="str">
        <f ca="1">IF(dict_zuord_Meth_Transfers[[#This Row],[kval_active]],dict_zuord_Meth_Transfers[[#This Row],[ID_Transfers]],"")</f>
        <v/>
      </c>
    </row>
    <row r="2093" spans="1:4" x14ac:dyDescent="0.45">
      <c r="A2093">
        <v>348</v>
      </c>
      <c r="B2093" s="3">
        <f t="shared" ca="1" si="32"/>
        <v>90</v>
      </c>
      <c r="C2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3" t="str">
        <f ca="1">IF(dict_zuord_Meth_Transfers[[#This Row],[kval_active]],dict_zuord_Meth_Transfers[[#This Row],[ID_Transfers]],"")</f>
        <v/>
      </c>
    </row>
    <row r="2094" spans="1:4" x14ac:dyDescent="0.45">
      <c r="A2094">
        <v>348</v>
      </c>
      <c r="B2094">
        <f t="shared" ca="1" si="32"/>
        <v>4</v>
      </c>
      <c r="C2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4" t="str">
        <f ca="1">IF(dict_zuord_Meth_Transfers[[#This Row],[kval_active]],dict_zuord_Meth_Transfers[[#This Row],[ID_Transfers]],"")</f>
        <v/>
      </c>
    </row>
    <row r="2095" spans="1:4" x14ac:dyDescent="0.45">
      <c r="A2095">
        <v>348</v>
      </c>
      <c r="B2095">
        <f t="shared" ca="1" si="32"/>
        <v>119</v>
      </c>
      <c r="C2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5" t="str">
        <f ca="1">IF(dict_zuord_Meth_Transfers[[#This Row],[kval_active]],dict_zuord_Meth_Transfers[[#This Row],[ID_Transfers]],"")</f>
        <v/>
      </c>
    </row>
    <row r="2096" spans="1:4" x14ac:dyDescent="0.45">
      <c r="A2096">
        <v>349</v>
      </c>
      <c r="B2096">
        <f t="shared" ca="1" si="32"/>
        <v>116</v>
      </c>
      <c r="C2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6" t="str">
        <f ca="1">IF(dict_zuord_Meth_Transfers[[#This Row],[kval_active]],dict_zuord_Meth_Transfers[[#This Row],[ID_Transfers]],"")</f>
        <v/>
      </c>
    </row>
    <row r="2097" spans="1:4" x14ac:dyDescent="0.45">
      <c r="A2097">
        <v>349</v>
      </c>
      <c r="B2097" s="3">
        <f t="shared" ca="1" si="32"/>
        <v>124</v>
      </c>
      <c r="C2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7" t="str">
        <f ca="1">IF(dict_zuord_Meth_Transfers[[#This Row],[kval_active]],dict_zuord_Meth_Transfers[[#This Row],[ID_Transfers]],"")</f>
        <v/>
      </c>
    </row>
    <row r="2098" spans="1:4" x14ac:dyDescent="0.45">
      <c r="A2098">
        <v>349</v>
      </c>
      <c r="B2098">
        <f t="shared" ca="1" si="32"/>
        <v>98</v>
      </c>
      <c r="C2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8" t="str">
        <f ca="1">IF(dict_zuord_Meth_Transfers[[#This Row],[kval_active]],dict_zuord_Meth_Transfers[[#This Row],[ID_Transfers]],"")</f>
        <v/>
      </c>
    </row>
    <row r="2099" spans="1:4" x14ac:dyDescent="0.45">
      <c r="A2099">
        <v>349</v>
      </c>
      <c r="B2099" s="3">
        <f t="shared" ca="1" si="32"/>
        <v>195</v>
      </c>
      <c r="C2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099" t="str">
        <f ca="1">IF(dict_zuord_Meth_Transfers[[#This Row],[kval_active]],dict_zuord_Meth_Transfers[[#This Row],[ID_Transfers]],"")</f>
        <v/>
      </c>
    </row>
    <row r="2100" spans="1:4" x14ac:dyDescent="0.45">
      <c r="A2100">
        <v>349</v>
      </c>
      <c r="B2100" s="3">
        <f t="shared" ca="1" si="32"/>
        <v>3</v>
      </c>
      <c r="C2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0" t="str">
        <f ca="1">IF(dict_zuord_Meth_Transfers[[#This Row],[kval_active]],dict_zuord_Meth_Transfers[[#This Row],[ID_Transfers]],"")</f>
        <v/>
      </c>
    </row>
    <row r="2101" spans="1:4" x14ac:dyDescent="0.45">
      <c r="A2101">
        <v>349</v>
      </c>
      <c r="B2101">
        <f t="shared" ca="1" si="32"/>
        <v>133</v>
      </c>
      <c r="C2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1" t="str">
        <f ca="1">IF(dict_zuord_Meth_Transfers[[#This Row],[kval_active]],dict_zuord_Meth_Transfers[[#This Row],[ID_Transfers]],"")</f>
        <v/>
      </c>
    </row>
    <row r="2102" spans="1:4" x14ac:dyDescent="0.45">
      <c r="A2102">
        <v>350</v>
      </c>
      <c r="B2102" s="3">
        <f t="shared" ca="1" si="32"/>
        <v>2</v>
      </c>
      <c r="C2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2" t="str">
        <f ca="1">IF(dict_zuord_Meth_Transfers[[#This Row],[kval_active]],dict_zuord_Meth_Transfers[[#This Row],[ID_Transfers]],"")</f>
        <v/>
      </c>
    </row>
    <row r="2103" spans="1:4" x14ac:dyDescent="0.45">
      <c r="A2103">
        <v>350</v>
      </c>
      <c r="B2103" s="3">
        <f t="shared" ca="1" si="32"/>
        <v>151</v>
      </c>
      <c r="C2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3" t="str">
        <f ca="1">IF(dict_zuord_Meth_Transfers[[#This Row],[kval_active]],dict_zuord_Meth_Transfers[[#This Row],[ID_Transfers]],"")</f>
        <v/>
      </c>
    </row>
    <row r="2104" spans="1:4" x14ac:dyDescent="0.45">
      <c r="A2104">
        <v>350</v>
      </c>
      <c r="B2104">
        <f t="shared" ca="1" si="32"/>
        <v>76</v>
      </c>
      <c r="C2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4" t="str">
        <f ca="1">IF(dict_zuord_Meth_Transfers[[#This Row],[kval_active]],dict_zuord_Meth_Transfers[[#This Row],[ID_Transfers]],"")</f>
        <v/>
      </c>
    </row>
    <row r="2105" spans="1:4" x14ac:dyDescent="0.45">
      <c r="A2105">
        <v>350</v>
      </c>
      <c r="B2105">
        <f t="shared" ca="1" si="32"/>
        <v>111</v>
      </c>
      <c r="C2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5" t="str">
        <f ca="1">IF(dict_zuord_Meth_Transfers[[#This Row],[kval_active]],dict_zuord_Meth_Transfers[[#This Row],[ID_Transfers]],"")</f>
        <v/>
      </c>
    </row>
    <row r="2106" spans="1:4" x14ac:dyDescent="0.45">
      <c r="A2106">
        <v>350</v>
      </c>
      <c r="B2106" s="3">
        <f t="shared" ca="1" si="32"/>
        <v>8</v>
      </c>
      <c r="C2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6" t="str">
        <f ca="1">IF(dict_zuord_Meth_Transfers[[#This Row],[kval_active]],dict_zuord_Meth_Transfers[[#This Row],[ID_Transfers]],"")</f>
        <v/>
      </c>
    </row>
    <row r="2107" spans="1:4" x14ac:dyDescent="0.45">
      <c r="A2107">
        <v>350</v>
      </c>
      <c r="B2107">
        <f t="shared" ca="1" si="32"/>
        <v>66</v>
      </c>
      <c r="C2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7" t="str">
        <f ca="1">IF(dict_zuord_Meth_Transfers[[#This Row],[kval_active]],dict_zuord_Meth_Transfers[[#This Row],[ID_Transfers]],"")</f>
        <v/>
      </c>
    </row>
    <row r="2108" spans="1:4" x14ac:dyDescent="0.45">
      <c r="A2108">
        <v>351</v>
      </c>
      <c r="B2108" s="3">
        <f t="shared" ca="1" si="32"/>
        <v>13</v>
      </c>
      <c r="C2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8" t="str">
        <f ca="1">IF(dict_zuord_Meth_Transfers[[#This Row],[kval_active]],dict_zuord_Meth_Transfers[[#This Row],[ID_Transfers]],"")</f>
        <v/>
      </c>
    </row>
    <row r="2109" spans="1:4" x14ac:dyDescent="0.45">
      <c r="A2109">
        <v>351</v>
      </c>
      <c r="B2109" s="3">
        <f t="shared" ca="1" si="32"/>
        <v>43</v>
      </c>
      <c r="C2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09" t="str">
        <f ca="1">IF(dict_zuord_Meth_Transfers[[#This Row],[kval_active]],dict_zuord_Meth_Transfers[[#This Row],[ID_Transfers]],"")</f>
        <v/>
      </c>
    </row>
    <row r="2110" spans="1:4" x14ac:dyDescent="0.45">
      <c r="A2110">
        <v>351</v>
      </c>
      <c r="B2110">
        <f t="shared" ca="1" si="32"/>
        <v>108</v>
      </c>
      <c r="C2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0" t="str">
        <f ca="1">IF(dict_zuord_Meth_Transfers[[#This Row],[kval_active]],dict_zuord_Meth_Transfers[[#This Row],[ID_Transfers]],"")</f>
        <v/>
      </c>
    </row>
    <row r="2111" spans="1:4" x14ac:dyDescent="0.45">
      <c r="A2111">
        <v>351</v>
      </c>
      <c r="B2111">
        <f t="shared" ca="1" si="32"/>
        <v>1</v>
      </c>
      <c r="C2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1" t="str">
        <f ca="1">IF(dict_zuord_Meth_Transfers[[#This Row],[kval_active]],dict_zuord_Meth_Transfers[[#This Row],[ID_Transfers]],"")</f>
        <v/>
      </c>
    </row>
    <row r="2112" spans="1:4" x14ac:dyDescent="0.45">
      <c r="A2112">
        <v>351</v>
      </c>
      <c r="B2112">
        <f t="shared" ca="1" si="32"/>
        <v>197</v>
      </c>
      <c r="C2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2" t="str">
        <f ca="1">IF(dict_zuord_Meth_Transfers[[#This Row],[kval_active]],dict_zuord_Meth_Transfers[[#This Row],[ID_Transfers]],"")</f>
        <v/>
      </c>
    </row>
    <row r="2113" spans="1:4" x14ac:dyDescent="0.45">
      <c r="A2113">
        <v>351</v>
      </c>
      <c r="B2113" s="3">
        <f t="shared" ca="1" si="32"/>
        <v>74</v>
      </c>
      <c r="C2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3" t="str">
        <f ca="1">IF(dict_zuord_Meth_Transfers[[#This Row],[kval_active]],dict_zuord_Meth_Transfers[[#This Row],[ID_Transfers]],"")</f>
        <v/>
      </c>
    </row>
    <row r="2114" spans="1:4" x14ac:dyDescent="0.45">
      <c r="A2114">
        <v>352</v>
      </c>
      <c r="B2114">
        <f t="shared" ref="B2114:B2177" ca="1" si="33">RANDBETWEEN(0,200)</f>
        <v>16</v>
      </c>
      <c r="C2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4" t="str">
        <f ca="1">IF(dict_zuord_Meth_Transfers[[#This Row],[kval_active]],dict_zuord_Meth_Transfers[[#This Row],[ID_Transfers]],"")</f>
        <v/>
      </c>
    </row>
    <row r="2115" spans="1:4" x14ac:dyDescent="0.45">
      <c r="A2115">
        <v>352</v>
      </c>
      <c r="B2115">
        <f t="shared" ca="1" si="33"/>
        <v>97</v>
      </c>
      <c r="C2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5" t="str">
        <f ca="1">IF(dict_zuord_Meth_Transfers[[#This Row],[kval_active]],dict_zuord_Meth_Transfers[[#This Row],[ID_Transfers]],"")</f>
        <v/>
      </c>
    </row>
    <row r="2116" spans="1:4" x14ac:dyDescent="0.45">
      <c r="A2116">
        <v>352</v>
      </c>
      <c r="B2116" s="3">
        <f t="shared" ca="1" si="33"/>
        <v>31</v>
      </c>
      <c r="C2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6" t="str">
        <f ca="1">IF(dict_zuord_Meth_Transfers[[#This Row],[kval_active]],dict_zuord_Meth_Transfers[[#This Row],[ID_Transfers]],"")</f>
        <v/>
      </c>
    </row>
    <row r="2117" spans="1:4" x14ac:dyDescent="0.45">
      <c r="A2117">
        <v>352</v>
      </c>
      <c r="B2117" s="3">
        <f t="shared" ca="1" si="33"/>
        <v>99</v>
      </c>
      <c r="C2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7" t="str">
        <f ca="1">IF(dict_zuord_Meth_Transfers[[#This Row],[kval_active]],dict_zuord_Meth_Transfers[[#This Row],[ID_Transfers]],"")</f>
        <v/>
      </c>
    </row>
    <row r="2118" spans="1:4" x14ac:dyDescent="0.45">
      <c r="A2118">
        <v>352</v>
      </c>
      <c r="B2118" s="3">
        <f t="shared" ca="1" si="33"/>
        <v>184</v>
      </c>
      <c r="C2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8" t="str">
        <f ca="1">IF(dict_zuord_Meth_Transfers[[#This Row],[kval_active]],dict_zuord_Meth_Transfers[[#This Row],[ID_Transfers]],"")</f>
        <v/>
      </c>
    </row>
    <row r="2119" spans="1:4" x14ac:dyDescent="0.45">
      <c r="A2119">
        <v>352</v>
      </c>
      <c r="B2119">
        <f t="shared" ca="1" si="33"/>
        <v>191</v>
      </c>
      <c r="C2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19" t="str">
        <f ca="1">IF(dict_zuord_Meth_Transfers[[#This Row],[kval_active]],dict_zuord_Meth_Transfers[[#This Row],[ID_Transfers]],"")</f>
        <v/>
      </c>
    </row>
    <row r="2120" spans="1:4" x14ac:dyDescent="0.45">
      <c r="A2120">
        <v>353</v>
      </c>
      <c r="B2120">
        <f t="shared" ca="1" si="33"/>
        <v>34</v>
      </c>
      <c r="C2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0" t="str">
        <f ca="1">IF(dict_zuord_Meth_Transfers[[#This Row],[kval_active]],dict_zuord_Meth_Transfers[[#This Row],[ID_Transfers]],"")</f>
        <v/>
      </c>
    </row>
    <row r="2121" spans="1:4" x14ac:dyDescent="0.45">
      <c r="A2121">
        <v>353</v>
      </c>
      <c r="B2121" s="3">
        <f t="shared" ca="1" si="33"/>
        <v>122</v>
      </c>
      <c r="C2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1" t="str">
        <f ca="1">IF(dict_zuord_Meth_Transfers[[#This Row],[kval_active]],dict_zuord_Meth_Transfers[[#This Row],[ID_Transfers]],"")</f>
        <v/>
      </c>
    </row>
    <row r="2122" spans="1:4" x14ac:dyDescent="0.45">
      <c r="A2122">
        <v>353</v>
      </c>
      <c r="B2122">
        <f t="shared" ca="1" si="33"/>
        <v>98</v>
      </c>
      <c r="C2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2" t="str">
        <f ca="1">IF(dict_zuord_Meth_Transfers[[#This Row],[kval_active]],dict_zuord_Meth_Transfers[[#This Row],[ID_Transfers]],"")</f>
        <v/>
      </c>
    </row>
    <row r="2123" spans="1:4" x14ac:dyDescent="0.45">
      <c r="A2123">
        <v>353</v>
      </c>
      <c r="B2123" s="3">
        <f t="shared" ca="1" si="33"/>
        <v>185</v>
      </c>
      <c r="C2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3" t="str">
        <f ca="1">IF(dict_zuord_Meth_Transfers[[#This Row],[kval_active]],dict_zuord_Meth_Transfers[[#This Row],[ID_Transfers]],"")</f>
        <v/>
      </c>
    </row>
    <row r="2124" spans="1:4" x14ac:dyDescent="0.45">
      <c r="A2124">
        <v>353</v>
      </c>
      <c r="B2124" s="3">
        <f t="shared" ca="1" si="33"/>
        <v>14</v>
      </c>
      <c r="C2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4" t="str">
        <f ca="1">IF(dict_zuord_Meth_Transfers[[#This Row],[kval_active]],dict_zuord_Meth_Transfers[[#This Row],[ID_Transfers]],"")</f>
        <v/>
      </c>
    </row>
    <row r="2125" spans="1:4" x14ac:dyDescent="0.45">
      <c r="A2125">
        <v>353</v>
      </c>
      <c r="B2125">
        <f t="shared" ca="1" si="33"/>
        <v>47</v>
      </c>
      <c r="C2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5" t="str">
        <f ca="1">IF(dict_zuord_Meth_Transfers[[#This Row],[kval_active]],dict_zuord_Meth_Transfers[[#This Row],[ID_Transfers]],"")</f>
        <v/>
      </c>
    </row>
    <row r="2126" spans="1:4" x14ac:dyDescent="0.45">
      <c r="A2126">
        <v>354</v>
      </c>
      <c r="B2126" s="3">
        <f t="shared" ca="1" si="33"/>
        <v>24</v>
      </c>
      <c r="C2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6" t="str">
        <f ca="1">IF(dict_zuord_Meth_Transfers[[#This Row],[kval_active]],dict_zuord_Meth_Transfers[[#This Row],[ID_Transfers]],"")</f>
        <v/>
      </c>
    </row>
    <row r="2127" spans="1:4" x14ac:dyDescent="0.45">
      <c r="A2127">
        <v>354</v>
      </c>
      <c r="B2127">
        <f t="shared" ca="1" si="33"/>
        <v>110</v>
      </c>
      <c r="C2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7" t="str">
        <f ca="1">IF(dict_zuord_Meth_Transfers[[#This Row],[kval_active]],dict_zuord_Meth_Transfers[[#This Row],[ID_Transfers]],"")</f>
        <v/>
      </c>
    </row>
    <row r="2128" spans="1:4" x14ac:dyDescent="0.45">
      <c r="A2128">
        <v>354</v>
      </c>
      <c r="B2128" s="3">
        <f t="shared" ca="1" si="33"/>
        <v>123</v>
      </c>
      <c r="C2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8" t="str">
        <f ca="1">IF(dict_zuord_Meth_Transfers[[#This Row],[kval_active]],dict_zuord_Meth_Transfers[[#This Row],[ID_Transfers]],"")</f>
        <v/>
      </c>
    </row>
    <row r="2129" spans="1:4" x14ac:dyDescent="0.45">
      <c r="A2129">
        <v>354</v>
      </c>
      <c r="B2129">
        <f t="shared" ca="1" si="33"/>
        <v>61</v>
      </c>
      <c r="C2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29" t="str">
        <f ca="1">IF(dict_zuord_Meth_Transfers[[#This Row],[kval_active]],dict_zuord_Meth_Transfers[[#This Row],[ID_Transfers]],"")</f>
        <v/>
      </c>
    </row>
    <row r="2130" spans="1:4" x14ac:dyDescent="0.45">
      <c r="A2130">
        <v>354</v>
      </c>
      <c r="B2130" s="3">
        <f t="shared" ca="1" si="33"/>
        <v>142</v>
      </c>
      <c r="C2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0" t="str">
        <f ca="1">IF(dict_zuord_Meth_Transfers[[#This Row],[kval_active]],dict_zuord_Meth_Transfers[[#This Row],[ID_Transfers]],"")</f>
        <v/>
      </c>
    </row>
    <row r="2131" spans="1:4" x14ac:dyDescent="0.45">
      <c r="A2131">
        <v>354</v>
      </c>
      <c r="B2131">
        <f t="shared" ca="1" si="33"/>
        <v>54</v>
      </c>
      <c r="C2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1" t="str">
        <f ca="1">IF(dict_zuord_Meth_Transfers[[#This Row],[kval_active]],dict_zuord_Meth_Transfers[[#This Row],[ID_Transfers]],"")</f>
        <v/>
      </c>
    </row>
    <row r="2132" spans="1:4" x14ac:dyDescent="0.45">
      <c r="A2132">
        <v>355</v>
      </c>
      <c r="B2132" s="3">
        <f t="shared" ca="1" si="33"/>
        <v>94</v>
      </c>
      <c r="C2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2" t="str">
        <f ca="1">IF(dict_zuord_Meth_Transfers[[#This Row],[kval_active]],dict_zuord_Meth_Transfers[[#This Row],[ID_Transfers]],"")</f>
        <v/>
      </c>
    </row>
    <row r="2133" spans="1:4" x14ac:dyDescent="0.45">
      <c r="A2133">
        <v>355</v>
      </c>
      <c r="B2133">
        <f t="shared" ca="1" si="33"/>
        <v>122</v>
      </c>
      <c r="C2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3" t="str">
        <f ca="1">IF(dict_zuord_Meth_Transfers[[#This Row],[kval_active]],dict_zuord_Meth_Transfers[[#This Row],[ID_Transfers]],"")</f>
        <v/>
      </c>
    </row>
    <row r="2134" spans="1:4" x14ac:dyDescent="0.45">
      <c r="A2134">
        <v>355</v>
      </c>
      <c r="B2134">
        <f t="shared" ca="1" si="33"/>
        <v>198</v>
      </c>
      <c r="C2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4" t="str">
        <f ca="1">IF(dict_zuord_Meth_Transfers[[#This Row],[kval_active]],dict_zuord_Meth_Transfers[[#This Row],[ID_Transfers]],"")</f>
        <v/>
      </c>
    </row>
    <row r="2135" spans="1:4" x14ac:dyDescent="0.45">
      <c r="A2135">
        <v>355</v>
      </c>
      <c r="B2135">
        <f t="shared" ca="1" si="33"/>
        <v>103</v>
      </c>
      <c r="C2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5" t="str">
        <f ca="1">IF(dict_zuord_Meth_Transfers[[#This Row],[kval_active]],dict_zuord_Meth_Transfers[[#This Row],[ID_Transfers]],"")</f>
        <v/>
      </c>
    </row>
    <row r="2136" spans="1:4" x14ac:dyDescent="0.45">
      <c r="A2136">
        <v>355</v>
      </c>
      <c r="B2136" s="3">
        <f t="shared" ca="1" si="33"/>
        <v>182</v>
      </c>
      <c r="C2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6" t="str">
        <f ca="1">IF(dict_zuord_Meth_Transfers[[#This Row],[kval_active]],dict_zuord_Meth_Transfers[[#This Row],[ID_Transfers]],"")</f>
        <v/>
      </c>
    </row>
    <row r="2137" spans="1:4" x14ac:dyDescent="0.45">
      <c r="A2137">
        <v>355</v>
      </c>
      <c r="B2137" s="3">
        <f t="shared" ca="1" si="33"/>
        <v>159</v>
      </c>
      <c r="C2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7" t="str">
        <f ca="1">IF(dict_zuord_Meth_Transfers[[#This Row],[kval_active]],dict_zuord_Meth_Transfers[[#This Row],[ID_Transfers]],"")</f>
        <v/>
      </c>
    </row>
    <row r="2138" spans="1:4" x14ac:dyDescent="0.45">
      <c r="A2138">
        <v>356</v>
      </c>
      <c r="B2138" s="3">
        <f t="shared" ca="1" si="33"/>
        <v>122</v>
      </c>
      <c r="C2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8" t="str">
        <f ca="1">IF(dict_zuord_Meth_Transfers[[#This Row],[kval_active]],dict_zuord_Meth_Transfers[[#This Row],[ID_Transfers]],"")</f>
        <v/>
      </c>
    </row>
    <row r="2139" spans="1:4" x14ac:dyDescent="0.45">
      <c r="A2139">
        <v>356</v>
      </c>
      <c r="B2139">
        <f t="shared" ca="1" si="33"/>
        <v>4</v>
      </c>
      <c r="C2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39" t="str">
        <f ca="1">IF(dict_zuord_Meth_Transfers[[#This Row],[kval_active]],dict_zuord_Meth_Transfers[[#This Row],[ID_Transfers]],"")</f>
        <v/>
      </c>
    </row>
    <row r="2140" spans="1:4" x14ac:dyDescent="0.45">
      <c r="A2140">
        <v>356</v>
      </c>
      <c r="B2140">
        <f t="shared" ca="1" si="33"/>
        <v>8</v>
      </c>
      <c r="C2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0" t="str">
        <f ca="1">IF(dict_zuord_Meth_Transfers[[#This Row],[kval_active]],dict_zuord_Meth_Transfers[[#This Row],[ID_Transfers]],"")</f>
        <v/>
      </c>
    </row>
    <row r="2141" spans="1:4" x14ac:dyDescent="0.45">
      <c r="A2141">
        <v>356</v>
      </c>
      <c r="B2141" s="3">
        <f t="shared" ca="1" si="33"/>
        <v>137</v>
      </c>
      <c r="C2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1" t="str">
        <f ca="1">IF(dict_zuord_Meth_Transfers[[#This Row],[kval_active]],dict_zuord_Meth_Transfers[[#This Row],[ID_Transfers]],"")</f>
        <v/>
      </c>
    </row>
    <row r="2142" spans="1:4" x14ac:dyDescent="0.45">
      <c r="A2142">
        <v>356</v>
      </c>
      <c r="B2142" s="3">
        <f t="shared" ca="1" si="33"/>
        <v>172</v>
      </c>
      <c r="C2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2" t="str">
        <f ca="1">IF(dict_zuord_Meth_Transfers[[#This Row],[kval_active]],dict_zuord_Meth_Transfers[[#This Row],[ID_Transfers]],"")</f>
        <v/>
      </c>
    </row>
    <row r="2143" spans="1:4" x14ac:dyDescent="0.45">
      <c r="A2143">
        <v>356</v>
      </c>
      <c r="B2143">
        <f t="shared" ca="1" si="33"/>
        <v>35</v>
      </c>
      <c r="C2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3" t="str">
        <f ca="1">IF(dict_zuord_Meth_Transfers[[#This Row],[kval_active]],dict_zuord_Meth_Transfers[[#This Row],[ID_Transfers]],"")</f>
        <v/>
      </c>
    </row>
    <row r="2144" spans="1:4" x14ac:dyDescent="0.45">
      <c r="A2144">
        <v>357</v>
      </c>
      <c r="B2144">
        <f t="shared" ca="1" si="33"/>
        <v>134</v>
      </c>
      <c r="C2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4" t="str">
        <f ca="1">IF(dict_zuord_Meth_Transfers[[#This Row],[kval_active]],dict_zuord_Meth_Transfers[[#This Row],[ID_Transfers]],"")</f>
        <v/>
      </c>
    </row>
    <row r="2145" spans="1:4" x14ac:dyDescent="0.45">
      <c r="A2145">
        <v>357</v>
      </c>
      <c r="B2145">
        <f t="shared" ca="1" si="33"/>
        <v>179</v>
      </c>
      <c r="C2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5" t="str">
        <f ca="1">IF(dict_zuord_Meth_Transfers[[#This Row],[kval_active]],dict_zuord_Meth_Transfers[[#This Row],[ID_Transfers]],"")</f>
        <v/>
      </c>
    </row>
    <row r="2146" spans="1:4" x14ac:dyDescent="0.45">
      <c r="A2146">
        <v>357</v>
      </c>
      <c r="B2146">
        <f t="shared" ca="1" si="33"/>
        <v>139</v>
      </c>
      <c r="C2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6" t="str">
        <f ca="1">IF(dict_zuord_Meth_Transfers[[#This Row],[kval_active]],dict_zuord_Meth_Transfers[[#This Row],[ID_Transfers]],"")</f>
        <v/>
      </c>
    </row>
    <row r="2147" spans="1:4" x14ac:dyDescent="0.45">
      <c r="A2147">
        <v>357</v>
      </c>
      <c r="B2147" s="3">
        <f t="shared" ca="1" si="33"/>
        <v>157</v>
      </c>
      <c r="C2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7" t="str">
        <f ca="1">IF(dict_zuord_Meth_Transfers[[#This Row],[kval_active]],dict_zuord_Meth_Transfers[[#This Row],[ID_Transfers]],"")</f>
        <v/>
      </c>
    </row>
    <row r="2148" spans="1:4" x14ac:dyDescent="0.45">
      <c r="A2148">
        <v>357</v>
      </c>
      <c r="B2148" s="3">
        <f t="shared" ca="1" si="33"/>
        <v>76</v>
      </c>
      <c r="C2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8" t="str">
        <f ca="1">IF(dict_zuord_Meth_Transfers[[#This Row],[kval_active]],dict_zuord_Meth_Transfers[[#This Row],[ID_Transfers]],"")</f>
        <v/>
      </c>
    </row>
    <row r="2149" spans="1:4" x14ac:dyDescent="0.45">
      <c r="A2149">
        <v>357</v>
      </c>
      <c r="B2149" s="3">
        <f t="shared" ca="1" si="33"/>
        <v>92</v>
      </c>
      <c r="C2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49" t="str">
        <f ca="1">IF(dict_zuord_Meth_Transfers[[#This Row],[kval_active]],dict_zuord_Meth_Transfers[[#This Row],[ID_Transfers]],"")</f>
        <v/>
      </c>
    </row>
    <row r="2150" spans="1:4" x14ac:dyDescent="0.45">
      <c r="A2150">
        <v>358</v>
      </c>
      <c r="B2150" s="3">
        <f t="shared" ca="1" si="33"/>
        <v>141</v>
      </c>
      <c r="C2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0" t="str">
        <f ca="1">IF(dict_zuord_Meth_Transfers[[#This Row],[kval_active]],dict_zuord_Meth_Transfers[[#This Row],[ID_Transfers]],"")</f>
        <v/>
      </c>
    </row>
    <row r="2151" spans="1:4" x14ac:dyDescent="0.45">
      <c r="A2151">
        <v>358</v>
      </c>
      <c r="B2151" s="3">
        <f t="shared" ca="1" si="33"/>
        <v>158</v>
      </c>
      <c r="C2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1" t="str">
        <f ca="1">IF(dict_zuord_Meth_Transfers[[#This Row],[kval_active]],dict_zuord_Meth_Transfers[[#This Row],[ID_Transfers]],"")</f>
        <v/>
      </c>
    </row>
    <row r="2152" spans="1:4" x14ac:dyDescent="0.45">
      <c r="A2152">
        <v>358</v>
      </c>
      <c r="B2152">
        <f t="shared" ca="1" si="33"/>
        <v>95</v>
      </c>
      <c r="C2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2" t="str">
        <f ca="1">IF(dict_zuord_Meth_Transfers[[#This Row],[kval_active]],dict_zuord_Meth_Transfers[[#This Row],[ID_Transfers]],"")</f>
        <v/>
      </c>
    </row>
    <row r="2153" spans="1:4" x14ac:dyDescent="0.45">
      <c r="A2153">
        <v>358</v>
      </c>
      <c r="B2153" s="3">
        <f t="shared" ca="1" si="33"/>
        <v>9</v>
      </c>
      <c r="C2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3" t="str">
        <f ca="1">IF(dict_zuord_Meth_Transfers[[#This Row],[kval_active]],dict_zuord_Meth_Transfers[[#This Row],[ID_Transfers]],"")</f>
        <v/>
      </c>
    </row>
    <row r="2154" spans="1:4" x14ac:dyDescent="0.45">
      <c r="A2154">
        <v>358</v>
      </c>
      <c r="B2154">
        <f t="shared" ca="1" si="33"/>
        <v>17</v>
      </c>
      <c r="C2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4" t="str">
        <f ca="1">IF(dict_zuord_Meth_Transfers[[#This Row],[kval_active]],dict_zuord_Meth_Transfers[[#This Row],[ID_Transfers]],"")</f>
        <v/>
      </c>
    </row>
    <row r="2155" spans="1:4" x14ac:dyDescent="0.45">
      <c r="A2155">
        <v>358</v>
      </c>
      <c r="B2155">
        <f t="shared" ca="1" si="33"/>
        <v>138</v>
      </c>
      <c r="C2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5" t="str">
        <f ca="1">IF(dict_zuord_Meth_Transfers[[#This Row],[kval_active]],dict_zuord_Meth_Transfers[[#This Row],[ID_Transfers]],"")</f>
        <v/>
      </c>
    </row>
    <row r="2156" spans="1:4" x14ac:dyDescent="0.45">
      <c r="A2156">
        <v>359</v>
      </c>
      <c r="B2156">
        <f t="shared" ca="1" si="33"/>
        <v>6</v>
      </c>
      <c r="C2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6" t="str">
        <f ca="1">IF(dict_zuord_Meth_Transfers[[#This Row],[kval_active]],dict_zuord_Meth_Transfers[[#This Row],[ID_Transfers]],"")</f>
        <v/>
      </c>
    </row>
    <row r="2157" spans="1:4" x14ac:dyDescent="0.45">
      <c r="A2157">
        <v>359</v>
      </c>
      <c r="B2157">
        <f t="shared" ca="1" si="33"/>
        <v>135</v>
      </c>
      <c r="C2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7" t="str">
        <f ca="1">IF(dict_zuord_Meth_Transfers[[#This Row],[kval_active]],dict_zuord_Meth_Transfers[[#This Row],[ID_Transfers]],"")</f>
        <v/>
      </c>
    </row>
    <row r="2158" spans="1:4" x14ac:dyDescent="0.45">
      <c r="A2158">
        <v>359</v>
      </c>
      <c r="B2158" s="3">
        <f t="shared" ca="1" si="33"/>
        <v>200</v>
      </c>
      <c r="C2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8" t="str">
        <f ca="1">IF(dict_zuord_Meth_Transfers[[#This Row],[kval_active]],dict_zuord_Meth_Transfers[[#This Row],[ID_Transfers]],"")</f>
        <v/>
      </c>
    </row>
    <row r="2159" spans="1:4" x14ac:dyDescent="0.45">
      <c r="A2159">
        <v>359</v>
      </c>
      <c r="B2159" s="3">
        <f t="shared" ca="1" si="33"/>
        <v>100</v>
      </c>
      <c r="C2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59" t="str">
        <f ca="1">IF(dict_zuord_Meth_Transfers[[#This Row],[kval_active]],dict_zuord_Meth_Transfers[[#This Row],[ID_Transfers]],"")</f>
        <v/>
      </c>
    </row>
    <row r="2160" spans="1:4" x14ac:dyDescent="0.45">
      <c r="A2160">
        <v>359</v>
      </c>
      <c r="B2160" s="3">
        <f t="shared" ca="1" si="33"/>
        <v>27</v>
      </c>
      <c r="C2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0" t="str">
        <f ca="1">IF(dict_zuord_Meth_Transfers[[#This Row],[kval_active]],dict_zuord_Meth_Transfers[[#This Row],[ID_Transfers]],"")</f>
        <v/>
      </c>
    </row>
    <row r="2161" spans="1:4" x14ac:dyDescent="0.45">
      <c r="A2161">
        <v>359</v>
      </c>
      <c r="B2161">
        <f t="shared" ca="1" si="33"/>
        <v>37</v>
      </c>
      <c r="C2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1" t="str">
        <f ca="1">IF(dict_zuord_Meth_Transfers[[#This Row],[kval_active]],dict_zuord_Meth_Transfers[[#This Row],[ID_Transfers]],"")</f>
        <v/>
      </c>
    </row>
    <row r="2162" spans="1:4" x14ac:dyDescent="0.45">
      <c r="A2162">
        <v>360</v>
      </c>
      <c r="B2162">
        <f t="shared" ca="1" si="33"/>
        <v>51</v>
      </c>
      <c r="C2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2" t="str">
        <f ca="1">IF(dict_zuord_Meth_Transfers[[#This Row],[kval_active]],dict_zuord_Meth_Transfers[[#This Row],[ID_Transfers]],"")</f>
        <v/>
      </c>
    </row>
    <row r="2163" spans="1:4" x14ac:dyDescent="0.45">
      <c r="A2163">
        <v>360</v>
      </c>
      <c r="B2163" s="3">
        <f t="shared" ca="1" si="33"/>
        <v>123</v>
      </c>
      <c r="C2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3" t="str">
        <f ca="1">IF(dict_zuord_Meth_Transfers[[#This Row],[kval_active]],dict_zuord_Meth_Transfers[[#This Row],[ID_Transfers]],"")</f>
        <v/>
      </c>
    </row>
    <row r="2164" spans="1:4" x14ac:dyDescent="0.45">
      <c r="A2164">
        <v>360</v>
      </c>
      <c r="B2164">
        <f t="shared" ca="1" si="33"/>
        <v>31</v>
      </c>
      <c r="C2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4" t="str">
        <f ca="1">IF(dict_zuord_Meth_Transfers[[#This Row],[kval_active]],dict_zuord_Meth_Transfers[[#This Row],[ID_Transfers]],"")</f>
        <v/>
      </c>
    </row>
    <row r="2165" spans="1:4" x14ac:dyDescent="0.45">
      <c r="A2165">
        <v>360</v>
      </c>
      <c r="B2165">
        <f t="shared" ca="1" si="33"/>
        <v>103</v>
      </c>
      <c r="C2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5" t="str">
        <f ca="1">IF(dict_zuord_Meth_Transfers[[#This Row],[kval_active]],dict_zuord_Meth_Transfers[[#This Row],[ID_Transfers]],"")</f>
        <v/>
      </c>
    </row>
    <row r="2166" spans="1:4" x14ac:dyDescent="0.45">
      <c r="A2166">
        <v>360</v>
      </c>
      <c r="B2166" s="3">
        <f t="shared" ca="1" si="33"/>
        <v>197</v>
      </c>
      <c r="C2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6" t="str">
        <f ca="1">IF(dict_zuord_Meth_Transfers[[#This Row],[kval_active]],dict_zuord_Meth_Transfers[[#This Row],[ID_Transfers]],"")</f>
        <v/>
      </c>
    </row>
    <row r="2167" spans="1:4" x14ac:dyDescent="0.45">
      <c r="A2167">
        <v>360</v>
      </c>
      <c r="B2167" s="3">
        <f t="shared" ca="1" si="33"/>
        <v>164</v>
      </c>
      <c r="C2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7" t="str">
        <f ca="1">IF(dict_zuord_Meth_Transfers[[#This Row],[kval_active]],dict_zuord_Meth_Transfers[[#This Row],[ID_Transfers]],"")</f>
        <v/>
      </c>
    </row>
    <row r="2168" spans="1:4" x14ac:dyDescent="0.45">
      <c r="A2168">
        <v>361</v>
      </c>
      <c r="B2168">
        <f t="shared" ca="1" si="33"/>
        <v>16</v>
      </c>
      <c r="C2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8" t="str">
        <f ca="1">IF(dict_zuord_Meth_Transfers[[#This Row],[kval_active]],dict_zuord_Meth_Transfers[[#This Row],[ID_Transfers]],"")</f>
        <v/>
      </c>
    </row>
    <row r="2169" spans="1:4" x14ac:dyDescent="0.45">
      <c r="A2169">
        <v>361</v>
      </c>
      <c r="B2169" s="3">
        <f t="shared" ca="1" si="33"/>
        <v>125</v>
      </c>
      <c r="C2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69" t="str">
        <f ca="1">IF(dict_zuord_Meth_Transfers[[#This Row],[kval_active]],dict_zuord_Meth_Transfers[[#This Row],[ID_Transfers]],"")</f>
        <v/>
      </c>
    </row>
    <row r="2170" spans="1:4" x14ac:dyDescent="0.45">
      <c r="A2170">
        <v>361</v>
      </c>
      <c r="B2170" s="3">
        <f t="shared" ca="1" si="33"/>
        <v>200</v>
      </c>
      <c r="C2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0" t="str">
        <f ca="1">IF(dict_zuord_Meth_Transfers[[#This Row],[kval_active]],dict_zuord_Meth_Transfers[[#This Row],[ID_Transfers]],"")</f>
        <v/>
      </c>
    </row>
    <row r="2171" spans="1:4" x14ac:dyDescent="0.45">
      <c r="A2171">
        <v>361</v>
      </c>
      <c r="B2171" s="3">
        <f t="shared" ca="1" si="33"/>
        <v>144</v>
      </c>
      <c r="C2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1" t="str">
        <f ca="1">IF(dict_zuord_Meth_Transfers[[#This Row],[kval_active]],dict_zuord_Meth_Transfers[[#This Row],[ID_Transfers]],"")</f>
        <v/>
      </c>
    </row>
    <row r="2172" spans="1:4" x14ac:dyDescent="0.45">
      <c r="A2172">
        <v>361</v>
      </c>
      <c r="B2172">
        <f t="shared" ca="1" si="33"/>
        <v>2</v>
      </c>
      <c r="C2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2" t="str">
        <f ca="1">IF(dict_zuord_Meth_Transfers[[#This Row],[kval_active]],dict_zuord_Meth_Transfers[[#This Row],[ID_Transfers]],"")</f>
        <v/>
      </c>
    </row>
    <row r="2173" spans="1:4" x14ac:dyDescent="0.45">
      <c r="A2173">
        <v>361</v>
      </c>
      <c r="B2173">
        <f t="shared" ca="1" si="33"/>
        <v>166</v>
      </c>
      <c r="C2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3" t="str">
        <f ca="1">IF(dict_zuord_Meth_Transfers[[#This Row],[kval_active]],dict_zuord_Meth_Transfers[[#This Row],[ID_Transfers]],"")</f>
        <v/>
      </c>
    </row>
    <row r="2174" spans="1:4" x14ac:dyDescent="0.45">
      <c r="A2174">
        <v>362</v>
      </c>
      <c r="B2174" s="3">
        <f t="shared" ca="1" si="33"/>
        <v>68</v>
      </c>
      <c r="C2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4" t="str">
        <f ca="1">IF(dict_zuord_Meth_Transfers[[#This Row],[kval_active]],dict_zuord_Meth_Transfers[[#This Row],[ID_Transfers]],"")</f>
        <v/>
      </c>
    </row>
    <row r="2175" spans="1:4" x14ac:dyDescent="0.45">
      <c r="A2175">
        <v>362</v>
      </c>
      <c r="B2175" s="3">
        <f t="shared" ca="1" si="33"/>
        <v>30</v>
      </c>
      <c r="C2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5" t="str">
        <f ca="1">IF(dict_zuord_Meth_Transfers[[#This Row],[kval_active]],dict_zuord_Meth_Transfers[[#This Row],[ID_Transfers]],"")</f>
        <v/>
      </c>
    </row>
    <row r="2176" spans="1:4" x14ac:dyDescent="0.45">
      <c r="A2176">
        <v>362</v>
      </c>
      <c r="B2176">
        <f t="shared" ca="1" si="33"/>
        <v>181</v>
      </c>
      <c r="C2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6" t="str">
        <f ca="1">IF(dict_zuord_Meth_Transfers[[#This Row],[kval_active]],dict_zuord_Meth_Transfers[[#This Row],[ID_Transfers]],"")</f>
        <v/>
      </c>
    </row>
    <row r="2177" spans="1:4" x14ac:dyDescent="0.45">
      <c r="A2177">
        <v>362</v>
      </c>
      <c r="B2177">
        <f t="shared" ca="1" si="33"/>
        <v>187</v>
      </c>
      <c r="C2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7" t="str">
        <f ca="1">IF(dict_zuord_Meth_Transfers[[#This Row],[kval_active]],dict_zuord_Meth_Transfers[[#This Row],[ID_Transfers]],"")</f>
        <v/>
      </c>
    </row>
    <row r="2178" spans="1:4" x14ac:dyDescent="0.45">
      <c r="A2178">
        <v>362</v>
      </c>
      <c r="B2178">
        <f t="shared" ref="B2178:B2241" ca="1" si="34">RANDBETWEEN(0,200)</f>
        <v>91</v>
      </c>
      <c r="C2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8" t="str">
        <f ca="1">IF(dict_zuord_Meth_Transfers[[#This Row],[kval_active]],dict_zuord_Meth_Transfers[[#This Row],[ID_Transfers]],"")</f>
        <v/>
      </c>
    </row>
    <row r="2179" spans="1:4" x14ac:dyDescent="0.45">
      <c r="A2179">
        <v>362</v>
      </c>
      <c r="B2179" s="3">
        <f t="shared" ca="1" si="34"/>
        <v>125</v>
      </c>
      <c r="C2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79" t="str">
        <f ca="1">IF(dict_zuord_Meth_Transfers[[#This Row],[kval_active]],dict_zuord_Meth_Transfers[[#This Row],[ID_Transfers]],"")</f>
        <v/>
      </c>
    </row>
    <row r="2180" spans="1:4" x14ac:dyDescent="0.45">
      <c r="A2180">
        <v>363</v>
      </c>
      <c r="B2180" s="3">
        <f t="shared" ca="1" si="34"/>
        <v>21</v>
      </c>
      <c r="C2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0" t="str">
        <f ca="1">IF(dict_zuord_Meth_Transfers[[#This Row],[kval_active]],dict_zuord_Meth_Transfers[[#This Row],[ID_Transfers]],"")</f>
        <v/>
      </c>
    </row>
    <row r="2181" spans="1:4" x14ac:dyDescent="0.45">
      <c r="A2181">
        <v>363</v>
      </c>
      <c r="B2181" s="3">
        <f t="shared" ca="1" si="34"/>
        <v>190</v>
      </c>
      <c r="C2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1" t="str">
        <f ca="1">IF(dict_zuord_Meth_Transfers[[#This Row],[kval_active]],dict_zuord_Meth_Transfers[[#This Row],[ID_Transfers]],"")</f>
        <v/>
      </c>
    </row>
    <row r="2182" spans="1:4" x14ac:dyDescent="0.45">
      <c r="A2182">
        <v>363</v>
      </c>
      <c r="B2182">
        <f t="shared" ca="1" si="34"/>
        <v>61</v>
      </c>
      <c r="C2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2" t="str">
        <f ca="1">IF(dict_zuord_Meth_Transfers[[#This Row],[kval_active]],dict_zuord_Meth_Transfers[[#This Row],[ID_Transfers]],"")</f>
        <v/>
      </c>
    </row>
    <row r="2183" spans="1:4" x14ac:dyDescent="0.45">
      <c r="A2183">
        <v>363</v>
      </c>
      <c r="B2183" s="3">
        <f t="shared" ca="1" si="34"/>
        <v>133</v>
      </c>
      <c r="C2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3" t="str">
        <f ca="1">IF(dict_zuord_Meth_Transfers[[#This Row],[kval_active]],dict_zuord_Meth_Transfers[[#This Row],[ID_Transfers]],"")</f>
        <v/>
      </c>
    </row>
    <row r="2184" spans="1:4" x14ac:dyDescent="0.45">
      <c r="A2184">
        <v>363</v>
      </c>
      <c r="B2184">
        <f t="shared" ca="1" si="34"/>
        <v>177</v>
      </c>
      <c r="C2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4" t="str">
        <f ca="1">IF(dict_zuord_Meth_Transfers[[#This Row],[kval_active]],dict_zuord_Meth_Transfers[[#This Row],[ID_Transfers]],"")</f>
        <v/>
      </c>
    </row>
    <row r="2185" spans="1:4" x14ac:dyDescent="0.45">
      <c r="A2185">
        <v>363</v>
      </c>
      <c r="B2185">
        <f t="shared" ca="1" si="34"/>
        <v>79</v>
      </c>
      <c r="C2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5" t="str">
        <f ca="1">IF(dict_zuord_Meth_Transfers[[#This Row],[kval_active]],dict_zuord_Meth_Transfers[[#This Row],[ID_Transfers]],"")</f>
        <v/>
      </c>
    </row>
    <row r="2186" spans="1:4" x14ac:dyDescent="0.45">
      <c r="A2186">
        <v>364</v>
      </c>
      <c r="B2186" s="3">
        <f t="shared" ca="1" si="34"/>
        <v>84</v>
      </c>
      <c r="C2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6" t="str">
        <f ca="1">IF(dict_zuord_Meth_Transfers[[#This Row],[kval_active]],dict_zuord_Meth_Transfers[[#This Row],[ID_Transfers]],"")</f>
        <v/>
      </c>
    </row>
    <row r="2187" spans="1:4" x14ac:dyDescent="0.45">
      <c r="A2187">
        <v>364</v>
      </c>
      <c r="B2187">
        <f t="shared" ca="1" si="34"/>
        <v>126</v>
      </c>
      <c r="C2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7" t="str">
        <f ca="1">IF(dict_zuord_Meth_Transfers[[#This Row],[kval_active]],dict_zuord_Meth_Transfers[[#This Row],[ID_Transfers]],"")</f>
        <v/>
      </c>
    </row>
    <row r="2188" spans="1:4" x14ac:dyDescent="0.45">
      <c r="A2188">
        <v>364</v>
      </c>
      <c r="B2188">
        <f t="shared" ca="1" si="34"/>
        <v>93</v>
      </c>
      <c r="C2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8" t="str">
        <f ca="1">IF(dict_zuord_Meth_Transfers[[#This Row],[kval_active]],dict_zuord_Meth_Transfers[[#This Row],[ID_Transfers]],"")</f>
        <v/>
      </c>
    </row>
    <row r="2189" spans="1:4" x14ac:dyDescent="0.45">
      <c r="A2189">
        <v>364</v>
      </c>
      <c r="B2189" s="3">
        <f t="shared" ca="1" si="34"/>
        <v>128</v>
      </c>
      <c r="C2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89" t="str">
        <f ca="1">IF(dict_zuord_Meth_Transfers[[#This Row],[kval_active]],dict_zuord_Meth_Transfers[[#This Row],[ID_Transfers]],"")</f>
        <v/>
      </c>
    </row>
    <row r="2190" spans="1:4" x14ac:dyDescent="0.45">
      <c r="A2190">
        <v>364</v>
      </c>
      <c r="B2190">
        <f t="shared" ca="1" si="34"/>
        <v>56</v>
      </c>
      <c r="C2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0" t="str">
        <f ca="1">IF(dict_zuord_Meth_Transfers[[#This Row],[kval_active]],dict_zuord_Meth_Transfers[[#This Row],[ID_Transfers]],"")</f>
        <v/>
      </c>
    </row>
    <row r="2191" spans="1:4" x14ac:dyDescent="0.45">
      <c r="A2191">
        <v>364</v>
      </c>
      <c r="B2191" s="3">
        <f t="shared" ca="1" si="34"/>
        <v>105</v>
      </c>
      <c r="C2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1" t="str">
        <f ca="1">IF(dict_zuord_Meth_Transfers[[#This Row],[kval_active]],dict_zuord_Meth_Transfers[[#This Row],[ID_Transfers]],"")</f>
        <v/>
      </c>
    </row>
    <row r="2192" spans="1:4" x14ac:dyDescent="0.45">
      <c r="A2192">
        <v>365</v>
      </c>
      <c r="B2192">
        <f t="shared" ca="1" si="34"/>
        <v>175</v>
      </c>
      <c r="C2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2" t="str">
        <f ca="1">IF(dict_zuord_Meth_Transfers[[#This Row],[kval_active]],dict_zuord_Meth_Transfers[[#This Row],[ID_Transfers]],"")</f>
        <v/>
      </c>
    </row>
    <row r="2193" spans="1:4" x14ac:dyDescent="0.45">
      <c r="A2193">
        <v>365</v>
      </c>
      <c r="B2193">
        <f t="shared" ca="1" si="34"/>
        <v>95</v>
      </c>
      <c r="C2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3" t="str">
        <f ca="1">IF(dict_zuord_Meth_Transfers[[#This Row],[kval_active]],dict_zuord_Meth_Transfers[[#This Row],[ID_Transfers]],"")</f>
        <v/>
      </c>
    </row>
    <row r="2194" spans="1:4" x14ac:dyDescent="0.45">
      <c r="A2194">
        <v>365</v>
      </c>
      <c r="B2194" s="3">
        <f t="shared" ca="1" si="34"/>
        <v>0</v>
      </c>
      <c r="C2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4" t="str">
        <f ca="1">IF(dict_zuord_Meth_Transfers[[#This Row],[kval_active]],dict_zuord_Meth_Transfers[[#This Row],[ID_Transfers]],"")</f>
        <v/>
      </c>
    </row>
    <row r="2195" spans="1:4" x14ac:dyDescent="0.45">
      <c r="A2195">
        <v>365</v>
      </c>
      <c r="B2195">
        <f t="shared" ca="1" si="34"/>
        <v>98</v>
      </c>
      <c r="C2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5" t="str">
        <f ca="1">IF(dict_zuord_Meth_Transfers[[#This Row],[kval_active]],dict_zuord_Meth_Transfers[[#This Row],[ID_Transfers]],"")</f>
        <v/>
      </c>
    </row>
    <row r="2196" spans="1:4" x14ac:dyDescent="0.45">
      <c r="A2196">
        <v>365</v>
      </c>
      <c r="B2196" s="3">
        <f t="shared" ca="1" si="34"/>
        <v>123</v>
      </c>
      <c r="C2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6" t="str">
        <f ca="1">IF(dict_zuord_Meth_Transfers[[#This Row],[kval_active]],dict_zuord_Meth_Transfers[[#This Row],[ID_Transfers]],"")</f>
        <v/>
      </c>
    </row>
    <row r="2197" spans="1:4" x14ac:dyDescent="0.45">
      <c r="A2197">
        <v>365</v>
      </c>
      <c r="B2197" s="3">
        <f t="shared" ca="1" si="34"/>
        <v>129</v>
      </c>
      <c r="C2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197" t="str">
        <f ca="1">IF(dict_zuord_Meth_Transfers[[#This Row],[kval_active]],dict_zuord_Meth_Transfers[[#This Row],[ID_Transfers]],"")</f>
        <v/>
      </c>
    </row>
    <row r="2198" spans="1:4" x14ac:dyDescent="0.45">
      <c r="A2198">
        <v>366</v>
      </c>
      <c r="B2198" s="3">
        <f t="shared" ca="1" si="34"/>
        <v>28</v>
      </c>
      <c r="C2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8">
        <f ca="1">IF(dict_zuord_Meth_Transfers[[#This Row],[kval_active]],dict_zuord_Meth_Transfers[[#This Row],[ID_Transfers]],"")</f>
        <v>28</v>
      </c>
    </row>
    <row r="2199" spans="1:4" x14ac:dyDescent="0.45">
      <c r="A2199">
        <v>366</v>
      </c>
      <c r="B2199" s="3">
        <f t="shared" ca="1" si="34"/>
        <v>125</v>
      </c>
      <c r="C2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199">
        <f ca="1">IF(dict_zuord_Meth_Transfers[[#This Row],[kval_active]],dict_zuord_Meth_Transfers[[#This Row],[ID_Transfers]],"")</f>
        <v>125</v>
      </c>
    </row>
    <row r="2200" spans="1:4" x14ac:dyDescent="0.45">
      <c r="A2200">
        <v>366</v>
      </c>
      <c r="B2200">
        <f t="shared" ca="1" si="34"/>
        <v>68</v>
      </c>
      <c r="C2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0">
        <f ca="1">IF(dict_zuord_Meth_Transfers[[#This Row],[kval_active]],dict_zuord_Meth_Transfers[[#This Row],[ID_Transfers]],"")</f>
        <v>68</v>
      </c>
    </row>
    <row r="2201" spans="1:4" x14ac:dyDescent="0.45">
      <c r="A2201">
        <v>366</v>
      </c>
      <c r="B2201" s="3">
        <f t="shared" ca="1" si="34"/>
        <v>44</v>
      </c>
      <c r="C2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1">
        <f ca="1">IF(dict_zuord_Meth_Transfers[[#This Row],[kval_active]],dict_zuord_Meth_Transfers[[#This Row],[ID_Transfers]],"")</f>
        <v>44</v>
      </c>
    </row>
    <row r="2202" spans="1:4" x14ac:dyDescent="0.45">
      <c r="A2202">
        <v>366</v>
      </c>
      <c r="B2202">
        <f t="shared" ca="1" si="34"/>
        <v>142</v>
      </c>
      <c r="C2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2">
        <f ca="1">IF(dict_zuord_Meth_Transfers[[#This Row],[kval_active]],dict_zuord_Meth_Transfers[[#This Row],[ID_Transfers]],"")</f>
        <v>142</v>
      </c>
    </row>
    <row r="2203" spans="1:4" x14ac:dyDescent="0.45">
      <c r="A2203">
        <v>366</v>
      </c>
      <c r="B2203">
        <f t="shared" ca="1" si="34"/>
        <v>77</v>
      </c>
      <c r="C2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03">
        <f ca="1">IF(dict_zuord_Meth_Transfers[[#This Row],[kval_active]],dict_zuord_Meth_Transfers[[#This Row],[ID_Transfers]],"")</f>
        <v>77</v>
      </c>
    </row>
    <row r="2204" spans="1:4" x14ac:dyDescent="0.45">
      <c r="A2204">
        <v>367</v>
      </c>
      <c r="B2204" s="3">
        <f t="shared" ca="1" si="34"/>
        <v>187</v>
      </c>
      <c r="C2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4" t="str">
        <f ca="1">IF(dict_zuord_Meth_Transfers[[#This Row],[kval_active]],dict_zuord_Meth_Transfers[[#This Row],[ID_Transfers]],"")</f>
        <v/>
      </c>
    </row>
    <row r="2205" spans="1:4" x14ac:dyDescent="0.45">
      <c r="A2205">
        <v>367</v>
      </c>
      <c r="B2205">
        <f t="shared" ca="1" si="34"/>
        <v>109</v>
      </c>
      <c r="C2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5" t="str">
        <f ca="1">IF(dict_zuord_Meth_Transfers[[#This Row],[kval_active]],dict_zuord_Meth_Transfers[[#This Row],[ID_Transfers]],"")</f>
        <v/>
      </c>
    </row>
    <row r="2206" spans="1:4" x14ac:dyDescent="0.45">
      <c r="A2206">
        <v>367</v>
      </c>
      <c r="B2206" s="3">
        <f t="shared" ca="1" si="34"/>
        <v>55</v>
      </c>
      <c r="C2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6" t="str">
        <f ca="1">IF(dict_zuord_Meth_Transfers[[#This Row],[kval_active]],dict_zuord_Meth_Transfers[[#This Row],[ID_Transfers]],"")</f>
        <v/>
      </c>
    </row>
    <row r="2207" spans="1:4" x14ac:dyDescent="0.45">
      <c r="A2207">
        <v>367</v>
      </c>
      <c r="B2207">
        <f t="shared" ca="1" si="34"/>
        <v>121</v>
      </c>
      <c r="C2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7" t="str">
        <f ca="1">IF(dict_zuord_Meth_Transfers[[#This Row],[kval_active]],dict_zuord_Meth_Transfers[[#This Row],[ID_Transfers]],"")</f>
        <v/>
      </c>
    </row>
    <row r="2208" spans="1:4" x14ac:dyDescent="0.45">
      <c r="A2208">
        <v>367</v>
      </c>
      <c r="B2208">
        <f t="shared" ca="1" si="34"/>
        <v>7</v>
      </c>
      <c r="C2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8" t="str">
        <f ca="1">IF(dict_zuord_Meth_Transfers[[#This Row],[kval_active]],dict_zuord_Meth_Transfers[[#This Row],[ID_Transfers]],"")</f>
        <v/>
      </c>
    </row>
    <row r="2209" spans="1:4" x14ac:dyDescent="0.45">
      <c r="A2209">
        <v>367</v>
      </c>
      <c r="B2209" s="3">
        <f t="shared" ca="1" si="34"/>
        <v>58</v>
      </c>
      <c r="C2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09" t="str">
        <f ca="1">IF(dict_zuord_Meth_Transfers[[#This Row],[kval_active]],dict_zuord_Meth_Transfers[[#This Row],[ID_Transfers]],"")</f>
        <v/>
      </c>
    </row>
    <row r="2210" spans="1:4" x14ac:dyDescent="0.45">
      <c r="A2210">
        <v>368</v>
      </c>
      <c r="B2210">
        <f t="shared" ca="1" si="34"/>
        <v>32</v>
      </c>
      <c r="C2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0" t="str">
        <f ca="1">IF(dict_zuord_Meth_Transfers[[#This Row],[kval_active]],dict_zuord_Meth_Transfers[[#This Row],[ID_Transfers]],"")</f>
        <v/>
      </c>
    </row>
    <row r="2211" spans="1:4" x14ac:dyDescent="0.45">
      <c r="A2211">
        <v>368</v>
      </c>
      <c r="B2211" s="3">
        <f t="shared" ca="1" si="34"/>
        <v>145</v>
      </c>
      <c r="C2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1" t="str">
        <f ca="1">IF(dict_zuord_Meth_Transfers[[#This Row],[kval_active]],dict_zuord_Meth_Transfers[[#This Row],[ID_Transfers]],"")</f>
        <v/>
      </c>
    </row>
    <row r="2212" spans="1:4" x14ac:dyDescent="0.45">
      <c r="A2212">
        <v>368</v>
      </c>
      <c r="B2212" s="3">
        <f t="shared" ca="1" si="34"/>
        <v>182</v>
      </c>
      <c r="C2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2" t="str">
        <f ca="1">IF(dict_zuord_Meth_Transfers[[#This Row],[kval_active]],dict_zuord_Meth_Transfers[[#This Row],[ID_Transfers]],"")</f>
        <v/>
      </c>
    </row>
    <row r="2213" spans="1:4" x14ac:dyDescent="0.45">
      <c r="A2213">
        <v>368</v>
      </c>
      <c r="B2213">
        <f t="shared" ca="1" si="34"/>
        <v>125</v>
      </c>
      <c r="C2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3" t="str">
        <f ca="1">IF(dict_zuord_Meth_Transfers[[#This Row],[kval_active]],dict_zuord_Meth_Transfers[[#This Row],[ID_Transfers]],"")</f>
        <v/>
      </c>
    </row>
    <row r="2214" spans="1:4" x14ac:dyDescent="0.45">
      <c r="A2214">
        <v>368</v>
      </c>
      <c r="B2214">
        <f t="shared" ca="1" si="34"/>
        <v>4</v>
      </c>
      <c r="C2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4" t="str">
        <f ca="1">IF(dict_zuord_Meth_Transfers[[#This Row],[kval_active]],dict_zuord_Meth_Transfers[[#This Row],[ID_Transfers]],"")</f>
        <v/>
      </c>
    </row>
    <row r="2215" spans="1:4" x14ac:dyDescent="0.45">
      <c r="A2215">
        <v>368</v>
      </c>
      <c r="B2215" s="3">
        <f t="shared" ca="1" si="34"/>
        <v>119</v>
      </c>
      <c r="C2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5" t="str">
        <f ca="1">IF(dict_zuord_Meth_Transfers[[#This Row],[kval_active]],dict_zuord_Meth_Transfers[[#This Row],[ID_Transfers]],"")</f>
        <v/>
      </c>
    </row>
    <row r="2216" spans="1:4" x14ac:dyDescent="0.45">
      <c r="A2216">
        <v>369</v>
      </c>
      <c r="B2216" s="3">
        <f t="shared" ca="1" si="34"/>
        <v>66</v>
      </c>
      <c r="C2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6" t="str">
        <f ca="1">IF(dict_zuord_Meth_Transfers[[#This Row],[kval_active]],dict_zuord_Meth_Transfers[[#This Row],[ID_Transfers]],"")</f>
        <v/>
      </c>
    </row>
    <row r="2217" spans="1:4" x14ac:dyDescent="0.45">
      <c r="A2217">
        <v>369</v>
      </c>
      <c r="B2217">
        <f t="shared" ca="1" si="34"/>
        <v>121</v>
      </c>
      <c r="C2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7" t="str">
        <f ca="1">IF(dict_zuord_Meth_Transfers[[#This Row],[kval_active]],dict_zuord_Meth_Transfers[[#This Row],[ID_Transfers]],"")</f>
        <v/>
      </c>
    </row>
    <row r="2218" spans="1:4" x14ac:dyDescent="0.45">
      <c r="A2218">
        <v>369</v>
      </c>
      <c r="B2218">
        <f t="shared" ca="1" si="34"/>
        <v>144</v>
      </c>
      <c r="C2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8" t="str">
        <f ca="1">IF(dict_zuord_Meth_Transfers[[#This Row],[kval_active]],dict_zuord_Meth_Transfers[[#This Row],[ID_Transfers]],"")</f>
        <v/>
      </c>
    </row>
    <row r="2219" spans="1:4" x14ac:dyDescent="0.45">
      <c r="A2219">
        <v>369</v>
      </c>
      <c r="B2219" s="3">
        <f t="shared" ca="1" si="34"/>
        <v>194</v>
      </c>
      <c r="C2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19" t="str">
        <f ca="1">IF(dict_zuord_Meth_Transfers[[#This Row],[kval_active]],dict_zuord_Meth_Transfers[[#This Row],[ID_Transfers]],"")</f>
        <v/>
      </c>
    </row>
    <row r="2220" spans="1:4" x14ac:dyDescent="0.45">
      <c r="A2220">
        <v>369</v>
      </c>
      <c r="B2220" s="3">
        <f t="shared" ca="1" si="34"/>
        <v>184</v>
      </c>
      <c r="C2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0" t="str">
        <f ca="1">IF(dict_zuord_Meth_Transfers[[#This Row],[kval_active]],dict_zuord_Meth_Transfers[[#This Row],[ID_Transfers]],"")</f>
        <v/>
      </c>
    </row>
    <row r="2221" spans="1:4" x14ac:dyDescent="0.45">
      <c r="A2221">
        <v>369</v>
      </c>
      <c r="B2221">
        <f t="shared" ca="1" si="34"/>
        <v>189</v>
      </c>
      <c r="C2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1" t="str">
        <f ca="1">IF(dict_zuord_Meth_Transfers[[#This Row],[kval_active]],dict_zuord_Meth_Transfers[[#This Row],[ID_Transfers]],"")</f>
        <v/>
      </c>
    </row>
    <row r="2222" spans="1:4" x14ac:dyDescent="0.45">
      <c r="A2222">
        <v>370</v>
      </c>
      <c r="B2222">
        <f t="shared" ca="1" si="34"/>
        <v>200</v>
      </c>
      <c r="C2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2" t="str">
        <f ca="1">IF(dict_zuord_Meth_Transfers[[#This Row],[kval_active]],dict_zuord_Meth_Transfers[[#This Row],[ID_Transfers]],"")</f>
        <v/>
      </c>
    </row>
    <row r="2223" spans="1:4" x14ac:dyDescent="0.45">
      <c r="A2223">
        <v>370</v>
      </c>
      <c r="B2223">
        <f t="shared" ca="1" si="34"/>
        <v>46</v>
      </c>
      <c r="C2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3" t="str">
        <f ca="1">IF(dict_zuord_Meth_Transfers[[#This Row],[kval_active]],dict_zuord_Meth_Transfers[[#This Row],[ID_Transfers]],"")</f>
        <v/>
      </c>
    </row>
    <row r="2224" spans="1:4" x14ac:dyDescent="0.45">
      <c r="A2224">
        <v>370</v>
      </c>
      <c r="B2224" s="3">
        <f t="shared" ca="1" si="34"/>
        <v>169</v>
      </c>
      <c r="C2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4" t="str">
        <f ca="1">IF(dict_zuord_Meth_Transfers[[#This Row],[kval_active]],dict_zuord_Meth_Transfers[[#This Row],[ID_Transfers]],"")</f>
        <v/>
      </c>
    </row>
    <row r="2225" spans="1:4" x14ac:dyDescent="0.45">
      <c r="A2225">
        <v>370</v>
      </c>
      <c r="B2225" s="3">
        <f t="shared" ca="1" si="34"/>
        <v>96</v>
      </c>
      <c r="C2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5" t="str">
        <f ca="1">IF(dict_zuord_Meth_Transfers[[#This Row],[kval_active]],dict_zuord_Meth_Transfers[[#This Row],[ID_Transfers]],"")</f>
        <v/>
      </c>
    </row>
    <row r="2226" spans="1:4" x14ac:dyDescent="0.45">
      <c r="A2226">
        <v>370</v>
      </c>
      <c r="B2226" s="3">
        <f t="shared" ca="1" si="34"/>
        <v>5</v>
      </c>
      <c r="C2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6" t="str">
        <f ca="1">IF(dict_zuord_Meth_Transfers[[#This Row],[kval_active]],dict_zuord_Meth_Transfers[[#This Row],[ID_Transfers]],"")</f>
        <v/>
      </c>
    </row>
    <row r="2227" spans="1:4" x14ac:dyDescent="0.45">
      <c r="A2227">
        <v>370</v>
      </c>
      <c r="B2227">
        <f t="shared" ca="1" si="34"/>
        <v>160</v>
      </c>
      <c r="C2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7" t="str">
        <f ca="1">IF(dict_zuord_Meth_Transfers[[#This Row],[kval_active]],dict_zuord_Meth_Transfers[[#This Row],[ID_Transfers]],"")</f>
        <v/>
      </c>
    </row>
    <row r="2228" spans="1:4" x14ac:dyDescent="0.45">
      <c r="A2228">
        <v>371</v>
      </c>
      <c r="B2228">
        <f t="shared" ca="1" si="34"/>
        <v>170</v>
      </c>
      <c r="C2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8" t="str">
        <f ca="1">IF(dict_zuord_Meth_Transfers[[#This Row],[kval_active]],dict_zuord_Meth_Transfers[[#This Row],[ID_Transfers]],"")</f>
        <v/>
      </c>
    </row>
    <row r="2229" spans="1:4" x14ac:dyDescent="0.45">
      <c r="A2229">
        <v>371</v>
      </c>
      <c r="B2229">
        <f t="shared" ca="1" si="34"/>
        <v>196</v>
      </c>
      <c r="C2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29" t="str">
        <f ca="1">IF(dict_zuord_Meth_Transfers[[#This Row],[kval_active]],dict_zuord_Meth_Transfers[[#This Row],[ID_Transfers]],"")</f>
        <v/>
      </c>
    </row>
    <row r="2230" spans="1:4" x14ac:dyDescent="0.45">
      <c r="A2230">
        <v>371</v>
      </c>
      <c r="B2230">
        <f t="shared" ca="1" si="34"/>
        <v>158</v>
      </c>
      <c r="C2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0" t="str">
        <f ca="1">IF(dict_zuord_Meth_Transfers[[#This Row],[kval_active]],dict_zuord_Meth_Transfers[[#This Row],[ID_Transfers]],"")</f>
        <v/>
      </c>
    </row>
    <row r="2231" spans="1:4" x14ac:dyDescent="0.45">
      <c r="A2231">
        <v>371</v>
      </c>
      <c r="B2231" s="3">
        <f t="shared" ca="1" si="34"/>
        <v>155</v>
      </c>
      <c r="C2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1" t="str">
        <f ca="1">IF(dict_zuord_Meth_Transfers[[#This Row],[kval_active]],dict_zuord_Meth_Transfers[[#This Row],[ID_Transfers]],"")</f>
        <v/>
      </c>
    </row>
    <row r="2232" spans="1:4" x14ac:dyDescent="0.45">
      <c r="A2232">
        <v>371</v>
      </c>
      <c r="B2232" s="3">
        <f t="shared" ca="1" si="34"/>
        <v>157</v>
      </c>
      <c r="C2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2" t="str">
        <f ca="1">IF(dict_zuord_Meth_Transfers[[#This Row],[kval_active]],dict_zuord_Meth_Transfers[[#This Row],[ID_Transfers]],"")</f>
        <v/>
      </c>
    </row>
    <row r="2233" spans="1:4" x14ac:dyDescent="0.45">
      <c r="A2233">
        <v>371</v>
      </c>
      <c r="B2233" s="3">
        <f t="shared" ca="1" si="34"/>
        <v>162</v>
      </c>
      <c r="C2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3" t="str">
        <f ca="1">IF(dict_zuord_Meth_Transfers[[#This Row],[kval_active]],dict_zuord_Meth_Transfers[[#This Row],[ID_Transfers]],"")</f>
        <v/>
      </c>
    </row>
    <row r="2234" spans="1:4" x14ac:dyDescent="0.45">
      <c r="A2234">
        <v>372</v>
      </c>
      <c r="B2234">
        <f t="shared" ca="1" si="34"/>
        <v>45</v>
      </c>
      <c r="C2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4" t="str">
        <f ca="1">IF(dict_zuord_Meth_Transfers[[#This Row],[kval_active]],dict_zuord_Meth_Transfers[[#This Row],[ID_Transfers]],"")</f>
        <v/>
      </c>
    </row>
    <row r="2235" spans="1:4" x14ac:dyDescent="0.45">
      <c r="A2235">
        <v>372</v>
      </c>
      <c r="B2235" s="3">
        <f t="shared" ca="1" si="34"/>
        <v>154</v>
      </c>
      <c r="C2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5" t="str">
        <f ca="1">IF(dict_zuord_Meth_Transfers[[#This Row],[kval_active]],dict_zuord_Meth_Transfers[[#This Row],[ID_Transfers]],"")</f>
        <v/>
      </c>
    </row>
    <row r="2236" spans="1:4" x14ac:dyDescent="0.45">
      <c r="A2236">
        <v>372</v>
      </c>
      <c r="B2236" s="3">
        <f t="shared" ca="1" si="34"/>
        <v>48</v>
      </c>
      <c r="C2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6" t="str">
        <f ca="1">IF(dict_zuord_Meth_Transfers[[#This Row],[kval_active]],dict_zuord_Meth_Transfers[[#This Row],[ID_Transfers]],"")</f>
        <v/>
      </c>
    </row>
    <row r="2237" spans="1:4" x14ac:dyDescent="0.45">
      <c r="A2237">
        <v>372</v>
      </c>
      <c r="B2237">
        <f t="shared" ca="1" si="34"/>
        <v>159</v>
      </c>
      <c r="C2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7" t="str">
        <f ca="1">IF(dict_zuord_Meth_Transfers[[#This Row],[kval_active]],dict_zuord_Meth_Transfers[[#This Row],[ID_Transfers]],"")</f>
        <v/>
      </c>
    </row>
    <row r="2238" spans="1:4" x14ac:dyDescent="0.45">
      <c r="A2238">
        <v>372</v>
      </c>
      <c r="B2238">
        <f t="shared" ca="1" si="34"/>
        <v>23</v>
      </c>
      <c r="C2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8" t="str">
        <f ca="1">IF(dict_zuord_Meth_Transfers[[#This Row],[kval_active]],dict_zuord_Meth_Transfers[[#This Row],[ID_Transfers]],"")</f>
        <v/>
      </c>
    </row>
    <row r="2239" spans="1:4" x14ac:dyDescent="0.45">
      <c r="A2239">
        <v>372</v>
      </c>
      <c r="B2239" s="3">
        <f t="shared" ca="1" si="34"/>
        <v>181</v>
      </c>
      <c r="C2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39" t="str">
        <f ca="1">IF(dict_zuord_Meth_Transfers[[#This Row],[kval_active]],dict_zuord_Meth_Transfers[[#This Row],[ID_Transfers]],"")</f>
        <v/>
      </c>
    </row>
    <row r="2240" spans="1:4" x14ac:dyDescent="0.45">
      <c r="A2240">
        <v>373</v>
      </c>
      <c r="B2240" s="3">
        <f t="shared" ca="1" si="34"/>
        <v>36</v>
      </c>
      <c r="C2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0" t="str">
        <f ca="1">IF(dict_zuord_Meth_Transfers[[#This Row],[kval_active]],dict_zuord_Meth_Transfers[[#This Row],[ID_Transfers]],"")</f>
        <v/>
      </c>
    </row>
    <row r="2241" spans="1:4" x14ac:dyDescent="0.45">
      <c r="A2241">
        <v>373</v>
      </c>
      <c r="B2241" s="3">
        <f t="shared" ca="1" si="34"/>
        <v>170</v>
      </c>
      <c r="C2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1" t="str">
        <f ca="1">IF(dict_zuord_Meth_Transfers[[#This Row],[kval_active]],dict_zuord_Meth_Transfers[[#This Row],[ID_Transfers]],"")</f>
        <v/>
      </c>
    </row>
    <row r="2242" spans="1:4" x14ac:dyDescent="0.45">
      <c r="A2242">
        <v>373</v>
      </c>
      <c r="B2242">
        <f t="shared" ref="B2242:B2305" ca="1" si="35">RANDBETWEEN(0,200)</f>
        <v>78</v>
      </c>
      <c r="C2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2" t="str">
        <f ca="1">IF(dict_zuord_Meth_Transfers[[#This Row],[kval_active]],dict_zuord_Meth_Transfers[[#This Row],[ID_Transfers]],"")</f>
        <v/>
      </c>
    </row>
    <row r="2243" spans="1:4" x14ac:dyDescent="0.45">
      <c r="A2243">
        <v>373</v>
      </c>
      <c r="B2243">
        <f t="shared" ca="1" si="35"/>
        <v>60</v>
      </c>
      <c r="C2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3" t="str">
        <f ca="1">IF(dict_zuord_Meth_Transfers[[#This Row],[kval_active]],dict_zuord_Meth_Transfers[[#This Row],[ID_Transfers]],"")</f>
        <v/>
      </c>
    </row>
    <row r="2244" spans="1:4" x14ac:dyDescent="0.45">
      <c r="A2244">
        <v>373</v>
      </c>
      <c r="B2244" s="3">
        <f t="shared" ca="1" si="35"/>
        <v>62</v>
      </c>
      <c r="C2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4" t="str">
        <f ca="1">IF(dict_zuord_Meth_Transfers[[#This Row],[kval_active]],dict_zuord_Meth_Transfers[[#This Row],[ID_Transfers]],"")</f>
        <v/>
      </c>
    </row>
    <row r="2245" spans="1:4" x14ac:dyDescent="0.45">
      <c r="A2245">
        <v>373</v>
      </c>
      <c r="B2245">
        <f t="shared" ca="1" si="35"/>
        <v>182</v>
      </c>
      <c r="C2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5" t="str">
        <f ca="1">IF(dict_zuord_Meth_Transfers[[#This Row],[kval_active]],dict_zuord_Meth_Transfers[[#This Row],[ID_Transfers]],"")</f>
        <v/>
      </c>
    </row>
    <row r="2246" spans="1:4" x14ac:dyDescent="0.45">
      <c r="A2246">
        <v>374</v>
      </c>
      <c r="B2246" s="3">
        <f t="shared" ca="1" si="35"/>
        <v>195</v>
      </c>
      <c r="C2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6" t="str">
        <f ca="1">IF(dict_zuord_Meth_Transfers[[#This Row],[kval_active]],dict_zuord_Meth_Transfers[[#This Row],[ID_Transfers]],"")</f>
        <v/>
      </c>
    </row>
    <row r="2247" spans="1:4" x14ac:dyDescent="0.45">
      <c r="A2247">
        <v>374</v>
      </c>
      <c r="B2247" s="3">
        <f t="shared" ca="1" si="35"/>
        <v>59</v>
      </c>
      <c r="C2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7" t="str">
        <f ca="1">IF(dict_zuord_Meth_Transfers[[#This Row],[kval_active]],dict_zuord_Meth_Transfers[[#This Row],[ID_Transfers]],"")</f>
        <v/>
      </c>
    </row>
    <row r="2248" spans="1:4" x14ac:dyDescent="0.45">
      <c r="A2248">
        <v>374</v>
      </c>
      <c r="B2248">
        <f t="shared" ca="1" si="35"/>
        <v>139</v>
      </c>
      <c r="C2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8" t="str">
        <f ca="1">IF(dict_zuord_Meth_Transfers[[#This Row],[kval_active]],dict_zuord_Meth_Transfers[[#This Row],[ID_Transfers]],"")</f>
        <v/>
      </c>
    </row>
    <row r="2249" spans="1:4" x14ac:dyDescent="0.45">
      <c r="A2249">
        <v>374</v>
      </c>
      <c r="B2249">
        <f t="shared" ca="1" si="35"/>
        <v>60</v>
      </c>
      <c r="C2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49" t="str">
        <f ca="1">IF(dict_zuord_Meth_Transfers[[#This Row],[kval_active]],dict_zuord_Meth_Transfers[[#This Row],[ID_Transfers]],"")</f>
        <v/>
      </c>
    </row>
    <row r="2250" spans="1:4" x14ac:dyDescent="0.45">
      <c r="A2250">
        <v>374</v>
      </c>
      <c r="B2250">
        <f t="shared" ca="1" si="35"/>
        <v>28</v>
      </c>
      <c r="C2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0" t="str">
        <f ca="1">IF(dict_zuord_Meth_Transfers[[#This Row],[kval_active]],dict_zuord_Meth_Transfers[[#This Row],[ID_Transfers]],"")</f>
        <v/>
      </c>
    </row>
    <row r="2251" spans="1:4" x14ac:dyDescent="0.45">
      <c r="A2251">
        <v>374</v>
      </c>
      <c r="B2251" s="3">
        <f t="shared" ca="1" si="35"/>
        <v>74</v>
      </c>
      <c r="C2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1" t="str">
        <f ca="1">IF(dict_zuord_Meth_Transfers[[#This Row],[kval_active]],dict_zuord_Meth_Transfers[[#This Row],[ID_Transfers]],"")</f>
        <v/>
      </c>
    </row>
    <row r="2252" spans="1:4" x14ac:dyDescent="0.45">
      <c r="A2252">
        <v>375</v>
      </c>
      <c r="B2252">
        <f t="shared" ca="1" si="35"/>
        <v>40</v>
      </c>
      <c r="C2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2" t="str">
        <f ca="1">IF(dict_zuord_Meth_Transfers[[#This Row],[kval_active]],dict_zuord_Meth_Transfers[[#This Row],[ID_Transfers]],"")</f>
        <v/>
      </c>
    </row>
    <row r="2253" spans="1:4" x14ac:dyDescent="0.45">
      <c r="A2253">
        <v>375</v>
      </c>
      <c r="B2253" s="3">
        <f t="shared" ca="1" si="35"/>
        <v>8</v>
      </c>
      <c r="C2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3" t="str">
        <f ca="1">IF(dict_zuord_Meth_Transfers[[#This Row],[kval_active]],dict_zuord_Meth_Transfers[[#This Row],[ID_Transfers]],"")</f>
        <v/>
      </c>
    </row>
    <row r="2254" spans="1:4" x14ac:dyDescent="0.45">
      <c r="A2254">
        <v>375</v>
      </c>
      <c r="B2254" s="3">
        <f t="shared" ca="1" si="35"/>
        <v>47</v>
      </c>
      <c r="C2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4" t="str">
        <f ca="1">IF(dict_zuord_Meth_Transfers[[#This Row],[kval_active]],dict_zuord_Meth_Transfers[[#This Row],[ID_Transfers]],"")</f>
        <v/>
      </c>
    </row>
    <row r="2255" spans="1:4" x14ac:dyDescent="0.45">
      <c r="A2255">
        <v>375</v>
      </c>
      <c r="B2255" s="3">
        <f t="shared" ca="1" si="35"/>
        <v>150</v>
      </c>
      <c r="C2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5" t="str">
        <f ca="1">IF(dict_zuord_Meth_Transfers[[#This Row],[kval_active]],dict_zuord_Meth_Transfers[[#This Row],[ID_Transfers]],"")</f>
        <v/>
      </c>
    </row>
    <row r="2256" spans="1:4" x14ac:dyDescent="0.45">
      <c r="A2256">
        <v>375</v>
      </c>
      <c r="B2256">
        <f t="shared" ca="1" si="35"/>
        <v>158</v>
      </c>
      <c r="C2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6" t="str">
        <f ca="1">IF(dict_zuord_Meth_Transfers[[#This Row],[kval_active]],dict_zuord_Meth_Transfers[[#This Row],[ID_Transfers]],"")</f>
        <v/>
      </c>
    </row>
    <row r="2257" spans="1:4" x14ac:dyDescent="0.45">
      <c r="A2257">
        <v>375</v>
      </c>
      <c r="B2257">
        <f t="shared" ca="1" si="35"/>
        <v>18</v>
      </c>
      <c r="C2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7" t="str">
        <f ca="1">IF(dict_zuord_Meth_Transfers[[#This Row],[kval_active]],dict_zuord_Meth_Transfers[[#This Row],[ID_Transfers]],"")</f>
        <v/>
      </c>
    </row>
    <row r="2258" spans="1:4" x14ac:dyDescent="0.45">
      <c r="A2258">
        <v>376</v>
      </c>
      <c r="B2258">
        <f t="shared" ca="1" si="35"/>
        <v>113</v>
      </c>
      <c r="C2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8" t="str">
        <f ca="1">IF(dict_zuord_Meth_Transfers[[#This Row],[kval_active]],dict_zuord_Meth_Transfers[[#This Row],[ID_Transfers]],"")</f>
        <v/>
      </c>
    </row>
    <row r="2259" spans="1:4" x14ac:dyDescent="0.45">
      <c r="A2259">
        <v>376</v>
      </c>
      <c r="B2259">
        <f t="shared" ca="1" si="35"/>
        <v>73</v>
      </c>
      <c r="C2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59" t="str">
        <f ca="1">IF(dict_zuord_Meth_Transfers[[#This Row],[kval_active]],dict_zuord_Meth_Transfers[[#This Row],[ID_Transfers]],"")</f>
        <v/>
      </c>
    </row>
    <row r="2260" spans="1:4" x14ac:dyDescent="0.45">
      <c r="A2260">
        <v>376</v>
      </c>
      <c r="B2260">
        <f t="shared" ca="1" si="35"/>
        <v>187</v>
      </c>
      <c r="C2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0" t="str">
        <f ca="1">IF(dict_zuord_Meth_Transfers[[#This Row],[kval_active]],dict_zuord_Meth_Transfers[[#This Row],[ID_Transfers]],"")</f>
        <v/>
      </c>
    </row>
    <row r="2261" spans="1:4" x14ac:dyDescent="0.45">
      <c r="A2261">
        <v>376</v>
      </c>
      <c r="B2261" s="3">
        <f t="shared" ca="1" si="35"/>
        <v>96</v>
      </c>
      <c r="C2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1" t="str">
        <f ca="1">IF(dict_zuord_Meth_Transfers[[#This Row],[kval_active]],dict_zuord_Meth_Transfers[[#This Row],[ID_Transfers]],"")</f>
        <v/>
      </c>
    </row>
    <row r="2262" spans="1:4" x14ac:dyDescent="0.45">
      <c r="A2262">
        <v>376</v>
      </c>
      <c r="B2262" s="3">
        <f t="shared" ca="1" si="35"/>
        <v>41</v>
      </c>
      <c r="C2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2" t="str">
        <f ca="1">IF(dict_zuord_Meth_Transfers[[#This Row],[kval_active]],dict_zuord_Meth_Transfers[[#This Row],[ID_Transfers]],"")</f>
        <v/>
      </c>
    </row>
    <row r="2263" spans="1:4" x14ac:dyDescent="0.45">
      <c r="A2263">
        <v>376</v>
      </c>
      <c r="B2263" s="3">
        <f t="shared" ca="1" si="35"/>
        <v>178</v>
      </c>
      <c r="C2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3" t="str">
        <f ca="1">IF(dict_zuord_Meth_Transfers[[#This Row],[kval_active]],dict_zuord_Meth_Transfers[[#This Row],[ID_Transfers]],"")</f>
        <v/>
      </c>
    </row>
    <row r="2264" spans="1:4" x14ac:dyDescent="0.45">
      <c r="A2264">
        <v>377</v>
      </c>
      <c r="B2264" s="3">
        <f t="shared" ca="1" si="35"/>
        <v>7</v>
      </c>
      <c r="C2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4" t="str">
        <f ca="1">IF(dict_zuord_Meth_Transfers[[#This Row],[kval_active]],dict_zuord_Meth_Transfers[[#This Row],[ID_Transfers]],"")</f>
        <v/>
      </c>
    </row>
    <row r="2265" spans="1:4" x14ac:dyDescent="0.45">
      <c r="A2265">
        <v>377</v>
      </c>
      <c r="B2265">
        <f t="shared" ca="1" si="35"/>
        <v>11</v>
      </c>
      <c r="C2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5" t="str">
        <f ca="1">IF(dict_zuord_Meth_Transfers[[#This Row],[kval_active]],dict_zuord_Meth_Transfers[[#This Row],[ID_Transfers]],"")</f>
        <v/>
      </c>
    </row>
    <row r="2266" spans="1:4" x14ac:dyDescent="0.45">
      <c r="A2266">
        <v>377</v>
      </c>
      <c r="B2266">
        <f t="shared" ca="1" si="35"/>
        <v>148</v>
      </c>
      <c r="C2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6" t="str">
        <f ca="1">IF(dict_zuord_Meth_Transfers[[#This Row],[kval_active]],dict_zuord_Meth_Transfers[[#This Row],[ID_Transfers]],"")</f>
        <v/>
      </c>
    </row>
    <row r="2267" spans="1:4" x14ac:dyDescent="0.45">
      <c r="A2267">
        <v>377</v>
      </c>
      <c r="B2267">
        <f t="shared" ca="1" si="35"/>
        <v>128</v>
      </c>
      <c r="C2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7" t="str">
        <f ca="1">IF(dict_zuord_Meth_Transfers[[#This Row],[kval_active]],dict_zuord_Meth_Transfers[[#This Row],[ID_Transfers]],"")</f>
        <v/>
      </c>
    </row>
    <row r="2268" spans="1:4" x14ac:dyDescent="0.45">
      <c r="A2268">
        <v>377</v>
      </c>
      <c r="B2268" s="3">
        <f t="shared" ca="1" si="35"/>
        <v>102</v>
      </c>
      <c r="C2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8" t="str">
        <f ca="1">IF(dict_zuord_Meth_Transfers[[#This Row],[kval_active]],dict_zuord_Meth_Transfers[[#This Row],[ID_Transfers]],"")</f>
        <v/>
      </c>
    </row>
    <row r="2269" spans="1:4" x14ac:dyDescent="0.45">
      <c r="A2269">
        <v>377</v>
      </c>
      <c r="B2269" s="3">
        <f t="shared" ca="1" si="35"/>
        <v>87</v>
      </c>
      <c r="C2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69" t="str">
        <f ca="1">IF(dict_zuord_Meth_Transfers[[#This Row],[kval_active]],dict_zuord_Meth_Transfers[[#This Row],[ID_Transfers]],"")</f>
        <v/>
      </c>
    </row>
    <row r="2270" spans="1:4" x14ac:dyDescent="0.45">
      <c r="A2270">
        <v>378</v>
      </c>
      <c r="B2270">
        <f t="shared" ca="1" si="35"/>
        <v>66</v>
      </c>
      <c r="C2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0" t="str">
        <f ca="1">IF(dict_zuord_Meth_Transfers[[#This Row],[kval_active]],dict_zuord_Meth_Transfers[[#This Row],[ID_Transfers]],"")</f>
        <v/>
      </c>
    </row>
    <row r="2271" spans="1:4" x14ac:dyDescent="0.45">
      <c r="A2271">
        <v>378</v>
      </c>
      <c r="B2271">
        <f t="shared" ca="1" si="35"/>
        <v>113</v>
      </c>
      <c r="C2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1" t="str">
        <f ca="1">IF(dict_zuord_Meth_Transfers[[#This Row],[kval_active]],dict_zuord_Meth_Transfers[[#This Row],[ID_Transfers]],"")</f>
        <v/>
      </c>
    </row>
    <row r="2272" spans="1:4" x14ac:dyDescent="0.45">
      <c r="A2272">
        <v>378</v>
      </c>
      <c r="B2272" s="3">
        <f t="shared" ca="1" si="35"/>
        <v>194</v>
      </c>
      <c r="C2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2" t="str">
        <f ca="1">IF(dict_zuord_Meth_Transfers[[#This Row],[kval_active]],dict_zuord_Meth_Transfers[[#This Row],[ID_Transfers]],"")</f>
        <v/>
      </c>
    </row>
    <row r="2273" spans="1:4" x14ac:dyDescent="0.45">
      <c r="A2273">
        <v>378</v>
      </c>
      <c r="B2273" s="3">
        <f t="shared" ca="1" si="35"/>
        <v>88</v>
      </c>
      <c r="C2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3" t="str">
        <f ca="1">IF(dict_zuord_Meth_Transfers[[#This Row],[kval_active]],dict_zuord_Meth_Transfers[[#This Row],[ID_Transfers]],"")</f>
        <v/>
      </c>
    </row>
    <row r="2274" spans="1:4" x14ac:dyDescent="0.45">
      <c r="A2274">
        <v>378</v>
      </c>
      <c r="B2274" s="3">
        <f t="shared" ca="1" si="35"/>
        <v>41</v>
      </c>
      <c r="C2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4" t="str">
        <f ca="1">IF(dict_zuord_Meth_Transfers[[#This Row],[kval_active]],dict_zuord_Meth_Transfers[[#This Row],[ID_Transfers]],"")</f>
        <v/>
      </c>
    </row>
    <row r="2275" spans="1:4" x14ac:dyDescent="0.45">
      <c r="A2275">
        <v>378</v>
      </c>
      <c r="B2275">
        <f t="shared" ca="1" si="35"/>
        <v>188</v>
      </c>
      <c r="C2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5" t="str">
        <f ca="1">IF(dict_zuord_Meth_Transfers[[#This Row],[kval_active]],dict_zuord_Meth_Transfers[[#This Row],[ID_Transfers]],"")</f>
        <v/>
      </c>
    </row>
    <row r="2276" spans="1:4" x14ac:dyDescent="0.45">
      <c r="A2276">
        <v>379</v>
      </c>
      <c r="B2276">
        <f t="shared" ca="1" si="35"/>
        <v>0</v>
      </c>
      <c r="C2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6" t="str">
        <f ca="1">IF(dict_zuord_Meth_Transfers[[#This Row],[kval_active]],dict_zuord_Meth_Transfers[[#This Row],[ID_Transfers]],"")</f>
        <v/>
      </c>
    </row>
    <row r="2277" spans="1:4" x14ac:dyDescent="0.45">
      <c r="A2277">
        <v>379</v>
      </c>
      <c r="B2277" s="3">
        <f t="shared" ca="1" si="35"/>
        <v>185</v>
      </c>
      <c r="C2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7" t="str">
        <f ca="1">IF(dict_zuord_Meth_Transfers[[#This Row],[kval_active]],dict_zuord_Meth_Transfers[[#This Row],[ID_Transfers]],"")</f>
        <v/>
      </c>
    </row>
    <row r="2278" spans="1:4" x14ac:dyDescent="0.45">
      <c r="A2278">
        <v>379</v>
      </c>
      <c r="B2278" s="3">
        <f t="shared" ca="1" si="35"/>
        <v>168</v>
      </c>
      <c r="C2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8" t="str">
        <f ca="1">IF(dict_zuord_Meth_Transfers[[#This Row],[kval_active]],dict_zuord_Meth_Transfers[[#This Row],[ID_Transfers]],"")</f>
        <v/>
      </c>
    </row>
    <row r="2279" spans="1:4" x14ac:dyDescent="0.45">
      <c r="A2279">
        <v>379</v>
      </c>
      <c r="B2279">
        <f t="shared" ca="1" si="35"/>
        <v>147</v>
      </c>
      <c r="C2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79" t="str">
        <f ca="1">IF(dict_zuord_Meth_Transfers[[#This Row],[kval_active]],dict_zuord_Meth_Transfers[[#This Row],[ID_Transfers]],"")</f>
        <v/>
      </c>
    </row>
    <row r="2280" spans="1:4" x14ac:dyDescent="0.45">
      <c r="A2280">
        <v>379</v>
      </c>
      <c r="B2280">
        <f t="shared" ca="1" si="35"/>
        <v>68</v>
      </c>
      <c r="C2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0" t="str">
        <f ca="1">IF(dict_zuord_Meth_Transfers[[#This Row],[kval_active]],dict_zuord_Meth_Transfers[[#This Row],[ID_Transfers]],"")</f>
        <v/>
      </c>
    </row>
    <row r="2281" spans="1:4" x14ac:dyDescent="0.45">
      <c r="A2281">
        <v>379</v>
      </c>
      <c r="B2281" s="3">
        <f t="shared" ca="1" si="35"/>
        <v>105</v>
      </c>
      <c r="C2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1" t="str">
        <f ca="1">IF(dict_zuord_Meth_Transfers[[#This Row],[kval_active]],dict_zuord_Meth_Transfers[[#This Row],[ID_Transfers]],"")</f>
        <v/>
      </c>
    </row>
    <row r="2282" spans="1:4" x14ac:dyDescent="0.45">
      <c r="A2282">
        <v>380</v>
      </c>
      <c r="B2282">
        <f t="shared" ca="1" si="35"/>
        <v>82</v>
      </c>
      <c r="C2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2" t="str">
        <f ca="1">IF(dict_zuord_Meth_Transfers[[#This Row],[kval_active]],dict_zuord_Meth_Transfers[[#This Row],[ID_Transfers]],"")</f>
        <v/>
      </c>
    </row>
    <row r="2283" spans="1:4" x14ac:dyDescent="0.45">
      <c r="A2283">
        <v>380</v>
      </c>
      <c r="B2283" s="3">
        <f t="shared" ca="1" si="35"/>
        <v>200</v>
      </c>
      <c r="C2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3" t="str">
        <f ca="1">IF(dict_zuord_Meth_Transfers[[#This Row],[kval_active]],dict_zuord_Meth_Transfers[[#This Row],[ID_Transfers]],"")</f>
        <v/>
      </c>
    </row>
    <row r="2284" spans="1:4" x14ac:dyDescent="0.45">
      <c r="A2284">
        <v>380</v>
      </c>
      <c r="B2284">
        <f t="shared" ca="1" si="35"/>
        <v>39</v>
      </c>
      <c r="C2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4" t="str">
        <f ca="1">IF(dict_zuord_Meth_Transfers[[#This Row],[kval_active]],dict_zuord_Meth_Transfers[[#This Row],[ID_Transfers]],"")</f>
        <v/>
      </c>
    </row>
    <row r="2285" spans="1:4" x14ac:dyDescent="0.45">
      <c r="A2285">
        <v>380</v>
      </c>
      <c r="B2285" s="3">
        <f t="shared" ca="1" si="35"/>
        <v>127</v>
      </c>
      <c r="C2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5" t="str">
        <f ca="1">IF(dict_zuord_Meth_Transfers[[#This Row],[kval_active]],dict_zuord_Meth_Transfers[[#This Row],[ID_Transfers]],"")</f>
        <v/>
      </c>
    </row>
    <row r="2286" spans="1:4" x14ac:dyDescent="0.45">
      <c r="A2286">
        <v>380</v>
      </c>
      <c r="B2286" s="3">
        <f t="shared" ca="1" si="35"/>
        <v>188</v>
      </c>
      <c r="C2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6" t="str">
        <f ca="1">IF(dict_zuord_Meth_Transfers[[#This Row],[kval_active]],dict_zuord_Meth_Transfers[[#This Row],[ID_Transfers]],"")</f>
        <v/>
      </c>
    </row>
    <row r="2287" spans="1:4" x14ac:dyDescent="0.45">
      <c r="A2287">
        <v>380</v>
      </c>
      <c r="B2287">
        <f t="shared" ca="1" si="35"/>
        <v>198</v>
      </c>
      <c r="C2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7" t="str">
        <f ca="1">IF(dict_zuord_Meth_Transfers[[#This Row],[kval_active]],dict_zuord_Meth_Transfers[[#This Row],[ID_Transfers]],"")</f>
        <v/>
      </c>
    </row>
    <row r="2288" spans="1:4" x14ac:dyDescent="0.45">
      <c r="A2288">
        <v>381</v>
      </c>
      <c r="B2288">
        <f t="shared" ca="1" si="35"/>
        <v>97</v>
      </c>
      <c r="C2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8" t="str">
        <f ca="1">IF(dict_zuord_Meth_Transfers[[#This Row],[kval_active]],dict_zuord_Meth_Transfers[[#This Row],[ID_Transfers]],"")</f>
        <v/>
      </c>
    </row>
    <row r="2289" spans="1:4" x14ac:dyDescent="0.45">
      <c r="A2289">
        <v>381</v>
      </c>
      <c r="B2289" s="3">
        <f t="shared" ca="1" si="35"/>
        <v>0</v>
      </c>
      <c r="C2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89" t="str">
        <f ca="1">IF(dict_zuord_Meth_Transfers[[#This Row],[kval_active]],dict_zuord_Meth_Transfers[[#This Row],[ID_Transfers]],"")</f>
        <v/>
      </c>
    </row>
    <row r="2290" spans="1:4" x14ac:dyDescent="0.45">
      <c r="A2290">
        <v>381</v>
      </c>
      <c r="B2290" s="3">
        <f t="shared" ca="1" si="35"/>
        <v>107</v>
      </c>
      <c r="C2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0" t="str">
        <f ca="1">IF(dict_zuord_Meth_Transfers[[#This Row],[kval_active]],dict_zuord_Meth_Transfers[[#This Row],[ID_Transfers]],"")</f>
        <v/>
      </c>
    </row>
    <row r="2291" spans="1:4" x14ac:dyDescent="0.45">
      <c r="A2291">
        <v>381</v>
      </c>
      <c r="B2291" s="3">
        <f t="shared" ca="1" si="35"/>
        <v>146</v>
      </c>
      <c r="C2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1" t="str">
        <f ca="1">IF(dict_zuord_Meth_Transfers[[#This Row],[kval_active]],dict_zuord_Meth_Transfers[[#This Row],[ID_Transfers]],"")</f>
        <v/>
      </c>
    </row>
    <row r="2292" spans="1:4" x14ac:dyDescent="0.45">
      <c r="A2292">
        <v>381</v>
      </c>
      <c r="B2292">
        <f t="shared" ca="1" si="35"/>
        <v>137</v>
      </c>
      <c r="C2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2" t="str">
        <f ca="1">IF(dict_zuord_Meth_Transfers[[#This Row],[kval_active]],dict_zuord_Meth_Transfers[[#This Row],[ID_Transfers]],"")</f>
        <v/>
      </c>
    </row>
    <row r="2293" spans="1:4" x14ac:dyDescent="0.45">
      <c r="A2293">
        <v>381</v>
      </c>
      <c r="B2293">
        <f t="shared" ca="1" si="35"/>
        <v>120</v>
      </c>
      <c r="C2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293" t="str">
        <f ca="1">IF(dict_zuord_Meth_Transfers[[#This Row],[kval_active]],dict_zuord_Meth_Transfers[[#This Row],[ID_Transfers]],"")</f>
        <v/>
      </c>
    </row>
    <row r="2294" spans="1:4" x14ac:dyDescent="0.45">
      <c r="A2294">
        <v>382</v>
      </c>
      <c r="B2294">
        <f t="shared" ca="1" si="35"/>
        <v>149</v>
      </c>
      <c r="C2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4">
        <f ca="1">IF(dict_zuord_Meth_Transfers[[#This Row],[kval_active]],dict_zuord_Meth_Transfers[[#This Row],[ID_Transfers]],"")</f>
        <v>149</v>
      </c>
    </row>
    <row r="2295" spans="1:4" x14ac:dyDescent="0.45">
      <c r="A2295">
        <v>382</v>
      </c>
      <c r="B2295" s="3">
        <f t="shared" ca="1" si="35"/>
        <v>131</v>
      </c>
      <c r="C2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5">
        <f ca="1">IF(dict_zuord_Meth_Transfers[[#This Row],[kval_active]],dict_zuord_Meth_Transfers[[#This Row],[ID_Transfers]],"")</f>
        <v>131</v>
      </c>
    </row>
    <row r="2296" spans="1:4" x14ac:dyDescent="0.45">
      <c r="A2296">
        <v>382</v>
      </c>
      <c r="B2296">
        <f t="shared" ca="1" si="35"/>
        <v>95</v>
      </c>
      <c r="C2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6">
        <f ca="1">IF(dict_zuord_Meth_Transfers[[#This Row],[kval_active]],dict_zuord_Meth_Transfers[[#This Row],[ID_Transfers]],"")</f>
        <v>95</v>
      </c>
    </row>
    <row r="2297" spans="1:4" x14ac:dyDescent="0.45">
      <c r="A2297">
        <v>382</v>
      </c>
      <c r="B2297">
        <f t="shared" ca="1" si="35"/>
        <v>70</v>
      </c>
      <c r="C2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7">
        <f ca="1">IF(dict_zuord_Meth_Transfers[[#This Row],[kval_active]],dict_zuord_Meth_Transfers[[#This Row],[ID_Transfers]],"")</f>
        <v>70</v>
      </c>
    </row>
    <row r="2298" spans="1:4" x14ac:dyDescent="0.45">
      <c r="A2298">
        <v>382</v>
      </c>
      <c r="B2298" s="3">
        <f t="shared" ca="1" si="35"/>
        <v>50</v>
      </c>
      <c r="C2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8">
        <f ca="1">IF(dict_zuord_Meth_Transfers[[#This Row],[kval_active]],dict_zuord_Meth_Transfers[[#This Row],[ID_Transfers]],"")</f>
        <v>50</v>
      </c>
    </row>
    <row r="2299" spans="1:4" x14ac:dyDescent="0.45">
      <c r="A2299">
        <v>382</v>
      </c>
      <c r="B2299" s="3">
        <f t="shared" ca="1" si="35"/>
        <v>52</v>
      </c>
      <c r="C2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299">
        <f ca="1">IF(dict_zuord_Meth_Transfers[[#This Row],[kval_active]],dict_zuord_Meth_Transfers[[#This Row],[ID_Transfers]],"")</f>
        <v>52</v>
      </c>
    </row>
    <row r="2300" spans="1:4" x14ac:dyDescent="0.45">
      <c r="A2300">
        <v>383</v>
      </c>
      <c r="B2300">
        <f t="shared" ca="1" si="35"/>
        <v>166</v>
      </c>
      <c r="C2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0" t="str">
        <f ca="1">IF(dict_zuord_Meth_Transfers[[#This Row],[kval_active]],dict_zuord_Meth_Transfers[[#This Row],[ID_Transfers]],"")</f>
        <v/>
      </c>
    </row>
    <row r="2301" spans="1:4" x14ac:dyDescent="0.45">
      <c r="A2301">
        <v>383</v>
      </c>
      <c r="B2301">
        <f t="shared" ca="1" si="35"/>
        <v>86</v>
      </c>
      <c r="C2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1" t="str">
        <f ca="1">IF(dict_zuord_Meth_Transfers[[#This Row],[kval_active]],dict_zuord_Meth_Transfers[[#This Row],[ID_Transfers]],"")</f>
        <v/>
      </c>
    </row>
    <row r="2302" spans="1:4" x14ac:dyDescent="0.45">
      <c r="A2302">
        <v>383</v>
      </c>
      <c r="B2302" s="3">
        <f t="shared" ca="1" si="35"/>
        <v>178</v>
      </c>
      <c r="C2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2" t="str">
        <f ca="1">IF(dict_zuord_Meth_Transfers[[#This Row],[kval_active]],dict_zuord_Meth_Transfers[[#This Row],[ID_Transfers]],"")</f>
        <v/>
      </c>
    </row>
    <row r="2303" spans="1:4" x14ac:dyDescent="0.45">
      <c r="A2303">
        <v>383</v>
      </c>
      <c r="B2303" s="3">
        <f t="shared" ca="1" si="35"/>
        <v>3</v>
      </c>
      <c r="C2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3" t="str">
        <f ca="1">IF(dict_zuord_Meth_Transfers[[#This Row],[kval_active]],dict_zuord_Meth_Transfers[[#This Row],[ID_Transfers]],"")</f>
        <v/>
      </c>
    </row>
    <row r="2304" spans="1:4" x14ac:dyDescent="0.45">
      <c r="A2304">
        <v>383</v>
      </c>
      <c r="B2304" s="3">
        <f t="shared" ca="1" si="35"/>
        <v>166</v>
      </c>
      <c r="C2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4" t="str">
        <f ca="1">IF(dict_zuord_Meth_Transfers[[#This Row],[kval_active]],dict_zuord_Meth_Transfers[[#This Row],[ID_Transfers]],"")</f>
        <v/>
      </c>
    </row>
    <row r="2305" spans="1:4" x14ac:dyDescent="0.45">
      <c r="A2305">
        <v>383</v>
      </c>
      <c r="B2305">
        <f t="shared" ca="1" si="35"/>
        <v>95</v>
      </c>
      <c r="C2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5" t="str">
        <f ca="1">IF(dict_zuord_Meth_Transfers[[#This Row],[kval_active]],dict_zuord_Meth_Transfers[[#This Row],[ID_Transfers]],"")</f>
        <v/>
      </c>
    </row>
    <row r="2306" spans="1:4" x14ac:dyDescent="0.45">
      <c r="A2306">
        <v>384</v>
      </c>
      <c r="B2306" s="3">
        <f t="shared" ref="B2306:B2369" ca="1" si="36">RANDBETWEEN(0,200)</f>
        <v>107</v>
      </c>
      <c r="C2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6" t="str">
        <f ca="1">IF(dict_zuord_Meth_Transfers[[#This Row],[kval_active]],dict_zuord_Meth_Transfers[[#This Row],[ID_Transfers]],"")</f>
        <v/>
      </c>
    </row>
    <row r="2307" spans="1:4" x14ac:dyDescent="0.45">
      <c r="A2307">
        <v>384</v>
      </c>
      <c r="B2307">
        <f t="shared" ca="1" si="36"/>
        <v>147</v>
      </c>
      <c r="C2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7" t="str">
        <f ca="1">IF(dict_zuord_Meth_Transfers[[#This Row],[kval_active]],dict_zuord_Meth_Transfers[[#This Row],[ID_Transfers]],"")</f>
        <v/>
      </c>
    </row>
    <row r="2308" spans="1:4" x14ac:dyDescent="0.45">
      <c r="A2308">
        <v>384</v>
      </c>
      <c r="B2308" s="3">
        <f t="shared" ca="1" si="36"/>
        <v>13</v>
      </c>
      <c r="C2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8" t="str">
        <f ca="1">IF(dict_zuord_Meth_Transfers[[#This Row],[kval_active]],dict_zuord_Meth_Transfers[[#This Row],[ID_Transfers]],"")</f>
        <v/>
      </c>
    </row>
    <row r="2309" spans="1:4" x14ac:dyDescent="0.45">
      <c r="A2309">
        <v>384</v>
      </c>
      <c r="B2309" s="3">
        <f t="shared" ca="1" si="36"/>
        <v>144</v>
      </c>
      <c r="C2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09" t="str">
        <f ca="1">IF(dict_zuord_Meth_Transfers[[#This Row],[kval_active]],dict_zuord_Meth_Transfers[[#This Row],[ID_Transfers]],"")</f>
        <v/>
      </c>
    </row>
    <row r="2310" spans="1:4" x14ac:dyDescent="0.45">
      <c r="A2310">
        <v>384</v>
      </c>
      <c r="B2310">
        <f t="shared" ca="1" si="36"/>
        <v>103</v>
      </c>
      <c r="C2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0" t="str">
        <f ca="1">IF(dict_zuord_Meth_Transfers[[#This Row],[kval_active]],dict_zuord_Meth_Transfers[[#This Row],[ID_Transfers]],"")</f>
        <v/>
      </c>
    </row>
    <row r="2311" spans="1:4" x14ac:dyDescent="0.45">
      <c r="A2311">
        <v>384</v>
      </c>
      <c r="B2311">
        <f t="shared" ca="1" si="36"/>
        <v>130</v>
      </c>
      <c r="C2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1" t="str">
        <f ca="1">IF(dict_zuord_Meth_Transfers[[#This Row],[kval_active]],dict_zuord_Meth_Transfers[[#This Row],[ID_Transfers]],"")</f>
        <v/>
      </c>
    </row>
    <row r="2312" spans="1:4" x14ac:dyDescent="0.45">
      <c r="A2312">
        <v>385</v>
      </c>
      <c r="B2312">
        <f t="shared" ca="1" si="36"/>
        <v>169</v>
      </c>
      <c r="C2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2" t="str">
        <f ca="1">IF(dict_zuord_Meth_Transfers[[#This Row],[kval_active]],dict_zuord_Meth_Transfers[[#This Row],[ID_Transfers]],"")</f>
        <v/>
      </c>
    </row>
    <row r="2313" spans="1:4" x14ac:dyDescent="0.45">
      <c r="A2313">
        <v>385</v>
      </c>
      <c r="B2313" s="3">
        <f t="shared" ca="1" si="36"/>
        <v>45</v>
      </c>
      <c r="C2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3" t="str">
        <f ca="1">IF(dict_zuord_Meth_Transfers[[#This Row],[kval_active]],dict_zuord_Meth_Transfers[[#This Row],[ID_Transfers]],"")</f>
        <v/>
      </c>
    </row>
    <row r="2314" spans="1:4" x14ac:dyDescent="0.45">
      <c r="A2314">
        <v>385</v>
      </c>
      <c r="B2314" s="3">
        <f t="shared" ca="1" si="36"/>
        <v>102</v>
      </c>
      <c r="C2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4" t="str">
        <f ca="1">IF(dict_zuord_Meth_Transfers[[#This Row],[kval_active]],dict_zuord_Meth_Transfers[[#This Row],[ID_Transfers]],"")</f>
        <v/>
      </c>
    </row>
    <row r="2315" spans="1:4" x14ac:dyDescent="0.45">
      <c r="A2315">
        <v>385</v>
      </c>
      <c r="B2315">
        <f t="shared" ca="1" si="36"/>
        <v>47</v>
      </c>
      <c r="C2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5" t="str">
        <f ca="1">IF(dict_zuord_Meth_Transfers[[#This Row],[kval_active]],dict_zuord_Meth_Transfers[[#This Row],[ID_Transfers]],"")</f>
        <v/>
      </c>
    </row>
    <row r="2316" spans="1:4" x14ac:dyDescent="0.45">
      <c r="A2316">
        <v>385</v>
      </c>
      <c r="B2316" s="3">
        <f t="shared" ca="1" si="36"/>
        <v>125</v>
      </c>
      <c r="C2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6" t="str">
        <f ca="1">IF(dict_zuord_Meth_Transfers[[#This Row],[kval_active]],dict_zuord_Meth_Transfers[[#This Row],[ID_Transfers]],"")</f>
        <v/>
      </c>
    </row>
    <row r="2317" spans="1:4" x14ac:dyDescent="0.45">
      <c r="A2317">
        <v>385</v>
      </c>
      <c r="B2317">
        <f t="shared" ca="1" si="36"/>
        <v>57</v>
      </c>
      <c r="C2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7" t="str">
        <f ca="1">IF(dict_zuord_Meth_Transfers[[#This Row],[kval_active]],dict_zuord_Meth_Transfers[[#This Row],[ID_Transfers]],"")</f>
        <v/>
      </c>
    </row>
    <row r="2318" spans="1:4" x14ac:dyDescent="0.45">
      <c r="A2318">
        <v>386</v>
      </c>
      <c r="B2318" s="3">
        <f t="shared" ca="1" si="36"/>
        <v>27</v>
      </c>
      <c r="C2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8" t="str">
        <f ca="1">IF(dict_zuord_Meth_Transfers[[#This Row],[kval_active]],dict_zuord_Meth_Transfers[[#This Row],[ID_Transfers]],"")</f>
        <v/>
      </c>
    </row>
    <row r="2319" spans="1:4" x14ac:dyDescent="0.45">
      <c r="A2319">
        <v>386</v>
      </c>
      <c r="B2319">
        <f t="shared" ca="1" si="36"/>
        <v>187</v>
      </c>
      <c r="C2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19" t="str">
        <f ca="1">IF(dict_zuord_Meth_Transfers[[#This Row],[kval_active]],dict_zuord_Meth_Transfers[[#This Row],[ID_Transfers]],"")</f>
        <v/>
      </c>
    </row>
    <row r="2320" spans="1:4" x14ac:dyDescent="0.45">
      <c r="A2320">
        <v>386</v>
      </c>
      <c r="B2320" s="3">
        <f t="shared" ca="1" si="36"/>
        <v>28</v>
      </c>
      <c r="C2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0" t="str">
        <f ca="1">IF(dict_zuord_Meth_Transfers[[#This Row],[kval_active]],dict_zuord_Meth_Transfers[[#This Row],[ID_Transfers]],"")</f>
        <v/>
      </c>
    </row>
    <row r="2321" spans="1:4" x14ac:dyDescent="0.45">
      <c r="A2321">
        <v>386</v>
      </c>
      <c r="B2321" s="3">
        <f t="shared" ca="1" si="36"/>
        <v>126</v>
      </c>
      <c r="C2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1" t="str">
        <f ca="1">IF(dict_zuord_Meth_Transfers[[#This Row],[kval_active]],dict_zuord_Meth_Transfers[[#This Row],[ID_Transfers]],"")</f>
        <v/>
      </c>
    </row>
    <row r="2322" spans="1:4" x14ac:dyDescent="0.45">
      <c r="A2322">
        <v>386</v>
      </c>
      <c r="B2322">
        <f t="shared" ca="1" si="36"/>
        <v>99</v>
      </c>
      <c r="C2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2" t="str">
        <f ca="1">IF(dict_zuord_Meth_Transfers[[#This Row],[kval_active]],dict_zuord_Meth_Transfers[[#This Row],[ID_Transfers]],"")</f>
        <v/>
      </c>
    </row>
    <row r="2323" spans="1:4" x14ac:dyDescent="0.45">
      <c r="A2323">
        <v>386</v>
      </c>
      <c r="B2323">
        <f t="shared" ca="1" si="36"/>
        <v>158</v>
      </c>
      <c r="C2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3" t="str">
        <f ca="1">IF(dict_zuord_Meth_Transfers[[#This Row],[kval_active]],dict_zuord_Meth_Transfers[[#This Row],[ID_Transfers]],"")</f>
        <v/>
      </c>
    </row>
    <row r="2324" spans="1:4" x14ac:dyDescent="0.45">
      <c r="A2324">
        <v>387</v>
      </c>
      <c r="B2324" s="3">
        <f t="shared" ca="1" si="36"/>
        <v>110</v>
      </c>
      <c r="C2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4" t="str">
        <f ca="1">IF(dict_zuord_Meth_Transfers[[#This Row],[kval_active]],dict_zuord_Meth_Transfers[[#This Row],[ID_Transfers]],"")</f>
        <v/>
      </c>
    </row>
    <row r="2325" spans="1:4" x14ac:dyDescent="0.45">
      <c r="A2325">
        <v>387</v>
      </c>
      <c r="B2325">
        <f t="shared" ca="1" si="36"/>
        <v>34</v>
      </c>
      <c r="C2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5" t="str">
        <f ca="1">IF(dict_zuord_Meth_Transfers[[#This Row],[kval_active]],dict_zuord_Meth_Transfers[[#This Row],[ID_Transfers]],"")</f>
        <v/>
      </c>
    </row>
    <row r="2326" spans="1:4" x14ac:dyDescent="0.45">
      <c r="A2326">
        <v>387</v>
      </c>
      <c r="B2326" s="3">
        <f t="shared" ca="1" si="36"/>
        <v>30</v>
      </c>
      <c r="C2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6" t="str">
        <f ca="1">IF(dict_zuord_Meth_Transfers[[#This Row],[kval_active]],dict_zuord_Meth_Transfers[[#This Row],[ID_Transfers]],"")</f>
        <v/>
      </c>
    </row>
    <row r="2327" spans="1:4" x14ac:dyDescent="0.45">
      <c r="A2327">
        <v>387</v>
      </c>
      <c r="B2327">
        <f t="shared" ca="1" si="36"/>
        <v>105</v>
      </c>
      <c r="C2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7" t="str">
        <f ca="1">IF(dict_zuord_Meth_Transfers[[#This Row],[kval_active]],dict_zuord_Meth_Transfers[[#This Row],[ID_Transfers]],"")</f>
        <v/>
      </c>
    </row>
    <row r="2328" spans="1:4" x14ac:dyDescent="0.45">
      <c r="A2328">
        <v>387</v>
      </c>
      <c r="B2328" s="3">
        <f t="shared" ca="1" si="36"/>
        <v>20</v>
      </c>
      <c r="C2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8" t="str">
        <f ca="1">IF(dict_zuord_Meth_Transfers[[#This Row],[kval_active]],dict_zuord_Meth_Transfers[[#This Row],[ID_Transfers]],"")</f>
        <v/>
      </c>
    </row>
    <row r="2329" spans="1:4" x14ac:dyDescent="0.45">
      <c r="A2329">
        <v>387</v>
      </c>
      <c r="B2329">
        <f t="shared" ca="1" si="36"/>
        <v>89</v>
      </c>
      <c r="C2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29" t="str">
        <f ca="1">IF(dict_zuord_Meth_Transfers[[#This Row],[kval_active]],dict_zuord_Meth_Transfers[[#This Row],[ID_Transfers]],"")</f>
        <v/>
      </c>
    </row>
    <row r="2330" spans="1:4" x14ac:dyDescent="0.45">
      <c r="A2330">
        <v>388</v>
      </c>
      <c r="B2330" s="3">
        <f t="shared" ca="1" si="36"/>
        <v>174</v>
      </c>
      <c r="C2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0" t="str">
        <f ca="1">IF(dict_zuord_Meth_Transfers[[#This Row],[kval_active]],dict_zuord_Meth_Transfers[[#This Row],[ID_Transfers]],"")</f>
        <v/>
      </c>
    </row>
    <row r="2331" spans="1:4" x14ac:dyDescent="0.45">
      <c r="A2331">
        <v>388</v>
      </c>
      <c r="B2331">
        <f t="shared" ca="1" si="36"/>
        <v>69</v>
      </c>
      <c r="C2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1" t="str">
        <f ca="1">IF(dict_zuord_Meth_Transfers[[#This Row],[kval_active]],dict_zuord_Meth_Transfers[[#This Row],[ID_Transfers]],"")</f>
        <v/>
      </c>
    </row>
    <row r="2332" spans="1:4" x14ac:dyDescent="0.45">
      <c r="A2332">
        <v>388</v>
      </c>
      <c r="B2332" s="3">
        <f t="shared" ca="1" si="36"/>
        <v>175</v>
      </c>
      <c r="C2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2" t="str">
        <f ca="1">IF(dict_zuord_Meth_Transfers[[#This Row],[kval_active]],dict_zuord_Meth_Transfers[[#This Row],[ID_Transfers]],"")</f>
        <v/>
      </c>
    </row>
    <row r="2333" spans="1:4" x14ac:dyDescent="0.45">
      <c r="A2333">
        <v>388</v>
      </c>
      <c r="B2333">
        <f t="shared" ca="1" si="36"/>
        <v>64</v>
      </c>
      <c r="C2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3" t="str">
        <f ca="1">IF(dict_zuord_Meth_Transfers[[#This Row],[kval_active]],dict_zuord_Meth_Transfers[[#This Row],[ID_Transfers]],"")</f>
        <v/>
      </c>
    </row>
    <row r="2334" spans="1:4" x14ac:dyDescent="0.45">
      <c r="A2334">
        <v>388</v>
      </c>
      <c r="B2334">
        <f t="shared" ca="1" si="36"/>
        <v>74</v>
      </c>
      <c r="C2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4" t="str">
        <f ca="1">IF(dict_zuord_Meth_Transfers[[#This Row],[kval_active]],dict_zuord_Meth_Transfers[[#This Row],[ID_Transfers]],"")</f>
        <v/>
      </c>
    </row>
    <row r="2335" spans="1:4" x14ac:dyDescent="0.45">
      <c r="A2335">
        <v>388</v>
      </c>
      <c r="B2335" s="3">
        <f t="shared" ca="1" si="36"/>
        <v>134</v>
      </c>
      <c r="C2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5" t="str">
        <f ca="1">IF(dict_zuord_Meth_Transfers[[#This Row],[kval_active]],dict_zuord_Meth_Transfers[[#This Row],[ID_Transfers]],"")</f>
        <v/>
      </c>
    </row>
    <row r="2336" spans="1:4" x14ac:dyDescent="0.45">
      <c r="A2336">
        <v>389</v>
      </c>
      <c r="B2336">
        <f t="shared" ca="1" si="36"/>
        <v>176</v>
      </c>
      <c r="C2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6" t="str">
        <f ca="1">IF(dict_zuord_Meth_Transfers[[#This Row],[kval_active]],dict_zuord_Meth_Transfers[[#This Row],[ID_Transfers]],"")</f>
        <v/>
      </c>
    </row>
    <row r="2337" spans="1:4" x14ac:dyDescent="0.45">
      <c r="A2337">
        <v>389</v>
      </c>
      <c r="B2337">
        <f t="shared" ca="1" si="36"/>
        <v>105</v>
      </c>
      <c r="C2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7" t="str">
        <f ca="1">IF(dict_zuord_Meth_Transfers[[#This Row],[kval_active]],dict_zuord_Meth_Transfers[[#This Row],[ID_Transfers]],"")</f>
        <v/>
      </c>
    </row>
    <row r="2338" spans="1:4" x14ac:dyDescent="0.45">
      <c r="A2338">
        <v>389</v>
      </c>
      <c r="B2338" s="3">
        <f t="shared" ca="1" si="36"/>
        <v>41</v>
      </c>
      <c r="C2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8" t="str">
        <f ca="1">IF(dict_zuord_Meth_Transfers[[#This Row],[kval_active]],dict_zuord_Meth_Transfers[[#This Row],[ID_Transfers]],"")</f>
        <v/>
      </c>
    </row>
    <row r="2339" spans="1:4" x14ac:dyDescent="0.45">
      <c r="A2339">
        <v>389</v>
      </c>
      <c r="B2339" s="3">
        <f t="shared" ca="1" si="36"/>
        <v>37</v>
      </c>
      <c r="C2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39" t="str">
        <f ca="1">IF(dict_zuord_Meth_Transfers[[#This Row],[kval_active]],dict_zuord_Meth_Transfers[[#This Row],[ID_Transfers]],"")</f>
        <v/>
      </c>
    </row>
    <row r="2340" spans="1:4" x14ac:dyDescent="0.45">
      <c r="A2340">
        <v>389</v>
      </c>
      <c r="B2340" s="3">
        <f t="shared" ca="1" si="36"/>
        <v>144</v>
      </c>
      <c r="C2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0" t="str">
        <f ca="1">IF(dict_zuord_Meth_Transfers[[#This Row],[kval_active]],dict_zuord_Meth_Transfers[[#This Row],[ID_Transfers]],"")</f>
        <v/>
      </c>
    </row>
    <row r="2341" spans="1:4" x14ac:dyDescent="0.45">
      <c r="A2341">
        <v>389</v>
      </c>
      <c r="B2341">
        <f t="shared" ca="1" si="36"/>
        <v>89</v>
      </c>
      <c r="C2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1" t="str">
        <f ca="1">IF(dict_zuord_Meth_Transfers[[#This Row],[kval_active]],dict_zuord_Meth_Transfers[[#This Row],[ID_Transfers]],"")</f>
        <v/>
      </c>
    </row>
    <row r="2342" spans="1:4" x14ac:dyDescent="0.45">
      <c r="A2342">
        <v>390</v>
      </c>
      <c r="B2342">
        <f t="shared" ca="1" si="36"/>
        <v>133</v>
      </c>
      <c r="C2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2" t="str">
        <f ca="1">IF(dict_zuord_Meth_Transfers[[#This Row],[kval_active]],dict_zuord_Meth_Transfers[[#This Row],[ID_Transfers]],"")</f>
        <v/>
      </c>
    </row>
    <row r="2343" spans="1:4" x14ac:dyDescent="0.45">
      <c r="A2343">
        <v>390</v>
      </c>
      <c r="B2343">
        <f t="shared" ca="1" si="36"/>
        <v>101</v>
      </c>
      <c r="C2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3" t="str">
        <f ca="1">IF(dict_zuord_Meth_Transfers[[#This Row],[kval_active]],dict_zuord_Meth_Transfers[[#This Row],[ID_Transfers]],"")</f>
        <v/>
      </c>
    </row>
    <row r="2344" spans="1:4" x14ac:dyDescent="0.45">
      <c r="A2344">
        <v>390</v>
      </c>
      <c r="B2344" s="3">
        <f t="shared" ca="1" si="36"/>
        <v>89</v>
      </c>
      <c r="C2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4" t="str">
        <f ca="1">IF(dict_zuord_Meth_Transfers[[#This Row],[kval_active]],dict_zuord_Meth_Transfers[[#This Row],[ID_Transfers]],"")</f>
        <v/>
      </c>
    </row>
    <row r="2345" spans="1:4" x14ac:dyDescent="0.45">
      <c r="A2345">
        <v>390</v>
      </c>
      <c r="B2345" s="3">
        <f t="shared" ca="1" si="36"/>
        <v>169</v>
      </c>
      <c r="C2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5" t="str">
        <f ca="1">IF(dict_zuord_Meth_Transfers[[#This Row],[kval_active]],dict_zuord_Meth_Transfers[[#This Row],[ID_Transfers]],"")</f>
        <v/>
      </c>
    </row>
    <row r="2346" spans="1:4" x14ac:dyDescent="0.45">
      <c r="A2346">
        <v>390</v>
      </c>
      <c r="B2346">
        <f t="shared" ca="1" si="36"/>
        <v>149</v>
      </c>
      <c r="C2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6" t="str">
        <f ca="1">IF(dict_zuord_Meth_Transfers[[#This Row],[kval_active]],dict_zuord_Meth_Transfers[[#This Row],[ID_Transfers]],"")</f>
        <v/>
      </c>
    </row>
    <row r="2347" spans="1:4" x14ac:dyDescent="0.45">
      <c r="A2347">
        <v>390</v>
      </c>
      <c r="B2347" s="3">
        <f t="shared" ca="1" si="36"/>
        <v>85</v>
      </c>
      <c r="C2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47" t="str">
        <f ca="1">IF(dict_zuord_Meth_Transfers[[#This Row],[kval_active]],dict_zuord_Meth_Transfers[[#This Row],[ID_Transfers]],"")</f>
        <v/>
      </c>
    </row>
    <row r="2348" spans="1:4" x14ac:dyDescent="0.45">
      <c r="A2348">
        <v>391</v>
      </c>
      <c r="B2348" s="3">
        <f t="shared" ca="1" si="36"/>
        <v>56</v>
      </c>
      <c r="C2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8">
        <f ca="1">IF(dict_zuord_Meth_Transfers[[#This Row],[kval_active]],dict_zuord_Meth_Transfers[[#This Row],[ID_Transfers]],"")</f>
        <v>56</v>
      </c>
    </row>
    <row r="2349" spans="1:4" x14ac:dyDescent="0.45">
      <c r="A2349">
        <v>391</v>
      </c>
      <c r="B2349">
        <f t="shared" ca="1" si="36"/>
        <v>74</v>
      </c>
      <c r="C2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49">
        <f ca="1">IF(dict_zuord_Meth_Transfers[[#This Row],[kval_active]],dict_zuord_Meth_Transfers[[#This Row],[ID_Transfers]],"")</f>
        <v>74</v>
      </c>
    </row>
    <row r="2350" spans="1:4" x14ac:dyDescent="0.45">
      <c r="A2350">
        <v>391</v>
      </c>
      <c r="B2350">
        <f t="shared" ca="1" si="36"/>
        <v>169</v>
      </c>
      <c r="C2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0">
        <f ca="1">IF(dict_zuord_Meth_Transfers[[#This Row],[kval_active]],dict_zuord_Meth_Transfers[[#This Row],[ID_Transfers]],"")</f>
        <v>169</v>
      </c>
    </row>
    <row r="2351" spans="1:4" x14ac:dyDescent="0.45">
      <c r="A2351">
        <v>391</v>
      </c>
      <c r="B2351" s="3">
        <f t="shared" ca="1" si="36"/>
        <v>77</v>
      </c>
      <c r="C2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1">
        <f ca="1">IF(dict_zuord_Meth_Transfers[[#This Row],[kval_active]],dict_zuord_Meth_Transfers[[#This Row],[ID_Transfers]],"")</f>
        <v>77</v>
      </c>
    </row>
    <row r="2352" spans="1:4" x14ac:dyDescent="0.45">
      <c r="A2352">
        <v>391</v>
      </c>
      <c r="B2352" s="3">
        <f t="shared" ca="1" si="36"/>
        <v>129</v>
      </c>
      <c r="C2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2">
        <f ca="1">IF(dict_zuord_Meth_Transfers[[#This Row],[kval_active]],dict_zuord_Meth_Transfers[[#This Row],[ID_Transfers]],"")</f>
        <v>129</v>
      </c>
    </row>
    <row r="2353" spans="1:4" x14ac:dyDescent="0.45">
      <c r="A2353">
        <v>391</v>
      </c>
      <c r="B2353">
        <f t="shared" ca="1" si="36"/>
        <v>120</v>
      </c>
      <c r="C2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353">
        <f ca="1">IF(dict_zuord_Meth_Transfers[[#This Row],[kval_active]],dict_zuord_Meth_Transfers[[#This Row],[ID_Transfers]],"")</f>
        <v>120</v>
      </c>
    </row>
    <row r="2354" spans="1:4" x14ac:dyDescent="0.45">
      <c r="A2354">
        <v>392</v>
      </c>
      <c r="B2354" s="3">
        <f t="shared" ca="1" si="36"/>
        <v>79</v>
      </c>
      <c r="C2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4" t="str">
        <f ca="1">IF(dict_zuord_Meth_Transfers[[#This Row],[kval_active]],dict_zuord_Meth_Transfers[[#This Row],[ID_Transfers]],"")</f>
        <v/>
      </c>
    </row>
    <row r="2355" spans="1:4" x14ac:dyDescent="0.45">
      <c r="A2355">
        <v>392</v>
      </c>
      <c r="B2355">
        <f t="shared" ca="1" si="36"/>
        <v>78</v>
      </c>
      <c r="C2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5" t="str">
        <f ca="1">IF(dict_zuord_Meth_Transfers[[#This Row],[kval_active]],dict_zuord_Meth_Transfers[[#This Row],[ID_Transfers]],"")</f>
        <v/>
      </c>
    </row>
    <row r="2356" spans="1:4" x14ac:dyDescent="0.45">
      <c r="A2356">
        <v>392</v>
      </c>
      <c r="B2356">
        <f t="shared" ca="1" si="36"/>
        <v>61</v>
      </c>
      <c r="C2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6" t="str">
        <f ca="1">IF(dict_zuord_Meth_Transfers[[#This Row],[kval_active]],dict_zuord_Meth_Transfers[[#This Row],[ID_Transfers]],"")</f>
        <v/>
      </c>
    </row>
    <row r="2357" spans="1:4" x14ac:dyDescent="0.45">
      <c r="A2357">
        <v>392</v>
      </c>
      <c r="B2357">
        <f t="shared" ca="1" si="36"/>
        <v>80</v>
      </c>
      <c r="C2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7" t="str">
        <f ca="1">IF(dict_zuord_Meth_Transfers[[#This Row],[kval_active]],dict_zuord_Meth_Transfers[[#This Row],[ID_Transfers]],"")</f>
        <v/>
      </c>
    </row>
    <row r="2358" spans="1:4" x14ac:dyDescent="0.45">
      <c r="A2358">
        <v>392</v>
      </c>
      <c r="B2358" s="3">
        <f t="shared" ca="1" si="36"/>
        <v>125</v>
      </c>
      <c r="C2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8" t="str">
        <f ca="1">IF(dict_zuord_Meth_Transfers[[#This Row],[kval_active]],dict_zuord_Meth_Transfers[[#This Row],[ID_Transfers]],"")</f>
        <v/>
      </c>
    </row>
    <row r="2359" spans="1:4" x14ac:dyDescent="0.45">
      <c r="A2359">
        <v>392</v>
      </c>
      <c r="B2359" s="3">
        <f t="shared" ca="1" si="36"/>
        <v>54</v>
      </c>
      <c r="C2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59" t="str">
        <f ca="1">IF(dict_zuord_Meth_Transfers[[#This Row],[kval_active]],dict_zuord_Meth_Transfers[[#This Row],[ID_Transfers]],"")</f>
        <v/>
      </c>
    </row>
    <row r="2360" spans="1:4" x14ac:dyDescent="0.45">
      <c r="A2360">
        <v>393</v>
      </c>
      <c r="B2360" s="3">
        <f t="shared" ca="1" si="36"/>
        <v>52</v>
      </c>
      <c r="C2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0" t="str">
        <f ca="1">IF(dict_zuord_Meth_Transfers[[#This Row],[kval_active]],dict_zuord_Meth_Transfers[[#This Row],[ID_Transfers]],"")</f>
        <v/>
      </c>
    </row>
    <row r="2361" spans="1:4" x14ac:dyDescent="0.45">
      <c r="A2361">
        <v>393</v>
      </c>
      <c r="B2361">
        <f t="shared" ca="1" si="36"/>
        <v>135</v>
      </c>
      <c r="C2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1" t="str">
        <f ca="1">IF(dict_zuord_Meth_Transfers[[#This Row],[kval_active]],dict_zuord_Meth_Transfers[[#This Row],[ID_Transfers]],"")</f>
        <v/>
      </c>
    </row>
    <row r="2362" spans="1:4" x14ac:dyDescent="0.45">
      <c r="A2362">
        <v>393</v>
      </c>
      <c r="B2362" s="3">
        <f t="shared" ca="1" si="36"/>
        <v>28</v>
      </c>
      <c r="C2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2" t="str">
        <f ca="1">IF(dict_zuord_Meth_Transfers[[#This Row],[kval_active]],dict_zuord_Meth_Transfers[[#This Row],[ID_Transfers]],"")</f>
        <v/>
      </c>
    </row>
    <row r="2363" spans="1:4" x14ac:dyDescent="0.45">
      <c r="A2363">
        <v>393</v>
      </c>
      <c r="B2363">
        <f t="shared" ca="1" si="36"/>
        <v>42</v>
      </c>
      <c r="C2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3" t="str">
        <f ca="1">IF(dict_zuord_Meth_Transfers[[#This Row],[kval_active]],dict_zuord_Meth_Transfers[[#This Row],[ID_Transfers]],"")</f>
        <v/>
      </c>
    </row>
    <row r="2364" spans="1:4" x14ac:dyDescent="0.45">
      <c r="A2364">
        <v>393</v>
      </c>
      <c r="B2364">
        <f t="shared" ca="1" si="36"/>
        <v>173</v>
      </c>
      <c r="C2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4" t="str">
        <f ca="1">IF(dict_zuord_Meth_Transfers[[#This Row],[kval_active]],dict_zuord_Meth_Transfers[[#This Row],[ID_Transfers]],"")</f>
        <v/>
      </c>
    </row>
    <row r="2365" spans="1:4" x14ac:dyDescent="0.45">
      <c r="A2365">
        <v>393</v>
      </c>
      <c r="B2365" s="3">
        <f t="shared" ca="1" si="36"/>
        <v>58</v>
      </c>
      <c r="C2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5" t="str">
        <f ca="1">IF(dict_zuord_Meth_Transfers[[#This Row],[kval_active]],dict_zuord_Meth_Transfers[[#This Row],[ID_Transfers]],"")</f>
        <v/>
      </c>
    </row>
    <row r="2366" spans="1:4" x14ac:dyDescent="0.45">
      <c r="A2366">
        <v>394</v>
      </c>
      <c r="B2366" s="3">
        <f t="shared" ca="1" si="36"/>
        <v>8</v>
      </c>
      <c r="C2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6" t="str">
        <f ca="1">IF(dict_zuord_Meth_Transfers[[#This Row],[kval_active]],dict_zuord_Meth_Transfers[[#This Row],[ID_Transfers]],"")</f>
        <v/>
      </c>
    </row>
    <row r="2367" spans="1:4" x14ac:dyDescent="0.45">
      <c r="A2367">
        <v>394</v>
      </c>
      <c r="B2367" s="3">
        <f t="shared" ca="1" si="36"/>
        <v>166</v>
      </c>
      <c r="C2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7" t="str">
        <f ca="1">IF(dict_zuord_Meth_Transfers[[#This Row],[kval_active]],dict_zuord_Meth_Transfers[[#This Row],[ID_Transfers]],"")</f>
        <v/>
      </c>
    </row>
    <row r="2368" spans="1:4" x14ac:dyDescent="0.45">
      <c r="A2368">
        <v>394</v>
      </c>
      <c r="B2368">
        <f t="shared" ca="1" si="36"/>
        <v>95</v>
      </c>
      <c r="C2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8" t="str">
        <f ca="1">IF(dict_zuord_Meth_Transfers[[#This Row],[kval_active]],dict_zuord_Meth_Transfers[[#This Row],[ID_Transfers]],"")</f>
        <v/>
      </c>
    </row>
    <row r="2369" spans="1:4" x14ac:dyDescent="0.45">
      <c r="A2369">
        <v>394</v>
      </c>
      <c r="B2369" s="3">
        <f t="shared" ca="1" si="36"/>
        <v>160</v>
      </c>
      <c r="C2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69" t="str">
        <f ca="1">IF(dict_zuord_Meth_Transfers[[#This Row],[kval_active]],dict_zuord_Meth_Transfers[[#This Row],[ID_Transfers]],"")</f>
        <v/>
      </c>
    </row>
    <row r="2370" spans="1:4" x14ac:dyDescent="0.45">
      <c r="A2370">
        <v>394</v>
      </c>
      <c r="B2370">
        <f t="shared" ref="B2370:B2433" ca="1" si="37">RANDBETWEEN(0,200)</f>
        <v>71</v>
      </c>
      <c r="C2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0" t="str">
        <f ca="1">IF(dict_zuord_Meth_Transfers[[#This Row],[kval_active]],dict_zuord_Meth_Transfers[[#This Row],[ID_Transfers]],"")</f>
        <v/>
      </c>
    </row>
    <row r="2371" spans="1:4" x14ac:dyDescent="0.45">
      <c r="A2371">
        <v>394</v>
      </c>
      <c r="B2371">
        <f t="shared" ca="1" si="37"/>
        <v>199</v>
      </c>
      <c r="C2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1" t="str">
        <f ca="1">IF(dict_zuord_Meth_Transfers[[#This Row],[kval_active]],dict_zuord_Meth_Transfers[[#This Row],[ID_Transfers]],"")</f>
        <v/>
      </c>
    </row>
    <row r="2372" spans="1:4" x14ac:dyDescent="0.45">
      <c r="A2372">
        <v>395</v>
      </c>
      <c r="B2372">
        <f t="shared" ca="1" si="37"/>
        <v>139</v>
      </c>
      <c r="C2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2" t="str">
        <f ca="1">IF(dict_zuord_Meth_Transfers[[#This Row],[kval_active]],dict_zuord_Meth_Transfers[[#This Row],[ID_Transfers]],"")</f>
        <v/>
      </c>
    </row>
    <row r="2373" spans="1:4" x14ac:dyDescent="0.45">
      <c r="A2373">
        <v>395</v>
      </c>
      <c r="B2373" s="3">
        <f t="shared" ca="1" si="37"/>
        <v>72</v>
      </c>
      <c r="C2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3" t="str">
        <f ca="1">IF(dict_zuord_Meth_Transfers[[#This Row],[kval_active]],dict_zuord_Meth_Transfers[[#This Row],[ID_Transfers]],"")</f>
        <v/>
      </c>
    </row>
    <row r="2374" spans="1:4" x14ac:dyDescent="0.45">
      <c r="A2374">
        <v>395</v>
      </c>
      <c r="B2374">
        <f t="shared" ca="1" si="37"/>
        <v>62</v>
      </c>
      <c r="C2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4" t="str">
        <f ca="1">IF(dict_zuord_Meth_Transfers[[#This Row],[kval_active]],dict_zuord_Meth_Transfers[[#This Row],[ID_Transfers]],"")</f>
        <v/>
      </c>
    </row>
    <row r="2375" spans="1:4" x14ac:dyDescent="0.45">
      <c r="A2375">
        <v>395</v>
      </c>
      <c r="B2375">
        <f t="shared" ca="1" si="37"/>
        <v>46</v>
      </c>
      <c r="C2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5" t="str">
        <f ca="1">IF(dict_zuord_Meth_Transfers[[#This Row],[kval_active]],dict_zuord_Meth_Transfers[[#This Row],[ID_Transfers]],"")</f>
        <v/>
      </c>
    </row>
    <row r="2376" spans="1:4" x14ac:dyDescent="0.45">
      <c r="A2376">
        <v>395</v>
      </c>
      <c r="B2376" s="3">
        <f t="shared" ca="1" si="37"/>
        <v>30</v>
      </c>
      <c r="C2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6" t="str">
        <f ca="1">IF(dict_zuord_Meth_Transfers[[#This Row],[kval_active]],dict_zuord_Meth_Transfers[[#This Row],[ID_Transfers]],"")</f>
        <v/>
      </c>
    </row>
    <row r="2377" spans="1:4" x14ac:dyDescent="0.45">
      <c r="A2377">
        <v>395</v>
      </c>
      <c r="B2377" s="3">
        <f t="shared" ca="1" si="37"/>
        <v>197</v>
      </c>
      <c r="C2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7" t="str">
        <f ca="1">IF(dict_zuord_Meth_Transfers[[#This Row],[kval_active]],dict_zuord_Meth_Transfers[[#This Row],[ID_Transfers]],"")</f>
        <v/>
      </c>
    </row>
    <row r="2378" spans="1:4" x14ac:dyDescent="0.45">
      <c r="A2378">
        <v>396</v>
      </c>
      <c r="B2378">
        <f t="shared" ca="1" si="37"/>
        <v>3</v>
      </c>
      <c r="C2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8" t="str">
        <f ca="1">IF(dict_zuord_Meth_Transfers[[#This Row],[kval_active]],dict_zuord_Meth_Transfers[[#This Row],[ID_Transfers]],"")</f>
        <v/>
      </c>
    </row>
    <row r="2379" spans="1:4" x14ac:dyDescent="0.45">
      <c r="A2379">
        <v>396</v>
      </c>
      <c r="B2379" s="3">
        <f t="shared" ca="1" si="37"/>
        <v>23</v>
      </c>
      <c r="C2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79" t="str">
        <f ca="1">IF(dict_zuord_Meth_Transfers[[#This Row],[kval_active]],dict_zuord_Meth_Transfers[[#This Row],[ID_Transfers]],"")</f>
        <v/>
      </c>
    </row>
    <row r="2380" spans="1:4" x14ac:dyDescent="0.45">
      <c r="A2380">
        <v>396</v>
      </c>
      <c r="B2380" s="3">
        <f t="shared" ca="1" si="37"/>
        <v>61</v>
      </c>
      <c r="C2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0" t="str">
        <f ca="1">IF(dict_zuord_Meth_Transfers[[#This Row],[kval_active]],dict_zuord_Meth_Transfers[[#This Row],[ID_Transfers]],"")</f>
        <v/>
      </c>
    </row>
    <row r="2381" spans="1:4" x14ac:dyDescent="0.45">
      <c r="A2381">
        <v>396</v>
      </c>
      <c r="B2381">
        <f t="shared" ca="1" si="37"/>
        <v>148</v>
      </c>
      <c r="C2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1" t="str">
        <f ca="1">IF(dict_zuord_Meth_Transfers[[#This Row],[kval_active]],dict_zuord_Meth_Transfers[[#This Row],[ID_Transfers]],"")</f>
        <v/>
      </c>
    </row>
    <row r="2382" spans="1:4" x14ac:dyDescent="0.45">
      <c r="A2382">
        <v>396</v>
      </c>
      <c r="B2382">
        <f t="shared" ca="1" si="37"/>
        <v>123</v>
      </c>
      <c r="C2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2" t="str">
        <f ca="1">IF(dict_zuord_Meth_Transfers[[#This Row],[kval_active]],dict_zuord_Meth_Transfers[[#This Row],[ID_Transfers]],"")</f>
        <v/>
      </c>
    </row>
    <row r="2383" spans="1:4" x14ac:dyDescent="0.45">
      <c r="A2383">
        <v>396</v>
      </c>
      <c r="B2383" s="3">
        <f t="shared" ca="1" si="37"/>
        <v>148</v>
      </c>
      <c r="C2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3" t="str">
        <f ca="1">IF(dict_zuord_Meth_Transfers[[#This Row],[kval_active]],dict_zuord_Meth_Transfers[[#This Row],[ID_Transfers]],"")</f>
        <v/>
      </c>
    </row>
    <row r="2384" spans="1:4" x14ac:dyDescent="0.45">
      <c r="A2384">
        <v>397</v>
      </c>
      <c r="B2384">
        <f t="shared" ca="1" si="37"/>
        <v>183</v>
      </c>
      <c r="C2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4" t="str">
        <f ca="1">IF(dict_zuord_Meth_Transfers[[#This Row],[kval_active]],dict_zuord_Meth_Transfers[[#This Row],[ID_Transfers]],"")</f>
        <v/>
      </c>
    </row>
    <row r="2385" spans="1:4" x14ac:dyDescent="0.45">
      <c r="A2385">
        <v>397</v>
      </c>
      <c r="B2385" s="3">
        <f t="shared" ca="1" si="37"/>
        <v>111</v>
      </c>
      <c r="C2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5" t="str">
        <f ca="1">IF(dict_zuord_Meth_Transfers[[#This Row],[kval_active]],dict_zuord_Meth_Transfers[[#This Row],[ID_Transfers]],"")</f>
        <v/>
      </c>
    </row>
    <row r="2386" spans="1:4" x14ac:dyDescent="0.45">
      <c r="A2386">
        <v>397</v>
      </c>
      <c r="B2386" s="3">
        <f t="shared" ca="1" si="37"/>
        <v>17</v>
      </c>
      <c r="C2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6" t="str">
        <f ca="1">IF(dict_zuord_Meth_Transfers[[#This Row],[kval_active]],dict_zuord_Meth_Transfers[[#This Row],[ID_Transfers]],"")</f>
        <v/>
      </c>
    </row>
    <row r="2387" spans="1:4" x14ac:dyDescent="0.45">
      <c r="A2387">
        <v>397</v>
      </c>
      <c r="B2387">
        <f t="shared" ca="1" si="37"/>
        <v>182</v>
      </c>
      <c r="C2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7" t="str">
        <f ca="1">IF(dict_zuord_Meth_Transfers[[#This Row],[kval_active]],dict_zuord_Meth_Transfers[[#This Row],[ID_Transfers]],"")</f>
        <v/>
      </c>
    </row>
    <row r="2388" spans="1:4" x14ac:dyDescent="0.45">
      <c r="A2388">
        <v>397</v>
      </c>
      <c r="B2388" s="3">
        <f t="shared" ca="1" si="37"/>
        <v>120</v>
      </c>
      <c r="C2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8" t="str">
        <f ca="1">IF(dict_zuord_Meth_Transfers[[#This Row],[kval_active]],dict_zuord_Meth_Transfers[[#This Row],[ID_Transfers]],"")</f>
        <v/>
      </c>
    </row>
    <row r="2389" spans="1:4" x14ac:dyDescent="0.45">
      <c r="A2389">
        <v>397</v>
      </c>
      <c r="B2389">
        <f t="shared" ca="1" si="37"/>
        <v>160</v>
      </c>
      <c r="C2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89" t="str">
        <f ca="1">IF(dict_zuord_Meth_Transfers[[#This Row],[kval_active]],dict_zuord_Meth_Transfers[[#This Row],[ID_Transfers]],"")</f>
        <v/>
      </c>
    </row>
    <row r="2390" spans="1:4" x14ac:dyDescent="0.45">
      <c r="A2390">
        <v>398</v>
      </c>
      <c r="B2390">
        <f t="shared" ca="1" si="37"/>
        <v>95</v>
      </c>
      <c r="C2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0" t="str">
        <f ca="1">IF(dict_zuord_Meth_Transfers[[#This Row],[kval_active]],dict_zuord_Meth_Transfers[[#This Row],[ID_Transfers]],"")</f>
        <v/>
      </c>
    </row>
    <row r="2391" spans="1:4" x14ac:dyDescent="0.45">
      <c r="A2391">
        <v>398</v>
      </c>
      <c r="B2391" s="3">
        <f t="shared" ca="1" si="37"/>
        <v>115</v>
      </c>
      <c r="C2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1" t="str">
        <f ca="1">IF(dict_zuord_Meth_Transfers[[#This Row],[kval_active]],dict_zuord_Meth_Transfers[[#This Row],[ID_Transfers]],"")</f>
        <v/>
      </c>
    </row>
    <row r="2392" spans="1:4" x14ac:dyDescent="0.45">
      <c r="A2392">
        <v>398</v>
      </c>
      <c r="B2392" s="3">
        <f t="shared" ca="1" si="37"/>
        <v>12</v>
      </c>
      <c r="C2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2" t="str">
        <f ca="1">IF(dict_zuord_Meth_Transfers[[#This Row],[kval_active]],dict_zuord_Meth_Transfers[[#This Row],[ID_Transfers]],"")</f>
        <v/>
      </c>
    </row>
    <row r="2393" spans="1:4" x14ac:dyDescent="0.45">
      <c r="A2393">
        <v>398</v>
      </c>
      <c r="B2393">
        <f t="shared" ca="1" si="37"/>
        <v>159</v>
      </c>
      <c r="C2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3" t="str">
        <f ca="1">IF(dict_zuord_Meth_Transfers[[#This Row],[kval_active]],dict_zuord_Meth_Transfers[[#This Row],[ID_Transfers]],"")</f>
        <v/>
      </c>
    </row>
    <row r="2394" spans="1:4" x14ac:dyDescent="0.45">
      <c r="A2394">
        <v>398</v>
      </c>
      <c r="B2394" s="3">
        <f t="shared" ca="1" si="37"/>
        <v>100</v>
      </c>
      <c r="C2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4" t="str">
        <f ca="1">IF(dict_zuord_Meth_Transfers[[#This Row],[kval_active]],dict_zuord_Meth_Transfers[[#This Row],[ID_Transfers]],"")</f>
        <v/>
      </c>
    </row>
    <row r="2395" spans="1:4" x14ac:dyDescent="0.45">
      <c r="A2395">
        <v>398</v>
      </c>
      <c r="B2395">
        <f t="shared" ca="1" si="37"/>
        <v>14</v>
      </c>
      <c r="C2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5" t="str">
        <f ca="1">IF(dict_zuord_Meth_Transfers[[#This Row],[kval_active]],dict_zuord_Meth_Transfers[[#This Row],[ID_Transfers]],"")</f>
        <v/>
      </c>
    </row>
    <row r="2396" spans="1:4" x14ac:dyDescent="0.45">
      <c r="A2396">
        <v>399</v>
      </c>
      <c r="B2396" s="3">
        <f t="shared" ca="1" si="37"/>
        <v>112</v>
      </c>
      <c r="C2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6" t="str">
        <f ca="1">IF(dict_zuord_Meth_Transfers[[#This Row],[kval_active]],dict_zuord_Meth_Transfers[[#This Row],[ID_Transfers]],"")</f>
        <v/>
      </c>
    </row>
    <row r="2397" spans="1:4" x14ac:dyDescent="0.45">
      <c r="A2397">
        <v>399</v>
      </c>
      <c r="B2397" s="3">
        <f t="shared" ca="1" si="37"/>
        <v>75</v>
      </c>
      <c r="C2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7" t="str">
        <f ca="1">IF(dict_zuord_Meth_Transfers[[#This Row],[kval_active]],dict_zuord_Meth_Transfers[[#This Row],[ID_Transfers]],"")</f>
        <v/>
      </c>
    </row>
    <row r="2398" spans="1:4" x14ac:dyDescent="0.45">
      <c r="A2398">
        <v>399</v>
      </c>
      <c r="B2398" s="3">
        <f t="shared" ca="1" si="37"/>
        <v>66</v>
      </c>
      <c r="C2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8" t="str">
        <f ca="1">IF(dict_zuord_Meth_Transfers[[#This Row],[kval_active]],dict_zuord_Meth_Transfers[[#This Row],[ID_Transfers]],"")</f>
        <v/>
      </c>
    </row>
    <row r="2399" spans="1:4" x14ac:dyDescent="0.45">
      <c r="A2399">
        <v>399</v>
      </c>
      <c r="B2399">
        <f t="shared" ca="1" si="37"/>
        <v>17</v>
      </c>
      <c r="C2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399" t="str">
        <f ca="1">IF(dict_zuord_Meth_Transfers[[#This Row],[kval_active]],dict_zuord_Meth_Transfers[[#This Row],[ID_Transfers]],"")</f>
        <v/>
      </c>
    </row>
    <row r="2400" spans="1:4" x14ac:dyDescent="0.45">
      <c r="A2400">
        <v>399</v>
      </c>
      <c r="B2400">
        <f t="shared" ca="1" si="37"/>
        <v>33</v>
      </c>
      <c r="C2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0" t="str">
        <f ca="1">IF(dict_zuord_Meth_Transfers[[#This Row],[kval_active]],dict_zuord_Meth_Transfers[[#This Row],[ID_Transfers]],"")</f>
        <v/>
      </c>
    </row>
    <row r="2401" spans="1:4" x14ac:dyDescent="0.45">
      <c r="A2401">
        <v>399</v>
      </c>
      <c r="B2401">
        <f t="shared" ca="1" si="37"/>
        <v>134</v>
      </c>
      <c r="C2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1" t="str">
        <f ca="1">IF(dict_zuord_Meth_Transfers[[#This Row],[kval_active]],dict_zuord_Meth_Transfers[[#This Row],[ID_Transfers]],"")</f>
        <v/>
      </c>
    </row>
    <row r="2402" spans="1:4" x14ac:dyDescent="0.45">
      <c r="A2402">
        <v>400</v>
      </c>
      <c r="B2402" s="3">
        <f t="shared" ca="1" si="37"/>
        <v>164</v>
      </c>
      <c r="C2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2" t="str">
        <f ca="1">IF(dict_zuord_Meth_Transfers[[#This Row],[kval_active]],dict_zuord_Meth_Transfers[[#This Row],[ID_Transfers]],"")</f>
        <v/>
      </c>
    </row>
    <row r="2403" spans="1:4" x14ac:dyDescent="0.45">
      <c r="A2403">
        <v>400</v>
      </c>
      <c r="B2403">
        <f t="shared" ca="1" si="37"/>
        <v>105</v>
      </c>
      <c r="C2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3" t="str">
        <f ca="1">IF(dict_zuord_Meth_Transfers[[#This Row],[kval_active]],dict_zuord_Meth_Transfers[[#This Row],[ID_Transfers]],"")</f>
        <v/>
      </c>
    </row>
    <row r="2404" spans="1:4" x14ac:dyDescent="0.45">
      <c r="A2404">
        <v>400</v>
      </c>
      <c r="B2404" s="3">
        <f t="shared" ca="1" si="37"/>
        <v>157</v>
      </c>
      <c r="C2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4" t="str">
        <f ca="1">IF(dict_zuord_Meth_Transfers[[#This Row],[kval_active]],dict_zuord_Meth_Transfers[[#This Row],[ID_Transfers]],"")</f>
        <v/>
      </c>
    </row>
    <row r="2405" spans="1:4" x14ac:dyDescent="0.45">
      <c r="A2405">
        <v>400</v>
      </c>
      <c r="B2405">
        <f t="shared" ca="1" si="37"/>
        <v>51</v>
      </c>
      <c r="C2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5" t="str">
        <f ca="1">IF(dict_zuord_Meth_Transfers[[#This Row],[kval_active]],dict_zuord_Meth_Transfers[[#This Row],[ID_Transfers]],"")</f>
        <v/>
      </c>
    </row>
    <row r="2406" spans="1:4" x14ac:dyDescent="0.45">
      <c r="A2406">
        <v>400</v>
      </c>
      <c r="B2406" s="3">
        <f t="shared" ca="1" si="37"/>
        <v>180</v>
      </c>
      <c r="C2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6" t="str">
        <f ca="1">IF(dict_zuord_Meth_Transfers[[#This Row],[kval_active]],dict_zuord_Meth_Transfers[[#This Row],[ID_Transfers]],"")</f>
        <v/>
      </c>
    </row>
    <row r="2407" spans="1:4" x14ac:dyDescent="0.45">
      <c r="A2407">
        <v>400</v>
      </c>
      <c r="B2407">
        <f t="shared" ca="1" si="37"/>
        <v>83</v>
      </c>
      <c r="C2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7" t="str">
        <f ca="1">IF(dict_zuord_Meth_Transfers[[#This Row],[kval_active]],dict_zuord_Meth_Transfers[[#This Row],[ID_Transfers]],"")</f>
        <v/>
      </c>
    </row>
    <row r="2408" spans="1:4" x14ac:dyDescent="0.45">
      <c r="A2408">
        <v>401</v>
      </c>
      <c r="B2408">
        <f t="shared" ca="1" si="37"/>
        <v>125</v>
      </c>
      <c r="C2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8" t="str">
        <f ca="1">IF(dict_zuord_Meth_Transfers[[#This Row],[kval_active]],dict_zuord_Meth_Transfers[[#This Row],[ID_Transfers]],"")</f>
        <v/>
      </c>
    </row>
    <row r="2409" spans="1:4" x14ac:dyDescent="0.45">
      <c r="A2409">
        <v>401</v>
      </c>
      <c r="B2409">
        <f t="shared" ca="1" si="37"/>
        <v>154</v>
      </c>
      <c r="C2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09" t="str">
        <f ca="1">IF(dict_zuord_Meth_Transfers[[#This Row],[kval_active]],dict_zuord_Meth_Transfers[[#This Row],[ID_Transfers]],"")</f>
        <v/>
      </c>
    </row>
    <row r="2410" spans="1:4" x14ac:dyDescent="0.45">
      <c r="A2410">
        <v>401</v>
      </c>
      <c r="B2410" s="3">
        <f t="shared" ca="1" si="37"/>
        <v>1</v>
      </c>
      <c r="C2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0" t="str">
        <f ca="1">IF(dict_zuord_Meth_Transfers[[#This Row],[kval_active]],dict_zuord_Meth_Transfers[[#This Row],[ID_Transfers]],"")</f>
        <v/>
      </c>
    </row>
    <row r="2411" spans="1:4" x14ac:dyDescent="0.45">
      <c r="A2411">
        <v>401</v>
      </c>
      <c r="B2411">
        <f t="shared" ca="1" si="37"/>
        <v>57</v>
      </c>
      <c r="C2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1" t="str">
        <f ca="1">IF(dict_zuord_Meth_Transfers[[#This Row],[kval_active]],dict_zuord_Meth_Transfers[[#This Row],[ID_Transfers]],"")</f>
        <v/>
      </c>
    </row>
    <row r="2412" spans="1:4" x14ac:dyDescent="0.45">
      <c r="A2412">
        <v>401</v>
      </c>
      <c r="B2412" s="3">
        <f t="shared" ca="1" si="37"/>
        <v>93</v>
      </c>
      <c r="C2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2" t="str">
        <f ca="1">IF(dict_zuord_Meth_Transfers[[#This Row],[kval_active]],dict_zuord_Meth_Transfers[[#This Row],[ID_Transfers]],"")</f>
        <v/>
      </c>
    </row>
    <row r="2413" spans="1:4" x14ac:dyDescent="0.45">
      <c r="A2413">
        <v>401</v>
      </c>
      <c r="B2413" s="3">
        <f t="shared" ca="1" si="37"/>
        <v>106</v>
      </c>
      <c r="C2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3" t="str">
        <f ca="1">IF(dict_zuord_Meth_Transfers[[#This Row],[kval_active]],dict_zuord_Meth_Transfers[[#This Row],[ID_Transfers]],"")</f>
        <v/>
      </c>
    </row>
    <row r="2414" spans="1:4" x14ac:dyDescent="0.45">
      <c r="A2414">
        <v>402</v>
      </c>
      <c r="B2414" s="3">
        <f t="shared" ca="1" si="37"/>
        <v>102</v>
      </c>
      <c r="C2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4" t="str">
        <f ca="1">IF(dict_zuord_Meth_Transfers[[#This Row],[kval_active]],dict_zuord_Meth_Transfers[[#This Row],[ID_Transfers]],"")</f>
        <v/>
      </c>
    </row>
    <row r="2415" spans="1:4" x14ac:dyDescent="0.45">
      <c r="A2415">
        <v>402</v>
      </c>
      <c r="B2415" s="3">
        <f t="shared" ca="1" si="37"/>
        <v>76</v>
      </c>
      <c r="C2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5" t="str">
        <f ca="1">IF(dict_zuord_Meth_Transfers[[#This Row],[kval_active]],dict_zuord_Meth_Transfers[[#This Row],[ID_Transfers]],"")</f>
        <v/>
      </c>
    </row>
    <row r="2416" spans="1:4" x14ac:dyDescent="0.45">
      <c r="A2416">
        <v>402</v>
      </c>
      <c r="B2416">
        <f t="shared" ca="1" si="37"/>
        <v>88</v>
      </c>
      <c r="C2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6" t="str">
        <f ca="1">IF(dict_zuord_Meth_Transfers[[#This Row],[kval_active]],dict_zuord_Meth_Transfers[[#This Row],[ID_Transfers]],"")</f>
        <v/>
      </c>
    </row>
    <row r="2417" spans="1:4" x14ac:dyDescent="0.45">
      <c r="A2417">
        <v>402</v>
      </c>
      <c r="B2417">
        <f t="shared" ca="1" si="37"/>
        <v>66</v>
      </c>
      <c r="C2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7" t="str">
        <f ca="1">IF(dict_zuord_Meth_Transfers[[#This Row],[kval_active]],dict_zuord_Meth_Transfers[[#This Row],[ID_Transfers]],"")</f>
        <v/>
      </c>
    </row>
    <row r="2418" spans="1:4" x14ac:dyDescent="0.45">
      <c r="A2418">
        <v>402</v>
      </c>
      <c r="B2418">
        <f t="shared" ca="1" si="37"/>
        <v>189</v>
      </c>
      <c r="C2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8" t="str">
        <f ca="1">IF(dict_zuord_Meth_Transfers[[#This Row],[kval_active]],dict_zuord_Meth_Transfers[[#This Row],[ID_Transfers]],"")</f>
        <v/>
      </c>
    </row>
    <row r="2419" spans="1:4" x14ac:dyDescent="0.45">
      <c r="A2419">
        <v>402</v>
      </c>
      <c r="B2419" s="3">
        <f t="shared" ca="1" si="37"/>
        <v>42</v>
      </c>
      <c r="C2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19" t="str">
        <f ca="1">IF(dict_zuord_Meth_Transfers[[#This Row],[kval_active]],dict_zuord_Meth_Transfers[[#This Row],[ID_Transfers]],"")</f>
        <v/>
      </c>
    </row>
    <row r="2420" spans="1:4" x14ac:dyDescent="0.45">
      <c r="A2420">
        <v>403</v>
      </c>
      <c r="B2420" s="3">
        <f t="shared" ca="1" si="37"/>
        <v>68</v>
      </c>
      <c r="C2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0" t="str">
        <f ca="1">IF(dict_zuord_Meth_Transfers[[#This Row],[kval_active]],dict_zuord_Meth_Transfers[[#This Row],[ID_Transfers]],"")</f>
        <v/>
      </c>
    </row>
    <row r="2421" spans="1:4" x14ac:dyDescent="0.45">
      <c r="A2421">
        <v>403</v>
      </c>
      <c r="B2421">
        <f t="shared" ca="1" si="37"/>
        <v>155</v>
      </c>
      <c r="C2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1" t="str">
        <f ca="1">IF(dict_zuord_Meth_Transfers[[#This Row],[kval_active]],dict_zuord_Meth_Transfers[[#This Row],[ID_Transfers]],"")</f>
        <v/>
      </c>
    </row>
    <row r="2422" spans="1:4" x14ac:dyDescent="0.45">
      <c r="A2422">
        <v>403</v>
      </c>
      <c r="B2422">
        <f t="shared" ca="1" si="37"/>
        <v>135</v>
      </c>
      <c r="C2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2" t="str">
        <f ca="1">IF(dict_zuord_Meth_Transfers[[#This Row],[kval_active]],dict_zuord_Meth_Transfers[[#This Row],[ID_Transfers]],"")</f>
        <v/>
      </c>
    </row>
    <row r="2423" spans="1:4" x14ac:dyDescent="0.45">
      <c r="A2423">
        <v>403</v>
      </c>
      <c r="B2423">
        <f t="shared" ca="1" si="37"/>
        <v>75</v>
      </c>
      <c r="C2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3" t="str">
        <f ca="1">IF(dict_zuord_Meth_Transfers[[#This Row],[kval_active]],dict_zuord_Meth_Transfers[[#This Row],[ID_Transfers]],"")</f>
        <v/>
      </c>
    </row>
    <row r="2424" spans="1:4" x14ac:dyDescent="0.45">
      <c r="A2424">
        <v>403</v>
      </c>
      <c r="B2424" s="3">
        <f t="shared" ca="1" si="37"/>
        <v>9</v>
      </c>
      <c r="C2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4" t="str">
        <f ca="1">IF(dict_zuord_Meth_Transfers[[#This Row],[kval_active]],dict_zuord_Meth_Transfers[[#This Row],[ID_Transfers]],"")</f>
        <v/>
      </c>
    </row>
    <row r="2425" spans="1:4" x14ac:dyDescent="0.45">
      <c r="A2425">
        <v>403</v>
      </c>
      <c r="B2425" s="3">
        <f t="shared" ca="1" si="37"/>
        <v>113</v>
      </c>
      <c r="C2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5" t="str">
        <f ca="1">IF(dict_zuord_Meth_Transfers[[#This Row],[kval_active]],dict_zuord_Meth_Transfers[[#This Row],[ID_Transfers]],"")</f>
        <v/>
      </c>
    </row>
    <row r="2426" spans="1:4" x14ac:dyDescent="0.45">
      <c r="A2426">
        <v>404</v>
      </c>
      <c r="B2426">
        <f t="shared" ca="1" si="37"/>
        <v>169</v>
      </c>
      <c r="C2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6" t="str">
        <f ca="1">IF(dict_zuord_Meth_Transfers[[#This Row],[kval_active]],dict_zuord_Meth_Transfers[[#This Row],[ID_Transfers]],"")</f>
        <v/>
      </c>
    </row>
    <row r="2427" spans="1:4" x14ac:dyDescent="0.45">
      <c r="A2427">
        <v>404</v>
      </c>
      <c r="B2427" s="3">
        <f t="shared" ca="1" si="37"/>
        <v>30</v>
      </c>
      <c r="C2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7" t="str">
        <f ca="1">IF(dict_zuord_Meth_Transfers[[#This Row],[kval_active]],dict_zuord_Meth_Transfers[[#This Row],[ID_Transfers]],"")</f>
        <v/>
      </c>
    </row>
    <row r="2428" spans="1:4" x14ac:dyDescent="0.45">
      <c r="A2428">
        <v>404</v>
      </c>
      <c r="B2428" s="3">
        <f t="shared" ca="1" si="37"/>
        <v>161</v>
      </c>
      <c r="C2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8" t="str">
        <f ca="1">IF(dict_zuord_Meth_Transfers[[#This Row],[kval_active]],dict_zuord_Meth_Transfers[[#This Row],[ID_Transfers]],"")</f>
        <v/>
      </c>
    </row>
    <row r="2429" spans="1:4" x14ac:dyDescent="0.45">
      <c r="A2429">
        <v>404</v>
      </c>
      <c r="B2429">
        <f t="shared" ca="1" si="37"/>
        <v>141</v>
      </c>
      <c r="C2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29" t="str">
        <f ca="1">IF(dict_zuord_Meth_Transfers[[#This Row],[kval_active]],dict_zuord_Meth_Transfers[[#This Row],[ID_Transfers]],"")</f>
        <v/>
      </c>
    </row>
    <row r="2430" spans="1:4" x14ac:dyDescent="0.45">
      <c r="A2430">
        <v>404</v>
      </c>
      <c r="B2430" s="3">
        <f t="shared" ca="1" si="37"/>
        <v>130</v>
      </c>
      <c r="C2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0" t="str">
        <f ca="1">IF(dict_zuord_Meth_Transfers[[#This Row],[kval_active]],dict_zuord_Meth_Transfers[[#This Row],[ID_Transfers]],"")</f>
        <v/>
      </c>
    </row>
    <row r="2431" spans="1:4" x14ac:dyDescent="0.45">
      <c r="A2431">
        <v>404</v>
      </c>
      <c r="B2431">
        <f t="shared" ca="1" si="37"/>
        <v>13</v>
      </c>
      <c r="C2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1" t="str">
        <f ca="1">IF(dict_zuord_Meth_Transfers[[#This Row],[kval_active]],dict_zuord_Meth_Transfers[[#This Row],[ID_Transfers]],"")</f>
        <v/>
      </c>
    </row>
    <row r="2432" spans="1:4" x14ac:dyDescent="0.45">
      <c r="A2432">
        <v>405</v>
      </c>
      <c r="B2432" s="3">
        <f t="shared" ca="1" si="37"/>
        <v>62</v>
      </c>
      <c r="C2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2" t="str">
        <f ca="1">IF(dict_zuord_Meth_Transfers[[#This Row],[kval_active]],dict_zuord_Meth_Transfers[[#This Row],[ID_Transfers]],"")</f>
        <v/>
      </c>
    </row>
    <row r="2433" spans="1:4" x14ac:dyDescent="0.45">
      <c r="A2433">
        <v>405</v>
      </c>
      <c r="B2433">
        <f t="shared" ca="1" si="37"/>
        <v>191</v>
      </c>
      <c r="C2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3" t="str">
        <f ca="1">IF(dict_zuord_Meth_Transfers[[#This Row],[kval_active]],dict_zuord_Meth_Transfers[[#This Row],[ID_Transfers]],"")</f>
        <v/>
      </c>
    </row>
    <row r="2434" spans="1:4" x14ac:dyDescent="0.45">
      <c r="A2434">
        <v>405</v>
      </c>
      <c r="B2434">
        <f t="shared" ref="B2434:B2497" ca="1" si="38">RANDBETWEEN(0,200)</f>
        <v>126</v>
      </c>
      <c r="C2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4" t="str">
        <f ca="1">IF(dict_zuord_Meth_Transfers[[#This Row],[kval_active]],dict_zuord_Meth_Transfers[[#This Row],[ID_Transfers]],"")</f>
        <v/>
      </c>
    </row>
    <row r="2435" spans="1:4" x14ac:dyDescent="0.45">
      <c r="A2435">
        <v>405</v>
      </c>
      <c r="B2435" s="3">
        <f t="shared" ca="1" si="38"/>
        <v>139</v>
      </c>
      <c r="C2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5" t="str">
        <f ca="1">IF(dict_zuord_Meth_Transfers[[#This Row],[kval_active]],dict_zuord_Meth_Transfers[[#This Row],[ID_Transfers]],"")</f>
        <v/>
      </c>
    </row>
    <row r="2436" spans="1:4" x14ac:dyDescent="0.45">
      <c r="A2436">
        <v>405</v>
      </c>
      <c r="B2436">
        <f t="shared" ca="1" si="38"/>
        <v>145</v>
      </c>
      <c r="C2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6" t="str">
        <f ca="1">IF(dict_zuord_Meth_Transfers[[#This Row],[kval_active]],dict_zuord_Meth_Transfers[[#This Row],[ID_Transfers]],"")</f>
        <v/>
      </c>
    </row>
    <row r="2437" spans="1:4" x14ac:dyDescent="0.45">
      <c r="A2437">
        <v>405</v>
      </c>
      <c r="B2437" s="3">
        <f t="shared" ca="1" si="38"/>
        <v>103</v>
      </c>
      <c r="C2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7" t="str">
        <f ca="1">IF(dict_zuord_Meth_Transfers[[#This Row],[kval_active]],dict_zuord_Meth_Transfers[[#This Row],[ID_Transfers]],"")</f>
        <v/>
      </c>
    </row>
    <row r="2438" spans="1:4" x14ac:dyDescent="0.45">
      <c r="A2438">
        <v>406</v>
      </c>
      <c r="B2438">
        <f t="shared" ca="1" si="38"/>
        <v>166</v>
      </c>
      <c r="C2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8" t="str">
        <f ca="1">IF(dict_zuord_Meth_Transfers[[#This Row],[kval_active]],dict_zuord_Meth_Transfers[[#This Row],[ID_Transfers]],"")</f>
        <v/>
      </c>
    </row>
    <row r="2439" spans="1:4" x14ac:dyDescent="0.45">
      <c r="A2439">
        <v>406</v>
      </c>
      <c r="B2439">
        <f t="shared" ca="1" si="38"/>
        <v>70</v>
      </c>
      <c r="C2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39" t="str">
        <f ca="1">IF(dict_zuord_Meth_Transfers[[#This Row],[kval_active]],dict_zuord_Meth_Transfers[[#This Row],[ID_Transfers]],"")</f>
        <v/>
      </c>
    </row>
    <row r="2440" spans="1:4" x14ac:dyDescent="0.45">
      <c r="A2440">
        <v>406</v>
      </c>
      <c r="B2440">
        <f t="shared" ca="1" si="38"/>
        <v>91</v>
      </c>
      <c r="C2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0" t="str">
        <f ca="1">IF(dict_zuord_Meth_Transfers[[#This Row],[kval_active]],dict_zuord_Meth_Transfers[[#This Row],[ID_Transfers]],"")</f>
        <v/>
      </c>
    </row>
    <row r="2441" spans="1:4" x14ac:dyDescent="0.45">
      <c r="A2441">
        <v>406</v>
      </c>
      <c r="B2441" s="3">
        <f t="shared" ca="1" si="38"/>
        <v>68</v>
      </c>
      <c r="C2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1" t="str">
        <f ca="1">IF(dict_zuord_Meth_Transfers[[#This Row],[kval_active]],dict_zuord_Meth_Transfers[[#This Row],[ID_Transfers]],"")</f>
        <v/>
      </c>
    </row>
    <row r="2442" spans="1:4" x14ac:dyDescent="0.45">
      <c r="A2442">
        <v>406</v>
      </c>
      <c r="B2442" s="3">
        <f t="shared" ca="1" si="38"/>
        <v>32</v>
      </c>
      <c r="C2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2" t="str">
        <f ca="1">IF(dict_zuord_Meth_Transfers[[#This Row],[kval_active]],dict_zuord_Meth_Transfers[[#This Row],[ID_Transfers]],"")</f>
        <v/>
      </c>
    </row>
    <row r="2443" spans="1:4" x14ac:dyDescent="0.45">
      <c r="A2443">
        <v>406</v>
      </c>
      <c r="B2443" s="3">
        <f t="shared" ca="1" si="38"/>
        <v>113</v>
      </c>
      <c r="C2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3" t="str">
        <f ca="1">IF(dict_zuord_Meth_Transfers[[#This Row],[kval_active]],dict_zuord_Meth_Transfers[[#This Row],[ID_Transfers]],"")</f>
        <v/>
      </c>
    </row>
    <row r="2444" spans="1:4" x14ac:dyDescent="0.45">
      <c r="A2444">
        <v>407</v>
      </c>
      <c r="B2444">
        <f t="shared" ca="1" si="38"/>
        <v>5</v>
      </c>
      <c r="C2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4" t="str">
        <f ca="1">IF(dict_zuord_Meth_Transfers[[#This Row],[kval_active]],dict_zuord_Meth_Transfers[[#This Row],[ID_Transfers]],"")</f>
        <v/>
      </c>
    </row>
    <row r="2445" spans="1:4" x14ac:dyDescent="0.45">
      <c r="A2445">
        <v>407</v>
      </c>
      <c r="B2445" s="3">
        <f t="shared" ca="1" si="38"/>
        <v>170</v>
      </c>
      <c r="C2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5" t="str">
        <f ca="1">IF(dict_zuord_Meth_Transfers[[#This Row],[kval_active]],dict_zuord_Meth_Transfers[[#This Row],[ID_Transfers]],"")</f>
        <v/>
      </c>
    </row>
    <row r="2446" spans="1:4" x14ac:dyDescent="0.45">
      <c r="A2446">
        <v>407</v>
      </c>
      <c r="B2446" s="3">
        <f t="shared" ca="1" si="38"/>
        <v>189</v>
      </c>
      <c r="C2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6" t="str">
        <f ca="1">IF(dict_zuord_Meth_Transfers[[#This Row],[kval_active]],dict_zuord_Meth_Transfers[[#This Row],[ID_Transfers]],"")</f>
        <v/>
      </c>
    </row>
    <row r="2447" spans="1:4" x14ac:dyDescent="0.45">
      <c r="A2447">
        <v>407</v>
      </c>
      <c r="B2447" s="3">
        <f t="shared" ca="1" si="38"/>
        <v>112</v>
      </c>
      <c r="C2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7" t="str">
        <f ca="1">IF(dict_zuord_Meth_Transfers[[#This Row],[kval_active]],dict_zuord_Meth_Transfers[[#This Row],[ID_Transfers]],"")</f>
        <v/>
      </c>
    </row>
    <row r="2448" spans="1:4" x14ac:dyDescent="0.45">
      <c r="A2448">
        <v>407</v>
      </c>
      <c r="B2448">
        <f t="shared" ca="1" si="38"/>
        <v>100</v>
      </c>
      <c r="C2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8" t="str">
        <f ca="1">IF(dict_zuord_Meth_Transfers[[#This Row],[kval_active]],dict_zuord_Meth_Transfers[[#This Row],[ID_Transfers]],"")</f>
        <v/>
      </c>
    </row>
    <row r="2449" spans="1:4" x14ac:dyDescent="0.45">
      <c r="A2449">
        <v>407</v>
      </c>
      <c r="B2449">
        <f t="shared" ca="1" si="38"/>
        <v>181</v>
      </c>
      <c r="C2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49" t="str">
        <f ca="1">IF(dict_zuord_Meth_Transfers[[#This Row],[kval_active]],dict_zuord_Meth_Transfers[[#This Row],[ID_Transfers]],"")</f>
        <v/>
      </c>
    </row>
    <row r="2450" spans="1:4" x14ac:dyDescent="0.45">
      <c r="A2450">
        <v>408</v>
      </c>
      <c r="B2450">
        <f t="shared" ca="1" si="38"/>
        <v>165</v>
      </c>
      <c r="C2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0" t="str">
        <f ca="1">IF(dict_zuord_Meth_Transfers[[#This Row],[kval_active]],dict_zuord_Meth_Transfers[[#This Row],[ID_Transfers]],"")</f>
        <v/>
      </c>
    </row>
    <row r="2451" spans="1:4" x14ac:dyDescent="0.45">
      <c r="A2451">
        <v>408</v>
      </c>
      <c r="B2451">
        <f t="shared" ca="1" si="38"/>
        <v>71</v>
      </c>
      <c r="C2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1" t="str">
        <f ca="1">IF(dict_zuord_Meth_Transfers[[#This Row],[kval_active]],dict_zuord_Meth_Transfers[[#This Row],[ID_Transfers]],"")</f>
        <v/>
      </c>
    </row>
    <row r="2452" spans="1:4" x14ac:dyDescent="0.45">
      <c r="A2452">
        <v>408</v>
      </c>
      <c r="B2452">
        <f t="shared" ca="1" si="38"/>
        <v>97</v>
      </c>
      <c r="C2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2" t="str">
        <f ca="1">IF(dict_zuord_Meth_Transfers[[#This Row],[kval_active]],dict_zuord_Meth_Transfers[[#This Row],[ID_Transfers]],"")</f>
        <v/>
      </c>
    </row>
    <row r="2453" spans="1:4" x14ac:dyDescent="0.45">
      <c r="A2453">
        <v>408</v>
      </c>
      <c r="B2453" s="3">
        <f t="shared" ca="1" si="38"/>
        <v>92</v>
      </c>
      <c r="C2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3" t="str">
        <f ca="1">IF(dict_zuord_Meth_Transfers[[#This Row],[kval_active]],dict_zuord_Meth_Transfers[[#This Row],[ID_Transfers]],"")</f>
        <v/>
      </c>
    </row>
    <row r="2454" spans="1:4" x14ac:dyDescent="0.45">
      <c r="A2454">
        <v>408</v>
      </c>
      <c r="B2454" s="3">
        <f t="shared" ca="1" si="38"/>
        <v>44</v>
      </c>
      <c r="C2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4" t="str">
        <f ca="1">IF(dict_zuord_Meth_Transfers[[#This Row],[kval_active]],dict_zuord_Meth_Transfers[[#This Row],[ID_Transfers]],"")</f>
        <v/>
      </c>
    </row>
    <row r="2455" spans="1:4" x14ac:dyDescent="0.45">
      <c r="A2455">
        <v>408</v>
      </c>
      <c r="B2455" s="3">
        <f t="shared" ca="1" si="38"/>
        <v>14</v>
      </c>
      <c r="C2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5" t="str">
        <f ca="1">IF(dict_zuord_Meth_Transfers[[#This Row],[kval_active]],dict_zuord_Meth_Transfers[[#This Row],[ID_Transfers]],"")</f>
        <v/>
      </c>
    </row>
    <row r="2456" spans="1:4" x14ac:dyDescent="0.45">
      <c r="A2456">
        <v>409</v>
      </c>
      <c r="B2456">
        <f t="shared" ca="1" si="38"/>
        <v>144</v>
      </c>
      <c r="C2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6" t="str">
        <f ca="1">IF(dict_zuord_Meth_Transfers[[#This Row],[kval_active]],dict_zuord_Meth_Transfers[[#This Row],[ID_Transfers]],"")</f>
        <v/>
      </c>
    </row>
    <row r="2457" spans="1:4" x14ac:dyDescent="0.45">
      <c r="A2457">
        <v>409</v>
      </c>
      <c r="B2457" s="3">
        <f t="shared" ca="1" si="38"/>
        <v>143</v>
      </c>
      <c r="C2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7" t="str">
        <f ca="1">IF(dict_zuord_Meth_Transfers[[#This Row],[kval_active]],dict_zuord_Meth_Transfers[[#This Row],[ID_Transfers]],"")</f>
        <v/>
      </c>
    </row>
    <row r="2458" spans="1:4" x14ac:dyDescent="0.45">
      <c r="A2458">
        <v>409</v>
      </c>
      <c r="B2458">
        <f t="shared" ca="1" si="38"/>
        <v>68</v>
      </c>
      <c r="C2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8" t="str">
        <f ca="1">IF(dict_zuord_Meth_Transfers[[#This Row],[kval_active]],dict_zuord_Meth_Transfers[[#This Row],[ID_Transfers]],"")</f>
        <v/>
      </c>
    </row>
    <row r="2459" spans="1:4" x14ac:dyDescent="0.45">
      <c r="A2459">
        <v>409</v>
      </c>
      <c r="B2459">
        <f t="shared" ca="1" si="38"/>
        <v>190</v>
      </c>
      <c r="C2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59" t="str">
        <f ca="1">IF(dict_zuord_Meth_Transfers[[#This Row],[kval_active]],dict_zuord_Meth_Transfers[[#This Row],[ID_Transfers]],"")</f>
        <v/>
      </c>
    </row>
    <row r="2460" spans="1:4" x14ac:dyDescent="0.45">
      <c r="A2460">
        <v>409</v>
      </c>
      <c r="B2460" s="3">
        <f t="shared" ca="1" si="38"/>
        <v>160</v>
      </c>
      <c r="C2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0" t="str">
        <f ca="1">IF(dict_zuord_Meth_Transfers[[#This Row],[kval_active]],dict_zuord_Meth_Transfers[[#This Row],[ID_Transfers]],"")</f>
        <v/>
      </c>
    </row>
    <row r="2461" spans="1:4" x14ac:dyDescent="0.45">
      <c r="A2461">
        <v>409</v>
      </c>
      <c r="B2461" s="3">
        <f t="shared" ca="1" si="38"/>
        <v>119</v>
      </c>
      <c r="C2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1" t="str">
        <f ca="1">IF(dict_zuord_Meth_Transfers[[#This Row],[kval_active]],dict_zuord_Meth_Transfers[[#This Row],[ID_Transfers]],"")</f>
        <v/>
      </c>
    </row>
    <row r="2462" spans="1:4" x14ac:dyDescent="0.45">
      <c r="A2462">
        <v>410</v>
      </c>
      <c r="B2462" s="3">
        <f t="shared" ca="1" si="38"/>
        <v>133</v>
      </c>
      <c r="C2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2" t="str">
        <f ca="1">IF(dict_zuord_Meth_Transfers[[#This Row],[kval_active]],dict_zuord_Meth_Transfers[[#This Row],[ID_Transfers]],"")</f>
        <v/>
      </c>
    </row>
    <row r="2463" spans="1:4" x14ac:dyDescent="0.45">
      <c r="A2463">
        <v>410</v>
      </c>
      <c r="B2463">
        <f t="shared" ca="1" si="38"/>
        <v>194</v>
      </c>
      <c r="C2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3" t="str">
        <f ca="1">IF(dict_zuord_Meth_Transfers[[#This Row],[kval_active]],dict_zuord_Meth_Transfers[[#This Row],[ID_Transfers]],"")</f>
        <v/>
      </c>
    </row>
    <row r="2464" spans="1:4" x14ac:dyDescent="0.45">
      <c r="A2464">
        <v>410</v>
      </c>
      <c r="B2464" s="3">
        <f t="shared" ca="1" si="38"/>
        <v>174</v>
      </c>
      <c r="C2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4" t="str">
        <f ca="1">IF(dict_zuord_Meth_Transfers[[#This Row],[kval_active]],dict_zuord_Meth_Transfers[[#This Row],[ID_Transfers]],"")</f>
        <v/>
      </c>
    </row>
    <row r="2465" spans="1:4" x14ac:dyDescent="0.45">
      <c r="A2465">
        <v>410</v>
      </c>
      <c r="B2465">
        <f t="shared" ca="1" si="38"/>
        <v>70</v>
      </c>
      <c r="C2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5" t="str">
        <f ca="1">IF(dict_zuord_Meth_Transfers[[#This Row],[kval_active]],dict_zuord_Meth_Transfers[[#This Row],[ID_Transfers]],"")</f>
        <v/>
      </c>
    </row>
    <row r="2466" spans="1:4" x14ac:dyDescent="0.45">
      <c r="A2466">
        <v>410</v>
      </c>
      <c r="B2466" s="3">
        <f t="shared" ca="1" si="38"/>
        <v>158</v>
      </c>
      <c r="C2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6" t="str">
        <f ca="1">IF(dict_zuord_Meth_Transfers[[#This Row],[kval_active]],dict_zuord_Meth_Transfers[[#This Row],[ID_Transfers]],"")</f>
        <v/>
      </c>
    </row>
    <row r="2467" spans="1:4" x14ac:dyDescent="0.45">
      <c r="A2467">
        <v>410</v>
      </c>
      <c r="B2467">
        <f t="shared" ca="1" si="38"/>
        <v>183</v>
      </c>
      <c r="C2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7" t="str">
        <f ca="1">IF(dict_zuord_Meth_Transfers[[#This Row],[kval_active]],dict_zuord_Meth_Transfers[[#This Row],[ID_Transfers]],"")</f>
        <v/>
      </c>
    </row>
    <row r="2468" spans="1:4" x14ac:dyDescent="0.45">
      <c r="A2468">
        <v>411</v>
      </c>
      <c r="B2468">
        <f t="shared" ca="1" si="38"/>
        <v>44</v>
      </c>
      <c r="C2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8" t="str">
        <f ca="1">IF(dict_zuord_Meth_Transfers[[#This Row],[kval_active]],dict_zuord_Meth_Transfers[[#This Row],[ID_Transfers]],"")</f>
        <v/>
      </c>
    </row>
    <row r="2469" spans="1:4" x14ac:dyDescent="0.45">
      <c r="A2469">
        <v>411</v>
      </c>
      <c r="B2469" s="3">
        <f t="shared" ca="1" si="38"/>
        <v>196</v>
      </c>
      <c r="C2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69" t="str">
        <f ca="1">IF(dict_zuord_Meth_Transfers[[#This Row],[kval_active]],dict_zuord_Meth_Transfers[[#This Row],[ID_Transfers]],"")</f>
        <v/>
      </c>
    </row>
    <row r="2470" spans="1:4" x14ac:dyDescent="0.45">
      <c r="A2470">
        <v>411</v>
      </c>
      <c r="B2470">
        <f t="shared" ca="1" si="38"/>
        <v>49</v>
      </c>
      <c r="C2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0" t="str">
        <f ca="1">IF(dict_zuord_Meth_Transfers[[#This Row],[kval_active]],dict_zuord_Meth_Transfers[[#This Row],[ID_Transfers]],"")</f>
        <v/>
      </c>
    </row>
    <row r="2471" spans="1:4" x14ac:dyDescent="0.45">
      <c r="A2471">
        <v>411</v>
      </c>
      <c r="B2471">
        <f t="shared" ca="1" si="38"/>
        <v>110</v>
      </c>
      <c r="C2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1" t="str">
        <f ca="1">IF(dict_zuord_Meth_Transfers[[#This Row],[kval_active]],dict_zuord_Meth_Transfers[[#This Row],[ID_Transfers]],"")</f>
        <v/>
      </c>
    </row>
    <row r="2472" spans="1:4" x14ac:dyDescent="0.45">
      <c r="A2472">
        <v>411</v>
      </c>
      <c r="B2472" s="3">
        <f t="shared" ca="1" si="38"/>
        <v>187</v>
      </c>
      <c r="C2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2" t="str">
        <f ca="1">IF(dict_zuord_Meth_Transfers[[#This Row],[kval_active]],dict_zuord_Meth_Transfers[[#This Row],[ID_Transfers]],"")</f>
        <v/>
      </c>
    </row>
    <row r="2473" spans="1:4" x14ac:dyDescent="0.45">
      <c r="A2473">
        <v>411</v>
      </c>
      <c r="B2473" s="3">
        <f t="shared" ca="1" si="38"/>
        <v>38</v>
      </c>
      <c r="C2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3" t="str">
        <f ca="1">IF(dict_zuord_Meth_Transfers[[#This Row],[kval_active]],dict_zuord_Meth_Transfers[[#This Row],[ID_Transfers]],"")</f>
        <v/>
      </c>
    </row>
    <row r="2474" spans="1:4" x14ac:dyDescent="0.45">
      <c r="A2474">
        <v>412</v>
      </c>
      <c r="B2474">
        <f t="shared" ca="1" si="38"/>
        <v>8</v>
      </c>
      <c r="C2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4" t="str">
        <f ca="1">IF(dict_zuord_Meth_Transfers[[#This Row],[kval_active]],dict_zuord_Meth_Transfers[[#This Row],[ID_Transfers]],"")</f>
        <v/>
      </c>
    </row>
    <row r="2475" spans="1:4" x14ac:dyDescent="0.45">
      <c r="A2475">
        <v>412</v>
      </c>
      <c r="B2475">
        <f t="shared" ca="1" si="38"/>
        <v>5</v>
      </c>
      <c r="C2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5" t="str">
        <f ca="1">IF(dict_zuord_Meth_Transfers[[#This Row],[kval_active]],dict_zuord_Meth_Transfers[[#This Row],[ID_Transfers]],"")</f>
        <v/>
      </c>
    </row>
    <row r="2476" spans="1:4" x14ac:dyDescent="0.45">
      <c r="A2476">
        <v>412</v>
      </c>
      <c r="B2476" s="3">
        <f t="shared" ca="1" si="38"/>
        <v>104</v>
      </c>
      <c r="C2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6" t="str">
        <f ca="1">IF(dict_zuord_Meth_Transfers[[#This Row],[kval_active]],dict_zuord_Meth_Transfers[[#This Row],[ID_Transfers]],"")</f>
        <v/>
      </c>
    </row>
    <row r="2477" spans="1:4" x14ac:dyDescent="0.45">
      <c r="A2477">
        <v>412</v>
      </c>
      <c r="B2477" s="3">
        <f t="shared" ca="1" si="38"/>
        <v>80</v>
      </c>
      <c r="C2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7" t="str">
        <f ca="1">IF(dict_zuord_Meth_Transfers[[#This Row],[kval_active]],dict_zuord_Meth_Transfers[[#This Row],[ID_Transfers]],"")</f>
        <v/>
      </c>
    </row>
    <row r="2478" spans="1:4" x14ac:dyDescent="0.45">
      <c r="A2478">
        <v>412</v>
      </c>
      <c r="B2478">
        <f t="shared" ca="1" si="38"/>
        <v>109</v>
      </c>
      <c r="C2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8" t="str">
        <f ca="1">IF(dict_zuord_Meth_Transfers[[#This Row],[kval_active]],dict_zuord_Meth_Transfers[[#This Row],[ID_Transfers]],"")</f>
        <v/>
      </c>
    </row>
    <row r="2479" spans="1:4" x14ac:dyDescent="0.45">
      <c r="A2479">
        <v>412</v>
      </c>
      <c r="B2479" s="3">
        <f t="shared" ca="1" si="38"/>
        <v>197</v>
      </c>
      <c r="C2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79" t="str">
        <f ca="1">IF(dict_zuord_Meth_Transfers[[#This Row],[kval_active]],dict_zuord_Meth_Transfers[[#This Row],[ID_Transfers]],"")</f>
        <v/>
      </c>
    </row>
    <row r="2480" spans="1:4" x14ac:dyDescent="0.45">
      <c r="A2480">
        <v>413</v>
      </c>
      <c r="B2480" s="3">
        <f t="shared" ca="1" si="38"/>
        <v>158</v>
      </c>
      <c r="C2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0" t="str">
        <f ca="1">IF(dict_zuord_Meth_Transfers[[#This Row],[kval_active]],dict_zuord_Meth_Transfers[[#This Row],[ID_Transfers]],"")</f>
        <v/>
      </c>
    </row>
    <row r="2481" spans="1:4" x14ac:dyDescent="0.45">
      <c r="A2481">
        <v>413</v>
      </c>
      <c r="B2481">
        <f t="shared" ca="1" si="38"/>
        <v>125</v>
      </c>
      <c r="C2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1" t="str">
        <f ca="1">IF(dict_zuord_Meth_Transfers[[#This Row],[kval_active]],dict_zuord_Meth_Transfers[[#This Row],[ID_Transfers]],"")</f>
        <v/>
      </c>
    </row>
    <row r="2482" spans="1:4" x14ac:dyDescent="0.45">
      <c r="A2482">
        <v>413</v>
      </c>
      <c r="B2482" s="3">
        <f t="shared" ca="1" si="38"/>
        <v>179</v>
      </c>
      <c r="C2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2" t="str">
        <f ca="1">IF(dict_zuord_Meth_Transfers[[#This Row],[kval_active]],dict_zuord_Meth_Transfers[[#This Row],[ID_Transfers]],"")</f>
        <v/>
      </c>
    </row>
    <row r="2483" spans="1:4" x14ac:dyDescent="0.45">
      <c r="A2483">
        <v>413</v>
      </c>
      <c r="B2483">
        <f t="shared" ca="1" si="38"/>
        <v>29</v>
      </c>
      <c r="C2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3" t="str">
        <f ca="1">IF(dict_zuord_Meth_Transfers[[#This Row],[kval_active]],dict_zuord_Meth_Transfers[[#This Row],[ID_Transfers]],"")</f>
        <v/>
      </c>
    </row>
    <row r="2484" spans="1:4" x14ac:dyDescent="0.45">
      <c r="A2484">
        <v>413</v>
      </c>
      <c r="B2484" s="3">
        <f t="shared" ca="1" si="38"/>
        <v>55</v>
      </c>
      <c r="C2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4" t="str">
        <f ca="1">IF(dict_zuord_Meth_Transfers[[#This Row],[kval_active]],dict_zuord_Meth_Transfers[[#This Row],[ID_Transfers]],"")</f>
        <v/>
      </c>
    </row>
    <row r="2485" spans="1:4" x14ac:dyDescent="0.45">
      <c r="A2485">
        <v>413</v>
      </c>
      <c r="B2485">
        <f t="shared" ca="1" si="38"/>
        <v>38</v>
      </c>
      <c r="C2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5" t="str">
        <f ca="1">IF(dict_zuord_Meth_Transfers[[#This Row],[kval_active]],dict_zuord_Meth_Transfers[[#This Row],[ID_Transfers]],"")</f>
        <v/>
      </c>
    </row>
    <row r="2486" spans="1:4" x14ac:dyDescent="0.45">
      <c r="A2486">
        <v>414</v>
      </c>
      <c r="B2486" s="3">
        <f t="shared" ca="1" si="38"/>
        <v>166</v>
      </c>
      <c r="C2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6" t="str">
        <f ca="1">IF(dict_zuord_Meth_Transfers[[#This Row],[kval_active]],dict_zuord_Meth_Transfers[[#This Row],[ID_Transfers]],"")</f>
        <v/>
      </c>
    </row>
    <row r="2487" spans="1:4" x14ac:dyDescent="0.45">
      <c r="A2487">
        <v>414</v>
      </c>
      <c r="B2487">
        <f t="shared" ca="1" si="38"/>
        <v>165</v>
      </c>
      <c r="C2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7" t="str">
        <f ca="1">IF(dict_zuord_Meth_Transfers[[#This Row],[kval_active]],dict_zuord_Meth_Transfers[[#This Row],[ID_Transfers]],"")</f>
        <v/>
      </c>
    </row>
    <row r="2488" spans="1:4" x14ac:dyDescent="0.45">
      <c r="A2488">
        <v>414</v>
      </c>
      <c r="B2488" s="3">
        <f t="shared" ca="1" si="38"/>
        <v>3</v>
      </c>
      <c r="C2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8" t="str">
        <f ca="1">IF(dict_zuord_Meth_Transfers[[#This Row],[kval_active]],dict_zuord_Meth_Transfers[[#This Row],[ID_Transfers]],"")</f>
        <v/>
      </c>
    </row>
    <row r="2489" spans="1:4" x14ac:dyDescent="0.45">
      <c r="A2489">
        <v>414</v>
      </c>
      <c r="B2489" s="3">
        <f t="shared" ca="1" si="38"/>
        <v>80</v>
      </c>
      <c r="C2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89" t="str">
        <f ca="1">IF(dict_zuord_Meth_Transfers[[#This Row],[kval_active]],dict_zuord_Meth_Transfers[[#This Row],[ID_Transfers]],"")</f>
        <v/>
      </c>
    </row>
    <row r="2490" spans="1:4" x14ac:dyDescent="0.45">
      <c r="A2490">
        <v>414</v>
      </c>
      <c r="B2490">
        <f t="shared" ca="1" si="38"/>
        <v>134</v>
      </c>
      <c r="C2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0" t="str">
        <f ca="1">IF(dict_zuord_Meth_Transfers[[#This Row],[kval_active]],dict_zuord_Meth_Transfers[[#This Row],[ID_Transfers]],"")</f>
        <v/>
      </c>
    </row>
    <row r="2491" spans="1:4" x14ac:dyDescent="0.45">
      <c r="A2491">
        <v>414</v>
      </c>
      <c r="B2491">
        <f t="shared" ca="1" si="38"/>
        <v>106</v>
      </c>
      <c r="C2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1" t="str">
        <f ca="1">IF(dict_zuord_Meth_Transfers[[#This Row],[kval_active]],dict_zuord_Meth_Transfers[[#This Row],[ID_Transfers]],"")</f>
        <v/>
      </c>
    </row>
    <row r="2492" spans="1:4" x14ac:dyDescent="0.45">
      <c r="A2492">
        <v>415</v>
      </c>
      <c r="B2492">
        <f t="shared" ca="1" si="38"/>
        <v>98</v>
      </c>
      <c r="C2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2" t="str">
        <f ca="1">IF(dict_zuord_Meth_Transfers[[#This Row],[kval_active]],dict_zuord_Meth_Transfers[[#This Row],[ID_Transfers]],"")</f>
        <v/>
      </c>
    </row>
    <row r="2493" spans="1:4" x14ac:dyDescent="0.45">
      <c r="A2493">
        <v>415</v>
      </c>
      <c r="B2493">
        <f t="shared" ca="1" si="38"/>
        <v>57</v>
      </c>
      <c r="C2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3" t="str">
        <f ca="1">IF(dict_zuord_Meth_Transfers[[#This Row],[kval_active]],dict_zuord_Meth_Transfers[[#This Row],[ID_Transfers]],"")</f>
        <v/>
      </c>
    </row>
    <row r="2494" spans="1:4" x14ac:dyDescent="0.45">
      <c r="A2494">
        <v>415</v>
      </c>
      <c r="B2494" s="3">
        <f t="shared" ca="1" si="38"/>
        <v>56</v>
      </c>
      <c r="C2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4" t="str">
        <f ca="1">IF(dict_zuord_Meth_Transfers[[#This Row],[kval_active]],dict_zuord_Meth_Transfers[[#This Row],[ID_Transfers]],"")</f>
        <v/>
      </c>
    </row>
    <row r="2495" spans="1:4" x14ac:dyDescent="0.45">
      <c r="A2495">
        <v>415</v>
      </c>
      <c r="B2495" s="3">
        <f t="shared" ca="1" si="38"/>
        <v>145</v>
      </c>
      <c r="C2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5" t="str">
        <f ca="1">IF(dict_zuord_Meth_Transfers[[#This Row],[kval_active]],dict_zuord_Meth_Transfers[[#This Row],[ID_Transfers]],"")</f>
        <v/>
      </c>
    </row>
    <row r="2496" spans="1:4" x14ac:dyDescent="0.45">
      <c r="A2496">
        <v>415</v>
      </c>
      <c r="B2496">
        <f t="shared" ca="1" si="38"/>
        <v>13</v>
      </c>
      <c r="C2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6" t="str">
        <f ca="1">IF(dict_zuord_Meth_Transfers[[#This Row],[kval_active]],dict_zuord_Meth_Transfers[[#This Row],[ID_Transfers]],"")</f>
        <v/>
      </c>
    </row>
    <row r="2497" spans="1:4" x14ac:dyDescent="0.45">
      <c r="A2497">
        <v>415</v>
      </c>
      <c r="B2497" s="3">
        <f t="shared" ca="1" si="38"/>
        <v>65</v>
      </c>
      <c r="C2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497" t="str">
        <f ca="1">IF(dict_zuord_Meth_Transfers[[#This Row],[kval_active]],dict_zuord_Meth_Transfers[[#This Row],[ID_Transfers]],"")</f>
        <v/>
      </c>
    </row>
    <row r="2498" spans="1:4" x14ac:dyDescent="0.45">
      <c r="A2498">
        <v>416</v>
      </c>
      <c r="B2498">
        <f t="shared" ref="B2498:B2561" ca="1" si="39">RANDBETWEEN(0,200)</f>
        <v>169</v>
      </c>
      <c r="C2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8">
        <f ca="1">IF(dict_zuord_Meth_Transfers[[#This Row],[kval_active]],dict_zuord_Meth_Transfers[[#This Row],[ID_Transfers]],"")</f>
        <v>169</v>
      </c>
    </row>
    <row r="2499" spans="1:4" x14ac:dyDescent="0.45">
      <c r="A2499">
        <v>416</v>
      </c>
      <c r="B2499" s="3">
        <f t="shared" ca="1" si="39"/>
        <v>138</v>
      </c>
      <c r="C2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499">
        <f ca="1">IF(dict_zuord_Meth_Transfers[[#This Row],[kval_active]],dict_zuord_Meth_Transfers[[#This Row],[ID_Transfers]],"")</f>
        <v>138</v>
      </c>
    </row>
    <row r="2500" spans="1:4" x14ac:dyDescent="0.45">
      <c r="A2500">
        <v>416</v>
      </c>
      <c r="B2500">
        <f t="shared" ca="1" si="39"/>
        <v>120</v>
      </c>
      <c r="C2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0">
        <f ca="1">IF(dict_zuord_Meth_Transfers[[#This Row],[kval_active]],dict_zuord_Meth_Transfers[[#This Row],[ID_Transfers]],"")</f>
        <v>120</v>
      </c>
    </row>
    <row r="2501" spans="1:4" x14ac:dyDescent="0.45">
      <c r="A2501">
        <v>416</v>
      </c>
      <c r="B2501" s="3">
        <f t="shared" ca="1" si="39"/>
        <v>7</v>
      </c>
      <c r="C2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1">
        <f ca="1">IF(dict_zuord_Meth_Transfers[[#This Row],[kval_active]],dict_zuord_Meth_Transfers[[#This Row],[ID_Transfers]],"")</f>
        <v>7</v>
      </c>
    </row>
    <row r="2502" spans="1:4" x14ac:dyDescent="0.45">
      <c r="A2502">
        <v>416</v>
      </c>
      <c r="B2502">
        <f t="shared" ca="1" si="39"/>
        <v>50</v>
      </c>
      <c r="C2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2">
        <f ca="1">IF(dict_zuord_Meth_Transfers[[#This Row],[kval_active]],dict_zuord_Meth_Transfers[[#This Row],[ID_Transfers]],"")</f>
        <v>50</v>
      </c>
    </row>
    <row r="2503" spans="1:4" x14ac:dyDescent="0.45">
      <c r="A2503">
        <v>416</v>
      </c>
      <c r="B2503" s="3">
        <f t="shared" ca="1" si="39"/>
        <v>23</v>
      </c>
      <c r="C2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503">
        <f ca="1">IF(dict_zuord_Meth_Transfers[[#This Row],[kval_active]],dict_zuord_Meth_Transfers[[#This Row],[ID_Transfers]],"")</f>
        <v>23</v>
      </c>
    </row>
    <row r="2504" spans="1:4" x14ac:dyDescent="0.45">
      <c r="A2504">
        <v>417</v>
      </c>
      <c r="B2504">
        <f t="shared" ca="1" si="39"/>
        <v>95</v>
      </c>
      <c r="C2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4" t="str">
        <f ca="1">IF(dict_zuord_Meth_Transfers[[#This Row],[kval_active]],dict_zuord_Meth_Transfers[[#This Row],[ID_Transfers]],"")</f>
        <v/>
      </c>
    </row>
    <row r="2505" spans="1:4" x14ac:dyDescent="0.45">
      <c r="A2505">
        <v>417</v>
      </c>
      <c r="B2505">
        <f t="shared" ca="1" si="39"/>
        <v>171</v>
      </c>
      <c r="C2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5" t="str">
        <f ca="1">IF(dict_zuord_Meth_Transfers[[#This Row],[kval_active]],dict_zuord_Meth_Transfers[[#This Row],[ID_Transfers]],"")</f>
        <v/>
      </c>
    </row>
    <row r="2506" spans="1:4" x14ac:dyDescent="0.45">
      <c r="A2506">
        <v>417</v>
      </c>
      <c r="B2506" s="3">
        <f t="shared" ca="1" si="39"/>
        <v>160</v>
      </c>
      <c r="C2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6" t="str">
        <f ca="1">IF(dict_zuord_Meth_Transfers[[#This Row],[kval_active]],dict_zuord_Meth_Transfers[[#This Row],[ID_Transfers]],"")</f>
        <v/>
      </c>
    </row>
    <row r="2507" spans="1:4" x14ac:dyDescent="0.45">
      <c r="A2507">
        <v>417</v>
      </c>
      <c r="B2507" s="3">
        <f t="shared" ca="1" si="39"/>
        <v>131</v>
      </c>
      <c r="C2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7" t="str">
        <f ca="1">IF(dict_zuord_Meth_Transfers[[#This Row],[kval_active]],dict_zuord_Meth_Transfers[[#This Row],[ID_Transfers]],"")</f>
        <v/>
      </c>
    </row>
    <row r="2508" spans="1:4" x14ac:dyDescent="0.45">
      <c r="A2508">
        <v>417</v>
      </c>
      <c r="B2508">
        <f t="shared" ca="1" si="39"/>
        <v>99</v>
      </c>
      <c r="C2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8" t="str">
        <f ca="1">IF(dict_zuord_Meth_Transfers[[#This Row],[kval_active]],dict_zuord_Meth_Transfers[[#This Row],[ID_Transfers]],"")</f>
        <v/>
      </c>
    </row>
    <row r="2509" spans="1:4" x14ac:dyDescent="0.45">
      <c r="A2509">
        <v>417</v>
      </c>
      <c r="B2509" s="3">
        <f t="shared" ca="1" si="39"/>
        <v>126</v>
      </c>
      <c r="C2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09" t="str">
        <f ca="1">IF(dict_zuord_Meth_Transfers[[#This Row],[kval_active]],dict_zuord_Meth_Transfers[[#This Row],[ID_Transfers]],"")</f>
        <v/>
      </c>
    </row>
    <row r="2510" spans="1:4" x14ac:dyDescent="0.45">
      <c r="A2510">
        <v>418</v>
      </c>
      <c r="B2510" s="3">
        <f t="shared" ca="1" si="39"/>
        <v>141</v>
      </c>
      <c r="C2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0" t="str">
        <f ca="1">IF(dict_zuord_Meth_Transfers[[#This Row],[kval_active]],dict_zuord_Meth_Transfers[[#This Row],[ID_Transfers]],"")</f>
        <v/>
      </c>
    </row>
    <row r="2511" spans="1:4" x14ac:dyDescent="0.45">
      <c r="A2511">
        <v>418</v>
      </c>
      <c r="B2511">
        <f t="shared" ca="1" si="39"/>
        <v>164</v>
      </c>
      <c r="C2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1" t="str">
        <f ca="1">IF(dict_zuord_Meth_Transfers[[#This Row],[kval_active]],dict_zuord_Meth_Transfers[[#This Row],[ID_Transfers]],"")</f>
        <v/>
      </c>
    </row>
    <row r="2512" spans="1:4" x14ac:dyDescent="0.45">
      <c r="A2512">
        <v>418</v>
      </c>
      <c r="B2512">
        <f t="shared" ca="1" si="39"/>
        <v>20</v>
      </c>
      <c r="C2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2" t="str">
        <f ca="1">IF(dict_zuord_Meth_Transfers[[#This Row],[kval_active]],dict_zuord_Meth_Transfers[[#This Row],[ID_Transfers]],"")</f>
        <v/>
      </c>
    </row>
    <row r="2513" spans="1:4" x14ac:dyDescent="0.45">
      <c r="A2513">
        <v>418</v>
      </c>
      <c r="B2513" s="3">
        <f t="shared" ca="1" si="39"/>
        <v>87</v>
      </c>
      <c r="C2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3" t="str">
        <f ca="1">IF(dict_zuord_Meth_Transfers[[#This Row],[kval_active]],dict_zuord_Meth_Transfers[[#This Row],[ID_Transfers]],"")</f>
        <v/>
      </c>
    </row>
    <row r="2514" spans="1:4" x14ac:dyDescent="0.45">
      <c r="A2514">
        <v>418</v>
      </c>
      <c r="B2514">
        <f t="shared" ca="1" si="39"/>
        <v>3</v>
      </c>
      <c r="C2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4" t="str">
        <f ca="1">IF(dict_zuord_Meth_Transfers[[#This Row],[kval_active]],dict_zuord_Meth_Transfers[[#This Row],[ID_Transfers]],"")</f>
        <v/>
      </c>
    </row>
    <row r="2515" spans="1:4" x14ac:dyDescent="0.45">
      <c r="A2515">
        <v>418</v>
      </c>
      <c r="B2515" s="3">
        <f t="shared" ca="1" si="39"/>
        <v>172</v>
      </c>
      <c r="C2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5" t="str">
        <f ca="1">IF(dict_zuord_Meth_Transfers[[#This Row],[kval_active]],dict_zuord_Meth_Transfers[[#This Row],[ID_Transfers]],"")</f>
        <v/>
      </c>
    </row>
    <row r="2516" spans="1:4" x14ac:dyDescent="0.45">
      <c r="A2516">
        <v>419</v>
      </c>
      <c r="B2516">
        <f t="shared" ca="1" si="39"/>
        <v>80</v>
      </c>
      <c r="C2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6" t="str">
        <f ca="1">IF(dict_zuord_Meth_Transfers[[#This Row],[kval_active]],dict_zuord_Meth_Transfers[[#This Row],[ID_Transfers]],"")</f>
        <v/>
      </c>
    </row>
    <row r="2517" spans="1:4" x14ac:dyDescent="0.45">
      <c r="A2517">
        <v>419</v>
      </c>
      <c r="B2517" s="3">
        <f t="shared" ca="1" si="39"/>
        <v>8</v>
      </c>
      <c r="C2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7" t="str">
        <f ca="1">IF(dict_zuord_Meth_Transfers[[#This Row],[kval_active]],dict_zuord_Meth_Transfers[[#This Row],[ID_Transfers]],"")</f>
        <v/>
      </c>
    </row>
    <row r="2518" spans="1:4" x14ac:dyDescent="0.45">
      <c r="A2518">
        <v>419</v>
      </c>
      <c r="B2518">
        <f t="shared" ca="1" si="39"/>
        <v>91</v>
      </c>
      <c r="C2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8" t="str">
        <f ca="1">IF(dict_zuord_Meth_Transfers[[#This Row],[kval_active]],dict_zuord_Meth_Transfers[[#This Row],[ID_Transfers]],"")</f>
        <v/>
      </c>
    </row>
    <row r="2519" spans="1:4" x14ac:dyDescent="0.45">
      <c r="A2519">
        <v>419</v>
      </c>
      <c r="B2519">
        <f t="shared" ca="1" si="39"/>
        <v>75</v>
      </c>
      <c r="C2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19" t="str">
        <f ca="1">IF(dict_zuord_Meth_Transfers[[#This Row],[kval_active]],dict_zuord_Meth_Transfers[[#This Row],[ID_Transfers]],"")</f>
        <v/>
      </c>
    </row>
    <row r="2520" spans="1:4" x14ac:dyDescent="0.45">
      <c r="A2520">
        <v>419</v>
      </c>
      <c r="B2520" s="3">
        <f t="shared" ca="1" si="39"/>
        <v>136</v>
      </c>
      <c r="C2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0" t="str">
        <f ca="1">IF(dict_zuord_Meth_Transfers[[#This Row],[kval_active]],dict_zuord_Meth_Transfers[[#This Row],[ID_Transfers]],"")</f>
        <v/>
      </c>
    </row>
    <row r="2521" spans="1:4" x14ac:dyDescent="0.45">
      <c r="A2521">
        <v>419</v>
      </c>
      <c r="B2521" s="3">
        <f t="shared" ca="1" si="39"/>
        <v>157</v>
      </c>
      <c r="C2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1" t="str">
        <f ca="1">IF(dict_zuord_Meth_Transfers[[#This Row],[kval_active]],dict_zuord_Meth_Transfers[[#This Row],[ID_Transfers]],"")</f>
        <v/>
      </c>
    </row>
    <row r="2522" spans="1:4" x14ac:dyDescent="0.45">
      <c r="A2522">
        <v>420</v>
      </c>
      <c r="B2522">
        <f t="shared" ca="1" si="39"/>
        <v>58</v>
      </c>
      <c r="C2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2" t="str">
        <f ca="1">IF(dict_zuord_Meth_Transfers[[#This Row],[kval_active]],dict_zuord_Meth_Transfers[[#This Row],[ID_Transfers]],"")</f>
        <v/>
      </c>
    </row>
    <row r="2523" spans="1:4" x14ac:dyDescent="0.45">
      <c r="A2523">
        <v>420</v>
      </c>
      <c r="B2523" s="3">
        <f t="shared" ca="1" si="39"/>
        <v>178</v>
      </c>
      <c r="C2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3" t="str">
        <f ca="1">IF(dict_zuord_Meth_Transfers[[#This Row],[kval_active]],dict_zuord_Meth_Transfers[[#This Row],[ID_Transfers]],"")</f>
        <v/>
      </c>
    </row>
    <row r="2524" spans="1:4" x14ac:dyDescent="0.45">
      <c r="A2524">
        <v>420</v>
      </c>
      <c r="B2524">
        <f t="shared" ca="1" si="39"/>
        <v>126</v>
      </c>
      <c r="C2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4" t="str">
        <f ca="1">IF(dict_zuord_Meth_Transfers[[#This Row],[kval_active]],dict_zuord_Meth_Transfers[[#This Row],[ID_Transfers]],"")</f>
        <v/>
      </c>
    </row>
    <row r="2525" spans="1:4" x14ac:dyDescent="0.45">
      <c r="A2525">
        <v>420</v>
      </c>
      <c r="B2525" s="3">
        <f t="shared" ca="1" si="39"/>
        <v>190</v>
      </c>
      <c r="C2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5" t="str">
        <f ca="1">IF(dict_zuord_Meth_Transfers[[#This Row],[kval_active]],dict_zuord_Meth_Transfers[[#This Row],[ID_Transfers]],"")</f>
        <v/>
      </c>
    </row>
    <row r="2526" spans="1:4" x14ac:dyDescent="0.45">
      <c r="A2526">
        <v>420</v>
      </c>
      <c r="B2526" s="3">
        <f t="shared" ca="1" si="39"/>
        <v>92</v>
      </c>
      <c r="C2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6" t="str">
        <f ca="1">IF(dict_zuord_Meth_Transfers[[#This Row],[kval_active]],dict_zuord_Meth_Transfers[[#This Row],[ID_Transfers]],"")</f>
        <v/>
      </c>
    </row>
    <row r="2527" spans="1:4" x14ac:dyDescent="0.45">
      <c r="A2527">
        <v>420</v>
      </c>
      <c r="B2527">
        <f t="shared" ca="1" si="39"/>
        <v>178</v>
      </c>
      <c r="C2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7" t="str">
        <f ca="1">IF(dict_zuord_Meth_Transfers[[#This Row],[kval_active]],dict_zuord_Meth_Transfers[[#This Row],[ID_Transfers]],"")</f>
        <v/>
      </c>
    </row>
    <row r="2528" spans="1:4" x14ac:dyDescent="0.45">
      <c r="A2528">
        <v>421</v>
      </c>
      <c r="B2528">
        <f t="shared" ca="1" si="39"/>
        <v>118</v>
      </c>
      <c r="C2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8" t="str">
        <f ca="1">IF(dict_zuord_Meth_Transfers[[#This Row],[kval_active]],dict_zuord_Meth_Transfers[[#This Row],[ID_Transfers]],"")</f>
        <v/>
      </c>
    </row>
    <row r="2529" spans="1:4" x14ac:dyDescent="0.45">
      <c r="A2529">
        <v>421</v>
      </c>
      <c r="B2529" s="3">
        <f t="shared" ca="1" si="39"/>
        <v>128</v>
      </c>
      <c r="C2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29" t="str">
        <f ca="1">IF(dict_zuord_Meth_Transfers[[#This Row],[kval_active]],dict_zuord_Meth_Transfers[[#This Row],[ID_Transfers]],"")</f>
        <v/>
      </c>
    </row>
    <row r="2530" spans="1:4" x14ac:dyDescent="0.45">
      <c r="A2530">
        <v>421</v>
      </c>
      <c r="B2530">
        <f t="shared" ca="1" si="39"/>
        <v>163</v>
      </c>
      <c r="C2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0" t="str">
        <f ca="1">IF(dict_zuord_Meth_Transfers[[#This Row],[kval_active]],dict_zuord_Meth_Transfers[[#This Row],[ID_Transfers]],"")</f>
        <v/>
      </c>
    </row>
    <row r="2531" spans="1:4" x14ac:dyDescent="0.45">
      <c r="A2531">
        <v>421</v>
      </c>
      <c r="B2531" s="3">
        <f t="shared" ca="1" si="39"/>
        <v>15</v>
      </c>
      <c r="C2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1" t="str">
        <f ca="1">IF(dict_zuord_Meth_Transfers[[#This Row],[kval_active]],dict_zuord_Meth_Transfers[[#This Row],[ID_Transfers]],"")</f>
        <v/>
      </c>
    </row>
    <row r="2532" spans="1:4" x14ac:dyDescent="0.45">
      <c r="A2532">
        <v>421</v>
      </c>
      <c r="B2532" s="3">
        <f t="shared" ca="1" si="39"/>
        <v>154</v>
      </c>
      <c r="C2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2" t="str">
        <f ca="1">IF(dict_zuord_Meth_Transfers[[#This Row],[kval_active]],dict_zuord_Meth_Transfers[[#This Row],[ID_Transfers]],"")</f>
        <v/>
      </c>
    </row>
    <row r="2533" spans="1:4" x14ac:dyDescent="0.45">
      <c r="A2533">
        <v>421</v>
      </c>
      <c r="B2533">
        <f t="shared" ca="1" si="39"/>
        <v>19</v>
      </c>
      <c r="C2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3" t="str">
        <f ca="1">IF(dict_zuord_Meth_Transfers[[#This Row],[kval_active]],dict_zuord_Meth_Transfers[[#This Row],[ID_Transfers]],"")</f>
        <v/>
      </c>
    </row>
    <row r="2534" spans="1:4" x14ac:dyDescent="0.45">
      <c r="A2534">
        <v>422</v>
      </c>
      <c r="B2534" s="3">
        <f t="shared" ca="1" si="39"/>
        <v>87</v>
      </c>
      <c r="C2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4" t="str">
        <f ca="1">IF(dict_zuord_Meth_Transfers[[#This Row],[kval_active]],dict_zuord_Meth_Transfers[[#This Row],[ID_Transfers]],"")</f>
        <v/>
      </c>
    </row>
    <row r="2535" spans="1:4" x14ac:dyDescent="0.45">
      <c r="A2535">
        <v>422</v>
      </c>
      <c r="B2535">
        <f t="shared" ca="1" si="39"/>
        <v>132</v>
      </c>
      <c r="C2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5" t="str">
        <f ca="1">IF(dict_zuord_Meth_Transfers[[#This Row],[kval_active]],dict_zuord_Meth_Transfers[[#This Row],[ID_Transfers]],"")</f>
        <v/>
      </c>
    </row>
    <row r="2536" spans="1:4" x14ac:dyDescent="0.45">
      <c r="A2536">
        <v>422</v>
      </c>
      <c r="B2536">
        <f t="shared" ca="1" si="39"/>
        <v>118</v>
      </c>
      <c r="C2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6" t="str">
        <f ca="1">IF(dict_zuord_Meth_Transfers[[#This Row],[kval_active]],dict_zuord_Meth_Transfers[[#This Row],[ID_Transfers]],"")</f>
        <v/>
      </c>
    </row>
    <row r="2537" spans="1:4" x14ac:dyDescent="0.45">
      <c r="A2537">
        <v>422</v>
      </c>
      <c r="B2537">
        <f t="shared" ca="1" si="39"/>
        <v>127</v>
      </c>
      <c r="C2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7" t="str">
        <f ca="1">IF(dict_zuord_Meth_Transfers[[#This Row],[kval_active]],dict_zuord_Meth_Transfers[[#This Row],[ID_Transfers]],"")</f>
        <v/>
      </c>
    </row>
    <row r="2538" spans="1:4" x14ac:dyDescent="0.45">
      <c r="A2538">
        <v>422</v>
      </c>
      <c r="B2538" s="3">
        <f t="shared" ca="1" si="39"/>
        <v>161</v>
      </c>
      <c r="C2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8" t="str">
        <f ca="1">IF(dict_zuord_Meth_Transfers[[#This Row],[kval_active]],dict_zuord_Meth_Transfers[[#This Row],[ID_Transfers]],"")</f>
        <v/>
      </c>
    </row>
    <row r="2539" spans="1:4" x14ac:dyDescent="0.45">
      <c r="A2539">
        <v>422</v>
      </c>
      <c r="B2539" s="3">
        <f t="shared" ca="1" si="39"/>
        <v>73</v>
      </c>
      <c r="C2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39" t="str">
        <f ca="1">IF(dict_zuord_Meth_Transfers[[#This Row],[kval_active]],dict_zuord_Meth_Transfers[[#This Row],[ID_Transfers]],"")</f>
        <v/>
      </c>
    </row>
    <row r="2540" spans="1:4" x14ac:dyDescent="0.45">
      <c r="A2540">
        <v>423</v>
      </c>
      <c r="B2540">
        <f t="shared" ca="1" si="39"/>
        <v>168</v>
      </c>
      <c r="C2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0" t="str">
        <f ca="1">IF(dict_zuord_Meth_Transfers[[#This Row],[kval_active]],dict_zuord_Meth_Transfers[[#This Row],[ID_Transfers]],"")</f>
        <v/>
      </c>
    </row>
    <row r="2541" spans="1:4" x14ac:dyDescent="0.45">
      <c r="A2541">
        <v>423</v>
      </c>
      <c r="B2541" s="3">
        <f t="shared" ca="1" si="39"/>
        <v>170</v>
      </c>
      <c r="C2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1" t="str">
        <f ca="1">IF(dict_zuord_Meth_Transfers[[#This Row],[kval_active]],dict_zuord_Meth_Transfers[[#This Row],[ID_Transfers]],"")</f>
        <v/>
      </c>
    </row>
    <row r="2542" spans="1:4" x14ac:dyDescent="0.45">
      <c r="A2542">
        <v>423</v>
      </c>
      <c r="B2542">
        <f t="shared" ca="1" si="39"/>
        <v>191</v>
      </c>
      <c r="C2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2" t="str">
        <f ca="1">IF(dict_zuord_Meth_Transfers[[#This Row],[kval_active]],dict_zuord_Meth_Transfers[[#This Row],[ID_Transfers]],"")</f>
        <v/>
      </c>
    </row>
    <row r="2543" spans="1:4" x14ac:dyDescent="0.45">
      <c r="A2543">
        <v>423</v>
      </c>
      <c r="B2543" s="3">
        <f t="shared" ca="1" si="39"/>
        <v>63</v>
      </c>
      <c r="C2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3" t="str">
        <f ca="1">IF(dict_zuord_Meth_Transfers[[#This Row],[kval_active]],dict_zuord_Meth_Transfers[[#This Row],[ID_Transfers]],"")</f>
        <v/>
      </c>
    </row>
    <row r="2544" spans="1:4" x14ac:dyDescent="0.45">
      <c r="A2544">
        <v>423</v>
      </c>
      <c r="B2544">
        <f t="shared" ca="1" si="39"/>
        <v>180</v>
      </c>
      <c r="C2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4" t="str">
        <f ca="1">IF(dict_zuord_Meth_Transfers[[#This Row],[kval_active]],dict_zuord_Meth_Transfers[[#This Row],[ID_Transfers]],"")</f>
        <v/>
      </c>
    </row>
    <row r="2545" spans="1:4" x14ac:dyDescent="0.45">
      <c r="A2545">
        <v>423</v>
      </c>
      <c r="B2545" s="3">
        <f t="shared" ca="1" si="39"/>
        <v>20</v>
      </c>
      <c r="C2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5" t="str">
        <f ca="1">IF(dict_zuord_Meth_Transfers[[#This Row],[kval_active]],dict_zuord_Meth_Transfers[[#This Row],[ID_Transfers]],"")</f>
        <v/>
      </c>
    </row>
    <row r="2546" spans="1:4" x14ac:dyDescent="0.45">
      <c r="A2546">
        <v>424</v>
      </c>
      <c r="B2546">
        <f t="shared" ca="1" si="39"/>
        <v>88</v>
      </c>
      <c r="C2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6" t="str">
        <f ca="1">IF(dict_zuord_Meth_Transfers[[#This Row],[kval_active]],dict_zuord_Meth_Transfers[[#This Row],[ID_Transfers]],"")</f>
        <v/>
      </c>
    </row>
    <row r="2547" spans="1:4" x14ac:dyDescent="0.45">
      <c r="A2547">
        <v>424</v>
      </c>
      <c r="B2547" s="3">
        <f t="shared" ca="1" si="39"/>
        <v>132</v>
      </c>
      <c r="C2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7" t="str">
        <f ca="1">IF(dict_zuord_Meth_Transfers[[#This Row],[kval_active]],dict_zuord_Meth_Transfers[[#This Row],[ID_Transfers]],"")</f>
        <v/>
      </c>
    </row>
    <row r="2548" spans="1:4" x14ac:dyDescent="0.45">
      <c r="A2548">
        <v>424</v>
      </c>
      <c r="B2548">
        <f t="shared" ca="1" si="39"/>
        <v>142</v>
      </c>
      <c r="C2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8" t="str">
        <f ca="1">IF(dict_zuord_Meth_Transfers[[#This Row],[kval_active]],dict_zuord_Meth_Transfers[[#This Row],[ID_Transfers]],"")</f>
        <v/>
      </c>
    </row>
    <row r="2549" spans="1:4" x14ac:dyDescent="0.45">
      <c r="A2549">
        <v>424</v>
      </c>
      <c r="B2549">
        <f t="shared" ca="1" si="39"/>
        <v>112</v>
      </c>
      <c r="C2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49" t="str">
        <f ca="1">IF(dict_zuord_Meth_Transfers[[#This Row],[kval_active]],dict_zuord_Meth_Transfers[[#This Row],[ID_Transfers]],"")</f>
        <v/>
      </c>
    </row>
    <row r="2550" spans="1:4" x14ac:dyDescent="0.45">
      <c r="A2550">
        <v>424</v>
      </c>
      <c r="B2550" s="3">
        <f t="shared" ca="1" si="39"/>
        <v>95</v>
      </c>
      <c r="C2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0" t="str">
        <f ca="1">IF(dict_zuord_Meth_Transfers[[#This Row],[kval_active]],dict_zuord_Meth_Transfers[[#This Row],[ID_Transfers]],"")</f>
        <v/>
      </c>
    </row>
    <row r="2551" spans="1:4" x14ac:dyDescent="0.45">
      <c r="A2551">
        <v>424</v>
      </c>
      <c r="B2551" s="3">
        <f t="shared" ca="1" si="39"/>
        <v>101</v>
      </c>
      <c r="C2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1" t="str">
        <f ca="1">IF(dict_zuord_Meth_Transfers[[#This Row],[kval_active]],dict_zuord_Meth_Transfers[[#This Row],[ID_Transfers]],"")</f>
        <v/>
      </c>
    </row>
    <row r="2552" spans="1:4" x14ac:dyDescent="0.45">
      <c r="A2552">
        <v>425</v>
      </c>
      <c r="B2552">
        <f t="shared" ca="1" si="39"/>
        <v>155</v>
      </c>
      <c r="C2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2" t="str">
        <f ca="1">IF(dict_zuord_Meth_Transfers[[#This Row],[kval_active]],dict_zuord_Meth_Transfers[[#This Row],[ID_Transfers]],"")</f>
        <v/>
      </c>
    </row>
    <row r="2553" spans="1:4" x14ac:dyDescent="0.45">
      <c r="A2553">
        <v>425</v>
      </c>
      <c r="B2553" s="3">
        <f t="shared" ca="1" si="39"/>
        <v>41</v>
      </c>
      <c r="C2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3" t="str">
        <f ca="1">IF(dict_zuord_Meth_Transfers[[#This Row],[kval_active]],dict_zuord_Meth_Transfers[[#This Row],[ID_Transfers]],"")</f>
        <v/>
      </c>
    </row>
    <row r="2554" spans="1:4" x14ac:dyDescent="0.45">
      <c r="A2554">
        <v>425</v>
      </c>
      <c r="B2554" s="3">
        <f t="shared" ca="1" si="39"/>
        <v>131</v>
      </c>
      <c r="C2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4" t="str">
        <f ca="1">IF(dict_zuord_Meth_Transfers[[#This Row],[kval_active]],dict_zuord_Meth_Transfers[[#This Row],[ID_Transfers]],"")</f>
        <v/>
      </c>
    </row>
    <row r="2555" spans="1:4" x14ac:dyDescent="0.45">
      <c r="A2555">
        <v>425</v>
      </c>
      <c r="B2555" s="3">
        <f t="shared" ca="1" si="39"/>
        <v>50</v>
      </c>
      <c r="C2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5" t="str">
        <f ca="1">IF(dict_zuord_Meth_Transfers[[#This Row],[kval_active]],dict_zuord_Meth_Transfers[[#This Row],[ID_Transfers]],"")</f>
        <v/>
      </c>
    </row>
    <row r="2556" spans="1:4" x14ac:dyDescent="0.45">
      <c r="A2556">
        <v>425</v>
      </c>
      <c r="B2556">
        <f t="shared" ca="1" si="39"/>
        <v>108</v>
      </c>
      <c r="C2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6" t="str">
        <f ca="1">IF(dict_zuord_Meth_Transfers[[#This Row],[kval_active]],dict_zuord_Meth_Transfers[[#This Row],[ID_Transfers]],"")</f>
        <v/>
      </c>
    </row>
    <row r="2557" spans="1:4" x14ac:dyDescent="0.45">
      <c r="A2557">
        <v>425</v>
      </c>
      <c r="B2557">
        <f t="shared" ca="1" si="39"/>
        <v>146</v>
      </c>
      <c r="C2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7" t="str">
        <f ca="1">IF(dict_zuord_Meth_Transfers[[#This Row],[kval_active]],dict_zuord_Meth_Transfers[[#This Row],[ID_Transfers]],"")</f>
        <v/>
      </c>
    </row>
    <row r="2558" spans="1:4" x14ac:dyDescent="0.45">
      <c r="A2558">
        <v>426</v>
      </c>
      <c r="B2558">
        <f t="shared" ca="1" si="39"/>
        <v>68</v>
      </c>
      <c r="C2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8" t="str">
        <f ca="1">IF(dict_zuord_Meth_Transfers[[#This Row],[kval_active]],dict_zuord_Meth_Transfers[[#This Row],[ID_Transfers]],"")</f>
        <v/>
      </c>
    </row>
    <row r="2559" spans="1:4" x14ac:dyDescent="0.45">
      <c r="A2559">
        <v>426</v>
      </c>
      <c r="B2559" s="3">
        <f t="shared" ca="1" si="39"/>
        <v>79</v>
      </c>
      <c r="C2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59" t="str">
        <f ca="1">IF(dict_zuord_Meth_Transfers[[#This Row],[kval_active]],dict_zuord_Meth_Transfers[[#This Row],[ID_Transfers]],"")</f>
        <v/>
      </c>
    </row>
    <row r="2560" spans="1:4" x14ac:dyDescent="0.45">
      <c r="A2560">
        <v>426</v>
      </c>
      <c r="B2560">
        <f t="shared" ca="1" si="39"/>
        <v>116</v>
      </c>
      <c r="C2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0" t="str">
        <f ca="1">IF(dict_zuord_Meth_Transfers[[#This Row],[kval_active]],dict_zuord_Meth_Transfers[[#This Row],[ID_Transfers]],"")</f>
        <v/>
      </c>
    </row>
    <row r="2561" spans="1:4" x14ac:dyDescent="0.45">
      <c r="A2561">
        <v>426</v>
      </c>
      <c r="B2561">
        <f t="shared" ca="1" si="39"/>
        <v>184</v>
      </c>
      <c r="C2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1" t="str">
        <f ca="1">IF(dict_zuord_Meth_Transfers[[#This Row],[kval_active]],dict_zuord_Meth_Transfers[[#This Row],[ID_Transfers]],"")</f>
        <v/>
      </c>
    </row>
    <row r="2562" spans="1:4" x14ac:dyDescent="0.45">
      <c r="A2562">
        <v>426</v>
      </c>
      <c r="B2562" s="3">
        <f t="shared" ref="B2562:B2625" ca="1" si="40">RANDBETWEEN(0,200)</f>
        <v>74</v>
      </c>
      <c r="C2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2" t="str">
        <f ca="1">IF(dict_zuord_Meth_Transfers[[#This Row],[kval_active]],dict_zuord_Meth_Transfers[[#This Row],[ID_Transfers]],"")</f>
        <v/>
      </c>
    </row>
    <row r="2563" spans="1:4" x14ac:dyDescent="0.45">
      <c r="A2563">
        <v>426</v>
      </c>
      <c r="B2563" s="3">
        <f t="shared" ca="1" si="40"/>
        <v>7</v>
      </c>
      <c r="C2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3" t="str">
        <f ca="1">IF(dict_zuord_Meth_Transfers[[#This Row],[kval_active]],dict_zuord_Meth_Transfers[[#This Row],[ID_Transfers]],"")</f>
        <v/>
      </c>
    </row>
    <row r="2564" spans="1:4" x14ac:dyDescent="0.45">
      <c r="A2564">
        <v>427</v>
      </c>
      <c r="B2564">
        <f t="shared" ca="1" si="40"/>
        <v>31</v>
      </c>
      <c r="C2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4" t="str">
        <f ca="1">IF(dict_zuord_Meth_Transfers[[#This Row],[kval_active]],dict_zuord_Meth_Transfers[[#This Row],[ID_Transfers]],"")</f>
        <v/>
      </c>
    </row>
    <row r="2565" spans="1:4" x14ac:dyDescent="0.45">
      <c r="A2565">
        <v>427</v>
      </c>
      <c r="B2565" s="3">
        <f t="shared" ca="1" si="40"/>
        <v>50</v>
      </c>
      <c r="C2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5" t="str">
        <f ca="1">IF(dict_zuord_Meth_Transfers[[#This Row],[kval_active]],dict_zuord_Meth_Transfers[[#This Row],[ID_Transfers]],"")</f>
        <v/>
      </c>
    </row>
    <row r="2566" spans="1:4" x14ac:dyDescent="0.45">
      <c r="A2566">
        <v>427</v>
      </c>
      <c r="B2566" s="3">
        <f t="shared" ca="1" si="40"/>
        <v>73</v>
      </c>
      <c r="C2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6" t="str">
        <f ca="1">IF(dict_zuord_Meth_Transfers[[#This Row],[kval_active]],dict_zuord_Meth_Transfers[[#This Row],[ID_Transfers]],"")</f>
        <v/>
      </c>
    </row>
    <row r="2567" spans="1:4" x14ac:dyDescent="0.45">
      <c r="A2567">
        <v>427</v>
      </c>
      <c r="B2567">
        <f t="shared" ca="1" si="40"/>
        <v>146</v>
      </c>
      <c r="C2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7" t="str">
        <f ca="1">IF(dict_zuord_Meth_Transfers[[#This Row],[kval_active]],dict_zuord_Meth_Transfers[[#This Row],[ID_Transfers]],"")</f>
        <v/>
      </c>
    </row>
    <row r="2568" spans="1:4" x14ac:dyDescent="0.45">
      <c r="A2568">
        <v>427</v>
      </c>
      <c r="B2568">
        <f t="shared" ca="1" si="40"/>
        <v>76</v>
      </c>
      <c r="C2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8" t="str">
        <f ca="1">IF(dict_zuord_Meth_Transfers[[#This Row],[kval_active]],dict_zuord_Meth_Transfers[[#This Row],[ID_Transfers]],"")</f>
        <v/>
      </c>
    </row>
    <row r="2569" spans="1:4" x14ac:dyDescent="0.45">
      <c r="A2569">
        <v>427</v>
      </c>
      <c r="B2569" s="3">
        <f t="shared" ca="1" si="40"/>
        <v>21</v>
      </c>
      <c r="C2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69" t="str">
        <f ca="1">IF(dict_zuord_Meth_Transfers[[#This Row],[kval_active]],dict_zuord_Meth_Transfers[[#This Row],[ID_Transfers]],"")</f>
        <v/>
      </c>
    </row>
    <row r="2570" spans="1:4" x14ac:dyDescent="0.45">
      <c r="A2570">
        <v>428</v>
      </c>
      <c r="B2570" s="3">
        <f t="shared" ca="1" si="40"/>
        <v>128</v>
      </c>
      <c r="C2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0" t="str">
        <f ca="1">IF(dict_zuord_Meth_Transfers[[#This Row],[kval_active]],dict_zuord_Meth_Transfers[[#This Row],[ID_Transfers]],"")</f>
        <v/>
      </c>
    </row>
    <row r="2571" spans="1:4" x14ac:dyDescent="0.45">
      <c r="A2571">
        <v>428</v>
      </c>
      <c r="B2571">
        <f t="shared" ca="1" si="40"/>
        <v>102</v>
      </c>
      <c r="C2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1" t="str">
        <f ca="1">IF(dict_zuord_Meth_Transfers[[#This Row],[kval_active]],dict_zuord_Meth_Transfers[[#This Row],[ID_Transfers]],"")</f>
        <v/>
      </c>
    </row>
    <row r="2572" spans="1:4" x14ac:dyDescent="0.45">
      <c r="A2572">
        <v>428</v>
      </c>
      <c r="B2572">
        <f t="shared" ca="1" si="40"/>
        <v>168</v>
      </c>
      <c r="C2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2" t="str">
        <f ca="1">IF(dict_zuord_Meth_Transfers[[#This Row],[kval_active]],dict_zuord_Meth_Transfers[[#This Row],[ID_Transfers]],"")</f>
        <v/>
      </c>
    </row>
    <row r="2573" spans="1:4" x14ac:dyDescent="0.45">
      <c r="A2573">
        <v>428</v>
      </c>
      <c r="B2573" s="3">
        <f t="shared" ca="1" si="40"/>
        <v>91</v>
      </c>
      <c r="C2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3" t="str">
        <f ca="1">IF(dict_zuord_Meth_Transfers[[#This Row],[kval_active]],dict_zuord_Meth_Transfers[[#This Row],[ID_Transfers]],"")</f>
        <v/>
      </c>
    </row>
    <row r="2574" spans="1:4" x14ac:dyDescent="0.45">
      <c r="A2574">
        <v>428</v>
      </c>
      <c r="B2574" s="3">
        <f t="shared" ca="1" si="40"/>
        <v>174</v>
      </c>
      <c r="C2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4" t="str">
        <f ca="1">IF(dict_zuord_Meth_Transfers[[#This Row],[kval_active]],dict_zuord_Meth_Transfers[[#This Row],[ID_Transfers]],"")</f>
        <v/>
      </c>
    </row>
    <row r="2575" spans="1:4" x14ac:dyDescent="0.45">
      <c r="A2575">
        <v>428</v>
      </c>
      <c r="B2575">
        <f t="shared" ca="1" si="40"/>
        <v>170</v>
      </c>
      <c r="C2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5" t="str">
        <f ca="1">IF(dict_zuord_Meth_Transfers[[#This Row],[kval_active]],dict_zuord_Meth_Transfers[[#This Row],[ID_Transfers]],"")</f>
        <v/>
      </c>
    </row>
    <row r="2576" spans="1:4" x14ac:dyDescent="0.45">
      <c r="A2576">
        <v>429</v>
      </c>
      <c r="B2576">
        <f t="shared" ca="1" si="40"/>
        <v>140</v>
      </c>
      <c r="C2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6" t="str">
        <f ca="1">IF(dict_zuord_Meth_Transfers[[#This Row],[kval_active]],dict_zuord_Meth_Transfers[[#This Row],[ID_Transfers]],"")</f>
        <v/>
      </c>
    </row>
    <row r="2577" spans="1:4" x14ac:dyDescent="0.45">
      <c r="A2577">
        <v>429</v>
      </c>
      <c r="B2577" s="3">
        <f t="shared" ca="1" si="40"/>
        <v>185</v>
      </c>
      <c r="C2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7" t="str">
        <f ca="1">IF(dict_zuord_Meth_Transfers[[#This Row],[kval_active]],dict_zuord_Meth_Transfers[[#This Row],[ID_Transfers]],"")</f>
        <v/>
      </c>
    </row>
    <row r="2578" spans="1:4" x14ac:dyDescent="0.45">
      <c r="A2578">
        <v>429</v>
      </c>
      <c r="B2578">
        <f t="shared" ca="1" si="40"/>
        <v>165</v>
      </c>
      <c r="C2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8" t="str">
        <f ca="1">IF(dict_zuord_Meth_Transfers[[#This Row],[kval_active]],dict_zuord_Meth_Transfers[[#This Row],[ID_Transfers]],"")</f>
        <v/>
      </c>
    </row>
    <row r="2579" spans="1:4" x14ac:dyDescent="0.45">
      <c r="A2579">
        <v>429</v>
      </c>
      <c r="B2579" s="3">
        <f t="shared" ca="1" si="40"/>
        <v>168</v>
      </c>
      <c r="C2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79" t="str">
        <f ca="1">IF(dict_zuord_Meth_Transfers[[#This Row],[kval_active]],dict_zuord_Meth_Transfers[[#This Row],[ID_Transfers]],"")</f>
        <v/>
      </c>
    </row>
    <row r="2580" spans="1:4" x14ac:dyDescent="0.45">
      <c r="A2580">
        <v>429</v>
      </c>
      <c r="B2580" s="3">
        <f t="shared" ca="1" si="40"/>
        <v>83</v>
      </c>
      <c r="C2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0" t="str">
        <f ca="1">IF(dict_zuord_Meth_Transfers[[#This Row],[kval_active]],dict_zuord_Meth_Transfers[[#This Row],[ID_Transfers]],"")</f>
        <v/>
      </c>
    </row>
    <row r="2581" spans="1:4" x14ac:dyDescent="0.45">
      <c r="A2581">
        <v>429</v>
      </c>
      <c r="B2581">
        <f t="shared" ca="1" si="40"/>
        <v>82</v>
      </c>
      <c r="C2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1" t="str">
        <f ca="1">IF(dict_zuord_Meth_Transfers[[#This Row],[kval_active]],dict_zuord_Meth_Transfers[[#This Row],[ID_Transfers]],"")</f>
        <v/>
      </c>
    </row>
    <row r="2582" spans="1:4" x14ac:dyDescent="0.45">
      <c r="A2582">
        <v>430</v>
      </c>
      <c r="B2582">
        <f t="shared" ca="1" si="40"/>
        <v>187</v>
      </c>
      <c r="C2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2" t="str">
        <f ca="1">IF(dict_zuord_Meth_Transfers[[#This Row],[kval_active]],dict_zuord_Meth_Transfers[[#This Row],[ID_Transfers]],"")</f>
        <v/>
      </c>
    </row>
    <row r="2583" spans="1:4" x14ac:dyDescent="0.45">
      <c r="A2583">
        <v>430</v>
      </c>
      <c r="B2583">
        <f t="shared" ca="1" si="40"/>
        <v>85</v>
      </c>
      <c r="C2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3" t="str">
        <f ca="1">IF(dict_zuord_Meth_Transfers[[#This Row],[kval_active]],dict_zuord_Meth_Transfers[[#This Row],[ID_Transfers]],"")</f>
        <v/>
      </c>
    </row>
    <row r="2584" spans="1:4" x14ac:dyDescent="0.45">
      <c r="A2584">
        <v>430</v>
      </c>
      <c r="B2584" s="3">
        <f t="shared" ca="1" si="40"/>
        <v>72</v>
      </c>
      <c r="C2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4" t="str">
        <f ca="1">IF(dict_zuord_Meth_Transfers[[#This Row],[kval_active]],dict_zuord_Meth_Transfers[[#This Row],[ID_Transfers]],"")</f>
        <v/>
      </c>
    </row>
    <row r="2585" spans="1:4" x14ac:dyDescent="0.45">
      <c r="A2585">
        <v>430</v>
      </c>
      <c r="B2585">
        <f t="shared" ca="1" si="40"/>
        <v>175</v>
      </c>
      <c r="C2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5" t="str">
        <f ca="1">IF(dict_zuord_Meth_Transfers[[#This Row],[kval_active]],dict_zuord_Meth_Transfers[[#This Row],[ID_Transfers]],"")</f>
        <v/>
      </c>
    </row>
    <row r="2586" spans="1:4" x14ac:dyDescent="0.45">
      <c r="A2586">
        <v>430</v>
      </c>
      <c r="B2586" s="3">
        <f t="shared" ca="1" si="40"/>
        <v>68</v>
      </c>
      <c r="C2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6" t="str">
        <f ca="1">IF(dict_zuord_Meth_Transfers[[#This Row],[kval_active]],dict_zuord_Meth_Transfers[[#This Row],[ID_Transfers]],"")</f>
        <v/>
      </c>
    </row>
    <row r="2587" spans="1:4" x14ac:dyDescent="0.45">
      <c r="A2587">
        <v>430</v>
      </c>
      <c r="B2587" s="3">
        <f t="shared" ca="1" si="40"/>
        <v>37</v>
      </c>
      <c r="C2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7" t="str">
        <f ca="1">IF(dict_zuord_Meth_Transfers[[#This Row],[kval_active]],dict_zuord_Meth_Transfers[[#This Row],[ID_Transfers]],"")</f>
        <v/>
      </c>
    </row>
    <row r="2588" spans="1:4" x14ac:dyDescent="0.45">
      <c r="A2588">
        <v>431</v>
      </c>
      <c r="B2588" s="3">
        <f t="shared" ca="1" si="40"/>
        <v>80</v>
      </c>
      <c r="C2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8" t="str">
        <f ca="1">IF(dict_zuord_Meth_Transfers[[#This Row],[kval_active]],dict_zuord_Meth_Transfers[[#This Row],[ID_Transfers]],"")</f>
        <v/>
      </c>
    </row>
    <row r="2589" spans="1:4" x14ac:dyDescent="0.45">
      <c r="A2589">
        <v>431</v>
      </c>
      <c r="B2589" s="3">
        <f t="shared" ca="1" si="40"/>
        <v>8</v>
      </c>
      <c r="C2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89" t="str">
        <f ca="1">IF(dict_zuord_Meth_Transfers[[#This Row],[kval_active]],dict_zuord_Meth_Transfers[[#This Row],[ID_Transfers]],"")</f>
        <v/>
      </c>
    </row>
    <row r="2590" spans="1:4" x14ac:dyDescent="0.45">
      <c r="A2590">
        <v>431</v>
      </c>
      <c r="B2590">
        <f t="shared" ca="1" si="40"/>
        <v>141</v>
      </c>
      <c r="C2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0" t="str">
        <f ca="1">IF(dict_zuord_Meth_Transfers[[#This Row],[kval_active]],dict_zuord_Meth_Transfers[[#This Row],[ID_Transfers]],"")</f>
        <v/>
      </c>
    </row>
    <row r="2591" spans="1:4" x14ac:dyDescent="0.45">
      <c r="A2591">
        <v>431</v>
      </c>
      <c r="B2591">
        <f t="shared" ca="1" si="40"/>
        <v>2</v>
      </c>
      <c r="C2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1" t="str">
        <f ca="1">IF(dict_zuord_Meth_Transfers[[#This Row],[kval_active]],dict_zuord_Meth_Transfers[[#This Row],[ID_Transfers]],"")</f>
        <v/>
      </c>
    </row>
    <row r="2592" spans="1:4" x14ac:dyDescent="0.45">
      <c r="A2592">
        <v>431</v>
      </c>
      <c r="B2592">
        <f t="shared" ca="1" si="40"/>
        <v>64</v>
      </c>
      <c r="C2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2" t="str">
        <f ca="1">IF(dict_zuord_Meth_Transfers[[#This Row],[kval_active]],dict_zuord_Meth_Transfers[[#This Row],[ID_Transfers]],"")</f>
        <v/>
      </c>
    </row>
    <row r="2593" spans="1:4" x14ac:dyDescent="0.45">
      <c r="A2593">
        <v>431</v>
      </c>
      <c r="B2593" s="3">
        <f t="shared" ca="1" si="40"/>
        <v>115</v>
      </c>
      <c r="C2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3" t="str">
        <f ca="1">IF(dict_zuord_Meth_Transfers[[#This Row],[kval_active]],dict_zuord_Meth_Transfers[[#This Row],[ID_Transfers]],"")</f>
        <v/>
      </c>
    </row>
    <row r="2594" spans="1:4" x14ac:dyDescent="0.45">
      <c r="A2594">
        <v>432</v>
      </c>
      <c r="B2594">
        <f t="shared" ca="1" si="40"/>
        <v>99</v>
      </c>
      <c r="C2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4" t="str">
        <f ca="1">IF(dict_zuord_Meth_Transfers[[#This Row],[kval_active]],dict_zuord_Meth_Transfers[[#This Row],[ID_Transfers]],"")</f>
        <v/>
      </c>
    </row>
    <row r="2595" spans="1:4" x14ac:dyDescent="0.45">
      <c r="A2595">
        <v>432</v>
      </c>
      <c r="B2595" s="3">
        <f t="shared" ca="1" si="40"/>
        <v>138</v>
      </c>
      <c r="C2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5" t="str">
        <f ca="1">IF(dict_zuord_Meth_Transfers[[#This Row],[kval_active]],dict_zuord_Meth_Transfers[[#This Row],[ID_Transfers]],"")</f>
        <v/>
      </c>
    </row>
    <row r="2596" spans="1:4" x14ac:dyDescent="0.45">
      <c r="A2596">
        <v>432</v>
      </c>
      <c r="B2596" s="3">
        <f t="shared" ca="1" si="40"/>
        <v>69</v>
      </c>
      <c r="C2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6" t="str">
        <f ca="1">IF(dict_zuord_Meth_Transfers[[#This Row],[kval_active]],dict_zuord_Meth_Transfers[[#This Row],[ID_Transfers]],"")</f>
        <v/>
      </c>
    </row>
    <row r="2597" spans="1:4" x14ac:dyDescent="0.45">
      <c r="A2597">
        <v>432</v>
      </c>
      <c r="B2597" s="3">
        <f t="shared" ca="1" si="40"/>
        <v>154</v>
      </c>
      <c r="C2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7" t="str">
        <f ca="1">IF(dict_zuord_Meth_Transfers[[#This Row],[kval_active]],dict_zuord_Meth_Transfers[[#This Row],[ID_Transfers]],"")</f>
        <v/>
      </c>
    </row>
    <row r="2598" spans="1:4" x14ac:dyDescent="0.45">
      <c r="A2598">
        <v>432</v>
      </c>
      <c r="B2598">
        <f t="shared" ca="1" si="40"/>
        <v>105</v>
      </c>
      <c r="C2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8" t="str">
        <f ca="1">IF(dict_zuord_Meth_Transfers[[#This Row],[kval_active]],dict_zuord_Meth_Transfers[[#This Row],[ID_Transfers]],"")</f>
        <v/>
      </c>
    </row>
    <row r="2599" spans="1:4" x14ac:dyDescent="0.45">
      <c r="A2599">
        <v>432</v>
      </c>
      <c r="B2599">
        <f t="shared" ca="1" si="40"/>
        <v>72</v>
      </c>
      <c r="C2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599" t="str">
        <f ca="1">IF(dict_zuord_Meth_Transfers[[#This Row],[kval_active]],dict_zuord_Meth_Transfers[[#This Row],[ID_Transfers]],"")</f>
        <v/>
      </c>
    </row>
    <row r="2600" spans="1:4" x14ac:dyDescent="0.45">
      <c r="A2600">
        <v>433</v>
      </c>
      <c r="B2600" s="3">
        <f t="shared" ca="1" si="40"/>
        <v>20</v>
      </c>
      <c r="C2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0" t="str">
        <f ca="1">IF(dict_zuord_Meth_Transfers[[#This Row],[kval_active]],dict_zuord_Meth_Transfers[[#This Row],[ID_Transfers]],"")</f>
        <v/>
      </c>
    </row>
    <row r="2601" spans="1:4" x14ac:dyDescent="0.45">
      <c r="A2601">
        <v>433</v>
      </c>
      <c r="B2601">
        <f t="shared" ca="1" si="40"/>
        <v>194</v>
      </c>
      <c r="C2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1" t="str">
        <f ca="1">IF(dict_zuord_Meth_Transfers[[#This Row],[kval_active]],dict_zuord_Meth_Transfers[[#This Row],[ID_Transfers]],"")</f>
        <v/>
      </c>
    </row>
    <row r="2602" spans="1:4" x14ac:dyDescent="0.45">
      <c r="A2602">
        <v>433</v>
      </c>
      <c r="B2602" s="3">
        <f t="shared" ca="1" si="40"/>
        <v>12</v>
      </c>
      <c r="C2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2" t="str">
        <f ca="1">IF(dict_zuord_Meth_Transfers[[#This Row],[kval_active]],dict_zuord_Meth_Transfers[[#This Row],[ID_Transfers]],"")</f>
        <v/>
      </c>
    </row>
    <row r="2603" spans="1:4" x14ac:dyDescent="0.45">
      <c r="A2603">
        <v>433</v>
      </c>
      <c r="B2603">
        <f t="shared" ca="1" si="40"/>
        <v>190</v>
      </c>
      <c r="C2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3" t="str">
        <f ca="1">IF(dict_zuord_Meth_Transfers[[#This Row],[kval_active]],dict_zuord_Meth_Transfers[[#This Row],[ID_Transfers]],"")</f>
        <v/>
      </c>
    </row>
    <row r="2604" spans="1:4" x14ac:dyDescent="0.45">
      <c r="A2604">
        <v>433</v>
      </c>
      <c r="B2604" s="3">
        <f t="shared" ca="1" si="40"/>
        <v>185</v>
      </c>
      <c r="C2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4" t="str">
        <f ca="1">IF(dict_zuord_Meth_Transfers[[#This Row],[kval_active]],dict_zuord_Meth_Transfers[[#This Row],[ID_Transfers]],"")</f>
        <v/>
      </c>
    </row>
    <row r="2605" spans="1:4" x14ac:dyDescent="0.45">
      <c r="A2605">
        <v>433</v>
      </c>
      <c r="B2605">
        <f t="shared" ca="1" si="40"/>
        <v>71</v>
      </c>
      <c r="C2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5" t="str">
        <f ca="1">IF(dict_zuord_Meth_Transfers[[#This Row],[kval_active]],dict_zuord_Meth_Transfers[[#This Row],[ID_Transfers]],"")</f>
        <v/>
      </c>
    </row>
    <row r="2606" spans="1:4" x14ac:dyDescent="0.45">
      <c r="A2606">
        <v>434</v>
      </c>
      <c r="B2606" s="3">
        <f t="shared" ca="1" si="40"/>
        <v>104</v>
      </c>
      <c r="C2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6" t="str">
        <f ca="1">IF(dict_zuord_Meth_Transfers[[#This Row],[kval_active]],dict_zuord_Meth_Transfers[[#This Row],[ID_Transfers]],"")</f>
        <v/>
      </c>
    </row>
    <row r="2607" spans="1:4" x14ac:dyDescent="0.45">
      <c r="A2607">
        <v>434</v>
      </c>
      <c r="B2607" s="3">
        <f t="shared" ca="1" si="40"/>
        <v>177</v>
      </c>
      <c r="C2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7" t="str">
        <f ca="1">IF(dict_zuord_Meth_Transfers[[#This Row],[kval_active]],dict_zuord_Meth_Transfers[[#This Row],[ID_Transfers]],"")</f>
        <v/>
      </c>
    </row>
    <row r="2608" spans="1:4" x14ac:dyDescent="0.45">
      <c r="A2608">
        <v>434</v>
      </c>
      <c r="B2608">
        <f t="shared" ca="1" si="40"/>
        <v>123</v>
      </c>
      <c r="C2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8" t="str">
        <f ca="1">IF(dict_zuord_Meth_Transfers[[#This Row],[kval_active]],dict_zuord_Meth_Transfers[[#This Row],[ID_Transfers]],"")</f>
        <v/>
      </c>
    </row>
    <row r="2609" spans="1:4" x14ac:dyDescent="0.45">
      <c r="A2609">
        <v>434</v>
      </c>
      <c r="B2609">
        <f t="shared" ca="1" si="40"/>
        <v>65</v>
      </c>
      <c r="C2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09" t="str">
        <f ca="1">IF(dict_zuord_Meth_Transfers[[#This Row],[kval_active]],dict_zuord_Meth_Transfers[[#This Row],[ID_Transfers]],"")</f>
        <v/>
      </c>
    </row>
    <row r="2610" spans="1:4" x14ac:dyDescent="0.45">
      <c r="A2610">
        <v>434</v>
      </c>
      <c r="B2610" s="3">
        <f t="shared" ca="1" si="40"/>
        <v>185</v>
      </c>
      <c r="C2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0" t="str">
        <f ca="1">IF(dict_zuord_Meth_Transfers[[#This Row],[kval_active]],dict_zuord_Meth_Transfers[[#This Row],[ID_Transfers]],"")</f>
        <v/>
      </c>
    </row>
    <row r="2611" spans="1:4" x14ac:dyDescent="0.45">
      <c r="A2611">
        <v>434</v>
      </c>
      <c r="B2611">
        <f t="shared" ca="1" si="40"/>
        <v>197</v>
      </c>
      <c r="C2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1" t="str">
        <f ca="1">IF(dict_zuord_Meth_Transfers[[#This Row],[kval_active]],dict_zuord_Meth_Transfers[[#This Row],[ID_Transfers]],"")</f>
        <v/>
      </c>
    </row>
    <row r="2612" spans="1:4" x14ac:dyDescent="0.45">
      <c r="A2612">
        <v>435</v>
      </c>
      <c r="B2612" s="3">
        <f t="shared" ca="1" si="40"/>
        <v>189</v>
      </c>
      <c r="C2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2" t="str">
        <f ca="1">IF(dict_zuord_Meth_Transfers[[#This Row],[kval_active]],dict_zuord_Meth_Transfers[[#This Row],[ID_Transfers]],"")</f>
        <v/>
      </c>
    </row>
    <row r="2613" spans="1:4" x14ac:dyDescent="0.45">
      <c r="A2613">
        <v>435</v>
      </c>
      <c r="B2613" s="3">
        <f t="shared" ca="1" si="40"/>
        <v>78</v>
      </c>
      <c r="C2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3" t="str">
        <f ca="1">IF(dict_zuord_Meth_Transfers[[#This Row],[kval_active]],dict_zuord_Meth_Transfers[[#This Row],[ID_Transfers]],"")</f>
        <v/>
      </c>
    </row>
    <row r="2614" spans="1:4" x14ac:dyDescent="0.45">
      <c r="A2614">
        <v>435</v>
      </c>
      <c r="B2614">
        <f t="shared" ca="1" si="40"/>
        <v>175</v>
      </c>
      <c r="C2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4" t="str">
        <f ca="1">IF(dict_zuord_Meth_Transfers[[#This Row],[kval_active]],dict_zuord_Meth_Transfers[[#This Row],[ID_Transfers]],"")</f>
        <v/>
      </c>
    </row>
    <row r="2615" spans="1:4" x14ac:dyDescent="0.45">
      <c r="A2615">
        <v>435</v>
      </c>
      <c r="B2615">
        <f t="shared" ca="1" si="40"/>
        <v>164</v>
      </c>
      <c r="C2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5" t="str">
        <f ca="1">IF(dict_zuord_Meth_Transfers[[#This Row],[kval_active]],dict_zuord_Meth_Transfers[[#This Row],[ID_Transfers]],"")</f>
        <v/>
      </c>
    </row>
    <row r="2616" spans="1:4" x14ac:dyDescent="0.45">
      <c r="A2616">
        <v>435</v>
      </c>
      <c r="B2616" s="3">
        <f t="shared" ca="1" si="40"/>
        <v>97</v>
      </c>
      <c r="C2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6" t="str">
        <f ca="1">IF(dict_zuord_Meth_Transfers[[#This Row],[kval_active]],dict_zuord_Meth_Transfers[[#This Row],[ID_Transfers]],"")</f>
        <v/>
      </c>
    </row>
    <row r="2617" spans="1:4" x14ac:dyDescent="0.45">
      <c r="A2617">
        <v>435</v>
      </c>
      <c r="B2617">
        <f t="shared" ca="1" si="40"/>
        <v>41</v>
      </c>
      <c r="C2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7" t="str">
        <f ca="1">IF(dict_zuord_Meth_Transfers[[#This Row],[kval_active]],dict_zuord_Meth_Transfers[[#This Row],[ID_Transfers]],"")</f>
        <v/>
      </c>
    </row>
    <row r="2618" spans="1:4" x14ac:dyDescent="0.45">
      <c r="A2618">
        <v>436</v>
      </c>
      <c r="B2618">
        <f t="shared" ca="1" si="40"/>
        <v>79</v>
      </c>
      <c r="C2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8" t="str">
        <f ca="1">IF(dict_zuord_Meth_Transfers[[#This Row],[kval_active]],dict_zuord_Meth_Transfers[[#This Row],[ID_Transfers]],"")</f>
        <v/>
      </c>
    </row>
    <row r="2619" spans="1:4" x14ac:dyDescent="0.45">
      <c r="A2619">
        <v>436</v>
      </c>
      <c r="B2619" s="3">
        <f t="shared" ca="1" si="40"/>
        <v>155</v>
      </c>
      <c r="C2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19" t="str">
        <f ca="1">IF(dict_zuord_Meth_Transfers[[#This Row],[kval_active]],dict_zuord_Meth_Transfers[[#This Row],[ID_Transfers]],"")</f>
        <v/>
      </c>
    </row>
    <row r="2620" spans="1:4" x14ac:dyDescent="0.45">
      <c r="A2620">
        <v>436</v>
      </c>
      <c r="B2620">
        <f t="shared" ca="1" si="40"/>
        <v>139</v>
      </c>
      <c r="C2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0" t="str">
        <f ca="1">IF(dict_zuord_Meth_Transfers[[#This Row],[kval_active]],dict_zuord_Meth_Transfers[[#This Row],[ID_Transfers]],"")</f>
        <v/>
      </c>
    </row>
    <row r="2621" spans="1:4" x14ac:dyDescent="0.45">
      <c r="A2621">
        <v>436</v>
      </c>
      <c r="B2621" s="3">
        <f t="shared" ca="1" si="40"/>
        <v>25</v>
      </c>
      <c r="C2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1" t="str">
        <f ca="1">IF(dict_zuord_Meth_Transfers[[#This Row],[kval_active]],dict_zuord_Meth_Transfers[[#This Row],[ID_Transfers]],"")</f>
        <v/>
      </c>
    </row>
    <row r="2622" spans="1:4" x14ac:dyDescent="0.45">
      <c r="A2622">
        <v>436</v>
      </c>
      <c r="B2622" s="3">
        <f t="shared" ca="1" si="40"/>
        <v>53</v>
      </c>
      <c r="C2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2" t="str">
        <f ca="1">IF(dict_zuord_Meth_Transfers[[#This Row],[kval_active]],dict_zuord_Meth_Transfers[[#This Row],[ID_Transfers]],"")</f>
        <v/>
      </c>
    </row>
    <row r="2623" spans="1:4" x14ac:dyDescent="0.45">
      <c r="A2623">
        <v>436</v>
      </c>
      <c r="B2623">
        <f t="shared" ca="1" si="40"/>
        <v>100</v>
      </c>
      <c r="C2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3" t="str">
        <f ca="1">IF(dict_zuord_Meth_Transfers[[#This Row],[kval_active]],dict_zuord_Meth_Transfers[[#This Row],[ID_Transfers]],"")</f>
        <v/>
      </c>
    </row>
    <row r="2624" spans="1:4" x14ac:dyDescent="0.45">
      <c r="A2624">
        <v>437</v>
      </c>
      <c r="B2624">
        <f t="shared" ca="1" si="40"/>
        <v>60</v>
      </c>
      <c r="C2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4" t="str">
        <f ca="1">IF(dict_zuord_Meth_Transfers[[#This Row],[kval_active]],dict_zuord_Meth_Transfers[[#This Row],[ID_Transfers]],"")</f>
        <v/>
      </c>
    </row>
    <row r="2625" spans="1:4" x14ac:dyDescent="0.45">
      <c r="A2625">
        <v>437</v>
      </c>
      <c r="B2625" s="3">
        <f t="shared" ca="1" si="40"/>
        <v>65</v>
      </c>
      <c r="C2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5" t="str">
        <f ca="1">IF(dict_zuord_Meth_Transfers[[#This Row],[kval_active]],dict_zuord_Meth_Transfers[[#This Row],[ID_Transfers]],"")</f>
        <v/>
      </c>
    </row>
    <row r="2626" spans="1:4" x14ac:dyDescent="0.45">
      <c r="A2626">
        <v>437</v>
      </c>
      <c r="B2626">
        <f t="shared" ref="B2626:B2689" ca="1" si="41">RANDBETWEEN(0,200)</f>
        <v>189</v>
      </c>
      <c r="C2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6" t="str">
        <f ca="1">IF(dict_zuord_Meth_Transfers[[#This Row],[kval_active]],dict_zuord_Meth_Transfers[[#This Row],[ID_Transfers]],"")</f>
        <v/>
      </c>
    </row>
    <row r="2627" spans="1:4" x14ac:dyDescent="0.45">
      <c r="A2627">
        <v>437</v>
      </c>
      <c r="B2627">
        <f t="shared" ca="1" si="41"/>
        <v>163</v>
      </c>
      <c r="C2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7" t="str">
        <f ca="1">IF(dict_zuord_Meth_Transfers[[#This Row],[kval_active]],dict_zuord_Meth_Transfers[[#This Row],[ID_Transfers]],"")</f>
        <v/>
      </c>
    </row>
    <row r="2628" spans="1:4" x14ac:dyDescent="0.45">
      <c r="A2628">
        <v>437</v>
      </c>
      <c r="B2628" s="3">
        <f t="shared" ca="1" si="41"/>
        <v>53</v>
      </c>
      <c r="C2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8" t="str">
        <f ca="1">IF(dict_zuord_Meth_Transfers[[#This Row],[kval_active]],dict_zuord_Meth_Transfers[[#This Row],[ID_Transfers]],"")</f>
        <v/>
      </c>
    </row>
    <row r="2629" spans="1:4" x14ac:dyDescent="0.45">
      <c r="A2629">
        <v>437</v>
      </c>
      <c r="B2629" s="3">
        <f t="shared" ca="1" si="41"/>
        <v>50</v>
      </c>
      <c r="C2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29" t="str">
        <f ca="1">IF(dict_zuord_Meth_Transfers[[#This Row],[kval_active]],dict_zuord_Meth_Transfers[[#This Row],[ID_Transfers]],"")</f>
        <v/>
      </c>
    </row>
    <row r="2630" spans="1:4" x14ac:dyDescent="0.45">
      <c r="A2630">
        <v>438</v>
      </c>
      <c r="B2630">
        <f t="shared" ca="1" si="41"/>
        <v>183</v>
      </c>
      <c r="C2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0" t="str">
        <f ca="1">IF(dict_zuord_Meth_Transfers[[#This Row],[kval_active]],dict_zuord_Meth_Transfers[[#This Row],[ID_Transfers]],"")</f>
        <v/>
      </c>
    </row>
    <row r="2631" spans="1:4" x14ac:dyDescent="0.45">
      <c r="A2631">
        <v>438</v>
      </c>
      <c r="B2631" s="3">
        <f t="shared" ca="1" si="41"/>
        <v>173</v>
      </c>
      <c r="C2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1" t="str">
        <f ca="1">IF(dict_zuord_Meth_Transfers[[#This Row],[kval_active]],dict_zuord_Meth_Transfers[[#This Row],[ID_Transfers]],"")</f>
        <v/>
      </c>
    </row>
    <row r="2632" spans="1:4" x14ac:dyDescent="0.45">
      <c r="A2632">
        <v>438</v>
      </c>
      <c r="B2632">
        <f t="shared" ca="1" si="41"/>
        <v>183</v>
      </c>
      <c r="C2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2" t="str">
        <f ca="1">IF(dict_zuord_Meth_Transfers[[#This Row],[kval_active]],dict_zuord_Meth_Transfers[[#This Row],[ID_Transfers]],"")</f>
        <v/>
      </c>
    </row>
    <row r="2633" spans="1:4" x14ac:dyDescent="0.45">
      <c r="A2633">
        <v>438</v>
      </c>
      <c r="B2633" s="3">
        <f t="shared" ca="1" si="41"/>
        <v>60</v>
      </c>
      <c r="C2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3" t="str">
        <f ca="1">IF(dict_zuord_Meth_Transfers[[#This Row],[kval_active]],dict_zuord_Meth_Transfers[[#This Row],[ID_Transfers]],"")</f>
        <v/>
      </c>
    </row>
    <row r="2634" spans="1:4" x14ac:dyDescent="0.45">
      <c r="A2634">
        <v>438</v>
      </c>
      <c r="B2634">
        <f t="shared" ca="1" si="41"/>
        <v>79</v>
      </c>
      <c r="C2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4" t="str">
        <f ca="1">IF(dict_zuord_Meth_Transfers[[#This Row],[kval_active]],dict_zuord_Meth_Transfers[[#This Row],[ID_Transfers]],"")</f>
        <v/>
      </c>
    </row>
    <row r="2635" spans="1:4" x14ac:dyDescent="0.45">
      <c r="A2635">
        <v>438</v>
      </c>
      <c r="B2635" s="3">
        <f t="shared" ca="1" si="41"/>
        <v>89</v>
      </c>
      <c r="C2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5" t="str">
        <f ca="1">IF(dict_zuord_Meth_Transfers[[#This Row],[kval_active]],dict_zuord_Meth_Transfers[[#This Row],[ID_Transfers]],"")</f>
        <v/>
      </c>
    </row>
    <row r="2636" spans="1:4" x14ac:dyDescent="0.45">
      <c r="A2636">
        <v>439</v>
      </c>
      <c r="B2636">
        <f t="shared" ca="1" si="41"/>
        <v>164</v>
      </c>
      <c r="C2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6" t="str">
        <f ca="1">IF(dict_zuord_Meth_Transfers[[#This Row],[kval_active]],dict_zuord_Meth_Transfers[[#This Row],[ID_Transfers]],"")</f>
        <v/>
      </c>
    </row>
    <row r="2637" spans="1:4" x14ac:dyDescent="0.45">
      <c r="A2637">
        <v>439</v>
      </c>
      <c r="B2637" s="3">
        <f t="shared" ca="1" si="41"/>
        <v>13</v>
      </c>
      <c r="C2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7" t="str">
        <f ca="1">IF(dict_zuord_Meth_Transfers[[#This Row],[kval_active]],dict_zuord_Meth_Transfers[[#This Row],[ID_Transfers]],"")</f>
        <v/>
      </c>
    </row>
    <row r="2638" spans="1:4" x14ac:dyDescent="0.45">
      <c r="A2638">
        <v>439</v>
      </c>
      <c r="B2638" s="3">
        <f t="shared" ca="1" si="41"/>
        <v>195</v>
      </c>
      <c r="C2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8" t="str">
        <f ca="1">IF(dict_zuord_Meth_Transfers[[#This Row],[kval_active]],dict_zuord_Meth_Transfers[[#This Row],[ID_Transfers]],"")</f>
        <v/>
      </c>
    </row>
    <row r="2639" spans="1:4" x14ac:dyDescent="0.45">
      <c r="A2639">
        <v>439</v>
      </c>
      <c r="B2639" s="3">
        <f t="shared" ca="1" si="41"/>
        <v>145</v>
      </c>
      <c r="C2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39" t="str">
        <f ca="1">IF(dict_zuord_Meth_Transfers[[#This Row],[kval_active]],dict_zuord_Meth_Transfers[[#This Row],[ID_Transfers]],"")</f>
        <v/>
      </c>
    </row>
    <row r="2640" spans="1:4" x14ac:dyDescent="0.45">
      <c r="A2640">
        <v>439</v>
      </c>
      <c r="B2640">
        <f t="shared" ca="1" si="41"/>
        <v>131</v>
      </c>
      <c r="C2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0" t="str">
        <f ca="1">IF(dict_zuord_Meth_Transfers[[#This Row],[kval_active]],dict_zuord_Meth_Transfers[[#This Row],[ID_Transfers]],"")</f>
        <v/>
      </c>
    </row>
    <row r="2641" spans="1:4" x14ac:dyDescent="0.45">
      <c r="A2641">
        <v>439</v>
      </c>
      <c r="B2641">
        <f t="shared" ca="1" si="41"/>
        <v>133</v>
      </c>
      <c r="C2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1" t="str">
        <f ca="1">IF(dict_zuord_Meth_Transfers[[#This Row],[kval_active]],dict_zuord_Meth_Transfers[[#This Row],[ID_Transfers]],"")</f>
        <v/>
      </c>
    </row>
    <row r="2642" spans="1:4" x14ac:dyDescent="0.45">
      <c r="A2642">
        <v>440</v>
      </c>
      <c r="B2642" s="3">
        <f t="shared" ca="1" si="41"/>
        <v>134</v>
      </c>
      <c r="C2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2" t="str">
        <f ca="1">IF(dict_zuord_Meth_Transfers[[#This Row],[kval_active]],dict_zuord_Meth_Transfers[[#This Row],[ID_Transfers]],"")</f>
        <v/>
      </c>
    </row>
    <row r="2643" spans="1:4" x14ac:dyDescent="0.45">
      <c r="A2643">
        <v>440</v>
      </c>
      <c r="B2643" s="3">
        <f t="shared" ca="1" si="41"/>
        <v>53</v>
      </c>
      <c r="C2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3" t="str">
        <f ca="1">IF(dict_zuord_Meth_Transfers[[#This Row],[kval_active]],dict_zuord_Meth_Transfers[[#This Row],[ID_Transfers]],"")</f>
        <v/>
      </c>
    </row>
    <row r="2644" spans="1:4" x14ac:dyDescent="0.45">
      <c r="A2644">
        <v>440</v>
      </c>
      <c r="B2644">
        <f t="shared" ca="1" si="41"/>
        <v>169</v>
      </c>
      <c r="C2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4" t="str">
        <f ca="1">IF(dict_zuord_Meth_Transfers[[#This Row],[kval_active]],dict_zuord_Meth_Transfers[[#This Row],[ID_Transfers]],"")</f>
        <v/>
      </c>
    </row>
    <row r="2645" spans="1:4" x14ac:dyDescent="0.45">
      <c r="A2645">
        <v>440</v>
      </c>
      <c r="B2645">
        <f t="shared" ca="1" si="41"/>
        <v>13</v>
      </c>
      <c r="C2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5" t="str">
        <f ca="1">IF(dict_zuord_Meth_Transfers[[#This Row],[kval_active]],dict_zuord_Meth_Transfers[[#This Row],[ID_Transfers]],"")</f>
        <v/>
      </c>
    </row>
    <row r="2646" spans="1:4" x14ac:dyDescent="0.45">
      <c r="A2646">
        <v>440</v>
      </c>
      <c r="B2646" s="3">
        <f t="shared" ca="1" si="41"/>
        <v>40</v>
      </c>
      <c r="C2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6" t="str">
        <f ca="1">IF(dict_zuord_Meth_Transfers[[#This Row],[kval_active]],dict_zuord_Meth_Transfers[[#This Row],[ID_Transfers]],"")</f>
        <v/>
      </c>
    </row>
    <row r="2647" spans="1:4" x14ac:dyDescent="0.45">
      <c r="A2647">
        <v>440</v>
      </c>
      <c r="B2647">
        <f t="shared" ca="1" si="41"/>
        <v>28</v>
      </c>
      <c r="C2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7" t="str">
        <f ca="1">IF(dict_zuord_Meth_Transfers[[#This Row],[kval_active]],dict_zuord_Meth_Transfers[[#This Row],[ID_Transfers]],"")</f>
        <v/>
      </c>
    </row>
    <row r="2648" spans="1:4" x14ac:dyDescent="0.45">
      <c r="A2648">
        <v>441</v>
      </c>
      <c r="B2648">
        <f t="shared" ca="1" si="41"/>
        <v>88</v>
      </c>
      <c r="C2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8" t="str">
        <f ca="1">IF(dict_zuord_Meth_Transfers[[#This Row],[kval_active]],dict_zuord_Meth_Transfers[[#This Row],[ID_Transfers]],"")</f>
        <v/>
      </c>
    </row>
    <row r="2649" spans="1:4" x14ac:dyDescent="0.45">
      <c r="A2649">
        <v>441</v>
      </c>
      <c r="B2649" s="3">
        <f t="shared" ca="1" si="41"/>
        <v>125</v>
      </c>
      <c r="C2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49" t="str">
        <f ca="1">IF(dict_zuord_Meth_Transfers[[#This Row],[kval_active]],dict_zuord_Meth_Transfers[[#This Row],[ID_Transfers]],"")</f>
        <v/>
      </c>
    </row>
    <row r="2650" spans="1:4" x14ac:dyDescent="0.45">
      <c r="A2650">
        <v>441</v>
      </c>
      <c r="B2650" s="3">
        <f t="shared" ca="1" si="41"/>
        <v>91</v>
      </c>
      <c r="C2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0" t="str">
        <f ca="1">IF(dict_zuord_Meth_Transfers[[#This Row],[kval_active]],dict_zuord_Meth_Transfers[[#This Row],[ID_Transfers]],"")</f>
        <v/>
      </c>
    </row>
    <row r="2651" spans="1:4" x14ac:dyDescent="0.45">
      <c r="A2651">
        <v>441</v>
      </c>
      <c r="B2651">
        <f t="shared" ca="1" si="41"/>
        <v>106</v>
      </c>
      <c r="C2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1" t="str">
        <f ca="1">IF(dict_zuord_Meth_Transfers[[#This Row],[kval_active]],dict_zuord_Meth_Transfers[[#This Row],[ID_Transfers]],"")</f>
        <v/>
      </c>
    </row>
    <row r="2652" spans="1:4" x14ac:dyDescent="0.45">
      <c r="A2652">
        <v>441</v>
      </c>
      <c r="B2652">
        <f t="shared" ca="1" si="41"/>
        <v>63</v>
      </c>
      <c r="C2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2" t="str">
        <f ca="1">IF(dict_zuord_Meth_Transfers[[#This Row],[kval_active]],dict_zuord_Meth_Transfers[[#This Row],[ID_Transfers]],"")</f>
        <v/>
      </c>
    </row>
    <row r="2653" spans="1:4" x14ac:dyDescent="0.45">
      <c r="A2653">
        <v>441</v>
      </c>
      <c r="B2653" s="3">
        <f t="shared" ca="1" si="41"/>
        <v>120</v>
      </c>
      <c r="C2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3" t="str">
        <f ca="1">IF(dict_zuord_Meth_Transfers[[#This Row],[kval_active]],dict_zuord_Meth_Transfers[[#This Row],[ID_Transfers]],"")</f>
        <v/>
      </c>
    </row>
    <row r="2654" spans="1:4" x14ac:dyDescent="0.45">
      <c r="A2654">
        <v>442</v>
      </c>
      <c r="B2654">
        <f t="shared" ca="1" si="41"/>
        <v>48</v>
      </c>
      <c r="C2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4" t="str">
        <f ca="1">IF(dict_zuord_Meth_Transfers[[#This Row],[kval_active]],dict_zuord_Meth_Transfers[[#This Row],[ID_Transfers]],"")</f>
        <v/>
      </c>
    </row>
    <row r="2655" spans="1:4" x14ac:dyDescent="0.45">
      <c r="A2655">
        <v>442</v>
      </c>
      <c r="B2655">
        <f t="shared" ca="1" si="41"/>
        <v>7</v>
      </c>
      <c r="C2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5" t="str">
        <f ca="1">IF(dict_zuord_Meth_Transfers[[#This Row],[kval_active]],dict_zuord_Meth_Transfers[[#This Row],[ID_Transfers]],"")</f>
        <v/>
      </c>
    </row>
    <row r="2656" spans="1:4" x14ac:dyDescent="0.45">
      <c r="A2656">
        <v>442</v>
      </c>
      <c r="B2656" s="3">
        <f t="shared" ca="1" si="41"/>
        <v>146</v>
      </c>
      <c r="C2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6" t="str">
        <f ca="1">IF(dict_zuord_Meth_Transfers[[#This Row],[kval_active]],dict_zuord_Meth_Transfers[[#This Row],[ID_Transfers]],"")</f>
        <v/>
      </c>
    </row>
    <row r="2657" spans="1:4" x14ac:dyDescent="0.45">
      <c r="A2657">
        <v>442</v>
      </c>
      <c r="B2657">
        <f t="shared" ca="1" si="41"/>
        <v>194</v>
      </c>
      <c r="C2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7" t="str">
        <f ca="1">IF(dict_zuord_Meth_Transfers[[#This Row],[kval_active]],dict_zuord_Meth_Transfers[[#This Row],[ID_Transfers]],"")</f>
        <v/>
      </c>
    </row>
    <row r="2658" spans="1:4" x14ac:dyDescent="0.45">
      <c r="A2658">
        <v>442</v>
      </c>
      <c r="B2658" s="3">
        <f t="shared" ca="1" si="41"/>
        <v>8</v>
      </c>
      <c r="C2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8" t="str">
        <f ca="1">IF(dict_zuord_Meth_Transfers[[#This Row],[kval_active]],dict_zuord_Meth_Transfers[[#This Row],[ID_Transfers]],"")</f>
        <v/>
      </c>
    </row>
    <row r="2659" spans="1:4" x14ac:dyDescent="0.45">
      <c r="A2659">
        <v>442</v>
      </c>
      <c r="B2659" s="3">
        <f t="shared" ca="1" si="41"/>
        <v>198</v>
      </c>
      <c r="C2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59" t="str">
        <f ca="1">IF(dict_zuord_Meth_Transfers[[#This Row],[kval_active]],dict_zuord_Meth_Transfers[[#This Row],[ID_Transfers]],"")</f>
        <v/>
      </c>
    </row>
    <row r="2660" spans="1:4" x14ac:dyDescent="0.45">
      <c r="A2660">
        <v>443</v>
      </c>
      <c r="B2660" s="3">
        <f t="shared" ca="1" si="41"/>
        <v>133</v>
      </c>
      <c r="C2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0" t="str">
        <f ca="1">IF(dict_zuord_Meth_Transfers[[#This Row],[kval_active]],dict_zuord_Meth_Transfers[[#This Row],[ID_Transfers]],"")</f>
        <v/>
      </c>
    </row>
    <row r="2661" spans="1:4" x14ac:dyDescent="0.45">
      <c r="A2661">
        <v>443</v>
      </c>
      <c r="B2661">
        <f t="shared" ca="1" si="41"/>
        <v>197</v>
      </c>
      <c r="C2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1" t="str">
        <f ca="1">IF(dict_zuord_Meth_Transfers[[#This Row],[kval_active]],dict_zuord_Meth_Transfers[[#This Row],[ID_Transfers]],"")</f>
        <v/>
      </c>
    </row>
    <row r="2662" spans="1:4" x14ac:dyDescent="0.45">
      <c r="A2662">
        <v>443</v>
      </c>
      <c r="B2662">
        <f t="shared" ca="1" si="41"/>
        <v>161</v>
      </c>
      <c r="C2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2" t="str">
        <f ca="1">IF(dict_zuord_Meth_Transfers[[#This Row],[kval_active]],dict_zuord_Meth_Transfers[[#This Row],[ID_Transfers]],"")</f>
        <v/>
      </c>
    </row>
    <row r="2663" spans="1:4" x14ac:dyDescent="0.45">
      <c r="A2663">
        <v>443</v>
      </c>
      <c r="B2663" s="3">
        <f t="shared" ca="1" si="41"/>
        <v>148</v>
      </c>
      <c r="C2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3" t="str">
        <f ca="1">IF(dict_zuord_Meth_Transfers[[#This Row],[kval_active]],dict_zuord_Meth_Transfers[[#This Row],[ID_Transfers]],"")</f>
        <v/>
      </c>
    </row>
    <row r="2664" spans="1:4" x14ac:dyDescent="0.45">
      <c r="A2664">
        <v>443</v>
      </c>
      <c r="B2664">
        <f t="shared" ca="1" si="41"/>
        <v>141</v>
      </c>
      <c r="C2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4" t="str">
        <f ca="1">IF(dict_zuord_Meth_Transfers[[#This Row],[kval_active]],dict_zuord_Meth_Transfers[[#This Row],[ID_Transfers]],"")</f>
        <v/>
      </c>
    </row>
    <row r="2665" spans="1:4" x14ac:dyDescent="0.45">
      <c r="A2665">
        <v>443</v>
      </c>
      <c r="B2665" s="3">
        <f t="shared" ca="1" si="41"/>
        <v>98</v>
      </c>
      <c r="C2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5" t="str">
        <f ca="1">IF(dict_zuord_Meth_Transfers[[#This Row],[kval_active]],dict_zuord_Meth_Transfers[[#This Row],[ID_Transfers]],"")</f>
        <v/>
      </c>
    </row>
    <row r="2666" spans="1:4" x14ac:dyDescent="0.45">
      <c r="A2666">
        <v>444</v>
      </c>
      <c r="B2666" s="3">
        <f t="shared" ca="1" si="41"/>
        <v>172</v>
      </c>
      <c r="C2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6" t="str">
        <f ca="1">IF(dict_zuord_Meth_Transfers[[#This Row],[kval_active]],dict_zuord_Meth_Transfers[[#This Row],[ID_Transfers]],"")</f>
        <v/>
      </c>
    </row>
    <row r="2667" spans="1:4" x14ac:dyDescent="0.45">
      <c r="A2667">
        <v>444</v>
      </c>
      <c r="B2667">
        <f t="shared" ca="1" si="41"/>
        <v>52</v>
      </c>
      <c r="C2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7" t="str">
        <f ca="1">IF(dict_zuord_Meth_Transfers[[#This Row],[kval_active]],dict_zuord_Meth_Transfers[[#This Row],[ID_Transfers]],"")</f>
        <v/>
      </c>
    </row>
    <row r="2668" spans="1:4" x14ac:dyDescent="0.45">
      <c r="A2668">
        <v>444</v>
      </c>
      <c r="B2668" s="3">
        <f t="shared" ca="1" si="41"/>
        <v>47</v>
      </c>
      <c r="C2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8" t="str">
        <f ca="1">IF(dict_zuord_Meth_Transfers[[#This Row],[kval_active]],dict_zuord_Meth_Transfers[[#This Row],[ID_Transfers]],"")</f>
        <v/>
      </c>
    </row>
    <row r="2669" spans="1:4" x14ac:dyDescent="0.45">
      <c r="A2669">
        <v>444</v>
      </c>
      <c r="B2669" s="3">
        <f t="shared" ca="1" si="41"/>
        <v>57</v>
      </c>
      <c r="C2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69" t="str">
        <f ca="1">IF(dict_zuord_Meth_Transfers[[#This Row],[kval_active]],dict_zuord_Meth_Transfers[[#This Row],[ID_Transfers]],"")</f>
        <v/>
      </c>
    </row>
    <row r="2670" spans="1:4" x14ac:dyDescent="0.45">
      <c r="A2670">
        <v>444</v>
      </c>
      <c r="B2670">
        <f t="shared" ca="1" si="41"/>
        <v>72</v>
      </c>
      <c r="C2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0" t="str">
        <f ca="1">IF(dict_zuord_Meth_Transfers[[#This Row],[kval_active]],dict_zuord_Meth_Transfers[[#This Row],[ID_Transfers]],"")</f>
        <v/>
      </c>
    </row>
    <row r="2671" spans="1:4" x14ac:dyDescent="0.45">
      <c r="A2671">
        <v>444</v>
      </c>
      <c r="B2671">
        <f t="shared" ca="1" si="41"/>
        <v>147</v>
      </c>
      <c r="C2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1" t="str">
        <f ca="1">IF(dict_zuord_Meth_Transfers[[#This Row],[kval_active]],dict_zuord_Meth_Transfers[[#This Row],[ID_Transfers]],"")</f>
        <v/>
      </c>
    </row>
    <row r="2672" spans="1:4" x14ac:dyDescent="0.45">
      <c r="A2672">
        <v>445</v>
      </c>
      <c r="B2672">
        <f t="shared" ca="1" si="41"/>
        <v>55</v>
      </c>
      <c r="C2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2" t="str">
        <f ca="1">IF(dict_zuord_Meth_Transfers[[#This Row],[kval_active]],dict_zuord_Meth_Transfers[[#This Row],[ID_Transfers]],"")</f>
        <v/>
      </c>
    </row>
    <row r="2673" spans="1:4" x14ac:dyDescent="0.45">
      <c r="A2673">
        <v>445</v>
      </c>
      <c r="B2673">
        <f t="shared" ca="1" si="41"/>
        <v>146</v>
      </c>
      <c r="C2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3" t="str">
        <f ca="1">IF(dict_zuord_Meth_Transfers[[#This Row],[kval_active]],dict_zuord_Meth_Transfers[[#This Row],[ID_Transfers]],"")</f>
        <v/>
      </c>
    </row>
    <row r="2674" spans="1:4" x14ac:dyDescent="0.45">
      <c r="A2674">
        <v>445</v>
      </c>
      <c r="B2674">
        <f t="shared" ca="1" si="41"/>
        <v>193</v>
      </c>
      <c r="C2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4" t="str">
        <f ca="1">IF(dict_zuord_Meth_Transfers[[#This Row],[kval_active]],dict_zuord_Meth_Transfers[[#This Row],[ID_Transfers]],"")</f>
        <v/>
      </c>
    </row>
    <row r="2675" spans="1:4" x14ac:dyDescent="0.45">
      <c r="A2675">
        <v>445</v>
      </c>
      <c r="B2675" s="3">
        <f t="shared" ca="1" si="41"/>
        <v>86</v>
      </c>
      <c r="C2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5" t="str">
        <f ca="1">IF(dict_zuord_Meth_Transfers[[#This Row],[kval_active]],dict_zuord_Meth_Transfers[[#This Row],[ID_Transfers]],"")</f>
        <v/>
      </c>
    </row>
    <row r="2676" spans="1:4" x14ac:dyDescent="0.45">
      <c r="A2676">
        <v>445</v>
      </c>
      <c r="B2676" s="3">
        <f t="shared" ca="1" si="41"/>
        <v>120</v>
      </c>
      <c r="C2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6" t="str">
        <f ca="1">IF(dict_zuord_Meth_Transfers[[#This Row],[kval_active]],dict_zuord_Meth_Transfers[[#This Row],[ID_Transfers]],"")</f>
        <v/>
      </c>
    </row>
    <row r="2677" spans="1:4" x14ac:dyDescent="0.45">
      <c r="A2677">
        <v>445</v>
      </c>
      <c r="B2677" s="3">
        <f t="shared" ca="1" si="41"/>
        <v>85</v>
      </c>
      <c r="C2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7" t="str">
        <f ca="1">IF(dict_zuord_Meth_Transfers[[#This Row],[kval_active]],dict_zuord_Meth_Transfers[[#This Row],[ID_Transfers]],"")</f>
        <v/>
      </c>
    </row>
    <row r="2678" spans="1:4" x14ac:dyDescent="0.45">
      <c r="A2678">
        <v>446</v>
      </c>
      <c r="B2678">
        <f t="shared" ca="1" si="41"/>
        <v>24</v>
      </c>
      <c r="C2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8" t="str">
        <f ca="1">IF(dict_zuord_Meth_Transfers[[#This Row],[kval_active]],dict_zuord_Meth_Transfers[[#This Row],[ID_Transfers]],"")</f>
        <v/>
      </c>
    </row>
    <row r="2679" spans="1:4" x14ac:dyDescent="0.45">
      <c r="A2679">
        <v>446</v>
      </c>
      <c r="B2679" s="3">
        <f t="shared" ca="1" si="41"/>
        <v>30</v>
      </c>
      <c r="C2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79" t="str">
        <f ca="1">IF(dict_zuord_Meth_Transfers[[#This Row],[kval_active]],dict_zuord_Meth_Transfers[[#This Row],[ID_Transfers]],"")</f>
        <v/>
      </c>
    </row>
    <row r="2680" spans="1:4" x14ac:dyDescent="0.45">
      <c r="A2680">
        <v>446</v>
      </c>
      <c r="B2680">
        <f t="shared" ca="1" si="41"/>
        <v>88</v>
      </c>
      <c r="C2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0" t="str">
        <f ca="1">IF(dict_zuord_Meth_Transfers[[#This Row],[kval_active]],dict_zuord_Meth_Transfers[[#This Row],[ID_Transfers]],"")</f>
        <v/>
      </c>
    </row>
    <row r="2681" spans="1:4" x14ac:dyDescent="0.45">
      <c r="A2681">
        <v>446</v>
      </c>
      <c r="B2681" s="3">
        <f t="shared" ca="1" si="41"/>
        <v>97</v>
      </c>
      <c r="C2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1" t="str">
        <f ca="1">IF(dict_zuord_Meth_Transfers[[#This Row],[kval_active]],dict_zuord_Meth_Transfers[[#This Row],[ID_Transfers]],"")</f>
        <v/>
      </c>
    </row>
    <row r="2682" spans="1:4" x14ac:dyDescent="0.45">
      <c r="A2682">
        <v>446</v>
      </c>
      <c r="B2682">
        <f t="shared" ca="1" si="41"/>
        <v>70</v>
      </c>
      <c r="C2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2" t="str">
        <f ca="1">IF(dict_zuord_Meth_Transfers[[#This Row],[kval_active]],dict_zuord_Meth_Transfers[[#This Row],[ID_Transfers]],"")</f>
        <v/>
      </c>
    </row>
    <row r="2683" spans="1:4" x14ac:dyDescent="0.45">
      <c r="A2683">
        <v>446</v>
      </c>
      <c r="B2683" s="3">
        <f t="shared" ca="1" si="41"/>
        <v>109</v>
      </c>
      <c r="C2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3" t="str">
        <f ca="1">IF(dict_zuord_Meth_Transfers[[#This Row],[kval_active]],dict_zuord_Meth_Transfers[[#This Row],[ID_Transfers]],"")</f>
        <v/>
      </c>
    </row>
    <row r="2684" spans="1:4" x14ac:dyDescent="0.45">
      <c r="A2684">
        <v>447</v>
      </c>
      <c r="B2684">
        <f t="shared" ca="1" si="41"/>
        <v>82</v>
      </c>
      <c r="C2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4" t="str">
        <f ca="1">IF(dict_zuord_Meth_Transfers[[#This Row],[kval_active]],dict_zuord_Meth_Transfers[[#This Row],[ID_Transfers]],"")</f>
        <v/>
      </c>
    </row>
    <row r="2685" spans="1:4" x14ac:dyDescent="0.45">
      <c r="A2685">
        <v>447</v>
      </c>
      <c r="B2685" s="3">
        <f t="shared" ca="1" si="41"/>
        <v>102</v>
      </c>
      <c r="C2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5" t="str">
        <f ca="1">IF(dict_zuord_Meth_Transfers[[#This Row],[kval_active]],dict_zuord_Meth_Transfers[[#This Row],[ID_Transfers]],"")</f>
        <v/>
      </c>
    </row>
    <row r="2686" spans="1:4" x14ac:dyDescent="0.45">
      <c r="A2686">
        <v>447</v>
      </c>
      <c r="B2686" s="3">
        <f t="shared" ca="1" si="41"/>
        <v>128</v>
      </c>
      <c r="C2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6" t="str">
        <f ca="1">IF(dict_zuord_Meth_Transfers[[#This Row],[kval_active]],dict_zuord_Meth_Transfers[[#This Row],[ID_Transfers]],"")</f>
        <v/>
      </c>
    </row>
    <row r="2687" spans="1:4" x14ac:dyDescent="0.45">
      <c r="A2687">
        <v>447</v>
      </c>
      <c r="B2687">
        <f t="shared" ca="1" si="41"/>
        <v>22</v>
      </c>
      <c r="C2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7" t="str">
        <f ca="1">IF(dict_zuord_Meth_Transfers[[#This Row],[kval_active]],dict_zuord_Meth_Transfers[[#This Row],[ID_Transfers]],"")</f>
        <v/>
      </c>
    </row>
    <row r="2688" spans="1:4" x14ac:dyDescent="0.45">
      <c r="A2688">
        <v>447</v>
      </c>
      <c r="B2688" s="3">
        <f t="shared" ca="1" si="41"/>
        <v>125</v>
      </c>
      <c r="C2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8" t="str">
        <f ca="1">IF(dict_zuord_Meth_Transfers[[#This Row],[kval_active]],dict_zuord_Meth_Transfers[[#This Row],[ID_Transfers]],"")</f>
        <v/>
      </c>
    </row>
    <row r="2689" spans="1:4" x14ac:dyDescent="0.45">
      <c r="A2689">
        <v>447</v>
      </c>
      <c r="B2689">
        <f t="shared" ca="1" si="41"/>
        <v>6</v>
      </c>
      <c r="C2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89" t="str">
        <f ca="1">IF(dict_zuord_Meth_Transfers[[#This Row],[kval_active]],dict_zuord_Meth_Transfers[[#This Row],[ID_Transfers]],"")</f>
        <v/>
      </c>
    </row>
    <row r="2690" spans="1:4" x14ac:dyDescent="0.45">
      <c r="A2690">
        <v>448</v>
      </c>
      <c r="B2690" s="3">
        <f t="shared" ref="B2690:B2753" ca="1" si="42">RANDBETWEEN(0,200)</f>
        <v>59</v>
      </c>
      <c r="C2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0" t="str">
        <f ca="1">IF(dict_zuord_Meth_Transfers[[#This Row],[kval_active]],dict_zuord_Meth_Transfers[[#This Row],[ID_Transfers]],"")</f>
        <v/>
      </c>
    </row>
    <row r="2691" spans="1:4" x14ac:dyDescent="0.45">
      <c r="A2691">
        <v>448</v>
      </c>
      <c r="B2691">
        <f t="shared" ca="1" si="42"/>
        <v>9</v>
      </c>
      <c r="C2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1" t="str">
        <f ca="1">IF(dict_zuord_Meth_Transfers[[#This Row],[kval_active]],dict_zuord_Meth_Transfers[[#This Row],[ID_Transfers]],"")</f>
        <v/>
      </c>
    </row>
    <row r="2692" spans="1:4" x14ac:dyDescent="0.45">
      <c r="A2692">
        <v>448</v>
      </c>
      <c r="B2692">
        <f t="shared" ca="1" si="42"/>
        <v>175</v>
      </c>
      <c r="C2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2" t="str">
        <f ca="1">IF(dict_zuord_Meth_Transfers[[#This Row],[kval_active]],dict_zuord_Meth_Transfers[[#This Row],[ID_Transfers]],"")</f>
        <v/>
      </c>
    </row>
    <row r="2693" spans="1:4" x14ac:dyDescent="0.45">
      <c r="A2693">
        <v>448</v>
      </c>
      <c r="B2693">
        <f t="shared" ca="1" si="42"/>
        <v>97</v>
      </c>
      <c r="C2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3" t="str">
        <f ca="1">IF(dict_zuord_Meth_Transfers[[#This Row],[kval_active]],dict_zuord_Meth_Transfers[[#This Row],[ID_Transfers]],"")</f>
        <v/>
      </c>
    </row>
    <row r="2694" spans="1:4" x14ac:dyDescent="0.45">
      <c r="A2694">
        <v>448</v>
      </c>
      <c r="B2694" s="3">
        <f t="shared" ca="1" si="42"/>
        <v>117</v>
      </c>
      <c r="C2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4" t="str">
        <f ca="1">IF(dict_zuord_Meth_Transfers[[#This Row],[kval_active]],dict_zuord_Meth_Transfers[[#This Row],[ID_Transfers]],"")</f>
        <v/>
      </c>
    </row>
    <row r="2695" spans="1:4" x14ac:dyDescent="0.45">
      <c r="A2695">
        <v>448</v>
      </c>
      <c r="B2695" s="3">
        <f t="shared" ca="1" si="42"/>
        <v>1</v>
      </c>
      <c r="C2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5" t="str">
        <f ca="1">IF(dict_zuord_Meth_Transfers[[#This Row],[kval_active]],dict_zuord_Meth_Transfers[[#This Row],[ID_Transfers]],"")</f>
        <v/>
      </c>
    </row>
    <row r="2696" spans="1:4" x14ac:dyDescent="0.45">
      <c r="A2696">
        <v>449</v>
      </c>
      <c r="B2696">
        <f t="shared" ca="1" si="42"/>
        <v>188</v>
      </c>
      <c r="C2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6" t="str">
        <f ca="1">IF(dict_zuord_Meth_Transfers[[#This Row],[kval_active]],dict_zuord_Meth_Transfers[[#This Row],[ID_Transfers]],"")</f>
        <v/>
      </c>
    </row>
    <row r="2697" spans="1:4" x14ac:dyDescent="0.45">
      <c r="A2697">
        <v>449</v>
      </c>
      <c r="B2697" s="3">
        <f t="shared" ca="1" si="42"/>
        <v>38</v>
      </c>
      <c r="C2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7" t="str">
        <f ca="1">IF(dict_zuord_Meth_Transfers[[#This Row],[kval_active]],dict_zuord_Meth_Transfers[[#This Row],[ID_Transfers]],"")</f>
        <v/>
      </c>
    </row>
    <row r="2698" spans="1:4" x14ac:dyDescent="0.45">
      <c r="A2698">
        <v>449</v>
      </c>
      <c r="B2698">
        <f t="shared" ca="1" si="42"/>
        <v>178</v>
      </c>
      <c r="C2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8" t="str">
        <f ca="1">IF(dict_zuord_Meth_Transfers[[#This Row],[kval_active]],dict_zuord_Meth_Transfers[[#This Row],[ID_Transfers]],"")</f>
        <v/>
      </c>
    </row>
    <row r="2699" spans="1:4" x14ac:dyDescent="0.45">
      <c r="A2699">
        <v>449</v>
      </c>
      <c r="B2699" s="3">
        <f t="shared" ca="1" si="42"/>
        <v>132</v>
      </c>
      <c r="C2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699" t="str">
        <f ca="1">IF(dict_zuord_Meth_Transfers[[#This Row],[kval_active]],dict_zuord_Meth_Transfers[[#This Row],[ID_Transfers]],"")</f>
        <v/>
      </c>
    </row>
    <row r="2700" spans="1:4" x14ac:dyDescent="0.45">
      <c r="A2700">
        <v>449</v>
      </c>
      <c r="B2700" s="3">
        <f t="shared" ca="1" si="42"/>
        <v>29</v>
      </c>
      <c r="C2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0" t="str">
        <f ca="1">IF(dict_zuord_Meth_Transfers[[#This Row],[kval_active]],dict_zuord_Meth_Transfers[[#This Row],[ID_Transfers]],"")</f>
        <v/>
      </c>
    </row>
    <row r="2701" spans="1:4" x14ac:dyDescent="0.45">
      <c r="A2701">
        <v>449</v>
      </c>
      <c r="B2701">
        <f t="shared" ca="1" si="42"/>
        <v>70</v>
      </c>
      <c r="C2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1" t="str">
        <f ca="1">IF(dict_zuord_Meth_Transfers[[#This Row],[kval_active]],dict_zuord_Meth_Transfers[[#This Row],[ID_Transfers]],"")</f>
        <v/>
      </c>
    </row>
    <row r="2702" spans="1:4" x14ac:dyDescent="0.45">
      <c r="A2702">
        <v>450</v>
      </c>
      <c r="B2702" s="3">
        <f t="shared" ca="1" si="42"/>
        <v>38</v>
      </c>
      <c r="C2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2" t="str">
        <f ca="1">IF(dict_zuord_Meth_Transfers[[#This Row],[kval_active]],dict_zuord_Meth_Transfers[[#This Row],[ID_Transfers]],"")</f>
        <v/>
      </c>
    </row>
    <row r="2703" spans="1:4" x14ac:dyDescent="0.45">
      <c r="A2703">
        <v>450</v>
      </c>
      <c r="B2703">
        <f t="shared" ca="1" si="42"/>
        <v>40</v>
      </c>
      <c r="C2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3" t="str">
        <f ca="1">IF(dict_zuord_Meth_Transfers[[#This Row],[kval_active]],dict_zuord_Meth_Transfers[[#This Row],[ID_Transfers]],"")</f>
        <v/>
      </c>
    </row>
    <row r="2704" spans="1:4" x14ac:dyDescent="0.45">
      <c r="A2704">
        <v>450</v>
      </c>
      <c r="B2704" s="3">
        <f t="shared" ca="1" si="42"/>
        <v>197</v>
      </c>
      <c r="C2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4" t="str">
        <f ca="1">IF(dict_zuord_Meth_Transfers[[#This Row],[kval_active]],dict_zuord_Meth_Transfers[[#This Row],[ID_Transfers]],"")</f>
        <v/>
      </c>
    </row>
    <row r="2705" spans="1:4" x14ac:dyDescent="0.45">
      <c r="A2705">
        <v>450</v>
      </c>
      <c r="B2705" s="3">
        <f t="shared" ca="1" si="42"/>
        <v>104</v>
      </c>
      <c r="C2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5" t="str">
        <f ca="1">IF(dict_zuord_Meth_Transfers[[#This Row],[kval_active]],dict_zuord_Meth_Transfers[[#This Row],[ID_Transfers]],"")</f>
        <v/>
      </c>
    </row>
    <row r="2706" spans="1:4" x14ac:dyDescent="0.45">
      <c r="A2706">
        <v>450</v>
      </c>
      <c r="B2706">
        <f t="shared" ca="1" si="42"/>
        <v>130</v>
      </c>
      <c r="C2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6" t="str">
        <f ca="1">IF(dict_zuord_Meth_Transfers[[#This Row],[kval_active]],dict_zuord_Meth_Transfers[[#This Row],[ID_Transfers]],"")</f>
        <v/>
      </c>
    </row>
    <row r="2707" spans="1:4" x14ac:dyDescent="0.45">
      <c r="A2707">
        <v>450</v>
      </c>
      <c r="B2707">
        <f t="shared" ca="1" si="42"/>
        <v>120</v>
      </c>
      <c r="C2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7" t="str">
        <f ca="1">IF(dict_zuord_Meth_Transfers[[#This Row],[kval_active]],dict_zuord_Meth_Transfers[[#This Row],[ID_Transfers]],"")</f>
        <v/>
      </c>
    </row>
    <row r="2708" spans="1:4" x14ac:dyDescent="0.45">
      <c r="A2708">
        <v>451</v>
      </c>
      <c r="B2708">
        <f t="shared" ca="1" si="42"/>
        <v>64</v>
      </c>
      <c r="C2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8" t="str">
        <f ca="1">IF(dict_zuord_Meth_Transfers[[#This Row],[kval_active]],dict_zuord_Meth_Transfers[[#This Row],[ID_Transfers]],"")</f>
        <v/>
      </c>
    </row>
    <row r="2709" spans="1:4" x14ac:dyDescent="0.45">
      <c r="A2709">
        <v>451</v>
      </c>
      <c r="B2709" s="3">
        <f t="shared" ca="1" si="42"/>
        <v>192</v>
      </c>
      <c r="C2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09" t="str">
        <f ca="1">IF(dict_zuord_Meth_Transfers[[#This Row],[kval_active]],dict_zuord_Meth_Transfers[[#This Row],[ID_Transfers]],"")</f>
        <v/>
      </c>
    </row>
    <row r="2710" spans="1:4" x14ac:dyDescent="0.45">
      <c r="A2710">
        <v>451</v>
      </c>
      <c r="B2710">
        <f t="shared" ca="1" si="42"/>
        <v>36</v>
      </c>
      <c r="C2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0" t="str">
        <f ca="1">IF(dict_zuord_Meth_Transfers[[#This Row],[kval_active]],dict_zuord_Meth_Transfers[[#This Row],[ID_Transfers]],"")</f>
        <v/>
      </c>
    </row>
    <row r="2711" spans="1:4" x14ac:dyDescent="0.45">
      <c r="A2711">
        <v>451</v>
      </c>
      <c r="B2711" s="3">
        <f t="shared" ca="1" si="42"/>
        <v>6</v>
      </c>
      <c r="C2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1" t="str">
        <f ca="1">IF(dict_zuord_Meth_Transfers[[#This Row],[kval_active]],dict_zuord_Meth_Transfers[[#This Row],[ID_Transfers]],"")</f>
        <v/>
      </c>
    </row>
    <row r="2712" spans="1:4" x14ac:dyDescent="0.45">
      <c r="A2712">
        <v>451</v>
      </c>
      <c r="B2712">
        <f t="shared" ca="1" si="42"/>
        <v>33</v>
      </c>
      <c r="C2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2" t="str">
        <f ca="1">IF(dict_zuord_Meth_Transfers[[#This Row],[kval_active]],dict_zuord_Meth_Transfers[[#This Row],[ID_Transfers]],"")</f>
        <v/>
      </c>
    </row>
    <row r="2713" spans="1:4" x14ac:dyDescent="0.45">
      <c r="A2713">
        <v>451</v>
      </c>
      <c r="B2713" s="3">
        <f t="shared" ca="1" si="42"/>
        <v>169</v>
      </c>
      <c r="C2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3" t="str">
        <f ca="1">IF(dict_zuord_Meth_Transfers[[#This Row],[kval_active]],dict_zuord_Meth_Transfers[[#This Row],[ID_Transfers]],"")</f>
        <v/>
      </c>
    </row>
    <row r="2714" spans="1:4" x14ac:dyDescent="0.45">
      <c r="A2714">
        <v>452</v>
      </c>
      <c r="B2714" s="3">
        <f t="shared" ca="1" si="42"/>
        <v>57</v>
      </c>
      <c r="C2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4" t="str">
        <f ca="1">IF(dict_zuord_Meth_Transfers[[#This Row],[kval_active]],dict_zuord_Meth_Transfers[[#This Row],[ID_Transfers]],"")</f>
        <v/>
      </c>
    </row>
    <row r="2715" spans="1:4" x14ac:dyDescent="0.45">
      <c r="A2715">
        <v>452</v>
      </c>
      <c r="B2715">
        <f t="shared" ca="1" si="42"/>
        <v>113</v>
      </c>
      <c r="C2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5" t="str">
        <f ca="1">IF(dict_zuord_Meth_Transfers[[#This Row],[kval_active]],dict_zuord_Meth_Transfers[[#This Row],[ID_Transfers]],"")</f>
        <v/>
      </c>
    </row>
    <row r="2716" spans="1:4" x14ac:dyDescent="0.45">
      <c r="A2716">
        <v>452</v>
      </c>
      <c r="B2716" s="3">
        <f t="shared" ca="1" si="42"/>
        <v>88</v>
      </c>
      <c r="C2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6" t="str">
        <f ca="1">IF(dict_zuord_Meth_Transfers[[#This Row],[kval_active]],dict_zuord_Meth_Transfers[[#This Row],[ID_Transfers]],"")</f>
        <v/>
      </c>
    </row>
    <row r="2717" spans="1:4" x14ac:dyDescent="0.45">
      <c r="A2717">
        <v>452</v>
      </c>
      <c r="B2717">
        <f t="shared" ca="1" si="42"/>
        <v>182</v>
      </c>
      <c r="C2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7" t="str">
        <f ca="1">IF(dict_zuord_Meth_Transfers[[#This Row],[kval_active]],dict_zuord_Meth_Transfers[[#This Row],[ID_Transfers]],"")</f>
        <v/>
      </c>
    </row>
    <row r="2718" spans="1:4" x14ac:dyDescent="0.45">
      <c r="A2718">
        <v>452</v>
      </c>
      <c r="B2718" s="3">
        <f t="shared" ca="1" si="42"/>
        <v>154</v>
      </c>
      <c r="C2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8" t="str">
        <f ca="1">IF(dict_zuord_Meth_Transfers[[#This Row],[kval_active]],dict_zuord_Meth_Transfers[[#This Row],[ID_Transfers]],"")</f>
        <v/>
      </c>
    </row>
    <row r="2719" spans="1:4" x14ac:dyDescent="0.45">
      <c r="A2719">
        <v>452</v>
      </c>
      <c r="B2719">
        <f t="shared" ca="1" si="42"/>
        <v>167</v>
      </c>
      <c r="C2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19" t="str">
        <f ca="1">IF(dict_zuord_Meth_Transfers[[#This Row],[kval_active]],dict_zuord_Meth_Transfers[[#This Row],[ID_Transfers]],"")</f>
        <v/>
      </c>
    </row>
    <row r="2720" spans="1:4" x14ac:dyDescent="0.45">
      <c r="A2720">
        <v>453</v>
      </c>
      <c r="B2720" s="3">
        <f t="shared" ca="1" si="42"/>
        <v>147</v>
      </c>
      <c r="C2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0" t="str">
        <f ca="1">IF(dict_zuord_Meth_Transfers[[#This Row],[kval_active]],dict_zuord_Meth_Transfers[[#This Row],[ID_Transfers]],"")</f>
        <v/>
      </c>
    </row>
    <row r="2721" spans="1:4" x14ac:dyDescent="0.45">
      <c r="A2721">
        <v>453</v>
      </c>
      <c r="B2721">
        <f t="shared" ca="1" si="42"/>
        <v>120</v>
      </c>
      <c r="C2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1" t="str">
        <f ca="1">IF(dict_zuord_Meth_Transfers[[#This Row],[kval_active]],dict_zuord_Meth_Transfers[[#This Row],[ID_Transfers]],"")</f>
        <v/>
      </c>
    </row>
    <row r="2722" spans="1:4" x14ac:dyDescent="0.45">
      <c r="A2722">
        <v>453</v>
      </c>
      <c r="B2722" s="3">
        <f t="shared" ca="1" si="42"/>
        <v>28</v>
      </c>
      <c r="C2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2" t="str">
        <f ca="1">IF(dict_zuord_Meth_Transfers[[#This Row],[kval_active]],dict_zuord_Meth_Transfers[[#This Row],[ID_Transfers]],"")</f>
        <v/>
      </c>
    </row>
    <row r="2723" spans="1:4" x14ac:dyDescent="0.45">
      <c r="A2723">
        <v>453</v>
      </c>
      <c r="B2723" s="3">
        <f t="shared" ca="1" si="42"/>
        <v>135</v>
      </c>
      <c r="C2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3" t="str">
        <f ca="1">IF(dict_zuord_Meth_Transfers[[#This Row],[kval_active]],dict_zuord_Meth_Transfers[[#This Row],[ID_Transfers]],"")</f>
        <v/>
      </c>
    </row>
    <row r="2724" spans="1:4" x14ac:dyDescent="0.45">
      <c r="A2724">
        <v>453</v>
      </c>
      <c r="B2724">
        <f t="shared" ca="1" si="42"/>
        <v>95</v>
      </c>
      <c r="C2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4" t="str">
        <f ca="1">IF(dict_zuord_Meth_Transfers[[#This Row],[kval_active]],dict_zuord_Meth_Transfers[[#This Row],[ID_Transfers]],"")</f>
        <v/>
      </c>
    </row>
    <row r="2725" spans="1:4" x14ac:dyDescent="0.45">
      <c r="A2725">
        <v>453</v>
      </c>
      <c r="B2725">
        <f t="shared" ca="1" si="42"/>
        <v>63</v>
      </c>
      <c r="C2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5" t="str">
        <f ca="1">IF(dict_zuord_Meth_Transfers[[#This Row],[kval_active]],dict_zuord_Meth_Transfers[[#This Row],[ID_Transfers]],"")</f>
        <v/>
      </c>
    </row>
    <row r="2726" spans="1:4" x14ac:dyDescent="0.45">
      <c r="A2726">
        <v>454</v>
      </c>
      <c r="B2726">
        <f t="shared" ca="1" si="42"/>
        <v>114</v>
      </c>
      <c r="C2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6" t="str">
        <f ca="1">IF(dict_zuord_Meth_Transfers[[#This Row],[kval_active]],dict_zuord_Meth_Transfers[[#This Row],[ID_Transfers]],"")</f>
        <v/>
      </c>
    </row>
    <row r="2727" spans="1:4" x14ac:dyDescent="0.45">
      <c r="A2727">
        <v>454</v>
      </c>
      <c r="B2727">
        <f t="shared" ca="1" si="42"/>
        <v>49</v>
      </c>
      <c r="C2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7" t="str">
        <f ca="1">IF(dict_zuord_Meth_Transfers[[#This Row],[kval_active]],dict_zuord_Meth_Transfers[[#This Row],[ID_Transfers]],"")</f>
        <v/>
      </c>
    </row>
    <row r="2728" spans="1:4" x14ac:dyDescent="0.45">
      <c r="A2728">
        <v>454</v>
      </c>
      <c r="B2728">
        <f t="shared" ca="1" si="42"/>
        <v>191</v>
      </c>
      <c r="C2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8" t="str">
        <f ca="1">IF(dict_zuord_Meth_Transfers[[#This Row],[kval_active]],dict_zuord_Meth_Transfers[[#This Row],[ID_Transfers]],"")</f>
        <v/>
      </c>
    </row>
    <row r="2729" spans="1:4" x14ac:dyDescent="0.45">
      <c r="A2729">
        <v>454</v>
      </c>
      <c r="B2729" s="3">
        <f t="shared" ca="1" si="42"/>
        <v>109</v>
      </c>
      <c r="C2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29" t="str">
        <f ca="1">IF(dict_zuord_Meth_Transfers[[#This Row],[kval_active]],dict_zuord_Meth_Transfers[[#This Row],[ID_Transfers]],"")</f>
        <v/>
      </c>
    </row>
    <row r="2730" spans="1:4" x14ac:dyDescent="0.45">
      <c r="A2730">
        <v>454</v>
      </c>
      <c r="B2730" s="3">
        <f t="shared" ca="1" si="42"/>
        <v>105</v>
      </c>
      <c r="C2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0" t="str">
        <f ca="1">IF(dict_zuord_Meth_Transfers[[#This Row],[kval_active]],dict_zuord_Meth_Transfers[[#This Row],[ID_Transfers]],"")</f>
        <v/>
      </c>
    </row>
    <row r="2731" spans="1:4" x14ac:dyDescent="0.45">
      <c r="A2731">
        <v>454</v>
      </c>
      <c r="B2731" s="3">
        <f t="shared" ca="1" si="42"/>
        <v>35</v>
      </c>
      <c r="C2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1" t="str">
        <f ca="1">IF(dict_zuord_Meth_Transfers[[#This Row],[kval_active]],dict_zuord_Meth_Transfers[[#This Row],[ID_Transfers]],"")</f>
        <v/>
      </c>
    </row>
    <row r="2732" spans="1:4" x14ac:dyDescent="0.45">
      <c r="A2732">
        <v>455</v>
      </c>
      <c r="B2732">
        <f t="shared" ca="1" si="42"/>
        <v>101</v>
      </c>
      <c r="C2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2" t="str">
        <f ca="1">IF(dict_zuord_Meth_Transfers[[#This Row],[kval_active]],dict_zuord_Meth_Transfers[[#This Row],[ID_Transfers]],"")</f>
        <v/>
      </c>
    </row>
    <row r="2733" spans="1:4" x14ac:dyDescent="0.45">
      <c r="A2733">
        <v>455</v>
      </c>
      <c r="B2733" s="3">
        <f t="shared" ca="1" si="42"/>
        <v>43</v>
      </c>
      <c r="C2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3" t="str">
        <f ca="1">IF(dict_zuord_Meth_Transfers[[#This Row],[kval_active]],dict_zuord_Meth_Transfers[[#This Row],[ID_Transfers]],"")</f>
        <v/>
      </c>
    </row>
    <row r="2734" spans="1:4" x14ac:dyDescent="0.45">
      <c r="A2734">
        <v>455</v>
      </c>
      <c r="B2734" s="3">
        <f t="shared" ca="1" si="42"/>
        <v>194</v>
      </c>
      <c r="C2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4" t="str">
        <f ca="1">IF(dict_zuord_Meth_Transfers[[#This Row],[kval_active]],dict_zuord_Meth_Transfers[[#This Row],[ID_Transfers]],"")</f>
        <v/>
      </c>
    </row>
    <row r="2735" spans="1:4" x14ac:dyDescent="0.45">
      <c r="A2735">
        <v>455</v>
      </c>
      <c r="B2735" s="3">
        <f t="shared" ca="1" si="42"/>
        <v>174</v>
      </c>
      <c r="C2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5" t="str">
        <f ca="1">IF(dict_zuord_Meth_Transfers[[#This Row],[kval_active]],dict_zuord_Meth_Transfers[[#This Row],[ID_Transfers]],"")</f>
        <v/>
      </c>
    </row>
    <row r="2736" spans="1:4" x14ac:dyDescent="0.45">
      <c r="A2736">
        <v>455</v>
      </c>
      <c r="B2736">
        <f t="shared" ca="1" si="42"/>
        <v>112</v>
      </c>
      <c r="C2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6" t="str">
        <f ca="1">IF(dict_zuord_Meth_Transfers[[#This Row],[kval_active]],dict_zuord_Meth_Transfers[[#This Row],[ID_Transfers]],"")</f>
        <v/>
      </c>
    </row>
    <row r="2737" spans="1:4" x14ac:dyDescent="0.45">
      <c r="A2737">
        <v>455</v>
      </c>
      <c r="B2737">
        <f t="shared" ca="1" si="42"/>
        <v>43</v>
      </c>
      <c r="C2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7" t="str">
        <f ca="1">IF(dict_zuord_Meth_Transfers[[#This Row],[kval_active]],dict_zuord_Meth_Transfers[[#This Row],[ID_Transfers]],"")</f>
        <v/>
      </c>
    </row>
    <row r="2738" spans="1:4" x14ac:dyDescent="0.45">
      <c r="A2738">
        <v>456</v>
      </c>
      <c r="B2738" s="3">
        <f t="shared" ca="1" si="42"/>
        <v>199</v>
      </c>
      <c r="C2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8" t="str">
        <f ca="1">IF(dict_zuord_Meth_Transfers[[#This Row],[kval_active]],dict_zuord_Meth_Transfers[[#This Row],[ID_Transfers]],"")</f>
        <v/>
      </c>
    </row>
    <row r="2739" spans="1:4" x14ac:dyDescent="0.45">
      <c r="A2739">
        <v>456</v>
      </c>
      <c r="B2739" s="3">
        <f t="shared" ca="1" si="42"/>
        <v>8</v>
      </c>
      <c r="C2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39" t="str">
        <f ca="1">IF(dict_zuord_Meth_Transfers[[#This Row],[kval_active]],dict_zuord_Meth_Transfers[[#This Row],[ID_Transfers]],"")</f>
        <v/>
      </c>
    </row>
    <row r="2740" spans="1:4" x14ac:dyDescent="0.45">
      <c r="A2740">
        <v>456</v>
      </c>
      <c r="B2740">
        <f t="shared" ca="1" si="42"/>
        <v>123</v>
      </c>
      <c r="C2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0" t="str">
        <f ca="1">IF(dict_zuord_Meth_Transfers[[#This Row],[kval_active]],dict_zuord_Meth_Transfers[[#This Row],[ID_Transfers]],"")</f>
        <v/>
      </c>
    </row>
    <row r="2741" spans="1:4" x14ac:dyDescent="0.45">
      <c r="A2741">
        <v>456</v>
      </c>
      <c r="B2741" s="3">
        <f t="shared" ca="1" si="42"/>
        <v>92</v>
      </c>
      <c r="C2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1" t="str">
        <f ca="1">IF(dict_zuord_Meth_Transfers[[#This Row],[kval_active]],dict_zuord_Meth_Transfers[[#This Row],[ID_Transfers]],"")</f>
        <v/>
      </c>
    </row>
    <row r="2742" spans="1:4" x14ac:dyDescent="0.45">
      <c r="A2742">
        <v>456</v>
      </c>
      <c r="B2742">
        <f t="shared" ca="1" si="42"/>
        <v>156</v>
      </c>
      <c r="C2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2" t="str">
        <f ca="1">IF(dict_zuord_Meth_Transfers[[#This Row],[kval_active]],dict_zuord_Meth_Transfers[[#This Row],[ID_Transfers]],"")</f>
        <v/>
      </c>
    </row>
    <row r="2743" spans="1:4" x14ac:dyDescent="0.45">
      <c r="A2743">
        <v>456</v>
      </c>
      <c r="B2743">
        <f t="shared" ca="1" si="42"/>
        <v>140</v>
      </c>
      <c r="C2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3" t="str">
        <f ca="1">IF(dict_zuord_Meth_Transfers[[#This Row],[kval_active]],dict_zuord_Meth_Transfers[[#This Row],[ID_Transfers]],"")</f>
        <v/>
      </c>
    </row>
    <row r="2744" spans="1:4" x14ac:dyDescent="0.45">
      <c r="A2744">
        <v>457</v>
      </c>
      <c r="B2744">
        <f t="shared" ca="1" si="42"/>
        <v>121</v>
      </c>
      <c r="C2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4" t="str">
        <f ca="1">IF(dict_zuord_Meth_Transfers[[#This Row],[kval_active]],dict_zuord_Meth_Transfers[[#This Row],[ID_Transfers]],"")</f>
        <v/>
      </c>
    </row>
    <row r="2745" spans="1:4" x14ac:dyDescent="0.45">
      <c r="A2745">
        <v>457</v>
      </c>
      <c r="B2745" s="3">
        <f t="shared" ca="1" si="42"/>
        <v>54</v>
      </c>
      <c r="C2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5" t="str">
        <f ca="1">IF(dict_zuord_Meth_Transfers[[#This Row],[kval_active]],dict_zuord_Meth_Transfers[[#This Row],[ID_Transfers]],"")</f>
        <v/>
      </c>
    </row>
    <row r="2746" spans="1:4" x14ac:dyDescent="0.45">
      <c r="A2746">
        <v>457</v>
      </c>
      <c r="B2746">
        <f t="shared" ca="1" si="42"/>
        <v>19</v>
      </c>
      <c r="C2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6" t="str">
        <f ca="1">IF(dict_zuord_Meth_Transfers[[#This Row],[kval_active]],dict_zuord_Meth_Transfers[[#This Row],[ID_Transfers]],"")</f>
        <v/>
      </c>
    </row>
    <row r="2747" spans="1:4" x14ac:dyDescent="0.45">
      <c r="A2747">
        <v>457</v>
      </c>
      <c r="B2747" s="3">
        <f t="shared" ca="1" si="42"/>
        <v>156</v>
      </c>
      <c r="C2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7" t="str">
        <f ca="1">IF(dict_zuord_Meth_Transfers[[#This Row],[kval_active]],dict_zuord_Meth_Transfers[[#This Row],[ID_Transfers]],"")</f>
        <v/>
      </c>
    </row>
    <row r="2748" spans="1:4" x14ac:dyDescent="0.45">
      <c r="A2748">
        <v>457</v>
      </c>
      <c r="B2748">
        <f t="shared" ca="1" si="42"/>
        <v>195</v>
      </c>
      <c r="C2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8" t="str">
        <f ca="1">IF(dict_zuord_Meth_Transfers[[#This Row],[kval_active]],dict_zuord_Meth_Transfers[[#This Row],[ID_Transfers]],"")</f>
        <v/>
      </c>
    </row>
    <row r="2749" spans="1:4" x14ac:dyDescent="0.45">
      <c r="A2749">
        <v>457</v>
      </c>
      <c r="B2749" s="3">
        <f t="shared" ca="1" si="42"/>
        <v>65</v>
      </c>
      <c r="C2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49" t="str">
        <f ca="1">IF(dict_zuord_Meth_Transfers[[#This Row],[kval_active]],dict_zuord_Meth_Transfers[[#This Row],[ID_Transfers]],"")</f>
        <v/>
      </c>
    </row>
    <row r="2750" spans="1:4" x14ac:dyDescent="0.45">
      <c r="A2750">
        <v>458</v>
      </c>
      <c r="B2750">
        <f t="shared" ca="1" si="42"/>
        <v>6</v>
      </c>
      <c r="C2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0" t="str">
        <f ca="1">IF(dict_zuord_Meth_Transfers[[#This Row],[kval_active]],dict_zuord_Meth_Transfers[[#This Row],[ID_Transfers]],"")</f>
        <v/>
      </c>
    </row>
    <row r="2751" spans="1:4" x14ac:dyDescent="0.45">
      <c r="A2751">
        <v>458</v>
      </c>
      <c r="B2751" s="3">
        <f t="shared" ca="1" si="42"/>
        <v>11</v>
      </c>
      <c r="C2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1" t="str">
        <f ca="1">IF(dict_zuord_Meth_Transfers[[#This Row],[kval_active]],dict_zuord_Meth_Transfers[[#This Row],[ID_Transfers]],"")</f>
        <v/>
      </c>
    </row>
    <row r="2752" spans="1:4" x14ac:dyDescent="0.45">
      <c r="A2752">
        <v>458</v>
      </c>
      <c r="B2752" s="3">
        <f t="shared" ca="1" si="42"/>
        <v>143</v>
      </c>
      <c r="C2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2" t="str">
        <f ca="1">IF(dict_zuord_Meth_Transfers[[#This Row],[kval_active]],dict_zuord_Meth_Transfers[[#This Row],[ID_Transfers]],"")</f>
        <v/>
      </c>
    </row>
    <row r="2753" spans="1:4" x14ac:dyDescent="0.45">
      <c r="A2753">
        <v>458</v>
      </c>
      <c r="B2753">
        <f t="shared" ca="1" si="42"/>
        <v>12</v>
      </c>
      <c r="C2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3" t="str">
        <f ca="1">IF(dict_zuord_Meth_Transfers[[#This Row],[kval_active]],dict_zuord_Meth_Transfers[[#This Row],[ID_Transfers]],"")</f>
        <v/>
      </c>
    </row>
    <row r="2754" spans="1:4" x14ac:dyDescent="0.45">
      <c r="A2754">
        <v>458</v>
      </c>
      <c r="B2754" s="3">
        <f t="shared" ref="B2754:B2817" ca="1" si="43">RANDBETWEEN(0,200)</f>
        <v>78</v>
      </c>
      <c r="C2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4" t="str">
        <f ca="1">IF(dict_zuord_Meth_Transfers[[#This Row],[kval_active]],dict_zuord_Meth_Transfers[[#This Row],[ID_Transfers]],"")</f>
        <v/>
      </c>
    </row>
    <row r="2755" spans="1:4" x14ac:dyDescent="0.45">
      <c r="A2755">
        <v>458</v>
      </c>
      <c r="B2755">
        <f t="shared" ca="1" si="43"/>
        <v>60</v>
      </c>
      <c r="C2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5" t="str">
        <f ca="1">IF(dict_zuord_Meth_Transfers[[#This Row],[kval_active]],dict_zuord_Meth_Transfers[[#This Row],[ID_Transfers]],"")</f>
        <v/>
      </c>
    </row>
    <row r="2756" spans="1:4" x14ac:dyDescent="0.45">
      <c r="A2756">
        <v>459</v>
      </c>
      <c r="B2756" s="3">
        <f t="shared" ca="1" si="43"/>
        <v>85</v>
      </c>
      <c r="C2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6" t="str">
        <f ca="1">IF(dict_zuord_Meth_Transfers[[#This Row],[kval_active]],dict_zuord_Meth_Transfers[[#This Row],[ID_Transfers]],"")</f>
        <v/>
      </c>
    </row>
    <row r="2757" spans="1:4" x14ac:dyDescent="0.45">
      <c r="A2757">
        <v>459</v>
      </c>
      <c r="B2757" s="3">
        <f t="shared" ca="1" si="43"/>
        <v>18</v>
      </c>
      <c r="C2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7" t="str">
        <f ca="1">IF(dict_zuord_Meth_Transfers[[#This Row],[kval_active]],dict_zuord_Meth_Transfers[[#This Row],[ID_Transfers]],"")</f>
        <v/>
      </c>
    </row>
    <row r="2758" spans="1:4" x14ac:dyDescent="0.45">
      <c r="A2758">
        <v>459</v>
      </c>
      <c r="B2758">
        <f t="shared" ca="1" si="43"/>
        <v>135</v>
      </c>
      <c r="C2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8" t="str">
        <f ca="1">IF(dict_zuord_Meth_Transfers[[#This Row],[kval_active]],dict_zuord_Meth_Transfers[[#This Row],[ID_Transfers]],"")</f>
        <v/>
      </c>
    </row>
    <row r="2759" spans="1:4" x14ac:dyDescent="0.45">
      <c r="A2759">
        <v>459</v>
      </c>
      <c r="B2759">
        <f t="shared" ca="1" si="43"/>
        <v>2</v>
      </c>
      <c r="C2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59" t="str">
        <f ca="1">IF(dict_zuord_Meth_Transfers[[#This Row],[kval_active]],dict_zuord_Meth_Transfers[[#This Row],[ID_Transfers]],"")</f>
        <v/>
      </c>
    </row>
    <row r="2760" spans="1:4" x14ac:dyDescent="0.45">
      <c r="A2760">
        <v>459</v>
      </c>
      <c r="B2760" s="3">
        <f t="shared" ca="1" si="43"/>
        <v>129</v>
      </c>
      <c r="C2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0" t="str">
        <f ca="1">IF(dict_zuord_Meth_Transfers[[#This Row],[kval_active]],dict_zuord_Meth_Transfers[[#This Row],[ID_Transfers]],"")</f>
        <v/>
      </c>
    </row>
    <row r="2761" spans="1:4" x14ac:dyDescent="0.45">
      <c r="A2761">
        <v>459</v>
      </c>
      <c r="B2761">
        <f t="shared" ca="1" si="43"/>
        <v>10</v>
      </c>
      <c r="C2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1" t="str">
        <f ca="1">IF(dict_zuord_Meth_Transfers[[#This Row],[kval_active]],dict_zuord_Meth_Transfers[[#This Row],[ID_Transfers]],"")</f>
        <v/>
      </c>
    </row>
    <row r="2762" spans="1:4" x14ac:dyDescent="0.45">
      <c r="A2762">
        <v>460</v>
      </c>
      <c r="B2762">
        <f t="shared" ca="1" si="43"/>
        <v>64</v>
      </c>
      <c r="C2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2" t="str">
        <f ca="1">IF(dict_zuord_Meth_Transfers[[#This Row],[kval_active]],dict_zuord_Meth_Transfers[[#This Row],[ID_Transfers]],"")</f>
        <v/>
      </c>
    </row>
    <row r="2763" spans="1:4" x14ac:dyDescent="0.45">
      <c r="A2763">
        <v>460</v>
      </c>
      <c r="B2763">
        <f t="shared" ca="1" si="43"/>
        <v>171</v>
      </c>
      <c r="C2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3" t="str">
        <f ca="1">IF(dict_zuord_Meth_Transfers[[#This Row],[kval_active]],dict_zuord_Meth_Transfers[[#This Row],[ID_Transfers]],"")</f>
        <v/>
      </c>
    </row>
    <row r="2764" spans="1:4" x14ac:dyDescent="0.45">
      <c r="A2764">
        <v>460</v>
      </c>
      <c r="B2764">
        <f t="shared" ca="1" si="43"/>
        <v>95</v>
      </c>
      <c r="C2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4" t="str">
        <f ca="1">IF(dict_zuord_Meth_Transfers[[#This Row],[kval_active]],dict_zuord_Meth_Transfers[[#This Row],[ID_Transfers]],"")</f>
        <v/>
      </c>
    </row>
    <row r="2765" spans="1:4" x14ac:dyDescent="0.45">
      <c r="A2765">
        <v>460</v>
      </c>
      <c r="B2765" s="3">
        <f t="shared" ca="1" si="43"/>
        <v>60</v>
      </c>
      <c r="C2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5" t="str">
        <f ca="1">IF(dict_zuord_Meth_Transfers[[#This Row],[kval_active]],dict_zuord_Meth_Transfers[[#This Row],[ID_Transfers]],"")</f>
        <v/>
      </c>
    </row>
    <row r="2766" spans="1:4" x14ac:dyDescent="0.45">
      <c r="A2766">
        <v>460</v>
      </c>
      <c r="B2766" s="3">
        <f t="shared" ca="1" si="43"/>
        <v>99</v>
      </c>
      <c r="C2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6" t="str">
        <f ca="1">IF(dict_zuord_Meth_Transfers[[#This Row],[kval_active]],dict_zuord_Meth_Transfers[[#This Row],[ID_Transfers]],"")</f>
        <v/>
      </c>
    </row>
    <row r="2767" spans="1:4" x14ac:dyDescent="0.45">
      <c r="A2767">
        <v>460</v>
      </c>
      <c r="B2767" s="3">
        <f t="shared" ca="1" si="43"/>
        <v>82</v>
      </c>
      <c r="C2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7" t="str">
        <f ca="1">IF(dict_zuord_Meth_Transfers[[#This Row],[kval_active]],dict_zuord_Meth_Transfers[[#This Row],[ID_Transfers]],"")</f>
        <v/>
      </c>
    </row>
    <row r="2768" spans="1:4" x14ac:dyDescent="0.45">
      <c r="A2768">
        <v>461</v>
      </c>
      <c r="B2768" s="3">
        <f t="shared" ca="1" si="43"/>
        <v>84</v>
      </c>
      <c r="C2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8" t="str">
        <f ca="1">IF(dict_zuord_Meth_Transfers[[#This Row],[kval_active]],dict_zuord_Meth_Transfers[[#This Row],[ID_Transfers]],"")</f>
        <v/>
      </c>
    </row>
    <row r="2769" spans="1:4" x14ac:dyDescent="0.45">
      <c r="A2769">
        <v>461</v>
      </c>
      <c r="B2769">
        <f t="shared" ca="1" si="43"/>
        <v>142</v>
      </c>
      <c r="C2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69" t="str">
        <f ca="1">IF(dict_zuord_Meth_Transfers[[#This Row],[kval_active]],dict_zuord_Meth_Transfers[[#This Row],[ID_Transfers]],"")</f>
        <v/>
      </c>
    </row>
    <row r="2770" spans="1:4" x14ac:dyDescent="0.45">
      <c r="A2770">
        <v>461</v>
      </c>
      <c r="B2770" s="3">
        <f t="shared" ca="1" si="43"/>
        <v>20</v>
      </c>
      <c r="C2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0" t="str">
        <f ca="1">IF(dict_zuord_Meth_Transfers[[#This Row],[kval_active]],dict_zuord_Meth_Transfers[[#This Row],[ID_Transfers]],"")</f>
        <v/>
      </c>
    </row>
    <row r="2771" spans="1:4" x14ac:dyDescent="0.45">
      <c r="A2771">
        <v>461</v>
      </c>
      <c r="B2771">
        <f t="shared" ca="1" si="43"/>
        <v>177</v>
      </c>
      <c r="C2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1" t="str">
        <f ca="1">IF(dict_zuord_Meth_Transfers[[#This Row],[kval_active]],dict_zuord_Meth_Transfers[[#This Row],[ID_Transfers]],"")</f>
        <v/>
      </c>
    </row>
    <row r="2772" spans="1:4" x14ac:dyDescent="0.45">
      <c r="A2772">
        <v>461</v>
      </c>
      <c r="B2772" s="3">
        <f t="shared" ca="1" si="43"/>
        <v>45</v>
      </c>
      <c r="C2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2" t="str">
        <f ca="1">IF(dict_zuord_Meth_Transfers[[#This Row],[kval_active]],dict_zuord_Meth_Transfers[[#This Row],[ID_Transfers]],"")</f>
        <v/>
      </c>
    </row>
    <row r="2773" spans="1:4" x14ac:dyDescent="0.45">
      <c r="A2773">
        <v>461</v>
      </c>
      <c r="B2773">
        <f t="shared" ca="1" si="43"/>
        <v>190</v>
      </c>
      <c r="C2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3" t="str">
        <f ca="1">IF(dict_zuord_Meth_Transfers[[#This Row],[kval_active]],dict_zuord_Meth_Transfers[[#This Row],[ID_Transfers]],"")</f>
        <v/>
      </c>
    </row>
    <row r="2774" spans="1:4" x14ac:dyDescent="0.45">
      <c r="A2774">
        <v>462</v>
      </c>
      <c r="B2774">
        <f t="shared" ca="1" si="43"/>
        <v>142</v>
      </c>
      <c r="C2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4" t="str">
        <f ca="1">IF(dict_zuord_Meth_Transfers[[#This Row],[kval_active]],dict_zuord_Meth_Transfers[[#This Row],[ID_Transfers]],"")</f>
        <v/>
      </c>
    </row>
    <row r="2775" spans="1:4" x14ac:dyDescent="0.45">
      <c r="A2775">
        <v>462</v>
      </c>
      <c r="B2775" s="3">
        <f t="shared" ca="1" si="43"/>
        <v>39</v>
      </c>
      <c r="C2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5" t="str">
        <f ca="1">IF(dict_zuord_Meth_Transfers[[#This Row],[kval_active]],dict_zuord_Meth_Transfers[[#This Row],[ID_Transfers]],"")</f>
        <v/>
      </c>
    </row>
    <row r="2776" spans="1:4" x14ac:dyDescent="0.45">
      <c r="A2776">
        <v>462</v>
      </c>
      <c r="B2776" s="3">
        <f t="shared" ca="1" si="43"/>
        <v>118</v>
      </c>
      <c r="C2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6" t="str">
        <f ca="1">IF(dict_zuord_Meth_Transfers[[#This Row],[kval_active]],dict_zuord_Meth_Transfers[[#This Row],[ID_Transfers]],"")</f>
        <v/>
      </c>
    </row>
    <row r="2777" spans="1:4" x14ac:dyDescent="0.45">
      <c r="A2777">
        <v>462</v>
      </c>
      <c r="B2777" s="3">
        <f t="shared" ca="1" si="43"/>
        <v>103</v>
      </c>
      <c r="C2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7" t="str">
        <f ca="1">IF(dict_zuord_Meth_Transfers[[#This Row],[kval_active]],dict_zuord_Meth_Transfers[[#This Row],[ID_Transfers]],"")</f>
        <v/>
      </c>
    </row>
    <row r="2778" spans="1:4" x14ac:dyDescent="0.45">
      <c r="A2778">
        <v>462</v>
      </c>
      <c r="B2778">
        <f t="shared" ca="1" si="43"/>
        <v>39</v>
      </c>
      <c r="C2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8" t="str">
        <f ca="1">IF(dict_zuord_Meth_Transfers[[#This Row],[kval_active]],dict_zuord_Meth_Transfers[[#This Row],[ID_Transfers]],"")</f>
        <v/>
      </c>
    </row>
    <row r="2779" spans="1:4" x14ac:dyDescent="0.45">
      <c r="A2779">
        <v>462</v>
      </c>
      <c r="B2779">
        <f t="shared" ca="1" si="43"/>
        <v>38</v>
      </c>
      <c r="C2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79" t="str">
        <f ca="1">IF(dict_zuord_Meth_Transfers[[#This Row],[kval_active]],dict_zuord_Meth_Transfers[[#This Row],[ID_Transfers]],"")</f>
        <v/>
      </c>
    </row>
    <row r="2780" spans="1:4" x14ac:dyDescent="0.45">
      <c r="A2780">
        <v>463</v>
      </c>
      <c r="B2780">
        <f t="shared" ca="1" si="43"/>
        <v>113</v>
      </c>
      <c r="C2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0" t="str">
        <f ca="1">IF(dict_zuord_Meth_Transfers[[#This Row],[kval_active]],dict_zuord_Meth_Transfers[[#This Row],[ID_Transfers]],"")</f>
        <v/>
      </c>
    </row>
    <row r="2781" spans="1:4" x14ac:dyDescent="0.45">
      <c r="A2781">
        <v>463</v>
      </c>
      <c r="B2781" s="3">
        <f t="shared" ca="1" si="43"/>
        <v>11</v>
      </c>
      <c r="C2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1" t="str">
        <f ca="1">IF(dict_zuord_Meth_Transfers[[#This Row],[kval_active]],dict_zuord_Meth_Transfers[[#This Row],[ID_Transfers]],"")</f>
        <v/>
      </c>
    </row>
    <row r="2782" spans="1:4" x14ac:dyDescent="0.45">
      <c r="A2782">
        <v>463</v>
      </c>
      <c r="B2782">
        <f t="shared" ca="1" si="43"/>
        <v>96</v>
      </c>
      <c r="C2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2" t="str">
        <f ca="1">IF(dict_zuord_Meth_Transfers[[#This Row],[kval_active]],dict_zuord_Meth_Transfers[[#This Row],[ID_Transfers]],"")</f>
        <v/>
      </c>
    </row>
    <row r="2783" spans="1:4" x14ac:dyDescent="0.45">
      <c r="A2783">
        <v>463</v>
      </c>
      <c r="B2783" s="3">
        <f t="shared" ca="1" si="43"/>
        <v>92</v>
      </c>
      <c r="C2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3" t="str">
        <f ca="1">IF(dict_zuord_Meth_Transfers[[#This Row],[kval_active]],dict_zuord_Meth_Transfers[[#This Row],[ID_Transfers]],"")</f>
        <v/>
      </c>
    </row>
    <row r="2784" spans="1:4" x14ac:dyDescent="0.45">
      <c r="A2784">
        <v>463</v>
      </c>
      <c r="B2784" s="3">
        <f t="shared" ca="1" si="43"/>
        <v>5</v>
      </c>
      <c r="C2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4" t="str">
        <f ca="1">IF(dict_zuord_Meth_Transfers[[#This Row],[kval_active]],dict_zuord_Meth_Transfers[[#This Row],[ID_Transfers]],"")</f>
        <v/>
      </c>
    </row>
    <row r="2785" spans="1:4" x14ac:dyDescent="0.45">
      <c r="A2785">
        <v>463</v>
      </c>
      <c r="B2785">
        <f t="shared" ca="1" si="43"/>
        <v>80</v>
      </c>
      <c r="C2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5" t="str">
        <f ca="1">IF(dict_zuord_Meth_Transfers[[#This Row],[kval_active]],dict_zuord_Meth_Transfers[[#This Row],[ID_Transfers]],"")</f>
        <v/>
      </c>
    </row>
    <row r="2786" spans="1:4" x14ac:dyDescent="0.45">
      <c r="A2786">
        <v>464</v>
      </c>
      <c r="B2786" s="3">
        <f t="shared" ca="1" si="43"/>
        <v>60</v>
      </c>
      <c r="C2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6" t="str">
        <f ca="1">IF(dict_zuord_Meth_Transfers[[#This Row],[kval_active]],dict_zuord_Meth_Transfers[[#This Row],[ID_Transfers]],"")</f>
        <v/>
      </c>
    </row>
    <row r="2787" spans="1:4" x14ac:dyDescent="0.45">
      <c r="A2787">
        <v>464</v>
      </c>
      <c r="B2787" s="3">
        <f t="shared" ca="1" si="43"/>
        <v>73</v>
      </c>
      <c r="C2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7" t="str">
        <f ca="1">IF(dict_zuord_Meth_Transfers[[#This Row],[kval_active]],dict_zuord_Meth_Transfers[[#This Row],[ID_Transfers]],"")</f>
        <v/>
      </c>
    </row>
    <row r="2788" spans="1:4" x14ac:dyDescent="0.45">
      <c r="A2788">
        <v>464</v>
      </c>
      <c r="B2788">
        <f t="shared" ca="1" si="43"/>
        <v>143</v>
      </c>
      <c r="C2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8" t="str">
        <f ca="1">IF(dict_zuord_Meth_Transfers[[#This Row],[kval_active]],dict_zuord_Meth_Transfers[[#This Row],[ID_Transfers]],"")</f>
        <v/>
      </c>
    </row>
    <row r="2789" spans="1:4" x14ac:dyDescent="0.45">
      <c r="A2789">
        <v>464</v>
      </c>
      <c r="B2789">
        <f t="shared" ca="1" si="43"/>
        <v>96</v>
      </c>
      <c r="C2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89" t="str">
        <f ca="1">IF(dict_zuord_Meth_Transfers[[#This Row],[kval_active]],dict_zuord_Meth_Transfers[[#This Row],[ID_Transfers]],"")</f>
        <v/>
      </c>
    </row>
    <row r="2790" spans="1:4" x14ac:dyDescent="0.45">
      <c r="A2790">
        <v>464</v>
      </c>
      <c r="B2790">
        <f t="shared" ca="1" si="43"/>
        <v>153</v>
      </c>
      <c r="C2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0" t="str">
        <f ca="1">IF(dict_zuord_Meth_Transfers[[#This Row],[kval_active]],dict_zuord_Meth_Transfers[[#This Row],[ID_Transfers]],"")</f>
        <v/>
      </c>
    </row>
    <row r="2791" spans="1:4" x14ac:dyDescent="0.45">
      <c r="A2791">
        <v>464</v>
      </c>
      <c r="B2791" s="3">
        <f t="shared" ca="1" si="43"/>
        <v>95</v>
      </c>
      <c r="C2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1" t="str">
        <f ca="1">IF(dict_zuord_Meth_Transfers[[#This Row],[kval_active]],dict_zuord_Meth_Transfers[[#This Row],[ID_Transfers]],"")</f>
        <v/>
      </c>
    </row>
    <row r="2792" spans="1:4" x14ac:dyDescent="0.45">
      <c r="A2792">
        <v>465</v>
      </c>
      <c r="B2792" s="3">
        <f t="shared" ca="1" si="43"/>
        <v>125</v>
      </c>
      <c r="C2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2" t="str">
        <f ca="1">IF(dict_zuord_Meth_Transfers[[#This Row],[kval_active]],dict_zuord_Meth_Transfers[[#This Row],[ID_Transfers]],"")</f>
        <v/>
      </c>
    </row>
    <row r="2793" spans="1:4" x14ac:dyDescent="0.45">
      <c r="A2793">
        <v>465</v>
      </c>
      <c r="B2793">
        <f t="shared" ca="1" si="43"/>
        <v>44</v>
      </c>
      <c r="C2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3" t="str">
        <f ca="1">IF(dict_zuord_Meth_Transfers[[#This Row],[kval_active]],dict_zuord_Meth_Transfers[[#This Row],[ID_Transfers]],"")</f>
        <v/>
      </c>
    </row>
    <row r="2794" spans="1:4" x14ac:dyDescent="0.45">
      <c r="A2794">
        <v>465</v>
      </c>
      <c r="B2794">
        <f t="shared" ca="1" si="43"/>
        <v>144</v>
      </c>
      <c r="C2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4" t="str">
        <f ca="1">IF(dict_zuord_Meth_Transfers[[#This Row],[kval_active]],dict_zuord_Meth_Transfers[[#This Row],[ID_Transfers]],"")</f>
        <v/>
      </c>
    </row>
    <row r="2795" spans="1:4" x14ac:dyDescent="0.45">
      <c r="A2795">
        <v>465</v>
      </c>
      <c r="B2795">
        <f t="shared" ca="1" si="43"/>
        <v>165</v>
      </c>
      <c r="C2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5" t="str">
        <f ca="1">IF(dict_zuord_Meth_Transfers[[#This Row],[kval_active]],dict_zuord_Meth_Transfers[[#This Row],[ID_Transfers]],"")</f>
        <v/>
      </c>
    </row>
    <row r="2796" spans="1:4" x14ac:dyDescent="0.45">
      <c r="A2796">
        <v>465</v>
      </c>
      <c r="B2796" s="3">
        <f t="shared" ca="1" si="43"/>
        <v>88</v>
      </c>
      <c r="C2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6" t="str">
        <f ca="1">IF(dict_zuord_Meth_Transfers[[#This Row],[kval_active]],dict_zuord_Meth_Transfers[[#This Row],[ID_Transfers]],"")</f>
        <v/>
      </c>
    </row>
    <row r="2797" spans="1:4" x14ac:dyDescent="0.45">
      <c r="A2797">
        <v>465</v>
      </c>
      <c r="B2797" s="3">
        <f t="shared" ca="1" si="43"/>
        <v>166</v>
      </c>
      <c r="C2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7" t="str">
        <f ca="1">IF(dict_zuord_Meth_Transfers[[#This Row],[kval_active]],dict_zuord_Meth_Transfers[[#This Row],[ID_Transfers]],"")</f>
        <v/>
      </c>
    </row>
    <row r="2798" spans="1:4" x14ac:dyDescent="0.45">
      <c r="A2798">
        <v>466</v>
      </c>
      <c r="B2798">
        <f t="shared" ca="1" si="43"/>
        <v>88</v>
      </c>
      <c r="C2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8" t="str">
        <f ca="1">IF(dict_zuord_Meth_Transfers[[#This Row],[kval_active]],dict_zuord_Meth_Transfers[[#This Row],[ID_Transfers]],"")</f>
        <v/>
      </c>
    </row>
    <row r="2799" spans="1:4" x14ac:dyDescent="0.45">
      <c r="A2799">
        <v>466</v>
      </c>
      <c r="B2799">
        <f t="shared" ca="1" si="43"/>
        <v>67</v>
      </c>
      <c r="C2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799" t="str">
        <f ca="1">IF(dict_zuord_Meth_Transfers[[#This Row],[kval_active]],dict_zuord_Meth_Transfers[[#This Row],[ID_Transfers]],"")</f>
        <v/>
      </c>
    </row>
    <row r="2800" spans="1:4" x14ac:dyDescent="0.45">
      <c r="A2800">
        <v>466</v>
      </c>
      <c r="B2800" s="3">
        <f t="shared" ca="1" si="43"/>
        <v>165</v>
      </c>
      <c r="C2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0" t="str">
        <f ca="1">IF(dict_zuord_Meth_Transfers[[#This Row],[kval_active]],dict_zuord_Meth_Transfers[[#This Row],[ID_Transfers]],"")</f>
        <v/>
      </c>
    </row>
    <row r="2801" spans="1:4" x14ac:dyDescent="0.45">
      <c r="A2801">
        <v>466</v>
      </c>
      <c r="B2801">
        <f t="shared" ca="1" si="43"/>
        <v>39</v>
      </c>
      <c r="C2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1" t="str">
        <f ca="1">IF(dict_zuord_Meth_Transfers[[#This Row],[kval_active]],dict_zuord_Meth_Transfers[[#This Row],[ID_Transfers]],"")</f>
        <v/>
      </c>
    </row>
    <row r="2802" spans="1:4" x14ac:dyDescent="0.45">
      <c r="A2802">
        <v>466</v>
      </c>
      <c r="B2802" s="3">
        <f t="shared" ca="1" si="43"/>
        <v>44</v>
      </c>
      <c r="C2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2" t="str">
        <f ca="1">IF(dict_zuord_Meth_Transfers[[#This Row],[kval_active]],dict_zuord_Meth_Transfers[[#This Row],[ID_Transfers]],"")</f>
        <v/>
      </c>
    </row>
    <row r="2803" spans="1:4" x14ac:dyDescent="0.45">
      <c r="A2803">
        <v>466</v>
      </c>
      <c r="B2803" s="3">
        <f t="shared" ca="1" si="43"/>
        <v>30</v>
      </c>
      <c r="C2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3" t="str">
        <f ca="1">IF(dict_zuord_Meth_Transfers[[#This Row],[kval_active]],dict_zuord_Meth_Transfers[[#This Row],[ID_Transfers]],"")</f>
        <v/>
      </c>
    </row>
    <row r="2804" spans="1:4" x14ac:dyDescent="0.45">
      <c r="A2804">
        <v>467</v>
      </c>
      <c r="B2804">
        <f t="shared" ca="1" si="43"/>
        <v>97</v>
      </c>
      <c r="C2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4" t="str">
        <f ca="1">IF(dict_zuord_Meth_Transfers[[#This Row],[kval_active]],dict_zuord_Meth_Transfers[[#This Row],[ID_Transfers]],"")</f>
        <v/>
      </c>
    </row>
    <row r="2805" spans="1:4" x14ac:dyDescent="0.45">
      <c r="A2805">
        <v>467</v>
      </c>
      <c r="B2805" s="3">
        <f t="shared" ca="1" si="43"/>
        <v>0</v>
      </c>
      <c r="C2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5" t="str">
        <f ca="1">IF(dict_zuord_Meth_Transfers[[#This Row],[kval_active]],dict_zuord_Meth_Transfers[[#This Row],[ID_Transfers]],"")</f>
        <v/>
      </c>
    </row>
    <row r="2806" spans="1:4" x14ac:dyDescent="0.45">
      <c r="A2806">
        <v>467</v>
      </c>
      <c r="B2806">
        <f t="shared" ca="1" si="43"/>
        <v>97</v>
      </c>
      <c r="C2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6" t="str">
        <f ca="1">IF(dict_zuord_Meth_Transfers[[#This Row],[kval_active]],dict_zuord_Meth_Transfers[[#This Row],[ID_Transfers]],"")</f>
        <v/>
      </c>
    </row>
    <row r="2807" spans="1:4" x14ac:dyDescent="0.45">
      <c r="A2807">
        <v>467</v>
      </c>
      <c r="B2807" s="3">
        <f t="shared" ca="1" si="43"/>
        <v>192</v>
      </c>
      <c r="C2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7" t="str">
        <f ca="1">IF(dict_zuord_Meth_Transfers[[#This Row],[kval_active]],dict_zuord_Meth_Transfers[[#This Row],[ID_Transfers]],"")</f>
        <v/>
      </c>
    </row>
    <row r="2808" spans="1:4" x14ac:dyDescent="0.45">
      <c r="A2808">
        <v>467</v>
      </c>
      <c r="B2808">
        <f t="shared" ca="1" si="43"/>
        <v>4</v>
      </c>
      <c r="C2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8" t="str">
        <f ca="1">IF(dict_zuord_Meth_Transfers[[#This Row],[kval_active]],dict_zuord_Meth_Transfers[[#This Row],[ID_Transfers]],"")</f>
        <v/>
      </c>
    </row>
    <row r="2809" spans="1:4" x14ac:dyDescent="0.45">
      <c r="A2809">
        <v>467</v>
      </c>
      <c r="B2809" s="3">
        <f t="shared" ca="1" si="43"/>
        <v>33</v>
      </c>
      <c r="C2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09" t="str">
        <f ca="1">IF(dict_zuord_Meth_Transfers[[#This Row],[kval_active]],dict_zuord_Meth_Transfers[[#This Row],[ID_Transfers]],"")</f>
        <v/>
      </c>
    </row>
    <row r="2810" spans="1:4" x14ac:dyDescent="0.45">
      <c r="A2810">
        <v>468</v>
      </c>
      <c r="B2810" s="3">
        <f t="shared" ca="1" si="43"/>
        <v>188</v>
      </c>
      <c r="C2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0">
        <f ca="1">IF(dict_zuord_Meth_Transfers[[#This Row],[kval_active]],dict_zuord_Meth_Transfers[[#This Row],[ID_Transfers]],"")</f>
        <v>188</v>
      </c>
    </row>
    <row r="2811" spans="1:4" x14ac:dyDescent="0.45">
      <c r="A2811">
        <v>468</v>
      </c>
      <c r="B2811">
        <f t="shared" ca="1" si="43"/>
        <v>161</v>
      </c>
      <c r="C2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1">
        <f ca="1">IF(dict_zuord_Meth_Transfers[[#This Row],[kval_active]],dict_zuord_Meth_Transfers[[#This Row],[ID_Transfers]],"")</f>
        <v>161</v>
      </c>
    </row>
    <row r="2812" spans="1:4" x14ac:dyDescent="0.45">
      <c r="A2812">
        <v>468</v>
      </c>
      <c r="B2812">
        <f t="shared" ca="1" si="43"/>
        <v>2</v>
      </c>
      <c r="C2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2">
        <f ca="1">IF(dict_zuord_Meth_Transfers[[#This Row],[kval_active]],dict_zuord_Meth_Transfers[[#This Row],[ID_Transfers]],"")</f>
        <v>2</v>
      </c>
    </row>
    <row r="2813" spans="1:4" x14ac:dyDescent="0.45">
      <c r="A2813">
        <v>468</v>
      </c>
      <c r="B2813" s="3">
        <f t="shared" ca="1" si="43"/>
        <v>94</v>
      </c>
      <c r="C2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3">
        <f ca="1">IF(dict_zuord_Meth_Transfers[[#This Row],[kval_active]],dict_zuord_Meth_Transfers[[#This Row],[ID_Transfers]],"")</f>
        <v>94</v>
      </c>
    </row>
    <row r="2814" spans="1:4" x14ac:dyDescent="0.45">
      <c r="A2814">
        <v>468</v>
      </c>
      <c r="B2814">
        <f t="shared" ca="1" si="43"/>
        <v>97</v>
      </c>
      <c r="C2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4">
        <f ca="1">IF(dict_zuord_Meth_Transfers[[#This Row],[kval_active]],dict_zuord_Meth_Transfers[[#This Row],[ID_Transfers]],"")</f>
        <v>97</v>
      </c>
    </row>
    <row r="2815" spans="1:4" x14ac:dyDescent="0.45">
      <c r="A2815">
        <v>468</v>
      </c>
      <c r="B2815" s="3">
        <f t="shared" ca="1" si="43"/>
        <v>168</v>
      </c>
      <c r="C2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2815">
        <f ca="1">IF(dict_zuord_Meth_Transfers[[#This Row],[kval_active]],dict_zuord_Meth_Transfers[[#This Row],[ID_Transfers]],"")</f>
        <v>168</v>
      </c>
    </row>
    <row r="2816" spans="1:4" x14ac:dyDescent="0.45">
      <c r="A2816">
        <v>469</v>
      </c>
      <c r="B2816" s="3">
        <f t="shared" ca="1" si="43"/>
        <v>187</v>
      </c>
      <c r="C2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6" t="str">
        <f ca="1">IF(dict_zuord_Meth_Transfers[[#This Row],[kval_active]],dict_zuord_Meth_Transfers[[#This Row],[ID_Transfers]],"")</f>
        <v/>
      </c>
    </row>
    <row r="2817" spans="1:4" x14ac:dyDescent="0.45">
      <c r="A2817">
        <v>469</v>
      </c>
      <c r="B2817">
        <f t="shared" ca="1" si="43"/>
        <v>77</v>
      </c>
      <c r="C2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7" t="str">
        <f ca="1">IF(dict_zuord_Meth_Transfers[[#This Row],[kval_active]],dict_zuord_Meth_Transfers[[#This Row],[ID_Transfers]],"")</f>
        <v/>
      </c>
    </row>
    <row r="2818" spans="1:4" x14ac:dyDescent="0.45">
      <c r="A2818">
        <v>469</v>
      </c>
      <c r="B2818">
        <f t="shared" ref="B2818:B2881" ca="1" si="44">RANDBETWEEN(0,200)</f>
        <v>136</v>
      </c>
      <c r="C2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8" t="str">
        <f ca="1">IF(dict_zuord_Meth_Transfers[[#This Row],[kval_active]],dict_zuord_Meth_Transfers[[#This Row],[ID_Transfers]],"")</f>
        <v/>
      </c>
    </row>
    <row r="2819" spans="1:4" x14ac:dyDescent="0.45">
      <c r="A2819">
        <v>469</v>
      </c>
      <c r="B2819">
        <f t="shared" ca="1" si="44"/>
        <v>84</v>
      </c>
      <c r="C2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19" t="str">
        <f ca="1">IF(dict_zuord_Meth_Transfers[[#This Row],[kval_active]],dict_zuord_Meth_Transfers[[#This Row],[ID_Transfers]],"")</f>
        <v/>
      </c>
    </row>
    <row r="2820" spans="1:4" x14ac:dyDescent="0.45">
      <c r="A2820">
        <v>469</v>
      </c>
      <c r="B2820" s="3">
        <f t="shared" ca="1" si="44"/>
        <v>29</v>
      </c>
      <c r="C2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0" t="str">
        <f ca="1">IF(dict_zuord_Meth_Transfers[[#This Row],[kval_active]],dict_zuord_Meth_Transfers[[#This Row],[ID_Transfers]],"")</f>
        <v/>
      </c>
    </row>
    <row r="2821" spans="1:4" x14ac:dyDescent="0.45">
      <c r="A2821">
        <v>469</v>
      </c>
      <c r="B2821" s="3">
        <f t="shared" ca="1" si="44"/>
        <v>92</v>
      </c>
      <c r="C2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1" t="str">
        <f ca="1">IF(dict_zuord_Meth_Transfers[[#This Row],[kval_active]],dict_zuord_Meth_Transfers[[#This Row],[ID_Transfers]],"")</f>
        <v/>
      </c>
    </row>
    <row r="2822" spans="1:4" x14ac:dyDescent="0.45">
      <c r="A2822">
        <v>470</v>
      </c>
      <c r="B2822" s="3">
        <f t="shared" ca="1" si="44"/>
        <v>28</v>
      </c>
      <c r="C2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2" t="str">
        <f ca="1">IF(dict_zuord_Meth_Transfers[[#This Row],[kval_active]],dict_zuord_Meth_Transfers[[#This Row],[ID_Transfers]],"")</f>
        <v/>
      </c>
    </row>
    <row r="2823" spans="1:4" x14ac:dyDescent="0.45">
      <c r="A2823">
        <v>470</v>
      </c>
      <c r="B2823" s="3">
        <f t="shared" ca="1" si="44"/>
        <v>44</v>
      </c>
      <c r="C2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3" t="str">
        <f ca="1">IF(dict_zuord_Meth_Transfers[[#This Row],[kval_active]],dict_zuord_Meth_Transfers[[#This Row],[ID_Transfers]],"")</f>
        <v/>
      </c>
    </row>
    <row r="2824" spans="1:4" x14ac:dyDescent="0.45">
      <c r="A2824">
        <v>470</v>
      </c>
      <c r="B2824">
        <f t="shared" ca="1" si="44"/>
        <v>180</v>
      </c>
      <c r="C2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4" t="str">
        <f ca="1">IF(dict_zuord_Meth_Transfers[[#This Row],[kval_active]],dict_zuord_Meth_Transfers[[#This Row],[ID_Transfers]],"")</f>
        <v/>
      </c>
    </row>
    <row r="2825" spans="1:4" x14ac:dyDescent="0.45">
      <c r="A2825">
        <v>470</v>
      </c>
      <c r="B2825">
        <f t="shared" ca="1" si="44"/>
        <v>70</v>
      </c>
      <c r="C2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5" t="str">
        <f ca="1">IF(dict_zuord_Meth_Transfers[[#This Row],[kval_active]],dict_zuord_Meth_Transfers[[#This Row],[ID_Transfers]],"")</f>
        <v/>
      </c>
    </row>
    <row r="2826" spans="1:4" x14ac:dyDescent="0.45">
      <c r="A2826">
        <v>470</v>
      </c>
      <c r="B2826">
        <f t="shared" ca="1" si="44"/>
        <v>13</v>
      </c>
      <c r="C2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6" t="str">
        <f ca="1">IF(dict_zuord_Meth_Transfers[[#This Row],[kval_active]],dict_zuord_Meth_Transfers[[#This Row],[ID_Transfers]],"")</f>
        <v/>
      </c>
    </row>
    <row r="2827" spans="1:4" x14ac:dyDescent="0.45">
      <c r="A2827">
        <v>470</v>
      </c>
      <c r="B2827" s="3">
        <f t="shared" ca="1" si="44"/>
        <v>183</v>
      </c>
      <c r="C2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7" t="str">
        <f ca="1">IF(dict_zuord_Meth_Transfers[[#This Row],[kval_active]],dict_zuord_Meth_Transfers[[#This Row],[ID_Transfers]],"")</f>
        <v/>
      </c>
    </row>
    <row r="2828" spans="1:4" x14ac:dyDescent="0.45">
      <c r="A2828">
        <v>471</v>
      </c>
      <c r="B2828">
        <f t="shared" ca="1" si="44"/>
        <v>169</v>
      </c>
      <c r="C2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8" t="str">
        <f ca="1">IF(dict_zuord_Meth_Transfers[[#This Row],[kval_active]],dict_zuord_Meth_Transfers[[#This Row],[ID_Transfers]],"")</f>
        <v/>
      </c>
    </row>
    <row r="2829" spans="1:4" x14ac:dyDescent="0.45">
      <c r="A2829">
        <v>471</v>
      </c>
      <c r="B2829" s="3">
        <f t="shared" ca="1" si="44"/>
        <v>9</v>
      </c>
      <c r="C2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29" t="str">
        <f ca="1">IF(dict_zuord_Meth_Transfers[[#This Row],[kval_active]],dict_zuord_Meth_Transfers[[#This Row],[ID_Transfers]],"")</f>
        <v/>
      </c>
    </row>
    <row r="2830" spans="1:4" x14ac:dyDescent="0.45">
      <c r="A2830">
        <v>471</v>
      </c>
      <c r="B2830" s="3">
        <f t="shared" ca="1" si="44"/>
        <v>122</v>
      </c>
      <c r="C2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0" t="str">
        <f ca="1">IF(dict_zuord_Meth_Transfers[[#This Row],[kval_active]],dict_zuord_Meth_Transfers[[#This Row],[ID_Transfers]],"")</f>
        <v/>
      </c>
    </row>
    <row r="2831" spans="1:4" x14ac:dyDescent="0.45">
      <c r="A2831">
        <v>471</v>
      </c>
      <c r="B2831">
        <f t="shared" ca="1" si="44"/>
        <v>121</v>
      </c>
      <c r="C2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1" t="str">
        <f ca="1">IF(dict_zuord_Meth_Transfers[[#This Row],[kval_active]],dict_zuord_Meth_Transfers[[#This Row],[ID_Transfers]],"")</f>
        <v/>
      </c>
    </row>
    <row r="2832" spans="1:4" x14ac:dyDescent="0.45">
      <c r="A2832">
        <v>471</v>
      </c>
      <c r="B2832" s="3">
        <f t="shared" ca="1" si="44"/>
        <v>71</v>
      </c>
      <c r="C2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2" t="str">
        <f ca="1">IF(dict_zuord_Meth_Transfers[[#This Row],[kval_active]],dict_zuord_Meth_Transfers[[#This Row],[ID_Transfers]],"")</f>
        <v/>
      </c>
    </row>
    <row r="2833" spans="1:4" x14ac:dyDescent="0.45">
      <c r="A2833">
        <v>471</v>
      </c>
      <c r="B2833">
        <f t="shared" ca="1" si="44"/>
        <v>116</v>
      </c>
      <c r="C2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3" t="str">
        <f ca="1">IF(dict_zuord_Meth_Transfers[[#This Row],[kval_active]],dict_zuord_Meth_Transfers[[#This Row],[ID_Transfers]],"")</f>
        <v/>
      </c>
    </row>
    <row r="2834" spans="1:4" x14ac:dyDescent="0.45">
      <c r="A2834">
        <v>472</v>
      </c>
      <c r="B2834">
        <f t="shared" ca="1" si="44"/>
        <v>85</v>
      </c>
      <c r="C2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4" t="str">
        <f ca="1">IF(dict_zuord_Meth_Transfers[[#This Row],[kval_active]],dict_zuord_Meth_Transfers[[#This Row],[ID_Transfers]],"")</f>
        <v/>
      </c>
    </row>
    <row r="2835" spans="1:4" x14ac:dyDescent="0.45">
      <c r="A2835">
        <v>472</v>
      </c>
      <c r="B2835" s="3">
        <f t="shared" ca="1" si="44"/>
        <v>138</v>
      </c>
      <c r="C2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5" t="str">
        <f ca="1">IF(dict_zuord_Meth_Transfers[[#This Row],[kval_active]],dict_zuord_Meth_Transfers[[#This Row],[ID_Transfers]],"")</f>
        <v/>
      </c>
    </row>
    <row r="2836" spans="1:4" x14ac:dyDescent="0.45">
      <c r="A2836">
        <v>472</v>
      </c>
      <c r="B2836" s="3">
        <f t="shared" ca="1" si="44"/>
        <v>162</v>
      </c>
      <c r="C2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6" t="str">
        <f ca="1">IF(dict_zuord_Meth_Transfers[[#This Row],[kval_active]],dict_zuord_Meth_Transfers[[#This Row],[ID_Transfers]],"")</f>
        <v/>
      </c>
    </row>
    <row r="2837" spans="1:4" x14ac:dyDescent="0.45">
      <c r="A2837">
        <v>472</v>
      </c>
      <c r="B2837">
        <f t="shared" ca="1" si="44"/>
        <v>25</v>
      </c>
      <c r="C2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7" t="str">
        <f ca="1">IF(dict_zuord_Meth_Transfers[[#This Row],[kval_active]],dict_zuord_Meth_Transfers[[#This Row],[ID_Transfers]],"")</f>
        <v/>
      </c>
    </row>
    <row r="2838" spans="1:4" x14ac:dyDescent="0.45">
      <c r="A2838">
        <v>472</v>
      </c>
      <c r="B2838">
        <f t="shared" ca="1" si="44"/>
        <v>5</v>
      </c>
      <c r="C2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8" t="str">
        <f ca="1">IF(dict_zuord_Meth_Transfers[[#This Row],[kval_active]],dict_zuord_Meth_Transfers[[#This Row],[ID_Transfers]],"")</f>
        <v/>
      </c>
    </row>
    <row r="2839" spans="1:4" x14ac:dyDescent="0.45">
      <c r="A2839">
        <v>472</v>
      </c>
      <c r="B2839" s="3">
        <f t="shared" ca="1" si="44"/>
        <v>164</v>
      </c>
      <c r="C2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39" t="str">
        <f ca="1">IF(dict_zuord_Meth_Transfers[[#This Row],[kval_active]],dict_zuord_Meth_Transfers[[#This Row],[ID_Transfers]],"")</f>
        <v/>
      </c>
    </row>
    <row r="2840" spans="1:4" x14ac:dyDescent="0.45">
      <c r="A2840">
        <v>473</v>
      </c>
      <c r="B2840" s="3">
        <f t="shared" ca="1" si="44"/>
        <v>56</v>
      </c>
      <c r="C2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0" t="str">
        <f ca="1">IF(dict_zuord_Meth_Transfers[[#This Row],[kval_active]],dict_zuord_Meth_Transfers[[#This Row],[ID_Transfers]],"")</f>
        <v/>
      </c>
    </row>
    <row r="2841" spans="1:4" x14ac:dyDescent="0.45">
      <c r="A2841">
        <v>473</v>
      </c>
      <c r="B2841">
        <f t="shared" ca="1" si="44"/>
        <v>77</v>
      </c>
      <c r="C2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1" t="str">
        <f ca="1">IF(dict_zuord_Meth_Transfers[[#This Row],[kval_active]],dict_zuord_Meth_Transfers[[#This Row],[ID_Transfers]],"")</f>
        <v/>
      </c>
    </row>
    <row r="2842" spans="1:4" x14ac:dyDescent="0.45">
      <c r="A2842">
        <v>473</v>
      </c>
      <c r="B2842">
        <f t="shared" ca="1" si="44"/>
        <v>140</v>
      </c>
      <c r="C2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2" t="str">
        <f ca="1">IF(dict_zuord_Meth_Transfers[[#This Row],[kval_active]],dict_zuord_Meth_Transfers[[#This Row],[ID_Transfers]],"")</f>
        <v/>
      </c>
    </row>
    <row r="2843" spans="1:4" x14ac:dyDescent="0.45">
      <c r="A2843">
        <v>473</v>
      </c>
      <c r="B2843" s="3">
        <f t="shared" ca="1" si="44"/>
        <v>54</v>
      </c>
      <c r="C2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3" t="str">
        <f ca="1">IF(dict_zuord_Meth_Transfers[[#This Row],[kval_active]],dict_zuord_Meth_Transfers[[#This Row],[ID_Transfers]],"")</f>
        <v/>
      </c>
    </row>
    <row r="2844" spans="1:4" x14ac:dyDescent="0.45">
      <c r="A2844">
        <v>473</v>
      </c>
      <c r="B2844" s="3">
        <f t="shared" ca="1" si="44"/>
        <v>60</v>
      </c>
      <c r="C2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4" t="str">
        <f ca="1">IF(dict_zuord_Meth_Transfers[[#This Row],[kval_active]],dict_zuord_Meth_Transfers[[#This Row],[ID_Transfers]],"")</f>
        <v/>
      </c>
    </row>
    <row r="2845" spans="1:4" x14ac:dyDescent="0.45">
      <c r="A2845">
        <v>473</v>
      </c>
      <c r="B2845">
        <f t="shared" ca="1" si="44"/>
        <v>99</v>
      </c>
      <c r="C2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5" t="str">
        <f ca="1">IF(dict_zuord_Meth_Transfers[[#This Row],[kval_active]],dict_zuord_Meth_Transfers[[#This Row],[ID_Transfers]],"")</f>
        <v/>
      </c>
    </row>
    <row r="2846" spans="1:4" x14ac:dyDescent="0.45">
      <c r="A2846">
        <v>474</v>
      </c>
      <c r="B2846">
        <f t="shared" ca="1" si="44"/>
        <v>7</v>
      </c>
      <c r="C2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6" t="str">
        <f ca="1">IF(dict_zuord_Meth_Transfers[[#This Row],[kval_active]],dict_zuord_Meth_Transfers[[#This Row],[ID_Transfers]],"")</f>
        <v/>
      </c>
    </row>
    <row r="2847" spans="1:4" x14ac:dyDescent="0.45">
      <c r="A2847">
        <v>474</v>
      </c>
      <c r="B2847" s="3">
        <f t="shared" ca="1" si="44"/>
        <v>172</v>
      </c>
      <c r="C2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7" t="str">
        <f ca="1">IF(dict_zuord_Meth_Transfers[[#This Row],[kval_active]],dict_zuord_Meth_Transfers[[#This Row],[ID_Transfers]],"")</f>
        <v/>
      </c>
    </row>
    <row r="2848" spans="1:4" x14ac:dyDescent="0.45">
      <c r="A2848">
        <v>474</v>
      </c>
      <c r="B2848">
        <f t="shared" ca="1" si="44"/>
        <v>116</v>
      </c>
      <c r="C2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8" t="str">
        <f ca="1">IF(dict_zuord_Meth_Transfers[[#This Row],[kval_active]],dict_zuord_Meth_Transfers[[#This Row],[ID_Transfers]],"")</f>
        <v/>
      </c>
    </row>
    <row r="2849" spans="1:4" x14ac:dyDescent="0.45">
      <c r="A2849">
        <v>474</v>
      </c>
      <c r="B2849" s="3">
        <f t="shared" ca="1" si="44"/>
        <v>60</v>
      </c>
      <c r="C2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49" t="str">
        <f ca="1">IF(dict_zuord_Meth_Transfers[[#This Row],[kval_active]],dict_zuord_Meth_Transfers[[#This Row],[ID_Transfers]],"")</f>
        <v/>
      </c>
    </row>
    <row r="2850" spans="1:4" x14ac:dyDescent="0.45">
      <c r="A2850">
        <v>474</v>
      </c>
      <c r="B2850">
        <f t="shared" ca="1" si="44"/>
        <v>80</v>
      </c>
      <c r="C2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0" t="str">
        <f ca="1">IF(dict_zuord_Meth_Transfers[[#This Row],[kval_active]],dict_zuord_Meth_Transfers[[#This Row],[ID_Transfers]],"")</f>
        <v/>
      </c>
    </row>
    <row r="2851" spans="1:4" x14ac:dyDescent="0.45">
      <c r="A2851">
        <v>474</v>
      </c>
      <c r="B2851" s="3">
        <f t="shared" ca="1" si="44"/>
        <v>35</v>
      </c>
      <c r="C2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1" t="str">
        <f ca="1">IF(dict_zuord_Meth_Transfers[[#This Row],[kval_active]],dict_zuord_Meth_Transfers[[#This Row],[ID_Transfers]],"")</f>
        <v/>
      </c>
    </row>
    <row r="2852" spans="1:4" x14ac:dyDescent="0.45">
      <c r="A2852">
        <v>475</v>
      </c>
      <c r="B2852" s="3">
        <f t="shared" ca="1" si="44"/>
        <v>0</v>
      </c>
      <c r="C2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2" t="str">
        <f ca="1">IF(dict_zuord_Meth_Transfers[[#This Row],[kval_active]],dict_zuord_Meth_Transfers[[#This Row],[ID_Transfers]],"")</f>
        <v/>
      </c>
    </row>
    <row r="2853" spans="1:4" x14ac:dyDescent="0.45">
      <c r="A2853">
        <v>475</v>
      </c>
      <c r="B2853">
        <f t="shared" ca="1" si="44"/>
        <v>43</v>
      </c>
      <c r="C2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3" t="str">
        <f ca="1">IF(dict_zuord_Meth_Transfers[[#This Row],[kval_active]],dict_zuord_Meth_Transfers[[#This Row],[ID_Transfers]],"")</f>
        <v/>
      </c>
    </row>
    <row r="2854" spans="1:4" x14ac:dyDescent="0.45">
      <c r="A2854">
        <v>475</v>
      </c>
      <c r="B2854">
        <f t="shared" ca="1" si="44"/>
        <v>121</v>
      </c>
      <c r="C2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4" t="str">
        <f ca="1">IF(dict_zuord_Meth_Transfers[[#This Row],[kval_active]],dict_zuord_Meth_Transfers[[#This Row],[ID_Transfers]],"")</f>
        <v/>
      </c>
    </row>
    <row r="2855" spans="1:4" x14ac:dyDescent="0.45">
      <c r="A2855">
        <v>475</v>
      </c>
      <c r="B2855" s="3">
        <f t="shared" ca="1" si="44"/>
        <v>168</v>
      </c>
      <c r="C2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5" t="str">
        <f ca="1">IF(dict_zuord_Meth_Transfers[[#This Row],[kval_active]],dict_zuord_Meth_Transfers[[#This Row],[ID_Transfers]],"")</f>
        <v/>
      </c>
    </row>
    <row r="2856" spans="1:4" x14ac:dyDescent="0.45">
      <c r="A2856">
        <v>475</v>
      </c>
      <c r="B2856">
        <f t="shared" ca="1" si="44"/>
        <v>87</v>
      </c>
      <c r="C2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6" t="str">
        <f ca="1">IF(dict_zuord_Meth_Transfers[[#This Row],[kval_active]],dict_zuord_Meth_Transfers[[#This Row],[ID_Transfers]],"")</f>
        <v/>
      </c>
    </row>
    <row r="2857" spans="1:4" x14ac:dyDescent="0.45">
      <c r="A2857">
        <v>475</v>
      </c>
      <c r="B2857" s="3">
        <f t="shared" ca="1" si="44"/>
        <v>162</v>
      </c>
      <c r="C2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7" t="str">
        <f ca="1">IF(dict_zuord_Meth_Transfers[[#This Row],[kval_active]],dict_zuord_Meth_Transfers[[#This Row],[ID_Transfers]],"")</f>
        <v/>
      </c>
    </row>
    <row r="2858" spans="1:4" x14ac:dyDescent="0.45">
      <c r="A2858">
        <v>476</v>
      </c>
      <c r="B2858">
        <f t="shared" ca="1" si="44"/>
        <v>127</v>
      </c>
      <c r="C2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8" t="str">
        <f ca="1">IF(dict_zuord_Meth_Transfers[[#This Row],[kval_active]],dict_zuord_Meth_Transfers[[#This Row],[ID_Transfers]],"")</f>
        <v/>
      </c>
    </row>
    <row r="2859" spans="1:4" x14ac:dyDescent="0.45">
      <c r="A2859">
        <v>476</v>
      </c>
      <c r="B2859" s="3">
        <f t="shared" ca="1" si="44"/>
        <v>43</v>
      </c>
      <c r="C2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59" t="str">
        <f ca="1">IF(dict_zuord_Meth_Transfers[[#This Row],[kval_active]],dict_zuord_Meth_Transfers[[#This Row],[ID_Transfers]],"")</f>
        <v/>
      </c>
    </row>
    <row r="2860" spans="1:4" x14ac:dyDescent="0.45">
      <c r="A2860">
        <v>476</v>
      </c>
      <c r="B2860">
        <f t="shared" ca="1" si="44"/>
        <v>169</v>
      </c>
      <c r="C2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0" t="str">
        <f ca="1">IF(dict_zuord_Meth_Transfers[[#This Row],[kval_active]],dict_zuord_Meth_Transfers[[#This Row],[ID_Transfers]],"")</f>
        <v/>
      </c>
    </row>
    <row r="2861" spans="1:4" x14ac:dyDescent="0.45">
      <c r="A2861">
        <v>476</v>
      </c>
      <c r="B2861" s="3">
        <f t="shared" ca="1" si="44"/>
        <v>4</v>
      </c>
      <c r="C2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1" t="str">
        <f ca="1">IF(dict_zuord_Meth_Transfers[[#This Row],[kval_active]],dict_zuord_Meth_Transfers[[#This Row],[ID_Transfers]],"")</f>
        <v/>
      </c>
    </row>
    <row r="2862" spans="1:4" x14ac:dyDescent="0.45">
      <c r="A2862">
        <v>476</v>
      </c>
      <c r="B2862" s="3">
        <f t="shared" ca="1" si="44"/>
        <v>158</v>
      </c>
      <c r="C2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2" t="str">
        <f ca="1">IF(dict_zuord_Meth_Transfers[[#This Row],[kval_active]],dict_zuord_Meth_Transfers[[#This Row],[ID_Transfers]],"")</f>
        <v/>
      </c>
    </row>
    <row r="2863" spans="1:4" x14ac:dyDescent="0.45">
      <c r="A2863">
        <v>476</v>
      </c>
      <c r="B2863">
        <f t="shared" ca="1" si="44"/>
        <v>114</v>
      </c>
      <c r="C2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3" t="str">
        <f ca="1">IF(dict_zuord_Meth_Transfers[[#This Row],[kval_active]],dict_zuord_Meth_Transfers[[#This Row],[ID_Transfers]],"")</f>
        <v/>
      </c>
    </row>
    <row r="2864" spans="1:4" x14ac:dyDescent="0.45">
      <c r="A2864">
        <v>477</v>
      </c>
      <c r="B2864" s="3">
        <f t="shared" ca="1" si="44"/>
        <v>96</v>
      </c>
      <c r="C2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4" t="str">
        <f ca="1">IF(dict_zuord_Meth_Transfers[[#This Row],[kval_active]],dict_zuord_Meth_Transfers[[#This Row],[ID_Transfers]],"")</f>
        <v/>
      </c>
    </row>
    <row r="2865" spans="1:4" x14ac:dyDescent="0.45">
      <c r="A2865">
        <v>477</v>
      </c>
      <c r="B2865" s="3">
        <f t="shared" ca="1" si="44"/>
        <v>23</v>
      </c>
      <c r="C2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5" t="str">
        <f ca="1">IF(dict_zuord_Meth_Transfers[[#This Row],[kval_active]],dict_zuord_Meth_Transfers[[#This Row],[ID_Transfers]],"")</f>
        <v/>
      </c>
    </row>
    <row r="2866" spans="1:4" x14ac:dyDescent="0.45">
      <c r="A2866">
        <v>477</v>
      </c>
      <c r="B2866" s="3">
        <f t="shared" ca="1" si="44"/>
        <v>166</v>
      </c>
      <c r="C2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6" t="str">
        <f ca="1">IF(dict_zuord_Meth_Transfers[[#This Row],[kval_active]],dict_zuord_Meth_Transfers[[#This Row],[ID_Transfers]],"")</f>
        <v/>
      </c>
    </row>
    <row r="2867" spans="1:4" x14ac:dyDescent="0.45">
      <c r="A2867">
        <v>477</v>
      </c>
      <c r="B2867">
        <f t="shared" ca="1" si="44"/>
        <v>146</v>
      </c>
      <c r="C2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7" t="str">
        <f ca="1">IF(dict_zuord_Meth_Transfers[[#This Row],[kval_active]],dict_zuord_Meth_Transfers[[#This Row],[ID_Transfers]],"")</f>
        <v/>
      </c>
    </row>
    <row r="2868" spans="1:4" x14ac:dyDescent="0.45">
      <c r="A2868">
        <v>477</v>
      </c>
      <c r="B2868">
        <f t="shared" ca="1" si="44"/>
        <v>142</v>
      </c>
      <c r="C2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8" t="str">
        <f ca="1">IF(dict_zuord_Meth_Transfers[[#This Row],[kval_active]],dict_zuord_Meth_Transfers[[#This Row],[ID_Transfers]],"")</f>
        <v/>
      </c>
    </row>
    <row r="2869" spans="1:4" x14ac:dyDescent="0.45">
      <c r="A2869">
        <v>477</v>
      </c>
      <c r="B2869">
        <f t="shared" ca="1" si="44"/>
        <v>130</v>
      </c>
      <c r="C2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69" t="str">
        <f ca="1">IF(dict_zuord_Meth_Transfers[[#This Row],[kval_active]],dict_zuord_Meth_Transfers[[#This Row],[ID_Transfers]],"")</f>
        <v/>
      </c>
    </row>
    <row r="2870" spans="1:4" x14ac:dyDescent="0.45">
      <c r="A2870">
        <v>478</v>
      </c>
      <c r="B2870">
        <f t="shared" ca="1" si="44"/>
        <v>167</v>
      </c>
      <c r="C2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0" t="str">
        <f ca="1">IF(dict_zuord_Meth_Transfers[[#This Row],[kval_active]],dict_zuord_Meth_Transfers[[#This Row],[ID_Transfers]],"")</f>
        <v/>
      </c>
    </row>
    <row r="2871" spans="1:4" x14ac:dyDescent="0.45">
      <c r="A2871">
        <v>478</v>
      </c>
      <c r="B2871">
        <f t="shared" ca="1" si="44"/>
        <v>178</v>
      </c>
      <c r="C2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1" t="str">
        <f ca="1">IF(dict_zuord_Meth_Transfers[[#This Row],[kval_active]],dict_zuord_Meth_Transfers[[#This Row],[ID_Transfers]],"")</f>
        <v/>
      </c>
    </row>
    <row r="2872" spans="1:4" x14ac:dyDescent="0.45">
      <c r="A2872">
        <v>478</v>
      </c>
      <c r="B2872" s="3">
        <f t="shared" ca="1" si="44"/>
        <v>134</v>
      </c>
      <c r="C2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2" t="str">
        <f ca="1">IF(dict_zuord_Meth_Transfers[[#This Row],[kval_active]],dict_zuord_Meth_Transfers[[#This Row],[ID_Transfers]],"")</f>
        <v/>
      </c>
    </row>
    <row r="2873" spans="1:4" x14ac:dyDescent="0.45">
      <c r="A2873">
        <v>478</v>
      </c>
      <c r="B2873">
        <f t="shared" ca="1" si="44"/>
        <v>166</v>
      </c>
      <c r="C2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3" t="str">
        <f ca="1">IF(dict_zuord_Meth_Transfers[[#This Row],[kval_active]],dict_zuord_Meth_Transfers[[#This Row],[ID_Transfers]],"")</f>
        <v/>
      </c>
    </row>
    <row r="2874" spans="1:4" x14ac:dyDescent="0.45">
      <c r="A2874">
        <v>478</v>
      </c>
      <c r="B2874" s="3">
        <f t="shared" ca="1" si="44"/>
        <v>54</v>
      </c>
      <c r="C2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4" t="str">
        <f ca="1">IF(dict_zuord_Meth_Transfers[[#This Row],[kval_active]],dict_zuord_Meth_Transfers[[#This Row],[ID_Transfers]],"")</f>
        <v/>
      </c>
    </row>
    <row r="2875" spans="1:4" x14ac:dyDescent="0.45">
      <c r="A2875">
        <v>478</v>
      </c>
      <c r="B2875" s="3">
        <f t="shared" ca="1" si="44"/>
        <v>171</v>
      </c>
      <c r="C2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5" t="str">
        <f ca="1">IF(dict_zuord_Meth_Transfers[[#This Row],[kval_active]],dict_zuord_Meth_Transfers[[#This Row],[ID_Transfers]],"")</f>
        <v/>
      </c>
    </row>
    <row r="2876" spans="1:4" x14ac:dyDescent="0.45">
      <c r="A2876">
        <v>479</v>
      </c>
      <c r="B2876">
        <f t="shared" ca="1" si="44"/>
        <v>84</v>
      </c>
      <c r="C2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6" t="str">
        <f ca="1">IF(dict_zuord_Meth_Transfers[[#This Row],[kval_active]],dict_zuord_Meth_Transfers[[#This Row],[ID_Transfers]],"")</f>
        <v/>
      </c>
    </row>
    <row r="2877" spans="1:4" x14ac:dyDescent="0.45">
      <c r="A2877">
        <v>479</v>
      </c>
      <c r="B2877" s="3">
        <f t="shared" ca="1" si="44"/>
        <v>126</v>
      </c>
      <c r="C2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7" t="str">
        <f ca="1">IF(dict_zuord_Meth_Transfers[[#This Row],[kval_active]],dict_zuord_Meth_Transfers[[#This Row],[ID_Transfers]],"")</f>
        <v/>
      </c>
    </row>
    <row r="2878" spans="1:4" x14ac:dyDescent="0.45">
      <c r="A2878">
        <v>479</v>
      </c>
      <c r="B2878">
        <f t="shared" ca="1" si="44"/>
        <v>38</v>
      </c>
      <c r="C2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8" t="str">
        <f ca="1">IF(dict_zuord_Meth_Transfers[[#This Row],[kval_active]],dict_zuord_Meth_Transfers[[#This Row],[ID_Transfers]],"")</f>
        <v/>
      </c>
    </row>
    <row r="2879" spans="1:4" x14ac:dyDescent="0.45">
      <c r="A2879">
        <v>479</v>
      </c>
      <c r="B2879" s="3">
        <f t="shared" ca="1" si="44"/>
        <v>60</v>
      </c>
      <c r="C2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79" t="str">
        <f ca="1">IF(dict_zuord_Meth_Transfers[[#This Row],[kval_active]],dict_zuord_Meth_Transfers[[#This Row],[ID_Transfers]],"")</f>
        <v/>
      </c>
    </row>
    <row r="2880" spans="1:4" x14ac:dyDescent="0.45">
      <c r="A2880">
        <v>479</v>
      </c>
      <c r="B2880">
        <f t="shared" ca="1" si="44"/>
        <v>49</v>
      </c>
      <c r="C2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0" t="str">
        <f ca="1">IF(dict_zuord_Meth_Transfers[[#This Row],[kval_active]],dict_zuord_Meth_Transfers[[#This Row],[ID_Transfers]],"")</f>
        <v/>
      </c>
    </row>
    <row r="2881" spans="1:4" x14ac:dyDescent="0.45">
      <c r="A2881">
        <v>479</v>
      </c>
      <c r="B2881" s="3">
        <f t="shared" ca="1" si="44"/>
        <v>135</v>
      </c>
      <c r="C2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1" t="str">
        <f ca="1">IF(dict_zuord_Meth_Transfers[[#This Row],[kval_active]],dict_zuord_Meth_Transfers[[#This Row],[ID_Transfers]],"")</f>
        <v/>
      </c>
    </row>
    <row r="2882" spans="1:4" x14ac:dyDescent="0.45">
      <c r="A2882">
        <v>480</v>
      </c>
      <c r="B2882">
        <f t="shared" ref="B2882:B2945" ca="1" si="45">RANDBETWEEN(0,200)</f>
        <v>142</v>
      </c>
      <c r="C2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2" t="str">
        <f ca="1">IF(dict_zuord_Meth_Transfers[[#This Row],[kval_active]],dict_zuord_Meth_Transfers[[#This Row],[ID_Transfers]],"")</f>
        <v/>
      </c>
    </row>
    <row r="2883" spans="1:4" x14ac:dyDescent="0.45">
      <c r="A2883">
        <v>480</v>
      </c>
      <c r="B2883">
        <f t="shared" ca="1" si="45"/>
        <v>175</v>
      </c>
      <c r="C2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3" t="str">
        <f ca="1">IF(dict_zuord_Meth_Transfers[[#This Row],[kval_active]],dict_zuord_Meth_Transfers[[#This Row],[ID_Transfers]],"")</f>
        <v/>
      </c>
    </row>
    <row r="2884" spans="1:4" x14ac:dyDescent="0.45">
      <c r="A2884">
        <v>480</v>
      </c>
      <c r="B2884" s="3">
        <f t="shared" ca="1" si="45"/>
        <v>41</v>
      </c>
      <c r="C2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4" t="str">
        <f ca="1">IF(dict_zuord_Meth_Transfers[[#This Row],[kval_active]],dict_zuord_Meth_Transfers[[#This Row],[ID_Transfers]],"")</f>
        <v/>
      </c>
    </row>
    <row r="2885" spans="1:4" x14ac:dyDescent="0.45">
      <c r="A2885">
        <v>480</v>
      </c>
      <c r="B2885" s="3">
        <f t="shared" ca="1" si="45"/>
        <v>90</v>
      </c>
      <c r="C2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5" t="str">
        <f ca="1">IF(dict_zuord_Meth_Transfers[[#This Row],[kval_active]],dict_zuord_Meth_Transfers[[#This Row],[ID_Transfers]],"")</f>
        <v/>
      </c>
    </row>
    <row r="2886" spans="1:4" x14ac:dyDescent="0.45">
      <c r="A2886">
        <v>480</v>
      </c>
      <c r="B2886" s="3">
        <f t="shared" ca="1" si="45"/>
        <v>93</v>
      </c>
      <c r="C2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6" t="str">
        <f ca="1">IF(dict_zuord_Meth_Transfers[[#This Row],[kval_active]],dict_zuord_Meth_Transfers[[#This Row],[ID_Transfers]],"")</f>
        <v/>
      </c>
    </row>
    <row r="2887" spans="1:4" x14ac:dyDescent="0.45">
      <c r="A2887">
        <v>480</v>
      </c>
      <c r="B2887">
        <f t="shared" ca="1" si="45"/>
        <v>196</v>
      </c>
      <c r="C2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7" t="str">
        <f ca="1">IF(dict_zuord_Meth_Transfers[[#This Row],[kval_active]],dict_zuord_Meth_Transfers[[#This Row],[ID_Transfers]],"")</f>
        <v/>
      </c>
    </row>
    <row r="2888" spans="1:4" x14ac:dyDescent="0.45">
      <c r="A2888">
        <v>481</v>
      </c>
      <c r="B2888" s="3">
        <f t="shared" ca="1" si="45"/>
        <v>132</v>
      </c>
      <c r="C2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8" t="str">
        <f ca="1">IF(dict_zuord_Meth_Transfers[[#This Row],[kval_active]],dict_zuord_Meth_Transfers[[#This Row],[ID_Transfers]],"")</f>
        <v/>
      </c>
    </row>
    <row r="2889" spans="1:4" x14ac:dyDescent="0.45">
      <c r="A2889">
        <v>481</v>
      </c>
      <c r="B2889" s="3">
        <f t="shared" ca="1" si="45"/>
        <v>11</v>
      </c>
      <c r="C2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89" t="str">
        <f ca="1">IF(dict_zuord_Meth_Transfers[[#This Row],[kval_active]],dict_zuord_Meth_Transfers[[#This Row],[ID_Transfers]],"")</f>
        <v/>
      </c>
    </row>
    <row r="2890" spans="1:4" x14ac:dyDescent="0.45">
      <c r="A2890">
        <v>481</v>
      </c>
      <c r="B2890" s="3">
        <f t="shared" ca="1" si="45"/>
        <v>51</v>
      </c>
      <c r="C2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0" t="str">
        <f ca="1">IF(dict_zuord_Meth_Transfers[[#This Row],[kval_active]],dict_zuord_Meth_Transfers[[#This Row],[ID_Transfers]],"")</f>
        <v/>
      </c>
    </row>
    <row r="2891" spans="1:4" x14ac:dyDescent="0.45">
      <c r="A2891">
        <v>481</v>
      </c>
      <c r="B2891">
        <f t="shared" ca="1" si="45"/>
        <v>177</v>
      </c>
      <c r="C2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1" t="str">
        <f ca="1">IF(dict_zuord_Meth_Transfers[[#This Row],[kval_active]],dict_zuord_Meth_Transfers[[#This Row],[ID_Transfers]],"")</f>
        <v/>
      </c>
    </row>
    <row r="2892" spans="1:4" x14ac:dyDescent="0.45">
      <c r="A2892">
        <v>481</v>
      </c>
      <c r="B2892">
        <f t="shared" ca="1" si="45"/>
        <v>71</v>
      </c>
      <c r="C2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2" t="str">
        <f ca="1">IF(dict_zuord_Meth_Transfers[[#This Row],[kval_active]],dict_zuord_Meth_Transfers[[#This Row],[ID_Transfers]],"")</f>
        <v/>
      </c>
    </row>
    <row r="2893" spans="1:4" x14ac:dyDescent="0.45">
      <c r="A2893">
        <v>481</v>
      </c>
      <c r="B2893">
        <f t="shared" ca="1" si="45"/>
        <v>115</v>
      </c>
      <c r="C2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3" t="str">
        <f ca="1">IF(dict_zuord_Meth_Transfers[[#This Row],[kval_active]],dict_zuord_Meth_Transfers[[#This Row],[ID_Transfers]],"")</f>
        <v/>
      </c>
    </row>
    <row r="2894" spans="1:4" x14ac:dyDescent="0.45">
      <c r="A2894">
        <v>482</v>
      </c>
      <c r="B2894">
        <f t="shared" ca="1" si="45"/>
        <v>100</v>
      </c>
      <c r="C2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4" t="str">
        <f ca="1">IF(dict_zuord_Meth_Transfers[[#This Row],[kval_active]],dict_zuord_Meth_Transfers[[#This Row],[ID_Transfers]],"")</f>
        <v/>
      </c>
    </row>
    <row r="2895" spans="1:4" x14ac:dyDescent="0.45">
      <c r="A2895">
        <v>482</v>
      </c>
      <c r="B2895" s="3">
        <f t="shared" ca="1" si="45"/>
        <v>180</v>
      </c>
      <c r="C2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5" t="str">
        <f ca="1">IF(dict_zuord_Meth_Transfers[[#This Row],[kval_active]],dict_zuord_Meth_Transfers[[#This Row],[ID_Transfers]],"")</f>
        <v/>
      </c>
    </row>
    <row r="2896" spans="1:4" x14ac:dyDescent="0.45">
      <c r="A2896">
        <v>482</v>
      </c>
      <c r="B2896">
        <f t="shared" ca="1" si="45"/>
        <v>45</v>
      </c>
      <c r="C2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6" t="str">
        <f ca="1">IF(dict_zuord_Meth_Transfers[[#This Row],[kval_active]],dict_zuord_Meth_Transfers[[#This Row],[ID_Transfers]],"")</f>
        <v/>
      </c>
    </row>
    <row r="2897" spans="1:4" x14ac:dyDescent="0.45">
      <c r="A2897">
        <v>482</v>
      </c>
      <c r="B2897" s="3">
        <f t="shared" ca="1" si="45"/>
        <v>155</v>
      </c>
      <c r="C2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7" t="str">
        <f ca="1">IF(dict_zuord_Meth_Transfers[[#This Row],[kval_active]],dict_zuord_Meth_Transfers[[#This Row],[ID_Transfers]],"")</f>
        <v/>
      </c>
    </row>
    <row r="2898" spans="1:4" x14ac:dyDescent="0.45">
      <c r="A2898">
        <v>482</v>
      </c>
      <c r="B2898">
        <f t="shared" ca="1" si="45"/>
        <v>106</v>
      </c>
      <c r="C2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8" t="str">
        <f ca="1">IF(dict_zuord_Meth_Transfers[[#This Row],[kval_active]],dict_zuord_Meth_Transfers[[#This Row],[ID_Transfers]],"")</f>
        <v/>
      </c>
    </row>
    <row r="2899" spans="1:4" x14ac:dyDescent="0.45">
      <c r="A2899">
        <v>482</v>
      </c>
      <c r="B2899" s="3">
        <f t="shared" ca="1" si="45"/>
        <v>68</v>
      </c>
      <c r="C2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899" t="str">
        <f ca="1">IF(dict_zuord_Meth_Transfers[[#This Row],[kval_active]],dict_zuord_Meth_Transfers[[#This Row],[ID_Transfers]],"")</f>
        <v/>
      </c>
    </row>
    <row r="2900" spans="1:4" x14ac:dyDescent="0.45">
      <c r="A2900">
        <v>483</v>
      </c>
      <c r="B2900">
        <f t="shared" ca="1" si="45"/>
        <v>197</v>
      </c>
      <c r="C2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0" t="str">
        <f ca="1">IF(dict_zuord_Meth_Transfers[[#This Row],[kval_active]],dict_zuord_Meth_Transfers[[#This Row],[ID_Transfers]],"")</f>
        <v/>
      </c>
    </row>
    <row r="2901" spans="1:4" x14ac:dyDescent="0.45">
      <c r="A2901">
        <v>483</v>
      </c>
      <c r="B2901" s="3">
        <f t="shared" ca="1" si="45"/>
        <v>32</v>
      </c>
      <c r="C2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1" t="str">
        <f ca="1">IF(dict_zuord_Meth_Transfers[[#This Row],[kval_active]],dict_zuord_Meth_Transfers[[#This Row],[ID_Transfers]],"")</f>
        <v/>
      </c>
    </row>
    <row r="2902" spans="1:4" x14ac:dyDescent="0.45">
      <c r="A2902">
        <v>483</v>
      </c>
      <c r="B2902">
        <f t="shared" ca="1" si="45"/>
        <v>51</v>
      </c>
      <c r="C2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2" t="str">
        <f ca="1">IF(dict_zuord_Meth_Transfers[[#This Row],[kval_active]],dict_zuord_Meth_Transfers[[#This Row],[ID_Transfers]],"")</f>
        <v/>
      </c>
    </row>
    <row r="2903" spans="1:4" x14ac:dyDescent="0.45">
      <c r="A2903">
        <v>483</v>
      </c>
      <c r="B2903">
        <f t="shared" ca="1" si="45"/>
        <v>99</v>
      </c>
      <c r="C2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3" t="str">
        <f ca="1">IF(dict_zuord_Meth_Transfers[[#This Row],[kval_active]],dict_zuord_Meth_Transfers[[#This Row],[ID_Transfers]],"")</f>
        <v/>
      </c>
    </row>
    <row r="2904" spans="1:4" x14ac:dyDescent="0.45">
      <c r="A2904">
        <v>483</v>
      </c>
      <c r="B2904" s="3">
        <f t="shared" ca="1" si="45"/>
        <v>1</v>
      </c>
      <c r="C2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4" t="str">
        <f ca="1">IF(dict_zuord_Meth_Transfers[[#This Row],[kval_active]],dict_zuord_Meth_Transfers[[#This Row],[ID_Transfers]],"")</f>
        <v/>
      </c>
    </row>
    <row r="2905" spans="1:4" x14ac:dyDescent="0.45">
      <c r="A2905">
        <v>483</v>
      </c>
      <c r="B2905" s="3">
        <f t="shared" ca="1" si="45"/>
        <v>146</v>
      </c>
      <c r="C2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5" t="str">
        <f ca="1">IF(dict_zuord_Meth_Transfers[[#This Row],[kval_active]],dict_zuord_Meth_Transfers[[#This Row],[ID_Transfers]],"")</f>
        <v/>
      </c>
    </row>
    <row r="2906" spans="1:4" x14ac:dyDescent="0.45">
      <c r="A2906">
        <v>484</v>
      </c>
      <c r="B2906">
        <f t="shared" ca="1" si="45"/>
        <v>144</v>
      </c>
      <c r="C2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6" t="str">
        <f ca="1">IF(dict_zuord_Meth_Transfers[[#This Row],[kval_active]],dict_zuord_Meth_Transfers[[#This Row],[ID_Transfers]],"")</f>
        <v/>
      </c>
    </row>
    <row r="2907" spans="1:4" x14ac:dyDescent="0.45">
      <c r="A2907">
        <v>484</v>
      </c>
      <c r="B2907">
        <f t="shared" ca="1" si="45"/>
        <v>94</v>
      </c>
      <c r="C2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7" t="str">
        <f ca="1">IF(dict_zuord_Meth_Transfers[[#This Row],[kval_active]],dict_zuord_Meth_Transfers[[#This Row],[ID_Transfers]],"")</f>
        <v/>
      </c>
    </row>
    <row r="2908" spans="1:4" x14ac:dyDescent="0.45">
      <c r="A2908">
        <v>484</v>
      </c>
      <c r="B2908" s="3">
        <f t="shared" ca="1" si="45"/>
        <v>18</v>
      </c>
      <c r="C2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8" t="str">
        <f ca="1">IF(dict_zuord_Meth_Transfers[[#This Row],[kval_active]],dict_zuord_Meth_Transfers[[#This Row],[ID_Transfers]],"")</f>
        <v/>
      </c>
    </row>
    <row r="2909" spans="1:4" x14ac:dyDescent="0.45">
      <c r="A2909">
        <v>484</v>
      </c>
      <c r="B2909" s="3">
        <f t="shared" ca="1" si="45"/>
        <v>139</v>
      </c>
      <c r="C2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09" t="str">
        <f ca="1">IF(dict_zuord_Meth_Transfers[[#This Row],[kval_active]],dict_zuord_Meth_Transfers[[#This Row],[ID_Transfers]],"")</f>
        <v/>
      </c>
    </row>
    <row r="2910" spans="1:4" x14ac:dyDescent="0.45">
      <c r="A2910">
        <v>484</v>
      </c>
      <c r="B2910">
        <f t="shared" ca="1" si="45"/>
        <v>189</v>
      </c>
      <c r="C2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0" t="str">
        <f ca="1">IF(dict_zuord_Meth_Transfers[[#This Row],[kval_active]],dict_zuord_Meth_Transfers[[#This Row],[ID_Transfers]],"")</f>
        <v/>
      </c>
    </row>
    <row r="2911" spans="1:4" x14ac:dyDescent="0.45">
      <c r="A2911">
        <v>484</v>
      </c>
      <c r="B2911" s="3">
        <f t="shared" ca="1" si="45"/>
        <v>79</v>
      </c>
      <c r="C2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1" t="str">
        <f ca="1">IF(dict_zuord_Meth_Transfers[[#This Row],[kval_active]],dict_zuord_Meth_Transfers[[#This Row],[ID_Transfers]],"")</f>
        <v/>
      </c>
    </row>
    <row r="2912" spans="1:4" x14ac:dyDescent="0.45">
      <c r="A2912">
        <v>485</v>
      </c>
      <c r="B2912" s="3">
        <f t="shared" ca="1" si="45"/>
        <v>169</v>
      </c>
      <c r="C2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2" t="str">
        <f ca="1">IF(dict_zuord_Meth_Transfers[[#This Row],[kval_active]],dict_zuord_Meth_Transfers[[#This Row],[ID_Transfers]],"")</f>
        <v/>
      </c>
    </row>
    <row r="2913" spans="1:4" x14ac:dyDescent="0.45">
      <c r="A2913">
        <v>485</v>
      </c>
      <c r="B2913" s="3">
        <f t="shared" ca="1" si="45"/>
        <v>99</v>
      </c>
      <c r="C2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3" t="str">
        <f ca="1">IF(dict_zuord_Meth_Transfers[[#This Row],[kval_active]],dict_zuord_Meth_Transfers[[#This Row],[ID_Transfers]],"")</f>
        <v/>
      </c>
    </row>
    <row r="2914" spans="1:4" x14ac:dyDescent="0.45">
      <c r="A2914">
        <v>485</v>
      </c>
      <c r="B2914" s="3">
        <f t="shared" ca="1" si="45"/>
        <v>49</v>
      </c>
      <c r="C2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4" t="str">
        <f ca="1">IF(dict_zuord_Meth_Transfers[[#This Row],[kval_active]],dict_zuord_Meth_Transfers[[#This Row],[ID_Transfers]],"")</f>
        <v/>
      </c>
    </row>
    <row r="2915" spans="1:4" x14ac:dyDescent="0.45">
      <c r="A2915">
        <v>485</v>
      </c>
      <c r="B2915">
        <f t="shared" ca="1" si="45"/>
        <v>158</v>
      </c>
      <c r="C2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5" t="str">
        <f ca="1">IF(dict_zuord_Meth_Transfers[[#This Row],[kval_active]],dict_zuord_Meth_Transfers[[#This Row],[ID_Transfers]],"")</f>
        <v/>
      </c>
    </row>
    <row r="2916" spans="1:4" x14ac:dyDescent="0.45">
      <c r="A2916">
        <v>485</v>
      </c>
      <c r="B2916">
        <f t="shared" ca="1" si="45"/>
        <v>14</v>
      </c>
      <c r="C2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6" t="str">
        <f ca="1">IF(dict_zuord_Meth_Transfers[[#This Row],[kval_active]],dict_zuord_Meth_Transfers[[#This Row],[ID_Transfers]],"")</f>
        <v/>
      </c>
    </row>
    <row r="2917" spans="1:4" x14ac:dyDescent="0.45">
      <c r="A2917">
        <v>485</v>
      </c>
      <c r="B2917">
        <f t="shared" ca="1" si="45"/>
        <v>3</v>
      </c>
      <c r="C2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7" t="str">
        <f ca="1">IF(dict_zuord_Meth_Transfers[[#This Row],[kval_active]],dict_zuord_Meth_Transfers[[#This Row],[ID_Transfers]],"")</f>
        <v/>
      </c>
    </row>
    <row r="2918" spans="1:4" x14ac:dyDescent="0.45">
      <c r="A2918">
        <v>486</v>
      </c>
      <c r="B2918">
        <f t="shared" ca="1" si="45"/>
        <v>152</v>
      </c>
      <c r="C2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8" t="str">
        <f ca="1">IF(dict_zuord_Meth_Transfers[[#This Row],[kval_active]],dict_zuord_Meth_Transfers[[#This Row],[ID_Transfers]],"")</f>
        <v/>
      </c>
    </row>
    <row r="2919" spans="1:4" x14ac:dyDescent="0.45">
      <c r="A2919">
        <v>486</v>
      </c>
      <c r="B2919" s="3">
        <f t="shared" ca="1" si="45"/>
        <v>146</v>
      </c>
      <c r="C2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19" t="str">
        <f ca="1">IF(dict_zuord_Meth_Transfers[[#This Row],[kval_active]],dict_zuord_Meth_Transfers[[#This Row],[ID_Transfers]],"")</f>
        <v/>
      </c>
    </row>
    <row r="2920" spans="1:4" x14ac:dyDescent="0.45">
      <c r="A2920">
        <v>486</v>
      </c>
      <c r="B2920" s="3">
        <f t="shared" ca="1" si="45"/>
        <v>132</v>
      </c>
      <c r="C2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0" t="str">
        <f ca="1">IF(dict_zuord_Meth_Transfers[[#This Row],[kval_active]],dict_zuord_Meth_Transfers[[#This Row],[ID_Transfers]],"")</f>
        <v/>
      </c>
    </row>
    <row r="2921" spans="1:4" x14ac:dyDescent="0.45">
      <c r="A2921">
        <v>486</v>
      </c>
      <c r="B2921">
        <f t="shared" ca="1" si="45"/>
        <v>60</v>
      </c>
      <c r="C2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1" t="str">
        <f ca="1">IF(dict_zuord_Meth_Transfers[[#This Row],[kval_active]],dict_zuord_Meth_Transfers[[#This Row],[ID_Transfers]],"")</f>
        <v/>
      </c>
    </row>
    <row r="2922" spans="1:4" x14ac:dyDescent="0.45">
      <c r="A2922">
        <v>486</v>
      </c>
      <c r="B2922">
        <f t="shared" ca="1" si="45"/>
        <v>194</v>
      </c>
      <c r="C2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2" t="str">
        <f ca="1">IF(dict_zuord_Meth_Transfers[[#This Row],[kval_active]],dict_zuord_Meth_Transfers[[#This Row],[ID_Transfers]],"")</f>
        <v/>
      </c>
    </row>
    <row r="2923" spans="1:4" x14ac:dyDescent="0.45">
      <c r="A2923">
        <v>486</v>
      </c>
      <c r="B2923" s="3">
        <f t="shared" ca="1" si="45"/>
        <v>182</v>
      </c>
      <c r="C2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3" t="str">
        <f ca="1">IF(dict_zuord_Meth_Transfers[[#This Row],[kval_active]],dict_zuord_Meth_Transfers[[#This Row],[ID_Transfers]],"")</f>
        <v/>
      </c>
    </row>
    <row r="2924" spans="1:4" x14ac:dyDescent="0.45">
      <c r="A2924">
        <v>487</v>
      </c>
      <c r="B2924">
        <f t="shared" ca="1" si="45"/>
        <v>145</v>
      </c>
      <c r="C2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4" t="str">
        <f ca="1">IF(dict_zuord_Meth_Transfers[[#This Row],[kval_active]],dict_zuord_Meth_Transfers[[#This Row],[ID_Transfers]],"")</f>
        <v/>
      </c>
    </row>
    <row r="2925" spans="1:4" x14ac:dyDescent="0.45">
      <c r="A2925">
        <v>487</v>
      </c>
      <c r="B2925">
        <f t="shared" ca="1" si="45"/>
        <v>39</v>
      </c>
      <c r="C2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5" t="str">
        <f ca="1">IF(dict_zuord_Meth_Transfers[[#This Row],[kval_active]],dict_zuord_Meth_Transfers[[#This Row],[ID_Transfers]],"")</f>
        <v/>
      </c>
    </row>
    <row r="2926" spans="1:4" x14ac:dyDescent="0.45">
      <c r="A2926">
        <v>487</v>
      </c>
      <c r="B2926">
        <f t="shared" ca="1" si="45"/>
        <v>2</v>
      </c>
      <c r="C2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6" t="str">
        <f ca="1">IF(dict_zuord_Meth_Transfers[[#This Row],[kval_active]],dict_zuord_Meth_Transfers[[#This Row],[ID_Transfers]],"")</f>
        <v/>
      </c>
    </row>
    <row r="2927" spans="1:4" x14ac:dyDescent="0.45">
      <c r="A2927">
        <v>487</v>
      </c>
      <c r="B2927" s="3">
        <f t="shared" ca="1" si="45"/>
        <v>45</v>
      </c>
      <c r="C2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7" t="str">
        <f ca="1">IF(dict_zuord_Meth_Transfers[[#This Row],[kval_active]],dict_zuord_Meth_Transfers[[#This Row],[ID_Transfers]],"")</f>
        <v/>
      </c>
    </row>
    <row r="2928" spans="1:4" x14ac:dyDescent="0.45">
      <c r="A2928">
        <v>487</v>
      </c>
      <c r="B2928" s="3">
        <f t="shared" ca="1" si="45"/>
        <v>12</v>
      </c>
      <c r="C2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8" t="str">
        <f ca="1">IF(dict_zuord_Meth_Transfers[[#This Row],[kval_active]],dict_zuord_Meth_Transfers[[#This Row],[ID_Transfers]],"")</f>
        <v/>
      </c>
    </row>
    <row r="2929" spans="1:4" x14ac:dyDescent="0.45">
      <c r="A2929">
        <v>487</v>
      </c>
      <c r="B2929" s="3">
        <f t="shared" ca="1" si="45"/>
        <v>5</v>
      </c>
      <c r="C2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29" t="str">
        <f ca="1">IF(dict_zuord_Meth_Transfers[[#This Row],[kval_active]],dict_zuord_Meth_Transfers[[#This Row],[ID_Transfers]],"")</f>
        <v/>
      </c>
    </row>
    <row r="2930" spans="1:4" x14ac:dyDescent="0.45">
      <c r="A2930">
        <v>488</v>
      </c>
      <c r="B2930">
        <f t="shared" ca="1" si="45"/>
        <v>78</v>
      </c>
      <c r="C2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0" t="str">
        <f ca="1">IF(dict_zuord_Meth_Transfers[[#This Row],[kval_active]],dict_zuord_Meth_Transfers[[#This Row],[ID_Transfers]],"")</f>
        <v/>
      </c>
    </row>
    <row r="2931" spans="1:4" x14ac:dyDescent="0.45">
      <c r="A2931">
        <v>488</v>
      </c>
      <c r="B2931" s="3">
        <f t="shared" ca="1" si="45"/>
        <v>126</v>
      </c>
      <c r="C2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1" t="str">
        <f ca="1">IF(dict_zuord_Meth_Transfers[[#This Row],[kval_active]],dict_zuord_Meth_Transfers[[#This Row],[ID_Transfers]],"")</f>
        <v/>
      </c>
    </row>
    <row r="2932" spans="1:4" x14ac:dyDescent="0.45">
      <c r="A2932">
        <v>488</v>
      </c>
      <c r="B2932">
        <f t="shared" ca="1" si="45"/>
        <v>99</v>
      </c>
      <c r="C2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2" t="str">
        <f ca="1">IF(dict_zuord_Meth_Transfers[[#This Row],[kval_active]],dict_zuord_Meth_Transfers[[#This Row],[ID_Transfers]],"")</f>
        <v/>
      </c>
    </row>
    <row r="2933" spans="1:4" x14ac:dyDescent="0.45">
      <c r="A2933">
        <v>488</v>
      </c>
      <c r="B2933" s="3">
        <f t="shared" ca="1" si="45"/>
        <v>40</v>
      </c>
      <c r="C2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3" t="str">
        <f ca="1">IF(dict_zuord_Meth_Transfers[[#This Row],[kval_active]],dict_zuord_Meth_Transfers[[#This Row],[ID_Transfers]],"")</f>
        <v/>
      </c>
    </row>
    <row r="2934" spans="1:4" x14ac:dyDescent="0.45">
      <c r="A2934">
        <v>488</v>
      </c>
      <c r="B2934" s="3">
        <f t="shared" ca="1" si="45"/>
        <v>36</v>
      </c>
      <c r="C2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4" t="str">
        <f ca="1">IF(dict_zuord_Meth_Transfers[[#This Row],[kval_active]],dict_zuord_Meth_Transfers[[#This Row],[ID_Transfers]],"")</f>
        <v/>
      </c>
    </row>
    <row r="2935" spans="1:4" x14ac:dyDescent="0.45">
      <c r="A2935">
        <v>488</v>
      </c>
      <c r="B2935">
        <f t="shared" ca="1" si="45"/>
        <v>181</v>
      </c>
      <c r="C2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5" t="str">
        <f ca="1">IF(dict_zuord_Meth_Transfers[[#This Row],[kval_active]],dict_zuord_Meth_Transfers[[#This Row],[ID_Transfers]],"")</f>
        <v/>
      </c>
    </row>
    <row r="2936" spans="1:4" x14ac:dyDescent="0.45">
      <c r="A2936">
        <v>489</v>
      </c>
      <c r="B2936">
        <f t="shared" ca="1" si="45"/>
        <v>100</v>
      </c>
      <c r="C2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6" t="str">
        <f ca="1">IF(dict_zuord_Meth_Transfers[[#This Row],[kval_active]],dict_zuord_Meth_Transfers[[#This Row],[ID_Transfers]],"")</f>
        <v/>
      </c>
    </row>
    <row r="2937" spans="1:4" x14ac:dyDescent="0.45">
      <c r="A2937">
        <v>489</v>
      </c>
      <c r="B2937" s="3">
        <f t="shared" ca="1" si="45"/>
        <v>21</v>
      </c>
      <c r="C2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7" t="str">
        <f ca="1">IF(dict_zuord_Meth_Transfers[[#This Row],[kval_active]],dict_zuord_Meth_Transfers[[#This Row],[ID_Transfers]],"")</f>
        <v/>
      </c>
    </row>
    <row r="2938" spans="1:4" x14ac:dyDescent="0.45">
      <c r="A2938">
        <v>489</v>
      </c>
      <c r="B2938" s="3">
        <f t="shared" ca="1" si="45"/>
        <v>60</v>
      </c>
      <c r="C2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8" t="str">
        <f ca="1">IF(dict_zuord_Meth_Transfers[[#This Row],[kval_active]],dict_zuord_Meth_Transfers[[#This Row],[ID_Transfers]],"")</f>
        <v/>
      </c>
    </row>
    <row r="2939" spans="1:4" x14ac:dyDescent="0.45">
      <c r="A2939">
        <v>489</v>
      </c>
      <c r="B2939" s="3">
        <f t="shared" ca="1" si="45"/>
        <v>19</v>
      </c>
      <c r="C2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39" t="str">
        <f ca="1">IF(dict_zuord_Meth_Transfers[[#This Row],[kval_active]],dict_zuord_Meth_Transfers[[#This Row],[ID_Transfers]],"")</f>
        <v/>
      </c>
    </row>
    <row r="2940" spans="1:4" x14ac:dyDescent="0.45">
      <c r="A2940">
        <v>489</v>
      </c>
      <c r="B2940">
        <f t="shared" ca="1" si="45"/>
        <v>26</v>
      </c>
      <c r="C2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0" t="str">
        <f ca="1">IF(dict_zuord_Meth_Transfers[[#This Row],[kval_active]],dict_zuord_Meth_Transfers[[#This Row],[ID_Transfers]],"")</f>
        <v/>
      </c>
    </row>
    <row r="2941" spans="1:4" x14ac:dyDescent="0.45">
      <c r="A2941">
        <v>489</v>
      </c>
      <c r="B2941">
        <f t="shared" ca="1" si="45"/>
        <v>38</v>
      </c>
      <c r="C2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1" t="str">
        <f ca="1">IF(dict_zuord_Meth_Transfers[[#This Row],[kval_active]],dict_zuord_Meth_Transfers[[#This Row],[ID_Transfers]],"")</f>
        <v/>
      </c>
    </row>
    <row r="2942" spans="1:4" x14ac:dyDescent="0.45">
      <c r="A2942">
        <v>490</v>
      </c>
      <c r="B2942">
        <f t="shared" ca="1" si="45"/>
        <v>148</v>
      </c>
      <c r="C2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2" t="str">
        <f ca="1">IF(dict_zuord_Meth_Transfers[[#This Row],[kval_active]],dict_zuord_Meth_Transfers[[#This Row],[ID_Transfers]],"")</f>
        <v/>
      </c>
    </row>
    <row r="2943" spans="1:4" x14ac:dyDescent="0.45">
      <c r="A2943">
        <v>490</v>
      </c>
      <c r="B2943" s="3">
        <f t="shared" ca="1" si="45"/>
        <v>63</v>
      </c>
      <c r="C2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3" t="str">
        <f ca="1">IF(dict_zuord_Meth_Transfers[[#This Row],[kval_active]],dict_zuord_Meth_Transfers[[#This Row],[ID_Transfers]],"")</f>
        <v/>
      </c>
    </row>
    <row r="2944" spans="1:4" x14ac:dyDescent="0.45">
      <c r="A2944">
        <v>490</v>
      </c>
      <c r="B2944">
        <f t="shared" ca="1" si="45"/>
        <v>35</v>
      </c>
      <c r="C2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4" t="str">
        <f ca="1">IF(dict_zuord_Meth_Transfers[[#This Row],[kval_active]],dict_zuord_Meth_Transfers[[#This Row],[ID_Transfers]],"")</f>
        <v/>
      </c>
    </row>
    <row r="2945" spans="1:4" x14ac:dyDescent="0.45">
      <c r="A2945">
        <v>490</v>
      </c>
      <c r="B2945" s="3">
        <f t="shared" ca="1" si="45"/>
        <v>76</v>
      </c>
      <c r="C2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5" t="str">
        <f ca="1">IF(dict_zuord_Meth_Transfers[[#This Row],[kval_active]],dict_zuord_Meth_Transfers[[#This Row],[ID_Transfers]],"")</f>
        <v/>
      </c>
    </row>
    <row r="2946" spans="1:4" x14ac:dyDescent="0.45">
      <c r="A2946">
        <v>490</v>
      </c>
      <c r="B2946" s="3">
        <f t="shared" ref="B2946:B3009" ca="1" si="46">RANDBETWEEN(0,200)</f>
        <v>84</v>
      </c>
      <c r="C2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6" t="str">
        <f ca="1">IF(dict_zuord_Meth_Transfers[[#This Row],[kval_active]],dict_zuord_Meth_Transfers[[#This Row],[ID_Transfers]],"")</f>
        <v/>
      </c>
    </row>
    <row r="2947" spans="1:4" x14ac:dyDescent="0.45">
      <c r="A2947">
        <v>490</v>
      </c>
      <c r="B2947">
        <f t="shared" ca="1" si="46"/>
        <v>160</v>
      </c>
      <c r="C2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7" t="str">
        <f ca="1">IF(dict_zuord_Meth_Transfers[[#This Row],[kval_active]],dict_zuord_Meth_Transfers[[#This Row],[ID_Transfers]],"")</f>
        <v/>
      </c>
    </row>
    <row r="2948" spans="1:4" x14ac:dyDescent="0.45">
      <c r="A2948">
        <v>491</v>
      </c>
      <c r="B2948">
        <f t="shared" ca="1" si="46"/>
        <v>87</v>
      </c>
      <c r="C2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8" t="str">
        <f ca="1">IF(dict_zuord_Meth_Transfers[[#This Row],[kval_active]],dict_zuord_Meth_Transfers[[#This Row],[ID_Transfers]],"")</f>
        <v/>
      </c>
    </row>
    <row r="2949" spans="1:4" x14ac:dyDescent="0.45">
      <c r="A2949">
        <v>491</v>
      </c>
      <c r="B2949">
        <f t="shared" ca="1" si="46"/>
        <v>52</v>
      </c>
      <c r="C2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49" t="str">
        <f ca="1">IF(dict_zuord_Meth_Transfers[[#This Row],[kval_active]],dict_zuord_Meth_Transfers[[#This Row],[ID_Transfers]],"")</f>
        <v/>
      </c>
    </row>
    <row r="2950" spans="1:4" x14ac:dyDescent="0.45">
      <c r="A2950">
        <v>491</v>
      </c>
      <c r="B2950">
        <f t="shared" ca="1" si="46"/>
        <v>192</v>
      </c>
      <c r="C2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0" t="str">
        <f ca="1">IF(dict_zuord_Meth_Transfers[[#This Row],[kval_active]],dict_zuord_Meth_Transfers[[#This Row],[ID_Transfers]],"")</f>
        <v/>
      </c>
    </row>
    <row r="2951" spans="1:4" x14ac:dyDescent="0.45">
      <c r="A2951">
        <v>491</v>
      </c>
      <c r="B2951" s="3">
        <f t="shared" ca="1" si="46"/>
        <v>145</v>
      </c>
      <c r="C2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1" t="str">
        <f ca="1">IF(dict_zuord_Meth_Transfers[[#This Row],[kval_active]],dict_zuord_Meth_Transfers[[#This Row],[ID_Transfers]],"")</f>
        <v/>
      </c>
    </row>
    <row r="2952" spans="1:4" x14ac:dyDescent="0.45">
      <c r="A2952">
        <v>491</v>
      </c>
      <c r="B2952" s="3">
        <f t="shared" ca="1" si="46"/>
        <v>23</v>
      </c>
      <c r="C2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2" t="str">
        <f ca="1">IF(dict_zuord_Meth_Transfers[[#This Row],[kval_active]],dict_zuord_Meth_Transfers[[#This Row],[ID_Transfers]],"")</f>
        <v/>
      </c>
    </row>
    <row r="2953" spans="1:4" x14ac:dyDescent="0.45">
      <c r="A2953">
        <v>491</v>
      </c>
      <c r="B2953" s="3">
        <f t="shared" ca="1" si="46"/>
        <v>151</v>
      </c>
      <c r="C2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3" t="str">
        <f ca="1">IF(dict_zuord_Meth_Transfers[[#This Row],[kval_active]],dict_zuord_Meth_Transfers[[#This Row],[ID_Transfers]],"")</f>
        <v/>
      </c>
    </row>
    <row r="2954" spans="1:4" x14ac:dyDescent="0.45">
      <c r="A2954">
        <v>492</v>
      </c>
      <c r="B2954" s="3">
        <f t="shared" ca="1" si="46"/>
        <v>120</v>
      </c>
      <c r="C2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4" t="str">
        <f ca="1">IF(dict_zuord_Meth_Transfers[[#This Row],[kval_active]],dict_zuord_Meth_Transfers[[#This Row],[ID_Transfers]],"")</f>
        <v/>
      </c>
    </row>
    <row r="2955" spans="1:4" x14ac:dyDescent="0.45">
      <c r="A2955">
        <v>492</v>
      </c>
      <c r="B2955" s="3">
        <f t="shared" ca="1" si="46"/>
        <v>93</v>
      </c>
      <c r="C2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5" t="str">
        <f ca="1">IF(dict_zuord_Meth_Transfers[[#This Row],[kval_active]],dict_zuord_Meth_Transfers[[#This Row],[ID_Transfers]],"")</f>
        <v/>
      </c>
    </row>
    <row r="2956" spans="1:4" x14ac:dyDescent="0.45">
      <c r="A2956">
        <v>492</v>
      </c>
      <c r="B2956" s="3">
        <f t="shared" ca="1" si="46"/>
        <v>171</v>
      </c>
      <c r="C2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6" t="str">
        <f ca="1">IF(dict_zuord_Meth_Transfers[[#This Row],[kval_active]],dict_zuord_Meth_Transfers[[#This Row],[ID_Transfers]],"")</f>
        <v/>
      </c>
    </row>
    <row r="2957" spans="1:4" x14ac:dyDescent="0.45">
      <c r="A2957">
        <v>492</v>
      </c>
      <c r="B2957">
        <f t="shared" ca="1" si="46"/>
        <v>22</v>
      </c>
      <c r="C2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7" t="str">
        <f ca="1">IF(dict_zuord_Meth_Transfers[[#This Row],[kval_active]],dict_zuord_Meth_Transfers[[#This Row],[ID_Transfers]],"")</f>
        <v/>
      </c>
    </row>
    <row r="2958" spans="1:4" x14ac:dyDescent="0.45">
      <c r="A2958">
        <v>492</v>
      </c>
      <c r="B2958">
        <f t="shared" ca="1" si="46"/>
        <v>152</v>
      </c>
      <c r="C2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8" t="str">
        <f ca="1">IF(dict_zuord_Meth_Transfers[[#This Row],[kval_active]],dict_zuord_Meth_Transfers[[#This Row],[ID_Transfers]],"")</f>
        <v/>
      </c>
    </row>
    <row r="2959" spans="1:4" x14ac:dyDescent="0.45">
      <c r="A2959">
        <v>492</v>
      </c>
      <c r="B2959">
        <f t="shared" ca="1" si="46"/>
        <v>184</v>
      </c>
      <c r="C2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59" t="str">
        <f ca="1">IF(dict_zuord_Meth_Transfers[[#This Row],[kval_active]],dict_zuord_Meth_Transfers[[#This Row],[ID_Transfers]],"")</f>
        <v/>
      </c>
    </row>
    <row r="2960" spans="1:4" x14ac:dyDescent="0.45">
      <c r="A2960">
        <v>493</v>
      </c>
      <c r="B2960">
        <f t="shared" ca="1" si="46"/>
        <v>69</v>
      </c>
      <c r="C2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0" t="str">
        <f ca="1">IF(dict_zuord_Meth_Transfers[[#This Row],[kval_active]],dict_zuord_Meth_Transfers[[#This Row],[ID_Transfers]],"")</f>
        <v/>
      </c>
    </row>
    <row r="2961" spans="1:4" x14ac:dyDescent="0.45">
      <c r="A2961">
        <v>493</v>
      </c>
      <c r="B2961" s="3">
        <f t="shared" ca="1" si="46"/>
        <v>40</v>
      </c>
      <c r="C2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1" t="str">
        <f ca="1">IF(dict_zuord_Meth_Transfers[[#This Row],[kval_active]],dict_zuord_Meth_Transfers[[#This Row],[ID_Transfers]],"")</f>
        <v/>
      </c>
    </row>
    <row r="2962" spans="1:4" x14ac:dyDescent="0.45">
      <c r="A2962">
        <v>493</v>
      </c>
      <c r="B2962" s="3">
        <f t="shared" ca="1" si="46"/>
        <v>91</v>
      </c>
      <c r="C2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2" t="str">
        <f ca="1">IF(dict_zuord_Meth_Transfers[[#This Row],[kval_active]],dict_zuord_Meth_Transfers[[#This Row],[ID_Transfers]],"")</f>
        <v/>
      </c>
    </row>
    <row r="2963" spans="1:4" x14ac:dyDescent="0.45">
      <c r="A2963">
        <v>493</v>
      </c>
      <c r="B2963">
        <f t="shared" ca="1" si="46"/>
        <v>151</v>
      </c>
      <c r="C2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3" t="str">
        <f ca="1">IF(dict_zuord_Meth_Transfers[[#This Row],[kval_active]],dict_zuord_Meth_Transfers[[#This Row],[ID_Transfers]],"")</f>
        <v/>
      </c>
    </row>
    <row r="2964" spans="1:4" x14ac:dyDescent="0.45">
      <c r="A2964">
        <v>493</v>
      </c>
      <c r="B2964" s="3">
        <f t="shared" ca="1" si="46"/>
        <v>22</v>
      </c>
      <c r="C2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4" t="str">
        <f ca="1">IF(dict_zuord_Meth_Transfers[[#This Row],[kval_active]],dict_zuord_Meth_Transfers[[#This Row],[ID_Transfers]],"")</f>
        <v/>
      </c>
    </row>
    <row r="2965" spans="1:4" x14ac:dyDescent="0.45">
      <c r="A2965">
        <v>493</v>
      </c>
      <c r="B2965">
        <f t="shared" ca="1" si="46"/>
        <v>140</v>
      </c>
      <c r="C2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5" t="str">
        <f ca="1">IF(dict_zuord_Meth_Transfers[[#This Row],[kval_active]],dict_zuord_Meth_Transfers[[#This Row],[ID_Transfers]],"")</f>
        <v/>
      </c>
    </row>
    <row r="2966" spans="1:4" x14ac:dyDescent="0.45">
      <c r="A2966">
        <v>494</v>
      </c>
      <c r="B2966" s="3">
        <f t="shared" ca="1" si="46"/>
        <v>90</v>
      </c>
      <c r="C2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6" t="str">
        <f ca="1">IF(dict_zuord_Meth_Transfers[[#This Row],[kval_active]],dict_zuord_Meth_Transfers[[#This Row],[ID_Transfers]],"")</f>
        <v/>
      </c>
    </row>
    <row r="2967" spans="1:4" x14ac:dyDescent="0.45">
      <c r="A2967">
        <v>494</v>
      </c>
      <c r="B2967">
        <f t="shared" ca="1" si="46"/>
        <v>18</v>
      </c>
      <c r="C2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7" t="str">
        <f ca="1">IF(dict_zuord_Meth_Transfers[[#This Row],[kval_active]],dict_zuord_Meth_Transfers[[#This Row],[ID_Transfers]],"")</f>
        <v/>
      </c>
    </row>
    <row r="2968" spans="1:4" x14ac:dyDescent="0.45">
      <c r="A2968">
        <v>494</v>
      </c>
      <c r="B2968">
        <f t="shared" ca="1" si="46"/>
        <v>101</v>
      </c>
      <c r="C2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8" t="str">
        <f ca="1">IF(dict_zuord_Meth_Transfers[[#This Row],[kval_active]],dict_zuord_Meth_Transfers[[#This Row],[ID_Transfers]],"")</f>
        <v/>
      </c>
    </row>
    <row r="2969" spans="1:4" x14ac:dyDescent="0.45">
      <c r="A2969">
        <v>494</v>
      </c>
      <c r="B2969" s="3">
        <f t="shared" ca="1" si="46"/>
        <v>132</v>
      </c>
      <c r="C2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69" t="str">
        <f ca="1">IF(dict_zuord_Meth_Transfers[[#This Row],[kval_active]],dict_zuord_Meth_Transfers[[#This Row],[ID_Transfers]],"")</f>
        <v/>
      </c>
    </row>
    <row r="2970" spans="1:4" x14ac:dyDescent="0.45">
      <c r="A2970">
        <v>494</v>
      </c>
      <c r="B2970">
        <f t="shared" ca="1" si="46"/>
        <v>63</v>
      </c>
      <c r="C2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0" t="str">
        <f ca="1">IF(dict_zuord_Meth_Transfers[[#This Row],[kval_active]],dict_zuord_Meth_Transfers[[#This Row],[ID_Transfers]],"")</f>
        <v/>
      </c>
    </row>
    <row r="2971" spans="1:4" x14ac:dyDescent="0.45">
      <c r="A2971">
        <v>494</v>
      </c>
      <c r="B2971" s="3">
        <f t="shared" ca="1" si="46"/>
        <v>112</v>
      </c>
      <c r="C2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1" t="str">
        <f ca="1">IF(dict_zuord_Meth_Transfers[[#This Row],[kval_active]],dict_zuord_Meth_Transfers[[#This Row],[ID_Transfers]],"")</f>
        <v/>
      </c>
    </row>
    <row r="2972" spans="1:4" x14ac:dyDescent="0.45">
      <c r="A2972">
        <v>495</v>
      </c>
      <c r="B2972">
        <f t="shared" ca="1" si="46"/>
        <v>115</v>
      </c>
      <c r="C2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2" t="str">
        <f ca="1">IF(dict_zuord_Meth_Transfers[[#This Row],[kval_active]],dict_zuord_Meth_Transfers[[#This Row],[ID_Transfers]],"")</f>
        <v/>
      </c>
    </row>
    <row r="2973" spans="1:4" x14ac:dyDescent="0.45">
      <c r="A2973">
        <v>495</v>
      </c>
      <c r="B2973" s="3">
        <f t="shared" ca="1" si="46"/>
        <v>61</v>
      </c>
      <c r="C2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3" t="str">
        <f ca="1">IF(dict_zuord_Meth_Transfers[[#This Row],[kval_active]],dict_zuord_Meth_Transfers[[#This Row],[ID_Transfers]],"")</f>
        <v/>
      </c>
    </row>
    <row r="2974" spans="1:4" x14ac:dyDescent="0.45">
      <c r="A2974">
        <v>495</v>
      </c>
      <c r="B2974" s="3">
        <f t="shared" ca="1" si="46"/>
        <v>61</v>
      </c>
      <c r="C2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4" t="str">
        <f ca="1">IF(dict_zuord_Meth_Transfers[[#This Row],[kval_active]],dict_zuord_Meth_Transfers[[#This Row],[ID_Transfers]],"")</f>
        <v/>
      </c>
    </row>
    <row r="2975" spans="1:4" x14ac:dyDescent="0.45">
      <c r="A2975">
        <v>495</v>
      </c>
      <c r="B2975">
        <f t="shared" ca="1" si="46"/>
        <v>37</v>
      </c>
      <c r="C2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5" t="str">
        <f ca="1">IF(dict_zuord_Meth_Transfers[[#This Row],[kval_active]],dict_zuord_Meth_Transfers[[#This Row],[ID_Transfers]],"")</f>
        <v/>
      </c>
    </row>
    <row r="2976" spans="1:4" x14ac:dyDescent="0.45">
      <c r="A2976">
        <v>495</v>
      </c>
      <c r="B2976" s="3">
        <f t="shared" ca="1" si="46"/>
        <v>98</v>
      </c>
      <c r="C2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6" t="str">
        <f ca="1">IF(dict_zuord_Meth_Transfers[[#This Row],[kval_active]],dict_zuord_Meth_Transfers[[#This Row],[ID_Transfers]],"")</f>
        <v/>
      </c>
    </row>
    <row r="2977" spans="1:4" x14ac:dyDescent="0.45">
      <c r="A2977">
        <v>495</v>
      </c>
      <c r="B2977">
        <f t="shared" ca="1" si="46"/>
        <v>90</v>
      </c>
      <c r="C2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7" t="str">
        <f ca="1">IF(dict_zuord_Meth_Transfers[[#This Row],[kval_active]],dict_zuord_Meth_Transfers[[#This Row],[ID_Transfers]],"")</f>
        <v/>
      </c>
    </row>
    <row r="2978" spans="1:4" x14ac:dyDescent="0.45">
      <c r="A2978">
        <v>496</v>
      </c>
      <c r="B2978">
        <f t="shared" ca="1" si="46"/>
        <v>113</v>
      </c>
      <c r="C2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8" t="str">
        <f ca="1">IF(dict_zuord_Meth_Transfers[[#This Row],[kval_active]],dict_zuord_Meth_Transfers[[#This Row],[ID_Transfers]],"")</f>
        <v/>
      </c>
    </row>
    <row r="2979" spans="1:4" x14ac:dyDescent="0.45">
      <c r="A2979">
        <v>496</v>
      </c>
      <c r="B2979" s="3">
        <f t="shared" ca="1" si="46"/>
        <v>15</v>
      </c>
      <c r="C2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79" t="str">
        <f ca="1">IF(dict_zuord_Meth_Transfers[[#This Row],[kval_active]],dict_zuord_Meth_Transfers[[#This Row],[ID_Transfers]],"")</f>
        <v/>
      </c>
    </row>
    <row r="2980" spans="1:4" x14ac:dyDescent="0.45">
      <c r="A2980">
        <v>496</v>
      </c>
      <c r="B2980">
        <f t="shared" ca="1" si="46"/>
        <v>160</v>
      </c>
      <c r="C2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0" t="str">
        <f ca="1">IF(dict_zuord_Meth_Transfers[[#This Row],[kval_active]],dict_zuord_Meth_Transfers[[#This Row],[ID_Transfers]],"")</f>
        <v/>
      </c>
    </row>
    <row r="2981" spans="1:4" x14ac:dyDescent="0.45">
      <c r="A2981">
        <v>496</v>
      </c>
      <c r="B2981">
        <f t="shared" ca="1" si="46"/>
        <v>142</v>
      </c>
      <c r="C2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1" t="str">
        <f ca="1">IF(dict_zuord_Meth_Transfers[[#This Row],[kval_active]],dict_zuord_Meth_Transfers[[#This Row],[ID_Transfers]],"")</f>
        <v/>
      </c>
    </row>
    <row r="2982" spans="1:4" x14ac:dyDescent="0.45">
      <c r="A2982">
        <v>496</v>
      </c>
      <c r="B2982" s="3">
        <f t="shared" ca="1" si="46"/>
        <v>170</v>
      </c>
      <c r="C2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2" t="str">
        <f ca="1">IF(dict_zuord_Meth_Transfers[[#This Row],[kval_active]],dict_zuord_Meth_Transfers[[#This Row],[ID_Transfers]],"")</f>
        <v/>
      </c>
    </row>
    <row r="2983" spans="1:4" x14ac:dyDescent="0.45">
      <c r="A2983">
        <v>496</v>
      </c>
      <c r="B2983" s="3">
        <f t="shared" ca="1" si="46"/>
        <v>50</v>
      </c>
      <c r="C2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3" t="str">
        <f ca="1">IF(dict_zuord_Meth_Transfers[[#This Row],[kval_active]],dict_zuord_Meth_Transfers[[#This Row],[ID_Transfers]],"")</f>
        <v/>
      </c>
    </row>
    <row r="2984" spans="1:4" x14ac:dyDescent="0.45">
      <c r="A2984">
        <v>497</v>
      </c>
      <c r="B2984" s="3">
        <f t="shared" ca="1" si="46"/>
        <v>173</v>
      </c>
      <c r="C2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4" t="str">
        <f ca="1">IF(dict_zuord_Meth_Transfers[[#This Row],[kval_active]],dict_zuord_Meth_Transfers[[#This Row],[ID_Transfers]],"")</f>
        <v/>
      </c>
    </row>
    <row r="2985" spans="1:4" x14ac:dyDescent="0.45">
      <c r="A2985">
        <v>497</v>
      </c>
      <c r="B2985" s="3">
        <f t="shared" ca="1" si="46"/>
        <v>116</v>
      </c>
      <c r="C2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5" t="str">
        <f ca="1">IF(dict_zuord_Meth_Transfers[[#This Row],[kval_active]],dict_zuord_Meth_Transfers[[#This Row],[ID_Transfers]],"")</f>
        <v/>
      </c>
    </row>
    <row r="2986" spans="1:4" x14ac:dyDescent="0.45">
      <c r="A2986">
        <v>497</v>
      </c>
      <c r="B2986">
        <f t="shared" ca="1" si="46"/>
        <v>184</v>
      </c>
      <c r="C2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6" t="str">
        <f ca="1">IF(dict_zuord_Meth_Transfers[[#This Row],[kval_active]],dict_zuord_Meth_Transfers[[#This Row],[ID_Transfers]],"")</f>
        <v/>
      </c>
    </row>
    <row r="2987" spans="1:4" x14ac:dyDescent="0.45">
      <c r="A2987">
        <v>497</v>
      </c>
      <c r="B2987">
        <f t="shared" ca="1" si="46"/>
        <v>38</v>
      </c>
      <c r="C2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7" t="str">
        <f ca="1">IF(dict_zuord_Meth_Transfers[[#This Row],[kval_active]],dict_zuord_Meth_Transfers[[#This Row],[ID_Transfers]],"")</f>
        <v/>
      </c>
    </row>
    <row r="2988" spans="1:4" x14ac:dyDescent="0.45">
      <c r="A2988">
        <v>497</v>
      </c>
      <c r="B2988">
        <f t="shared" ca="1" si="46"/>
        <v>19</v>
      </c>
      <c r="C2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8" t="str">
        <f ca="1">IF(dict_zuord_Meth_Transfers[[#This Row],[kval_active]],dict_zuord_Meth_Transfers[[#This Row],[ID_Transfers]],"")</f>
        <v/>
      </c>
    </row>
    <row r="2989" spans="1:4" x14ac:dyDescent="0.45">
      <c r="A2989">
        <v>497</v>
      </c>
      <c r="B2989" s="3">
        <f t="shared" ca="1" si="46"/>
        <v>160</v>
      </c>
      <c r="C2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89" t="str">
        <f ca="1">IF(dict_zuord_Meth_Transfers[[#This Row],[kval_active]],dict_zuord_Meth_Transfers[[#This Row],[ID_Transfers]],"")</f>
        <v/>
      </c>
    </row>
    <row r="2990" spans="1:4" x14ac:dyDescent="0.45">
      <c r="A2990">
        <v>498</v>
      </c>
      <c r="B2990" s="3">
        <f t="shared" ca="1" si="46"/>
        <v>52</v>
      </c>
      <c r="C2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0" t="str">
        <f ca="1">IF(dict_zuord_Meth_Transfers[[#This Row],[kval_active]],dict_zuord_Meth_Transfers[[#This Row],[ID_Transfers]],"")</f>
        <v/>
      </c>
    </row>
    <row r="2991" spans="1:4" x14ac:dyDescent="0.45">
      <c r="A2991">
        <v>498</v>
      </c>
      <c r="B2991">
        <f t="shared" ca="1" si="46"/>
        <v>164</v>
      </c>
      <c r="C2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1" t="str">
        <f ca="1">IF(dict_zuord_Meth_Transfers[[#This Row],[kval_active]],dict_zuord_Meth_Transfers[[#This Row],[ID_Transfers]],"")</f>
        <v/>
      </c>
    </row>
    <row r="2992" spans="1:4" x14ac:dyDescent="0.45">
      <c r="A2992">
        <v>498</v>
      </c>
      <c r="B2992" s="3">
        <f t="shared" ca="1" si="46"/>
        <v>115</v>
      </c>
      <c r="C2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2" t="str">
        <f ca="1">IF(dict_zuord_Meth_Transfers[[#This Row],[kval_active]],dict_zuord_Meth_Transfers[[#This Row],[ID_Transfers]],"")</f>
        <v/>
      </c>
    </row>
    <row r="2993" spans="1:4" x14ac:dyDescent="0.45">
      <c r="A2993">
        <v>498</v>
      </c>
      <c r="B2993">
        <f t="shared" ca="1" si="46"/>
        <v>157</v>
      </c>
      <c r="C2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3" t="str">
        <f ca="1">IF(dict_zuord_Meth_Transfers[[#This Row],[kval_active]],dict_zuord_Meth_Transfers[[#This Row],[ID_Transfers]],"")</f>
        <v/>
      </c>
    </row>
    <row r="2994" spans="1:4" x14ac:dyDescent="0.45">
      <c r="A2994">
        <v>498</v>
      </c>
      <c r="B2994">
        <f t="shared" ca="1" si="46"/>
        <v>112</v>
      </c>
      <c r="C2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4" t="str">
        <f ca="1">IF(dict_zuord_Meth_Transfers[[#This Row],[kval_active]],dict_zuord_Meth_Transfers[[#This Row],[ID_Transfers]],"")</f>
        <v/>
      </c>
    </row>
    <row r="2995" spans="1:4" x14ac:dyDescent="0.45">
      <c r="A2995">
        <v>498</v>
      </c>
      <c r="B2995" s="3">
        <f t="shared" ca="1" si="46"/>
        <v>128</v>
      </c>
      <c r="C2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5" t="str">
        <f ca="1">IF(dict_zuord_Meth_Transfers[[#This Row],[kval_active]],dict_zuord_Meth_Transfers[[#This Row],[ID_Transfers]],"")</f>
        <v/>
      </c>
    </row>
    <row r="2996" spans="1:4" x14ac:dyDescent="0.45">
      <c r="A2996">
        <v>499</v>
      </c>
      <c r="B2996">
        <f t="shared" ca="1" si="46"/>
        <v>128</v>
      </c>
      <c r="C2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6" t="str">
        <f ca="1">IF(dict_zuord_Meth_Transfers[[#This Row],[kval_active]],dict_zuord_Meth_Transfers[[#This Row],[ID_Transfers]],"")</f>
        <v/>
      </c>
    </row>
    <row r="2997" spans="1:4" x14ac:dyDescent="0.45">
      <c r="A2997">
        <v>499</v>
      </c>
      <c r="B2997" s="3">
        <f t="shared" ca="1" si="46"/>
        <v>76</v>
      </c>
      <c r="C2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7" t="str">
        <f ca="1">IF(dict_zuord_Meth_Transfers[[#This Row],[kval_active]],dict_zuord_Meth_Transfers[[#This Row],[ID_Transfers]],"")</f>
        <v/>
      </c>
    </row>
    <row r="2998" spans="1:4" x14ac:dyDescent="0.45">
      <c r="A2998">
        <v>499</v>
      </c>
      <c r="B2998">
        <f t="shared" ca="1" si="46"/>
        <v>80</v>
      </c>
      <c r="C2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8" t="str">
        <f ca="1">IF(dict_zuord_Meth_Transfers[[#This Row],[kval_active]],dict_zuord_Meth_Transfers[[#This Row],[ID_Transfers]],"")</f>
        <v/>
      </c>
    </row>
    <row r="2999" spans="1:4" x14ac:dyDescent="0.45">
      <c r="A2999">
        <v>499</v>
      </c>
      <c r="B2999" s="3">
        <f t="shared" ca="1" si="46"/>
        <v>87</v>
      </c>
      <c r="C2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2999" t="str">
        <f ca="1">IF(dict_zuord_Meth_Transfers[[#This Row],[kval_active]],dict_zuord_Meth_Transfers[[#This Row],[ID_Transfers]],"")</f>
        <v/>
      </c>
    </row>
    <row r="3000" spans="1:4" x14ac:dyDescent="0.45">
      <c r="A3000">
        <v>499</v>
      </c>
      <c r="B3000" s="3">
        <f t="shared" ca="1" si="46"/>
        <v>166</v>
      </c>
      <c r="C3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0" t="str">
        <f ca="1">IF(dict_zuord_Meth_Transfers[[#This Row],[kval_active]],dict_zuord_Meth_Transfers[[#This Row],[ID_Transfers]],"")</f>
        <v/>
      </c>
    </row>
    <row r="3001" spans="1:4" x14ac:dyDescent="0.45">
      <c r="A3001">
        <v>499</v>
      </c>
      <c r="B3001">
        <f t="shared" ca="1" si="46"/>
        <v>18</v>
      </c>
      <c r="C3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1" t="str">
        <f ca="1">IF(dict_zuord_Meth_Transfers[[#This Row],[kval_active]],dict_zuord_Meth_Transfers[[#This Row],[ID_Transfers]],"")</f>
        <v/>
      </c>
    </row>
    <row r="3002" spans="1:4" x14ac:dyDescent="0.45">
      <c r="A3002">
        <v>500</v>
      </c>
      <c r="B3002">
        <f t="shared" ca="1" si="46"/>
        <v>99</v>
      </c>
      <c r="C3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2" t="str">
        <f ca="1">IF(dict_zuord_Meth_Transfers[[#This Row],[kval_active]],dict_zuord_Meth_Transfers[[#This Row],[ID_Transfers]],"")</f>
        <v/>
      </c>
    </row>
    <row r="3003" spans="1:4" x14ac:dyDescent="0.45">
      <c r="A3003">
        <v>500</v>
      </c>
      <c r="B3003" s="3">
        <f t="shared" ca="1" si="46"/>
        <v>161</v>
      </c>
      <c r="C3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3" t="str">
        <f ca="1">IF(dict_zuord_Meth_Transfers[[#This Row],[kval_active]],dict_zuord_Meth_Transfers[[#This Row],[ID_Transfers]],"")</f>
        <v/>
      </c>
    </row>
    <row r="3004" spans="1:4" x14ac:dyDescent="0.45">
      <c r="A3004">
        <v>500</v>
      </c>
      <c r="B3004" s="3">
        <f t="shared" ca="1" si="46"/>
        <v>17</v>
      </c>
      <c r="C3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4" t="str">
        <f ca="1">IF(dict_zuord_Meth_Transfers[[#This Row],[kval_active]],dict_zuord_Meth_Transfers[[#This Row],[ID_Transfers]],"")</f>
        <v/>
      </c>
    </row>
    <row r="3005" spans="1:4" x14ac:dyDescent="0.45">
      <c r="A3005">
        <v>500</v>
      </c>
      <c r="B3005" s="3">
        <f t="shared" ca="1" si="46"/>
        <v>64</v>
      </c>
      <c r="C3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5" t="str">
        <f ca="1">IF(dict_zuord_Meth_Transfers[[#This Row],[kval_active]],dict_zuord_Meth_Transfers[[#This Row],[ID_Transfers]],"")</f>
        <v/>
      </c>
    </row>
    <row r="3006" spans="1:4" x14ac:dyDescent="0.45">
      <c r="A3006">
        <v>500</v>
      </c>
      <c r="B3006">
        <f t="shared" ca="1" si="46"/>
        <v>26</v>
      </c>
      <c r="C3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6" t="str">
        <f ca="1">IF(dict_zuord_Meth_Transfers[[#This Row],[kval_active]],dict_zuord_Meth_Transfers[[#This Row],[ID_Transfers]],"")</f>
        <v/>
      </c>
    </row>
    <row r="3007" spans="1:4" x14ac:dyDescent="0.45">
      <c r="A3007">
        <v>500</v>
      </c>
      <c r="B3007">
        <f t="shared" ca="1" si="46"/>
        <v>159</v>
      </c>
      <c r="C3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07" t="str">
        <f ca="1">IF(dict_zuord_Meth_Transfers[[#This Row],[kval_active]],dict_zuord_Meth_Transfers[[#This Row],[ID_Transfers]],"")</f>
        <v/>
      </c>
    </row>
    <row r="3008" spans="1:4" x14ac:dyDescent="0.45">
      <c r="A3008">
        <v>501</v>
      </c>
      <c r="B3008">
        <f t="shared" ca="1" si="46"/>
        <v>192</v>
      </c>
      <c r="C3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8">
        <f ca="1">IF(dict_zuord_Meth_Transfers[[#This Row],[kval_active]],dict_zuord_Meth_Transfers[[#This Row],[ID_Transfers]],"")</f>
        <v>192</v>
      </c>
    </row>
    <row r="3009" spans="1:4" x14ac:dyDescent="0.45">
      <c r="A3009">
        <v>501</v>
      </c>
      <c r="B3009">
        <f t="shared" ca="1" si="46"/>
        <v>98</v>
      </c>
      <c r="C3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09">
        <f ca="1">IF(dict_zuord_Meth_Transfers[[#This Row],[kval_active]],dict_zuord_Meth_Transfers[[#This Row],[ID_Transfers]],"")</f>
        <v>98</v>
      </c>
    </row>
    <row r="3010" spans="1:4" x14ac:dyDescent="0.45">
      <c r="A3010">
        <v>501</v>
      </c>
      <c r="B3010" s="3">
        <f t="shared" ref="B3010:B3073" ca="1" si="47">RANDBETWEEN(0,200)</f>
        <v>44</v>
      </c>
      <c r="C3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0">
        <f ca="1">IF(dict_zuord_Meth_Transfers[[#This Row],[kval_active]],dict_zuord_Meth_Transfers[[#This Row],[ID_Transfers]],"")</f>
        <v>44</v>
      </c>
    </row>
    <row r="3011" spans="1:4" x14ac:dyDescent="0.45">
      <c r="A3011">
        <v>501</v>
      </c>
      <c r="B3011" s="3">
        <f t="shared" ca="1" si="47"/>
        <v>48</v>
      </c>
      <c r="C3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1">
        <f ca="1">IF(dict_zuord_Meth_Transfers[[#This Row],[kval_active]],dict_zuord_Meth_Transfers[[#This Row],[ID_Transfers]],"")</f>
        <v>48</v>
      </c>
    </row>
    <row r="3012" spans="1:4" x14ac:dyDescent="0.45">
      <c r="A3012">
        <v>501</v>
      </c>
      <c r="B3012">
        <f t="shared" ca="1" si="47"/>
        <v>180</v>
      </c>
      <c r="C3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2">
        <f ca="1">IF(dict_zuord_Meth_Transfers[[#This Row],[kval_active]],dict_zuord_Meth_Transfers[[#This Row],[ID_Transfers]],"")</f>
        <v>180</v>
      </c>
    </row>
    <row r="3013" spans="1:4" x14ac:dyDescent="0.45">
      <c r="A3013">
        <v>501</v>
      </c>
      <c r="B3013" s="3">
        <f t="shared" ca="1" si="47"/>
        <v>58</v>
      </c>
      <c r="C3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013">
        <f ca="1">IF(dict_zuord_Meth_Transfers[[#This Row],[kval_active]],dict_zuord_Meth_Transfers[[#This Row],[ID_Transfers]],"")</f>
        <v>58</v>
      </c>
    </row>
    <row r="3014" spans="1:4" x14ac:dyDescent="0.45">
      <c r="A3014">
        <v>502</v>
      </c>
      <c r="B3014" s="3">
        <f t="shared" ca="1" si="47"/>
        <v>133</v>
      </c>
      <c r="C3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4" t="str">
        <f ca="1">IF(dict_zuord_Meth_Transfers[[#This Row],[kval_active]],dict_zuord_Meth_Transfers[[#This Row],[ID_Transfers]],"")</f>
        <v/>
      </c>
    </row>
    <row r="3015" spans="1:4" x14ac:dyDescent="0.45">
      <c r="A3015">
        <v>502</v>
      </c>
      <c r="B3015">
        <f t="shared" ca="1" si="47"/>
        <v>12</v>
      </c>
      <c r="C3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5" t="str">
        <f ca="1">IF(dict_zuord_Meth_Transfers[[#This Row],[kval_active]],dict_zuord_Meth_Transfers[[#This Row],[ID_Transfers]],"")</f>
        <v/>
      </c>
    </row>
    <row r="3016" spans="1:4" x14ac:dyDescent="0.45">
      <c r="A3016">
        <v>502</v>
      </c>
      <c r="B3016" s="3">
        <f t="shared" ca="1" si="47"/>
        <v>176</v>
      </c>
      <c r="C3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6" t="str">
        <f ca="1">IF(dict_zuord_Meth_Transfers[[#This Row],[kval_active]],dict_zuord_Meth_Transfers[[#This Row],[ID_Transfers]],"")</f>
        <v/>
      </c>
    </row>
    <row r="3017" spans="1:4" x14ac:dyDescent="0.45">
      <c r="A3017">
        <v>502</v>
      </c>
      <c r="B3017">
        <f t="shared" ca="1" si="47"/>
        <v>148</v>
      </c>
      <c r="C3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7" t="str">
        <f ca="1">IF(dict_zuord_Meth_Transfers[[#This Row],[kval_active]],dict_zuord_Meth_Transfers[[#This Row],[ID_Transfers]],"")</f>
        <v/>
      </c>
    </row>
    <row r="3018" spans="1:4" x14ac:dyDescent="0.45">
      <c r="A3018">
        <v>502</v>
      </c>
      <c r="B3018">
        <f t="shared" ca="1" si="47"/>
        <v>2</v>
      </c>
      <c r="C3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8" t="str">
        <f ca="1">IF(dict_zuord_Meth_Transfers[[#This Row],[kval_active]],dict_zuord_Meth_Transfers[[#This Row],[ID_Transfers]],"")</f>
        <v/>
      </c>
    </row>
    <row r="3019" spans="1:4" x14ac:dyDescent="0.45">
      <c r="A3019">
        <v>502</v>
      </c>
      <c r="B3019" s="3">
        <f t="shared" ca="1" si="47"/>
        <v>95</v>
      </c>
      <c r="C3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19" t="str">
        <f ca="1">IF(dict_zuord_Meth_Transfers[[#This Row],[kval_active]],dict_zuord_Meth_Transfers[[#This Row],[ID_Transfers]],"")</f>
        <v/>
      </c>
    </row>
    <row r="3020" spans="1:4" x14ac:dyDescent="0.45">
      <c r="A3020">
        <v>503</v>
      </c>
      <c r="B3020">
        <f t="shared" ca="1" si="47"/>
        <v>85</v>
      </c>
      <c r="C3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0" t="str">
        <f ca="1">IF(dict_zuord_Meth_Transfers[[#This Row],[kval_active]],dict_zuord_Meth_Transfers[[#This Row],[ID_Transfers]],"")</f>
        <v/>
      </c>
    </row>
    <row r="3021" spans="1:4" x14ac:dyDescent="0.45">
      <c r="A3021">
        <v>503</v>
      </c>
      <c r="B3021">
        <f t="shared" ca="1" si="47"/>
        <v>127</v>
      </c>
      <c r="C3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1" t="str">
        <f ca="1">IF(dict_zuord_Meth_Transfers[[#This Row],[kval_active]],dict_zuord_Meth_Transfers[[#This Row],[ID_Transfers]],"")</f>
        <v/>
      </c>
    </row>
    <row r="3022" spans="1:4" x14ac:dyDescent="0.45">
      <c r="A3022">
        <v>503</v>
      </c>
      <c r="B3022" s="3">
        <f t="shared" ca="1" si="47"/>
        <v>167</v>
      </c>
      <c r="C3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2" t="str">
        <f ca="1">IF(dict_zuord_Meth_Transfers[[#This Row],[kval_active]],dict_zuord_Meth_Transfers[[#This Row],[ID_Transfers]],"")</f>
        <v/>
      </c>
    </row>
    <row r="3023" spans="1:4" x14ac:dyDescent="0.45">
      <c r="A3023">
        <v>503</v>
      </c>
      <c r="B3023">
        <f t="shared" ca="1" si="47"/>
        <v>154</v>
      </c>
      <c r="C3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3" t="str">
        <f ca="1">IF(dict_zuord_Meth_Transfers[[#This Row],[kval_active]],dict_zuord_Meth_Transfers[[#This Row],[ID_Transfers]],"")</f>
        <v/>
      </c>
    </row>
    <row r="3024" spans="1:4" x14ac:dyDescent="0.45">
      <c r="A3024">
        <v>503</v>
      </c>
      <c r="B3024" s="3">
        <f t="shared" ca="1" si="47"/>
        <v>76</v>
      </c>
      <c r="C3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4" t="str">
        <f ca="1">IF(dict_zuord_Meth_Transfers[[#This Row],[kval_active]],dict_zuord_Meth_Transfers[[#This Row],[ID_Transfers]],"")</f>
        <v/>
      </c>
    </row>
    <row r="3025" spans="1:4" x14ac:dyDescent="0.45">
      <c r="A3025">
        <v>503</v>
      </c>
      <c r="B3025" s="3">
        <f t="shared" ca="1" si="47"/>
        <v>8</v>
      </c>
      <c r="C3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5" t="str">
        <f ca="1">IF(dict_zuord_Meth_Transfers[[#This Row],[kval_active]],dict_zuord_Meth_Transfers[[#This Row],[ID_Transfers]],"")</f>
        <v/>
      </c>
    </row>
    <row r="3026" spans="1:4" x14ac:dyDescent="0.45">
      <c r="A3026">
        <v>504</v>
      </c>
      <c r="B3026">
        <f t="shared" ca="1" si="47"/>
        <v>166</v>
      </c>
      <c r="C3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6" t="str">
        <f ca="1">IF(dict_zuord_Meth_Transfers[[#This Row],[kval_active]],dict_zuord_Meth_Transfers[[#This Row],[ID_Transfers]],"")</f>
        <v/>
      </c>
    </row>
    <row r="3027" spans="1:4" x14ac:dyDescent="0.45">
      <c r="A3027">
        <v>504</v>
      </c>
      <c r="B3027" s="3">
        <f t="shared" ca="1" si="47"/>
        <v>2</v>
      </c>
      <c r="C3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7" t="str">
        <f ca="1">IF(dict_zuord_Meth_Transfers[[#This Row],[kval_active]],dict_zuord_Meth_Transfers[[#This Row],[ID_Transfers]],"")</f>
        <v/>
      </c>
    </row>
    <row r="3028" spans="1:4" x14ac:dyDescent="0.45">
      <c r="A3028">
        <v>504</v>
      </c>
      <c r="B3028">
        <f t="shared" ca="1" si="47"/>
        <v>39</v>
      </c>
      <c r="C3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8" t="str">
        <f ca="1">IF(dict_zuord_Meth_Transfers[[#This Row],[kval_active]],dict_zuord_Meth_Transfers[[#This Row],[ID_Transfers]],"")</f>
        <v/>
      </c>
    </row>
    <row r="3029" spans="1:4" x14ac:dyDescent="0.45">
      <c r="A3029">
        <v>504</v>
      </c>
      <c r="B3029">
        <f t="shared" ca="1" si="47"/>
        <v>152</v>
      </c>
      <c r="C3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29" t="str">
        <f ca="1">IF(dict_zuord_Meth_Transfers[[#This Row],[kval_active]],dict_zuord_Meth_Transfers[[#This Row],[ID_Transfers]],"")</f>
        <v/>
      </c>
    </row>
    <row r="3030" spans="1:4" x14ac:dyDescent="0.45">
      <c r="A3030">
        <v>504</v>
      </c>
      <c r="B3030" s="3">
        <f t="shared" ca="1" si="47"/>
        <v>15</v>
      </c>
      <c r="C3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0" t="str">
        <f ca="1">IF(dict_zuord_Meth_Transfers[[#This Row],[kval_active]],dict_zuord_Meth_Transfers[[#This Row],[ID_Transfers]],"")</f>
        <v/>
      </c>
    </row>
    <row r="3031" spans="1:4" x14ac:dyDescent="0.45">
      <c r="A3031">
        <v>504</v>
      </c>
      <c r="B3031" s="3">
        <f t="shared" ca="1" si="47"/>
        <v>11</v>
      </c>
      <c r="C3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1" t="str">
        <f ca="1">IF(dict_zuord_Meth_Transfers[[#This Row],[kval_active]],dict_zuord_Meth_Transfers[[#This Row],[ID_Transfers]],"")</f>
        <v/>
      </c>
    </row>
    <row r="3032" spans="1:4" x14ac:dyDescent="0.45">
      <c r="A3032">
        <v>505</v>
      </c>
      <c r="B3032">
        <f t="shared" ca="1" si="47"/>
        <v>174</v>
      </c>
      <c r="C3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2" t="str">
        <f ca="1">IF(dict_zuord_Meth_Transfers[[#This Row],[kval_active]],dict_zuord_Meth_Transfers[[#This Row],[ID_Transfers]],"")</f>
        <v/>
      </c>
    </row>
    <row r="3033" spans="1:4" x14ac:dyDescent="0.45">
      <c r="A3033">
        <v>505</v>
      </c>
      <c r="B3033" s="3">
        <f t="shared" ca="1" si="47"/>
        <v>154</v>
      </c>
      <c r="C3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3" t="str">
        <f ca="1">IF(dict_zuord_Meth_Transfers[[#This Row],[kval_active]],dict_zuord_Meth_Transfers[[#This Row],[ID_Transfers]],"")</f>
        <v/>
      </c>
    </row>
    <row r="3034" spans="1:4" x14ac:dyDescent="0.45">
      <c r="A3034">
        <v>505</v>
      </c>
      <c r="B3034" s="3">
        <f t="shared" ca="1" si="47"/>
        <v>25</v>
      </c>
      <c r="C3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4" t="str">
        <f ca="1">IF(dict_zuord_Meth_Transfers[[#This Row],[kval_active]],dict_zuord_Meth_Transfers[[#This Row],[ID_Transfers]],"")</f>
        <v/>
      </c>
    </row>
    <row r="3035" spans="1:4" x14ac:dyDescent="0.45">
      <c r="A3035">
        <v>505</v>
      </c>
      <c r="B3035">
        <f t="shared" ca="1" si="47"/>
        <v>28</v>
      </c>
      <c r="C3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5" t="str">
        <f ca="1">IF(dict_zuord_Meth_Transfers[[#This Row],[kval_active]],dict_zuord_Meth_Transfers[[#This Row],[ID_Transfers]],"")</f>
        <v/>
      </c>
    </row>
    <row r="3036" spans="1:4" x14ac:dyDescent="0.45">
      <c r="A3036">
        <v>505</v>
      </c>
      <c r="B3036" s="3">
        <f t="shared" ca="1" si="47"/>
        <v>144</v>
      </c>
      <c r="C3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6" t="str">
        <f ca="1">IF(dict_zuord_Meth_Transfers[[#This Row],[kval_active]],dict_zuord_Meth_Transfers[[#This Row],[ID_Transfers]],"")</f>
        <v/>
      </c>
    </row>
    <row r="3037" spans="1:4" x14ac:dyDescent="0.45">
      <c r="A3037">
        <v>505</v>
      </c>
      <c r="B3037">
        <f t="shared" ca="1" si="47"/>
        <v>58</v>
      </c>
      <c r="C3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7" t="str">
        <f ca="1">IF(dict_zuord_Meth_Transfers[[#This Row],[kval_active]],dict_zuord_Meth_Transfers[[#This Row],[ID_Transfers]],"")</f>
        <v/>
      </c>
    </row>
    <row r="3038" spans="1:4" x14ac:dyDescent="0.45">
      <c r="A3038">
        <v>506</v>
      </c>
      <c r="B3038">
        <f t="shared" ca="1" si="47"/>
        <v>197</v>
      </c>
      <c r="C3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8" t="str">
        <f ca="1">IF(dict_zuord_Meth_Transfers[[#This Row],[kval_active]],dict_zuord_Meth_Transfers[[#This Row],[ID_Transfers]],"")</f>
        <v/>
      </c>
    </row>
    <row r="3039" spans="1:4" x14ac:dyDescent="0.45">
      <c r="A3039">
        <v>506</v>
      </c>
      <c r="B3039" s="3">
        <f t="shared" ca="1" si="47"/>
        <v>20</v>
      </c>
      <c r="C3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39" t="str">
        <f ca="1">IF(dict_zuord_Meth_Transfers[[#This Row],[kval_active]],dict_zuord_Meth_Transfers[[#This Row],[ID_Transfers]],"")</f>
        <v/>
      </c>
    </row>
    <row r="3040" spans="1:4" x14ac:dyDescent="0.45">
      <c r="A3040">
        <v>506</v>
      </c>
      <c r="B3040" s="3">
        <f t="shared" ca="1" si="47"/>
        <v>83</v>
      </c>
      <c r="C3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0" t="str">
        <f ca="1">IF(dict_zuord_Meth_Transfers[[#This Row],[kval_active]],dict_zuord_Meth_Transfers[[#This Row],[ID_Transfers]],"")</f>
        <v/>
      </c>
    </row>
    <row r="3041" spans="1:4" x14ac:dyDescent="0.45">
      <c r="A3041">
        <v>506</v>
      </c>
      <c r="B3041" s="3">
        <f t="shared" ca="1" si="47"/>
        <v>182</v>
      </c>
      <c r="C3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1" t="str">
        <f ca="1">IF(dict_zuord_Meth_Transfers[[#This Row],[kval_active]],dict_zuord_Meth_Transfers[[#This Row],[ID_Transfers]],"")</f>
        <v/>
      </c>
    </row>
    <row r="3042" spans="1:4" x14ac:dyDescent="0.45">
      <c r="A3042">
        <v>506</v>
      </c>
      <c r="B3042">
        <f t="shared" ca="1" si="47"/>
        <v>152</v>
      </c>
      <c r="C3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2" t="str">
        <f ca="1">IF(dict_zuord_Meth_Transfers[[#This Row],[kval_active]],dict_zuord_Meth_Transfers[[#This Row],[ID_Transfers]],"")</f>
        <v/>
      </c>
    </row>
    <row r="3043" spans="1:4" x14ac:dyDescent="0.45">
      <c r="A3043">
        <v>506</v>
      </c>
      <c r="B3043">
        <f t="shared" ca="1" si="47"/>
        <v>103</v>
      </c>
      <c r="C3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3" t="str">
        <f ca="1">IF(dict_zuord_Meth_Transfers[[#This Row],[kval_active]],dict_zuord_Meth_Transfers[[#This Row],[ID_Transfers]],"")</f>
        <v/>
      </c>
    </row>
    <row r="3044" spans="1:4" x14ac:dyDescent="0.45">
      <c r="A3044">
        <v>507</v>
      </c>
      <c r="B3044" s="3">
        <f t="shared" ca="1" si="47"/>
        <v>84</v>
      </c>
      <c r="C3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4" t="str">
        <f ca="1">IF(dict_zuord_Meth_Transfers[[#This Row],[kval_active]],dict_zuord_Meth_Transfers[[#This Row],[ID_Transfers]],"")</f>
        <v/>
      </c>
    </row>
    <row r="3045" spans="1:4" x14ac:dyDescent="0.45">
      <c r="A3045">
        <v>507</v>
      </c>
      <c r="B3045" s="3">
        <f t="shared" ca="1" si="47"/>
        <v>52</v>
      </c>
      <c r="C3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5" t="str">
        <f ca="1">IF(dict_zuord_Meth_Transfers[[#This Row],[kval_active]],dict_zuord_Meth_Transfers[[#This Row],[ID_Transfers]],"")</f>
        <v/>
      </c>
    </row>
    <row r="3046" spans="1:4" x14ac:dyDescent="0.45">
      <c r="A3046">
        <v>507</v>
      </c>
      <c r="B3046">
        <f t="shared" ca="1" si="47"/>
        <v>66</v>
      </c>
      <c r="C3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6" t="str">
        <f ca="1">IF(dict_zuord_Meth_Transfers[[#This Row],[kval_active]],dict_zuord_Meth_Transfers[[#This Row],[ID_Transfers]],"")</f>
        <v/>
      </c>
    </row>
    <row r="3047" spans="1:4" x14ac:dyDescent="0.45">
      <c r="A3047">
        <v>507</v>
      </c>
      <c r="B3047">
        <f t="shared" ca="1" si="47"/>
        <v>42</v>
      </c>
      <c r="C3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7" t="str">
        <f ca="1">IF(dict_zuord_Meth_Transfers[[#This Row],[kval_active]],dict_zuord_Meth_Transfers[[#This Row],[ID_Transfers]],"")</f>
        <v/>
      </c>
    </row>
    <row r="3048" spans="1:4" x14ac:dyDescent="0.45">
      <c r="A3048">
        <v>507</v>
      </c>
      <c r="B3048">
        <f t="shared" ca="1" si="47"/>
        <v>134</v>
      </c>
      <c r="C3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8" t="str">
        <f ca="1">IF(dict_zuord_Meth_Transfers[[#This Row],[kval_active]],dict_zuord_Meth_Transfers[[#This Row],[ID_Transfers]],"")</f>
        <v/>
      </c>
    </row>
    <row r="3049" spans="1:4" x14ac:dyDescent="0.45">
      <c r="A3049">
        <v>507</v>
      </c>
      <c r="B3049" s="3">
        <f t="shared" ca="1" si="47"/>
        <v>134</v>
      </c>
      <c r="C3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49" t="str">
        <f ca="1">IF(dict_zuord_Meth_Transfers[[#This Row],[kval_active]],dict_zuord_Meth_Transfers[[#This Row],[ID_Transfers]],"")</f>
        <v/>
      </c>
    </row>
    <row r="3050" spans="1:4" x14ac:dyDescent="0.45">
      <c r="A3050">
        <v>508</v>
      </c>
      <c r="B3050" s="3">
        <f t="shared" ca="1" si="47"/>
        <v>176</v>
      </c>
      <c r="C3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0" t="str">
        <f ca="1">IF(dict_zuord_Meth_Transfers[[#This Row],[kval_active]],dict_zuord_Meth_Transfers[[#This Row],[ID_Transfers]],"")</f>
        <v/>
      </c>
    </row>
    <row r="3051" spans="1:4" x14ac:dyDescent="0.45">
      <c r="A3051">
        <v>508</v>
      </c>
      <c r="B3051">
        <f t="shared" ca="1" si="47"/>
        <v>100</v>
      </c>
      <c r="C3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1" t="str">
        <f ca="1">IF(dict_zuord_Meth_Transfers[[#This Row],[kval_active]],dict_zuord_Meth_Transfers[[#This Row],[ID_Transfers]],"")</f>
        <v/>
      </c>
    </row>
    <row r="3052" spans="1:4" x14ac:dyDescent="0.45">
      <c r="A3052">
        <v>508</v>
      </c>
      <c r="B3052" s="3">
        <f t="shared" ca="1" si="47"/>
        <v>164</v>
      </c>
      <c r="C3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2" t="str">
        <f ca="1">IF(dict_zuord_Meth_Transfers[[#This Row],[kval_active]],dict_zuord_Meth_Transfers[[#This Row],[ID_Transfers]],"")</f>
        <v/>
      </c>
    </row>
    <row r="3053" spans="1:4" x14ac:dyDescent="0.45">
      <c r="A3053">
        <v>508</v>
      </c>
      <c r="B3053" s="3">
        <f t="shared" ca="1" si="47"/>
        <v>33</v>
      </c>
      <c r="C3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3" t="str">
        <f ca="1">IF(dict_zuord_Meth_Transfers[[#This Row],[kval_active]],dict_zuord_Meth_Transfers[[#This Row],[ID_Transfers]],"")</f>
        <v/>
      </c>
    </row>
    <row r="3054" spans="1:4" x14ac:dyDescent="0.45">
      <c r="A3054">
        <v>508</v>
      </c>
      <c r="B3054">
        <f t="shared" ca="1" si="47"/>
        <v>191</v>
      </c>
      <c r="C3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4" t="str">
        <f ca="1">IF(dict_zuord_Meth_Transfers[[#This Row],[kval_active]],dict_zuord_Meth_Transfers[[#This Row],[ID_Transfers]],"")</f>
        <v/>
      </c>
    </row>
    <row r="3055" spans="1:4" x14ac:dyDescent="0.45">
      <c r="A3055">
        <v>508</v>
      </c>
      <c r="B3055">
        <f t="shared" ca="1" si="47"/>
        <v>85</v>
      </c>
      <c r="C3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5" t="str">
        <f ca="1">IF(dict_zuord_Meth_Transfers[[#This Row],[kval_active]],dict_zuord_Meth_Transfers[[#This Row],[ID_Transfers]],"")</f>
        <v/>
      </c>
    </row>
    <row r="3056" spans="1:4" x14ac:dyDescent="0.45">
      <c r="A3056">
        <v>509</v>
      </c>
      <c r="B3056">
        <f t="shared" ca="1" si="47"/>
        <v>49</v>
      </c>
      <c r="C3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6" t="str">
        <f ca="1">IF(dict_zuord_Meth_Transfers[[#This Row],[kval_active]],dict_zuord_Meth_Transfers[[#This Row],[ID_Transfers]],"")</f>
        <v/>
      </c>
    </row>
    <row r="3057" spans="1:4" x14ac:dyDescent="0.45">
      <c r="A3057">
        <v>509</v>
      </c>
      <c r="B3057">
        <f t="shared" ca="1" si="47"/>
        <v>165</v>
      </c>
      <c r="C3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7" t="str">
        <f ca="1">IF(dict_zuord_Meth_Transfers[[#This Row],[kval_active]],dict_zuord_Meth_Transfers[[#This Row],[ID_Transfers]],"")</f>
        <v/>
      </c>
    </row>
    <row r="3058" spans="1:4" x14ac:dyDescent="0.45">
      <c r="A3058">
        <v>509</v>
      </c>
      <c r="B3058" s="3">
        <f t="shared" ca="1" si="47"/>
        <v>40</v>
      </c>
      <c r="C3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8" t="str">
        <f ca="1">IF(dict_zuord_Meth_Transfers[[#This Row],[kval_active]],dict_zuord_Meth_Transfers[[#This Row],[ID_Transfers]],"")</f>
        <v/>
      </c>
    </row>
    <row r="3059" spans="1:4" x14ac:dyDescent="0.45">
      <c r="A3059">
        <v>509</v>
      </c>
      <c r="B3059">
        <f t="shared" ca="1" si="47"/>
        <v>125</v>
      </c>
      <c r="C3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59" t="str">
        <f ca="1">IF(dict_zuord_Meth_Transfers[[#This Row],[kval_active]],dict_zuord_Meth_Transfers[[#This Row],[ID_Transfers]],"")</f>
        <v/>
      </c>
    </row>
    <row r="3060" spans="1:4" x14ac:dyDescent="0.45">
      <c r="A3060">
        <v>509</v>
      </c>
      <c r="B3060" s="3">
        <f t="shared" ca="1" si="47"/>
        <v>13</v>
      </c>
      <c r="C3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0" t="str">
        <f ca="1">IF(dict_zuord_Meth_Transfers[[#This Row],[kval_active]],dict_zuord_Meth_Transfers[[#This Row],[ID_Transfers]],"")</f>
        <v/>
      </c>
    </row>
    <row r="3061" spans="1:4" x14ac:dyDescent="0.45">
      <c r="A3061">
        <v>509</v>
      </c>
      <c r="B3061" s="3">
        <f t="shared" ca="1" si="47"/>
        <v>134</v>
      </c>
      <c r="C3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1" t="str">
        <f ca="1">IF(dict_zuord_Meth_Transfers[[#This Row],[kval_active]],dict_zuord_Meth_Transfers[[#This Row],[ID_Transfers]],"")</f>
        <v/>
      </c>
    </row>
    <row r="3062" spans="1:4" x14ac:dyDescent="0.45">
      <c r="A3062">
        <v>510</v>
      </c>
      <c r="B3062">
        <f t="shared" ca="1" si="47"/>
        <v>128</v>
      </c>
      <c r="C3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2" t="str">
        <f ca="1">IF(dict_zuord_Meth_Transfers[[#This Row],[kval_active]],dict_zuord_Meth_Transfers[[#This Row],[ID_Transfers]],"")</f>
        <v/>
      </c>
    </row>
    <row r="3063" spans="1:4" x14ac:dyDescent="0.45">
      <c r="A3063">
        <v>510</v>
      </c>
      <c r="B3063">
        <f t="shared" ca="1" si="47"/>
        <v>45</v>
      </c>
      <c r="C3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3" t="str">
        <f ca="1">IF(dict_zuord_Meth_Transfers[[#This Row],[kval_active]],dict_zuord_Meth_Transfers[[#This Row],[ID_Transfers]],"")</f>
        <v/>
      </c>
    </row>
    <row r="3064" spans="1:4" x14ac:dyDescent="0.45">
      <c r="A3064">
        <v>510</v>
      </c>
      <c r="B3064" s="3">
        <f t="shared" ca="1" si="47"/>
        <v>123</v>
      </c>
      <c r="C3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4" t="str">
        <f ca="1">IF(dict_zuord_Meth_Transfers[[#This Row],[kval_active]],dict_zuord_Meth_Transfers[[#This Row],[ID_Transfers]],"")</f>
        <v/>
      </c>
    </row>
    <row r="3065" spans="1:4" x14ac:dyDescent="0.45">
      <c r="A3065">
        <v>510</v>
      </c>
      <c r="B3065" s="3">
        <f t="shared" ca="1" si="47"/>
        <v>45</v>
      </c>
      <c r="C3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5" t="str">
        <f ca="1">IF(dict_zuord_Meth_Transfers[[#This Row],[kval_active]],dict_zuord_Meth_Transfers[[#This Row],[ID_Transfers]],"")</f>
        <v/>
      </c>
    </row>
    <row r="3066" spans="1:4" x14ac:dyDescent="0.45">
      <c r="A3066">
        <v>510</v>
      </c>
      <c r="B3066">
        <f t="shared" ca="1" si="47"/>
        <v>168</v>
      </c>
      <c r="C3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6" t="str">
        <f ca="1">IF(dict_zuord_Meth_Transfers[[#This Row],[kval_active]],dict_zuord_Meth_Transfers[[#This Row],[ID_Transfers]],"")</f>
        <v/>
      </c>
    </row>
    <row r="3067" spans="1:4" x14ac:dyDescent="0.45">
      <c r="A3067">
        <v>510</v>
      </c>
      <c r="B3067" s="3">
        <f t="shared" ca="1" si="47"/>
        <v>169</v>
      </c>
      <c r="C3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7" t="str">
        <f ca="1">IF(dict_zuord_Meth_Transfers[[#This Row],[kval_active]],dict_zuord_Meth_Transfers[[#This Row],[ID_Transfers]],"")</f>
        <v/>
      </c>
    </row>
    <row r="3068" spans="1:4" x14ac:dyDescent="0.45">
      <c r="A3068">
        <v>511</v>
      </c>
      <c r="B3068" s="3">
        <f t="shared" ca="1" si="47"/>
        <v>60</v>
      </c>
      <c r="C3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8" t="str">
        <f ca="1">IF(dict_zuord_Meth_Transfers[[#This Row],[kval_active]],dict_zuord_Meth_Transfers[[#This Row],[ID_Transfers]],"")</f>
        <v/>
      </c>
    </row>
    <row r="3069" spans="1:4" x14ac:dyDescent="0.45">
      <c r="A3069">
        <v>511</v>
      </c>
      <c r="B3069">
        <f t="shared" ca="1" si="47"/>
        <v>10</v>
      </c>
      <c r="C3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69" t="str">
        <f ca="1">IF(dict_zuord_Meth_Transfers[[#This Row],[kval_active]],dict_zuord_Meth_Transfers[[#This Row],[ID_Transfers]],"")</f>
        <v/>
      </c>
    </row>
    <row r="3070" spans="1:4" x14ac:dyDescent="0.45">
      <c r="A3070">
        <v>511</v>
      </c>
      <c r="B3070">
        <f t="shared" ca="1" si="47"/>
        <v>43</v>
      </c>
      <c r="C3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0" t="str">
        <f ca="1">IF(dict_zuord_Meth_Transfers[[#This Row],[kval_active]],dict_zuord_Meth_Transfers[[#This Row],[ID_Transfers]],"")</f>
        <v/>
      </c>
    </row>
    <row r="3071" spans="1:4" x14ac:dyDescent="0.45">
      <c r="A3071">
        <v>511</v>
      </c>
      <c r="B3071">
        <f t="shared" ca="1" si="47"/>
        <v>43</v>
      </c>
      <c r="C3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1" t="str">
        <f ca="1">IF(dict_zuord_Meth_Transfers[[#This Row],[kval_active]],dict_zuord_Meth_Transfers[[#This Row],[ID_Transfers]],"")</f>
        <v/>
      </c>
    </row>
    <row r="3072" spans="1:4" x14ac:dyDescent="0.45">
      <c r="A3072">
        <v>511</v>
      </c>
      <c r="B3072" s="3">
        <f t="shared" ca="1" si="47"/>
        <v>126</v>
      </c>
      <c r="C3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2" t="str">
        <f ca="1">IF(dict_zuord_Meth_Transfers[[#This Row],[kval_active]],dict_zuord_Meth_Transfers[[#This Row],[ID_Transfers]],"")</f>
        <v/>
      </c>
    </row>
    <row r="3073" spans="1:4" x14ac:dyDescent="0.45">
      <c r="A3073">
        <v>511</v>
      </c>
      <c r="B3073" s="3">
        <f t="shared" ca="1" si="47"/>
        <v>105</v>
      </c>
      <c r="C3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3" t="str">
        <f ca="1">IF(dict_zuord_Meth_Transfers[[#This Row],[kval_active]],dict_zuord_Meth_Transfers[[#This Row],[ID_Transfers]],"")</f>
        <v/>
      </c>
    </row>
    <row r="3074" spans="1:4" x14ac:dyDescent="0.45">
      <c r="A3074">
        <v>512</v>
      </c>
      <c r="B3074" s="3">
        <f t="shared" ref="B3074:B3137" ca="1" si="48">RANDBETWEEN(0,200)</f>
        <v>95</v>
      </c>
      <c r="C3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4" t="str">
        <f ca="1">IF(dict_zuord_Meth_Transfers[[#This Row],[kval_active]],dict_zuord_Meth_Transfers[[#This Row],[ID_Transfers]],"")</f>
        <v/>
      </c>
    </row>
    <row r="3075" spans="1:4" x14ac:dyDescent="0.45">
      <c r="A3075">
        <v>512</v>
      </c>
      <c r="B3075" s="3">
        <f t="shared" ca="1" si="48"/>
        <v>109</v>
      </c>
      <c r="C3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5" t="str">
        <f ca="1">IF(dict_zuord_Meth_Transfers[[#This Row],[kval_active]],dict_zuord_Meth_Transfers[[#This Row],[ID_Transfers]],"")</f>
        <v/>
      </c>
    </row>
    <row r="3076" spans="1:4" x14ac:dyDescent="0.45">
      <c r="A3076">
        <v>512</v>
      </c>
      <c r="B3076">
        <f t="shared" ca="1" si="48"/>
        <v>122</v>
      </c>
      <c r="C3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6" t="str">
        <f ca="1">IF(dict_zuord_Meth_Transfers[[#This Row],[kval_active]],dict_zuord_Meth_Transfers[[#This Row],[ID_Transfers]],"")</f>
        <v/>
      </c>
    </row>
    <row r="3077" spans="1:4" x14ac:dyDescent="0.45">
      <c r="A3077">
        <v>512</v>
      </c>
      <c r="B3077" s="3">
        <f t="shared" ca="1" si="48"/>
        <v>149</v>
      </c>
      <c r="C3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7" t="str">
        <f ca="1">IF(dict_zuord_Meth_Transfers[[#This Row],[kval_active]],dict_zuord_Meth_Transfers[[#This Row],[ID_Transfers]],"")</f>
        <v/>
      </c>
    </row>
    <row r="3078" spans="1:4" x14ac:dyDescent="0.45">
      <c r="A3078">
        <v>512</v>
      </c>
      <c r="B3078">
        <f t="shared" ca="1" si="48"/>
        <v>136</v>
      </c>
      <c r="C3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8" t="str">
        <f ca="1">IF(dict_zuord_Meth_Transfers[[#This Row],[kval_active]],dict_zuord_Meth_Transfers[[#This Row],[ID_Transfers]],"")</f>
        <v/>
      </c>
    </row>
    <row r="3079" spans="1:4" x14ac:dyDescent="0.45">
      <c r="A3079">
        <v>512</v>
      </c>
      <c r="B3079">
        <f t="shared" ca="1" si="48"/>
        <v>168</v>
      </c>
      <c r="C3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79" t="str">
        <f ca="1">IF(dict_zuord_Meth_Transfers[[#This Row],[kval_active]],dict_zuord_Meth_Transfers[[#This Row],[ID_Transfers]],"")</f>
        <v/>
      </c>
    </row>
    <row r="3080" spans="1:4" x14ac:dyDescent="0.45">
      <c r="A3080">
        <v>513</v>
      </c>
      <c r="B3080">
        <f t="shared" ca="1" si="48"/>
        <v>58</v>
      </c>
      <c r="C3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0" t="str">
        <f ca="1">IF(dict_zuord_Meth_Transfers[[#This Row],[kval_active]],dict_zuord_Meth_Transfers[[#This Row],[ID_Transfers]],"")</f>
        <v/>
      </c>
    </row>
    <row r="3081" spans="1:4" x14ac:dyDescent="0.45">
      <c r="A3081">
        <v>513</v>
      </c>
      <c r="B3081">
        <f t="shared" ca="1" si="48"/>
        <v>135</v>
      </c>
      <c r="C3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1" t="str">
        <f ca="1">IF(dict_zuord_Meth_Transfers[[#This Row],[kval_active]],dict_zuord_Meth_Transfers[[#This Row],[ID_Transfers]],"")</f>
        <v/>
      </c>
    </row>
    <row r="3082" spans="1:4" x14ac:dyDescent="0.45">
      <c r="A3082">
        <v>513</v>
      </c>
      <c r="B3082">
        <f t="shared" ca="1" si="48"/>
        <v>194</v>
      </c>
      <c r="C3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2" t="str">
        <f ca="1">IF(dict_zuord_Meth_Transfers[[#This Row],[kval_active]],dict_zuord_Meth_Transfers[[#This Row],[ID_Transfers]],"")</f>
        <v/>
      </c>
    </row>
    <row r="3083" spans="1:4" x14ac:dyDescent="0.45">
      <c r="A3083">
        <v>513</v>
      </c>
      <c r="B3083" s="3">
        <f t="shared" ca="1" si="48"/>
        <v>43</v>
      </c>
      <c r="C3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3" t="str">
        <f ca="1">IF(dict_zuord_Meth_Transfers[[#This Row],[kval_active]],dict_zuord_Meth_Transfers[[#This Row],[ID_Transfers]],"")</f>
        <v/>
      </c>
    </row>
    <row r="3084" spans="1:4" x14ac:dyDescent="0.45">
      <c r="A3084">
        <v>513</v>
      </c>
      <c r="B3084" s="3">
        <f t="shared" ca="1" si="48"/>
        <v>105</v>
      </c>
      <c r="C3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4" t="str">
        <f ca="1">IF(dict_zuord_Meth_Transfers[[#This Row],[kval_active]],dict_zuord_Meth_Transfers[[#This Row],[ID_Transfers]],"")</f>
        <v/>
      </c>
    </row>
    <row r="3085" spans="1:4" x14ac:dyDescent="0.45">
      <c r="A3085">
        <v>513</v>
      </c>
      <c r="B3085" s="3">
        <f t="shared" ca="1" si="48"/>
        <v>184</v>
      </c>
      <c r="C3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5" t="str">
        <f ca="1">IF(dict_zuord_Meth_Transfers[[#This Row],[kval_active]],dict_zuord_Meth_Transfers[[#This Row],[ID_Transfers]],"")</f>
        <v/>
      </c>
    </row>
    <row r="3086" spans="1:4" x14ac:dyDescent="0.45">
      <c r="A3086">
        <v>514</v>
      </c>
      <c r="B3086" s="3">
        <f t="shared" ca="1" si="48"/>
        <v>81</v>
      </c>
      <c r="C3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6" t="str">
        <f ca="1">IF(dict_zuord_Meth_Transfers[[#This Row],[kval_active]],dict_zuord_Meth_Transfers[[#This Row],[ID_Transfers]],"")</f>
        <v/>
      </c>
    </row>
    <row r="3087" spans="1:4" x14ac:dyDescent="0.45">
      <c r="A3087">
        <v>514</v>
      </c>
      <c r="B3087" s="3">
        <f t="shared" ca="1" si="48"/>
        <v>193</v>
      </c>
      <c r="C3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7" t="str">
        <f ca="1">IF(dict_zuord_Meth_Transfers[[#This Row],[kval_active]],dict_zuord_Meth_Transfers[[#This Row],[ID_Transfers]],"")</f>
        <v/>
      </c>
    </row>
    <row r="3088" spans="1:4" x14ac:dyDescent="0.45">
      <c r="A3088">
        <v>514</v>
      </c>
      <c r="B3088" s="3">
        <f t="shared" ca="1" si="48"/>
        <v>5</v>
      </c>
      <c r="C3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8" t="str">
        <f ca="1">IF(dict_zuord_Meth_Transfers[[#This Row],[kval_active]],dict_zuord_Meth_Transfers[[#This Row],[ID_Transfers]],"")</f>
        <v/>
      </c>
    </row>
    <row r="3089" spans="1:4" x14ac:dyDescent="0.45">
      <c r="A3089">
        <v>514</v>
      </c>
      <c r="B3089">
        <f t="shared" ca="1" si="48"/>
        <v>131</v>
      </c>
      <c r="C3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89" t="str">
        <f ca="1">IF(dict_zuord_Meth_Transfers[[#This Row],[kval_active]],dict_zuord_Meth_Transfers[[#This Row],[ID_Transfers]],"")</f>
        <v/>
      </c>
    </row>
    <row r="3090" spans="1:4" x14ac:dyDescent="0.45">
      <c r="A3090">
        <v>514</v>
      </c>
      <c r="B3090">
        <f t="shared" ca="1" si="48"/>
        <v>182</v>
      </c>
      <c r="C3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0" t="str">
        <f ca="1">IF(dict_zuord_Meth_Transfers[[#This Row],[kval_active]],dict_zuord_Meth_Transfers[[#This Row],[ID_Transfers]],"")</f>
        <v/>
      </c>
    </row>
    <row r="3091" spans="1:4" x14ac:dyDescent="0.45">
      <c r="A3091">
        <v>514</v>
      </c>
      <c r="B3091">
        <f t="shared" ca="1" si="48"/>
        <v>87</v>
      </c>
      <c r="C3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1" t="str">
        <f ca="1">IF(dict_zuord_Meth_Transfers[[#This Row],[kval_active]],dict_zuord_Meth_Transfers[[#This Row],[ID_Transfers]],"")</f>
        <v/>
      </c>
    </row>
    <row r="3092" spans="1:4" x14ac:dyDescent="0.45">
      <c r="A3092">
        <v>515</v>
      </c>
      <c r="B3092">
        <f t="shared" ca="1" si="48"/>
        <v>35</v>
      </c>
      <c r="C3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2" t="str">
        <f ca="1">IF(dict_zuord_Meth_Transfers[[#This Row],[kval_active]],dict_zuord_Meth_Transfers[[#This Row],[ID_Transfers]],"")</f>
        <v/>
      </c>
    </row>
    <row r="3093" spans="1:4" x14ac:dyDescent="0.45">
      <c r="A3093">
        <v>515</v>
      </c>
      <c r="B3093" s="3">
        <f t="shared" ca="1" si="48"/>
        <v>160</v>
      </c>
      <c r="C3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3" t="str">
        <f ca="1">IF(dict_zuord_Meth_Transfers[[#This Row],[kval_active]],dict_zuord_Meth_Transfers[[#This Row],[ID_Transfers]],"")</f>
        <v/>
      </c>
    </row>
    <row r="3094" spans="1:4" x14ac:dyDescent="0.45">
      <c r="A3094">
        <v>515</v>
      </c>
      <c r="B3094" s="3">
        <f t="shared" ca="1" si="48"/>
        <v>23</v>
      </c>
      <c r="C3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4" t="str">
        <f ca="1">IF(dict_zuord_Meth_Transfers[[#This Row],[kval_active]],dict_zuord_Meth_Transfers[[#This Row],[ID_Transfers]],"")</f>
        <v/>
      </c>
    </row>
    <row r="3095" spans="1:4" x14ac:dyDescent="0.45">
      <c r="A3095">
        <v>515</v>
      </c>
      <c r="B3095" s="3">
        <f t="shared" ca="1" si="48"/>
        <v>165</v>
      </c>
      <c r="C3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5" t="str">
        <f ca="1">IF(dict_zuord_Meth_Transfers[[#This Row],[kval_active]],dict_zuord_Meth_Transfers[[#This Row],[ID_Transfers]],"")</f>
        <v/>
      </c>
    </row>
    <row r="3096" spans="1:4" x14ac:dyDescent="0.45">
      <c r="A3096">
        <v>515</v>
      </c>
      <c r="B3096">
        <f t="shared" ca="1" si="48"/>
        <v>102</v>
      </c>
      <c r="C3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6" t="str">
        <f ca="1">IF(dict_zuord_Meth_Transfers[[#This Row],[kval_active]],dict_zuord_Meth_Transfers[[#This Row],[ID_Transfers]],"")</f>
        <v/>
      </c>
    </row>
    <row r="3097" spans="1:4" x14ac:dyDescent="0.45">
      <c r="A3097">
        <v>515</v>
      </c>
      <c r="B3097">
        <f t="shared" ca="1" si="48"/>
        <v>100</v>
      </c>
      <c r="C3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7" t="str">
        <f ca="1">IF(dict_zuord_Meth_Transfers[[#This Row],[kval_active]],dict_zuord_Meth_Transfers[[#This Row],[ID_Transfers]],"")</f>
        <v/>
      </c>
    </row>
    <row r="3098" spans="1:4" x14ac:dyDescent="0.45">
      <c r="A3098">
        <v>516</v>
      </c>
      <c r="B3098">
        <f t="shared" ca="1" si="48"/>
        <v>155</v>
      </c>
      <c r="C3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8" t="str">
        <f ca="1">IF(dict_zuord_Meth_Transfers[[#This Row],[kval_active]],dict_zuord_Meth_Transfers[[#This Row],[ID_Transfers]],"")</f>
        <v/>
      </c>
    </row>
    <row r="3099" spans="1:4" x14ac:dyDescent="0.45">
      <c r="A3099">
        <v>516</v>
      </c>
      <c r="B3099">
        <f t="shared" ca="1" si="48"/>
        <v>24</v>
      </c>
      <c r="C3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099" t="str">
        <f ca="1">IF(dict_zuord_Meth_Transfers[[#This Row],[kval_active]],dict_zuord_Meth_Transfers[[#This Row],[ID_Transfers]],"")</f>
        <v/>
      </c>
    </row>
    <row r="3100" spans="1:4" x14ac:dyDescent="0.45">
      <c r="A3100">
        <v>516</v>
      </c>
      <c r="B3100">
        <f t="shared" ca="1" si="48"/>
        <v>19</v>
      </c>
      <c r="C3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0" t="str">
        <f ca="1">IF(dict_zuord_Meth_Transfers[[#This Row],[kval_active]],dict_zuord_Meth_Transfers[[#This Row],[ID_Transfers]],"")</f>
        <v/>
      </c>
    </row>
    <row r="3101" spans="1:4" x14ac:dyDescent="0.45">
      <c r="A3101">
        <v>516</v>
      </c>
      <c r="B3101" s="3">
        <f t="shared" ca="1" si="48"/>
        <v>134</v>
      </c>
      <c r="C3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1" t="str">
        <f ca="1">IF(dict_zuord_Meth_Transfers[[#This Row],[kval_active]],dict_zuord_Meth_Transfers[[#This Row],[ID_Transfers]],"")</f>
        <v/>
      </c>
    </row>
    <row r="3102" spans="1:4" x14ac:dyDescent="0.45">
      <c r="A3102">
        <v>516</v>
      </c>
      <c r="B3102" s="3">
        <f t="shared" ca="1" si="48"/>
        <v>123</v>
      </c>
      <c r="C3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2" t="str">
        <f ca="1">IF(dict_zuord_Meth_Transfers[[#This Row],[kval_active]],dict_zuord_Meth_Transfers[[#This Row],[ID_Transfers]],"")</f>
        <v/>
      </c>
    </row>
    <row r="3103" spans="1:4" x14ac:dyDescent="0.45">
      <c r="A3103">
        <v>516</v>
      </c>
      <c r="B3103" s="3">
        <f t="shared" ca="1" si="48"/>
        <v>17</v>
      </c>
      <c r="C3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3" t="str">
        <f ca="1">IF(dict_zuord_Meth_Transfers[[#This Row],[kval_active]],dict_zuord_Meth_Transfers[[#This Row],[ID_Transfers]],"")</f>
        <v/>
      </c>
    </row>
    <row r="3104" spans="1:4" x14ac:dyDescent="0.45">
      <c r="A3104">
        <v>517</v>
      </c>
      <c r="B3104">
        <f t="shared" ca="1" si="48"/>
        <v>122</v>
      </c>
      <c r="C3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4" t="str">
        <f ca="1">IF(dict_zuord_Meth_Transfers[[#This Row],[kval_active]],dict_zuord_Meth_Transfers[[#This Row],[ID_Transfers]],"")</f>
        <v/>
      </c>
    </row>
    <row r="3105" spans="1:4" x14ac:dyDescent="0.45">
      <c r="A3105">
        <v>517</v>
      </c>
      <c r="B3105" s="3">
        <f t="shared" ca="1" si="48"/>
        <v>8</v>
      </c>
      <c r="C3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5" t="str">
        <f ca="1">IF(dict_zuord_Meth_Transfers[[#This Row],[kval_active]],dict_zuord_Meth_Transfers[[#This Row],[ID_Transfers]],"")</f>
        <v/>
      </c>
    </row>
    <row r="3106" spans="1:4" x14ac:dyDescent="0.45">
      <c r="A3106">
        <v>517</v>
      </c>
      <c r="B3106" s="3">
        <f t="shared" ca="1" si="48"/>
        <v>140</v>
      </c>
      <c r="C3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6" t="str">
        <f ca="1">IF(dict_zuord_Meth_Transfers[[#This Row],[kval_active]],dict_zuord_Meth_Transfers[[#This Row],[ID_Transfers]],"")</f>
        <v/>
      </c>
    </row>
    <row r="3107" spans="1:4" x14ac:dyDescent="0.45">
      <c r="A3107">
        <v>517</v>
      </c>
      <c r="B3107">
        <f t="shared" ca="1" si="48"/>
        <v>66</v>
      </c>
      <c r="C3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7" t="str">
        <f ca="1">IF(dict_zuord_Meth_Transfers[[#This Row],[kval_active]],dict_zuord_Meth_Transfers[[#This Row],[ID_Transfers]],"")</f>
        <v/>
      </c>
    </row>
    <row r="3108" spans="1:4" x14ac:dyDescent="0.45">
      <c r="A3108">
        <v>517</v>
      </c>
      <c r="B3108">
        <f t="shared" ca="1" si="48"/>
        <v>160</v>
      </c>
      <c r="C3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8" t="str">
        <f ca="1">IF(dict_zuord_Meth_Transfers[[#This Row],[kval_active]],dict_zuord_Meth_Transfers[[#This Row],[ID_Transfers]],"")</f>
        <v/>
      </c>
    </row>
    <row r="3109" spans="1:4" x14ac:dyDescent="0.45">
      <c r="A3109">
        <v>517</v>
      </c>
      <c r="B3109" s="3">
        <f t="shared" ca="1" si="48"/>
        <v>66</v>
      </c>
      <c r="C3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09" t="str">
        <f ca="1">IF(dict_zuord_Meth_Transfers[[#This Row],[kval_active]],dict_zuord_Meth_Transfers[[#This Row],[ID_Transfers]],"")</f>
        <v/>
      </c>
    </row>
    <row r="3110" spans="1:4" x14ac:dyDescent="0.45">
      <c r="A3110">
        <v>518</v>
      </c>
      <c r="B3110" s="3">
        <f t="shared" ca="1" si="48"/>
        <v>84</v>
      </c>
      <c r="C3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0" t="str">
        <f ca="1">IF(dict_zuord_Meth_Transfers[[#This Row],[kval_active]],dict_zuord_Meth_Transfers[[#This Row],[ID_Transfers]],"")</f>
        <v/>
      </c>
    </row>
    <row r="3111" spans="1:4" x14ac:dyDescent="0.45">
      <c r="A3111">
        <v>518</v>
      </c>
      <c r="B3111" s="3">
        <f t="shared" ca="1" si="48"/>
        <v>80</v>
      </c>
      <c r="C3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1" t="str">
        <f ca="1">IF(dict_zuord_Meth_Transfers[[#This Row],[kval_active]],dict_zuord_Meth_Transfers[[#This Row],[ID_Transfers]],"")</f>
        <v/>
      </c>
    </row>
    <row r="3112" spans="1:4" x14ac:dyDescent="0.45">
      <c r="A3112">
        <v>518</v>
      </c>
      <c r="B3112">
        <f t="shared" ca="1" si="48"/>
        <v>191</v>
      </c>
      <c r="C3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2" t="str">
        <f ca="1">IF(dict_zuord_Meth_Transfers[[#This Row],[kval_active]],dict_zuord_Meth_Transfers[[#This Row],[ID_Transfers]],"")</f>
        <v/>
      </c>
    </row>
    <row r="3113" spans="1:4" x14ac:dyDescent="0.45">
      <c r="A3113">
        <v>518</v>
      </c>
      <c r="B3113">
        <f t="shared" ca="1" si="48"/>
        <v>175</v>
      </c>
      <c r="C3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3" t="str">
        <f ca="1">IF(dict_zuord_Meth_Transfers[[#This Row],[kval_active]],dict_zuord_Meth_Transfers[[#This Row],[ID_Transfers]],"")</f>
        <v/>
      </c>
    </row>
    <row r="3114" spans="1:4" x14ac:dyDescent="0.45">
      <c r="A3114">
        <v>518</v>
      </c>
      <c r="B3114">
        <f t="shared" ca="1" si="48"/>
        <v>19</v>
      </c>
      <c r="C3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4" t="str">
        <f ca="1">IF(dict_zuord_Meth_Transfers[[#This Row],[kval_active]],dict_zuord_Meth_Transfers[[#This Row],[ID_Transfers]],"")</f>
        <v/>
      </c>
    </row>
    <row r="3115" spans="1:4" x14ac:dyDescent="0.45">
      <c r="A3115">
        <v>518</v>
      </c>
      <c r="B3115" s="3">
        <f t="shared" ca="1" si="48"/>
        <v>22</v>
      </c>
      <c r="C3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5" t="str">
        <f ca="1">IF(dict_zuord_Meth_Transfers[[#This Row],[kval_active]],dict_zuord_Meth_Transfers[[#This Row],[ID_Transfers]],"")</f>
        <v/>
      </c>
    </row>
    <row r="3116" spans="1:4" x14ac:dyDescent="0.45">
      <c r="A3116">
        <v>519</v>
      </c>
      <c r="B3116" s="3">
        <f t="shared" ca="1" si="48"/>
        <v>30</v>
      </c>
      <c r="C3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6" t="str">
        <f ca="1">IF(dict_zuord_Meth_Transfers[[#This Row],[kval_active]],dict_zuord_Meth_Transfers[[#This Row],[ID_Transfers]],"")</f>
        <v/>
      </c>
    </row>
    <row r="3117" spans="1:4" x14ac:dyDescent="0.45">
      <c r="A3117">
        <v>519</v>
      </c>
      <c r="B3117" s="3">
        <f t="shared" ca="1" si="48"/>
        <v>78</v>
      </c>
      <c r="C3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7" t="str">
        <f ca="1">IF(dict_zuord_Meth_Transfers[[#This Row],[kval_active]],dict_zuord_Meth_Transfers[[#This Row],[ID_Transfers]],"")</f>
        <v/>
      </c>
    </row>
    <row r="3118" spans="1:4" x14ac:dyDescent="0.45">
      <c r="A3118">
        <v>519</v>
      </c>
      <c r="B3118">
        <f t="shared" ca="1" si="48"/>
        <v>196</v>
      </c>
      <c r="C3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8" t="str">
        <f ca="1">IF(dict_zuord_Meth_Transfers[[#This Row],[kval_active]],dict_zuord_Meth_Transfers[[#This Row],[ID_Transfers]],"")</f>
        <v/>
      </c>
    </row>
    <row r="3119" spans="1:4" x14ac:dyDescent="0.45">
      <c r="A3119">
        <v>519</v>
      </c>
      <c r="B3119" s="3">
        <f t="shared" ca="1" si="48"/>
        <v>102</v>
      </c>
      <c r="C3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19" t="str">
        <f ca="1">IF(dict_zuord_Meth_Transfers[[#This Row],[kval_active]],dict_zuord_Meth_Transfers[[#This Row],[ID_Transfers]],"")</f>
        <v/>
      </c>
    </row>
    <row r="3120" spans="1:4" x14ac:dyDescent="0.45">
      <c r="A3120">
        <v>519</v>
      </c>
      <c r="B3120">
        <f t="shared" ca="1" si="48"/>
        <v>72</v>
      </c>
      <c r="C3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0" t="str">
        <f ca="1">IF(dict_zuord_Meth_Transfers[[#This Row],[kval_active]],dict_zuord_Meth_Transfers[[#This Row],[ID_Transfers]],"")</f>
        <v/>
      </c>
    </row>
    <row r="3121" spans="1:4" x14ac:dyDescent="0.45">
      <c r="A3121">
        <v>519</v>
      </c>
      <c r="B3121">
        <f t="shared" ca="1" si="48"/>
        <v>68</v>
      </c>
      <c r="C3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1" t="str">
        <f ca="1">IF(dict_zuord_Meth_Transfers[[#This Row],[kval_active]],dict_zuord_Meth_Transfers[[#This Row],[ID_Transfers]],"")</f>
        <v/>
      </c>
    </row>
    <row r="3122" spans="1:4" x14ac:dyDescent="0.45">
      <c r="A3122">
        <v>520</v>
      </c>
      <c r="B3122" s="3">
        <f t="shared" ca="1" si="48"/>
        <v>165</v>
      </c>
      <c r="C3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2" t="str">
        <f ca="1">IF(dict_zuord_Meth_Transfers[[#This Row],[kval_active]],dict_zuord_Meth_Transfers[[#This Row],[ID_Transfers]],"")</f>
        <v/>
      </c>
    </row>
    <row r="3123" spans="1:4" x14ac:dyDescent="0.45">
      <c r="A3123">
        <v>520</v>
      </c>
      <c r="B3123">
        <f t="shared" ca="1" si="48"/>
        <v>143</v>
      </c>
      <c r="C3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3" t="str">
        <f ca="1">IF(dict_zuord_Meth_Transfers[[#This Row],[kval_active]],dict_zuord_Meth_Transfers[[#This Row],[ID_Transfers]],"")</f>
        <v/>
      </c>
    </row>
    <row r="3124" spans="1:4" x14ac:dyDescent="0.45">
      <c r="A3124">
        <v>520</v>
      </c>
      <c r="B3124" s="3">
        <f t="shared" ca="1" si="48"/>
        <v>116</v>
      </c>
      <c r="C3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4" t="str">
        <f ca="1">IF(dict_zuord_Meth_Transfers[[#This Row],[kval_active]],dict_zuord_Meth_Transfers[[#This Row],[ID_Transfers]],"")</f>
        <v/>
      </c>
    </row>
    <row r="3125" spans="1:4" x14ac:dyDescent="0.45">
      <c r="A3125">
        <v>520</v>
      </c>
      <c r="B3125">
        <f t="shared" ca="1" si="48"/>
        <v>129</v>
      </c>
      <c r="C3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5" t="str">
        <f ca="1">IF(dict_zuord_Meth_Transfers[[#This Row],[kval_active]],dict_zuord_Meth_Transfers[[#This Row],[ID_Transfers]],"")</f>
        <v/>
      </c>
    </row>
    <row r="3126" spans="1:4" x14ac:dyDescent="0.45">
      <c r="A3126">
        <v>520</v>
      </c>
      <c r="B3126">
        <f t="shared" ca="1" si="48"/>
        <v>86</v>
      </c>
      <c r="C3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6" t="str">
        <f ca="1">IF(dict_zuord_Meth_Transfers[[#This Row],[kval_active]],dict_zuord_Meth_Transfers[[#This Row],[ID_Transfers]],"")</f>
        <v/>
      </c>
    </row>
    <row r="3127" spans="1:4" x14ac:dyDescent="0.45">
      <c r="A3127">
        <v>520</v>
      </c>
      <c r="B3127" s="3">
        <f t="shared" ca="1" si="48"/>
        <v>178</v>
      </c>
      <c r="C3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7" t="str">
        <f ca="1">IF(dict_zuord_Meth_Transfers[[#This Row],[kval_active]],dict_zuord_Meth_Transfers[[#This Row],[ID_Transfers]],"")</f>
        <v/>
      </c>
    </row>
    <row r="3128" spans="1:4" x14ac:dyDescent="0.45">
      <c r="A3128">
        <v>521</v>
      </c>
      <c r="B3128">
        <f t="shared" ca="1" si="48"/>
        <v>131</v>
      </c>
      <c r="C3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8" t="str">
        <f ca="1">IF(dict_zuord_Meth_Transfers[[#This Row],[kval_active]],dict_zuord_Meth_Transfers[[#This Row],[ID_Transfers]],"")</f>
        <v/>
      </c>
    </row>
    <row r="3129" spans="1:4" x14ac:dyDescent="0.45">
      <c r="A3129">
        <v>521</v>
      </c>
      <c r="B3129">
        <f t="shared" ca="1" si="48"/>
        <v>112</v>
      </c>
      <c r="C3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29" t="str">
        <f ca="1">IF(dict_zuord_Meth_Transfers[[#This Row],[kval_active]],dict_zuord_Meth_Transfers[[#This Row],[ID_Transfers]],"")</f>
        <v/>
      </c>
    </row>
    <row r="3130" spans="1:4" x14ac:dyDescent="0.45">
      <c r="A3130">
        <v>521</v>
      </c>
      <c r="B3130">
        <f t="shared" ca="1" si="48"/>
        <v>114</v>
      </c>
      <c r="C3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0" t="str">
        <f ca="1">IF(dict_zuord_Meth_Transfers[[#This Row],[kval_active]],dict_zuord_Meth_Transfers[[#This Row],[ID_Transfers]],"")</f>
        <v/>
      </c>
    </row>
    <row r="3131" spans="1:4" x14ac:dyDescent="0.45">
      <c r="A3131">
        <v>521</v>
      </c>
      <c r="B3131" s="3">
        <f t="shared" ca="1" si="48"/>
        <v>5</v>
      </c>
      <c r="C3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1" t="str">
        <f ca="1">IF(dict_zuord_Meth_Transfers[[#This Row],[kval_active]],dict_zuord_Meth_Transfers[[#This Row],[ID_Transfers]],"")</f>
        <v/>
      </c>
    </row>
    <row r="3132" spans="1:4" x14ac:dyDescent="0.45">
      <c r="A3132">
        <v>521</v>
      </c>
      <c r="B3132" s="3">
        <f t="shared" ca="1" si="48"/>
        <v>64</v>
      </c>
      <c r="C3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2" t="str">
        <f ca="1">IF(dict_zuord_Meth_Transfers[[#This Row],[kval_active]],dict_zuord_Meth_Transfers[[#This Row],[ID_Transfers]],"")</f>
        <v/>
      </c>
    </row>
    <row r="3133" spans="1:4" x14ac:dyDescent="0.45">
      <c r="A3133">
        <v>521</v>
      </c>
      <c r="B3133" s="3">
        <f t="shared" ca="1" si="48"/>
        <v>99</v>
      </c>
      <c r="C3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3" t="str">
        <f ca="1">IF(dict_zuord_Meth_Transfers[[#This Row],[kval_active]],dict_zuord_Meth_Transfers[[#This Row],[ID_Transfers]],"")</f>
        <v/>
      </c>
    </row>
    <row r="3134" spans="1:4" x14ac:dyDescent="0.45">
      <c r="A3134">
        <v>522</v>
      </c>
      <c r="B3134">
        <f t="shared" ca="1" si="48"/>
        <v>64</v>
      </c>
      <c r="C3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4" t="str">
        <f ca="1">IF(dict_zuord_Meth_Transfers[[#This Row],[kval_active]],dict_zuord_Meth_Transfers[[#This Row],[ID_Transfers]],"")</f>
        <v/>
      </c>
    </row>
    <row r="3135" spans="1:4" x14ac:dyDescent="0.45">
      <c r="A3135">
        <v>522</v>
      </c>
      <c r="B3135">
        <f t="shared" ca="1" si="48"/>
        <v>142</v>
      </c>
      <c r="C3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5" t="str">
        <f ca="1">IF(dict_zuord_Meth_Transfers[[#This Row],[kval_active]],dict_zuord_Meth_Transfers[[#This Row],[ID_Transfers]],"")</f>
        <v/>
      </c>
    </row>
    <row r="3136" spans="1:4" x14ac:dyDescent="0.45">
      <c r="A3136">
        <v>522</v>
      </c>
      <c r="B3136" s="3">
        <f t="shared" ca="1" si="48"/>
        <v>127</v>
      </c>
      <c r="C3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6" t="str">
        <f ca="1">IF(dict_zuord_Meth_Transfers[[#This Row],[kval_active]],dict_zuord_Meth_Transfers[[#This Row],[ID_Transfers]],"")</f>
        <v/>
      </c>
    </row>
    <row r="3137" spans="1:4" x14ac:dyDescent="0.45">
      <c r="A3137">
        <v>522</v>
      </c>
      <c r="B3137" s="3">
        <f t="shared" ca="1" si="48"/>
        <v>1</v>
      </c>
      <c r="C3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7" t="str">
        <f ca="1">IF(dict_zuord_Meth_Transfers[[#This Row],[kval_active]],dict_zuord_Meth_Transfers[[#This Row],[ID_Transfers]],"")</f>
        <v/>
      </c>
    </row>
    <row r="3138" spans="1:4" x14ac:dyDescent="0.45">
      <c r="A3138">
        <v>522</v>
      </c>
      <c r="B3138" s="3">
        <f t="shared" ref="B3138:B3201" ca="1" si="49">RANDBETWEEN(0,200)</f>
        <v>179</v>
      </c>
      <c r="C3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8" t="str">
        <f ca="1">IF(dict_zuord_Meth_Transfers[[#This Row],[kval_active]],dict_zuord_Meth_Transfers[[#This Row],[ID_Transfers]],"")</f>
        <v/>
      </c>
    </row>
    <row r="3139" spans="1:4" x14ac:dyDescent="0.45">
      <c r="A3139">
        <v>522</v>
      </c>
      <c r="B3139">
        <f t="shared" ca="1" si="49"/>
        <v>155</v>
      </c>
      <c r="C3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39" t="str">
        <f ca="1">IF(dict_zuord_Meth_Transfers[[#This Row],[kval_active]],dict_zuord_Meth_Transfers[[#This Row],[ID_Transfers]],"")</f>
        <v/>
      </c>
    </row>
    <row r="3140" spans="1:4" x14ac:dyDescent="0.45">
      <c r="A3140">
        <v>523</v>
      </c>
      <c r="B3140">
        <f t="shared" ca="1" si="49"/>
        <v>151</v>
      </c>
      <c r="C3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0" t="str">
        <f ca="1">IF(dict_zuord_Meth_Transfers[[#This Row],[kval_active]],dict_zuord_Meth_Transfers[[#This Row],[ID_Transfers]],"")</f>
        <v/>
      </c>
    </row>
    <row r="3141" spans="1:4" x14ac:dyDescent="0.45">
      <c r="A3141">
        <v>523</v>
      </c>
      <c r="B3141" s="3">
        <f t="shared" ca="1" si="49"/>
        <v>159</v>
      </c>
      <c r="C3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1" t="str">
        <f ca="1">IF(dict_zuord_Meth_Transfers[[#This Row],[kval_active]],dict_zuord_Meth_Transfers[[#This Row],[ID_Transfers]],"")</f>
        <v/>
      </c>
    </row>
    <row r="3142" spans="1:4" x14ac:dyDescent="0.45">
      <c r="A3142">
        <v>523</v>
      </c>
      <c r="B3142">
        <f t="shared" ca="1" si="49"/>
        <v>17</v>
      </c>
      <c r="C3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2" t="str">
        <f ca="1">IF(dict_zuord_Meth_Transfers[[#This Row],[kval_active]],dict_zuord_Meth_Transfers[[#This Row],[ID_Transfers]],"")</f>
        <v/>
      </c>
    </row>
    <row r="3143" spans="1:4" x14ac:dyDescent="0.45">
      <c r="A3143">
        <v>523</v>
      </c>
      <c r="B3143" s="3">
        <f t="shared" ca="1" si="49"/>
        <v>121</v>
      </c>
      <c r="C3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3" t="str">
        <f ca="1">IF(dict_zuord_Meth_Transfers[[#This Row],[kval_active]],dict_zuord_Meth_Transfers[[#This Row],[ID_Transfers]],"")</f>
        <v/>
      </c>
    </row>
    <row r="3144" spans="1:4" x14ac:dyDescent="0.45">
      <c r="A3144">
        <v>523</v>
      </c>
      <c r="B3144" s="3">
        <f t="shared" ca="1" si="49"/>
        <v>87</v>
      </c>
      <c r="C3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4" t="str">
        <f ca="1">IF(dict_zuord_Meth_Transfers[[#This Row],[kval_active]],dict_zuord_Meth_Transfers[[#This Row],[ID_Transfers]],"")</f>
        <v/>
      </c>
    </row>
    <row r="3145" spans="1:4" x14ac:dyDescent="0.45">
      <c r="A3145">
        <v>523</v>
      </c>
      <c r="B3145">
        <f t="shared" ca="1" si="49"/>
        <v>140</v>
      </c>
      <c r="C3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5" t="str">
        <f ca="1">IF(dict_zuord_Meth_Transfers[[#This Row],[kval_active]],dict_zuord_Meth_Transfers[[#This Row],[ID_Transfers]],"")</f>
        <v/>
      </c>
    </row>
    <row r="3146" spans="1:4" x14ac:dyDescent="0.45">
      <c r="A3146">
        <v>524</v>
      </c>
      <c r="B3146" s="3">
        <f t="shared" ca="1" si="49"/>
        <v>79</v>
      </c>
      <c r="C3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6" t="str">
        <f ca="1">IF(dict_zuord_Meth_Transfers[[#This Row],[kval_active]],dict_zuord_Meth_Transfers[[#This Row],[ID_Transfers]],"")</f>
        <v/>
      </c>
    </row>
    <row r="3147" spans="1:4" x14ac:dyDescent="0.45">
      <c r="A3147">
        <v>524</v>
      </c>
      <c r="B3147" s="3">
        <f t="shared" ca="1" si="49"/>
        <v>190</v>
      </c>
      <c r="C3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7" t="str">
        <f ca="1">IF(dict_zuord_Meth_Transfers[[#This Row],[kval_active]],dict_zuord_Meth_Transfers[[#This Row],[ID_Transfers]],"")</f>
        <v/>
      </c>
    </row>
    <row r="3148" spans="1:4" x14ac:dyDescent="0.45">
      <c r="A3148">
        <v>524</v>
      </c>
      <c r="B3148">
        <f t="shared" ca="1" si="49"/>
        <v>168</v>
      </c>
      <c r="C3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8" t="str">
        <f ca="1">IF(dict_zuord_Meth_Transfers[[#This Row],[kval_active]],dict_zuord_Meth_Transfers[[#This Row],[ID_Transfers]],"")</f>
        <v/>
      </c>
    </row>
    <row r="3149" spans="1:4" x14ac:dyDescent="0.45">
      <c r="A3149">
        <v>524</v>
      </c>
      <c r="B3149" s="3">
        <f t="shared" ca="1" si="49"/>
        <v>64</v>
      </c>
      <c r="C3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49" t="str">
        <f ca="1">IF(dict_zuord_Meth_Transfers[[#This Row],[kval_active]],dict_zuord_Meth_Transfers[[#This Row],[ID_Transfers]],"")</f>
        <v/>
      </c>
    </row>
    <row r="3150" spans="1:4" x14ac:dyDescent="0.45">
      <c r="A3150">
        <v>524</v>
      </c>
      <c r="B3150">
        <f t="shared" ca="1" si="49"/>
        <v>186</v>
      </c>
      <c r="C3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0" t="str">
        <f ca="1">IF(dict_zuord_Meth_Transfers[[#This Row],[kval_active]],dict_zuord_Meth_Transfers[[#This Row],[ID_Transfers]],"")</f>
        <v/>
      </c>
    </row>
    <row r="3151" spans="1:4" x14ac:dyDescent="0.45">
      <c r="A3151">
        <v>524</v>
      </c>
      <c r="B3151">
        <f t="shared" ca="1" si="49"/>
        <v>26</v>
      </c>
      <c r="C3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1" t="str">
        <f ca="1">IF(dict_zuord_Meth_Transfers[[#This Row],[kval_active]],dict_zuord_Meth_Transfers[[#This Row],[ID_Transfers]],"")</f>
        <v/>
      </c>
    </row>
    <row r="3152" spans="1:4" x14ac:dyDescent="0.45">
      <c r="A3152">
        <v>525</v>
      </c>
      <c r="B3152" s="3">
        <f t="shared" ca="1" si="49"/>
        <v>92</v>
      </c>
      <c r="C3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2" t="str">
        <f ca="1">IF(dict_zuord_Meth_Transfers[[#This Row],[kval_active]],dict_zuord_Meth_Transfers[[#This Row],[ID_Transfers]],"")</f>
        <v/>
      </c>
    </row>
    <row r="3153" spans="1:4" x14ac:dyDescent="0.45">
      <c r="A3153">
        <v>525</v>
      </c>
      <c r="B3153">
        <f t="shared" ca="1" si="49"/>
        <v>120</v>
      </c>
      <c r="C3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3" t="str">
        <f ca="1">IF(dict_zuord_Meth_Transfers[[#This Row],[kval_active]],dict_zuord_Meth_Transfers[[#This Row],[ID_Transfers]],"")</f>
        <v/>
      </c>
    </row>
    <row r="3154" spans="1:4" x14ac:dyDescent="0.45">
      <c r="A3154">
        <v>525</v>
      </c>
      <c r="B3154">
        <f t="shared" ca="1" si="49"/>
        <v>154</v>
      </c>
      <c r="C3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4" t="str">
        <f ca="1">IF(dict_zuord_Meth_Transfers[[#This Row],[kval_active]],dict_zuord_Meth_Transfers[[#This Row],[ID_Transfers]],"")</f>
        <v/>
      </c>
    </row>
    <row r="3155" spans="1:4" x14ac:dyDescent="0.45">
      <c r="A3155">
        <v>525</v>
      </c>
      <c r="B3155" s="3">
        <f t="shared" ca="1" si="49"/>
        <v>160</v>
      </c>
      <c r="C3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5" t="str">
        <f ca="1">IF(dict_zuord_Meth_Transfers[[#This Row],[kval_active]],dict_zuord_Meth_Transfers[[#This Row],[ID_Transfers]],"")</f>
        <v/>
      </c>
    </row>
    <row r="3156" spans="1:4" x14ac:dyDescent="0.45">
      <c r="A3156">
        <v>525</v>
      </c>
      <c r="B3156">
        <f t="shared" ca="1" si="49"/>
        <v>60</v>
      </c>
      <c r="C3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6" t="str">
        <f ca="1">IF(dict_zuord_Meth_Transfers[[#This Row],[kval_active]],dict_zuord_Meth_Transfers[[#This Row],[ID_Transfers]],"")</f>
        <v/>
      </c>
    </row>
    <row r="3157" spans="1:4" x14ac:dyDescent="0.45">
      <c r="A3157">
        <v>525</v>
      </c>
      <c r="B3157" s="3">
        <f t="shared" ca="1" si="49"/>
        <v>109</v>
      </c>
      <c r="C3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7" t="str">
        <f ca="1">IF(dict_zuord_Meth_Transfers[[#This Row],[kval_active]],dict_zuord_Meth_Transfers[[#This Row],[ID_Transfers]],"")</f>
        <v/>
      </c>
    </row>
    <row r="3158" spans="1:4" x14ac:dyDescent="0.45">
      <c r="A3158">
        <v>526</v>
      </c>
      <c r="B3158">
        <f t="shared" ca="1" si="49"/>
        <v>50</v>
      </c>
      <c r="C3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8" t="str">
        <f ca="1">IF(dict_zuord_Meth_Transfers[[#This Row],[kval_active]],dict_zuord_Meth_Transfers[[#This Row],[ID_Transfers]],"")</f>
        <v/>
      </c>
    </row>
    <row r="3159" spans="1:4" x14ac:dyDescent="0.45">
      <c r="A3159">
        <v>526</v>
      </c>
      <c r="B3159">
        <f t="shared" ca="1" si="49"/>
        <v>128</v>
      </c>
      <c r="C3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59" t="str">
        <f ca="1">IF(dict_zuord_Meth_Transfers[[#This Row],[kval_active]],dict_zuord_Meth_Transfers[[#This Row],[ID_Transfers]],"")</f>
        <v/>
      </c>
    </row>
    <row r="3160" spans="1:4" x14ac:dyDescent="0.45">
      <c r="A3160">
        <v>526</v>
      </c>
      <c r="B3160" s="3">
        <f t="shared" ca="1" si="49"/>
        <v>83</v>
      </c>
      <c r="C3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0" t="str">
        <f ca="1">IF(dict_zuord_Meth_Transfers[[#This Row],[kval_active]],dict_zuord_Meth_Transfers[[#This Row],[ID_Transfers]],"")</f>
        <v/>
      </c>
    </row>
    <row r="3161" spans="1:4" x14ac:dyDescent="0.45">
      <c r="A3161">
        <v>526</v>
      </c>
      <c r="B3161" s="3">
        <f t="shared" ca="1" si="49"/>
        <v>85</v>
      </c>
      <c r="C3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1" t="str">
        <f ca="1">IF(dict_zuord_Meth_Transfers[[#This Row],[kval_active]],dict_zuord_Meth_Transfers[[#This Row],[ID_Transfers]],"")</f>
        <v/>
      </c>
    </row>
    <row r="3162" spans="1:4" x14ac:dyDescent="0.45">
      <c r="A3162">
        <v>526</v>
      </c>
      <c r="B3162">
        <f t="shared" ca="1" si="49"/>
        <v>39</v>
      </c>
      <c r="C3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2" t="str">
        <f ca="1">IF(dict_zuord_Meth_Transfers[[#This Row],[kval_active]],dict_zuord_Meth_Transfers[[#This Row],[ID_Transfers]],"")</f>
        <v/>
      </c>
    </row>
    <row r="3163" spans="1:4" x14ac:dyDescent="0.45">
      <c r="A3163">
        <v>526</v>
      </c>
      <c r="B3163" s="3">
        <f t="shared" ca="1" si="49"/>
        <v>149</v>
      </c>
      <c r="C3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3" t="str">
        <f ca="1">IF(dict_zuord_Meth_Transfers[[#This Row],[kval_active]],dict_zuord_Meth_Transfers[[#This Row],[ID_Transfers]],"")</f>
        <v/>
      </c>
    </row>
    <row r="3164" spans="1:4" x14ac:dyDescent="0.45">
      <c r="A3164">
        <v>527</v>
      </c>
      <c r="B3164">
        <f t="shared" ca="1" si="49"/>
        <v>125</v>
      </c>
      <c r="C3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4" t="str">
        <f ca="1">IF(dict_zuord_Meth_Transfers[[#This Row],[kval_active]],dict_zuord_Meth_Transfers[[#This Row],[ID_Transfers]],"")</f>
        <v/>
      </c>
    </row>
    <row r="3165" spans="1:4" x14ac:dyDescent="0.45">
      <c r="A3165">
        <v>527</v>
      </c>
      <c r="B3165" s="3">
        <f t="shared" ca="1" si="49"/>
        <v>13</v>
      </c>
      <c r="C3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5" t="str">
        <f ca="1">IF(dict_zuord_Meth_Transfers[[#This Row],[kval_active]],dict_zuord_Meth_Transfers[[#This Row],[ID_Transfers]],"")</f>
        <v/>
      </c>
    </row>
    <row r="3166" spans="1:4" x14ac:dyDescent="0.45">
      <c r="A3166">
        <v>527</v>
      </c>
      <c r="B3166">
        <f t="shared" ca="1" si="49"/>
        <v>138</v>
      </c>
      <c r="C3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6" t="str">
        <f ca="1">IF(dict_zuord_Meth_Transfers[[#This Row],[kval_active]],dict_zuord_Meth_Transfers[[#This Row],[ID_Transfers]],"")</f>
        <v/>
      </c>
    </row>
    <row r="3167" spans="1:4" x14ac:dyDescent="0.45">
      <c r="A3167">
        <v>527</v>
      </c>
      <c r="B3167">
        <f t="shared" ca="1" si="49"/>
        <v>148</v>
      </c>
      <c r="C3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7" t="str">
        <f ca="1">IF(dict_zuord_Meth_Transfers[[#This Row],[kval_active]],dict_zuord_Meth_Transfers[[#This Row],[ID_Transfers]],"")</f>
        <v/>
      </c>
    </row>
    <row r="3168" spans="1:4" x14ac:dyDescent="0.45">
      <c r="A3168">
        <v>527</v>
      </c>
      <c r="B3168" s="3">
        <f t="shared" ca="1" si="49"/>
        <v>58</v>
      </c>
      <c r="C3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8" t="str">
        <f ca="1">IF(dict_zuord_Meth_Transfers[[#This Row],[kval_active]],dict_zuord_Meth_Transfers[[#This Row],[ID_Transfers]],"")</f>
        <v/>
      </c>
    </row>
    <row r="3169" spans="1:4" x14ac:dyDescent="0.45">
      <c r="A3169">
        <v>527</v>
      </c>
      <c r="B3169" s="3">
        <f t="shared" ca="1" si="49"/>
        <v>73</v>
      </c>
      <c r="C3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69" t="str">
        <f ca="1">IF(dict_zuord_Meth_Transfers[[#This Row],[kval_active]],dict_zuord_Meth_Transfers[[#This Row],[ID_Transfers]],"")</f>
        <v/>
      </c>
    </row>
    <row r="3170" spans="1:4" x14ac:dyDescent="0.45">
      <c r="A3170">
        <v>528</v>
      </c>
      <c r="B3170">
        <f t="shared" ca="1" si="49"/>
        <v>60</v>
      </c>
      <c r="C3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0" t="str">
        <f ca="1">IF(dict_zuord_Meth_Transfers[[#This Row],[kval_active]],dict_zuord_Meth_Transfers[[#This Row],[ID_Transfers]],"")</f>
        <v/>
      </c>
    </row>
    <row r="3171" spans="1:4" x14ac:dyDescent="0.45">
      <c r="A3171">
        <v>528</v>
      </c>
      <c r="B3171" s="3">
        <f t="shared" ca="1" si="49"/>
        <v>178</v>
      </c>
      <c r="C3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1" t="str">
        <f ca="1">IF(dict_zuord_Meth_Transfers[[#This Row],[kval_active]],dict_zuord_Meth_Transfers[[#This Row],[ID_Transfers]],"")</f>
        <v/>
      </c>
    </row>
    <row r="3172" spans="1:4" x14ac:dyDescent="0.45">
      <c r="A3172">
        <v>528</v>
      </c>
      <c r="B3172" s="3">
        <f t="shared" ca="1" si="49"/>
        <v>1</v>
      </c>
      <c r="C3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2" t="str">
        <f ca="1">IF(dict_zuord_Meth_Transfers[[#This Row],[kval_active]],dict_zuord_Meth_Transfers[[#This Row],[ID_Transfers]],"")</f>
        <v/>
      </c>
    </row>
    <row r="3173" spans="1:4" x14ac:dyDescent="0.45">
      <c r="A3173">
        <v>528</v>
      </c>
      <c r="B3173">
        <f t="shared" ca="1" si="49"/>
        <v>136</v>
      </c>
      <c r="C3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3" t="str">
        <f ca="1">IF(dict_zuord_Meth_Transfers[[#This Row],[kval_active]],dict_zuord_Meth_Transfers[[#This Row],[ID_Transfers]],"")</f>
        <v/>
      </c>
    </row>
    <row r="3174" spans="1:4" x14ac:dyDescent="0.45">
      <c r="A3174">
        <v>528</v>
      </c>
      <c r="B3174" s="3">
        <f t="shared" ca="1" si="49"/>
        <v>64</v>
      </c>
      <c r="C3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4" t="str">
        <f ca="1">IF(dict_zuord_Meth_Transfers[[#This Row],[kval_active]],dict_zuord_Meth_Transfers[[#This Row],[ID_Transfers]],"")</f>
        <v/>
      </c>
    </row>
    <row r="3175" spans="1:4" x14ac:dyDescent="0.45">
      <c r="A3175">
        <v>528</v>
      </c>
      <c r="B3175">
        <f t="shared" ca="1" si="49"/>
        <v>28</v>
      </c>
      <c r="C3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5" t="str">
        <f ca="1">IF(dict_zuord_Meth_Transfers[[#This Row],[kval_active]],dict_zuord_Meth_Transfers[[#This Row],[ID_Transfers]],"")</f>
        <v/>
      </c>
    </row>
    <row r="3176" spans="1:4" x14ac:dyDescent="0.45">
      <c r="A3176">
        <v>529</v>
      </c>
      <c r="B3176" s="3">
        <f t="shared" ca="1" si="49"/>
        <v>92</v>
      </c>
      <c r="C3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6" t="str">
        <f ca="1">IF(dict_zuord_Meth_Transfers[[#This Row],[kval_active]],dict_zuord_Meth_Transfers[[#This Row],[ID_Transfers]],"")</f>
        <v/>
      </c>
    </row>
    <row r="3177" spans="1:4" x14ac:dyDescent="0.45">
      <c r="A3177">
        <v>529</v>
      </c>
      <c r="B3177">
        <f t="shared" ca="1" si="49"/>
        <v>111</v>
      </c>
      <c r="C3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7" t="str">
        <f ca="1">IF(dict_zuord_Meth_Transfers[[#This Row],[kval_active]],dict_zuord_Meth_Transfers[[#This Row],[ID_Transfers]],"")</f>
        <v/>
      </c>
    </row>
    <row r="3178" spans="1:4" x14ac:dyDescent="0.45">
      <c r="A3178">
        <v>529</v>
      </c>
      <c r="B3178" s="3">
        <f t="shared" ca="1" si="49"/>
        <v>128</v>
      </c>
      <c r="C3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8" t="str">
        <f ca="1">IF(dict_zuord_Meth_Transfers[[#This Row],[kval_active]],dict_zuord_Meth_Transfers[[#This Row],[ID_Transfers]],"")</f>
        <v/>
      </c>
    </row>
    <row r="3179" spans="1:4" x14ac:dyDescent="0.45">
      <c r="A3179">
        <v>529</v>
      </c>
      <c r="B3179">
        <f t="shared" ca="1" si="49"/>
        <v>94</v>
      </c>
      <c r="C3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79" t="str">
        <f ca="1">IF(dict_zuord_Meth_Transfers[[#This Row],[kval_active]],dict_zuord_Meth_Transfers[[#This Row],[ID_Transfers]],"")</f>
        <v/>
      </c>
    </row>
    <row r="3180" spans="1:4" x14ac:dyDescent="0.45">
      <c r="A3180">
        <v>529</v>
      </c>
      <c r="B3180" s="3">
        <f t="shared" ca="1" si="49"/>
        <v>113</v>
      </c>
      <c r="C3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0" t="str">
        <f ca="1">IF(dict_zuord_Meth_Transfers[[#This Row],[kval_active]],dict_zuord_Meth_Transfers[[#This Row],[ID_Transfers]],"")</f>
        <v/>
      </c>
    </row>
    <row r="3181" spans="1:4" x14ac:dyDescent="0.45">
      <c r="A3181">
        <v>529</v>
      </c>
      <c r="B3181">
        <f t="shared" ca="1" si="49"/>
        <v>119</v>
      </c>
      <c r="C3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1" t="str">
        <f ca="1">IF(dict_zuord_Meth_Transfers[[#This Row],[kval_active]],dict_zuord_Meth_Transfers[[#This Row],[ID_Transfers]],"")</f>
        <v/>
      </c>
    </row>
    <row r="3182" spans="1:4" x14ac:dyDescent="0.45">
      <c r="A3182">
        <v>530</v>
      </c>
      <c r="B3182">
        <f t="shared" ca="1" si="49"/>
        <v>142</v>
      </c>
      <c r="C3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2" t="str">
        <f ca="1">IF(dict_zuord_Meth_Transfers[[#This Row],[kval_active]],dict_zuord_Meth_Transfers[[#This Row],[ID_Transfers]],"")</f>
        <v/>
      </c>
    </row>
    <row r="3183" spans="1:4" x14ac:dyDescent="0.45">
      <c r="A3183">
        <v>530</v>
      </c>
      <c r="B3183" s="3">
        <f t="shared" ca="1" si="49"/>
        <v>73</v>
      </c>
      <c r="C3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3" t="str">
        <f ca="1">IF(dict_zuord_Meth_Transfers[[#This Row],[kval_active]],dict_zuord_Meth_Transfers[[#This Row],[ID_Transfers]],"")</f>
        <v/>
      </c>
    </row>
    <row r="3184" spans="1:4" x14ac:dyDescent="0.45">
      <c r="A3184">
        <v>530</v>
      </c>
      <c r="B3184" s="3">
        <f t="shared" ca="1" si="49"/>
        <v>114</v>
      </c>
      <c r="C3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4" t="str">
        <f ca="1">IF(dict_zuord_Meth_Transfers[[#This Row],[kval_active]],dict_zuord_Meth_Transfers[[#This Row],[ID_Transfers]],"")</f>
        <v/>
      </c>
    </row>
    <row r="3185" spans="1:4" x14ac:dyDescent="0.45">
      <c r="A3185">
        <v>530</v>
      </c>
      <c r="B3185" s="3">
        <f t="shared" ca="1" si="49"/>
        <v>126</v>
      </c>
      <c r="C3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5" t="str">
        <f ca="1">IF(dict_zuord_Meth_Transfers[[#This Row],[kval_active]],dict_zuord_Meth_Transfers[[#This Row],[ID_Transfers]],"")</f>
        <v/>
      </c>
    </row>
    <row r="3186" spans="1:4" x14ac:dyDescent="0.45">
      <c r="A3186">
        <v>530</v>
      </c>
      <c r="B3186">
        <f t="shared" ca="1" si="49"/>
        <v>34</v>
      </c>
      <c r="C3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6" t="str">
        <f ca="1">IF(dict_zuord_Meth_Transfers[[#This Row],[kval_active]],dict_zuord_Meth_Transfers[[#This Row],[ID_Transfers]],"")</f>
        <v/>
      </c>
    </row>
    <row r="3187" spans="1:4" x14ac:dyDescent="0.45">
      <c r="A3187">
        <v>530</v>
      </c>
      <c r="B3187">
        <f t="shared" ca="1" si="49"/>
        <v>106</v>
      </c>
      <c r="C3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7" t="str">
        <f ca="1">IF(dict_zuord_Meth_Transfers[[#This Row],[kval_active]],dict_zuord_Meth_Transfers[[#This Row],[ID_Transfers]],"")</f>
        <v/>
      </c>
    </row>
    <row r="3188" spans="1:4" x14ac:dyDescent="0.45">
      <c r="A3188">
        <v>531</v>
      </c>
      <c r="B3188" s="3">
        <f t="shared" ca="1" si="49"/>
        <v>92</v>
      </c>
      <c r="C3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8" t="str">
        <f ca="1">IF(dict_zuord_Meth_Transfers[[#This Row],[kval_active]],dict_zuord_Meth_Transfers[[#This Row],[ID_Transfers]],"")</f>
        <v/>
      </c>
    </row>
    <row r="3189" spans="1:4" x14ac:dyDescent="0.45">
      <c r="A3189">
        <v>531</v>
      </c>
      <c r="B3189">
        <f t="shared" ca="1" si="49"/>
        <v>110</v>
      </c>
      <c r="C3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89" t="str">
        <f ca="1">IF(dict_zuord_Meth_Transfers[[#This Row],[kval_active]],dict_zuord_Meth_Transfers[[#This Row],[ID_Transfers]],"")</f>
        <v/>
      </c>
    </row>
    <row r="3190" spans="1:4" x14ac:dyDescent="0.45">
      <c r="A3190">
        <v>531</v>
      </c>
      <c r="B3190" s="3">
        <f t="shared" ca="1" si="49"/>
        <v>113</v>
      </c>
      <c r="C3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0" t="str">
        <f ca="1">IF(dict_zuord_Meth_Transfers[[#This Row],[kval_active]],dict_zuord_Meth_Transfers[[#This Row],[ID_Transfers]],"")</f>
        <v/>
      </c>
    </row>
    <row r="3191" spans="1:4" x14ac:dyDescent="0.45">
      <c r="A3191">
        <v>531</v>
      </c>
      <c r="B3191">
        <f t="shared" ca="1" si="49"/>
        <v>21</v>
      </c>
      <c r="C3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1" t="str">
        <f ca="1">IF(dict_zuord_Meth_Transfers[[#This Row],[kval_active]],dict_zuord_Meth_Transfers[[#This Row],[ID_Transfers]],"")</f>
        <v/>
      </c>
    </row>
    <row r="3192" spans="1:4" x14ac:dyDescent="0.45">
      <c r="A3192">
        <v>531</v>
      </c>
      <c r="B3192" s="3">
        <f t="shared" ca="1" si="49"/>
        <v>99</v>
      </c>
      <c r="C3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2" t="str">
        <f ca="1">IF(dict_zuord_Meth_Transfers[[#This Row],[kval_active]],dict_zuord_Meth_Transfers[[#This Row],[ID_Transfers]],"")</f>
        <v/>
      </c>
    </row>
    <row r="3193" spans="1:4" x14ac:dyDescent="0.45">
      <c r="A3193">
        <v>531</v>
      </c>
      <c r="B3193">
        <f t="shared" ca="1" si="49"/>
        <v>105</v>
      </c>
      <c r="C3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3" t="str">
        <f ca="1">IF(dict_zuord_Meth_Transfers[[#This Row],[kval_active]],dict_zuord_Meth_Transfers[[#This Row],[ID_Transfers]],"")</f>
        <v/>
      </c>
    </row>
    <row r="3194" spans="1:4" x14ac:dyDescent="0.45">
      <c r="A3194">
        <v>532</v>
      </c>
      <c r="B3194" s="3">
        <f t="shared" ca="1" si="49"/>
        <v>91</v>
      </c>
      <c r="C3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4" t="str">
        <f ca="1">IF(dict_zuord_Meth_Transfers[[#This Row],[kval_active]],dict_zuord_Meth_Transfers[[#This Row],[ID_Transfers]],"")</f>
        <v/>
      </c>
    </row>
    <row r="3195" spans="1:4" x14ac:dyDescent="0.45">
      <c r="A3195">
        <v>532</v>
      </c>
      <c r="B3195">
        <f t="shared" ca="1" si="49"/>
        <v>116</v>
      </c>
      <c r="C3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5" t="str">
        <f ca="1">IF(dict_zuord_Meth_Transfers[[#This Row],[kval_active]],dict_zuord_Meth_Transfers[[#This Row],[ID_Transfers]],"")</f>
        <v/>
      </c>
    </row>
    <row r="3196" spans="1:4" x14ac:dyDescent="0.45">
      <c r="A3196">
        <v>532</v>
      </c>
      <c r="B3196">
        <f t="shared" ca="1" si="49"/>
        <v>71</v>
      </c>
      <c r="C3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6" t="str">
        <f ca="1">IF(dict_zuord_Meth_Transfers[[#This Row],[kval_active]],dict_zuord_Meth_Transfers[[#This Row],[ID_Transfers]],"")</f>
        <v/>
      </c>
    </row>
    <row r="3197" spans="1:4" x14ac:dyDescent="0.45">
      <c r="A3197">
        <v>532</v>
      </c>
      <c r="B3197">
        <f t="shared" ca="1" si="49"/>
        <v>37</v>
      </c>
      <c r="C3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7" t="str">
        <f ca="1">IF(dict_zuord_Meth_Transfers[[#This Row],[kval_active]],dict_zuord_Meth_Transfers[[#This Row],[ID_Transfers]],"")</f>
        <v/>
      </c>
    </row>
    <row r="3198" spans="1:4" x14ac:dyDescent="0.45">
      <c r="A3198">
        <v>532</v>
      </c>
      <c r="B3198" s="3">
        <f t="shared" ca="1" si="49"/>
        <v>16</v>
      </c>
      <c r="C3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8" t="str">
        <f ca="1">IF(dict_zuord_Meth_Transfers[[#This Row],[kval_active]],dict_zuord_Meth_Transfers[[#This Row],[ID_Transfers]],"")</f>
        <v/>
      </c>
    </row>
    <row r="3199" spans="1:4" x14ac:dyDescent="0.45">
      <c r="A3199">
        <v>532</v>
      </c>
      <c r="B3199" s="3">
        <f t="shared" ca="1" si="49"/>
        <v>8</v>
      </c>
      <c r="C3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199" t="str">
        <f ca="1">IF(dict_zuord_Meth_Transfers[[#This Row],[kval_active]],dict_zuord_Meth_Transfers[[#This Row],[ID_Transfers]],"")</f>
        <v/>
      </c>
    </row>
    <row r="3200" spans="1:4" x14ac:dyDescent="0.45">
      <c r="A3200">
        <v>533</v>
      </c>
      <c r="B3200">
        <f t="shared" ca="1" si="49"/>
        <v>105</v>
      </c>
      <c r="C3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0" t="str">
        <f ca="1">IF(dict_zuord_Meth_Transfers[[#This Row],[kval_active]],dict_zuord_Meth_Transfers[[#This Row],[ID_Transfers]],"")</f>
        <v/>
      </c>
    </row>
    <row r="3201" spans="1:4" x14ac:dyDescent="0.45">
      <c r="A3201">
        <v>533</v>
      </c>
      <c r="B3201" s="3">
        <f t="shared" ca="1" si="49"/>
        <v>20</v>
      </c>
      <c r="C3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1" t="str">
        <f ca="1">IF(dict_zuord_Meth_Transfers[[#This Row],[kval_active]],dict_zuord_Meth_Transfers[[#This Row],[ID_Transfers]],"")</f>
        <v/>
      </c>
    </row>
    <row r="3202" spans="1:4" x14ac:dyDescent="0.45">
      <c r="A3202">
        <v>533</v>
      </c>
      <c r="B3202">
        <f t="shared" ref="B3202:B3265" ca="1" si="50">RANDBETWEEN(0,200)</f>
        <v>199</v>
      </c>
      <c r="C3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2" t="str">
        <f ca="1">IF(dict_zuord_Meth_Transfers[[#This Row],[kval_active]],dict_zuord_Meth_Transfers[[#This Row],[ID_Transfers]],"")</f>
        <v/>
      </c>
    </row>
    <row r="3203" spans="1:4" x14ac:dyDescent="0.45">
      <c r="A3203">
        <v>533</v>
      </c>
      <c r="B3203">
        <f t="shared" ca="1" si="50"/>
        <v>182</v>
      </c>
      <c r="C3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3" t="str">
        <f ca="1">IF(dict_zuord_Meth_Transfers[[#This Row],[kval_active]],dict_zuord_Meth_Transfers[[#This Row],[ID_Transfers]],"")</f>
        <v/>
      </c>
    </row>
    <row r="3204" spans="1:4" x14ac:dyDescent="0.45">
      <c r="A3204">
        <v>533</v>
      </c>
      <c r="B3204" s="3">
        <f t="shared" ca="1" si="50"/>
        <v>162</v>
      </c>
      <c r="C3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4" t="str">
        <f ca="1">IF(dict_zuord_Meth_Transfers[[#This Row],[kval_active]],dict_zuord_Meth_Transfers[[#This Row],[ID_Transfers]],"")</f>
        <v/>
      </c>
    </row>
    <row r="3205" spans="1:4" x14ac:dyDescent="0.45">
      <c r="A3205">
        <v>533</v>
      </c>
      <c r="B3205" s="3">
        <f t="shared" ca="1" si="50"/>
        <v>139</v>
      </c>
      <c r="C3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5" t="str">
        <f ca="1">IF(dict_zuord_Meth_Transfers[[#This Row],[kval_active]],dict_zuord_Meth_Transfers[[#This Row],[ID_Transfers]],"")</f>
        <v/>
      </c>
    </row>
    <row r="3206" spans="1:4" x14ac:dyDescent="0.45">
      <c r="A3206">
        <v>534</v>
      </c>
      <c r="B3206">
        <f t="shared" ca="1" si="50"/>
        <v>9</v>
      </c>
      <c r="C3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6" t="str">
        <f ca="1">IF(dict_zuord_Meth_Transfers[[#This Row],[kval_active]],dict_zuord_Meth_Transfers[[#This Row],[ID_Transfers]],"")</f>
        <v/>
      </c>
    </row>
    <row r="3207" spans="1:4" x14ac:dyDescent="0.45">
      <c r="A3207">
        <v>534</v>
      </c>
      <c r="B3207" s="3">
        <f t="shared" ca="1" si="50"/>
        <v>66</v>
      </c>
      <c r="C3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7" t="str">
        <f ca="1">IF(dict_zuord_Meth_Transfers[[#This Row],[kval_active]],dict_zuord_Meth_Transfers[[#This Row],[ID_Transfers]],"")</f>
        <v/>
      </c>
    </row>
    <row r="3208" spans="1:4" x14ac:dyDescent="0.45">
      <c r="A3208">
        <v>534</v>
      </c>
      <c r="B3208">
        <f t="shared" ca="1" si="50"/>
        <v>44</v>
      </c>
      <c r="C32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8" t="str">
        <f ca="1">IF(dict_zuord_Meth_Transfers[[#This Row],[kval_active]],dict_zuord_Meth_Transfers[[#This Row],[ID_Transfers]],"")</f>
        <v/>
      </c>
    </row>
    <row r="3209" spans="1:4" x14ac:dyDescent="0.45">
      <c r="A3209">
        <v>534</v>
      </c>
      <c r="B3209" s="3">
        <f t="shared" ca="1" si="50"/>
        <v>135</v>
      </c>
      <c r="C32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09" t="str">
        <f ca="1">IF(dict_zuord_Meth_Transfers[[#This Row],[kval_active]],dict_zuord_Meth_Transfers[[#This Row],[ID_Transfers]],"")</f>
        <v/>
      </c>
    </row>
    <row r="3210" spans="1:4" x14ac:dyDescent="0.45">
      <c r="A3210">
        <v>534</v>
      </c>
      <c r="B3210" s="3">
        <f t="shared" ca="1" si="50"/>
        <v>43</v>
      </c>
      <c r="C32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0" t="str">
        <f ca="1">IF(dict_zuord_Meth_Transfers[[#This Row],[kval_active]],dict_zuord_Meth_Transfers[[#This Row],[ID_Transfers]],"")</f>
        <v/>
      </c>
    </row>
    <row r="3211" spans="1:4" x14ac:dyDescent="0.45">
      <c r="A3211">
        <v>534</v>
      </c>
      <c r="B3211">
        <f t="shared" ca="1" si="50"/>
        <v>144</v>
      </c>
      <c r="C32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1" t="str">
        <f ca="1">IF(dict_zuord_Meth_Transfers[[#This Row],[kval_active]],dict_zuord_Meth_Transfers[[#This Row],[ID_Transfers]],"")</f>
        <v/>
      </c>
    </row>
    <row r="3212" spans="1:4" x14ac:dyDescent="0.45">
      <c r="A3212">
        <v>535</v>
      </c>
      <c r="B3212" s="3">
        <f t="shared" ca="1" si="50"/>
        <v>175</v>
      </c>
      <c r="C32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2" t="str">
        <f ca="1">IF(dict_zuord_Meth_Transfers[[#This Row],[kval_active]],dict_zuord_Meth_Transfers[[#This Row],[ID_Transfers]],"")</f>
        <v/>
      </c>
    </row>
    <row r="3213" spans="1:4" x14ac:dyDescent="0.45">
      <c r="A3213">
        <v>535</v>
      </c>
      <c r="B3213">
        <f t="shared" ca="1" si="50"/>
        <v>13</v>
      </c>
      <c r="C32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3" t="str">
        <f ca="1">IF(dict_zuord_Meth_Transfers[[#This Row],[kval_active]],dict_zuord_Meth_Transfers[[#This Row],[ID_Transfers]],"")</f>
        <v/>
      </c>
    </row>
    <row r="3214" spans="1:4" x14ac:dyDescent="0.45">
      <c r="A3214">
        <v>535</v>
      </c>
      <c r="B3214" s="3">
        <f t="shared" ca="1" si="50"/>
        <v>134</v>
      </c>
      <c r="C32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4" t="str">
        <f ca="1">IF(dict_zuord_Meth_Transfers[[#This Row],[kval_active]],dict_zuord_Meth_Transfers[[#This Row],[ID_Transfers]],"")</f>
        <v/>
      </c>
    </row>
    <row r="3215" spans="1:4" x14ac:dyDescent="0.45">
      <c r="A3215">
        <v>535</v>
      </c>
      <c r="B3215" s="3">
        <f t="shared" ca="1" si="50"/>
        <v>80</v>
      </c>
      <c r="C32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5" t="str">
        <f ca="1">IF(dict_zuord_Meth_Transfers[[#This Row],[kval_active]],dict_zuord_Meth_Transfers[[#This Row],[ID_Transfers]],"")</f>
        <v/>
      </c>
    </row>
    <row r="3216" spans="1:4" x14ac:dyDescent="0.45">
      <c r="A3216">
        <v>535</v>
      </c>
      <c r="B3216">
        <f t="shared" ca="1" si="50"/>
        <v>8</v>
      </c>
      <c r="C32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6" t="str">
        <f ca="1">IF(dict_zuord_Meth_Transfers[[#This Row],[kval_active]],dict_zuord_Meth_Transfers[[#This Row],[ID_Transfers]],"")</f>
        <v/>
      </c>
    </row>
    <row r="3217" spans="1:4" x14ac:dyDescent="0.45">
      <c r="A3217">
        <v>535</v>
      </c>
      <c r="B3217">
        <f t="shared" ca="1" si="50"/>
        <v>147</v>
      </c>
      <c r="C32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7" t="str">
        <f ca="1">IF(dict_zuord_Meth_Transfers[[#This Row],[kval_active]],dict_zuord_Meth_Transfers[[#This Row],[ID_Transfers]],"")</f>
        <v/>
      </c>
    </row>
    <row r="3218" spans="1:4" x14ac:dyDescent="0.45">
      <c r="A3218">
        <v>536</v>
      </c>
      <c r="B3218" s="3">
        <f t="shared" ca="1" si="50"/>
        <v>138</v>
      </c>
      <c r="C32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8" t="str">
        <f ca="1">IF(dict_zuord_Meth_Transfers[[#This Row],[kval_active]],dict_zuord_Meth_Transfers[[#This Row],[ID_Transfers]],"")</f>
        <v/>
      </c>
    </row>
    <row r="3219" spans="1:4" x14ac:dyDescent="0.45">
      <c r="A3219">
        <v>536</v>
      </c>
      <c r="B3219" s="3">
        <f t="shared" ca="1" si="50"/>
        <v>117</v>
      </c>
      <c r="C32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19" t="str">
        <f ca="1">IF(dict_zuord_Meth_Transfers[[#This Row],[kval_active]],dict_zuord_Meth_Transfers[[#This Row],[ID_Transfers]],"")</f>
        <v/>
      </c>
    </row>
    <row r="3220" spans="1:4" x14ac:dyDescent="0.45">
      <c r="A3220">
        <v>536</v>
      </c>
      <c r="B3220">
        <f t="shared" ca="1" si="50"/>
        <v>73</v>
      </c>
      <c r="C32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0" t="str">
        <f ca="1">IF(dict_zuord_Meth_Transfers[[#This Row],[kval_active]],dict_zuord_Meth_Transfers[[#This Row],[ID_Transfers]],"")</f>
        <v/>
      </c>
    </row>
    <row r="3221" spans="1:4" x14ac:dyDescent="0.45">
      <c r="A3221">
        <v>536</v>
      </c>
      <c r="B3221">
        <f t="shared" ca="1" si="50"/>
        <v>58</v>
      </c>
      <c r="C32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1" t="str">
        <f ca="1">IF(dict_zuord_Meth_Transfers[[#This Row],[kval_active]],dict_zuord_Meth_Transfers[[#This Row],[ID_Transfers]],"")</f>
        <v/>
      </c>
    </row>
    <row r="3222" spans="1:4" x14ac:dyDescent="0.45">
      <c r="A3222">
        <v>536</v>
      </c>
      <c r="B3222" s="3">
        <f t="shared" ca="1" si="50"/>
        <v>174</v>
      </c>
      <c r="C32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2" t="str">
        <f ca="1">IF(dict_zuord_Meth_Transfers[[#This Row],[kval_active]],dict_zuord_Meth_Transfers[[#This Row],[ID_Transfers]],"")</f>
        <v/>
      </c>
    </row>
    <row r="3223" spans="1:4" x14ac:dyDescent="0.45">
      <c r="A3223">
        <v>536</v>
      </c>
      <c r="B3223">
        <f t="shared" ca="1" si="50"/>
        <v>159</v>
      </c>
      <c r="C32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3" t="str">
        <f ca="1">IF(dict_zuord_Meth_Transfers[[#This Row],[kval_active]],dict_zuord_Meth_Transfers[[#This Row],[ID_Transfers]],"")</f>
        <v/>
      </c>
    </row>
    <row r="3224" spans="1:4" x14ac:dyDescent="0.45">
      <c r="A3224">
        <v>537</v>
      </c>
      <c r="B3224">
        <f t="shared" ca="1" si="50"/>
        <v>167</v>
      </c>
      <c r="C32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4" t="str">
        <f ca="1">IF(dict_zuord_Meth_Transfers[[#This Row],[kval_active]],dict_zuord_Meth_Transfers[[#This Row],[ID_Transfers]],"")</f>
        <v/>
      </c>
    </row>
    <row r="3225" spans="1:4" x14ac:dyDescent="0.45">
      <c r="A3225">
        <v>537</v>
      </c>
      <c r="B3225" s="3">
        <f t="shared" ca="1" si="50"/>
        <v>153</v>
      </c>
      <c r="C32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5" t="str">
        <f ca="1">IF(dict_zuord_Meth_Transfers[[#This Row],[kval_active]],dict_zuord_Meth_Transfers[[#This Row],[ID_Transfers]],"")</f>
        <v/>
      </c>
    </row>
    <row r="3226" spans="1:4" x14ac:dyDescent="0.45">
      <c r="A3226">
        <v>537</v>
      </c>
      <c r="B3226">
        <f t="shared" ca="1" si="50"/>
        <v>117</v>
      </c>
      <c r="C32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6" t="str">
        <f ca="1">IF(dict_zuord_Meth_Transfers[[#This Row],[kval_active]],dict_zuord_Meth_Transfers[[#This Row],[ID_Transfers]],"")</f>
        <v/>
      </c>
    </row>
    <row r="3227" spans="1:4" x14ac:dyDescent="0.45">
      <c r="A3227">
        <v>537</v>
      </c>
      <c r="B3227">
        <f t="shared" ca="1" si="50"/>
        <v>53</v>
      </c>
      <c r="C32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7" t="str">
        <f ca="1">IF(dict_zuord_Meth_Transfers[[#This Row],[kval_active]],dict_zuord_Meth_Transfers[[#This Row],[ID_Transfers]],"")</f>
        <v/>
      </c>
    </row>
    <row r="3228" spans="1:4" x14ac:dyDescent="0.45">
      <c r="A3228">
        <v>537</v>
      </c>
      <c r="B3228" s="3">
        <f t="shared" ca="1" si="50"/>
        <v>120</v>
      </c>
      <c r="C32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8" t="str">
        <f ca="1">IF(dict_zuord_Meth_Transfers[[#This Row],[kval_active]],dict_zuord_Meth_Transfers[[#This Row],[ID_Transfers]],"")</f>
        <v/>
      </c>
    </row>
    <row r="3229" spans="1:4" x14ac:dyDescent="0.45">
      <c r="A3229">
        <v>537</v>
      </c>
      <c r="B3229" s="3">
        <f t="shared" ca="1" si="50"/>
        <v>122</v>
      </c>
      <c r="C32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29" t="str">
        <f ca="1">IF(dict_zuord_Meth_Transfers[[#This Row],[kval_active]],dict_zuord_Meth_Transfers[[#This Row],[ID_Transfers]],"")</f>
        <v/>
      </c>
    </row>
    <row r="3230" spans="1:4" x14ac:dyDescent="0.45">
      <c r="A3230">
        <v>538</v>
      </c>
      <c r="B3230" s="3">
        <f t="shared" ca="1" si="50"/>
        <v>59</v>
      </c>
      <c r="C32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0" t="str">
        <f ca="1">IF(dict_zuord_Meth_Transfers[[#This Row],[kval_active]],dict_zuord_Meth_Transfers[[#This Row],[ID_Transfers]],"")</f>
        <v/>
      </c>
    </row>
    <row r="3231" spans="1:4" x14ac:dyDescent="0.45">
      <c r="A3231">
        <v>538</v>
      </c>
      <c r="B3231">
        <f t="shared" ca="1" si="50"/>
        <v>15</v>
      </c>
      <c r="C32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1" t="str">
        <f ca="1">IF(dict_zuord_Meth_Transfers[[#This Row],[kval_active]],dict_zuord_Meth_Transfers[[#This Row],[ID_Transfers]],"")</f>
        <v/>
      </c>
    </row>
    <row r="3232" spans="1:4" x14ac:dyDescent="0.45">
      <c r="A3232">
        <v>538</v>
      </c>
      <c r="B3232" s="3">
        <f t="shared" ca="1" si="50"/>
        <v>196</v>
      </c>
      <c r="C32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2" t="str">
        <f ca="1">IF(dict_zuord_Meth_Transfers[[#This Row],[kval_active]],dict_zuord_Meth_Transfers[[#This Row],[ID_Transfers]],"")</f>
        <v/>
      </c>
    </row>
    <row r="3233" spans="1:4" x14ac:dyDescent="0.45">
      <c r="A3233">
        <v>538</v>
      </c>
      <c r="B3233">
        <f t="shared" ca="1" si="50"/>
        <v>153</v>
      </c>
      <c r="C32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3" t="str">
        <f ca="1">IF(dict_zuord_Meth_Transfers[[#This Row],[kval_active]],dict_zuord_Meth_Transfers[[#This Row],[ID_Transfers]],"")</f>
        <v/>
      </c>
    </row>
    <row r="3234" spans="1:4" x14ac:dyDescent="0.45">
      <c r="A3234">
        <v>538</v>
      </c>
      <c r="B3234" s="3">
        <f t="shared" ca="1" si="50"/>
        <v>85</v>
      </c>
      <c r="C32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4" t="str">
        <f ca="1">IF(dict_zuord_Meth_Transfers[[#This Row],[kval_active]],dict_zuord_Meth_Transfers[[#This Row],[ID_Transfers]],"")</f>
        <v/>
      </c>
    </row>
    <row r="3235" spans="1:4" x14ac:dyDescent="0.45">
      <c r="A3235">
        <v>538</v>
      </c>
      <c r="B3235">
        <f t="shared" ca="1" si="50"/>
        <v>184</v>
      </c>
      <c r="C32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5" t="str">
        <f ca="1">IF(dict_zuord_Meth_Transfers[[#This Row],[kval_active]],dict_zuord_Meth_Transfers[[#This Row],[ID_Transfers]],"")</f>
        <v/>
      </c>
    </row>
    <row r="3236" spans="1:4" x14ac:dyDescent="0.45">
      <c r="A3236">
        <v>539</v>
      </c>
      <c r="B3236">
        <f t="shared" ca="1" si="50"/>
        <v>95</v>
      </c>
      <c r="C32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6" t="str">
        <f ca="1">IF(dict_zuord_Meth_Transfers[[#This Row],[kval_active]],dict_zuord_Meth_Transfers[[#This Row],[ID_Transfers]],"")</f>
        <v/>
      </c>
    </row>
    <row r="3237" spans="1:4" x14ac:dyDescent="0.45">
      <c r="A3237">
        <v>539</v>
      </c>
      <c r="B3237">
        <f t="shared" ca="1" si="50"/>
        <v>45</v>
      </c>
      <c r="C32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7" t="str">
        <f ca="1">IF(dict_zuord_Meth_Transfers[[#This Row],[kval_active]],dict_zuord_Meth_Transfers[[#This Row],[ID_Transfers]],"")</f>
        <v/>
      </c>
    </row>
    <row r="3238" spans="1:4" x14ac:dyDescent="0.45">
      <c r="A3238">
        <v>539</v>
      </c>
      <c r="B3238" s="3">
        <f t="shared" ca="1" si="50"/>
        <v>165</v>
      </c>
      <c r="C32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8" t="str">
        <f ca="1">IF(dict_zuord_Meth_Transfers[[#This Row],[kval_active]],dict_zuord_Meth_Transfers[[#This Row],[ID_Transfers]],"")</f>
        <v/>
      </c>
    </row>
    <row r="3239" spans="1:4" x14ac:dyDescent="0.45">
      <c r="A3239">
        <v>539</v>
      </c>
      <c r="B3239" s="3">
        <f t="shared" ca="1" si="50"/>
        <v>160</v>
      </c>
      <c r="C32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39" t="str">
        <f ca="1">IF(dict_zuord_Meth_Transfers[[#This Row],[kval_active]],dict_zuord_Meth_Transfers[[#This Row],[ID_Transfers]],"")</f>
        <v/>
      </c>
    </row>
    <row r="3240" spans="1:4" x14ac:dyDescent="0.45">
      <c r="A3240">
        <v>539</v>
      </c>
      <c r="B3240">
        <f t="shared" ca="1" si="50"/>
        <v>100</v>
      </c>
      <c r="C32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0" t="str">
        <f ca="1">IF(dict_zuord_Meth_Transfers[[#This Row],[kval_active]],dict_zuord_Meth_Transfers[[#This Row],[ID_Transfers]],"")</f>
        <v/>
      </c>
    </row>
    <row r="3241" spans="1:4" x14ac:dyDescent="0.45">
      <c r="A3241">
        <v>539</v>
      </c>
      <c r="B3241" s="3">
        <f t="shared" ca="1" si="50"/>
        <v>168</v>
      </c>
      <c r="C32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1" t="str">
        <f ca="1">IF(dict_zuord_Meth_Transfers[[#This Row],[kval_active]],dict_zuord_Meth_Transfers[[#This Row],[ID_Transfers]],"")</f>
        <v/>
      </c>
    </row>
    <row r="3242" spans="1:4" x14ac:dyDescent="0.45">
      <c r="A3242">
        <v>540</v>
      </c>
      <c r="B3242" s="3">
        <f t="shared" ca="1" si="50"/>
        <v>10</v>
      </c>
      <c r="C32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2" t="str">
        <f ca="1">IF(dict_zuord_Meth_Transfers[[#This Row],[kval_active]],dict_zuord_Meth_Transfers[[#This Row],[ID_Transfers]],"")</f>
        <v/>
      </c>
    </row>
    <row r="3243" spans="1:4" x14ac:dyDescent="0.45">
      <c r="A3243">
        <v>540</v>
      </c>
      <c r="B3243" s="3">
        <f t="shared" ca="1" si="50"/>
        <v>127</v>
      </c>
      <c r="C32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3" t="str">
        <f ca="1">IF(dict_zuord_Meth_Transfers[[#This Row],[kval_active]],dict_zuord_Meth_Transfers[[#This Row],[ID_Transfers]],"")</f>
        <v/>
      </c>
    </row>
    <row r="3244" spans="1:4" x14ac:dyDescent="0.45">
      <c r="A3244">
        <v>540</v>
      </c>
      <c r="B3244">
        <f t="shared" ca="1" si="50"/>
        <v>116</v>
      </c>
      <c r="C32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4" t="str">
        <f ca="1">IF(dict_zuord_Meth_Transfers[[#This Row],[kval_active]],dict_zuord_Meth_Transfers[[#This Row],[ID_Transfers]],"")</f>
        <v/>
      </c>
    </row>
    <row r="3245" spans="1:4" x14ac:dyDescent="0.45">
      <c r="A3245">
        <v>540</v>
      </c>
      <c r="B3245">
        <f t="shared" ca="1" si="50"/>
        <v>49</v>
      </c>
      <c r="C32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5" t="str">
        <f ca="1">IF(dict_zuord_Meth_Transfers[[#This Row],[kval_active]],dict_zuord_Meth_Transfers[[#This Row],[ID_Transfers]],"")</f>
        <v/>
      </c>
    </row>
    <row r="3246" spans="1:4" x14ac:dyDescent="0.45">
      <c r="A3246">
        <v>540</v>
      </c>
      <c r="B3246" s="3">
        <f t="shared" ca="1" si="50"/>
        <v>196</v>
      </c>
      <c r="C32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6" t="str">
        <f ca="1">IF(dict_zuord_Meth_Transfers[[#This Row],[kval_active]],dict_zuord_Meth_Transfers[[#This Row],[ID_Transfers]],"")</f>
        <v/>
      </c>
    </row>
    <row r="3247" spans="1:4" x14ac:dyDescent="0.45">
      <c r="A3247">
        <v>540</v>
      </c>
      <c r="B3247">
        <f t="shared" ca="1" si="50"/>
        <v>153</v>
      </c>
      <c r="C32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7" t="str">
        <f ca="1">IF(dict_zuord_Meth_Transfers[[#This Row],[kval_active]],dict_zuord_Meth_Transfers[[#This Row],[ID_Transfers]],"")</f>
        <v/>
      </c>
    </row>
    <row r="3248" spans="1:4" x14ac:dyDescent="0.45">
      <c r="A3248">
        <v>541</v>
      </c>
      <c r="B3248">
        <f t="shared" ca="1" si="50"/>
        <v>42</v>
      </c>
      <c r="C32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8" t="str">
        <f ca="1">IF(dict_zuord_Meth_Transfers[[#This Row],[kval_active]],dict_zuord_Meth_Transfers[[#This Row],[ID_Transfers]],"")</f>
        <v/>
      </c>
    </row>
    <row r="3249" spans="1:4" x14ac:dyDescent="0.45">
      <c r="A3249">
        <v>541</v>
      </c>
      <c r="B3249" s="3">
        <f t="shared" ca="1" si="50"/>
        <v>153</v>
      </c>
      <c r="C32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49" t="str">
        <f ca="1">IF(dict_zuord_Meth_Transfers[[#This Row],[kval_active]],dict_zuord_Meth_Transfers[[#This Row],[ID_Transfers]],"")</f>
        <v/>
      </c>
    </row>
    <row r="3250" spans="1:4" x14ac:dyDescent="0.45">
      <c r="A3250">
        <v>541</v>
      </c>
      <c r="B3250">
        <f t="shared" ca="1" si="50"/>
        <v>164</v>
      </c>
      <c r="C32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0" t="str">
        <f ca="1">IF(dict_zuord_Meth_Transfers[[#This Row],[kval_active]],dict_zuord_Meth_Transfers[[#This Row],[ID_Transfers]],"")</f>
        <v/>
      </c>
    </row>
    <row r="3251" spans="1:4" x14ac:dyDescent="0.45">
      <c r="A3251">
        <v>541</v>
      </c>
      <c r="B3251" s="3">
        <f t="shared" ca="1" si="50"/>
        <v>162</v>
      </c>
      <c r="C32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1" t="str">
        <f ca="1">IF(dict_zuord_Meth_Transfers[[#This Row],[kval_active]],dict_zuord_Meth_Transfers[[#This Row],[ID_Transfers]],"")</f>
        <v/>
      </c>
    </row>
    <row r="3252" spans="1:4" x14ac:dyDescent="0.45">
      <c r="A3252">
        <v>541</v>
      </c>
      <c r="B3252">
        <f t="shared" ca="1" si="50"/>
        <v>36</v>
      </c>
      <c r="C32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2" t="str">
        <f ca="1">IF(dict_zuord_Meth_Transfers[[#This Row],[kval_active]],dict_zuord_Meth_Transfers[[#This Row],[ID_Transfers]],"")</f>
        <v/>
      </c>
    </row>
    <row r="3253" spans="1:4" x14ac:dyDescent="0.45">
      <c r="A3253">
        <v>541</v>
      </c>
      <c r="B3253" s="3">
        <f t="shared" ca="1" si="50"/>
        <v>115</v>
      </c>
      <c r="C32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3" t="str">
        <f ca="1">IF(dict_zuord_Meth_Transfers[[#This Row],[kval_active]],dict_zuord_Meth_Transfers[[#This Row],[ID_Transfers]],"")</f>
        <v/>
      </c>
    </row>
    <row r="3254" spans="1:4" x14ac:dyDescent="0.45">
      <c r="A3254">
        <v>542</v>
      </c>
      <c r="B3254" s="3">
        <f t="shared" ca="1" si="50"/>
        <v>101</v>
      </c>
      <c r="C32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4" t="str">
        <f ca="1">IF(dict_zuord_Meth_Transfers[[#This Row],[kval_active]],dict_zuord_Meth_Transfers[[#This Row],[ID_Transfers]],"")</f>
        <v/>
      </c>
    </row>
    <row r="3255" spans="1:4" x14ac:dyDescent="0.45">
      <c r="A3255">
        <v>542</v>
      </c>
      <c r="B3255" s="3">
        <f t="shared" ca="1" si="50"/>
        <v>157</v>
      </c>
      <c r="C32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5" t="str">
        <f ca="1">IF(dict_zuord_Meth_Transfers[[#This Row],[kval_active]],dict_zuord_Meth_Transfers[[#This Row],[ID_Transfers]],"")</f>
        <v/>
      </c>
    </row>
    <row r="3256" spans="1:4" x14ac:dyDescent="0.45">
      <c r="A3256">
        <v>542</v>
      </c>
      <c r="B3256">
        <f t="shared" ca="1" si="50"/>
        <v>112</v>
      </c>
      <c r="C32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6" t="str">
        <f ca="1">IF(dict_zuord_Meth_Transfers[[#This Row],[kval_active]],dict_zuord_Meth_Transfers[[#This Row],[ID_Transfers]],"")</f>
        <v/>
      </c>
    </row>
    <row r="3257" spans="1:4" x14ac:dyDescent="0.45">
      <c r="A3257">
        <v>542</v>
      </c>
      <c r="B3257">
        <f t="shared" ca="1" si="50"/>
        <v>134</v>
      </c>
      <c r="C32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7" t="str">
        <f ca="1">IF(dict_zuord_Meth_Transfers[[#This Row],[kval_active]],dict_zuord_Meth_Transfers[[#This Row],[ID_Transfers]],"")</f>
        <v/>
      </c>
    </row>
    <row r="3258" spans="1:4" x14ac:dyDescent="0.45">
      <c r="A3258">
        <v>542</v>
      </c>
      <c r="B3258">
        <f t="shared" ca="1" si="50"/>
        <v>32</v>
      </c>
      <c r="C32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8" t="str">
        <f ca="1">IF(dict_zuord_Meth_Transfers[[#This Row],[kval_active]],dict_zuord_Meth_Transfers[[#This Row],[ID_Transfers]],"")</f>
        <v/>
      </c>
    </row>
    <row r="3259" spans="1:4" x14ac:dyDescent="0.45">
      <c r="A3259">
        <v>542</v>
      </c>
      <c r="B3259" s="3">
        <f t="shared" ca="1" si="50"/>
        <v>101</v>
      </c>
      <c r="C32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59" t="str">
        <f ca="1">IF(dict_zuord_Meth_Transfers[[#This Row],[kval_active]],dict_zuord_Meth_Transfers[[#This Row],[ID_Transfers]],"")</f>
        <v/>
      </c>
    </row>
    <row r="3260" spans="1:4" x14ac:dyDescent="0.45">
      <c r="A3260">
        <v>543</v>
      </c>
      <c r="B3260">
        <f t="shared" ca="1" si="50"/>
        <v>144</v>
      </c>
      <c r="C32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0" t="str">
        <f ca="1">IF(dict_zuord_Meth_Transfers[[#This Row],[kval_active]],dict_zuord_Meth_Transfers[[#This Row],[ID_Transfers]],"")</f>
        <v/>
      </c>
    </row>
    <row r="3261" spans="1:4" x14ac:dyDescent="0.45">
      <c r="A3261">
        <v>543</v>
      </c>
      <c r="B3261" s="3">
        <f t="shared" ca="1" si="50"/>
        <v>126</v>
      </c>
      <c r="C32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1" t="str">
        <f ca="1">IF(dict_zuord_Meth_Transfers[[#This Row],[kval_active]],dict_zuord_Meth_Transfers[[#This Row],[ID_Transfers]],"")</f>
        <v/>
      </c>
    </row>
    <row r="3262" spans="1:4" x14ac:dyDescent="0.45">
      <c r="A3262">
        <v>543</v>
      </c>
      <c r="B3262" s="3">
        <f t="shared" ca="1" si="50"/>
        <v>88</v>
      </c>
      <c r="C32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2" t="str">
        <f ca="1">IF(dict_zuord_Meth_Transfers[[#This Row],[kval_active]],dict_zuord_Meth_Transfers[[#This Row],[ID_Transfers]],"")</f>
        <v/>
      </c>
    </row>
    <row r="3263" spans="1:4" x14ac:dyDescent="0.45">
      <c r="A3263">
        <v>543</v>
      </c>
      <c r="B3263" s="3">
        <f t="shared" ca="1" si="50"/>
        <v>64</v>
      </c>
      <c r="C32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3" t="str">
        <f ca="1">IF(dict_zuord_Meth_Transfers[[#This Row],[kval_active]],dict_zuord_Meth_Transfers[[#This Row],[ID_Transfers]],"")</f>
        <v/>
      </c>
    </row>
    <row r="3264" spans="1:4" x14ac:dyDescent="0.45">
      <c r="A3264">
        <v>543</v>
      </c>
      <c r="B3264">
        <f t="shared" ca="1" si="50"/>
        <v>189</v>
      </c>
      <c r="C32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4" t="str">
        <f ca="1">IF(dict_zuord_Meth_Transfers[[#This Row],[kval_active]],dict_zuord_Meth_Transfers[[#This Row],[ID_Transfers]],"")</f>
        <v/>
      </c>
    </row>
    <row r="3265" spans="1:4" x14ac:dyDescent="0.45">
      <c r="A3265">
        <v>543</v>
      </c>
      <c r="B3265">
        <f t="shared" ca="1" si="50"/>
        <v>28</v>
      </c>
      <c r="C32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5" t="str">
        <f ca="1">IF(dict_zuord_Meth_Transfers[[#This Row],[kval_active]],dict_zuord_Meth_Transfers[[#This Row],[ID_Transfers]],"")</f>
        <v/>
      </c>
    </row>
    <row r="3266" spans="1:4" x14ac:dyDescent="0.45">
      <c r="A3266">
        <v>544</v>
      </c>
      <c r="B3266" s="3">
        <f t="shared" ref="B3266:B3329" ca="1" si="51">RANDBETWEEN(0,200)</f>
        <v>1</v>
      </c>
      <c r="C32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6" t="str">
        <f ca="1">IF(dict_zuord_Meth_Transfers[[#This Row],[kval_active]],dict_zuord_Meth_Transfers[[#This Row],[ID_Transfers]],"")</f>
        <v/>
      </c>
    </row>
    <row r="3267" spans="1:4" x14ac:dyDescent="0.45">
      <c r="A3267">
        <v>544</v>
      </c>
      <c r="B3267">
        <f t="shared" ca="1" si="51"/>
        <v>181</v>
      </c>
      <c r="C32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7" t="str">
        <f ca="1">IF(dict_zuord_Meth_Transfers[[#This Row],[kval_active]],dict_zuord_Meth_Transfers[[#This Row],[ID_Transfers]],"")</f>
        <v/>
      </c>
    </row>
    <row r="3268" spans="1:4" x14ac:dyDescent="0.45">
      <c r="A3268">
        <v>544</v>
      </c>
      <c r="B3268">
        <f t="shared" ca="1" si="51"/>
        <v>169</v>
      </c>
      <c r="C32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8" t="str">
        <f ca="1">IF(dict_zuord_Meth_Transfers[[#This Row],[kval_active]],dict_zuord_Meth_Transfers[[#This Row],[ID_Transfers]],"")</f>
        <v/>
      </c>
    </row>
    <row r="3269" spans="1:4" x14ac:dyDescent="0.45">
      <c r="A3269">
        <v>544</v>
      </c>
      <c r="B3269" s="3">
        <f t="shared" ca="1" si="51"/>
        <v>131</v>
      </c>
      <c r="C32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69" t="str">
        <f ca="1">IF(dict_zuord_Meth_Transfers[[#This Row],[kval_active]],dict_zuord_Meth_Transfers[[#This Row],[ID_Transfers]],"")</f>
        <v/>
      </c>
    </row>
    <row r="3270" spans="1:4" x14ac:dyDescent="0.45">
      <c r="A3270">
        <v>544</v>
      </c>
      <c r="B3270" s="3">
        <f t="shared" ca="1" si="51"/>
        <v>152</v>
      </c>
      <c r="C32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0" t="str">
        <f ca="1">IF(dict_zuord_Meth_Transfers[[#This Row],[kval_active]],dict_zuord_Meth_Transfers[[#This Row],[ID_Transfers]],"")</f>
        <v/>
      </c>
    </row>
    <row r="3271" spans="1:4" x14ac:dyDescent="0.45">
      <c r="A3271">
        <v>544</v>
      </c>
      <c r="B3271">
        <f t="shared" ca="1" si="51"/>
        <v>59</v>
      </c>
      <c r="C32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1" t="str">
        <f ca="1">IF(dict_zuord_Meth_Transfers[[#This Row],[kval_active]],dict_zuord_Meth_Transfers[[#This Row],[ID_Transfers]],"")</f>
        <v/>
      </c>
    </row>
    <row r="3272" spans="1:4" x14ac:dyDescent="0.45">
      <c r="A3272">
        <v>545</v>
      </c>
      <c r="B3272">
        <f t="shared" ca="1" si="51"/>
        <v>9</v>
      </c>
      <c r="C32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2" t="str">
        <f ca="1">IF(dict_zuord_Meth_Transfers[[#This Row],[kval_active]],dict_zuord_Meth_Transfers[[#This Row],[ID_Transfers]],"")</f>
        <v/>
      </c>
    </row>
    <row r="3273" spans="1:4" x14ac:dyDescent="0.45">
      <c r="A3273">
        <v>545</v>
      </c>
      <c r="B3273">
        <f t="shared" ca="1" si="51"/>
        <v>140</v>
      </c>
      <c r="C32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3" t="str">
        <f ca="1">IF(dict_zuord_Meth_Transfers[[#This Row],[kval_active]],dict_zuord_Meth_Transfers[[#This Row],[ID_Transfers]],"")</f>
        <v/>
      </c>
    </row>
    <row r="3274" spans="1:4" x14ac:dyDescent="0.45">
      <c r="A3274">
        <v>545</v>
      </c>
      <c r="B3274">
        <f t="shared" ca="1" si="51"/>
        <v>155</v>
      </c>
      <c r="C32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4" t="str">
        <f ca="1">IF(dict_zuord_Meth_Transfers[[#This Row],[kval_active]],dict_zuord_Meth_Transfers[[#This Row],[ID_Transfers]],"")</f>
        <v/>
      </c>
    </row>
    <row r="3275" spans="1:4" x14ac:dyDescent="0.45">
      <c r="A3275">
        <v>545</v>
      </c>
      <c r="B3275" s="3">
        <f t="shared" ca="1" si="51"/>
        <v>193</v>
      </c>
      <c r="C32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5" t="str">
        <f ca="1">IF(dict_zuord_Meth_Transfers[[#This Row],[kval_active]],dict_zuord_Meth_Transfers[[#This Row],[ID_Transfers]],"")</f>
        <v/>
      </c>
    </row>
    <row r="3276" spans="1:4" x14ac:dyDescent="0.45">
      <c r="A3276">
        <v>545</v>
      </c>
      <c r="B3276" s="3">
        <f t="shared" ca="1" si="51"/>
        <v>27</v>
      </c>
      <c r="C32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6" t="str">
        <f ca="1">IF(dict_zuord_Meth_Transfers[[#This Row],[kval_active]],dict_zuord_Meth_Transfers[[#This Row],[ID_Transfers]],"")</f>
        <v/>
      </c>
    </row>
    <row r="3277" spans="1:4" x14ac:dyDescent="0.45">
      <c r="A3277">
        <v>545</v>
      </c>
      <c r="B3277" s="3">
        <f t="shared" ca="1" si="51"/>
        <v>197</v>
      </c>
      <c r="C32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7" t="str">
        <f ca="1">IF(dict_zuord_Meth_Transfers[[#This Row],[kval_active]],dict_zuord_Meth_Transfers[[#This Row],[ID_Transfers]],"")</f>
        <v/>
      </c>
    </row>
    <row r="3278" spans="1:4" x14ac:dyDescent="0.45">
      <c r="A3278">
        <v>546</v>
      </c>
      <c r="B3278">
        <f t="shared" ca="1" si="51"/>
        <v>179</v>
      </c>
      <c r="C32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8" t="str">
        <f ca="1">IF(dict_zuord_Meth_Transfers[[#This Row],[kval_active]],dict_zuord_Meth_Transfers[[#This Row],[ID_Transfers]],"")</f>
        <v/>
      </c>
    </row>
    <row r="3279" spans="1:4" x14ac:dyDescent="0.45">
      <c r="A3279">
        <v>546</v>
      </c>
      <c r="B3279" s="3">
        <f t="shared" ca="1" si="51"/>
        <v>175</v>
      </c>
      <c r="C32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79" t="str">
        <f ca="1">IF(dict_zuord_Meth_Transfers[[#This Row],[kval_active]],dict_zuord_Meth_Transfers[[#This Row],[ID_Transfers]],"")</f>
        <v/>
      </c>
    </row>
    <row r="3280" spans="1:4" x14ac:dyDescent="0.45">
      <c r="A3280">
        <v>546</v>
      </c>
      <c r="B3280" s="3">
        <f t="shared" ca="1" si="51"/>
        <v>23</v>
      </c>
      <c r="C32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0" t="str">
        <f ca="1">IF(dict_zuord_Meth_Transfers[[#This Row],[kval_active]],dict_zuord_Meth_Transfers[[#This Row],[ID_Transfers]],"")</f>
        <v/>
      </c>
    </row>
    <row r="3281" spans="1:4" x14ac:dyDescent="0.45">
      <c r="A3281">
        <v>546</v>
      </c>
      <c r="B3281">
        <f t="shared" ca="1" si="51"/>
        <v>60</v>
      </c>
      <c r="C32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1" t="str">
        <f ca="1">IF(dict_zuord_Meth_Transfers[[#This Row],[kval_active]],dict_zuord_Meth_Transfers[[#This Row],[ID_Transfers]],"")</f>
        <v/>
      </c>
    </row>
    <row r="3282" spans="1:4" x14ac:dyDescent="0.45">
      <c r="A3282">
        <v>546</v>
      </c>
      <c r="B3282">
        <f t="shared" ca="1" si="51"/>
        <v>175</v>
      </c>
      <c r="C32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2" t="str">
        <f ca="1">IF(dict_zuord_Meth_Transfers[[#This Row],[kval_active]],dict_zuord_Meth_Transfers[[#This Row],[ID_Transfers]],"")</f>
        <v/>
      </c>
    </row>
    <row r="3283" spans="1:4" x14ac:dyDescent="0.45">
      <c r="A3283">
        <v>546</v>
      </c>
      <c r="B3283" s="3">
        <f t="shared" ca="1" si="51"/>
        <v>90</v>
      </c>
      <c r="C32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3" t="str">
        <f ca="1">IF(dict_zuord_Meth_Transfers[[#This Row],[kval_active]],dict_zuord_Meth_Transfers[[#This Row],[ID_Transfers]],"")</f>
        <v/>
      </c>
    </row>
    <row r="3284" spans="1:4" x14ac:dyDescent="0.45">
      <c r="A3284">
        <v>547</v>
      </c>
      <c r="B3284">
        <f t="shared" ca="1" si="51"/>
        <v>125</v>
      </c>
      <c r="C32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4" t="str">
        <f ca="1">IF(dict_zuord_Meth_Transfers[[#This Row],[kval_active]],dict_zuord_Meth_Transfers[[#This Row],[ID_Transfers]],"")</f>
        <v/>
      </c>
    </row>
    <row r="3285" spans="1:4" x14ac:dyDescent="0.45">
      <c r="A3285">
        <v>547</v>
      </c>
      <c r="B3285" s="3">
        <f t="shared" ca="1" si="51"/>
        <v>40</v>
      </c>
      <c r="C32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5" t="str">
        <f ca="1">IF(dict_zuord_Meth_Transfers[[#This Row],[kval_active]],dict_zuord_Meth_Transfers[[#This Row],[ID_Transfers]],"")</f>
        <v/>
      </c>
    </row>
    <row r="3286" spans="1:4" x14ac:dyDescent="0.45">
      <c r="A3286">
        <v>547</v>
      </c>
      <c r="B3286" s="3">
        <f t="shared" ca="1" si="51"/>
        <v>141</v>
      </c>
      <c r="C32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6" t="str">
        <f ca="1">IF(dict_zuord_Meth_Transfers[[#This Row],[kval_active]],dict_zuord_Meth_Transfers[[#This Row],[ID_Transfers]],"")</f>
        <v/>
      </c>
    </row>
    <row r="3287" spans="1:4" x14ac:dyDescent="0.45">
      <c r="A3287">
        <v>547</v>
      </c>
      <c r="B3287">
        <f t="shared" ca="1" si="51"/>
        <v>94</v>
      </c>
      <c r="C32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7" t="str">
        <f ca="1">IF(dict_zuord_Meth_Transfers[[#This Row],[kval_active]],dict_zuord_Meth_Transfers[[#This Row],[ID_Transfers]],"")</f>
        <v/>
      </c>
    </row>
    <row r="3288" spans="1:4" x14ac:dyDescent="0.45">
      <c r="A3288">
        <v>547</v>
      </c>
      <c r="B3288">
        <f t="shared" ca="1" si="51"/>
        <v>191</v>
      </c>
      <c r="C32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8" t="str">
        <f ca="1">IF(dict_zuord_Meth_Transfers[[#This Row],[kval_active]],dict_zuord_Meth_Transfers[[#This Row],[ID_Transfers]],"")</f>
        <v/>
      </c>
    </row>
    <row r="3289" spans="1:4" x14ac:dyDescent="0.45">
      <c r="A3289">
        <v>547</v>
      </c>
      <c r="B3289" s="3">
        <f t="shared" ca="1" si="51"/>
        <v>123</v>
      </c>
      <c r="C32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89" t="str">
        <f ca="1">IF(dict_zuord_Meth_Transfers[[#This Row],[kval_active]],dict_zuord_Meth_Transfers[[#This Row],[ID_Transfers]],"")</f>
        <v/>
      </c>
    </row>
    <row r="3290" spans="1:4" x14ac:dyDescent="0.45">
      <c r="A3290">
        <v>548</v>
      </c>
      <c r="B3290" s="3">
        <f t="shared" ca="1" si="51"/>
        <v>197</v>
      </c>
      <c r="C32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0" t="str">
        <f ca="1">IF(dict_zuord_Meth_Transfers[[#This Row],[kval_active]],dict_zuord_Meth_Transfers[[#This Row],[ID_Transfers]],"")</f>
        <v/>
      </c>
    </row>
    <row r="3291" spans="1:4" x14ac:dyDescent="0.45">
      <c r="A3291">
        <v>548</v>
      </c>
      <c r="B3291">
        <f t="shared" ca="1" si="51"/>
        <v>60</v>
      </c>
      <c r="C32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1" t="str">
        <f ca="1">IF(dict_zuord_Meth_Transfers[[#This Row],[kval_active]],dict_zuord_Meth_Transfers[[#This Row],[ID_Transfers]],"")</f>
        <v/>
      </c>
    </row>
    <row r="3292" spans="1:4" x14ac:dyDescent="0.45">
      <c r="A3292">
        <v>548</v>
      </c>
      <c r="B3292">
        <f t="shared" ca="1" si="51"/>
        <v>82</v>
      </c>
      <c r="C32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2" t="str">
        <f ca="1">IF(dict_zuord_Meth_Transfers[[#This Row],[kval_active]],dict_zuord_Meth_Transfers[[#This Row],[ID_Transfers]],"")</f>
        <v/>
      </c>
    </row>
    <row r="3293" spans="1:4" x14ac:dyDescent="0.45">
      <c r="A3293">
        <v>548</v>
      </c>
      <c r="B3293" s="3">
        <f t="shared" ca="1" si="51"/>
        <v>133</v>
      </c>
      <c r="C32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3" t="str">
        <f ca="1">IF(dict_zuord_Meth_Transfers[[#This Row],[kval_active]],dict_zuord_Meth_Transfers[[#This Row],[ID_Transfers]],"")</f>
        <v/>
      </c>
    </row>
    <row r="3294" spans="1:4" x14ac:dyDescent="0.45">
      <c r="A3294">
        <v>548</v>
      </c>
      <c r="B3294" s="3">
        <f t="shared" ca="1" si="51"/>
        <v>135</v>
      </c>
      <c r="C32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4" t="str">
        <f ca="1">IF(dict_zuord_Meth_Transfers[[#This Row],[kval_active]],dict_zuord_Meth_Transfers[[#This Row],[ID_Transfers]],"")</f>
        <v/>
      </c>
    </row>
    <row r="3295" spans="1:4" x14ac:dyDescent="0.45">
      <c r="A3295">
        <v>548</v>
      </c>
      <c r="B3295">
        <f t="shared" ca="1" si="51"/>
        <v>154</v>
      </c>
      <c r="C32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5" t="str">
        <f ca="1">IF(dict_zuord_Meth_Transfers[[#This Row],[kval_active]],dict_zuord_Meth_Transfers[[#This Row],[ID_Transfers]],"")</f>
        <v/>
      </c>
    </row>
    <row r="3296" spans="1:4" x14ac:dyDescent="0.45">
      <c r="A3296">
        <v>549</v>
      </c>
      <c r="B3296">
        <f t="shared" ca="1" si="51"/>
        <v>88</v>
      </c>
      <c r="C32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6" t="str">
        <f ca="1">IF(dict_zuord_Meth_Transfers[[#This Row],[kval_active]],dict_zuord_Meth_Transfers[[#This Row],[ID_Transfers]],"")</f>
        <v/>
      </c>
    </row>
    <row r="3297" spans="1:4" x14ac:dyDescent="0.45">
      <c r="A3297">
        <v>549</v>
      </c>
      <c r="B3297" s="3">
        <f t="shared" ca="1" si="51"/>
        <v>109</v>
      </c>
      <c r="C32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7" t="str">
        <f ca="1">IF(dict_zuord_Meth_Transfers[[#This Row],[kval_active]],dict_zuord_Meth_Transfers[[#This Row],[ID_Transfers]],"")</f>
        <v/>
      </c>
    </row>
    <row r="3298" spans="1:4" x14ac:dyDescent="0.45">
      <c r="A3298">
        <v>549</v>
      </c>
      <c r="B3298">
        <f t="shared" ca="1" si="51"/>
        <v>154</v>
      </c>
      <c r="C32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8" t="str">
        <f ca="1">IF(dict_zuord_Meth_Transfers[[#This Row],[kval_active]],dict_zuord_Meth_Transfers[[#This Row],[ID_Transfers]],"")</f>
        <v/>
      </c>
    </row>
    <row r="3299" spans="1:4" x14ac:dyDescent="0.45">
      <c r="A3299">
        <v>549</v>
      </c>
      <c r="B3299" s="3">
        <f t="shared" ca="1" si="51"/>
        <v>72</v>
      </c>
      <c r="C32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299" t="str">
        <f ca="1">IF(dict_zuord_Meth_Transfers[[#This Row],[kval_active]],dict_zuord_Meth_Transfers[[#This Row],[ID_Transfers]],"")</f>
        <v/>
      </c>
    </row>
    <row r="3300" spans="1:4" x14ac:dyDescent="0.45">
      <c r="A3300">
        <v>549</v>
      </c>
      <c r="B3300" s="3">
        <f t="shared" ca="1" si="51"/>
        <v>25</v>
      </c>
      <c r="C33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0" t="str">
        <f ca="1">IF(dict_zuord_Meth_Transfers[[#This Row],[kval_active]],dict_zuord_Meth_Transfers[[#This Row],[ID_Transfers]],"")</f>
        <v/>
      </c>
    </row>
    <row r="3301" spans="1:4" x14ac:dyDescent="0.45">
      <c r="A3301">
        <v>549</v>
      </c>
      <c r="B3301">
        <f t="shared" ca="1" si="51"/>
        <v>123</v>
      </c>
      <c r="C33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1" t="str">
        <f ca="1">IF(dict_zuord_Meth_Transfers[[#This Row],[kval_active]],dict_zuord_Meth_Transfers[[#This Row],[ID_Transfers]],"")</f>
        <v/>
      </c>
    </row>
    <row r="3302" spans="1:4" x14ac:dyDescent="0.45">
      <c r="A3302">
        <v>550</v>
      </c>
      <c r="B3302">
        <f t="shared" ca="1" si="51"/>
        <v>94</v>
      </c>
      <c r="C33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2" t="str">
        <f ca="1">IF(dict_zuord_Meth_Transfers[[#This Row],[kval_active]],dict_zuord_Meth_Transfers[[#This Row],[ID_Transfers]],"")</f>
        <v/>
      </c>
    </row>
    <row r="3303" spans="1:4" x14ac:dyDescent="0.45">
      <c r="A3303">
        <v>550</v>
      </c>
      <c r="B3303" s="3">
        <f t="shared" ca="1" si="51"/>
        <v>1</v>
      </c>
      <c r="C33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3" t="str">
        <f ca="1">IF(dict_zuord_Meth_Transfers[[#This Row],[kval_active]],dict_zuord_Meth_Transfers[[#This Row],[ID_Transfers]],"")</f>
        <v/>
      </c>
    </row>
    <row r="3304" spans="1:4" x14ac:dyDescent="0.45">
      <c r="A3304">
        <v>550</v>
      </c>
      <c r="B3304" s="3">
        <f t="shared" ca="1" si="51"/>
        <v>5</v>
      </c>
      <c r="C33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4" t="str">
        <f ca="1">IF(dict_zuord_Meth_Transfers[[#This Row],[kval_active]],dict_zuord_Meth_Transfers[[#This Row],[ID_Transfers]],"")</f>
        <v/>
      </c>
    </row>
    <row r="3305" spans="1:4" x14ac:dyDescent="0.45">
      <c r="A3305">
        <v>550</v>
      </c>
      <c r="B3305" s="3">
        <f t="shared" ca="1" si="51"/>
        <v>49</v>
      </c>
      <c r="C33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5" t="str">
        <f ca="1">IF(dict_zuord_Meth_Transfers[[#This Row],[kval_active]],dict_zuord_Meth_Transfers[[#This Row],[ID_Transfers]],"")</f>
        <v/>
      </c>
    </row>
    <row r="3306" spans="1:4" x14ac:dyDescent="0.45">
      <c r="A3306">
        <v>550</v>
      </c>
      <c r="B3306">
        <f t="shared" ca="1" si="51"/>
        <v>65</v>
      </c>
      <c r="C33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6" t="str">
        <f ca="1">IF(dict_zuord_Meth_Transfers[[#This Row],[kval_active]],dict_zuord_Meth_Transfers[[#This Row],[ID_Transfers]],"")</f>
        <v/>
      </c>
    </row>
    <row r="3307" spans="1:4" x14ac:dyDescent="0.45">
      <c r="A3307">
        <v>550</v>
      </c>
      <c r="B3307">
        <f t="shared" ca="1" si="51"/>
        <v>161</v>
      </c>
      <c r="C33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7" t="str">
        <f ca="1">IF(dict_zuord_Meth_Transfers[[#This Row],[kval_active]],dict_zuord_Meth_Transfers[[#This Row],[ID_Transfers]],"")</f>
        <v/>
      </c>
    </row>
    <row r="3308" spans="1:4" x14ac:dyDescent="0.45">
      <c r="A3308">
        <v>551</v>
      </c>
      <c r="B3308" s="3">
        <f t="shared" ca="1" si="51"/>
        <v>75</v>
      </c>
      <c r="C33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8" t="str">
        <f ca="1">IF(dict_zuord_Meth_Transfers[[#This Row],[kval_active]],dict_zuord_Meth_Transfers[[#This Row],[ID_Transfers]],"")</f>
        <v/>
      </c>
    </row>
    <row r="3309" spans="1:4" x14ac:dyDescent="0.45">
      <c r="A3309">
        <v>551</v>
      </c>
      <c r="B3309" s="3">
        <f t="shared" ca="1" si="51"/>
        <v>147</v>
      </c>
      <c r="C33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09" t="str">
        <f ca="1">IF(dict_zuord_Meth_Transfers[[#This Row],[kval_active]],dict_zuord_Meth_Transfers[[#This Row],[ID_Transfers]],"")</f>
        <v/>
      </c>
    </row>
    <row r="3310" spans="1:4" x14ac:dyDescent="0.45">
      <c r="A3310">
        <v>551</v>
      </c>
      <c r="B3310">
        <f t="shared" ca="1" si="51"/>
        <v>171</v>
      </c>
      <c r="C33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0" t="str">
        <f ca="1">IF(dict_zuord_Meth_Transfers[[#This Row],[kval_active]],dict_zuord_Meth_Transfers[[#This Row],[ID_Transfers]],"")</f>
        <v/>
      </c>
    </row>
    <row r="3311" spans="1:4" x14ac:dyDescent="0.45">
      <c r="A3311">
        <v>551</v>
      </c>
      <c r="B3311" s="3">
        <f t="shared" ca="1" si="51"/>
        <v>195</v>
      </c>
      <c r="C33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1" t="str">
        <f ca="1">IF(dict_zuord_Meth_Transfers[[#This Row],[kval_active]],dict_zuord_Meth_Transfers[[#This Row],[ID_Transfers]],"")</f>
        <v/>
      </c>
    </row>
    <row r="3312" spans="1:4" x14ac:dyDescent="0.45">
      <c r="A3312">
        <v>551</v>
      </c>
      <c r="B3312">
        <f t="shared" ca="1" si="51"/>
        <v>20</v>
      </c>
      <c r="C33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2" t="str">
        <f ca="1">IF(dict_zuord_Meth_Transfers[[#This Row],[kval_active]],dict_zuord_Meth_Transfers[[#This Row],[ID_Transfers]],"")</f>
        <v/>
      </c>
    </row>
    <row r="3313" spans="1:4" x14ac:dyDescent="0.45">
      <c r="A3313">
        <v>551</v>
      </c>
      <c r="B3313">
        <f t="shared" ca="1" si="51"/>
        <v>84</v>
      </c>
      <c r="C33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3" t="str">
        <f ca="1">IF(dict_zuord_Meth_Transfers[[#This Row],[kval_active]],dict_zuord_Meth_Transfers[[#This Row],[ID_Transfers]],"")</f>
        <v/>
      </c>
    </row>
    <row r="3314" spans="1:4" x14ac:dyDescent="0.45">
      <c r="A3314">
        <v>552</v>
      </c>
      <c r="B3314">
        <f t="shared" ca="1" si="51"/>
        <v>79</v>
      </c>
      <c r="C33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4" t="str">
        <f ca="1">IF(dict_zuord_Meth_Transfers[[#This Row],[kval_active]],dict_zuord_Meth_Transfers[[#This Row],[ID_Transfers]],"")</f>
        <v/>
      </c>
    </row>
    <row r="3315" spans="1:4" x14ac:dyDescent="0.45">
      <c r="A3315">
        <v>552</v>
      </c>
      <c r="B3315" s="3">
        <f t="shared" ca="1" si="51"/>
        <v>98</v>
      </c>
      <c r="C33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5" t="str">
        <f ca="1">IF(dict_zuord_Meth_Transfers[[#This Row],[kval_active]],dict_zuord_Meth_Transfers[[#This Row],[ID_Transfers]],"")</f>
        <v/>
      </c>
    </row>
    <row r="3316" spans="1:4" x14ac:dyDescent="0.45">
      <c r="A3316">
        <v>552</v>
      </c>
      <c r="B3316">
        <f t="shared" ca="1" si="51"/>
        <v>190</v>
      </c>
      <c r="C33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6" t="str">
        <f ca="1">IF(dict_zuord_Meth_Transfers[[#This Row],[kval_active]],dict_zuord_Meth_Transfers[[#This Row],[ID_Transfers]],"")</f>
        <v/>
      </c>
    </row>
    <row r="3317" spans="1:4" x14ac:dyDescent="0.45">
      <c r="A3317">
        <v>552</v>
      </c>
      <c r="B3317" s="3">
        <f t="shared" ca="1" si="51"/>
        <v>77</v>
      </c>
      <c r="C33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7" t="str">
        <f ca="1">IF(dict_zuord_Meth_Transfers[[#This Row],[kval_active]],dict_zuord_Meth_Transfers[[#This Row],[ID_Transfers]],"")</f>
        <v/>
      </c>
    </row>
    <row r="3318" spans="1:4" x14ac:dyDescent="0.45">
      <c r="A3318">
        <v>552</v>
      </c>
      <c r="B3318" s="3">
        <f t="shared" ca="1" si="51"/>
        <v>144</v>
      </c>
      <c r="C33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8" t="str">
        <f ca="1">IF(dict_zuord_Meth_Transfers[[#This Row],[kval_active]],dict_zuord_Meth_Transfers[[#This Row],[ID_Transfers]],"")</f>
        <v/>
      </c>
    </row>
    <row r="3319" spans="1:4" x14ac:dyDescent="0.45">
      <c r="A3319">
        <v>552</v>
      </c>
      <c r="B3319">
        <f t="shared" ca="1" si="51"/>
        <v>64</v>
      </c>
      <c r="C33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19" t="str">
        <f ca="1">IF(dict_zuord_Meth_Transfers[[#This Row],[kval_active]],dict_zuord_Meth_Transfers[[#This Row],[ID_Transfers]],"")</f>
        <v/>
      </c>
    </row>
    <row r="3320" spans="1:4" x14ac:dyDescent="0.45">
      <c r="A3320">
        <v>553</v>
      </c>
      <c r="B3320">
        <f t="shared" ca="1" si="51"/>
        <v>148</v>
      </c>
      <c r="C33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0" t="str">
        <f ca="1">IF(dict_zuord_Meth_Transfers[[#This Row],[kval_active]],dict_zuord_Meth_Transfers[[#This Row],[ID_Transfers]],"")</f>
        <v/>
      </c>
    </row>
    <row r="3321" spans="1:4" x14ac:dyDescent="0.45">
      <c r="A3321">
        <v>553</v>
      </c>
      <c r="B3321" s="3">
        <f t="shared" ca="1" si="51"/>
        <v>12</v>
      </c>
      <c r="C33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1" t="str">
        <f ca="1">IF(dict_zuord_Meth_Transfers[[#This Row],[kval_active]],dict_zuord_Meth_Transfers[[#This Row],[ID_Transfers]],"")</f>
        <v/>
      </c>
    </row>
    <row r="3322" spans="1:4" x14ac:dyDescent="0.45">
      <c r="A3322">
        <v>553</v>
      </c>
      <c r="B3322" s="3">
        <f t="shared" ca="1" si="51"/>
        <v>87</v>
      </c>
      <c r="C33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2" t="str">
        <f ca="1">IF(dict_zuord_Meth_Transfers[[#This Row],[kval_active]],dict_zuord_Meth_Transfers[[#This Row],[ID_Transfers]],"")</f>
        <v/>
      </c>
    </row>
    <row r="3323" spans="1:4" x14ac:dyDescent="0.45">
      <c r="A3323">
        <v>553</v>
      </c>
      <c r="B3323">
        <f t="shared" ca="1" si="51"/>
        <v>126</v>
      </c>
      <c r="C33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3" t="str">
        <f ca="1">IF(dict_zuord_Meth_Transfers[[#This Row],[kval_active]],dict_zuord_Meth_Transfers[[#This Row],[ID_Transfers]],"")</f>
        <v/>
      </c>
    </row>
    <row r="3324" spans="1:4" x14ac:dyDescent="0.45">
      <c r="A3324">
        <v>553</v>
      </c>
      <c r="B3324">
        <f t="shared" ca="1" si="51"/>
        <v>16</v>
      </c>
      <c r="C33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4" t="str">
        <f ca="1">IF(dict_zuord_Meth_Transfers[[#This Row],[kval_active]],dict_zuord_Meth_Transfers[[#This Row],[ID_Transfers]],"")</f>
        <v/>
      </c>
    </row>
    <row r="3325" spans="1:4" x14ac:dyDescent="0.45">
      <c r="A3325">
        <v>553</v>
      </c>
      <c r="B3325" s="3">
        <f t="shared" ca="1" si="51"/>
        <v>167</v>
      </c>
      <c r="C33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5" t="str">
        <f ca="1">IF(dict_zuord_Meth_Transfers[[#This Row],[kval_active]],dict_zuord_Meth_Transfers[[#This Row],[ID_Transfers]],"")</f>
        <v/>
      </c>
    </row>
    <row r="3326" spans="1:4" x14ac:dyDescent="0.45">
      <c r="A3326">
        <v>554</v>
      </c>
      <c r="B3326">
        <f t="shared" ca="1" si="51"/>
        <v>117</v>
      </c>
      <c r="C33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6" t="str">
        <f ca="1">IF(dict_zuord_Meth_Transfers[[#This Row],[kval_active]],dict_zuord_Meth_Transfers[[#This Row],[ID_Transfers]],"")</f>
        <v/>
      </c>
    </row>
    <row r="3327" spans="1:4" x14ac:dyDescent="0.45">
      <c r="A3327">
        <v>554</v>
      </c>
      <c r="B3327" s="3">
        <f t="shared" ca="1" si="51"/>
        <v>114</v>
      </c>
      <c r="C33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7" t="str">
        <f ca="1">IF(dict_zuord_Meth_Transfers[[#This Row],[kval_active]],dict_zuord_Meth_Transfers[[#This Row],[ID_Transfers]],"")</f>
        <v/>
      </c>
    </row>
    <row r="3328" spans="1:4" x14ac:dyDescent="0.45">
      <c r="A3328">
        <v>554</v>
      </c>
      <c r="B3328" s="3">
        <f t="shared" ca="1" si="51"/>
        <v>23</v>
      </c>
      <c r="C33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8" t="str">
        <f ca="1">IF(dict_zuord_Meth_Transfers[[#This Row],[kval_active]],dict_zuord_Meth_Transfers[[#This Row],[ID_Transfers]],"")</f>
        <v/>
      </c>
    </row>
    <row r="3329" spans="1:4" x14ac:dyDescent="0.45">
      <c r="A3329">
        <v>554</v>
      </c>
      <c r="B3329">
        <f t="shared" ca="1" si="51"/>
        <v>144</v>
      </c>
      <c r="C33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29" t="str">
        <f ca="1">IF(dict_zuord_Meth_Transfers[[#This Row],[kval_active]],dict_zuord_Meth_Transfers[[#This Row],[ID_Transfers]],"")</f>
        <v/>
      </c>
    </row>
    <row r="3330" spans="1:4" x14ac:dyDescent="0.45">
      <c r="A3330">
        <v>554</v>
      </c>
      <c r="B3330">
        <f t="shared" ref="B3330:B3393" ca="1" si="52">RANDBETWEEN(0,200)</f>
        <v>31</v>
      </c>
      <c r="C33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0" t="str">
        <f ca="1">IF(dict_zuord_Meth_Transfers[[#This Row],[kval_active]],dict_zuord_Meth_Transfers[[#This Row],[ID_Transfers]],"")</f>
        <v/>
      </c>
    </row>
    <row r="3331" spans="1:4" x14ac:dyDescent="0.45">
      <c r="A3331">
        <v>554</v>
      </c>
      <c r="B3331" s="3">
        <f t="shared" ca="1" si="52"/>
        <v>52</v>
      </c>
      <c r="C33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1" t="str">
        <f ca="1">IF(dict_zuord_Meth_Transfers[[#This Row],[kval_active]],dict_zuord_Meth_Transfers[[#This Row],[ID_Transfers]],"")</f>
        <v/>
      </c>
    </row>
    <row r="3332" spans="1:4" x14ac:dyDescent="0.45">
      <c r="A3332">
        <v>555</v>
      </c>
      <c r="B3332">
        <f t="shared" ca="1" si="52"/>
        <v>159</v>
      </c>
      <c r="C33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2">
        <f ca="1">IF(dict_zuord_Meth_Transfers[[#This Row],[kval_active]],dict_zuord_Meth_Transfers[[#This Row],[ID_Transfers]],"")</f>
        <v>159</v>
      </c>
    </row>
    <row r="3333" spans="1:4" x14ac:dyDescent="0.45">
      <c r="A3333">
        <v>555</v>
      </c>
      <c r="B3333" s="3">
        <f t="shared" ca="1" si="52"/>
        <v>4</v>
      </c>
      <c r="C33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3">
        <f ca="1">IF(dict_zuord_Meth_Transfers[[#This Row],[kval_active]],dict_zuord_Meth_Transfers[[#This Row],[ID_Transfers]],"")</f>
        <v>4</v>
      </c>
    </row>
    <row r="3334" spans="1:4" x14ac:dyDescent="0.45">
      <c r="A3334">
        <v>555</v>
      </c>
      <c r="B3334">
        <f t="shared" ca="1" si="52"/>
        <v>111</v>
      </c>
      <c r="C33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4">
        <f ca="1">IF(dict_zuord_Meth_Transfers[[#This Row],[kval_active]],dict_zuord_Meth_Transfers[[#This Row],[ID_Transfers]],"")</f>
        <v>111</v>
      </c>
    </row>
    <row r="3335" spans="1:4" x14ac:dyDescent="0.45">
      <c r="A3335">
        <v>555</v>
      </c>
      <c r="B3335" s="3">
        <f t="shared" ca="1" si="52"/>
        <v>180</v>
      </c>
      <c r="C33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5">
        <f ca="1">IF(dict_zuord_Meth_Transfers[[#This Row],[kval_active]],dict_zuord_Meth_Transfers[[#This Row],[ID_Transfers]],"")</f>
        <v>180</v>
      </c>
    </row>
    <row r="3336" spans="1:4" x14ac:dyDescent="0.45">
      <c r="A3336">
        <v>555</v>
      </c>
      <c r="B3336" s="3">
        <f t="shared" ca="1" si="52"/>
        <v>117</v>
      </c>
      <c r="C33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6">
        <f ca="1">IF(dict_zuord_Meth_Transfers[[#This Row],[kval_active]],dict_zuord_Meth_Transfers[[#This Row],[ID_Transfers]],"")</f>
        <v>117</v>
      </c>
    </row>
    <row r="3337" spans="1:4" x14ac:dyDescent="0.45">
      <c r="A3337">
        <v>555</v>
      </c>
      <c r="B3337">
        <f t="shared" ca="1" si="52"/>
        <v>24</v>
      </c>
      <c r="C33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37">
        <f ca="1">IF(dict_zuord_Meth_Transfers[[#This Row],[kval_active]],dict_zuord_Meth_Transfers[[#This Row],[ID_Transfers]],"")</f>
        <v>24</v>
      </c>
    </row>
    <row r="3338" spans="1:4" x14ac:dyDescent="0.45">
      <c r="A3338">
        <v>556</v>
      </c>
      <c r="B3338" s="3">
        <f t="shared" ca="1" si="52"/>
        <v>16</v>
      </c>
      <c r="C33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8" t="str">
        <f ca="1">IF(dict_zuord_Meth_Transfers[[#This Row],[kval_active]],dict_zuord_Meth_Transfers[[#This Row],[ID_Transfers]],"")</f>
        <v/>
      </c>
    </row>
    <row r="3339" spans="1:4" x14ac:dyDescent="0.45">
      <c r="A3339">
        <v>556</v>
      </c>
      <c r="B3339">
        <f t="shared" ca="1" si="52"/>
        <v>98</v>
      </c>
      <c r="C33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39" t="str">
        <f ca="1">IF(dict_zuord_Meth_Transfers[[#This Row],[kval_active]],dict_zuord_Meth_Transfers[[#This Row],[ID_Transfers]],"")</f>
        <v/>
      </c>
    </row>
    <row r="3340" spans="1:4" x14ac:dyDescent="0.45">
      <c r="A3340">
        <v>556</v>
      </c>
      <c r="B3340">
        <f t="shared" ca="1" si="52"/>
        <v>176</v>
      </c>
      <c r="C33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0" t="str">
        <f ca="1">IF(dict_zuord_Meth_Transfers[[#This Row],[kval_active]],dict_zuord_Meth_Transfers[[#This Row],[ID_Transfers]],"")</f>
        <v/>
      </c>
    </row>
    <row r="3341" spans="1:4" x14ac:dyDescent="0.45">
      <c r="A3341">
        <v>556</v>
      </c>
      <c r="B3341">
        <f t="shared" ca="1" si="52"/>
        <v>97</v>
      </c>
      <c r="C33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1" t="str">
        <f ca="1">IF(dict_zuord_Meth_Transfers[[#This Row],[kval_active]],dict_zuord_Meth_Transfers[[#This Row],[ID_Transfers]],"")</f>
        <v/>
      </c>
    </row>
    <row r="3342" spans="1:4" x14ac:dyDescent="0.45">
      <c r="A3342">
        <v>556</v>
      </c>
      <c r="B3342" s="3">
        <f t="shared" ca="1" si="52"/>
        <v>166</v>
      </c>
      <c r="C33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2" t="str">
        <f ca="1">IF(dict_zuord_Meth_Transfers[[#This Row],[kval_active]],dict_zuord_Meth_Transfers[[#This Row],[ID_Transfers]],"")</f>
        <v/>
      </c>
    </row>
    <row r="3343" spans="1:4" x14ac:dyDescent="0.45">
      <c r="A3343">
        <v>556</v>
      </c>
      <c r="B3343" s="3">
        <f t="shared" ca="1" si="52"/>
        <v>127</v>
      </c>
      <c r="C33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3" t="str">
        <f ca="1">IF(dict_zuord_Meth_Transfers[[#This Row],[kval_active]],dict_zuord_Meth_Transfers[[#This Row],[ID_Transfers]],"")</f>
        <v/>
      </c>
    </row>
    <row r="3344" spans="1:4" x14ac:dyDescent="0.45">
      <c r="A3344">
        <v>557</v>
      </c>
      <c r="B3344" s="3">
        <f t="shared" ca="1" si="52"/>
        <v>91</v>
      </c>
      <c r="C33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4" t="str">
        <f ca="1">IF(dict_zuord_Meth_Transfers[[#This Row],[kval_active]],dict_zuord_Meth_Transfers[[#This Row],[ID_Transfers]],"")</f>
        <v/>
      </c>
    </row>
    <row r="3345" spans="1:4" x14ac:dyDescent="0.45">
      <c r="A3345">
        <v>557</v>
      </c>
      <c r="B3345" s="3">
        <f t="shared" ca="1" si="52"/>
        <v>178</v>
      </c>
      <c r="C33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5" t="str">
        <f ca="1">IF(dict_zuord_Meth_Transfers[[#This Row],[kval_active]],dict_zuord_Meth_Transfers[[#This Row],[ID_Transfers]],"")</f>
        <v/>
      </c>
    </row>
    <row r="3346" spans="1:4" x14ac:dyDescent="0.45">
      <c r="A3346">
        <v>557</v>
      </c>
      <c r="B3346" s="3">
        <f t="shared" ca="1" si="52"/>
        <v>51</v>
      </c>
      <c r="C33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6" t="str">
        <f ca="1">IF(dict_zuord_Meth_Transfers[[#This Row],[kval_active]],dict_zuord_Meth_Transfers[[#This Row],[ID_Transfers]],"")</f>
        <v/>
      </c>
    </row>
    <row r="3347" spans="1:4" x14ac:dyDescent="0.45">
      <c r="A3347">
        <v>557</v>
      </c>
      <c r="B3347">
        <f t="shared" ca="1" si="52"/>
        <v>90</v>
      </c>
      <c r="C33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7" t="str">
        <f ca="1">IF(dict_zuord_Meth_Transfers[[#This Row],[kval_active]],dict_zuord_Meth_Transfers[[#This Row],[ID_Transfers]],"")</f>
        <v/>
      </c>
    </row>
    <row r="3348" spans="1:4" x14ac:dyDescent="0.45">
      <c r="A3348">
        <v>557</v>
      </c>
      <c r="B3348">
        <f t="shared" ca="1" si="52"/>
        <v>160</v>
      </c>
      <c r="C33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8" t="str">
        <f ca="1">IF(dict_zuord_Meth_Transfers[[#This Row],[kval_active]],dict_zuord_Meth_Transfers[[#This Row],[ID_Transfers]],"")</f>
        <v/>
      </c>
    </row>
    <row r="3349" spans="1:4" x14ac:dyDescent="0.45">
      <c r="A3349">
        <v>557</v>
      </c>
      <c r="B3349">
        <f t="shared" ca="1" si="52"/>
        <v>26</v>
      </c>
      <c r="C33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49" t="str">
        <f ca="1">IF(dict_zuord_Meth_Transfers[[#This Row],[kval_active]],dict_zuord_Meth_Transfers[[#This Row],[ID_Transfers]],"")</f>
        <v/>
      </c>
    </row>
    <row r="3350" spans="1:4" x14ac:dyDescent="0.45">
      <c r="A3350">
        <v>558</v>
      </c>
      <c r="B3350" s="3">
        <f t="shared" ca="1" si="52"/>
        <v>119</v>
      </c>
      <c r="C33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0" t="str">
        <f ca="1">IF(dict_zuord_Meth_Transfers[[#This Row],[kval_active]],dict_zuord_Meth_Transfers[[#This Row],[ID_Transfers]],"")</f>
        <v/>
      </c>
    </row>
    <row r="3351" spans="1:4" x14ac:dyDescent="0.45">
      <c r="A3351">
        <v>558</v>
      </c>
      <c r="B3351" s="3">
        <f t="shared" ca="1" si="52"/>
        <v>194</v>
      </c>
      <c r="C33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1" t="str">
        <f ca="1">IF(dict_zuord_Meth_Transfers[[#This Row],[kval_active]],dict_zuord_Meth_Transfers[[#This Row],[ID_Transfers]],"")</f>
        <v/>
      </c>
    </row>
    <row r="3352" spans="1:4" x14ac:dyDescent="0.45">
      <c r="A3352">
        <v>558</v>
      </c>
      <c r="B3352">
        <f t="shared" ca="1" si="52"/>
        <v>172</v>
      </c>
      <c r="C33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2" t="str">
        <f ca="1">IF(dict_zuord_Meth_Transfers[[#This Row],[kval_active]],dict_zuord_Meth_Transfers[[#This Row],[ID_Transfers]],"")</f>
        <v/>
      </c>
    </row>
    <row r="3353" spans="1:4" x14ac:dyDescent="0.45">
      <c r="A3353">
        <v>558</v>
      </c>
      <c r="B3353">
        <f t="shared" ca="1" si="52"/>
        <v>47</v>
      </c>
      <c r="C33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3" t="str">
        <f ca="1">IF(dict_zuord_Meth_Transfers[[#This Row],[kval_active]],dict_zuord_Meth_Transfers[[#This Row],[ID_Transfers]],"")</f>
        <v/>
      </c>
    </row>
    <row r="3354" spans="1:4" x14ac:dyDescent="0.45">
      <c r="A3354">
        <v>558</v>
      </c>
      <c r="B3354" s="3">
        <f t="shared" ca="1" si="52"/>
        <v>135</v>
      </c>
      <c r="C33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4" t="str">
        <f ca="1">IF(dict_zuord_Meth_Transfers[[#This Row],[kval_active]],dict_zuord_Meth_Transfers[[#This Row],[ID_Transfers]],"")</f>
        <v/>
      </c>
    </row>
    <row r="3355" spans="1:4" x14ac:dyDescent="0.45">
      <c r="A3355">
        <v>558</v>
      </c>
      <c r="B3355">
        <f t="shared" ca="1" si="52"/>
        <v>32</v>
      </c>
      <c r="C33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5" t="str">
        <f ca="1">IF(dict_zuord_Meth_Transfers[[#This Row],[kval_active]],dict_zuord_Meth_Transfers[[#This Row],[ID_Transfers]],"")</f>
        <v/>
      </c>
    </row>
    <row r="3356" spans="1:4" x14ac:dyDescent="0.45">
      <c r="A3356">
        <v>559</v>
      </c>
      <c r="B3356" s="3">
        <f t="shared" ca="1" si="52"/>
        <v>107</v>
      </c>
      <c r="C33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6" t="str">
        <f ca="1">IF(dict_zuord_Meth_Transfers[[#This Row],[kval_active]],dict_zuord_Meth_Transfers[[#This Row],[ID_Transfers]],"")</f>
        <v/>
      </c>
    </row>
    <row r="3357" spans="1:4" x14ac:dyDescent="0.45">
      <c r="A3357">
        <v>559</v>
      </c>
      <c r="B3357">
        <f t="shared" ca="1" si="52"/>
        <v>17</v>
      </c>
      <c r="C33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7" t="str">
        <f ca="1">IF(dict_zuord_Meth_Transfers[[#This Row],[kval_active]],dict_zuord_Meth_Transfers[[#This Row],[ID_Transfers]],"")</f>
        <v/>
      </c>
    </row>
    <row r="3358" spans="1:4" x14ac:dyDescent="0.45">
      <c r="A3358">
        <v>559</v>
      </c>
      <c r="B3358" s="3">
        <f t="shared" ca="1" si="52"/>
        <v>154</v>
      </c>
      <c r="C33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8" t="str">
        <f ca="1">IF(dict_zuord_Meth_Transfers[[#This Row],[kval_active]],dict_zuord_Meth_Transfers[[#This Row],[ID_Transfers]],"")</f>
        <v/>
      </c>
    </row>
    <row r="3359" spans="1:4" x14ac:dyDescent="0.45">
      <c r="A3359">
        <v>559</v>
      </c>
      <c r="B3359">
        <f t="shared" ca="1" si="52"/>
        <v>85</v>
      </c>
      <c r="C33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59" t="str">
        <f ca="1">IF(dict_zuord_Meth_Transfers[[#This Row],[kval_active]],dict_zuord_Meth_Transfers[[#This Row],[ID_Transfers]],"")</f>
        <v/>
      </c>
    </row>
    <row r="3360" spans="1:4" x14ac:dyDescent="0.45">
      <c r="A3360">
        <v>559</v>
      </c>
      <c r="B3360" s="3">
        <f t="shared" ca="1" si="52"/>
        <v>126</v>
      </c>
      <c r="C33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0" t="str">
        <f ca="1">IF(dict_zuord_Meth_Transfers[[#This Row],[kval_active]],dict_zuord_Meth_Transfers[[#This Row],[ID_Transfers]],"")</f>
        <v/>
      </c>
    </row>
    <row r="3361" spans="1:4" x14ac:dyDescent="0.45">
      <c r="A3361">
        <v>559</v>
      </c>
      <c r="B3361">
        <f t="shared" ca="1" si="52"/>
        <v>111</v>
      </c>
      <c r="C33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1" t="str">
        <f ca="1">IF(dict_zuord_Meth_Transfers[[#This Row],[kval_active]],dict_zuord_Meth_Transfers[[#This Row],[ID_Transfers]],"")</f>
        <v/>
      </c>
    </row>
    <row r="3362" spans="1:4" x14ac:dyDescent="0.45">
      <c r="A3362">
        <v>560</v>
      </c>
      <c r="B3362" s="3">
        <f t="shared" ca="1" si="52"/>
        <v>14</v>
      </c>
      <c r="C33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2" t="str">
        <f ca="1">IF(dict_zuord_Meth_Transfers[[#This Row],[kval_active]],dict_zuord_Meth_Transfers[[#This Row],[ID_Transfers]],"")</f>
        <v/>
      </c>
    </row>
    <row r="3363" spans="1:4" x14ac:dyDescent="0.45">
      <c r="A3363">
        <v>560</v>
      </c>
      <c r="B3363">
        <f t="shared" ca="1" si="52"/>
        <v>150</v>
      </c>
      <c r="C33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3" t="str">
        <f ca="1">IF(dict_zuord_Meth_Transfers[[#This Row],[kval_active]],dict_zuord_Meth_Transfers[[#This Row],[ID_Transfers]],"")</f>
        <v/>
      </c>
    </row>
    <row r="3364" spans="1:4" x14ac:dyDescent="0.45">
      <c r="A3364">
        <v>560</v>
      </c>
      <c r="B3364" s="3">
        <f t="shared" ca="1" si="52"/>
        <v>99</v>
      </c>
      <c r="C33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4" t="str">
        <f ca="1">IF(dict_zuord_Meth_Transfers[[#This Row],[kval_active]],dict_zuord_Meth_Transfers[[#This Row],[ID_Transfers]],"")</f>
        <v/>
      </c>
    </row>
    <row r="3365" spans="1:4" x14ac:dyDescent="0.45">
      <c r="A3365">
        <v>560</v>
      </c>
      <c r="B3365">
        <f t="shared" ca="1" si="52"/>
        <v>114</v>
      </c>
      <c r="C33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5" t="str">
        <f ca="1">IF(dict_zuord_Meth_Transfers[[#This Row],[kval_active]],dict_zuord_Meth_Transfers[[#This Row],[ID_Transfers]],"")</f>
        <v/>
      </c>
    </row>
    <row r="3366" spans="1:4" x14ac:dyDescent="0.45">
      <c r="A3366">
        <v>560</v>
      </c>
      <c r="B3366">
        <f t="shared" ca="1" si="52"/>
        <v>196</v>
      </c>
      <c r="C33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6" t="str">
        <f ca="1">IF(dict_zuord_Meth_Transfers[[#This Row],[kval_active]],dict_zuord_Meth_Transfers[[#This Row],[ID_Transfers]],"")</f>
        <v/>
      </c>
    </row>
    <row r="3367" spans="1:4" x14ac:dyDescent="0.45">
      <c r="A3367">
        <v>560</v>
      </c>
      <c r="B3367" s="3">
        <f t="shared" ca="1" si="52"/>
        <v>22</v>
      </c>
      <c r="C33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7" t="str">
        <f ca="1">IF(dict_zuord_Meth_Transfers[[#This Row],[kval_active]],dict_zuord_Meth_Transfers[[#This Row],[ID_Transfers]],"")</f>
        <v/>
      </c>
    </row>
    <row r="3368" spans="1:4" x14ac:dyDescent="0.45">
      <c r="A3368">
        <v>561</v>
      </c>
      <c r="B3368">
        <f t="shared" ca="1" si="52"/>
        <v>121</v>
      </c>
      <c r="C33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8" t="str">
        <f ca="1">IF(dict_zuord_Meth_Transfers[[#This Row],[kval_active]],dict_zuord_Meth_Transfers[[#This Row],[ID_Transfers]],"")</f>
        <v/>
      </c>
    </row>
    <row r="3369" spans="1:4" x14ac:dyDescent="0.45">
      <c r="A3369">
        <v>561</v>
      </c>
      <c r="B3369">
        <f t="shared" ca="1" si="52"/>
        <v>53</v>
      </c>
      <c r="C33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69" t="str">
        <f ca="1">IF(dict_zuord_Meth_Transfers[[#This Row],[kval_active]],dict_zuord_Meth_Transfers[[#This Row],[ID_Transfers]],"")</f>
        <v/>
      </c>
    </row>
    <row r="3370" spans="1:4" x14ac:dyDescent="0.45">
      <c r="A3370">
        <v>561</v>
      </c>
      <c r="B3370" s="3">
        <f t="shared" ca="1" si="52"/>
        <v>11</v>
      </c>
      <c r="C33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0" t="str">
        <f ca="1">IF(dict_zuord_Meth_Transfers[[#This Row],[kval_active]],dict_zuord_Meth_Transfers[[#This Row],[ID_Transfers]],"")</f>
        <v/>
      </c>
    </row>
    <row r="3371" spans="1:4" x14ac:dyDescent="0.45">
      <c r="A3371">
        <v>561</v>
      </c>
      <c r="B3371">
        <f t="shared" ca="1" si="52"/>
        <v>67</v>
      </c>
      <c r="C33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1" t="str">
        <f ca="1">IF(dict_zuord_Meth_Transfers[[#This Row],[kval_active]],dict_zuord_Meth_Transfers[[#This Row],[ID_Transfers]],"")</f>
        <v/>
      </c>
    </row>
    <row r="3372" spans="1:4" x14ac:dyDescent="0.45">
      <c r="A3372">
        <v>561</v>
      </c>
      <c r="B3372" s="3">
        <f t="shared" ca="1" si="52"/>
        <v>180</v>
      </c>
      <c r="C33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2" t="str">
        <f ca="1">IF(dict_zuord_Meth_Transfers[[#This Row],[kval_active]],dict_zuord_Meth_Transfers[[#This Row],[ID_Transfers]],"")</f>
        <v/>
      </c>
    </row>
    <row r="3373" spans="1:4" x14ac:dyDescent="0.45">
      <c r="A3373">
        <v>561</v>
      </c>
      <c r="B3373" s="3">
        <f t="shared" ca="1" si="52"/>
        <v>90</v>
      </c>
      <c r="C33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3" t="str">
        <f ca="1">IF(dict_zuord_Meth_Transfers[[#This Row],[kval_active]],dict_zuord_Meth_Transfers[[#This Row],[ID_Transfers]],"")</f>
        <v/>
      </c>
    </row>
    <row r="3374" spans="1:4" x14ac:dyDescent="0.45">
      <c r="A3374">
        <v>562</v>
      </c>
      <c r="B3374" s="3">
        <f t="shared" ca="1" si="52"/>
        <v>98</v>
      </c>
      <c r="C33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4" t="str">
        <f ca="1">IF(dict_zuord_Meth_Transfers[[#This Row],[kval_active]],dict_zuord_Meth_Transfers[[#This Row],[ID_Transfers]],"")</f>
        <v/>
      </c>
    </row>
    <row r="3375" spans="1:4" x14ac:dyDescent="0.45">
      <c r="A3375">
        <v>562</v>
      </c>
      <c r="B3375" s="3">
        <f t="shared" ca="1" si="52"/>
        <v>159</v>
      </c>
      <c r="C33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5" t="str">
        <f ca="1">IF(dict_zuord_Meth_Transfers[[#This Row],[kval_active]],dict_zuord_Meth_Transfers[[#This Row],[ID_Transfers]],"")</f>
        <v/>
      </c>
    </row>
    <row r="3376" spans="1:4" x14ac:dyDescent="0.45">
      <c r="A3376">
        <v>562</v>
      </c>
      <c r="B3376">
        <f t="shared" ca="1" si="52"/>
        <v>6</v>
      </c>
      <c r="C33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6" t="str">
        <f ca="1">IF(dict_zuord_Meth_Transfers[[#This Row],[kval_active]],dict_zuord_Meth_Transfers[[#This Row],[ID_Transfers]],"")</f>
        <v/>
      </c>
    </row>
    <row r="3377" spans="1:4" x14ac:dyDescent="0.45">
      <c r="A3377">
        <v>562</v>
      </c>
      <c r="B3377" s="3">
        <f t="shared" ca="1" si="52"/>
        <v>174</v>
      </c>
      <c r="C33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7" t="str">
        <f ca="1">IF(dict_zuord_Meth_Transfers[[#This Row],[kval_active]],dict_zuord_Meth_Transfers[[#This Row],[ID_Transfers]],"")</f>
        <v/>
      </c>
    </row>
    <row r="3378" spans="1:4" x14ac:dyDescent="0.45">
      <c r="A3378">
        <v>562</v>
      </c>
      <c r="B3378">
        <f t="shared" ca="1" si="52"/>
        <v>134</v>
      </c>
      <c r="C33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8" t="str">
        <f ca="1">IF(dict_zuord_Meth_Transfers[[#This Row],[kval_active]],dict_zuord_Meth_Transfers[[#This Row],[ID_Transfers]],"")</f>
        <v/>
      </c>
    </row>
    <row r="3379" spans="1:4" x14ac:dyDescent="0.45">
      <c r="A3379">
        <v>562</v>
      </c>
      <c r="B3379">
        <f t="shared" ca="1" si="52"/>
        <v>170</v>
      </c>
      <c r="C33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79" t="str">
        <f ca="1">IF(dict_zuord_Meth_Transfers[[#This Row],[kval_active]],dict_zuord_Meth_Transfers[[#This Row],[ID_Transfers]],"")</f>
        <v/>
      </c>
    </row>
    <row r="3380" spans="1:4" x14ac:dyDescent="0.45">
      <c r="A3380">
        <v>563</v>
      </c>
      <c r="B3380" s="3">
        <f t="shared" ca="1" si="52"/>
        <v>39</v>
      </c>
      <c r="C33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0" t="str">
        <f ca="1">IF(dict_zuord_Meth_Transfers[[#This Row],[kval_active]],dict_zuord_Meth_Transfers[[#This Row],[ID_Transfers]],"")</f>
        <v/>
      </c>
    </row>
    <row r="3381" spans="1:4" x14ac:dyDescent="0.45">
      <c r="A3381">
        <v>563</v>
      </c>
      <c r="B3381">
        <f t="shared" ca="1" si="52"/>
        <v>102</v>
      </c>
      <c r="C33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1" t="str">
        <f ca="1">IF(dict_zuord_Meth_Transfers[[#This Row],[kval_active]],dict_zuord_Meth_Transfers[[#This Row],[ID_Transfers]],"")</f>
        <v/>
      </c>
    </row>
    <row r="3382" spans="1:4" x14ac:dyDescent="0.45">
      <c r="A3382">
        <v>563</v>
      </c>
      <c r="B3382" s="3">
        <f t="shared" ca="1" si="52"/>
        <v>171</v>
      </c>
      <c r="C33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2" t="str">
        <f ca="1">IF(dict_zuord_Meth_Transfers[[#This Row],[kval_active]],dict_zuord_Meth_Transfers[[#This Row],[ID_Transfers]],"")</f>
        <v/>
      </c>
    </row>
    <row r="3383" spans="1:4" x14ac:dyDescent="0.45">
      <c r="A3383">
        <v>563</v>
      </c>
      <c r="B3383">
        <f t="shared" ca="1" si="52"/>
        <v>172</v>
      </c>
      <c r="C33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3" t="str">
        <f ca="1">IF(dict_zuord_Meth_Transfers[[#This Row],[kval_active]],dict_zuord_Meth_Transfers[[#This Row],[ID_Transfers]],"")</f>
        <v/>
      </c>
    </row>
    <row r="3384" spans="1:4" x14ac:dyDescent="0.45">
      <c r="A3384">
        <v>563</v>
      </c>
      <c r="B3384" s="3">
        <f t="shared" ca="1" si="52"/>
        <v>196</v>
      </c>
      <c r="C33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4" t="str">
        <f ca="1">IF(dict_zuord_Meth_Transfers[[#This Row],[kval_active]],dict_zuord_Meth_Transfers[[#This Row],[ID_Transfers]],"")</f>
        <v/>
      </c>
    </row>
    <row r="3385" spans="1:4" x14ac:dyDescent="0.45">
      <c r="A3385">
        <v>563</v>
      </c>
      <c r="B3385">
        <f t="shared" ca="1" si="52"/>
        <v>24</v>
      </c>
      <c r="C33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5" t="str">
        <f ca="1">IF(dict_zuord_Meth_Transfers[[#This Row],[kval_active]],dict_zuord_Meth_Transfers[[#This Row],[ID_Transfers]],"")</f>
        <v/>
      </c>
    </row>
    <row r="3386" spans="1:4" x14ac:dyDescent="0.45">
      <c r="A3386">
        <v>564</v>
      </c>
      <c r="B3386" s="3">
        <f t="shared" ca="1" si="52"/>
        <v>34</v>
      </c>
      <c r="C33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6" t="str">
        <f ca="1">IF(dict_zuord_Meth_Transfers[[#This Row],[kval_active]],dict_zuord_Meth_Transfers[[#This Row],[ID_Transfers]],"")</f>
        <v/>
      </c>
    </row>
    <row r="3387" spans="1:4" x14ac:dyDescent="0.45">
      <c r="A3387">
        <v>564</v>
      </c>
      <c r="B3387">
        <f t="shared" ca="1" si="52"/>
        <v>88</v>
      </c>
      <c r="C33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7" t="str">
        <f ca="1">IF(dict_zuord_Meth_Transfers[[#This Row],[kval_active]],dict_zuord_Meth_Transfers[[#This Row],[ID_Transfers]],"")</f>
        <v/>
      </c>
    </row>
    <row r="3388" spans="1:4" x14ac:dyDescent="0.45">
      <c r="A3388">
        <v>564</v>
      </c>
      <c r="B3388">
        <f t="shared" ca="1" si="52"/>
        <v>36</v>
      </c>
      <c r="C33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8" t="str">
        <f ca="1">IF(dict_zuord_Meth_Transfers[[#This Row],[kval_active]],dict_zuord_Meth_Transfers[[#This Row],[ID_Transfers]],"")</f>
        <v/>
      </c>
    </row>
    <row r="3389" spans="1:4" x14ac:dyDescent="0.45">
      <c r="A3389">
        <v>564</v>
      </c>
      <c r="B3389" s="3">
        <f t="shared" ca="1" si="52"/>
        <v>81</v>
      </c>
      <c r="C33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89" t="str">
        <f ca="1">IF(dict_zuord_Meth_Transfers[[#This Row],[kval_active]],dict_zuord_Meth_Transfers[[#This Row],[ID_Transfers]],"")</f>
        <v/>
      </c>
    </row>
    <row r="3390" spans="1:4" x14ac:dyDescent="0.45">
      <c r="A3390">
        <v>564</v>
      </c>
      <c r="B3390" s="3">
        <f t="shared" ca="1" si="52"/>
        <v>112</v>
      </c>
      <c r="C33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0" t="str">
        <f ca="1">IF(dict_zuord_Meth_Transfers[[#This Row],[kval_active]],dict_zuord_Meth_Transfers[[#This Row],[ID_Transfers]],"")</f>
        <v/>
      </c>
    </row>
    <row r="3391" spans="1:4" x14ac:dyDescent="0.45">
      <c r="A3391">
        <v>564</v>
      </c>
      <c r="B3391">
        <f t="shared" ca="1" si="52"/>
        <v>116</v>
      </c>
      <c r="C33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1" t="str">
        <f ca="1">IF(dict_zuord_Meth_Transfers[[#This Row],[kval_active]],dict_zuord_Meth_Transfers[[#This Row],[ID_Transfers]],"")</f>
        <v/>
      </c>
    </row>
    <row r="3392" spans="1:4" x14ac:dyDescent="0.45">
      <c r="A3392">
        <v>565</v>
      </c>
      <c r="B3392" s="3">
        <f t="shared" ca="1" si="52"/>
        <v>43</v>
      </c>
      <c r="C33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2" t="str">
        <f ca="1">IF(dict_zuord_Meth_Transfers[[#This Row],[kval_active]],dict_zuord_Meth_Transfers[[#This Row],[ID_Transfers]],"")</f>
        <v/>
      </c>
    </row>
    <row r="3393" spans="1:4" x14ac:dyDescent="0.45">
      <c r="A3393">
        <v>565</v>
      </c>
      <c r="B3393">
        <f t="shared" ca="1" si="52"/>
        <v>3</v>
      </c>
      <c r="C33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3" t="str">
        <f ca="1">IF(dict_zuord_Meth_Transfers[[#This Row],[kval_active]],dict_zuord_Meth_Transfers[[#This Row],[ID_Transfers]],"")</f>
        <v/>
      </c>
    </row>
    <row r="3394" spans="1:4" x14ac:dyDescent="0.45">
      <c r="A3394">
        <v>565</v>
      </c>
      <c r="B3394" s="3">
        <f t="shared" ref="B3394:B3457" ca="1" si="53">RANDBETWEEN(0,200)</f>
        <v>0</v>
      </c>
      <c r="C33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4" t="str">
        <f ca="1">IF(dict_zuord_Meth_Transfers[[#This Row],[kval_active]],dict_zuord_Meth_Transfers[[#This Row],[ID_Transfers]],"")</f>
        <v/>
      </c>
    </row>
    <row r="3395" spans="1:4" x14ac:dyDescent="0.45">
      <c r="A3395">
        <v>565</v>
      </c>
      <c r="B3395">
        <f t="shared" ca="1" si="53"/>
        <v>128</v>
      </c>
      <c r="C33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5" t="str">
        <f ca="1">IF(dict_zuord_Meth_Transfers[[#This Row],[kval_active]],dict_zuord_Meth_Transfers[[#This Row],[ID_Transfers]],"")</f>
        <v/>
      </c>
    </row>
    <row r="3396" spans="1:4" x14ac:dyDescent="0.45">
      <c r="A3396">
        <v>565</v>
      </c>
      <c r="B3396" s="3">
        <f t="shared" ca="1" si="53"/>
        <v>135</v>
      </c>
      <c r="C33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6" t="str">
        <f ca="1">IF(dict_zuord_Meth_Transfers[[#This Row],[kval_active]],dict_zuord_Meth_Transfers[[#This Row],[ID_Transfers]],"")</f>
        <v/>
      </c>
    </row>
    <row r="3397" spans="1:4" x14ac:dyDescent="0.45">
      <c r="A3397">
        <v>565</v>
      </c>
      <c r="B3397">
        <f t="shared" ca="1" si="53"/>
        <v>16</v>
      </c>
      <c r="C33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397" t="str">
        <f ca="1">IF(dict_zuord_Meth_Transfers[[#This Row],[kval_active]],dict_zuord_Meth_Transfers[[#This Row],[ID_Transfers]],"")</f>
        <v/>
      </c>
    </row>
    <row r="3398" spans="1:4" x14ac:dyDescent="0.45">
      <c r="A3398">
        <v>566</v>
      </c>
      <c r="B3398">
        <f t="shared" ca="1" si="53"/>
        <v>23</v>
      </c>
      <c r="C33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98">
        <f ca="1">IF(dict_zuord_Meth_Transfers[[#This Row],[kval_active]],dict_zuord_Meth_Transfers[[#This Row],[ID_Transfers]],"")</f>
        <v>23</v>
      </c>
    </row>
    <row r="3399" spans="1:4" x14ac:dyDescent="0.45">
      <c r="A3399">
        <v>566</v>
      </c>
      <c r="B3399">
        <f t="shared" ca="1" si="53"/>
        <v>91</v>
      </c>
      <c r="C33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399">
        <f ca="1">IF(dict_zuord_Meth_Transfers[[#This Row],[kval_active]],dict_zuord_Meth_Transfers[[#This Row],[ID_Transfers]],"")</f>
        <v>91</v>
      </c>
    </row>
    <row r="3400" spans="1:4" x14ac:dyDescent="0.45">
      <c r="A3400">
        <v>566</v>
      </c>
      <c r="B3400">
        <f t="shared" ca="1" si="53"/>
        <v>165</v>
      </c>
      <c r="C34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0">
        <f ca="1">IF(dict_zuord_Meth_Transfers[[#This Row],[kval_active]],dict_zuord_Meth_Transfers[[#This Row],[ID_Transfers]],"")</f>
        <v>165</v>
      </c>
    </row>
    <row r="3401" spans="1:4" x14ac:dyDescent="0.45">
      <c r="A3401">
        <v>566</v>
      </c>
      <c r="B3401" s="3">
        <f t="shared" ca="1" si="53"/>
        <v>69</v>
      </c>
      <c r="C34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1">
        <f ca="1">IF(dict_zuord_Meth_Transfers[[#This Row],[kval_active]],dict_zuord_Meth_Transfers[[#This Row],[ID_Transfers]],"")</f>
        <v>69</v>
      </c>
    </row>
    <row r="3402" spans="1:4" x14ac:dyDescent="0.45">
      <c r="A3402">
        <v>566</v>
      </c>
      <c r="B3402" s="3">
        <f t="shared" ca="1" si="53"/>
        <v>157</v>
      </c>
      <c r="C34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2">
        <f ca="1">IF(dict_zuord_Meth_Transfers[[#This Row],[kval_active]],dict_zuord_Meth_Transfers[[#This Row],[ID_Transfers]],"")</f>
        <v>157</v>
      </c>
    </row>
    <row r="3403" spans="1:4" x14ac:dyDescent="0.45">
      <c r="A3403">
        <v>566</v>
      </c>
      <c r="B3403" s="3">
        <f t="shared" ca="1" si="53"/>
        <v>136</v>
      </c>
      <c r="C34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03">
        <f ca="1">IF(dict_zuord_Meth_Transfers[[#This Row],[kval_active]],dict_zuord_Meth_Transfers[[#This Row],[ID_Transfers]],"")</f>
        <v>136</v>
      </c>
    </row>
    <row r="3404" spans="1:4" x14ac:dyDescent="0.45">
      <c r="A3404">
        <v>567</v>
      </c>
      <c r="B3404">
        <f t="shared" ca="1" si="53"/>
        <v>126</v>
      </c>
      <c r="C34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4" t="str">
        <f ca="1">IF(dict_zuord_Meth_Transfers[[#This Row],[kval_active]],dict_zuord_Meth_Transfers[[#This Row],[ID_Transfers]],"")</f>
        <v/>
      </c>
    </row>
    <row r="3405" spans="1:4" x14ac:dyDescent="0.45">
      <c r="A3405">
        <v>567</v>
      </c>
      <c r="B3405">
        <f t="shared" ca="1" si="53"/>
        <v>140</v>
      </c>
      <c r="C34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5" t="str">
        <f ca="1">IF(dict_zuord_Meth_Transfers[[#This Row],[kval_active]],dict_zuord_Meth_Transfers[[#This Row],[ID_Transfers]],"")</f>
        <v/>
      </c>
    </row>
    <row r="3406" spans="1:4" x14ac:dyDescent="0.45">
      <c r="A3406">
        <v>567</v>
      </c>
      <c r="B3406" s="3">
        <f t="shared" ca="1" si="53"/>
        <v>90</v>
      </c>
      <c r="C34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6" t="str">
        <f ca="1">IF(dict_zuord_Meth_Transfers[[#This Row],[kval_active]],dict_zuord_Meth_Transfers[[#This Row],[ID_Transfers]],"")</f>
        <v/>
      </c>
    </row>
    <row r="3407" spans="1:4" x14ac:dyDescent="0.45">
      <c r="A3407">
        <v>567</v>
      </c>
      <c r="B3407">
        <f t="shared" ca="1" si="53"/>
        <v>42</v>
      </c>
      <c r="C34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7" t="str">
        <f ca="1">IF(dict_zuord_Meth_Transfers[[#This Row],[kval_active]],dict_zuord_Meth_Transfers[[#This Row],[ID_Transfers]],"")</f>
        <v/>
      </c>
    </row>
    <row r="3408" spans="1:4" x14ac:dyDescent="0.45">
      <c r="A3408">
        <v>567</v>
      </c>
      <c r="B3408" s="3">
        <f t="shared" ca="1" si="53"/>
        <v>138</v>
      </c>
      <c r="C34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8" t="str">
        <f ca="1">IF(dict_zuord_Meth_Transfers[[#This Row],[kval_active]],dict_zuord_Meth_Transfers[[#This Row],[ID_Transfers]],"")</f>
        <v/>
      </c>
    </row>
    <row r="3409" spans="1:4" x14ac:dyDescent="0.45">
      <c r="A3409">
        <v>567</v>
      </c>
      <c r="B3409" s="3">
        <f t="shared" ca="1" si="53"/>
        <v>141</v>
      </c>
      <c r="C34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09" t="str">
        <f ca="1">IF(dict_zuord_Meth_Transfers[[#This Row],[kval_active]],dict_zuord_Meth_Transfers[[#This Row],[ID_Transfers]],"")</f>
        <v/>
      </c>
    </row>
    <row r="3410" spans="1:4" x14ac:dyDescent="0.45">
      <c r="A3410">
        <v>568</v>
      </c>
      <c r="B3410">
        <f t="shared" ca="1" si="53"/>
        <v>100</v>
      </c>
      <c r="C34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0" t="str">
        <f ca="1">IF(dict_zuord_Meth_Transfers[[#This Row],[kval_active]],dict_zuord_Meth_Transfers[[#This Row],[ID_Transfers]],"")</f>
        <v/>
      </c>
    </row>
    <row r="3411" spans="1:4" x14ac:dyDescent="0.45">
      <c r="A3411">
        <v>568</v>
      </c>
      <c r="B3411" s="3">
        <f t="shared" ca="1" si="53"/>
        <v>11</v>
      </c>
      <c r="C34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1" t="str">
        <f ca="1">IF(dict_zuord_Meth_Transfers[[#This Row],[kval_active]],dict_zuord_Meth_Transfers[[#This Row],[ID_Transfers]],"")</f>
        <v/>
      </c>
    </row>
    <row r="3412" spans="1:4" x14ac:dyDescent="0.45">
      <c r="A3412">
        <v>568</v>
      </c>
      <c r="B3412">
        <f t="shared" ca="1" si="53"/>
        <v>160</v>
      </c>
      <c r="C34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2" t="str">
        <f ca="1">IF(dict_zuord_Meth_Transfers[[#This Row],[kval_active]],dict_zuord_Meth_Transfers[[#This Row],[ID_Transfers]],"")</f>
        <v/>
      </c>
    </row>
    <row r="3413" spans="1:4" x14ac:dyDescent="0.45">
      <c r="A3413">
        <v>568</v>
      </c>
      <c r="B3413" s="3">
        <f t="shared" ca="1" si="53"/>
        <v>70</v>
      </c>
      <c r="C34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3" t="str">
        <f ca="1">IF(dict_zuord_Meth_Transfers[[#This Row],[kval_active]],dict_zuord_Meth_Transfers[[#This Row],[ID_Transfers]],"")</f>
        <v/>
      </c>
    </row>
    <row r="3414" spans="1:4" x14ac:dyDescent="0.45">
      <c r="A3414">
        <v>568</v>
      </c>
      <c r="B3414" s="3">
        <f t="shared" ca="1" si="53"/>
        <v>11</v>
      </c>
      <c r="C34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4" t="str">
        <f ca="1">IF(dict_zuord_Meth_Transfers[[#This Row],[kval_active]],dict_zuord_Meth_Transfers[[#This Row],[ID_Transfers]],"")</f>
        <v/>
      </c>
    </row>
    <row r="3415" spans="1:4" x14ac:dyDescent="0.45">
      <c r="A3415">
        <v>568</v>
      </c>
      <c r="B3415">
        <f t="shared" ca="1" si="53"/>
        <v>90</v>
      </c>
      <c r="C34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5" t="str">
        <f ca="1">IF(dict_zuord_Meth_Transfers[[#This Row],[kval_active]],dict_zuord_Meth_Transfers[[#This Row],[ID_Transfers]],"")</f>
        <v/>
      </c>
    </row>
    <row r="3416" spans="1:4" x14ac:dyDescent="0.45">
      <c r="A3416">
        <v>569</v>
      </c>
      <c r="B3416" s="3">
        <f t="shared" ca="1" si="53"/>
        <v>174</v>
      </c>
      <c r="C34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6" t="str">
        <f ca="1">IF(dict_zuord_Meth_Transfers[[#This Row],[kval_active]],dict_zuord_Meth_Transfers[[#This Row],[ID_Transfers]],"")</f>
        <v/>
      </c>
    </row>
    <row r="3417" spans="1:4" x14ac:dyDescent="0.45">
      <c r="A3417">
        <v>569</v>
      </c>
      <c r="B3417" s="3">
        <f t="shared" ca="1" si="53"/>
        <v>24</v>
      </c>
      <c r="C34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7" t="str">
        <f ca="1">IF(dict_zuord_Meth_Transfers[[#This Row],[kval_active]],dict_zuord_Meth_Transfers[[#This Row],[ID_Transfers]],"")</f>
        <v/>
      </c>
    </row>
    <row r="3418" spans="1:4" x14ac:dyDescent="0.45">
      <c r="A3418">
        <v>569</v>
      </c>
      <c r="B3418" s="3">
        <f t="shared" ca="1" si="53"/>
        <v>91</v>
      </c>
      <c r="C34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8" t="str">
        <f ca="1">IF(dict_zuord_Meth_Transfers[[#This Row],[kval_active]],dict_zuord_Meth_Transfers[[#This Row],[ID_Transfers]],"")</f>
        <v/>
      </c>
    </row>
    <row r="3419" spans="1:4" x14ac:dyDescent="0.45">
      <c r="A3419">
        <v>569</v>
      </c>
      <c r="B3419">
        <f t="shared" ca="1" si="53"/>
        <v>127</v>
      </c>
      <c r="C34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19" t="str">
        <f ca="1">IF(dict_zuord_Meth_Transfers[[#This Row],[kval_active]],dict_zuord_Meth_Transfers[[#This Row],[ID_Transfers]],"")</f>
        <v/>
      </c>
    </row>
    <row r="3420" spans="1:4" x14ac:dyDescent="0.45">
      <c r="A3420">
        <v>569</v>
      </c>
      <c r="B3420">
        <f t="shared" ca="1" si="53"/>
        <v>43</v>
      </c>
      <c r="C34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0" t="str">
        <f ca="1">IF(dict_zuord_Meth_Transfers[[#This Row],[kval_active]],dict_zuord_Meth_Transfers[[#This Row],[ID_Transfers]],"")</f>
        <v/>
      </c>
    </row>
    <row r="3421" spans="1:4" x14ac:dyDescent="0.45">
      <c r="A3421">
        <v>569</v>
      </c>
      <c r="B3421">
        <f t="shared" ca="1" si="53"/>
        <v>174</v>
      </c>
      <c r="C34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1" t="str">
        <f ca="1">IF(dict_zuord_Meth_Transfers[[#This Row],[kval_active]],dict_zuord_Meth_Transfers[[#This Row],[ID_Transfers]],"")</f>
        <v/>
      </c>
    </row>
    <row r="3422" spans="1:4" x14ac:dyDescent="0.45">
      <c r="A3422">
        <v>570</v>
      </c>
      <c r="B3422">
        <f t="shared" ca="1" si="53"/>
        <v>161</v>
      </c>
      <c r="C34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2" t="str">
        <f ca="1">IF(dict_zuord_Meth_Transfers[[#This Row],[kval_active]],dict_zuord_Meth_Transfers[[#This Row],[ID_Transfers]],"")</f>
        <v/>
      </c>
    </row>
    <row r="3423" spans="1:4" x14ac:dyDescent="0.45">
      <c r="A3423">
        <v>570</v>
      </c>
      <c r="B3423">
        <f t="shared" ca="1" si="53"/>
        <v>152</v>
      </c>
      <c r="C34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3" t="str">
        <f ca="1">IF(dict_zuord_Meth_Transfers[[#This Row],[kval_active]],dict_zuord_Meth_Transfers[[#This Row],[ID_Transfers]],"")</f>
        <v/>
      </c>
    </row>
    <row r="3424" spans="1:4" x14ac:dyDescent="0.45">
      <c r="A3424">
        <v>570</v>
      </c>
      <c r="B3424" s="3">
        <f t="shared" ca="1" si="53"/>
        <v>90</v>
      </c>
      <c r="C34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4" t="str">
        <f ca="1">IF(dict_zuord_Meth_Transfers[[#This Row],[kval_active]],dict_zuord_Meth_Transfers[[#This Row],[ID_Transfers]],"")</f>
        <v/>
      </c>
    </row>
    <row r="3425" spans="1:4" x14ac:dyDescent="0.45">
      <c r="A3425">
        <v>570</v>
      </c>
      <c r="B3425" s="3">
        <f t="shared" ca="1" si="53"/>
        <v>5</v>
      </c>
      <c r="C34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5" t="str">
        <f ca="1">IF(dict_zuord_Meth_Transfers[[#This Row],[kval_active]],dict_zuord_Meth_Transfers[[#This Row],[ID_Transfers]],"")</f>
        <v/>
      </c>
    </row>
    <row r="3426" spans="1:4" x14ac:dyDescent="0.45">
      <c r="A3426">
        <v>570</v>
      </c>
      <c r="B3426">
        <f t="shared" ca="1" si="53"/>
        <v>110</v>
      </c>
      <c r="C34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6" t="str">
        <f ca="1">IF(dict_zuord_Meth_Transfers[[#This Row],[kval_active]],dict_zuord_Meth_Transfers[[#This Row],[ID_Transfers]],"")</f>
        <v/>
      </c>
    </row>
    <row r="3427" spans="1:4" x14ac:dyDescent="0.45">
      <c r="A3427">
        <v>570</v>
      </c>
      <c r="B3427" s="3">
        <f t="shared" ca="1" si="53"/>
        <v>39</v>
      </c>
      <c r="C34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7" t="str">
        <f ca="1">IF(dict_zuord_Meth_Transfers[[#This Row],[kval_active]],dict_zuord_Meth_Transfers[[#This Row],[ID_Transfers]],"")</f>
        <v/>
      </c>
    </row>
    <row r="3428" spans="1:4" x14ac:dyDescent="0.45">
      <c r="A3428">
        <v>571</v>
      </c>
      <c r="B3428">
        <f t="shared" ca="1" si="53"/>
        <v>147</v>
      </c>
      <c r="C34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8" t="str">
        <f ca="1">IF(dict_zuord_Meth_Transfers[[#This Row],[kval_active]],dict_zuord_Meth_Transfers[[#This Row],[ID_Transfers]],"")</f>
        <v/>
      </c>
    </row>
    <row r="3429" spans="1:4" x14ac:dyDescent="0.45">
      <c r="A3429">
        <v>571</v>
      </c>
      <c r="B3429" s="3">
        <f t="shared" ca="1" si="53"/>
        <v>119</v>
      </c>
      <c r="C34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29" t="str">
        <f ca="1">IF(dict_zuord_Meth_Transfers[[#This Row],[kval_active]],dict_zuord_Meth_Transfers[[#This Row],[ID_Transfers]],"")</f>
        <v/>
      </c>
    </row>
    <row r="3430" spans="1:4" x14ac:dyDescent="0.45">
      <c r="A3430">
        <v>571</v>
      </c>
      <c r="B3430">
        <f t="shared" ca="1" si="53"/>
        <v>131</v>
      </c>
      <c r="C34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0" t="str">
        <f ca="1">IF(dict_zuord_Meth_Transfers[[#This Row],[kval_active]],dict_zuord_Meth_Transfers[[#This Row],[ID_Transfers]],"")</f>
        <v/>
      </c>
    </row>
    <row r="3431" spans="1:4" x14ac:dyDescent="0.45">
      <c r="A3431">
        <v>571</v>
      </c>
      <c r="B3431" s="3">
        <f t="shared" ca="1" si="53"/>
        <v>51</v>
      </c>
      <c r="C34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1" t="str">
        <f ca="1">IF(dict_zuord_Meth_Transfers[[#This Row],[kval_active]],dict_zuord_Meth_Transfers[[#This Row],[ID_Transfers]],"")</f>
        <v/>
      </c>
    </row>
    <row r="3432" spans="1:4" x14ac:dyDescent="0.45">
      <c r="A3432">
        <v>571</v>
      </c>
      <c r="B3432" s="3">
        <f t="shared" ca="1" si="53"/>
        <v>2</v>
      </c>
      <c r="C34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2" t="str">
        <f ca="1">IF(dict_zuord_Meth_Transfers[[#This Row],[kval_active]],dict_zuord_Meth_Transfers[[#This Row],[ID_Transfers]],"")</f>
        <v/>
      </c>
    </row>
    <row r="3433" spans="1:4" x14ac:dyDescent="0.45">
      <c r="A3433">
        <v>571</v>
      </c>
      <c r="B3433">
        <f t="shared" ca="1" si="53"/>
        <v>122</v>
      </c>
      <c r="C34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3" t="str">
        <f ca="1">IF(dict_zuord_Meth_Transfers[[#This Row],[kval_active]],dict_zuord_Meth_Transfers[[#This Row],[ID_Transfers]],"")</f>
        <v/>
      </c>
    </row>
    <row r="3434" spans="1:4" x14ac:dyDescent="0.45">
      <c r="A3434">
        <v>572</v>
      </c>
      <c r="B3434">
        <f t="shared" ca="1" si="53"/>
        <v>128</v>
      </c>
      <c r="C34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4" t="str">
        <f ca="1">IF(dict_zuord_Meth_Transfers[[#This Row],[kval_active]],dict_zuord_Meth_Transfers[[#This Row],[ID_Transfers]],"")</f>
        <v/>
      </c>
    </row>
    <row r="3435" spans="1:4" x14ac:dyDescent="0.45">
      <c r="A3435">
        <v>572</v>
      </c>
      <c r="B3435" s="3">
        <f t="shared" ca="1" si="53"/>
        <v>197</v>
      </c>
      <c r="C34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5" t="str">
        <f ca="1">IF(dict_zuord_Meth_Transfers[[#This Row],[kval_active]],dict_zuord_Meth_Transfers[[#This Row],[ID_Transfers]],"")</f>
        <v/>
      </c>
    </row>
    <row r="3436" spans="1:4" x14ac:dyDescent="0.45">
      <c r="A3436">
        <v>572</v>
      </c>
      <c r="B3436">
        <f t="shared" ca="1" si="53"/>
        <v>131</v>
      </c>
      <c r="C34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6" t="str">
        <f ca="1">IF(dict_zuord_Meth_Transfers[[#This Row],[kval_active]],dict_zuord_Meth_Transfers[[#This Row],[ID_Transfers]],"")</f>
        <v/>
      </c>
    </row>
    <row r="3437" spans="1:4" x14ac:dyDescent="0.45">
      <c r="A3437">
        <v>572</v>
      </c>
      <c r="B3437" s="3">
        <f t="shared" ca="1" si="53"/>
        <v>190</v>
      </c>
      <c r="C34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7" t="str">
        <f ca="1">IF(dict_zuord_Meth_Transfers[[#This Row],[kval_active]],dict_zuord_Meth_Transfers[[#This Row],[ID_Transfers]],"")</f>
        <v/>
      </c>
    </row>
    <row r="3438" spans="1:4" x14ac:dyDescent="0.45">
      <c r="A3438">
        <v>572</v>
      </c>
      <c r="B3438">
        <f t="shared" ca="1" si="53"/>
        <v>28</v>
      </c>
      <c r="C34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8" t="str">
        <f ca="1">IF(dict_zuord_Meth_Transfers[[#This Row],[kval_active]],dict_zuord_Meth_Transfers[[#This Row],[ID_Transfers]],"")</f>
        <v/>
      </c>
    </row>
    <row r="3439" spans="1:4" x14ac:dyDescent="0.45">
      <c r="A3439">
        <v>572</v>
      </c>
      <c r="B3439" s="3">
        <f t="shared" ca="1" si="53"/>
        <v>200</v>
      </c>
      <c r="C34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39" t="str">
        <f ca="1">IF(dict_zuord_Meth_Transfers[[#This Row],[kval_active]],dict_zuord_Meth_Transfers[[#This Row],[ID_Transfers]],"")</f>
        <v/>
      </c>
    </row>
    <row r="3440" spans="1:4" x14ac:dyDescent="0.45">
      <c r="A3440">
        <v>573</v>
      </c>
      <c r="B3440" s="3">
        <f t="shared" ca="1" si="53"/>
        <v>109</v>
      </c>
      <c r="C34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0" t="str">
        <f ca="1">IF(dict_zuord_Meth_Transfers[[#This Row],[kval_active]],dict_zuord_Meth_Transfers[[#This Row],[ID_Transfers]],"")</f>
        <v/>
      </c>
    </row>
    <row r="3441" spans="1:4" x14ac:dyDescent="0.45">
      <c r="A3441">
        <v>573</v>
      </c>
      <c r="B3441">
        <f t="shared" ca="1" si="53"/>
        <v>56</v>
      </c>
      <c r="C34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1" t="str">
        <f ca="1">IF(dict_zuord_Meth_Transfers[[#This Row],[kval_active]],dict_zuord_Meth_Transfers[[#This Row],[ID_Transfers]],"")</f>
        <v/>
      </c>
    </row>
    <row r="3442" spans="1:4" x14ac:dyDescent="0.45">
      <c r="A3442">
        <v>573</v>
      </c>
      <c r="B3442" s="3">
        <f t="shared" ca="1" si="53"/>
        <v>184</v>
      </c>
      <c r="C34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2" t="str">
        <f ca="1">IF(dict_zuord_Meth_Transfers[[#This Row],[kval_active]],dict_zuord_Meth_Transfers[[#This Row],[ID_Transfers]],"")</f>
        <v/>
      </c>
    </row>
    <row r="3443" spans="1:4" x14ac:dyDescent="0.45">
      <c r="A3443">
        <v>573</v>
      </c>
      <c r="B3443">
        <f t="shared" ca="1" si="53"/>
        <v>48</v>
      </c>
      <c r="C34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3" t="str">
        <f ca="1">IF(dict_zuord_Meth_Transfers[[#This Row],[kval_active]],dict_zuord_Meth_Transfers[[#This Row],[ID_Transfers]],"")</f>
        <v/>
      </c>
    </row>
    <row r="3444" spans="1:4" x14ac:dyDescent="0.45">
      <c r="A3444">
        <v>573</v>
      </c>
      <c r="B3444">
        <f t="shared" ca="1" si="53"/>
        <v>112</v>
      </c>
      <c r="C34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4" t="str">
        <f ca="1">IF(dict_zuord_Meth_Transfers[[#This Row],[kval_active]],dict_zuord_Meth_Transfers[[#This Row],[ID_Transfers]],"")</f>
        <v/>
      </c>
    </row>
    <row r="3445" spans="1:4" x14ac:dyDescent="0.45">
      <c r="A3445">
        <v>573</v>
      </c>
      <c r="B3445" s="3">
        <f t="shared" ca="1" si="53"/>
        <v>33</v>
      </c>
      <c r="C34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5" t="str">
        <f ca="1">IF(dict_zuord_Meth_Transfers[[#This Row],[kval_active]],dict_zuord_Meth_Transfers[[#This Row],[ID_Transfers]],"")</f>
        <v/>
      </c>
    </row>
    <row r="3446" spans="1:4" x14ac:dyDescent="0.45">
      <c r="A3446">
        <v>574</v>
      </c>
      <c r="B3446" s="3">
        <f t="shared" ca="1" si="53"/>
        <v>165</v>
      </c>
      <c r="C34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6" t="str">
        <f ca="1">IF(dict_zuord_Meth_Transfers[[#This Row],[kval_active]],dict_zuord_Meth_Transfers[[#This Row],[ID_Transfers]],"")</f>
        <v/>
      </c>
    </row>
    <row r="3447" spans="1:4" x14ac:dyDescent="0.45">
      <c r="A3447">
        <v>574</v>
      </c>
      <c r="B3447" s="3">
        <f t="shared" ca="1" si="53"/>
        <v>86</v>
      </c>
      <c r="C34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7" t="str">
        <f ca="1">IF(dict_zuord_Meth_Transfers[[#This Row],[kval_active]],dict_zuord_Meth_Transfers[[#This Row],[ID_Transfers]],"")</f>
        <v/>
      </c>
    </row>
    <row r="3448" spans="1:4" x14ac:dyDescent="0.45">
      <c r="A3448">
        <v>574</v>
      </c>
      <c r="B3448">
        <f t="shared" ca="1" si="53"/>
        <v>101</v>
      </c>
      <c r="C34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8" t="str">
        <f ca="1">IF(dict_zuord_Meth_Transfers[[#This Row],[kval_active]],dict_zuord_Meth_Transfers[[#This Row],[ID_Transfers]],"")</f>
        <v/>
      </c>
    </row>
    <row r="3449" spans="1:4" x14ac:dyDescent="0.45">
      <c r="A3449">
        <v>574</v>
      </c>
      <c r="B3449">
        <f t="shared" ca="1" si="53"/>
        <v>82</v>
      </c>
      <c r="C34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49" t="str">
        <f ca="1">IF(dict_zuord_Meth_Transfers[[#This Row],[kval_active]],dict_zuord_Meth_Transfers[[#This Row],[ID_Transfers]],"")</f>
        <v/>
      </c>
    </row>
    <row r="3450" spans="1:4" x14ac:dyDescent="0.45">
      <c r="A3450">
        <v>574</v>
      </c>
      <c r="B3450">
        <f t="shared" ca="1" si="53"/>
        <v>39</v>
      </c>
      <c r="C34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0" t="str">
        <f ca="1">IF(dict_zuord_Meth_Transfers[[#This Row],[kval_active]],dict_zuord_Meth_Transfers[[#This Row],[ID_Transfers]],"")</f>
        <v/>
      </c>
    </row>
    <row r="3451" spans="1:4" x14ac:dyDescent="0.45">
      <c r="A3451">
        <v>574</v>
      </c>
      <c r="B3451" s="3">
        <f t="shared" ca="1" si="53"/>
        <v>112</v>
      </c>
      <c r="C34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1" t="str">
        <f ca="1">IF(dict_zuord_Meth_Transfers[[#This Row],[kval_active]],dict_zuord_Meth_Transfers[[#This Row],[ID_Transfers]],"")</f>
        <v/>
      </c>
    </row>
    <row r="3452" spans="1:4" x14ac:dyDescent="0.45">
      <c r="A3452">
        <v>575</v>
      </c>
      <c r="B3452" s="3">
        <f t="shared" ca="1" si="53"/>
        <v>14</v>
      </c>
      <c r="C34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2" t="str">
        <f ca="1">IF(dict_zuord_Meth_Transfers[[#This Row],[kval_active]],dict_zuord_Meth_Transfers[[#This Row],[ID_Transfers]],"")</f>
        <v/>
      </c>
    </row>
    <row r="3453" spans="1:4" x14ac:dyDescent="0.45">
      <c r="A3453">
        <v>575</v>
      </c>
      <c r="B3453">
        <f t="shared" ca="1" si="53"/>
        <v>104</v>
      </c>
      <c r="C34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3" t="str">
        <f ca="1">IF(dict_zuord_Meth_Transfers[[#This Row],[kval_active]],dict_zuord_Meth_Transfers[[#This Row],[ID_Transfers]],"")</f>
        <v/>
      </c>
    </row>
    <row r="3454" spans="1:4" x14ac:dyDescent="0.45">
      <c r="A3454">
        <v>575</v>
      </c>
      <c r="B3454">
        <f t="shared" ca="1" si="53"/>
        <v>8</v>
      </c>
      <c r="C34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4" t="str">
        <f ca="1">IF(dict_zuord_Meth_Transfers[[#This Row],[kval_active]],dict_zuord_Meth_Transfers[[#This Row],[ID_Transfers]],"")</f>
        <v/>
      </c>
    </row>
    <row r="3455" spans="1:4" x14ac:dyDescent="0.45">
      <c r="A3455">
        <v>575</v>
      </c>
      <c r="B3455">
        <f t="shared" ca="1" si="53"/>
        <v>38</v>
      </c>
      <c r="C34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5" t="str">
        <f ca="1">IF(dict_zuord_Meth_Transfers[[#This Row],[kval_active]],dict_zuord_Meth_Transfers[[#This Row],[ID_Transfers]],"")</f>
        <v/>
      </c>
    </row>
    <row r="3456" spans="1:4" x14ac:dyDescent="0.45">
      <c r="A3456">
        <v>575</v>
      </c>
      <c r="B3456" s="3">
        <f t="shared" ca="1" si="53"/>
        <v>33</v>
      </c>
      <c r="C34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6" t="str">
        <f ca="1">IF(dict_zuord_Meth_Transfers[[#This Row],[kval_active]],dict_zuord_Meth_Transfers[[#This Row],[ID_Transfers]],"")</f>
        <v/>
      </c>
    </row>
    <row r="3457" spans="1:4" x14ac:dyDescent="0.45">
      <c r="A3457">
        <v>575</v>
      </c>
      <c r="B3457" s="3">
        <f t="shared" ca="1" si="53"/>
        <v>51</v>
      </c>
      <c r="C34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7" t="str">
        <f ca="1">IF(dict_zuord_Meth_Transfers[[#This Row],[kval_active]],dict_zuord_Meth_Transfers[[#This Row],[ID_Transfers]],"")</f>
        <v/>
      </c>
    </row>
    <row r="3458" spans="1:4" x14ac:dyDescent="0.45">
      <c r="A3458">
        <v>576</v>
      </c>
      <c r="B3458">
        <f t="shared" ref="B3458:B3521" ca="1" si="54">RANDBETWEEN(0,200)</f>
        <v>82</v>
      </c>
      <c r="C34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8" t="str">
        <f ca="1">IF(dict_zuord_Meth_Transfers[[#This Row],[kval_active]],dict_zuord_Meth_Transfers[[#This Row],[ID_Transfers]],"")</f>
        <v/>
      </c>
    </row>
    <row r="3459" spans="1:4" x14ac:dyDescent="0.45">
      <c r="A3459">
        <v>576</v>
      </c>
      <c r="B3459" s="3">
        <f t="shared" ca="1" si="54"/>
        <v>154</v>
      </c>
      <c r="C34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59" t="str">
        <f ca="1">IF(dict_zuord_Meth_Transfers[[#This Row],[kval_active]],dict_zuord_Meth_Transfers[[#This Row],[ID_Transfers]],"")</f>
        <v/>
      </c>
    </row>
    <row r="3460" spans="1:4" x14ac:dyDescent="0.45">
      <c r="A3460">
        <v>576</v>
      </c>
      <c r="B3460" s="3">
        <f t="shared" ca="1" si="54"/>
        <v>74</v>
      </c>
      <c r="C34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0" t="str">
        <f ca="1">IF(dict_zuord_Meth_Transfers[[#This Row],[kval_active]],dict_zuord_Meth_Transfers[[#This Row],[ID_Transfers]],"")</f>
        <v/>
      </c>
    </row>
    <row r="3461" spans="1:4" x14ac:dyDescent="0.45">
      <c r="A3461">
        <v>576</v>
      </c>
      <c r="B3461">
        <f t="shared" ca="1" si="54"/>
        <v>50</v>
      </c>
      <c r="C34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1" t="str">
        <f ca="1">IF(dict_zuord_Meth_Transfers[[#This Row],[kval_active]],dict_zuord_Meth_Transfers[[#This Row],[ID_Transfers]],"")</f>
        <v/>
      </c>
    </row>
    <row r="3462" spans="1:4" x14ac:dyDescent="0.45">
      <c r="A3462">
        <v>576</v>
      </c>
      <c r="B3462">
        <f t="shared" ca="1" si="54"/>
        <v>82</v>
      </c>
      <c r="C34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2" t="str">
        <f ca="1">IF(dict_zuord_Meth_Transfers[[#This Row],[kval_active]],dict_zuord_Meth_Transfers[[#This Row],[ID_Transfers]],"")</f>
        <v/>
      </c>
    </row>
    <row r="3463" spans="1:4" x14ac:dyDescent="0.45">
      <c r="A3463">
        <v>576</v>
      </c>
      <c r="B3463" s="3">
        <f t="shared" ca="1" si="54"/>
        <v>96</v>
      </c>
      <c r="C34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3" t="str">
        <f ca="1">IF(dict_zuord_Meth_Transfers[[#This Row],[kval_active]],dict_zuord_Meth_Transfers[[#This Row],[ID_Transfers]],"")</f>
        <v/>
      </c>
    </row>
    <row r="3464" spans="1:4" x14ac:dyDescent="0.45">
      <c r="A3464">
        <v>577</v>
      </c>
      <c r="B3464">
        <f t="shared" ca="1" si="54"/>
        <v>165</v>
      </c>
      <c r="C34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4" t="str">
        <f ca="1">IF(dict_zuord_Meth_Transfers[[#This Row],[kval_active]],dict_zuord_Meth_Transfers[[#This Row],[ID_Transfers]],"")</f>
        <v/>
      </c>
    </row>
    <row r="3465" spans="1:4" x14ac:dyDescent="0.45">
      <c r="A3465">
        <v>577</v>
      </c>
      <c r="B3465">
        <f t="shared" ca="1" si="54"/>
        <v>45</v>
      </c>
      <c r="C34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5" t="str">
        <f ca="1">IF(dict_zuord_Meth_Transfers[[#This Row],[kval_active]],dict_zuord_Meth_Transfers[[#This Row],[ID_Transfers]],"")</f>
        <v/>
      </c>
    </row>
    <row r="3466" spans="1:4" x14ac:dyDescent="0.45">
      <c r="A3466">
        <v>577</v>
      </c>
      <c r="B3466" s="3">
        <f t="shared" ca="1" si="54"/>
        <v>151</v>
      </c>
      <c r="C34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6" t="str">
        <f ca="1">IF(dict_zuord_Meth_Transfers[[#This Row],[kval_active]],dict_zuord_Meth_Transfers[[#This Row],[ID_Transfers]],"")</f>
        <v/>
      </c>
    </row>
    <row r="3467" spans="1:4" x14ac:dyDescent="0.45">
      <c r="A3467">
        <v>577</v>
      </c>
      <c r="B3467" s="3">
        <f t="shared" ca="1" si="54"/>
        <v>44</v>
      </c>
      <c r="C34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7" t="str">
        <f ca="1">IF(dict_zuord_Meth_Transfers[[#This Row],[kval_active]],dict_zuord_Meth_Transfers[[#This Row],[ID_Transfers]],"")</f>
        <v/>
      </c>
    </row>
    <row r="3468" spans="1:4" x14ac:dyDescent="0.45">
      <c r="A3468">
        <v>577</v>
      </c>
      <c r="B3468" s="3">
        <f t="shared" ca="1" si="54"/>
        <v>1</v>
      </c>
      <c r="C34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8" t="str">
        <f ca="1">IF(dict_zuord_Meth_Transfers[[#This Row],[kval_active]],dict_zuord_Meth_Transfers[[#This Row],[ID_Transfers]],"")</f>
        <v/>
      </c>
    </row>
    <row r="3469" spans="1:4" x14ac:dyDescent="0.45">
      <c r="A3469">
        <v>577</v>
      </c>
      <c r="B3469">
        <f t="shared" ca="1" si="54"/>
        <v>68</v>
      </c>
      <c r="C34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69" t="str">
        <f ca="1">IF(dict_zuord_Meth_Transfers[[#This Row],[kval_active]],dict_zuord_Meth_Transfers[[#This Row],[ID_Transfers]],"")</f>
        <v/>
      </c>
    </row>
    <row r="3470" spans="1:4" x14ac:dyDescent="0.45">
      <c r="A3470">
        <v>578</v>
      </c>
      <c r="B3470">
        <f t="shared" ca="1" si="54"/>
        <v>64</v>
      </c>
      <c r="C34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0" t="str">
        <f ca="1">IF(dict_zuord_Meth_Transfers[[#This Row],[kval_active]],dict_zuord_Meth_Transfers[[#This Row],[ID_Transfers]],"")</f>
        <v/>
      </c>
    </row>
    <row r="3471" spans="1:4" x14ac:dyDescent="0.45">
      <c r="A3471">
        <v>578</v>
      </c>
      <c r="B3471" s="3">
        <f t="shared" ca="1" si="54"/>
        <v>112</v>
      </c>
      <c r="C34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1" t="str">
        <f ca="1">IF(dict_zuord_Meth_Transfers[[#This Row],[kval_active]],dict_zuord_Meth_Transfers[[#This Row],[ID_Transfers]],"")</f>
        <v/>
      </c>
    </row>
    <row r="3472" spans="1:4" x14ac:dyDescent="0.45">
      <c r="A3472">
        <v>578</v>
      </c>
      <c r="B3472" s="3">
        <f t="shared" ca="1" si="54"/>
        <v>135</v>
      </c>
      <c r="C34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2" t="str">
        <f ca="1">IF(dict_zuord_Meth_Transfers[[#This Row],[kval_active]],dict_zuord_Meth_Transfers[[#This Row],[ID_Transfers]],"")</f>
        <v/>
      </c>
    </row>
    <row r="3473" spans="1:4" x14ac:dyDescent="0.45">
      <c r="A3473">
        <v>578</v>
      </c>
      <c r="B3473" s="3">
        <f t="shared" ca="1" si="54"/>
        <v>176</v>
      </c>
      <c r="C34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3" t="str">
        <f ca="1">IF(dict_zuord_Meth_Transfers[[#This Row],[kval_active]],dict_zuord_Meth_Transfers[[#This Row],[ID_Transfers]],"")</f>
        <v/>
      </c>
    </row>
    <row r="3474" spans="1:4" x14ac:dyDescent="0.45">
      <c r="A3474">
        <v>578</v>
      </c>
      <c r="B3474">
        <f t="shared" ca="1" si="54"/>
        <v>27</v>
      </c>
      <c r="C34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4" t="str">
        <f ca="1">IF(dict_zuord_Meth_Transfers[[#This Row],[kval_active]],dict_zuord_Meth_Transfers[[#This Row],[ID_Transfers]],"")</f>
        <v/>
      </c>
    </row>
    <row r="3475" spans="1:4" x14ac:dyDescent="0.45">
      <c r="A3475">
        <v>578</v>
      </c>
      <c r="B3475">
        <f t="shared" ca="1" si="54"/>
        <v>120</v>
      </c>
      <c r="C34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5" t="str">
        <f ca="1">IF(dict_zuord_Meth_Transfers[[#This Row],[kval_active]],dict_zuord_Meth_Transfers[[#This Row],[ID_Transfers]],"")</f>
        <v/>
      </c>
    </row>
    <row r="3476" spans="1:4" x14ac:dyDescent="0.45">
      <c r="A3476">
        <v>579</v>
      </c>
      <c r="B3476" s="3">
        <f t="shared" ca="1" si="54"/>
        <v>82</v>
      </c>
      <c r="C34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6" t="str">
        <f ca="1">IF(dict_zuord_Meth_Transfers[[#This Row],[kval_active]],dict_zuord_Meth_Transfers[[#This Row],[ID_Transfers]],"")</f>
        <v/>
      </c>
    </row>
    <row r="3477" spans="1:4" x14ac:dyDescent="0.45">
      <c r="A3477">
        <v>579</v>
      </c>
      <c r="B3477">
        <f t="shared" ca="1" si="54"/>
        <v>114</v>
      </c>
      <c r="C34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7" t="str">
        <f ca="1">IF(dict_zuord_Meth_Transfers[[#This Row],[kval_active]],dict_zuord_Meth_Transfers[[#This Row],[ID_Transfers]],"")</f>
        <v/>
      </c>
    </row>
    <row r="3478" spans="1:4" x14ac:dyDescent="0.45">
      <c r="A3478">
        <v>579</v>
      </c>
      <c r="B3478">
        <f t="shared" ca="1" si="54"/>
        <v>176</v>
      </c>
      <c r="C34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8" t="str">
        <f ca="1">IF(dict_zuord_Meth_Transfers[[#This Row],[kval_active]],dict_zuord_Meth_Transfers[[#This Row],[ID_Transfers]],"")</f>
        <v/>
      </c>
    </row>
    <row r="3479" spans="1:4" x14ac:dyDescent="0.45">
      <c r="A3479">
        <v>579</v>
      </c>
      <c r="B3479" s="3">
        <f t="shared" ca="1" si="54"/>
        <v>17</v>
      </c>
      <c r="C34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79" t="str">
        <f ca="1">IF(dict_zuord_Meth_Transfers[[#This Row],[kval_active]],dict_zuord_Meth_Transfers[[#This Row],[ID_Transfers]],"")</f>
        <v/>
      </c>
    </row>
    <row r="3480" spans="1:4" x14ac:dyDescent="0.45">
      <c r="A3480">
        <v>579</v>
      </c>
      <c r="B3480" s="3">
        <f t="shared" ca="1" si="54"/>
        <v>0</v>
      </c>
      <c r="C34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0" t="str">
        <f ca="1">IF(dict_zuord_Meth_Transfers[[#This Row],[kval_active]],dict_zuord_Meth_Transfers[[#This Row],[ID_Transfers]],"")</f>
        <v/>
      </c>
    </row>
    <row r="3481" spans="1:4" x14ac:dyDescent="0.45">
      <c r="A3481">
        <v>579</v>
      </c>
      <c r="B3481">
        <f t="shared" ca="1" si="54"/>
        <v>113</v>
      </c>
      <c r="C34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1" t="str">
        <f ca="1">IF(dict_zuord_Meth_Transfers[[#This Row],[kval_active]],dict_zuord_Meth_Transfers[[#This Row],[ID_Transfers]],"")</f>
        <v/>
      </c>
    </row>
    <row r="3482" spans="1:4" x14ac:dyDescent="0.45">
      <c r="A3482">
        <v>580</v>
      </c>
      <c r="B3482" s="3">
        <f t="shared" ca="1" si="54"/>
        <v>195</v>
      </c>
      <c r="C34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2">
        <f ca="1">IF(dict_zuord_Meth_Transfers[[#This Row],[kval_active]],dict_zuord_Meth_Transfers[[#This Row],[ID_Transfers]],"")</f>
        <v>195</v>
      </c>
    </row>
    <row r="3483" spans="1:4" x14ac:dyDescent="0.45">
      <c r="A3483">
        <v>580</v>
      </c>
      <c r="B3483" s="3">
        <f t="shared" ca="1" si="54"/>
        <v>8</v>
      </c>
      <c r="C34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3">
        <f ca="1">IF(dict_zuord_Meth_Transfers[[#This Row],[kval_active]],dict_zuord_Meth_Transfers[[#This Row],[ID_Transfers]],"")</f>
        <v>8</v>
      </c>
    </row>
    <row r="3484" spans="1:4" x14ac:dyDescent="0.45">
      <c r="A3484">
        <v>580</v>
      </c>
      <c r="B3484">
        <f t="shared" ca="1" si="54"/>
        <v>92</v>
      </c>
      <c r="C34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4">
        <f ca="1">IF(dict_zuord_Meth_Transfers[[#This Row],[kval_active]],dict_zuord_Meth_Transfers[[#This Row],[ID_Transfers]],"")</f>
        <v>92</v>
      </c>
    </row>
    <row r="3485" spans="1:4" x14ac:dyDescent="0.45">
      <c r="A3485">
        <v>580</v>
      </c>
      <c r="B3485" s="3">
        <f t="shared" ca="1" si="54"/>
        <v>77</v>
      </c>
      <c r="C34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5">
        <f ca="1">IF(dict_zuord_Meth_Transfers[[#This Row],[kval_active]],dict_zuord_Meth_Transfers[[#This Row],[ID_Transfers]],"")</f>
        <v>77</v>
      </c>
    </row>
    <row r="3486" spans="1:4" x14ac:dyDescent="0.45">
      <c r="A3486">
        <v>580</v>
      </c>
      <c r="B3486">
        <f t="shared" ca="1" si="54"/>
        <v>42</v>
      </c>
      <c r="C34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6">
        <f ca="1">IF(dict_zuord_Meth_Transfers[[#This Row],[kval_active]],dict_zuord_Meth_Transfers[[#This Row],[ID_Transfers]],"")</f>
        <v>42</v>
      </c>
    </row>
    <row r="3487" spans="1:4" x14ac:dyDescent="0.45">
      <c r="A3487">
        <v>580</v>
      </c>
      <c r="B3487">
        <f t="shared" ca="1" si="54"/>
        <v>188</v>
      </c>
      <c r="C34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487">
        <f ca="1">IF(dict_zuord_Meth_Transfers[[#This Row],[kval_active]],dict_zuord_Meth_Transfers[[#This Row],[ID_Transfers]],"")</f>
        <v>188</v>
      </c>
    </row>
    <row r="3488" spans="1:4" x14ac:dyDescent="0.45">
      <c r="A3488">
        <v>581</v>
      </c>
      <c r="B3488" s="3">
        <f t="shared" ca="1" si="54"/>
        <v>35</v>
      </c>
      <c r="C34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8" t="str">
        <f ca="1">IF(dict_zuord_Meth_Transfers[[#This Row],[kval_active]],dict_zuord_Meth_Transfers[[#This Row],[ID_Transfers]],"")</f>
        <v/>
      </c>
    </row>
    <row r="3489" spans="1:4" x14ac:dyDescent="0.45">
      <c r="A3489">
        <v>581</v>
      </c>
      <c r="B3489" s="3">
        <f t="shared" ca="1" si="54"/>
        <v>185</v>
      </c>
      <c r="C34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89" t="str">
        <f ca="1">IF(dict_zuord_Meth_Transfers[[#This Row],[kval_active]],dict_zuord_Meth_Transfers[[#This Row],[ID_Transfers]],"")</f>
        <v/>
      </c>
    </row>
    <row r="3490" spans="1:4" x14ac:dyDescent="0.45">
      <c r="A3490">
        <v>581</v>
      </c>
      <c r="B3490">
        <f t="shared" ca="1" si="54"/>
        <v>174</v>
      </c>
      <c r="C34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0" t="str">
        <f ca="1">IF(dict_zuord_Meth_Transfers[[#This Row],[kval_active]],dict_zuord_Meth_Transfers[[#This Row],[ID_Transfers]],"")</f>
        <v/>
      </c>
    </row>
    <row r="3491" spans="1:4" x14ac:dyDescent="0.45">
      <c r="A3491">
        <v>581</v>
      </c>
      <c r="B3491" s="3">
        <f t="shared" ca="1" si="54"/>
        <v>49</v>
      </c>
      <c r="C34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1" t="str">
        <f ca="1">IF(dict_zuord_Meth_Transfers[[#This Row],[kval_active]],dict_zuord_Meth_Transfers[[#This Row],[ID_Transfers]],"")</f>
        <v/>
      </c>
    </row>
    <row r="3492" spans="1:4" x14ac:dyDescent="0.45">
      <c r="A3492">
        <v>581</v>
      </c>
      <c r="B3492">
        <f t="shared" ca="1" si="54"/>
        <v>31</v>
      </c>
      <c r="C34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2" t="str">
        <f ca="1">IF(dict_zuord_Meth_Transfers[[#This Row],[kval_active]],dict_zuord_Meth_Transfers[[#This Row],[ID_Transfers]],"")</f>
        <v/>
      </c>
    </row>
    <row r="3493" spans="1:4" x14ac:dyDescent="0.45">
      <c r="A3493">
        <v>581</v>
      </c>
      <c r="B3493">
        <f t="shared" ca="1" si="54"/>
        <v>58</v>
      </c>
      <c r="C34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3" t="str">
        <f ca="1">IF(dict_zuord_Meth_Transfers[[#This Row],[kval_active]],dict_zuord_Meth_Transfers[[#This Row],[ID_Transfers]],"")</f>
        <v/>
      </c>
    </row>
    <row r="3494" spans="1:4" x14ac:dyDescent="0.45">
      <c r="A3494">
        <v>582</v>
      </c>
      <c r="B3494" s="3">
        <f t="shared" ca="1" si="54"/>
        <v>163</v>
      </c>
      <c r="C34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4" t="str">
        <f ca="1">IF(dict_zuord_Meth_Transfers[[#This Row],[kval_active]],dict_zuord_Meth_Transfers[[#This Row],[ID_Transfers]],"")</f>
        <v/>
      </c>
    </row>
    <row r="3495" spans="1:4" x14ac:dyDescent="0.45">
      <c r="A3495">
        <v>582</v>
      </c>
      <c r="B3495">
        <f t="shared" ca="1" si="54"/>
        <v>76</v>
      </c>
      <c r="C34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5" t="str">
        <f ca="1">IF(dict_zuord_Meth_Transfers[[#This Row],[kval_active]],dict_zuord_Meth_Transfers[[#This Row],[ID_Transfers]],"")</f>
        <v/>
      </c>
    </row>
    <row r="3496" spans="1:4" x14ac:dyDescent="0.45">
      <c r="A3496">
        <v>582</v>
      </c>
      <c r="B3496" s="3">
        <f t="shared" ca="1" si="54"/>
        <v>47</v>
      </c>
      <c r="C34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6" t="str">
        <f ca="1">IF(dict_zuord_Meth_Transfers[[#This Row],[kval_active]],dict_zuord_Meth_Transfers[[#This Row],[ID_Transfers]],"")</f>
        <v/>
      </c>
    </row>
    <row r="3497" spans="1:4" x14ac:dyDescent="0.45">
      <c r="A3497">
        <v>582</v>
      </c>
      <c r="B3497">
        <f t="shared" ca="1" si="54"/>
        <v>26</v>
      </c>
      <c r="C34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7" t="str">
        <f ca="1">IF(dict_zuord_Meth_Transfers[[#This Row],[kval_active]],dict_zuord_Meth_Transfers[[#This Row],[ID_Transfers]],"")</f>
        <v/>
      </c>
    </row>
    <row r="3498" spans="1:4" x14ac:dyDescent="0.45">
      <c r="A3498">
        <v>582</v>
      </c>
      <c r="B3498">
        <f t="shared" ca="1" si="54"/>
        <v>131</v>
      </c>
      <c r="C34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8" t="str">
        <f ca="1">IF(dict_zuord_Meth_Transfers[[#This Row],[kval_active]],dict_zuord_Meth_Transfers[[#This Row],[ID_Transfers]],"")</f>
        <v/>
      </c>
    </row>
    <row r="3499" spans="1:4" x14ac:dyDescent="0.45">
      <c r="A3499">
        <v>582</v>
      </c>
      <c r="B3499" s="3">
        <f t="shared" ca="1" si="54"/>
        <v>151</v>
      </c>
      <c r="C34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499" t="str">
        <f ca="1">IF(dict_zuord_Meth_Transfers[[#This Row],[kval_active]],dict_zuord_Meth_Transfers[[#This Row],[ID_Transfers]],"")</f>
        <v/>
      </c>
    </row>
    <row r="3500" spans="1:4" x14ac:dyDescent="0.45">
      <c r="A3500">
        <v>583</v>
      </c>
      <c r="B3500" s="3">
        <f t="shared" ca="1" si="54"/>
        <v>190</v>
      </c>
      <c r="C35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0" t="str">
        <f ca="1">IF(dict_zuord_Meth_Transfers[[#This Row],[kval_active]],dict_zuord_Meth_Transfers[[#This Row],[ID_Transfers]],"")</f>
        <v/>
      </c>
    </row>
    <row r="3501" spans="1:4" x14ac:dyDescent="0.45">
      <c r="A3501">
        <v>583</v>
      </c>
      <c r="B3501">
        <f t="shared" ca="1" si="54"/>
        <v>75</v>
      </c>
      <c r="C35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1" t="str">
        <f ca="1">IF(dict_zuord_Meth_Transfers[[#This Row],[kval_active]],dict_zuord_Meth_Transfers[[#This Row],[ID_Transfers]],"")</f>
        <v/>
      </c>
    </row>
    <row r="3502" spans="1:4" x14ac:dyDescent="0.45">
      <c r="A3502">
        <v>583</v>
      </c>
      <c r="B3502" s="3">
        <f t="shared" ca="1" si="54"/>
        <v>151</v>
      </c>
      <c r="C35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2" t="str">
        <f ca="1">IF(dict_zuord_Meth_Transfers[[#This Row],[kval_active]],dict_zuord_Meth_Transfers[[#This Row],[ID_Transfers]],"")</f>
        <v/>
      </c>
    </row>
    <row r="3503" spans="1:4" x14ac:dyDescent="0.45">
      <c r="A3503">
        <v>583</v>
      </c>
      <c r="B3503" s="3">
        <f t="shared" ca="1" si="54"/>
        <v>109</v>
      </c>
      <c r="C35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3" t="str">
        <f ca="1">IF(dict_zuord_Meth_Transfers[[#This Row],[kval_active]],dict_zuord_Meth_Transfers[[#This Row],[ID_Transfers]],"")</f>
        <v/>
      </c>
    </row>
    <row r="3504" spans="1:4" x14ac:dyDescent="0.45">
      <c r="A3504">
        <v>583</v>
      </c>
      <c r="B3504">
        <f t="shared" ca="1" si="54"/>
        <v>31</v>
      </c>
      <c r="C35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4" t="str">
        <f ca="1">IF(dict_zuord_Meth_Transfers[[#This Row],[kval_active]],dict_zuord_Meth_Transfers[[#This Row],[ID_Transfers]],"")</f>
        <v/>
      </c>
    </row>
    <row r="3505" spans="1:4" x14ac:dyDescent="0.45">
      <c r="A3505">
        <v>583</v>
      </c>
      <c r="B3505">
        <f t="shared" ca="1" si="54"/>
        <v>98</v>
      </c>
      <c r="C35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5" t="str">
        <f ca="1">IF(dict_zuord_Meth_Transfers[[#This Row],[kval_active]],dict_zuord_Meth_Transfers[[#This Row],[ID_Transfers]],"")</f>
        <v/>
      </c>
    </row>
    <row r="3506" spans="1:4" x14ac:dyDescent="0.45">
      <c r="A3506">
        <v>584</v>
      </c>
      <c r="B3506" s="3">
        <f t="shared" ca="1" si="54"/>
        <v>48</v>
      </c>
      <c r="C35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6" t="str">
        <f ca="1">IF(dict_zuord_Meth_Transfers[[#This Row],[kval_active]],dict_zuord_Meth_Transfers[[#This Row],[ID_Transfers]],"")</f>
        <v/>
      </c>
    </row>
    <row r="3507" spans="1:4" x14ac:dyDescent="0.45">
      <c r="A3507">
        <v>584</v>
      </c>
      <c r="B3507" s="3">
        <f t="shared" ca="1" si="54"/>
        <v>126</v>
      </c>
      <c r="C35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7" t="str">
        <f ca="1">IF(dict_zuord_Meth_Transfers[[#This Row],[kval_active]],dict_zuord_Meth_Transfers[[#This Row],[ID_Transfers]],"")</f>
        <v/>
      </c>
    </row>
    <row r="3508" spans="1:4" x14ac:dyDescent="0.45">
      <c r="A3508">
        <v>584</v>
      </c>
      <c r="B3508">
        <f t="shared" ca="1" si="54"/>
        <v>197</v>
      </c>
      <c r="C35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8" t="str">
        <f ca="1">IF(dict_zuord_Meth_Transfers[[#This Row],[kval_active]],dict_zuord_Meth_Transfers[[#This Row],[ID_Transfers]],"")</f>
        <v/>
      </c>
    </row>
    <row r="3509" spans="1:4" x14ac:dyDescent="0.45">
      <c r="A3509">
        <v>584</v>
      </c>
      <c r="B3509">
        <f t="shared" ca="1" si="54"/>
        <v>93</v>
      </c>
      <c r="C35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09" t="str">
        <f ca="1">IF(dict_zuord_Meth_Transfers[[#This Row],[kval_active]],dict_zuord_Meth_Transfers[[#This Row],[ID_Transfers]],"")</f>
        <v/>
      </c>
    </row>
    <row r="3510" spans="1:4" x14ac:dyDescent="0.45">
      <c r="A3510">
        <v>584</v>
      </c>
      <c r="B3510" s="3">
        <f t="shared" ca="1" si="54"/>
        <v>110</v>
      </c>
      <c r="C35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0" t="str">
        <f ca="1">IF(dict_zuord_Meth_Transfers[[#This Row],[kval_active]],dict_zuord_Meth_Transfers[[#This Row],[ID_Transfers]],"")</f>
        <v/>
      </c>
    </row>
    <row r="3511" spans="1:4" x14ac:dyDescent="0.45">
      <c r="A3511">
        <v>584</v>
      </c>
      <c r="B3511">
        <f t="shared" ca="1" si="54"/>
        <v>126</v>
      </c>
      <c r="C35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1" t="str">
        <f ca="1">IF(dict_zuord_Meth_Transfers[[#This Row],[kval_active]],dict_zuord_Meth_Transfers[[#This Row],[ID_Transfers]],"")</f>
        <v/>
      </c>
    </row>
    <row r="3512" spans="1:4" x14ac:dyDescent="0.45">
      <c r="A3512">
        <v>585</v>
      </c>
      <c r="B3512">
        <f t="shared" ca="1" si="54"/>
        <v>161</v>
      </c>
      <c r="C35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2" t="str">
        <f ca="1">IF(dict_zuord_Meth_Transfers[[#This Row],[kval_active]],dict_zuord_Meth_Transfers[[#This Row],[ID_Transfers]],"")</f>
        <v/>
      </c>
    </row>
    <row r="3513" spans="1:4" x14ac:dyDescent="0.45">
      <c r="A3513">
        <v>585</v>
      </c>
      <c r="B3513">
        <f t="shared" ca="1" si="54"/>
        <v>189</v>
      </c>
      <c r="C35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3" t="str">
        <f ca="1">IF(dict_zuord_Meth_Transfers[[#This Row],[kval_active]],dict_zuord_Meth_Transfers[[#This Row],[ID_Transfers]],"")</f>
        <v/>
      </c>
    </row>
    <row r="3514" spans="1:4" x14ac:dyDescent="0.45">
      <c r="A3514">
        <v>585</v>
      </c>
      <c r="B3514" s="3">
        <f t="shared" ca="1" si="54"/>
        <v>193</v>
      </c>
      <c r="C35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4" t="str">
        <f ca="1">IF(dict_zuord_Meth_Transfers[[#This Row],[kval_active]],dict_zuord_Meth_Transfers[[#This Row],[ID_Transfers]],"")</f>
        <v/>
      </c>
    </row>
    <row r="3515" spans="1:4" x14ac:dyDescent="0.45">
      <c r="A3515">
        <v>585</v>
      </c>
      <c r="B3515">
        <f t="shared" ca="1" si="54"/>
        <v>151</v>
      </c>
      <c r="C35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5" t="str">
        <f ca="1">IF(dict_zuord_Meth_Transfers[[#This Row],[kval_active]],dict_zuord_Meth_Transfers[[#This Row],[ID_Transfers]],"")</f>
        <v/>
      </c>
    </row>
    <row r="3516" spans="1:4" x14ac:dyDescent="0.45">
      <c r="A3516">
        <v>585</v>
      </c>
      <c r="B3516" s="3">
        <f t="shared" ca="1" si="54"/>
        <v>147</v>
      </c>
      <c r="C35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6" t="str">
        <f ca="1">IF(dict_zuord_Meth_Transfers[[#This Row],[kval_active]],dict_zuord_Meth_Transfers[[#This Row],[ID_Transfers]],"")</f>
        <v/>
      </c>
    </row>
    <row r="3517" spans="1:4" x14ac:dyDescent="0.45">
      <c r="A3517">
        <v>585</v>
      </c>
      <c r="B3517" s="3">
        <f t="shared" ca="1" si="54"/>
        <v>169</v>
      </c>
      <c r="C35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7" t="str">
        <f ca="1">IF(dict_zuord_Meth_Transfers[[#This Row],[kval_active]],dict_zuord_Meth_Transfers[[#This Row],[ID_Transfers]],"")</f>
        <v/>
      </c>
    </row>
    <row r="3518" spans="1:4" x14ac:dyDescent="0.45">
      <c r="A3518">
        <v>586</v>
      </c>
      <c r="B3518">
        <f t="shared" ca="1" si="54"/>
        <v>56</v>
      </c>
      <c r="C35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8" t="str">
        <f ca="1">IF(dict_zuord_Meth_Transfers[[#This Row],[kval_active]],dict_zuord_Meth_Transfers[[#This Row],[ID_Transfers]],"")</f>
        <v/>
      </c>
    </row>
    <row r="3519" spans="1:4" x14ac:dyDescent="0.45">
      <c r="A3519">
        <v>586</v>
      </c>
      <c r="B3519" s="3">
        <f t="shared" ca="1" si="54"/>
        <v>187</v>
      </c>
      <c r="C35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19" t="str">
        <f ca="1">IF(dict_zuord_Meth_Transfers[[#This Row],[kval_active]],dict_zuord_Meth_Transfers[[#This Row],[ID_Transfers]],"")</f>
        <v/>
      </c>
    </row>
    <row r="3520" spans="1:4" x14ac:dyDescent="0.45">
      <c r="A3520">
        <v>586</v>
      </c>
      <c r="B3520">
        <f t="shared" ca="1" si="54"/>
        <v>71</v>
      </c>
      <c r="C35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0" t="str">
        <f ca="1">IF(dict_zuord_Meth_Transfers[[#This Row],[kval_active]],dict_zuord_Meth_Transfers[[#This Row],[ID_Transfers]],"")</f>
        <v/>
      </c>
    </row>
    <row r="3521" spans="1:4" x14ac:dyDescent="0.45">
      <c r="A3521">
        <v>586</v>
      </c>
      <c r="B3521" s="3">
        <f t="shared" ca="1" si="54"/>
        <v>106</v>
      </c>
      <c r="C35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1" t="str">
        <f ca="1">IF(dict_zuord_Meth_Transfers[[#This Row],[kval_active]],dict_zuord_Meth_Transfers[[#This Row],[ID_Transfers]],"")</f>
        <v/>
      </c>
    </row>
    <row r="3522" spans="1:4" x14ac:dyDescent="0.45">
      <c r="A3522">
        <v>586</v>
      </c>
      <c r="B3522" s="3">
        <f t="shared" ref="B3522:B3585" ca="1" si="55">RANDBETWEEN(0,200)</f>
        <v>80</v>
      </c>
      <c r="C35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2" t="str">
        <f ca="1">IF(dict_zuord_Meth_Transfers[[#This Row],[kval_active]],dict_zuord_Meth_Transfers[[#This Row],[ID_Transfers]],"")</f>
        <v/>
      </c>
    </row>
    <row r="3523" spans="1:4" x14ac:dyDescent="0.45">
      <c r="A3523">
        <v>586</v>
      </c>
      <c r="B3523">
        <f t="shared" ca="1" si="55"/>
        <v>99</v>
      </c>
      <c r="C35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3" t="str">
        <f ca="1">IF(dict_zuord_Meth_Transfers[[#This Row],[kval_active]],dict_zuord_Meth_Transfers[[#This Row],[ID_Transfers]],"")</f>
        <v/>
      </c>
    </row>
    <row r="3524" spans="1:4" x14ac:dyDescent="0.45">
      <c r="A3524">
        <v>587</v>
      </c>
      <c r="B3524">
        <f t="shared" ca="1" si="55"/>
        <v>101</v>
      </c>
      <c r="C35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4" t="str">
        <f ca="1">IF(dict_zuord_Meth_Transfers[[#This Row],[kval_active]],dict_zuord_Meth_Transfers[[#This Row],[ID_Transfers]],"")</f>
        <v/>
      </c>
    </row>
    <row r="3525" spans="1:4" x14ac:dyDescent="0.45">
      <c r="A3525">
        <v>587</v>
      </c>
      <c r="B3525">
        <f t="shared" ca="1" si="55"/>
        <v>194</v>
      </c>
      <c r="C35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5" t="str">
        <f ca="1">IF(dict_zuord_Meth_Transfers[[#This Row],[kval_active]],dict_zuord_Meth_Transfers[[#This Row],[ID_Transfers]],"")</f>
        <v/>
      </c>
    </row>
    <row r="3526" spans="1:4" x14ac:dyDescent="0.45">
      <c r="A3526">
        <v>587</v>
      </c>
      <c r="B3526" s="3">
        <f t="shared" ca="1" si="55"/>
        <v>43</v>
      </c>
      <c r="C35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6" t="str">
        <f ca="1">IF(dict_zuord_Meth_Transfers[[#This Row],[kval_active]],dict_zuord_Meth_Transfers[[#This Row],[ID_Transfers]],"")</f>
        <v/>
      </c>
    </row>
    <row r="3527" spans="1:4" x14ac:dyDescent="0.45">
      <c r="A3527">
        <v>587</v>
      </c>
      <c r="B3527" s="3">
        <f t="shared" ca="1" si="55"/>
        <v>121</v>
      </c>
      <c r="C35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7" t="str">
        <f ca="1">IF(dict_zuord_Meth_Transfers[[#This Row],[kval_active]],dict_zuord_Meth_Transfers[[#This Row],[ID_Transfers]],"")</f>
        <v/>
      </c>
    </row>
    <row r="3528" spans="1:4" x14ac:dyDescent="0.45">
      <c r="A3528">
        <v>587</v>
      </c>
      <c r="B3528" s="3">
        <f t="shared" ca="1" si="55"/>
        <v>88</v>
      </c>
      <c r="C35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8" t="str">
        <f ca="1">IF(dict_zuord_Meth_Transfers[[#This Row],[kval_active]],dict_zuord_Meth_Transfers[[#This Row],[ID_Transfers]],"")</f>
        <v/>
      </c>
    </row>
    <row r="3529" spans="1:4" x14ac:dyDescent="0.45">
      <c r="A3529">
        <v>587</v>
      </c>
      <c r="B3529">
        <f t="shared" ca="1" si="55"/>
        <v>12</v>
      </c>
      <c r="C35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29" t="str">
        <f ca="1">IF(dict_zuord_Meth_Transfers[[#This Row],[kval_active]],dict_zuord_Meth_Transfers[[#This Row],[ID_Transfers]],"")</f>
        <v/>
      </c>
    </row>
    <row r="3530" spans="1:4" x14ac:dyDescent="0.45">
      <c r="A3530">
        <v>588</v>
      </c>
      <c r="B3530">
        <f t="shared" ca="1" si="55"/>
        <v>194</v>
      </c>
      <c r="C35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0" t="str">
        <f ca="1">IF(dict_zuord_Meth_Transfers[[#This Row],[kval_active]],dict_zuord_Meth_Transfers[[#This Row],[ID_Transfers]],"")</f>
        <v/>
      </c>
    </row>
    <row r="3531" spans="1:4" x14ac:dyDescent="0.45">
      <c r="A3531">
        <v>588</v>
      </c>
      <c r="B3531" s="3">
        <f t="shared" ca="1" si="55"/>
        <v>143</v>
      </c>
      <c r="C35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1" t="str">
        <f ca="1">IF(dict_zuord_Meth_Transfers[[#This Row],[kval_active]],dict_zuord_Meth_Transfers[[#This Row],[ID_Transfers]],"")</f>
        <v/>
      </c>
    </row>
    <row r="3532" spans="1:4" x14ac:dyDescent="0.45">
      <c r="A3532">
        <v>588</v>
      </c>
      <c r="B3532" s="3">
        <f t="shared" ca="1" si="55"/>
        <v>122</v>
      </c>
      <c r="C35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2" t="str">
        <f ca="1">IF(dict_zuord_Meth_Transfers[[#This Row],[kval_active]],dict_zuord_Meth_Transfers[[#This Row],[ID_Transfers]],"")</f>
        <v/>
      </c>
    </row>
    <row r="3533" spans="1:4" x14ac:dyDescent="0.45">
      <c r="A3533">
        <v>588</v>
      </c>
      <c r="B3533">
        <f t="shared" ca="1" si="55"/>
        <v>106</v>
      </c>
      <c r="C35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3" t="str">
        <f ca="1">IF(dict_zuord_Meth_Transfers[[#This Row],[kval_active]],dict_zuord_Meth_Transfers[[#This Row],[ID_Transfers]],"")</f>
        <v/>
      </c>
    </row>
    <row r="3534" spans="1:4" x14ac:dyDescent="0.45">
      <c r="A3534">
        <v>588</v>
      </c>
      <c r="B3534">
        <f t="shared" ca="1" si="55"/>
        <v>22</v>
      </c>
      <c r="C35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4" t="str">
        <f ca="1">IF(dict_zuord_Meth_Transfers[[#This Row],[kval_active]],dict_zuord_Meth_Transfers[[#This Row],[ID_Transfers]],"")</f>
        <v/>
      </c>
    </row>
    <row r="3535" spans="1:4" x14ac:dyDescent="0.45">
      <c r="A3535">
        <v>588</v>
      </c>
      <c r="B3535" s="3">
        <f t="shared" ca="1" si="55"/>
        <v>33</v>
      </c>
      <c r="C35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5" t="str">
        <f ca="1">IF(dict_zuord_Meth_Transfers[[#This Row],[kval_active]],dict_zuord_Meth_Transfers[[#This Row],[ID_Transfers]],"")</f>
        <v/>
      </c>
    </row>
    <row r="3536" spans="1:4" x14ac:dyDescent="0.45">
      <c r="A3536">
        <v>589</v>
      </c>
      <c r="B3536" s="3">
        <f t="shared" ca="1" si="55"/>
        <v>122</v>
      </c>
      <c r="C35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6" t="str">
        <f ca="1">IF(dict_zuord_Meth_Transfers[[#This Row],[kval_active]],dict_zuord_Meth_Transfers[[#This Row],[ID_Transfers]],"")</f>
        <v/>
      </c>
    </row>
    <row r="3537" spans="1:4" x14ac:dyDescent="0.45">
      <c r="A3537">
        <v>589</v>
      </c>
      <c r="B3537">
        <f t="shared" ca="1" si="55"/>
        <v>74</v>
      </c>
      <c r="C35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7" t="str">
        <f ca="1">IF(dict_zuord_Meth_Transfers[[#This Row],[kval_active]],dict_zuord_Meth_Transfers[[#This Row],[ID_Transfers]],"")</f>
        <v/>
      </c>
    </row>
    <row r="3538" spans="1:4" x14ac:dyDescent="0.45">
      <c r="A3538">
        <v>589</v>
      </c>
      <c r="B3538" s="3">
        <f t="shared" ca="1" si="55"/>
        <v>179</v>
      </c>
      <c r="C35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8" t="str">
        <f ca="1">IF(dict_zuord_Meth_Transfers[[#This Row],[kval_active]],dict_zuord_Meth_Transfers[[#This Row],[ID_Transfers]],"")</f>
        <v/>
      </c>
    </row>
    <row r="3539" spans="1:4" x14ac:dyDescent="0.45">
      <c r="A3539">
        <v>589</v>
      </c>
      <c r="B3539" s="3">
        <f t="shared" ca="1" si="55"/>
        <v>154</v>
      </c>
      <c r="C35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39" t="str">
        <f ca="1">IF(dict_zuord_Meth_Transfers[[#This Row],[kval_active]],dict_zuord_Meth_Transfers[[#This Row],[ID_Transfers]],"")</f>
        <v/>
      </c>
    </row>
    <row r="3540" spans="1:4" x14ac:dyDescent="0.45">
      <c r="A3540">
        <v>589</v>
      </c>
      <c r="B3540">
        <f t="shared" ca="1" si="55"/>
        <v>172</v>
      </c>
      <c r="C35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0" t="str">
        <f ca="1">IF(dict_zuord_Meth_Transfers[[#This Row],[kval_active]],dict_zuord_Meth_Transfers[[#This Row],[ID_Transfers]],"")</f>
        <v/>
      </c>
    </row>
    <row r="3541" spans="1:4" x14ac:dyDescent="0.45">
      <c r="A3541">
        <v>589</v>
      </c>
      <c r="B3541">
        <f t="shared" ca="1" si="55"/>
        <v>157</v>
      </c>
      <c r="C35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1" t="str">
        <f ca="1">IF(dict_zuord_Meth_Transfers[[#This Row],[kval_active]],dict_zuord_Meth_Transfers[[#This Row],[ID_Transfers]],"")</f>
        <v/>
      </c>
    </row>
    <row r="3542" spans="1:4" x14ac:dyDescent="0.45">
      <c r="A3542">
        <v>590</v>
      </c>
      <c r="B3542" s="3">
        <f t="shared" ca="1" si="55"/>
        <v>171</v>
      </c>
      <c r="C35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2" t="str">
        <f ca="1">IF(dict_zuord_Meth_Transfers[[#This Row],[kval_active]],dict_zuord_Meth_Transfers[[#This Row],[ID_Transfers]],"")</f>
        <v/>
      </c>
    </row>
    <row r="3543" spans="1:4" x14ac:dyDescent="0.45">
      <c r="A3543">
        <v>590</v>
      </c>
      <c r="B3543" s="3">
        <f t="shared" ca="1" si="55"/>
        <v>84</v>
      </c>
      <c r="C35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3" t="str">
        <f ca="1">IF(dict_zuord_Meth_Transfers[[#This Row],[kval_active]],dict_zuord_Meth_Transfers[[#This Row],[ID_Transfers]],"")</f>
        <v/>
      </c>
    </row>
    <row r="3544" spans="1:4" x14ac:dyDescent="0.45">
      <c r="A3544">
        <v>590</v>
      </c>
      <c r="B3544">
        <f t="shared" ca="1" si="55"/>
        <v>83</v>
      </c>
      <c r="C35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4" t="str">
        <f ca="1">IF(dict_zuord_Meth_Transfers[[#This Row],[kval_active]],dict_zuord_Meth_Transfers[[#This Row],[ID_Transfers]],"")</f>
        <v/>
      </c>
    </row>
    <row r="3545" spans="1:4" x14ac:dyDescent="0.45">
      <c r="A3545">
        <v>590</v>
      </c>
      <c r="B3545">
        <f t="shared" ca="1" si="55"/>
        <v>17</v>
      </c>
      <c r="C35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5" t="str">
        <f ca="1">IF(dict_zuord_Meth_Transfers[[#This Row],[kval_active]],dict_zuord_Meth_Transfers[[#This Row],[ID_Transfers]],"")</f>
        <v/>
      </c>
    </row>
    <row r="3546" spans="1:4" x14ac:dyDescent="0.45">
      <c r="A3546">
        <v>590</v>
      </c>
      <c r="B3546" s="3">
        <f t="shared" ca="1" si="55"/>
        <v>91</v>
      </c>
      <c r="C35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6" t="str">
        <f ca="1">IF(dict_zuord_Meth_Transfers[[#This Row],[kval_active]],dict_zuord_Meth_Transfers[[#This Row],[ID_Transfers]],"")</f>
        <v/>
      </c>
    </row>
    <row r="3547" spans="1:4" x14ac:dyDescent="0.45">
      <c r="A3547">
        <v>590</v>
      </c>
      <c r="B3547">
        <f t="shared" ca="1" si="55"/>
        <v>81</v>
      </c>
      <c r="C35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7" t="str">
        <f ca="1">IF(dict_zuord_Meth_Transfers[[#This Row],[kval_active]],dict_zuord_Meth_Transfers[[#This Row],[ID_Transfers]],"")</f>
        <v/>
      </c>
    </row>
    <row r="3548" spans="1:4" x14ac:dyDescent="0.45">
      <c r="A3548">
        <v>591</v>
      </c>
      <c r="B3548">
        <f t="shared" ca="1" si="55"/>
        <v>2</v>
      </c>
      <c r="C35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8" t="str">
        <f ca="1">IF(dict_zuord_Meth_Transfers[[#This Row],[kval_active]],dict_zuord_Meth_Transfers[[#This Row],[ID_Transfers]],"")</f>
        <v/>
      </c>
    </row>
    <row r="3549" spans="1:4" x14ac:dyDescent="0.45">
      <c r="A3549">
        <v>591</v>
      </c>
      <c r="B3549">
        <f t="shared" ca="1" si="55"/>
        <v>55</v>
      </c>
      <c r="C35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49" t="str">
        <f ca="1">IF(dict_zuord_Meth_Transfers[[#This Row],[kval_active]],dict_zuord_Meth_Transfers[[#This Row],[ID_Transfers]],"")</f>
        <v/>
      </c>
    </row>
    <row r="3550" spans="1:4" x14ac:dyDescent="0.45">
      <c r="A3550">
        <v>591</v>
      </c>
      <c r="B3550">
        <f t="shared" ca="1" si="55"/>
        <v>32</v>
      </c>
      <c r="C35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0" t="str">
        <f ca="1">IF(dict_zuord_Meth_Transfers[[#This Row],[kval_active]],dict_zuord_Meth_Transfers[[#This Row],[ID_Transfers]],"")</f>
        <v/>
      </c>
    </row>
    <row r="3551" spans="1:4" x14ac:dyDescent="0.45">
      <c r="A3551">
        <v>591</v>
      </c>
      <c r="B3551" s="3">
        <f t="shared" ca="1" si="55"/>
        <v>74</v>
      </c>
      <c r="C35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1" t="str">
        <f ca="1">IF(dict_zuord_Meth_Transfers[[#This Row],[kval_active]],dict_zuord_Meth_Transfers[[#This Row],[ID_Transfers]],"")</f>
        <v/>
      </c>
    </row>
    <row r="3552" spans="1:4" x14ac:dyDescent="0.45">
      <c r="A3552">
        <v>591</v>
      </c>
      <c r="B3552" s="3">
        <f t="shared" ca="1" si="55"/>
        <v>100</v>
      </c>
      <c r="C35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2" t="str">
        <f ca="1">IF(dict_zuord_Meth_Transfers[[#This Row],[kval_active]],dict_zuord_Meth_Transfers[[#This Row],[ID_Transfers]],"")</f>
        <v/>
      </c>
    </row>
    <row r="3553" spans="1:4" x14ac:dyDescent="0.45">
      <c r="A3553">
        <v>591</v>
      </c>
      <c r="B3553" s="3">
        <f t="shared" ca="1" si="55"/>
        <v>43</v>
      </c>
      <c r="C35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3" t="str">
        <f ca="1">IF(dict_zuord_Meth_Transfers[[#This Row],[kval_active]],dict_zuord_Meth_Transfers[[#This Row],[ID_Transfers]],"")</f>
        <v/>
      </c>
    </row>
    <row r="3554" spans="1:4" x14ac:dyDescent="0.45">
      <c r="A3554">
        <v>592</v>
      </c>
      <c r="B3554" s="3">
        <f t="shared" ca="1" si="55"/>
        <v>67</v>
      </c>
      <c r="C35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4" t="str">
        <f ca="1">IF(dict_zuord_Meth_Transfers[[#This Row],[kval_active]],dict_zuord_Meth_Transfers[[#This Row],[ID_Transfers]],"")</f>
        <v/>
      </c>
    </row>
    <row r="3555" spans="1:4" x14ac:dyDescent="0.45">
      <c r="A3555">
        <v>592</v>
      </c>
      <c r="B3555" s="3">
        <f t="shared" ca="1" si="55"/>
        <v>111</v>
      </c>
      <c r="C35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5" t="str">
        <f ca="1">IF(dict_zuord_Meth_Transfers[[#This Row],[kval_active]],dict_zuord_Meth_Transfers[[#This Row],[ID_Transfers]],"")</f>
        <v/>
      </c>
    </row>
    <row r="3556" spans="1:4" x14ac:dyDescent="0.45">
      <c r="A3556">
        <v>592</v>
      </c>
      <c r="B3556">
        <f t="shared" ca="1" si="55"/>
        <v>96</v>
      </c>
      <c r="C35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6" t="str">
        <f ca="1">IF(dict_zuord_Meth_Transfers[[#This Row],[kval_active]],dict_zuord_Meth_Transfers[[#This Row],[ID_Transfers]],"")</f>
        <v/>
      </c>
    </row>
    <row r="3557" spans="1:4" x14ac:dyDescent="0.45">
      <c r="A3557">
        <v>592</v>
      </c>
      <c r="B3557" s="3">
        <f t="shared" ca="1" si="55"/>
        <v>200</v>
      </c>
      <c r="C35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7" t="str">
        <f ca="1">IF(dict_zuord_Meth_Transfers[[#This Row],[kval_active]],dict_zuord_Meth_Transfers[[#This Row],[ID_Transfers]],"")</f>
        <v/>
      </c>
    </row>
    <row r="3558" spans="1:4" x14ac:dyDescent="0.45">
      <c r="A3558">
        <v>592</v>
      </c>
      <c r="B3558">
        <f t="shared" ca="1" si="55"/>
        <v>171</v>
      </c>
      <c r="C35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8" t="str">
        <f ca="1">IF(dict_zuord_Meth_Transfers[[#This Row],[kval_active]],dict_zuord_Meth_Transfers[[#This Row],[ID_Transfers]],"")</f>
        <v/>
      </c>
    </row>
    <row r="3559" spans="1:4" x14ac:dyDescent="0.45">
      <c r="A3559">
        <v>592</v>
      </c>
      <c r="B3559">
        <f t="shared" ca="1" si="55"/>
        <v>116</v>
      </c>
      <c r="C35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59" t="str">
        <f ca="1">IF(dict_zuord_Meth_Transfers[[#This Row],[kval_active]],dict_zuord_Meth_Transfers[[#This Row],[ID_Transfers]],"")</f>
        <v/>
      </c>
    </row>
    <row r="3560" spans="1:4" x14ac:dyDescent="0.45">
      <c r="A3560">
        <v>593</v>
      </c>
      <c r="B3560" s="3">
        <f t="shared" ca="1" si="55"/>
        <v>19</v>
      </c>
      <c r="C35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0" t="str">
        <f ca="1">IF(dict_zuord_Meth_Transfers[[#This Row],[kval_active]],dict_zuord_Meth_Transfers[[#This Row],[ID_Transfers]],"")</f>
        <v/>
      </c>
    </row>
    <row r="3561" spans="1:4" x14ac:dyDescent="0.45">
      <c r="A3561">
        <v>593</v>
      </c>
      <c r="B3561" s="3">
        <f t="shared" ca="1" si="55"/>
        <v>36</v>
      </c>
      <c r="C35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1" t="str">
        <f ca="1">IF(dict_zuord_Meth_Transfers[[#This Row],[kval_active]],dict_zuord_Meth_Transfers[[#This Row],[ID_Transfers]],"")</f>
        <v/>
      </c>
    </row>
    <row r="3562" spans="1:4" x14ac:dyDescent="0.45">
      <c r="A3562">
        <v>593</v>
      </c>
      <c r="B3562">
        <f t="shared" ca="1" si="55"/>
        <v>46</v>
      </c>
      <c r="C35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2" t="str">
        <f ca="1">IF(dict_zuord_Meth_Transfers[[#This Row],[kval_active]],dict_zuord_Meth_Transfers[[#This Row],[ID_Transfers]],"")</f>
        <v/>
      </c>
    </row>
    <row r="3563" spans="1:4" x14ac:dyDescent="0.45">
      <c r="A3563">
        <v>593</v>
      </c>
      <c r="B3563">
        <f t="shared" ca="1" si="55"/>
        <v>111</v>
      </c>
      <c r="C35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3" t="str">
        <f ca="1">IF(dict_zuord_Meth_Transfers[[#This Row],[kval_active]],dict_zuord_Meth_Transfers[[#This Row],[ID_Transfers]],"")</f>
        <v/>
      </c>
    </row>
    <row r="3564" spans="1:4" x14ac:dyDescent="0.45">
      <c r="A3564">
        <v>593</v>
      </c>
      <c r="B3564" s="3">
        <f t="shared" ca="1" si="55"/>
        <v>97</v>
      </c>
      <c r="C35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4" t="str">
        <f ca="1">IF(dict_zuord_Meth_Transfers[[#This Row],[kval_active]],dict_zuord_Meth_Transfers[[#This Row],[ID_Transfers]],"")</f>
        <v/>
      </c>
    </row>
    <row r="3565" spans="1:4" x14ac:dyDescent="0.45">
      <c r="A3565">
        <v>593</v>
      </c>
      <c r="B3565">
        <f t="shared" ca="1" si="55"/>
        <v>72</v>
      </c>
      <c r="C35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5" t="str">
        <f ca="1">IF(dict_zuord_Meth_Transfers[[#This Row],[kval_active]],dict_zuord_Meth_Transfers[[#This Row],[ID_Transfers]],"")</f>
        <v/>
      </c>
    </row>
    <row r="3566" spans="1:4" x14ac:dyDescent="0.45">
      <c r="A3566">
        <v>594</v>
      </c>
      <c r="B3566" s="3">
        <f t="shared" ca="1" si="55"/>
        <v>141</v>
      </c>
      <c r="C35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6" t="str">
        <f ca="1">IF(dict_zuord_Meth_Transfers[[#This Row],[kval_active]],dict_zuord_Meth_Transfers[[#This Row],[ID_Transfers]],"")</f>
        <v/>
      </c>
    </row>
    <row r="3567" spans="1:4" x14ac:dyDescent="0.45">
      <c r="A3567">
        <v>594</v>
      </c>
      <c r="B3567">
        <f t="shared" ca="1" si="55"/>
        <v>187</v>
      </c>
      <c r="C35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7" t="str">
        <f ca="1">IF(dict_zuord_Meth_Transfers[[#This Row],[kval_active]],dict_zuord_Meth_Transfers[[#This Row],[ID_Transfers]],"")</f>
        <v/>
      </c>
    </row>
    <row r="3568" spans="1:4" x14ac:dyDescent="0.45">
      <c r="A3568">
        <v>594</v>
      </c>
      <c r="B3568">
        <f t="shared" ca="1" si="55"/>
        <v>6</v>
      </c>
      <c r="C35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8" t="str">
        <f ca="1">IF(dict_zuord_Meth_Transfers[[#This Row],[kval_active]],dict_zuord_Meth_Transfers[[#This Row],[ID_Transfers]],"")</f>
        <v/>
      </c>
    </row>
    <row r="3569" spans="1:4" x14ac:dyDescent="0.45">
      <c r="A3569">
        <v>594</v>
      </c>
      <c r="B3569" s="3">
        <f t="shared" ca="1" si="55"/>
        <v>129</v>
      </c>
      <c r="C35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69" t="str">
        <f ca="1">IF(dict_zuord_Meth_Transfers[[#This Row],[kval_active]],dict_zuord_Meth_Transfers[[#This Row],[ID_Transfers]],"")</f>
        <v/>
      </c>
    </row>
    <row r="3570" spans="1:4" x14ac:dyDescent="0.45">
      <c r="A3570">
        <v>594</v>
      </c>
      <c r="B3570">
        <f t="shared" ca="1" si="55"/>
        <v>99</v>
      </c>
      <c r="C35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0" t="str">
        <f ca="1">IF(dict_zuord_Meth_Transfers[[#This Row],[kval_active]],dict_zuord_Meth_Transfers[[#This Row],[ID_Transfers]],"")</f>
        <v/>
      </c>
    </row>
    <row r="3571" spans="1:4" x14ac:dyDescent="0.45">
      <c r="A3571">
        <v>594</v>
      </c>
      <c r="B3571" s="3">
        <f t="shared" ca="1" si="55"/>
        <v>124</v>
      </c>
      <c r="C35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1" t="str">
        <f ca="1">IF(dict_zuord_Meth_Transfers[[#This Row],[kval_active]],dict_zuord_Meth_Transfers[[#This Row],[ID_Transfers]],"")</f>
        <v/>
      </c>
    </row>
    <row r="3572" spans="1:4" x14ac:dyDescent="0.45">
      <c r="A3572">
        <v>595</v>
      </c>
      <c r="B3572">
        <f t="shared" ca="1" si="55"/>
        <v>64</v>
      </c>
      <c r="C35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2" t="str">
        <f ca="1">IF(dict_zuord_Meth_Transfers[[#This Row],[kval_active]],dict_zuord_Meth_Transfers[[#This Row],[ID_Transfers]],"")</f>
        <v/>
      </c>
    </row>
    <row r="3573" spans="1:4" x14ac:dyDescent="0.45">
      <c r="A3573">
        <v>595</v>
      </c>
      <c r="B3573" s="3">
        <f t="shared" ca="1" si="55"/>
        <v>88</v>
      </c>
      <c r="C35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3" t="str">
        <f ca="1">IF(dict_zuord_Meth_Transfers[[#This Row],[kval_active]],dict_zuord_Meth_Transfers[[#This Row],[ID_Transfers]],"")</f>
        <v/>
      </c>
    </row>
    <row r="3574" spans="1:4" x14ac:dyDescent="0.45">
      <c r="A3574">
        <v>595</v>
      </c>
      <c r="B3574">
        <f t="shared" ca="1" si="55"/>
        <v>84</v>
      </c>
      <c r="C35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4" t="str">
        <f ca="1">IF(dict_zuord_Meth_Transfers[[#This Row],[kval_active]],dict_zuord_Meth_Transfers[[#This Row],[ID_Transfers]],"")</f>
        <v/>
      </c>
    </row>
    <row r="3575" spans="1:4" x14ac:dyDescent="0.45">
      <c r="A3575">
        <v>595</v>
      </c>
      <c r="B3575" s="3">
        <f t="shared" ca="1" si="55"/>
        <v>8</v>
      </c>
      <c r="C35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5" t="str">
        <f ca="1">IF(dict_zuord_Meth_Transfers[[#This Row],[kval_active]],dict_zuord_Meth_Transfers[[#This Row],[ID_Transfers]],"")</f>
        <v/>
      </c>
    </row>
    <row r="3576" spans="1:4" x14ac:dyDescent="0.45">
      <c r="A3576">
        <v>595</v>
      </c>
      <c r="B3576" s="3">
        <f t="shared" ca="1" si="55"/>
        <v>116</v>
      </c>
      <c r="C35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6" t="str">
        <f ca="1">IF(dict_zuord_Meth_Transfers[[#This Row],[kval_active]],dict_zuord_Meth_Transfers[[#This Row],[ID_Transfers]],"")</f>
        <v/>
      </c>
    </row>
    <row r="3577" spans="1:4" x14ac:dyDescent="0.45">
      <c r="A3577">
        <v>595</v>
      </c>
      <c r="B3577">
        <f t="shared" ca="1" si="55"/>
        <v>48</v>
      </c>
      <c r="C35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7" t="str">
        <f ca="1">IF(dict_zuord_Meth_Transfers[[#This Row],[kval_active]],dict_zuord_Meth_Transfers[[#This Row],[ID_Transfers]],"")</f>
        <v/>
      </c>
    </row>
    <row r="3578" spans="1:4" x14ac:dyDescent="0.45">
      <c r="A3578">
        <v>596</v>
      </c>
      <c r="B3578" s="3">
        <f t="shared" ca="1" si="55"/>
        <v>160</v>
      </c>
      <c r="C35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8" t="str">
        <f ca="1">IF(dict_zuord_Meth_Transfers[[#This Row],[kval_active]],dict_zuord_Meth_Transfers[[#This Row],[ID_Transfers]],"")</f>
        <v/>
      </c>
    </row>
    <row r="3579" spans="1:4" x14ac:dyDescent="0.45">
      <c r="A3579">
        <v>596</v>
      </c>
      <c r="B3579">
        <f t="shared" ca="1" si="55"/>
        <v>89</v>
      </c>
      <c r="C35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79" t="str">
        <f ca="1">IF(dict_zuord_Meth_Transfers[[#This Row],[kval_active]],dict_zuord_Meth_Transfers[[#This Row],[ID_Transfers]],"")</f>
        <v/>
      </c>
    </row>
    <row r="3580" spans="1:4" x14ac:dyDescent="0.45">
      <c r="A3580">
        <v>596</v>
      </c>
      <c r="B3580" s="3">
        <f t="shared" ca="1" si="55"/>
        <v>182</v>
      </c>
      <c r="C35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0" t="str">
        <f ca="1">IF(dict_zuord_Meth_Transfers[[#This Row],[kval_active]],dict_zuord_Meth_Transfers[[#This Row],[ID_Transfers]],"")</f>
        <v/>
      </c>
    </row>
    <row r="3581" spans="1:4" x14ac:dyDescent="0.45">
      <c r="A3581">
        <v>596</v>
      </c>
      <c r="B3581">
        <f t="shared" ca="1" si="55"/>
        <v>74</v>
      </c>
      <c r="C35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1" t="str">
        <f ca="1">IF(dict_zuord_Meth_Transfers[[#This Row],[kval_active]],dict_zuord_Meth_Transfers[[#This Row],[ID_Transfers]],"")</f>
        <v/>
      </c>
    </row>
    <row r="3582" spans="1:4" x14ac:dyDescent="0.45">
      <c r="A3582">
        <v>596</v>
      </c>
      <c r="B3582" s="3">
        <f t="shared" ca="1" si="55"/>
        <v>81</v>
      </c>
      <c r="C35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2" t="str">
        <f ca="1">IF(dict_zuord_Meth_Transfers[[#This Row],[kval_active]],dict_zuord_Meth_Transfers[[#This Row],[ID_Transfers]],"")</f>
        <v/>
      </c>
    </row>
    <row r="3583" spans="1:4" x14ac:dyDescent="0.45">
      <c r="A3583">
        <v>596</v>
      </c>
      <c r="B3583">
        <f t="shared" ca="1" si="55"/>
        <v>15</v>
      </c>
      <c r="C35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3" t="str">
        <f ca="1">IF(dict_zuord_Meth_Transfers[[#This Row],[kval_active]],dict_zuord_Meth_Transfers[[#This Row],[ID_Transfers]],"")</f>
        <v/>
      </c>
    </row>
    <row r="3584" spans="1:4" x14ac:dyDescent="0.45">
      <c r="A3584">
        <v>597</v>
      </c>
      <c r="B3584" s="3">
        <f t="shared" ca="1" si="55"/>
        <v>49</v>
      </c>
      <c r="C35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4" t="str">
        <f ca="1">IF(dict_zuord_Meth_Transfers[[#This Row],[kval_active]],dict_zuord_Meth_Transfers[[#This Row],[ID_Transfers]],"")</f>
        <v/>
      </c>
    </row>
    <row r="3585" spans="1:4" x14ac:dyDescent="0.45">
      <c r="A3585">
        <v>597</v>
      </c>
      <c r="B3585">
        <f t="shared" ca="1" si="55"/>
        <v>8</v>
      </c>
      <c r="C35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5" t="str">
        <f ca="1">IF(dict_zuord_Meth_Transfers[[#This Row],[kval_active]],dict_zuord_Meth_Transfers[[#This Row],[ID_Transfers]],"")</f>
        <v/>
      </c>
    </row>
    <row r="3586" spans="1:4" x14ac:dyDescent="0.45">
      <c r="A3586">
        <v>597</v>
      </c>
      <c r="B3586">
        <f t="shared" ref="B3586:B3649" ca="1" si="56">RANDBETWEEN(0,200)</f>
        <v>38</v>
      </c>
      <c r="C35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6" t="str">
        <f ca="1">IF(dict_zuord_Meth_Transfers[[#This Row],[kval_active]],dict_zuord_Meth_Transfers[[#This Row],[ID_Transfers]],"")</f>
        <v/>
      </c>
    </row>
    <row r="3587" spans="1:4" x14ac:dyDescent="0.45">
      <c r="A3587">
        <v>597</v>
      </c>
      <c r="B3587" s="3">
        <f t="shared" ca="1" si="56"/>
        <v>71</v>
      </c>
      <c r="C35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7" t="str">
        <f ca="1">IF(dict_zuord_Meth_Transfers[[#This Row],[kval_active]],dict_zuord_Meth_Transfers[[#This Row],[ID_Transfers]],"")</f>
        <v/>
      </c>
    </row>
    <row r="3588" spans="1:4" x14ac:dyDescent="0.45">
      <c r="A3588">
        <v>597</v>
      </c>
      <c r="B3588">
        <f t="shared" ca="1" si="56"/>
        <v>175</v>
      </c>
      <c r="C35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8" t="str">
        <f ca="1">IF(dict_zuord_Meth_Transfers[[#This Row],[kval_active]],dict_zuord_Meth_Transfers[[#This Row],[ID_Transfers]],"")</f>
        <v/>
      </c>
    </row>
    <row r="3589" spans="1:4" x14ac:dyDescent="0.45">
      <c r="A3589">
        <v>597</v>
      </c>
      <c r="B3589" s="3">
        <f t="shared" ca="1" si="56"/>
        <v>180</v>
      </c>
      <c r="C35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89" t="str">
        <f ca="1">IF(dict_zuord_Meth_Transfers[[#This Row],[kval_active]],dict_zuord_Meth_Transfers[[#This Row],[ID_Transfers]],"")</f>
        <v/>
      </c>
    </row>
    <row r="3590" spans="1:4" x14ac:dyDescent="0.45">
      <c r="A3590">
        <v>598</v>
      </c>
      <c r="B3590" s="3">
        <f t="shared" ca="1" si="56"/>
        <v>123</v>
      </c>
      <c r="C35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0" t="str">
        <f ca="1">IF(dict_zuord_Meth_Transfers[[#This Row],[kval_active]],dict_zuord_Meth_Transfers[[#This Row],[ID_Transfers]],"")</f>
        <v/>
      </c>
    </row>
    <row r="3591" spans="1:4" x14ac:dyDescent="0.45">
      <c r="A3591">
        <v>598</v>
      </c>
      <c r="B3591" s="3">
        <f t="shared" ca="1" si="56"/>
        <v>17</v>
      </c>
      <c r="C35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1" t="str">
        <f ca="1">IF(dict_zuord_Meth_Transfers[[#This Row],[kval_active]],dict_zuord_Meth_Transfers[[#This Row],[ID_Transfers]],"")</f>
        <v/>
      </c>
    </row>
    <row r="3592" spans="1:4" x14ac:dyDescent="0.45">
      <c r="A3592">
        <v>598</v>
      </c>
      <c r="B3592" s="3">
        <f t="shared" ca="1" si="56"/>
        <v>122</v>
      </c>
      <c r="C35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2" t="str">
        <f ca="1">IF(dict_zuord_Meth_Transfers[[#This Row],[kval_active]],dict_zuord_Meth_Transfers[[#This Row],[ID_Transfers]],"")</f>
        <v/>
      </c>
    </row>
    <row r="3593" spans="1:4" x14ac:dyDescent="0.45">
      <c r="A3593">
        <v>598</v>
      </c>
      <c r="B3593">
        <f t="shared" ca="1" si="56"/>
        <v>92</v>
      </c>
      <c r="C35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3" t="str">
        <f ca="1">IF(dict_zuord_Meth_Transfers[[#This Row],[kval_active]],dict_zuord_Meth_Transfers[[#This Row],[ID_Transfers]],"")</f>
        <v/>
      </c>
    </row>
    <row r="3594" spans="1:4" x14ac:dyDescent="0.45">
      <c r="A3594">
        <v>598</v>
      </c>
      <c r="B3594">
        <f t="shared" ca="1" si="56"/>
        <v>168</v>
      </c>
      <c r="C35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4" t="str">
        <f ca="1">IF(dict_zuord_Meth_Transfers[[#This Row],[kval_active]],dict_zuord_Meth_Transfers[[#This Row],[ID_Transfers]],"")</f>
        <v/>
      </c>
    </row>
    <row r="3595" spans="1:4" x14ac:dyDescent="0.45">
      <c r="A3595">
        <v>598</v>
      </c>
      <c r="B3595">
        <f t="shared" ca="1" si="56"/>
        <v>166</v>
      </c>
      <c r="C35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5" t="str">
        <f ca="1">IF(dict_zuord_Meth_Transfers[[#This Row],[kval_active]],dict_zuord_Meth_Transfers[[#This Row],[ID_Transfers]],"")</f>
        <v/>
      </c>
    </row>
    <row r="3596" spans="1:4" x14ac:dyDescent="0.45">
      <c r="A3596">
        <v>599</v>
      </c>
      <c r="B3596">
        <f t="shared" ca="1" si="56"/>
        <v>26</v>
      </c>
      <c r="C35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6" t="str">
        <f ca="1">IF(dict_zuord_Meth_Transfers[[#This Row],[kval_active]],dict_zuord_Meth_Transfers[[#This Row],[ID_Transfers]],"")</f>
        <v/>
      </c>
    </row>
    <row r="3597" spans="1:4" x14ac:dyDescent="0.45">
      <c r="A3597">
        <v>599</v>
      </c>
      <c r="B3597">
        <f t="shared" ca="1" si="56"/>
        <v>24</v>
      </c>
      <c r="C35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7" t="str">
        <f ca="1">IF(dict_zuord_Meth_Transfers[[#This Row],[kval_active]],dict_zuord_Meth_Transfers[[#This Row],[ID_Transfers]],"")</f>
        <v/>
      </c>
    </row>
    <row r="3598" spans="1:4" x14ac:dyDescent="0.45">
      <c r="A3598">
        <v>599</v>
      </c>
      <c r="B3598">
        <f t="shared" ca="1" si="56"/>
        <v>162</v>
      </c>
      <c r="C35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8" t="str">
        <f ca="1">IF(dict_zuord_Meth_Transfers[[#This Row],[kval_active]],dict_zuord_Meth_Transfers[[#This Row],[ID_Transfers]],"")</f>
        <v/>
      </c>
    </row>
    <row r="3599" spans="1:4" x14ac:dyDescent="0.45">
      <c r="A3599">
        <v>599</v>
      </c>
      <c r="B3599" s="3">
        <f t="shared" ca="1" si="56"/>
        <v>41</v>
      </c>
      <c r="C35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599" t="str">
        <f ca="1">IF(dict_zuord_Meth_Transfers[[#This Row],[kval_active]],dict_zuord_Meth_Transfers[[#This Row],[ID_Transfers]],"")</f>
        <v/>
      </c>
    </row>
    <row r="3600" spans="1:4" x14ac:dyDescent="0.45">
      <c r="A3600">
        <v>599</v>
      </c>
      <c r="B3600" s="3">
        <f t="shared" ca="1" si="56"/>
        <v>150</v>
      </c>
      <c r="C36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0" t="str">
        <f ca="1">IF(dict_zuord_Meth_Transfers[[#This Row],[kval_active]],dict_zuord_Meth_Transfers[[#This Row],[ID_Transfers]],"")</f>
        <v/>
      </c>
    </row>
    <row r="3601" spans="1:4" x14ac:dyDescent="0.45">
      <c r="A3601">
        <v>599</v>
      </c>
      <c r="B3601" s="3">
        <f t="shared" ca="1" si="56"/>
        <v>49</v>
      </c>
      <c r="C36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1" t="str">
        <f ca="1">IF(dict_zuord_Meth_Transfers[[#This Row],[kval_active]],dict_zuord_Meth_Transfers[[#This Row],[ID_Transfers]],"")</f>
        <v/>
      </c>
    </row>
    <row r="3602" spans="1:4" x14ac:dyDescent="0.45">
      <c r="A3602">
        <v>600</v>
      </c>
      <c r="B3602" s="3">
        <f t="shared" ca="1" si="56"/>
        <v>2</v>
      </c>
      <c r="C36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2" t="str">
        <f ca="1">IF(dict_zuord_Meth_Transfers[[#This Row],[kval_active]],dict_zuord_Meth_Transfers[[#This Row],[ID_Transfers]],"")</f>
        <v/>
      </c>
    </row>
    <row r="3603" spans="1:4" x14ac:dyDescent="0.45">
      <c r="A3603">
        <v>600</v>
      </c>
      <c r="B3603">
        <f t="shared" ca="1" si="56"/>
        <v>105</v>
      </c>
      <c r="C36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3" t="str">
        <f ca="1">IF(dict_zuord_Meth_Transfers[[#This Row],[kval_active]],dict_zuord_Meth_Transfers[[#This Row],[ID_Transfers]],"")</f>
        <v/>
      </c>
    </row>
    <row r="3604" spans="1:4" x14ac:dyDescent="0.45">
      <c r="A3604">
        <v>600</v>
      </c>
      <c r="B3604">
        <f t="shared" ca="1" si="56"/>
        <v>58</v>
      </c>
      <c r="C36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4" t="str">
        <f ca="1">IF(dict_zuord_Meth_Transfers[[#This Row],[kval_active]],dict_zuord_Meth_Transfers[[#This Row],[ID_Transfers]],"")</f>
        <v/>
      </c>
    </row>
    <row r="3605" spans="1:4" x14ac:dyDescent="0.45">
      <c r="A3605">
        <v>600</v>
      </c>
      <c r="B3605" s="3">
        <f t="shared" ca="1" si="56"/>
        <v>184</v>
      </c>
      <c r="C36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5" t="str">
        <f ca="1">IF(dict_zuord_Meth_Transfers[[#This Row],[kval_active]],dict_zuord_Meth_Transfers[[#This Row],[ID_Transfers]],"")</f>
        <v/>
      </c>
    </row>
    <row r="3606" spans="1:4" x14ac:dyDescent="0.45">
      <c r="A3606">
        <v>600</v>
      </c>
      <c r="B3606" s="3">
        <f t="shared" ca="1" si="56"/>
        <v>81</v>
      </c>
      <c r="C36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6" t="str">
        <f ca="1">IF(dict_zuord_Meth_Transfers[[#This Row],[kval_active]],dict_zuord_Meth_Transfers[[#This Row],[ID_Transfers]],"")</f>
        <v/>
      </c>
    </row>
    <row r="3607" spans="1:4" x14ac:dyDescent="0.45">
      <c r="A3607">
        <v>600</v>
      </c>
      <c r="B3607">
        <f t="shared" ca="1" si="56"/>
        <v>150</v>
      </c>
      <c r="C36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7" t="str">
        <f ca="1">IF(dict_zuord_Meth_Transfers[[#This Row],[kval_active]],dict_zuord_Meth_Transfers[[#This Row],[ID_Transfers]],"")</f>
        <v/>
      </c>
    </row>
    <row r="3608" spans="1:4" x14ac:dyDescent="0.45">
      <c r="A3608">
        <v>601</v>
      </c>
      <c r="B3608">
        <f t="shared" ca="1" si="56"/>
        <v>11</v>
      </c>
      <c r="C36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8" t="str">
        <f ca="1">IF(dict_zuord_Meth_Transfers[[#This Row],[kval_active]],dict_zuord_Meth_Transfers[[#This Row],[ID_Transfers]],"")</f>
        <v/>
      </c>
    </row>
    <row r="3609" spans="1:4" x14ac:dyDescent="0.45">
      <c r="A3609">
        <v>601</v>
      </c>
      <c r="B3609" s="3">
        <f t="shared" ca="1" si="56"/>
        <v>188</v>
      </c>
      <c r="C36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09" t="str">
        <f ca="1">IF(dict_zuord_Meth_Transfers[[#This Row],[kval_active]],dict_zuord_Meth_Transfers[[#This Row],[ID_Transfers]],"")</f>
        <v/>
      </c>
    </row>
    <row r="3610" spans="1:4" x14ac:dyDescent="0.45">
      <c r="A3610">
        <v>601</v>
      </c>
      <c r="B3610">
        <f t="shared" ca="1" si="56"/>
        <v>154</v>
      </c>
      <c r="C36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0" t="str">
        <f ca="1">IF(dict_zuord_Meth_Transfers[[#This Row],[kval_active]],dict_zuord_Meth_Transfers[[#This Row],[ID_Transfers]],"")</f>
        <v/>
      </c>
    </row>
    <row r="3611" spans="1:4" x14ac:dyDescent="0.45">
      <c r="A3611">
        <v>601</v>
      </c>
      <c r="B3611">
        <f t="shared" ca="1" si="56"/>
        <v>157</v>
      </c>
      <c r="C36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1" t="str">
        <f ca="1">IF(dict_zuord_Meth_Transfers[[#This Row],[kval_active]],dict_zuord_Meth_Transfers[[#This Row],[ID_Transfers]],"")</f>
        <v/>
      </c>
    </row>
    <row r="3612" spans="1:4" x14ac:dyDescent="0.45">
      <c r="A3612">
        <v>601</v>
      </c>
      <c r="B3612" s="3">
        <f t="shared" ca="1" si="56"/>
        <v>22</v>
      </c>
      <c r="C36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2" t="str">
        <f ca="1">IF(dict_zuord_Meth_Transfers[[#This Row],[kval_active]],dict_zuord_Meth_Transfers[[#This Row],[ID_Transfers]],"")</f>
        <v/>
      </c>
    </row>
    <row r="3613" spans="1:4" x14ac:dyDescent="0.45">
      <c r="A3613">
        <v>601</v>
      </c>
      <c r="B3613" s="3">
        <f t="shared" ca="1" si="56"/>
        <v>17</v>
      </c>
      <c r="C36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3" t="str">
        <f ca="1">IF(dict_zuord_Meth_Transfers[[#This Row],[kval_active]],dict_zuord_Meth_Transfers[[#This Row],[ID_Transfers]],"")</f>
        <v/>
      </c>
    </row>
    <row r="3614" spans="1:4" x14ac:dyDescent="0.45">
      <c r="A3614">
        <v>602</v>
      </c>
      <c r="B3614" s="3">
        <f t="shared" ca="1" si="56"/>
        <v>165</v>
      </c>
      <c r="C36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4" t="str">
        <f ca="1">IF(dict_zuord_Meth_Transfers[[#This Row],[kval_active]],dict_zuord_Meth_Transfers[[#This Row],[ID_Transfers]],"")</f>
        <v/>
      </c>
    </row>
    <row r="3615" spans="1:4" x14ac:dyDescent="0.45">
      <c r="A3615">
        <v>602</v>
      </c>
      <c r="B3615">
        <f t="shared" ca="1" si="56"/>
        <v>35</v>
      </c>
      <c r="C36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5" t="str">
        <f ca="1">IF(dict_zuord_Meth_Transfers[[#This Row],[kval_active]],dict_zuord_Meth_Transfers[[#This Row],[ID_Transfers]],"")</f>
        <v/>
      </c>
    </row>
    <row r="3616" spans="1:4" x14ac:dyDescent="0.45">
      <c r="A3616">
        <v>602</v>
      </c>
      <c r="B3616" s="3">
        <f t="shared" ca="1" si="56"/>
        <v>49</v>
      </c>
      <c r="C36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6" t="str">
        <f ca="1">IF(dict_zuord_Meth_Transfers[[#This Row],[kval_active]],dict_zuord_Meth_Transfers[[#This Row],[ID_Transfers]],"")</f>
        <v/>
      </c>
    </row>
    <row r="3617" spans="1:4" x14ac:dyDescent="0.45">
      <c r="A3617">
        <v>602</v>
      </c>
      <c r="B3617">
        <f t="shared" ca="1" si="56"/>
        <v>163</v>
      </c>
      <c r="C36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7" t="str">
        <f ca="1">IF(dict_zuord_Meth_Transfers[[#This Row],[kval_active]],dict_zuord_Meth_Transfers[[#This Row],[ID_Transfers]],"")</f>
        <v/>
      </c>
    </row>
    <row r="3618" spans="1:4" x14ac:dyDescent="0.45">
      <c r="A3618">
        <v>602</v>
      </c>
      <c r="B3618">
        <f t="shared" ca="1" si="56"/>
        <v>108</v>
      </c>
      <c r="C36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8" t="str">
        <f ca="1">IF(dict_zuord_Meth_Transfers[[#This Row],[kval_active]],dict_zuord_Meth_Transfers[[#This Row],[ID_Transfers]],"")</f>
        <v/>
      </c>
    </row>
    <row r="3619" spans="1:4" x14ac:dyDescent="0.45">
      <c r="A3619">
        <v>602</v>
      </c>
      <c r="B3619" s="3">
        <f t="shared" ca="1" si="56"/>
        <v>87</v>
      </c>
      <c r="C36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19" t="str">
        <f ca="1">IF(dict_zuord_Meth_Transfers[[#This Row],[kval_active]],dict_zuord_Meth_Transfers[[#This Row],[ID_Transfers]],"")</f>
        <v/>
      </c>
    </row>
    <row r="3620" spans="1:4" x14ac:dyDescent="0.45">
      <c r="A3620">
        <v>603</v>
      </c>
      <c r="B3620" s="3">
        <f t="shared" ca="1" si="56"/>
        <v>109</v>
      </c>
      <c r="C36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0" t="str">
        <f ca="1">IF(dict_zuord_Meth_Transfers[[#This Row],[kval_active]],dict_zuord_Meth_Transfers[[#This Row],[ID_Transfers]],"")</f>
        <v/>
      </c>
    </row>
    <row r="3621" spans="1:4" x14ac:dyDescent="0.45">
      <c r="A3621">
        <v>603</v>
      </c>
      <c r="B3621">
        <f t="shared" ca="1" si="56"/>
        <v>165</v>
      </c>
      <c r="C36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1" t="str">
        <f ca="1">IF(dict_zuord_Meth_Transfers[[#This Row],[kval_active]],dict_zuord_Meth_Transfers[[#This Row],[ID_Transfers]],"")</f>
        <v/>
      </c>
    </row>
    <row r="3622" spans="1:4" x14ac:dyDescent="0.45">
      <c r="A3622">
        <v>603</v>
      </c>
      <c r="B3622">
        <f t="shared" ca="1" si="56"/>
        <v>89</v>
      </c>
      <c r="C36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2" t="str">
        <f ca="1">IF(dict_zuord_Meth_Transfers[[#This Row],[kval_active]],dict_zuord_Meth_Transfers[[#This Row],[ID_Transfers]],"")</f>
        <v/>
      </c>
    </row>
    <row r="3623" spans="1:4" x14ac:dyDescent="0.45">
      <c r="A3623">
        <v>603</v>
      </c>
      <c r="B3623" s="3">
        <f t="shared" ca="1" si="56"/>
        <v>83</v>
      </c>
      <c r="C36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3" t="str">
        <f ca="1">IF(dict_zuord_Meth_Transfers[[#This Row],[kval_active]],dict_zuord_Meth_Transfers[[#This Row],[ID_Transfers]],"")</f>
        <v/>
      </c>
    </row>
    <row r="3624" spans="1:4" x14ac:dyDescent="0.45">
      <c r="A3624">
        <v>603</v>
      </c>
      <c r="B3624">
        <f t="shared" ca="1" si="56"/>
        <v>184</v>
      </c>
      <c r="C36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4" t="str">
        <f ca="1">IF(dict_zuord_Meth_Transfers[[#This Row],[kval_active]],dict_zuord_Meth_Transfers[[#This Row],[ID_Transfers]],"")</f>
        <v/>
      </c>
    </row>
    <row r="3625" spans="1:4" x14ac:dyDescent="0.45">
      <c r="A3625">
        <v>603</v>
      </c>
      <c r="B3625" s="3">
        <f t="shared" ca="1" si="56"/>
        <v>44</v>
      </c>
      <c r="C36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5" t="str">
        <f ca="1">IF(dict_zuord_Meth_Transfers[[#This Row],[kval_active]],dict_zuord_Meth_Transfers[[#This Row],[ID_Transfers]],"")</f>
        <v/>
      </c>
    </row>
    <row r="3626" spans="1:4" x14ac:dyDescent="0.45">
      <c r="A3626">
        <v>604</v>
      </c>
      <c r="B3626">
        <f t="shared" ca="1" si="56"/>
        <v>115</v>
      </c>
      <c r="C36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6" t="str">
        <f ca="1">IF(dict_zuord_Meth_Transfers[[#This Row],[kval_active]],dict_zuord_Meth_Transfers[[#This Row],[ID_Transfers]],"")</f>
        <v/>
      </c>
    </row>
    <row r="3627" spans="1:4" x14ac:dyDescent="0.45">
      <c r="A3627">
        <v>604</v>
      </c>
      <c r="B3627" s="3">
        <f t="shared" ca="1" si="56"/>
        <v>179</v>
      </c>
      <c r="C36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7" t="str">
        <f ca="1">IF(dict_zuord_Meth_Transfers[[#This Row],[kval_active]],dict_zuord_Meth_Transfers[[#This Row],[ID_Transfers]],"")</f>
        <v/>
      </c>
    </row>
    <row r="3628" spans="1:4" x14ac:dyDescent="0.45">
      <c r="A3628">
        <v>604</v>
      </c>
      <c r="B3628" s="3">
        <f t="shared" ca="1" si="56"/>
        <v>28</v>
      </c>
      <c r="C36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8" t="str">
        <f ca="1">IF(dict_zuord_Meth_Transfers[[#This Row],[kval_active]],dict_zuord_Meth_Transfers[[#This Row],[ID_Transfers]],"")</f>
        <v/>
      </c>
    </row>
    <row r="3629" spans="1:4" x14ac:dyDescent="0.45">
      <c r="A3629">
        <v>604</v>
      </c>
      <c r="B3629" s="3">
        <f t="shared" ca="1" si="56"/>
        <v>2</v>
      </c>
      <c r="C36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29" t="str">
        <f ca="1">IF(dict_zuord_Meth_Transfers[[#This Row],[kval_active]],dict_zuord_Meth_Transfers[[#This Row],[ID_Transfers]],"")</f>
        <v/>
      </c>
    </row>
    <row r="3630" spans="1:4" x14ac:dyDescent="0.45">
      <c r="A3630">
        <v>604</v>
      </c>
      <c r="B3630">
        <f t="shared" ca="1" si="56"/>
        <v>188</v>
      </c>
      <c r="C36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0" t="str">
        <f ca="1">IF(dict_zuord_Meth_Transfers[[#This Row],[kval_active]],dict_zuord_Meth_Transfers[[#This Row],[ID_Transfers]],"")</f>
        <v/>
      </c>
    </row>
    <row r="3631" spans="1:4" x14ac:dyDescent="0.45">
      <c r="A3631">
        <v>604</v>
      </c>
      <c r="B3631">
        <f t="shared" ca="1" si="56"/>
        <v>15</v>
      </c>
      <c r="C36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1" t="str">
        <f ca="1">IF(dict_zuord_Meth_Transfers[[#This Row],[kval_active]],dict_zuord_Meth_Transfers[[#This Row],[ID_Transfers]],"")</f>
        <v/>
      </c>
    </row>
    <row r="3632" spans="1:4" x14ac:dyDescent="0.45">
      <c r="A3632">
        <v>605</v>
      </c>
      <c r="B3632" s="3">
        <f t="shared" ca="1" si="56"/>
        <v>108</v>
      </c>
      <c r="C36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2" t="str">
        <f ca="1">IF(dict_zuord_Meth_Transfers[[#This Row],[kval_active]],dict_zuord_Meth_Transfers[[#This Row],[ID_Transfers]],"")</f>
        <v/>
      </c>
    </row>
    <row r="3633" spans="1:4" x14ac:dyDescent="0.45">
      <c r="A3633">
        <v>605</v>
      </c>
      <c r="B3633" s="3">
        <f t="shared" ca="1" si="56"/>
        <v>150</v>
      </c>
      <c r="C36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3" t="str">
        <f ca="1">IF(dict_zuord_Meth_Transfers[[#This Row],[kval_active]],dict_zuord_Meth_Transfers[[#This Row],[ID_Transfers]],"")</f>
        <v/>
      </c>
    </row>
    <row r="3634" spans="1:4" x14ac:dyDescent="0.45">
      <c r="A3634">
        <v>605</v>
      </c>
      <c r="B3634">
        <f t="shared" ca="1" si="56"/>
        <v>159</v>
      </c>
      <c r="C36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4" t="str">
        <f ca="1">IF(dict_zuord_Meth_Transfers[[#This Row],[kval_active]],dict_zuord_Meth_Transfers[[#This Row],[ID_Transfers]],"")</f>
        <v/>
      </c>
    </row>
    <row r="3635" spans="1:4" x14ac:dyDescent="0.45">
      <c r="A3635">
        <v>605</v>
      </c>
      <c r="B3635">
        <f t="shared" ca="1" si="56"/>
        <v>152</v>
      </c>
      <c r="C36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5" t="str">
        <f ca="1">IF(dict_zuord_Meth_Transfers[[#This Row],[kval_active]],dict_zuord_Meth_Transfers[[#This Row],[ID_Transfers]],"")</f>
        <v/>
      </c>
    </row>
    <row r="3636" spans="1:4" x14ac:dyDescent="0.45">
      <c r="A3636">
        <v>605</v>
      </c>
      <c r="B3636">
        <f t="shared" ca="1" si="56"/>
        <v>133</v>
      </c>
      <c r="C36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6" t="str">
        <f ca="1">IF(dict_zuord_Meth_Transfers[[#This Row],[kval_active]],dict_zuord_Meth_Transfers[[#This Row],[ID_Transfers]],"")</f>
        <v/>
      </c>
    </row>
    <row r="3637" spans="1:4" x14ac:dyDescent="0.45">
      <c r="A3637">
        <v>605</v>
      </c>
      <c r="B3637" s="3">
        <f t="shared" ca="1" si="56"/>
        <v>85</v>
      </c>
      <c r="C36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7" t="str">
        <f ca="1">IF(dict_zuord_Meth_Transfers[[#This Row],[kval_active]],dict_zuord_Meth_Transfers[[#This Row],[ID_Transfers]],"")</f>
        <v/>
      </c>
    </row>
    <row r="3638" spans="1:4" x14ac:dyDescent="0.45">
      <c r="A3638">
        <v>606</v>
      </c>
      <c r="B3638" s="3">
        <f t="shared" ca="1" si="56"/>
        <v>137</v>
      </c>
      <c r="C36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8" t="str">
        <f ca="1">IF(dict_zuord_Meth_Transfers[[#This Row],[kval_active]],dict_zuord_Meth_Transfers[[#This Row],[ID_Transfers]],"")</f>
        <v/>
      </c>
    </row>
    <row r="3639" spans="1:4" x14ac:dyDescent="0.45">
      <c r="A3639">
        <v>606</v>
      </c>
      <c r="B3639">
        <f t="shared" ca="1" si="56"/>
        <v>182</v>
      </c>
      <c r="C36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39" t="str">
        <f ca="1">IF(dict_zuord_Meth_Transfers[[#This Row],[kval_active]],dict_zuord_Meth_Transfers[[#This Row],[ID_Transfers]],"")</f>
        <v/>
      </c>
    </row>
    <row r="3640" spans="1:4" x14ac:dyDescent="0.45">
      <c r="A3640">
        <v>606</v>
      </c>
      <c r="B3640">
        <f t="shared" ca="1" si="56"/>
        <v>138</v>
      </c>
      <c r="C36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0" t="str">
        <f ca="1">IF(dict_zuord_Meth_Transfers[[#This Row],[kval_active]],dict_zuord_Meth_Transfers[[#This Row],[ID_Transfers]],"")</f>
        <v/>
      </c>
    </row>
    <row r="3641" spans="1:4" x14ac:dyDescent="0.45">
      <c r="A3641">
        <v>606</v>
      </c>
      <c r="B3641">
        <f t="shared" ca="1" si="56"/>
        <v>179</v>
      </c>
      <c r="C36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1" t="str">
        <f ca="1">IF(dict_zuord_Meth_Transfers[[#This Row],[kval_active]],dict_zuord_Meth_Transfers[[#This Row],[ID_Transfers]],"")</f>
        <v/>
      </c>
    </row>
    <row r="3642" spans="1:4" x14ac:dyDescent="0.45">
      <c r="A3642">
        <v>606</v>
      </c>
      <c r="B3642" s="3">
        <f t="shared" ca="1" si="56"/>
        <v>24</v>
      </c>
      <c r="C36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2" t="str">
        <f ca="1">IF(dict_zuord_Meth_Transfers[[#This Row],[kval_active]],dict_zuord_Meth_Transfers[[#This Row],[ID_Transfers]],"")</f>
        <v/>
      </c>
    </row>
    <row r="3643" spans="1:4" x14ac:dyDescent="0.45">
      <c r="A3643">
        <v>606</v>
      </c>
      <c r="B3643" s="3">
        <f t="shared" ca="1" si="56"/>
        <v>36</v>
      </c>
      <c r="C36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3" t="str">
        <f ca="1">IF(dict_zuord_Meth_Transfers[[#This Row],[kval_active]],dict_zuord_Meth_Transfers[[#This Row],[ID_Transfers]],"")</f>
        <v/>
      </c>
    </row>
    <row r="3644" spans="1:4" x14ac:dyDescent="0.45">
      <c r="A3644">
        <v>607</v>
      </c>
      <c r="B3644">
        <f t="shared" ca="1" si="56"/>
        <v>195</v>
      </c>
      <c r="C36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4" t="str">
        <f ca="1">IF(dict_zuord_Meth_Transfers[[#This Row],[kval_active]],dict_zuord_Meth_Transfers[[#This Row],[ID_Transfers]],"")</f>
        <v/>
      </c>
    </row>
    <row r="3645" spans="1:4" x14ac:dyDescent="0.45">
      <c r="A3645">
        <v>607</v>
      </c>
      <c r="B3645">
        <f t="shared" ca="1" si="56"/>
        <v>81</v>
      </c>
      <c r="C36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5" t="str">
        <f ca="1">IF(dict_zuord_Meth_Transfers[[#This Row],[kval_active]],dict_zuord_Meth_Transfers[[#This Row],[ID_Transfers]],"")</f>
        <v/>
      </c>
    </row>
    <row r="3646" spans="1:4" x14ac:dyDescent="0.45">
      <c r="A3646">
        <v>607</v>
      </c>
      <c r="B3646">
        <f t="shared" ca="1" si="56"/>
        <v>126</v>
      </c>
      <c r="C36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6" t="str">
        <f ca="1">IF(dict_zuord_Meth_Transfers[[#This Row],[kval_active]],dict_zuord_Meth_Transfers[[#This Row],[ID_Transfers]],"")</f>
        <v/>
      </c>
    </row>
    <row r="3647" spans="1:4" x14ac:dyDescent="0.45">
      <c r="A3647">
        <v>607</v>
      </c>
      <c r="B3647" s="3">
        <f t="shared" ca="1" si="56"/>
        <v>131</v>
      </c>
      <c r="C36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7" t="str">
        <f ca="1">IF(dict_zuord_Meth_Transfers[[#This Row],[kval_active]],dict_zuord_Meth_Transfers[[#This Row],[ID_Transfers]],"")</f>
        <v/>
      </c>
    </row>
    <row r="3648" spans="1:4" x14ac:dyDescent="0.45">
      <c r="A3648">
        <v>607</v>
      </c>
      <c r="B3648" s="3">
        <f t="shared" ca="1" si="56"/>
        <v>14</v>
      </c>
      <c r="C36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8" t="str">
        <f ca="1">IF(dict_zuord_Meth_Transfers[[#This Row],[kval_active]],dict_zuord_Meth_Transfers[[#This Row],[ID_Transfers]],"")</f>
        <v/>
      </c>
    </row>
    <row r="3649" spans="1:4" x14ac:dyDescent="0.45">
      <c r="A3649">
        <v>607</v>
      </c>
      <c r="B3649" s="3">
        <f t="shared" ca="1" si="56"/>
        <v>158</v>
      </c>
      <c r="C36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49" t="str">
        <f ca="1">IF(dict_zuord_Meth_Transfers[[#This Row],[kval_active]],dict_zuord_Meth_Transfers[[#This Row],[ID_Transfers]],"")</f>
        <v/>
      </c>
    </row>
    <row r="3650" spans="1:4" x14ac:dyDescent="0.45">
      <c r="A3650">
        <v>608</v>
      </c>
      <c r="B3650" s="3">
        <f t="shared" ref="B3650:B3713" ca="1" si="57">RANDBETWEEN(0,200)</f>
        <v>102</v>
      </c>
      <c r="C36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0" t="str">
        <f ca="1">IF(dict_zuord_Meth_Transfers[[#This Row],[kval_active]],dict_zuord_Meth_Transfers[[#This Row],[ID_Transfers]],"")</f>
        <v/>
      </c>
    </row>
    <row r="3651" spans="1:4" x14ac:dyDescent="0.45">
      <c r="A3651">
        <v>608</v>
      </c>
      <c r="B3651">
        <f t="shared" ca="1" si="57"/>
        <v>86</v>
      </c>
      <c r="C36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1" t="str">
        <f ca="1">IF(dict_zuord_Meth_Transfers[[#This Row],[kval_active]],dict_zuord_Meth_Transfers[[#This Row],[ID_Transfers]],"")</f>
        <v/>
      </c>
    </row>
    <row r="3652" spans="1:4" x14ac:dyDescent="0.45">
      <c r="A3652">
        <v>608</v>
      </c>
      <c r="B3652">
        <f t="shared" ca="1" si="57"/>
        <v>35</v>
      </c>
      <c r="C36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2" t="str">
        <f ca="1">IF(dict_zuord_Meth_Transfers[[#This Row],[kval_active]],dict_zuord_Meth_Transfers[[#This Row],[ID_Transfers]],"")</f>
        <v/>
      </c>
    </row>
    <row r="3653" spans="1:4" x14ac:dyDescent="0.45">
      <c r="A3653">
        <v>608</v>
      </c>
      <c r="B3653" s="3">
        <f t="shared" ca="1" si="57"/>
        <v>73</v>
      </c>
      <c r="C36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3" t="str">
        <f ca="1">IF(dict_zuord_Meth_Transfers[[#This Row],[kval_active]],dict_zuord_Meth_Transfers[[#This Row],[ID_Transfers]],"")</f>
        <v/>
      </c>
    </row>
    <row r="3654" spans="1:4" x14ac:dyDescent="0.45">
      <c r="A3654">
        <v>608</v>
      </c>
      <c r="B3654" s="3">
        <f t="shared" ca="1" si="57"/>
        <v>12</v>
      </c>
      <c r="C36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4" t="str">
        <f ca="1">IF(dict_zuord_Meth_Transfers[[#This Row],[kval_active]],dict_zuord_Meth_Transfers[[#This Row],[ID_Transfers]],"")</f>
        <v/>
      </c>
    </row>
    <row r="3655" spans="1:4" x14ac:dyDescent="0.45">
      <c r="A3655">
        <v>608</v>
      </c>
      <c r="B3655">
        <f t="shared" ca="1" si="57"/>
        <v>164</v>
      </c>
      <c r="C36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5" t="str">
        <f ca="1">IF(dict_zuord_Meth_Transfers[[#This Row],[kval_active]],dict_zuord_Meth_Transfers[[#This Row],[ID_Transfers]],"")</f>
        <v/>
      </c>
    </row>
    <row r="3656" spans="1:4" x14ac:dyDescent="0.45">
      <c r="A3656">
        <v>609</v>
      </c>
      <c r="B3656" s="3">
        <f t="shared" ca="1" si="57"/>
        <v>72</v>
      </c>
      <c r="C36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6" t="str">
        <f ca="1">IF(dict_zuord_Meth_Transfers[[#This Row],[kval_active]],dict_zuord_Meth_Transfers[[#This Row],[ID_Transfers]],"")</f>
        <v/>
      </c>
    </row>
    <row r="3657" spans="1:4" x14ac:dyDescent="0.45">
      <c r="A3657">
        <v>609</v>
      </c>
      <c r="B3657">
        <f t="shared" ca="1" si="57"/>
        <v>130</v>
      </c>
      <c r="C36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7" t="str">
        <f ca="1">IF(dict_zuord_Meth_Transfers[[#This Row],[kval_active]],dict_zuord_Meth_Transfers[[#This Row],[ID_Transfers]],"")</f>
        <v/>
      </c>
    </row>
    <row r="3658" spans="1:4" x14ac:dyDescent="0.45">
      <c r="A3658">
        <v>609</v>
      </c>
      <c r="B3658">
        <f t="shared" ca="1" si="57"/>
        <v>153</v>
      </c>
      <c r="C36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8" t="str">
        <f ca="1">IF(dict_zuord_Meth_Transfers[[#This Row],[kval_active]],dict_zuord_Meth_Transfers[[#This Row],[ID_Transfers]],"")</f>
        <v/>
      </c>
    </row>
    <row r="3659" spans="1:4" x14ac:dyDescent="0.45">
      <c r="A3659">
        <v>609</v>
      </c>
      <c r="B3659" s="3">
        <f t="shared" ca="1" si="57"/>
        <v>38</v>
      </c>
      <c r="C36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59" t="str">
        <f ca="1">IF(dict_zuord_Meth_Transfers[[#This Row],[kval_active]],dict_zuord_Meth_Transfers[[#This Row],[ID_Transfers]],"")</f>
        <v/>
      </c>
    </row>
    <row r="3660" spans="1:4" x14ac:dyDescent="0.45">
      <c r="A3660">
        <v>609</v>
      </c>
      <c r="B3660">
        <f t="shared" ca="1" si="57"/>
        <v>24</v>
      </c>
      <c r="C36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0" t="str">
        <f ca="1">IF(dict_zuord_Meth_Transfers[[#This Row],[kval_active]],dict_zuord_Meth_Transfers[[#This Row],[ID_Transfers]],"")</f>
        <v/>
      </c>
    </row>
    <row r="3661" spans="1:4" x14ac:dyDescent="0.45">
      <c r="A3661">
        <v>609</v>
      </c>
      <c r="B3661" s="3">
        <f t="shared" ca="1" si="57"/>
        <v>4</v>
      </c>
      <c r="C36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1" t="str">
        <f ca="1">IF(dict_zuord_Meth_Transfers[[#This Row],[kval_active]],dict_zuord_Meth_Transfers[[#This Row],[ID_Transfers]],"")</f>
        <v/>
      </c>
    </row>
    <row r="3662" spans="1:4" x14ac:dyDescent="0.45">
      <c r="A3662">
        <v>610</v>
      </c>
      <c r="B3662">
        <f t="shared" ca="1" si="57"/>
        <v>159</v>
      </c>
      <c r="C36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2" t="str">
        <f ca="1">IF(dict_zuord_Meth_Transfers[[#This Row],[kval_active]],dict_zuord_Meth_Transfers[[#This Row],[ID_Transfers]],"")</f>
        <v/>
      </c>
    </row>
    <row r="3663" spans="1:4" x14ac:dyDescent="0.45">
      <c r="A3663">
        <v>610</v>
      </c>
      <c r="B3663">
        <f t="shared" ca="1" si="57"/>
        <v>1</v>
      </c>
      <c r="C36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3" t="str">
        <f ca="1">IF(dict_zuord_Meth_Transfers[[#This Row],[kval_active]],dict_zuord_Meth_Transfers[[#This Row],[ID_Transfers]],"")</f>
        <v/>
      </c>
    </row>
    <row r="3664" spans="1:4" x14ac:dyDescent="0.45">
      <c r="A3664">
        <v>610</v>
      </c>
      <c r="B3664" s="3">
        <f t="shared" ca="1" si="57"/>
        <v>105</v>
      </c>
      <c r="C36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4" t="str">
        <f ca="1">IF(dict_zuord_Meth_Transfers[[#This Row],[kval_active]],dict_zuord_Meth_Transfers[[#This Row],[ID_Transfers]],"")</f>
        <v/>
      </c>
    </row>
    <row r="3665" spans="1:4" x14ac:dyDescent="0.45">
      <c r="A3665">
        <v>610</v>
      </c>
      <c r="B3665" s="3">
        <f t="shared" ca="1" si="57"/>
        <v>195</v>
      </c>
      <c r="C36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5" t="str">
        <f ca="1">IF(dict_zuord_Meth_Transfers[[#This Row],[kval_active]],dict_zuord_Meth_Transfers[[#This Row],[ID_Transfers]],"")</f>
        <v/>
      </c>
    </row>
    <row r="3666" spans="1:4" x14ac:dyDescent="0.45">
      <c r="A3666">
        <v>610</v>
      </c>
      <c r="B3666" s="3">
        <f t="shared" ca="1" si="57"/>
        <v>141</v>
      </c>
      <c r="C36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6" t="str">
        <f ca="1">IF(dict_zuord_Meth_Transfers[[#This Row],[kval_active]],dict_zuord_Meth_Transfers[[#This Row],[ID_Transfers]],"")</f>
        <v/>
      </c>
    </row>
    <row r="3667" spans="1:4" x14ac:dyDescent="0.45">
      <c r="A3667">
        <v>610</v>
      </c>
      <c r="B3667">
        <f t="shared" ca="1" si="57"/>
        <v>136</v>
      </c>
      <c r="C36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7" t="str">
        <f ca="1">IF(dict_zuord_Meth_Transfers[[#This Row],[kval_active]],dict_zuord_Meth_Transfers[[#This Row],[ID_Transfers]],"")</f>
        <v/>
      </c>
    </row>
    <row r="3668" spans="1:4" x14ac:dyDescent="0.45">
      <c r="A3668">
        <v>611</v>
      </c>
      <c r="B3668" s="3">
        <f t="shared" ca="1" si="57"/>
        <v>102</v>
      </c>
      <c r="C36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8" t="str">
        <f ca="1">IF(dict_zuord_Meth_Transfers[[#This Row],[kval_active]],dict_zuord_Meth_Transfers[[#This Row],[ID_Transfers]],"")</f>
        <v/>
      </c>
    </row>
    <row r="3669" spans="1:4" x14ac:dyDescent="0.45">
      <c r="A3669">
        <v>611</v>
      </c>
      <c r="B3669">
        <f t="shared" ca="1" si="57"/>
        <v>155</v>
      </c>
      <c r="C36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69" t="str">
        <f ca="1">IF(dict_zuord_Meth_Transfers[[#This Row],[kval_active]],dict_zuord_Meth_Transfers[[#This Row],[ID_Transfers]],"")</f>
        <v/>
      </c>
    </row>
    <row r="3670" spans="1:4" x14ac:dyDescent="0.45">
      <c r="A3670">
        <v>611</v>
      </c>
      <c r="B3670" s="3">
        <f t="shared" ca="1" si="57"/>
        <v>186</v>
      </c>
      <c r="C36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0" t="str">
        <f ca="1">IF(dict_zuord_Meth_Transfers[[#This Row],[kval_active]],dict_zuord_Meth_Transfers[[#This Row],[ID_Transfers]],"")</f>
        <v/>
      </c>
    </row>
    <row r="3671" spans="1:4" x14ac:dyDescent="0.45">
      <c r="A3671">
        <v>611</v>
      </c>
      <c r="B3671" s="3">
        <f t="shared" ca="1" si="57"/>
        <v>108</v>
      </c>
      <c r="C36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1" t="str">
        <f ca="1">IF(dict_zuord_Meth_Transfers[[#This Row],[kval_active]],dict_zuord_Meth_Transfers[[#This Row],[ID_Transfers]],"")</f>
        <v/>
      </c>
    </row>
    <row r="3672" spans="1:4" x14ac:dyDescent="0.45">
      <c r="A3672">
        <v>611</v>
      </c>
      <c r="B3672">
        <f t="shared" ca="1" si="57"/>
        <v>170</v>
      </c>
      <c r="C36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2" t="str">
        <f ca="1">IF(dict_zuord_Meth_Transfers[[#This Row],[kval_active]],dict_zuord_Meth_Transfers[[#This Row],[ID_Transfers]],"")</f>
        <v/>
      </c>
    </row>
    <row r="3673" spans="1:4" x14ac:dyDescent="0.45">
      <c r="A3673">
        <v>611</v>
      </c>
      <c r="B3673">
        <f t="shared" ca="1" si="57"/>
        <v>94</v>
      </c>
      <c r="C36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3" t="str">
        <f ca="1">IF(dict_zuord_Meth_Transfers[[#This Row],[kval_active]],dict_zuord_Meth_Transfers[[#This Row],[ID_Transfers]],"")</f>
        <v/>
      </c>
    </row>
    <row r="3674" spans="1:4" x14ac:dyDescent="0.45">
      <c r="A3674">
        <v>612</v>
      </c>
      <c r="B3674" s="3">
        <f t="shared" ca="1" si="57"/>
        <v>158</v>
      </c>
      <c r="C36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4" t="str">
        <f ca="1">IF(dict_zuord_Meth_Transfers[[#This Row],[kval_active]],dict_zuord_Meth_Transfers[[#This Row],[ID_Transfers]],"")</f>
        <v/>
      </c>
    </row>
    <row r="3675" spans="1:4" x14ac:dyDescent="0.45">
      <c r="A3675">
        <v>612</v>
      </c>
      <c r="B3675">
        <f t="shared" ca="1" si="57"/>
        <v>188</v>
      </c>
      <c r="C36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5" t="str">
        <f ca="1">IF(dict_zuord_Meth_Transfers[[#This Row],[kval_active]],dict_zuord_Meth_Transfers[[#This Row],[ID_Transfers]],"")</f>
        <v/>
      </c>
    </row>
    <row r="3676" spans="1:4" x14ac:dyDescent="0.45">
      <c r="A3676">
        <v>612</v>
      </c>
      <c r="B3676" s="3">
        <f t="shared" ca="1" si="57"/>
        <v>2</v>
      </c>
      <c r="C36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6" t="str">
        <f ca="1">IF(dict_zuord_Meth_Transfers[[#This Row],[kval_active]],dict_zuord_Meth_Transfers[[#This Row],[ID_Transfers]],"")</f>
        <v/>
      </c>
    </row>
    <row r="3677" spans="1:4" x14ac:dyDescent="0.45">
      <c r="A3677">
        <v>612</v>
      </c>
      <c r="B3677" s="3">
        <f t="shared" ca="1" si="57"/>
        <v>90</v>
      </c>
      <c r="C36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7" t="str">
        <f ca="1">IF(dict_zuord_Meth_Transfers[[#This Row],[kval_active]],dict_zuord_Meth_Transfers[[#This Row],[ID_Transfers]],"")</f>
        <v/>
      </c>
    </row>
    <row r="3678" spans="1:4" x14ac:dyDescent="0.45">
      <c r="A3678">
        <v>612</v>
      </c>
      <c r="B3678">
        <f t="shared" ca="1" si="57"/>
        <v>182</v>
      </c>
      <c r="C36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8" t="str">
        <f ca="1">IF(dict_zuord_Meth_Transfers[[#This Row],[kval_active]],dict_zuord_Meth_Transfers[[#This Row],[ID_Transfers]],"")</f>
        <v/>
      </c>
    </row>
    <row r="3679" spans="1:4" x14ac:dyDescent="0.45">
      <c r="A3679">
        <v>612</v>
      </c>
      <c r="B3679">
        <f t="shared" ca="1" si="57"/>
        <v>186</v>
      </c>
      <c r="C36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79" t="str">
        <f ca="1">IF(dict_zuord_Meth_Transfers[[#This Row],[kval_active]],dict_zuord_Meth_Transfers[[#This Row],[ID_Transfers]],"")</f>
        <v/>
      </c>
    </row>
    <row r="3680" spans="1:4" x14ac:dyDescent="0.45">
      <c r="A3680">
        <v>613</v>
      </c>
      <c r="B3680">
        <f t="shared" ca="1" si="57"/>
        <v>106</v>
      </c>
      <c r="C36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0" t="str">
        <f ca="1">IF(dict_zuord_Meth_Transfers[[#This Row],[kval_active]],dict_zuord_Meth_Transfers[[#This Row],[ID_Transfers]],"")</f>
        <v/>
      </c>
    </row>
    <row r="3681" spans="1:4" x14ac:dyDescent="0.45">
      <c r="A3681">
        <v>613</v>
      </c>
      <c r="B3681">
        <f t="shared" ca="1" si="57"/>
        <v>120</v>
      </c>
      <c r="C36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1" t="str">
        <f ca="1">IF(dict_zuord_Meth_Transfers[[#This Row],[kval_active]],dict_zuord_Meth_Transfers[[#This Row],[ID_Transfers]],"")</f>
        <v/>
      </c>
    </row>
    <row r="3682" spans="1:4" x14ac:dyDescent="0.45">
      <c r="A3682">
        <v>613</v>
      </c>
      <c r="B3682" s="3">
        <f t="shared" ca="1" si="57"/>
        <v>193</v>
      </c>
      <c r="C36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2" t="str">
        <f ca="1">IF(dict_zuord_Meth_Transfers[[#This Row],[kval_active]],dict_zuord_Meth_Transfers[[#This Row],[ID_Transfers]],"")</f>
        <v/>
      </c>
    </row>
    <row r="3683" spans="1:4" x14ac:dyDescent="0.45">
      <c r="A3683">
        <v>613</v>
      </c>
      <c r="B3683" s="3">
        <f t="shared" ca="1" si="57"/>
        <v>147</v>
      </c>
      <c r="C36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3" t="str">
        <f ca="1">IF(dict_zuord_Meth_Transfers[[#This Row],[kval_active]],dict_zuord_Meth_Transfers[[#This Row],[ID_Transfers]],"")</f>
        <v/>
      </c>
    </row>
    <row r="3684" spans="1:4" x14ac:dyDescent="0.45">
      <c r="A3684">
        <v>613</v>
      </c>
      <c r="B3684">
        <f t="shared" ca="1" si="57"/>
        <v>199</v>
      </c>
      <c r="C36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4" t="str">
        <f ca="1">IF(dict_zuord_Meth_Transfers[[#This Row],[kval_active]],dict_zuord_Meth_Transfers[[#This Row],[ID_Transfers]],"")</f>
        <v/>
      </c>
    </row>
    <row r="3685" spans="1:4" x14ac:dyDescent="0.45">
      <c r="A3685">
        <v>613</v>
      </c>
      <c r="B3685" s="3">
        <f t="shared" ca="1" si="57"/>
        <v>1</v>
      </c>
      <c r="C36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5" t="str">
        <f ca="1">IF(dict_zuord_Meth_Transfers[[#This Row],[kval_active]],dict_zuord_Meth_Transfers[[#This Row],[ID_Transfers]],"")</f>
        <v/>
      </c>
    </row>
    <row r="3686" spans="1:4" x14ac:dyDescent="0.45">
      <c r="A3686">
        <v>614</v>
      </c>
      <c r="B3686">
        <f t="shared" ca="1" si="57"/>
        <v>133</v>
      </c>
      <c r="C36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6" t="str">
        <f ca="1">IF(dict_zuord_Meth_Transfers[[#This Row],[kval_active]],dict_zuord_Meth_Transfers[[#This Row],[ID_Transfers]],"")</f>
        <v/>
      </c>
    </row>
    <row r="3687" spans="1:4" x14ac:dyDescent="0.45">
      <c r="A3687">
        <v>614</v>
      </c>
      <c r="B3687">
        <f t="shared" ca="1" si="57"/>
        <v>116</v>
      </c>
      <c r="C36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7" t="str">
        <f ca="1">IF(dict_zuord_Meth_Transfers[[#This Row],[kval_active]],dict_zuord_Meth_Transfers[[#This Row],[ID_Transfers]],"")</f>
        <v/>
      </c>
    </row>
    <row r="3688" spans="1:4" x14ac:dyDescent="0.45">
      <c r="A3688">
        <v>614</v>
      </c>
      <c r="B3688" s="3">
        <f t="shared" ca="1" si="57"/>
        <v>43</v>
      </c>
      <c r="C36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8" t="str">
        <f ca="1">IF(dict_zuord_Meth_Transfers[[#This Row],[kval_active]],dict_zuord_Meth_Transfers[[#This Row],[ID_Transfers]],"")</f>
        <v/>
      </c>
    </row>
    <row r="3689" spans="1:4" x14ac:dyDescent="0.45">
      <c r="A3689">
        <v>614</v>
      </c>
      <c r="B3689">
        <f t="shared" ca="1" si="57"/>
        <v>134</v>
      </c>
      <c r="C36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89" t="str">
        <f ca="1">IF(dict_zuord_Meth_Transfers[[#This Row],[kval_active]],dict_zuord_Meth_Transfers[[#This Row],[ID_Transfers]],"")</f>
        <v/>
      </c>
    </row>
    <row r="3690" spans="1:4" x14ac:dyDescent="0.45">
      <c r="A3690">
        <v>614</v>
      </c>
      <c r="B3690" s="3">
        <f t="shared" ca="1" si="57"/>
        <v>35</v>
      </c>
      <c r="C36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0" t="str">
        <f ca="1">IF(dict_zuord_Meth_Transfers[[#This Row],[kval_active]],dict_zuord_Meth_Transfers[[#This Row],[ID_Transfers]],"")</f>
        <v/>
      </c>
    </row>
    <row r="3691" spans="1:4" x14ac:dyDescent="0.45">
      <c r="A3691">
        <v>614</v>
      </c>
      <c r="B3691" s="3">
        <f t="shared" ca="1" si="57"/>
        <v>4</v>
      </c>
      <c r="C36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1" t="str">
        <f ca="1">IF(dict_zuord_Meth_Transfers[[#This Row],[kval_active]],dict_zuord_Meth_Transfers[[#This Row],[ID_Transfers]],"")</f>
        <v/>
      </c>
    </row>
    <row r="3692" spans="1:4" x14ac:dyDescent="0.45">
      <c r="A3692">
        <v>615</v>
      </c>
      <c r="B3692" s="3">
        <f t="shared" ca="1" si="57"/>
        <v>71</v>
      </c>
      <c r="C36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2" t="str">
        <f ca="1">IF(dict_zuord_Meth_Transfers[[#This Row],[kval_active]],dict_zuord_Meth_Transfers[[#This Row],[ID_Transfers]],"")</f>
        <v/>
      </c>
    </row>
    <row r="3693" spans="1:4" x14ac:dyDescent="0.45">
      <c r="A3693">
        <v>615</v>
      </c>
      <c r="B3693">
        <f t="shared" ca="1" si="57"/>
        <v>26</v>
      </c>
      <c r="C36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3" t="str">
        <f ca="1">IF(dict_zuord_Meth_Transfers[[#This Row],[kval_active]],dict_zuord_Meth_Transfers[[#This Row],[ID_Transfers]],"")</f>
        <v/>
      </c>
    </row>
    <row r="3694" spans="1:4" x14ac:dyDescent="0.45">
      <c r="A3694">
        <v>615</v>
      </c>
      <c r="B3694" s="3">
        <f t="shared" ca="1" si="57"/>
        <v>73</v>
      </c>
      <c r="C36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4" t="str">
        <f ca="1">IF(dict_zuord_Meth_Transfers[[#This Row],[kval_active]],dict_zuord_Meth_Transfers[[#This Row],[ID_Transfers]],"")</f>
        <v/>
      </c>
    </row>
    <row r="3695" spans="1:4" x14ac:dyDescent="0.45">
      <c r="A3695">
        <v>615</v>
      </c>
      <c r="B3695">
        <f t="shared" ca="1" si="57"/>
        <v>102</v>
      </c>
      <c r="C36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5" t="str">
        <f ca="1">IF(dict_zuord_Meth_Transfers[[#This Row],[kval_active]],dict_zuord_Meth_Transfers[[#This Row],[ID_Transfers]],"")</f>
        <v/>
      </c>
    </row>
    <row r="3696" spans="1:4" x14ac:dyDescent="0.45">
      <c r="A3696">
        <v>615</v>
      </c>
      <c r="B3696" s="3">
        <f t="shared" ca="1" si="57"/>
        <v>188</v>
      </c>
      <c r="C36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6" t="str">
        <f ca="1">IF(dict_zuord_Meth_Transfers[[#This Row],[kval_active]],dict_zuord_Meth_Transfers[[#This Row],[ID_Transfers]],"")</f>
        <v/>
      </c>
    </row>
    <row r="3697" spans="1:4" x14ac:dyDescent="0.45">
      <c r="A3697">
        <v>615</v>
      </c>
      <c r="B3697">
        <f t="shared" ca="1" si="57"/>
        <v>59</v>
      </c>
      <c r="C36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7" t="str">
        <f ca="1">IF(dict_zuord_Meth_Transfers[[#This Row],[kval_active]],dict_zuord_Meth_Transfers[[#This Row],[ID_Transfers]],"")</f>
        <v/>
      </c>
    </row>
    <row r="3698" spans="1:4" x14ac:dyDescent="0.45">
      <c r="A3698">
        <v>616</v>
      </c>
      <c r="B3698">
        <f t="shared" ca="1" si="57"/>
        <v>121</v>
      </c>
      <c r="C36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8" t="str">
        <f ca="1">IF(dict_zuord_Meth_Transfers[[#This Row],[kval_active]],dict_zuord_Meth_Transfers[[#This Row],[ID_Transfers]],"")</f>
        <v/>
      </c>
    </row>
    <row r="3699" spans="1:4" x14ac:dyDescent="0.45">
      <c r="A3699">
        <v>616</v>
      </c>
      <c r="B3699">
        <f t="shared" ca="1" si="57"/>
        <v>64</v>
      </c>
      <c r="C36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699" t="str">
        <f ca="1">IF(dict_zuord_Meth_Transfers[[#This Row],[kval_active]],dict_zuord_Meth_Transfers[[#This Row],[ID_Transfers]],"")</f>
        <v/>
      </c>
    </row>
    <row r="3700" spans="1:4" x14ac:dyDescent="0.45">
      <c r="A3700">
        <v>616</v>
      </c>
      <c r="B3700" s="3">
        <f t="shared" ca="1" si="57"/>
        <v>11</v>
      </c>
      <c r="C37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0" t="str">
        <f ca="1">IF(dict_zuord_Meth_Transfers[[#This Row],[kval_active]],dict_zuord_Meth_Transfers[[#This Row],[ID_Transfers]],"")</f>
        <v/>
      </c>
    </row>
    <row r="3701" spans="1:4" x14ac:dyDescent="0.45">
      <c r="A3701">
        <v>616</v>
      </c>
      <c r="B3701" s="3">
        <f t="shared" ca="1" si="57"/>
        <v>114</v>
      </c>
      <c r="C37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1" t="str">
        <f ca="1">IF(dict_zuord_Meth_Transfers[[#This Row],[kval_active]],dict_zuord_Meth_Transfers[[#This Row],[ID_Transfers]],"")</f>
        <v/>
      </c>
    </row>
    <row r="3702" spans="1:4" x14ac:dyDescent="0.45">
      <c r="A3702">
        <v>616</v>
      </c>
      <c r="B3702">
        <f t="shared" ca="1" si="57"/>
        <v>154</v>
      </c>
      <c r="C37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2" t="str">
        <f ca="1">IF(dict_zuord_Meth_Transfers[[#This Row],[kval_active]],dict_zuord_Meth_Transfers[[#This Row],[ID_Transfers]],"")</f>
        <v/>
      </c>
    </row>
    <row r="3703" spans="1:4" x14ac:dyDescent="0.45">
      <c r="A3703">
        <v>616</v>
      </c>
      <c r="B3703" s="3">
        <f t="shared" ca="1" si="57"/>
        <v>196</v>
      </c>
      <c r="C37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3" t="str">
        <f ca="1">IF(dict_zuord_Meth_Transfers[[#This Row],[kval_active]],dict_zuord_Meth_Transfers[[#This Row],[ID_Transfers]],"")</f>
        <v/>
      </c>
    </row>
    <row r="3704" spans="1:4" x14ac:dyDescent="0.45">
      <c r="A3704">
        <v>617</v>
      </c>
      <c r="B3704" s="3">
        <f t="shared" ca="1" si="57"/>
        <v>64</v>
      </c>
      <c r="C37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4" t="str">
        <f ca="1">IF(dict_zuord_Meth_Transfers[[#This Row],[kval_active]],dict_zuord_Meth_Transfers[[#This Row],[ID_Transfers]],"")</f>
        <v/>
      </c>
    </row>
    <row r="3705" spans="1:4" x14ac:dyDescent="0.45">
      <c r="A3705">
        <v>617</v>
      </c>
      <c r="B3705" s="3">
        <f t="shared" ca="1" si="57"/>
        <v>121</v>
      </c>
      <c r="C37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5" t="str">
        <f ca="1">IF(dict_zuord_Meth_Transfers[[#This Row],[kval_active]],dict_zuord_Meth_Transfers[[#This Row],[ID_Transfers]],"")</f>
        <v/>
      </c>
    </row>
    <row r="3706" spans="1:4" x14ac:dyDescent="0.45">
      <c r="A3706">
        <v>617</v>
      </c>
      <c r="B3706">
        <f t="shared" ca="1" si="57"/>
        <v>136</v>
      </c>
      <c r="C37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6" t="str">
        <f ca="1">IF(dict_zuord_Meth_Transfers[[#This Row],[kval_active]],dict_zuord_Meth_Transfers[[#This Row],[ID_Transfers]],"")</f>
        <v/>
      </c>
    </row>
    <row r="3707" spans="1:4" x14ac:dyDescent="0.45">
      <c r="A3707">
        <v>617</v>
      </c>
      <c r="B3707">
        <f t="shared" ca="1" si="57"/>
        <v>146</v>
      </c>
      <c r="C37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7" t="str">
        <f ca="1">IF(dict_zuord_Meth_Transfers[[#This Row],[kval_active]],dict_zuord_Meth_Transfers[[#This Row],[ID_Transfers]],"")</f>
        <v/>
      </c>
    </row>
    <row r="3708" spans="1:4" x14ac:dyDescent="0.45">
      <c r="A3708">
        <v>617</v>
      </c>
      <c r="B3708" s="3">
        <f t="shared" ca="1" si="57"/>
        <v>158</v>
      </c>
      <c r="C37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8" t="str">
        <f ca="1">IF(dict_zuord_Meth_Transfers[[#This Row],[kval_active]],dict_zuord_Meth_Transfers[[#This Row],[ID_Transfers]],"")</f>
        <v/>
      </c>
    </row>
    <row r="3709" spans="1:4" x14ac:dyDescent="0.45">
      <c r="A3709">
        <v>617</v>
      </c>
      <c r="B3709">
        <f t="shared" ca="1" si="57"/>
        <v>23</v>
      </c>
      <c r="C37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09" t="str">
        <f ca="1">IF(dict_zuord_Meth_Transfers[[#This Row],[kval_active]],dict_zuord_Meth_Transfers[[#This Row],[ID_Transfers]],"")</f>
        <v/>
      </c>
    </row>
    <row r="3710" spans="1:4" x14ac:dyDescent="0.45">
      <c r="A3710">
        <v>618</v>
      </c>
      <c r="B3710">
        <f t="shared" ca="1" si="57"/>
        <v>144</v>
      </c>
      <c r="C37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0" t="str">
        <f ca="1">IF(dict_zuord_Meth_Transfers[[#This Row],[kval_active]],dict_zuord_Meth_Transfers[[#This Row],[ID_Transfers]],"")</f>
        <v/>
      </c>
    </row>
    <row r="3711" spans="1:4" x14ac:dyDescent="0.45">
      <c r="A3711">
        <v>618</v>
      </c>
      <c r="B3711">
        <f t="shared" ca="1" si="57"/>
        <v>1</v>
      </c>
      <c r="C37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1" t="str">
        <f ca="1">IF(dict_zuord_Meth_Transfers[[#This Row],[kval_active]],dict_zuord_Meth_Transfers[[#This Row],[ID_Transfers]],"")</f>
        <v/>
      </c>
    </row>
    <row r="3712" spans="1:4" x14ac:dyDescent="0.45">
      <c r="A3712">
        <v>618</v>
      </c>
      <c r="B3712" s="3">
        <f t="shared" ca="1" si="57"/>
        <v>177</v>
      </c>
      <c r="C37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2" t="str">
        <f ca="1">IF(dict_zuord_Meth_Transfers[[#This Row],[kval_active]],dict_zuord_Meth_Transfers[[#This Row],[ID_Transfers]],"")</f>
        <v/>
      </c>
    </row>
    <row r="3713" spans="1:4" x14ac:dyDescent="0.45">
      <c r="A3713">
        <v>618</v>
      </c>
      <c r="B3713">
        <f t="shared" ca="1" si="57"/>
        <v>181</v>
      </c>
      <c r="C37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3" t="str">
        <f ca="1">IF(dict_zuord_Meth_Transfers[[#This Row],[kval_active]],dict_zuord_Meth_Transfers[[#This Row],[ID_Transfers]],"")</f>
        <v/>
      </c>
    </row>
    <row r="3714" spans="1:4" x14ac:dyDescent="0.45">
      <c r="A3714">
        <v>618</v>
      </c>
      <c r="B3714" s="3">
        <f t="shared" ref="B3714:B3777" ca="1" si="58">RANDBETWEEN(0,200)</f>
        <v>46</v>
      </c>
      <c r="C37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4" t="str">
        <f ca="1">IF(dict_zuord_Meth_Transfers[[#This Row],[kval_active]],dict_zuord_Meth_Transfers[[#This Row],[ID_Transfers]],"")</f>
        <v/>
      </c>
    </row>
    <row r="3715" spans="1:4" x14ac:dyDescent="0.45">
      <c r="A3715">
        <v>618</v>
      </c>
      <c r="B3715" s="3">
        <f t="shared" ca="1" si="58"/>
        <v>10</v>
      </c>
      <c r="C37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5" t="str">
        <f ca="1">IF(dict_zuord_Meth_Transfers[[#This Row],[kval_active]],dict_zuord_Meth_Transfers[[#This Row],[ID_Transfers]],"")</f>
        <v/>
      </c>
    </row>
    <row r="3716" spans="1:4" x14ac:dyDescent="0.45">
      <c r="A3716">
        <v>619</v>
      </c>
      <c r="B3716" s="3">
        <f t="shared" ca="1" si="58"/>
        <v>46</v>
      </c>
      <c r="C37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6" t="str">
        <f ca="1">IF(dict_zuord_Meth_Transfers[[#This Row],[kval_active]],dict_zuord_Meth_Transfers[[#This Row],[ID_Transfers]],"")</f>
        <v/>
      </c>
    </row>
    <row r="3717" spans="1:4" x14ac:dyDescent="0.45">
      <c r="A3717">
        <v>619</v>
      </c>
      <c r="B3717" s="3">
        <f t="shared" ca="1" si="58"/>
        <v>186</v>
      </c>
      <c r="C37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7" t="str">
        <f ca="1">IF(dict_zuord_Meth_Transfers[[#This Row],[kval_active]],dict_zuord_Meth_Transfers[[#This Row],[ID_Transfers]],"")</f>
        <v/>
      </c>
    </row>
    <row r="3718" spans="1:4" x14ac:dyDescent="0.45">
      <c r="A3718">
        <v>619</v>
      </c>
      <c r="B3718">
        <f t="shared" ca="1" si="58"/>
        <v>95</v>
      </c>
      <c r="C37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8" t="str">
        <f ca="1">IF(dict_zuord_Meth_Transfers[[#This Row],[kval_active]],dict_zuord_Meth_Transfers[[#This Row],[ID_Transfers]],"")</f>
        <v/>
      </c>
    </row>
    <row r="3719" spans="1:4" x14ac:dyDescent="0.45">
      <c r="A3719">
        <v>619</v>
      </c>
      <c r="B3719" s="3">
        <f t="shared" ca="1" si="58"/>
        <v>197</v>
      </c>
      <c r="C37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19" t="str">
        <f ca="1">IF(dict_zuord_Meth_Transfers[[#This Row],[kval_active]],dict_zuord_Meth_Transfers[[#This Row],[ID_Transfers]],"")</f>
        <v/>
      </c>
    </row>
    <row r="3720" spans="1:4" x14ac:dyDescent="0.45">
      <c r="A3720">
        <v>619</v>
      </c>
      <c r="B3720">
        <f t="shared" ca="1" si="58"/>
        <v>186</v>
      </c>
      <c r="C37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0" t="str">
        <f ca="1">IF(dict_zuord_Meth_Transfers[[#This Row],[kval_active]],dict_zuord_Meth_Transfers[[#This Row],[ID_Transfers]],"")</f>
        <v/>
      </c>
    </row>
    <row r="3721" spans="1:4" x14ac:dyDescent="0.45">
      <c r="A3721">
        <v>619</v>
      </c>
      <c r="B3721">
        <f t="shared" ca="1" si="58"/>
        <v>141</v>
      </c>
      <c r="C37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1" t="str">
        <f ca="1">IF(dict_zuord_Meth_Transfers[[#This Row],[kval_active]],dict_zuord_Meth_Transfers[[#This Row],[ID_Transfers]],"")</f>
        <v/>
      </c>
    </row>
    <row r="3722" spans="1:4" x14ac:dyDescent="0.45">
      <c r="A3722">
        <v>620</v>
      </c>
      <c r="B3722">
        <f t="shared" ca="1" si="58"/>
        <v>192</v>
      </c>
      <c r="C37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2" t="str">
        <f ca="1">IF(dict_zuord_Meth_Transfers[[#This Row],[kval_active]],dict_zuord_Meth_Transfers[[#This Row],[ID_Transfers]],"")</f>
        <v/>
      </c>
    </row>
    <row r="3723" spans="1:4" x14ac:dyDescent="0.45">
      <c r="A3723">
        <v>620</v>
      </c>
      <c r="B3723">
        <f t="shared" ca="1" si="58"/>
        <v>48</v>
      </c>
      <c r="C37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3" t="str">
        <f ca="1">IF(dict_zuord_Meth_Transfers[[#This Row],[kval_active]],dict_zuord_Meth_Transfers[[#This Row],[ID_Transfers]],"")</f>
        <v/>
      </c>
    </row>
    <row r="3724" spans="1:4" x14ac:dyDescent="0.45">
      <c r="A3724">
        <v>620</v>
      </c>
      <c r="B3724" s="3">
        <f t="shared" ca="1" si="58"/>
        <v>156</v>
      </c>
      <c r="C37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4" t="str">
        <f ca="1">IF(dict_zuord_Meth_Transfers[[#This Row],[kval_active]],dict_zuord_Meth_Transfers[[#This Row],[ID_Transfers]],"")</f>
        <v/>
      </c>
    </row>
    <row r="3725" spans="1:4" x14ac:dyDescent="0.45">
      <c r="A3725">
        <v>620</v>
      </c>
      <c r="B3725">
        <f t="shared" ca="1" si="58"/>
        <v>183</v>
      </c>
      <c r="C37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5" t="str">
        <f ca="1">IF(dict_zuord_Meth_Transfers[[#This Row],[kval_active]],dict_zuord_Meth_Transfers[[#This Row],[ID_Transfers]],"")</f>
        <v/>
      </c>
    </row>
    <row r="3726" spans="1:4" x14ac:dyDescent="0.45">
      <c r="A3726">
        <v>620</v>
      </c>
      <c r="B3726" s="3">
        <f t="shared" ca="1" si="58"/>
        <v>117</v>
      </c>
      <c r="C37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6" t="str">
        <f ca="1">IF(dict_zuord_Meth_Transfers[[#This Row],[kval_active]],dict_zuord_Meth_Transfers[[#This Row],[ID_Transfers]],"")</f>
        <v/>
      </c>
    </row>
    <row r="3727" spans="1:4" x14ac:dyDescent="0.45">
      <c r="A3727">
        <v>620</v>
      </c>
      <c r="B3727" s="3">
        <f t="shared" ca="1" si="58"/>
        <v>178</v>
      </c>
      <c r="C37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7" t="str">
        <f ca="1">IF(dict_zuord_Meth_Transfers[[#This Row],[kval_active]],dict_zuord_Meth_Transfers[[#This Row],[ID_Transfers]],"")</f>
        <v/>
      </c>
    </row>
    <row r="3728" spans="1:4" x14ac:dyDescent="0.45">
      <c r="A3728">
        <v>621</v>
      </c>
      <c r="B3728" s="3">
        <f t="shared" ca="1" si="58"/>
        <v>147</v>
      </c>
      <c r="C37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8" t="str">
        <f ca="1">IF(dict_zuord_Meth_Transfers[[#This Row],[kval_active]],dict_zuord_Meth_Transfers[[#This Row],[ID_Transfers]],"")</f>
        <v/>
      </c>
    </row>
    <row r="3729" spans="1:4" x14ac:dyDescent="0.45">
      <c r="A3729">
        <v>621</v>
      </c>
      <c r="B3729" s="3">
        <f t="shared" ca="1" si="58"/>
        <v>44</v>
      </c>
      <c r="C37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29" t="str">
        <f ca="1">IF(dict_zuord_Meth_Transfers[[#This Row],[kval_active]],dict_zuord_Meth_Transfers[[#This Row],[ID_Transfers]],"")</f>
        <v/>
      </c>
    </row>
    <row r="3730" spans="1:4" x14ac:dyDescent="0.45">
      <c r="A3730">
        <v>621</v>
      </c>
      <c r="B3730" s="3">
        <f t="shared" ca="1" si="58"/>
        <v>91</v>
      </c>
      <c r="C37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0" t="str">
        <f ca="1">IF(dict_zuord_Meth_Transfers[[#This Row],[kval_active]],dict_zuord_Meth_Transfers[[#This Row],[ID_Transfers]],"")</f>
        <v/>
      </c>
    </row>
    <row r="3731" spans="1:4" x14ac:dyDescent="0.45">
      <c r="A3731">
        <v>621</v>
      </c>
      <c r="B3731">
        <f t="shared" ca="1" si="58"/>
        <v>3</v>
      </c>
      <c r="C37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1" t="str">
        <f ca="1">IF(dict_zuord_Meth_Transfers[[#This Row],[kval_active]],dict_zuord_Meth_Transfers[[#This Row],[ID_Transfers]],"")</f>
        <v/>
      </c>
    </row>
    <row r="3732" spans="1:4" x14ac:dyDescent="0.45">
      <c r="A3732">
        <v>621</v>
      </c>
      <c r="B3732">
        <f t="shared" ca="1" si="58"/>
        <v>144</v>
      </c>
      <c r="C37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2" t="str">
        <f ca="1">IF(dict_zuord_Meth_Transfers[[#This Row],[kval_active]],dict_zuord_Meth_Transfers[[#This Row],[ID_Transfers]],"")</f>
        <v/>
      </c>
    </row>
    <row r="3733" spans="1:4" x14ac:dyDescent="0.45">
      <c r="A3733">
        <v>621</v>
      </c>
      <c r="B3733">
        <f t="shared" ca="1" si="58"/>
        <v>71</v>
      </c>
      <c r="C37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3" t="str">
        <f ca="1">IF(dict_zuord_Meth_Transfers[[#This Row],[kval_active]],dict_zuord_Meth_Transfers[[#This Row],[ID_Transfers]],"")</f>
        <v/>
      </c>
    </row>
    <row r="3734" spans="1:4" x14ac:dyDescent="0.45">
      <c r="A3734">
        <v>622</v>
      </c>
      <c r="B3734">
        <f t="shared" ca="1" si="58"/>
        <v>160</v>
      </c>
      <c r="C37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4" t="str">
        <f ca="1">IF(dict_zuord_Meth_Transfers[[#This Row],[kval_active]],dict_zuord_Meth_Transfers[[#This Row],[ID_Transfers]],"")</f>
        <v/>
      </c>
    </row>
    <row r="3735" spans="1:4" x14ac:dyDescent="0.45">
      <c r="A3735">
        <v>622</v>
      </c>
      <c r="B3735">
        <f t="shared" ca="1" si="58"/>
        <v>112</v>
      </c>
      <c r="C37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5" t="str">
        <f ca="1">IF(dict_zuord_Meth_Transfers[[#This Row],[kval_active]],dict_zuord_Meth_Transfers[[#This Row],[ID_Transfers]],"")</f>
        <v/>
      </c>
    </row>
    <row r="3736" spans="1:4" x14ac:dyDescent="0.45">
      <c r="A3736">
        <v>622</v>
      </c>
      <c r="B3736" s="3">
        <f t="shared" ca="1" si="58"/>
        <v>12</v>
      </c>
      <c r="C37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6" t="str">
        <f ca="1">IF(dict_zuord_Meth_Transfers[[#This Row],[kval_active]],dict_zuord_Meth_Transfers[[#This Row],[ID_Transfers]],"")</f>
        <v/>
      </c>
    </row>
    <row r="3737" spans="1:4" x14ac:dyDescent="0.45">
      <c r="A3737">
        <v>622</v>
      </c>
      <c r="B3737">
        <f t="shared" ca="1" si="58"/>
        <v>90</v>
      </c>
      <c r="C37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7" t="str">
        <f ca="1">IF(dict_zuord_Meth_Transfers[[#This Row],[kval_active]],dict_zuord_Meth_Transfers[[#This Row],[ID_Transfers]],"")</f>
        <v/>
      </c>
    </row>
    <row r="3738" spans="1:4" x14ac:dyDescent="0.45">
      <c r="A3738">
        <v>622</v>
      </c>
      <c r="B3738" s="3">
        <f t="shared" ca="1" si="58"/>
        <v>82</v>
      </c>
      <c r="C37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8" t="str">
        <f ca="1">IF(dict_zuord_Meth_Transfers[[#This Row],[kval_active]],dict_zuord_Meth_Transfers[[#This Row],[ID_Transfers]],"")</f>
        <v/>
      </c>
    </row>
    <row r="3739" spans="1:4" x14ac:dyDescent="0.45">
      <c r="A3739">
        <v>622</v>
      </c>
      <c r="B3739" s="3">
        <f t="shared" ca="1" si="58"/>
        <v>23</v>
      </c>
      <c r="C37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39" t="str">
        <f ca="1">IF(dict_zuord_Meth_Transfers[[#This Row],[kval_active]],dict_zuord_Meth_Transfers[[#This Row],[ID_Transfers]],"")</f>
        <v/>
      </c>
    </row>
    <row r="3740" spans="1:4" x14ac:dyDescent="0.45">
      <c r="A3740">
        <v>623</v>
      </c>
      <c r="B3740">
        <f t="shared" ca="1" si="58"/>
        <v>22</v>
      </c>
      <c r="C37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0" t="str">
        <f ca="1">IF(dict_zuord_Meth_Transfers[[#This Row],[kval_active]],dict_zuord_Meth_Transfers[[#This Row],[ID_Transfers]],"")</f>
        <v/>
      </c>
    </row>
    <row r="3741" spans="1:4" x14ac:dyDescent="0.45">
      <c r="A3741">
        <v>623</v>
      </c>
      <c r="B3741" s="3">
        <f t="shared" ca="1" si="58"/>
        <v>152</v>
      </c>
      <c r="C37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1" t="str">
        <f ca="1">IF(dict_zuord_Meth_Transfers[[#This Row],[kval_active]],dict_zuord_Meth_Transfers[[#This Row],[ID_Transfers]],"")</f>
        <v/>
      </c>
    </row>
    <row r="3742" spans="1:4" x14ac:dyDescent="0.45">
      <c r="A3742">
        <v>623</v>
      </c>
      <c r="B3742" s="3">
        <f t="shared" ca="1" si="58"/>
        <v>116</v>
      </c>
      <c r="C37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2" t="str">
        <f ca="1">IF(dict_zuord_Meth_Transfers[[#This Row],[kval_active]],dict_zuord_Meth_Transfers[[#This Row],[ID_Transfers]],"")</f>
        <v/>
      </c>
    </row>
    <row r="3743" spans="1:4" x14ac:dyDescent="0.45">
      <c r="A3743">
        <v>623</v>
      </c>
      <c r="B3743">
        <f t="shared" ca="1" si="58"/>
        <v>124</v>
      </c>
      <c r="C37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3" t="str">
        <f ca="1">IF(dict_zuord_Meth_Transfers[[#This Row],[kval_active]],dict_zuord_Meth_Transfers[[#This Row],[ID_Transfers]],"")</f>
        <v/>
      </c>
    </row>
    <row r="3744" spans="1:4" x14ac:dyDescent="0.45">
      <c r="A3744">
        <v>623</v>
      </c>
      <c r="B3744" s="3">
        <f t="shared" ca="1" si="58"/>
        <v>145</v>
      </c>
      <c r="C37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4" t="str">
        <f ca="1">IF(dict_zuord_Meth_Transfers[[#This Row],[kval_active]],dict_zuord_Meth_Transfers[[#This Row],[ID_Transfers]],"")</f>
        <v/>
      </c>
    </row>
    <row r="3745" spans="1:4" x14ac:dyDescent="0.45">
      <c r="A3745">
        <v>623</v>
      </c>
      <c r="B3745">
        <f t="shared" ca="1" si="58"/>
        <v>65</v>
      </c>
      <c r="C37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5" t="str">
        <f ca="1">IF(dict_zuord_Meth_Transfers[[#This Row],[kval_active]],dict_zuord_Meth_Transfers[[#This Row],[ID_Transfers]],"")</f>
        <v/>
      </c>
    </row>
    <row r="3746" spans="1:4" x14ac:dyDescent="0.45">
      <c r="A3746">
        <v>624</v>
      </c>
      <c r="B3746" s="3">
        <f t="shared" ca="1" si="58"/>
        <v>73</v>
      </c>
      <c r="C37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6" t="str">
        <f ca="1">IF(dict_zuord_Meth_Transfers[[#This Row],[kval_active]],dict_zuord_Meth_Transfers[[#This Row],[ID_Transfers]],"")</f>
        <v/>
      </c>
    </row>
    <row r="3747" spans="1:4" x14ac:dyDescent="0.45">
      <c r="A3747">
        <v>624</v>
      </c>
      <c r="B3747">
        <f t="shared" ca="1" si="58"/>
        <v>182</v>
      </c>
      <c r="C37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7" t="str">
        <f ca="1">IF(dict_zuord_Meth_Transfers[[#This Row],[kval_active]],dict_zuord_Meth_Transfers[[#This Row],[ID_Transfers]],"")</f>
        <v/>
      </c>
    </row>
    <row r="3748" spans="1:4" x14ac:dyDescent="0.45">
      <c r="A3748">
        <v>624</v>
      </c>
      <c r="B3748" s="3">
        <f t="shared" ca="1" si="58"/>
        <v>20</v>
      </c>
      <c r="C37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8" t="str">
        <f ca="1">IF(dict_zuord_Meth_Transfers[[#This Row],[kval_active]],dict_zuord_Meth_Transfers[[#This Row],[ID_Transfers]],"")</f>
        <v/>
      </c>
    </row>
    <row r="3749" spans="1:4" x14ac:dyDescent="0.45">
      <c r="A3749">
        <v>624</v>
      </c>
      <c r="B3749" s="3">
        <f t="shared" ca="1" si="58"/>
        <v>27</v>
      </c>
      <c r="C37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49" t="str">
        <f ca="1">IF(dict_zuord_Meth_Transfers[[#This Row],[kval_active]],dict_zuord_Meth_Transfers[[#This Row],[ID_Transfers]],"")</f>
        <v/>
      </c>
    </row>
    <row r="3750" spans="1:4" x14ac:dyDescent="0.45">
      <c r="A3750">
        <v>624</v>
      </c>
      <c r="B3750">
        <f t="shared" ca="1" si="58"/>
        <v>60</v>
      </c>
      <c r="C37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0" t="str">
        <f ca="1">IF(dict_zuord_Meth_Transfers[[#This Row],[kval_active]],dict_zuord_Meth_Transfers[[#This Row],[ID_Transfers]],"")</f>
        <v/>
      </c>
    </row>
    <row r="3751" spans="1:4" x14ac:dyDescent="0.45">
      <c r="A3751">
        <v>624</v>
      </c>
      <c r="B3751">
        <f t="shared" ca="1" si="58"/>
        <v>30</v>
      </c>
      <c r="C37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1" t="str">
        <f ca="1">IF(dict_zuord_Meth_Transfers[[#This Row],[kval_active]],dict_zuord_Meth_Transfers[[#This Row],[ID_Transfers]],"")</f>
        <v/>
      </c>
    </row>
    <row r="3752" spans="1:4" x14ac:dyDescent="0.45">
      <c r="A3752">
        <v>625</v>
      </c>
      <c r="B3752">
        <f t="shared" ca="1" si="58"/>
        <v>178</v>
      </c>
      <c r="C37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2" t="str">
        <f ca="1">IF(dict_zuord_Meth_Transfers[[#This Row],[kval_active]],dict_zuord_Meth_Transfers[[#This Row],[ID_Transfers]],"")</f>
        <v/>
      </c>
    </row>
    <row r="3753" spans="1:4" x14ac:dyDescent="0.45">
      <c r="A3753">
        <v>625</v>
      </c>
      <c r="B3753" s="3">
        <f t="shared" ca="1" si="58"/>
        <v>137</v>
      </c>
      <c r="C37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3" t="str">
        <f ca="1">IF(dict_zuord_Meth_Transfers[[#This Row],[kval_active]],dict_zuord_Meth_Transfers[[#This Row],[ID_Transfers]],"")</f>
        <v/>
      </c>
    </row>
    <row r="3754" spans="1:4" x14ac:dyDescent="0.45">
      <c r="A3754">
        <v>625</v>
      </c>
      <c r="B3754">
        <f t="shared" ca="1" si="58"/>
        <v>147</v>
      </c>
      <c r="C37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4" t="str">
        <f ca="1">IF(dict_zuord_Meth_Transfers[[#This Row],[kval_active]],dict_zuord_Meth_Transfers[[#This Row],[ID_Transfers]],"")</f>
        <v/>
      </c>
    </row>
    <row r="3755" spans="1:4" x14ac:dyDescent="0.45">
      <c r="A3755">
        <v>625</v>
      </c>
      <c r="B3755" s="3">
        <f t="shared" ca="1" si="58"/>
        <v>85</v>
      </c>
      <c r="C37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5" t="str">
        <f ca="1">IF(dict_zuord_Meth_Transfers[[#This Row],[kval_active]],dict_zuord_Meth_Transfers[[#This Row],[ID_Transfers]],"")</f>
        <v/>
      </c>
    </row>
    <row r="3756" spans="1:4" x14ac:dyDescent="0.45">
      <c r="A3756">
        <v>625</v>
      </c>
      <c r="B3756" s="3">
        <f t="shared" ca="1" si="58"/>
        <v>62</v>
      </c>
      <c r="C37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6" t="str">
        <f ca="1">IF(dict_zuord_Meth_Transfers[[#This Row],[kval_active]],dict_zuord_Meth_Transfers[[#This Row],[ID_Transfers]],"")</f>
        <v/>
      </c>
    </row>
    <row r="3757" spans="1:4" x14ac:dyDescent="0.45">
      <c r="A3757">
        <v>625</v>
      </c>
      <c r="B3757">
        <f t="shared" ca="1" si="58"/>
        <v>107</v>
      </c>
      <c r="C37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7" t="str">
        <f ca="1">IF(dict_zuord_Meth_Transfers[[#This Row],[kval_active]],dict_zuord_Meth_Transfers[[#This Row],[ID_Transfers]],"")</f>
        <v/>
      </c>
    </row>
    <row r="3758" spans="1:4" x14ac:dyDescent="0.45">
      <c r="A3758">
        <v>626</v>
      </c>
      <c r="B3758">
        <f t="shared" ca="1" si="58"/>
        <v>53</v>
      </c>
      <c r="C37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8" t="str">
        <f ca="1">IF(dict_zuord_Meth_Transfers[[#This Row],[kval_active]],dict_zuord_Meth_Transfers[[#This Row],[ID_Transfers]],"")</f>
        <v/>
      </c>
    </row>
    <row r="3759" spans="1:4" x14ac:dyDescent="0.45">
      <c r="A3759">
        <v>626</v>
      </c>
      <c r="B3759">
        <f t="shared" ca="1" si="58"/>
        <v>195</v>
      </c>
      <c r="C37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59" t="str">
        <f ca="1">IF(dict_zuord_Meth_Transfers[[#This Row],[kval_active]],dict_zuord_Meth_Transfers[[#This Row],[ID_Transfers]],"")</f>
        <v/>
      </c>
    </row>
    <row r="3760" spans="1:4" x14ac:dyDescent="0.45">
      <c r="A3760">
        <v>626</v>
      </c>
      <c r="B3760" s="3">
        <f t="shared" ca="1" si="58"/>
        <v>144</v>
      </c>
      <c r="C37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0" t="str">
        <f ca="1">IF(dict_zuord_Meth_Transfers[[#This Row],[kval_active]],dict_zuord_Meth_Transfers[[#This Row],[ID_Transfers]],"")</f>
        <v/>
      </c>
    </row>
    <row r="3761" spans="1:4" x14ac:dyDescent="0.45">
      <c r="A3761">
        <v>626</v>
      </c>
      <c r="B3761" s="3">
        <f t="shared" ca="1" si="58"/>
        <v>28</v>
      </c>
      <c r="C37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1" t="str">
        <f ca="1">IF(dict_zuord_Meth_Transfers[[#This Row],[kval_active]],dict_zuord_Meth_Transfers[[#This Row],[ID_Transfers]],"")</f>
        <v/>
      </c>
    </row>
    <row r="3762" spans="1:4" x14ac:dyDescent="0.45">
      <c r="A3762">
        <v>626</v>
      </c>
      <c r="B3762">
        <f t="shared" ca="1" si="58"/>
        <v>33</v>
      </c>
      <c r="C37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2" t="str">
        <f ca="1">IF(dict_zuord_Meth_Transfers[[#This Row],[kval_active]],dict_zuord_Meth_Transfers[[#This Row],[ID_Transfers]],"")</f>
        <v/>
      </c>
    </row>
    <row r="3763" spans="1:4" x14ac:dyDescent="0.45">
      <c r="A3763">
        <v>626</v>
      </c>
      <c r="B3763" s="3">
        <f t="shared" ca="1" si="58"/>
        <v>4</v>
      </c>
      <c r="C37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3" t="str">
        <f ca="1">IF(dict_zuord_Meth_Transfers[[#This Row],[kval_active]],dict_zuord_Meth_Transfers[[#This Row],[ID_Transfers]],"")</f>
        <v/>
      </c>
    </row>
    <row r="3764" spans="1:4" x14ac:dyDescent="0.45">
      <c r="A3764">
        <v>627</v>
      </c>
      <c r="B3764" s="3">
        <f t="shared" ca="1" si="58"/>
        <v>22</v>
      </c>
      <c r="C37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4" t="str">
        <f ca="1">IF(dict_zuord_Meth_Transfers[[#This Row],[kval_active]],dict_zuord_Meth_Transfers[[#This Row],[ID_Transfers]],"")</f>
        <v/>
      </c>
    </row>
    <row r="3765" spans="1:4" x14ac:dyDescent="0.45">
      <c r="A3765">
        <v>627</v>
      </c>
      <c r="B3765">
        <f t="shared" ca="1" si="58"/>
        <v>131</v>
      </c>
      <c r="C37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5" t="str">
        <f ca="1">IF(dict_zuord_Meth_Transfers[[#This Row],[kval_active]],dict_zuord_Meth_Transfers[[#This Row],[ID_Transfers]],"")</f>
        <v/>
      </c>
    </row>
    <row r="3766" spans="1:4" x14ac:dyDescent="0.45">
      <c r="A3766">
        <v>627</v>
      </c>
      <c r="B3766" s="3">
        <f t="shared" ca="1" si="58"/>
        <v>187</v>
      </c>
      <c r="C37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6" t="str">
        <f ca="1">IF(dict_zuord_Meth_Transfers[[#This Row],[kval_active]],dict_zuord_Meth_Transfers[[#This Row],[ID_Transfers]],"")</f>
        <v/>
      </c>
    </row>
    <row r="3767" spans="1:4" x14ac:dyDescent="0.45">
      <c r="A3767">
        <v>627</v>
      </c>
      <c r="B3767">
        <f t="shared" ca="1" si="58"/>
        <v>183</v>
      </c>
      <c r="C37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7" t="str">
        <f ca="1">IF(dict_zuord_Meth_Transfers[[#This Row],[kval_active]],dict_zuord_Meth_Transfers[[#This Row],[ID_Transfers]],"")</f>
        <v/>
      </c>
    </row>
    <row r="3768" spans="1:4" x14ac:dyDescent="0.45">
      <c r="A3768">
        <v>627</v>
      </c>
      <c r="B3768" s="3">
        <f t="shared" ca="1" si="58"/>
        <v>10</v>
      </c>
      <c r="C37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8" t="str">
        <f ca="1">IF(dict_zuord_Meth_Transfers[[#This Row],[kval_active]],dict_zuord_Meth_Transfers[[#This Row],[ID_Transfers]],"")</f>
        <v/>
      </c>
    </row>
    <row r="3769" spans="1:4" x14ac:dyDescent="0.45">
      <c r="A3769">
        <v>627</v>
      </c>
      <c r="B3769">
        <f t="shared" ca="1" si="58"/>
        <v>167</v>
      </c>
      <c r="C37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69" t="str">
        <f ca="1">IF(dict_zuord_Meth_Transfers[[#This Row],[kval_active]],dict_zuord_Meth_Transfers[[#This Row],[ID_Transfers]],"")</f>
        <v/>
      </c>
    </row>
    <row r="3770" spans="1:4" x14ac:dyDescent="0.45">
      <c r="A3770">
        <v>628</v>
      </c>
      <c r="B3770" s="3">
        <f t="shared" ca="1" si="58"/>
        <v>133</v>
      </c>
      <c r="C37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0" t="str">
        <f ca="1">IF(dict_zuord_Meth_Transfers[[#This Row],[kval_active]],dict_zuord_Meth_Transfers[[#This Row],[ID_Transfers]],"")</f>
        <v/>
      </c>
    </row>
    <row r="3771" spans="1:4" x14ac:dyDescent="0.45">
      <c r="A3771">
        <v>628</v>
      </c>
      <c r="B3771" s="3">
        <f t="shared" ca="1" si="58"/>
        <v>199</v>
      </c>
      <c r="C37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1" t="str">
        <f ca="1">IF(dict_zuord_Meth_Transfers[[#This Row],[kval_active]],dict_zuord_Meth_Transfers[[#This Row],[ID_Transfers]],"")</f>
        <v/>
      </c>
    </row>
    <row r="3772" spans="1:4" x14ac:dyDescent="0.45">
      <c r="A3772">
        <v>628</v>
      </c>
      <c r="B3772">
        <f t="shared" ca="1" si="58"/>
        <v>199</v>
      </c>
      <c r="C37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2" t="str">
        <f ca="1">IF(dict_zuord_Meth_Transfers[[#This Row],[kval_active]],dict_zuord_Meth_Transfers[[#This Row],[ID_Transfers]],"")</f>
        <v/>
      </c>
    </row>
    <row r="3773" spans="1:4" x14ac:dyDescent="0.45">
      <c r="A3773">
        <v>628</v>
      </c>
      <c r="B3773">
        <f t="shared" ca="1" si="58"/>
        <v>43</v>
      </c>
      <c r="C37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3" t="str">
        <f ca="1">IF(dict_zuord_Meth_Transfers[[#This Row],[kval_active]],dict_zuord_Meth_Transfers[[#This Row],[ID_Transfers]],"")</f>
        <v/>
      </c>
    </row>
    <row r="3774" spans="1:4" x14ac:dyDescent="0.45">
      <c r="A3774">
        <v>628</v>
      </c>
      <c r="B3774">
        <f t="shared" ca="1" si="58"/>
        <v>157</v>
      </c>
      <c r="C37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4" t="str">
        <f ca="1">IF(dict_zuord_Meth_Transfers[[#This Row],[kval_active]],dict_zuord_Meth_Transfers[[#This Row],[ID_Transfers]],"")</f>
        <v/>
      </c>
    </row>
    <row r="3775" spans="1:4" x14ac:dyDescent="0.45">
      <c r="A3775">
        <v>628</v>
      </c>
      <c r="B3775" s="3">
        <f t="shared" ca="1" si="58"/>
        <v>155</v>
      </c>
      <c r="C37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5" t="str">
        <f ca="1">IF(dict_zuord_Meth_Transfers[[#This Row],[kval_active]],dict_zuord_Meth_Transfers[[#This Row],[ID_Transfers]],"")</f>
        <v/>
      </c>
    </row>
    <row r="3776" spans="1:4" x14ac:dyDescent="0.45">
      <c r="A3776">
        <v>629</v>
      </c>
      <c r="B3776">
        <f t="shared" ca="1" si="58"/>
        <v>154</v>
      </c>
      <c r="C37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6" t="str">
        <f ca="1">IF(dict_zuord_Meth_Transfers[[#This Row],[kval_active]],dict_zuord_Meth_Transfers[[#This Row],[ID_Transfers]],"")</f>
        <v/>
      </c>
    </row>
    <row r="3777" spans="1:4" x14ac:dyDescent="0.45">
      <c r="A3777">
        <v>629</v>
      </c>
      <c r="B3777">
        <f t="shared" ca="1" si="58"/>
        <v>31</v>
      </c>
      <c r="C37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7" t="str">
        <f ca="1">IF(dict_zuord_Meth_Transfers[[#This Row],[kval_active]],dict_zuord_Meth_Transfers[[#This Row],[ID_Transfers]],"")</f>
        <v/>
      </c>
    </row>
    <row r="3778" spans="1:4" x14ac:dyDescent="0.45">
      <c r="A3778">
        <v>629</v>
      </c>
      <c r="B3778" s="3">
        <f t="shared" ref="B3778:B3841" ca="1" si="59">RANDBETWEEN(0,200)</f>
        <v>132</v>
      </c>
      <c r="C37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8" t="str">
        <f ca="1">IF(dict_zuord_Meth_Transfers[[#This Row],[kval_active]],dict_zuord_Meth_Transfers[[#This Row],[ID_Transfers]],"")</f>
        <v/>
      </c>
    </row>
    <row r="3779" spans="1:4" x14ac:dyDescent="0.45">
      <c r="A3779">
        <v>629</v>
      </c>
      <c r="B3779">
        <f t="shared" ca="1" si="59"/>
        <v>117</v>
      </c>
      <c r="C37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79" t="str">
        <f ca="1">IF(dict_zuord_Meth_Transfers[[#This Row],[kval_active]],dict_zuord_Meth_Transfers[[#This Row],[ID_Transfers]],"")</f>
        <v/>
      </c>
    </row>
    <row r="3780" spans="1:4" x14ac:dyDescent="0.45">
      <c r="A3780">
        <v>629</v>
      </c>
      <c r="B3780" s="3">
        <f t="shared" ca="1" si="59"/>
        <v>86</v>
      </c>
      <c r="C37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0" t="str">
        <f ca="1">IF(dict_zuord_Meth_Transfers[[#This Row],[kval_active]],dict_zuord_Meth_Transfers[[#This Row],[ID_Transfers]],"")</f>
        <v/>
      </c>
    </row>
    <row r="3781" spans="1:4" x14ac:dyDescent="0.45">
      <c r="A3781">
        <v>629</v>
      </c>
      <c r="B3781" s="3">
        <f t="shared" ca="1" si="59"/>
        <v>190</v>
      </c>
      <c r="C37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1" t="str">
        <f ca="1">IF(dict_zuord_Meth_Transfers[[#This Row],[kval_active]],dict_zuord_Meth_Transfers[[#This Row],[ID_Transfers]],"")</f>
        <v/>
      </c>
    </row>
    <row r="3782" spans="1:4" x14ac:dyDescent="0.45">
      <c r="A3782">
        <v>630</v>
      </c>
      <c r="B3782" s="3">
        <f t="shared" ca="1" si="59"/>
        <v>35</v>
      </c>
      <c r="C37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2" t="str">
        <f ca="1">IF(dict_zuord_Meth_Transfers[[#This Row],[kval_active]],dict_zuord_Meth_Transfers[[#This Row],[ID_Transfers]],"")</f>
        <v/>
      </c>
    </row>
    <row r="3783" spans="1:4" x14ac:dyDescent="0.45">
      <c r="A3783">
        <v>630</v>
      </c>
      <c r="B3783">
        <f t="shared" ca="1" si="59"/>
        <v>52</v>
      </c>
      <c r="C37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3" t="str">
        <f ca="1">IF(dict_zuord_Meth_Transfers[[#This Row],[kval_active]],dict_zuord_Meth_Transfers[[#This Row],[ID_Transfers]],"")</f>
        <v/>
      </c>
    </row>
    <row r="3784" spans="1:4" x14ac:dyDescent="0.45">
      <c r="A3784">
        <v>630</v>
      </c>
      <c r="B3784">
        <f t="shared" ca="1" si="59"/>
        <v>84</v>
      </c>
      <c r="C37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4" t="str">
        <f ca="1">IF(dict_zuord_Meth_Transfers[[#This Row],[kval_active]],dict_zuord_Meth_Transfers[[#This Row],[ID_Transfers]],"")</f>
        <v/>
      </c>
    </row>
    <row r="3785" spans="1:4" x14ac:dyDescent="0.45">
      <c r="A3785">
        <v>630</v>
      </c>
      <c r="B3785" s="3">
        <f t="shared" ca="1" si="59"/>
        <v>188</v>
      </c>
      <c r="C37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5" t="str">
        <f ca="1">IF(dict_zuord_Meth_Transfers[[#This Row],[kval_active]],dict_zuord_Meth_Transfers[[#This Row],[ID_Transfers]],"")</f>
        <v/>
      </c>
    </row>
    <row r="3786" spans="1:4" x14ac:dyDescent="0.45">
      <c r="A3786">
        <v>630</v>
      </c>
      <c r="B3786" s="3">
        <f t="shared" ca="1" si="59"/>
        <v>11</v>
      </c>
      <c r="C37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6" t="str">
        <f ca="1">IF(dict_zuord_Meth_Transfers[[#This Row],[kval_active]],dict_zuord_Meth_Transfers[[#This Row],[ID_Transfers]],"")</f>
        <v/>
      </c>
    </row>
    <row r="3787" spans="1:4" x14ac:dyDescent="0.45">
      <c r="A3787">
        <v>630</v>
      </c>
      <c r="B3787">
        <f t="shared" ca="1" si="59"/>
        <v>157</v>
      </c>
      <c r="C37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7" t="str">
        <f ca="1">IF(dict_zuord_Meth_Transfers[[#This Row],[kval_active]],dict_zuord_Meth_Transfers[[#This Row],[ID_Transfers]],"")</f>
        <v/>
      </c>
    </row>
    <row r="3788" spans="1:4" x14ac:dyDescent="0.45">
      <c r="A3788">
        <v>631</v>
      </c>
      <c r="B3788">
        <f t="shared" ca="1" si="59"/>
        <v>164</v>
      </c>
      <c r="C37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8" t="str">
        <f ca="1">IF(dict_zuord_Meth_Transfers[[#This Row],[kval_active]],dict_zuord_Meth_Transfers[[#This Row],[ID_Transfers]],"")</f>
        <v/>
      </c>
    </row>
    <row r="3789" spans="1:4" x14ac:dyDescent="0.45">
      <c r="A3789">
        <v>631</v>
      </c>
      <c r="B3789" s="3">
        <f t="shared" ca="1" si="59"/>
        <v>151</v>
      </c>
      <c r="C37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89" t="str">
        <f ca="1">IF(dict_zuord_Meth_Transfers[[#This Row],[kval_active]],dict_zuord_Meth_Transfers[[#This Row],[ID_Transfers]],"")</f>
        <v/>
      </c>
    </row>
    <row r="3790" spans="1:4" x14ac:dyDescent="0.45">
      <c r="A3790">
        <v>631</v>
      </c>
      <c r="B3790">
        <f t="shared" ca="1" si="59"/>
        <v>137</v>
      </c>
      <c r="C37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0" t="str">
        <f ca="1">IF(dict_zuord_Meth_Transfers[[#This Row],[kval_active]],dict_zuord_Meth_Transfers[[#This Row],[ID_Transfers]],"")</f>
        <v/>
      </c>
    </row>
    <row r="3791" spans="1:4" x14ac:dyDescent="0.45">
      <c r="A3791">
        <v>631</v>
      </c>
      <c r="B3791" s="3">
        <f t="shared" ca="1" si="59"/>
        <v>158</v>
      </c>
      <c r="C37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1" t="str">
        <f ca="1">IF(dict_zuord_Meth_Transfers[[#This Row],[kval_active]],dict_zuord_Meth_Transfers[[#This Row],[ID_Transfers]],"")</f>
        <v/>
      </c>
    </row>
    <row r="3792" spans="1:4" x14ac:dyDescent="0.45">
      <c r="A3792">
        <v>631</v>
      </c>
      <c r="B3792" s="3">
        <f t="shared" ca="1" si="59"/>
        <v>32</v>
      </c>
      <c r="C37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2" t="str">
        <f ca="1">IF(dict_zuord_Meth_Transfers[[#This Row],[kval_active]],dict_zuord_Meth_Transfers[[#This Row],[ID_Transfers]],"")</f>
        <v/>
      </c>
    </row>
    <row r="3793" spans="1:4" x14ac:dyDescent="0.45">
      <c r="A3793">
        <v>631</v>
      </c>
      <c r="B3793">
        <f t="shared" ca="1" si="59"/>
        <v>84</v>
      </c>
      <c r="C37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3" t="str">
        <f ca="1">IF(dict_zuord_Meth_Transfers[[#This Row],[kval_active]],dict_zuord_Meth_Transfers[[#This Row],[ID_Transfers]],"")</f>
        <v/>
      </c>
    </row>
    <row r="3794" spans="1:4" x14ac:dyDescent="0.45">
      <c r="A3794">
        <v>632</v>
      </c>
      <c r="B3794">
        <f t="shared" ca="1" si="59"/>
        <v>100</v>
      </c>
      <c r="C37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4" t="str">
        <f ca="1">IF(dict_zuord_Meth_Transfers[[#This Row],[kval_active]],dict_zuord_Meth_Transfers[[#This Row],[ID_Transfers]],"")</f>
        <v/>
      </c>
    </row>
    <row r="3795" spans="1:4" x14ac:dyDescent="0.45">
      <c r="A3795">
        <v>632</v>
      </c>
      <c r="B3795" s="3">
        <f t="shared" ca="1" si="59"/>
        <v>4</v>
      </c>
      <c r="C37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5" t="str">
        <f ca="1">IF(dict_zuord_Meth_Transfers[[#This Row],[kval_active]],dict_zuord_Meth_Transfers[[#This Row],[ID_Transfers]],"")</f>
        <v/>
      </c>
    </row>
    <row r="3796" spans="1:4" x14ac:dyDescent="0.45">
      <c r="A3796">
        <v>632</v>
      </c>
      <c r="B3796" s="3">
        <f t="shared" ca="1" si="59"/>
        <v>20</v>
      </c>
      <c r="C37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6" t="str">
        <f ca="1">IF(dict_zuord_Meth_Transfers[[#This Row],[kval_active]],dict_zuord_Meth_Transfers[[#This Row],[ID_Transfers]],"")</f>
        <v/>
      </c>
    </row>
    <row r="3797" spans="1:4" x14ac:dyDescent="0.45">
      <c r="A3797">
        <v>632</v>
      </c>
      <c r="B3797">
        <f t="shared" ca="1" si="59"/>
        <v>85</v>
      </c>
      <c r="C37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7" t="str">
        <f ca="1">IF(dict_zuord_Meth_Transfers[[#This Row],[kval_active]],dict_zuord_Meth_Transfers[[#This Row],[ID_Transfers]],"")</f>
        <v/>
      </c>
    </row>
    <row r="3798" spans="1:4" x14ac:dyDescent="0.45">
      <c r="A3798">
        <v>632</v>
      </c>
      <c r="B3798">
        <f t="shared" ca="1" si="59"/>
        <v>51</v>
      </c>
      <c r="C37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8" t="str">
        <f ca="1">IF(dict_zuord_Meth_Transfers[[#This Row],[kval_active]],dict_zuord_Meth_Transfers[[#This Row],[ID_Transfers]],"")</f>
        <v/>
      </c>
    </row>
    <row r="3799" spans="1:4" x14ac:dyDescent="0.45">
      <c r="A3799">
        <v>632</v>
      </c>
      <c r="B3799" s="3">
        <f t="shared" ca="1" si="59"/>
        <v>41</v>
      </c>
      <c r="C37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799" t="str">
        <f ca="1">IF(dict_zuord_Meth_Transfers[[#This Row],[kval_active]],dict_zuord_Meth_Transfers[[#This Row],[ID_Transfers]],"")</f>
        <v/>
      </c>
    </row>
    <row r="3800" spans="1:4" x14ac:dyDescent="0.45">
      <c r="A3800">
        <v>633</v>
      </c>
      <c r="B3800">
        <f t="shared" ca="1" si="59"/>
        <v>115</v>
      </c>
      <c r="C38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0" t="str">
        <f ca="1">IF(dict_zuord_Meth_Transfers[[#This Row],[kval_active]],dict_zuord_Meth_Transfers[[#This Row],[ID_Transfers]],"")</f>
        <v/>
      </c>
    </row>
    <row r="3801" spans="1:4" x14ac:dyDescent="0.45">
      <c r="A3801">
        <v>633</v>
      </c>
      <c r="B3801">
        <f t="shared" ca="1" si="59"/>
        <v>173</v>
      </c>
      <c r="C38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1" t="str">
        <f ca="1">IF(dict_zuord_Meth_Transfers[[#This Row],[kval_active]],dict_zuord_Meth_Transfers[[#This Row],[ID_Transfers]],"")</f>
        <v/>
      </c>
    </row>
    <row r="3802" spans="1:4" x14ac:dyDescent="0.45">
      <c r="A3802">
        <v>633</v>
      </c>
      <c r="B3802" s="3">
        <f t="shared" ca="1" si="59"/>
        <v>101</v>
      </c>
      <c r="C38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2" t="str">
        <f ca="1">IF(dict_zuord_Meth_Transfers[[#This Row],[kval_active]],dict_zuord_Meth_Transfers[[#This Row],[ID_Transfers]],"")</f>
        <v/>
      </c>
    </row>
    <row r="3803" spans="1:4" x14ac:dyDescent="0.45">
      <c r="A3803">
        <v>633</v>
      </c>
      <c r="B3803" s="3">
        <f t="shared" ca="1" si="59"/>
        <v>128</v>
      </c>
      <c r="C38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3" t="str">
        <f ca="1">IF(dict_zuord_Meth_Transfers[[#This Row],[kval_active]],dict_zuord_Meth_Transfers[[#This Row],[ID_Transfers]],"")</f>
        <v/>
      </c>
    </row>
    <row r="3804" spans="1:4" x14ac:dyDescent="0.45">
      <c r="A3804">
        <v>633</v>
      </c>
      <c r="B3804" s="3">
        <f t="shared" ca="1" si="59"/>
        <v>18</v>
      </c>
      <c r="C38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4" t="str">
        <f ca="1">IF(dict_zuord_Meth_Transfers[[#This Row],[kval_active]],dict_zuord_Meth_Transfers[[#This Row],[ID_Transfers]],"")</f>
        <v/>
      </c>
    </row>
    <row r="3805" spans="1:4" x14ac:dyDescent="0.45">
      <c r="A3805">
        <v>633</v>
      </c>
      <c r="B3805">
        <f t="shared" ca="1" si="59"/>
        <v>126</v>
      </c>
      <c r="C38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5" t="str">
        <f ca="1">IF(dict_zuord_Meth_Transfers[[#This Row],[kval_active]],dict_zuord_Meth_Transfers[[#This Row],[ID_Transfers]],"")</f>
        <v/>
      </c>
    </row>
    <row r="3806" spans="1:4" x14ac:dyDescent="0.45">
      <c r="A3806">
        <v>634</v>
      </c>
      <c r="B3806">
        <f t="shared" ca="1" si="59"/>
        <v>9</v>
      </c>
      <c r="C38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6" t="str">
        <f ca="1">IF(dict_zuord_Meth_Transfers[[#This Row],[kval_active]],dict_zuord_Meth_Transfers[[#This Row],[ID_Transfers]],"")</f>
        <v/>
      </c>
    </row>
    <row r="3807" spans="1:4" x14ac:dyDescent="0.45">
      <c r="A3807">
        <v>634</v>
      </c>
      <c r="B3807" s="3">
        <f t="shared" ca="1" si="59"/>
        <v>141</v>
      </c>
      <c r="C38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7" t="str">
        <f ca="1">IF(dict_zuord_Meth_Transfers[[#This Row],[kval_active]],dict_zuord_Meth_Transfers[[#This Row],[ID_Transfers]],"")</f>
        <v/>
      </c>
    </row>
    <row r="3808" spans="1:4" x14ac:dyDescent="0.45">
      <c r="A3808">
        <v>634</v>
      </c>
      <c r="B3808">
        <f t="shared" ca="1" si="59"/>
        <v>125</v>
      </c>
      <c r="C38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8" t="str">
        <f ca="1">IF(dict_zuord_Meth_Transfers[[#This Row],[kval_active]],dict_zuord_Meth_Transfers[[#This Row],[ID_Transfers]],"")</f>
        <v/>
      </c>
    </row>
    <row r="3809" spans="1:4" x14ac:dyDescent="0.45">
      <c r="A3809">
        <v>634</v>
      </c>
      <c r="B3809" s="3">
        <f t="shared" ca="1" si="59"/>
        <v>127</v>
      </c>
      <c r="C38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09" t="str">
        <f ca="1">IF(dict_zuord_Meth_Transfers[[#This Row],[kval_active]],dict_zuord_Meth_Transfers[[#This Row],[ID_Transfers]],"")</f>
        <v/>
      </c>
    </row>
    <row r="3810" spans="1:4" x14ac:dyDescent="0.45">
      <c r="A3810">
        <v>634</v>
      </c>
      <c r="B3810" s="3">
        <f t="shared" ca="1" si="59"/>
        <v>72</v>
      </c>
      <c r="C38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0" t="str">
        <f ca="1">IF(dict_zuord_Meth_Transfers[[#This Row],[kval_active]],dict_zuord_Meth_Transfers[[#This Row],[ID_Transfers]],"")</f>
        <v/>
      </c>
    </row>
    <row r="3811" spans="1:4" x14ac:dyDescent="0.45">
      <c r="A3811">
        <v>634</v>
      </c>
      <c r="B3811">
        <f t="shared" ca="1" si="59"/>
        <v>110</v>
      </c>
      <c r="C38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1" t="str">
        <f ca="1">IF(dict_zuord_Meth_Transfers[[#This Row],[kval_active]],dict_zuord_Meth_Transfers[[#This Row],[ID_Transfers]],"")</f>
        <v/>
      </c>
    </row>
    <row r="3812" spans="1:4" x14ac:dyDescent="0.45">
      <c r="A3812">
        <v>635</v>
      </c>
      <c r="B3812">
        <f t="shared" ca="1" si="59"/>
        <v>105</v>
      </c>
      <c r="C38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2" t="str">
        <f ca="1">IF(dict_zuord_Meth_Transfers[[#This Row],[kval_active]],dict_zuord_Meth_Transfers[[#This Row],[ID_Transfers]],"")</f>
        <v/>
      </c>
    </row>
    <row r="3813" spans="1:4" x14ac:dyDescent="0.45">
      <c r="A3813">
        <v>635</v>
      </c>
      <c r="B3813" s="3">
        <f t="shared" ca="1" si="59"/>
        <v>72</v>
      </c>
      <c r="C38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3" t="str">
        <f ca="1">IF(dict_zuord_Meth_Transfers[[#This Row],[kval_active]],dict_zuord_Meth_Transfers[[#This Row],[ID_Transfers]],"")</f>
        <v/>
      </c>
    </row>
    <row r="3814" spans="1:4" x14ac:dyDescent="0.45">
      <c r="A3814">
        <v>635</v>
      </c>
      <c r="B3814" s="3">
        <f t="shared" ca="1" si="59"/>
        <v>155</v>
      </c>
      <c r="C38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4" t="str">
        <f ca="1">IF(dict_zuord_Meth_Transfers[[#This Row],[kval_active]],dict_zuord_Meth_Transfers[[#This Row],[ID_Transfers]],"")</f>
        <v/>
      </c>
    </row>
    <row r="3815" spans="1:4" x14ac:dyDescent="0.45">
      <c r="A3815">
        <v>635</v>
      </c>
      <c r="B3815">
        <f t="shared" ca="1" si="59"/>
        <v>174</v>
      </c>
      <c r="C38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5" t="str">
        <f ca="1">IF(dict_zuord_Meth_Transfers[[#This Row],[kval_active]],dict_zuord_Meth_Transfers[[#This Row],[ID_Transfers]],"")</f>
        <v/>
      </c>
    </row>
    <row r="3816" spans="1:4" x14ac:dyDescent="0.45">
      <c r="A3816">
        <v>635</v>
      </c>
      <c r="B3816">
        <f t="shared" ca="1" si="59"/>
        <v>129</v>
      </c>
      <c r="C38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6" t="str">
        <f ca="1">IF(dict_zuord_Meth_Transfers[[#This Row],[kval_active]],dict_zuord_Meth_Transfers[[#This Row],[ID_Transfers]],"")</f>
        <v/>
      </c>
    </row>
    <row r="3817" spans="1:4" x14ac:dyDescent="0.45">
      <c r="A3817">
        <v>635</v>
      </c>
      <c r="B3817" s="3">
        <f t="shared" ca="1" si="59"/>
        <v>11</v>
      </c>
      <c r="C38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7" t="str">
        <f ca="1">IF(dict_zuord_Meth_Transfers[[#This Row],[kval_active]],dict_zuord_Meth_Transfers[[#This Row],[ID_Transfers]],"")</f>
        <v/>
      </c>
    </row>
    <row r="3818" spans="1:4" x14ac:dyDescent="0.45">
      <c r="A3818">
        <v>636</v>
      </c>
      <c r="B3818" s="3">
        <f t="shared" ca="1" si="59"/>
        <v>122</v>
      </c>
      <c r="C38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8" t="str">
        <f ca="1">IF(dict_zuord_Meth_Transfers[[#This Row],[kval_active]],dict_zuord_Meth_Transfers[[#This Row],[ID_Transfers]],"")</f>
        <v/>
      </c>
    </row>
    <row r="3819" spans="1:4" x14ac:dyDescent="0.45">
      <c r="A3819">
        <v>636</v>
      </c>
      <c r="B3819">
        <f t="shared" ca="1" si="59"/>
        <v>12</v>
      </c>
      <c r="C38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19" t="str">
        <f ca="1">IF(dict_zuord_Meth_Transfers[[#This Row],[kval_active]],dict_zuord_Meth_Transfers[[#This Row],[ID_Transfers]],"")</f>
        <v/>
      </c>
    </row>
    <row r="3820" spans="1:4" x14ac:dyDescent="0.45">
      <c r="A3820">
        <v>636</v>
      </c>
      <c r="B3820" s="3">
        <f t="shared" ca="1" si="59"/>
        <v>148</v>
      </c>
      <c r="C38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0" t="str">
        <f ca="1">IF(dict_zuord_Meth_Transfers[[#This Row],[kval_active]],dict_zuord_Meth_Transfers[[#This Row],[ID_Transfers]],"")</f>
        <v/>
      </c>
    </row>
    <row r="3821" spans="1:4" x14ac:dyDescent="0.45">
      <c r="A3821">
        <v>636</v>
      </c>
      <c r="B3821" s="3">
        <f t="shared" ca="1" si="59"/>
        <v>13</v>
      </c>
      <c r="C38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1" t="str">
        <f ca="1">IF(dict_zuord_Meth_Transfers[[#This Row],[kval_active]],dict_zuord_Meth_Transfers[[#This Row],[ID_Transfers]],"")</f>
        <v/>
      </c>
    </row>
    <row r="3822" spans="1:4" x14ac:dyDescent="0.45">
      <c r="A3822">
        <v>636</v>
      </c>
      <c r="B3822">
        <f t="shared" ca="1" si="59"/>
        <v>103</v>
      </c>
      <c r="C38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2" t="str">
        <f ca="1">IF(dict_zuord_Meth_Transfers[[#This Row],[kval_active]],dict_zuord_Meth_Transfers[[#This Row],[ID_Transfers]],"")</f>
        <v/>
      </c>
    </row>
    <row r="3823" spans="1:4" x14ac:dyDescent="0.45">
      <c r="A3823">
        <v>636</v>
      </c>
      <c r="B3823">
        <f t="shared" ca="1" si="59"/>
        <v>115</v>
      </c>
      <c r="C38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3" t="str">
        <f ca="1">IF(dict_zuord_Meth_Transfers[[#This Row],[kval_active]],dict_zuord_Meth_Transfers[[#This Row],[ID_Transfers]],"")</f>
        <v/>
      </c>
    </row>
    <row r="3824" spans="1:4" x14ac:dyDescent="0.45">
      <c r="A3824">
        <v>637</v>
      </c>
      <c r="B3824">
        <f t="shared" ca="1" si="59"/>
        <v>29</v>
      </c>
      <c r="C38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4" t="str">
        <f ca="1">IF(dict_zuord_Meth_Transfers[[#This Row],[kval_active]],dict_zuord_Meth_Transfers[[#This Row],[ID_Transfers]],"")</f>
        <v/>
      </c>
    </row>
    <row r="3825" spans="1:4" x14ac:dyDescent="0.45">
      <c r="A3825">
        <v>637</v>
      </c>
      <c r="B3825">
        <f t="shared" ca="1" si="59"/>
        <v>166</v>
      </c>
      <c r="C38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5" t="str">
        <f ca="1">IF(dict_zuord_Meth_Transfers[[#This Row],[kval_active]],dict_zuord_Meth_Transfers[[#This Row],[ID_Transfers]],"")</f>
        <v/>
      </c>
    </row>
    <row r="3826" spans="1:4" x14ac:dyDescent="0.45">
      <c r="A3826">
        <v>637</v>
      </c>
      <c r="B3826" s="3">
        <f t="shared" ca="1" si="59"/>
        <v>0</v>
      </c>
      <c r="C38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6" t="str">
        <f ca="1">IF(dict_zuord_Meth_Transfers[[#This Row],[kval_active]],dict_zuord_Meth_Transfers[[#This Row],[ID_Transfers]],"")</f>
        <v/>
      </c>
    </row>
    <row r="3827" spans="1:4" x14ac:dyDescent="0.45">
      <c r="A3827">
        <v>637</v>
      </c>
      <c r="B3827" s="3">
        <f t="shared" ca="1" si="59"/>
        <v>142</v>
      </c>
      <c r="C38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7" t="str">
        <f ca="1">IF(dict_zuord_Meth_Transfers[[#This Row],[kval_active]],dict_zuord_Meth_Transfers[[#This Row],[ID_Transfers]],"")</f>
        <v/>
      </c>
    </row>
    <row r="3828" spans="1:4" x14ac:dyDescent="0.45">
      <c r="A3828">
        <v>637</v>
      </c>
      <c r="B3828">
        <f t="shared" ca="1" si="59"/>
        <v>87</v>
      </c>
      <c r="C38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8" t="str">
        <f ca="1">IF(dict_zuord_Meth_Transfers[[#This Row],[kval_active]],dict_zuord_Meth_Transfers[[#This Row],[ID_Transfers]],"")</f>
        <v/>
      </c>
    </row>
    <row r="3829" spans="1:4" x14ac:dyDescent="0.45">
      <c r="A3829">
        <v>637</v>
      </c>
      <c r="B3829" s="3">
        <f t="shared" ca="1" si="59"/>
        <v>173</v>
      </c>
      <c r="C38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29" t="str">
        <f ca="1">IF(dict_zuord_Meth_Transfers[[#This Row],[kval_active]],dict_zuord_Meth_Transfers[[#This Row],[ID_Transfers]],"")</f>
        <v/>
      </c>
    </row>
    <row r="3830" spans="1:4" x14ac:dyDescent="0.45">
      <c r="A3830">
        <v>638</v>
      </c>
      <c r="B3830" s="3">
        <f t="shared" ca="1" si="59"/>
        <v>126</v>
      </c>
      <c r="C38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0" t="str">
        <f ca="1">IF(dict_zuord_Meth_Transfers[[#This Row],[kval_active]],dict_zuord_Meth_Transfers[[#This Row],[ID_Transfers]],"")</f>
        <v/>
      </c>
    </row>
    <row r="3831" spans="1:4" x14ac:dyDescent="0.45">
      <c r="A3831">
        <v>638</v>
      </c>
      <c r="B3831" s="3">
        <f t="shared" ca="1" si="59"/>
        <v>38</v>
      </c>
      <c r="C38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1" t="str">
        <f ca="1">IF(dict_zuord_Meth_Transfers[[#This Row],[kval_active]],dict_zuord_Meth_Transfers[[#This Row],[ID_Transfers]],"")</f>
        <v/>
      </c>
    </row>
    <row r="3832" spans="1:4" x14ac:dyDescent="0.45">
      <c r="A3832">
        <v>638</v>
      </c>
      <c r="B3832">
        <f t="shared" ca="1" si="59"/>
        <v>102</v>
      </c>
      <c r="C38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2" t="str">
        <f ca="1">IF(dict_zuord_Meth_Transfers[[#This Row],[kval_active]],dict_zuord_Meth_Transfers[[#This Row],[ID_Transfers]],"")</f>
        <v/>
      </c>
    </row>
    <row r="3833" spans="1:4" x14ac:dyDescent="0.45">
      <c r="A3833">
        <v>638</v>
      </c>
      <c r="B3833" s="3">
        <f t="shared" ca="1" si="59"/>
        <v>197</v>
      </c>
      <c r="C38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3" t="str">
        <f ca="1">IF(dict_zuord_Meth_Transfers[[#This Row],[kval_active]],dict_zuord_Meth_Transfers[[#This Row],[ID_Transfers]],"")</f>
        <v/>
      </c>
    </row>
    <row r="3834" spans="1:4" x14ac:dyDescent="0.45">
      <c r="A3834">
        <v>638</v>
      </c>
      <c r="B3834">
        <f t="shared" ca="1" si="59"/>
        <v>151</v>
      </c>
      <c r="C38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4" t="str">
        <f ca="1">IF(dict_zuord_Meth_Transfers[[#This Row],[kval_active]],dict_zuord_Meth_Transfers[[#This Row],[ID_Transfers]],"")</f>
        <v/>
      </c>
    </row>
    <row r="3835" spans="1:4" x14ac:dyDescent="0.45">
      <c r="A3835">
        <v>638</v>
      </c>
      <c r="B3835">
        <f t="shared" ca="1" si="59"/>
        <v>157</v>
      </c>
      <c r="C38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35" t="str">
        <f ca="1">IF(dict_zuord_Meth_Transfers[[#This Row],[kval_active]],dict_zuord_Meth_Transfers[[#This Row],[ID_Transfers]],"")</f>
        <v/>
      </c>
    </row>
    <row r="3836" spans="1:4" x14ac:dyDescent="0.45">
      <c r="A3836">
        <v>639</v>
      </c>
      <c r="B3836" s="3">
        <f t="shared" ca="1" si="59"/>
        <v>139</v>
      </c>
      <c r="C38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6">
        <f ca="1">IF(dict_zuord_Meth_Transfers[[#This Row],[kval_active]],dict_zuord_Meth_Transfers[[#This Row],[ID_Transfers]],"")</f>
        <v>139</v>
      </c>
    </row>
    <row r="3837" spans="1:4" x14ac:dyDescent="0.45">
      <c r="A3837">
        <v>639</v>
      </c>
      <c r="B3837">
        <f t="shared" ca="1" si="59"/>
        <v>10</v>
      </c>
      <c r="C38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7">
        <f ca="1">IF(dict_zuord_Meth_Transfers[[#This Row],[kval_active]],dict_zuord_Meth_Transfers[[#This Row],[ID_Transfers]],"")</f>
        <v>10</v>
      </c>
    </row>
    <row r="3838" spans="1:4" x14ac:dyDescent="0.45">
      <c r="A3838">
        <v>639</v>
      </c>
      <c r="B3838">
        <f t="shared" ca="1" si="59"/>
        <v>7</v>
      </c>
      <c r="C38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8">
        <f ca="1">IF(dict_zuord_Meth_Transfers[[#This Row],[kval_active]],dict_zuord_Meth_Transfers[[#This Row],[ID_Transfers]],"")</f>
        <v>7</v>
      </c>
    </row>
    <row r="3839" spans="1:4" x14ac:dyDescent="0.45">
      <c r="A3839">
        <v>639</v>
      </c>
      <c r="B3839" s="3">
        <f t="shared" ca="1" si="59"/>
        <v>4</v>
      </c>
      <c r="C38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39">
        <f ca="1">IF(dict_zuord_Meth_Transfers[[#This Row],[kval_active]],dict_zuord_Meth_Transfers[[#This Row],[ID_Transfers]],"")</f>
        <v>4</v>
      </c>
    </row>
    <row r="3840" spans="1:4" x14ac:dyDescent="0.45">
      <c r="A3840">
        <v>639</v>
      </c>
      <c r="B3840" s="3">
        <f t="shared" ca="1" si="59"/>
        <v>18</v>
      </c>
      <c r="C38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0">
        <f ca="1">IF(dict_zuord_Meth_Transfers[[#This Row],[kval_active]],dict_zuord_Meth_Transfers[[#This Row],[ID_Transfers]],"")</f>
        <v>18</v>
      </c>
    </row>
    <row r="3841" spans="1:4" x14ac:dyDescent="0.45">
      <c r="A3841">
        <v>639</v>
      </c>
      <c r="B3841">
        <f t="shared" ca="1" si="59"/>
        <v>175</v>
      </c>
      <c r="C38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41">
        <f ca="1">IF(dict_zuord_Meth_Transfers[[#This Row],[kval_active]],dict_zuord_Meth_Transfers[[#This Row],[ID_Transfers]],"")</f>
        <v>175</v>
      </c>
    </row>
    <row r="3842" spans="1:4" x14ac:dyDescent="0.45">
      <c r="A3842">
        <v>640</v>
      </c>
      <c r="B3842" s="3">
        <f t="shared" ref="B3842:B3905" ca="1" si="60">RANDBETWEEN(0,200)</f>
        <v>58</v>
      </c>
      <c r="C38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2" t="str">
        <f ca="1">IF(dict_zuord_Meth_Transfers[[#This Row],[kval_active]],dict_zuord_Meth_Transfers[[#This Row],[ID_Transfers]],"")</f>
        <v/>
      </c>
    </row>
    <row r="3843" spans="1:4" x14ac:dyDescent="0.45">
      <c r="A3843">
        <v>640</v>
      </c>
      <c r="B3843">
        <f t="shared" ca="1" si="60"/>
        <v>73</v>
      </c>
      <c r="C38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3" t="str">
        <f ca="1">IF(dict_zuord_Meth_Transfers[[#This Row],[kval_active]],dict_zuord_Meth_Transfers[[#This Row],[ID_Transfers]],"")</f>
        <v/>
      </c>
    </row>
    <row r="3844" spans="1:4" x14ac:dyDescent="0.45">
      <c r="A3844">
        <v>640</v>
      </c>
      <c r="B3844">
        <f t="shared" ca="1" si="60"/>
        <v>144</v>
      </c>
      <c r="C38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4" t="str">
        <f ca="1">IF(dict_zuord_Meth_Transfers[[#This Row],[kval_active]],dict_zuord_Meth_Transfers[[#This Row],[ID_Transfers]],"")</f>
        <v/>
      </c>
    </row>
    <row r="3845" spans="1:4" x14ac:dyDescent="0.45">
      <c r="A3845">
        <v>640</v>
      </c>
      <c r="B3845" s="3">
        <f t="shared" ca="1" si="60"/>
        <v>170</v>
      </c>
      <c r="C38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5" t="str">
        <f ca="1">IF(dict_zuord_Meth_Transfers[[#This Row],[kval_active]],dict_zuord_Meth_Transfers[[#This Row],[ID_Transfers]],"")</f>
        <v/>
      </c>
    </row>
    <row r="3846" spans="1:4" x14ac:dyDescent="0.45">
      <c r="A3846">
        <v>640</v>
      </c>
      <c r="B3846">
        <f t="shared" ca="1" si="60"/>
        <v>171</v>
      </c>
      <c r="C38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6" t="str">
        <f ca="1">IF(dict_zuord_Meth_Transfers[[#This Row],[kval_active]],dict_zuord_Meth_Transfers[[#This Row],[ID_Transfers]],"")</f>
        <v/>
      </c>
    </row>
    <row r="3847" spans="1:4" x14ac:dyDescent="0.45">
      <c r="A3847">
        <v>640</v>
      </c>
      <c r="B3847" s="3">
        <f t="shared" ca="1" si="60"/>
        <v>188</v>
      </c>
      <c r="C38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7" t="str">
        <f ca="1">IF(dict_zuord_Meth_Transfers[[#This Row],[kval_active]],dict_zuord_Meth_Transfers[[#This Row],[ID_Transfers]],"")</f>
        <v/>
      </c>
    </row>
    <row r="3848" spans="1:4" x14ac:dyDescent="0.45">
      <c r="A3848">
        <v>641</v>
      </c>
      <c r="B3848">
        <f t="shared" ca="1" si="60"/>
        <v>33</v>
      </c>
      <c r="C38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8" t="str">
        <f ca="1">IF(dict_zuord_Meth_Transfers[[#This Row],[kval_active]],dict_zuord_Meth_Transfers[[#This Row],[ID_Transfers]],"")</f>
        <v/>
      </c>
    </row>
    <row r="3849" spans="1:4" x14ac:dyDescent="0.45">
      <c r="A3849">
        <v>641</v>
      </c>
      <c r="B3849">
        <f t="shared" ca="1" si="60"/>
        <v>92</v>
      </c>
      <c r="C38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49" t="str">
        <f ca="1">IF(dict_zuord_Meth_Transfers[[#This Row],[kval_active]],dict_zuord_Meth_Transfers[[#This Row],[ID_Transfers]],"")</f>
        <v/>
      </c>
    </row>
    <row r="3850" spans="1:4" x14ac:dyDescent="0.45">
      <c r="A3850">
        <v>641</v>
      </c>
      <c r="B3850" s="3">
        <f t="shared" ca="1" si="60"/>
        <v>40</v>
      </c>
      <c r="C38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0" t="str">
        <f ca="1">IF(dict_zuord_Meth_Transfers[[#This Row],[kval_active]],dict_zuord_Meth_Transfers[[#This Row],[ID_Transfers]],"")</f>
        <v/>
      </c>
    </row>
    <row r="3851" spans="1:4" x14ac:dyDescent="0.45">
      <c r="A3851">
        <v>641</v>
      </c>
      <c r="B3851" s="3">
        <f t="shared" ca="1" si="60"/>
        <v>141</v>
      </c>
      <c r="C38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1" t="str">
        <f ca="1">IF(dict_zuord_Meth_Transfers[[#This Row],[kval_active]],dict_zuord_Meth_Transfers[[#This Row],[ID_Transfers]],"")</f>
        <v/>
      </c>
    </row>
    <row r="3852" spans="1:4" x14ac:dyDescent="0.45">
      <c r="A3852">
        <v>641</v>
      </c>
      <c r="B3852" s="3">
        <f t="shared" ca="1" si="60"/>
        <v>169</v>
      </c>
      <c r="C38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2" t="str">
        <f ca="1">IF(dict_zuord_Meth_Transfers[[#This Row],[kval_active]],dict_zuord_Meth_Transfers[[#This Row],[ID_Transfers]],"")</f>
        <v/>
      </c>
    </row>
    <row r="3853" spans="1:4" x14ac:dyDescent="0.45">
      <c r="A3853">
        <v>641</v>
      </c>
      <c r="B3853">
        <f t="shared" ca="1" si="60"/>
        <v>9</v>
      </c>
      <c r="C38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3" t="str">
        <f ca="1">IF(dict_zuord_Meth_Transfers[[#This Row],[kval_active]],dict_zuord_Meth_Transfers[[#This Row],[ID_Transfers]],"")</f>
        <v/>
      </c>
    </row>
    <row r="3854" spans="1:4" x14ac:dyDescent="0.45">
      <c r="A3854">
        <v>642</v>
      </c>
      <c r="B3854" s="3">
        <f t="shared" ca="1" si="60"/>
        <v>101</v>
      </c>
      <c r="C38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4" t="str">
        <f ca="1">IF(dict_zuord_Meth_Transfers[[#This Row],[kval_active]],dict_zuord_Meth_Transfers[[#This Row],[ID_Transfers]],"")</f>
        <v/>
      </c>
    </row>
    <row r="3855" spans="1:4" x14ac:dyDescent="0.45">
      <c r="A3855">
        <v>642</v>
      </c>
      <c r="B3855">
        <f t="shared" ca="1" si="60"/>
        <v>146</v>
      </c>
      <c r="C38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5" t="str">
        <f ca="1">IF(dict_zuord_Meth_Transfers[[#This Row],[kval_active]],dict_zuord_Meth_Transfers[[#This Row],[ID_Transfers]],"")</f>
        <v/>
      </c>
    </row>
    <row r="3856" spans="1:4" x14ac:dyDescent="0.45">
      <c r="A3856">
        <v>642</v>
      </c>
      <c r="B3856">
        <f t="shared" ca="1" si="60"/>
        <v>18</v>
      </c>
      <c r="C38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6" t="str">
        <f ca="1">IF(dict_zuord_Meth_Transfers[[#This Row],[kval_active]],dict_zuord_Meth_Transfers[[#This Row],[ID_Transfers]],"")</f>
        <v/>
      </c>
    </row>
    <row r="3857" spans="1:4" x14ac:dyDescent="0.45">
      <c r="A3857">
        <v>642</v>
      </c>
      <c r="B3857">
        <f t="shared" ca="1" si="60"/>
        <v>0</v>
      </c>
      <c r="C38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7" t="str">
        <f ca="1">IF(dict_zuord_Meth_Transfers[[#This Row],[kval_active]],dict_zuord_Meth_Transfers[[#This Row],[ID_Transfers]],"")</f>
        <v/>
      </c>
    </row>
    <row r="3858" spans="1:4" x14ac:dyDescent="0.45">
      <c r="A3858">
        <v>642</v>
      </c>
      <c r="B3858" s="3">
        <f t="shared" ca="1" si="60"/>
        <v>181</v>
      </c>
      <c r="C38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8" t="str">
        <f ca="1">IF(dict_zuord_Meth_Transfers[[#This Row],[kval_active]],dict_zuord_Meth_Transfers[[#This Row],[ID_Transfers]],"")</f>
        <v/>
      </c>
    </row>
    <row r="3859" spans="1:4" x14ac:dyDescent="0.45">
      <c r="A3859">
        <v>642</v>
      </c>
      <c r="B3859" s="3">
        <f t="shared" ca="1" si="60"/>
        <v>41</v>
      </c>
      <c r="C38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59" t="str">
        <f ca="1">IF(dict_zuord_Meth_Transfers[[#This Row],[kval_active]],dict_zuord_Meth_Transfers[[#This Row],[ID_Transfers]],"")</f>
        <v/>
      </c>
    </row>
    <row r="3860" spans="1:4" x14ac:dyDescent="0.45">
      <c r="A3860">
        <v>643</v>
      </c>
      <c r="B3860">
        <f t="shared" ca="1" si="60"/>
        <v>185</v>
      </c>
      <c r="C38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0" t="str">
        <f ca="1">IF(dict_zuord_Meth_Transfers[[#This Row],[kval_active]],dict_zuord_Meth_Transfers[[#This Row],[ID_Transfers]],"")</f>
        <v/>
      </c>
    </row>
    <row r="3861" spans="1:4" x14ac:dyDescent="0.45">
      <c r="A3861">
        <v>643</v>
      </c>
      <c r="B3861">
        <f t="shared" ca="1" si="60"/>
        <v>144</v>
      </c>
      <c r="C38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1" t="str">
        <f ca="1">IF(dict_zuord_Meth_Transfers[[#This Row],[kval_active]],dict_zuord_Meth_Transfers[[#This Row],[ID_Transfers]],"")</f>
        <v/>
      </c>
    </row>
    <row r="3862" spans="1:4" x14ac:dyDescent="0.45">
      <c r="A3862">
        <v>643</v>
      </c>
      <c r="B3862" s="3">
        <f t="shared" ca="1" si="60"/>
        <v>121</v>
      </c>
      <c r="C38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2" t="str">
        <f ca="1">IF(dict_zuord_Meth_Transfers[[#This Row],[kval_active]],dict_zuord_Meth_Transfers[[#This Row],[ID_Transfers]],"")</f>
        <v/>
      </c>
    </row>
    <row r="3863" spans="1:4" x14ac:dyDescent="0.45">
      <c r="A3863">
        <v>643</v>
      </c>
      <c r="B3863" s="3">
        <f t="shared" ca="1" si="60"/>
        <v>187</v>
      </c>
      <c r="C38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3" t="str">
        <f ca="1">IF(dict_zuord_Meth_Transfers[[#This Row],[kval_active]],dict_zuord_Meth_Transfers[[#This Row],[ID_Transfers]],"")</f>
        <v/>
      </c>
    </row>
    <row r="3864" spans="1:4" x14ac:dyDescent="0.45">
      <c r="A3864">
        <v>643</v>
      </c>
      <c r="B3864">
        <f t="shared" ca="1" si="60"/>
        <v>106</v>
      </c>
      <c r="C38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4" t="str">
        <f ca="1">IF(dict_zuord_Meth_Transfers[[#This Row],[kval_active]],dict_zuord_Meth_Transfers[[#This Row],[ID_Transfers]],"")</f>
        <v/>
      </c>
    </row>
    <row r="3865" spans="1:4" x14ac:dyDescent="0.45">
      <c r="A3865">
        <v>643</v>
      </c>
      <c r="B3865" s="3">
        <f t="shared" ca="1" si="60"/>
        <v>83</v>
      </c>
      <c r="C38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5" t="str">
        <f ca="1">IF(dict_zuord_Meth_Transfers[[#This Row],[kval_active]],dict_zuord_Meth_Transfers[[#This Row],[ID_Transfers]],"")</f>
        <v/>
      </c>
    </row>
    <row r="3866" spans="1:4" x14ac:dyDescent="0.45">
      <c r="A3866">
        <v>644</v>
      </c>
      <c r="B3866" s="3">
        <f t="shared" ca="1" si="60"/>
        <v>136</v>
      </c>
      <c r="C38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6" t="str">
        <f ca="1">IF(dict_zuord_Meth_Transfers[[#This Row],[kval_active]],dict_zuord_Meth_Transfers[[#This Row],[ID_Transfers]],"")</f>
        <v/>
      </c>
    </row>
    <row r="3867" spans="1:4" x14ac:dyDescent="0.45">
      <c r="A3867">
        <v>644</v>
      </c>
      <c r="B3867">
        <f t="shared" ca="1" si="60"/>
        <v>36</v>
      </c>
      <c r="C38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7" t="str">
        <f ca="1">IF(dict_zuord_Meth_Transfers[[#This Row],[kval_active]],dict_zuord_Meth_Transfers[[#This Row],[ID_Transfers]],"")</f>
        <v/>
      </c>
    </row>
    <row r="3868" spans="1:4" x14ac:dyDescent="0.45">
      <c r="A3868">
        <v>644</v>
      </c>
      <c r="B3868">
        <f t="shared" ca="1" si="60"/>
        <v>100</v>
      </c>
      <c r="C38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8" t="str">
        <f ca="1">IF(dict_zuord_Meth_Transfers[[#This Row],[kval_active]],dict_zuord_Meth_Transfers[[#This Row],[ID_Transfers]],"")</f>
        <v/>
      </c>
    </row>
    <row r="3869" spans="1:4" x14ac:dyDescent="0.45">
      <c r="A3869">
        <v>644</v>
      </c>
      <c r="B3869" s="3">
        <f t="shared" ca="1" si="60"/>
        <v>18</v>
      </c>
      <c r="C38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69" t="str">
        <f ca="1">IF(dict_zuord_Meth_Transfers[[#This Row],[kval_active]],dict_zuord_Meth_Transfers[[#This Row],[ID_Transfers]],"")</f>
        <v/>
      </c>
    </row>
    <row r="3870" spans="1:4" x14ac:dyDescent="0.45">
      <c r="A3870">
        <v>644</v>
      </c>
      <c r="B3870" s="3">
        <f t="shared" ca="1" si="60"/>
        <v>118</v>
      </c>
      <c r="C38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0" t="str">
        <f ca="1">IF(dict_zuord_Meth_Transfers[[#This Row],[kval_active]],dict_zuord_Meth_Transfers[[#This Row],[ID_Transfers]],"")</f>
        <v/>
      </c>
    </row>
    <row r="3871" spans="1:4" x14ac:dyDescent="0.45">
      <c r="A3871">
        <v>644</v>
      </c>
      <c r="B3871">
        <f t="shared" ca="1" si="60"/>
        <v>155</v>
      </c>
      <c r="C38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1" t="str">
        <f ca="1">IF(dict_zuord_Meth_Transfers[[#This Row],[kval_active]],dict_zuord_Meth_Transfers[[#This Row],[ID_Transfers]],"")</f>
        <v/>
      </c>
    </row>
    <row r="3872" spans="1:4" x14ac:dyDescent="0.45">
      <c r="A3872">
        <v>645</v>
      </c>
      <c r="B3872" s="3">
        <f t="shared" ca="1" si="60"/>
        <v>117</v>
      </c>
      <c r="C38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2" t="str">
        <f ca="1">IF(dict_zuord_Meth_Transfers[[#This Row],[kval_active]],dict_zuord_Meth_Transfers[[#This Row],[ID_Transfers]],"")</f>
        <v/>
      </c>
    </row>
    <row r="3873" spans="1:4" x14ac:dyDescent="0.45">
      <c r="A3873">
        <v>645</v>
      </c>
      <c r="B3873" s="3">
        <f t="shared" ca="1" si="60"/>
        <v>148</v>
      </c>
      <c r="C38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3" t="str">
        <f ca="1">IF(dict_zuord_Meth_Transfers[[#This Row],[kval_active]],dict_zuord_Meth_Transfers[[#This Row],[ID_Transfers]],"")</f>
        <v/>
      </c>
    </row>
    <row r="3874" spans="1:4" x14ac:dyDescent="0.45">
      <c r="A3874">
        <v>645</v>
      </c>
      <c r="B3874">
        <f t="shared" ca="1" si="60"/>
        <v>32</v>
      </c>
      <c r="C38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4" t="str">
        <f ca="1">IF(dict_zuord_Meth_Transfers[[#This Row],[kval_active]],dict_zuord_Meth_Transfers[[#This Row],[ID_Transfers]],"")</f>
        <v/>
      </c>
    </row>
    <row r="3875" spans="1:4" x14ac:dyDescent="0.45">
      <c r="A3875">
        <v>645</v>
      </c>
      <c r="B3875">
        <f t="shared" ca="1" si="60"/>
        <v>110</v>
      </c>
      <c r="C38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5" t="str">
        <f ca="1">IF(dict_zuord_Meth_Transfers[[#This Row],[kval_active]],dict_zuord_Meth_Transfers[[#This Row],[ID_Transfers]],"")</f>
        <v/>
      </c>
    </row>
    <row r="3876" spans="1:4" x14ac:dyDescent="0.45">
      <c r="A3876">
        <v>645</v>
      </c>
      <c r="B3876">
        <f t="shared" ca="1" si="60"/>
        <v>166</v>
      </c>
      <c r="C38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6" t="str">
        <f ca="1">IF(dict_zuord_Meth_Transfers[[#This Row],[kval_active]],dict_zuord_Meth_Transfers[[#This Row],[ID_Transfers]],"")</f>
        <v/>
      </c>
    </row>
    <row r="3877" spans="1:4" x14ac:dyDescent="0.45">
      <c r="A3877">
        <v>645</v>
      </c>
      <c r="B3877" s="3">
        <f t="shared" ca="1" si="60"/>
        <v>130</v>
      </c>
      <c r="C38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77" t="str">
        <f ca="1">IF(dict_zuord_Meth_Transfers[[#This Row],[kval_active]],dict_zuord_Meth_Transfers[[#This Row],[ID_Transfers]],"")</f>
        <v/>
      </c>
    </row>
    <row r="3878" spans="1:4" x14ac:dyDescent="0.45">
      <c r="A3878">
        <v>646</v>
      </c>
      <c r="B3878" s="3">
        <f t="shared" ca="1" si="60"/>
        <v>198</v>
      </c>
      <c r="C38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8">
        <f ca="1">IF(dict_zuord_Meth_Transfers[[#This Row],[kval_active]],dict_zuord_Meth_Transfers[[#This Row],[ID_Transfers]],"")</f>
        <v>198</v>
      </c>
    </row>
    <row r="3879" spans="1:4" x14ac:dyDescent="0.45">
      <c r="A3879">
        <v>646</v>
      </c>
      <c r="B3879" s="3">
        <f t="shared" ca="1" si="60"/>
        <v>9</v>
      </c>
      <c r="C38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79">
        <f ca="1">IF(dict_zuord_Meth_Transfers[[#This Row],[kval_active]],dict_zuord_Meth_Transfers[[#This Row],[ID_Transfers]],"")</f>
        <v>9</v>
      </c>
    </row>
    <row r="3880" spans="1:4" x14ac:dyDescent="0.45">
      <c r="A3880">
        <v>646</v>
      </c>
      <c r="B3880">
        <f t="shared" ca="1" si="60"/>
        <v>43</v>
      </c>
      <c r="C38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0">
        <f ca="1">IF(dict_zuord_Meth_Transfers[[#This Row],[kval_active]],dict_zuord_Meth_Transfers[[#This Row],[ID_Transfers]],"")</f>
        <v>43</v>
      </c>
    </row>
    <row r="3881" spans="1:4" x14ac:dyDescent="0.45">
      <c r="A3881">
        <v>646</v>
      </c>
      <c r="B3881">
        <f t="shared" ca="1" si="60"/>
        <v>2</v>
      </c>
      <c r="C38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1">
        <f ca="1">IF(dict_zuord_Meth_Transfers[[#This Row],[kval_active]],dict_zuord_Meth_Transfers[[#This Row],[ID_Transfers]],"")</f>
        <v>2</v>
      </c>
    </row>
    <row r="3882" spans="1:4" x14ac:dyDescent="0.45">
      <c r="A3882">
        <v>646</v>
      </c>
      <c r="B3882">
        <f t="shared" ca="1" si="60"/>
        <v>116</v>
      </c>
      <c r="C38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2">
        <f ca="1">IF(dict_zuord_Meth_Transfers[[#This Row],[kval_active]],dict_zuord_Meth_Transfers[[#This Row],[ID_Transfers]],"")</f>
        <v>116</v>
      </c>
    </row>
    <row r="3883" spans="1:4" x14ac:dyDescent="0.45">
      <c r="A3883">
        <v>646</v>
      </c>
      <c r="B3883" s="3">
        <f t="shared" ca="1" si="60"/>
        <v>130</v>
      </c>
      <c r="C38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3883">
        <f ca="1">IF(dict_zuord_Meth_Transfers[[#This Row],[kval_active]],dict_zuord_Meth_Transfers[[#This Row],[ID_Transfers]],"")</f>
        <v>130</v>
      </c>
    </row>
    <row r="3884" spans="1:4" x14ac:dyDescent="0.45">
      <c r="A3884">
        <v>647</v>
      </c>
      <c r="B3884">
        <f t="shared" ca="1" si="60"/>
        <v>155</v>
      </c>
      <c r="C38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4" t="str">
        <f ca="1">IF(dict_zuord_Meth_Transfers[[#This Row],[kval_active]],dict_zuord_Meth_Transfers[[#This Row],[ID_Transfers]],"")</f>
        <v/>
      </c>
    </row>
    <row r="3885" spans="1:4" x14ac:dyDescent="0.45">
      <c r="A3885">
        <v>647</v>
      </c>
      <c r="B3885" s="3">
        <f t="shared" ca="1" si="60"/>
        <v>1</v>
      </c>
      <c r="C38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5" t="str">
        <f ca="1">IF(dict_zuord_Meth_Transfers[[#This Row],[kval_active]],dict_zuord_Meth_Transfers[[#This Row],[ID_Transfers]],"")</f>
        <v/>
      </c>
    </row>
    <row r="3886" spans="1:4" x14ac:dyDescent="0.45">
      <c r="A3886">
        <v>647</v>
      </c>
      <c r="B3886">
        <f t="shared" ca="1" si="60"/>
        <v>110</v>
      </c>
      <c r="C38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6" t="str">
        <f ca="1">IF(dict_zuord_Meth_Transfers[[#This Row],[kval_active]],dict_zuord_Meth_Transfers[[#This Row],[ID_Transfers]],"")</f>
        <v/>
      </c>
    </row>
    <row r="3887" spans="1:4" x14ac:dyDescent="0.45">
      <c r="A3887">
        <v>647</v>
      </c>
      <c r="B3887">
        <f t="shared" ca="1" si="60"/>
        <v>35</v>
      </c>
      <c r="C38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7" t="str">
        <f ca="1">IF(dict_zuord_Meth_Transfers[[#This Row],[kval_active]],dict_zuord_Meth_Transfers[[#This Row],[ID_Transfers]],"")</f>
        <v/>
      </c>
    </row>
    <row r="3888" spans="1:4" x14ac:dyDescent="0.45">
      <c r="A3888">
        <v>647</v>
      </c>
      <c r="B3888" s="3">
        <f t="shared" ca="1" si="60"/>
        <v>92</v>
      </c>
      <c r="C38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8" t="str">
        <f ca="1">IF(dict_zuord_Meth_Transfers[[#This Row],[kval_active]],dict_zuord_Meth_Transfers[[#This Row],[ID_Transfers]],"")</f>
        <v/>
      </c>
    </row>
    <row r="3889" spans="1:4" x14ac:dyDescent="0.45">
      <c r="A3889">
        <v>647</v>
      </c>
      <c r="B3889" s="3">
        <f t="shared" ca="1" si="60"/>
        <v>199</v>
      </c>
      <c r="C38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89" t="str">
        <f ca="1">IF(dict_zuord_Meth_Transfers[[#This Row],[kval_active]],dict_zuord_Meth_Transfers[[#This Row],[ID_Transfers]],"")</f>
        <v/>
      </c>
    </row>
    <row r="3890" spans="1:4" x14ac:dyDescent="0.45">
      <c r="A3890">
        <v>648</v>
      </c>
      <c r="B3890">
        <f t="shared" ca="1" si="60"/>
        <v>87</v>
      </c>
      <c r="C38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0" t="str">
        <f ca="1">IF(dict_zuord_Meth_Transfers[[#This Row],[kval_active]],dict_zuord_Meth_Transfers[[#This Row],[ID_Transfers]],"")</f>
        <v/>
      </c>
    </row>
    <row r="3891" spans="1:4" x14ac:dyDescent="0.45">
      <c r="A3891">
        <v>648</v>
      </c>
      <c r="B3891" s="3">
        <f t="shared" ca="1" si="60"/>
        <v>143</v>
      </c>
      <c r="C38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1" t="str">
        <f ca="1">IF(dict_zuord_Meth_Transfers[[#This Row],[kval_active]],dict_zuord_Meth_Transfers[[#This Row],[ID_Transfers]],"")</f>
        <v/>
      </c>
    </row>
    <row r="3892" spans="1:4" x14ac:dyDescent="0.45">
      <c r="A3892">
        <v>648</v>
      </c>
      <c r="B3892">
        <f t="shared" ca="1" si="60"/>
        <v>39</v>
      </c>
      <c r="C38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2" t="str">
        <f ca="1">IF(dict_zuord_Meth_Transfers[[#This Row],[kval_active]],dict_zuord_Meth_Transfers[[#This Row],[ID_Transfers]],"")</f>
        <v/>
      </c>
    </row>
    <row r="3893" spans="1:4" x14ac:dyDescent="0.45">
      <c r="A3893">
        <v>648</v>
      </c>
      <c r="B3893">
        <f t="shared" ca="1" si="60"/>
        <v>100</v>
      </c>
      <c r="C38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3" t="str">
        <f ca="1">IF(dict_zuord_Meth_Transfers[[#This Row],[kval_active]],dict_zuord_Meth_Transfers[[#This Row],[ID_Transfers]],"")</f>
        <v/>
      </c>
    </row>
    <row r="3894" spans="1:4" x14ac:dyDescent="0.45">
      <c r="A3894">
        <v>648</v>
      </c>
      <c r="B3894" s="3">
        <f t="shared" ca="1" si="60"/>
        <v>12</v>
      </c>
      <c r="C38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4" t="str">
        <f ca="1">IF(dict_zuord_Meth_Transfers[[#This Row],[kval_active]],dict_zuord_Meth_Transfers[[#This Row],[ID_Transfers]],"")</f>
        <v/>
      </c>
    </row>
    <row r="3895" spans="1:4" x14ac:dyDescent="0.45">
      <c r="A3895">
        <v>648</v>
      </c>
      <c r="B3895" s="3">
        <f t="shared" ca="1" si="60"/>
        <v>4</v>
      </c>
      <c r="C38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5" t="str">
        <f ca="1">IF(dict_zuord_Meth_Transfers[[#This Row],[kval_active]],dict_zuord_Meth_Transfers[[#This Row],[ID_Transfers]],"")</f>
        <v/>
      </c>
    </row>
    <row r="3896" spans="1:4" x14ac:dyDescent="0.45">
      <c r="A3896">
        <v>649</v>
      </c>
      <c r="B3896">
        <f t="shared" ca="1" si="60"/>
        <v>149</v>
      </c>
      <c r="C38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6" t="str">
        <f ca="1">IF(dict_zuord_Meth_Transfers[[#This Row],[kval_active]],dict_zuord_Meth_Transfers[[#This Row],[ID_Transfers]],"")</f>
        <v/>
      </c>
    </row>
    <row r="3897" spans="1:4" x14ac:dyDescent="0.45">
      <c r="A3897">
        <v>649</v>
      </c>
      <c r="B3897">
        <f t="shared" ca="1" si="60"/>
        <v>168</v>
      </c>
      <c r="C38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7" t="str">
        <f ca="1">IF(dict_zuord_Meth_Transfers[[#This Row],[kval_active]],dict_zuord_Meth_Transfers[[#This Row],[ID_Transfers]],"")</f>
        <v/>
      </c>
    </row>
    <row r="3898" spans="1:4" x14ac:dyDescent="0.45">
      <c r="A3898">
        <v>649</v>
      </c>
      <c r="B3898" s="3">
        <f t="shared" ca="1" si="60"/>
        <v>3</v>
      </c>
      <c r="C38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8" t="str">
        <f ca="1">IF(dict_zuord_Meth_Transfers[[#This Row],[kval_active]],dict_zuord_Meth_Transfers[[#This Row],[ID_Transfers]],"")</f>
        <v/>
      </c>
    </row>
    <row r="3899" spans="1:4" x14ac:dyDescent="0.45">
      <c r="A3899">
        <v>649</v>
      </c>
      <c r="B3899">
        <f t="shared" ca="1" si="60"/>
        <v>70</v>
      </c>
      <c r="C38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899" t="str">
        <f ca="1">IF(dict_zuord_Meth_Transfers[[#This Row],[kval_active]],dict_zuord_Meth_Transfers[[#This Row],[ID_Transfers]],"")</f>
        <v/>
      </c>
    </row>
    <row r="3900" spans="1:4" x14ac:dyDescent="0.45">
      <c r="A3900">
        <v>649</v>
      </c>
      <c r="B3900" s="3">
        <f t="shared" ca="1" si="60"/>
        <v>97</v>
      </c>
      <c r="C39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0" t="str">
        <f ca="1">IF(dict_zuord_Meth_Transfers[[#This Row],[kval_active]],dict_zuord_Meth_Transfers[[#This Row],[ID_Transfers]],"")</f>
        <v/>
      </c>
    </row>
    <row r="3901" spans="1:4" x14ac:dyDescent="0.45">
      <c r="A3901">
        <v>649</v>
      </c>
      <c r="B3901" s="3">
        <f t="shared" ca="1" si="60"/>
        <v>81</v>
      </c>
      <c r="C39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1" t="str">
        <f ca="1">IF(dict_zuord_Meth_Transfers[[#This Row],[kval_active]],dict_zuord_Meth_Transfers[[#This Row],[ID_Transfers]],"")</f>
        <v/>
      </c>
    </row>
    <row r="3902" spans="1:4" x14ac:dyDescent="0.45">
      <c r="A3902">
        <v>650</v>
      </c>
      <c r="B3902">
        <f t="shared" ca="1" si="60"/>
        <v>38</v>
      </c>
      <c r="C39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2" t="str">
        <f ca="1">IF(dict_zuord_Meth_Transfers[[#This Row],[kval_active]],dict_zuord_Meth_Transfers[[#This Row],[ID_Transfers]],"")</f>
        <v/>
      </c>
    </row>
    <row r="3903" spans="1:4" x14ac:dyDescent="0.45">
      <c r="A3903">
        <v>650</v>
      </c>
      <c r="B3903">
        <f t="shared" ca="1" si="60"/>
        <v>64</v>
      </c>
      <c r="C39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3" t="str">
        <f ca="1">IF(dict_zuord_Meth_Transfers[[#This Row],[kval_active]],dict_zuord_Meth_Transfers[[#This Row],[ID_Transfers]],"")</f>
        <v/>
      </c>
    </row>
    <row r="3904" spans="1:4" x14ac:dyDescent="0.45">
      <c r="A3904">
        <v>650</v>
      </c>
      <c r="B3904">
        <f t="shared" ca="1" si="60"/>
        <v>166</v>
      </c>
      <c r="C39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4" t="str">
        <f ca="1">IF(dict_zuord_Meth_Transfers[[#This Row],[kval_active]],dict_zuord_Meth_Transfers[[#This Row],[ID_Transfers]],"")</f>
        <v/>
      </c>
    </row>
    <row r="3905" spans="1:4" x14ac:dyDescent="0.45">
      <c r="A3905">
        <v>650</v>
      </c>
      <c r="B3905" s="3">
        <f t="shared" ca="1" si="60"/>
        <v>171</v>
      </c>
      <c r="C39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5" t="str">
        <f ca="1">IF(dict_zuord_Meth_Transfers[[#This Row],[kval_active]],dict_zuord_Meth_Transfers[[#This Row],[ID_Transfers]],"")</f>
        <v/>
      </c>
    </row>
    <row r="3906" spans="1:4" x14ac:dyDescent="0.45">
      <c r="A3906">
        <v>650</v>
      </c>
      <c r="B3906" s="3">
        <f t="shared" ref="B3906:B3969" ca="1" si="61">RANDBETWEEN(0,200)</f>
        <v>36</v>
      </c>
      <c r="C39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6" t="str">
        <f ca="1">IF(dict_zuord_Meth_Transfers[[#This Row],[kval_active]],dict_zuord_Meth_Transfers[[#This Row],[ID_Transfers]],"")</f>
        <v/>
      </c>
    </row>
    <row r="3907" spans="1:4" x14ac:dyDescent="0.45">
      <c r="A3907">
        <v>650</v>
      </c>
      <c r="B3907" s="3">
        <f t="shared" ca="1" si="61"/>
        <v>156</v>
      </c>
      <c r="C39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7" t="str">
        <f ca="1">IF(dict_zuord_Meth_Transfers[[#This Row],[kval_active]],dict_zuord_Meth_Transfers[[#This Row],[ID_Transfers]],"")</f>
        <v/>
      </c>
    </row>
    <row r="3908" spans="1:4" x14ac:dyDescent="0.45">
      <c r="A3908">
        <v>651</v>
      </c>
      <c r="B3908">
        <f t="shared" ca="1" si="61"/>
        <v>6</v>
      </c>
      <c r="C39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8" t="str">
        <f ca="1">IF(dict_zuord_Meth_Transfers[[#This Row],[kval_active]],dict_zuord_Meth_Transfers[[#This Row],[ID_Transfers]],"")</f>
        <v/>
      </c>
    </row>
    <row r="3909" spans="1:4" x14ac:dyDescent="0.45">
      <c r="A3909">
        <v>651</v>
      </c>
      <c r="B3909" s="3">
        <f t="shared" ca="1" si="61"/>
        <v>200</v>
      </c>
      <c r="C39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09" t="str">
        <f ca="1">IF(dict_zuord_Meth_Transfers[[#This Row],[kval_active]],dict_zuord_Meth_Transfers[[#This Row],[ID_Transfers]],"")</f>
        <v/>
      </c>
    </row>
    <row r="3910" spans="1:4" x14ac:dyDescent="0.45">
      <c r="A3910">
        <v>651</v>
      </c>
      <c r="B3910">
        <f t="shared" ca="1" si="61"/>
        <v>46</v>
      </c>
      <c r="C39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0" t="str">
        <f ca="1">IF(dict_zuord_Meth_Transfers[[#This Row],[kval_active]],dict_zuord_Meth_Transfers[[#This Row],[ID_Transfers]],"")</f>
        <v/>
      </c>
    </row>
    <row r="3911" spans="1:4" x14ac:dyDescent="0.45">
      <c r="A3911">
        <v>651</v>
      </c>
      <c r="B3911" s="3">
        <f t="shared" ca="1" si="61"/>
        <v>181</v>
      </c>
      <c r="C39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1" t="str">
        <f ca="1">IF(dict_zuord_Meth_Transfers[[#This Row],[kval_active]],dict_zuord_Meth_Transfers[[#This Row],[ID_Transfers]],"")</f>
        <v/>
      </c>
    </row>
    <row r="3912" spans="1:4" x14ac:dyDescent="0.45">
      <c r="A3912">
        <v>651</v>
      </c>
      <c r="B3912">
        <f t="shared" ca="1" si="61"/>
        <v>39</v>
      </c>
      <c r="C39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2" t="str">
        <f ca="1">IF(dict_zuord_Meth_Transfers[[#This Row],[kval_active]],dict_zuord_Meth_Transfers[[#This Row],[ID_Transfers]],"")</f>
        <v/>
      </c>
    </row>
    <row r="3913" spans="1:4" x14ac:dyDescent="0.45">
      <c r="A3913">
        <v>651</v>
      </c>
      <c r="B3913" s="3">
        <f t="shared" ca="1" si="61"/>
        <v>163</v>
      </c>
      <c r="C39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3" t="str">
        <f ca="1">IF(dict_zuord_Meth_Transfers[[#This Row],[kval_active]],dict_zuord_Meth_Transfers[[#This Row],[ID_Transfers]],"")</f>
        <v/>
      </c>
    </row>
    <row r="3914" spans="1:4" x14ac:dyDescent="0.45">
      <c r="A3914">
        <v>652</v>
      </c>
      <c r="B3914">
        <f t="shared" ca="1" si="61"/>
        <v>170</v>
      </c>
      <c r="C39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4" t="str">
        <f ca="1">IF(dict_zuord_Meth_Transfers[[#This Row],[kval_active]],dict_zuord_Meth_Transfers[[#This Row],[ID_Transfers]],"")</f>
        <v/>
      </c>
    </row>
    <row r="3915" spans="1:4" x14ac:dyDescent="0.45">
      <c r="A3915">
        <v>652</v>
      </c>
      <c r="B3915" s="3">
        <f t="shared" ca="1" si="61"/>
        <v>86</v>
      </c>
      <c r="C39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5" t="str">
        <f ca="1">IF(dict_zuord_Meth_Transfers[[#This Row],[kval_active]],dict_zuord_Meth_Transfers[[#This Row],[ID_Transfers]],"")</f>
        <v/>
      </c>
    </row>
    <row r="3916" spans="1:4" x14ac:dyDescent="0.45">
      <c r="A3916">
        <v>652</v>
      </c>
      <c r="B3916">
        <f t="shared" ca="1" si="61"/>
        <v>54</v>
      </c>
      <c r="C39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6" t="str">
        <f ca="1">IF(dict_zuord_Meth_Transfers[[#This Row],[kval_active]],dict_zuord_Meth_Transfers[[#This Row],[ID_Transfers]],"")</f>
        <v/>
      </c>
    </row>
    <row r="3917" spans="1:4" x14ac:dyDescent="0.45">
      <c r="A3917">
        <v>652</v>
      </c>
      <c r="B3917" s="3">
        <f t="shared" ca="1" si="61"/>
        <v>96</v>
      </c>
      <c r="C39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7" t="str">
        <f ca="1">IF(dict_zuord_Meth_Transfers[[#This Row],[kval_active]],dict_zuord_Meth_Transfers[[#This Row],[ID_Transfers]],"")</f>
        <v/>
      </c>
    </row>
    <row r="3918" spans="1:4" x14ac:dyDescent="0.45">
      <c r="A3918">
        <v>652</v>
      </c>
      <c r="B3918" s="3">
        <f t="shared" ca="1" si="61"/>
        <v>25</v>
      </c>
      <c r="C39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8" t="str">
        <f ca="1">IF(dict_zuord_Meth_Transfers[[#This Row],[kval_active]],dict_zuord_Meth_Transfers[[#This Row],[ID_Transfers]],"")</f>
        <v/>
      </c>
    </row>
    <row r="3919" spans="1:4" x14ac:dyDescent="0.45">
      <c r="A3919">
        <v>652</v>
      </c>
      <c r="B3919">
        <f t="shared" ca="1" si="61"/>
        <v>29</v>
      </c>
      <c r="C39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19" t="str">
        <f ca="1">IF(dict_zuord_Meth_Transfers[[#This Row],[kval_active]],dict_zuord_Meth_Transfers[[#This Row],[ID_Transfers]],"")</f>
        <v/>
      </c>
    </row>
    <row r="3920" spans="1:4" x14ac:dyDescent="0.45">
      <c r="A3920">
        <v>653</v>
      </c>
      <c r="B3920">
        <f t="shared" ca="1" si="61"/>
        <v>49</v>
      </c>
      <c r="C39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0" t="str">
        <f ca="1">IF(dict_zuord_Meth_Transfers[[#This Row],[kval_active]],dict_zuord_Meth_Transfers[[#This Row],[ID_Transfers]],"")</f>
        <v/>
      </c>
    </row>
    <row r="3921" spans="1:4" x14ac:dyDescent="0.45">
      <c r="A3921">
        <v>653</v>
      </c>
      <c r="B3921">
        <f t="shared" ca="1" si="61"/>
        <v>28</v>
      </c>
      <c r="C39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1" t="str">
        <f ca="1">IF(dict_zuord_Meth_Transfers[[#This Row],[kval_active]],dict_zuord_Meth_Transfers[[#This Row],[ID_Transfers]],"")</f>
        <v/>
      </c>
    </row>
    <row r="3922" spans="1:4" x14ac:dyDescent="0.45">
      <c r="A3922">
        <v>653</v>
      </c>
      <c r="B3922">
        <f t="shared" ca="1" si="61"/>
        <v>82</v>
      </c>
      <c r="C39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2" t="str">
        <f ca="1">IF(dict_zuord_Meth_Transfers[[#This Row],[kval_active]],dict_zuord_Meth_Transfers[[#This Row],[ID_Transfers]],"")</f>
        <v/>
      </c>
    </row>
    <row r="3923" spans="1:4" x14ac:dyDescent="0.45">
      <c r="A3923">
        <v>653</v>
      </c>
      <c r="B3923" s="3">
        <f t="shared" ca="1" si="61"/>
        <v>157</v>
      </c>
      <c r="C39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3" t="str">
        <f ca="1">IF(dict_zuord_Meth_Transfers[[#This Row],[kval_active]],dict_zuord_Meth_Transfers[[#This Row],[ID_Transfers]],"")</f>
        <v/>
      </c>
    </row>
    <row r="3924" spans="1:4" x14ac:dyDescent="0.45">
      <c r="A3924">
        <v>653</v>
      </c>
      <c r="B3924" s="3">
        <f t="shared" ca="1" si="61"/>
        <v>89</v>
      </c>
      <c r="C39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4" t="str">
        <f ca="1">IF(dict_zuord_Meth_Transfers[[#This Row],[kval_active]],dict_zuord_Meth_Transfers[[#This Row],[ID_Transfers]],"")</f>
        <v/>
      </c>
    </row>
    <row r="3925" spans="1:4" x14ac:dyDescent="0.45">
      <c r="A3925">
        <v>653</v>
      </c>
      <c r="B3925" s="3">
        <f t="shared" ca="1" si="61"/>
        <v>179</v>
      </c>
      <c r="C39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5" t="str">
        <f ca="1">IF(dict_zuord_Meth_Transfers[[#This Row],[kval_active]],dict_zuord_Meth_Transfers[[#This Row],[ID_Transfers]],"")</f>
        <v/>
      </c>
    </row>
    <row r="3926" spans="1:4" x14ac:dyDescent="0.45">
      <c r="A3926">
        <v>654</v>
      </c>
      <c r="B3926">
        <f t="shared" ca="1" si="61"/>
        <v>116</v>
      </c>
      <c r="C39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6" t="str">
        <f ca="1">IF(dict_zuord_Meth_Transfers[[#This Row],[kval_active]],dict_zuord_Meth_Transfers[[#This Row],[ID_Transfers]],"")</f>
        <v/>
      </c>
    </row>
    <row r="3927" spans="1:4" x14ac:dyDescent="0.45">
      <c r="A3927">
        <v>654</v>
      </c>
      <c r="B3927" s="3">
        <f t="shared" ca="1" si="61"/>
        <v>192</v>
      </c>
      <c r="C39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7" t="str">
        <f ca="1">IF(dict_zuord_Meth_Transfers[[#This Row],[kval_active]],dict_zuord_Meth_Transfers[[#This Row],[ID_Transfers]],"")</f>
        <v/>
      </c>
    </row>
    <row r="3928" spans="1:4" x14ac:dyDescent="0.45">
      <c r="A3928">
        <v>654</v>
      </c>
      <c r="B3928" s="3">
        <f t="shared" ca="1" si="61"/>
        <v>5</v>
      </c>
      <c r="C39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8" t="str">
        <f ca="1">IF(dict_zuord_Meth_Transfers[[#This Row],[kval_active]],dict_zuord_Meth_Transfers[[#This Row],[ID_Transfers]],"")</f>
        <v/>
      </c>
    </row>
    <row r="3929" spans="1:4" x14ac:dyDescent="0.45">
      <c r="A3929">
        <v>654</v>
      </c>
      <c r="B3929">
        <f t="shared" ca="1" si="61"/>
        <v>71</v>
      </c>
      <c r="C39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29" t="str">
        <f ca="1">IF(dict_zuord_Meth_Transfers[[#This Row],[kval_active]],dict_zuord_Meth_Transfers[[#This Row],[ID_Transfers]],"")</f>
        <v/>
      </c>
    </row>
    <row r="3930" spans="1:4" x14ac:dyDescent="0.45">
      <c r="A3930">
        <v>654</v>
      </c>
      <c r="B3930">
        <f t="shared" ca="1" si="61"/>
        <v>137</v>
      </c>
      <c r="C39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0" t="str">
        <f ca="1">IF(dict_zuord_Meth_Transfers[[#This Row],[kval_active]],dict_zuord_Meth_Transfers[[#This Row],[ID_Transfers]],"")</f>
        <v/>
      </c>
    </row>
    <row r="3931" spans="1:4" x14ac:dyDescent="0.45">
      <c r="A3931">
        <v>654</v>
      </c>
      <c r="B3931" s="3">
        <f t="shared" ca="1" si="61"/>
        <v>185</v>
      </c>
      <c r="C39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1" t="str">
        <f ca="1">IF(dict_zuord_Meth_Transfers[[#This Row],[kval_active]],dict_zuord_Meth_Transfers[[#This Row],[ID_Transfers]],"")</f>
        <v/>
      </c>
    </row>
    <row r="3932" spans="1:4" x14ac:dyDescent="0.45">
      <c r="A3932">
        <v>655</v>
      </c>
      <c r="B3932" s="3">
        <f t="shared" ca="1" si="61"/>
        <v>1</v>
      </c>
      <c r="C39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2" t="str">
        <f ca="1">IF(dict_zuord_Meth_Transfers[[#This Row],[kval_active]],dict_zuord_Meth_Transfers[[#This Row],[ID_Transfers]],"")</f>
        <v/>
      </c>
    </row>
    <row r="3933" spans="1:4" x14ac:dyDescent="0.45">
      <c r="A3933">
        <v>655</v>
      </c>
      <c r="B3933" s="3">
        <f t="shared" ca="1" si="61"/>
        <v>106</v>
      </c>
      <c r="C39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3" t="str">
        <f ca="1">IF(dict_zuord_Meth_Transfers[[#This Row],[kval_active]],dict_zuord_Meth_Transfers[[#This Row],[ID_Transfers]],"")</f>
        <v/>
      </c>
    </row>
    <row r="3934" spans="1:4" x14ac:dyDescent="0.45">
      <c r="A3934">
        <v>655</v>
      </c>
      <c r="B3934" s="3">
        <f t="shared" ca="1" si="61"/>
        <v>39</v>
      </c>
      <c r="C39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4" t="str">
        <f ca="1">IF(dict_zuord_Meth_Transfers[[#This Row],[kval_active]],dict_zuord_Meth_Transfers[[#This Row],[ID_Transfers]],"")</f>
        <v/>
      </c>
    </row>
    <row r="3935" spans="1:4" x14ac:dyDescent="0.45">
      <c r="A3935">
        <v>655</v>
      </c>
      <c r="B3935">
        <f t="shared" ca="1" si="61"/>
        <v>61</v>
      </c>
      <c r="C39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5" t="str">
        <f ca="1">IF(dict_zuord_Meth_Transfers[[#This Row],[kval_active]],dict_zuord_Meth_Transfers[[#This Row],[ID_Transfers]],"")</f>
        <v/>
      </c>
    </row>
    <row r="3936" spans="1:4" x14ac:dyDescent="0.45">
      <c r="A3936">
        <v>655</v>
      </c>
      <c r="B3936">
        <f t="shared" ca="1" si="61"/>
        <v>193</v>
      </c>
      <c r="C39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6" t="str">
        <f ca="1">IF(dict_zuord_Meth_Transfers[[#This Row],[kval_active]],dict_zuord_Meth_Transfers[[#This Row],[ID_Transfers]],"")</f>
        <v/>
      </c>
    </row>
    <row r="3937" spans="1:4" x14ac:dyDescent="0.45">
      <c r="A3937">
        <v>655</v>
      </c>
      <c r="B3937">
        <f t="shared" ca="1" si="61"/>
        <v>181</v>
      </c>
      <c r="C39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7" t="str">
        <f ca="1">IF(dict_zuord_Meth_Transfers[[#This Row],[kval_active]],dict_zuord_Meth_Transfers[[#This Row],[ID_Transfers]],"")</f>
        <v/>
      </c>
    </row>
    <row r="3938" spans="1:4" x14ac:dyDescent="0.45">
      <c r="A3938">
        <v>656</v>
      </c>
      <c r="B3938">
        <f t="shared" ca="1" si="61"/>
        <v>62</v>
      </c>
      <c r="C39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8" t="str">
        <f ca="1">IF(dict_zuord_Meth_Transfers[[#This Row],[kval_active]],dict_zuord_Meth_Transfers[[#This Row],[ID_Transfers]],"")</f>
        <v/>
      </c>
    </row>
    <row r="3939" spans="1:4" x14ac:dyDescent="0.45">
      <c r="A3939">
        <v>656</v>
      </c>
      <c r="B3939" s="3">
        <f t="shared" ca="1" si="61"/>
        <v>136</v>
      </c>
      <c r="C39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39" t="str">
        <f ca="1">IF(dict_zuord_Meth_Transfers[[#This Row],[kval_active]],dict_zuord_Meth_Transfers[[#This Row],[ID_Transfers]],"")</f>
        <v/>
      </c>
    </row>
    <row r="3940" spans="1:4" x14ac:dyDescent="0.45">
      <c r="A3940">
        <v>656</v>
      </c>
      <c r="B3940" s="3">
        <f t="shared" ca="1" si="61"/>
        <v>182</v>
      </c>
      <c r="C39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0" t="str">
        <f ca="1">IF(dict_zuord_Meth_Transfers[[#This Row],[kval_active]],dict_zuord_Meth_Transfers[[#This Row],[ID_Transfers]],"")</f>
        <v/>
      </c>
    </row>
    <row r="3941" spans="1:4" x14ac:dyDescent="0.45">
      <c r="A3941">
        <v>656</v>
      </c>
      <c r="B3941" s="3">
        <f t="shared" ca="1" si="61"/>
        <v>148</v>
      </c>
      <c r="C39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1" t="str">
        <f ca="1">IF(dict_zuord_Meth_Transfers[[#This Row],[kval_active]],dict_zuord_Meth_Transfers[[#This Row],[ID_Transfers]],"")</f>
        <v/>
      </c>
    </row>
    <row r="3942" spans="1:4" x14ac:dyDescent="0.45">
      <c r="A3942">
        <v>656</v>
      </c>
      <c r="B3942">
        <f t="shared" ca="1" si="61"/>
        <v>145</v>
      </c>
      <c r="C39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2" t="str">
        <f ca="1">IF(dict_zuord_Meth_Transfers[[#This Row],[kval_active]],dict_zuord_Meth_Transfers[[#This Row],[ID_Transfers]],"")</f>
        <v/>
      </c>
    </row>
    <row r="3943" spans="1:4" x14ac:dyDescent="0.45">
      <c r="A3943">
        <v>656</v>
      </c>
      <c r="B3943">
        <f t="shared" ca="1" si="61"/>
        <v>28</v>
      </c>
      <c r="C39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3" t="str">
        <f ca="1">IF(dict_zuord_Meth_Transfers[[#This Row],[kval_active]],dict_zuord_Meth_Transfers[[#This Row],[ID_Transfers]],"")</f>
        <v/>
      </c>
    </row>
    <row r="3944" spans="1:4" x14ac:dyDescent="0.45">
      <c r="A3944">
        <v>657</v>
      </c>
      <c r="B3944">
        <f t="shared" ca="1" si="61"/>
        <v>81</v>
      </c>
      <c r="C39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4" t="str">
        <f ca="1">IF(dict_zuord_Meth_Transfers[[#This Row],[kval_active]],dict_zuord_Meth_Transfers[[#This Row],[ID_Transfers]],"")</f>
        <v/>
      </c>
    </row>
    <row r="3945" spans="1:4" x14ac:dyDescent="0.45">
      <c r="A3945">
        <v>657</v>
      </c>
      <c r="B3945" s="3">
        <f t="shared" ca="1" si="61"/>
        <v>175</v>
      </c>
      <c r="C39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5" t="str">
        <f ca="1">IF(dict_zuord_Meth_Transfers[[#This Row],[kval_active]],dict_zuord_Meth_Transfers[[#This Row],[ID_Transfers]],"")</f>
        <v/>
      </c>
    </row>
    <row r="3946" spans="1:4" x14ac:dyDescent="0.45">
      <c r="A3946">
        <v>657</v>
      </c>
      <c r="B3946" s="3">
        <f t="shared" ca="1" si="61"/>
        <v>89</v>
      </c>
      <c r="C39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6" t="str">
        <f ca="1">IF(dict_zuord_Meth_Transfers[[#This Row],[kval_active]],dict_zuord_Meth_Transfers[[#This Row],[ID_Transfers]],"")</f>
        <v/>
      </c>
    </row>
    <row r="3947" spans="1:4" x14ac:dyDescent="0.45">
      <c r="A3947">
        <v>657</v>
      </c>
      <c r="B3947" s="3">
        <f t="shared" ca="1" si="61"/>
        <v>130</v>
      </c>
      <c r="C39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7" t="str">
        <f ca="1">IF(dict_zuord_Meth_Transfers[[#This Row],[kval_active]],dict_zuord_Meth_Transfers[[#This Row],[ID_Transfers]],"")</f>
        <v/>
      </c>
    </row>
    <row r="3948" spans="1:4" x14ac:dyDescent="0.45">
      <c r="A3948">
        <v>657</v>
      </c>
      <c r="B3948">
        <f t="shared" ca="1" si="61"/>
        <v>129</v>
      </c>
      <c r="C39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8" t="str">
        <f ca="1">IF(dict_zuord_Meth_Transfers[[#This Row],[kval_active]],dict_zuord_Meth_Transfers[[#This Row],[ID_Transfers]],"")</f>
        <v/>
      </c>
    </row>
    <row r="3949" spans="1:4" x14ac:dyDescent="0.45">
      <c r="A3949">
        <v>657</v>
      </c>
      <c r="B3949">
        <f t="shared" ca="1" si="61"/>
        <v>20</v>
      </c>
      <c r="C39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49" t="str">
        <f ca="1">IF(dict_zuord_Meth_Transfers[[#This Row],[kval_active]],dict_zuord_Meth_Transfers[[#This Row],[ID_Transfers]],"")</f>
        <v/>
      </c>
    </row>
    <row r="3950" spans="1:4" x14ac:dyDescent="0.45">
      <c r="A3950">
        <v>658</v>
      </c>
      <c r="B3950">
        <f t="shared" ca="1" si="61"/>
        <v>92</v>
      </c>
      <c r="C39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0" t="str">
        <f ca="1">IF(dict_zuord_Meth_Transfers[[#This Row],[kval_active]],dict_zuord_Meth_Transfers[[#This Row],[ID_Transfers]],"")</f>
        <v/>
      </c>
    </row>
    <row r="3951" spans="1:4" x14ac:dyDescent="0.45">
      <c r="A3951">
        <v>658</v>
      </c>
      <c r="B3951" s="3">
        <f t="shared" ca="1" si="61"/>
        <v>104</v>
      </c>
      <c r="C39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1" t="str">
        <f ca="1">IF(dict_zuord_Meth_Transfers[[#This Row],[kval_active]],dict_zuord_Meth_Transfers[[#This Row],[ID_Transfers]],"")</f>
        <v/>
      </c>
    </row>
    <row r="3952" spans="1:4" x14ac:dyDescent="0.45">
      <c r="A3952">
        <v>658</v>
      </c>
      <c r="B3952" s="3">
        <f t="shared" ca="1" si="61"/>
        <v>195</v>
      </c>
      <c r="C39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2" t="str">
        <f ca="1">IF(dict_zuord_Meth_Transfers[[#This Row],[kval_active]],dict_zuord_Meth_Transfers[[#This Row],[ID_Transfers]],"")</f>
        <v/>
      </c>
    </row>
    <row r="3953" spans="1:4" x14ac:dyDescent="0.45">
      <c r="A3953">
        <v>658</v>
      </c>
      <c r="B3953" s="3">
        <f t="shared" ca="1" si="61"/>
        <v>27</v>
      </c>
      <c r="C39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3" t="str">
        <f ca="1">IF(dict_zuord_Meth_Transfers[[#This Row],[kval_active]],dict_zuord_Meth_Transfers[[#This Row],[ID_Transfers]],"")</f>
        <v/>
      </c>
    </row>
    <row r="3954" spans="1:4" x14ac:dyDescent="0.45">
      <c r="A3954">
        <v>658</v>
      </c>
      <c r="B3954">
        <f t="shared" ca="1" si="61"/>
        <v>157</v>
      </c>
      <c r="C39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4" t="str">
        <f ca="1">IF(dict_zuord_Meth_Transfers[[#This Row],[kval_active]],dict_zuord_Meth_Transfers[[#This Row],[ID_Transfers]],"")</f>
        <v/>
      </c>
    </row>
    <row r="3955" spans="1:4" x14ac:dyDescent="0.45">
      <c r="A3955">
        <v>658</v>
      </c>
      <c r="B3955">
        <f t="shared" ca="1" si="61"/>
        <v>188</v>
      </c>
      <c r="C39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5" t="str">
        <f ca="1">IF(dict_zuord_Meth_Transfers[[#This Row],[kval_active]],dict_zuord_Meth_Transfers[[#This Row],[ID_Transfers]],"")</f>
        <v/>
      </c>
    </row>
    <row r="3956" spans="1:4" x14ac:dyDescent="0.45">
      <c r="A3956">
        <v>659</v>
      </c>
      <c r="B3956">
        <f t="shared" ca="1" si="61"/>
        <v>128</v>
      </c>
      <c r="C39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6" t="str">
        <f ca="1">IF(dict_zuord_Meth_Transfers[[#This Row],[kval_active]],dict_zuord_Meth_Transfers[[#This Row],[ID_Transfers]],"")</f>
        <v/>
      </c>
    </row>
    <row r="3957" spans="1:4" x14ac:dyDescent="0.45">
      <c r="A3957">
        <v>659</v>
      </c>
      <c r="B3957">
        <f t="shared" ca="1" si="61"/>
        <v>171</v>
      </c>
      <c r="C39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7" t="str">
        <f ca="1">IF(dict_zuord_Meth_Transfers[[#This Row],[kval_active]],dict_zuord_Meth_Transfers[[#This Row],[ID_Transfers]],"")</f>
        <v/>
      </c>
    </row>
    <row r="3958" spans="1:4" x14ac:dyDescent="0.45">
      <c r="A3958">
        <v>659</v>
      </c>
      <c r="B3958" s="3">
        <f t="shared" ca="1" si="61"/>
        <v>55</v>
      </c>
      <c r="C39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8" t="str">
        <f ca="1">IF(dict_zuord_Meth_Transfers[[#This Row],[kval_active]],dict_zuord_Meth_Transfers[[#This Row],[ID_Transfers]],"")</f>
        <v/>
      </c>
    </row>
    <row r="3959" spans="1:4" x14ac:dyDescent="0.45">
      <c r="A3959">
        <v>659</v>
      </c>
      <c r="B3959">
        <f t="shared" ca="1" si="61"/>
        <v>198</v>
      </c>
      <c r="C39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59" t="str">
        <f ca="1">IF(dict_zuord_Meth_Transfers[[#This Row],[kval_active]],dict_zuord_Meth_Transfers[[#This Row],[ID_Transfers]],"")</f>
        <v/>
      </c>
    </row>
    <row r="3960" spans="1:4" x14ac:dyDescent="0.45">
      <c r="A3960">
        <v>659</v>
      </c>
      <c r="B3960" s="3">
        <f t="shared" ca="1" si="61"/>
        <v>26</v>
      </c>
      <c r="C39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0" t="str">
        <f ca="1">IF(dict_zuord_Meth_Transfers[[#This Row],[kval_active]],dict_zuord_Meth_Transfers[[#This Row],[ID_Transfers]],"")</f>
        <v/>
      </c>
    </row>
    <row r="3961" spans="1:4" x14ac:dyDescent="0.45">
      <c r="A3961">
        <v>659</v>
      </c>
      <c r="B3961" s="3">
        <f t="shared" ca="1" si="61"/>
        <v>8</v>
      </c>
      <c r="C39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1" t="str">
        <f ca="1">IF(dict_zuord_Meth_Transfers[[#This Row],[kval_active]],dict_zuord_Meth_Transfers[[#This Row],[ID_Transfers]],"")</f>
        <v/>
      </c>
    </row>
    <row r="3962" spans="1:4" x14ac:dyDescent="0.45">
      <c r="A3962">
        <v>660</v>
      </c>
      <c r="B3962">
        <f t="shared" ca="1" si="61"/>
        <v>72</v>
      </c>
      <c r="C39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2" t="str">
        <f ca="1">IF(dict_zuord_Meth_Transfers[[#This Row],[kval_active]],dict_zuord_Meth_Transfers[[#This Row],[ID_Transfers]],"")</f>
        <v/>
      </c>
    </row>
    <row r="3963" spans="1:4" x14ac:dyDescent="0.45">
      <c r="A3963">
        <v>660</v>
      </c>
      <c r="B3963">
        <f t="shared" ca="1" si="61"/>
        <v>98</v>
      </c>
      <c r="C39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3" t="str">
        <f ca="1">IF(dict_zuord_Meth_Transfers[[#This Row],[kval_active]],dict_zuord_Meth_Transfers[[#This Row],[ID_Transfers]],"")</f>
        <v/>
      </c>
    </row>
    <row r="3964" spans="1:4" x14ac:dyDescent="0.45">
      <c r="A3964">
        <v>660</v>
      </c>
      <c r="B3964" s="3">
        <f t="shared" ca="1" si="61"/>
        <v>64</v>
      </c>
      <c r="C39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4" t="str">
        <f ca="1">IF(dict_zuord_Meth_Transfers[[#This Row],[kval_active]],dict_zuord_Meth_Transfers[[#This Row],[ID_Transfers]],"")</f>
        <v/>
      </c>
    </row>
    <row r="3965" spans="1:4" x14ac:dyDescent="0.45">
      <c r="A3965">
        <v>660</v>
      </c>
      <c r="B3965" s="3">
        <f t="shared" ca="1" si="61"/>
        <v>66</v>
      </c>
      <c r="C39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5" t="str">
        <f ca="1">IF(dict_zuord_Meth_Transfers[[#This Row],[kval_active]],dict_zuord_Meth_Transfers[[#This Row],[ID_Transfers]],"")</f>
        <v/>
      </c>
    </row>
    <row r="3966" spans="1:4" x14ac:dyDescent="0.45">
      <c r="A3966">
        <v>660</v>
      </c>
      <c r="B3966">
        <f t="shared" ca="1" si="61"/>
        <v>134</v>
      </c>
      <c r="C39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6" t="str">
        <f ca="1">IF(dict_zuord_Meth_Transfers[[#This Row],[kval_active]],dict_zuord_Meth_Transfers[[#This Row],[ID_Transfers]],"")</f>
        <v/>
      </c>
    </row>
    <row r="3967" spans="1:4" x14ac:dyDescent="0.45">
      <c r="A3967">
        <v>660</v>
      </c>
      <c r="B3967" s="3">
        <f t="shared" ca="1" si="61"/>
        <v>62</v>
      </c>
      <c r="C39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7" t="str">
        <f ca="1">IF(dict_zuord_Meth_Transfers[[#This Row],[kval_active]],dict_zuord_Meth_Transfers[[#This Row],[ID_Transfers]],"")</f>
        <v/>
      </c>
    </row>
    <row r="3968" spans="1:4" x14ac:dyDescent="0.45">
      <c r="A3968">
        <v>661</v>
      </c>
      <c r="B3968" s="3">
        <f t="shared" ca="1" si="61"/>
        <v>89</v>
      </c>
      <c r="C39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8" t="str">
        <f ca="1">IF(dict_zuord_Meth_Transfers[[#This Row],[kval_active]],dict_zuord_Meth_Transfers[[#This Row],[ID_Transfers]],"")</f>
        <v/>
      </c>
    </row>
    <row r="3969" spans="1:4" x14ac:dyDescent="0.45">
      <c r="A3969">
        <v>661</v>
      </c>
      <c r="B3969">
        <f t="shared" ca="1" si="61"/>
        <v>27</v>
      </c>
      <c r="C39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69" t="str">
        <f ca="1">IF(dict_zuord_Meth_Transfers[[#This Row],[kval_active]],dict_zuord_Meth_Transfers[[#This Row],[ID_Transfers]],"")</f>
        <v/>
      </c>
    </row>
    <row r="3970" spans="1:4" x14ac:dyDescent="0.45">
      <c r="A3970">
        <v>661</v>
      </c>
      <c r="B3970">
        <f t="shared" ref="B3970:B4033" ca="1" si="62">RANDBETWEEN(0,200)</f>
        <v>84</v>
      </c>
      <c r="C39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0" t="str">
        <f ca="1">IF(dict_zuord_Meth_Transfers[[#This Row],[kval_active]],dict_zuord_Meth_Transfers[[#This Row],[ID_Transfers]],"")</f>
        <v/>
      </c>
    </row>
    <row r="3971" spans="1:4" x14ac:dyDescent="0.45">
      <c r="A3971">
        <v>661</v>
      </c>
      <c r="B3971" s="3">
        <f t="shared" ca="1" si="62"/>
        <v>127</v>
      </c>
      <c r="C39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1" t="str">
        <f ca="1">IF(dict_zuord_Meth_Transfers[[#This Row],[kval_active]],dict_zuord_Meth_Transfers[[#This Row],[ID_Transfers]],"")</f>
        <v/>
      </c>
    </row>
    <row r="3972" spans="1:4" x14ac:dyDescent="0.45">
      <c r="A3972">
        <v>661</v>
      </c>
      <c r="B3972">
        <f t="shared" ca="1" si="62"/>
        <v>51</v>
      </c>
      <c r="C39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2" t="str">
        <f ca="1">IF(dict_zuord_Meth_Transfers[[#This Row],[kval_active]],dict_zuord_Meth_Transfers[[#This Row],[ID_Transfers]],"")</f>
        <v/>
      </c>
    </row>
    <row r="3973" spans="1:4" x14ac:dyDescent="0.45">
      <c r="A3973">
        <v>661</v>
      </c>
      <c r="B3973" s="3">
        <f t="shared" ca="1" si="62"/>
        <v>20</v>
      </c>
      <c r="C39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3" t="str">
        <f ca="1">IF(dict_zuord_Meth_Transfers[[#This Row],[kval_active]],dict_zuord_Meth_Transfers[[#This Row],[ID_Transfers]],"")</f>
        <v/>
      </c>
    </row>
    <row r="3974" spans="1:4" x14ac:dyDescent="0.45">
      <c r="A3974">
        <v>662</v>
      </c>
      <c r="B3974">
        <f t="shared" ca="1" si="62"/>
        <v>5</v>
      </c>
      <c r="C39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4" t="str">
        <f ca="1">IF(dict_zuord_Meth_Transfers[[#This Row],[kval_active]],dict_zuord_Meth_Transfers[[#This Row],[ID_Transfers]],"")</f>
        <v/>
      </c>
    </row>
    <row r="3975" spans="1:4" x14ac:dyDescent="0.45">
      <c r="A3975">
        <v>662</v>
      </c>
      <c r="B3975" s="3">
        <f t="shared" ca="1" si="62"/>
        <v>100</v>
      </c>
      <c r="C39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5" t="str">
        <f ca="1">IF(dict_zuord_Meth_Transfers[[#This Row],[kval_active]],dict_zuord_Meth_Transfers[[#This Row],[ID_Transfers]],"")</f>
        <v/>
      </c>
    </row>
    <row r="3976" spans="1:4" x14ac:dyDescent="0.45">
      <c r="A3976">
        <v>662</v>
      </c>
      <c r="B3976" s="3">
        <f t="shared" ca="1" si="62"/>
        <v>163</v>
      </c>
      <c r="C39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6" t="str">
        <f ca="1">IF(dict_zuord_Meth_Transfers[[#This Row],[kval_active]],dict_zuord_Meth_Transfers[[#This Row],[ID_Transfers]],"")</f>
        <v/>
      </c>
    </row>
    <row r="3977" spans="1:4" x14ac:dyDescent="0.45">
      <c r="A3977">
        <v>662</v>
      </c>
      <c r="B3977">
        <f t="shared" ca="1" si="62"/>
        <v>180</v>
      </c>
      <c r="C39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7" t="str">
        <f ca="1">IF(dict_zuord_Meth_Transfers[[#This Row],[kval_active]],dict_zuord_Meth_Transfers[[#This Row],[ID_Transfers]],"")</f>
        <v/>
      </c>
    </row>
    <row r="3978" spans="1:4" x14ac:dyDescent="0.45">
      <c r="A3978">
        <v>662</v>
      </c>
      <c r="B3978">
        <f t="shared" ca="1" si="62"/>
        <v>143</v>
      </c>
      <c r="C39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8" t="str">
        <f ca="1">IF(dict_zuord_Meth_Transfers[[#This Row],[kval_active]],dict_zuord_Meth_Transfers[[#This Row],[ID_Transfers]],"")</f>
        <v/>
      </c>
    </row>
    <row r="3979" spans="1:4" x14ac:dyDescent="0.45">
      <c r="A3979">
        <v>662</v>
      </c>
      <c r="B3979" s="3">
        <f t="shared" ca="1" si="62"/>
        <v>94</v>
      </c>
      <c r="C39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79" t="str">
        <f ca="1">IF(dict_zuord_Meth_Transfers[[#This Row],[kval_active]],dict_zuord_Meth_Transfers[[#This Row],[ID_Transfers]],"")</f>
        <v/>
      </c>
    </row>
    <row r="3980" spans="1:4" x14ac:dyDescent="0.45">
      <c r="A3980">
        <v>663</v>
      </c>
      <c r="B3980" s="3">
        <f t="shared" ca="1" si="62"/>
        <v>36</v>
      </c>
      <c r="C39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0" t="str">
        <f ca="1">IF(dict_zuord_Meth_Transfers[[#This Row],[kval_active]],dict_zuord_Meth_Transfers[[#This Row],[ID_Transfers]],"")</f>
        <v/>
      </c>
    </row>
    <row r="3981" spans="1:4" x14ac:dyDescent="0.45">
      <c r="A3981">
        <v>663</v>
      </c>
      <c r="B3981">
        <f t="shared" ca="1" si="62"/>
        <v>16</v>
      </c>
      <c r="C39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1" t="str">
        <f ca="1">IF(dict_zuord_Meth_Transfers[[#This Row],[kval_active]],dict_zuord_Meth_Transfers[[#This Row],[ID_Transfers]],"")</f>
        <v/>
      </c>
    </row>
    <row r="3982" spans="1:4" x14ac:dyDescent="0.45">
      <c r="A3982">
        <v>663</v>
      </c>
      <c r="B3982">
        <f t="shared" ca="1" si="62"/>
        <v>136</v>
      </c>
      <c r="C39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2" t="str">
        <f ca="1">IF(dict_zuord_Meth_Transfers[[#This Row],[kval_active]],dict_zuord_Meth_Transfers[[#This Row],[ID_Transfers]],"")</f>
        <v/>
      </c>
    </row>
    <row r="3983" spans="1:4" x14ac:dyDescent="0.45">
      <c r="A3983">
        <v>663</v>
      </c>
      <c r="B3983" s="3">
        <f t="shared" ca="1" si="62"/>
        <v>137</v>
      </c>
      <c r="C39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3" t="str">
        <f ca="1">IF(dict_zuord_Meth_Transfers[[#This Row],[kval_active]],dict_zuord_Meth_Transfers[[#This Row],[ID_Transfers]],"")</f>
        <v/>
      </c>
    </row>
    <row r="3984" spans="1:4" x14ac:dyDescent="0.45">
      <c r="A3984">
        <v>663</v>
      </c>
      <c r="B3984" s="3">
        <f t="shared" ca="1" si="62"/>
        <v>45</v>
      </c>
      <c r="C39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4" t="str">
        <f ca="1">IF(dict_zuord_Meth_Transfers[[#This Row],[kval_active]],dict_zuord_Meth_Transfers[[#This Row],[ID_Transfers]],"")</f>
        <v/>
      </c>
    </row>
    <row r="3985" spans="1:4" x14ac:dyDescent="0.45">
      <c r="A3985">
        <v>663</v>
      </c>
      <c r="B3985">
        <f t="shared" ca="1" si="62"/>
        <v>63</v>
      </c>
      <c r="C39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5" t="str">
        <f ca="1">IF(dict_zuord_Meth_Transfers[[#This Row],[kval_active]],dict_zuord_Meth_Transfers[[#This Row],[ID_Transfers]],"")</f>
        <v/>
      </c>
    </row>
    <row r="3986" spans="1:4" x14ac:dyDescent="0.45">
      <c r="A3986">
        <v>664</v>
      </c>
      <c r="B3986">
        <f t="shared" ca="1" si="62"/>
        <v>7</v>
      </c>
      <c r="C39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6" t="str">
        <f ca="1">IF(dict_zuord_Meth_Transfers[[#This Row],[kval_active]],dict_zuord_Meth_Transfers[[#This Row],[ID_Transfers]],"")</f>
        <v/>
      </c>
    </row>
    <row r="3987" spans="1:4" x14ac:dyDescent="0.45">
      <c r="A3987">
        <v>664</v>
      </c>
      <c r="B3987" s="3">
        <f t="shared" ca="1" si="62"/>
        <v>178</v>
      </c>
      <c r="C39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7" t="str">
        <f ca="1">IF(dict_zuord_Meth_Transfers[[#This Row],[kval_active]],dict_zuord_Meth_Transfers[[#This Row],[ID_Transfers]],"")</f>
        <v/>
      </c>
    </row>
    <row r="3988" spans="1:4" x14ac:dyDescent="0.45">
      <c r="A3988">
        <v>664</v>
      </c>
      <c r="B3988">
        <f t="shared" ca="1" si="62"/>
        <v>183</v>
      </c>
      <c r="C39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8" t="str">
        <f ca="1">IF(dict_zuord_Meth_Transfers[[#This Row],[kval_active]],dict_zuord_Meth_Transfers[[#This Row],[ID_Transfers]],"")</f>
        <v/>
      </c>
    </row>
    <row r="3989" spans="1:4" x14ac:dyDescent="0.45">
      <c r="A3989">
        <v>664</v>
      </c>
      <c r="B3989" s="3">
        <f t="shared" ca="1" si="62"/>
        <v>155</v>
      </c>
      <c r="C39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89" t="str">
        <f ca="1">IF(dict_zuord_Meth_Transfers[[#This Row],[kval_active]],dict_zuord_Meth_Transfers[[#This Row],[ID_Transfers]],"")</f>
        <v/>
      </c>
    </row>
    <row r="3990" spans="1:4" x14ac:dyDescent="0.45">
      <c r="A3990">
        <v>664</v>
      </c>
      <c r="B3990" s="3">
        <f t="shared" ca="1" si="62"/>
        <v>178</v>
      </c>
      <c r="C39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0" t="str">
        <f ca="1">IF(dict_zuord_Meth_Transfers[[#This Row],[kval_active]],dict_zuord_Meth_Transfers[[#This Row],[ID_Transfers]],"")</f>
        <v/>
      </c>
    </row>
    <row r="3991" spans="1:4" x14ac:dyDescent="0.45">
      <c r="A3991">
        <v>664</v>
      </c>
      <c r="B3991">
        <f t="shared" ca="1" si="62"/>
        <v>125</v>
      </c>
      <c r="C39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1" t="str">
        <f ca="1">IF(dict_zuord_Meth_Transfers[[#This Row],[kval_active]],dict_zuord_Meth_Transfers[[#This Row],[ID_Transfers]],"")</f>
        <v/>
      </c>
    </row>
    <row r="3992" spans="1:4" x14ac:dyDescent="0.45">
      <c r="A3992">
        <v>665</v>
      </c>
      <c r="B3992" s="3">
        <f t="shared" ca="1" si="62"/>
        <v>21</v>
      </c>
      <c r="C39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2" t="str">
        <f ca="1">IF(dict_zuord_Meth_Transfers[[#This Row],[kval_active]],dict_zuord_Meth_Transfers[[#This Row],[ID_Transfers]],"")</f>
        <v/>
      </c>
    </row>
    <row r="3993" spans="1:4" x14ac:dyDescent="0.45">
      <c r="A3993">
        <v>665</v>
      </c>
      <c r="B3993" s="3">
        <f t="shared" ca="1" si="62"/>
        <v>83</v>
      </c>
      <c r="C39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3" t="str">
        <f ca="1">IF(dict_zuord_Meth_Transfers[[#This Row],[kval_active]],dict_zuord_Meth_Transfers[[#This Row],[ID_Transfers]],"")</f>
        <v/>
      </c>
    </row>
    <row r="3994" spans="1:4" x14ac:dyDescent="0.45">
      <c r="A3994">
        <v>665</v>
      </c>
      <c r="B3994" s="3">
        <f t="shared" ca="1" si="62"/>
        <v>68</v>
      </c>
      <c r="C39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4" t="str">
        <f ca="1">IF(dict_zuord_Meth_Transfers[[#This Row],[kval_active]],dict_zuord_Meth_Transfers[[#This Row],[ID_Transfers]],"")</f>
        <v/>
      </c>
    </row>
    <row r="3995" spans="1:4" x14ac:dyDescent="0.45">
      <c r="A3995">
        <v>665</v>
      </c>
      <c r="B3995">
        <f t="shared" ca="1" si="62"/>
        <v>28</v>
      </c>
      <c r="C39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5" t="str">
        <f ca="1">IF(dict_zuord_Meth_Transfers[[#This Row],[kval_active]],dict_zuord_Meth_Transfers[[#This Row],[ID_Transfers]],"")</f>
        <v/>
      </c>
    </row>
    <row r="3996" spans="1:4" x14ac:dyDescent="0.45">
      <c r="A3996">
        <v>665</v>
      </c>
      <c r="B3996">
        <f t="shared" ca="1" si="62"/>
        <v>144</v>
      </c>
      <c r="C39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6" t="str">
        <f ca="1">IF(dict_zuord_Meth_Transfers[[#This Row],[kval_active]],dict_zuord_Meth_Transfers[[#This Row],[ID_Transfers]],"")</f>
        <v/>
      </c>
    </row>
    <row r="3997" spans="1:4" x14ac:dyDescent="0.45">
      <c r="A3997">
        <v>665</v>
      </c>
      <c r="B3997">
        <f t="shared" ca="1" si="62"/>
        <v>187</v>
      </c>
      <c r="C39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7" t="str">
        <f ca="1">IF(dict_zuord_Meth_Transfers[[#This Row],[kval_active]],dict_zuord_Meth_Transfers[[#This Row],[ID_Transfers]],"")</f>
        <v/>
      </c>
    </row>
    <row r="3998" spans="1:4" x14ac:dyDescent="0.45">
      <c r="A3998">
        <v>666</v>
      </c>
      <c r="B3998">
        <f t="shared" ca="1" si="62"/>
        <v>121</v>
      </c>
      <c r="C39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8" t="str">
        <f ca="1">IF(dict_zuord_Meth_Transfers[[#This Row],[kval_active]],dict_zuord_Meth_Transfers[[#This Row],[ID_Transfers]],"")</f>
        <v/>
      </c>
    </row>
    <row r="3999" spans="1:4" x14ac:dyDescent="0.45">
      <c r="A3999">
        <v>666</v>
      </c>
      <c r="B3999" s="3">
        <f t="shared" ca="1" si="62"/>
        <v>31</v>
      </c>
      <c r="C39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3999" t="str">
        <f ca="1">IF(dict_zuord_Meth_Transfers[[#This Row],[kval_active]],dict_zuord_Meth_Transfers[[#This Row],[ID_Transfers]],"")</f>
        <v/>
      </c>
    </row>
    <row r="4000" spans="1:4" x14ac:dyDescent="0.45">
      <c r="A4000">
        <v>666</v>
      </c>
      <c r="B4000">
        <f t="shared" ca="1" si="62"/>
        <v>145</v>
      </c>
      <c r="C40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0" t="str">
        <f ca="1">IF(dict_zuord_Meth_Transfers[[#This Row],[kval_active]],dict_zuord_Meth_Transfers[[#This Row],[ID_Transfers]],"")</f>
        <v/>
      </c>
    </row>
    <row r="4001" spans="1:4" x14ac:dyDescent="0.45">
      <c r="A4001">
        <v>666</v>
      </c>
      <c r="B4001" s="3">
        <f t="shared" ca="1" si="62"/>
        <v>83</v>
      </c>
      <c r="C40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1" t="str">
        <f ca="1">IF(dict_zuord_Meth_Transfers[[#This Row],[kval_active]],dict_zuord_Meth_Transfers[[#This Row],[ID_Transfers]],"")</f>
        <v/>
      </c>
    </row>
    <row r="4002" spans="1:4" x14ac:dyDescent="0.45">
      <c r="A4002">
        <v>666</v>
      </c>
      <c r="B4002">
        <f t="shared" ca="1" si="62"/>
        <v>72</v>
      </c>
      <c r="C40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2" t="str">
        <f ca="1">IF(dict_zuord_Meth_Transfers[[#This Row],[kval_active]],dict_zuord_Meth_Transfers[[#This Row],[ID_Transfers]],"")</f>
        <v/>
      </c>
    </row>
    <row r="4003" spans="1:4" x14ac:dyDescent="0.45">
      <c r="A4003">
        <v>666</v>
      </c>
      <c r="B4003" s="3">
        <f t="shared" ca="1" si="62"/>
        <v>176</v>
      </c>
      <c r="C40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3" t="str">
        <f ca="1">IF(dict_zuord_Meth_Transfers[[#This Row],[kval_active]],dict_zuord_Meth_Transfers[[#This Row],[ID_Transfers]],"")</f>
        <v/>
      </c>
    </row>
    <row r="4004" spans="1:4" x14ac:dyDescent="0.45">
      <c r="A4004">
        <v>667</v>
      </c>
      <c r="B4004" s="3">
        <f t="shared" ca="1" si="62"/>
        <v>98</v>
      </c>
      <c r="C40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4" t="str">
        <f ca="1">IF(dict_zuord_Meth_Transfers[[#This Row],[kval_active]],dict_zuord_Meth_Transfers[[#This Row],[ID_Transfers]],"")</f>
        <v/>
      </c>
    </row>
    <row r="4005" spans="1:4" x14ac:dyDescent="0.45">
      <c r="A4005">
        <v>667</v>
      </c>
      <c r="B4005">
        <f t="shared" ca="1" si="62"/>
        <v>82</v>
      </c>
      <c r="C40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5" t="str">
        <f ca="1">IF(dict_zuord_Meth_Transfers[[#This Row],[kval_active]],dict_zuord_Meth_Transfers[[#This Row],[ID_Transfers]],"")</f>
        <v/>
      </c>
    </row>
    <row r="4006" spans="1:4" x14ac:dyDescent="0.45">
      <c r="A4006">
        <v>667</v>
      </c>
      <c r="B4006" s="3">
        <f t="shared" ca="1" si="62"/>
        <v>174</v>
      </c>
      <c r="C40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6" t="str">
        <f ca="1">IF(dict_zuord_Meth_Transfers[[#This Row],[kval_active]],dict_zuord_Meth_Transfers[[#This Row],[ID_Transfers]],"")</f>
        <v/>
      </c>
    </row>
    <row r="4007" spans="1:4" x14ac:dyDescent="0.45">
      <c r="A4007">
        <v>667</v>
      </c>
      <c r="B4007">
        <f t="shared" ca="1" si="62"/>
        <v>34</v>
      </c>
      <c r="C40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7" t="str">
        <f ca="1">IF(dict_zuord_Meth_Transfers[[#This Row],[kval_active]],dict_zuord_Meth_Transfers[[#This Row],[ID_Transfers]],"")</f>
        <v/>
      </c>
    </row>
    <row r="4008" spans="1:4" x14ac:dyDescent="0.45">
      <c r="A4008">
        <v>667</v>
      </c>
      <c r="B4008">
        <f t="shared" ca="1" si="62"/>
        <v>131</v>
      </c>
      <c r="C40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8" t="str">
        <f ca="1">IF(dict_zuord_Meth_Transfers[[#This Row],[kval_active]],dict_zuord_Meth_Transfers[[#This Row],[ID_Transfers]],"")</f>
        <v/>
      </c>
    </row>
    <row r="4009" spans="1:4" x14ac:dyDescent="0.45">
      <c r="A4009">
        <v>667</v>
      </c>
      <c r="B4009" s="3">
        <f t="shared" ca="1" si="62"/>
        <v>30</v>
      </c>
      <c r="C40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09" t="str">
        <f ca="1">IF(dict_zuord_Meth_Transfers[[#This Row],[kval_active]],dict_zuord_Meth_Transfers[[#This Row],[ID_Transfers]],"")</f>
        <v/>
      </c>
    </row>
    <row r="4010" spans="1:4" x14ac:dyDescent="0.45">
      <c r="A4010">
        <v>668</v>
      </c>
      <c r="B4010" s="3">
        <f t="shared" ca="1" si="62"/>
        <v>57</v>
      </c>
      <c r="C40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0" t="str">
        <f ca="1">IF(dict_zuord_Meth_Transfers[[#This Row],[kval_active]],dict_zuord_Meth_Transfers[[#This Row],[ID_Transfers]],"")</f>
        <v/>
      </c>
    </row>
    <row r="4011" spans="1:4" x14ac:dyDescent="0.45">
      <c r="A4011">
        <v>668</v>
      </c>
      <c r="B4011" s="3">
        <f t="shared" ca="1" si="62"/>
        <v>47</v>
      </c>
      <c r="C40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1" t="str">
        <f ca="1">IF(dict_zuord_Meth_Transfers[[#This Row],[kval_active]],dict_zuord_Meth_Transfers[[#This Row],[ID_Transfers]],"")</f>
        <v/>
      </c>
    </row>
    <row r="4012" spans="1:4" x14ac:dyDescent="0.45">
      <c r="A4012">
        <v>668</v>
      </c>
      <c r="B4012">
        <f t="shared" ca="1" si="62"/>
        <v>38</v>
      </c>
      <c r="C40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2" t="str">
        <f ca="1">IF(dict_zuord_Meth_Transfers[[#This Row],[kval_active]],dict_zuord_Meth_Transfers[[#This Row],[ID_Transfers]],"")</f>
        <v/>
      </c>
    </row>
    <row r="4013" spans="1:4" x14ac:dyDescent="0.45">
      <c r="A4013">
        <v>668</v>
      </c>
      <c r="B4013" s="3">
        <f t="shared" ca="1" si="62"/>
        <v>77</v>
      </c>
      <c r="C40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3" t="str">
        <f ca="1">IF(dict_zuord_Meth_Transfers[[#This Row],[kval_active]],dict_zuord_Meth_Transfers[[#This Row],[ID_Transfers]],"")</f>
        <v/>
      </c>
    </row>
    <row r="4014" spans="1:4" x14ac:dyDescent="0.45">
      <c r="A4014">
        <v>668</v>
      </c>
      <c r="B4014">
        <f t="shared" ca="1" si="62"/>
        <v>21</v>
      </c>
      <c r="C40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4" t="str">
        <f ca="1">IF(dict_zuord_Meth_Transfers[[#This Row],[kval_active]],dict_zuord_Meth_Transfers[[#This Row],[ID_Transfers]],"")</f>
        <v/>
      </c>
    </row>
    <row r="4015" spans="1:4" x14ac:dyDescent="0.45">
      <c r="A4015">
        <v>668</v>
      </c>
      <c r="B4015">
        <f t="shared" ca="1" si="62"/>
        <v>153</v>
      </c>
      <c r="C40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5" t="str">
        <f ca="1">IF(dict_zuord_Meth_Transfers[[#This Row],[kval_active]],dict_zuord_Meth_Transfers[[#This Row],[ID_Transfers]],"")</f>
        <v/>
      </c>
    </row>
    <row r="4016" spans="1:4" x14ac:dyDescent="0.45">
      <c r="A4016">
        <v>669</v>
      </c>
      <c r="B4016" s="3">
        <f t="shared" ca="1" si="62"/>
        <v>104</v>
      </c>
      <c r="C40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6" t="str">
        <f ca="1">IF(dict_zuord_Meth_Transfers[[#This Row],[kval_active]],dict_zuord_Meth_Transfers[[#This Row],[ID_Transfers]],"")</f>
        <v/>
      </c>
    </row>
    <row r="4017" spans="1:4" x14ac:dyDescent="0.45">
      <c r="A4017">
        <v>669</v>
      </c>
      <c r="B4017">
        <f t="shared" ca="1" si="62"/>
        <v>90</v>
      </c>
      <c r="C40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7" t="str">
        <f ca="1">IF(dict_zuord_Meth_Transfers[[#This Row],[kval_active]],dict_zuord_Meth_Transfers[[#This Row],[ID_Transfers]],"")</f>
        <v/>
      </c>
    </row>
    <row r="4018" spans="1:4" x14ac:dyDescent="0.45">
      <c r="A4018">
        <v>669</v>
      </c>
      <c r="B4018" s="3">
        <f t="shared" ca="1" si="62"/>
        <v>153</v>
      </c>
      <c r="C40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8" t="str">
        <f ca="1">IF(dict_zuord_Meth_Transfers[[#This Row],[kval_active]],dict_zuord_Meth_Transfers[[#This Row],[ID_Transfers]],"")</f>
        <v/>
      </c>
    </row>
    <row r="4019" spans="1:4" x14ac:dyDescent="0.45">
      <c r="A4019">
        <v>669</v>
      </c>
      <c r="B4019">
        <f t="shared" ca="1" si="62"/>
        <v>108</v>
      </c>
      <c r="C40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19" t="str">
        <f ca="1">IF(dict_zuord_Meth_Transfers[[#This Row],[kval_active]],dict_zuord_Meth_Transfers[[#This Row],[ID_Transfers]],"")</f>
        <v/>
      </c>
    </row>
    <row r="4020" spans="1:4" x14ac:dyDescent="0.45">
      <c r="A4020">
        <v>669</v>
      </c>
      <c r="B4020" s="3">
        <f t="shared" ca="1" si="62"/>
        <v>186</v>
      </c>
      <c r="C40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0" t="str">
        <f ca="1">IF(dict_zuord_Meth_Transfers[[#This Row],[kval_active]],dict_zuord_Meth_Transfers[[#This Row],[ID_Transfers]],"")</f>
        <v/>
      </c>
    </row>
    <row r="4021" spans="1:4" x14ac:dyDescent="0.45">
      <c r="A4021">
        <v>669</v>
      </c>
      <c r="B4021">
        <f t="shared" ca="1" si="62"/>
        <v>7</v>
      </c>
      <c r="C40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1" t="str">
        <f ca="1">IF(dict_zuord_Meth_Transfers[[#This Row],[kval_active]],dict_zuord_Meth_Transfers[[#This Row],[ID_Transfers]],"")</f>
        <v/>
      </c>
    </row>
    <row r="4022" spans="1:4" x14ac:dyDescent="0.45">
      <c r="A4022">
        <v>670</v>
      </c>
      <c r="B4022">
        <f t="shared" ca="1" si="62"/>
        <v>90</v>
      </c>
      <c r="C40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2" t="str">
        <f ca="1">IF(dict_zuord_Meth_Transfers[[#This Row],[kval_active]],dict_zuord_Meth_Transfers[[#This Row],[ID_Transfers]],"")</f>
        <v/>
      </c>
    </row>
    <row r="4023" spans="1:4" x14ac:dyDescent="0.45">
      <c r="A4023">
        <v>670</v>
      </c>
      <c r="B4023" s="3">
        <f t="shared" ca="1" si="62"/>
        <v>86</v>
      </c>
      <c r="C40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3" t="str">
        <f ca="1">IF(dict_zuord_Meth_Transfers[[#This Row],[kval_active]],dict_zuord_Meth_Transfers[[#This Row],[ID_Transfers]],"")</f>
        <v/>
      </c>
    </row>
    <row r="4024" spans="1:4" x14ac:dyDescent="0.45">
      <c r="A4024">
        <v>670</v>
      </c>
      <c r="B4024">
        <f t="shared" ca="1" si="62"/>
        <v>105</v>
      </c>
      <c r="C40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4" t="str">
        <f ca="1">IF(dict_zuord_Meth_Transfers[[#This Row],[kval_active]],dict_zuord_Meth_Transfers[[#This Row],[ID_Transfers]],"")</f>
        <v/>
      </c>
    </row>
    <row r="4025" spans="1:4" x14ac:dyDescent="0.45">
      <c r="A4025">
        <v>670</v>
      </c>
      <c r="B4025" s="3">
        <f t="shared" ca="1" si="62"/>
        <v>123</v>
      </c>
      <c r="C40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5" t="str">
        <f ca="1">IF(dict_zuord_Meth_Transfers[[#This Row],[kval_active]],dict_zuord_Meth_Transfers[[#This Row],[ID_Transfers]],"")</f>
        <v/>
      </c>
    </row>
    <row r="4026" spans="1:4" x14ac:dyDescent="0.45">
      <c r="A4026">
        <v>670</v>
      </c>
      <c r="B4026">
        <f t="shared" ca="1" si="62"/>
        <v>97</v>
      </c>
      <c r="C40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6" t="str">
        <f ca="1">IF(dict_zuord_Meth_Transfers[[#This Row],[kval_active]],dict_zuord_Meth_Transfers[[#This Row],[ID_Transfers]],"")</f>
        <v/>
      </c>
    </row>
    <row r="4027" spans="1:4" x14ac:dyDescent="0.45">
      <c r="A4027">
        <v>670</v>
      </c>
      <c r="B4027" s="3">
        <f t="shared" ca="1" si="62"/>
        <v>22</v>
      </c>
      <c r="C40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7" t="str">
        <f ca="1">IF(dict_zuord_Meth_Transfers[[#This Row],[kval_active]],dict_zuord_Meth_Transfers[[#This Row],[ID_Transfers]],"")</f>
        <v/>
      </c>
    </row>
    <row r="4028" spans="1:4" x14ac:dyDescent="0.45">
      <c r="A4028">
        <v>671</v>
      </c>
      <c r="B4028">
        <f t="shared" ca="1" si="62"/>
        <v>114</v>
      </c>
      <c r="C40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8" t="str">
        <f ca="1">IF(dict_zuord_Meth_Transfers[[#This Row],[kval_active]],dict_zuord_Meth_Transfers[[#This Row],[ID_Transfers]],"")</f>
        <v/>
      </c>
    </row>
    <row r="4029" spans="1:4" x14ac:dyDescent="0.45">
      <c r="A4029">
        <v>671</v>
      </c>
      <c r="B4029">
        <f t="shared" ca="1" si="62"/>
        <v>57</v>
      </c>
      <c r="C40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29" t="str">
        <f ca="1">IF(dict_zuord_Meth_Transfers[[#This Row],[kval_active]],dict_zuord_Meth_Transfers[[#This Row],[ID_Transfers]],"")</f>
        <v/>
      </c>
    </row>
    <row r="4030" spans="1:4" x14ac:dyDescent="0.45">
      <c r="A4030">
        <v>671</v>
      </c>
      <c r="B4030">
        <f t="shared" ca="1" si="62"/>
        <v>9</v>
      </c>
      <c r="C40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0" t="str">
        <f ca="1">IF(dict_zuord_Meth_Transfers[[#This Row],[kval_active]],dict_zuord_Meth_Transfers[[#This Row],[ID_Transfers]],"")</f>
        <v/>
      </c>
    </row>
    <row r="4031" spans="1:4" x14ac:dyDescent="0.45">
      <c r="A4031">
        <v>671</v>
      </c>
      <c r="B4031" s="3">
        <f t="shared" ca="1" si="62"/>
        <v>194</v>
      </c>
      <c r="C40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1" t="str">
        <f ca="1">IF(dict_zuord_Meth_Transfers[[#This Row],[kval_active]],dict_zuord_Meth_Transfers[[#This Row],[ID_Transfers]],"")</f>
        <v/>
      </c>
    </row>
    <row r="4032" spans="1:4" x14ac:dyDescent="0.45">
      <c r="A4032">
        <v>671</v>
      </c>
      <c r="B4032" s="3">
        <f t="shared" ca="1" si="62"/>
        <v>46</v>
      </c>
      <c r="C40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2" t="str">
        <f ca="1">IF(dict_zuord_Meth_Transfers[[#This Row],[kval_active]],dict_zuord_Meth_Transfers[[#This Row],[ID_Transfers]],"")</f>
        <v/>
      </c>
    </row>
    <row r="4033" spans="1:4" x14ac:dyDescent="0.45">
      <c r="A4033">
        <v>671</v>
      </c>
      <c r="B4033" s="3">
        <f t="shared" ca="1" si="62"/>
        <v>35</v>
      </c>
      <c r="C40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3" t="str">
        <f ca="1">IF(dict_zuord_Meth_Transfers[[#This Row],[kval_active]],dict_zuord_Meth_Transfers[[#This Row],[ID_Transfers]],"")</f>
        <v/>
      </c>
    </row>
    <row r="4034" spans="1:4" x14ac:dyDescent="0.45">
      <c r="A4034">
        <v>672</v>
      </c>
      <c r="B4034">
        <f t="shared" ref="B4034:B4097" ca="1" si="63">RANDBETWEEN(0,200)</f>
        <v>74</v>
      </c>
      <c r="C40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4" t="str">
        <f ca="1">IF(dict_zuord_Meth_Transfers[[#This Row],[kval_active]],dict_zuord_Meth_Transfers[[#This Row],[ID_Transfers]],"")</f>
        <v/>
      </c>
    </row>
    <row r="4035" spans="1:4" x14ac:dyDescent="0.45">
      <c r="A4035">
        <v>672</v>
      </c>
      <c r="B4035" s="3">
        <f t="shared" ca="1" si="63"/>
        <v>198</v>
      </c>
      <c r="C40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5" t="str">
        <f ca="1">IF(dict_zuord_Meth_Transfers[[#This Row],[kval_active]],dict_zuord_Meth_Transfers[[#This Row],[ID_Transfers]],"")</f>
        <v/>
      </c>
    </row>
    <row r="4036" spans="1:4" x14ac:dyDescent="0.45">
      <c r="A4036">
        <v>672</v>
      </c>
      <c r="B4036" s="3">
        <f t="shared" ca="1" si="63"/>
        <v>163</v>
      </c>
      <c r="C40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6" t="str">
        <f ca="1">IF(dict_zuord_Meth_Transfers[[#This Row],[kval_active]],dict_zuord_Meth_Transfers[[#This Row],[ID_Transfers]],"")</f>
        <v/>
      </c>
    </row>
    <row r="4037" spans="1:4" x14ac:dyDescent="0.45">
      <c r="A4037">
        <v>672</v>
      </c>
      <c r="B4037">
        <f t="shared" ca="1" si="63"/>
        <v>104</v>
      </c>
      <c r="C40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7" t="str">
        <f ca="1">IF(dict_zuord_Meth_Transfers[[#This Row],[kval_active]],dict_zuord_Meth_Transfers[[#This Row],[ID_Transfers]],"")</f>
        <v/>
      </c>
    </row>
    <row r="4038" spans="1:4" x14ac:dyDescent="0.45">
      <c r="A4038">
        <v>672</v>
      </c>
      <c r="B4038">
        <f t="shared" ca="1" si="63"/>
        <v>39</v>
      </c>
      <c r="C40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8" t="str">
        <f ca="1">IF(dict_zuord_Meth_Transfers[[#This Row],[kval_active]],dict_zuord_Meth_Transfers[[#This Row],[ID_Transfers]],"")</f>
        <v/>
      </c>
    </row>
    <row r="4039" spans="1:4" x14ac:dyDescent="0.45">
      <c r="A4039">
        <v>672</v>
      </c>
      <c r="B4039" s="3">
        <f t="shared" ca="1" si="63"/>
        <v>39</v>
      </c>
      <c r="C40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39" t="str">
        <f ca="1">IF(dict_zuord_Meth_Transfers[[#This Row],[kval_active]],dict_zuord_Meth_Transfers[[#This Row],[ID_Transfers]],"")</f>
        <v/>
      </c>
    </row>
    <row r="4040" spans="1:4" x14ac:dyDescent="0.45">
      <c r="A4040">
        <v>673</v>
      </c>
      <c r="B4040">
        <f t="shared" ca="1" si="63"/>
        <v>175</v>
      </c>
      <c r="C40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0" t="str">
        <f ca="1">IF(dict_zuord_Meth_Transfers[[#This Row],[kval_active]],dict_zuord_Meth_Transfers[[#This Row],[ID_Transfers]],"")</f>
        <v/>
      </c>
    </row>
    <row r="4041" spans="1:4" x14ac:dyDescent="0.45">
      <c r="A4041">
        <v>673</v>
      </c>
      <c r="B4041">
        <f t="shared" ca="1" si="63"/>
        <v>5</v>
      </c>
      <c r="C40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1" t="str">
        <f ca="1">IF(dict_zuord_Meth_Transfers[[#This Row],[kval_active]],dict_zuord_Meth_Transfers[[#This Row],[ID_Transfers]],"")</f>
        <v/>
      </c>
    </row>
    <row r="4042" spans="1:4" x14ac:dyDescent="0.45">
      <c r="A4042">
        <v>673</v>
      </c>
      <c r="B4042" s="3">
        <f t="shared" ca="1" si="63"/>
        <v>188</v>
      </c>
      <c r="C40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2" t="str">
        <f ca="1">IF(dict_zuord_Meth_Transfers[[#This Row],[kval_active]],dict_zuord_Meth_Transfers[[#This Row],[ID_Transfers]],"")</f>
        <v/>
      </c>
    </row>
    <row r="4043" spans="1:4" x14ac:dyDescent="0.45">
      <c r="A4043">
        <v>673</v>
      </c>
      <c r="B4043" s="3">
        <f t="shared" ca="1" si="63"/>
        <v>176</v>
      </c>
      <c r="C40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3" t="str">
        <f ca="1">IF(dict_zuord_Meth_Transfers[[#This Row],[kval_active]],dict_zuord_Meth_Transfers[[#This Row],[ID_Transfers]],"")</f>
        <v/>
      </c>
    </row>
    <row r="4044" spans="1:4" x14ac:dyDescent="0.45">
      <c r="A4044">
        <v>673</v>
      </c>
      <c r="B4044" s="3">
        <f t="shared" ca="1" si="63"/>
        <v>120</v>
      </c>
      <c r="C40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4" t="str">
        <f ca="1">IF(dict_zuord_Meth_Transfers[[#This Row],[kval_active]],dict_zuord_Meth_Transfers[[#This Row],[ID_Transfers]],"")</f>
        <v/>
      </c>
    </row>
    <row r="4045" spans="1:4" x14ac:dyDescent="0.45">
      <c r="A4045">
        <v>673</v>
      </c>
      <c r="B4045">
        <f t="shared" ca="1" si="63"/>
        <v>111</v>
      </c>
      <c r="C40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5" t="str">
        <f ca="1">IF(dict_zuord_Meth_Transfers[[#This Row],[kval_active]],dict_zuord_Meth_Transfers[[#This Row],[ID_Transfers]],"")</f>
        <v/>
      </c>
    </row>
    <row r="4046" spans="1:4" x14ac:dyDescent="0.45">
      <c r="A4046">
        <v>674</v>
      </c>
      <c r="B4046" s="3">
        <f t="shared" ca="1" si="63"/>
        <v>120</v>
      </c>
      <c r="C40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6" t="str">
        <f ca="1">IF(dict_zuord_Meth_Transfers[[#This Row],[kval_active]],dict_zuord_Meth_Transfers[[#This Row],[ID_Transfers]],"")</f>
        <v/>
      </c>
    </row>
    <row r="4047" spans="1:4" x14ac:dyDescent="0.45">
      <c r="A4047">
        <v>674</v>
      </c>
      <c r="B4047" s="3">
        <f t="shared" ca="1" si="63"/>
        <v>61</v>
      </c>
      <c r="C40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7" t="str">
        <f ca="1">IF(dict_zuord_Meth_Transfers[[#This Row],[kval_active]],dict_zuord_Meth_Transfers[[#This Row],[ID_Transfers]],"")</f>
        <v/>
      </c>
    </row>
    <row r="4048" spans="1:4" x14ac:dyDescent="0.45">
      <c r="A4048">
        <v>674</v>
      </c>
      <c r="B4048">
        <f t="shared" ca="1" si="63"/>
        <v>159</v>
      </c>
      <c r="C40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8" t="str">
        <f ca="1">IF(dict_zuord_Meth_Transfers[[#This Row],[kval_active]],dict_zuord_Meth_Transfers[[#This Row],[ID_Transfers]],"")</f>
        <v/>
      </c>
    </row>
    <row r="4049" spans="1:4" x14ac:dyDescent="0.45">
      <c r="A4049">
        <v>674</v>
      </c>
      <c r="B4049" s="3">
        <f t="shared" ca="1" si="63"/>
        <v>95</v>
      </c>
      <c r="C40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49" t="str">
        <f ca="1">IF(dict_zuord_Meth_Transfers[[#This Row],[kval_active]],dict_zuord_Meth_Transfers[[#This Row],[ID_Transfers]],"")</f>
        <v/>
      </c>
    </row>
    <row r="4050" spans="1:4" x14ac:dyDescent="0.45">
      <c r="A4050">
        <v>674</v>
      </c>
      <c r="B4050">
        <f t="shared" ca="1" si="63"/>
        <v>60</v>
      </c>
      <c r="C40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0" t="str">
        <f ca="1">IF(dict_zuord_Meth_Transfers[[#This Row],[kval_active]],dict_zuord_Meth_Transfers[[#This Row],[ID_Transfers]],"")</f>
        <v/>
      </c>
    </row>
    <row r="4051" spans="1:4" x14ac:dyDescent="0.45">
      <c r="A4051">
        <v>674</v>
      </c>
      <c r="B4051">
        <f t="shared" ca="1" si="63"/>
        <v>5</v>
      </c>
      <c r="C40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1" t="str">
        <f ca="1">IF(dict_zuord_Meth_Transfers[[#This Row],[kval_active]],dict_zuord_Meth_Transfers[[#This Row],[ID_Transfers]],"")</f>
        <v/>
      </c>
    </row>
    <row r="4052" spans="1:4" x14ac:dyDescent="0.45">
      <c r="A4052">
        <v>675</v>
      </c>
      <c r="B4052" s="3">
        <f t="shared" ca="1" si="63"/>
        <v>160</v>
      </c>
      <c r="C40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2" t="str">
        <f ca="1">IF(dict_zuord_Meth_Transfers[[#This Row],[kval_active]],dict_zuord_Meth_Transfers[[#This Row],[ID_Transfers]],"")</f>
        <v/>
      </c>
    </row>
    <row r="4053" spans="1:4" x14ac:dyDescent="0.45">
      <c r="A4053">
        <v>675</v>
      </c>
      <c r="B4053">
        <f t="shared" ca="1" si="63"/>
        <v>146</v>
      </c>
      <c r="C40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3" t="str">
        <f ca="1">IF(dict_zuord_Meth_Transfers[[#This Row],[kval_active]],dict_zuord_Meth_Transfers[[#This Row],[ID_Transfers]],"")</f>
        <v/>
      </c>
    </row>
    <row r="4054" spans="1:4" x14ac:dyDescent="0.45">
      <c r="A4054">
        <v>675</v>
      </c>
      <c r="B4054">
        <f t="shared" ca="1" si="63"/>
        <v>111</v>
      </c>
      <c r="C40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4" t="str">
        <f ca="1">IF(dict_zuord_Meth_Transfers[[#This Row],[kval_active]],dict_zuord_Meth_Transfers[[#This Row],[ID_Transfers]],"")</f>
        <v/>
      </c>
    </row>
    <row r="4055" spans="1:4" x14ac:dyDescent="0.45">
      <c r="A4055">
        <v>675</v>
      </c>
      <c r="B4055" s="3">
        <f t="shared" ca="1" si="63"/>
        <v>57</v>
      </c>
      <c r="C40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5" t="str">
        <f ca="1">IF(dict_zuord_Meth_Transfers[[#This Row],[kval_active]],dict_zuord_Meth_Transfers[[#This Row],[ID_Transfers]],"")</f>
        <v/>
      </c>
    </row>
    <row r="4056" spans="1:4" x14ac:dyDescent="0.45">
      <c r="A4056">
        <v>675</v>
      </c>
      <c r="B4056">
        <f t="shared" ca="1" si="63"/>
        <v>28</v>
      </c>
      <c r="C40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6" t="str">
        <f ca="1">IF(dict_zuord_Meth_Transfers[[#This Row],[kval_active]],dict_zuord_Meth_Transfers[[#This Row],[ID_Transfers]],"")</f>
        <v/>
      </c>
    </row>
    <row r="4057" spans="1:4" x14ac:dyDescent="0.45">
      <c r="A4057">
        <v>675</v>
      </c>
      <c r="B4057" s="3">
        <f t="shared" ca="1" si="63"/>
        <v>148</v>
      </c>
      <c r="C40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7" t="str">
        <f ca="1">IF(dict_zuord_Meth_Transfers[[#This Row],[kval_active]],dict_zuord_Meth_Transfers[[#This Row],[ID_Transfers]],"")</f>
        <v/>
      </c>
    </row>
    <row r="4058" spans="1:4" x14ac:dyDescent="0.45">
      <c r="A4058">
        <v>676</v>
      </c>
      <c r="B4058">
        <f t="shared" ca="1" si="63"/>
        <v>144</v>
      </c>
      <c r="C40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8" t="str">
        <f ca="1">IF(dict_zuord_Meth_Transfers[[#This Row],[kval_active]],dict_zuord_Meth_Transfers[[#This Row],[ID_Transfers]],"")</f>
        <v/>
      </c>
    </row>
    <row r="4059" spans="1:4" x14ac:dyDescent="0.45">
      <c r="A4059">
        <v>676</v>
      </c>
      <c r="B4059">
        <f t="shared" ca="1" si="63"/>
        <v>40</v>
      </c>
      <c r="C40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59" t="str">
        <f ca="1">IF(dict_zuord_Meth_Transfers[[#This Row],[kval_active]],dict_zuord_Meth_Transfers[[#This Row],[ID_Transfers]],"")</f>
        <v/>
      </c>
    </row>
    <row r="4060" spans="1:4" x14ac:dyDescent="0.45">
      <c r="A4060">
        <v>676</v>
      </c>
      <c r="B4060" s="3">
        <f t="shared" ca="1" si="63"/>
        <v>122</v>
      </c>
      <c r="C40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0" t="str">
        <f ca="1">IF(dict_zuord_Meth_Transfers[[#This Row],[kval_active]],dict_zuord_Meth_Transfers[[#This Row],[ID_Transfers]],"")</f>
        <v/>
      </c>
    </row>
    <row r="4061" spans="1:4" x14ac:dyDescent="0.45">
      <c r="A4061">
        <v>676</v>
      </c>
      <c r="B4061">
        <f t="shared" ca="1" si="63"/>
        <v>121</v>
      </c>
      <c r="C40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1" t="str">
        <f ca="1">IF(dict_zuord_Meth_Transfers[[#This Row],[kval_active]],dict_zuord_Meth_Transfers[[#This Row],[ID_Transfers]],"")</f>
        <v/>
      </c>
    </row>
    <row r="4062" spans="1:4" x14ac:dyDescent="0.45">
      <c r="A4062">
        <v>676</v>
      </c>
      <c r="B4062" s="3">
        <f t="shared" ca="1" si="63"/>
        <v>87</v>
      </c>
      <c r="C40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2" t="str">
        <f ca="1">IF(dict_zuord_Meth_Transfers[[#This Row],[kval_active]],dict_zuord_Meth_Transfers[[#This Row],[ID_Transfers]],"")</f>
        <v/>
      </c>
    </row>
    <row r="4063" spans="1:4" x14ac:dyDescent="0.45">
      <c r="A4063">
        <v>676</v>
      </c>
      <c r="B4063" s="3">
        <f t="shared" ca="1" si="63"/>
        <v>183</v>
      </c>
      <c r="C40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63" t="str">
        <f ca="1">IF(dict_zuord_Meth_Transfers[[#This Row],[kval_active]],dict_zuord_Meth_Transfers[[#This Row],[ID_Transfers]],"")</f>
        <v/>
      </c>
    </row>
    <row r="4064" spans="1:4" x14ac:dyDescent="0.45">
      <c r="A4064">
        <v>677</v>
      </c>
      <c r="B4064" s="3">
        <f t="shared" ca="1" si="63"/>
        <v>152</v>
      </c>
      <c r="C40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4">
        <f ca="1">IF(dict_zuord_Meth_Transfers[[#This Row],[kval_active]],dict_zuord_Meth_Transfers[[#This Row],[ID_Transfers]],"")</f>
        <v>152</v>
      </c>
    </row>
    <row r="4065" spans="1:4" x14ac:dyDescent="0.45">
      <c r="A4065">
        <v>677</v>
      </c>
      <c r="B4065">
        <f t="shared" ca="1" si="63"/>
        <v>62</v>
      </c>
      <c r="C40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5">
        <f ca="1">IF(dict_zuord_Meth_Transfers[[#This Row],[kval_active]],dict_zuord_Meth_Transfers[[#This Row],[ID_Transfers]],"")</f>
        <v>62</v>
      </c>
    </row>
    <row r="4066" spans="1:4" x14ac:dyDescent="0.45">
      <c r="A4066">
        <v>677</v>
      </c>
      <c r="B4066" s="3">
        <f t="shared" ca="1" si="63"/>
        <v>106</v>
      </c>
      <c r="C40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6">
        <f ca="1">IF(dict_zuord_Meth_Transfers[[#This Row],[kval_active]],dict_zuord_Meth_Transfers[[#This Row],[ID_Transfers]],"")</f>
        <v>106</v>
      </c>
    </row>
    <row r="4067" spans="1:4" x14ac:dyDescent="0.45">
      <c r="A4067">
        <v>677</v>
      </c>
      <c r="B4067">
        <f t="shared" ca="1" si="63"/>
        <v>84</v>
      </c>
      <c r="C40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7">
        <f ca="1">IF(dict_zuord_Meth_Transfers[[#This Row],[kval_active]],dict_zuord_Meth_Transfers[[#This Row],[ID_Transfers]],"")</f>
        <v>84</v>
      </c>
    </row>
    <row r="4068" spans="1:4" x14ac:dyDescent="0.45">
      <c r="A4068">
        <v>677</v>
      </c>
      <c r="B4068">
        <f t="shared" ca="1" si="63"/>
        <v>43</v>
      </c>
      <c r="C40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8">
        <f ca="1">IF(dict_zuord_Meth_Transfers[[#This Row],[kval_active]],dict_zuord_Meth_Transfers[[#This Row],[ID_Transfers]],"")</f>
        <v>43</v>
      </c>
    </row>
    <row r="4069" spans="1:4" x14ac:dyDescent="0.45">
      <c r="A4069">
        <v>677</v>
      </c>
      <c r="B4069" s="3">
        <f t="shared" ca="1" si="63"/>
        <v>175</v>
      </c>
      <c r="C40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69">
        <f ca="1">IF(dict_zuord_Meth_Transfers[[#This Row],[kval_active]],dict_zuord_Meth_Transfers[[#This Row],[ID_Transfers]],"")</f>
        <v>175</v>
      </c>
    </row>
    <row r="4070" spans="1:4" x14ac:dyDescent="0.45">
      <c r="A4070">
        <v>678</v>
      </c>
      <c r="B4070">
        <f t="shared" ca="1" si="63"/>
        <v>96</v>
      </c>
      <c r="C40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0" t="str">
        <f ca="1">IF(dict_zuord_Meth_Transfers[[#This Row],[kval_active]],dict_zuord_Meth_Transfers[[#This Row],[ID_Transfers]],"")</f>
        <v/>
      </c>
    </row>
    <row r="4071" spans="1:4" x14ac:dyDescent="0.45">
      <c r="A4071">
        <v>678</v>
      </c>
      <c r="B4071">
        <f t="shared" ca="1" si="63"/>
        <v>22</v>
      </c>
      <c r="C40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1" t="str">
        <f ca="1">IF(dict_zuord_Meth_Transfers[[#This Row],[kval_active]],dict_zuord_Meth_Transfers[[#This Row],[ID_Transfers]],"")</f>
        <v/>
      </c>
    </row>
    <row r="4072" spans="1:4" x14ac:dyDescent="0.45">
      <c r="A4072">
        <v>678</v>
      </c>
      <c r="B4072" s="3">
        <f t="shared" ca="1" si="63"/>
        <v>23</v>
      </c>
      <c r="C40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2" t="str">
        <f ca="1">IF(dict_zuord_Meth_Transfers[[#This Row],[kval_active]],dict_zuord_Meth_Transfers[[#This Row],[ID_Transfers]],"")</f>
        <v/>
      </c>
    </row>
    <row r="4073" spans="1:4" x14ac:dyDescent="0.45">
      <c r="A4073">
        <v>678</v>
      </c>
      <c r="B4073" s="3">
        <f t="shared" ca="1" si="63"/>
        <v>95</v>
      </c>
      <c r="C40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3" t="str">
        <f ca="1">IF(dict_zuord_Meth_Transfers[[#This Row],[kval_active]],dict_zuord_Meth_Transfers[[#This Row],[ID_Transfers]],"")</f>
        <v/>
      </c>
    </row>
    <row r="4074" spans="1:4" x14ac:dyDescent="0.45">
      <c r="A4074">
        <v>678</v>
      </c>
      <c r="B4074" s="3">
        <f t="shared" ca="1" si="63"/>
        <v>175</v>
      </c>
      <c r="C40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4" t="str">
        <f ca="1">IF(dict_zuord_Meth_Transfers[[#This Row],[kval_active]],dict_zuord_Meth_Transfers[[#This Row],[ID_Transfers]],"")</f>
        <v/>
      </c>
    </row>
    <row r="4075" spans="1:4" x14ac:dyDescent="0.45">
      <c r="A4075">
        <v>678</v>
      </c>
      <c r="B4075">
        <f t="shared" ca="1" si="63"/>
        <v>12</v>
      </c>
      <c r="C40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75" t="str">
        <f ca="1">IF(dict_zuord_Meth_Transfers[[#This Row],[kval_active]],dict_zuord_Meth_Transfers[[#This Row],[ID_Transfers]],"")</f>
        <v/>
      </c>
    </row>
    <row r="4076" spans="1:4" x14ac:dyDescent="0.45">
      <c r="A4076">
        <v>679</v>
      </c>
      <c r="B4076" s="3">
        <f t="shared" ca="1" si="63"/>
        <v>57</v>
      </c>
      <c r="C40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6">
        <f ca="1">IF(dict_zuord_Meth_Transfers[[#This Row],[kval_active]],dict_zuord_Meth_Transfers[[#This Row],[ID_Transfers]],"")</f>
        <v>57</v>
      </c>
    </row>
    <row r="4077" spans="1:4" x14ac:dyDescent="0.45">
      <c r="A4077">
        <v>679</v>
      </c>
      <c r="B4077">
        <f t="shared" ca="1" si="63"/>
        <v>169</v>
      </c>
      <c r="C40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7">
        <f ca="1">IF(dict_zuord_Meth_Transfers[[#This Row],[kval_active]],dict_zuord_Meth_Transfers[[#This Row],[ID_Transfers]],"")</f>
        <v>169</v>
      </c>
    </row>
    <row r="4078" spans="1:4" x14ac:dyDescent="0.45">
      <c r="A4078">
        <v>679</v>
      </c>
      <c r="B4078">
        <f t="shared" ca="1" si="63"/>
        <v>160</v>
      </c>
      <c r="C40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8">
        <f ca="1">IF(dict_zuord_Meth_Transfers[[#This Row],[kval_active]],dict_zuord_Meth_Transfers[[#This Row],[ID_Transfers]],"")</f>
        <v>160</v>
      </c>
    </row>
    <row r="4079" spans="1:4" x14ac:dyDescent="0.45">
      <c r="A4079">
        <v>679</v>
      </c>
      <c r="B4079" s="3">
        <f t="shared" ca="1" si="63"/>
        <v>185</v>
      </c>
      <c r="C40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79">
        <f ca="1">IF(dict_zuord_Meth_Transfers[[#This Row],[kval_active]],dict_zuord_Meth_Transfers[[#This Row],[ID_Transfers]],"")</f>
        <v>185</v>
      </c>
    </row>
    <row r="4080" spans="1:4" x14ac:dyDescent="0.45">
      <c r="A4080">
        <v>679</v>
      </c>
      <c r="B4080">
        <f t="shared" ca="1" si="63"/>
        <v>16</v>
      </c>
      <c r="C40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0">
        <f ca="1">IF(dict_zuord_Meth_Transfers[[#This Row],[kval_active]],dict_zuord_Meth_Transfers[[#This Row],[ID_Transfers]],"")</f>
        <v>16</v>
      </c>
    </row>
    <row r="4081" spans="1:4" x14ac:dyDescent="0.45">
      <c r="A4081">
        <v>679</v>
      </c>
      <c r="B4081" s="3">
        <f t="shared" ca="1" si="63"/>
        <v>199</v>
      </c>
      <c r="C40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1</v>
      </c>
      <c r="D4081">
        <f ca="1">IF(dict_zuord_Meth_Transfers[[#This Row],[kval_active]],dict_zuord_Meth_Transfers[[#This Row],[ID_Transfers]],"")</f>
        <v>199</v>
      </c>
    </row>
    <row r="4082" spans="1:4" x14ac:dyDescent="0.45">
      <c r="A4082">
        <v>680</v>
      </c>
      <c r="B4082">
        <f t="shared" ca="1" si="63"/>
        <v>176</v>
      </c>
      <c r="C40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2" t="str">
        <f ca="1">IF(dict_zuord_Meth_Transfers[[#This Row],[kval_active]],dict_zuord_Meth_Transfers[[#This Row],[ID_Transfers]],"")</f>
        <v/>
      </c>
    </row>
    <row r="4083" spans="1:4" x14ac:dyDescent="0.45">
      <c r="A4083">
        <v>680</v>
      </c>
      <c r="B4083" s="3">
        <f t="shared" ca="1" si="63"/>
        <v>4</v>
      </c>
      <c r="C40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3" t="str">
        <f ca="1">IF(dict_zuord_Meth_Transfers[[#This Row],[kval_active]],dict_zuord_Meth_Transfers[[#This Row],[ID_Transfers]],"")</f>
        <v/>
      </c>
    </row>
    <row r="4084" spans="1:4" x14ac:dyDescent="0.45">
      <c r="A4084">
        <v>680</v>
      </c>
      <c r="B4084" s="3">
        <f t="shared" ca="1" si="63"/>
        <v>182</v>
      </c>
      <c r="C40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4" t="str">
        <f ca="1">IF(dict_zuord_Meth_Transfers[[#This Row],[kval_active]],dict_zuord_Meth_Transfers[[#This Row],[ID_Transfers]],"")</f>
        <v/>
      </c>
    </row>
    <row r="4085" spans="1:4" x14ac:dyDescent="0.45">
      <c r="A4085">
        <v>680</v>
      </c>
      <c r="B4085">
        <f t="shared" ca="1" si="63"/>
        <v>22</v>
      </c>
      <c r="C40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5" t="str">
        <f ca="1">IF(dict_zuord_Meth_Transfers[[#This Row],[kval_active]],dict_zuord_Meth_Transfers[[#This Row],[ID_Transfers]],"")</f>
        <v/>
      </c>
    </row>
    <row r="4086" spans="1:4" x14ac:dyDescent="0.45">
      <c r="A4086">
        <v>680</v>
      </c>
      <c r="B4086" s="3">
        <f t="shared" ca="1" si="63"/>
        <v>154</v>
      </c>
      <c r="C40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6" t="str">
        <f ca="1">IF(dict_zuord_Meth_Transfers[[#This Row],[kval_active]],dict_zuord_Meth_Transfers[[#This Row],[ID_Transfers]],"")</f>
        <v/>
      </c>
    </row>
    <row r="4087" spans="1:4" x14ac:dyDescent="0.45">
      <c r="A4087">
        <v>680</v>
      </c>
      <c r="B4087">
        <f t="shared" ca="1" si="63"/>
        <v>103</v>
      </c>
      <c r="C40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7" t="str">
        <f ca="1">IF(dict_zuord_Meth_Transfers[[#This Row],[kval_active]],dict_zuord_Meth_Transfers[[#This Row],[ID_Transfers]],"")</f>
        <v/>
      </c>
    </row>
    <row r="4088" spans="1:4" x14ac:dyDescent="0.45">
      <c r="A4088">
        <v>681</v>
      </c>
      <c r="B4088" s="3">
        <f t="shared" ca="1" si="63"/>
        <v>122</v>
      </c>
      <c r="C40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8" t="str">
        <f ca="1">IF(dict_zuord_Meth_Transfers[[#This Row],[kval_active]],dict_zuord_Meth_Transfers[[#This Row],[ID_Transfers]],"")</f>
        <v/>
      </c>
    </row>
    <row r="4089" spans="1:4" x14ac:dyDescent="0.45">
      <c r="A4089">
        <v>681</v>
      </c>
      <c r="B4089" s="3">
        <f t="shared" ca="1" si="63"/>
        <v>54</v>
      </c>
      <c r="C40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89" t="str">
        <f ca="1">IF(dict_zuord_Meth_Transfers[[#This Row],[kval_active]],dict_zuord_Meth_Transfers[[#This Row],[ID_Transfers]],"")</f>
        <v/>
      </c>
    </row>
    <row r="4090" spans="1:4" x14ac:dyDescent="0.45">
      <c r="A4090">
        <v>681</v>
      </c>
      <c r="B4090" s="3">
        <f t="shared" ca="1" si="63"/>
        <v>30</v>
      </c>
      <c r="C40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0" t="str">
        <f ca="1">IF(dict_zuord_Meth_Transfers[[#This Row],[kval_active]],dict_zuord_Meth_Transfers[[#This Row],[ID_Transfers]],"")</f>
        <v/>
      </c>
    </row>
    <row r="4091" spans="1:4" x14ac:dyDescent="0.45">
      <c r="A4091">
        <v>681</v>
      </c>
      <c r="B4091">
        <f t="shared" ca="1" si="63"/>
        <v>52</v>
      </c>
      <c r="C40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1" t="str">
        <f ca="1">IF(dict_zuord_Meth_Transfers[[#This Row],[kval_active]],dict_zuord_Meth_Transfers[[#This Row],[ID_Transfers]],"")</f>
        <v/>
      </c>
    </row>
    <row r="4092" spans="1:4" x14ac:dyDescent="0.45">
      <c r="A4092">
        <v>681</v>
      </c>
      <c r="B4092">
        <f t="shared" ca="1" si="63"/>
        <v>199</v>
      </c>
      <c r="C40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2" t="str">
        <f ca="1">IF(dict_zuord_Meth_Transfers[[#This Row],[kval_active]],dict_zuord_Meth_Transfers[[#This Row],[ID_Transfers]],"")</f>
        <v/>
      </c>
    </row>
    <row r="4093" spans="1:4" x14ac:dyDescent="0.45">
      <c r="A4093">
        <v>681</v>
      </c>
      <c r="B4093">
        <f t="shared" ca="1" si="63"/>
        <v>183</v>
      </c>
      <c r="C40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3" t="str">
        <f ca="1">IF(dict_zuord_Meth_Transfers[[#This Row],[kval_active]],dict_zuord_Meth_Transfers[[#This Row],[ID_Transfers]],"")</f>
        <v/>
      </c>
    </row>
    <row r="4094" spans="1:4" x14ac:dyDescent="0.45">
      <c r="A4094">
        <v>682</v>
      </c>
      <c r="B4094">
        <f t="shared" ca="1" si="63"/>
        <v>168</v>
      </c>
      <c r="C40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4" t="str">
        <f ca="1">IF(dict_zuord_Meth_Transfers[[#This Row],[kval_active]],dict_zuord_Meth_Transfers[[#This Row],[ID_Transfers]],"")</f>
        <v/>
      </c>
    </row>
    <row r="4095" spans="1:4" x14ac:dyDescent="0.45">
      <c r="A4095">
        <v>682</v>
      </c>
      <c r="B4095">
        <f t="shared" ca="1" si="63"/>
        <v>105</v>
      </c>
      <c r="C40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5" t="str">
        <f ca="1">IF(dict_zuord_Meth_Transfers[[#This Row],[kval_active]],dict_zuord_Meth_Transfers[[#This Row],[ID_Transfers]],"")</f>
        <v/>
      </c>
    </row>
    <row r="4096" spans="1:4" x14ac:dyDescent="0.45">
      <c r="A4096">
        <v>682</v>
      </c>
      <c r="B4096" s="3">
        <f t="shared" ca="1" si="63"/>
        <v>156</v>
      </c>
      <c r="C40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6" t="str">
        <f ca="1">IF(dict_zuord_Meth_Transfers[[#This Row],[kval_active]],dict_zuord_Meth_Transfers[[#This Row],[ID_Transfers]],"")</f>
        <v/>
      </c>
    </row>
    <row r="4097" spans="1:4" x14ac:dyDescent="0.45">
      <c r="A4097">
        <v>682</v>
      </c>
      <c r="B4097">
        <f t="shared" ca="1" si="63"/>
        <v>92</v>
      </c>
      <c r="C40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7" t="str">
        <f ca="1">IF(dict_zuord_Meth_Transfers[[#This Row],[kval_active]],dict_zuord_Meth_Transfers[[#This Row],[ID_Transfers]],"")</f>
        <v/>
      </c>
    </row>
    <row r="4098" spans="1:4" x14ac:dyDescent="0.45">
      <c r="A4098">
        <v>682</v>
      </c>
      <c r="B4098" s="3">
        <f t="shared" ref="B4098:B4161" ca="1" si="64">RANDBETWEEN(0,200)</f>
        <v>62</v>
      </c>
      <c r="C40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8" t="str">
        <f ca="1">IF(dict_zuord_Meth_Transfers[[#This Row],[kval_active]],dict_zuord_Meth_Transfers[[#This Row],[ID_Transfers]],"")</f>
        <v/>
      </c>
    </row>
    <row r="4099" spans="1:4" x14ac:dyDescent="0.45">
      <c r="A4099">
        <v>682</v>
      </c>
      <c r="B4099" s="3">
        <f t="shared" ca="1" si="64"/>
        <v>185</v>
      </c>
      <c r="C40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099" t="str">
        <f ca="1">IF(dict_zuord_Meth_Transfers[[#This Row],[kval_active]],dict_zuord_Meth_Transfers[[#This Row],[ID_Transfers]],"")</f>
        <v/>
      </c>
    </row>
    <row r="4100" spans="1:4" x14ac:dyDescent="0.45">
      <c r="A4100">
        <v>683</v>
      </c>
      <c r="B4100">
        <f t="shared" ca="1" si="64"/>
        <v>36</v>
      </c>
      <c r="C41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0" t="str">
        <f ca="1">IF(dict_zuord_Meth_Transfers[[#This Row],[kval_active]],dict_zuord_Meth_Transfers[[#This Row],[ID_Transfers]],"")</f>
        <v/>
      </c>
    </row>
    <row r="4101" spans="1:4" x14ac:dyDescent="0.45">
      <c r="A4101">
        <v>683</v>
      </c>
      <c r="B4101">
        <f t="shared" ca="1" si="64"/>
        <v>106</v>
      </c>
      <c r="C41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1" t="str">
        <f ca="1">IF(dict_zuord_Meth_Transfers[[#This Row],[kval_active]],dict_zuord_Meth_Transfers[[#This Row],[ID_Transfers]],"")</f>
        <v/>
      </c>
    </row>
    <row r="4102" spans="1:4" x14ac:dyDescent="0.45">
      <c r="A4102">
        <v>683</v>
      </c>
      <c r="B4102" s="3">
        <f t="shared" ca="1" si="64"/>
        <v>80</v>
      </c>
      <c r="C41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2" t="str">
        <f ca="1">IF(dict_zuord_Meth_Transfers[[#This Row],[kval_active]],dict_zuord_Meth_Transfers[[#This Row],[ID_Transfers]],"")</f>
        <v/>
      </c>
    </row>
    <row r="4103" spans="1:4" x14ac:dyDescent="0.45">
      <c r="A4103">
        <v>683</v>
      </c>
      <c r="B4103" s="3">
        <f t="shared" ca="1" si="64"/>
        <v>178</v>
      </c>
      <c r="C41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3" t="str">
        <f ca="1">IF(dict_zuord_Meth_Transfers[[#This Row],[kval_active]],dict_zuord_Meth_Transfers[[#This Row],[ID_Transfers]],"")</f>
        <v/>
      </c>
    </row>
    <row r="4104" spans="1:4" x14ac:dyDescent="0.45">
      <c r="A4104">
        <v>683</v>
      </c>
      <c r="B4104" s="3">
        <f t="shared" ca="1" si="64"/>
        <v>183</v>
      </c>
      <c r="C41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4" t="str">
        <f ca="1">IF(dict_zuord_Meth_Transfers[[#This Row],[kval_active]],dict_zuord_Meth_Transfers[[#This Row],[ID_Transfers]],"")</f>
        <v/>
      </c>
    </row>
    <row r="4105" spans="1:4" x14ac:dyDescent="0.45">
      <c r="A4105">
        <v>683</v>
      </c>
      <c r="B4105">
        <f t="shared" ca="1" si="64"/>
        <v>91</v>
      </c>
      <c r="C41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5" t="str">
        <f ca="1">IF(dict_zuord_Meth_Transfers[[#This Row],[kval_active]],dict_zuord_Meth_Transfers[[#This Row],[ID_Transfers]],"")</f>
        <v/>
      </c>
    </row>
    <row r="4106" spans="1:4" x14ac:dyDescent="0.45">
      <c r="A4106">
        <v>684</v>
      </c>
      <c r="B4106">
        <f t="shared" ca="1" si="64"/>
        <v>117</v>
      </c>
      <c r="C41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6" t="str">
        <f ca="1">IF(dict_zuord_Meth_Transfers[[#This Row],[kval_active]],dict_zuord_Meth_Transfers[[#This Row],[ID_Transfers]],"")</f>
        <v/>
      </c>
    </row>
    <row r="4107" spans="1:4" x14ac:dyDescent="0.45">
      <c r="A4107">
        <v>684</v>
      </c>
      <c r="B4107">
        <f t="shared" ca="1" si="64"/>
        <v>44</v>
      </c>
      <c r="C41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7" t="str">
        <f ca="1">IF(dict_zuord_Meth_Transfers[[#This Row],[kval_active]],dict_zuord_Meth_Transfers[[#This Row],[ID_Transfers]],"")</f>
        <v/>
      </c>
    </row>
    <row r="4108" spans="1:4" x14ac:dyDescent="0.45">
      <c r="A4108">
        <v>684</v>
      </c>
      <c r="B4108" s="3">
        <f t="shared" ca="1" si="64"/>
        <v>99</v>
      </c>
      <c r="C410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8" t="str">
        <f ca="1">IF(dict_zuord_Meth_Transfers[[#This Row],[kval_active]],dict_zuord_Meth_Transfers[[#This Row],[ID_Transfers]],"")</f>
        <v/>
      </c>
    </row>
    <row r="4109" spans="1:4" x14ac:dyDescent="0.45">
      <c r="A4109">
        <v>684</v>
      </c>
      <c r="B4109" s="3">
        <f t="shared" ca="1" si="64"/>
        <v>7</v>
      </c>
      <c r="C410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09" t="str">
        <f ca="1">IF(dict_zuord_Meth_Transfers[[#This Row],[kval_active]],dict_zuord_Meth_Transfers[[#This Row],[ID_Transfers]],"")</f>
        <v/>
      </c>
    </row>
    <row r="4110" spans="1:4" x14ac:dyDescent="0.45">
      <c r="A4110">
        <v>684</v>
      </c>
      <c r="B4110" s="3">
        <f t="shared" ca="1" si="64"/>
        <v>148</v>
      </c>
      <c r="C411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0" t="str">
        <f ca="1">IF(dict_zuord_Meth_Transfers[[#This Row],[kval_active]],dict_zuord_Meth_Transfers[[#This Row],[ID_Transfers]],"")</f>
        <v/>
      </c>
    </row>
    <row r="4111" spans="1:4" x14ac:dyDescent="0.45">
      <c r="A4111">
        <v>684</v>
      </c>
      <c r="B4111">
        <f t="shared" ca="1" si="64"/>
        <v>113</v>
      </c>
      <c r="C411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1" t="str">
        <f ca="1">IF(dict_zuord_Meth_Transfers[[#This Row],[kval_active]],dict_zuord_Meth_Transfers[[#This Row],[ID_Transfers]],"")</f>
        <v/>
      </c>
    </row>
    <row r="4112" spans="1:4" x14ac:dyDescent="0.45">
      <c r="A4112">
        <v>685</v>
      </c>
      <c r="B4112">
        <f t="shared" ca="1" si="64"/>
        <v>3</v>
      </c>
      <c r="C411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2" t="str">
        <f ca="1">IF(dict_zuord_Meth_Transfers[[#This Row],[kval_active]],dict_zuord_Meth_Transfers[[#This Row],[ID_Transfers]],"")</f>
        <v/>
      </c>
    </row>
    <row r="4113" spans="1:4" x14ac:dyDescent="0.45">
      <c r="A4113">
        <v>685</v>
      </c>
      <c r="B4113">
        <f t="shared" ca="1" si="64"/>
        <v>172</v>
      </c>
      <c r="C411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3" t="str">
        <f ca="1">IF(dict_zuord_Meth_Transfers[[#This Row],[kval_active]],dict_zuord_Meth_Transfers[[#This Row],[ID_Transfers]],"")</f>
        <v/>
      </c>
    </row>
    <row r="4114" spans="1:4" x14ac:dyDescent="0.45">
      <c r="A4114">
        <v>685</v>
      </c>
      <c r="B4114" s="3">
        <f t="shared" ca="1" si="64"/>
        <v>0</v>
      </c>
      <c r="C411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4" t="str">
        <f ca="1">IF(dict_zuord_Meth_Transfers[[#This Row],[kval_active]],dict_zuord_Meth_Transfers[[#This Row],[ID_Transfers]],"")</f>
        <v/>
      </c>
    </row>
    <row r="4115" spans="1:4" x14ac:dyDescent="0.45">
      <c r="A4115">
        <v>685</v>
      </c>
      <c r="B4115" s="3">
        <f t="shared" ca="1" si="64"/>
        <v>9</v>
      </c>
      <c r="C411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5" t="str">
        <f ca="1">IF(dict_zuord_Meth_Transfers[[#This Row],[kval_active]],dict_zuord_Meth_Transfers[[#This Row],[ID_Transfers]],"")</f>
        <v/>
      </c>
    </row>
    <row r="4116" spans="1:4" x14ac:dyDescent="0.45">
      <c r="A4116">
        <v>685</v>
      </c>
      <c r="B4116">
        <f t="shared" ca="1" si="64"/>
        <v>170</v>
      </c>
      <c r="C411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6" t="str">
        <f ca="1">IF(dict_zuord_Meth_Transfers[[#This Row],[kval_active]],dict_zuord_Meth_Transfers[[#This Row],[ID_Transfers]],"")</f>
        <v/>
      </c>
    </row>
    <row r="4117" spans="1:4" x14ac:dyDescent="0.45">
      <c r="A4117">
        <v>685</v>
      </c>
      <c r="B4117" s="3">
        <f t="shared" ca="1" si="64"/>
        <v>158</v>
      </c>
      <c r="C411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7" t="str">
        <f ca="1">IF(dict_zuord_Meth_Transfers[[#This Row],[kval_active]],dict_zuord_Meth_Transfers[[#This Row],[ID_Transfers]],"")</f>
        <v/>
      </c>
    </row>
    <row r="4118" spans="1:4" x14ac:dyDescent="0.45">
      <c r="A4118">
        <v>686</v>
      </c>
      <c r="B4118">
        <f t="shared" ca="1" si="64"/>
        <v>23</v>
      </c>
      <c r="C411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8" t="str">
        <f ca="1">IF(dict_zuord_Meth_Transfers[[#This Row],[kval_active]],dict_zuord_Meth_Transfers[[#This Row],[ID_Transfers]],"")</f>
        <v/>
      </c>
    </row>
    <row r="4119" spans="1:4" x14ac:dyDescent="0.45">
      <c r="A4119">
        <v>686</v>
      </c>
      <c r="B4119">
        <f t="shared" ca="1" si="64"/>
        <v>176</v>
      </c>
      <c r="C411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19" t="str">
        <f ca="1">IF(dict_zuord_Meth_Transfers[[#This Row],[kval_active]],dict_zuord_Meth_Transfers[[#This Row],[ID_Transfers]],"")</f>
        <v/>
      </c>
    </row>
    <row r="4120" spans="1:4" x14ac:dyDescent="0.45">
      <c r="A4120">
        <v>686</v>
      </c>
      <c r="B4120">
        <f t="shared" ca="1" si="64"/>
        <v>128</v>
      </c>
      <c r="C412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0" t="str">
        <f ca="1">IF(dict_zuord_Meth_Transfers[[#This Row],[kval_active]],dict_zuord_Meth_Transfers[[#This Row],[ID_Transfers]],"")</f>
        <v/>
      </c>
    </row>
    <row r="4121" spans="1:4" x14ac:dyDescent="0.45">
      <c r="A4121">
        <v>686</v>
      </c>
      <c r="B4121" s="3">
        <f t="shared" ca="1" si="64"/>
        <v>97</v>
      </c>
      <c r="C412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1" t="str">
        <f ca="1">IF(dict_zuord_Meth_Transfers[[#This Row],[kval_active]],dict_zuord_Meth_Transfers[[#This Row],[ID_Transfers]],"")</f>
        <v/>
      </c>
    </row>
    <row r="4122" spans="1:4" x14ac:dyDescent="0.45">
      <c r="A4122">
        <v>686</v>
      </c>
      <c r="B4122" s="3">
        <f t="shared" ca="1" si="64"/>
        <v>3</v>
      </c>
      <c r="C412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2" t="str">
        <f ca="1">IF(dict_zuord_Meth_Transfers[[#This Row],[kval_active]],dict_zuord_Meth_Transfers[[#This Row],[ID_Transfers]],"")</f>
        <v/>
      </c>
    </row>
    <row r="4123" spans="1:4" x14ac:dyDescent="0.45">
      <c r="A4123">
        <v>686</v>
      </c>
      <c r="B4123" s="3">
        <f t="shared" ca="1" si="64"/>
        <v>136</v>
      </c>
      <c r="C412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3" t="str">
        <f ca="1">IF(dict_zuord_Meth_Transfers[[#This Row],[kval_active]],dict_zuord_Meth_Transfers[[#This Row],[ID_Transfers]],"")</f>
        <v/>
      </c>
    </row>
    <row r="4124" spans="1:4" x14ac:dyDescent="0.45">
      <c r="A4124">
        <v>687</v>
      </c>
      <c r="B4124" s="3">
        <f t="shared" ca="1" si="64"/>
        <v>4</v>
      </c>
      <c r="C412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4" t="str">
        <f ca="1">IF(dict_zuord_Meth_Transfers[[#This Row],[kval_active]],dict_zuord_Meth_Transfers[[#This Row],[ID_Transfers]],"")</f>
        <v/>
      </c>
    </row>
    <row r="4125" spans="1:4" x14ac:dyDescent="0.45">
      <c r="A4125">
        <v>687</v>
      </c>
      <c r="B4125">
        <f t="shared" ca="1" si="64"/>
        <v>160</v>
      </c>
      <c r="C412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5" t="str">
        <f ca="1">IF(dict_zuord_Meth_Transfers[[#This Row],[kval_active]],dict_zuord_Meth_Transfers[[#This Row],[ID_Transfers]],"")</f>
        <v/>
      </c>
    </row>
    <row r="4126" spans="1:4" x14ac:dyDescent="0.45">
      <c r="A4126">
        <v>687</v>
      </c>
      <c r="B4126" s="3">
        <f t="shared" ca="1" si="64"/>
        <v>55</v>
      </c>
      <c r="C412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6" t="str">
        <f ca="1">IF(dict_zuord_Meth_Transfers[[#This Row],[kval_active]],dict_zuord_Meth_Transfers[[#This Row],[ID_Transfers]],"")</f>
        <v/>
      </c>
    </row>
    <row r="4127" spans="1:4" x14ac:dyDescent="0.45">
      <c r="A4127">
        <v>687</v>
      </c>
      <c r="B4127">
        <f t="shared" ca="1" si="64"/>
        <v>171</v>
      </c>
      <c r="C412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7" t="str">
        <f ca="1">IF(dict_zuord_Meth_Transfers[[#This Row],[kval_active]],dict_zuord_Meth_Transfers[[#This Row],[ID_Transfers]],"")</f>
        <v/>
      </c>
    </row>
    <row r="4128" spans="1:4" x14ac:dyDescent="0.45">
      <c r="A4128">
        <v>687</v>
      </c>
      <c r="B4128">
        <f t="shared" ca="1" si="64"/>
        <v>66</v>
      </c>
      <c r="C412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8" t="str">
        <f ca="1">IF(dict_zuord_Meth_Transfers[[#This Row],[kval_active]],dict_zuord_Meth_Transfers[[#This Row],[ID_Transfers]],"")</f>
        <v/>
      </c>
    </row>
    <row r="4129" spans="1:4" x14ac:dyDescent="0.45">
      <c r="A4129">
        <v>687</v>
      </c>
      <c r="B4129" s="3">
        <f t="shared" ca="1" si="64"/>
        <v>133</v>
      </c>
      <c r="C412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29" t="str">
        <f ca="1">IF(dict_zuord_Meth_Transfers[[#This Row],[kval_active]],dict_zuord_Meth_Transfers[[#This Row],[ID_Transfers]],"")</f>
        <v/>
      </c>
    </row>
    <row r="4130" spans="1:4" x14ac:dyDescent="0.45">
      <c r="A4130">
        <v>688</v>
      </c>
      <c r="B4130" s="3">
        <f t="shared" ca="1" si="64"/>
        <v>173</v>
      </c>
      <c r="C413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0" t="str">
        <f ca="1">IF(dict_zuord_Meth_Transfers[[#This Row],[kval_active]],dict_zuord_Meth_Transfers[[#This Row],[ID_Transfers]],"")</f>
        <v/>
      </c>
    </row>
    <row r="4131" spans="1:4" x14ac:dyDescent="0.45">
      <c r="A4131">
        <v>688</v>
      </c>
      <c r="B4131">
        <f t="shared" ca="1" si="64"/>
        <v>158</v>
      </c>
      <c r="C413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1" t="str">
        <f ca="1">IF(dict_zuord_Meth_Transfers[[#This Row],[kval_active]],dict_zuord_Meth_Transfers[[#This Row],[ID_Transfers]],"")</f>
        <v/>
      </c>
    </row>
    <row r="4132" spans="1:4" x14ac:dyDescent="0.45">
      <c r="A4132">
        <v>688</v>
      </c>
      <c r="B4132">
        <f t="shared" ca="1" si="64"/>
        <v>122</v>
      </c>
      <c r="C413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2" t="str">
        <f ca="1">IF(dict_zuord_Meth_Transfers[[#This Row],[kval_active]],dict_zuord_Meth_Transfers[[#This Row],[ID_Transfers]],"")</f>
        <v/>
      </c>
    </row>
    <row r="4133" spans="1:4" x14ac:dyDescent="0.45">
      <c r="A4133">
        <v>688</v>
      </c>
      <c r="B4133" s="3">
        <f t="shared" ca="1" si="64"/>
        <v>132</v>
      </c>
      <c r="C413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3" t="str">
        <f ca="1">IF(dict_zuord_Meth_Transfers[[#This Row],[kval_active]],dict_zuord_Meth_Transfers[[#This Row],[ID_Transfers]],"")</f>
        <v/>
      </c>
    </row>
    <row r="4134" spans="1:4" x14ac:dyDescent="0.45">
      <c r="A4134">
        <v>688</v>
      </c>
      <c r="B4134">
        <f t="shared" ca="1" si="64"/>
        <v>97</v>
      </c>
      <c r="C413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4" t="str">
        <f ca="1">IF(dict_zuord_Meth_Transfers[[#This Row],[kval_active]],dict_zuord_Meth_Transfers[[#This Row],[ID_Transfers]],"")</f>
        <v/>
      </c>
    </row>
    <row r="4135" spans="1:4" x14ac:dyDescent="0.45">
      <c r="A4135">
        <v>688</v>
      </c>
      <c r="B4135" s="3">
        <f t="shared" ca="1" si="64"/>
        <v>36</v>
      </c>
      <c r="C413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5" t="str">
        <f ca="1">IF(dict_zuord_Meth_Transfers[[#This Row],[kval_active]],dict_zuord_Meth_Transfers[[#This Row],[ID_Transfers]],"")</f>
        <v/>
      </c>
    </row>
    <row r="4136" spans="1:4" x14ac:dyDescent="0.45">
      <c r="A4136">
        <v>689</v>
      </c>
      <c r="B4136">
        <f t="shared" ca="1" si="64"/>
        <v>34</v>
      </c>
      <c r="C413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6" t="str">
        <f ca="1">IF(dict_zuord_Meth_Transfers[[#This Row],[kval_active]],dict_zuord_Meth_Transfers[[#This Row],[ID_Transfers]],"")</f>
        <v/>
      </c>
    </row>
    <row r="4137" spans="1:4" x14ac:dyDescent="0.45">
      <c r="A4137">
        <v>689</v>
      </c>
      <c r="B4137" s="3">
        <f t="shared" ca="1" si="64"/>
        <v>193</v>
      </c>
      <c r="C413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7" t="str">
        <f ca="1">IF(dict_zuord_Meth_Transfers[[#This Row],[kval_active]],dict_zuord_Meth_Transfers[[#This Row],[ID_Transfers]],"")</f>
        <v/>
      </c>
    </row>
    <row r="4138" spans="1:4" x14ac:dyDescent="0.45">
      <c r="A4138">
        <v>689</v>
      </c>
      <c r="B4138" s="3">
        <f t="shared" ca="1" si="64"/>
        <v>95</v>
      </c>
      <c r="C413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8" t="str">
        <f ca="1">IF(dict_zuord_Meth_Transfers[[#This Row],[kval_active]],dict_zuord_Meth_Transfers[[#This Row],[ID_Transfers]],"")</f>
        <v/>
      </c>
    </row>
    <row r="4139" spans="1:4" x14ac:dyDescent="0.45">
      <c r="A4139">
        <v>689</v>
      </c>
      <c r="B4139" s="3">
        <f t="shared" ca="1" si="64"/>
        <v>108</v>
      </c>
      <c r="C413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39" t="str">
        <f ca="1">IF(dict_zuord_Meth_Transfers[[#This Row],[kval_active]],dict_zuord_Meth_Transfers[[#This Row],[ID_Transfers]],"")</f>
        <v/>
      </c>
    </row>
    <row r="4140" spans="1:4" x14ac:dyDescent="0.45">
      <c r="A4140">
        <v>689</v>
      </c>
      <c r="B4140">
        <f t="shared" ca="1" si="64"/>
        <v>21</v>
      </c>
      <c r="C414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0" t="str">
        <f ca="1">IF(dict_zuord_Meth_Transfers[[#This Row],[kval_active]],dict_zuord_Meth_Transfers[[#This Row],[ID_Transfers]],"")</f>
        <v/>
      </c>
    </row>
    <row r="4141" spans="1:4" x14ac:dyDescent="0.45">
      <c r="A4141">
        <v>689</v>
      </c>
      <c r="B4141">
        <f t="shared" ca="1" si="64"/>
        <v>80</v>
      </c>
      <c r="C414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1" t="str">
        <f ca="1">IF(dict_zuord_Meth_Transfers[[#This Row],[kval_active]],dict_zuord_Meth_Transfers[[#This Row],[ID_Transfers]],"")</f>
        <v/>
      </c>
    </row>
    <row r="4142" spans="1:4" x14ac:dyDescent="0.45">
      <c r="A4142">
        <v>690</v>
      </c>
      <c r="B4142">
        <f t="shared" ca="1" si="64"/>
        <v>170</v>
      </c>
      <c r="C414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2" t="str">
        <f ca="1">IF(dict_zuord_Meth_Transfers[[#This Row],[kval_active]],dict_zuord_Meth_Transfers[[#This Row],[ID_Transfers]],"")</f>
        <v/>
      </c>
    </row>
    <row r="4143" spans="1:4" x14ac:dyDescent="0.45">
      <c r="A4143">
        <v>690</v>
      </c>
      <c r="B4143">
        <f t="shared" ca="1" si="64"/>
        <v>199</v>
      </c>
      <c r="C414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3" t="str">
        <f ca="1">IF(dict_zuord_Meth_Transfers[[#This Row],[kval_active]],dict_zuord_Meth_Transfers[[#This Row],[ID_Transfers]],"")</f>
        <v/>
      </c>
    </row>
    <row r="4144" spans="1:4" x14ac:dyDescent="0.45">
      <c r="A4144">
        <v>690</v>
      </c>
      <c r="B4144">
        <f t="shared" ca="1" si="64"/>
        <v>108</v>
      </c>
      <c r="C414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4" t="str">
        <f ca="1">IF(dict_zuord_Meth_Transfers[[#This Row],[kval_active]],dict_zuord_Meth_Transfers[[#This Row],[ID_Transfers]],"")</f>
        <v/>
      </c>
    </row>
    <row r="4145" spans="1:4" x14ac:dyDescent="0.45">
      <c r="A4145">
        <v>690</v>
      </c>
      <c r="B4145" s="3">
        <f t="shared" ca="1" si="64"/>
        <v>84</v>
      </c>
      <c r="C414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5" t="str">
        <f ca="1">IF(dict_zuord_Meth_Transfers[[#This Row],[kval_active]],dict_zuord_Meth_Transfers[[#This Row],[ID_Transfers]],"")</f>
        <v/>
      </c>
    </row>
    <row r="4146" spans="1:4" x14ac:dyDescent="0.45">
      <c r="A4146">
        <v>690</v>
      </c>
      <c r="B4146" s="3">
        <f t="shared" ca="1" si="64"/>
        <v>160</v>
      </c>
      <c r="C414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6" t="str">
        <f ca="1">IF(dict_zuord_Meth_Transfers[[#This Row],[kval_active]],dict_zuord_Meth_Transfers[[#This Row],[ID_Transfers]],"")</f>
        <v/>
      </c>
    </row>
    <row r="4147" spans="1:4" x14ac:dyDescent="0.45">
      <c r="A4147">
        <v>690</v>
      </c>
      <c r="B4147" s="3">
        <f t="shared" ca="1" si="64"/>
        <v>86</v>
      </c>
      <c r="C414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7" t="str">
        <f ca="1">IF(dict_zuord_Meth_Transfers[[#This Row],[kval_active]],dict_zuord_Meth_Transfers[[#This Row],[ID_Transfers]],"")</f>
        <v/>
      </c>
    </row>
    <row r="4148" spans="1:4" x14ac:dyDescent="0.45">
      <c r="A4148">
        <v>691</v>
      </c>
      <c r="B4148">
        <f t="shared" ca="1" si="64"/>
        <v>95</v>
      </c>
      <c r="C414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8" t="str">
        <f ca="1">IF(dict_zuord_Meth_Transfers[[#This Row],[kval_active]],dict_zuord_Meth_Transfers[[#This Row],[ID_Transfers]],"")</f>
        <v/>
      </c>
    </row>
    <row r="4149" spans="1:4" x14ac:dyDescent="0.45">
      <c r="A4149">
        <v>691</v>
      </c>
      <c r="B4149" s="3">
        <f t="shared" ca="1" si="64"/>
        <v>167</v>
      </c>
      <c r="C414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49" t="str">
        <f ca="1">IF(dict_zuord_Meth_Transfers[[#This Row],[kval_active]],dict_zuord_Meth_Transfers[[#This Row],[ID_Transfers]],"")</f>
        <v/>
      </c>
    </row>
    <row r="4150" spans="1:4" x14ac:dyDescent="0.45">
      <c r="A4150">
        <v>691</v>
      </c>
      <c r="B4150" s="3">
        <f t="shared" ca="1" si="64"/>
        <v>118</v>
      </c>
      <c r="C415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0" t="str">
        <f ca="1">IF(dict_zuord_Meth_Transfers[[#This Row],[kval_active]],dict_zuord_Meth_Transfers[[#This Row],[ID_Transfers]],"")</f>
        <v/>
      </c>
    </row>
    <row r="4151" spans="1:4" x14ac:dyDescent="0.45">
      <c r="A4151">
        <v>691</v>
      </c>
      <c r="B4151" s="3">
        <f t="shared" ca="1" si="64"/>
        <v>142</v>
      </c>
      <c r="C415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1" t="str">
        <f ca="1">IF(dict_zuord_Meth_Transfers[[#This Row],[kval_active]],dict_zuord_Meth_Transfers[[#This Row],[ID_Transfers]],"")</f>
        <v/>
      </c>
    </row>
    <row r="4152" spans="1:4" x14ac:dyDescent="0.45">
      <c r="A4152">
        <v>691</v>
      </c>
      <c r="B4152">
        <f t="shared" ca="1" si="64"/>
        <v>85</v>
      </c>
      <c r="C415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2" t="str">
        <f ca="1">IF(dict_zuord_Meth_Transfers[[#This Row],[kval_active]],dict_zuord_Meth_Transfers[[#This Row],[ID_Transfers]],"")</f>
        <v/>
      </c>
    </row>
    <row r="4153" spans="1:4" x14ac:dyDescent="0.45">
      <c r="A4153">
        <v>691</v>
      </c>
      <c r="B4153">
        <f t="shared" ca="1" si="64"/>
        <v>12</v>
      </c>
      <c r="C415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3" t="str">
        <f ca="1">IF(dict_zuord_Meth_Transfers[[#This Row],[kval_active]],dict_zuord_Meth_Transfers[[#This Row],[ID_Transfers]],"")</f>
        <v/>
      </c>
    </row>
    <row r="4154" spans="1:4" x14ac:dyDescent="0.45">
      <c r="A4154">
        <v>692</v>
      </c>
      <c r="B4154">
        <f t="shared" ca="1" si="64"/>
        <v>17</v>
      </c>
      <c r="C415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4" t="str">
        <f ca="1">IF(dict_zuord_Meth_Transfers[[#This Row],[kval_active]],dict_zuord_Meth_Transfers[[#This Row],[ID_Transfers]],"")</f>
        <v/>
      </c>
    </row>
    <row r="4155" spans="1:4" x14ac:dyDescent="0.45">
      <c r="A4155">
        <v>692</v>
      </c>
      <c r="B4155">
        <f t="shared" ca="1" si="64"/>
        <v>99</v>
      </c>
      <c r="C415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5" t="str">
        <f ca="1">IF(dict_zuord_Meth_Transfers[[#This Row],[kval_active]],dict_zuord_Meth_Transfers[[#This Row],[ID_Transfers]],"")</f>
        <v/>
      </c>
    </row>
    <row r="4156" spans="1:4" x14ac:dyDescent="0.45">
      <c r="A4156">
        <v>692</v>
      </c>
      <c r="B4156">
        <f t="shared" ca="1" si="64"/>
        <v>62</v>
      </c>
      <c r="C415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6" t="str">
        <f ca="1">IF(dict_zuord_Meth_Transfers[[#This Row],[kval_active]],dict_zuord_Meth_Transfers[[#This Row],[ID_Transfers]],"")</f>
        <v/>
      </c>
    </row>
    <row r="4157" spans="1:4" x14ac:dyDescent="0.45">
      <c r="A4157">
        <v>692</v>
      </c>
      <c r="B4157" s="3">
        <f t="shared" ca="1" si="64"/>
        <v>32</v>
      </c>
      <c r="C415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7" t="str">
        <f ca="1">IF(dict_zuord_Meth_Transfers[[#This Row],[kval_active]],dict_zuord_Meth_Transfers[[#This Row],[ID_Transfers]],"")</f>
        <v/>
      </c>
    </row>
    <row r="4158" spans="1:4" x14ac:dyDescent="0.45">
      <c r="A4158">
        <v>692</v>
      </c>
      <c r="B4158" s="3">
        <f t="shared" ca="1" si="64"/>
        <v>136</v>
      </c>
      <c r="C415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8" t="str">
        <f ca="1">IF(dict_zuord_Meth_Transfers[[#This Row],[kval_active]],dict_zuord_Meth_Transfers[[#This Row],[ID_Transfers]],"")</f>
        <v/>
      </c>
    </row>
    <row r="4159" spans="1:4" x14ac:dyDescent="0.45">
      <c r="A4159">
        <v>692</v>
      </c>
      <c r="B4159" s="3">
        <f t="shared" ca="1" si="64"/>
        <v>59</v>
      </c>
      <c r="C415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59" t="str">
        <f ca="1">IF(dict_zuord_Meth_Transfers[[#This Row],[kval_active]],dict_zuord_Meth_Transfers[[#This Row],[ID_Transfers]],"")</f>
        <v/>
      </c>
    </row>
    <row r="4160" spans="1:4" x14ac:dyDescent="0.45">
      <c r="A4160">
        <v>693</v>
      </c>
      <c r="B4160" s="3">
        <f t="shared" ca="1" si="64"/>
        <v>112</v>
      </c>
      <c r="C416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0" t="str">
        <f ca="1">IF(dict_zuord_Meth_Transfers[[#This Row],[kval_active]],dict_zuord_Meth_Transfers[[#This Row],[ID_Transfers]],"")</f>
        <v/>
      </c>
    </row>
    <row r="4161" spans="1:4" x14ac:dyDescent="0.45">
      <c r="A4161">
        <v>693</v>
      </c>
      <c r="B4161">
        <f t="shared" ca="1" si="64"/>
        <v>108</v>
      </c>
      <c r="C416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1" t="str">
        <f ca="1">IF(dict_zuord_Meth_Transfers[[#This Row],[kval_active]],dict_zuord_Meth_Transfers[[#This Row],[ID_Transfers]],"")</f>
        <v/>
      </c>
    </row>
    <row r="4162" spans="1:4" x14ac:dyDescent="0.45">
      <c r="A4162">
        <v>693</v>
      </c>
      <c r="B4162">
        <f t="shared" ref="B4162:B4207" ca="1" si="65">RANDBETWEEN(0,200)</f>
        <v>44</v>
      </c>
      <c r="C416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2" t="str">
        <f ca="1">IF(dict_zuord_Meth_Transfers[[#This Row],[kval_active]],dict_zuord_Meth_Transfers[[#This Row],[ID_Transfers]],"")</f>
        <v/>
      </c>
    </row>
    <row r="4163" spans="1:4" x14ac:dyDescent="0.45">
      <c r="A4163">
        <v>693</v>
      </c>
      <c r="B4163" s="3">
        <f t="shared" ca="1" si="65"/>
        <v>43</v>
      </c>
      <c r="C416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3" t="str">
        <f ca="1">IF(dict_zuord_Meth_Transfers[[#This Row],[kval_active]],dict_zuord_Meth_Transfers[[#This Row],[ID_Transfers]],"")</f>
        <v/>
      </c>
    </row>
    <row r="4164" spans="1:4" x14ac:dyDescent="0.45">
      <c r="A4164">
        <v>693</v>
      </c>
      <c r="B4164" s="3">
        <f t="shared" ca="1" si="65"/>
        <v>142</v>
      </c>
      <c r="C416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4" t="str">
        <f ca="1">IF(dict_zuord_Meth_Transfers[[#This Row],[kval_active]],dict_zuord_Meth_Transfers[[#This Row],[ID_Transfers]],"")</f>
        <v/>
      </c>
    </row>
    <row r="4165" spans="1:4" x14ac:dyDescent="0.45">
      <c r="A4165">
        <v>693</v>
      </c>
      <c r="B4165">
        <f t="shared" ca="1" si="65"/>
        <v>135</v>
      </c>
      <c r="C416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5" t="str">
        <f ca="1">IF(dict_zuord_Meth_Transfers[[#This Row],[kval_active]],dict_zuord_Meth_Transfers[[#This Row],[ID_Transfers]],"")</f>
        <v/>
      </c>
    </row>
    <row r="4166" spans="1:4" x14ac:dyDescent="0.45">
      <c r="A4166">
        <v>694</v>
      </c>
      <c r="B4166">
        <f t="shared" ca="1" si="65"/>
        <v>152</v>
      </c>
      <c r="C416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6" t="str">
        <f ca="1">IF(dict_zuord_Meth_Transfers[[#This Row],[kval_active]],dict_zuord_Meth_Transfers[[#This Row],[ID_Transfers]],"")</f>
        <v/>
      </c>
    </row>
    <row r="4167" spans="1:4" x14ac:dyDescent="0.45">
      <c r="A4167">
        <v>694</v>
      </c>
      <c r="B4167" s="3">
        <f t="shared" ca="1" si="65"/>
        <v>98</v>
      </c>
      <c r="C416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7" t="str">
        <f ca="1">IF(dict_zuord_Meth_Transfers[[#This Row],[kval_active]],dict_zuord_Meth_Transfers[[#This Row],[ID_Transfers]],"")</f>
        <v/>
      </c>
    </row>
    <row r="4168" spans="1:4" x14ac:dyDescent="0.45">
      <c r="A4168">
        <v>694</v>
      </c>
      <c r="B4168" s="3">
        <f t="shared" ca="1" si="65"/>
        <v>13</v>
      </c>
      <c r="C416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8" t="str">
        <f ca="1">IF(dict_zuord_Meth_Transfers[[#This Row],[kval_active]],dict_zuord_Meth_Transfers[[#This Row],[ID_Transfers]],"")</f>
        <v/>
      </c>
    </row>
    <row r="4169" spans="1:4" x14ac:dyDescent="0.45">
      <c r="A4169">
        <v>694</v>
      </c>
      <c r="B4169">
        <f t="shared" ca="1" si="65"/>
        <v>129</v>
      </c>
      <c r="C416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69" t="str">
        <f ca="1">IF(dict_zuord_Meth_Transfers[[#This Row],[kval_active]],dict_zuord_Meth_Transfers[[#This Row],[ID_Transfers]],"")</f>
        <v/>
      </c>
    </row>
    <row r="4170" spans="1:4" x14ac:dyDescent="0.45">
      <c r="A4170">
        <v>694</v>
      </c>
      <c r="B4170">
        <f t="shared" ca="1" si="65"/>
        <v>180</v>
      </c>
      <c r="C417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0" t="str">
        <f ca="1">IF(dict_zuord_Meth_Transfers[[#This Row],[kval_active]],dict_zuord_Meth_Transfers[[#This Row],[ID_Transfers]],"")</f>
        <v/>
      </c>
    </row>
    <row r="4171" spans="1:4" x14ac:dyDescent="0.45">
      <c r="A4171">
        <v>694</v>
      </c>
      <c r="B4171" s="3">
        <f t="shared" ca="1" si="65"/>
        <v>47</v>
      </c>
      <c r="C417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1" t="str">
        <f ca="1">IF(dict_zuord_Meth_Transfers[[#This Row],[kval_active]],dict_zuord_Meth_Transfers[[#This Row],[ID_Transfers]],"")</f>
        <v/>
      </c>
    </row>
    <row r="4172" spans="1:4" x14ac:dyDescent="0.45">
      <c r="A4172">
        <v>695</v>
      </c>
      <c r="B4172" s="3">
        <f t="shared" ca="1" si="65"/>
        <v>60</v>
      </c>
      <c r="C417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2" t="str">
        <f ca="1">IF(dict_zuord_Meth_Transfers[[#This Row],[kval_active]],dict_zuord_Meth_Transfers[[#This Row],[ID_Transfers]],"")</f>
        <v/>
      </c>
    </row>
    <row r="4173" spans="1:4" x14ac:dyDescent="0.45">
      <c r="A4173">
        <v>695</v>
      </c>
      <c r="B4173">
        <f t="shared" ca="1" si="65"/>
        <v>42</v>
      </c>
      <c r="C417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3" t="str">
        <f ca="1">IF(dict_zuord_Meth_Transfers[[#This Row],[kval_active]],dict_zuord_Meth_Transfers[[#This Row],[ID_Transfers]],"")</f>
        <v/>
      </c>
    </row>
    <row r="4174" spans="1:4" x14ac:dyDescent="0.45">
      <c r="A4174">
        <v>695</v>
      </c>
      <c r="B4174" s="3">
        <f t="shared" ca="1" si="65"/>
        <v>74</v>
      </c>
      <c r="C417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4" t="str">
        <f ca="1">IF(dict_zuord_Meth_Transfers[[#This Row],[kval_active]],dict_zuord_Meth_Transfers[[#This Row],[ID_Transfers]],"")</f>
        <v/>
      </c>
    </row>
    <row r="4175" spans="1:4" x14ac:dyDescent="0.45">
      <c r="A4175">
        <v>695</v>
      </c>
      <c r="B4175">
        <f t="shared" ca="1" si="65"/>
        <v>163</v>
      </c>
      <c r="C417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5" t="str">
        <f ca="1">IF(dict_zuord_Meth_Transfers[[#This Row],[kval_active]],dict_zuord_Meth_Transfers[[#This Row],[ID_Transfers]],"")</f>
        <v/>
      </c>
    </row>
    <row r="4176" spans="1:4" x14ac:dyDescent="0.45">
      <c r="A4176">
        <v>695</v>
      </c>
      <c r="B4176" s="3">
        <f t="shared" ca="1" si="65"/>
        <v>183</v>
      </c>
      <c r="C417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6" t="str">
        <f ca="1">IF(dict_zuord_Meth_Transfers[[#This Row],[kval_active]],dict_zuord_Meth_Transfers[[#This Row],[ID_Transfers]],"")</f>
        <v/>
      </c>
    </row>
    <row r="4177" spans="1:4" x14ac:dyDescent="0.45">
      <c r="A4177">
        <v>695</v>
      </c>
      <c r="B4177">
        <f t="shared" ca="1" si="65"/>
        <v>199</v>
      </c>
      <c r="C417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7" t="str">
        <f ca="1">IF(dict_zuord_Meth_Transfers[[#This Row],[kval_active]],dict_zuord_Meth_Transfers[[#This Row],[ID_Transfers]],"")</f>
        <v/>
      </c>
    </row>
    <row r="4178" spans="1:4" x14ac:dyDescent="0.45">
      <c r="A4178">
        <v>696</v>
      </c>
      <c r="B4178" s="3">
        <f t="shared" ca="1" si="65"/>
        <v>98</v>
      </c>
      <c r="C417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8" t="str">
        <f ca="1">IF(dict_zuord_Meth_Transfers[[#This Row],[kval_active]],dict_zuord_Meth_Transfers[[#This Row],[ID_Transfers]],"")</f>
        <v/>
      </c>
    </row>
    <row r="4179" spans="1:4" x14ac:dyDescent="0.45">
      <c r="A4179">
        <v>696</v>
      </c>
      <c r="B4179" s="3">
        <f t="shared" ca="1" si="65"/>
        <v>156</v>
      </c>
      <c r="C417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79" t="str">
        <f ca="1">IF(dict_zuord_Meth_Transfers[[#This Row],[kval_active]],dict_zuord_Meth_Transfers[[#This Row],[ID_Transfers]],"")</f>
        <v/>
      </c>
    </row>
    <row r="4180" spans="1:4" x14ac:dyDescent="0.45">
      <c r="A4180">
        <v>696</v>
      </c>
      <c r="B4180">
        <f t="shared" ca="1" si="65"/>
        <v>3</v>
      </c>
      <c r="C418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0" t="str">
        <f ca="1">IF(dict_zuord_Meth_Transfers[[#This Row],[kval_active]],dict_zuord_Meth_Transfers[[#This Row],[ID_Transfers]],"")</f>
        <v/>
      </c>
    </row>
    <row r="4181" spans="1:4" x14ac:dyDescent="0.45">
      <c r="A4181">
        <v>696</v>
      </c>
      <c r="B4181" s="3">
        <f t="shared" ca="1" si="65"/>
        <v>120</v>
      </c>
      <c r="C418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1" t="str">
        <f ca="1">IF(dict_zuord_Meth_Transfers[[#This Row],[kval_active]],dict_zuord_Meth_Transfers[[#This Row],[ID_Transfers]],"")</f>
        <v/>
      </c>
    </row>
    <row r="4182" spans="1:4" x14ac:dyDescent="0.45">
      <c r="A4182">
        <v>696</v>
      </c>
      <c r="B4182">
        <f t="shared" ca="1" si="65"/>
        <v>187</v>
      </c>
      <c r="C418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2" t="str">
        <f ca="1">IF(dict_zuord_Meth_Transfers[[#This Row],[kval_active]],dict_zuord_Meth_Transfers[[#This Row],[ID_Transfers]],"")</f>
        <v/>
      </c>
    </row>
    <row r="4183" spans="1:4" x14ac:dyDescent="0.45">
      <c r="A4183">
        <v>696</v>
      </c>
      <c r="B4183">
        <f t="shared" ca="1" si="65"/>
        <v>118</v>
      </c>
      <c r="C418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3" t="str">
        <f ca="1">IF(dict_zuord_Meth_Transfers[[#This Row],[kval_active]],dict_zuord_Meth_Transfers[[#This Row],[ID_Transfers]],"")</f>
        <v/>
      </c>
    </row>
    <row r="4184" spans="1:4" x14ac:dyDescent="0.45">
      <c r="A4184">
        <v>697</v>
      </c>
      <c r="B4184">
        <f t="shared" ca="1" si="65"/>
        <v>100</v>
      </c>
      <c r="C418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4" t="str">
        <f ca="1">IF(dict_zuord_Meth_Transfers[[#This Row],[kval_active]],dict_zuord_Meth_Transfers[[#This Row],[ID_Transfers]],"")</f>
        <v/>
      </c>
    </row>
    <row r="4185" spans="1:4" x14ac:dyDescent="0.45">
      <c r="A4185">
        <v>697</v>
      </c>
      <c r="B4185" s="3">
        <f t="shared" ca="1" si="65"/>
        <v>166</v>
      </c>
      <c r="C418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5" t="str">
        <f ca="1">IF(dict_zuord_Meth_Transfers[[#This Row],[kval_active]],dict_zuord_Meth_Transfers[[#This Row],[ID_Transfers]],"")</f>
        <v/>
      </c>
    </row>
    <row r="4186" spans="1:4" x14ac:dyDescent="0.45">
      <c r="A4186">
        <v>697</v>
      </c>
      <c r="B4186" s="3">
        <f t="shared" ca="1" si="65"/>
        <v>190</v>
      </c>
      <c r="C418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6" t="str">
        <f ca="1">IF(dict_zuord_Meth_Transfers[[#This Row],[kval_active]],dict_zuord_Meth_Transfers[[#This Row],[ID_Transfers]],"")</f>
        <v/>
      </c>
    </row>
    <row r="4187" spans="1:4" x14ac:dyDescent="0.45">
      <c r="A4187">
        <v>697</v>
      </c>
      <c r="B4187">
        <f t="shared" ca="1" si="65"/>
        <v>189</v>
      </c>
      <c r="C418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7" t="str">
        <f ca="1">IF(dict_zuord_Meth_Transfers[[#This Row],[kval_active]],dict_zuord_Meth_Transfers[[#This Row],[ID_Transfers]],"")</f>
        <v/>
      </c>
    </row>
    <row r="4188" spans="1:4" x14ac:dyDescent="0.45">
      <c r="A4188">
        <v>697</v>
      </c>
      <c r="B4188" s="3">
        <f t="shared" ca="1" si="65"/>
        <v>190</v>
      </c>
      <c r="C418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8" t="str">
        <f ca="1">IF(dict_zuord_Meth_Transfers[[#This Row],[kval_active]],dict_zuord_Meth_Transfers[[#This Row],[ID_Transfers]],"")</f>
        <v/>
      </c>
    </row>
    <row r="4189" spans="1:4" x14ac:dyDescent="0.45">
      <c r="A4189">
        <v>697</v>
      </c>
      <c r="B4189">
        <f t="shared" ca="1" si="65"/>
        <v>77</v>
      </c>
      <c r="C418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89" t="str">
        <f ca="1">IF(dict_zuord_Meth_Transfers[[#This Row],[kval_active]],dict_zuord_Meth_Transfers[[#This Row],[ID_Transfers]],"")</f>
        <v/>
      </c>
    </row>
    <row r="4190" spans="1:4" x14ac:dyDescent="0.45">
      <c r="A4190">
        <v>698</v>
      </c>
      <c r="B4190" s="3">
        <f t="shared" ca="1" si="65"/>
        <v>164</v>
      </c>
      <c r="C419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0" t="str">
        <f ca="1">IF(dict_zuord_Meth_Transfers[[#This Row],[kval_active]],dict_zuord_Meth_Transfers[[#This Row],[ID_Transfers]],"")</f>
        <v/>
      </c>
    </row>
    <row r="4191" spans="1:4" x14ac:dyDescent="0.45">
      <c r="A4191">
        <v>698</v>
      </c>
      <c r="B4191" s="3">
        <f t="shared" ca="1" si="65"/>
        <v>141</v>
      </c>
      <c r="C419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1" t="str">
        <f ca="1">IF(dict_zuord_Meth_Transfers[[#This Row],[kval_active]],dict_zuord_Meth_Transfers[[#This Row],[ID_Transfers]],"")</f>
        <v/>
      </c>
    </row>
    <row r="4192" spans="1:4" x14ac:dyDescent="0.45">
      <c r="A4192">
        <v>698</v>
      </c>
      <c r="B4192">
        <f t="shared" ca="1" si="65"/>
        <v>156</v>
      </c>
      <c r="C419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2" t="str">
        <f ca="1">IF(dict_zuord_Meth_Transfers[[#This Row],[kval_active]],dict_zuord_Meth_Transfers[[#This Row],[ID_Transfers]],"")</f>
        <v/>
      </c>
    </row>
    <row r="4193" spans="1:4" x14ac:dyDescent="0.45">
      <c r="A4193">
        <v>698</v>
      </c>
      <c r="B4193" s="3">
        <f t="shared" ca="1" si="65"/>
        <v>96</v>
      </c>
      <c r="C419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3" t="str">
        <f ca="1">IF(dict_zuord_Meth_Transfers[[#This Row],[kval_active]],dict_zuord_Meth_Transfers[[#This Row],[ID_Transfers]],"")</f>
        <v/>
      </c>
    </row>
    <row r="4194" spans="1:4" x14ac:dyDescent="0.45">
      <c r="A4194">
        <v>698</v>
      </c>
      <c r="B4194">
        <f t="shared" ca="1" si="65"/>
        <v>32</v>
      </c>
      <c r="C419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4" t="str">
        <f ca="1">IF(dict_zuord_Meth_Transfers[[#This Row],[kval_active]],dict_zuord_Meth_Transfers[[#This Row],[ID_Transfers]],"")</f>
        <v/>
      </c>
    </row>
    <row r="4195" spans="1:4" x14ac:dyDescent="0.45">
      <c r="A4195">
        <v>698</v>
      </c>
      <c r="B4195">
        <f t="shared" ca="1" si="65"/>
        <v>15</v>
      </c>
      <c r="C419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5" t="str">
        <f ca="1">IF(dict_zuord_Meth_Transfers[[#This Row],[kval_active]],dict_zuord_Meth_Transfers[[#This Row],[ID_Transfers]],"")</f>
        <v/>
      </c>
    </row>
    <row r="4196" spans="1:4" x14ac:dyDescent="0.45">
      <c r="A4196">
        <v>699</v>
      </c>
      <c r="B4196" s="3">
        <f t="shared" ca="1" si="65"/>
        <v>75</v>
      </c>
      <c r="C419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6" t="str">
        <f ca="1">IF(dict_zuord_Meth_Transfers[[#This Row],[kval_active]],dict_zuord_Meth_Transfers[[#This Row],[ID_Transfers]],"")</f>
        <v/>
      </c>
    </row>
    <row r="4197" spans="1:4" x14ac:dyDescent="0.45">
      <c r="A4197">
        <v>699</v>
      </c>
      <c r="B4197" s="3">
        <f t="shared" ca="1" si="65"/>
        <v>122</v>
      </c>
      <c r="C419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7" t="str">
        <f ca="1">IF(dict_zuord_Meth_Transfers[[#This Row],[kval_active]],dict_zuord_Meth_Transfers[[#This Row],[ID_Transfers]],"")</f>
        <v/>
      </c>
    </row>
    <row r="4198" spans="1:4" x14ac:dyDescent="0.45">
      <c r="A4198">
        <v>699</v>
      </c>
      <c r="B4198">
        <f t="shared" ca="1" si="65"/>
        <v>60</v>
      </c>
      <c r="C4198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8" t="str">
        <f ca="1">IF(dict_zuord_Meth_Transfers[[#This Row],[kval_active]],dict_zuord_Meth_Transfers[[#This Row],[ID_Transfers]],"")</f>
        <v/>
      </c>
    </row>
    <row r="4199" spans="1:4" x14ac:dyDescent="0.45">
      <c r="A4199">
        <v>699</v>
      </c>
      <c r="B4199">
        <f t="shared" ca="1" si="65"/>
        <v>71</v>
      </c>
      <c r="C4199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199" t="str">
        <f ca="1">IF(dict_zuord_Meth_Transfers[[#This Row],[kval_active]],dict_zuord_Meth_Transfers[[#This Row],[ID_Transfers]],"")</f>
        <v/>
      </c>
    </row>
    <row r="4200" spans="1:4" x14ac:dyDescent="0.45">
      <c r="A4200">
        <v>699</v>
      </c>
      <c r="B4200" s="3">
        <f t="shared" ca="1" si="65"/>
        <v>65</v>
      </c>
      <c r="C4200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0" t="str">
        <f ca="1">IF(dict_zuord_Meth_Transfers[[#This Row],[kval_active]],dict_zuord_Meth_Transfers[[#This Row],[ID_Transfers]],"")</f>
        <v/>
      </c>
    </row>
    <row r="4201" spans="1:4" x14ac:dyDescent="0.45">
      <c r="A4201">
        <v>699</v>
      </c>
      <c r="B4201" s="3">
        <f t="shared" ca="1" si="65"/>
        <v>58</v>
      </c>
      <c r="C4201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1" t="str">
        <f ca="1">IF(dict_zuord_Meth_Transfers[[#This Row],[kval_active]],dict_zuord_Meth_Transfers[[#This Row],[ID_Transfers]],"")</f>
        <v/>
      </c>
    </row>
    <row r="4202" spans="1:4" x14ac:dyDescent="0.45">
      <c r="A4202">
        <v>700</v>
      </c>
      <c r="B4202">
        <f t="shared" ca="1" si="65"/>
        <v>73</v>
      </c>
      <c r="C4202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2" t="str">
        <f ca="1">IF(dict_zuord_Meth_Transfers[[#This Row],[kval_active]],dict_zuord_Meth_Transfers[[#This Row],[ID_Transfers]],"")</f>
        <v/>
      </c>
    </row>
    <row r="4203" spans="1:4" x14ac:dyDescent="0.45">
      <c r="A4203">
        <v>700</v>
      </c>
      <c r="B4203" s="3">
        <f t="shared" ca="1" si="65"/>
        <v>45</v>
      </c>
      <c r="C4203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3" t="str">
        <f ca="1">IF(dict_zuord_Meth_Transfers[[#This Row],[kval_active]],dict_zuord_Meth_Transfers[[#This Row],[ID_Transfers]],"")</f>
        <v/>
      </c>
    </row>
    <row r="4204" spans="1:4" x14ac:dyDescent="0.45">
      <c r="A4204">
        <v>700</v>
      </c>
      <c r="B4204" s="3">
        <f t="shared" ca="1" si="65"/>
        <v>161</v>
      </c>
      <c r="C4204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4" t="str">
        <f ca="1">IF(dict_zuord_Meth_Transfers[[#This Row],[kval_active]],dict_zuord_Meth_Transfers[[#This Row],[ID_Transfers]],"")</f>
        <v/>
      </c>
    </row>
    <row r="4205" spans="1:4" x14ac:dyDescent="0.45">
      <c r="A4205">
        <v>700</v>
      </c>
      <c r="B4205">
        <f t="shared" ca="1" si="65"/>
        <v>144</v>
      </c>
      <c r="C4205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5" t="str">
        <f ca="1">IF(dict_zuord_Meth_Transfers[[#This Row],[kval_active]],dict_zuord_Meth_Transfers[[#This Row],[ID_Transfers]],"")</f>
        <v/>
      </c>
    </row>
    <row r="4206" spans="1:4" x14ac:dyDescent="0.45">
      <c r="A4206">
        <v>700</v>
      </c>
      <c r="B4206" s="3">
        <f t="shared" ca="1" si="65"/>
        <v>159</v>
      </c>
      <c r="C4206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6" t="str">
        <f ca="1">IF(dict_zuord_Meth_Transfers[[#This Row],[kval_active]],dict_zuord_Meth_Transfers[[#This Row],[ID_Transfers]],"")</f>
        <v/>
      </c>
    </row>
    <row r="4207" spans="1:4" x14ac:dyDescent="0.45">
      <c r="A4207">
        <v>700</v>
      </c>
      <c r="B4207" s="3">
        <f t="shared" ca="1" si="65"/>
        <v>111</v>
      </c>
      <c r="C4207" s="3" t="b">
        <f ca="1">IF(MIN(SUMPRODUCT(SUBTOTAL(103,OFFSET(table_Transfers[ID],ROW(table_Transfers[ID])-MIN(ROW(table_Transfers[ID])),,1))*(table_Transfers[ID]=dict_zuord_Meth_Transfers[[#This Row],[ID_Transfers]])),SUMPRODUCT(SUBTOTAL(103,OFFSET(table_Methods[ID],ROW(table_Methods[ID])-MIN(ROW(table_Methods[ID])),,1))*INDEX(table_Methods[kval_active],MATCH(dict_zuord_Meth_Transfers[[#This Row],[ID_Methods]],table_Methods[ID],0))))&gt;0,TRUE,FALSE)</f>
        <v>0</v>
      </c>
      <c r="D4207" t="str">
        <f ca="1">IF(dict_zuord_Meth_Transfers[[#This Row],[kval_active]],dict_zuord_Meth_Transfers[[#This Row],[ID_Transfers]],"")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/>
  <dimension ref="A1:D1810"/>
  <sheetViews>
    <sheetView topLeftCell="A334" workbookViewId="0">
      <selection activeCell="F349" sqref="F349"/>
    </sheetView>
  </sheetViews>
  <sheetFormatPr baseColWidth="10" defaultRowHeight="14.25" x14ac:dyDescent="0.45"/>
  <cols>
    <col min="2" max="2" width="13.73046875" bestFit="1" customWidth="1"/>
  </cols>
  <sheetData>
    <row r="1" spans="1:4" x14ac:dyDescent="0.45">
      <c r="A1" t="s">
        <v>60</v>
      </c>
      <c r="B1" t="s">
        <v>62</v>
      </c>
      <c r="C1" t="s">
        <v>66</v>
      </c>
      <c r="D1" t="s">
        <v>348</v>
      </c>
    </row>
    <row r="2" spans="1:4" x14ac:dyDescent="0.45">
      <c r="A2">
        <v>0</v>
      </c>
      <c r="B2">
        <f t="shared" ref="B2:B65" ca="1" si="0">RANDBETWEEN(0,100)</f>
        <v>51</v>
      </c>
      <c r="C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">
        <f ca="1">IF(dict_zuord_Transfers_Storages[[#This Row],[kval_active]],dict_zuord_Transfers_Storages[[#This Row],[ID_Storages]],"")</f>
        <v>51</v>
      </c>
    </row>
    <row r="3" spans="1:4" x14ac:dyDescent="0.45">
      <c r="A3">
        <v>0</v>
      </c>
      <c r="B3">
        <f t="shared" ca="1" si="0"/>
        <v>40</v>
      </c>
      <c r="C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">
        <f ca="1">IF(dict_zuord_Transfers_Storages[[#This Row],[kval_active]],dict_zuord_Transfers_Storages[[#This Row],[ID_Storages]],"")</f>
        <v>40</v>
      </c>
    </row>
    <row r="4" spans="1:4" x14ac:dyDescent="0.45">
      <c r="A4">
        <v>0</v>
      </c>
      <c r="B4">
        <f t="shared" ca="1" si="0"/>
        <v>97</v>
      </c>
      <c r="C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">
        <f ca="1">IF(dict_zuord_Transfers_Storages[[#This Row],[kval_active]],dict_zuord_Transfers_Storages[[#This Row],[ID_Storages]],"")</f>
        <v>97</v>
      </c>
    </row>
    <row r="5" spans="1:4" x14ac:dyDescent="0.45">
      <c r="A5">
        <v>0</v>
      </c>
      <c r="B5">
        <f t="shared" ca="1" si="0"/>
        <v>49</v>
      </c>
      <c r="C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">
        <f ca="1">IF(dict_zuord_Transfers_Storages[[#This Row],[kval_active]],dict_zuord_Transfers_Storages[[#This Row],[ID_Storages]],"")</f>
        <v>49</v>
      </c>
    </row>
    <row r="6" spans="1:4" x14ac:dyDescent="0.45">
      <c r="A6">
        <v>0</v>
      </c>
      <c r="B6">
        <f t="shared" ca="1" si="0"/>
        <v>26</v>
      </c>
      <c r="C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">
        <f ca="1">IF(dict_zuord_Transfers_Storages[[#This Row],[kval_active]],dict_zuord_Transfers_Storages[[#This Row],[ID_Storages]],"")</f>
        <v>26</v>
      </c>
    </row>
    <row r="7" spans="1:4" x14ac:dyDescent="0.45">
      <c r="A7">
        <v>0</v>
      </c>
      <c r="B7">
        <f t="shared" ca="1" si="0"/>
        <v>13</v>
      </c>
      <c r="C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">
        <f ca="1">IF(dict_zuord_Transfers_Storages[[#This Row],[kval_active]],dict_zuord_Transfers_Storages[[#This Row],[ID_Storages]],"")</f>
        <v>13</v>
      </c>
    </row>
    <row r="8" spans="1:4" x14ac:dyDescent="0.45">
      <c r="A8">
        <v>0</v>
      </c>
      <c r="B8">
        <f t="shared" ca="1" si="0"/>
        <v>40</v>
      </c>
      <c r="C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">
        <f ca="1">IF(dict_zuord_Transfers_Storages[[#This Row],[kval_active]],dict_zuord_Transfers_Storages[[#This Row],[ID_Storages]],"")</f>
        <v>40</v>
      </c>
    </row>
    <row r="9" spans="1:4" x14ac:dyDescent="0.45">
      <c r="A9">
        <v>0</v>
      </c>
      <c r="B9">
        <f t="shared" ca="1" si="0"/>
        <v>100</v>
      </c>
      <c r="C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">
        <f ca="1">IF(dict_zuord_Transfers_Storages[[#This Row],[kval_active]],dict_zuord_Transfers_Storages[[#This Row],[ID_Storages]],"")</f>
        <v>100</v>
      </c>
    </row>
    <row r="10" spans="1:4" x14ac:dyDescent="0.45">
      <c r="A10">
        <v>0</v>
      </c>
      <c r="B10">
        <f t="shared" ca="1" si="0"/>
        <v>82</v>
      </c>
      <c r="C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">
        <f ca="1">IF(dict_zuord_Transfers_Storages[[#This Row],[kval_active]],dict_zuord_Transfers_Storages[[#This Row],[ID_Storages]],"")</f>
        <v>82</v>
      </c>
    </row>
    <row r="11" spans="1:4" x14ac:dyDescent="0.45">
      <c r="A11">
        <v>1</v>
      </c>
      <c r="B11">
        <f t="shared" ca="1" si="0"/>
        <v>59</v>
      </c>
      <c r="C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" t="str">
        <f ca="1">IF(dict_zuord_Transfers_Storages[[#This Row],[kval_active]],dict_zuord_Transfers_Storages[[#This Row],[ID_Storages]],"")</f>
        <v/>
      </c>
    </row>
    <row r="12" spans="1:4" x14ac:dyDescent="0.45">
      <c r="A12">
        <v>1</v>
      </c>
      <c r="B12">
        <f t="shared" ca="1" si="0"/>
        <v>0</v>
      </c>
      <c r="C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" t="str">
        <f ca="1">IF(dict_zuord_Transfers_Storages[[#This Row],[kval_active]],dict_zuord_Transfers_Storages[[#This Row],[ID_Storages]],"")</f>
        <v/>
      </c>
    </row>
    <row r="13" spans="1:4" x14ac:dyDescent="0.45">
      <c r="A13">
        <v>1</v>
      </c>
      <c r="B13">
        <f t="shared" ca="1" si="0"/>
        <v>51</v>
      </c>
      <c r="C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" t="str">
        <f ca="1">IF(dict_zuord_Transfers_Storages[[#This Row],[kval_active]],dict_zuord_Transfers_Storages[[#This Row],[ID_Storages]],"")</f>
        <v/>
      </c>
    </row>
    <row r="14" spans="1:4" x14ac:dyDescent="0.45">
      <c r="A14">
        <v>1</v>
      </c>
      <c r="B14">
        <f t="shared" ca="1" si="0"/>
        <v>33</v>
      </c>
      <c r="C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" t="str">
        <f ca="1">IF(dict_zuord_Transfers_Storages[[#This Row],[kval_active]],dict_zuord_Transfers_Storages[[#This Row],[ID_Storages]],"")</f>
        <v/>
      </c>
    </row>
    <row r="15" spans="1:4" x14ac:dyDescent="0.45">
      <c r="A15">
        <v>1</v>
      </c>
      <c r="B15">
        <f t="shared" ca="1" si="0"/>
        <v>20</v>
      </c>
      <c r="C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" t="str">
        <f ca="1">IF(dict_zuord_Transfers_Storages[[#This Row],[kval_active]],dict_zuord_Transfers_Storages[[#This Row],[ID_Storages]],"")</f>
        <v/>
      </c>
    </row>
    <row r="16" spans="1:4" x14ac:dyDescent="0.45">
      <c r="A16">
        <v>1</v>
      </c>
      <c r="B16">
        <f t="shared" ca="1" si="0"/>
        <v>32</v>
      </c>
      <c r="C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" t="str">
        <f ca="1">IF(dict_zuord_Transfers_Storages[[#This Row],[kval_active]],dict_zuord_Transfers_Storages[[#This Row],[ID_Storages]],"")</f>
        <v/>
      </c>
    </row>
    <row r="17" spans="1:4" x14ac:dyDescent="0.45">
      <c r="A17">
        <v>1</v>
      </c>
      <c r="B17">
        <f t="shared" ca="1" si="0"/>
        <v>49</v>
      </c>
      <c r="C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" t="str">
        <f ca="1">IF(dict_zuord_Transfers_Storages[[#This Row],[kval_active]],dict_zuord_Transfers_Storages[[#This Row],[ID_Storages]],"")</f>
        <v/>
      </c>
    </row>
    <row r="18" spans="1:4" x14ac:dyDescent="0.45">
      <c r="A18">
        <v>1</v>
      </c>
      <c r="B18">
        <f t="shared" ca="1" si="0"/>
        <v>31</v>
      </c>
      <c r="C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" t="str">
        <f ca="1">IF(dict_zuord_Transfers_Storages[[#This Row],[kval_active]],dict_zuord_Transfers_Storages[[#This Row],[ID_Storages]],"")</f>
        <v/>
      </c>
    </row>
    <row r="19" spans="1:4" x14ac:dyDescent="0.45">
      <c r="A19">
        <v>1</v>
      </c>
      <c r="B19">
        <f t="shared" ca="1" si="0"/>
        <v>53</v>
      </c>
      <c r="C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" t="str">
        <f ca="1">IF(dict_zuord_Transfers_Storages[[#This Row],[kval_active]],dict_zuord_Transfers_Storages[[#This Row],[ID_Storages]],"")</f>
        <v/>
      </c>
    </row>
    <row r="20" spans="1:4" x14ac:dyDescent="0.45">
      <c r="A20">
        <v>2</v>
      </c>
      <c r="B20">
        <f t="shared" ca="1" si="0"/>
        <v>22</v>
      </c>
      <c r="C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">
        <f ca="1">IF(dict_zuord_Transfers_Storages[[#This Row],[kval_active]],dict_zuord_Transfers_Storages[[#This Row],[ID_Storages]],"")</f>
        <v>22</v>
      </c>
    </row>
    <row r="21" spans="1:4" x14ac:dyDescent="0.45">
      <c r="A21">
        <v>2</v>
      </c>
      <c r="B21">
        <f t="shared" ca="1" si="0"/>
        <v>70</v>
      </c>
      <c r="C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">
        <f ca="1">IF(dict_zuord_Transfers_Storages[[#This Row],[kval_active]],dict_zuord_Transfers_Storages[[#This Row],[ID_Storages]],"")</f>
        <v>70</v>
      </c>
    </row>
    <row r="22" spans="1:4" x14ac:dyDescent="0.45">
      <c r="A22">
        <v>2</v>
      </c>
      <c r="B22">
        <f t="shared" ca="1" si="0"/>
        <v>39</v>
      </c>
      <c r="C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">
        <f ca="1">IF(dict_zuord_Transfers_Storages[[#This Row],[kval_active]],dict_zuord_Transfers_Storages[[#This Row],[ID_Storages]],"")</f>
        <v>39</v>
      </c>
    </row>
    <row r="23" spans="1:4" x14ac:dyDescent="0.45">
      <c r="A23">
        <v>2</v>
      </c>
      <c r="B23">
        <f t="shared" ca="1" si="0"/>
        <v>42</v>
      </c>
      <c r="C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">
        <f ca="1">IF(dict_zuord_Transfers_Storages[[#This Row],[kval_active]],dict_zuord_Transfers_Storages[[#This Row],[ID_Storages]],"")</f>
        <v>42</v>
      </c>
    </row>
    <row r="24" spans="1:4" x14ac:dyDescent="0.45">
      <c r="A24">
        <v>2</v>
      </c>
      <c r="B24">
        <f t="shared" ca="1" si="0"/>
        <v>74</v>
      </c>
      <c r="C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">
        <f ca="1">IF(dict_zuord_Transfers_Storages[[#This Row],[kval_active]],dict_zuord_Transfers_Storages[[#This Row],[ID_Storages]],"")</f>
        <v>74</v>
      </c>
    </row>
    <row r="25" spans="1:4" x14ac:dyDescent="0.45">
      <c r="A25">
        <v>2</v>
      </c>
      <c r="B25">
        <f t="shared" ca="1" si="0"/>
        <v>12</v>
      </c>
      <c r="C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">
        <f ca="1">IF(dict_zuord_Transfers_Storages[[#This Row],[kval_active]],dict_zuord_Transfers_Storages[[#This Row],[ID_Storages]],"")</f>
        <v>12</v>
      </c>
    </row>
    <row r="26" spans="1:4" x14ac:dyDescent="0.45">
      <c r="A26">
        <v>2</v>
      </c>
      <c r="B26">
        <f t="shared" ca="1" si="0"/>
        <v>45</v>
      </c>
      <c r="C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">
        <f ca="1">IF(dict_zuord_Transfers_Storages[[#This Row],[kval_active]],dict_zuord_Transfers_Storages[[#This Row],[ID_Storages]],"")</f>
        <v>45</v>
      </c>
    </row>
    <row r="27" spans="1:4" x14ac:dyDescent="0.45">
      <c r="A27">
        <v>2</v>
      </c>
      <c r="B27">
        <f t="shared" ca="1" si="0"/>
        <v>25</v>
      </c>
      <c r="C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">
        <f ca="1">IF(dict_zuord_Transfers_Storages[[#This Row],[kval_active]],dict_zuord_Transfers_Storages[[#This Row],[ID_Storages]],"")</f>
        <v>25</v>
      </c>
    </row>
    <row r="28" spans="1:4" x14ac:dyDescent="0.45">
      <c r="A28">
        <v>2</v>
      </c>
      <c r="B28">
        <f t="shared" ca="1" si="0"/>
        <v>67</v>
      </c>
      <c r="C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8">
        <f ca="1">IF(dict_zuord_Transfers_Storages[[#This Row],[kval_active]],dict_zuord_Transfers_Storages[[#This Row],[ID_Storages]],"")</f>
        <v>67</v>
      </c>
    </row>
    <row r="29" spans="1:4" x14ac:dyDescent="0.45">
      <c r="A29">
        <v>3</v>
      </c>
      <c r="B29">
        <f t="shared" ca="1" si="0"/>
        <v>13</v>
      </c>
      <c r="C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">
        <f ca="1">IF(dict_zuord_Transfers_Storages[[#This Row],[kval_active]],dict_zuord_Transfers_Storages[[#This Row],[ID_Storages]],"")</f>
        <v>13</v>
      </c>
    </row>
    <row r="30" spans="1:4" x14ac:dyDescent="0.45">
      <c r="A30">
        <v>3</v>
      </c>
      <c r="B30">
        <f t="shared" ca="1" si="0"/>
        <v>21</v>
      </c>
      <c r="C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">
        <f ca="1">IF(dict_zuord_Transfers_Storages[[#This Row],[kval_active]],dict_zuord_Transfers_Storages[[#This Row],[ID_Storages]],"")</f>
        <v>21</v>
      </c>
    </row>
    <row r="31" spans="1:4" x14ac:dyDescent="0.45">
      <c r="A31">
        <v>3</v>
      </c>
      <c r="B31">
        <f t="shared" ca="1" si="0"/>
        <v>28</v>
      </c>
      <c r="C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1">
        <f ca="1">IF(dict_zuord_Transfers_Storages[[#This Row],[kval_active]],dict_zuord_Transfers_Storages[[#This Row],[ID_Storages]],"")</f>
        <v>28</v>
      </c>
    </row>
    <row r="32" spans="1:4" x14ac:dyDescent="0.45">
      <c r="A32">
        <v>3</v>
      </c>
      <c r="B32">
        <f t="shared" ca="1" si="0"/>
        <v>14</v>
      </c>
      <c r="C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2">
        <f ca="1">IF(dict_zuord_Transfers_Storages[[#This Row],[kval_active]],dict_zuord_Transfers_Storages[[#This Row],[ID_Storages]],"")</f>
        <v>14</v>
      </c>
    </row>
    <row r="33" spans="1:4" x14ac:dyDescent="0.45">
      <c r="A33">
        <v>3</v>
      </c>
      <c r="B33">
        <f t="shared" ca="1" si="0"/>
        <v>77</v>
      </c>
      <c r="C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">
        <f ca="1">IF(dict_zuord_Transfers_Storages[[#This Row],[kval_active]],dict_zuord_Transfers_Storages[[#This Row],[ID_Storages]],"")</f>
        <v>77</v>
      </c>
    </row>
    <row r="34" spans="1:4" x14ac:dyDescent="0.45">
      <c r="A34">
        <v>3</v>
      </c>
      <c r="B34">
        <f t="shared" ca="1" si="0"/>
        <v>25</v>
      </c>
      <c r="C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">
        <f ca="1">IF(dict_zuord_Transfers_Storages[[#This Row],[kval_active]],dict_zuord_Transfers_Storages[[#This Row],[ID_Storages]],"")</f>
        <v>25</v>
      </c>
    </row>
    <row r="35" spans="1:4" x14ac:dyDescent="0.45">
      <c r="A35">
        <v>3</v>
      </c>
      <c r="B35">
        <f t="shared" ca="1" si="0"/>
        <v>16</v>
      </c>
      <c r="C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5">
        <f ca="1">IF(dict_zuord_Transfers_Storages[[#This Row],[kval_active]],dict_zuord_Transfers_Storages[[#This Row],[ID_Storages]],"")</f>
        <v>16</v>
      </c>
    </row>
    <row r="36" spans="1:4" x14ac:dyDescent="0.45">
      <c r="A36">
        <v>3</v>
      </c>
      <c r="B36">
        <f t="shared" ca="1" si="0"/>
        <v>21</v>
      </c>
      <c r="C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6">
        <f ca="1">IF(dict_zuord_Transfers_Storages[[#This Row],[kval_active]],dict_zuord_Transfers_Storages[[#This Row],[ID_Storages]],"")</f>
        <v>21</v>
      </c>
    </row>
    <row r="37" spans="1:4" x14ac:dyDescent="0.45">
      <c r="A37">
        <v>3</v>
      </c>
      <c r="B37">
        <f t="shared" ca="1" si="0"/>
        <v>63</v>
      </c>
      <c r="C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7">
        <f ca="1">IF(dict_zuord_Transfers_Storages[[#This Row],[kval_active]],dict_zuord_Transfers_Storages[[#This Row],[ID_Storages]],"")</f>
        <v>63</v>
      </c>
    </row>
    <row r="38" spans="1:4" x14ac:dyDescent="0.45">
      <c r="A38">
        <v>4</v>
      </c>
      <c r="B38">
        <f t="shared" ca="1" si="0"/>
        <v>5</v>
      </c>
      <c r="C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">
        <f ca="1">IF(dict_zuord_Transfers_Storages[[#This Row],[kval_active]],dict_zuord_Transfers_Storages[[#This Row],[ID_Storages]],"")</f>
        <v>5</v>
      </c>
    </row>
    <row r="39" spans="1:4" x14ac:dyDescent="0.45">
      <c r="A39">
        <v>4</v>
      </c>
      <c r="B39">
        <f t="shared" ca="1" si="0"/>
        <v>91</v>
      </c>
      <c r="C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">
        <f ca="1">IF(dict_zuord_Transfers_Storages[[#This Row],[kval_active]],dict_zuord_Transfers_Storages[[#This Row],[ID_Storages]],"")</f>
        <v>91</v>
      </c>
    </row>
    <row r="40" spans="1:4" x14ac:dyDescent="0.45">
      <c r="A40">
        <v>4</v>
      </c>
      <c r="B40">
        <f t="shared" ca="1" si="0"/>
        <v>43</v>
      </c>
      <c r="C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">
        <f ca="1">IF(dict_zuord_Transfers_Storages[[#This Row],[kval_active]],dict_zuord_Transfers_Storages[[#This Row],[ID_Storages]],"")</f>
        <v>43</v>
      </c>
    </row>
    <row r="41" spans="1:4" x14ac:dyDescent="0.45">
      <c r="A41">
        <v>4</v>
      </c>
      <c r="B41">
        <f t="shared" ca="1" si="0"/>
        <v>26</v>
      </c>
      <c r="C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1">
        <f ca="1">IF(dict_zuord_Transfers_Storages[[#This Row],[kval_active]],dict_zuord_Transfers_Storages[[#This Row],[ID_Storages]],"")</f>
        <v>26</v>
      </c>
    </row>
    <row r="42" spans="1:4" x14ac:dyDescent="0.45">
      <c r="A42">
        <v>4</v>
      </c>
      <c r="B42">
        <f t="shared" ca="1" si="0"/>
        <v>28</v>
      </c>
      <c r="C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2">
        <f ca="1">IF(dict_zuord_Transfers_Storages[[#This Row],[kval_active]],dict_zuord_Transfers_Storages[[#This Row],[ID_Storages]],"")</f>
        <v>28</v>
      </c>
    </row>
    <row r="43" spans="1:4" x14ac:dyDescent="0.45">
      <c r="A43">
        <v>4</v>
      </c>
      <c r="B43">
        <f t="shared" ca="1" si="0"/>
        <v>26</v>
      </c>
      <c r="C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">
        <f ca="1">IF(dict_zuord_Transfers_Storages[[#This Row],[kval_active]],dict_zuord_Transfers_Storages[[#This Row],[ID_Storages]],"")</f>
        <v>26</v>
      </c>
    </row>
    <row r="44" spans="1:4" x14ac:dyDescent="0.45">
      <c r="A44">
        <v>4</v>
      </c>
      <c r="B44">
        <f t="shared" ca="1" si="0"/>
        <v>87</v>
      </c>
      <c r="C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">
        <f ca="1">IF(dict_zuord_Transfers_Storages[[#This Row],[kval_active]],dict_zuord_Transfers_Storages[[#This Row],[ID_Storages]],"")</f>
        <v>87</v>
      </c>
    </row>
    <row r="45" spans="1:4" x14ac:dyDescent="0.45">
      <c r="A45">
        <v>4</v>
      </c>
      <c r="B45">
        <f t="shared" ca="1" si="0"/>
        <v>100</v>
      </c>
      <c r="C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">
        <f ca="1">IF(dict_zuord_Transfers_Storages[[#This Row],[kval_active]],dict_zuord_Transfers_Storages[[#This Row],[ID_Storages]],"")</f>
        <v>100</v>
      </c>
    </row>
    <row r="46" spans="1:4" x14ac:dyDescent="0.45">
      <c r="A46">
        <v>4</v>
      </c>
      <c r="B46">
        <f t="shared" ca="1" si="0"/>
        <v>49</v>
      </c>
      <c r="C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">
        <f ca="1">IF(dict_zuord_Transfers_Storages[[#This Row],[kval_active]],dict_zuord_Transfers_Storages[[#This Row],[ID_Storages]],"")</f>
        <v>49</v>
      </c>
    </row>
    <row r="47" spans="1:4" x14ac:dyDescent="0.45">
      <c r="A47">
        <v>5</v>
      </c>
      <c r="B47">
        <f t="shared" ca="1" si="0"/>
        <v>11</v>
      </c>
      <c r="C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7" t="str">
        <f ca="1">IF(dict_zuord_Transfers_Storages[[#This Row],[kval_active]],dict_zuord_Transfers_Storages[[#This Row],[ID_Storages]],"")</f>
        <v/>
      </c>
    </row>
    <row r="48" spans="1:4" x14ac:dyDescent="0.45">
      <c r="A48">
        <v>5</v>
      </c>
      <c r="B48">
        <f t="shared" ca="1" si="0"/>
        <v>85</v>
      </c>
      <c r="C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" t="str">
        <f ca="1">IF(dict_zuord_Transfers_Storages[[#This Row],[kval_active]],dict_zuord_Transfers_Storages[[#This Row],[ID_Storages]],"")</f>
        <v/>
      </c>
    </row>
    <row r="49" spans="1:4" x14ac:dyDescent="0.45">
      <c r="A49">
        <v>5</v>
      </c>
      <c r="B49">
        <f t="shared" ca="1" si="0"/>
        <v>48</v>
      </c>
      <c r="C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" t="str">
        <f ca="1">IF(dict_zuord_Transfers_Storages[[#This Row],[kval_active]],dict_zuord_Transfers_Storages[[#This Row],[ID_Storages]],"")</f>
        <v/>
      </c>
    </row>
    <row r="50" spans="1:4" x14ac:dyDescent="0.45">
      <c r="A50">
        <v>5</v>
      </c>
      <c r="B50">
        <f t="shared" ca="1" si="0"/>
        <v>6</v>
      </c>
      <c r="C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" t="str">
        <f ca="1">IF(dict_zuord_Transfers_Storages[[#This Row],[kval_active]],dict_zuord_Transfers_Storages[[#This Row],[ID_Storages]],"")</f>
        <v/>
      </c>
    </row>
    <row r="51" spans="1:4" x14ac:dyDescent="0.45">
      <c r="A51">
        <v>5</v>
      </c>
      <c r="B51">
        <f t="shared" ca="1" si="0"/>
        <v>26</v>
      </c>
      <c r="C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1" t="str">
        <f ca="1">IF(dict_zuord_Transfers_Storages[[#This Row],[kval_active]],dict_zuord_Transfers_Storages[[#This Row],[ID_Storages]],"")</f>
        <v/>
      </c>
    </row>
    <row r="52" spans="1:4" x14ac:dyDescent="0.45">
      <c r="A52">
        <v>5</v>
      </c>
      <c r="B52">
        <f t="shared" ca="1" si="0"/>
        <v>79</v>
      </c>
      <c r="C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2" t="str">
        <f ca="1">IF(dict_zuord_Transfers_Storages[[#This Row],[kval_active]],dict_zuord_Transfers_Storages[[#This Row],[ID_Storages]],"")</f>
        <v/>
      </c>
    </row>
    <row r="53" spans="1:4" x14ac:dyDescent="0.45">
      <c r="A53">
        <v>5</v>
      </c>
      <c r="B53">
        <f t="shared" ca="1" si="0"/>
        <v>5</v>
      </c>
      <c r="C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3" t="str">
        <f ca="1">IF(dict_zuord_Transfers_Storages[[#This Row],[kval_active]],dict_zuord_Transfers_Storages[[#This Row],[ID_Storages]],"")</f>
        <v/>
      </c>
    </row>
    <row r="54" spans="1:4" x14ac:dyDescent="0.45">
      <c r="A54">
        <v>5</v>
      </c>
      <c r="B54">
        <f t="shared" ca="1" si="0"/>
        <v>54</v>
      </c>
      <c r="C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" t="str">
        <f ca="1">IF(dict_zuord_Transfers_Storages[[#This Row],[kval_active]],dict_zuord_Transfers_Storages[[#This Row],[ID_Storages]],"")</f>
        <v/>
      </c>
    </row>
    <row r="55" spans="1:4" x14ac:dyDescent="0.45">
      <c r="A55">
        <v>5</v>
      </c>
      <c r="B55">
        <f t="shared" ca="1" si="0"/>
        <v>2</v>
      </c>
      <c r="C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" t="str">
        <f ca="1">IF(dict_zuord_Transfers_Storages[[#This Row],[kval_active]],dict_zuord_Transfers_Storages[[#This Row],[ID_Storages]],"")</f>
        <v/>
      </c>
    </row>
    <row r="56" spans="1:4" x14ac:dyDescent="0.45">
      <c r="A56">
        <v>6</v>
      </c>
      <c r="B56">
        <f t="shared" ca="1" si="0"/>
        <v>38</v>
      </c>
      <c r="C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" t="str">
        <f ca="1">IF(dict_zuord_Transfers_Storages[[#This Row],[kval_active]],dict_zuord_Transfers_Storages[[#This Row],[ID_Storages]],"")</f>
        <v/>
      </c>
    </row>
    <row r="57" spans="1:4" x14ac:dyDescent="0.45">
      <c r="A57">
        <v>6</v>
      </c>
      <c r="B57">
        <f t="shared" ca="1" si="0"/>
        <v>74</v>
      </c>
      <c r="C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" t="str">
        <f ca="1">IF(dict_zuord_Transfers_Storages[[#This Row],[kval_active]],dict_zuord_Transfers_Storages[[#This Row],[ID_Storages]],"")</f>
        <v/>
      </c>
    </row>
    <row r="58" spans="1:4" x14ac:dyDescent="0.45">
      <c r="A58">
        <v>6</v>
      </c>
      <c r="B58">
        <f t="shared" ca="1" si="0"/>
        <v>90</v>
      </c>
      <c r="C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" t="str">
        <f ca="1">IF(dict_zuord_Transfers_Storages[[#This Row],[kval_active]],dict_zuord_Transfers_Storages[[#This Row],[ID_Storages]],"")</f>
        <v/>
      </c>
    </row>
    <row r="59" spans="1:4" x14ac:dyDescent="0.45">
      <c r="A59">
        <v>6</v>
      </c>
      <c r="B59">
        <f t="shared" ca="1" si="0"/>
        <v>14</v>
      </c>
      <c r="C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" t="str">
        <f ca="1">IF(dict_zuord_Transfers_Storages[[#This Row],[kval_active]],dict_zuord_Transfers_Storages[[#This Row],[ID_Storages]],"")</f>
        <v/>
      </c>
    </row>
    <row r="60" spans="1:4" x14ac:dyDescent="0.45">
      <c r="A60">
        <v>6</v>
      </c>
      <c r="B60">
        <f t="shared" ca="1" si="0"/>
        <v>87</v>
      </c>
      <c r="C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" t="str">
        <f ca="1">IF(dict_zuord_Transfers_Storages[[#This Row],[kval_active]],dict_zuord_Transfers_Storages[[#This Row],[ID_Storages]],"")</f>
        <v/>
      </c>
    </row>
    <row r="61" spans="1:4" x14ac:dyDescent="0.45">
      <c r="A61">
        <v>6</v>
      </c>
      <c r="B61">
        <f t="shared" ca="1" si="0"/>
        <v>67</v>
      </c>
      <c r="C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" t="str">
        <f ca="1">IF(dict_zuord_Transfers_Storages[[#This Row],[kval_active]],dict_zuord_Transfers_Storages[[#This Row],[ID_Storages]],"")</f>
        <v/>
      </c>
    </row>
    <row r="62" spans="1:4" x14ac:dyDescent="0.45">
      <c r="A62">
        <v>6</v>
      </c>
      <c r="B62">
        <f t="shared" ca="1" si="0"/>
        <v>45</v>
      </c>
      <c r="C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2" t="str">
        <f ca="1">IF(dict_zuord_Transfers_Storages[[#This Row],[kval_active]],dict_zuord_Transfers_Storages[[#This Row],[ID_Storages]],"")</f>
        <v/>
      </c>
    </row>
    <row r="63" spans="1:4" x14ac:dyDescent="0.45">
      <c r="A63">
        <v>6</v>
      </c>
      <c r="B63">
        <f t="shared" ca="1" si="0"/>
        <v>43</v>
      </c>
      <c r="C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3" t="str">
        <f ca="1">IF(dict_zuord_Transfers_Storages[[#This Row],[kval_active]],dict_zuord_Transfers_Storages[[#This Row],[ID_Storages]],"")</f>
        <v/>
      </c>
    </row>
    <row r="64" spans="1:4" x14ac:dyDescent="0.45">
      <c r="A64">
        <v>6</v>
      </c>
      <c r="B64">
        <f t="shared" ca="1" si="0"/>
        <v>77</v>
      </c>
      <c r="C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4" t="str">
        <f ca="1">IF(dict_zuord_Transfers_Storages[[#This Row],[kval_active]],dict_zuord_Transfers_Storages[[#This Row],[ID_Storages]],"")</f>
        <v/>
      </c>
    </row>
    <row r="65" spans="1:4" x14ac:dyDescent="0.45">
      <c r="A65">
        <v>7</v>
      </c>
      <c r="B65">
        <f t="shared" ca="1" si="0"/>
        <v>93</v>
      </c>
      <c r="C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">
        <f ca="1">IF(dict_zuord_Transfers_Storages[[#This Row],[kval_active]],dict_zuord_Transfers_Storages[[#This Row],[ID_Storages]],"")</f>
        <v>93</v>
      </c>
    </row>
    <row r="66" spans="1:4" x14ac:dyDescent="0.45">
      <c r="A66">
        <v>7</v>
      </c>
      <c r="B66">
        <f t="shared" ref="B66:B129" ca="1" si="1">RANDBETWEEN(0,100)</f>
        <v>18</v>
      </c>
      <c r="C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">
        <f ca="1">IF(dict_zuord_Transfers_Storages[[#This Row],[kval_active]],dict_zuord_Transfers_Storages[[#This Row],[ID_Storages]],"")</f>
        <v>18</v>
      </c>
    </row>
    <row r="67" spans="1:4" x14ac:dyDescent="0.45">
      <c r="A67">
        <v>7</v>
      </c>
      <c r="B67">
        <f t="shared" ca="1" si="1"/>
        <v>92</v>
      </c>
      <c r="C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">
        <f ca="1">IF(dict_zuord_Transfers_Storages[[#This Row],[kval_active]],dict_zuord_Transfers_Storages[[#This Row],[ID_Storages]],"")</f>
        <v>92</v>
      </c>
    </row>
    <row r="68" spans="1:4" x14ac:dyDescent="0.45">
      <c r="A68">
        <v>7</v>
      </c>
      <c r="B68">
        <f t="shared" ca="1" si="1"/>
        <v>36</v>
      </c>
      <c r="C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8">
        <f ca="1">IF(dict_zuord_Transfers_Storages[[#This Row],[kval_active]],dict_zuord_Transfers_Storages[[#This Row],[ID_Storages]],"")</f>
        <v>36</v>
      </c>
    </row>
    <row r="69" spans="1:4" x14ac:dyDescent="0.45">
      <c r="A69">
        <v>7</v>
      </c>
      <c r="B69">
        <f t="shared" ca="1" si="1"/>
        <v>97</v>
      </c>
      <c r="C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">
        <f ca="1">IF(dict_zuord_Transfers_Storages[[#This Row],[kval_active]],dict_zuord_Transfers_Storages[[#This Row],[ID_Storages]],"")</f>
        <v>97</v>
      </c>
    </row>
    <row r="70" spans="1:4" x14ac:dyDescent="0.45">
      <c r="A70">
        <v>7</v>
      </c>
      <c r="B70">
        <f t="shared" ca="1" si="1"/>
        <v>72</v>
      </c>
      <c r="C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">
        <f ca="1">IF(dict_zuord_Transfers_Storages[[#This Row],[kval_active]],dict_zuord_Transfers_Storages[[#This Row],[ID_Storages]],"")</f>
        <v>72</v>
      </c>
    </row>
    <row r="71" spans="1:4" x14ac:dyDescent="0.45">
      <c r="A71">
        <v>7</v>
      </c>
      <c r="B71">
        <f t="shared" ca="1" si="1"/>
        <v>65</v>
      </c>
      <c r="C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">
        <f ca="1">IF(dict_zuord_Transfers_Storages[[#This Row],[kval_active]],dict_zuord_Transfers_Storages[[#This Row],[ID_Storages]],"")</f>
        <v>65</v>
      </c>
    </row>
    <row r="72" spans="1:4" x14ac:dyDescent="0.45">
      <c r="A72">
        <v>7</v>
      </c>
      <c r="B72">
        <f t="shared" ca="1" si="1"/>
        <v>83</v>
      </c>
      <c r="C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">
        <f ca="1">IF(dict_zuord_Transfers_Storages[[#This Row],[kval_active]],dict_zuord_Transfers_Storages[[#This Row],[ID_Storages]],"")</f>
        <v>83</v>
      </c>
    </row>
    <row r="73" spans="1:4" x14ac:dyDescent="0.45">
      <c r="A73">
        <v>7</v>
      </c>
      <c r="B73">
        <f t="shared" ca="1" si="1"/>
        <v>22</v>
      </c>
      <c r="C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">
        <f ca="1">IF(dict_zuord_Transfers_Storages[[#This Row],[kval_active]],dict_zuord_Transfers_Storages[[#This Row],[ID_Storages]],"")</f>
        <v>22</v>
      </c>
    </row>
    <row r="74" spans="1:4" x14ac:dyDescent="0.45">
      <c r="A74">
        <v>8</v>
      </c>
      <c r="B74">
        <f t="shared" ca="1" si="1"/>
        <v>98</v>
      </c>
      <c r="C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">
        <f ca="1">IF(dict_zuord_Transfers_Storages[[#This Row],[kval_active]],dict_zuord_Transfers_Storages[[#This Row],[ID_Storages]],"")</f>
        <v>98</v>
      </c>
    </row>
    <row r="75" spans="1:4" x14ac:dyDescent="0.45">
      <c r="A75">
        <v>8</v>
      </c>
      <c r="B75">
        <f t="shared" ca="1" si="1"/>
        <v>82</v>
      </c>
      <c r="C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">
        <f ca="1">IF(dict_zuord_Transfers_Storages[[#This Row],[kval_active]],dict_zuord_Transfers_Storages[[#This Row],[ID_Storages]],"")</f>
        <v>82</v>
      </c>
    </row>
    <row r="76" spans="1:4" x14ac:dyDescent="0.45">
      <c r="A76">
        <v>8</v>
      </c>
      <c r="B76">
        <f t="shared" ca="1" si="1"/>
        <v>72</v>
      </c>
      <c r="C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">
        <f ca="1">IF(dict_zuord_Transfers_Storages[[#This Row],[kval_active]],dict_zuord_Transfers_Storages[[#This Row],[ID_Storages]],"")</f>
        <v>72</v>
      </c>
    </row>
    <row r="77" spans="1:4" x14ac:dyDescent="0.45">
      <c r="A77">
        <v>8</v>
      </c>
      <c r="B77">
        <f t="shared" ca="1" si="1"/>
        <v>62</v>
      </c>
      <c r="C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7">
        <f ca="1">IF(dict_zuord_Transfers_Storages[[#This Row],[kval_active]],dict_zuord_Transfers_Storages[[#This Row],[ID_Storages]],"")</f>
        <v>62</v>
      </c>
    </row>
    <row r="78" spans="1:4" x14ac:dyDescent="0.45">
      <c r="A78">
        <v>8</v>
      </c>
      <c r="B78">
        <f t="shared" ca="1" si="1"/>
        <v>55</v>
      </c>
      <c r="C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8">
        <f ca="1">IF(dict_zuord_Transfers_Storages[[#This Row],[kval_active]],dict_zuord_Transfers_Storages[[#This Row],[ID_Storages]],"")</f>
        <v>55</v>
      </c>
    </row>
    <row r="79" spans="1:4" x14ac:dyDescent="0.45">
      <c r="A79">
        <v>8</v>
      </c>
      <c r="B79">
        <f t="shared" ca="1" si="1"/>
        <v>27</v>
      </c>
      <c r="C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9">
        <f ca="1">IF(dict_zuord_Transfers_Storages[[#This Row],[kval_active]],dict_zuord_Transfers_Storages[[#This Row],[ID_Storages]],"")</f>
        <v>27</v>
      </c>
    </row>
    <row r="80" spans="1:4" x14ac:dyDescent="0.45">
      <c r="A80">
        <v>8</v>
      </c>
      <c r="B80">
        <f t="shared" ca="1" si="1"/>
        <v>83</v>
      </c>
      <c r="C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">
        <f ca="1">IF(dict_zuord_Transfers_Storages[[#This Row],[kval_active]],dict_zuord_Transfers_Storages[[#This Row],[ID_Storages]],"")</f>
        <v>83</v>
      </c>
    </row>
    <row r="81" spans="1:4" x14ac:dyDescent="0.45">
      <c r="A81">
        <v>8</v>
      </c>
      <c r="B81">
        <f t="shared" ca="1" si="1"/>
        <v>42</v>
      </c>
      <c r="C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">
        <f ca="1">IF(dict_zuord_Transfers_Storages[[#This Row],[kval_active]],dict_zuord_Transfers_Storages[[#This Row],[ID_Storages]],"")</f>
        <v>42</v>
      </c>
    </row>
    <row r="82" spans="1:4" x14ac:dyDescent="0.45">
      <c r="A82">
        <v>8</v>
      </c>
      <c r="B82">
        <f t="shared" ca="1" si="1"/>
        <v>55</v>
      </c>
      <c r="C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">
        <f ca="1">IF(dict_zuord_Transfers_Storages[[#This Row],[kval_active]],dict_zuord_Transfers_Storages[[#This Row],[ID_Storages]],"")</f>
        <v>55</v>
      </c>
    </row>
    <row r="83" spans="1:4" x14ac:dyDescent="0.45">
      <c r="A83">
        <v>9</v>
      </c>
      <c r="B83">
        <f t="shared" ca="1" si="1"/>
        <v>13</v>
      </c>
      <c r="C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">
        <f ca="1">IF(dict_zuord_Transfers_Storages[[#This Row],[kval_active]],dict_zuord_Transfers_Storages[[#This Row],[ID_Storages]],"")</f>
        <v>13</v>
      </c>
    </row>
    <row r="84" spans="1:4" x14ac:dyDescent="0.45">
      <c r="A84">
        <v>9</v>
      </c>
      <c r="B84">
        <f t="shared" ca="1" si="1"/>
        <v>32</v>
      </c>
      <c r="C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">
        <f ca="1">IF(dict_zuord_Transfers_Storages[[#This Row],[kval_active]],dict_zuord_Transfers_Storages[[#This Row],[ID_Storages]],"")</f>
        <v>32</v>
      </c>
    </row>
    <row r="85" spans="1:4" x14ac:dyDescent="0.45">
      <c r="A85">
        <v>9</v>
      </c>
      <c r="B85">
        <f t="shared" ca="1" si="1"/>
        <v>68</v>
      </c>
      <c r="C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">
        <f ca="1">IF(dict_zuord_Transfers_Storages[[#This Row],[kval_active]],dict_zuord_Transfers_Storages[[#This Row],[ID_Storages]],"")</f>
        <v>68</v>
      </c>
    </row>
    <row r="86" spans="1:4" x14ac:dyDescent="0.45">
      <c r="A86">
        <v>9</v>
      </c>
      <c r="B86">
        <f t="shared" ca="1" si="1"/>
        <v>16</v>
      </c>
      <c r="C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">
        <f ca="1">IF(dict_zuord_Transfers_Storages[[#This Row],[kval_active]],dict_zuord_Transfers_Storages[[#This Row],[ID_Storages]],"")</f>
        <v>16</v>
      </c>
    </row>
    <row r="87" spans="1:4" x14ac:dyDescent="0.45">
      <c r="A87">
        <v>9</v>
      </c>
      <c r="B87">
        <f t="shared" ca="1" si="1"/>
        <v>20</v>
      </c>
      <c r="C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">
        <f ca="1">IF(dict_zuord_Transfers_Storages[[#This Row],[kval_active]],dict_zuord_Transfers_Storages[[#This Row],[ID_Storages]],"")</f>
        <v>20</v>
      </c>
    </row>
    <row r="88" spans="1:4" x14ac:dyDescent="0.45">
      <c r="A88">
        <v>9</v>
      </c>
      <c r="B88">
        <f t="shared" ca="1" si="1"/>
        <v>86</v>
      </c>
      <c r="C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">
        <f ca="1">IF(dict_zuord_Transfers_Storages[[#This Row],[kval_active]],dict_zuord_Transfers_Storages[[#This Row],[ID_Storages]],"")</f>
        <v>86</v>
      </c>
    </row>
    <row r="89" spans="1:4" x14ac:dyDescent="0.45">
      <c r="A89">
        <v>9</v>
      </c>
      <c r="B89">
        <f t="shared" ca="1" si="1"/>
        <v>18</v>
      </c>
      <c r="C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">
        <f ca="1">IF(dict_zuord_Transfers_Storages[[#This Row],[kval_active]],dict_zuord_Transfers_Storages[[#This Row],[ID_Storages]],"")</f>
        <v>18</v>
      </c>
    </row>
    <row r="90" spans="1:4" x14ac:dyDescent="0.45">
      <c r="A90">
        <v>9</v>
      </c>
      <c r="B90">
        <f t="shared" ca="1" si="1"/>
        <v>24</v>
      </c>
      <c r="C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0">
        <f ca="1">IF(dict_zuord_Transfers_Storages[[#This Row],[kval_active]],dict_zuord_Transfers_Storages[[#This Row],[ID_Storages]],"")</f>
        <v>24</v>
      </c>
    </row>
    <row r="91" spans="1:4" x14ac:dyDescent="0.45">
      <c r="A91">
        <v>9</v>
      </c>
      <c r="B91">
        <f t="shared" ca="1" si="1"/>
        <v>42</v>
      </c>
      <c r="C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1">
        <f ca="1">IF(dict_zuord_Transfers_Storages[[#This Row],[kval_active]],dict_zuord_Transfers_Storages[[#This Row],[ID_Storages]],"")</f>
        <v>42</v>
      </c>
    </row>
    <row r="92" spans="1:4" x14ac:dyDescent="0.45">
      <c r="A92">
        <v>10</v>
      </c>
      <c r="B92">
        <f t="shared" ca="1" si="1"/>
        <v>9</v>
      </c>
      <c r="C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">
        <f ca="1">IF(dict_zuord_Transfers_Storages[[#This Row],[kval_active]],dict_zuord_Transfers_Storages[[#This Row],[ID_Storages]],"")</f>
        <v>9</v>
      </c>
    </row>
    <row r="93" spans="1:4" x14ac:dyDescent="0.45">
      <c r="A93">
        <v>10</v>
      </c>
      <c r="B93">
        <f t="shared" ca="1" si="1"/>
        <v>29</v>
      </c>
      <c r="C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3">
        <f ca="1">IF(dict_zuord_Transfers_Storages[[#This Row],[kval_active]],dict_zuord_Transfers_Storages[[#This Row],[ID_Storages]],"")</f>
        <v>29</v>
      </c>
    </row>
    <row r="94" spans="1:4" x14ac:dyDescent="0.45">
      <c r="A94">
        <v>10</v>
      </c>
      <c r="B94">
        <f t="shared" ca="1" si="1"/>
        <v>65</v>
      </c>
      <c r="C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4">
        <f ca="1">IF(dict_zuord_Transfers_Storages[[#This Row],[kval_active]],dict_zuord_Transfers_Storages[[#This Row],[ID_Storages]],"")</f>
        <v>65</v>
      </c>
    </row>
    <row r="95" spans="1:4" x14ac:dyDescent="0.45">
      <c r="A95">
        <v>10</v>
      </c>
      <c r="B95">
        <f t="shared" ca="1" si="1"/>
        <v>79</v>
      </c>
      <c r="C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">
        <f ca="1">IF(dict_zuord_Transfers_Storages[[#This Row],[kval_active]],dict_zuord_Transfers_Storages[[#This Row],[ID_Storages]],"")</f>
        <v>79</v>
      </c>
    </row>
    <row r="96" spans="1:4" x14ac:dyDescent="0.45">
      <c r="A96">
        <v>10</v>
      </c>
      <c r="B96">
        <f t="shared" ca="1" si="1"/>
        <v>84</v>
      </c>
      <c r="C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">
        <f ca="1">IF(dict_zuord_Transfers_Storages[[#This Row],[kval_active]],dict_zuord_Transfers_Storages[[#This Row],[ID_Storages]],"")</f>
        <v>84</v>
      </c>
    </row>
    <row r="97" spans="1:4" x14ac:dyDescent="0.45">
      <c r="A97">
        <v>10</v>
      </c>
      <c r="B97">
        <f t="shared" ca="1" si="1"/>
        <v>25</v>
      </c>
      <c r="C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">
        <f ca="1">IF(dict_zuord_Transfers_Storages[[#This Row],[kval_active]],dict_zuord_Transfers_Storages[[#This Row],[ID_Storages]],"")</f>
        <v>25</v>
      </c>
    </row>
    <row r="98" spans="1:4" x14ac:dyDescent="0.45">
      <c r="A98">
        <v>10</v>
      </c>
      <c r="B98">
        <f t="shared" ca="1" si="1"/>
        <v>27</v>
      </c>
      <c r="C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">
        <f ca="1">IF(dict_zuord_Transfers_Storages[[#This Row],[kval_active]],dict_zuord_Transfers_Storages[[#This Row],[ID_Storages]],"")</f>
        <v>27</v>
      </c>
    </row>
    <row r="99" spans="1:4" x14ac:dyDescent="0.45">
      <c r="A99">
        <v>10</v>
      </c>
      <c r="B99">
        <f t="shared" ca="1" si="1"/>
        <v>26</v>
      </c>
      <c r="C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9">
        <f ca="1">IF(dict_zuord_Transfers_Storages[[#This Row],[kval_active]],dict_zuord_Transfers_Storages[[#This Row],[ID_Storages]],"")</f>
        <v>26</v>
      </c>
    </row>
    <row r="100" spans="1:4" x14ac:dyDescent="0.45">
      <c r="A100">
        <v>10</v>
      </c>
      <c r="B100">
        <f t="shared" ca="1" si="1"/>
        <v>44</v>
      </c>
      <c r="C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">
        <f ca="1">IF(dict_zuord_Transfers_Storages[[#This Row],[kval_active]],dict_zuord_Transfers_Storages[[#This Row],[ID_Storages]],"")</f>
        <v>44</v>
      </c>
    </row>
    <row r="101" spans="1:4" x14ac:dyDescent="0.45">
      <c r="A101">
        <v>11</v>
      </c>
      <c r="B101">
        <f t="shared" ca="1" si="1"/>
        <v>98</v>
      </c>
      <c r="C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">
        <f ca="1">IF(dict_zuord_Transfers_Storages[[#This Row],[kval_active]],dict_zuord_Transfers_Storages[[#This Row],[ID_Storages]],"")</f>
        <v>98</v>
      </c>
    </row>
    <row r="102" spans="1:4" x14ac:dyDescent="0.45">
      <c r="A102">
        <v>11</v>
      </c>
      <c r="B102">
        <f t="shared" ca="1" si="1"/>
        <v>61</v>
      </c>
      <c r="C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">
        <f ca="1">IF(dict_zuord_Transfers_Storages[[#This Row],[kval_active]],dict_zuord_Transfers_Storages[[#This Row],[ID_Storages]],"")</f>
        <v>61</v>
      </c>
    </row>
    <row r="103" spans="1:4" x14ac:dyDescent="0.45">
      <c r="A103">
        <v>11</v>
      </c>
      <c r="B103">
        <f t="shared" ca="1" si="1"/>
        <v>69</v>
      </c>
      <c r="C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3">
        <f ca="1">IF(dict_zuord_Transfers_Storages[[#This Row],[kval_active]],dict_zuord_Transfers_Storages[[#This Row],[ID_Storages]],"")</f>
        <v>69</v>
      </c>
    </row>
    <row r="104" spans="1:4" x14ac:dyDescent="0.45">
      <c r="A104">
        <v>11</v>
      </c>
      <c r="B104">
        <f t="shared" ca="1" si="1"/>
        <v>5</v>
      </c>
      <c r="C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">
        <f ca="1">IF(dict_zuord_Transfers_Storages[[#This Row],[kval_active]],dict_zuord_Transfers_Storages[[#This Row],[ID_Storages]],"")</f>
        <v>5</v>
      </c>
    </row>
    <row r="105" spans="1:4" x14ac:dyDescent="0.45">
      <c r="A105">
        <v>11</v>
      </c>
      <c r="B105">
        <f t="shared" ca="1" si="1"/>
        <v>57</v>
      </c>
      <c r="C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">
        <f ca="1">IF(dict_zuord_Transfers_Storages[[#This Row],[kval_active]],dict_zuord_Transfers_Storages[[#This Row],[ID_Storages]],"")</f>
        <v>57</v>
      </c>
    </row>
    <row r="106" spans="1:4" x14ac:dyDescent="0.45">
      <c r="A106">
        <v>11</v>
      </c>
      <c r="B106">
        <f t="shared" ca="1" si="1"/>
        <v>50</v>
      </c>
      <c r="C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">
        <f ca="1">IF(dict_zuord_Transfers_Storages[[#This Row],[kval_active]],dict_zuord_Transfers_Storages[[#This Row],[ID_Storages]],"")</f>
        <v>50</v>
      </c>
    </row>
    <row r="107" spans="1:4" x14ac:dyDescent="0.45">
      <c r="A107">
        <v>11</v>
      </c>
      <c r="B107">
        <f t="shared" ca="1" si="1"/>
        <v>39</v>
      </c>
      <c r="C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7">
        <f ca="1">IF(dict_zuord_Transfers_Storages[[#This Row],[kval_active]],dict_zuord_Transfers_Storages[[#This Row],[ID_Storages]],"")</f>
        <v>39</v>
      </c>
    </row>
    <row r="108" spans="1:4" x14ac:dyDescent="0.45">
      <c r="A108">
        <v>11</v>
      </c>
      <c r="B108">
        <f t="shared" ca="1" si="1"/>
        <v>95</v>
      </c>
      <c r="C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">
        <f ca="1">IF(dict_zuord_Transfers_Storages[[#This Row],[kval_active]],dict_zuord_Transfers_Storages[[#This Row],[ID_Storages]],"")</f>
        <v>95</v>
      </c>
    </row>
    <row r="109" spans="1:4" x14ac:dyDescent="0.45">
      <c r="A109">
        <v>11</v>
      </c>
      <c r="B109">
        <f t="shared" ca="1" si="1"/>
        <v>89</v>
      </c>
      <c r="C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">
        <f ca="1">IF(dict_zuord_Transfers_Storages[[#This Row],[kval_active]],dict_zuord_Transfers_Storages[[#This Row],[ID_Storages]],"")</f>
        <v>89</v>
      </c>
    </row>
    <row r="110" spans="1:4" x14ac:dyDescent="0.45">
      <c r="A110">
        <v>12</v>
      </c>
      <c r="B110">
        <f t="shared" ca="1" si="1"/>
        <v>86</v>
      </c>
      <c r="C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" t="str">
        <f ca="1">IF(dict_zuord_Transfers_Storages[[#This Row],[kval_active]],dict_zuord_Transfers_Storages[[#This Row],[ID_Storages]],"")</f>
        <v/>
      </c>
    </row>
    <row r="111" spans="1:4" x14ac:dyDescent="0.45">
      <c r="A111">
        <v>12</v>
      </c>
      <c r="B111">
        <f t="shared" ca="1" si="1"/>
        <v>2</v>
      </c>
      <c r="C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1" t="str">
        <f ca="1">IF(dict_zuord_Transfers_Storages[[#This Row],[kval_active]],dict_zuord_Transfers_Storages[[#This Row],[ID_Storages]],"")</f>
        <v/>
      </c>
    </row>
    <row r="112" spans="1:4" x14ac:dyDescent="0.45">
      <c r="A112">
        <v>12</v>
      </c>
      <c r="B112">
        <f t="shared" ca="1" si="1"/>
        <v>77</v>
      </c>
      <c r="C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2" t="str">
        <f ca="1">IF(dict_zuord_Transfers_Storages[[#This Row],[kval_active]],dict_zuord_Transfers_Storages[[#This Row],[ID_Storages]],"")</f>
        <v/>
      </c>
    </row>
    <row r="113" spans="1:4" x14ac:dyDescent="0.45">
      <c r="A113">
        <v>12</v>
      </c>
      <c r="B113">
        <f t="shared" ca="1" si="1"/>
        <v>42</v>
      </c>
      <c r="C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3" t="str">
        <f ca="1">IF(dict_zuord_Transfers_Storages[[#This Row],[kval_active]],dict_zuord_Transfers_Storages[[#This Row],[ID_Storages]],"")</f>
        <v/>
      </c>
    </row>
    <row r="114" spans="1:4" x14ac:dyDescent="0.45">
      <c r="A114">
        <v>12</v>
      </c>
      <c r="B114">
        <f t="shared" ca="1" si="1"/>
        <v>54</v>
      </c>
      <c r="C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" t="str">
        <f ca="1">IF(dict_zuord_Transfers_Storages[[#This Row],[kval_active]],dict_zuord_Transfers_Storages[[#This Row],[ID_Storages]],"")</f>
        <v/>
      </c>
    </row>
    <row r="115" spans="1:4" x14ac:dyDescent="0.45">
      <c r="A115">
        <v>12</v>
      </c>
      <c r="B115">
        <f t="shared" ca="1" si="1"/>
        <v>10</v>
      </c>
      <c r="C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" t="str">
        <f ca="1">IF(dict_zuord_Transfers_Storages[[#This Row],[kval_active]],dict_zuord_Transfers_Storages[[#This Row],[ID_Storages]],"")</f>
        <v/>
      </c>
    </row>
    <row r="116" spans="1:4" x14ac:dyDescent="0.45">
      <c r="A116">
        <v>12</v>
      </c>
      <c r="B116">
        <f t="shared" ca="1" si="1"/>
        <v>58</v>
      </c>
      <c r="C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6" t="str">
        <f ca="1">IF(dict_zuord_Transfers_Storages[[#This Row],[kval_active]],dict_zuord_Transfers_Storages[[#This Row],[ID_Storages]],"")</f>
        <v/>
      </c>
    </row>
    <row r="117" spans="1:4" x14ac:dyDescent="0.45">
      <c r="A117">
        <v>12</v>
      </c>
      <c r="B117">
        <f t="shared" ca="1" si="1"/>
        <v>96</v>
      </c>
      <c r="C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7" t="str">
        <f ca="1">IF(dict_zuord_Transfers_Storages[[#This Row],[kval_active]],dict_zuord_Transfers_Storages[[#This Row],[ID_Storages]],"")</f>
        <v/>
      </c>
    </row>
    <row r="118" spans="1:4" x14ac:dyDescent="0.45">
      <c r="A118">
        <v>12</v>
      </c>
      <c r="B118">
        <f t="shared" ca="1" si="1"/>
        <v>98</v>
      </c>
      <c r="C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8" t="str">
        <f ca="1">IF(dict_zuord_Transfers_Storages[[#This Row],[kval_active]],dict_zuord_Transfers_Storages[[#This Row],[ID_Storages]],"")</f>
        <v/>
      </c>
    </row>
    <row r="119" spans="1:4" x14ac:dyDescent="0.45">
      <c r="A119">
        <v>13</v>
      </c>
      <c r="B119">
        <f t="shared" ca="1" si="1"/>
        <v>100</v>
      </c>
      <c r="C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" t="str">
        <f ca="1">IF(dict_zuord_Transfers_Storages[[#This Row],[kval_active]],dict_zuord_Transfers_Storages[[#This Row],[ID_Storages]],"")</f>
        <v/>
      </c>
    </row>
    <row r="120" spans="1:4" x14ac:dyDescent="0.45">
      <c r="A120">
        <v>13</v>
      </c>
      <c r="B120">
        <f t="shared" ca="1" si="1"/>
        <v>64</v>
      </c>
      <c r="C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" t="str">
        <f ca="1">IF(dict_zuord_Transfers_Storages[[#This Row],[kval_active]],dict_zuord_Transfers_Storages[[#This Row],[ID_Storages]],"")</f>
        <v/>
      </c>
    </row>
    <row r="121" spans="1:4" x14ac:dyDescent="0.45">
      <c r="A121">
        <v>13</v>
      </c>
      <c r="B121">
        <f t="shared" ca="1" si="1"/>
        <v>42</v>
      </c>
      <c r="C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" t="str">
        <f ca="1">IF(dict_zuord_Transfers_Storages[[#This Row],[kval_active]],dict_zuord_Transfers_Storages[[#This Row],[ID_Storages]],"")</f>
        <v/>
      </c>
    </row>
    <row r="122" spans="1:4" x14ac:dyDescent="0.45">
      <c r="A122">
        <v>13</v>
      </c>
      <c r="B122">
        <f t="shared" ca="1" si="1"/>
        <v>78</v>
      </c>
      <c r="C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" t="str">
        <f ca="1">IF(dict_zuord_Transfers_Storages[[#This Row],[kval_active]],dict_zuord_Transfers_Storages[[#This Row],[ID_Storages]],"")</f>
        <v/>
      </c>
    </row>
    <row r="123" spans="1:4" x14ac:dyDescent="0.45">
      <c r="A123">
        <v>13</v>
      </c>
      <c r="B123">
        <f t="shared" ca="1" si="1"/>
        <v>76</v>
      </c>
      <c r="C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3" t="str">
        <f ca="1">IF(dict_zuord_Transfers_Storages[[#This Row],[kval_active]],dict_zuord_Transfers_Storages[[#This Row],[ID_Storages]],"")</f>
        <v/>
      </c>
    </row>
    <row r="124" spans="1:4" x14ac:dyDescent="0.45">
      <c r="A124">
        <v>13</v>
      </c>
      <c r="B124">
        <f t="shared" ca="1" si="1"/>
        <v>28</v>
      </c>
      <c r="C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4" t="str">
        <f ca="1">IF(dict_zuord_Transfers_Storages[[#This Row],[kval_active]],dict_zuord_Transfers_Storages[[#This Row],[ID_Storages]],"")</f>
        <v/>
      </c>
    </row>
    <row r="125" spans="1:4" x14ac:dyDescent="0.45">
      <c r="A125">
        <v>13</v>
      </c>
      <c r="B125">
        <f t="shared" ca="1" si="1"/>
        <v>70</v>
      </c>
      <c r="C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5" t="str">
        <f ca="1">IF(dict_zuord_Transfers_Storages[[#This Row],[kval_active]],dict_zuord_Transfers_Storages[[#This Row],[ID_Storages]],"")</f>
        <v/>
      </c>
    </row>
    <row r="126" spans="1:4" x14ac:dyDescent="0.45">
      <c r="A126">
        <v>13</v>
      </c>
      <c r="B126">
        <f t="shared" ca="1" si="1"/>
        <v>16</v>
      </c>
      <c r="C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" t="str">
        <f ca="1">IF(dict_zuord_Transfers_Storages[[#This Row],[kval_active]],dict_zuord_Transfers_Storages[[#This Row],[ID_Storages]],"")</f>
        <v/>
      </c>
    </row>
    <row r="127" spans="1:4" x14ac:dyDescent="0.45">
      <c r="A127">
        <v>13</v>
      </c>
      <c r="B127">
        <f t="shared" ca="1" si="1"/>
        <v>71</v>
      </c>
      <c r="C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" t="str">
        <f ca="1">IF(dict_zuord_Transfers_Storages[[#This Row],[kval_active]],dict_zuord_Transfers_Storages[[#This Row],[ID_Storages]],"")</f>
        <v/>
      </c>
    </row>
    <row r="128" spans="1:4" x14ac:dyDescent="0.45">
      <c r="A128">
        <v>14</v>
      </c>
      <c r="B128">
        <f t="shared" ca="1" si="1"/>
        <v>31</v>
      </c>
      <c r="C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">
        <f ca="1">IF(dict_zuord_Transfers_Storages[[#This Row],[kval_active]],dict_zuord_Transfers_Storages[[#This Row],[ID_Storages]],"")</f>
        <v>31</v>
      </c>
    </row>
    <row r="129" spans="1:4" x14ac:dyDescent="0.45">
      <c r="A129">
        <v>14</v>
      </c>
      <c r="B129">
        <f t="shared" ca="1" si="1"/>
        <v>2</v>
      </c>
      <c r="C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">
        <f ca="1">IF(dict_zuord_Transfers_Storages[[#This Row],[kval_active]],dict_zuord_Transfers_Storages[[#This Row],[ID_Storages]],"")</f>
        <v>2</v>
      </c>
    </row>
    <row r="130" spans="1:4" x14ac:dyDescent="0.45">
      <c r="A130">
        <v>14</v>
      </c>
      <c r="B130">
        <f t="shared" ref="B130:B193" ca="1" si="2">RANDBETWEEN(0,100)</f>
        <v>44</v>
      </c>
      <c r="C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0">
        <f ca="1">IF(dict_zuord_Transfers_Storages[[#This Row],[kval_active]],dict_zuord_Transfers_Storages[[#This Row],[ID_Storages]],"")</f>
        <v>44</v>
      </c>
    </row>
    <row r="131" spans="1:4" x14ac:dyDescent="0.45">
      <c r="A131">
        <v>14</v>
      </c>
      <c r="B131">
        <f t="shared" ca="1" si="2"/>
        <v>8</v>
      </c>
      <c r="C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">
        <f ca="1">IF(dict_zuord_Transfers_Storages[[#This Row],[kval_active]],dict_zuord_Transfers_Storages[[#This Row],[ID_Storages]],"")</f>
        <v>8</v>
      </c>
    </row>
    <row r="132" spans="1:4" x14ac:dyDescent="0.45">
      <c r="A132">
        <v>14</v>
      </c>
      <c r="B132">
        <f t="shared" ca="1" si="2"/>
        <v>71</v>
      </c>
      <c r="C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">
        <f ca="1">IF(dict_zuord_Transfers_Storages[[#This Row],[kval_active]],dict_zuord_Transfers_Storages[[#This Row],[ID_Storages]],"")</f>
        <v>71</v>
      </c>
    </row>
    <row r="133" spans="1:4" x14ac:dyDescent="0.45">
      <c r="A133">
        <v>14</v>
      </c>
      <c r="B133">
        <f t="shared" ca="1" si="2"/>
        <v>10</v>
      </c>
      <c r="C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3">
        <f ca="1">IF(dict_zuord_Transfers_Storages[[#This Row],[kval_active]],dict_zuord_Transfers_Storages[[#This Row],[ID_Storages]],"")</f>
        <v>10</v>
      </c>
    </row>
    <row r="134" spans="1:4" x14ac:dyDescent="0.45">
      <c r="A134">
        <v>14</v>
      </c>
      <c r="B134">
        <f t="shared" ca="1" si="2"/>
        <v>0</v>
      </c>
      <c r="C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">
        <f ca="1">IF(dict_zuord_Transfers_Storages[[#This Row],[kval_active]],dict_zuord_Transfers_Storages[[#This Row],[ID_Storages]],"")</f>
        <v>0</v>
      </c>
    </row>
    <row r="135" spans="1:4" x14ac:dyDescent="0.45">
      <c r="A135">
        <v>14</v>
      </c>
      <c r="B135">
        <f t="shared" ca="1" si="2"/>
        <v>3</v>
      </c>
      <c r="C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">
        <f ca="1">IF(dict_zuord_Transfers_Storages[[#This Row],[kval_active]],dict_zuord_Transfers_Storages[[#This Row],[ID_Storages]],"")</f>
        <v>3</v>
      </c>
    </row>
    <row r="136" spans="1:4" x14ac:dyDescent="0.45">
      <c r="A136">
        <v>14</v>
      </c>
      <c r="B136">
        <f t="shared" ca="1" si="2"/>
        <v>36</v>
      </c>
      <c r="C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">
        <f ca="1">IF(dict_zuord_Transfers_Storages[[#This Row],[kval_active]],dict_zuord_Transfers_Storages[[#This Row],[ID_Storages]],"")</f>
        <v>36</v>
      </c>
    </row>
    <row r="137" spans="1:4" x14ac:dyDescent="0.45">
      <c r="A137">
        <v>15</v>
      </c>
      <c r="B137">
        <f t="shared" ca="1" si="2"/>
        <v>63</v>
      </c>
      <c r="C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">
        <f ca="1">IF(dict_zuord_Transfers_Storages[[#This Row],[kval_active]],dict_zuord_Transfers_Storages[[#This Row],[ID_Storages]],"")</f>
        <v>63</v>
      </c>
    </row>
    <row r="138" spans="1:4" x14ac:dyDescent="0.45">
      <c r="A138">
        <v>15</v>
      </c>
      <c r="B138">
        <f t="shared" ca="1" si="2"/>
        <v>90</v>
      </c>
      <c r="C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8">
        <f ca="1">IF(dict_zuord_Transfers_Storages[[#This Row],[kval_active]],dict_zuord_Transfers_Storages[[#This Row],[ID_Storages]],"")</f>
        <v>90</v>
      </c>
    </row>
    <row r="139" spans="1:4" x14ac:dyDescent="0.45">
      <c r="A139">
        <v>15</v>
      </c>
      <c r="B139">
        <f t="shared" ca="1" si="2"/>
        <v>68</v>
      </c>
      <c r="C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9">
        <f ca="1">IF(dict_zuord_Transfers_Storages[[#This Row],[kval_active]],dict_zuord_Transfers_Storages[[#This Row],[ID_Storages]],"")</f>
        <v>68</v>
      </c>
    </row>
    <row r="140" spans="1:4" x14ac:dyDescent="0.45">
      <c r="A140">
        <v>15</v>
      </c>
      <c r="B140">
        <f t="shared" ca="1" si="2"/>
        <v>10</v>
      </c>
      <c r="C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0">
        <f ca="1">IF(dict_zuord_Transfers_Storages[[#This Row],[kval_active]],dict_zuord_Transfers_Storages[[#This Row],[ID_Storages]],"")</f>
        <v>10</v>
      </c>
    </row>
    <row r="141" spans="1:4" x14ac:dyDescent="0.45">
      <c r="A141">
        <v>15</v>
      </c>
      <c r="B141">
        <f t="shared" ca="1" si="2"/>
        <v>7</v>
      </c>
      <c r="C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">
        <f ca="1">IF(dict_zuord_Transfers_Storages[[#This Row],[kval_active]],dict_zuord_Transfers_Storages[[#This Row],[ID_Storages]],"")</f>
        <v>7</v>
      </c>
    </row>
    <row r="142" spans="1:4" x14ac:dyDescent="0.45">
      <c r="A142">
        <v>15</v>
      </c>
      <c r="B142">
        <f t="shared" ca="1" si="2"/>
        <v>53</v>
      </c>
      <c r="C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">
        <f ca="1">IF(dict_zuord_Transfers_Storages[[#This Row],[kval_active]],dict_zuord_Transfers_Storages[[#This Row],[ID_Storages]],"")</f>
        <v>53</v>
      </c>
    </row>
    <row r="143" spans="1:4" x14ac:dyDescent="0.45">
      <c r="A143">
        <v>15</v>
      </c>
      <c r="B143">
        <f t="shared" ca="1" si="2"/>
        <v>96</v>
      </c>
      <c r="C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">
        <f ca="1">IF(dict_zuord_Transfers_Storages[[#This Row],[kval_active]],dict_zuord_Transfers_Storages[[#This Row],[ID_Storages]],"")</f>
        <v>96</v>
      </c>
    </row>
    <row r="144" spans="1:4" x14ac:dyDescent="0.45">
      <c r="A144">
        <v>15</v>
      </c>
      <c r="B144">
        <f t="shared" ca="1" si="2"/>
        <v>23</v>
      </c>
      <c r="C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">
        <f ca="1">IF(dict_zuord_Transfers_Storages[[#This Row],[kval_active]],dict_zuord_Transfers_Storages[[#This Row],[ID_Storages]],"")</f>
        <v>23</v>
      </c>
    </row>
    <row r="145" spans="1:4" x14ac:dyDescent="0.45">
      <c r="A145">
        <v>15</v>
      </c>
      <c r="B145">
        <f t="shared" ca="1" si="2"/>
        <v>21</v>
      </c>
      <c r="C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">
        <f ca="1">IF(dict_zuord_Transfers_Storages[[#This Row],[kval_active]],dict_zuord_Transfers_Storages[[#This Row],[ID_Storages]],"")</f>
        <v>21</v>
      </c>
    </row>
    <row r="146" spans="1:4" x14ac:dyDescent="0.45">
      <c r="A146">
        <v>16</v>
      </c>
      <c r="B146">
        <f t="shared" ca="1" si="2"/>
        <v>45</v>
      </c>
      <c r="C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">
        <f ca="1">IF(dict_zuord_Transfers_Storages[[#This Row],[kval_active]],dict_zuord_Transfers_Storages[[#This Row],[ID_Storages]],"")</f>
        <v>45</v>
      </c>
    </row>
    <row r="147" spans="1:4" x14ac:dyDescent="0.45">
      <c r="A147">
        <v>16</v>
      </c>
      <c r="B147">
        <f t="shared" ca="1" si="2"/>
        <v>9</v>
      </c>
      <c r="C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">
        <f ca="1">IF(dict_zuord_Transfers_Storages[[#This Row],[kval_active]],dict_zuord_Transfers_Storages[[#This Row],[ID_Storages]],"")</f>
        <v>9</v>
      </c>
    </row>
    <row r="148" spans="1:4" x14ac:dyDescent="0.45">
      <c r="A148">
        <v>16</v>
      </c>
      <c r="B148">
        <f t="shared" ca="1" si="2"/>
        <v>50</v>
      </c>
      <c r="C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">
        <f ca="1">IF(dict_zuord_Transfers_Storages[[#This Row],[kval_active]],dict_zuord_Transfers_Storages[[#This Row],[ID_Storages]],"")</f>
        <v>50</v>
      </c>
    </row>
    <row r="149" spans="1:4" x14ac:dyDescent="0.45">
      <c r="A149">
        <v>16</v>
      </c>
      <c r="B149">
        <f t="shared" ca="1" si="2"/>
        <v>13</v>
      </c>
      <c r="C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">
        <f ca="1">IF(dict_zuord_Transfers_Storages[[#This Row],[kval_active]],dict_zuord_Transfers_Storages[[#This Row],[ID_Storages]],"")</f>
        <v>13</v>
      </c>
    </row>
    <row r="150" spans="1:4" x14ac:dyDescent="0.45">
      <c r="A150">
        <v>16</v>
      </c>
      <c r="B150">
        <f t="shared" ca="1" si="2"/>
        <v>100</v>
      </c>
      <c r="C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0">
        <f ca="1">IF(dict_zuord_Transfers_Storages[[#This Row],[kval_active]],dict_zuord_Transfers_Storages[[#This Row],[ID_Storages]],"")</f>
        <v>100</v>
      </c>
    </row>
    <row r="151" spans="1:4" x14ac:dyDescent="0.45">
      <c r="A151">
        <v>16</v>
      </c>
      <c r="B151">
        <f t="shared" ca="1" si="2"/>
        <v>20</v>
      </c>
      <c r="C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">
        <f ca="1">IF(dict_zuord_Transfers_Storages[[#This Row],[kval_active]],dict_zuord_Transfers_Storages[[#This Row],[ID_Storages]],"")</f>
        <v>20</v>
      </c>
    </row>
    <row r="152" spans="1:4" x14ac:dyDescent="0.45">
      <c r="A152">
        <v>16</v>
      </c>
      <c r="B152">
        <f t="shared" ca="1" si="2"/>
        <v>81</v>
      </c>
      <c r="C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">
        <f ca="1">IF(dict_zuord_Transfers_Storages[[#This Row],[kval_active]],dict_zuord_Transfers_Storages[[#This Row],[ID_Storages]],"")</f>
        <v>81</v>
      </c>
    </row>
    <row r="153" spans="1:4" x14ac:dyDescent="0.45">
      <c r="A153">
        <v>16</v>
      </c>
      <c r="B153">
        <f t="shared" ca="1" si="2"/>
        <v>75</v>
      </c>
      <c r="C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">
        <f ca="1">IF(dict_zuord_Transfers_Storages[[#This Row],[kval_active]],dict_zuord_Transfers_Storages[[#This Row],[ID_Storages]],"")</f>
        <v>75</v>
      </c>
    </row>
    <row r="154" spans="1:4" x14ac:dyDescent="0.45">
      <c r="A154">
        <v>16</v>
      </c>
      <c r="B154">
        <f t="shared" ca="1" si="2"/>
        <v>12</v>
      </c>
      <c r="C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4">
        <f ca="1">IF(dict_zuord_Transfers_Storages[[#This Row],[kval_active]],dict_zuord_Transfers_Storages[[#This Row],[ID_Storages]],"")</f>
        <v>12</v>
      </c>
    </row>
    <row r="155" spans="1:4" x14ac:dyDescent="0.45">
      <c r="A155">
        <v>17</v>
      </c>
      <c r="B155">
        <f t="shared" ca="1" si="2"/>
        <v>62</v>
      </c>
      <c r="C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" t="str">
        <f ca="1">IF(dict_zuord_Transfers_Storages[[#This Row],[kval_active]],dict_zuord_Transfers_Storages[[#This Row],[ID_Storages]],"")</f>
        <v/>
      </c>
    </row>
    <row r="156" spans="1:4" x14ac:dyDescent="0.45">
      <c r="A156">
        <v>17</v>
      </c>
      <c r="B156">
        <f t="shared" ca="1" si="2"/>
        <v>97</v>
      </c>
      <c r="C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" t="str">
        <f ca="1">IF(dict_zuord_Transfers_Storages[[#This Row],[kval_active]],dict_zuord_Transfers_Storages[[#This Row],[ID_Storages]],"")</f>
        <v/>
      </c>
    </row>
    <row r="157" spans="1:4" x14ac:dyDescent="0.45">
      <c r="A157">
        <v>17</v>
      </c>
      <c r="B157">
        <f t="shared" ca="1" si="2"/>
        <v>33</v>
      </c>
      <c r="C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" t="str">
        <f ca="1">IF(dict_zuord_Transfers_Storages[[#This Row],[kval_active]],dict_zuord_Transfers_Storages[[#This Row],[ID_Storages]],"")</f>
        <v/>
      </c>
    </row>
    <row r="158" spans="1:4" x14ac:dyDescent="0.45">
      <c r="A158">
        <v>17</v>
      </c>
      <c r="B158">
        <f t="shared" ca="1" si="2"/>
        <v>6</v>
      </c>
      <c r="C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8" t="str">
        <f ca="1">IF(dict_zuord_Transfers_Storages[[#This Row],[kval_active]],dict_zuord_Transfers_Storages[[#This Row],[ID_Storages]],"")</f>
        <v/>
      </c>
    </row>
    <row r="159" spans="1:4" x14ac:dyDescent="0.45">
      <c r="A159">
        <v>17</v>
      </c>
      <c r="B159">
        <f t="shared" ca="1" si="2"/>
        <v>45</v>
      </c>
      <c r="C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9" t="str">
        <f ca="1">IF(dict_zuord_Transfers_Storages[[#This Row],[kval_active]],dict_zuord_Transfers_Storages[[#This Row],[ID_Storages]],"")</f>
        <v/>
      </c>
    </row>
    <row r="160" spans="1:4" x14ac:dyDescent="0.45">
      <c r="A160">
        <v>17</v>
      </c>
      <c r="B160">
        <f t="shared" ca="1" si="2"/>
        <v>77</v>
      </c>
      <c r="C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0" t="str">
        <f ca="1">IF(dict_zuord_Transfers_Storages[[#This Row],[kval_active]],dict_zuord_Transfers_Storages[[#This Row],[ID_Storages]],"")</f>
        <v/>
      </c>
    </row>
    <row r="161" spans="1:4" x14ac:dyDescent="0.45">
      <c r="A161">
        <v>17</v>
      </c>
      <c r="B161">
        <f t="shared" ca="1" si="2"/>
        <v>98</v>
      </c>
      <c r="C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1" t="str">
        <f ca="1">IF(dict_zuord_Transfers_Storages[[#This Row],[kval_active]],dict_zuord_Transfers_Storages[[#This Row],[ID_Storages]],"")</f>
        <v/>
      </c>
    </row>
    <row r="162" spans="1:4" x14ac:dyDescent="0.45">
      <c r="A162">
        <v>17</v>
      </c>
      <c r="B162">
        <f t="shared" ca="1" si="2"/>
        <v>77</v>
      </c>
      <c r="C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2" t="str">
        <f ca="1">IF(dict_zuord_Transfers_Storages[[#This Row],[kval_active]],dict_zuord_Transfers_Storages[[#This Row],[ID_Storages]],"")</f>
        <v/>
      </c>
    </row>
    <row r="163" spans="1:4" x14ac:dyDescent="0.45">
      <c r="A163">
        <v>17</v>
      </c>
      <c r="B163">
        <f t="shared" ca="1" si="2"/>
        <v>86</v>
      </c>
      <c r="C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" t="str">
        <f ca="1">IF(dict_zuord_Transfers_Storages[[#This Row],[kval_active]],dict_zuord_Transfers_Storages[[#This Row],[ID_Storages]],"")</f>
        <v/>
      </c>
    </row>
    <row r="164" spans="1:4" x14ac:dyDescent="0.45">
      <c r="A164">
        <v>18</v>
      </c>
      <c r="B164">
        <f t="shared" ca="1" si="2"/>
        <v>30</v>
      </c>
      <c r="C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">
        <f ca="1">IF(dict_zuord_Transfers_Storages[[#This Row],[kval_active]],dict_zuord_Transfers_Storages[[#This Row],[ID_Storages]],"")</f>
        <v>30</v>
      </c>
    </row>
    <row r="165" spans="1:4" x14ac:dyDescent="0.45">
      <c r="A165">
        <v>18</v>
      </c>
      <c r="B165">
        <f t="shared" ca="1" si="2"/>
        <v>88</v>
      </c>
      <c r="C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">
        <f ca="1">IF(dict_zuord_Transfers_Storages[[#This Row],[kval_active]],dict_zuord_Transfers_Storages[[#This Row],[ID_Storages]],"")</f>
        <v>88</v>
      </c>
    </row>
    <row r="166" spans="1:4" x14ac:dyDescent="0.45">
      <c r="A166">
        <v>18</v>
      </c>
      <c r="B166">
        <f t="shared" ca="1" si="2"/>
        <v>9</v>
      </c>
      <c r="C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">
        <f ca="1">IF(dict_zuord_Transfers_Storages[[#This Row],[kval_active]],dict_zuord_Transfers_Storages[[#This Row],[ID_Storages]],"")</f>
        <v>9</v>
      </c>
    </row>
    <row r="167" spans="1:4" x14ac:dyDescent="0.45">
      <c r="A167">
        <v>18</v>
      </c>
      <c r="B167">
        <f t="shared" ca="1" si="2"/>
        <v>96</v>
      </c>
      <c r="C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">
        <f ca="1">IF(dict_zuord_Transfers_Storages[[#This Row],[kval_active]],dict_zuord_Transfers_Storages[[#This Row],[ID_Storages]],"")</f>
        <v>96</v>
      </c>
    </row>
    <row r="168" spans="1:4" x14ac:dyDescent="0.45">
      <c r="A168">
        <v>18</v>
      </c>
      <c r="B168">
        <f t="shared" ca="1" si="2"/>
        <v>57</v>
      </c>
      <c r="C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8">
        <f ca="1">IF(dict_zuord_Transfers_Storages[[#This Row],[kval_active]],dict_zuord_Transfers_Storages[[#This Row],[ID_Storages]],"")</f>
        <v>57</v>
      </c>
    </row>
    <row r="169" spans="1:4" x14ac:dyDescent="0.45">
      <c r="A169">
        <v>18</v>
      </c>
      <c r="B169">
        <f t="shared" ca="1" si="2"/>
        <v>72</v>
      </c>
      <c r="C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">
        <f ca="1">IF(dict_zuord_Transfers_Storages[[#This Row],[kval_active]],dict_zuord_Transfers_Storages[[#This Row],[ID_Storages]],"")</f>
        <v>72</v>
      </c>
    </row>
    <row r="170" spans="1:4" x14ac:dyDescent="0.45">
      <c r="A170">
        <v>18</v>
      </c>
      <c r="B170">
        <f t="shared" ca="1" si="2"/>
        <v>67</v>
      </c>
      <c r="C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">
        <f ca="1">IF(dict_zuord_Transfers_Storages[[#This Row],[kval_active]],dict_zuord_Transfers_Storages[[#This Row],[ID_Storages]],"")</f>
        <v>67</v>
      </c>
    </row>
    <row r="171" spans="1:4" x14ac:dyDescent="0.45">
      <c r="A171">
        <v>18</v>
      </c>
      <c r="B171">
        <f t="shared" ca="1" si="2"/>
        <v>81</v>
      </c>
      <c r="C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">
        <f ca="1">IF(dict_zuord_Transfers_Storages[[#This Row],[kval_active]],dict_zuord_Transfers_Storages[[#This Row],[ID_Storages]],"")</f>
        <v>81</v>
      </c>
    </row>
    <row r="172" spans="1:4" x14ac:dyDescent="0.45">
      <c r="A172">
        <v>18</v>
      </c>
      <c r="B172">
        <f t="shared" ca="1" si="2"/>
        <v>75</v>
      </c>
      <c r="C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2">
        <f ca="1">IF(dict_zuord_Transfers_Storages[[#This Row],[kval_active]],dict_zuord_Transfers_Storages[[#This Row],[ID_Storages]],"")</f>
        <v>75</v>
      </c>
    </row>
    <row r="173" spans="1:4" x14ac:dyDescent="0.45">
      <c r="A173">
        <v>19</v>
      </c>
      <c r="B173">
        <f t="shared" ca="1" si="2"/>
        <v>54</v>
      </c>
      <c r="C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3" t="str">
        <f ca="1">IF(dict_zuord_Transfers_Storages[[#This Row],[kval_active]],dict_zuord_Transfers_Storages[[#This Row],[ID_Storages]],"")</f>
        <v/>
      </c>
    </row>
    <row r="174" spans="1:4" x14ac:dyDescent="0.45">
      <c r="A174">
        <v>19</v>
      </c>
      <c r="B174">
        <f t="shared" ca="1" si="2"/>
        <v>54</v>
      </c>
      <c r="C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4" t="str">
        <f ca="1">IF(dict_zuord_Transfers_Storages[[#This Row],[kval_active]],dict_zuord_Transfers_Storages[[#This Row],[ID_Storages]],"")</f>
        <v/>
      </c>
    </row>
    <row r="175" spans="1:4" x14ac:dyDescent="0.45">
      <c r="A175">
        <v>19</v>
      </c>
      <c r="B175">
        <f t="shared" ca="1" si="2"/>
        <v>27</v>
      </c>
      <c r="C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5" t="str">
        <f ca="1">IF(dict_zuord_Transfers_Storages[[#This Row],[kval_active]],dict_zuord_Transfers_Storages[[#This Row],[ID_Storages]],"")</f>
        <v/>
      </c>
    </row>
    <row r="176" spans="1:4" x14ac:dyDescent="0.45">
      <c r="A176">
        <v>19</v>
      </c>
      <c r="B176">
        <f t="shared" ca="1" si="2"/>
        <v>77</v>
      </c>
      <c r="C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6" t="str">
        <f ca="1">IF(dict_zuord_Transfers_Storages[[#This Row],[kval_active]],dict_zuord_Transfers_Storages[[#This Row],[ID_Storages]],"")</f>
        <v/>
      </c>
    </row>
    <row r="177" spans="1:4" x14ac:dyDescent="0.45">
      <c r="A177">
        <v>19</v>
      </c>
      <c r="B177">
        <f t="shared" ca="1" si="2"/>
        <v>38</v>
      </c>
      <c r="C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7" t="str">
        <f ca="1">IF(dict_zuord_Transfers_Storages[[#This Row],[kval_active]],dict_zuord_Transfers_Storages[[#This Row],[ID_Storages]],"")</f>
        <v/>
      </c>
    </row>
    <row r="178" spans="1:4" x14ac:dyDescent="0.45">
      <c r="A178">
        <v>19</v>
      </c>
      <c r="B178">
        <f t="shared" ca="1" si="2"/>
        <v>26</v>
      </c>
      <c r="C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8" t="str">
        <f ca="1">IF(dict_zuord_Transfers_Storages[[#This Row],[kval_active]],dict_zuord_Transfers_Storages[[#This Row],[ID_Storages]],"")</f>
        <v/>
      </c>
    </row>
    <row r="179" spans="1:4" x14ac:dyDescent="0.45">
      <c r="A179">
        <v>19</v>
      </c>
      <c r="B179">
        <f t="shared" ca="1" si="2"/>
        <v>62</v>
      </c>
      <c r="C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9" t="str">
        <f ca="1">IF(dict_zuord_Transfers_Storages[[#This Row],[kval_active]],dict_zuord_Transfers_Storages[[#This Row],[ID_Storages]],"")</f>
        <v/>
      </c>
    </row>
    <row r="180" spans="1:4" x14ac:dyDescent="0.45">
      <c r="A180">
        <v>19</v>
      </c>
      <c r="B180">
        <f t="shared" ca="1" si="2"/>
        <v>70</v>
      </c>
      <c r="C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" t="str">
        <f ca="1">IF(dict_zuord_Transfers_Storages[[#This Row],[kval_active]],dict_zuord_Transfers_Storages[[#This Row],[ID_Storages]],"")</f>
        <v/>
      </c>
    </row>
    <row r="181" spans="1:4" x14ac:dyDescent="0.45">
      <c r="A181">
        <v>19</v>
      </c>
      <c r="B181">
        <f t="shared" ca="1" si="2"/>
        <v>83</v>
      </c>
      <c r="C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1" t="str">
        <f ca="1">IF(dict_zuord_Transfers_Storages[[#This Row],[kval_active]],dict_zuord_Transfers_Storages[[#This Row],[ID_Storages]],"")</f>
        <v/>
      </c>
    </row>
    <row r="182" spans="1:4" x14ac:dyDescent="0.45">
      <c r="A182">
        <v>20</v>
      </c>
      <c r="B182">
        <f t="shared" ca="1" si="2"/>
        <v>80</v>
      </c>
      <c r="C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2" t="str">
        <f ca="1">IF(dict_zuord_Transfers_Storages[[#This Row],[kval_active]],dict_zuord_Transfers_Storages[[#This Row],[ID_Storages]],"")</f>
        <v/>
      </c>
    </row>
    <row r="183" spans="1:4" x14ac:dyDescent="0.45">
      <c r="A183">
        <v>20</v>
      </c>
      <c r="B183">
        <f t="shared" ca="1" si="2"/>
        <v>64</v>
      </c>
      <c r="C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3" t="str">
        <f ca="1">IF(dict_zuord_Transfers_Storages[[#This Row],[kval_active]],dict_zuord_Transfers_Storages[[#This Row],[ID_Storages]],"")</f>
        <v/>
      </c>
    </row>
    <row r="184" spans="1:4" x14ac:dyDescent="0.45">
      <c r="A184">
        <v>20</v>
      </c>
      <c r="B184">
        <f t="shared" ca="1" si="2"/>
        <v>97</v>
      </c>
      <c r="C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4" t="str">
        <f ca="1">IF(dict_zuord_Transfers_Storages[[#This Row],[kval_active]],dict_zuord_Transfers_Storages[[#This Row],[ID_Storages]],"")</f>
        <v/>
      </c>
    </row>
    <row r="185" spans="1:4" x14ac:dyDescent="0.45">
      <c r="A185">
        <v>20</v>
      </c>
      <c r="B185">
        <f t="shared" ca="1" si="2"/>
        <v>82</v>
      </c>
      <c r="C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5" t="str">
        <f ca="1">IF(dict_zuord_Transfers_Storages[[#This Row],[kval_active]],dict_zuord_Transfers_Storages[[#This Row],[ID_Storages]],"")</f>
        <v/>
      </c>
    </row>
    <row r="186" spans="1:4" x14ac:dyDescent="0.45">
      <c r="A186">
        <v>20</v>
      </c>
      <c r="B186">
        <f t="shared" ca="1" si="2"/>
        <v>8</v>
      </c>
      <c r="C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6" t="str">
        <f ca="1">IF(dict_zuord_Transfers_Storages[[#This Row],[kval_active]],dict_zuord_Transfers_Storages[[#This Row],[ID_Storages]],"")</f>
        <v/>
      </c>
    </row>
    <row r="187" spans="1:4" x14ac:dyDescent="0.45">
      <c r="A187">
        <v>20</v>
      </c>
      <c r="B187">
        <f t="shared" ca="1" si="2"/>
        <v>86</v>
      </c>
      <c r="C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7" t="str">
        <f ca="1">IF(dict_zuord_Transfers_Storages[[#This Row],[kval_active]],dict_zuord_Transfers_Storages[[#This Row],[ID_Storages]],"")</f>
        <v/>
      </c>
    </row>
    <row r="188" spans="1:4" x14ac:dyDescent="0.45">
      <c r="A188">
        <v>20</v>
      </c>
      <c r="B188">
        <f t="shared" ca="1" si="2"/>
        <v>26</v>
      </c>
      <c r="C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8" t="str">
        <f ca="1">IF(dict_zuord_Transfers_Storages[[#This Row],[kval_active]],dict_zuord_Transfers_Storages[[#This Row],[ID_Storages]],"")</f>
        <v/>
      </c>
    </row>
    <row r="189" spans="1:4" x14ac:dyDescent="0.45">
      <c r="A189">
        <v>20</v>
      </c>
      <c r="B189">
        <f t="shared" ca="1" si="2"/>
        <v>40</v>
      </c>
      <c r="C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9" t="str">
        <f ca="1">IF(dict_zuord_Transfers_Storages[[#This Row],[kval_active]],dict_zuord_Transfers_Storages[[#This Row],[ID_Storages]],"")</f>
        <v/>
      </c>
    </row>
    <row r="190" spans="1:4" x14ac:dyDescent="0.45">
      <c r="A190">
        <v>20</v>
      </c>
      <c r="B190">
        <f t="shared" ca="1" si="2"/>
        <v>31</v>
      </c>
      <c r="C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0" t="str">
        <f ca="1">IF(dict_zuord_Transfers_Storages[[#This Row],[kval_active]],dict_zuord_Transfers_Storages[[#This Row],[ID_Storages]],"")</f>
        <v/>
      </c>
    </row>
    <row r="191" spans="1:4" x14ac:dyDescent="0.45">
      <c r="A191">
        <v>21</v>
      </c>
      <c r="B191">
        <f t="shared" ca="1" si="2"/>
        <v>77</v>
      </c>
      <c r="C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1" t="str">
        <f ca="1">IF(dict_zuord_Transfers_Storages[[#This Row],[kval_active]],dict_zuord_Transfers_Storages[[#This Row],[ID_Storages]],"")</f>
        <v/>
      </c>
    </row>
    <row r="192" spans="1:4" x14ac:dyDescent="0.45">
      <c r="A192">
        <v>21</v>
      </c>
      <c r="B192">
        <f t="shared" ca="1" si="2"/>
        <v>18</v>
      </c>
      <c r="C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2" t="str">
        <f ca="1">IF(dict_zuord_Transfers_Storages[[#This Row],[kval_active]],dict_zuord_Transfers_Storages[[#This Row],[ID_Storages]],"")</f>
        <v/>
      </c>
    </row>
    <row r="193" spans="1:4" x14ac:dyDescent="0.45">
      <c r="A193">
        <v>21</v>
      </c>
      <c r="B193">
        <f t="shared" ca="1" si="2"/>
        <v>6</v>
      </c>
      <c r="C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3" t="str">
        <f ca="1">IF(dict_zuord_Transfers_Storages[[#This Row],[kval_active]],dict_zuord_Transfers_Storages[[#This Row],[ID_Storages]],"")</f>
        <v/>
      </c>
    </row>
    <row r="194" spans="1:4" x14ac:dyDescent="0.45">
      <c r="A194">
        <v>21</v>
      </c>
      <c r="B194">
        <f t="shared" ref="B194:B257" ca="1" si="3">RANDBETWEEN(0,100)</f>
        <v>2</v>
      </c>
      <c r="C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4" t="str">
        <f ca="1">IF(dict_zuord_Transfers_Storages[[#This Row],[kval_active]],dict_zuord_Transfers_Storages[[#This Row],[ID_Storages]],"")</f>
        <v/>
      </c>
    </row>
    <row r="195" spans="1:4" x14ac:dyDescent="0.45">
      <c r="A195">
        <v>21</v>
      </c>
      <c r="B195">
        <f t="shared" ca="1" si="3"/>
        <v>42</v>
      </c>
      <c r="C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5" t="str">
        <f ca="1">IF(dict_zuord_Transfers_Storages[[#This Row],[kval_active]],dict_zuord_Transfers_Storages[[#This Row],[ID_Storages]],"")</f>
        <v/>
      </c>
    </row>
    <row r="196" spans="1:4" x14ac:dyDescent="0.45">
      <c r="A196">
        <v>21</v>
      </c>
      <c r="B196">
        <f t="shared" ca="1" si="3"/>
        <v>45</v>
      </c>
      <c r="C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6" t="str">
        <f ca="1">IF(dict_zuord_Transfers_Storages[[#This Row],[kval_active]],dict_zuord_Transfers_Storages[[#This Row],[ID_Storages]],"")</f>
        <v/>
      </c>
    </row>
    <row r="197" spans="1:4" x14ac:dyDescent="0.45">
      <c r="A197">
        <v>21</v>
      </c>
      <c r="B197">
        <f t="shared" ca="1" si="3"/>
        <v>80</v>
      </c>
      <c r="C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7" t="str">
        <f ca="1">IF(dict_zuord_Transfers_Storages[[#This Row],[kval_active]],dict_zuord_Transfers_Storages[[#This Row],[ID_Storages]],"")</f>
        <v/>
      </c>
    </row>
    <row r="198" spans="1:4" x14ac:dyDescent="0.45">
      <c r="A198">
        <v>21</v>
      </c>
      <c r="B198">
        <f t="shared" ca="1" si="3"/>
        <v>43</v>
      </c>
      <c r="C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8" t="str">
        <f ca="1">IF(dict_zuord_Transfers_Storages[[#This Row],[kval_active]],dict_zuord_Transfers_Storages[[#This Row],[ID_Storages]],"")</f>
        <v/>
      </c>
    </row>
    <row r="199" spans="1:4" x14ac:dyDescent="0.45">
      <c r="A199">
        <v>21</v>
      </c>
      <c r="B199">
        <f t="shared" ca="1" si="3"/>
        <v>6</v>
      </c>
      <c r="C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99" t="str">
        <f ca="1">IF(dict_zuord_Transfers_Storages[[#This Row],[kval_active]],dict_zuord_Transfers_Storages[[#This Row],[ID_Storages]],"")</f>
        <v/>
      </c>
    </row>
    <row r="200" spans="1:4" x14ac:dyDescent="0.45">
      <c r="A200">
        <v>22</v>
      </c>
      <c r="B200">
        <f t="shared" ca="1" si="3"/>
        <v>47</v>
      </c>
      <c r="C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0" t="str">
        <f ca="1">IF(dict_zuord_Transfers_Storages[[#This Row],[kval_active]],dict_zuord_Transfers_Storages[[#This Row],[ID_Storages]],"")</f>
        <v/>
      </c>
    </row>
    <row r="201" spans="1:4" x14ac:dyDescent="0.45">
      <c r="A201">
        <v>22</v>
      </c>
      <c r="B201">
        <f t="shared" ca="1" si="3"/>
        <v>43</v>
      </c>
      <c r="C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1" t="str">
        <f ca="1">IF(dict_zuord_Transfers_Storages[[#This Row],[kval_active]],dict_zuord_Transfers_Storages[[#This Row],[ID_Storages]],"")</f>
        <v/>
      </c>
    </row>
    <row r="202" spans="1:4" x14ac:dyDescent="0.45">
      <c r="A202">
        <v>22</v>
      </c>
      <c r="B202">
        <f t="shared" ca="1" si="3"/>
        <v>8</v>
      </c>
      <c r="C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2" t="str">
        <f ca="1">IF(dict_zuord_Transfers_Storages[[#This Row],[kval_active]],dict_zuord_Transfers_Storages[[#This Row],[ID_Storages]],"")</f>
        <v/>
      </c>
    </row>
    <row r="203" spans="1:4" x14ac:dyDescent="0.45">
      <c r="A203">
        <v>22</v>
      </c>
      <c r="B203">
        <f t="shared" ca="1" si="3"/>
        <v>76</v>
      </c>
      <c r="C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3" t="str">
        <f ca="1">IF(dict_zuord_Transfers_Storages[[#This Row],[kval_active]],dict_zuord_Transfers_Storages[[#This Row],[ID_Storages]],"")</f>
        <v/>
      </c>
    </row>
    <row r="204" spans="1:4" x14ac:dyDescent="0.45">
      <c r="A204">
        <v>22</v>
      </c>
      <c r="B204">
        <f t="shared" ca="1" si="3"/>
        <v>88</v>
      </c>
      <c r="C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4" t="str">
        <f ca="1">IF(dict_zuord_Transfers_Storages[[#This Row],[kval_active]],dict_zuord_Transfers_Storages[[#This Row],[ID_Storages]],"")</f>
        <v/>
      </c>
    </row>
    <row r="205" spans="1:4" x14ac:dyDescent="0.45">
      <c r="A205">
        <v>22</v>
      </c>
      <c r="B205">
        <f t="shared" ca="1" si="3"/>
        <v>95</v>
      </c>
      <c r="C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5" t="str">
        <f ca="1">IF(dict_zuord_Transfers_Storages[[#This Row],[kval_active]],dict_zuord_Transfers_Storages[[#This Row],[ID_Storages]],"")</f>
        <v/>
      </c>
    </row>
    <row r="206" spans="1:4" x14ac:dyDescent="0.45">
      <c r="A206">
        <v>22</v>
      </c>
      <c r="B206">
        <f t="shared" ca="1" si="3"/>
        <v>20</v>
      </c>
      <c r="C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6" t="str">
        <f ca="1">IF(dict_zuord_Transfers_Storages[[#This Row],[kval_active]],dict_zuord_Transfers_Storages[[#This Row],[ID_Storages]],"")</f>
        <v/>
      </c>
    </row>
    <row r="207" spans="1:4" x14ac:dyDescent="0.45">
      <c r="A207">
        <v>22</v>
      </c>
      <c r="B207">
        <f t="shared" ca="1" si="3"/>
        <v>50</v>
      </c>
      <c r="C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7" t="str">
        <f ca="1">IF(dict_zuord_Transfers_Storages[[#This Row],[kval_active]],dict_zuord_Transfers_Storages[[#This Row],[ID_Storages]],"")</f>
        <v/>
      </c>
    </row>
    <row r="208" spans="1:4" x14ac:dyDescent="0.45">
      <c r="A208">
        <v>22</v>
      </c>
      <c r="B208">
        <f t="shared" ca="1" si="3"/>
        <v>59</v>
      </c>
      <c r="C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08" t="str">
        <f ca="1">IF(dict_zuord_Transfers_Storages[[#This Row],[kval_active]],dict_zuord_Transfers_Storages[[#This Row],[ID_Storages]],"")</f>
        <v/>
      </c>
    </row>
    <row r="209" spans="1:4" x14ac:dyDescent="0.45">
      <c r="A209">
        <v>23</v>
      </c>
      <c r="B209">
        <f t="shared" ca="1" si="3"/>
        <v>55</v>
      </c>
      <c r="C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09">
        <f ca="1">IF(dict_zuord_Transfers_Storages[[#This Row],[kval_active]],dict_zuord_Transfers_Storages[[#This Row],[ID_Storages]],"")</f>
        <v>55</v>
      </c>
    </row>
    <row r="210" spans="1:4" x14ac:dyDescent="0.45">
      <c r="A210">
        <v>23</v>
      </c>
      <c r="B210">
        <f t="shared" ca="1" si="3"/>
        <v>35</v>
      </c>
      <c r="C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0">
        <f ca="1">IF(dict_zuord_Transfers_Storages[[#This Row],[kval_active]],dict_zuord_Transfers_Storages[[#This Row],[ID_Storages]],"")</f>
        <v>35</v>
      </c>
    </row>
    <row r="211" spans="1:4" x14ac:dyDescent="0.45">
      <c r="A211">
        <v>23</v>
      </c>
      <c r="B211">
        <f t="shared" ca="1" si="3"/>
        <v>61</v>
      </c>
      <c r="C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1">
        <f ca="1">IF(dict_zuord_Transfers_Storages[[#This Row],[kval_active]],dict_zuord_Transfers_Storages[[#This Row],[ID_Storages]],"")</f>
        <v>61</v>
      </c>
    </row>
    <row r="212" spans="1:4" x14ac:dyDescent="0.45">
      <c r="A212">
        <v>23</v>
      </c>
      <c r="B212">
        <f t="shared" ca="1" si="3"/>
        <v>9</v>
      </c>
      <c r="C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2">
        <f ca="1">IF(dict_zuord_Transfers_Storages[[#This Row],[kval_active]],dict_zuord_Transfers_Storages[[#This Row],[ID_Storages]],"")</f>
        <v>9</v>
      </c>
    </row>
    <row r="213" spans="1:4" x14ac:dyDescent="0.45">
      <c r="A213">
        <v>23</v>
      </c>
      <c r="B213">
        <f t="shared" ca="1" si="3"/>
        <v>76</v>
      </c>
      <c r="C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3">
        <f ca="1">IF(dict_zuord_Transfers_Storages[[#This Row],[kval_active]],dict_zuord_Transfers_Storages[[#This Row],[ID_Storages]],"")</f>
        <v>76</v>
      </c>
    </row>
    <row r="214" spans="1:4" x14ac:dyDescent="0.45">
      <c r="A214">
        <v>23</v>
      </c>
      <c r="B214">
        <f t="shared" ca="1" si="3"/>
        <v>24</v>
      </c>
      <c r="C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4">
        <f ca="1">IF(dict_zuord_Transfers_Storages[[#This Row],[kval_active]],dict_zuord_Transfers_Storages[[#This Row],[ID_Storages]],"")</f>
        <v>24</v>
      </c>
    </row>
    <row r="215" spans="1:4" x14ac:dyDescent="0.45">
      <c r="A215">
        <v>23</v>
      </c>
      <c r="B215">
        <f t="shared" ca="1" si="3"/>
        <v>99</v>
      </c>
      <c r="C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5">
        <f ca="1">IF(dict_zuord_Transfers_Storages[[#This Row],[kval_active]],dict_zuord_Transfers_Storages[[#This Row],[ID_Storages]],"")</f>
        <v>99</v>
      </c>
    </row>
    <row r="216" spans="1:4" x14ac:dyDescent="0.45">
      <c r="A216">
        <v>23</v>
      </c>
      <c r="B216">
        <f t="shared" ca="1" si="3"/>
        <v>23</v>
      </c>
      <c r="C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6">
        <f ca="1">IF(dict_zuord_Transfers_Storages[[#This Row],[kval_active]],dict_zuord_Transfers_Storages[[#This Row],[ID_Storages]],"")</f>
        <v>23</v>
      </c>
    </row>
    <row r="217" spans="1:4" x14ac:dyDescent="0.45">
      <c r="A217">
        <v>23</v>
      </c>
      <c r="B217">
        <f t="shared" ca="1" si="3"/>
        <v>23</v>
      </c>
      <c r="C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7">
        <f ca="1">IF(dict_zuord_Transfers_Storages[[#This Row],[kval_active]],dict_zuord_Transfers_Storages[[#This Row],[ID_Storages]],"")</f>
        <v>23</v>
      </c>
    </row>
    <row r="218" spans="1:4" x14ac:dyDescent="0.45">
      <c r="A218">
        <v>24</v>
      </c>
      <c r="B218">
        <f t="shared" ca="1" si="3"/>
        <v>57</v>
      </c>
      <c r="C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8">
        <f ca="1">IF(dict_zuord_Transfers_Storages[[#This Row],[kval_active]],dict_zuord_Transfers_Storages[[#This Row],[ID_Storages]],"")</f>
        <v>57</v>
      </c>
    </row>
    <row r="219" spans="1:4" x14ac:dyDescent="0.45">
      <c r="A219">
        <v>24</v>
      </c>
      <c r="B219">
        <f t="shared" ca="1" si="3"/>
        <v>56</v>
      </c>
      <c r="C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19">
        <f ca="1">IF(dict_zuord_Transfers_Storages[[#This Row],[kval_active]],dict_zuord_Transfers_Storages[[#This Row],[ID_Storages]],"")</f>
        <v>56</v>
      </c>
    </row>
    <row r="220" spans="1:4" x14ac:dyDescent="0.45">
      <c r="A220">
        <v>24</v>
      </c>
      <c r="B220">
        <f t="shared" ca="1" si="3"/>
        <v>21</v>
      </c>
      <c r="C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0">
        <f ca="1">IF(dict_zuord_Transfers_Storages[[#This Row],[kval_active]],dict_zuord_Transfers_Storages[[#This Row],[ID_Storages]],"")</f>
        <v>21</v>
      </c>
    </row>
    <row r="221" spans="1:4" x14ac:dyDescent="0.45">
      <c r="A221">
        <v>24</v>
      </c>
      <c r="B221">
        <f t="shared" ca="1" si="3"/>
        <v>63</v>
      </c>
      <c r="C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1">
        <f ca="1">IF(dict_zuord_Transfers_Storages[[#This Row],[kval_active]],dict_zuord_Transfers_Storages[[#This Row],[ID_Storages]],"")</f>
        <v>63</v>
      </c>
    </row>
    <row r="222" spans="1:4" x14ac:dyDescent="0.45">
      <c r="A222">
        <v>24</v>
      </c>
      <c r="B222">
        <f t="shared" ca="1" si="3"/>
        <v>87</v>
      </c>
      <c r="C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2">
        <f ca="1">IF(dict_zuord_Transfers_Storages[[#This Row],[kval_active]],dict_zuord_Transfers_Storages[[#This Row],[ID_Storages]],"")</f>
        <v>87</v>
      </c>
    </row>
    <row r="223" spans="1:4" x14ac:dyDescent="0.45">
      <c r="A223">
        <v>24</v>
      </c>
      <c r="B223">
        <f t="shared" ca="1" si="3"/>
        <v>37</v>
      </c>
      <c r="C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3">
        <f ca="1">IF(dict_zuord_Transfers_Storages[[#This Row],[kval_active]],dict_zuord_Transfers_Storages[[#This Row],[ID_Storages]],"")</f>
        <v>37</v>
      </c>
    </row>
    <row r="224" spans="1:4" x14ac:dyDescent="0.45">
      <c r="A224">
        <v>24</v>
      </c>
      <c r="B224">
        <f t="shared" ca="1" si="3"/>
        <v>81</v>
      </c>
      <c r="C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4">
        <f ca="1">IF(dict_zuord_Transfers_Storages[[#This Row],[kval_active]],dict_zuord_Transfers_Storages[[#This Row],[ID_Storages]],"")</f>
        <v>81</v>
      </c>
    </row>
    <row r="225" spans="1:4" x14ac:dyDescent="0.45">
      <c r="A225">
        <v>24</v>
      </c>
      <c r="B225">
        <f t="shared" ca="1" si="3"/>
        <v>88</v>
      </c>
      <c r="C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5">
        <f ca="1">IF(dict_zuord_Transfers_Storages[[#This Row],[kval_active]],dict_zuord_Transfers_Storages[[#This Row],[ID_Storages]],"")</f>
        <v>88</v>
      </c>
    </row>
    <row r="226" spans="1:4" x14ac:dyDescent="0.45">
      <c r="A226">
        <v>24</v>
      </c>
      <c r="B226">
        <f t="shared" ca="1" si="3"/>
        <v>36</v>
      </c>
      <c r="C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6">
        <f ca="1">IF(dict_zuord_Transfers_Storages[[#This Row],[kval_active]],dict_zuord_Transfers_Storages[[#This Row],[ID_Storages]],"")</f>
        <v>36</v>
      </c>
    </row>
    <row r="227" spans="1:4" x14ac:dyDescent="0.45">
      <c r="A227">
        <v>25</v>
      </c>
      <c r="B227">
        <f t="shared" ca="1" si="3"/>
        <v>75</v>
      </c>
      <c r="C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7">
        <f ca="1">IF(dict_zuord_Transfers_Storages[[#This Row],[kval_active]],dict_zuord_Transfers_Storages[[#This Row],[ID_Storages]],"")</f>
        <v>75</v>
      </c>
    </row>
    <row r="228" spans="1:4" x14ac:dyDescent="0.45">
      <c r="A228">
        <v>25</v>
      </c>
      <c r="B228">
        <f t="shared" ca="1" si="3"/>
        <v>35</v>
      </c>
      <c r="C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8">
        <f ca="1">IF(dict_zuord_Transfers_Storages[[#This Row],[kval_active]],dict_zuord_Transfers_Storages[[#This Row],[ID_Storages]],"")</f>
        <v>35</v>
      </c>
    </row>
    <row r="229" spans="1:4" x14ac:dyDescent="0.45">
      <c r="A229">
        <v>25</v>
      </c>
      <c r="B229">
        <f t="shared" ca="1" si="3"/>
        <v>35</v>
      </c>
      <c r="C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29">
        <f ca="1">IF(dict_zuord_Transfers_Storages[[#This Row],[kval_active]],dict_zuord_Transfers_Storages[[#This Row],[ID_Storages]],"")</f>
        <v>35</v>
      </c>
    </row>
    <row r="230" spans="1:4" x14ac:dyDescent="0.45">
      <c r="A230">
        <v>25</v>
      </c>
      <c r="B230">
        <f t="shared" ca="1" si="3"/>
        <v>70</v>
      </c>
      <c r="C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0">
        <f ca="1">IF(dict_zuord_Transfers_Storages[[#This Row],[kval_active]],dict_zuord_Transfers_Storages[[#This Row],[ID_Storages]],"")</f>
        <v>70</v>
      </c>
    </row>
    <row r="231" spans="1:4" x14ac:dyDescent="0.45">
      <c r="A231">
        <v>25</v>
      </c>
      <c r="B231">
        <f t="shared" ca="1" si="3"/>
        <v>68</v>
      </c>
      <c r="C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1">
        <f ca="1">IF(dict_zuord_Transfers_Storages[[#This Row],[kval_active]],dict_zuord_Transfers_Storages[[#This Row],[ID_Storages]],"")</f>
        <v>68</v>
      </c>
    </row>
    <row r="232" spans="1:4" x14ac:dyDescent="0.45">
      <c r="A232">
        <v>25</v>
      </c>
      <c r="B232">
        <f t="shared" ca="1" si="3"/>
        <v>67</v>
      </c>
      <c r="C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2">
        <f ca="1">IF(dict_zuord_Transfers_Storages[[#This Row],[kval_active]],dict_zuord_Transfers_Storages[[#This Row],[ID_Storages]],"")</f>
        <v>67</v>
      </c>
    </row>
    <row r="233" spans="1:4" x14ac:dyDescent="0.45">
      <c r="A233">
        <v>25</v>
      </c>
      <c r="B233">
        <f t="shared" ca="1" si="3"/>
        <v>2</v>
      </c>
      <c r="C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3">
        <f ca="1">IF(dict_zuord_Transfers_Storages[[#This Row],[kval_active]],dict_zuord_Transfers_Storages[[#This Row],[ID_Storages]],"")</f>
        <v>2</v>
      </c>
    </row>
    <row r="234" spans="1:4" x14ac:dyDescent="0.45">
      <c r="A234">
        <v>25</v>
      </c>
      <c r="B234">
        <f t="shared" ca="1" si="3"/>
        <v>39</v>
      </c>
      <c r="C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4">
        <f ca="1">IF(dict_zuord_Transfers_Storages[[#This Row],[kval_active]],dict_zuord_Transfers_Storages[[#This Row],[ID_Storages]],"")</f>
        <v>39</v>
      </c>
    </row>
    <row r="235" spans="1:4" x14ac:dyDescent="0.45">
      <c r="A235">
        <v>25</v>
      </c>
      <c r="B235">
        <f t="shared" ca="1" si="3"/>
        <v>4</v>
      </c>
      <c r="C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35">
        <f ca="1">IF(dict_zuord_Transfers_Storages[[#This Row],[kval_active]],dict_zuord_Transfers_Storages[[#This Row],[ID_Storages]],"")</f>
        <v>4</v>
      </c>
    </row>
    <row r="236" spans="1:4" x14ac:dyDescent="0.45">
      <c r="A236">
        <v>26</v>
      </c>
      <c r="B236">
        <f t="shared" ca="1" si="3"/>
        <v>77</v>
      </c>
      <c r="C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6" t="str">
        <f ca="1">IF(dict_zuord_Transfers_Storages[[#This Row],[kval_active]],dict_zuord_Transfers_Storages[[#This Row],[ID_Storages]],"")</f>
        <v/>
      </c>
    </row>
    <row r="237" spans="1:4" x14ac:dyDescent="0.45">
      <c r="A237">
        <v>26</v>
      </c>
      <c r="B237">
        <f t="shared" ca="1" si="3"/>
        <v>94</v>
      </c>
      <c r="C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7" t="str">
        <f ca="1">IF(dict_zuord_Transfers_Storages[[#This Row],[kval_active]],dict_zuord_Transfers_Storages[[#This Row],[ID_Storages]],"")</f>
        <v/>
      </c>
    </row>
    <row r="238" spans="1:4" x14ac:dyDescent="0.45">
      <c r="A238">
        <v>26</v>
      </c>
      <c r="B238">
        <f t="shared" ca="1" si="3"/>
        <v>15</v>
      </c>
      <c r="C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8" t="str">
        <f ca="1">IF(dict_zuord_Transfers_Storages[[#This Row],[kval_active]],dict_zuord_Transfers_Storages[[#This Row],[ID_Storages]],"")</f>
        <v/>
      </c>
    </row>
    <row r="239" spans="1:4" x14ac:dyDescent="0.45">
      <c r="A239">
        <v>26</v>
      </c>
      <c r="B239">
        <f t="shared" ca="1" si="3"/>
        <v>73</v>
      </c>
      <c r="C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39" t="str">
        <f ca="1">IF(dict_zuord_Transfers_Storages[[#This Row],[kval_active]],dict_zuord_Transfers_Storages[[#This Row],[ID_Storages]],"")</f>
        <v/>
      </c>
    </row>
    <row r="240" spans="1:4" x14ac:dyDescent="0.45">
      <c r="A240">
        <v>26</v>
      </c>
      <c r="B240">
        <f t="shared" ca="1" si="3"/>
        <v>67</v>
      </c>
      <c r="C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0" t="str">
        <f ca="1">IF(dict_zuord_Transfers_Storages[[#This Row],[kval_active]],dict_zuord_Transfers_Storages[[#This Row],[ID_Storages]],"")</f>
        <v/>
      </c>
    </row>
    <row r="241" spans="1:4" x14ac:dyDescent="0.45">
      <c r="A241">
        <v>26</v>
      </c>
      <c r="B241">
        <f t="shared" ca="1" si="3"/>
        <v>99</v>
      </c>
      <c r="C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1" t="str">
        <f ca="1">IF(dict_zuord_Transfers_Storages[[#This Row],[kval_active]],dict_zuord_Transfers_Storages[[#This Row],[ID_Storages]],"")</f>
        <v/>
      </c>
    </row>
    <row r="242" spans="1:4" x14ac:dyDescent="0.45">
      <c r="A242">
        <v>26</v>
      </c>
      <c r="B242">
        <f t="shared" ca="1" si="3"/>
        <v>90</v>
      </c>
      <c r="C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2" t="str">
        <f ca="1">IF(dict_zuord_Transfers_Storages[[#This Row],[kval_active]],dict_zuord_Transfers_Storages[[#This Row],[ID_Storages]],"")</f>
        <v/>
      </c>
    </row>
    <row r="243" spans="1:4" x14ac:dyDescent="0.45">
      <c r="A243">
        <v>26</v>
      </c>
      <c r="B243">
        <f t="shared" ca="1" si="3"/>
        <v>39</v>
      </c>
      <c r="C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3" t="str">
        <f ca="1">IF(dict_zuord_Transfers_Storages[[#This Row],[kval_active]],dict_zuord_Transfers_Storages[[#This Row],[ID_Storages]],"")</f>
        <v/>
      </c>
    </row>
    <row r="244" spans="1:4" x14ac:dyDescent="0.45">
      <c r="A244">
        <v>26</v>
      </c>
      <c r="B244">
        <f t="shared" ca="1" si="3"/>
        <v>30</v>
      </c>
      <c r="C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44" t="str">
        <f ca="1">IF(dict_zuord_Transfers_Storages[[#This Row],[kval_active]],dict_zuord_Transfers_Storages[[#This Row],[ID_Storages]],"")</f>
        <v/>
      </c>
    </row>
    <row r="245" spans="1:4" x14ac:dyDescent="0.45">
      <c r="A245">
        <v>27</v>
      </c>
      <c r="B245">
        <f t="shared" ca="1" si="3"/>
        <v>15</v>
      </c>
      <c r="C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5">
        <f ca="1">IF(dict_zuord_Transfers_Storages[[#This Row],[kval_active]],dict_zuord_Transfers_Storages[[#This Row],[ID_Storages]],"")</f>
        <v>15</v>
      </c>
    </row>
    <row r="246" spans="1:4" x14ac:dyDescent="0.45">
      <c r="A246">
        <v>27</v>
      </c>
      <c r="B246">
        <f t="shared" ca="1" si="3"/>
        <v>60</v>
      </c>
      <c r="C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6">
        <f ca="1">IF(dict_zuord_Transfers_Storages[[#This Row],[kval_active]],dict_zuord_Transfers_Storages[[#This Row],[ID_Storages]],"")</f>
        <v>60</v>
      </c>
    </row>
    <row r="247" spans="1:4" x14ac:dyDescent="0.45">
      <c r="A247">
        <v>27</v>
      </c>
      <c r="B247">
        <f t="shared" ca="1" si="3"/>
        <v>95</v>
      </c>
      <c r="C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7">
        <f ca="1">IF(dict_zuord_Transfers_Storages[[#This Row],[kval_active]],dict_zuord_Transfers_Storages[[#This Row],[ID_Storages]],"")</f>
        <v>95</v>
      </c>
    </row>
    <row r="248" spans="1:4" x14ac:dyDescent="0.45">
      <c r="A248">
        <v>27</v>
      </c>
      <c r="B248">
        <f t="shared" ca="1" si="3"/>
        <v>60</v>
      </c>
      <c r="C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8">
        <f ca="1">IF(dict_zuord_Transfers_Storages[[#This Row],[kval_active]],dict_zuord_Transfers_Storages[[#This Row],[ID_Storages]],"")</f>
        <v>60</v>
      </c>
    </row>
    <row r="249" spans="1:4" x14ac:dyDescent="0.45">
      <c r="A249">
        <v>27</v>
      </c>
      <c r="B249">
        <f t="shared" ca="1" si="3"/>
        <v>87</v>
      </c>
      <c r="C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49">
        <f ca="1">IF(dict_zuord_Transfers_Storages[[#This Row],[kval_active]],dict_zuord_Transfers_Storages[[#This Row],[ID_Storages]],"")</f>
        <v>87</v>
      </c>
    </row>
    <row r="250" spans="1:4" x14ac:dyDescent="0.45">
      <c r="A250">
        <v>27</v>
      </c>
      <c r="B250">
        <f t="shared" ca="1" si="3"/>
        <v>25</v>
      </c>
      <c r="C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0">
        <f ca="1">IF(dict_zuord_Transfers_Storages[[#This Row],[kval_active]],dict_zuord_Transfers_Storages[[#This Row],[ID_Storages]],"")</f>
        <v>25</v>
      </c>
    </row>
    <row r="251" spans="1:4" x14ac:dyDescent="0.45">
      <c r="A251">
        <v>27</v>
      </c>
      <c r="B251">
        <f t="shared" ca="1" si="3"/>
        <v>28</v>
      </c>
      <c r="C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1">
        <f ca="1">IF(dict_zuord_Transfers_Storages[[#This Row],[kval_active]],dict_zuord_Transfers_Storages[[#This Row],[ID_Storages]],"")</f>
        <v>28</v>
      </c>
    </row>
    <row r="252" spans="1:4" x14ac:dyDescent="0.45">
      <c r="A252">
        <v>27</v>
      </c>
      <c r="B252">
        <f t="shared" ca="1" si="3"/>
        <v>39</v>
      </c>
      <c r="C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2">
        <f ca="1">IF(dict_zuord_Transfers_Storages[[#This Row],[kval_active]],dict_zuord_Transfers_Storages[[#This Row],[ID_Storages]],"")</f>
        <v>39</v>
      </c>
    </row>
    <row r="253" spans="1:4" x14ac:dyDescent="0.45">
      <c r="A253">
        <v>27</v>
      </c>
      <c r="B253">
        <f t="shared" ca="1" si="3"/>
        <v>56</v>
      </c>
      <c r="C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3">
        <f ca="1">IF(dict_zuord_Transfers_Storages[[#This Row],[kval_active]],dict_zuord_Transfers_Storages[[#This Row],[ID_Storages]],"")</f>
        <v>56</v>
      </c>
    </row>
    <row r="254" spans="1:4" x14ac:dyDescent="0.45">
      <c r="A254">
        <v>28</v>
      </c>
      <c r="B254">
        <f t="shared" ca="1" si="3"/>
        <v>8</v>
      </c>
      <c r="C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4">
        <f ca="1">IF(dict_zuord_Transfers_Storages[[#This Row],[kval_active]],dict_zuord_Transfers_Storages[[#This Row],[ID_Storages]],"")</f>
        <v>8</v>
      </c>
    </row>
    <row r="255" spans="1:4" x14ac:dyDescent="0.45">
      <c r="A255">
        <v>28</v>
      </c>
      <c r="B255">
        <f t="shared" ca="1" si="3"/>
        <v>16</v>
      </c>
      <c r="C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5">
        <f ca="1">IF(dict_zuord_Transfers_Storages[[#This Row],[kval_active]],dict_zuord_Transfers_Storages[[#This Row],[ID_Storages]],"")</f>
        <v>16</v>
      </c>
    </row>
    <row r="256" spans="1:4" x14ac:dyDescent="0.45">
      <c r="A256">
        <v>28</v>
      </c>
      <c r="B256">
        <f t="shared" ca="1" si="3"/>
        <v>23</v>
      </c>
      <c r="C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6">
        <f ca="1">IF(dict_zuord_Transfers_Storages[[#This Row],[kval_active]],dict_zuord_Transfers_Storages[[#This Row],[ID_Storages]],"")</f>
        <v>23</v>
      </c>
    </row>
    <row r="257" spans="1:4" x14ac:dyDescent="0.45">
      <c r="A257">
        <v>28</v>
      </c>
      <c r="B257">
        <f t="shared" ca="1" si="3"/>
        <v>53</v>
      </c>
      <c r="C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7">
        <f ca="1">IF(dict_zuord_Transfers_Storages[[#This Row],[kval_active]],dict_zuord_Transfers_Storages[[#This Row],[ID_Storages]],"")</f>
        <v>53</v>
      </c>
    </row>
    <row r="258" spans="1:4" x14ac:dyDescent="0.45">
      <c r="A258">
        <v>28</v>
      </c>
      <c r="B258">
        <f t="shared" ref="B258:B321" ca="1" si="4">RANDBETWEEN(0,100)</f>
        <v>1</v>
      </c>
      <c r="C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8">
        <f ca="1">IF(dict_zuord_Transfers_Storages[[#This Row],[kval_active]],dict_zuord_Transfers_Storages[[#This Row],[ID_Storages]],"")</f>
        <v>1</v>
      </c>
    </row>
    <row r="259" spans="1:4" x14ac:dyDescent="0.45">
      <c r="A259">
        <v>28</v>
      </c>
      <c r="B259">
        <f t="shared" ca="1" si="4"/>
        <v>17</v>
      </c>
      <c r="C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59">
        <f ca="1">IF(dict_zuord_Transfers_Storages[[#This Row],[kval_active]],dict_zuord_Transfers_Storages[[#This Row],[ID_Storages]],"")</f>
        <v>17</v>
      </c>
    </row>
    <row r="260" spans="1:4" x14ac:dyDescent="0.45">
      <c r="A260">
        <v>28</v>
      </c>
      <c r="B260">
        <f t="shared" ca="1" si="4"/>
        <v>26</v>
      </c>
      <c r="C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0">
        <f ca="1">IF(dict_zuord_Transfers_Storages[[#This Row],[kval_active]],dict_zuord_Transfers_Storages[[#This Row],[ID_Storages]],"")</f>
        <v>26</v>
      </c>
    </row>
    <row r="261" spans="1:4" x14ac:dyDescent="0.45">
      <c r="A261">
        <v>28</v>
      </c>
      <c r="B261">
        <f t="shared" ca="1" si="4"/>
        <v>77</v>
      </c>
      <c r="C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1">
        <f ca="1">IF(dict_zuord_Transfers_Storages[[#This Row],[kval_active]],dict_zuord_Transfers_Storages[[#This Row],[ID_Storages]],"")</f>
        <v>77</v>
      </c>
    </row>
    <row r="262" spans="1:4" x14ac:dyDescent="0.45">
      <c r="A262">
        <v>28</v>
      </c>
      <c r="B262">
        <f t="shared" ca="1" si="4"/>
        <v>55</v>
      </c>
      <c r="C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2">
        <f ca="1">IF(dict_zuord_Transfers_Storages[[#This Row],[kval_active]],dict_zuord_Transfers_Storages[[#This Row],[ID_Storages]],"")</f>
        <v>55</v>
      </c>
    </row>
    <row r="263" spans="1:4" x14ac:dyDescent="0.45">
      <c r="A263">
        <v>29</v>
      </c>
      <c r="B263">
        <f t="shared" ca="1" si="4"/>
        <v>33</v>
      </c>
      <c r="C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3">
        <f ca="1">IF(dict_zuord_Transfers_Storages[[#This Row],[kval_active]],dict_zuord_Transfers_Storages[[#This Row],[ID_Storages]],"")</f>
        <v>33</v>
      </c>
    </row>
    <row r="264" spans="1:4" x14ac:dyDescent="0.45">
      <c r="A264">
        <v>29</v>
      </c>
      <c r="B264">
        <f t="shared" ca="1" si="4"/>
        <v>25</v>
      </c>
      <c r="C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4">
        <f ca="1">IF(dict_zuord_Transfers_Storages[[#This Row],[kval_active]],dict_zuord_Transfers_Storages[[#This Row],[ID_Storages]],"")</f>
        <v>25</v>
      </c>
    </row>
    <row r="265" spans="1:4" x14ac:dyDescent="0.45">
      <c r="A265">
        <v>29</v>
      </c>
      <c r="B265">
        <f t="shared" ca="1" si="4"/>
        <v>1</v>
      </c>
      <c r="C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5">
        <f ca="1">IF(dict_zuord_Transfers_Storages[[#This Row],[kval_active]],dict_zuord_Transfers_Storages[[#This Row],[ID_Storages]],"")</f>
        <v>1</v>
      </c>
    </row>
    <row r="266" spans="1:4" x14ac:dyDescent="0.45">
      <c r="A266">
        <v>29</v>
      </c>
      <c r="B266">
        <f t="shared" ca="1" si="4"/>
        <v>64</v>
      </c>
      <c r="C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6">
        <f ca="1">IF(dict_zuord_Transfers_Storages[[#This Row],[kval_active]],dict_zuord_Transfers_Storages[[#This Row],[ID_Storages]],"")</f>
        <v>64</v>
      </c>
    </row>
    <row r="267" spans="1:4" x14ac:dyDescent="0.45">
      <c r="A267">
        <v>29</v>
      </c>
      <c r="B267">
        <f t="shared" ca="1" si="4"/>
        <v>86</v>
      </c>
      <c r="C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7">
        <f ca="1">IF(dict_zuord_Transfers_Storages[[#This Row],[kval_active]],dict_zuord_Transfers_Storages[[#This Row],[ID_Storages]],"")</f>
        <v>86</v>
      </c>
    </row>
    <row r="268" spans="1:4" x14ac:dyDescent="0.45">
      <c r="A268">
        <v>29</v>
      </c>
      <c r="B268">
        <f t="shared" ca="1" si="4"/>
        <v>44</v>
      </c>
      <c r="C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8">
        <f ca="1">IF(dict_zuord_Transfers_Storages[[#This Row],[kval_active]],dict_zuord_Transfers_Storages[[#This Row],[ID_Storages]],"")</f>
        <v>44</v>
      </c>
    </row>
    <row r="269" spans="1:4" x14ac:dyDescent="0.45">
      <c r="A269">
        <v>29</v>
      </c>
      <c r="B269">
        <f t="shared" ca="1" si="4"/>
        <v>58</v>
      </c>
      <c r="C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69">
        <f ca="1">IF(dict_zuord_Transfers_Storages[[#This Row],[kval_active]],dict_zuord_Transfers_Storages[[#This Row],[ID_Storages]],"")</f>
        <v>58</v>
      </c>
    </row>
    <row r="270" spans="1:4" x14ac:dyDescent="0.45">
      <c r="A270">
        <v>29</v>
      </c>
      <c r="B270">
        <f t="shared" ca="1" si="4"/>
        <v>8</v>
      </c>
      <c r="C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0">
        <f ca="1">IF(dict_zuord_Transfers_Storages[[#This Row],[kval_active]],dict_zuord_Transfers_Storages[[#This Row],[ID_Storages]],"")</f>
        <v>8</v>
      </c>
    </row>
    <row r="271" spans="1:4" x14ac:dyDescent="0.45">
      <c r="A271">
        <v>29</v>
      </c>
      <c r="B271">
        <f t="shared" ca="1" si="4"/>
        <v>60</v>
      </c>
      <c r="C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71">
        <f ca="1">IF(dict_zuord_Transfers_Storages[[#This Row],[kval_active]],dict_zuord_Transfers_Storages[[#This Row],[ID_Storages]],"")</f>
        <v>60</v>
      </c>
    </row>
    <row r="272" spans="1:4" x14ac:dyDescent="0.45">
      <c r="A272">
        <v>30</v>
      </c>
      <c r="B272">
        <f t="shared" ca="1" si="4"/>
        <v>57</v>
      </c>
      <c r="C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2" t="str">
        <f ca="1">IF(dict_zuord_Transfers_Storages[[#This Row],[kval_active]],dict_zuord_Transfers_Storages[[#This Row],[ID_Storages]],"")</f>
        <v/>
      </c>
    </row>
    <row r="273" spans="1:4" x14ac:dyDescent="0.45">
      <c r="A273">
        <v>30</v>
      </c>
      <c r="B273">
        <f t="shared" ca="1" si="4"/>
        <v>60</v>
      </c>
      <c r="C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3" t="str">
        <f ca="1">IF(dict_zuord_Transfers_Storages[[#This Row],[kval_active]],dict_zuord_Transfers_Storages[[#This Row],[ID_Storages]],"")</f>
        <v/>
      </c>
    </row>
    <row r="274" spans="1:4" x14ac:dyDescent="0.45">
      <c r="A274">
        <v>30</v>
      </c>
      <c r="B274">
        <f t="shared" ca="1" si="4"/>
        <v>58</v>
      </c>
      <c r="C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4" t="str">
        <f ca="1">IF(dict_zuord_Transfers_Storages[[#This Row],[kval_active]],dict_zuord_Transfers_Storages[[#This Row],[ID_Storages]],"")</f>
        <v/>
      </c>
    </row>
    <row r="275" spans="1:4" x14ac:dyDescent="0.45">
      <c r="A275">
        <v>30</v>
      </c>
      <c r="B275">
        <f t="shared" ca="1" si="4"/>
        <v>34</v>
      </c>
      <c r="C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5" t="str">
        <f ca="1">IF(dict_zuord_Transfers_Storages[[#This Row],[kval_active]],dict_zuord_Transfers_Storages[[#This Row],[ID_Storages]],"")</f>
        <v/>
      </c>
    </row>
    <row r="276" spans="1:4" x14ac:dyDescent="0.45">
      <c r="A276">
        <v>30</v>
      </c>
      <c r="B276">
        <f t="shared" ca="1" si="4"/>
        <v>4</v>
      </c>
      <c r="C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6" t="str">
        <f ca="1">IF(dict_zuord_Transfers_Storages[[#This Row],[kval_active]],dict_zuord_Transfers_Storages[[#This Row],[ID_Storages]],"")</f>
        <v/>
      </c>
    </row>
    <row r="277" spans="1:4" x14ac:dyDescent="0.45">
      <c r="A277">
        <v>30</v>
      </c>
      <c r="B277">
        <f t="shared" ca="1" si="4"/>
        <v>17</v>
      </c>
      <c r="C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7" t="str">
        <f ca="1">IF(dict_zuord_Transfers_Storages[[#This Row],[kval_active]],dict_zuord_Transfers_Storages[[#This Row],[ID_Storages]],"")</f>
        <v/>
      </c>
    </row>
    <row r="278" spans="1:4" x14ac:dyDescent="0.45">
      <c r="A278">
        <v>30</v>
      </c>
      <c r="B278">
        <f t="shared" ca="1" si="4"/>
        <v>17</v>
      </c>
      <c r="C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8" t="str">
        <f ca="1">IF(dict_zuord_Transfers_Storages[[#This Row],[kval_active]],dict_zuord_Transfers_Storages[[#This Row],[ID_Storages]],"")</f>
        <v/>
      </c>
    </row>
    <row r="279" spans="1:4" x14ac:dyDescent="0.45">
      <c r="A279">
        <v>30</v>
      </c>
      <c r="B279">
        <f t="shared" ca="1" si="4"/>
        <v>94</v>
      </c>
      <c r="C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79" t="str">
        <f ca="1">IF(dict_zuord_Transfers_Storages[[#This Row],[kval_active]],dict_zuord_Transfers_Storages[[#This Row],[ID_Storages]],"")</f>
        <v/>
      </c>
    </row>
    <row r="280" spans="1:4" x14ac:dyDescent="0.45">
      <c r="A280">
        <v>30</v>
      </c>
      <c r="B280">
        <f t="shared" ca="1" si="4"/>
        <v>100</v>
      </c>
      <c r="C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0" t="str">
        <f ca="1">IF(dict_zuord_Transfers_Storages[[#This Row],[kval_active]],dict_zuord_Transfers_Storages[[#This Row],[ID_Storages]],"")</f>
        <v/>
      </c>
    </row>
    <row r="281" spans="1:4" x14ac:dyDescent="0.45">
      <c r="A281">
        <v>31</v>
      </c>
      <c r="B281">
        <f t="shared" ca="1" si="4"/>
        <v>43</v>
      </c>
      <c r="C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1" t="str">
        <f ca="1">IF(dict_zuord_Transfers_Storages[[#This Row],[kval_active]],dict_zuord_Transfers_Storages[[#This Row],[ID_Storages]],"")</f>
        <v/>
      </c>
    </row>
    <row r="282" spans="1:4" x14ac:dyDescent="0.45">
      <c r="A282">
        <v>31</v>
      </c>
      <c r="B282">
        <f t="shared" ca="1" si="4"/>
        <v>16</v>
      </c>
      <c r="C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2" t="str">
        <f ca="1">IF(dict_zuord_Transfers_Storages[[#This Row],[kval_active]],dict_zuord_Transfers_Storages[[#This Row],[ID_Storages]],"")</f>
        <v/>
      </c>
    </row>
    <row r="283" spans="1:4" x14ac:dyDescent="0.45">
      <c r="A283">
        <v>31</v>
      </c>
      <c r="B283">
        <f t="shared" ca="1" si="4"/>
        <v>97</v>
      </c>
      <c r="C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3" t="str">
        <f ca="1">IF(dict_zuord_Transfers_Storages[[#This Row],[kval_active]],dict_zuord_Transfers_Storages[[#This Row],[ID_Storages]],"")</f>
        <v/>
      </c>
    </row>
    <row r="284" spans="1:4" x14ac:dyDescent="0.45">
      <c r="A284">
        <v>31</v>
      </c>
      <c r="B284">
        <f t="shared" ca="1" si="4"/>
        <v>90</v>
      </c>
      <c r="C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4" t="str">
        <f ca="1">IF(dict_zuord_Transfers_Storages[[#This Row],[kval_active]],dict_zuord_Transfers_Storages[[#This Row],[ID_Storages]],"")</f>
        <v/>
      </c>
    </row>
    <row r="285" spans="1:4" x14ac:dyDescent="0.45">
      <c r="A285">
        <v>31</v>
      </c>
      <c r="B285">
        <f t="shared" ca="1" si="4"/>
        <v>50</v>
      </c>
      <c r="C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5" t="str">
        <f ca="1">IF(dict_zuord_Transfers_Storages[[#This Row],[kval_active]],dict_zuord_Transfers_Storages[[#This Row],[ID_Storages]],"")</f>
        <v/>
      </c>
    </row>
    <row r="286" spans="1:4" x14ac:dyDescent="0.45">
      <c r="A286">
        <v>31</v>
      </c>
      <c r="B286">
        <f t="shared" ca="1" si="4"/>
        <v>7</v>
      </c>
      <c r="C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6" t="str">
        <f ca="1">IF(dict_zuord_Transfers_Storages[[#This Row],[kval_active]],dict_zuord_Transfers_Storages[[#This Row],[ID_Storages]],"")</f>
        <v/>
      </c>
    </row>
    <row r="287" spans="1:4" x14ac:dyDescent="0.45">
      <c r="A287">
        <v>31</v>
      </c>
      <c r="B287">
        <f t="shared" ca="1" si="4"/>
        <v>1</v>
      </c>
      <c r="C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7" t="str">
        <f ca="1">IF(dict_zuord_Transfers_Storages[[#This Row],[kval_active]],dict_zuord_Transfers_Storages[[#This Row],[ID_Storages]],"")</f>
        <v/>
      </c>
    </row>
    <row r="288" spans="1:4" x14ac:dyDescent="0.45">
      <c r="A288">
        <v>31</v>
      </c>
      <c r="B288">
        <f t="shared" ca="1" si="4"/>
        <v>47</v>
      </c>
      <c r="C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8" t="str">
        <f ca="1">IF(dict_zuord_Transfers_Storages[[#This Row],[kval_active]],dict_zuord_Transfers_Storages[[#This Row],[ID_Storages]],"")</f>
        <v/>
      </c>
    </row>
    <row r="289" spans="1:4" x14ac:dyDescent="0.45">
      <c r="A289">
        <v>31</v>
      </c>
      <c r="B289">
        <f t="shared" ca="1" si="4"/>
        <v>59</v>
      </c>
      <c r="C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89" t="str">
        <f ca="1">IF(dict_zuord_Transfers_Storages[[#This Row],[kval_active]],dict_zuord_Transfers_Storages[[#This Row],[ID_Storages]],"")</f>
        <v/>
      </c>
    </row>
    <row r="290" spans="1:4" x14ac:dyDescent="0.45">
      <c r="A290">
        <v>32</v>
      </c>
      <c r="B290">
        <f t="shared" ca="1" si="4"/>
        <v>46</v>
      </c>
      <c r="C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0" t="str">
        <f ca="1">IF(dict_zuord_Transfers_Storages[[#This Row],[kval_active]],dict_zuord_Transfers_Storages[[#This Row],[ID_Storages]],"")</f>
        <v/>
      </c>
    </row>
    <row r="291" spans="1:4" x14ac:dyDescent="0.45">
      <c r="A291">
        <v>32</v>
      </c>
      <c r="B291">
        <f t="shared" ca="1" si="4"/>
        <v>30</v>
      </c>
      <c r="C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1" t="str">
        <f ca="1">IF(dict_zuord_Transfers_Storages[[#This Row],[kval_active]],dict_zuord_Transfers_Storages[[#This Row],[ID_Storages]],"")</f>
        <v/>
      </c>
    </row>
    <row r="292" spans="1:4" x14ac:dyDescent="0.45">
      <c r="A292">
        <v>32</v>
      </c>
      <c r="B292">
        <f t="shared" ca="1" si="4"/>
        <v>69</v>
      </c>
      <c r="C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2" t="str">
        <f ca="1">IF(dict_zuord_Transfers_Storages[[#This Row],[kval_active]],dict_zuord_Transfers_Storages[[#This Row],[ID_Storages]],"")</f>
        <v/>
      </c>
    </row>
    <row r="293" spans="1:4" x14ac:dyDescent="0.45">
      <c r="A293">
        <v>32</v>
      </c>
      <c r="B293">
        <f t="shared" ca="1" si="4"/>
        <v>3</v>
      </c>
      <c r="C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3" t="str">
        <f ca="1">IF(dict_zuord_Transfers_Storages[[#This Row],[kval_active]],dict_zuord_Transfers_Storages[[#This Row],[ID_Storages]],"")</f>
        <v/>
      </c>
    </row>
    <row r="294" spans="1:4" x14ac:dyDescent="0.45">
      <c r="A294">
        <v>32</v>
      </c>
      <c r="B294">
        <f t="shared" ca="1" si="4"/>
        <v>89</v>
      </c>
      <c r="C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4" t="str">
        <f ca="1">IF(dict_zuord_Transfers_Storages[[#This Row],[kval_active]],dict_zuord_Transfers_Storages[[#This Row],[ID_Storages]],"")</f>
        <v/>
      </c>
    </row>
    <row r="295" spans="1:4" x14ac:dyDescent="0.45">
      <c r="A295">
        <v>32</v>
      </c>
      <c r="B295">
        <f t="shared" ca="1" si="4"/>
        <v>59</v>
      </c>
      <c r="C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5" t="str">
        <f ca="1">IF(dict_zuord_Transfers_Storages[[#This Row],[kval_active]],dict_zuord_Transfers_Storages[[#This Row],[ID_Storages]],"")</f>
        <v/>
      </c>
    </row>
    <row r="296" spans="1:4" x14ac:dyDescent="0.45">
      <c r="A296">
        <v>32</v>
      </c>
      <c r="B296">
        <f t="shared" ca="1" si="4"/>
        <v>36</v>
      </c>
      <c r="C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6" t="str">
        <f ca="1">IF(dict_zuord_Transfers_Storages[[#This Row],[kval_active]],dict_zuord_Transfers_Storages[[#This Row],[ID_Storages]],"")</f>
        <v/>
      </c>
    </row>
    <row r="297" spans="1:4" x14ac:dyDescent="0.45">
      <c r="A297">
        <v>32</v>
      </c>
      <c r="B297">
        <f t="shared" ca="1" si="4"/>
        <v>60</v>
      </c>
      <c r="C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7" t="str">
        <f ca="1">IF(dict_zuord_Transfers_Storages[[#This Row],[kval_active]],dict_zuord_Transfers_Storages[[#This Row],[ID_Storages]],"")</f>
        <v/>
      </c>
    </row>
    <row r="298" spans="1:4" x14ac:dyDescent="0.45">
      <c r="A298">
        <v>32</v>
      </c>
      <c r="B298">
        <f t="shared" ca="1" si="4"/>
        <v>15</v>
      </c>
      <c r="C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298" t="str">
        <f ca="1">IF(dict_zuord_Transfers_Storages[[#This Row],[kval_active]],dict_zuord_Transfers_Storages[[#This Row],[ID_Storages]],"")</f>
        <v/>
      </c>
    </row>
    <row r="299" spans="1:4" x14ac:dyDescent="0.45">
      <c r="A299">
        <v>33</v>
      </c>
      <c r="B299">
        <f t="shared" ca="1" si="4"/>
        <v>12</v>
      </c>
      <c r="C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299">
        <f ca="1">IF(dict_zuord_Transfers_Storages[[#This Row],[kval_active]],dict_zuord_Transfers_Storages[[#This Row],[ID_Storages]],"")</f>
        <v>12</v>
      </c>
    </row>
    <row r="300" spans="1:4" x14ac:dyDescent="0.45">
      <c r="A300">
        <v>33</v>
      </c>
      <c r="B300">
        <f t="shared" ca="1" si="4"/>
        <v>1</v>
      </c>
      <c r="C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0">
        <f ca="1">IF(dict_zuord_Transfers_Storages[[#This Row],[kval_active]],dict_zuord_Transfers_Storages[[#This Row],[ID_Storages]],"")</f>
        <v>1</v>
      </c>
    </row>
    <row r="301" spans="1:4" x14ac:dyDescent="0.45">
      <c r="A301">
        <v>33</v>
      </c>
      <c r="B301">
        <f t="shared" ca="1" si="4"/>
        <v>75</v>
      </c>
      <c r="C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1">
        <f ca="1">IF(dict_zuord_Transfers_Storages[[#This Row],[kval_active]],dict_zuord_Transfers_Storages[[#This Row],[ID_Storages]],"")</f>
        <v>75</v>
      </c>
    </row>
    <row r="302" spans="1:4" x14ac:dyDescent="0.45">
      <c r="A302">
        <v>33</v>
      </c>
      <c r="B302">
        <f t="shared" ca="1" si="4"/>
        <v>38</v>
      </c>
      <c r="C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2">
        <f ca="1">IF(dict_zuord_Transfers_Storages[[#This Row],[kval_active]],dict_zuord_Transfers_Storages[[#This Row],[ID_Storages]],"")</f>
        <v>38</v>
      </c>
    </row>
    <row r="303" spans="1:4" x14ac:dyDescent="0.45">
      <c r="A303">
        <v>33</v>
      </c>
      <c r="B303">
        <f t="shared" ca="1" si="4"/>
        <v>47</v>
      </c>
      <c r="C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3">
        <f ca="1">IF(dict_zuord_Transfers_Storages[[#This Row],[kval_active]],dict_zuord_Transfers_Storages[[#This Row],[ID_Storages]],"")</f>
        <v>47</v>
      </c>
    </row>
    <row r="304" spans="1:4" x14ac:dyDescent="0.45">
      <c r="A304">
        <v>33</v>
      </c>
      <c r="B304">
        <f t="shared" ca="1" si="4"/>
        <v>92</v>
      </c>
      <c r="C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4">
        <f ca="1">IF(dict_zuord_Transfers_Storages[[#This Row],[kval_active]],dict_zuord_Transfers_Storages[[#This Row],[ID_Storages]],"")</f>
        <v>92</v>
      </c>
    </row>
    <row r="305" spans="1:4" x14ac:dyDescent="0.45">
      <c r="A305">
        <v>33</v>
      </c>
      <c r="B305">
        <f t="shared" ca="1" si="4"/>
        <v>46</v>
      </c>
      <c r="C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5">
        <f ca="1">IF(dict_zuord_Transfers_Storages[[#This Row],[kval_active]],dict_zuord_Transfers_Storages[[#This Row],[ID_Storages]],"")</f>
        <v>46</v>
      </c>
    </row>
    <row r="306" spans="1:4" x14ac:dyDescent="0.45">
      <c r="A306">
        <v>33</v>
      </c>
      <c r="B306">
        <f t="shared" ca="1" si="4"/>
        <v>51</v>
      </c>
      <c r="C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6">
        <f ca="1">IF(dict_zuord_Transfers_Storages[[#This Row],[kval_active]],dict_zuord_Transfers_Storages[[#This Row],[ID_Storages]],"")</f>
        <v>51</v>
      </c>
    </row>
    <row r="307" spans="1:4" x14ac:dyDescent="0.45">
      <c r="A307">
        <v>33</v>
      </c>
      <c r="B307">
        <f t="shared" ca="1" si="4"/>
        <v>6</v>
      </c>
      <c r="C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07">
        <f ca="1">IF(dict_zuord_Transfers_Storages[[#This Row],[kval_active]],dict_zuord_Transfers_Storages[[#This Row],[ID_Storages]],"")</f>
        <v>6</v>
      </c>
    </row>
    <row r="308" spans="1:4" x14ac:dyDescent="0.45">
      <c r="A308">
        <v>34</v>
      </c>
      <c r="B308">
        <f t="shared" ca="1" si="4"/>
        <v>77</v>
      </c>
      <c r="C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8" t="str">
        <f ca="1">IF(dict_zuord_Transfers_Storages[[#This Row],[kval_active]],dict_zuord_Transfers_Storages[[#This Row],[ID_Storages]],"")</f>
        <v/>
      </c>
    </row>
    <row r="309" spans="1:4" x14ac:dyDescent="0.45">
      <c r="A309">
        <v>34</v>
      </c>
      <c r="B309">
        <f t="shared" ca="1" si="4"/>
        <v>0</v>
      </c>
      <c r="C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09" t="str">
        <f ca="1">IF(dict_zuord_Transfers_Storages[[#This Row],[kval_active]],dict_zuord_Transfers_Storages[[#This Row],[ID_Storages]],"")</f>
        <v/>
      </c>
    </row>
    <row r="310" spans="1:4" x14ac:dyDescent="0.45">
      <c r="A310">
        <v>34</v>
      </c>
      <c r="B310">
        <f t="shared" ca="1" si="4"/>
        <v>87</v>
      </c>
      <c r="C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0" t="str">
        <f ca="1">IF(dict_zuord_Transfers_Storages[[#This Row],[kval_active]],dict_zuord_Transfers_Storages[[#This Row],[ID_Storages]],"")</f>
        <v/>
      </c>
    </row>
    <row r="311" spans="1:4" x14ac:dyDescent="0.45">
      <c r="A311">
        <v>34</v>
      </c>
      <c r="B311">
        <f t="shared" ca="1" si="4"/>
        <v>13</v>
      </c>
      <c r="C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1" t="str">
        <f ca="1">IF(dict_zuord_Transfers_Storages[[#This Row],[kval_active]],dict_zuord_Transfers_Storages[[#This Row],[ID_Storages]],"")</f>
        <v/>
      </c>
    </row>
    <row r="312" spans="1:4" x14ac:dyDescent="0.45">
      <c r="A312">
        <v>34</v>
      </c>
      <c r="B312">
        <f t="shared" ca="1" si="4"/>
        <v>28</v>
      </c>
      <c r="C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2" t="str">
        <f ca="1">IF(dict_zuord_Transfers_Storages[[#This Row],[kval_active]],dict_zuord_Transfers_Storages[[#This Row],[ID_Storages]],"")</f>
        <v/>
      </c>
    </row>
    <row r="313" spans="1:4" x14ac:dyDescent="0.45">
      <c r="A313">
        <v>34</v>
      </c>
      <c r="B313">
        <f t="shared" ca="1" si="4"/>
        <v>49</v>
      </c>
      <c r="C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3" t="str">
        <f ca="1">IF(dict_zuord_Transfers_Storages[[#This Row],[kval_active]],dict_zuord_Transfers_Storages[[#This Row],[ID_Storages]],"")</f>
        <v/>
      </c>
    </row>
    <row r="314" spans="1:4" x14ac:dyDescent="0.45">
      <c r="A314">
        <v>34</v>
      </c>
      <c r="B314">
        <f t="shared" ca="1" si="4"/>
        <v>63</v>
      </c>
      <c r="C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4" t="str">
        <f ca="1">IF(dict_zuord_Transfers_Storages[[#This Row],[kval_active]],dict_zuord_Transfers_Storages[[#This Row],[ID_Storages]],"")</f>
        <v/>
      </c>
    </row>
    <row r="315" spans="1:4" x14ac:dyDescent="0.45">
      <c r="A315">
        <v>34</v>
      </c>
      <c r="B315">
        <f t="shared" ca="1" si="4"/>
        <v>21</v>
      </c>
      <c r="C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5" t="str">
        <f ca="1">IF(dict_zuord_Transfers_Storages[[#This Row],[kval_active]],dict_zuord_Transfers_Storages[[#This Row],[ID_Storages]],"")</f>
        <v/>
      </c>
    </row>
    <row r="316" spans="1:4" x14ac:dyDescent="0.45">
      <c r="A316">
        <v>34</v>
      </c>
      <c r="B316">
        <f t="shared" ca="1" si="4"/>
        <v>50</v>
      </c>
      <c r="C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6" t="str">
        <f ca="1">IF(dict_zuord_Transfers_Storages[[#This Row],[kval_active]],dict_zuord_Transfers_Storages[[#This Row],[ID_Storages]],"")</f>
        <v/>
      </c>
    </row>
    <row r="317" spans="1:4" x14ac:dyDescent="0.45">
      <c r="A317">
        <v>35</v>
      </c>
      <c r="B317">
        <f t="shared" ca="1" si="4"/>
        <v>54</v>
      </c>
      <c r="C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7" t="str">
        <f ca="1">IF(dict_zuord_Transfers_Storages[[#This Row],[kval_active]],dict_zuord_Transfers_Storages[[#This Row],[ID_Storages]],"")</f>
        <v/>
      </c>
    </row>
    <row r="318" spans="1:4" x14ac:dyDescent="0.45">
      <c r="A318">
        <v>35</v>
      </c>
      <c r="B318">
        <f t="shared" ca="1" si="4"/>
        <v>36</v>
      </c>
      <c r="C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8" t="str">
        <f ca="1">IF(dict_zuord_Transfers_Storages[[#This Row],[kval_active]],dict_zuord_Transfers_Storages[[#This Row],[ID_Storages]],"")</f>
        <v/>
      </c>
    </row>
    <row r="319" spans="1:4" x14ac:dyDescent="0.45">
      <c r="A319">
        <v>35</v>
      </c>
      <c r="B319">
        <f t="shared" ca="1" si="4"/>
        <v>62</v>
      </c>
      <c r="C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19" t="str">
        <f ca="1">IF(dict_zuord_Transfers_Storages[[#This Row],[kval_active]],dict_zuord_Transfers_Storages[[#This Row],[ID_Storages]],"")</f>
        <v/>
      </c>
    </row>
    <row r="320" spans="1:4" x14ac:dyDescent="0.45">
      <c r="A320">
        <v>35</v>
      </c>
      <c r="B320">
        <f t="shared" ca="1" si="4"/>
        <v>17</v>
      </c>
      <c r="C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0" t="str">
        <f ca="1">IF(dict_zuord_Transfers_Storages[[#This Row],[kval_active]],dict_zuord_Transfers_Storages[[#This Row],[ID_Storages]],"")</f>
        <v/>
      </c>
    </row>
    <row r="321" spans="1:4" x14ac:dyDescent="0.45">
      <c r="A321">
        <v>35</v>
      </c>
      <c r="B321">
        <f t="shared" ca="1" si="4"/>
        <v>38</v>
      </c>
      <c r="C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1" t="str">
        <f ca="1">IF(dict_zuord_Transfers_Storages[[#This Row],[kval_active]],dict_zuord_Transfers_Storages[[#This Row],[ID_Storages]],"")</f>
        <v/>
      </c>
    </row>
    <row r="322" spans="1:4" x14ac:dyDescent="0.45">
      <c r="A322">
        <v>35</v>
      </c>
      <c r="B322">
        <f t="shared" ref="B322:B385" ca="1" si="5">RANDBETWEEN(0,100)</f>
        <v>71</v>
      </c>
      <c r="C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2" t="str">
        <f ca="1">IF(dict_zuord_Transfers_Storages[[#This Row],[kval_active]],dict_zuord_Transfers_Storages[[#This Row],[ID_Storages]],"")</f>
        <v/>
      </c>
    </row>
    <row r="323" spans="1:4" x14ac:dyDescent="0.45">
      <c r="A323">
        <v>35</v>
      </c>
      <c r="B323">
        <f t="shared" ca="1" si="5"/>
        <v>79</v>
      </c>
      <c r="C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3" t="str">
        <f ca="1">IF(dict_zuord_Transfers_Storages[[#This Row],[kval_active]],dict_zuord_Transfers_Storages[[#This Row],[ID_Storages]],"")</f>
        <v/>
      </c>
    </row>
    <row r="324" spans="1:4" x14ac:dyDescent="0.45">
      <c r="A324">
        <v>35</v>
      </c>
      <c r="B324">
        <f t="shared" ca="1" si="5"/>
        <v>37</v>
      </c>
      <c r="C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4" t="str">
        <f ca="1">IF(dict_zuord_Transfers_Storages[[#This Row],[kval_active]],dict_zuord_Transfers_Storages[[#This Row],[ID_Storages]],"")</f>
        <v/>
      </c>
    </row>
    <row r="325" spans="1:4" x14ac:dyDescent="0.45">
      <c r="A325">
        <v>35</v>
      </c>
      <c r="B325">
        <f t="shared" ca="1" si="5"/>
        <v>9</v>
      </c>
      <c r="C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5" t="str">
        <f ca="1">IF(dict_zuord_Transfers_Storages[[#This Row],[kval_active]],dict_zuord_Transfers_Storages[[#This Row],[ID_Storages]],"")</f>
        <v/>
      </c>
    </row>
    <row r="326" spans="1:4" x14ac:dyDescent="0.45">
      <c r="A326">
        <v>36</v>
      </c>
      <c r="B326">
        <f t="shared" ca="1" si="5"/>
        <v>4</v>
      </c>
      <c r="C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6" t="str">
        <f ca="1">IF(dict_zuord_Transfers_Storages[[#This Row],[kval_active]],dict_zuord_Transfers_Storages[[#This Row],[ID_Storages]],"")</f>
        <v/>
      </c>
    </row>
    <row r="327" spans="1:4" x14ac:dyDescent="0.45">
      <c r="A327">
        <v>36</v>
      </c>
      <c r="B327">
        <f t="shared" ca="1" si="5"/>
        <v>8</v>
      </c>
      <c r="C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7" t="str">
        <f ca="1">IF(dict_zuord_Transfers_Storages[[#This Row],[kval_active]],dict_zuord_Transfers_Storages[[#This Row],[ID_Storages]],"")</f>
        <v/>
      </c>
    </row>
    <row r="328" spans="1:4" x14ac:dyDescent="0.45">
      <c r="A328">
        <v>36</v>
      </c>
      <c r="B328">
        <f t="shared" ca="1" si="5"/>
        <v>73</v>
      </c>
      <c r="C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8" t="str">
        <f ca="1">IF(dict_zuord_Transfers_Storages[[#This Row],[kval_active]],dict_zuord_Transfers_Storages[[#This Row],[ID_Storages]],"")</f>
        <v/>
      </c>
    </row>
    <row r="329" spans="1:4" x14ac:dyDescent="0.45">
      <c r="A329">
        <v>36</v>
      </c>
      <c r="B329">
        <f t="shared" ca="1" si="5"/>
        <v>34</v>
      </c>
      <c r="C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29" t="str">
        <f ca="1">IF(dict_zuord_Transfers_Storages[[#This Row],[kval_active]],dict_zuord_Transfers_Storages[[#This Row],[ID_Storages]],"")</f>
        <v/>
      </c>
    </row>
    <row r="330" spans="1:4" x14ac:dyDescent="0.45">
      <c r="A330">
        <v>36</v>
      </c>
      <c r="B330">
        <f t="shared" ca="1" si="5"/>
        <v>63</v>
      </c>
      <c r="C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0" t="str">
        <f ca="1">IF(dict_zuord_Transfers_Storages[[#This Row],[kval_active]],dict_zuord_Transfers_Storages[[#This Row],[ID_Storages]],"")</f>
        <v/>
      </c>
    </row>
    <row r="331" spans="1:4" x14ac:dyDescent="0.45">
      <c r="A331">
        <v>36</v>
      </c>
      <c r="B331">
        <f t="shared" ca="1" si="5"/>
        <v>99</v>
      </c>
      <c r="C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1" t="str">
        <f ca="1">IF(dict_zuord_Transfers_Storages[[#This Row],[kval_active]],dict_zuord_Transfers_Storages[[#This Row],[ID_Storages]],"")</f>
        <v/>
      </c>
    </row>
    <row r="332" spans="1:4" x14ac:dyDescent="0.45">
      <c r="A332">
        <v>36</v>
      </c>
      <c r="B332">
        <f t="shared" ca="1" si="5"/>
        <v>54</v>
      </c>
      <c r="C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2" t="str">
        <f ca="1">IF(dict_zuord_Transfers_Storages[[#This Row],[kval_active]],dict_zuord_Transfers_Storages[[#This Row],[ID_Storages]],"")</f>
        <v/>
      </c>
    </row>
    <row r="333" spans="1:4" x14ac:dyDescent="0.45">
      <c r="A333">
        <v>36</v>
      </c>
      <c r="B333">
        <f t="shared" ca="1" si="5"/>
        <v>82</v>
      </c>
      <c r="C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3" t="str">
        <f ca="1">IF(dict_zuord_Transfers_Storages[[#This Row],[kval_active]],dict_zuord_Transfers_Storages[[#This Row],[ID_Storages]],"")</f>
        <v/>
      </c>
    </row>
    <row r="334" spans="1:4" x14ac:dyDescent="0.45">
      <c r="A334">
        <v>36</v>
      </c>
      <c r="B334">
        <f t="shared" ca="1" si="5"/>
        <v>86</v>
      </c>
      <c r="C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34" t="str">
        <f ca="1">IF(dict_zuord_Transfers_Storages[[#This Row],[kval_active]],dict_zuord_Transfers_Storages[[#This Row],[ID_Storages]],"")</f>
        <v/>
      </c>
    </row>
    <row r="335" spans="1:4" x14ac:dyDescent="0.45">
      <c r="A335">
        <v>37</v>
      </c>
      <c r="B335">
        <f t="shared" ca="1" si="5"/>
        <v>0</v>
      </c>
      <c r="C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5">
        <f ca="1">IF(dict_zuord_Transfers_Storages[[#This Row],[kval_active]],dict_zuord_Transfers_Storages[[#This Row],[ID_Storages]],"")</f>
        <v>0</v>
      </c>
    </row>
    <row r="336" spans="1:4" x14ac:dyDescent="0.45">
      <c r="A336">
        <v>37</v>
      </c>
      <c r="B336">
        <f t="shared" ca="1" si="5"/>
        <v>77</v>
      </c>
      <c r="C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6">
        <f ca="1">IF(dict_zuord_Transfers_Storages[[#This Row],[kval_active]],dict_zuord_Transfers_Storages[[#This Row],[ID_Storages]],"")</f>
        <v>77</v>
      </c>
    </row>
    <row r="337" spans="1:4" x14ac:dyDescent="0.45">
      <c r="A337">
        <v>37</v>
      </c>
      <c r="B337">
        <f t="shared" ca="1" si="5"/>
        <v>7</v>
      </c>
      <c r="C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7">
        <f ca="1">IF(dict_zuord_Transfers_Storages[[#This Row],[kval_active]],dict_zuord_Transfers_Storages[[#This Row],[ID_Storages]],"")</f>
        <v>7</v>
      </c>
    </row>
    <row r="338" spans="1:4" x14ac:dyDescent="0.45">
      <c r="A338">
        <v>37</v>
      </c>
      <c r="B338">
        <f t="shared" ca="1" si="5"/>
        <v>38</v>
      </c>
      <c r="C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8">
        <f ca="1">IF(dict_zuord_Transfers_Storages[[#This Row],[kval_active]],dict_zuord_Transfers_Storages[[#This Row],[ID_Storages]],"")</f>
        <v>38</v>
      </c>
    </row>
    <row r="339" spans="1:4" x14ac:dyDescent="0.45">
      <c r="A339">
        <v>37</v>
      </c>
      <c r="B339">
        <f t="shared" ca="1" si="5"/>
        <v>53</v>
      </c>
      <c r="C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39">
        <f ca="1">IF(dict_zuord_Transfers_Storages[[#This Row],[kval_active]],dict_zuord_Transfers_Storages[[#This Row],[ID_Storages]],"")</f>
        <v>53</v>
      </c>
    </row>
    <row r="340" spans="1:4" x14ac:dyDescent="0.45">
      <c r="A340">
        <v>37</v>
      </c>
      <c r="B340">
        <f t="shared" ca="1" si="5"/>
        <v>59</v>
      </c>
      <c r="C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0">
        <f ca="1">IF(dict_zuord_Transfers_Storages[[#This Row],[kval_active]],dict_zuord_Transfers_Storages[[#This Row],[ID_Storages]],"")</f>
        <v>59</v>
      </c>
    </row>
    <row r="341" spans="1:4" x14ac:dyDescent="0.45">
      <c r="A341">
        <v>37</v>
      </c>
      <c r="B341">
        <f t="shared" ca="1" si="5"/>
        <v>52</v>
      </c>
      <c r="C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1">
        <f ca="1">IF(dict_zuord_Transfers_Storages[[#This Row],[kval_active]],dict_zuord_Transfers_Storages[[#This Row],[ID_Storages]],"")</f>
        <v>52</v>
      </c>
    </row>
    <row r="342" spans="1:4" x14ac:dyDescent="0.45">
      <c r="A342">
        <v>37</v>
      </c>
      <c r="B342">
        <f t="shared" ca="1" si="5"/>
        <v>78</v>
      </c>
      <c r="C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2">
        <f ca="1">IF(dict_zuord_Transfers_Storages[[#This Row],[kval_active]],dict_zuord_Transfers_Storages[[#This Row],[ID_Storages]],"")</f>
        <v>78</v>
      </c>
    </row>
    <row r="343" spans="1:4" x14ac:dyDescent="0.45">
      <c r="A343">
        <v>37</v>
      </c>
      <c r="B343">
        <f t="shared" ca="1" si="5"/>
        <v>7</v>
      </c>
      <c r="C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43">
        <f ca="1">IF(dict_zuord_Transfers_Storages[[#This Row],[kval_active]],dict_zuord_Transfers_Storages[[#This Row],[ID_Storages]],"")</f>
        <v>7</v>
      </c>
    </row>
    <row r="344" spans="1:4" x14ac:dyDescent="0.45">
      <c r="A344">
        <v>38</v>
      </c>
      <c r="B344">
        <f t="shared" ca="1" si="5"/>
        <v>70</v>
      </c>
      <c r="C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4" t="str">
        <f ca="1">IF(dict_zuord_Transfers_Storages[[#This Row],[kval_active]],dict_zuord_Transfers_Storages[[#This Row],[ID_Storages]],"")</f>
        <v/>
      </c>
    </row>
    <row r="345" spans="1:4" x14ac:dyDescent="0.45">
      <c r="A345">
        <v>38</v>
      </c>
      <c r="B345">
        <f t="shared" ca="1" si="5"/>
        <v>93</v>
      </c>
      <c r="C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5" t="str">
        <f ca="1">IF(dict_zuord_Transfers_Storages[[#This Row],[kval_active]],dict_zuord_Transfers_Storages[[#This Row],[ID_Storages]],"")</f>
        <v/>
      </c>
    </row>
    <row r="346" spans="1:4" x14ac:dyDescent="0.45">
      <c r="A346">
        <v>38</v>
      </c>
      <c r="B346">
        <f t="shared" ca="1" si="5"/>
        <v>88</v>
      </c>
      <c r="C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6" t="str">
        <f ca="1">IF(dict_zuord_Transfers_Storages[[#This Row],[kval_active]],dict_zuord_Transfers_Storages[[#This Row],[ID_Storages]],"")</f>
        <v/>
      </c>
    </row>
    <row r="347" spans="1:4" x14ac:dyDescent="0.45">
      <c r="A347">
        <v>38</v>
      </c>
      <c r="B347">
        <f t="shared" ca="1" si="5"/>
        <v>57</v>
      </c>
      <c r="C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7" t="str">
        <f ca="1">IF(dict_zuord_Transfers_Storages[[#This Row],[kval_active]],dict_zuord_Transfers_Storages[[#This Row],[ID_Storages]],"")</f>
        <v/>
      </c>
    </row>
    <row r="348" spans="1:4" x14ac:dyDescent="0.45">
      <c r="A348">
        <v>38</v>
      </c>
      <c r="B348">
        <f t="shared" ca="1" si="5"/>
        <v>12</v>
      </c>
      <c r="C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8" t="str">
        <f ca="1">IF(dict_zuord_Transfers_Storages[[#This Row],[kval_active]],dict_zuord_Transfers_Storages[[#This Row],[ID_Storages]],"")</f>
        <v/>
      </c>
    </row>
    <row r="349" spans="1:4" x14ac:dyDescent="0.45">
      <c r="A349">
        <v>38</v>
      </c>
      <c r="B349">
        <f t="shared" ca="1" si="5"/>
        <v>90</v>
      </c>
      <c r="C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49" t="str">
        <f ca="1">IF(dict_zuord_Transfers_Storages[[#This Row],[kval_active]],dict_zuord_Transfers_Storages[[#This Row],[ID_Storages]],"")</f>
        <v/>
      </c>
    </row>
    <row r="350" spans="1:4" x14ac:dyDescent="0.45">
      <c r="A350">
        <v>38</v>
      </c>
      <c r="B350">
        <f t="shared" ca="1" si="5"/>
        <v>89</v>
      </c>
      <c r="C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0" t="str">
        <f ca="1">IF(dict_zuord_Transfers_Storages[[#This Row],[kval_active]],dict_zuord_Transfers_Storages[[#This Row],[ID_Storages]],"")</f>
        <v/>
      </c>
    </row>
    <row r="351" spans="1:4" x14ac:dyDescent="0.45">
      <c r="A351">
        <v>38</v>
      </c>
      <c r="B351">
        <f t="shared" ca="1" si="5"/>
        <v>94</v>
      </c>
      <c r="C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1" t="str">
        <f ca="1">IF(dict_zuord_Transfers_Storages[[#This Row],[kval_active]],dict_zuord_Transfers_Storages[[#This Row],[ID_Storages]],"")</f>
        <v/>
      </c>
    </row>
    <row r="352" spans="1:4" x14ac:dyDescent="0.45">
      <c r="A352">
        <v>38</v>
      </c>
      <c r="B352">
        <f t="shared" ca="1" si="5"/>
        <v>33</v>
      </c>
      <c r="C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2" t="str">
        <f ca="1">IF(dict_zuord_Transfers_Storages[[#This Row],[kval_active]],dict_zuord_Transfers_Storages[[#This Row],[ID_Storages]],"")</f>
        <v/>
      </c>
    </row>
    <row r="353" spans="1:4" x14ac:dyDescent="0.45">
      <c r="A353">
        <v>39</v>
      </c>
      <c r="B353">
        <f t="shared" ca="1" si="5"/>
        <v>89</v>
      </c>
      <c r="C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3" t="str">
        <f ca="1">IF(dict_zuord_Transfers_Storages[[#This Row],[kval_active]],dict_zuord_Transfers_Storages[[#This Row],[ID_Storages]],"")</f>
        <v/>
      </c>
    </row>
    <row r="354" spans="1:4" x14ac:dyDescent="0.45">
      <c r="A354">
        <v>39</v>
      </c>
      <c r="B354">
        <f t="shared" ca="1" si="5"/>
        <v>55</v>
      </c>
      <c r="C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4" t="str">
        <f ca="1">IF(dict_zuord_Transfers_Storages[[#This Row],[kval_active]],dict_zuord_Transfers_Storages[[#This Row],[ID_Storages]],"")</f>
        <v/>
      </c>
    </row>
    <row r="355" spans="1:4" x14ac:dyDescent="0.45">
      <c r="A355">
        <v>39</v>
      </c>
      <c r="B355">
        <f t="shared" ca="1" si="5"/>
        <v>15</v>
      </c>
      <c r="C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5" t="str">
        <f ca="1">IF(dict_zuord_Transfers_Storages[[#This Row],[kval_active]],dict_zuord_Transfers_Storages[[#This Row],[ID_Storages]],"")</f>
        <v/>
      </c>
    </row>
    <row r="356" spans="1:4" x14ac:dyDescent="0.45">
      <c r="A356">
        <v>39</v>
      </c>
      <c r="B356">
        <f t="shared" ca="1" si="5"/>
        <v>40</v>
      </c>
      <c r="C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6" t="str">
        <f ca="1">IF(dict_zuord_Transfers_Storages[[#This Row],[kval_active]],dict_zuord_Transfers_Storages[[#This Row],[ID_Storages]],"")</f>
        <v/>
      </c>
    </row>
    <row r="357" spans="1:4" x14ac:dyDescent="0.45">
      <c r="A357">
        <v>39</v>
      </c>
      <c r="B357">
        <f t="shared" ca="1" si="5"/>
        <v>55</v>
      </c>
      <c r="C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7" t="str">
        <f ca="1">IF(dict_zuord_Transfers_Storages[[#This Row],[kval_active]],dict_zuord_Transfers_Storages[[#This Row],[ID_Storages]],"")</f>
        <v/>
      </c>
    </row>
    <row r="358" spans="1:4" x14ac:dyDescent="0.45">
      <c r="A358">
        <v>39</v>
      </c>
      <c r="B358">
        <f t="shared" ca="1" si="5"/>
        <v>33</v>
      </c>
      <c r="C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8" t="str">
        <f ca="1">IF(dict_zuord_Transfers_Storages[[#This Row],[kval_active]],dict_zuord_Transfers_Storages[[#This Row],[ID_Storages]],"")</f>
        <v/>
      </c>
    </row>
    <row r="359" spans="1:4" x14ac:dyDescent="0.45">
      <c r="A359">
        <v>39</v>
      </c>
      <c r="B359">
        <f t="shared" ca="1" si="5"/>
        <v>89</v>
      </c>
      <c r="C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59" t="str">
        <f ca="1">IF(dict_zuord_Transfers_Storages[[#This Row],[kval_active]],dict_zuord_Transfers_Storages[[#This Row],[ID_Storages]],"")</f>
        <v/>
      </c>
    </row>
    <row r="360" spans="1:4" x14ac:dyDescent="0.45">
      <c r="A360">
        <v>39</v>
      </c>
      <c r="B360">
        <f t="shared" ca="1" si="5"/>
        <v>76</v>
      </c>
      <c r="C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0" t="str">
        <f ca="1">IF(dict_zuord_Transfers_Storages[[#This Row],[kval_active]],dict_zuord_Transfers_Storages[[#This Row],[ID_Storages]],"")</f>
        <v/>
      </c>
    </row>
    <row r="361" spans="1:4" x14ac:dyDescent="0.45">
      <c r="A361">
        <v>39</v>
      </c>
      <c r="B361">
        <f t="shared" ca="1" si="5"/>
        <v>7</v>
      </c>
      <c r="C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1" t="str">
        <f ca="1">IF(dict_zuord_Transfers_Storages[[#This Row],[kval_active]],dict_zuord_Transfers_Storages[[#This Row],[ID_Storages]],"")</f>
        <v/>
      </c>
    </row>
    <row r="362" spans="1:4" x14ac:dyDescent="0.45">
      <c r="A362">
        <v>40</v>
      </c>
      <c r="B362">
        <f t="shared" ca="1" si="5"/>
        <v>90</v>
      </c>
      <c r="C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2" t="str">
        <f ca="1">IF(dict_zuord_Transfers_Storages[[#This Row],[kval_active]],dict_zuord_Transfers_Storages[[#This Row],[ID_Storages]],"")</f>
        <v/>
      </c>
    </row>
    <row r="363" spans="1:4" x14ac:dyDescent="0.45">
      <c r="A363">
        <v>40</v>
      </c>
      <c r="B363">
        <f t="shared" ca="1" si="5"/>
        <v>31</v>
      </c>
      <c r="C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3" t="str">
        <f ca="1">IF(dict_zuord_Transfers_Storages[[#This Row],[kval_active]],dict_zuord_Transfers_Storages[[#This Row],[ID_Storages]],"")</f>
        <v/>
      </c>
    </row>
    <row r="364" spans="1:4" x14ac:dyDescent="0.45">
      <c r="A364">
        <v>40</v>
      </c>
      <c r="B364">
        <f t="shared" ca="1" si="5"/>
        <v>35</v>
      </c>
      <c r="C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4" t="str">
        <f ca="1">IF(dict_zuord_Transfers_Storages[[#This Row],[kval_active]],dict_zuord_Transfers_Storages[[#This Row],[ID_Storages]],"")</f>
        <v/>
      </c>
    </row>
    <row r="365" spans="1:4" x14ac:dyDescent="0.45">
      <c r="A365">
        <v>40</v>
      </c>
      <c r="B365">
        <f t="shared" ca="1" si="5"/>
        <v>37</v>
      </c>
      <c r="C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5" t="str">
        <f ca="1">IF(dict_zuord_Transfers_Storages[[#This Row],[kval_active]],dict_zuord_Transfers_Storages[[#This Row],[ID_Storages]],"")</f>
        <v/>
      </c>
    </row>
    <row r="366" spans="1:4" x14ac:dyDescent="0.45">
      <c r="A366">
        <v>40</v>
      </c>
      <c r="B366">
        <f t="shared" ca="1" si="5"/>
        <v>54</v>
      </c>
      <c r="C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6" t="str">
        <f ca="1">IF(dict_zuord_Transfers_Storages[[#This Row],[kval_active]],dict_zuord_Transfers_Storages[[#This Row],[ID_Storages]],"")</f>
        <v/>
      </c>
    </row>
    <row r="367" spans="1:4" x14ac:dyDescent="0.45">
      <c r="A367">
        <v>40</v>
      </c>
      <c r="B367">
        <f t="shared" ca="1" si="5"/>
        <v>94</v>
      </c>
      <c r="C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7" t="str">
        <f ca="1">IF(dict_zuord_Transfers_Storages[[#This Row],[kval_active]],dict_zuord_Transfers_Storages[[#This Row],[ID_Storages]],"")</f>
        <v/>
      </c>
    </row>
    <row r="368" spans="1:4" x14ac:dyDescent="0.45">
      <c r="A368">
        <v>40</v>
      </c>
      <c r="B368">
        <f t="shared" ca="1" si="5"/>
        <v>99</v>
      </c>
      <c r="C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8" t="str">
        <f ca="1">IF(dict_zuord_Transfers_Storages[[#This Row],[kval_active]],dict_zuord_Transfers_Storages[[#This Row],[ID_Storages]],"")</f>
        <v/>
      </c>
    </row>
    <row r="369" spans="1:4" x14ac:dyDescent="0.45">
      <c r="A369">
        <v>40</v>
      </c>
      <c r="B369">
        <f t="shared" ca="1" si="5"/>
        <v>39</v>
      </c>
      <c r="C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69" t="str">
        <f ca="1">IF(dict_zuord_Transfers_Storages[[#This Row],[kval_active]],dict_zuord_Transfers_Storages[[#This Row],[ID_Storages]],"")</f>
        <v/>
      </c>
    </row>
    <row r="370" spans="1:4" x14ac:dyDescent="0.45">
      <c r="A370">
        <v>40</v>
      </c>
      <c r="B370">
        <f t="shared" ca="1" si="5"/>
        <v>47</v>
      </c>
      <c r="C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0" t="str">
        <f ca="1">IF(dict_zuord_Transfers_Storages[[#This Row],[kval_active]],dict_zuord_Transfers_Storages[[#This Row],[ID_Storages]],"")</f>
        <v/>
      </c>
    </row>
    <row r="371" spans="1:4" x14ac:dyDescent="0.45">
      <c r="A371">
        <v>41</v>
      </c>
      <c r="B371">
        <f t="shared" ca="1" si="5"/>
        <v>61</v>
      </c>
      <c r="C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1" t="str">
        <f ca="1">IF(dict_zuord_Transfers_Storages[[#This Row],[kval_active]],dict_zuord_Transfers_Storages[[#This Row],[ID_Storages]],"")</f>
        <v/>
      </c>
    </row>
    <row r="372" spans="1:4" x14ac:dyDescent="0.45">
      <c r="A372">
        <v>41</v>
      </c>
      <c r="B372">
        <f t="shared" ca="1" si="5"/>
        <v>89</v>
      </c>
      <c r="C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2" t="str">
        <f ca="1">IF(dict_zuord_Transfers_Storages[[#This Row],[kval_active]],dict_zuord_Transfers_Storages[[#This Row],[ID_Storages]],"")</f>
        <v/>
      </c>
    </row>
    <row r="373" spans="1:4" x14ac:dyDescent="0.45">
      <c r="A373">
        <v>41</v>
      </c>
      <c r="B373">
        <f t="shared" ca="1" si="5"/>
        <v>74</v>
      </c>
      <c r="C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3" t="str">
        <f ca="1">IF(dict_zuord_Transfers_Storages[[#This Row],[kval_active]],dict_zuord_Transfers_Storages[[#This Row],[ID_Storages]],"")</f>
        <v/>
      </c>
    </row>
    <row r="374" spans="1:4" x14ac:dyDescent="0.45">
      <c r="A374">
        <v>41</v>
      </c>
      <c r="B374">
        <f t="shared" ca="1" si="5"/>
        <v>28</v>
      </c>
      <c r="C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4" t="str">
        <f ca="1">IF(dict_zuord_Transfers_Storages[[#This Row],[kval_active]],dict_zuord_Transfers_Storages[[#This Row],[ID_Storages]],"")</f>
        <v/>
      </c>
    </row>
    <row r="375" spans="1:4" x14ac:dyDescent="0.45">
      <c r="A375">
        <v>41</v>
      </c>
      <c r="B375">
        <f t="shared" ca="1" si="5"/>
        <v>73</v>
      </c>
      <c r="C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5" t="str">
        <f ca="1">IF(dict_zuord_Transfers_Storages[[#This Row],[kval_active]],dict_zuord_Transfers_Storages[[#This Row],[ID_Storages]],"")</f>
        <v/>
      </c>
    </row>
    <row r="376" spans="1:4" x14ac:dyDescent="0.45">
      <c r="A376">
        <v>41</v>
      </c>
      <c r="B376">
        <f t="shared" ca="1" si="5"/>
        <v>65</v>
      </c>
      <c r="C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6" t="str">
        <f ca="1">IF(dict_zuord_Transfers_Storages[[#This Row],[kval_active]],dict_zuord_Transfers_Storages[[#This Row],[ID_Storages]],"")</f>
        <v/>
      </c>
    </row>
    <row r="377" spans="1:4" x14ac:dyDescent="0.45">
      <c r="A377">
        <v>41</v>
      </c>
      <c r="B377">
        <f t="shared" ca="1" si="5"/>
        <v>67</v>
      </c>
      <c r="C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7" t="str">
        <f ca="1">IF(dict_zuord_Transfers_Storages[[#This Row],[kval_active]],dict_zuord_Transfers_Storages[[#This Row],[ID_Storages]],"")</f>
        <v/>
      </c>
    </row>
    <row r="378" spans="1:4" x14ac:dyDescent="0.45">
      <c r="A378">
        <v>41</v>
      </c>
      <c r="B378">
        <f t="shared" ca="1" si="5"/>
        <v>79</v>
      </c>
      <c r="C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8" t="str">
        <f ca="1">IF(dict_zuord_Transfers_Storages[[#This Row],[kval_active]],dict_zuord_Transfers_Storages[[#This Row],[ID_Storages]],"")</f>
        <v/>
      </c>
    </row>
    <row r="379" spans="1:4" x14ac:dyDescent="0.45">
      <c r="A379">
        <v>41</v>
      </c>
      <c r="B379">
        <f t="shared" ca="1" si="5"/>
        <v>89</v>
      </c>
      <c r="C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379" t="str">
        <f ca="1">IF(dict_zuord_Transfers_Storages[[#This Row],[kval_active]],dict_zuord_Transfers_Storages[[#This Row],[ID_Storages]],"")</f>
        <v/>
      </c>
    </row>
    <row r="380" spans="1:4" x14ac:dyDescent="0.45">
      <c r="A380">
        <v>42</v>
      </c>
      <c r="B380">
        <f t="shared" ca="1" si="5"/>
        <v>48</v>
      </c>
      <c r="C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0">
        <f ca="1">IF(dict_zuord_Transfers_Storages[[#This Row],[kval_active]],dict_zuord_Transfers_Storages[[#This Row],[ID_Storages]],"")</f>
        <v>48</v>
      </c>
    </row>
    <row r="381" spans="1:4" x14ac:dyDescent="0.45">
      <c r="A381">
        <v>42</v>
      </c>
      <c r="B381">
        <f t="shared" ca="1" si="5"/>
        <v>0</v>
      </c>
      <c r="C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1">
        <f ca="1">IF(dict_zuord_Transfers_Storages[[#This Row],[kval_active]],dict_zuord_Transfers_Storages[[#This Row],[ID_Storages]],"")</f>
        <v>0</v>
      </c>
    </row>
    <row r="382" spans="1:4" x14ac:dyDescent="0.45">
      <c r="A382">
        <v>42</v>
      </c>
      <c r="B382">
        <f t="shared" ca="1" si="5"/>
        <v>76</v>
      </c>
      <c r="C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2">
        <f ca="1">IF(dict_zuord_Transfers_Storages[[#This Row],[kval_active]],dict_zuord_Transfers_Storages[[#This Row],[ID_Storages]],"")</f>
        <v>76</v>
      </c>
    </row>
    <row r="383" spans="1:4" x14ac:dyDescent="0.45">
      <c r="A383">
        <v>42</v>
      </c>
      <c r="B383">
        <f t="shared" ca="1" si="5"/>
        <v>20</v>
      </c>
      <c r="C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3">
        <f ca="1">IF(dict_zuord_Transfers_Storages[[#This Row],[kval_active]],dict_zuord_Transfers_Storages[[#This Row],[ID_Storages]],"")</f>
        <v>20</v>
      </c>
    </row>
    <row r="384" spans="1:4" x14ac:dyDescent="0.45">
      <c r="A384">
        <v>42</v>
      </c>
      <c r="B384">
        <f t="shared" ca="1" si="5"/>
        <v>91</v>
      </c>
      <c r="C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4">
        <f ca="1">IF(dict_zuord_Transfers_Storages[[#This Row],[kval_active]],dict_zuord_Transfers_Storages[[#This Row],[ID_Storages]],"")</f>
        <v>91</v>
      </c>
    </row>
    <row r="385" spans="1:4" x14ac:dyDescent="0.45">
      <c r="A385">
        <v>42</v>
      </c>
      <c r="B385">
        <f t="shared" ca="1" si="5"/>
        <v>4</v>
      </c>
      <c r="C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5">
        <f ca="1">IF(dict_zuord_Transfers_Storages[[#This Row],[kval_active]],dict_zuord_Transfers_Storages[[#This Row],[ID_Storages]],"")</f>
        <v>4</v>
      </c>
    </row>
    <row r="386" spans="1:4" x14ac:dyDescent="0.45">
      <c r="A386">
        <v>42</v>
      </c>
      <c r="B386">
        <f t="shared" ref="B386:B449" ca="1" si="6">RANDBETWEEN(0,100)</f>
        <v>28</v>
      </c>
      <c r="C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6">
        <f ca="1">IF(dict_zuord_Transfers_Storages[[#This Row],[kval_active]],dict_zuord_Transfers_Storages[[#This Row],[ID_Storages]],"")</f>
        <v>28</v>
      </c>
    </row>
    <row r="387" spans="1:4" x14ac:dyDescent="0.45">
      <c r="A387">
        <v>42</v>
      </c>
      <c r="B387">
        <f t="shared" ca="1" si="6"/>
        <v>11</v>
      </c>
      <c r="C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7">
        <f ca="1">IF(dict_zuord_Transfers_Storages[[#This Row],[kval_active]],dict_zuord_Transfers_Storages[[#This Row],[ID_Storages]],"")</f>
        <v>11</v>
      </c>
    </row>
    <row r="388" spans="1:4" x14ac:dyDescent="0.45">
      <c r="A388">
        <v>42</v>
      </c>
      <c r="B388">
        <f t="shared" ca="1" si="6"/>
        <v>96</v>
      </c>
      <c r="C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8">
        <f ca="1">IF(dict_zuord_Transfers_Storages[[#This Row],[kval_active]],dict_zuord_Transfers_Storages[[#This Row],[ID_Storages]],"")</f>
        <v>96</v>
      </c>
    </row>
    <row r="389" spans="1:4" x14ac:dyDescent="0.45">
      <c r="A389">
        <v>43</v>
      </c>
      <c r="B389">
        <f t="shared" ca="1" si="6"/>
        <v>97</v>
      </c>
      <c r="C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89">
        <f ca="1">IF(dict_zuord_Transfers_Storages[[#This Row],[kval_active]],dict_zuord_Transfers_Storages[[#This Row],[ID_Storages]],"")</f>
        <v>97</v>
      </c>
    </row>
    <row r="390" spans="1:4" x14ac:dyDescent="0.45">
      <c r="A390">
        <v>43</v>
      </c>
      <c r="B390">
        <f t="shared" ca="1" si="6"/>
        <v>44</v>
      </c>
      <c r="C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0">
        <f ca="1">IF(dict_zuord_Transfers_Storages[[#This Row],[kval_active]],dict_zuord_Transfers_Storages[[#This Row],[ID_Storages]],"")</f>
        <v>44</v>
      </c>
    </row>
    <row r="391" spans="1:4" x14ac:dyDescent="0.45">
      <c r="A391">
        <v>43</v>
      </c>
      <c r="B391">
        <f t="shared" ca="1" si="6"/>
        <v>27</v>
      </c>
      <c r="C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1">
        <f ca="1">IF(dict_zuord_Transfers_Storages[[#This Row],[kval_active]],dict_zuord_Transfers_Storages[[#This Row],[ID_Storages]],"")</f>
        <v>27</v>
      </c>
    </row>
    <row r="392" spans="1:4" x14ac:dyDescent="0.45">
      <c r="A392">
        <v>43</v>
      </c>
      <c r="B392">
        <f t="shared" ca="1" si="6"/>
        <v>87</v>
      </c>
      <c r="C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2">
        <f ca="1">IF(dict_zuord_Transfers_Storages[[#This Row],[kval_active]],dict_zuord_Transfers_Storages[[#This Row],[ID_Storages]],"")</f>
        <v>87</v>
      </c>
    </row>
    <row r="393" spans="1:4" x14ac:dyDescent="0.45">
      <c r="A393">
        <v>43</v>
      </c>
      <c r="B393">
        <f t="shared" ca="1" si="6"/>
        <v>16</v>
      </c>
      <c r="C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3">
        <f ca="1">IF(dict_zuord_Transfers_Storages[[#This Row],[kval_active]],dict_zuord_Transfers_Storages[[#This Row],[ID_Storages]],"")</f>
        <v>16</v>
      </c>
    </row>
    <row r="394" spans="1:4" x14ac:dyDescent="0.45">
      <c r="A394">
        <v>43</v>
      </c>
      <c r="B394">
        <f t="shared" ca="1" si="6"/>
        <v>73</v>
      </c>
      <c r="C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4">
        <f ca="1">IF(dict_zuord_Transfers_Storages[[#This Row],[kval_active]],dict_zuord_Transfers_Storages[[#This Row],[ID_Storages]],"")</f>
        <v>73</v>
      </c>
    </row>
    <row r="395" spans="1:4" x14ac:dyDescent="0.45">
      <c r="A395">
        <v>43</v>
      </c>
      <c r="B395">
        <f t="shared" ca="1" si="6"/>
        <v>52</v>
      </c>
      <c r="C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5">
        <f ca="1">IF(dict_zuord_Transfers_Storages[[#This Row],[kval_active]],dict_zuord_Transfers_Storages[[#This Row],[ID_Storages]],"")</f>
        <v>52</v>
      </c>
    </row>
    <row r="396" spans="1:4" x14ac:dyDescent="0.45">
      <c r="A396">
        <v>43</v>
      </c>
      <c r="B396">
        <f t="shared" ca="1" si="6"/>
        <v>87</v>
      </c>
      <c r="C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6">
        <f ca="1">IF(dict_zuord_Transfers_Storages[[#This Row],[kval_active]],dict_zuord_Transfers_Storages[[#This Row],[ID_Storages]],"")</f>
        <v>87</v>
      </c>
    </row>
    <row r="397" spans="1:4" x14ac:dyDescent="0.45">
      <c r="A397">
        <v>43</v>
      </c>
      <c r="B397">
        <f t="shared" ca="1" si="6"/>
        <v>32</v>
      </c>
      <c r="C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7">
        <f ca="1">IF(dict_zuord_Transfers_Storages[[#This Row],[kval_active]],dict_zuord_Transfers_Storages[[#This Row],[ID_Storages]],"")</f>
        <v>32</v>
      </c>
    </row>
    <row r="398" spans="1:4" x14ac:dyDescent="0.45">
      <c r="A398">
        <v>44</v>
      </c>
      <c r="B398">
        <f t="shared" ca="1" si="6"/>
        <v>47</v>
      </c>
      <c r="C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8">
        <f ca="1">IF(dict_zuord_Transfers_Storages[[#This Row],[kval_active]],dict_zuord_Transfers_Storages[[#This Row],[ID_Storages]],"")</f>
        <v>47</v>
      </c>
    </row>
    <row r="399" spans="1:4" x14ac:dyDescent="0.45">
      <c r="A399">
        <v>44</v>
      </c>
      <c r="B399">
        <f t="shared" ca="1" si="6"/>
        <v>55</v>
      </c>
      <c r="C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399">
        <f ca="1">IF(dict_zuord_Transfers_Storages[[#This Row],[kval_active]],dict_zuord_Transfers_Storages[[#This Row],[ID_Storages]],"")</f>
        <v>55</v>
      </c>
    </row>
    <row r="400" spans="1:4" x14ac:dyDescent="0.45">
      <c r="A400">
        <v>44</v>
      </c>
      <c r="B400">
        <f t="shared" ca="1" si="6"/>
        <v>29</v>
      </c>
      <c r="C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0">
        <f ca="1">IF(dict_zuord_Transfers_Storages[[#This Row],[kval_active]],dict_zuord_Transfers_Storages[[#This Row],[ID_Storages]],"")</f>
        <v>29</v>
      </c>
    </row>
    <row r="401" spans="1:4" x14ac:dyDescent="0.45">
      <c r="A401">
        <v>44</v>
      </c>
      <c r="B401">
        <f t="shared" ca="1" si="6"/>
        <v>60</v>
      </c>
      <c r="C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1">
        <f ca="1">IF(dict_zuord_Transfers_Storages[[#This Row],[kval_active]],dict_zuord_Transfers_Storages[[#This Row],[ID_Storages]],"")</f>
        <v>60</v>
      </c>
    </row>
    <row r="402" spans="1:4" x14ac:dyDescent="0.45">
      <c r="A402">
        <v>44</v>
      </c>
      <c r="B402">
        <f t="shared" ca="1" si="6"/>
        <v>21</v>
      </c>
      <c r="C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2">
        <f ca="1">IF(dict_zuord_Transfers_Storages[[#This Row],[kval_active]],dict_zuord_Transfers_Storages[[#This Row],[ID_Storages]],"")</f>
        <v>21</v>
      </c>
    </row>
    <row r="403" spans="1:4" x14ac:dyDescent="0.45">
      <c r="A403">
        <v>44</v>
      </c>
      <c r="B403">
        <f t="shared" ca="1" si="6"/>
        <v>9</v>
      </c>
      <c r="C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3">
        <f ca="1">IF(dict_zuord_Transfers_Storages[[#This Row],[kval_active]],dict_zuord_Transfers_Storages[[#This Row],[ID_Storages]],"")</f>
        <v>9</v>
      </c>
    </row>
    <row r="404" spans="1:4" x14ac:dyDescent="0.45">
      <c r="A404">
        <v>44</v>
      </c>
      <c r="B404">
        <f t="shared" ca="1" si="6"/>
        <v>64</v>
      </c>
      <c r="C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4">
        <f ca="1">IF(dict_zuord_Transfers_Storages[[#This Row],[kval_active]],dict_zuord_Transfers_Storages[[#This Row],[ID_Storages]],"")</f>
        <v>64</v>
      </c>
    </row>
    <row r="405" spans="1:4" x14ac:dyDescent="0.45">
      <c r="A405">
        <v>44</v>
      </c>
      <c r="B405">
        <f t="shared" ca="1" si="6"/>
        <v>66</v>
      </c>
      <c r="C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5">
        <f ca="1">IF(dict_zuord_Transfers_Storages[[#This Row],[kval_active]],dict_zuord_Transfers_Storages[[#This Row],[ID_Storages]],"")</f>
        <v>66</v>
      </c>
    </row>
    <row r="406" spans="1:4" x14ac:dyDescent="0.45">
      <c r="A406">
        <v>44</v>
      </c>
      <c r="B406">
        <f t="shared" ca="1" si="6"/>
        <v>83</v>
      </c>
      <c r="C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06">
        <f ca="1">IF(dict_zuord_Transfers_Storages[[#This Row],[kval_active]],dict_zuord_Transfers_Storages[[#This Row],[ID_Storages]],"")</f>
        <v>83</v>
      </c>
    </row>
    <row r="407" spans="1:4" x14ac:dyDescent="0.45">
      <c r="A407">
        <v>45</v>
      </c>
      <c r="B407">
        <f t="shared" ca="1" si="6"/>
        <v>31</v>
      </c>
      <c r="C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7" t="str">
        <f ca="1">IF(dict_zuord_Transfers_Storages[[#This Row],[kval_active]],dict_zuord_Transfers_Storages[[#This Row],[ID_Storages]],"")</f>
        <v/>
      </c>
    </row>
    <row r="408" spans="1:4" x14ac:dyDescent="0.45">
      <c r="A408">
        <v>45</v>
      </c>
      <c r="B408">
        <f t="shared" ca="1" si="6"/>
        <v>51</v>
      </c>
      <c r="C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8" t="str">
        <f ca="1">IF(dict_zuord_Transfers_Storages[[#This Row],[kval_active]],dict_zuord_Transfers_Storages[[#This Row],[ID_Storages]],"")</f>
        <v/>
      </c>
    </row>
    <row r="409" spans="1:4" x14ac:dyDescent="0.45">
      <c r="A409">
        <v>45</v>
      </c>
      <c r="B409">
        <f t="shared" ca="1" si="6"/>
        <v>28</v>
      </c>
      <c r="C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09" t="str">
        <f ca="1">IF(dict_zuord_Transfers_Storages[[#This Row],[kval_active]],dict_zuord_Transfers_Storages[[#This Row],[ID_Storages]],"")</f>
        <v/>
      </c>
    </row>
    <row r="410" spans="1:4" x14ac:dyDescent="0.45">
      <c r="A410">
        <v>45</v>
      </c>
      <c r="B410">
        <f t="shared" ca="1" si="6"/>
        <v>7</v>
      </c>
      <c r="C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0" t="str">
        <f ca="1">IF(dict_zuord_Transfers_Storages[[#This Row],[kval_active]],dict_zuord_Transfers_Storages[[#This Row],[ID_Storages]],"")</f>
        <v/>
      </c>
    </row>
    <row r="411" spans="1:4" x14ac:dyDescent="0.45">
      <c r="A411">
        <v>45</v>
      </c>
      <c r="B411">
        <f t="shared" ca="1" si="6"/>
        <v>85</v>
      </c>
      <c r="C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1" t="str">
        <f ca="1">IF(dict_zuord_Transfers_Storages[[#This Row],[kval_active]],dict_zuord_Transfers_Storages[[#This Row],[ID_Storages]],"")</f>
        <v/>
      </c>
    </row>
    <row r="412" spans="1:4" x14ac:dyDescent="0.45">
      <c r="A412">
        <v>45</v>
      </c>
      <c r="B412">
        <f t="shared" ca="1" si="6"/>
        <v>50</v>
      </c>
      <c r="C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2" t="str">
        <f ca="1">IF(dict_zuord_Transfers_Storages[[#This Row],[kval_active]],dict_zuord_Transfers_Storages[[#This Row],[ID_Storages]],"")</f>
        <v/>
      </c>
    </row>
    <row r="413" spans="1:4" x14ac:dyDescent="0.45">
      <c r="A413">
        <v>45</v>
      </c>
      <c r="B413">
        <f t="shared" ca="1" si="6"/>
        <v>91</v>
      </c>
      <c r="C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3" t="str">
        <f ca="1">IF(dict_zuord_Transfers_Storages[[#This Row],[kval_active]],dict_zuord_Transfers_Storages[[#This Row],[ID_Storages]],"")</f>
        <v/>
      </c>
    </row>
    <row r="414" spans="1:4" x14ac:dyDescent="0.45">
      <c r="A414">
        <v>45</v>
      </c>
      <c r="B414">
        <f t="shared" ca="1" si="6"/>
        <v>72</v>
      </c>
      <c r="C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4" t="str">
        <f ca="1">IF(dict_zuord_Transfers_Storages[[#This Row],[kval_active]],dict_zuord_Transfers_Storages[[#This Row],[ID_Storages]],"")</f>
        <v/>
      </c>
    </row>
    <row r="415" spans="1:4" x14ac:dyDescent="0.45">
      <c r="A415">
        <v>45</v>
      </c>
      <c r="B415">
        <f t="shared" ca="1" si="6"/>
        <v>6</v>
      </c>
      <c r="C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5" t="str">
        <f ca="1">IF(dict_zuord_Transfers_Storages[[#This Row],[kval_active]],dict_zuord_Transfers_Storages[[#This Row],[ID_Storages]],"")</f>
        <v/>
      </c>
    </row>
    <row r="416" spans="1:4" x14ac:dyDescent="0.45">
      <c r="A416">
        <v>46</v>
      </c>
      <c r="B416">
        <f t="shared" ca="1" si="6"/>
        <v>73</v>
      </c>
      <c r="C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6" t="str">
        <f ca="1">IF(dict_zuord_Transfers_Storages[[#This Row],[kval_active]],dict_zuord_Transfers_Storages[[#This Row],[ID_Storages]],"")</f>
        <v/>
      </c>
    </row>
    <row r="417" spans="1:4" x14ac:dyDescent="0.45">
      <c r="A417">
        <v>46</v>
      </c>
      <c r="B417">
        <f t="shared" ca="1" si="6"/>
        <v>0</v>
      </c>
      <c r="C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7" t="str">
        <f ca="1">IF(dict_zuord_Transfers_Storages[[#This Row],[kval_active]],dict_zuord_Transfers_Storages[[#This Row],[ID_Storages]],"")</f>
        <v/>
      </c>
    </row>
    <row r="418" spans="1:4" x14ac:dyDescent="0.45">
      <c r="A418">
        <v>46</v>
      </c>
      <c r="B418">
        <f t="shared" ca="1" si="6"/>
        <v>42</v>
      </c>
      <c r="C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8" t="str">
        <f ca="1">IF(dict_zuord_Transfers_Storages[[#This Row],[kval_active]],dict_zuord_Transfers_Storages[[#This Row],[ID_Storages]],"")</f>
        <v/>
      </c>
    </row>
    <row r="419" spans="1:4" x14ac:dyDescent="0.45">
      <c r="A419">
        <v>46</v>
      </c>
      <c r="B419">
        <f t="shared" ca="1" si="6"/>
        <v>45</v>
      </c>
      <c r="C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19" t="str">
        <f ca="1">IF(dict_zuord_Transfers_Storages[[#This Row],[kval_active]],dict_zuord_Transfers_Storages[[#This Row],[ID_Storages]],"")</f>
        <v/>
      </c>
    </row>
    <row r="420" spans="1:4" x14ac:dyDescent="0.45">
      <c r="A420">
        <v>46</v>
      </c>
      <c r="B420">
        <f t="shared" ca="1" si="6"/>
        <v>76</v>
      </c>
      <c r="C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0" t="str">
        <f ca="1">IF(dict_zuord_Transfers_Storages[[#This Row],[kval_active]],dict_zuord_Transfers_Storages[[#This Row],[ID_Storages]],"")</f>
        <v/>
      </c>
    </row>
    <row r="421" spans="1:4" x14ac:dyDescent="0.45">
      <c r="A421">
        <v>46</v>
      </c>
      <c r="B421">
        <f t="shared" ca="1" si="6"/>
        <v>97</v>
      </c>
      <c r="C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1" t="str">
        <f ca="1">IF(dict_zuord_Transfers_Storages[[#This Row],[kval_active]],dict_zuord_Transfers_Storages[[#This Row],[ID_Storages]],"")</f>
        <v/>
      </c>
    </row>
    <row r="422" spans="1:4" x14ac:dyDescent="0.45">
      <c r="A422">
        <v>46</v>
      </c>
      <c r="B422">
        <f t="shared" ca="1" si="6"/>
        <v>42</v>
      </c>
      <c r="C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2" t="str">
        <f ca="1">IF(dict_zuord_Transfers_Storages[[#This Row],[kval_active]],dict_zuord_Transfers_Storages[[#This Row],[ID_Storages]],"")</f>
        <v/>
      </c>
    </row>
    <row r="423" spans="1:4" x14ac:dyDescent="0.45">
      <c r="A423">
        <v>46</v>
      </c>
      <c r="B423">
        <f t="shared" ca="1" si="6"/>
        <v>50</v>
      </c>
      <c r="C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3" t="str">
        <f ca="1">IF(dict_zuord_Transfers_Storages[[#This Row],[kval_active]],dict_zuord_Transfers_Storages[[#This Row],[ID_Storages]],"")</f>
        <v/>
      </c>
    </row>
    <row r="424" spans="1:4" x14ac:dyDescent="0.45">
      <c r="A424">
        <v>46</v>
      </c>
      <c r="B424">
        <f t="shared" ca="1" si="6"/>
        <v>76</v>
      </c>
      <c r="C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4" t="str">
        <f ca="1">IF(dict_zuord_Transfers_Storages[[#This Row],[kval_active]],dict_zuord_Transfers_Storages[[#This Row],[ID_Storages]],"")</f>
        <v/>
      </c>
    </row>
    <row r="425" spans="1:4" x14ac:dyDescent="0.45">
      <c r="A425">
        <v>47</v>
      </c>
      <c r="B425">
        <f t="shared" ca="1" si="6"/>
        <v>7</v>
      </c>
      <c r="C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5" t="str">
        <f ca="1">IF(dict_zuord_Transfers_Storages[[#This Row],[kval_active]],dict_zuord_Transfers_Storages[[#This Row],[ID_Storages]],"")</f>
        <v/>
      </c>
    </row>
    <row r="426" spans="1:4" x14ac:dyDescent="0.45">
      <c r="A426">
        <v>47</v>
      </c>
      <c r="B426">
        <f t="shared" ca="1" si="6"/>
        <v>44</v>
      </c>
      <c r="C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6" t="str">
        <f ca="1">IF(dict_zuord_Transfers_Storages[[#This Row],[kval_active]],dict_zuord_Transfers_Storages[[#This Row],[ID_Storages]],"")</f>
        <v/>
      </c>
    </row>
    <row r="427" spans="1:4" x14ac:dyDescent="0.45">
      <c r="A427">
        <v>47</v>
      </c>
      <c r="B427">
        <f t="shared" ca="1" si="6"/>
        <v>77</v>
      </c>
      <c r="C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7" t="str">
        <f ca="1">IF(dict_zuord_Transfers_Storages[[#This Row],[kval_active]],dict_zuord_Transfers_Storages[[#This Row],[ID_Storages]],"")</f>
        <v/>
      </c>
    </row>
    <row r="428" spans="1:4" x14ac:dyDescent="0.45">
      <c r="A428">
        <v>47</v>
      </c>
      <c r="B428">
        <f t="shared" ca="1" si="6"/>
        <v>84</v>
      </c>
      <c r="C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8" t="str">
        <f ca="1">IF(dict_zuord_Transfers_Storages[[#This Row],[kval_active]],dict_zuord_Transfers_Storages[[#This Row],[ID_Storages]],"")</f>
        <v/>
      </c>
    </row>
    <row r="429" spans="1:4" x14ac:dyDescent="0.45">
      <c r="A429">
        <v>47</v>
      </c>
      <c r="B429">
        <f t="shared" ca="1" si="6"/>
        <v>98</v>
      </c>
      <c r="C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29" t="str">
        <f ca="1">IF(dict_zuord_Transfers_Storages[[#This Row],[kval_active]],dict_zuord_Transfers_Storages[[#This Row],[ID_Storages]],"")</f>
        <v/>
      </c>
    </row>
    <row r="430" spans="1:4" x14ac:dyDescent="0.45">
      <c r="A430">
        <v>47</v>
      </c>
      <c r="B430">
        <f t="shared" ca="1" si="6"/>
        <v>49</v>
      </c>
      <c r="C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0" t="str">
        <f ca="1">IF(dict_zuord_Transfers_Storages[[#This Row],[kval_active]],dict_zuord_Transfers_Storages[[#This Row],[ID_Storages]],"")</f>
        <v/>
      </c>
    </row>
    <row r="431" spans="1:4" x14ac:dyDescent="0.45">
      <c r="A431">
        <v>47</v>
      </c>
      <c r="B431">
        <f t="shared" ca="1" si="6"/>
        <v>31</v>
      </c>
      <c r="C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1" t="str">
        <f ca="1">IF(dict_zuord_Transfers_Storages[[#This Row],[kval_active]],dict_zuord_Transfers_Storages[[#This Row],[ID_Storages]],"")</f>
        <v/>
      </c>
    </row>
    <row r="432" spans="1:4" x14ac:dyDescent="0.45">
      <c r="A432">
        <v>47</v>
      </c>
      <c r="B432">
        <f t="shared" ca="1" si="6"/>
        <v>22</v>
      </c>
      <c r="C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2" t="str">
        <f ca="1">IF(dict_zuord_Transfers_Storages[[#This Row],[kval_active]],dict_zuord_Transfers_Storages[[#This Row],[ID_Storages]],"")</f>
        <v/>
      </c>
    </row>
    <row r="433" spans="1:4" x14ac:dyDescent="0.45">
      <c r="A433">
        <v>47</v>
      </c>
      <c r="B433">
        <f t="shared" ca="1" si="6"/>
        <v>31</v>
      </c>
      <c r="C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33" t="str">
        <f ca="1">IF(dict_zuord_Transfers_Storages[[#This Row],[kval_active]],dict_zuord_Transfers_Storages[[#This Row],[ID_Storages]],"")</f>
        <v/>
      </c>
    </row>
    <row r="434" spans="1:4" x14ac:dyDescent="0.45">
      <c r="A434">
        <v>48</v>
      </c>
      <c r="B434">
        <f t="shared" ca="1" si="6"/>
        <v>31</v>
      </c>
      <c r="C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4">
        <f ca="1">IF(dict_zuord_Transfers_Storages[[#This Row],[kval_active]],dict_zuord_Transfers_Storages[[#This Row],[ID_Storages]],"")</f>
        <v>31</v>
      </c>
    </row>
    <row r="435" spans="1:4" x14ac:dyDescent="0.45">
      <c r="A435">
        <v>48</v>
      </c>
      <c r="B435">
        <f t="shared" ca="1" si="6"/>
        <v>39</v>
      </c>
      <c r="C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5">
        <f ca="1">IF(dict_zuord_Transfers_Storages[[#This Row],[kval_active]],dict_zuord_Transfers_Storages[[#This Row],[ID_Storages]],"")</f>
        <v>39</v>
      </c>
    </row>
    <row r="436" spans="1:4" x14ac:dyDescent="0.45">
      <c r="A436">
        <v>48</v>
      </c>
      <c r="B436">
        <f t="shared" ca="1" si="6"/>
        <v>83</v>
      </c>
      <c r="C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6">
        <f ca="1">IF(dict_zuord_Transfers_Storages[[#This Row],[kval_active]],dict_zuord_Transfers_Storages[[#This Row],[ID_Storages]],"")</f>
        <v>83</v>
      </c>
    </row>
    <row r="437" spans="1:4" x14ac:dyDescent="0.45">
      <c r="A437">
        <v>48</v>
      </c>
      <c r="B437">
        <f t="shared" ca="1" si="6"/>
        <v>95</v>
      </c>
      <c r="C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7">
        <f ca="1">IF(dict_zuord_Transfers_Storages[[#This Row],[kval_active]],dict_zuord_Transfers_Storages[[#This Row],[ID_Storages]],"")</f>
        <v>95</v>
      </c>
    </row>
    <row r="438" spans="1:4" x14ac:dyDescent="0.45">
      <c r="A438">
        <v>48</v>
      </c>
      <c r="B438">
        <f t="shared" ca="1" si="6"/>
        <v>26</v>
      </c>
      <c r="C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8">
        <f ca="1">IF(dict_zuord_Transfers_Storages[[#This Row],[kval_active]],dict_zuord_Transfers_Storages[[#This Row],[ID_Storages]],"")</f>
        <v>26</v>
      </c>
    </row>
    <row r="439" spans="1:4" x14ac:dyDescent="0.45">
      <c r="A439">
        <v>48</v>
      </c>
      <c r="B439">
        <f t="shared" ca="1" si="6"/>
        <v>81</v>
      </c>
      <c r="C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39">
        <f ca="1">IF(dict_zuord_Transfers_Storages[[#This Row],[kval_active]],dict_zuord_Transfers_Storages[[#This Row],[ID_Storages]],"")</f>
        <v>81</v>
      </c>
    </row>
    <row r="440" spans="1:4" x14ac:dyDescent="0.45">
      <c r="A440">
        <v>48</v>
      </c>
      <c r="B440">
        <f t="shared" ca="1" si="6"/>
        <v>37</v>
      </c>
      <c r="C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0">
        <f ca="1">IF(dict_zuord_Transfers_Storages[[#This Row],[kval_active]],dict_zuord_Transfers_Storages[[#This Row],[ID_Storages]],"")</f>
        <v>37</v>
      </c>
    </row>
    <row r="441" spans="1:4" x14ac:dyDescent="0.45">
      <c r="A441">
        <v>48</v>
      </c>
      <c r="B441">
        <f t="shared" ca="1" si="6"/>
        <v>28</v>
      </c>
      <c r="C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1">
        <f ca="1">IF(dict_zuord_Transfers_Storages[[#This Row],[kval_active]],dict_zuord_Transfers_Storages[[#This Row],[ID_Storages]],"")</f>
        <v>28</v>
      </c>
    </row>
    <row r="442" spans="1:4" x14ac:dyDescent="0.45">
      <c r="A442">
        <v>48</v>
      </c>
      <c r="B442">
        <f t="shared" ca="1" si="6"/>
        <v>23</v>
      </c>
      <c r="C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42">
        <f ca="1">IF(dict_zuord_Transfers_Storages[[#This Row],[kval_active]],dict_zuord_Transfers_Storages[[#This Row],[ID_Storages]],"")</f>
        <v>23</v>
      </c>
    </row>
    <row r="443" spans="1:4" x14ac:dyDescent="0.45">
      <c r="A443">
        <v>49</v>
      </c>
      <c r="B443">
        <f t="shared" ca="1" si="6"/>
        <v>49</v>
      </c>
      <c r="C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3" t="str">
        <f ca="1">IF(dict_zuord_Transfers_Storages[[#This Row],[kval_active]],dict_zuord_Transfers_Storages[[#This Row],[ID_Storages]],"")</f>
        <v/>
      </c>
    </row>
    <row r="444" spans="1:4" x14ac:dyDescent="0.45">
      <c r="A444">
        <v>49</v>
      </c>
      <c r="B444">
        <f t="shared" ca="1" si="6"/>
        <v>77</v>
      </c>
      <c r="C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4" t="str">
        <f ca="1">IF(dict_zuord_Transfers_Storages[[#This Row],[kval_active]],dict_zuord_Transfers_Storages[[#This Row],[ID_Storages]],"")</f>
        <v/>
      </c>
    </row>
    <row r="445" spans="1:4" x14ac:dyDescent="0.45">
      <c r="A445">
        <v>49</v>
      </c>
      <c r="B445">
        <f t="shared" ca="1" si="6"/>
        <v>29</v>
      </c>
      <c r="C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5" t="str">
        <f ca="1">IF(dict_zuord_Transfers_Storages[[#This Row],[kval_active]],dict_zuord_Transfers_Storages[[#This Row],[ID_Storages]],"")</f>
        <v/>
      </c>
    </row>
    <row r="446" spans="1:4" x14ac:dyDescent="0.45">
      <c r="A446">
        <v>49</v>
      </c>
      <c r="B446">
        <f t="shared" ca="1" si="6"/>
        <v>67</v>
      </c>
      <c r="C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6" t="str">
        <f ca="1">IF(dict_zuord_Transfers_Storages[[#This Row],[kval_active]],dict_zuord_Transfers_Storages[[#This Row],[ID_Storages]],"")</f>
        <v/>
      </c>
    </row>
    <row r="447" spans="1:4" x14ac:dyDescent="0.45">
      <c r="A447">
        <v>49</v>
      </c>
      <c r="B447">
        <f t="shared" ca="1" si="6"/>
        <v>97</v>
      </c>
      <c r="C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7" t="str">
        <f ca="1">IF(dict_zuord_Transfers_Storages[[#This Row],[kval_active]],dict_zuord_Transfers_Storages[[#This Row],[ID_Storages]],"")</f>
        <v/>
      </c>
    </row>
    <row r="448" spans="1:4" x14ac:dyDescent="0.45">
      <c r="A448">
        <v>49</v>
      </c>
      <c r="B448">
        <f t="shared" ca="1" si="6"/>
        <v>3</v>
      </c>
      <c r="C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8" t="str">
        <f ca="1">IF(dict_zuord_Transfers_Storages[[#This Row],[kval_active]],dict_zuord_Transfers_Storages[[#This Row],[ID_Storages]],"")</f>
        <v/>
      </c>
    </row>
    <row r="449" spans="1:4" x14ac:dyDescent="0.45">
      <c r="A449">
        <v>49</v>
      </c>
      <c r="B449">
        <f t="shared" ca="1" si="6"/>
        <v>23</v>
      </c>
      <c r="C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49" t="str">
        <f ca="1">IF(dict_zuord_Transfers_Storages[[#This Row],[kval_active]],dict_zuord_Transfers_Storages[[#This Row],[ID_Storages]],"")</f>
        <v/>
      </c>
    </row>
    <row r="450" spans="1:4" x14ac:dyDescent="0.45">
      <c r="A450">
        <v>49</v>
      </c>
      <c r="B450">
        <f t="shared" ref="B450:B513" ca="1" si="7">RANDBETWEEN(0,100)</f>
        <v>51</v>
      </c>
      <c r="C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0" t="str">
        <f ca="1">IF(dict_zuord_Transfers_Storages[[#This Row],[kval_active]],dict_zuord_Transfers_Storages[[#This Row],[ID_Storages]],"")</f>
        <v/>
      </c>
    </row>
    <row r="451" spans="1:4" x14ac:dyDescent="0.45">
      <c r="A451">
        <v>49</v>
      </c>
      <c r="B451">
        <f t="shared" ca="1" si="7"/>
        <v>7</v>
      </c>
      <c r="C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51" t="str">
        <f ca="1">IF(dict_zuord_Transfers_Storages[[#This Row],[kval_active]],dict_zuord_Transfers_Storages[[#This Row],[ID_Storages]],"")</f>
        <v/>
      </c>
    </row>
    <row r="452" spans="1:4" x14ac:dyDescent="0.45">
      <c r="A452">
        <v>50</v>
      </c>
      <c r="B452">
        <f t="shared" ca="1" si="7"/>
        <v>23</v>
      </c>
      <c r="C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2">
        <f ca="1">IF(dict_zuord_Transfers_Storages[[#This Row],[kval_active]],dict_zuord_Transfers_Storages[[#This Row],[ID_Storages]],"")</f>
        <v>23</v>
      </c>
    </row>
    <row r="453" spans="1:4" x14ac:dyDescent="0.45">
      <c r="A453">
        <v>50</v>
      </c>
      <c r="B453">
        <f t="shared" ca="1" si="7"/>
        <v>7</v>
      </c>
      <c r="C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3">
        <f ca="1">IF(dict_zuord_Transfers_Storages[[#This Row],[kval_active]],dict_zuord_Transfers_Storages[[#This Row],[ID_Storages]],"")</f>
        <v>7</v>
      </c>
    </row>
    <row r="454" spans="1:4" x14ac:dyDescent="0.45">
      <c r="A454">
        <v>50</v>
      </c>
      <c r="B454">
        <f t="shared" ca="1" si="7"/>
        <v>9</v>
      </c>
      <c r="C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4">
        <f ca="1">IF(dict_zuord_Transfers_Storages[[#This Row],[kval_active]],dict_zuord_Transfers_Storages[[#This Row],[ID_Storages]],"")</f>
        <v>9</v>
      </c>
    </row>
    <row r="455" spans="1:4" x14ac:dyDescent="0.45">
      <c r="A455">
        <v>50</v>
      </c>
      <c r="B455">
        <f t="shared" ca="1" si="7"/>
        <v>41</v>
      </c>
      <c r="C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5">
        <f ca="1">IF(dict_zuord_Transfers_Storages[[#This Row],[kval_active]],dict_zuord_Transfers_Storages[[#This Row],[ID_Storages]],"")</f>
        <v>41</v>
      </c>
    </row>
    <row r="456" spans="1:4" x14ac:dyDescent="0.45">
      <c r="A456">
        <v>50</v>
      </c>
      <c r="B456">
        <f t="shared" ca="1" si="7"/>
        <v>10</v>
      </c>
      <c r="C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6">
        <f ca="1">IF(dict_zuord_Transfers_Storages[[#This Row],[kval_active]],dict_zuord_Transfers_Storages[[#This Row],[ID_Storages]],"")</f>
        <v>10</v>
      </c>
    </row>
    <row r="457" spans="1:4" x14ac:dyDescent="0.45">
      <c r="A457">
        <v>50</v>
      </c>
      <c r="B457">
        <f t="shared" ca="1" si="7"/>
        <v>14</v>
      </c>
      <c r="C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7">
        <f ca="1">IF(dict_zuord_Transfers_Storages[[#This Row],[kval_active]],dict_zuord_Transfers_Storages[[#This Row],[ID_Storages]],"")</f>
        <v>14</v>
      </c>
    </row>
    <row r="458" spans="1:4" x14ac:dyDescent="0.45">
      <c r="A458">
        <v>50</v>
      </c>
      <c r="B458">
        <f t="shared" ca="1" si="7"/>
        <v>24</v>
      </c>
      <c r="C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8">
        <f ca="1">IF(dict_zuord_Transfers_Storages[[#This Row],[kval_active]],dict_zuord_Transfers_Storages[[#This Row],[ID_Storages]],"")</f>
        <v>24</v>
      </c>
    </row>
    <row r="459" spans="1:4" x14ac:dyDescent="0.45">
      <c r="A459">
        <v>50</v>
      </c>
      <c r="B459">
        <f t="shared" ca="1" si="7"/>
        <v>50</v>
      </c>
      <c r="C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59">
        <f ca="1">IF(dict_zuord_Transfers_Storages[[#This Row],[kval_active]],dict_zuord_Transfers_Storages[[#This Row],[ID_Storages]],"")</f>
        <v>50</v>
      </c>
    </row>
    <row r="460" spans="1:4" x14ac:dyDescent="0.45">
      <c r="A460">
        <v>50</v>
      </c>
      <c r="B460">
        <f t="shared" ca="1" si="7"/>
        <v>33</v>
      </c>
      <c r="C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0">
        <f ca="1">IF(dict_zuord_Transfers_Storages[[#This Row],[kval_active]],dict_zuord_Transfers_Storages[[#This Row],[ID_Storages]],"")</f>
        <v>33</v>
      </c>
    </row>
    <row r="461" spans="1:4" x14ac:dyDescent="0.45">
      <c r="A461">
        <v>51</v>
      </c>
      <c r="B461">
        <f t="shared" ca="1" si="7"/>
        <v>52</v>
      </c>
      <c r="C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1">
        <f ca="1">IF(dict_zuord_Transfers_Storages[[#This Row],[kval_active]],dict_zuord_Transfers_Storages[[#This Row],[ID_Storages]],"")</f>
        <v>52</v>
      </c>
    </row>
    <row r="462" spans="1:4" x14ac:dyDescent="0.45">
      <c r="A462">
        <v>51</v>
      </c>
      <c r="B462">
        <f t="shared" ca="1" si="7"/>
        <v>65</v>
      </c>
      <c r="C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2">
        <f ca="1">IF(dict_zuord_Transfers_Storages[[#This Row],[kval_active]],dict_zuord_Transfers_Storages[[#This Row],[ID_Storages]],"")</f>
        <v>65</v>
      </c>
    </row>
    <row r="463" spans="1:4" x14ac:dyDescent="0.45">
      <c r="A463">
        <v>51</v>
      </c>
      <c r="B463">
        <f t="shared" ca="1" si="7"/>
        <v>89</v>
      </c>
      <c r="C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3">
        <f ca="1">IF(dict_zuord_Transfers_Storages[[#This Row],[kval_active]],dict_zuord_Transfers_Storages[[#This Row],[ID_Storages]],"")</f>
        <v>89</v>
      </c>
    </row>
    <row r="464" spans="1:4" x14ac:dyDescent="0.45">
      <c r="A464">
        <v>51</v>
      </c>
      <c r="B464">
        <f t="shared" ca="1" si="7"/>
        <v>14</v>
      </c>
      <c r="C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4">
        <f ca="1">IF(dict_zuord_Transfers_Storages[[#This Row],[kval_active]],dict_zuord_Transfers_Storages[[#This Row],[ID_Storages]],"")</f>
        <v>14</v>
      </c>
    </row>
    <row r="465" spans="1:4" x14ac:dyDescent="0.45">
      <c r="A465">
        <v>51</v>
      </c>
      <c r="B465">
        <f t="shared" ca="1" si="7"/>
        <v>34</v>
      </c>
      <c r="C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5">
        <f ca="1">IF(dict_zuord_Transfers_Storages[[#This Row],[kval_active]],dict_zuord_Transfers_Storages[[#This Row],[ID_Storages]],"")</f>
        <v>34</v>
      </c>
    </row>
    <row r="466" spans="1:4" x14ac:dyDescent="0.45">
      <c r="A466">
        <v>51</v>
      </c>
      <c r="B466">
        <f t="shared" ca="1" si="7"/>
        <v>43</v>
      </c>
      <c r="C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6">
        <f ca="1">IF(dict_zuord_Transfers_Storages[[#This Row],[kval_active]],dict_zuord_Transfers_Storages[[#This Row],[ID_Storages]],"")</f>
        <v>43</v>
      </c>
    </row>
    <row r="467" spans="1:4" x14ac:dyDescent="0.45">
      <c r="A467">
        <v>51</v>
      </c>
      <c r="B467">
        <f t="shared" ca="1" si="7"/>
        <v>82</v>
      </c>
      <c r="C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7">
        <f ca="1">IF(dict_zuord_Transfers_Storages[[#This Row],[kval_active]],dict_zuord_Transfers_Storages[[#This Row],[ID_Storages]],"")</f>
        <v>82</v>
      </c>
    </row>
    <row r="468" spans="1:4" x14ac:dyDescent="0.45">
      <c r="A468">
        <v>51</v>
      </c>
      <c r="B468">
        <f t="shared" ca="1" si="7"/>
        <v>52</v>
      </c>
      <c r="C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8">
        <f ca="1">IF(dict_zuord_Transfers_Storages[[#This Row],[kval_active]],dict_zuord_Transfers_Storages[[#This Row],[ID_Storages]],"")</f>
        <v>52</v>
      </c>
    </row>
    <row r="469" spans="1:4" x14ac:dyDescent="0.45">
      <c r="A469">
        <v>51</v>
      </c>
      <c r="B469">
        <f t="shared" ca="1" si="7"/>
        <v>19</v>
      </c>
      <c r="C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69">
        <f ca="1">IF(dict_zuord_Transfers_Storages[[#This Row],[kval_active]],dict_zuord_Transfers_Storages[[#This Row],[ID_Storages]],"")</f>
        <v>19</v>
      </c>
    </row>
    <row r="470" spans="1:4" x14ac:dyDescent="0.45">
      <c r="A470">
        <v>52</v>
      </c>
      <c r="B470">
        <f t="shared" ca="1" si="7"/>
        <v>86</v>
      </c>
      <c r="C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0">
        <f ca="1">IF(dict_zuord_Transfers_Storages[[#This Row],[kval_active]],dict_zuord_Transfers_Storages[[#This Row],[ID_Storages]],"")</f>
        <v>86</v>
      </c>
    </row>
    <row r="471" spans="1:4" x14ac:dyDescent="0.45">
      <c r="A471">
        <v>52</v>
      </c>
      <c r="B471">
        <f t="shared" ca="1" si="7"/>
        <v>83</v>
      </c>
      <c r="C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1">
        <f ca="1">IF(dict_zuord_Transfers_Storages[[#This Row],[kval_active]],dict_zuord_Transfers_Storages[[#This Row],[ID_Storages]],"")</f>
        <v>83</v>
      </c>
    </row>
    <row r="472" spans="1:4" x14ac:dyDescent="0.45">
      <c r="A472">
        <v>52</v>
      </c>
      <c r="B472">
        <f t="shared" ca="1" si="7"/>
        <v>99</v>
      </c>
      <c r="C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2">
        <f ca="1">IF(dict_zuord_Transfers_Storages[[#This Row],[kval_active]],dict_zuord_Transfers_Storages[[#This Row],[ID_Storages]],"")</f>
        <v>99</v>
      </c>
    </row>
    <row r="473" spans="1:4" x14ac:dyDescent="0.45">
      <c r="A473">
        <v>52</v>
      </c>
      <c r="B473">
        <f t="shared" ca="1" si="7"/>
        <v>27</v>
      </c>
      <c r="C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3">
        <f ca="1">IF(dict_zuord_Transfers_Storages[[#This Row],[kval_active]],dict_zuord_Transfers_Storages[[#This Row],[ID_Storages]],"")</f>
        <v>27</v>
      </c>
    </row>
    <row r="474" spans="1:4" x14ac:dyDescent="0.45">
      <c r="A474">
        <v>52</v>
      </c>
      <c r="B474">
        <f t="shared" ca="1" si="7"/>
        <v>27</v>
      </c>
      <c r="C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4">
        <f ca="1">IF(dict_zuord_Transfers_Storages[[#This Row],[kval_active]],dict_zuord_Transfers_Storages[[#This Row],[ID_Storages]],"")</f>
        <v>27</v>
      </c>
    </row>
    <row r="475" spans="1:4" x14ac:dyDescent="0.45">
      <c r="A475">
        <v>52</v>
      </c>
      <c r="B475">
        <f t="shared" ca="1" si="7"/>
        <v>27</v>
      </c>
      <c r="C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5">
        <f ca="1">IF(dict_zuord_Transfers_Storages[[#This Row],[kval_active]],dict_zuord_Transfers_Storages[[#This Row],[ID_Storages]],"")</f>
        <v>27</v>
      </c>
    </row>
    <row r="476" spans="1:4" x14ac:dyDescent="0.45">
      <c r="A476">
        <v>52</v>
      </c>
      <c r="B476">
        <f t="shared" ca="1" si="7"/>
        <v>76</v>
      </c>
      <c r="C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6">
        <f ca="1">IF(dict_zuord_Transfers_Storages[[#This Row],[kval_active]],dict_zuord_Transfers_Storages[[#This Row],[ID_Storages]],"")</f>
        <v>76</v>
      </c>
    </row>
    <row r="477" spans="1:4" x14ac:dyDescent="0.45">
      <c r="A477">
        <v>52</v>
      </c>
      <c r="B477">
        <f t="shared" ca="1" si="7"/>
        <v>93</v>
      </c>
      <c r="C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7">
        <f ca="1">IF(dict_zuord_Transfers_Storages[[#This Row],[kval_active]],dict_zuord_Transfers_Storages[[#This Row],[ID_Storages]],"")</f>
        <v>93</v>
      </c>
    </row>
    <row r="478" spans="1:4" x14ac:dyDescent="0.45">
      <c r="A478">
        <v>52</v>
      </c>
      <c r="B478">
        <f t="shared" ca="1" si="7"/>
        <v>32</v>
      </c>
      <c r="C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8">
        <f ca="1">IF(dict_zuord_Transfers_Storages[[#This Row],[kval_active]],dict_zuord_Transfers_Storages[[#This Row],[ID_Storages]],"")</f>
        <v>32</v>
      </c>
    </row>
    <row r="479" spans="1:4" x14ac:dyDescent="0.45">
      <c r="A479">
        <v>53</v>
      </c>
      <c r="B479">
        <f t="shared" ca="1" si="7"/>
        <v>10</v>
      </c>
      <c r="C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79">
        <f ca="1">IF(dict_zuord_Transfers_Storages[[#This Row],[kval_active]],dict_zuord_Transfers_Storages[[#This Row],[ID_Storages]],"")</f>
        <v>10</v>
      </c>
    </row>
    <row r="480" spans="1:4" x14ac:dyDescent="0.45">
      <c r="A480">
        <v>53</v>
      </c>
      <c r="B480">
        <f t="shared" ca="1" si="7"/>
        <v>18</v>
      </c>
      <c r="C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0">
        <f ca="1">IF(dict_zuord_Transfers_Storages[[#This Row],[kval_active]],dict_zuord_Transfers_Storages[[#This Row],[ID_Storages]],"")</f>
        <v>18</v>
      </c>
    </row>
    <row r="481" spans="1:4" x14ac:dyDescent="0.45">
      <c r="A481">
        <v>53</v>
      </c>
      <c r="B481">
        <f t="shared" ca="1" si="7"/>
        <v>32</v>
      </c>
      <c r="C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1">
        <f ca="1">IF(dict_zuord_Transfers_Storages[[#This Row],[kval_active]],dict_zuord_Transfers_Storages[[#This Row],[ID_Storages]],"")</f>
        <v>32</v>
      </c>
    </row>
    <row r="482" spans="1:4" x14ac:dyDescent="0.45">
      <c r="A482">
        <v>53</v>
      </c>
      <c r="B482">
        <f t="shared" ca="1" si="7"/>
        <v>50</v>
      </c>
      <c r="C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2">
        <f ca="1">IF(dict_zuord_Transfers_Storages[[#This Row],[kval_active]],dict_zuord_Transfers_Storages[[#This Row],[ID_Storages]],"")</f>
        <v>50</v>
      </c>
    </row>
    <row r="483" spans="1:4" x14ac:dyDescent="0.45">
      <c r="A483">
        <v>53</v>
      </c>
      <c r="B483">
        <f t="shared" ca="1" si="7"/>
        <v>15</v>
      </c>
      <c r="C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3">
        <f ca="1">IF(dict_zuord_Transfers_Storages[[#This Row],[kval_active]],dict_zuord_Transfers_Storages[[#This Row],[ID_Storages]],"")</f>
        <v>15</v>
      </c>
    </row>
    <row r="484" spans="1:4" x14ac:dyDescent="0.45">
      <c r="A484">
        <v>53</v>
      </c>
      <c r="B484">
        <f t="shared" ca="1" si="7"/>
        <v>31</v>
      </c>
      <c r="C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4">
        <f ca="1">IF(dict_zuord_Transfers_Storages[[#This Row],[kval_active]],dict_zuord_Transfers_Storages[[#This Row],[ID_Storages]],"")</f>
        <v>31</v>
      </c>
    </row>
    <row r="485" spans="1:4" x14ac:dyDescent="0.45">
      <c r="A485">
        <v>53</v>
      </c>
      <c r="B485">
        <f t="shared" ca="1" si="7"/>
        <v>20</v>
      </c>
      <c r="C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5">
        <f ca="1">IF(dict_zuord_Transfers_Storages[[#This Row],[kval_active]],dict_zuord_Transfers_Storages[[#This Row],[ID_Storages]],"")</f>
        <v>20</v>
      </c>
    </row>
    <row r="486" spans="1:4" x14ac:dyDescent="0.45">
      <c r="A486">
        <v>53</v>
      </c>
      <c r="B486">
        <f t="shared" ca="1" si="7"/>
        <v>15</v>
      </c>
      <c r="C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6">
        <f ca="1">IF(dict_zuord_Transfers_Storages[[#This Row],[kval_active]],dict_zuord_Transfers_Storages[[#This Row],[ID_Storages]],"")</f>
        <v>15</v>
      </c>
    </row>
    <row r="487" spans="1:4" x14ac:dyDescent="0.45">
      <c r="A487">
        <v>53</v>
      </c>
      <c r="B487">
        <f t="shared" ca="1" si="7"/>
        <v>40</v>
      </c>
      <c r="C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487">
        <f ca="1">IF(dict_zuord_Transfers_Storages[[#This Row],[kval_active]],dict_zuord_Transfers_Storages[[#This Row],[ID_Storages]],"")</f>
        <v>40</v>
      </c>
    </row>
    <row r="488" spans="1:4" x14ac:dyDescent="0.45">
      <c r="A488">
        <v>54</v>
      </c>
      <c r="B488">
        <f t="shared" ca="1" si="7"/>
        <v>34</v>
      </c>
      <c r="C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8" t="str">
        <f ca="1">IF(dict_zuord_Transfers_Storages[[#This Row],[kval_active]],dict_zuord_Transfers_Storages[[#This Row],[ID_Storages]],"")</f>
        <v/>
      </c>
    </row>
    <row r="489" spans="1:4" x14ac:dyDescent="0.45">
      <c r="A489">
        <v>54</v>
      </c>
      <c r="B489">
        <f t="shared" ca="1" si="7"/>
        <v>60</v>
      </c>
      <c r="C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89" t="str">
        <f ca="1">IF(dict_zuord_Transfers_Storages[[#This Row],[kval_active]],dict_zuord_Transfers_Storages[[#This Row],[ID_Storages]],"")</f>
        <v/>
      </c>
    </row>
    <row r="490" spans="1:4" x14ac:dyDescent="0.45">
      <c r="A490">
        <v>54</v>
      </c>
      <c r="B490">
        <f t="shared" ca="1" si="7"/>
        <v>49</v>
      </c>
      <c r="C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0" t="str">
        <f ca="1">IF(dict_zuord_Transfers_Storages[[#This Row],[kval_active]],dict_zuord_Transfers_Storages[[#This Row],[ID_Storages]],"")</f>
        <v/>
      </c>
    </row>
    <row r="491" spans="1:4" x14ac:dyDescent="0.45">
      <c r="A491">
        <v>54</v>
      </c>
      <c r="B491">
        <f t="shared" ca="1" si="7"/>
        <v>47</v>
      </c>
      <c r="C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1" t="str">
        <f ca="1">IF(dict_zuord_Transfers_Storages[[#This Row],[kval_active]],dict_zuord_Transfers_Storages[[#This Row],[ID_Storages]],"")</f>
        <v/>
      </c>
    </row>
    <row r="492" spans="1:4" x14ac:dyDescent="0.45">
      <c r="A492">
        <v>54</v>
      </c>
      <c r="B492">
        <f t="shared" ca="1" si="7"/>
        <v>83</v>
      </c>
      <c r="C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2" t="str">
        <f ca="1">IF(dict_zuord_Transfers_Storages[[#This Row],[kval_active]],dict_zuord_Transfers_Storages[[#This Row],[ID_Storages]],"")</f>
        <v/>
      </c>
    </row>
    <row r="493" spans="1:4" x14ac:dyDescent="0.45">
      <c r="A493">
        <v>54</v>
      </c>
      <c r="B493">
        <f t="shared" ca="1" si="7"/>
        <v>44</v>
      </c>
      <c r="C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3" t="str">
        <f ca="1">IF(dict_zuord_Transfers_Storages[[#This Row],[kval_active]],dict_zuord_Transfers_Storages[[#This Row],[ID_Storages]],"")</f>
        <v/>
      </c>
    </row>
    <row r="494" spans="1:4" x14ac:dyDescent="0.45">
      <c r="A494">
        <v>54</v>
      </c>
      <c r="B494">
        <f t="shared" ca="1" si="7"/>
        <v>92</v>
      </c>
      <c r="C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4" t="str">
        <f ca="1">IF(dict_zuord_Transfers_Storages[[#This Row],[kval_active]],dict_zuord_Transfers_Storages[[#This Row],[ID_Storages]],"")</f>
        <v/>
      </c>
    </row>
    <row r="495" spans="1:4" x14ac:dyDescent="0.45">
      <c r="A495">
        <v>54</v>
      </c>
      <c r="B495">
        <f t="shared" ca="1" si="7"/>
        <v>41</v>
      </c>
      <c r="C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5" t="str">
        <f ca="1">IF(dict_zuord_Transfers_Storages[[#This Row],[kval_active]],dict_zuord_Transfers_Storages[[#This Row],[ID_Storages]],"")</f>
        <v/>
      </c>
    </row>
    <row r="496" spans="1:4" x14ac:dyDescent="0.45">
      <c r="A496">
        <v>54</v>
      </c>
      <c r="B496">
        <f t="shared" ca="1" si="7"/>
        <v>12</v>
      </c>
      <c r="C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6" t="str">
        <f ca="1">IF(dict_zuord_Transfers_Storages[[#This Row],[kval_active]],dict_zuord_Transfers_Storages[[#This Row],[ID_Storages]],"")</f>
        <v/>
      </c>
    </row>
    <row r="497" spans="1:4" x14ac:dyDescent="0.45">
      <c r="A497">
        <v>55</v>
      </c>
      <c r="B497">
        <f t="shared" ca="1" si="7"/>
        <v>37</v>
      </c>
      <c r="C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7" t="str">
        <f ca="1">IF(dict_zuord_Transfers_Storages[[#This Row],[kval_active]],dict_zuord_Transfers_Storages[[#This Row],[ID_Storages]],"")</f>
        <v/>
      </c>
    </row>
    <row r="498" spans="1:4" x14ac:dyDescent="0.45">
      <c r="A498">
        <v>55</v>
      </c>
      <c r="B498">
        <f t="shared" ca="1" si="7"/>
        <v>25</v>
      </c>
      <c r="C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8" t="str">
        <f ca="1">IF(dict_zuord_Transfers_Storages[[#This Row],[kval_active]],dict_zuord_Transfers_Storages[[#This Row],[ID_Storages]],"")</f>
        <v/>
      </c>
    </row>
    <row r="499" spans="1:4" x14ac:dyDescent="0.45">
      <c r="A499">
        <v>55</v>
      </c>
      <c r="B499">
        <f t="shared" ca="1" si="7"/>
        <v>96</v>
      </c>
      <c r="C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499" t="str">
        <f ca="1">IF(dict_zuord_Transfers_Storages[[#This Row],[kval_active]],dict_zuord_Transfers_Storages[[#This Row],[ID_Storages]],"")</f>
        <v/>
      </c>
    </row>
    <row r="500" spans="1:4" x14ac:dyDescent="0.45">
      <c r="A500">
        <v>55</v>
      </c>
      <c r="B500">
        <f t="shared" ca="1" si="7"/>
        <v>48</v>
      </c>
      <c r="C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0" t="str">
        <f ca="1">IF(dict_zuord_Transfers_Storages[[#This Row],[kval_active]],dict_zuord_Transfers_Storages[[#This Row],[ID_Storages]],"")</f>
        <v/>
      </c>
    </row>
    <row r="501" spans="1:4" x14ac:dyDescent="0.45">
      <c r="A501">
        <v>55</v>
      </c>
      <c r="B501">
        <f t="shared" ca="1" si="7"/>
        <v>1</v>
      </c>
      <c r="C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1" t="str">
        <f ca="1">IF(dict_zuord_Transfers_Storages[[#This Row],[kval_active]],dict_zuord_Transfers_Storages[[#This Row],[ID_Storages]],"")</f>
        <v/>
      </c>
    </row>
    <row r="502" spans="1:4" x14ac:dyDescent="0.45">
      <c r="A502">
        <v>55</v>
      </c>
      <c r="B502">
        <f t="shared" ca="1" si="7"/>
        <v>72</v>
      </c>
      <c r="C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2" t="str">
        <f ca="1">IF(dict_zuord_Transfers_Storages[[#This Row],[kval_active]],dict_zuord_Transfers_Storages[[#This Row],[ID_Storages]],"")</f>
        <v/>
      </c>
    </row>
    <row r="503" spans="1:4" x14ac:dyDescent="0.45">
      <c r="A503">
        <v>55</v>
      </c>
      <c r="B503">
        <f t="shared" ca="1" si="7"/>
        <v>93</v>
      </c>
      <c r="C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3" t="str">
        <f ca="1">IF(dict_zuord_Transfers_Storages[[#This Row],[kval_active]],dict_zuord_Transfers_Storages[[#This Row],[ID_Storages]],"")</f>
        <v/>
      </c>
    </row>
    <row r="504" spans="1:4" x14ac:dyDescent="0.45">
      <c r="A504">
        <v>55</v>
      </c>
      <c r="B504">
        <f t="shared" ca="1" si="7"/>
        <v>51</v>
      </c>
      <c r="C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4" t="str">
        <f ca="1">IF(dict_zuord_Transfers_Storages[[#This Row],[kval_active]],dict_zuord_Transfers_Storages[[#This Row],[ID_Storages]],"")</f>
        <v/>
      </c>
    </row>
    <row r="505" spans="1:4" x14ac:dyDescent="0.45">
      <c r="A505">
        <v>55</v>
      </c>
      <c r="B505">
        <f t="shared" ca="1" si="7"/>
        <v>56</v>
      </c>
      <c r="C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05" t="str">
        <f ca="1">IF(dict_zuord_Transfers_Storages[[#This Row],[kval_active]],dict_zuord_Transfers_Storages[[#This Row],[ID_Storages]],"")</f>
        <v/>
      </c>
    </row>
    <row r="506" spans="1:4" x14ac:dyDescent="0.45">
      <c r="A506">
        <v>56</v>
      </c>
      <c r="B506">
        <f t="shared" ca="1" si="7"/>
        <v>81</v>
      </c>
      <c r="C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6">
        <f ca="1">IF(dict_zuord_Transfers_Storages[[#This Row],[kval_active]],dict_zuord_Transfers_Storages[[#This Row],[ID_Storages]],"")</f>
        <v>81</v>
      </c>
    </row>
    <row r="507" spans="1:4" x14ac:dyDescent="0.45">
      <c r="A507">
        <v>56</v>
      </c>
      <c r="B507">
        <f t="shared" ca="1" si="7"/>
        <v>64</v>
      </c>
      <c r="C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7">
        <f ca="1">IF(dict_zuord_Transfers_Storages[[#This Row],[kval_active]],dict_zuord_Transfers_Storages[[#This Row],[ID_Storages]],"")</f>
        <v>64</v>
      </c>
    </row>
    <row r="508" spans="1:4" x14ac:dyDescent="0.45">
      <c r="A508">
        <v>56</v>
      </c>
      <c r="B508">
        <f t="shared" ca="1" si="7"/>
        <v>14</v>
      </c>
      <c r="C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8">
        <f ca="1">IF(dict_zuord_Transfers_Storages[[#This Row],[kval_active]],dict_zuord_Transfers_Storages[[#This Row],[ID_Storages]],"")</f>
        <v>14</v>
      </c>
    </row>
    <row r="509" spans="1:4" x14ac:dyDescent="0.45">
      <c r="A509">
        <v>56</v>
      </c>
      <c r="B509">
        <f t="shared" ca="1" si="7"/>
        <v>25</v>
      </c>
      <c r="C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09">
        <f ca="1">IF(dict_zuord_Transfers_Storages[[#This Row],[kval_active]],dict_zuord_Transfers_Storages[[#This Row],[ID_Storages]],"")</f>
        <v>25</v>
      </c>
    </row>
    <row r="510" spans="1:4" x14ac:dyDescent="0.45">
      <c r="A510">
        <v>56</v>
      </c>
      <c r="B510">
        <f t="shared" ca="1" si="7"/>
        <v>71</v>
      </c>
      <c r="C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0">
        <f ca="1">IF(dict_zuord_Transfers_Storages[[#This Row],[kval_active]],dict_zuord_Transfers_Storages[[#This Row],[ID_Storages]],"")</f>
        <v>71</v>
      </c>
    </row>
    <row r="511" spans="1:4" x14ac:dyDescent="0.45">
      <c r="A511">
        <v>56</v>
      </c>
      <c r="B511">
        <f t="shared" ca="1" si="7"/>
        <v>43</v>
      </c>
      <c r="C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1">
        <f ca="1">IF(dict_zuord_Transfers_Storages[[#This Row],[kval_active]],dict_zuord_Transfers_Storages[[#This Row],[ID_Storages]],"")</f>
        <v>43</v>
      </c>
    </row>
    <row r="512" spans="1:4" x14ac:dyDescent="0.45">
      <c r="A512">
        <v>56</v>
      </c>
      <c r="B512">
        <f t="shared" ca="1" si="7"/>
        <v>98</v>
      </c>
      <c r="C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2">
        <f ca="1">IF(dict_zuord_Transfers_Storages[[#This Row],[kval_active]],dict_zuord_Transfers_Storages[[#This Row],[ID_Storages]],"")</f>
        <v>98</v>
      </c>
    </row>
    <row r="513" spans="1:4" x14ac:dyDescent="0.45">
      <c r="A513">
        <v>56</v>
      </c>
      <c r="B513">
        <f t="shared" ca="1" si="7"/>
        <v>49</v>
      </c>
      <c r="C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3">
        <f ca="1">IF(dict_zuord_Transfers_Storages[[#This Row],[kval_active]],dict_zuord_Transfers_Storages[[#This Row],[ID_Storages]],"")</f>
        <v>49</v>
      </c>
    </row>
    <row r="514" spans="1:4" x14ac:dyDescent="0.45">
      <c r="A514">
        <v>56</v>
      </c>
      <c r="B514">
        <f t="shared" ref="B514:B577" ca="1" si="8">RANDBETWEEN(0,100)</f>
        <v>95</v>
      </c>
      <c r="C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4">
        <f ca="1">IF(dict_zuord_Transfers_Storages[[#This Row],[kval_active]],dict_zuord_Transfers_Storages[[#This Row],[ID_Storages]],"")</f>
        <v>95</v>
      </c>
    </row>
    <row r="515" spans="1:4" x14ac:dyDescent="0.45">
      <c r="A515">
        <v>57</v>
      </c>
      <c r="B515">
        <f t="shared" ca="1" si="8"/>
        <v>4</v>
      </c>
      <c r="C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5">
        <f ca="1">IF(dict_zuord_Transfers_Storages[[#This Row],[kval_active]],dict_zuord_Transfers_Storages[[#This Row],[ID_Storages]],"")</f>
        <v>4</v>
      </c>
    </row>
    <row r="516" spans="1:4" x14ac:dyDescent="0.45">
      <c r="A516">
        <v>57</v>
      </c>
      <c r="B516">
        <f t="shared" ca="1" si="8"/>
        <v>97</v>
      </c>
      <c r="C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6">
        <f ca="1">IF(dict_zuord_Transfers_Storages[[#This Row],[kval_active]],dict_zuord_Transfers_Storages[[#This Row],[ID_Storages]],"")</f>
        <v>97</v>
      </c>
    </row>
    <row r="517" spans="1:4" x14ac:dyDescent="0.45">
      <c r="A517">
        <v>57</v>
      </c>
      <c r="B517">
        <f t="shared" ca="1" si="8"/>
        <v>21</v>
      </c>
      <c r="C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7">
        <f ca="1">IF(dict_zuord_Transfers_Storages[[#This Row],[kval_active]],dict_zuord_Transfers_Storages[[#This Row],[ID_Storages]],"")</f>
        <v>21</v>
      </c>
    </row>
    <row r="518" spans="1:4" x14ac:dyDescent="0.45">
      <c r="A518">
        <v>57</v>
      </c>
      <c r="B518">
        <f t="shared" ca="1" si="8"/>
        <v>18</v>
      </c>
      <c r="C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8">
        <f ca="1">IF(dict_zuord_Transfers_Storages[[#This Row],[kval_active]],dict_zuord_Transfers_Storages[[#This Row],[ID_Storages]],"")</f>
        <v>18</v>
      </c>
    </row>
    <row r="519" spans="1:4" x14ac:dyDescent="0.45">
      <c r="A519">
        <v>57</v>
      </c>
      <c r="B519">
        <f t="shared" ca="1" si="8"/>
        <v>76</v>
      </c>
      <c r="C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19">
        <f ca="1">IF(dict_zuord_Transfers_Storages[[#This Row],[kval_active]],dict_zuord_Transfers_Storages[[#This Row],[ID_Storages]],"")</f>
        <v>76</v>
      </c>
    </row>
    <row r="520" spans="1:4" x14ac:dyDescent="0.45">
      <c r="A520">
        <v>57</v>
      </c>
      <c r="B520">
        <f t="shared" ca="1" si="8"/>
        <v>1</v>
      </c>
      <c r="C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0">
        <f ca="1">IF(dict_zuord_Transfers_Storages[[#This Row],[kval_active]],dict_zuord_Transfers_Storages[[#This Row],[ID_Storages]],"")</f>
        <v>1</v>
      </c>
    </row>
    <row r="521" spans="1:4" x14ac:dyDescent="0.45">
      <c r="A521">
        <v>57</v>
      </c>
      <c r="B521">
        <f t="shared" ca="1" si="8"/>
        <v>46</v>
      </c>
      <c r="C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1">
        <f ca="1">IF(dict_zuord_Transfers_Storages[[#This Row],[kval_active]],dict_zuord_Transfers_Storages[[#This Row],[ID_Storages]],"")</f>
        <v>46</v>
      </c>
    </row>
    <row r="522" spans="1:4" x14ac:dyDescent="0.45">
      <c r="A522">
        <v>57</v>
      </c>
      <c r="B522">
        <f t="shared" ca="1" si="8"/>
        <v>68</v>
      </c>
      <c r="C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2">
        <f ca="1">IF(dict_zuord_Transfers_Storages[[#This Row],[kval_active]],dict_zuord_Transfers_Storages[[#This Row],[ID_Storages]],"")</f>
        <v>68</v>
      </c>
    </row>
    <row r="523" spans="1:4" x14ac:dyDescent="0.45">
      <c r="A523">
        <v>57</v>
      </c>
      <c r="B523">
        <f t="shared" ca="1" si="8"/>
        <v>95</v>
      </c>
      <c r="C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3">
        <f ca="1">IF(dict_zuord_Transfers_Storages[[#This Row],[kval_active]],dict_zuord_Transfers_Storages[[#This Row],[ID_Storages]],"")</f>
        <v>95</v>
      </c>
    </row>
    <row r="524" spans="1:4" x14ac:dyDescent="0.45">
      <c r="A524">
        <v>58</v>
      </c>
      <c r="B524">
        <f t="shared" ca="1" si="8"/>
        <v>9</v>
      </c>
      <c r="C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4">
        <f ca="1">IF(dict_zuord_Transfers_Storages[[#This Row],[kval_active]],dict_zuord_Transfers_Storages[[#This Row],[ID_Storages]],"")</f>
        <v>9</v>
      </c>
    </row>
    <row r="525" spans="1:4" x14ac:dyDescent="0.45">
      <c r="A525">
        <v>58</v>
      </c>
      <c r="B525">
        <f t="shared" ca="1" si="8"/>
        <v>37</v>
      </c>
      <c r="C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5">
        <f ca="1">IF(dict_zuord_Transfers_Storages[[#This Row],[kval_active]],dict_zuord_Transfers_Storages[[#This Row],[ID_Storages]],"")</f>
        <v>37</v>
      </c>
    </row>
    <row r="526" spans="1:4" x14ac:dyDescent="0.45">
      <c r="A526">
        <v>58</v>
      </c>
      <c r="B526">
        <f t="shared" ca="1" si="8"/>
        <v>67</v>
      </c>
      <c r="C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6">
        <f ca="1">IF(dict_zuord_Transfers_Storages[[#This Row],[kval_active]],dict_zuord_Transfers_Storages[[#This Row],[ID_Storages]],"")</f>
        <v>67</v>
      </c>
    </row>
    <row r="527" spans="1:4" x14ac:dyDescent="0.45">
      <c r="A527">
        <v>58</v>
      </c>
      <c r="B527">
        <f t="shared" ca="1" si="8"/>
        <v>2</v>
      </c>
      <c r="C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7">
        <f ca="1">IF(dict_zuord_Transfers_Storages[[#This Row],[kval_active]],dict_zuord_Transfers_Storages[[#This Row],[ID_Storages]],"")</f>
        <v>2</v>
      </c>
    </row>
    <row r="528" spans="1:4" x14ac:dyDescent="0.45">
      <c r="A528">
        <v>58</v>
      </c>
      <c r="B528">
        <f t="shared" ca="1" si="8"/>
        <v>82</v>
      </c>
      <c r="C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8">
        <f ca="1">IF(dict_zuord_Transfers_Storages[[#This Row],[kval_active]],dict_zuord_Transfers_Storages[[#This Row],[ID_Storages]],"")</f>
        <v>82</v>
      </c>
    </row>
    <row r="529" spans="1:4" x14ac:dyDescent="0.45">
      <c r="A529">
        <v>58</v>
      </c>
      <c r="B529">
        <f t="shared" ca="1" si="8"/>
        <v>47</v>
      </c>
      <c r="C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29">
        <f ca="1">IF(dict_zuord_Transfers_Storages[[#This Row],[kval_active]],dict_zuord_Transfers_Storages[[#This Row],[ID_Storages]],"")</f>
        <v>47</v>
      </c>
    </row>
    <row r="530" spans="1:4" x14ac:dyDescent="0.45">
      <c r="A530">
        <v>58</v>
      </c>
      <c r="B530">
        <f t="shared" ca="1" si="8"/>
        <v>37</v>
      </c>
      <c r="C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0">
        <f ca="1">IF(dict_zuord_Transfers_Storages[[#This Row],[kval_active]],dict_zuord_Transfers_Storages[[#This Row],[ID_Storages]],"")</f>
        <v>37</v>
      </c>
    </row>
    <row r="531" spans="1:4" x14ac:dyDescent="0.45">
      <c r="A531">
        <v>58</v>
      </c>
      <c r="B531">
        <f t="shared" ca="1" si="8"/>
        <v>89</v>
      </c>
      <c r="C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1">
        <f ca="1">IF(dict_zuord_Transfers_Storages[[#This Row],[kval_active]],dict_zuord_Transfers_Storages[[#This Row],[ID_Storages]],"")</f>
        <v>89</v>
      </c>
    </row>
    <row r="532" spans="1:4" x14ac:dyDescent="0.45">
      <c r="A532">
        <v>58</v>
      </c>
      <c r="B532">
        <f t="shared" ca="1" si="8"/>
        <v>41</v>
      </c>
      <c r="C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2">
        <f ca="1">IF(dict_zuord_Transfers_Storages[[#This Row],[kval_active]],dict_zuord_Transfers_Storages[[#This Row],[ID_Storages]],"")</f>
        <v>41</v>
      </c>
    </row>
    <row r="533" spans="1:4" x14ac:dyDescent="0.45">
      <c r="A533">
        <v>59</v>
      </c>
      <c r="B533">
        <f t="shared" ca="1" si="8"/>
        <v>61</v>
      </c>
      <c r="C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3">
        <f ca="1">IF(dict_zuord_Transfers_Storages[[#This Row],[kval_active]],dict_zuord_Transfers_Storages[[#This Row],[ID_Storages]],"")</f>
        <v>61</v>
      </c>
    </row>
    <row r="534" spans="1:4" x14ac:dyDescent="0.45">
      <c r="A534">
        <v>59</v>
      </c>
      <c r="B534">
        <f t="shared" ca="1" si="8"/>
        <v>99</v>
      </c>
      <c r="C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4">
        <f ca="1">IF(dict_zuord_Transfers_Storages[[#This Row],[kval_active]],dict_zuord_Transfers_Storages[[#This Row],[ID_Storages]],"")</f>
        <v>99</v>
      </c>
    </row>
    <row r="535" spans="1:4" x14ac:dyDescent="0.45">
      <c r="A535">
        <v>59</v>
      </c>
      <c r="B535">
        <f t="shared" ca="1" si="8"/>
        <v>41</v>
      </c>
      <c r="C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5">
        <f ca="1">IF(dict_zuord_Transfers_Storages[[#This Row],[kval_active]],dict_zuord_Transfers_Storages[[#This Row],[ID_Storages]],"")</f>
        <v>41</v>
      </c>
    </row>
    <row r="536" spans="1:4" x14ac:dyDescent="0.45">
      <c r="A536">
        <v>59</v>
      </c>
      <c r="B536">
        <f t="shared" ca="1" si="8"/>
        <v>8</v>
      </c>
      <c r="C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6">
        <f ca="1">IF(dict_zuord_Transfers_Storages[[#This Row],[kval_active]],dict_zuord_Transfers_Storages[[#This Row],[ID_Storages]],"")</f>
        <v>8</v>
      </c>
    </row>
    <row r="537" spans="1:4" x14ac:dyDescent="0.45">
      <c r="A537">
        <v>59</v>
      </c>
      <c r="B537">
        <f t="shared" ca="1" si="8"/>
        <v>87</v>
      </c>
      <c r="C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7">
        <f ca="1">IF(dict_zuord_Transfers_Storages[[#This Row],[kval_active]],dict_zuord_Transfers_Storages[[#This Row],[ID_Storages]],"")</f>
        <v>87</v>
      </c>
    </row>
    <row r="538" spans="1:4" x14ac:dyDescent="0.45">
      <c r="A538">
        <v>59</v>
      </c>
      <c r="B538">
        <f t="shared" ca="1" si="8"/>
        <v>75</v>
      </c>
      <c r="C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8">
        <f ca="1">IF(dict_zuord_Transfers_Storages[[#This Row],[kval_active]],dict_zuord_Transfers_Storages[[#This Row],[ID_Storages]],"")</f>
        <v>75</v>
      </c>
    </row>
    <row r="539" spans="1:4" x14ac:dyDescent="0.45">
      <c r="A539">
        <v>59</v>
      </c>
      <c r="B539">
        <f t="shared" ca="1" si="8"/>
        <v>77</v>
      </c>
      <c r="C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39">
        <f ca="1">IF(dict_zuord_Transfers_Storages[[#This Row],[kval_active]],dict_zuord_Transfers_Storages[[#This Row],[ID_Storages]],"")</f>
        <v>77</v>
      </c>
    </row>
    <row r="540" spans="1:4" x14ac:dyDescent="0.45">
      <c r="A540">
        <v>59</v>
      </c>
      <c r="B540">
        <f t="shared" ca="1" si="8"/>
        <v>37</v>
      </c>
      <c r="C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0">
        <f ca="1">IF(dict_zuord_Transfers_Storages[[#This Row],[kval_active]],dict_zuord_Transfers_Storages[[#This Row],[ID_Storages]],"")</f>
        <v>37</v>
      </c>
    </row>
    <row r="541" spans="1:4" x14ac:dyDescent="0.45">
      <c r="A541">
        <v>59</v>
      </c>
      <c r="B541">
        <f t="shared" ca="1" si="8"/>
        <v>11</v>
      </c>
      <c r="C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41">
        <f ca="1">IF(dict_zuord_Transfers_Storages[[#This Row],[kval_active]],dict_zuord_Transfers_Storages[[#This Row],[ID_Storages]],"")</f>
        <v>11</v>
      </c>
    </row>
    <row r="542" spans="1:4" x14ac:dyDescent="0.45">
      <c r="A542">
        <v>60</v>
      </c>
      <c r="B542">
        <f t="shared" ca="1" si="8"/>
        <v>35</v>
      </c>
      <c r="C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2" t="str">
        <f ca="1">IF(dict_zuord_Transfers_Storages[[#This Row],[kval_active]],dict_zuord_Transfers_Storages[[#This Row],[ID_Storages]],"")</f>
        <v/>
      </c>
    </row>
    <row r="543" spans="1:4" x14ac:dyDescent="0.45">
      <c r="A543">
        <v>60</v>
      </c>
      <c r="B543">
        <f t="shared" ca="1" si="8"/>
        <v>25</v>
      </c>
      <c r="C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3" t="str">
        <f ca="1">IF(dict_zuord_Transfers_Storages[[#This Row],[kval_active]],dict_zuord_Transfers_Storages[[#This Row],[ID_Storages]],"")</f>
        <v/>
      </c>
    </row>
    <row r="544" spans="1:4" x14ac:dyDescent="0.45">
      <c r="A544">
        <v>60</v>
      </c>
      <c r="B544">
        <f t="shared" ca="1" si="8"/>
        <v>98</v>
      </c>
      <c r="C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4" t="str">
        <f ca="1">IF(dict_zuord_Transfers_Storages[[#This Row],[kval_active]],dict_zuord_Transfers_Storages[[#This Row],[ID_Storages]],"")</f>
        <v/>
      </c>
    </row>
    <row r="545" spans="1:4" x14ac:dyDescent="0.45">
      <c r="A545">
        <v>60</v>
      </c>
      <c r="B545">
        <f t="shared" ca="1" si="8"/>
        <v>85</v>
      </c>
      <c r="C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5" t="str">
        <f ca="1">IF(dict_zuord_Transfers_Storages[[#This Row],[kval_active]],dict_zuord_Transfers_Storages[[#This Row],[ID_Storages]],"")</f>
        <v/>
      </c>
    </row>
    <row r="546" spans="1:4" x14ac:dyDescent="0.45">
      <c r="A546">
        <v>60</v>
      </c>
      <c r="B546">
        <f t="shared" ca="1" si="8"/>
        <v>63</v>
      </c>
      <c r="C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6" t="str">
        <f ca="1">IF(dict_zuord_Transfers_Storages[[#This Row],[kval_active]],dict_zuord_Transfers_Storages[[#This Row],[ID_Storages]],"")</f>
        <v/>
      </c>
    </row>
    <row r="547" spans="1:4" x14ac:dyDescent="0.45">
      <c r="A547">
        <v>60</v>
      </c>
      <c r="B547">
        <f t="shared" ca="1" si="8"/>
        <v>98</v>
      </c>
      <c r="C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7" t="str">
        <f ca="1">IF(dict_zuord_Transfers_Storages[[#This Row],[kval_active]],dict_zuord_Transfers_Storages[[#This Row],[ID_Storages]],"")</f>
        <v/>
      </c>
    </row>
    <row r="548" spans="1:4" x14ac:dyDescent="0.45">
      <c r="A548">
        <v>60</v>
      </c>
      <c r="B548">
        <f t="shared" ca="1" si="8"/>
        <v>77</v>
      </c>
      <c r="C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8" t="str">
        <f ca="1">IF(dict_zuord_Transfers_Storages[[#This Row],[kval_active]],dict_zuord_Transfers_Storages[[#This Row],[ID_Storages]],"")</f>
        <v/>
      </c>
    </row>
    <row r="549" spans="1:4" x14ac:dyDescent="0.45">
      <c r="A549">
        <v>60</v>
      </c>
      <c r="B549">
        <f t="shared" ca="1" si="8"/>
        <v>29</v>
      </c>
      <c r="C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49" t="str">
        <f ca="1">IF(dict_zuord_Transfers_Storages[[#This Row],[kval_active]],dict_zuord_Transfers_Storages[[#This Row],[ID_Storages]],"")</f>
        <v/>
      </c>
    </row>
    <row r="550" spans="1:4" x14ac:dyDescent="0.45">
      <c r="A550">
        <v>60</v>
      </c>
      <c r="B550">
        <f t="shared" ca="1" si="8"/>
        <v>30</v>
      </c>
      <c r="C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0" t="str">
        <f ca="1">IF(dict_zuord_Transfers_Storages[[#This Row],[kval_active]],dict_zuord_Transfers_Storages[[#This Row],[ID_Storages]],"")</f>
        <v/>
      </c>
    </row>
    <row r="551" spans="1:4" x14ac:dyDescent="0.45">
      <c r="A551">
        <v>61</v>
      </c>
      <c r="B551">
        <f t="shared" ca="1" si="8"/>
        <v>11</v>
      </c>
      <c r="C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1" t="str">
        <f ca="1">IF(dict_zuord_Transfers_Storages[[#This Row],[kval_active]],dict_zuord_Transfers_Storages[[#This Row],[ID_Storages]],"")</f>
        <v/>
      </c>
    </row>
    <row r="552" spans="1:4" x14ac:dyDescent="0.45">
      <c r="A552">
        <v>61</v>
      </c>
      <c r="B552">
        <f t="shared" ca="1" si="8"/>
        <v>2</v>
      </c>
      <c r="C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2" t="str">
        <f ca="1">IF(dict_zuord_Transfers_Storages[[#This Row],[kval_active]],dict_zuord_Transfers_Storages[[#This Row],[ID_Storages]],"")</f>
        <v/>
      </c>
    </row>
    <row r="553" spans="1:4" x14ac:dyDescent="0.45">
      <c r="A553">
        <v>61</v>
      </c>
      <c r="B553">
        <f t="shared" ca="1" si="8"/>
        <v>76</v>
      </c>
      <c r="C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3" t="str">
        <f ca="1">IF(dict_zuord_Transfers_Storages[[#This Row],[kval_active]],dict_zuord_Transfers_Storages[[#This Row],[ID_Storages]],"")</f>
        <v/>
      </c>
    </row>
    <row r="554" spans="1:4" x14ac:dyDescent="0.45">
      <c r="A554">
        <v>61</v>
      </c>
      <c r="B554">
        <f t="shared" ca="1" si="8"/>
        <v>52</v>
      </c>
      <c r="C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4" t="str">
        <f ca="1">IF(dict_zuord_Transfers_Storages[[#This Row],[kval_active]],dict_zuord_Transfers_Storages[[#This Row],[ID_Storages]],"")</f>
        <v/>
      </c>
    </row>
    <row r="555" spans="1:4" x14ac:dyDescent="0.45">
      <c r="A555">
        <v>61</v>
      </c>
      <c r="B555">
        <f t="shared" ca="1" si="8"/>
        <v>47</v>
      </c>
      <c r="C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5" t="str">
        <f ca="1">IF(dict_zuord_Transfers_Storages[[#This Row],[kval_active]],dict_zuord_Transfers_Storages[[#This Row],[ID_Storages]],"")</f>
        <v/>
      </c>
    </row>
    <row r="556" spans="1:4" x14ac:dyDescent="0.45">
      <c r="A556">
        <v>61</v>
      </c>
      <c r="B556">
        <f t="shared" ca="1" si="8"/>
        <v>7</v>
      </c>
      <c r="C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6" t="str">
        <f ca="1">IF(dict_zuord_Transfers_Storages[[#This Row],[kval_active]],dict_zuord_Transfers_Storages[[#This Row],[ID_Storages]],"")</f>
        <v/>
      </c>
    </row>
    <row r="557" spans="1:4" x14ac:dyDescent="0.45">
      <c r="A557">
        <v>61</v>
      </c>
      <c r="B557">
        <f t="shared" ca="1" si="8"/>
        <v>41</v>
      </c>
      <c r="C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7" t="str">
        <f ca="1">IF(dict_zuord_Transfers_Storages[[#This Row],[kval_active]],dict_zuord_Transfers_Storages[[#This Row],[ID_Storages]],"")</f>
        <v/>
      </c>
    </row>
    <row r="558" spans="1:4" x14ac:dyDescent="0.45">
      <c r="A558">
        <v>61</v>
      </c>
      <c r="B558">
        <f t="shared" ca="1" si="8"/>
        <v>92</v>
      </c>
      <c r="C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8" t="str">
        <f ca="1">IF(dict_zuord_Transfers_Storages[[#This Row],[kval_active]],dict_zuord_Transfers_Storages[[#This Row],[ID_Storages]],"")</f>
        <v/>
      </c>
    </row>
    <row r="559" spans="1:4" x14ac:dyDescent="0.45">
      <c r="A559">
        <v>61</v>
      </c>
      <c r="B559">
        <f t="shared" ca="1" si="8"/>
        <v>88</v>
      </c>
      <c r="C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59" t="str">
        <f ca="1">IF(dict_zuord_Transfers_Storages[[#This Row],[kval_active]],dict_zuord_Transfers_Storages[[#This Row],[ID_Storages]],"")</f>
        <v/>
      </c>
    </row>
    <row r="560" spans="1:4" x14ac:dyDescent="0.45">
      <c r="A560">
        <v>62</v>
      </c>
      <c r="B560">
        <f t="shared" ca="1" si="8"/>
        <v>72</v>
      </c>
      <c r="C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0">
        <f ca="1">IF(dict_zuord_Transfers_Storages[[#This Row],[kval_active]],dict_zuord_Transfers_Storages[[#This Row],[ID_Storages]],"")</f>
        <v>72</v>
      </c>
    </row>
    <row r="561" spans="1:4" x14ac:dyDescent="0.45">
      <c r="A561">
        <v>62</v>
      </c>
      <c r="B561">
        <f t="shared" ca="1" si="8"/>
        <v>84</v>
      </c>
      <c r="C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1">
        <f ca="1">IF(dict_zuord_Transfers_Storages[[#This Row],[kval_active]],dict_zuord_Transfers_Storages[[#This Row],[ID_Storages]],"")</f>
        <v>84</v>
      </c>
    </row>
    <row r="562" spans="1:4" x14ac:dyDescent="0.45">
      <c r="A562">
        <v>62</v>
      </c>
      <c r="B562">
        <f t="shared" ca="1" si="8"/>
        <v>50</v>
      </c>
      <c r="C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2">
        <f ca="1">IF(dict_zuord_Transfers_Storages[[#This Row],[kval_active]],dict_zuord_Transfers_Storages[[#This Row],[ID_Storages]],"")</f>
        <v>50</v>
      </c>
    </row>
    <row r="563" spans="1:4" x14ac:dyDescent="0.45">
      <c r="A563">
        <v>62</v>
      </c>
      <c r="B563">
        <f t="shared" ca="1" si="8"/>
        <v>6</v>
      </c>
      <c r="C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3">
        <f ca="1">IF(dict_zuord_Transfers_Storages[[#This Row],[kval_active]],dict_zuord_Transfers_Storages[[#This Row],[ID_Storages]],"")</f>
        <v>6</v>
      </c>
    </row>
    <row r="564" spans="1:4" x14ac:dyDescent="0.45">
      <c r="A564">
        <v>62</v>
      </c>
      <c r="B564">
        <f t="shared" ca="1" si="8"/>
        <v>74</v>
      </c>
      <c r="C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4">
        <f ca="1">IF(dict_zuord_Transfers_Storages[[#This Row],[kval_active]],dict_zuord_Transfers_Storages[[#This Row],[ID_Storages]],"")</f>
        <v>74</v>
      </c>
    </row>
    <row r="565" spans="1:4" x14ac:dyDescent="0.45">
      <c r="A565">
        <v>62</v>
      </c>
      <c r="B565">
        <f t="shared" ca="1" si="8"/>
        <v>54</v>
      </c>
      <c r="C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5">
        <f ca="1">IF(dict_zuord_Transfers_Storages[[#This Row],[kval_active]],dict_zuord_Transfers_Storages[[#This Row],[ID_Storages]],"")</f>
        <v>54</v>
      </c>
    </row>
    <row r="566" spans="1:4" x14ac:dyDescent="0.45">
      <c r="A566">
        <v>62</v>
      </c>
      <c r="B566">
        <f t="shared" ca="1" si="8"/>
        <v>62</v>
      </c>
      <c r="C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6">
        <f ca="1">IF(dict_zuord_Transfers_Storages[[#This Row],[kval_active]],dict_zuord_Transfers_Storages[[#This Row],[ID_Storages]],"")</f>
        <v>62</v>
      </c>
    </row>
    <row r="567" spans="1:4" x14ac:dyDescent="0.45">
      <c r="A567">
        <v>62</v>
      </c>
      <c r="B567">
        <f t="shared" ca="1" si="8"/>
        <v>85</v>
      </c>
      <c r="C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7">
        <f ca="1">IF(dict_zuord_Transfers_Storages[[#This Row],[kval_active]],dict_zuord_Transfers_Storages[[#This Row],[ID_Storages]],"")</f>
        <v>85</v>
      </c>
    </row>
    <row r="568" spans="1:4" x14ac:dyDescent="0.45">
      <c r="A568">
        <v>62</v>
      </c>
      <c r="B568">
        <f t="shared" ca="1" si="8"/>
        <v>18</v>
      </c>
      <c r="C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68">
        <f ca="1">IF(dict_zuord_Transfers_Storages[[#This Row],[kval_active]],dict_zuord_Transfers_Storages[[#This Row],[ID_Storages]],"")</f>
        <v>18</v>
      </c>
    </row>
    <row r="569" spans="1:4" x14ac:dyDescent="0.45">
      <c r="A569">
        <v>63</v>
      </c>
      <c r="B569">
        <f t="shared" ca="1" si="8"/>
        <v>49</v>
      </c>
      <c r="C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69" t="str">
        <f ca="1">IF(dict_zuord_Transfers_Storages[[#This Row],[kval_active]],dict_zuord_Transfers_Storages[[#This Row],[ID_Storages]],"")</f>
        <v/>
      </c>
    </row>
    <row r="570" spans="1:4" x14ac:dyDescent="0.45">
      <c r="A570">
        <v>63</v>
      </c>
      <c r="B570">
        <f t="shared" ca="1" si="8"/>
        <v>76</v>
      </c>
      <c r="C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0" t="str">
        <f ca="1">IF(dict_zuord_Transfers_Storages[[#This Row],[kval_active]],dict_zuord_Transfers_Storages[[#This Row],[ID_Storages]],"")</f>
        <v/>
      </c>
    </row>
    <row r="571" spans="1:4" x14ac:dyDescent="0.45">
      <c r="A571">
        <v>63</v>
      </c>
      <c r="B571">
        <f t="shared" ca="1" si="8"/>
        <v>75</v>
      </c>
      <c r="C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1" t="str">
        <f ca="1">IF(dict_zuord_Transfers_Storages[[#This Row],[kval_active]],dict_zuord_Transfers_Storages[[#This Row],[ID_Storages]],"")</f>
        <v/>
      </c>
    </row>
    <row r="572" spans="1:4" x14ac:dyDescent="0.45">
      <c r="A572">
        <v>63</v>
      </c>
      <c r="B572">
        <f t="shared" ca="1" si="8"/>
        <v>90</v>
      </c>
      <c r="C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2" t="str">
        <f ca="1">IF(dict_zuord_Transfers_Storages[[#This Row],[kval_active]],dict_zuord_Transfers_Storages[[#This Row],[ID_Storages]],"")</f>
        <v/>
      </c>
    </row>
    <row r="573" spans="1:4" x14ac:dyDescent="0.45">
      <c r="A573">
        <v>63</v>
      </c>
      <c r="B573">
        <f t="shared" ca="1" si="8"/>
        <v>100</v>
      </c>
      <c r="C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3" t="str">
        <f ca="1">IF(dict_zuord_Transfers_Storages[[#This Row],[kval_active]],dict_zuord_Transfers_Storages[[#This Row],[ID_Storages]],"")</f>
        <v/>
      </c>
    </row>
    <row r="574" spans="1:4" x14ac:dyDescent="0.45">
      <c r="A574">
        <v>63</v>
      </c>
      <c r="B574">
        <f t="shared" ca="1" si="8"/>
        <v>57</v>
      </c>
      <c r="C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4" t="str">
        <f ca="1">IF(dict_zuord_Transfers_Storages[[#This Row],[kval_active]],dict_zuord_Transfers_Storages[[#This Row],[ID_Storages]],"")</f>
        <v/>
      </c>
    </row>
    <row r="575" spans="1:4" x14ac:dyDescent="0.45">
      <c r="A575">
        <v>63</v>
      </c>
      <c r="B575">
        <f t="shared" ca="1" si="8"/>
        <v>82</v>
      </c>
      <c r="C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5" t="str">
        <f ca="1">IF(dict_zuord_Transfers_Storages[[#This Row],[kval_active]],dict_zuord_Transfers_Storages[[#This Row],[ID_Storages]],"")</f>
        <v/>
      </c>
    </row>
    <row r="576" spans="1:4" x14ac:dyDescent="0.45">
      <c r="A576">
        <v>63</v>
      </c>
      <c r="B576">
        <f t="shared" ca="1" si="8"/>
        <v>42</v>
      </c>
      <c r="C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6" t="str">
        <f ca="1">IF(dict_zuord_Transfers_Storages[[#This Row],[kval_active]],dict_zuord_Transfers_Storages[[#This Row],[ID_Storages]],"")</f>
        <v/>
      </c>
    </row>
    <row r="577" spans="1:4" x14ac:dyDescent="0.45">
      <c r="A577">
        <v>63</v>
      </c>
      <c r="B577">
        <f t="shared" ca="1" si="8"/>
        <v>94</v>
      </c>
      <c r="C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77" t="str">
        <f ca="1">IF(dict_zuord_Transfers_Storages[[#This Row],[kval_active]],dict_zuord_Transfers_Storages[[#This Row],[ID_Storages]],"")</f>
        <v/>
      </c>
    </row>
    <row r="578" spans="1:4" x14ac:dyDescent="0.45">
      <c r="A578">
        <v>64</v>
      </c>
      <c r="B578">
        <f t="shared" ref="B578:B641" ca="1" si="9">RANDBETWEEN(0,100)</f>
        <v>15</v>
      </c>
      <c r="C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8">
        <f ca="1">IF(dict_zuord_Transfers_Storages[[#This Row],[kval_active]],dict_zuord_Transfers_Storages[[#This Row],[ID_Storages]],"")</f>
        <v>15</v>
      </c>
    </row>
    <row r="579" spans="1:4" x14ac:dyDescent="0.45">
      <c r="A579">
        <v>64</v>
      </c>
      <c r="B579">
        <f t="shared" ca="1" si="9"/>
        <v>92</v>
      </c>
      <c r="C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79">
        <f ca="1">IF(dict_zuord_Transfers_Storages[[#This Row],[kval_active]],dict_zuord_Transfers_Storages[[#This Row],[ID_Storages]],"")</f>
        <v>92</v>
      </c>
    </row>
    <row r="580" spans="1:4" x14ac:dyDescent="0.45">
      <c r="A580">
        <v>64</v>
      </c>
      <c r="B580">
        <f t="shared" ca="1" si="9"/>
        <v>67</v>
      </c>
      <c r="C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0">
        <f ca="1">IF(dict_zuord_Transfers_Storages[[#This Row],[kval_active]],dict_zuord_Transfers_Storages[[#This Row],[ID_Storages]],"")</f>
        <v>67</v>
      </c>
    </row>
    <row r="581" spans="1:4" x14ac:dyDescent="0.45">
      <c r="A581">
        <v>64</v>
      </c>
      <c r="B581">
        <f t="shared" ca="1" si="9"/>
        <v>74</v>
      </c>
      <c r="C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1">
        <f ca="1">IF(dict_zuord_Transfers_Storages[[#This Row],[kval_active]],dict_zuord_Transfers_Storages[[#This Row],[ID_Storages]],"")</f>
        <v>74</v>
      </c>
    </row>
    <row r="582" spans="1:4" x14ac:dyDescent="0.45">
      <c r="A582">
        <v>64</v>
      </c>
      <c r="B582">
        <f t="shared" ca="1" si="9"/>
        <v>74</v>
      </c>
      <c r="C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2">
        <f ca="1">IF(dict_zuord_Transfers_Storages[[#This Row],[kval_active]],dict_zuord_Transfers_Storages[[#This Row],[ID_Storages]],"")</f>
        <v>74</v>
      </c>
    </row>
    <row r="583" spans="1:4" x14ac:dyDescent="0.45">
      <c r="A583">
        <v>64</v>
      </c>
      <c r="B583">
        <f t="shared" ca="1" si="9"/>
        <v>9</v>
      </c>
      <c r="C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3">
        <f ca="1">IF(dict_zuord_Transfers_Storages[[#This Row],[kval_active]],dict_zuord_Transfers_Storages[[#This Row],[ID_Storages]],"")</f>
        <v>9</v>
      </c>
    </row>
    <row r="584" spans="1:4" x14ac:dyDescent="0.45">
      <c r="A584">
        <v>64</v>
      </c>
      <c r="B584">
        <f t="shared" ca="1" si="9"/>
        <v>100</v>
      </c>
      <c r="C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4">
        <f ca="1">IF(dict_zuord_Transfers_Storages[[#This Row],[kval_active]],dict_zuord_Transfers_Storages[[#This Row],[ID_Storages]],"")</f>
        <v>100</v>
      </c>
    </row>
    <row r="585" spans="1:4" x14ac:dyDescent="0.45">
      <c r="A585">
        <v>64</v>
      </c>
      <c r="B585">
        <f t="shared" ca="1" si="9"/>
        <v>48</v>
      </c>
      <c r="C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5">
        <f ca="1">IF(dict_zuord_Transfers_Storages[[#This Row],[kval_active]],dict_zuord_Transfers_Storages[[#This Row],[ID_Storages]],"")</f>
        <v>48</v>
      </c>
    </row>
    <row r="586" spans="1:4" x14ac:dyDescent="0.45">
      <c r="A586">
        <v>64</v>
      </c>
      <c r="B586">
        <f t="shared" ca="1" si="9"/>
        <v>86</v>
      </c>
      <c r="C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86">
        <f ca="1">IF(dict_zuord_Transfers_Storages[[#This Row],[kval_active]],dict_zuord_Transfers_Storages[[#This Row],[ID_Storages]],"")</f>
        <v>86</v>
      </c>
    </row>
    <row r="587" spans="1:4" x14ac:dyDescent="0.45">
      <c r="A587">
        <v>65</v>
      </c>
      <c r="B587">
        <f t="shared" ca="1" si="9"/>
        <v>98</v>
      </c>
      <c r="C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7" t="str">
        <f ca="1">IF(dict_zuord_Transfers_Storages[[#This Row],[kval_active]],dict_zuord_Transfers_Storages[[#This Row],[ID_Storages]],"")</f>
        <v/>
      </c>
    </row>
    <row r="588" spans="1:4" x14ac:dyDescent="0.45">
      <c r="A588">
        <v>65</v>
      </c>
      <c r="B588">
        <f t="shared" ca="1" si="9"/>
        <v>42</v>
      </c>
      <c r="C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8" t="str">
        <f ca="1">IF(dict_zuord_Transfers_Storages[[#This Row],[kval_active]],dict_zuord_Transfers_Storages[[#This Row],[ID_Storages]],"")</f>
        <v/>
      </c>
    </row>
    <row r="589" spans="1:4" x14ac:dyDescent="0.45">
      <c r="A589">
        <v>65</v>
      </c>
      <c r="B589">
        <f t="shared" ca="1" si="9"/>
        <v>42</v>
      </c>
      <c r="C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89" t="str">
        <f ca="1">IF(dict_zuord_Transfers_Storages[[#This Row],[kval_active]],dict_zuord_Transfers_Storages[[#This Row],[ID_Storages]],"")</f>
        <v/>
      </c>
    </row>
    <row r="590" spans="1:4" x14ac:dyDescent="0.45">
      <c r="A590">
        <v>65</v>
      </c>
      <c r="B590">
        <f t="shared" ca="1" si="9"/>
        <v>36</v>
      </c>
      <c r="C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0" t="str">
        <f ca="1">IF(dict_zuord_Transfers_Storages[[#This Row],[kval_active]],dict_zuord_Transfers_Storages[[#This Row],[ID_Storages]],"")</f>
        <v/>
      </c>
    </row>
    <row r="591" spans="1:4" x14ac:dyDescent="0.45">
      <c r="A591">
        <v>65</v>
      </c>
      <c r="B591">
        <f t="shared" ca="1" si="9"/>
        <v>94</v>
      </c>
      <c r="C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1" t="str">
        <f ca="1">IF(dict_zuord_Transfers_Storages[[#This Row],[kval_active]],dict_zuord_Transfers_Storages[[#This Row],[ID_Storages]],"")</f>
        <v/>
      </c>
    </row>
    <row r="592" spans="1:4" x14ac:dyDescent="0.45">
      <c r="A592">
        <v>65</v>
      </c>
      <c r="B592">
        <f t="shared" ca="1" si="9"/>
        <v>71</v>
      </c>
      <c r="C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2" t="str">
        <f ca="1">IF(dict_zuord_Transfers_Storages[[#This Row],[kval_active]],dict_zuord_Transfers_Storages[[#This Row],[ID_Storages]],"")</f>
        <v/>
      </c>
    </row>
    <row r="593" spans="1:4" x14ac:dyDescent="0.45">
      <c r="A593">
        <v>65</v>
      </c>
      <c r="B593">
        <f t="shared" ca="1" si="9"/>
        <v>57</v>
      </c>
      <c r="C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3" t="str">
        <f ca="1">IF(dict_zuord_Transfers_Storages[[#This Row],[kval_active]],dict_zuord_Transfers_Storages[[#This Row],[ID_Storages]],"")</f>
        <v/>
      </c>
    </row>
    <row r="594" spans="1:4" x14ac:dyDescent="0.45">
      <c r="A594">
        <v>65</v>
      </c>
      <c r="B594">
        <f t="shared" ca="1" si="9"/>
        <v>24</v>
      </c>
      <c r="C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4" t="str">
        <f ca="1">IF(dict_zuord_Transfers_Storages[[#This Row],[kval_active]],dict_zuord_Transfers_Storages[[#This Row],[ID_Storages]],"")</f>
        <v/>
      </c>
    </row>
    <row r="595" spans="1:4" x14ac:dyDescent="0.45">
      <c r="A595">
        <v>65</v>
      </c>
      <c r="B595">
        <f t="shared" ca="1" si="9"/>
        <v>71</v>
      </c>
      <c r="C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595" t="str">
        <f ca="1">IF(dict_zuord_Transfers_Storages[[#This Row],[kval_active]],dict_zuord_Transfers_Storages[[#This Row],[ID_Storages]],"")</f>
        <v/>
      </c>
    </row>
    <row r="596" spans="1:4" x14ac:dyDescent="0.45">
      <c r="A596">
        <v>66</v>
      </c>
      <c r="B596">
        <f t="shared" ca="1" si="9"/>
        <v>83</v>
      </c>
      <c r="C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6">
        <f ca="1">IF(dict_zuord_Transfers_Storages[[#This Row],[kval_active]],dict_zuord_Transfers_Storages[[#This Row],[ID_Storages]],"")</f>
        <v>83</v>
      </c>
    </row>
    <row r="597" spans="1:4" x14ac:dyDescent="0.45">
      <c r="A597">
        <v>66</v>
      </c>
      <c r="B597">
        <f t="shared" ca="1" si="9"/>
        <v>17</v>
      </c>
      <c r="C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7">
        <f ca="1">IF(dict_zuord_Transfers_Storages[[#This Row],[kval_active]],dict_zuord_Transfers_Storages[[#This Row],[ID_Storages]],"")</f>
        <v>17</v>
      </c>
    </row>
    <row r="598" spans="1:4" x14ac:dyDescent="0.45">
      <c r="A598">
        <v>66</v>
      </c>
      <c r="B598">
        <f t="shared" ca="1" si="9"/>
        <v>26</v>
      </c>
      <c r="C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8">
        <f ca="1">IF(dict_zuord_Transfers_Storages[[#This Row],[kval_active]],dict_zuord_Transfers_Storages[[#This Row],[ID_Storages]],"")</f>
        <v>26</v>
      </c>
    </row>
    <row r="599" spans="1:4" x14ac:dyDescent="0.45">
      <c r="A599">
        <v>66</v>
      </c>
      <c r="B599">
        <f t="shared" ca="1" si="9"/>
        <v>35</v>
      </c>
      <c r="C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599">
        <f ca="1">IF(dict_zuord_Transfers_Storages[[#This Row],[kval_active]],dict_zuord_Transfers_Storages[[#This Row],[ID_Storages]],"")</f>
        <v>35</v>
      </c>
    </row>
    <row r="600" spans="1:4" x14ac:dyDescent="0.45">
      <c r="A600">
        <v>66</v>
      </c>
      <c r="B600">
        <f t="shared" ca="1" si="9"/>
        <v>24</v>
      </c>
      <c r="C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0">
        <f ca="1">IF(dict_zuord_Transfers_Storages[[#This Row],[kval_active]],dict_zuord_Transfers_Storages[[#This Row],[ID_Storages]],"")</f>
        <v>24</v>
      </c>
    </row>
    <row r="601" spans="1:4" x14ac:dyDescent="0.45">
      <c r="A601">
        <v>66</v>
      </c>
      <c r="B601">
        <f t="shared" ca="1" si="9"/>
        <v>31</v>
      </c>
      <c r="C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1">
        <f ca="1">IF(dict_zuord_Transfers_Storages[[#This Row],[kval_active]],dict_zuord_Transfers_Storages[[#This Row],[ID_Storages]],"")</f>
        <v>31</v>
      </c>
    </row>
    <row r="602" spans="1:4" x14ac:dyDescent="0.45">
      <c r="A602">
        <v>66</v>
      </c>
      <c r="B602">
        <f t="shared" ca="1" si="9"/>
        <v>92</v>
      </c>
      <c r="C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2">
        <f ca="1">IF(dict_zuord_Transfers_Storages[[#This Row],[kval_active]],dict_zuord_Transfers_Storages[[#This Row],[ID_Storages]],"")</f>
        <v>92</v>
      </c>
    </row>
    <row r="603" spans="1:4" x14ac:dyDescent="0.45">
      <c r="A603">
        <v>66</v>
      </c>
      <c r="B603">
        <f t="shared" ca="1" si="9"/>
        <v>93</v>
      </c>
      <c r="C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3">
        <f ca="1">IF(dict_zuord_Transfers_Storages[[#This Row],[kval_active]],dict_zuord_Transfers_Storages[[#This Row],[ID_Storages]],"")</f>
        <v>93</v>
      </c>
    </row>
    <row r="604" spans="1:4" x14ac:dyDescent="0.45">
      <c r="A604">
        <v>66</v>
      </c>
      <c r="B604">
        <f t="shared" ca="1" si="9"/>
        <v>7</v>
      </c>
      <c r="C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04">
        <f ca="1">IF(dict_zuord_Transfers_Storages[[#This Row],[kval_active]],dict_zuord_Transfers_Storages[[#This Row],[ID_Storages]],"")</f>
        <v>7</v>
      </c>
    </row>
    <row r="605" spans="1:4" x14ac:dyDescent="0.45">
      <c r="A605">
        <v>67</v>
      </c>
      <c r="B605">
        <f t="shared" ca="1" si="9"/>
        <v>63</v>
      </c>
      <c r="C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5" t="str">
        <f ca="1">IF(dict_zuord_Transfers_Storages[[#This Row],[kval_active]],dict_zuord_Transfers_Storages[[#This Row],[ID_Storages]],"")</f>
        <v/>
      </c>
    </row>
    <row r="606" spans="1:4" x14ac:dyDescent="0.45">
      <c r="A606">
        <v>67</v>
      </c>
      <c r="B606">
        <f t="shared" ca="1" si="9"/>
        <v>88</v>
      </c>
      <c r="C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6" t="str">
        <f ca="1">IF(dict_zuord_Transfers_Storages[[#This Row],[kval_active]],dict_zuord_Transfers_Storages[[#This Row],[ID_Storages]],"")</f>
        <v/>
      </c>
    </row>
    <row r="607" spans="1:4" x14ac:dyDescent="0.45">
      <c r="A607">
        <v>67</v>
      </c>
      <c r="B607">
        <f t="shared" ca="1" si="9"/>
        <v>93</v>
      </c>
      <c r="C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7" t="str">
        <f ca="1">IF(dict_zuord_Transfers_Storages[[#This Row],[kval_active]],dict_zuord_Transfers_Storages[[#This Row],[ID_Storages]],"")</f>
        <v/>
      </c>
    </row>
    <row r="608" spans="1:4" x14ac:dyDescent="0.45">
      <c r="A608">
        <v>67</v>
      </c>
      <c r="B608">
        <f t="shared" ca="1" si="9"/>
        <v>89</v>
      </c>
      <c r="C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8" t="str">
        <f ca="1">IF(dict_zuord_Transfers_Storages[[#This Row],[kval_active]],dict_zuord_Transfers_Storages[[#This Row],[ID_Storages]],"")</f>
        <v/>
      </c>
    </row>
    <row r="609" spans="1:4" x14ac:dyDescent="0.45">
      <c r="A609">
        <v>67</v>
      </c>
      <c r="B609">
        <f t="shared" ca="1" si="9"/>
        <v>27</v>
      </c>
      <c r="C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09" t="str">
        <f ca="1">IF(dict_zuord_Transfers_Storages[[#This Row],[kval_active]],dict_zuord_Transfers_Storages[[#This Row],[ID_Storages]],"")</f>
        <v/>
      </c>
    </row>
    <row r="610" spans="1:4" x14ac:dyDescent="0.45">
      <c r="A610">
        <v>67</v>
      </c>
      <c r="B610">
        <f t="shared" ca="1" si="9"/>
        <v>66</v>
      </c>
      <c r="C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0" t="str">
        <f ca="1">IF(dict_zuord_Transfers_Storages[[#This Row],[kval_active]],dict_zuord_Transfers_Storages[[#This Row],[ID_Storages]],"")</f>
        <v/>
      </c>
    </row>
    <row r="611" spans="1:4" x14ac:dyDescent="0.45">
      <c r="A611">
        <v>67</v>
      </c>
      <c r="B611">
        <f t="shared" ca="1" si="9"/>
        <v>44</v>
      </c>
      <c r="C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1" t="str">
        <f ca="1">IF(dict_zuord_Transfers_Storages[[#This Row],[kval_active]],dict_zuord_Transfers_Storages[[#This Row],[ID_Storages]],"")</f>
        <v/>
      </c>
    </row>
    <row r="612" spans="1:4" x14ac:dyDescent="0.45">
      <c r="A612">
        <v>67</v>
      </c>
      <c r="B612">
        <f t="shared" ca="1" si="9"/>
        <v>58</v>
      </c>
      <c r="C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2" t="str">
        <f ca="1">IF(dict_zuord_Transfers_Storages[[#This Row],[kval_active]],dict_zuord_Transfers_Storages[[#This Row],[ID_Storages]],"")</f>
        <v/>
      </c>
    </row>
    <row r="613" spans="1:4" x14ac:dyDescent="0.45">
      <c r="A613">
        <v>67</v>
      </c>
      <c r="B613">
        <f t="shared" ca="1" si="9"/>
        <v>59</v>
      </c>
      <c r="C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13" t="str">
        <f ca="1">IF(dict_zuord_Transfers_Storages[[#This Row],[kval_active]],dict_zuord_Transfers_Storages[[#This Row],[ID_Storages]],"")</f>
        <v/>
      </c>
    </row>
    <row r="614" spans="1:4" x14ac:dyDescent="0.45">
      <c r="A614">
        <v>68</v>
      </c>
      <c r="B614">
        <f t="shared" ca="1" si="9"/>
        <v>21</v>
      </c>
      <c r="C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4">
        <f ca="1">IF(dict_zuord_Transfers_Storages[[#This Row],[kval_active]],dict_zuord_Transfers_Storages[[#This Row],[ID_Storages]],"")</f>
        <v>21</v>
      </c>
    </row>
    <row r="615" spans="1:4" x14ac:dyDescent="0.45">
      <c r="A615">
        <v>68</v>
      </c>
      <c r="B615">
        <f t="shared" ca="1" si="9"/>
        <v>87</v>
      </c>
      <c r="C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5">
        <f ca="1">IF(dict_zuord_Transfers_Storages[[#This Row],[kval_active]],dict_zuord_Transfers_Storages[[#This Row],[ID_Storages]],"")</f>
        <v>87</v>
      </c>
    </row>
    <row r="616" spans="1:4" x14ac:dyDescent="0.45">
      <c r="A616">
        <v>68</v>
      </c>
      <c r="B616">
        <f t="shared" ca="1" si="9"/>
        <v>28</v>
      </c>
      <c r="C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6">
        <f ca="1">IF(dict_zuord_Transfers_Storages[[#This Row],[kval_active]],dict_zuord_Transfers_Storages[[#This Row],[ID_Storages]],"")</f>
        <v>28</v>
      </c>
    </row>
    <row r="617" spans="1:4" x14ac:dyDescent="0.45">
      <c r="A617">
        <v>68</v>
      </c>
      <c r="B617">
        <f t="shared" ca="1" si="9"/>
        <v>22</v>
      </c>
      <c r="C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7">
        <f ca="1">IF(dict_zuord_Transfers_Storages[[#This Row],[kval_active]],dict_zuord_Transfers_Storages[[#This Row],[ID_Storages]],"")</f>
        <v>22</v>
      </c>
    </row>
    <row r="618" spans="1:4" x14ac:dyDescent="0.45">
      <c r="A618">
        <v>68</v>
      </c>
      <c r="B618">
        <f t="shared" ca="1" si="9"/>
        <v>24</v>
      </c>
      <c r="C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8">
        <f ca="1">IF(dict_zuord_Transfers_Storages[[#This Row],[kval_active]],dict_zuord_Transfers_Storages[[#This Row],[ID_Storages]],"")</f>
        <v>24</v>
      </c>
    </row>
    <row r="619" spans="1:4" x14ac:dyDescent="0.45">
      <c r="A619">
        <v>68</v>
      </c>
      <c r="B619">
        <f t="shared" ca="1" si="9"/>
        <v>44</v>
      </c>
      <c r="C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19">
        <f ca="1">IF(dict_zuord_Transfers_Storages[[#This Row],[kval_active]],dict_zuord_Transfers_Storages[[#This Row],[ID_Storages]],"")</f>
        <v>44</v>
      </c>
    </row>
    <row r="620" spans="1:4" x14ac:dyDescent="0.45">
      <c r="A620">
        <v>68</v>
      </c>
      <c r="B620">
        <f t="shared" ca="1" si="9"/>
        <v>21</v>
      </c>
      <c r="C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0">
        <f ca="1">IF(dict_zuord_Transfers_Storages[[#This Row],[kval_active]],dict_zuord_Transfers_Storages[[#This Row],[ID_Storages]],"")</f>
        <v>21</v>
      </c>
    </row>
    <row r="621" spans="1:4" x14ac:dyDescent="0.45">
      <c r="A621">
        <v>68</v>
      </c>
      <c r="B621">
        <f t="shared" ca="1" si="9"/>
        <v>12</v>
      </c>
      <c r="C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1">
        <f ca="1">IF(dict_zuord_Transfers_Storages[[#This Row],[kval_active]],dict_zuord_Transfers_Storages[[#This Row],[ID_Storages]],"")</f>
        <v>12</v>
      </c>
    </row>
    <row r="622" spans="1:4" x14ac:dyDescent="0.45">
      <c r="A622">
        <v>68</v>
      </c>
      <c r="B622">
        <f t="shared" ca="1" si="9"/>
        <v>99</v>
      </c>
      <c r="C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2">
        <f ca="1">IF(dict_zuord_Transfers_Storages[[#This Row],[kval_active]],dict_zuord_Transfers_Storages[[#This Row],[ID_Storages]],"")</f>
        <v>99</v>
      </c>
    </row>
    <row r="623" spans="1:4" x14ac:dyDescent="0.45">
      <c r="A623">
        <v>69</v>
      </c>
      <c r="B623">
        <f t="shared" ca="1" si="9"/>
        <v>7</v>
      </c>
      <c r="C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3">
        <f ca="1">IF(dict_zuord_Transfers_Storages[[#This Row],[kval_active]],dict_zuord_Transfers_Storages[[#This Row],[ID_Storages]],"")</f>
        <v>7</v>
      </c>
    </row>
    <row r="624" spans="1:4" x14ac:dyDescent="0.45">
      <c r="A624">
        <v>69</v>
      </c>
      <c r="B624">
        <f t="shared" ca="1" si="9"/>
        <v>99</v>
      </c>
      <c r="C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4">
        <f ca="1">IF(dict_zuord_Transfers_Storages[[#This Row],[kval_active]],dict_zuord_Transfers_Storages[[#This Row],[ID_Storages]],"")</f>
        <v>99</v>
      </c>
    </row>
    <row r="625" spans="1:4" x14ac:dyDescent="0.45">
      <c r="A625">
        <v>69</v>
      </c>
      <c r="B625">
        <f t="shared" ca="1" si="9"/>
        <v>61</v>
      </c>
      <c r="C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5">
        <f ca="1">IF(dict_zuord_Transfers_Storages[[#This Row],[kval_active]],dict_zuord_Transfers_Storages[[#This Row],[ID_Storages]],"")</f>
        <v>61</v>
      </c>
    </row>
    <row r="626" spans="1:4" x14ac:dyDescent="0.45">
      <c r="A626">
        <v>69</v>
      </c>
      <c r="B626">
        <f t="shared" ca="1" si="9"/>
        <v>95</v>
      </c>
      <c r="C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6">
        <f ca="1">IF(dict_zuord_Transfers_Storages[[#This Row],[kval_active]],dict_zuord_Transfers_Storages[[#This Row],[ID_Storages]],"")</f>
        <v>95</v>
      </c>
    </row>
    <row r="627" spans="1:4" x14ac:dyDescent="0.45">
      <c r="A627">
        <v>69</v>
      </c>
      <c r="B627">
        <f t="shared" ca="1" si="9"/>
        <v>93</v>
      </c>
      <c r="C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7">
        <f ca="1">IF(dict_zuord_Transfers_Storages[[#This Row],[kval_active]],dict_zuord_Transfers_Storages[[#This Row],[ID_Storages]],"")</f>
        <v>93</v>
      </c>
    </row>
    <row r="628" spans="1:4" x14ac:dyDescent="0.45">
      <c r="A628">
        <v>69</v>
      </c>
      <c r="B628">
        <f t="shared" ca="1" si="9"/>
        <v>82</v>
      </c>
      <c r="C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8">
        <f ca="1">IF(dict_zuord_Transfers_Storages[[#This Row],[kval_active]],dict_zuord_Transfers_Storages[[#This Row],[ID_Storages]],"")</f>
        <v>82</v>
      </c>
    </row>
    <row r="629" spans="1:4" x14ac:dyDescent="0.45">
      <c r="A629">
        <v>69</v>
      </c>
      <c r="B629">
        <f t="shared" ca="1" si="9"/>
        <v>28</v>
      </c>
      <c r="C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29">
        <f ca="1">IF(dict_zuord_Transfers_Storages[[#This Row],[kval_active]],dict_zuord_Transfers_Storages[[#This Row],[ID_Storages]],"")</f>
        <v>28</v>
      </c>
    </row>
    <row r="630" spans="1:4" x14ac:dyDescent="0.45">
      <c r="A630">
        <v>69</v>
      </c>
      <c r="B630">
        <f t="shared" ca="1" si="9"/>
        <v>81</v>
      </c>
      <c r="C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0">
        <f ca="1">IF(dict_zuord_Transfers_Storages[[#This Row],[kval_active]],dict_zuord_Transfers_Storages[[#This Row],[ID_Storages]],"")</f>
        <v>81</v>
      </c>
    </row>
    <row r="631" spans="1:4" x14ac:dyDescent="0.45">
      <c r="A631">
        <v>69</v>
      </c>
      <c r="B631">
        <f t="shared" ca="1" si="9"/>
        <v>0</v>
      </c>
      <c r="C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1">
        <f ca="1">IF(dict_zuord_Transfers_Storages[[#This Row],[kval_active]],dict_zuord_Transfers_Storages[[#This Row],[ID_Storages]],"")</f>
        <v>0</v>
      </c>
    </row>
    <row r="632" spans="1:4" x14ac:dyDescent="0.45">
      <c r="A632">
        <v>70</v>
      </c>
      <c r="B632">
        <f t="shared" ca="1" si="9"/>
        <v>74</v>
      </c>
      <c r="C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2">
        <f ca="1">IF(dict_zuord_Transfers_Storages[[#This Row],[kval_active]],dict_zuord_Transfers_Storages[[#This Row],[ID_Storages]],"")</f>
        <v>74</v>
      </c>
    </row>
    <row r="633" spans="1:4" x14ac:dyDescent="0.45">
      <c r="A633">
        <v>70</v>
      </c>
      <c r="B633">
        <f t="shared" ca="1" si="9"/>
        <v>4</v>
      </c>
      <c r="C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3">
        <f ca="1">IF(dict_zuord_Transfers_Storages[[#This Row],[kval_active]],dict_zuord_Transfers_Storages[[#This Row],[ID_Storages]],"")</f>
        <v>4</v>
      </c>
    </row>
    <row r="634" spans="1:4" x14ac:dyDescent="0.45">
      <c r="A634">
        <v>70</v>
      </c>
      <c r="B634">
        <f t="shared" ca="1" si="9"/>
        <v>15</v>
      </c>
      <c r="C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4">
        <f ca="1">IF(dict_zuord_Transfers_Storages[[#This Row],[kval_active]],dict_zuord_Transfers_Storages[[#This Row],[ID_Storages]],"")</f>
        <v>15</v>
      </c>
    </row>
    <row r="635" spans="1:4" x14ac:dyDescent="0.45">
      <c r="A635">
        <v>70</v>
      </c>
      <c r="B635">
        <f t="shared" ca="1" si="9"/>
        <v>92</v>
      </c>
      <c r="C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5">
        <f ca="1">IF(dict_zuord_Transfers_Storages[[#This Row],[kval_active]],dict_zuord_Transfers_Storages[[#This Row],[ID_Storages]],"")</f>
        <v>92</v>
      </c>
    </row>
    <row r="636" spans="1:4" x14ac:dyDescent="0.45">
      <c r="A636">
        <v>70</v>
      </c>
      <c r="B636">
        <f t="shared" ca="1" si="9"/>
        <v>2</v>
      </c>
      <c r="C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6">
        <f ca="1">IF(dict_zuord_Transfers_Storages[[#This Row],[kval_active]],dict_zuord_Transfers_Storages[[#This Row],[ID_Storages]],"")</f>
        <v>2</v>
      </c>
    </row>
    <row r="637" spans="1:4" x14ac:dyDescent="0.45">
      <c r="A637">
        <v>70</v>
      </c>
      <c r="B637">
        <f t="shared" ca="1" si="9"/>
        <v>45</v>
      </c>
      <c r="C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7">
        <f ca="1">IF(dict_zuord_Transfers_Storages[[#This Row],[kval_active]],dict_zuord_Transfers_Storages[[#This Row],[ID_Storages]],"")</f>
        <v>45</v>
      </c>
    </row>
    <row r="638" spans="1:4" x14ac:dyDescent="0.45">
      <c r="A638">
        <v>70</v>
      </c>
      <c r="B638">
        <f t="shared" ca="1" si="9"/>
        <v>19</v>
      </c>
      <c r="C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8">
        <f ca="1">IF(dict_zuord_Transfers_Storages[[#This Row],[kval_active]],dict_zuord_Transfers_Storages[[#This Row],[ID_Storages]],"")</f>
        <v>19</v>
      </c>
    </row>
    <row r="639" spans="1:4" x14ac:dyDescent="0.45">
      <c r="A639">
        <v>70</v>
      </c>
      <c r="B639">
        <f t="shared" ca="1" si="9"/>
        <v>33</v>
      </c>
      <c r="C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39">
        <f ca="1">IF(dict_zuord_Transfers_Storages[[#This Row],[kval_active]],dict_zuord_Transfers_Storages[[#This Row],[ID_Storages]],"")</f>
        <v>33</v>
      </c>
    </row>
    <row r="640" spans="1:4" x14ac:dyDescent="0.45">
      <c r="A640">
        <v>70</v>
      </c>
      <c r="B640">
        <f t="shared" ca="1" si="9"/>
        <v>90</v>
      </c>
      <c r="C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0">
        <f ca="1">IF(dict_zuord_Transfers_Storages[[#This Row],[kval_active]],dict_zuord_Transfers_Storages[[#This Row],[ID_Storages]],"")</f>
        <v>90</v>
      </c>
    </row>
    <row r="641" spans="1:4" x14ac:dyDescent="0.45">
      <c r="A641">
        <v>71</v>
      </c>
      <c r="B641">
        <f t="shared" ca="1" si="9"/>
        <v>90</v>
      </c>
      <c r="C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1">
        <f ca="1">IF(dict_zuord_Transfers_Storages[[#This Row],[kval_active]],dict_zuord_Transfers_Storages[[#This Row],[ID_Storages]],"")</f>
        <v>90</v>
      </c>
    </row>
    <row r="642" spans="1:4" x14ac:dyDescent="0.45">
      <c r="A642">
        <v>71</v>
      </c>
      <c r="B642">
        <f t="shared" ref="B642:B705" ca="1" si="10">RANDBETWEEN(0,100)</f>
        <v>77</v>
      </c>
      <c r="C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2">
        <f ca="1">IF(dict_zuord_Transfers_Storages[[#This Row],[kval_active]],dict_zuord_Transfers_Storages[[#This Row],[ID_Storages]],"")</f>
        <v>77</v>
      </c>
    </row>
    <row r="643" spans="1:4" x14ac:dyDescent="0.45">
      <c r="A643">
        <v>71</v>
      </c>
      <c r="B643">
        <f t="shared" ca="1" si="10"/>
        <v>75</v>
      </c>
      <c r="C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3">
        <f ca="1">IF(dict_zuord_Transfers_Storages[[#This Row],[kval_active]],dict_zuord_Transfers_Storages[[#This Row],[ID_Storages]],"")</f>
        <v>75</v>
      </c>
    </row>
    <row r="644" spans="1:4" x14ac:dyDescent="0.45">
      <c r="A644">
        <v>71</v>
      </c>
      <c r="B644">
        <f t="shared" ca="1" si="10"/>
        <v>65</v>
      </c>
      <c r="C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4">
        <f ca="1">IF(dict_zuord_Transfers_Storages[[#This Row],[kval_active]],dict_zuord_Transfers_Storages[[#This Row],[ID_Storages]],"")</f>
        <v>65</v>
      </c>
    </row>
    <row r="645" spans="1:4" x14ac:dyDescent="0.45">
      <c r="A645">
        <v>71</v>
      </c>
      <c r="B645">
        <f t="shared" ca="1" si="10"/>
        <v>54</v>
      </c>
      <c r="C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5">
        <f ca="1">IF(dict_zuord_Transfers_Storages[[#This Row],[kval_active]],dict_zuord_Transfers_Storages[[#This Row],[ID_Storages]],"")</f>
        <v>54</v>
      </c>
    </row>
    <row r="646" spans="1:4" x14ac:dyDescent="0.45">
      <c r="A646">
        <v>71</v>
      </c>
      <c r="B646">
        <f t="shared" ca="1" si="10"/>
        <v>85</v>
      </c>
      <c r="C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6">
        <f ca="1">IF(dict_zuord_Transfers_Storages[[#This Row],[kval_active]],dict_zuord_Transfers_Storages[[#This Row],[ID_Storages]],"")</f>
        <v>85</v>
      </c>
    </row>
    <row r="647" spans="1:4" x14ac:dyDescent="0.45">
      <c r="A647">
        <v>71</v>
      </c>
      <c r="B647">
        <f t="shared" ca="1" si="10"/>
        <v>92</v>
      </c>
      <c r="C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7">
        <f ca="1">IF(dict_zuord_Transfers_Storages[[#This Row],[kval_active]],dict_zuord_Transfers_Storages[[#This Row],[ID_Storages]],"")</f>
        <v>92</v>
      </c>
    </row>
    <row r="648" spans="1:4" x14ac:dyDescent="0.45">
      <c r="A648">
        <v>71</v>
      </c>
      <c r="B648">
        <f t="shared" ca="1" si="10"/>
        <v>82</v>
      </c>
      <c r="C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8">
        <f ca="1">IF(dict_zuord_Transfers_Storages[[#This Row],[kval_active]],dict_zuord_Transfers_Storages[[#This Row],[ID_Storages]],"")</f>
        <v>82</v>
      </c>
    </row>
    <row r="649" spans="1:4" x14ac:dyDescent="0.45">
      <c r="A649">
        <v>71</v>
      </c>
      <c r="B649">
        <f t="shared" ca="1" si="10"/>
        <v>16</v>
      </c>
      <c r="C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49">
        <f ca="1">IF(dict_zuord_Transfers_Storages[[#This Row],[kval_active]],dict_zuord_Transfers_Storages[[#This Row],[ID_Storages]],"")</f>
        <v>16</v>
      </c>
    </row>
    <row r="650" spans="1:4" x14ac:dyDescent="0.45">
      <c r="A650">
        <v>72</v>
      </c>
      <c r="B650">
        <f t="shared" ca="1" si="10"/>
        <v>22</v>
      </c>
      <c r="C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0">
        <f ca="1">IF(dict_zuord_Transfers_Storages[[#This Row],[kval_active]],dict_zuord_Transfers_Storages[[#This Row],[ID_Storages]],"")</f>
        <v>22</v>
      </c>
    </row>
    <row r="651" spans="1:4" x14ac:dyDescent="0.45">
      <c r="A651">
        <v>72</v>
      </c>
      <c r="B651">
        <f t="shared" ca="1" si="10"/>
        <v>32</v>
      </c>
      <c r="C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1">
        <f ca="1">IF(dict_zuord_Transfers_Storages[[#This Row],[kval_active]],dict_zuord_Transfers_Storages[[#This Row],[ID_Storages]],"")</f>
        <v>32</v>
      </c>
    </row>
    <row r="652" spans="1:4" x14ac:dyDescent="0.45">
      <c r="A652">
        <v>72</v>
      </c>
      <c r="B652">
        <f t="shared" ca="1" si="10"/>
        <v>20</v>
      </c>
      <c r="C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2">
        <f ca="1">IF(dict_zuord_Transfers_Storages[[#This Row],[kval_active]],dict_zuord_Transfers_Storages[[#This Row],[ID_Storages]],"")</f>
        <v>20</v>
      </c>
    </row>
    <row r="653" spans="1:4" x14ac:dyDescent="0.45">
      <c r="A653">
        <v>72</v>
      </c>
      <c r="B653">
        <f t="shared" ca="1" si="10"/>
        <v>100</v>
      </c>
      <c r="C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3">
        <f ca="1">IF(dict_zuord_Transfers_Storages[[#This Row],[kval_active]],dict_zuord_Transfers_Storages[[#This Row],[ID_Storages]],"")</f>
        <v>100</v>
      </c>
    </row>
    <row r="654" spans="1:4" x14ac:dyDescent="0.45">
      <c r="A654">
        <v>72</v>
      </c>
      <c r="B654">
        <f t="shared" ca="1" si="10"/>
        <v>24</v>
      </c>
      <c r="C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4">
        <f ca="1">IF(dict_zuord_Transfers_Storages[[#This Row],[kval_active]],dict_zuord_Transfers_Storages[[#This Row],[ID_Storages]],"")</f>
        <v>24</v>
      </c>
    </row>
    <row r="655" spans="1:4" x14ac:dyDescent="0.45">
      <c r="A655">
        <v>72</v>
      </c>
      <c r="B655">
        <f t="shared" ca="1" si="10"/>
        <v>28</v>
      </c>
      <c r="C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5">
        <f ca="1">IF(dict_zuord_Transfers_Storages[[#This Row],[kval_active]],dict_zuord_Transfers_Storages[[#This Row],[ID_Storages]],"")</f>
        <v>28</v>
      </c>
    </row>
    <row r="656" spans="1:4" x14ac:dyDescent="0.45">
      <c r="A656">
        <v>72</v>
      </c>
      <c r="B656">
        <f t="shared" ca="1" si="10"/>
        <v>16</v>
      </c>
      <c r="C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6">
        <f ca="1">IF(dict_zuord_Transfers_Storages[[#This Row],[kval_active]],dict_zuord_Transfers_Storages[[#This Row],[ID_Storages]],"")</f>
        <v>16</v>
      </c>
    </row>
    <row r="657" spans="1:4" x14ac:dyDescent="0.45">
      <c r="A657">
        <v>72</v>
      </c>
      <c r="B657">
        <f t="shared" ca="1" si="10"/>
        <v>2</v>
      </c>
      <c r="C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7">
        <f ca="1">IF(dict_zuord_Transfers_Storages[[#This Row],[kval_active]],dict_zuord_Transfers_Storages[[#This Row],[ID_Storages]],"")</f>
        <v>2</v>
      </c>
    </row>
    <row r="658" spans="1:4" x14ac:dyDescent="0.45">
      <c r="A658">
        <v>72</v>
      </c>
      <c r="B658">
        <f t="shared" ca="1" si="10"/>
        <v>82</v>
      </c>
      <c r="C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8">
        <f ca="1">IF(dict_zuord_Transfers_Storages[[#This Row],[kval_active]],dict_zuord_Transfers_Storages[[#This Row],[ID_Storages]],"")</f>
        <v>82</v>
      </c>
    </row>
    <row r="659" spans="1:4" x14ac:dyDescent="0.45">
      <c r="A659">
        <v>73</v>
      </c>
      <c r="B659">
        <f t="shared" ca="1" si="10"/>
        <v>79</v>
      </c>
      <c r="C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59">
        <f ca="1">IF(dict_zuord_Transfers_Storages[[#This Row],[kval_active]],dict_zuord_Transfers_Storages[[#This Row],[ID_Storages]],"")</f>
        <v>79</v>
      </c>
    </row>
    <row r="660" spans="1:4" x14ac:dyDescent="0.45">
      <c r="A660">
        <v>73</v>
      </c>
      <c r="B660">
        <f t="shared" ca="1" si="10"/>
        <v>80</v>
      </c>
      <c r="C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0">
        <f ca="1">IF(dict_zuord_Transfers_Storages[[#This Row],[kval_active]],dict_zuord_Transfers_Storages[[#This Row],[ID_Storages]],"")</f>
        <v>80</v>
      </c>
    </row>
    <row r="661" spans="1:4" x14ac:dyDescent="0.45">
      <c r="A661">
        <v>73</v>
      </c>
      <c r="B661">
        <f t="shared" ca="1" si="10"/>
        <v>98</v>
      </c>
      <c r="C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1">
        <f ca="1">IF(dict_zuord_Transfers_Storages[[#This Row],[kval_active]],dict_zuord_Transfers_Storages[[#This Row],[ID_Storages]],"")</f>
        <v>98</v>
      </c>
    </row>
    <row r="662" spans="1:4" x14ac:dyDescent="0.45">
      <c r="A662">
        <v>73</v>
      </c>
      <c r="B662">
        <f t="shared" ca="1" si="10"/>
        <v>91</v>
      </c>
      <c r="C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2">
        <f ca="1">IF(dict_zuord_Transfers_Storages[[#This Row],[kval_active]],dict_zuord_Transfers_Storages[[#This Row],[ID_Storages]],"")</f>
        <v>91</v>
      </c>
    </row>
    <row r="663" spans="1:4" x14ac:dyDescent="0.45">
      <c r="A663">
        <v>73</v>
      </c>
      <c r="B663">
        <f t="shared" ca="1" si="10"/>
        <v>9</v>
      </c>
      <c r="C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3">
        <f ca="1">IF(dict_zuord_Transfers_Storages[[#This Row],[kval_active]],dict_zuord_Transfers_Storages[[#This Row],[ID_Storages]],"")</f>
        <v>9</v>
      </c>
    </row>
    <row r="664" spans="1:4" x14ac:dyDescent="0.45">
      <c r="A664">
        <v>73</v>
      </c>
      <c r="B664">
        <f t="shared" ca="1" si="10"/>
        <v>83</v>
      </c>
      <c r="C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4">
        <f ca="1">IF(dict_zuord_Transfers_Storages[[#This Row],[kval_active]],dict_zuord_Transfers_Storages[[#This Row],[ID_Storages]],"")</f>
        <v>83</v>
      </c>
    </row>
    <row r="665" spans="1:4" x14ac:dyDescent="0.45">
      <c r="A665">
        <v>73</v>
      </c>
      <c r="B665">
        <f t="shared" ca="1" si="10"/>
        <v>16</v>
      </c>
      <c r="C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5">
        <f ca="1">IF(dict_zuord_Transfers_Storages[[#This Row],[kval_active]],dict_zuord_Transfers_Storages[[#This Row],[ID_Storages]],"")</f>
        <v>16</v>
      </c>
    </row>
    <row r="666" spans="1:4" x14ac:dyDescent="0.45">
      <c r="A666">
        <v>73</v>
      </c>
      <c r="B666">
        <f t="shared" ca="1" si="10"/>
        <v>50</v>
      </c>
      <c r="C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6">
        <f ca="1">IF(dict_zuord_Transfers_Storages[[#This Row],[kval_active]],dict_zuord_Transfers_Storages[[#This Row],[ID_Storages]],"")</f>
        <v>50</v>
      </c>
    </row>
    <row r="667" spans="1:4" x14ac:dyDescent="0.45">
      <c r="A667">
        <v>73</v>
      </c>
      <c r="B667">
        <f t="shared" ca="1" si="10"/>
        <v>57</v>
      </c>
      <c r="C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7">
        <f ca="1">IF(dict_zuord_Transfers_Storages[[#This Row],[kval_active]],dict_zuord_Transfers_Storages[[#This Row],[ID_Storages]],"")</f>
        <v>57</v>
      </c>
    </row>
    <row r="668" spans="1:4" x14ac:dyDescent="0.45">
      <c r="A668">
        <v>74</v>
      </c>
      <c r="B668">
        <f t="shared" ca="1" si="10"/>
        <v>94</v>
      </c>
      <c r="C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8">
        <f ca="1">IF(dict_zuord_Transfers_Storages[[#This Row],[kval_active]],dict_zuord_Transfers_Storages[[#This Row],[ID_Storages]],"")</f>
        <v>94</v>
      </c>
    </row>
    <row r="669" spans="1:4" x14ac:dyDescent="0.45">
      <c r="A669">
        <v>74</v>
      </c>
      <c r="B669">
        <f t="shared" ca="1" si="10"/>
        <v>46</v>
      </c>
      <c r="C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69">
        <f ca="1">IF(dict_zuord_Transfers_Storages[[#This Row],[kval_active]],dict_zuord_Transfers_Storages[[#This Row],[ID_Storages]],"")</f>
        <v>46</v>
      </c>
    </row>
    <row r="670" spans="1:4" x14ac:dyDescent="0.45">
      <c r="A670">
        <v>74</v>
      </c>
      <c r="B670">
        <f t="shared" ca="1" si="10"/>
        <v>57</v>
      </c>
      <c r="C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0">
        <f ca="1">IF(dict_zuord_Transfers_Storages[[#This Row],[kval_active]],dict_zuord_Transfers_Storages[[#This Row],[ID_Storages]],"")</f>
        <v>57</v>
      </c>
    </row>
    <row r="671" spans="1:4" x14ac:dyDescent="0.45">
      <c r="A671">
        <v>74</v>
      </c>
      <c r="B671">
        <f t="shared" ca="1" si="10"/>
        <v>58</v>
      </c>
      <c r="C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1">
        <f ca="1">IF(dict_zuord_Transfers_Storages[[#This Row],[kval_active]],dict_zuord_Transfers_Storages[[#This Row],[ID_Storages]],"")</f>
        <v>58</v>
      </c>
    </row>
    <row r="672" spans="1:4" x14ac:dyDescent="0.45">
      <c r="A672">
        <v>74</v>
      </c>
      <c r="B672">
        <f t="shared" ca="1" si="10"/>
        <v>89</v>
      </c>
      <c r="C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2">
        <f ca="1">IF(dict_zuord_Transfers_Storages[[#This Row],[kval_active]],dict_zuord_Transfers_Storages[[#This Row],[ID_Storages]],"")</f>
        <v>89</v>
      </c>
    </row>
    <row r="673" spans="1:4" x14ac:dyDescent="0.45">
      <c r="A673">
        <v>74</v>
      </c>
      <c r="B673">
        <f t="shared" ca="1" si="10"/>
        <v>54</v>
      </c>
      <c r="C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3">
        <f ca="1">IF(dict_zuord_Transfers_Storages[[#This Row],[kval_active]],dict_zuord_Transfers_Storages[[#This Row],[ID_Storages]],"")</f>
        <v>54</v>
      </c>
    </row>
    <row r="674" spans="1:4" x14ac:dyDescent="0.45">
      <c r="A674">
        <v>74</v>
      </c>
      <c r="B674">
        <f t="shared" ca="1" si="10"/>
        <v>100</v>
      </c>
      <c r="C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4">
        <f ca="1">IF(dict_zuord_Transfers_Storages[[#This Row],[kval_active]],dict_zuord_Transfers_Storages[[#This Row],[ID_Storages]],"")</f>
        <v>100</v>
      </c>
    </row>
    <row r="675" spans="1:4" x14ac:dyDescent="0.45">
      <c r="A675">
        <v>74</v>
      </c>
      <c r="B675">
        <f t="shared" ca="1" si="10"/>
        <v>11</v>
      </c>
      <c r="C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5">
        <f ca="1">IF(dict_zuord_Transfers_Storages[[#This Row],[kval_active]],dict_zuord_Transfers_Storages[[#This Row],[ID_Storages]],"")</f>
        <v>11</v>
      </c>
    </row>
    <row r="676" spans="1:4" x14ac:dyDescent="0.45">
      <c r="A676">
        <v>74</v>
      </c>
      <c r="B676">
        <f t="shared" ca="1" si="10"/>
        <v>61</v>
      </c>
      <c r="C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76">
        <f ca="1">IF(dict_zuord_Transfers_Storages[[#This Row],[kval_active]],dict_zuord_Transfers_Storages[[#This Row],[ID_Storages]],"")</f>
        <v>61</v>
      </c>
    </row>
    <row r="677" spans="1:4" x14ac:dyDescent="0.45">
      <c r="A677">
        <v>75</v>
      </c>
      <c r="B677">
        <f t="shared" ca="1" si="10"/>
        <v>63</v>
      </c>
      <c r="C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7" t="str">
        <f ca="1">IF(dict_zuord_Transfers_Storages[[#This Row],[kval_active]],dict_zuord_Transfers_Storages[[#This Row],[ID_Storages]],"")</f>
        <v/>
      </c>
    </row>
    <row r="678" spans="1:4" x14ac:dyDescent="0.45">
      <c r="A678">
        <v>75</v>
      </c>
      <c r="B678">
        <f t="shared" ca="1" si="10"/>
        <v>71</v>
      </c>
      <c r="C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8" t="str">
        <f ca="1">IF(dict_zuord_Transfers_Storages[[#This Row],[kval_active]],dict_zuord_Transfers_Storages[[#This Row],[ID_Storages]],"")</f>
        <v/>
      </c>
    </row>
    <row r="679" spans="1:4" x14ac:dyDescent="0.45">
      <c r="A679">
        <v>75</v>
      </c>
      <c r="B679">
        <f t="shared" ca="1" si="10"/>
        <v>56</v>
      </c>
      <c r="C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79" t="str">
        <f ca="1">IF(dict_zuord_Transfers_Storages[[#This Row],[kval_active]],dict_zuord_Transfers_Storages[[#This Row],[ID_Storages]],"")</f>
        <v/>
      </c>
    </row>
    <row r="680" spans="1:4" x14ac:dyDescent="0.45">
      <c r="A680">
        <v>75</v>
      </c>
      <c r="B680">
        <f t="shared" ca="1" si="10"/>
        <v>1</v>
      </c>
      <c r="C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0" t="str">
        <f ca="1">IF(dict_zuord_Transfers_Storages[[#This Row],[kval_active]],dict_zuord_Transfers_Storages[[#This Row],[ID_Storages]],"")</f>
        <v/>
      </c>
    </row>
    <row r="681" spans="1:4" x14ac:dyDescent="0.45">
      <c r="A681">
        <v>75</v>
      </c>
      <c r="B681">
        <f t="shared" ca="1" si="10"/>
        <v>99</v>
      </c>
      <c r="C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1" t="str">
        <f ca="1">IF(dict_zuord_Transfers_Storages[[#This Row],[kval_active]],dict_zuord_Transfers_Storages[[#This Row],[ID_Storages]],"")</f>
        <v/>
      </c>
    </row>
    <row r="682" spans="1:4" x14ac:dyDescent="0.45">
      <c r="A682">
        <v>75</v>
      </c>
      <c r="B682">
        <f t="shared" ca="1" si="10"/>
        <v>96</v>
      </c>
      <c r="C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2" t="str">
        <f ca="1">IF(dict_zuord_Transfers_Storages[[#This Row],[kval_active]],dict_zuord_Transfers_Storages[[#This Row],[ID_Storages]],"")</f>
        <v/>
      </c>
    </row>
    <row r="683" spans="1:4" x14ac:dyDescent="0.45">
      <c r="A683">
        <v>75</v>
      </c>
      <c r="B683">
        <f t="shared" ca="1" si="10"/>
        <v>56</v>
      </c>
      <c r="C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3" t="str">
        <f ca="1">IF(dict_zuord_Transfers_Storages[[#This Row],[kval_active]],dict_zuord_Transfers_Storages[[#This Row],[ID_Storages]],"")</f>
        <v/>
      </c>
    </row>
    <row r="684" spans="1:4" x14ac:dyDescent="0.45">
      <c r="A684">
        <v>75</v>
      </c>
      <c r="B684">
        <f t="shared" ca="1" si="10"/>
        <v>42</v>
      </c>
      <c r="C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4" t="str">
        <f ca="1">IF(dict_zuord_Transfers_Storages[[#This Row],[kval_active]],dict_zuord_Transfers_Storages[[#This Row],[ID_Storages]],"")</f>
        <v/>
      </c>
    </row>
    <row r="685" spans="1:4" x14ac:dyDescent="0.45">
      <c r="A685">
        <v>75</v>
      </c>
      <c r="B685">
        <f t="shared" ca="1" si="10"/>
        <v>37</v>
      </c>
      <c r="C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5" t="str">
        <f ca="1">IF(dict_zuord_Transfers_Storages[[#This Row],[kval_active]],dict_zuord_Transfers_Storages[[#This Row],[ID_Storages]],"")</f>
        <v/>
      </c>
    </row>
    <row r="686" spans="1:4" x14ac:dyDescent="0.45">
      <c r="A686">
        <v>76</v>
      </c>
      <c r="B686">
        <f t="shared" ca="1" si="10"/>
        <v>59</v>
      </c>
      <c r="C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6" t="str">
        <f ca="1">IF(dict_zuord_Transfers_Storages[[#This Row],[kval_active]],dict_zuord_Transfers_Storages[[#This Row],[ID_Storages]],"")</f>
        <v/>
      </c>
    </row>
    <row r="687" spans="1:4" x14ac:dyDescent="0.45">
      <c r="A687">
        <v>76</v>
      </c>
      <c r="B687">
        <f t="shared" ca="1" si="10"/>
        <v>16</v>
      </c>
      <c r="C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7" t="str">
        <f ca="1">IF(dict_zuord_Transfers_Storages[[#This Row],[kval_active]],dict_zuord_Transfers_Storages[[#This Row],[ID_Storages]],"")</f>
        <v/>
      </c>
    </row>
    <row r="688" spans="1:4" x14ac:dyDescent="0.45">
      <c r="A688">
        <v>76</v>
      </c>
      <c r="B688">
        <f t="shared" ca="1" si="10"/>
        <v>28</v>
      </c>
      <c r="C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8" t="str">
        <f ca="1">IF(dict_zuord_Transfers_Storages[[#This Row],[kval_active]],dict_zuord_Transfers_Storages[[#This Row],[ID_Storages]],"")</f>
        <v/>
      </c>
    </row>
    <row r="689" spans="1:4" x14ac:dyDescent="0.45">
      <c r="A689">
        <v>76</v>
      </c>
      <c r="B689">
        <f t="shared" ca="1" si="10"/>
        <v>61</v>
      </c>
      <c r="C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89" t="str">
        <f ca="1">IF(dict_zuord_Transfers_Storages[[#This Row],[kval_active]],dict_zuord_Transfers_Storages[[#This Row],[ID_Storages]],"")</f>
        <v/>
      </c>
    </row>
    <row r="690" spans="1:4" x14ac:dyDescent="0.45">
      <c r="A690">
        <v>76</v>
      </c>
      <c r="B690">
        <f t="shared" ca="1" si="10"/>
        <v>90</v>
      </c>
      <c r="C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0" t="str">
        <f ca="1">IF(dict_zuord_Transfers_Storages[[#This Row],[kval_active]],dict_zuord_Transfers_Storages[[#This Row],[ID_Storages]],"")</f>
        <v/>
      </c>
    </row>
    <row r="691" spans="1:4" x14ac:dyDescent="0.45">
      <c r="A691">
        <v>76</v>
      </c>
      <c r="B691">
        <f t="shared" ca="1" si="10"/>
        <v>82</v>
      </c>
      <c r="C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1" t="str">
        <f ca="1">IF(dict_zuord_Transfers_Storages[[#This Row],[kval_active]],dict_zuord_Transfers_Storages[[#This Row],[ID_Storages]],"")</f>
        <v/>
      </c>
    </row>
    <row r="692" spans="1:4" x14ac:dyDescent="0.45">
      <c r="A692">
        <v>76</v>
      </c>
      <c r="B692">
        <f t="shared" ca="1" si="10"/>
        <v>22</v>
      </c>
      <c r="C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2" t="str">
        <f ca="1">IF(dict_zuord_Transfers_Storages[[#This Row],[kval_active]],dict_zuord_Transfers_Storages[[#This Row],[ID_Storages]],"")</f>
        <v/>
      </c>
    </row>
    <row r="693" spans="1:4" x14ac:dyDescent="0.45">
      <c r="A693">
        <v>76</v>
      </c>
      <c r="B693">
        <f t="shared" ca="1" si="10"/>
        <v>86</v>
      </c>
      <c r="C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3" t="str">
        <f ca="1">IF(dict_zuord_Transfers_Storages[[#This Row],[kval_active]],dict_zuord_Transfers_Storages[[#This Row],[ID_Storages]],"")</f>
        <v/>
      </c>
    </row>
    <row r="694" spans="1:4" x14ac:dyDescent="0.45">
      <c r="A694">
        <v>76</v>
      </c>
      <c r="B694">
        <f t="shared" ca="1" si="10"/>
        <v>28</v>
      </c>
      <c r="C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694" t="str">
        <f ca="1">IF(dict_zuord_Transfers_Storages[[#This Row],[kval_active]],dict_zuord_Transfers_Storages[[#This Row],[ID_Storages]],"")</f>
        <v/>
      </c>
    </row>
    <row r="695" spans="1:4" x14ac:dyDescent="0.45">
      <c r="A695">
        <v>77</v>
      </c>
      <c r="B695">
        <f t="shared" ca="1" si="10"/>
        <v>77</v>
      </c>
      <c r="C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5">
        <f ca="1">IF(dict_zuord_Transfers_Storages[[#This Row],[kval_active]],dict_zuord_Transfers_Storages[[#This Row],[ID_Storages]],"")</f>
        <v>77</v>
      </c>
    </row>
    <row r="696" spans="1:4" x14ac:dyDescent="0.45">
      <c r="A696">
        <v>77</v>
      </c>
      <c r="B696">
        <f t="shared" ca="1" si="10"/>
        <v>63</v>
      </c>
      <c r="C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6">
        <f ca="1">IF(dict_zuord_Transfers_Storages[[#This Row],[kval_active]],dict_zuord_Transfers_Storages[[#This Row],[ID_Storages]],"")</f>
        <v>63</v>
      </c>
    </row>
    <row r="697" spans="1:4" x14ac:dyDescent="0.45">
      <c r="A697">
        <v>77</v>
      </c>
      <c r="B697">
        <f t="shared" ca="1" si="10"/>
        <v>62</v>
      </c>
      <c r="C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7">
        <f ca="1">IF(dict_zuord_Transfers_Storages[[#This Row],[kval_active]],dict_zuord_Transfers_Storages[[#This Row],[ID_Storages]],"")</f>
        <v>62</v>
      </c>
    </row>
    <row r="698" spans="1:4" x14ac:dyDescent="0.45">
      <c r="A698">
        <v>77</v>
      </c>
      <c r="B698">
        <f t="shared" ca="1" si="10"/>
        <v>20</v>
      </c>
      <c r="C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8">
        <f ca="1">IF(dict_zuord_Transfers_Storages[[#This Row],[kval_active]],dict_zuord_Transfers_Storages[[#This Row],[ID_Storages]],"")</f>
        <v>20</v>
      </c>
    </row>
    <row r="699" spans="1:4" x14ac:dyDescent="0.45">
      <c r="A699">
        <v>77</v>
      </c>
      <c r="B699">
        <f t="shared" ca="1" si="10"/>
        <v>17</v>
      </c>
      <c r="C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699">
        <f ca="1">IF(dict_zuord_Transfers_Storages[[#This Row],[kval_active]],dict_zuord_Transfers_Storages[[#This Row],[ID_Storages]],"")</f>
        <v>17</v>
      </c>
    </row>
    <row r="700" spans="1:4" x14ac:dyDescent="0.45">
      <c r="A700">
        <v>77</v>
      </c>
      <c r="B700">
        <f t="shared" ca="1" si="10"/>
        <v>43</v>
      </c>
      <c r="C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0">
        <f ca="1">IF(dict_zuord_Transfers_Storages[[#This Row],[kval_active]],dict_zuord_Transfers_Storages[[#This Row],[ID_Storages]],"")</f>
        <v>43</v>
      </c>
    </row>
    <row r="701" spans="1:4" x14ac:dyDescent="0.45">
      <c r="A701">
        <v>77</v>
      </c>
      <c r="B701">
        <f t="shared" ca="1" si="10"/>
        <v>2</v>
      </c>
      <c r="C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1">
        <f ca="1">IF(dict_zuord_Transfers_Storages[[#This Row],[kval_active]],dict_zuord_Transfers_Storages[[#This Row],[ID_Storages]],"")</f>
        <v>2</v>
      </c>
    </row>
    <row r="702" spans="1:4" x14ac:dyDescent="0.45">
      <c r="A702">
        <v>77</v>
      </c>
      <c r="B702">
        <f t="shared" ca="1" si="10"/>
        <v>49</v>
      </c>
      <c r="C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2">
        <f ca="1">IF(dict_zuord_Transfers_Storages[[#This Row],[kval_active]],dict_zuord_Transfers_Storages[[#This Row],[ID_Storages]],"")</f>
        <v>49</v>
      </c>
    </row>
    <row r="703" spans="1:4" x14ac:dyDescent="0.45">
      <c r="A703">
        <v>77</v>
      </c>
      <c r="B703">
        <f t="shared" ca="1" si="10"/>
        <v>57</v>
      </c>
      <c r="C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3">
        <f ca="1">IF(dict_zuord_Transfers_Storages[[#This Row],[kval_active]],dict_zuord_Transfers_Storages[[#This Row],[ID_Storages]],"")</f>
        <v>57</v>
      </c>
    </row>
    <row r="704" spans="1:4" x14ac:dyDescent="0.45">
      <c r="A704">
        <v>78</v>
      </c>
      <c r="B704">
        <f t="shared" ca="1" si="10"/>
        <v>27</v>
      </c>
      <c r="C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4">
        <f ca="1">IF(dict_zuord_Transfers_Storages[[#This Row],[kval_active]],dict_zuord_Transfers_Storages[[#This Row],[ID_Storages]],"")</f>
        <v>27</v>
      </c>
    </row>
    <row r="705" spans="1:4" x14ac:dyDescent="0.45">
      <c r="A705">
        <v>78</v>
      </c>
      <c r="B705">
        <f t="shared" ca="1" si="10"/>
        <v>71</v>
      </c>
      <c r="C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5">
        <f ca="1">IF(dict_zuord_Transfers_Storages[[#This Row],[kval_active]],dict_zuord_Transfers_Storages[[#This Row],[ID_Storages]],"")</f>
        <v>71</v>
      </c>
    </row>
    <row r="706" spans="1:4" x14ac:dyDescent="0.45">
      <c r="A706">
        <v>78</v>
      </c>
      <c r="B706">
        <f t="shared" ref="B706:B769" ca="1" si="11">RANDBETWEEN(0,100)</f>
        <v>79</v>
      </c>
      <c r="C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6">
        <f ca="1">IF(dict_zuord_Transfers_Storages[[#This Row],[kval_active]],dict_zuord_Transfers_Storages[[#This Row],[ID_Storages]],"")</f>
        <v>79</v>
      </c>
    </row>
    <row r="707" spans="1:4" x14ac:dyDescent="0.45">
      <c r="A707">
        <v>78</v>
      </c>
      <c r="B707">
        <f t="shared" ca="1" si="11"/>
        <v>13</v>
      </c>
      <c r="C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7">
        <f ca="1">IF(dict_zuord_Transfers_Storages[[#This Row],[kval_active]],dict_zuord_Transfers_Storages[[#This Row],[ID_Storages]],"")</f>
        <v>13</v>
      </c>
    </row>
    <row r="708" spans="1:4" x14ac:dyDescent="0.45">
      <c r="A708">
        <v>78</v>
      </c>
      <c r="B708">
        <f t="shared" ca="1" si="11"/>
        <v>11</v>
      </c>
      <c r="C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8">
        <f ca="1">IF(dict_zuord_Transfers_Storages[[#This Row],[kval_active]],dict_zuord_Transfers_Storages[[#This Row],[ID_Storages]],"")</f>
        <v>11</v>
      </c>
    </row>
    <row r="709" spans="1:4" x14ac:dyDescent="0.45">
      <c r="A709">
        <v>78</v>
      </c>
      <c r="B709">
        <f t="shared" ca="1" si="11"/>
        <v>45</v>
      </c>
      <c r="C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09">
        <f ca="1">IF(dict_zuord_Transfers_Storages[[#This Row],[kval_active]],dict_zuord_Transfers_Storages[[#This Row],[ID_Storages]],"")</f>
        <v>45</v>
      </c>
    </row>
    <row r="710" spans="1:4" x14ac:dyDescent="0.45">
      <c r="A710">
        <v>78</v>
      </c>
      <c r="B710">
        <f t="shared" ca="1" si="11"/>
        <v>34</v>
      </c>
      <c r="C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0">
        <f ca="1">IF(dict_zuord_Transfers_Storages[[#This Row],[kval_active]],dict_zuord_Transfers_Storages[[#This Row],[ID_Storages]],"")</f>
        <v>34</v>
      </c>
    </row>
    <row r="711" spans="1:4" x14ac:dyDescent="0.45">
      <c r="A711">
        <v>78</v>
      </c>
      <c r="B711">
        <f t="shared" ca="1" si="11"/>
        <v>16</v>
      </c>
      <c r="C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1">
        <f ca="1">IF(dict_zuord_Transfers_Storages[[#This Row],[kval_active]],dict_zuord_Transfers_Storages[[#This Row],[ID_Storages]],"")</f>
        <v>16</v>
      </c>
    </row>
    <row r="712" spans="1:4" x14ac:dyDescent="0.45">
      <c r="A712">
        <v>78</v>
      </c>
      <c r="B712">
        <f t="shared" ca="1" si="11"/>
        <v>43</v>
      </c>
      <c r="C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12">
        <f ca="1">IF(dict_zuord_Transfers_Storages[[#This Row],[kval_active]],dict_zuord_Transfers_Storages[[#This Row],[ID_Storages]],"")</f>
        <v>43</v>
      </c>
    </row>
    <row r="713" spans="1:4" x14ac:dyDescent="0.45">
      <c r="A713">
        <v>79</v>
      </c>
      <c r="B713">
        <f t="shared" ca="1" si="11"/>
        <v>76</v>
      </c>
      <c r="C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3" t="str">
        <f ca="1">IF(dict_zuord_Transfers_Storages[[#This Row],[kval_active]],dict_zuord_Transfers_Storages[[#This Row],[ID_Storages]],"")</f>
        <v/>
      </c>
    </row>
    <row r="714" spans="1:4" x14ac:dyDescent="0.45">
      <c r="A714">
        <v>79</v>
      </c>
      <c r="B714">
        <f t="shared" ca="1" si="11"/>
        <v>2</v>
      </c>
      <c r="C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4" t="str">
        <f ca="1">IF(dict_zuord_Transfers_Storages[[#This Row],[kval_active]],dict_zuord_Transfers_Storages[[#This Row],[ID_Storages]],"")</f>
        <v/>
      </c>
    </row>
    <row r="715" spans="1:4" x14ac:dyDescent="0.45">
      <c r="A715">
        <v>79</v>
      </c>
      <c r="B715">
        <f t="shared" ca="1" si="11"/>
        <v>78</v>
      </c>
      <c r="C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5" t="str">
        <f ca="1">IF(dict_zuord_Transfers_Storages[[#This Row],[kval_active]],dict_zuord_Transfers_Storages[[#This Row],[ID_Storages]],"")</f>
        <v/>
      </c>
    </row>
    <row r="716" spans="1:4" x14ac:dyDescent="0.45">
      <c r="A716">
        <v>79</v>
      </c>
      <c r="B716">
        <f t="shared" ca="1" si="11"/>
        <v>81</v>
      </c>
      <c r="C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6" t="str">
        <f ca="1">IF(dict_zuord_Transfers_Storages[[#This Row],[kval_active]],dict_zuord_Transfers_Storages[[#This Row],[ID_Storages]],"")</f>
        <v/>
      </c>
    </row>
    <row r="717" spans="1:4" x14ac:dyDescent="0.45">
      <c r="A717">
        <v>79</v>
      </c>
      <c r="B717">
        <f t="shared" ca="1" si="11"/>
        <v>70</v>
      </c>
      <c r="C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7" t="str">
        <f ca="1">IF(dict_zuord_Transfers_Storages[[#This Row],[kval_active]],dict_zuord_Transfers_Storages[[#This Row],[ID_Storages]],"")</f>
        <v/>
      </c>
    </row>
    <row r="718" spans="1:4" x14ac:dyDescent="0.45">
      <c r="A718">
        <v>79</v>
      </c>
      <c r="B718">
        <f t="shared" ca="1" si="11"/>
        <v>97</v>
      </c>
      <c r="C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8" t="str">
        <f ca="1">IF(dict_zuord_Transfers_Storages[[#This Row],[kval_active]],dict_zuord_Transfers_Storages[[#This Row],[ID_Storages]],"")</f>
        <v/>
      </c>
    </row>
    <row r="719" spans="1:4" x14ac:dyDescent="0.45">
      <c r="A719">
        <v>79</v>
      </c>
      <c r="B719">
        <f t="shared" ca="1" si="11"/>
        <v>58</v>
      </c>
      <c r="C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19" t="str">
        <f ca="1">IF(dict_zuord_Transfers_Storages[[#This Row],[kval_active]],dict_zuord_Transfers_Storages[[#This Row],[ID_Storages]],"")</f>
        <v/>
      </c>
    </row>
    <row r="720" spans="1:4" x14ac:dyDescent="0.45">
      <c r="A720">
        <v>79</v>
      </c>
      <c r="B720">
        <f t="shared" ca="1" si="11"/>
        <v>34</v>
      </c>
      <c r="C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0" t="str">
        <f ca="1">IF(dict_zuord_Transfers_Storages[[#This Row],[kval_active]],dict_zuord_Transfers_Storages[[#This Row],[ID_Storages]],"")</f>
        <v/>
      </c>
    </row>
    <row r="721" spans="1:4" x14ac:dyDescent="0.45">
      <c r="A721">
        <v>79</v>
      </c>
      <c r="B721">
        <f t="shared" ca="1" si="11"/>
        <v>54</v>
      </c>
      <c r="C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21" t="str">
        <f ca="1">IF(dict_zuord_Transfers_Storages[[#This Row],[kval_active]],dict_zuord_Transfers_Storages[[#This Row],[ID_Storages]],"")</f>
        <v/>
      </c>
    </row>
    <row r="722" spans="1:4" x14ac:dyDescent="0.45">
      <c r="A722">
        <v>80</v>
      </c>
      <c r="B722">
        <f t="shared" ca="1" si="11"/>
        <v>58</v>
      </c>
      <c r="C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2">
        <f ca="1">IF(dict_zuord_Transfers_Storages[[#This Row],[kval_active]],dict_zuord_Transfers_Storages[[#This Row],[ID_Storages]],"")</f>
        <v>58</v>
      </c>
    </row>
    <row r="723" spans="1:4" x14ac:dyDescent="0.45">
      <c r="A723">
        <v>80</v>
      </c>
      <c r="B723">
        <f t="shared" ca="1" si="11"/>
        <v>55</v>
      </c>
      <c r="C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3">
        <f ca="1">IF(dict_zuord_Transfers_Storages[[#This Row],[kval_active]],dict_zuord_Transfers_Storages[[#This Row],[ID_Storages]],"")</f>
        <v>55</v>
      </c>
    </row>
    <row r="724" spans="1:4" x14ac:dyDescent="0.45">
      <c r="A724">
        <v>80</v>
      </c>
      <c r="B724">
        <f t="shared" ca="1" si="11"/>
        <v>88</v>
      </c>
      <c r="C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4">
        <f ca="1">IF(dict_zuord_Transfers_Storages[[#This Row],[kval_active]],dict_zuord_Transfers_Storages[[#This Row],[ID_Storages]],"")</f>
        <v>88</v>
      </c>
    </row>
    <row r="725" spans="1:4" x14ac:dyDescent="0.45">
      <c r="A725">
        <v>80</v>
      </c>
      <c r="B725">
        <f t="shared" ca="1" si="11"/>
        <v>33</v>
      </c>
      <c r="C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5">
        <f ca="1">IF(dict_zuord_Transfers_Storages[[#This Row],[kval_active]],dict_zuord_Transfers_Storages[[#This Row],[ID_Storages]],"")</f>
        <v>33</v>
      </c>
    </row>
    <row r="726" spans="1:4" x14ac:dyDescent="0.45">
      <c r="A726">
        <v>80</v>
      </c>
      <c r="B726">
        <f t="shared" ca="1" si="11"/>
        <v>6</v>
      </c>
      <c r="C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6">
        <f ca="1">IF(dict_zuord_Transfers_Storages[[#This Row],[kval_active]],dict_zuord_Transfers_Storages[[#This Row],[ID_Storages]],"")</f>
        <v>6</v>
      </c>
    </row>
    <row r="727" spans="1:4" x14ac:dyDescent="0.45">
      <c r="A727">
        <v>80</v>
      </c>
      <c r="B727">
        <f t="shared" ca="1" si="11"/>
        <v>63</v>
      </c>
      <c r="C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7">
        <f ca="1">IF(dict_zuord_Transfers_Storages[[#This Row],[kval_active]],dict_zuord_Transfers_Storages[[#This Row],[ID_Storages]],"")</f>
        <v>63</v>
      </c>
    </row>
    <row r="728" spans="1:4" x14ac:dyDescent="0.45">
      <c r="A728">
        <v>80</v>
      </c>
      <c r="B728">
        <f t="shared" ca="1" si="11"/>
        <v>28</v>
      </c>
      <c r="C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8">
        <f ca="1">IF(dict_zuord_Transfers_Storages[[#This Row],[kval_active]],dict_zuord_Transfers_Storages[[#This Row],[ID_Storages]],"")</f>
        <v>28</v>
      </c>
    </row>
    <row r="729" spans="1:4" x14ac:dyDescent="0.45">
      <c r="A729">
        <v>80</v>
      </c>
      <c r="B729">
        <f t="shared" ca="1" si="11"/>
        <v>21</v>
      </c>
      <c r="C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29">
        <f ca="1">IF(dict_zuord_Transfers_Storages[[#This Row],[kval_active]],dict_zuord_Transfers_Storages[[#This Row],[ID_Storages]],"")</f>
        <v>21</v>
      </c>
    </row>
    <row r="730" spans="1:4" x14ac:dyDescent="0.45">
      <c r="A730">
        <v>80</v>
      </c>
      <c r="B730">
        <f t="shared" ca="1" si="11"/>
        <v>83</v>
      </c>
      <c r="C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30">
        <f ca="1">IF(dict_zuord_Transfers_Storages[[#This Row],[kval_active]],dict_zuord_Transfers_Storages[[#This Row],[ID_Storages]],"")</f>
        <v>83</v>
      </c>
    </row>
    <row r="731" spans="1:4" x14ac:dyDescent="0.45">
      <c r="A731">
        <v>81</v>
      </c>
      <c r="B731">
        <f t="shared" ca="1" si="11"/>
        <v>10</v>
      </c>
      <c r="C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1" t="str">
        <f ca="1">IF(dict_zuord_Transfers_Storages[[#This Row],[kval_active]],dict_zuord_Transfers_Storages[[#This Row],[ID_Storages]],"")</f>
        <v/>
      </c>
    </row>
    <row r="732" spans="1:4" x14ac:dyDescent="0.45">
      <c r="A732">
        <v>81</v>
      </c>
      <c r="B732">
        <f t="shared" ca="1" si="11"/>
        <v>36</v>
      </c>
      <c r="C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2" t="str">
        <f ca="1">IF(dict_zuord_Transfers_Storages[[#This Row],[kval_active]],dict_zuord_Transfers_Storages[[#This Row],[ID_Storages]],"")</f>
        <v/>
      </c>
    </row>
    <row r="733" spans="1:4" x14ac:dyDescent="0.45">
      <c r="A733">
        <v>81</v>
      </c>
      <c r="B733">
        <f t="shared" ca="1" si="11"/>
        <v>54</v>
      </c>
      <c r="C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3" t="str">
        <f ca="1">IF(dict_zuord_Transfers_Storages[[#This Row],[kval_active]],dict_zuord_Transfers_Storages[[#This Row],[ID_Storages]],"")</f>
        <v/>
      </c>
    </row>
    <row r="734" spans="1:4" x14ac:dyDescent="0.45">
      <c r="A734">
        <v>81</v>
      </c>
      <c r="B734">
        <f t="shared" ca="1" si="11"/>
        <v>31</v>
      </c>
      <c r="C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4" t="str">
        <f ca="1">IF(dict_zuord_Transfers_Storages[[#This Row],[kval_active]],dict_zuord_Transfers_Storages[[#This Row],[ID_Storages]],"")</f>
        <v/>
      </c>
    </row>
    <row r="735" spans="1:4" x14ac:dyDescent="0.45">
      <c r="A735">
        <v>81</v>
      </c>
      <c r="B735">
        <f t="shared" ca="1" si="11"/>
        <v>85</v>
      </c>
      <c r="C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5" t="str">
        <f ca="1">IF(dict_zuord_Transfers_Storages[[#This Row],[kval_active]],dict_zuord_Transfers_Storages[[#This Row],[ID_Storages]],"")</f>
        <v/>
      </c>
    </row>
    <row r="736" spans="1:4" x14ac:dyDescent="0.45">
      <c r="A736">
        <v>81</v>
      </c>
      <c r="B736">
        <f t="shared" ca="1" si="11"/>
        <v>5</v>
      </c>
      <c r="C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6" t="str">
        <f ca="1">IF(dict_zuord_Transfers_Storages[[#This Row],[kval_active]],dict_zuord_Transfers_Storages[[#This Row],[ID_Storages]],"")</f>
        <v/>
      </c>
    </row>
    <row r="737" spans="1:4" x14ac:dyDescent="0.45">
      <c r="A737">
        <v>81</v>
      </c>
      <c r="B737">
        <f t="shared" ca="1" si="11"/>
        <v>37</v>
      </c>
      <c r="C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7" t="str">
        <f ca="1">IF(dict_zuord_Transfers_Storages[[#This Row],[kval_active]],dict_zuord_Transfers_Storages[[#This Row],[ID_Storages]],"")</f>
        <v/>
      </c>
    </row>
    <row r="738" spans="1:4" x14ac:dyDescent="0.45">
      <c r="A738">
        <v>81</v>
      </c>
      <c r="B738">
        <f t="shared" ca="1" si="11"/>
        <v>16</v>
      </c>
      <c r="C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8" t="str">
        <f ca="1">IF(dict_zuord_Transfers_Storages[[#This Row],[kval_active]],dict_zuord_Transfers_Storages[[#This Row],[ID_Storages]],"")</f>
        <v/>
      </c>
    </row>
    <row r="739" spans="1:4" x14ac:dyDescent="0.45">
      <c r="A739">
        <v>81</v>
      </c>
      <c r="B739">
        <f t="shared" ca="1" si="11"/>
        <v>9</v>
      </c>
      <c r="C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39" t="str">
        <f ca="1">IF(dict_zuord_Transfers_Storages[[#This Row],[kval_active]],dict_zuord_Transfers_Storages[[#This Row],[ID_Storages]],"")</f>
        <v/>
      </c>
    </row>
    <row r="740" spans="1:4" x14ac:dyDescent="0.45">
      <c r="A740">
        <v>82</v>
      </c>
      <c r="B740">
        <f t="shared" ca="1" si="11"/>
        <v>50</v>
      </c>
      <c r="C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0">
        <f ca="1">IF(dict_zuord_Transfers_Storages[[#This Row],[kval_active]],dict_zuord_Transfers_Storages[[#This Row],[ID_Storages]],"")</f>
        <v>50</v>
      </c>
    </row>
    <row r="741" spans="1:4" x14ac:dyDescent="0.45">
      <c r="A741">
        <v>82</v>
      </c>
      <c r="B741">
        <f t="shared" ca="1" si="11"/>
        <v>21</v>
      </c>
      <c r="C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1">
        <f ca="1">IF(dict_zuord_Transfers_Storages[[#This Row],[kval_active]],dict_zuord_Transfers_Storages[[#This Row],[ID_Storages]],"")</f>
        <v>21</v>
      </c>
    </row>
    <row r="742" spans="1:4" x14ac:dyDescent="0.45">
      <c r="A742">
        <v>82</v>
      </c>
      <c r="B742">
        <f t="shared" ca="1" si="11"/>
        <v>52</v>
      </c>
      <c r="C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2">
        <f ca="1">IF(dict_zuord_Transfers_Storages[[#This Row],[kval_active]],dict_zuord_Transfers_Storages[[#This Row],[ID_Storages]],"")</f>
        <v>52</v>
      </c>
    </row>
    <row r="743" spans="1:4" x14ac:dyDescent="0.45">
      <c r="A743">
        <v>82</v>
      </c>
      <c r="B743">
        <f t="shared" ca="1" si="11"/>
        <v>79</v>
      </c>
      <c r="C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3">
        <f ca="1">IF(dict_zuord_Transfers_Storages[[#This Row],[kval_active]],dict_zuord_Transfers_Storages[[#This Row],[ID_Storages]],"")</f>
        <v>79</v>
      </c>
    </row>
    <row r="744" spans="1:4" x14ac:dyDescent="0.45">
      <c r="A744">
        <v>82</v>
      </c>
      <c r="B744">
        <f t="shared" ca="1" si="11"/>
        <v>96</v>
      </c>
      <c r="C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4">
        <f ca="1">IF(dict_zuord_Transfers_Storages[[#This Row],[kval_active]],dict_zuord_Transfers_Storages[[#This Row],[ID_Storages]],"")</f>
        <v>96</v>
      </c>
    </row>
    <row r="745" spans="1:4" x14ac:dyDescent="0.45">
      <c r="A745">
        <v>82</v>
      </c>
      <c r="B745">
        <f t="shared" ca="1" si="11"/>
        <v>62</v>
      </c>
      <c r="C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5">
        <f ca="1">IF(dict_zuord_Transfers_Storages[[#This Row],[kval_active]],dict_zuord_Transfers_Storages[[#This Row],[ID_Storages]],"")</f>
        <v>62</v>
      </c>
    </row>
    <row r="746" spans="1:4" x14ac:dyDescent="0.45">
      <c r="A746">
        <v>82</v>
      </c>
      <c r="B746">
        <f t="shared" ca="1" si="11"/>
        <v>90</v>
      </c>
      <c r="C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6">
        <f ca="1">IF(dict_zuord_Transfers_Storages[[#This Row],[kval_active]],dict_zuord_Transfers_Storages[[#This Row],[ID_Storages]],"")</f>
        <v>90</v>
      </c>
    </row>
    <row r="747" spans="1:4" x14ac:dyDescent="0.45">
      <c r="A747">
        <v>82</v>
      </c>
      <c r="B747">
        <f t="shared" ca="1" si="11"/>
        <v>12</v>
      </c>
      <c r="C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7">
        <f ca="1">IF(dict_zuord_Transfers_Storages[[#This Row],[kval_active]],dict_zuord_Transfers_Storages[[#This Row],[ID_Storages]],"")</f>
        <v>12</v>
      </c>
    </row>
    <row r="748" spans="1:4" x14ac:dyDescent="0.45">
      <c r="A748">
        <v>82</v>
      </c>
      <c r="B748">
        <f t="shared" ca="1" si="11"/>
        <v>57</v>
      </c>
      <c r="C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48">
        <f ca="1">IF(dict_zuord_Transfers_Storages[[#This Row],[kval_active]],dict_zuord_Transfers_Storages[[#This Row],[ID_Storages]],"")</f>
        <v>57</v>
      </c>
    </row>
    <row r="749" spans="1:4" x14ac:dyDescent="0.45">
      <c r="A749">
        <v>83</v>
      </c>
      <c r="B749">
        <f t="shared" ca="1" si="11"/>
        <v>14</v>
      </c>
      <c r="C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49" t="str">
        <f ca="1">IF(dict_zuord_Transfers_Storages[[#This Row],[kval_active]],dict_zuord_Transfers_Storages[[#This Row],[ID_Storages]],"")</f>
        <v/>
      </c>
    </row>
    <row r="750" spans="1:4" x14ac:dyDescent="0.45">
      <c r="A750">
        <v>83</v>
      </c>
      <c r="B750">
        <f t="shared" ca="1" si="11"/>
        <v>71</v>
      </c>
      <c r="C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0" t="str">
        <f ca="1">IF(dict_zuord_Transfers_Storages[[#This Row],[kval_active]],dict_zuord_Transfers_Storages[[#This Row],[ID_Storages]],"")</f>
        <v/>
      </c>
    </row>
    <row r="751" spans="1:4" x14ac:dyDescent="0.45">
      <c r="A751">
        <v>83</v>
      </c>
      <c r="B751">
        <f t="shared" ca="1" si="11"/>
        <v>3</v>
      </c>
      <c r="C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1" t="str">
        <f ca="1">IF(dict_zuord_Transfers_Storages[[#This Row],[kval_active]],dict_zuord_Transfers_Storages[[#This Row],[ID_Storages]],"")</f>
        <v/>
      </c>
    </row>
    <row r="752" spans="1:4" x14ac:dyDescent="0.45">
      <c r="A752">
        <v>83</v>
      </c>
      <c r="B752">
        <f t="shared" ca="1" si="11"/>
        <v>2</v>
      </c>
      <c r="C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2" t="str">
        <f ca="1">IF(dict_zuord_Transfers_Storages[[#This Row],[kval_active]],dict_zuord_Transfers_Storages[[#This Row],[ID_Storages]],"")</f>
        <v/>
      </c>
    </row>
    <row r="753" spans="1:4" x14ac:dyDescent="0.45">
      <c r="A753">
        <v>83</v>
      </c>
      <c r="B753">
        <f t="shared" ca="1" si="11"/>
        <v>48</v>
      </c>
      <c r="C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3" t="str">
        <f ca="1">IF(dict_zuord_Transfers_Storages[[#This Row],[kval_active]],dict_zuord_Transfers_Storages[[#This Row],[ID_Storages]],"")</f>
        <v/>
      </c>
    </row>
    <row r="754" spans="1:4" x14ac:dyDescent="0.45">
      <c r="A754">
        <v>83</v>
      </c>
      <c r="B754">
        <f t="shared" ca="1" si="11"/>
        <v>15</v>
      </c>
      <c r="C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4" t="str">
        <f ca="1">IF(dict_zuord_Transfers_Storages[[#This Row],[kval_active]],dict_zuord_Transfers_Storages[[#This Row],[ID_Storages]],"")</f>
        <v/>
      </c>
    </row>
    <row r="755" spans="1:4" x14ac:dyDescent="0.45">
      <c r="A755">
        <v>83</v>
      </c>
      <c r="B755">
        <f t="shared" ca="1" si="11"/>
        <v>24</v>
      </c>
      <c r="C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5" t="str">
        <f ca="1">IF(dict_zuord_Transfers_Storages[[#This Row],[kval_active]],dict_zuord_Transfers_Storages[[#This Row],[ID_Storages]],"")</f>
        <v/>
      </c>
    </row>
    <row r="756" spans="1:4" x14ac:dyDescent="0.45">
      <c r="A756">
        <v>83</v>
      </c>
      <c r="B756">
        <f t="shared" ca="1" si="11"/>
        <v>96</v>
      </c>
      <c r="C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6" t="str">
        <f ca="1">IF(dict_zuord_Transfers_Storages[[#This Row],[kval_active]],dict_zuord_Transfers_Storages[[#This Row],[ID_Storages]],"")</f>
        <v/>
      </c>
    </row>
    <row r="757" spans="1:4" x14ac:dyDescent="0.45">
      <c r="A757">
        <v>83</v>
      </c>
      <c r="B757">
        <f t="shared" ca="1" si="11"/>
        <v>59</v>
      </c>
      <c r="C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57" t="str">
        <f ca="1">IF(dict_zuord_Transfers_Storages[[#This Row],[kval_active]],dict_zuord_Transfers_Storages[[#This Row],[ID_Storages]],"")</f>
        <v/>
      </c>
    </row>
    <row r="758" spans="1:4" x14ac:dyDescent="0.45">
      <c r="A758">
        <v>84</v>
      </c>
      <c r="B758">
        <f t="shared" ca="1" si="11"/>
        <v>38</v>
      </c>
      <c r="C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8">
        <f ca="1">IF(dict_zuord_Transfers_Storages[[#This Row],[kval_active]],dict_zuord_Transfers_Storages[[#This Row],[ID_Storages]],"")</f>
        <v>38</v>
      </c>
    </row>
    <row r="759" spans="1:4" x14ac:dyDescent="0.45">
      <c r="A759">
        <v>84</v>
      </c>
      <c r="B759">
        <f t="shared" ca="1" si="11"/>
        <v>84</v>
      </c>
      <c r="C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59">
        <f ca="1">IF(dict_zuord_Transfers_Storages[[#This Row],[kval_active]],dict_zuord_Transfers_Storages[[#This Row],[ID_Storages]],"")</f>
        <v>84</v>
      </c>
    </row>
    <row r="760" spans="1:4" x14ac:dyDescent="0.45">
      <c r="A760">
        <v>84</v>
      </c>
      <c r="B760">
        <f t="shared" ca="1" si="11"/>
        <v>65</v>
      </c>
      <c r="C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0">
        <f ca="1">IF(dict_zuord_Transfers_Storages[[#This Row],[kval_active]],dict_zuord_Transfers_Storages[[#This Row],[ID_Storages]],"")</f>
        <v>65</v>
      </c>
    </row>
    <row r="761" spans="1:4" x14ac:dyDescent="0.45">
      <c r="A761">
        <v>84</v>
      </c>
      <c r="B761">
        <f t="shared" ca="1" si="11"/>
        <v>75</v>
      </c>
      <c r="C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1">
        <f ca="1">IF(dict_zuord_Transfers_Storages[[#This Row],[kval_active]],dict_zuord_Transfers_Storages[[#This Row],[ID_Storages]],"")</f>
        <v>75</v>
      </c>
    </row>
    <row r="762" spans="1:4" x14ac:dyDescent="0.45">
      <c r="A762">
        <v>84</v>
      </c>
      <c r="B762">
        <f t="shared" ca="1" si="11"/>
        <v>79</v>
      </c>
      <c r="C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2">
        <f ca="1">IF(dict_zuord_Transfers_Storages[[#This Row],[kval_active]],dict_zuord_Transfers_Storages[[#This Row],[ID_Storages]],"")</f>
        <v>79</v>
      </c>
    </row>
    <row r="763" spans="1:4" x14ac:dyDescent="0.45">
      <c r="A763">
        <v>84</v>
      </c>
      <c r="B763">
        <f t="shared" ca="1" si="11"/>
        <v>12</v>
      </c>
      <c r="C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3">
        <f ca="1">IF(dict_zuord_Transfers_Storages[[#This Row],[kval_active]],dict_zuord_Transfers_Storages[[#This Row],[ID_Storages]],"")</f>
        <v>12</v>
      </c>
    </row>
    <row r="764" spans="1:4" x14ac:dyDescent="0.45">
      <c r="A764">
        <v>84</v>
      </c>
      <c r="B764">
        <f t="shared" ca="1" si="11"/>
        <v>94</v>
      </c>
      <c r="C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4">
        <f ca="1">IF(dict_zuord_Transfers_Storages[[#This Row],[kval_active]],dict_zuord_Transfers_Storages[[#This Row],[ID_Storages]],"")</f>
        <v>94</v>
      </c>
    </row>
    <row r="765" spans="1:4" x14ac:dyDescent="0.45">
      <c r="A765">
        <v>84</v>
      </c>
      <c r="B765">
        <f t="shared" ca="1" si="11"/>
        <v>90</v>
      </c>
      <c r="C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5">
        <f ca="1">IF(dict_zuord_Transfers_Storages[[#This Row],[kval_active]],dict_zuord_Transfers_Storages[[#This Row],[ID_Storages]],"")</f>
        <v>90</v>
      </c>
    </row>
    <row r="766" spans="1:4" x14ac:dyDescent="0.45">
      <c r="A766">
        <v>84</v>
      </c>
      <c r="B766">
        <f t="shared" ca="1" si="11"/>
        <v>6</v>
      </c>
      <c r="C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766">
        <f ca="1">IF(dict_zuord_Transfers_Storages[[#This Row],[kval_active]],dict_zuord_Transfers_Storages[[#This Row],[ID_Storages]],"")</f>
        <v>6</v>
      </c>
    </row>
    <row r="767" spans="1:4" x14ac:dyDescent="0.45">
      <c r="A767">
        <v>85</v>
      </c>
      <c r="B767">
        <f t="shared" ca="1" si="11"/>
        <v>4</v>
      </c>
      <c r="C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7" t="str">
        <f ca="1">IF(dict_zuord_Transfers_Storages[[#This Row],[kval_active]],dict_zuord_Transfers_Storages[[#This Row],[ID_Storages]],"")</f>
        <v/>
      </c>
    </row>
    <row r="768" spans="1:4" x14ac:dyDescent="0.45">
      <c r="A768">
        <v>85</v>
      </c>
      <c r="B768">
        <f t="shared" ca="1" si="11"/>
        <v>79</v>
      </c>
      <c r="C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8" t="str">
        <f ca="1">IF(dict_zuord_Transfers_Storages[[#This Row],[kval_active]],dict_zuord_Transfers_Storages[[#This Row],[ID_Storages]],"")</f>
        <v/>
      </c>
    </row>
    <row r="769" spans="1:4" x14ac:dyDescent="0.45">
      <c r="A769">
        <v>85</v>
      </c>
      <c r="B769">
        <f t="shared" ca="1" si="11"/>
        <v>15</v>
      </c>
      <c r="C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69" t="str">
        <f ca="1">IF(dict_zuord_Transfers_Storages[[#This Row],[kval_active]],dict_zuord_Transfers_Storages[[#This Row],[ID_Storages]],"")</f>
        <v/>
      </c>
    </row>
    <row r="770" spans="1:4" x14ac:dyDescent="0.45">
      <c r="A770">
        <v>85</v>
      </c>
      <c r="B770">
        <f t="shared" ref="B770:B833" ca="1" si="12">RANDBETWEEN(0,100)</f>
        <v>97</v>
      </c>
      <c r="C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0" t="str">
        <f ca="1">IF(dict_zuord_Transfers_Storages[[#This Row],[kval_active]],dict_zuord_Transfers_Storages[[#This Row],[ID_Storages]],"")</f>
        <v/>
      </c>
    </row>
    <row r="771" spans="1:4" x14ac:dyDescent="0.45">
      <c r="A771">
        <v>85</v>
      </c>
      <c r="B771">
        <f t="shared" ca="1" si="12"/>
        <v>73</v>
      </c>
      <c r="C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1" t="str">
        <f ca="1">IF(dict_zuord_Transfers_Storages[[#This Row],[kval_active]],dict_zuord_Transfers_Storages[[#This Row],[ID_Storages]],"")</f>
        <v/>
      </c>
    </row>
    <row r="772" spans="1:4" x14ac:dyDescent="0.45">
      <c r="A772">
        <v>85</v>
      </c>
      <c r="B772">
        <f t="shared" ca="1" si="12"/>
        <v>39</v>
      </c>
      <c r="C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2" t="str">
        <f ca="1">IF(dict_zuord_Transfers_Storages[[#This Row],[kval_active]],dict_zuord_Transfers_Storages[[#This Row],[ID_Storages]],"")</f>
        <v/>
      </c>
    </row>
    <row r="773" spans="1:4" x14ac:dyDescent="0.45">
      <c r="A773">
        <v>85</v>
      </c>
      <c r="B773">
        <f t="shared" ca="1" si="12"/>
        <v>1</v>
      </c>
      <c r="C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3" t="str">
        <f ca="1">IF(dict_zuord_Transfers_Storages[[#This Row],[kval_active]],dict_zuord_Transfers_Storages[[#This Row],[ID_Storages]],"")</f>
        <v/>
      </c>
    </row>
    <row r="774" spans="1:4" x14ac:dyDescent="0.45">
      <c r="A774">
        <v>85</v>
      </c>
      <c r="B774">
        <f t="shared" ca="1" si="12"/>
        <v>25</v>
      </c>
      <c r="C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4" t="str">
        <f ca="1">IF(dict_zuord_Transfers_Storages[[#This Row],[kval_active]],dict_zuord_Transfers_Storages[[#This Row],[ID_Storages]],"")</f>
        <v/>
      </c>
    </row>
    <row r="775" spans="1:4" x14ac:dyDescent="0.45">
      <c r="A775">
        <v>85</v>
      </c>
      <c r="B775">
        <f t="shared" ca="1" si="12"/>
        <v>12</v>
      </c>
      <c r="C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5" t="str">
        <f ca="1">IF(dict_zuord_Transfers_Storages[[#This Row],[kval_active]],dict_zuord_Transfers_Storages[[#This Row],[ID_Storages]],"")</f>
        <v/>
      </c>
    </row>
    <row r="776" spans="1:4" x14ac:dyDescent="0.45">
      <c r="A776">
        <v>86</v>
      </c>
      <c r="B776">
        <f t="shared" ca="1" si="12"/>
        <v>34</v>
      </c>
      <c r="C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6" t="str">
        <f ca="1">IF(dict_zuord_Transfers_Storages[[#This Row],[kval_active]],dict_zuord_Transfers_Storages[[#This Row],[ID_Storages]],"")</f>
        <v/>
      </c>
    </row>
    <row r="777" spans="1:4" x14ac:dyDescent="0.45">
      <c r="A777">
        <v>86</v>
      </c>
      <c r="B777">
        <f t="shared" ca="1" si="12"/>
        <v>20</v>
      </c>
      <c r="C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7" t="str">
        <f ca="1">IF(dict_zuord_Transfers_Storages[[#This Row],[kval_active]],dict_zuord_Transfers_Storages[[#This Row],[ID_Storages]],"")</f>
        <v/>
      </c>
    </row>
    <row r="778" spans="1:4" x14ac:dyDescent="0.45">
      <c r="A778">
        <v>86</v>
      </c>
      <c r="B778">
        <f t="shared" ca="1" si="12"/>
        <v>43</v>
      </c>
      <c r="C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8" t="str">
        <f ca="1">IF(dict_zuord_Transfers_Storages[[#This Row],[kval_active]],dict_zuord_Transfers_Storages[[#This Row],[ID_Storages]],"")</f>
        <v/>
      </c>
    </row>
    <row r="779" spans="1:4" x14ac:dyDescent="0.45">
      <c r="A779">
        <v>86</v>
      </c>
      <c r="B779">
        <f t="shared" ca="1" si="12"/>
        <v>45</v>
      </c>
      <c r="C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79" t="str">
        <f ca="1">IF(dict_zuord_Transfers_Storages[[#This Row],[kval_active]],dict_zuord_Transfers_Storages[[#This Row],[ID_Storages]],"")</f>
        <v/>
      </c>
    </row>
    <row r="780" spans="1:4" x14ac:dyDescent="0.45">
      <c r="A780">
        <v>86</v>
      </c>
      <c r="B780">
        <f t="shared" ca="1" si="12"/>
        <v>64</v>
      </c>
      <c r="C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0" t="str">
        <f ca="1">IF(dict_zuord_Transfers_Storages[[#This Row],[kval_active]],dict_zuord_Transfers_Storages[[#This Row],[ID_Storages]],"")</f>
        <v/>
      </c>
    </row>
    <row r="781" spans="1:4" x14ac:dyDescent="0.45">
      <c r="A781">
        <v>86</v>
      </c>
      <c r="B781">
        <f t="shared" ca="1" si="12"/>
        <v>91</v>
      </c>
      <c r="C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1" t="str">
        <f ca="1">IF(dict_zuord_Transfers_Storages[[#This Row],[kval_active]],dict_zuord_Transfers_Storages[[#This Row],[ID_Storages]],"")</f>
        <v/>
      </c>
    </row>
    <row r="782" spans="1:4" x14ac:dyDescent="0.45">
      <c r="A782">
        <v>86</v>
      </c>
      <c r="B782">
        <f t="shared" ca="1" si="12"/>
        <v>70</v>
      </c>
      <c r="C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2" t="str">
        <f ca="1">IF(dict_zuord_Transfers_Storages[[#This Row],[kval_active]],dict_zuord_Transfers_Storages[[#This Row],[ID_Storages]],"")</f>
        <v/>
      </c>
    </row>
    <row r="783" spans="1:4" x14ac:dyDescent="0.45">
      <c r="A783">
        <v>86</v>
      </c>
      <c r="B783">
        <f t="shared" ca="1" si="12"/>
        <v>86</v>
      </c>
      <c r="C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3" t="str">
        <f ca="1">IF(dict_zuord_Transfers_Storages[[#This Row],[kval_active]],dict_zuord_Transfers_Storages[[#This Row],[ID_Storages]],"")</f>
        <v/>
      </c>
    </row>
    <row r="784" spans="1:4" x14ac:dyDescent="0.45">
      <c r="A784">
        <v>86</v>
      </c>
      <c r="B784">
        <f t="shared" ca="1" si="12"/>
        <v>78</v>
      </c>
      <c r="C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4" t="str">
        <f ca="1">IF(dict_zuord_Transfers_Storages[[#This Row],[kval_active]],dict_zuord_Transfers_Storages[[#This Row],[ID_Storages]],"")</f>
        <v/>
      </c>
    </row>
    <row r="785" spans="1:4" x14ac:dyDescent="0.45">
      <c r="A785">
        <v>87</v>
      </c>
      <c r="B785">
        <f t="shared" ca="1" si="12"/>
        <v>85</v>
      </c>
      <c r="C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5" t="str">
        <f ca="1">IF(dict_zuord_Transfers_Storages[[#This Row],[kval_active]],dict_zuord_Transfers_Storages[[#This Row],[ID_Storages]],"")</f>
        <v/>
      </c>
    </row>
    <row r="786" spans="1:4" x14ac:dyDescent="0.45">
      <c r="A786">
        <v>87</v>
      </c>
      <c r="B786">
        <f t="shared" ca="1" si="12"/>
        <v>15</v>
      </c>
      <c r="C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6" t="str">
        <f ca="1">IF(dict_zuord_Transfers_Storages[[#This Row],[kval_active]],dict_zuord_Transfers_Storages[[#This Row],[ID_Storages]],"")</f>
        <v/>
      </c>
    </row>
    <row r="787" spans="1:4" x14ac:dyDescent="0.45">
      <c r="A787">
        <v>87</v>
      </c>
      <c r="B787">
        <f t="shared" ca="1" si="12"/>
        <v>53</v>
      </c>
      <c r="C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7" t="str">
        <f ca="1">IF(dict_zuord_Transfers_Storages[[#This Row],[kval_active]],dict_zuord_Transfers_Storages[[#This Row],[ID_Storages]],"")</f>
        <v/>
      </c>
    </row>
    <row r="788" spans="1:4" x14ac:dyDescent="0.45">
      <c r="A788">
        <v>87</v>
      </c>
      <c r="B788">
        <f t="shared" ca="1" si="12"/>
        <v>4</v>
      </c>
      <c r="C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8" t="str">
        <f ca="1">IF(dict_zuord_Transfers_Storages[[#This Row],[kval_active]],dict_zuord_Transfers_Storages[[#This Row],[ID_Storages]],"")</f>
        <v/>
      </c>
    </row>
    <row r="789" spans="1:4" x14ac:dyDescent="0.45">
      <c r="A789">
        <v>87</v>
      </c>
      <c r="B789">
        <f t="shared" ca="1" si="12"/>
        <v>42</v>
      </c>
      <c r="C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89" t="str">
        <f ca="1">IF(dict_zuord_Transfers_Storages[[#This Row],[kval_active]],dict_zuord_Transfers_Storages[[#This Row],[ID_Storages]],"")</f>
        <v/>
      </c>
    </row>
    <row r="790" spans="1:4" x14ac:dyDescent="0.45">
      <c r="A790">
        <v>87</v>
      </c>
      <c r="B790">
        <f t="shared" ca="1" si="12"/>
        <v>71</v>
      </c>
      <c r="C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0" t="str">
        <f ca="1">IF(dict_zuord_Transfers_Storages[[#This Row],[kval_active]],dict_zuord_Transfers_Storages[[#This Row],[ID_Storages]],"")</f>
        <v/>
      </c>
    </row>
    <row r="791" spans="1:4" x14ac:dyDescent="0.45">
      <c r="A791">
        <v>87</v>
      </c>
      <c r="B791">
        <f t="shared" ca="1" si="12"/>
        <v>7</v>
      </c>
      <c r="C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1" t="str">
        <f ca="1">IF(dict_zuord_Transfers_Storages[[#This Row],[kval_active]],dict_zuord_Transfers_Storages[[#This Row],[ID_Storages]],"")</f>
        <v/>
      </c>
    </row>
    <row r="792" spans="1:4" x14ac:dyDescent="0.45">
      <c r="A792">
        <v>87</v>
      </c>
      <c r="B792">
        <f t="shared" ca="1" si="12"/>
        <v>88</v>
      </c>
      <c r="C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2" t="str">
        <f ca="1">IF(dict_zuord_Transfers_Storages[[#This Row],[kval_active]],dict_zuord_Transfers_Storages[[#This Row],[ID_Storages]],"")</f>
        <v/>
      </c>
    </row>
    <row r="793" spans="1:4" x14ac:dyDescent="0.45">
      <c r="A793">
        <v>87</v>
      </c>
      <c r="B793">
        <f t="shared" ca="1" si="12"/>
        <v>69</v>
      </c>
      <c r="C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3" t="str">
        <f ca="1">IF(dict_zuord_Transfers_Storages[[#This Row],[kval_active]],dict_zuord_Transfers_Storages[[#This Row],[ID_Storages]],"")</f>
        <v/>
      </c>
    </row>
    <row r="794" spans="1:4" x14ac:dyDescent="0.45">
      <c r="A794">
        <v>88</v>
      </c>
      <c r="B794">
        <f t="shared" ca="1" si="12"/>
        <v>62</v>
      </c>
      <c r="C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4" t="str">
        <f ca="1">IF(dict_zuord_Transfers_Storages[[#This Row],[kval_active]],dict_zuord_Transfers_Storages[[#This Row],[ID_Storages]],"")</f>
        <v/>
      </c>
    </row>
    <row r="795" spans="1:4" x14ac:dyDescent="0.45">
      <c r="A795">
        <v>88</v>
      </c>
      <c r="B795">
        <f t="shared" ca="1" si="12"/>
        <v>73</v>
      </c>
      <c r="C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5" t="str">
        <f ca="1">IF(dict_zuord_Transfers_Storages[[#This Row],[kval_active]],dict_zuord_Transfers_Storages[[#This Row],[ID_Storages]],"")</f>
        <v/>
      </c>
    </row>
    <row r="796" spans="1:4" x14ac:dyDescent="0.45">
      <c r="A796">
        <v>88</v>
      </c>
      <c r="B796">
        <f t="shared" ca="1" si="12"/>
        <v>37</v>
      </c>
      <c r="C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6" t="str">
        <f ca="1">IF(dict_zuord_Transfers_Storages[[#This Row],[kval_active]],dict_zuord_Transfers_Storages[[#This Row],[ID_Storages]],"")</f>
        <v/>
      </c>
    </row>
    <row r="797" spans="1:4" x14ac:dyDescent="0.45">
      <c r="A797">
        <v>88</v>
      </c>
      <c r="B797">
        <f t="shared" ca="1" si="12"/>
        <v>39</v>
      </c>
      <c r="C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7" t="str">
        <f ca="1">IF(dict_zuord_Transfers_Storages[[#This Row],[kval_active]],dict_zuord_Transfers_Storages[[#This Row],[ID_Storages]],"")</f>
        <v/>
      </c>
    </row>
    <row r="798" spans="1:4" x14ac:dyDescent="0.45">
      <c r="A798">
        <v>88</v>
      </c>
      <c r="B798">
        <f t="shared" ca="1" si="12"/>
        <v>1</v>
      </c>
      <c r="C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8" t="str">
        <f ca="1">IF(dict_zuord_Transfers_Storages[[#This Row],[kval_active]],dict_zuord_Transfers_Storages[[#This Row],[ID_Storages]],"")</f>
        <v/>
      </c>
    </row>
    <row r="799" spans="1:4" x14ac:dyDescent="0.45">
      <c r="A799">
        <v>88</v>
      </c>
      <c r="B799">
        <f t="shared" ca="1" si="12"/>
        <v>92</v>
      </c>
      <c r="C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799" t="str">
        <f ca="1">IF(dict_zuord_Transfers_Storages[[#This Row],[kval_active]],dict_zuord_Transfers_Storages[[#This Row],[ID_Storages]],"")</f>
        <v/>
      </c>
    </row>
    <row r="800" spans="1:4" x14ac:dyDescent="0.45">
      <c r="A800">
        <v>88</v>
      </c>
      <c r="B800">
        <f t="shared" ca="1" si="12"/>
        <v>34</v>
      </c>
      <c r="C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0" t="str">
        <f ca="1">IF(dict_zuord_Transfers_Storages[[#This Row],[kval_active]],dict_zuord_Transfers_Storages[[#This Row],[ID_Storages]],"")</f>
        <v/>
      </c>
    </row>
    <row r="801" spans="1:4" x14ac:dyDescent="0.45">
      <c r="A801">
        <v>88</v>
      </c>
      <c r="B801">
        <f t="shared" ca="1" si="12"/>
        <v>18</v>
      </c>
      <c r="C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1" t="str">
        <f ca="1">IF(dict_zuord_Transfers_Storages[[#This Row],[kval_active]],dict_zuord_Transfers_Storages[[#This Row],[ID_Storages]],"")</f>
        <v/>
      </c>
    </row>
    <row r="802" spans="1:4" x14ac:dyDescent="0.45">
      <c r="A802">
        <v>88</v>
      </c>
      <c r="B802">
        <f t="shared" ca="1" si="12"/>
        <v>73</v>
      </c>
      <c r="C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02" t="str">
        <f ca="1">IF(dict_zuord_Transfers_Storages[[#This Row],[kval_active]],dict_zuord_Transfers_Storages[[#This Row],[ID_Storages]],"")</f>
        <v/>
      </c>
    </row>
    <row r="803" spans="1:4" x14ac:dyDescent="0.45">
      <c r="A803">
        <v>89</v>
      </c>
      <c r="B803">
        <f t="shared" ca="1" si="12"/>
        <v>15</v>
      </c>
      <c r="C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3">
        <f ca="1">IF(dict_zuord_Transfers_Storages[[#This Row],[kval_active]],dict_zuord_Transfers_Storages[[#This Row],[ID_Storages]],"")</f>
        <v>15</v>
      </c>
    </row>
    <row r="804" spans="1:4" x14ac:dyDescent="0.45">
      <c r="A804">
        <v>89</v>
      </c>
      <c r="B804">
        <f t="shared" ca="1" si="12"/>
        <v>85</v>
      </c>
      <c r="C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4">
        <f ca="1">IF(dict_zuord_Transfers_Storages[[#This Row],[kval_active]],dict_zuord_Transfers_Storages[[#This Row],[ID_Storages]],"")</f>
        <v>85</v>
      </c>
    </row>
    <row r="805" spans="1:4" x14ac:dyDescent="0.45">
      <c r="A805">
        <v>89</v>
      </c>
      <c r="B805">
        <f t="shared" ca="1" si="12"/>
        <v>77</v>
      </c>
      <c r="C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5">
        <f ca="1">IF(dict_zuord_Transfers_Storages[[#This Row],[kval_active]],dict_zuord_Transfers_Storages[[#This Row],[ID_Storages]],"")</f>
        <v>77</v>
      </c>
    </row>
    <row r="806" spans="1:4" x14ac:dyDescent="0.45">
      <c r="A806">
        <v>89</v>
      </c>
      <c r="B806">
        <f t="shared" ca="1" si="12"/>
        <v>44</v>
      </c>
      <c r="C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6">
        <f ca="1">IF(dict_zuord_Transfers_Storages[[#This Row],[kval_active]],dict_zuord_Transfers_Storages[[#This Row],[ID_Storages]],"")</f>
        <v>44</v>
      </c>
    </row>
    <row r="807" spans="1:4" x14ac:dyDescent="0.45">
      <c r="A807">
        <v>89</v>
      </c>
      <c r="B807">
        <f t="shared" ca="1" si="12"/>
        <v>83</v>
      </c>
      <c r="C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7">
        <f ca="1">IF(dict_zuord_Transfers_Storages[[#This Row],[kval_active]],dict_zuord_Transfers_Storages[[#This Row],[ID_Storages]],"")</f>
        <v>83</v>
      </c>
    </row>
    <row r="808" spans="1:4" x14ac:dyDescent="0.45">
      <c r="A808">
        <v>89</v>
      </c>
      <c r="B808">
        <f t="shared" ca="1" si="12"/>
        <v>43</v>
      </c>
      <c r="C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8">
        <f ca="1">IF(dict_zuord_Transfers_Storages[[#This Row],[kval_active]],dict_zuord_Transfers_Storages[[#This Row],[ID_Storages]],"")</f>
        <v>43</v>
      </c>
    </row>
    <row r="809" spans="1:4" x14ac:dyDescent="0.45">
      <c r="A809">
        <v>89</v>
      </c>
      <c r="B809">
        <f t="shared" ca="1" si="12"/>
        <v>14</v>
      </c>
      <c r="C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09">
        <f ca="1">IF(dict_zuord_Transfers_Storages[[#This Row],[kval_active]],dict_zuord_Transfers_Storages[[#This Row],[ID_Storages]],"")</f>
        <v>14</v>
      </c>
    </row>
    <row r="810" spans="1:4" x14ac:dyDescent="0.45">
      <c r="A810">
        <v>89</v>
      </c>
      <c r="B810">
        <f t="shared" ca="1" si="12"/>
        <v>98</v>
      </c>
      <c r="C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0">
        <f ca="1">IF(dict_zuord_Transfers_Storages[[#This Row],[kval_active]],dict_zuord_Transfers_Storages[[#This Row],[ID_Storages]],"")</f>
        <v>98</v>
      </c>
    </row>
    <row r="811" spans="1:4" x14ac:dyDescent="0.45">
      <c r="A811">
        <v>89</v>
      </c>
      <c r="B811">
        <f t="shared" ca="1" si="12"/>
        <v>91</v>
      </c>
      <c r="C8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11">
        <f ca="1">IF(dict_zuord_Transfers_Storages[[#This Row],[kval_active]],dict_zuord_Transfers_Storages[[#This Row],[ID_Storages]],"")</f>
        <v>91</v>
      </c>
    </row>
    <row r="812" spans="1:4" x14ac:dyDescent="0.45">
      <c r="A812">
        <v>90</v>
      </c>
      <c r="B812">
        <f t="shared" ca="1" si="12"/>
        <v>28</v>
      </c>
      <c r="C8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2" t="str">
        <f ca="1">IF(dict_zuord_Transfers_Storages[[#This Row],[kval_active]],dict_zuord_Transfers_Storages[[#This Row],[ID_Storages]],"")</f>
        <v/>
      </c>
    </row>
    <row r="813" spans="1:4" x14ac:dyDescent="0.45">
      <c r="A813">
        <v>90</v>
      </c>
      <c r="B813">
        <f t="shared" ca="1" si="12"/>
        <v>60</v>
      </c>
      <c r="C8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3" t="str">
        <f ca="1">IF(dict_zuord_Transfers_Storages[[#This Row],[kval_active]],dict_zuord_Transfers_Storages[[#This Row],[ID_Storages]],"")</f>
        <v/>
      </c>
    </row>
    <row r="814" spans="1:4" x14ac:dyDescent="0.45">
      <c r="A814">
        <v>90</v>
      </c>
      <c r="B814">
        <f t="shared" ca="1" si="12"/>
        <v>12</v>
      </c>
      <c r="C8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4" t="str">
        <f ca="1">IF(dict_zuord_Transfers_Storages[[#This Row],[kval_active]],dict_zuord_Transfers_Storages[[#This Row],[ID_Storages]],"")</f>
        <v/>
      </c>
    </row>
    <row r="815" spans="1:4" x14ac:dyDescent="0.45">
      <c r="A815">
        <v>90</v>
      </c>
      <c r="B815">
        <f t="shared" ca="1" si="12"/>
        <v>5</v>
      </c>
      <c r="C8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5" t="str">
        <f ca="1">IF(dict_zuord_Transfers_Storages[[#This Row],[kval_active]],dict_zuord_Transfers_Storages[[#This Row],[ID_Storages]],"")</f>
        <v/>
      </c>
    </row>
    <row r="816" spans="1:4" x14ac:dyDescent="0.45">
      <c r="A816">
        <v>90</v>
      </c>
      <c r="B816">
        <f t="shared" ca="1" si="12"/>
        <v>78</v>
      </c>
      <c r="C8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6" t="str">
        <f ca="1">IF(dict_zuord_Transfers_Storages[[#This Row],[kval_active]],dict_zuord_Transfers_Storages[[#This Row],[ID_Storages]],"")</f>
        <v/>
      </c>
    </row>
    <row r="817" spans="1:4" x14ac:dyDescent="0.45">
      <c r="A817">
        <v>90</v>
      </c>
      <c r="B817">
        <f t="shared" ca="1" si="12"/>
        <v>1</v>
      </c>
      <c r="C8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7" t="str">
        <f ca="1">IF(dict_zuord_Transfers_Storages[[#This Row],[kval_active]],dict_zuord_Transfers_Storages[[#This Row],[ID_Storages]],"")</f>
        <v/>
      </c>
    </row>
    <row r="818" spans="1:4" x14ac:dyDescent="0.45">
      <c r="A818">
        <v>90</v>
      </c>
      <c r="B818">
        <f t="shared" ca="1" si="12"/>
        <v>80</v>
      </c>
      <c r="C8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8" t="str">
        <f ca="1">IF(dict_zuord_Transfers_Storages[[#This Row],[kval_active]],dict_zuord_Transfers_Storages[[#This Row],[ID_Storages]],"")</f>
        <v/>
      </c>
    </row>
    <row r="819" spans="1:4" x14ac:dyDescent="0.45">
      <c r="A819">
        <v>90</v>
      </c>
      <c r="B819">
        <f t="shared" ca="1" si="12"/>
        <v>45</v>
      </c>
      <c r="C8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19" t="str">
        <f ca="1">IF(dict_zuord_Transfers_Storages[[#This Row],[kval_active]],dict_zuord_Transfers_Storages[[#This Row],[ID_Storages]],"")</f>
        <v/>
      </c>
    </row>
    <row r="820" spans="1:4" x14ac:dyDescent="0.45">
      <c r="A820">
        <v>90</v>
      </c>
      <c r="B820">
        <f t="shared" ca="1" si="12"/>
        <v>72</v>
      </c>
      <c r="C8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20" t="str">
        <f ca="1">IF(dict_zuord_Transfers_Storages[[#This Row],[kval_active]],dict_zuord_Transfers_Storages[[#This Row],[ID_Storages]],"")</f>
        <v/>
      </c>
    </row>
    <row r="821" spans="1:4" x14ac:dyDescent="0.45">
      <c r="A821">
        <v>91</v>
      </c>
      <c r="B821">
        <f t="shared" ca="1" si="12"/>
        <v>69</v>
      </c>
      <c r="C8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1">
        <f ca="1">IF(dict_zuord_Transfers_Storages[[#This Row],[kval_active]],dict_zuord_Transfers_Storages[[#This Row],[ID_Storages]],"")</f>
        <v>69</v>
      </c>
    </row>
    <row r="822" spans="1:4" x14ac:dyDescent="0.45">
      <c r="A822">
        <v>91</v>
      </c>
      <c r="B822">
        <f t="shared" ca="1" si="12"/>
        <v>57</v>
      </c>
      <c r="C8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2">
        <f ca="1">IF(dict_zuord_Transfers_Storages[[#This Row],[kval_active]],dict_zuord_Transfers_Storages[[#This Row],[ID_Storages]],"")</f>
        <v>57</v>
      </c>
    </row>
    <row r="823" spans="1:4" x14ac:dyDescent="0.45">
      <c r="A823">
        <v>91</v>
      </c>
      <c r="B823">
        <f t="shared" ca="1" si="12"/>
        <v>0</v>
      </c>
      <c r="C8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3">
        <f ca="1">IF(dict_zuord_Transfers_Storages[[#This Row],[kval_active]],dict_zuord_Transfers_Storages[[#This Row],[ID_Storages]],"")</f>
        <v>0</v>
      </c>
    </row>
    <row r="824" spans="1:4" x14ac:dyDescent="0.45">
      <c r="A824">
        <v>91</v>
      </c>
      <c r="B824">
        <f t="shared" ca="1" si="12"/>
        <v>71</v>
      </c>
      <c r="C8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4">
        <f ca="1">IF(dict_zuord_Transfers_Storages[[#This Row],[kval_active]],dict_zuord_Transfers_Storages[[#This Row],[ID_Storages]],"")</f>
        <v>71</v>
      </c>
    </row>
    <row r="825" spans="1:4" x14ac:dyDescent="0.45">
      <c r="A825">
        <v>91</v>
      </c>
      <c r="B825">
        <f t="shared" ca="1" si="12"/>
        <v>98</v>
      </c>
      <c r="C8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5">
        <f ca="1">IF(dict_zuord_Transfers_Storages[[#This Row],[kval_active]],dict_zuord_Transfers_Storages[[#This Row],[ID_Storages]],"")</f>
        <v>98</v>
      </c>
    </row>
    <row r="826" spans="1:4" x14ac:dyDescent="0.45">
      <c r="A826">
        <v>91</v>
      </c>
      <c r="B826">
        <f t="shared" ca="1" si="12"/>
        <v>69</v>
      </c>
      <c r="C8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6">
        <f ca="1">IF(dict_zuord_Transfers_Storages[[#This Row],[kval_active]],dict_zuord_Transfers_Storages[[#This Row],[ID_Storages]],"")</f>
        <v>69</v>
      </c>
    </row>
    <row r="827" spans="1:4" x14ac:dyDescent="0.45">
      <c r="A827">
        <v>91</v>
      </c>
      <c r="B827">
        <f t="shared" ca="1" si="12"/>
        <v>89</v>
      </c>
      <c r="C8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7">
        <f ca="1">IF(dict_zuord_Transfers_Storages[[#This Row],[kval_active]],dict_zuord_Transfers_Storages[[#This Row],[ID_Storages]],"")</f>
        <v>89</v>
      </c>
    </row>
    <row r="828" spans="1:4" x14ac:dyDescent="0.45">
      <c r="A828">
        <v>91</v>
      </c>
      <c r="B828">
        <f t="shared" ca="1" si="12"/>
        <v>13</v>
      </c>
      <c r="C8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8">
        <f ca="1">IF(dict_zuord_Transfers_Storages[[#This Row],[kval_active]],dict_zuord_Transfers_Storages[[#This Row],[ID_Storages]],"")</f>
        <v>13</v>
      </c>
    </row>
    <row r="829" spans="1:4" x14ac:dyDescent="0.45">
      <c r="A829">
        <v>91</v>
      </c>
      <c r="B829">
        <f t="shared" ca="1" si="12"/>
        <v>14</v>
      </c>
      <c r="C8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29">
        <f ca="1">IF(dict_zuord_Transfers_Storages[[#This Row],[kval_active]],dict_zuord_Transfers_Storages[[#This Row],[ID_Storages]],"")</f>
        <v>14</v>
      </c>
    </row>
    <row r="830" spans="1:4" x14ac:dyDescent="0.45">
      <c r="A830">
        <v>92</v>
      </c>
      <c r="B830">
        <f t="shared" ca="1" si="12"/>
        <v>84</v>
      </c>
      <c r="C8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0">
        <f ca="1">IF(dict_zuord_Transfers_Storages[[#This Row],[kval_active]],dict_zuord_Transfers_Storages[[#This Row],[ID_Storages]],"")</f>
        <v>84</v>
      </c>
    </row>
    <row r="831" spans="1:4" x14ac:dyDescent="0.45">
      <c r="A831">
        <v>92</v>
      </c>
      <c r="B831">
        <f t="shared" ca="1" si="12"/>
        <v>3</v>
      </c>
      <c r="C8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1">
        <f ca="1">IF(dict_zuord_Transfers_Storages[[#This Row],[kval_active]],dict_zuord_Transfers_Storages[[#This Row],[ID_Storages]],"")</f>
        <v>3</v>
      </c>
    </row>
    <row r="832" spans="1:4" x14ac:dyDescent="0.45">
      <c r="A832">
        <v>92</v>
      </c>
      <c r="B832">
        <f t="shared" ca="1" si="12"/>
        <v>9</v>
      </c>
      <c r="C8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2">
        <f ca="1">IF(dict_zuord_Transfers_Storages[[#This Row],[kval_active]],dict_zuord_Transfers_Storages[[#This Row],[ID_Storages]],"")</f>
        <v>9</v>
      </c>
    </row>
    <row r="833" spans="1:4" x14ac:dyDescent="0.45">
      <c r="A833">
        <v>92</v>
      </c>
      <c r="B833">
        <f t="shared" ca="1" si="12"/>
        <v>38</v>
      </c>
      <c r="C8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3">
        <f ca="1">IF(dict_zuord_Transfers_Storages[[#This Row],[kval_active]],dict_zuord_Transfers_Storages[[#This Row],[ID_Storages]],"")</f>
        <v>38</v>
      </c>
    </row>
    <row r="834" spans="1:4" x14ac:dyDescent="0.45">
      <c r="A834">
        <v>92</v>
      </c>
      <c r="B834">
        <f t="shared" ref="B834:B897" ca="1" si="13">RANDBETWEEN(0,100)</f>
        <v>81</v>
      </c>
      <c r="C8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4">
        <f ca="1">IF(dict_zuord_Transfers_Storages[[#This Row],[kval_active]],dict_zuord_Transfers_Storages[[#This Row],[ID_Storages]],"")</f>
        <v>81</v>
      </c>
    </row>
    <row r="835" spans="1:4" x14ac:dyDescent="0.45">
      <c r="A835">
        <v>92</v>
      </c>
      <c r="B835">
        <f t="shared" ca="1" si="13"/>
        <v>68</v>
      </c>
      <c r="C8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5">
        <f ca="1">IF(dict_zuord_Transfers_Storages[[#This Row],[kval_active]],dict_zuord_Transfers_Storages[[#This Row],[ID_Storages]],"")</f>
        <v>68</v>
      </c>
    </row>
    <row r="836" spans="1:4" x14ac:dyDescent="0.45">
      <c r="A836">
        <v>92</v>
      </c>
      <c r="B836">
        <f t="shared" ca="1" si="13"/>
        <v>100</v>
      </c>
      <c r="C8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6">
        <f ca="1">IF(dict_zuord_Transfers_Storages[[#This Row],[kval_active]],dict_zuord_Transfers_Storages[[#This Row],[ID_Storages]],"")</f>
        <v>100</v>
      </c>
    </row>
    <row r="837" spans="1:4" x14ac:dyDescent="0.45">
      <c r="A837">
        <v>92</v>
      </c>
      <c r="B837">
        <f t="shared" ca="1" si="13"/>
        <v>40</v>
      </c>
      <c r="C8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7">
        <f ca="1">IF(dict_zuord_Transfers_Storages[[#This Row],[kval_active]],dict_zuord_Transfers_Storages[[#This Row],[ID_Storages]],"")</f>
        <v>40</v>
      </c>
    </row>
    <row r="838" spans="1:4" x14ac:dyDescent="0.45">
      <c r="A838">
        <v>92</v>
      </c>
      <c r="B838">
        <f t="shared" ca="1" si="13"/>
        <v>37</v>
      </c>
      <c r="C8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38">
        <f ca="1">IF(dict_zuord_Transfers_Storages[[#This Row],[kval_active]],dict_zuord_Transfers_Storages[[#This Row],[ID_Storages]],"")</f>
        <v>37</v>
      </c>
    </row>
    <row r="839" spans="1:4" x14ac:dyDescent="0.45">
      <c r="A839">
        <v>93</v>
      </c>
      <c r="B839">
        <f t="shared" ca="1" si="13"/>
        <v>21</v>
      </c>
      <c r="C8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39" t="str">
        <f ca="1">IF(dict_zuord_Transfers_Storages[[#This Row],[kval_active]],dict_zuord_Transfers_Storages[[#This Row],[ID_Storages]],"")</f>
        <v/>
      </c>
    </row>
    <row r="840" spans="1:4" x14ac:dyDescent="0.45">
      <c r="A840">
        <v>93</v>
      </c>
      <c r="B840">
        <f t="shared" ca="1" si="13"/>
        <v>58</v>
      </c>
      <c r="C8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0" t="str">
        <f ca="1">IF(dict_zuord_Transfers_Storages[[#This Row],[kval_active]],dict_zuord_Transfers_Storages[[#This Row],[ID_Storages]],"")</f>
        <v/>
      </c>
    </row>
    <row r="841" spans="1:4" x14ac:dyDescent="0.45">
      <c r="A841">
        <v>93</v>
      </c>
      <c r="B841">
        <f t="shared" ca="1" si="13"/>
        <v>97</v>
      </c>
      <c r="C8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1" t="str">
        <f ca="1">IF(dict_zuord_Transfers_Storages[[#This Row],[kval_active]],dict_zuord_Transfers_Storages[[#This Row],[ID_Storages]],"")</f>
        <v/>
      </c>
    </row>
    <row r="842" spans="1:4" x14ac:dyDescent="0.45">
      <c r="A842">
        <v>93</v>
      </c>
      <c r="B842">
        <f t="shared" ca="1" si="13"/>
        <v>49</v>
      </c>
      <c r="C8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2" t="str">
        <f ca="1">IF(dict_zuord_Transfers_Storages[[#This Row],[kval_active]],dict_zuord_Transfers_Storages[[#This Row],[ID_Storages]],"")</f>
        <v/>
      </c>
    </row>
    <row r="843" spans="1:4" x14ac:dyDescent="0.45">
      <c r="A843">
        <v>93</v>
      </c>
      <c r="B843">
        <f t="shared" ca="1" si="13"/>
        <v>81</v>
      </c>
      <c r="C8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3" t="str">
        <f ca="1">IF(dict_zuord_Transfers_Storages[[#This Row],[kval_active]],dict_zuord_Transfers_Storages[[#This Row],[ID_Storages]],"")</f>
        <v/>
      </c>
    </row>
    <row r="844" spans="1:4" x14ac:dyDescent="0.45">
      <c r="A844">
        <v>93</v>
      </c>
      <c r="B844">
        <f t="shared" ca="1" si="13"/>
        <v>23</v>
      </c>
      <c r="C8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4" t="str">
        <f ca="1">IF(dict_zuord_Transfers_Storages[[#This Row],[kval_active]],dict_zuord_Transfers_Storages[[#This Row],[ID_Storages]],"")</f>
        <v/>
      </c>
    </row>
    <row r="845" spans="1:4" x14ac:dyDescent="0.45">
      <c r="A845">
        <v>93</v>
      </c>
      <c r="B845">
        <f t="shared" ca="1" si="13"/>
        <v>59</v>
      </c>
      <c r="C8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5" t="str">
        <f ca="1">IF(dict_zuord_Transfers_Storages[[#This Row],[kval_active]],dict_zuord_Transfers_Storages[[#This Row],[ID_Storages]],"")</f>
        <v/>
      </c>
    </row>
    <row r="846" spans="1:4" x14ac:dyDescent="0.45">
      <c r="A846">
        <v>93</v>
      </c>
      <c r="B846">
        <f t="shared" ca="1" si="13"/>
        <v>95</v>
      </c>
      <c r="C8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6" t="str">
        <f ca="1">IF(dict_zuord_Transfers_Storages[[#This Row],[kval_active]],dict_zuord_Transfers_Storages[[#This Row],[ID_Storages]],"")</f>
        <v/>
      </c>
    </row>
    <row r="847" spans="1:4" x14ac:dyDescent="0.45">
      <c r="A847">
        <v>93</v>
      </c>
      <c r="B847">
        <f t="shared" ca="1" si="13"/>
        <v>33</v>
      </c>
      <c r="C8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47" t="str">
        <f ca="1">IF(dict_zuord_Transfers_Storages[[#This Row],[kval_active]],dict_zuord_Transfers_Storages[[#This Row],[ID_Storages]],"")</f>
        <v/>
      </c>
    </row>
    <row r="848" spans="1:4" x14ac:dyDescent="0.45">
      <c r="A848">
        <v>94</v>
      </c>
      <c r="B848">
        <f t="shared" ca="1" si="13"/>
        <v>29</v>
      </c>
      <c r="C8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8">
        <f ca="1">IF(dict_zuord_Transfers_Storages[[#This Row],[kval_active]],dict_zuord_Transfers_Storages[[#This Row],[ID_Storages]],"")</f>
        <v>29</v>
      </c>
    </row>
    <row r="849" spans="1:4" x14ac:dyDescent="0.45">
      <c r="A849">
        <v>94</v>
      </c>
      <c r="B849">
        <f t="shared" ca="1" si="13"/>
        <v>81</v>
      </c>
      <c r="C8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49">
        <f ca="1">IF(dict_zuord_Transfers_Storages[[#This Row],[kval_active]],dict_zuord_Transfers_Storages[[#This Row],[ID_Storages]],"")</f>
        <v>81</v>
      </c>
    </row>
    <row r="850" spans="1:4" x14ac:dyDescent="0.45">
      <c r="A850">
        <v>94</v>
      </c>
      <c r="B850">
        <f t="shared" ca="1" si="13"/>
        <v>56</v>
      </c>
      <c r="C8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0">
        <f ca="1">IF(dict_zuord_Transfers_Storages[[#This Row],[kval_active]],dict_zuord_Transfers_Storages[[#This Row],[ID_Storages]],"")</f>
        <v>56</v>
      </c>
    </row>
    <row r="851" spans="1:4" x14ac:dyDescent="0.45">
      <c r="A851">
        <v>94</v>
      </c>
      <c r="B851">
        <f t="shared" ca="1" si="13"/>
        <v>36</v>
      </c>
      <c r="C8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1">
        <f ca="1">IF(dict_zuord_Transfers_Storages[[#This Row],[kval_active]],dict_zuord_Transfers_Storages[[#This Row],[ID_Storages]],"")</f>
        <v>36</v>
      </c>
    </row>
    <row r="852" spans="1:4" x14ac:dyDescent="0.45">
      <c r="A852">
        <v>94</v>
      </c>
      <c r="B852">
        <f t="shared" ca="1" si="13"/>
        <v>96</v>
      </c>
      <c r="C8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2">
        <f ca="1">IF(dict_zuord_Transfers_Storages[[#This Row],[kval_active]],dict_zuord_Transfers_Storages[[#This Row],[ID_Storages]],"")</f>
        <v>96</v>
      </c>
    </row>
    <row r="853" spans="1:4" x14ac:dyDescent="0.45">
      <c r="A853">
        <v>94</v>
      </c>
      <c r="B853">
        <f t="shared" ca="1" si="13"/>
        <v>95</v>
      </c>
      <c r="C8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3">
        <f ca="1">IF(dict_zuord_Transfers_Storages[[#This Row],[kval_active]],dict_zuord_Transfers_Storages[[#This Row],[ID_Storages]],"")</f>
        <v>95</v>
      </c>
    </row>
    <row r="854" spans="1:4" x14ac:dyDescent="0.45">
      <c r="A854">
        <v>94</v>
      </c>
      <c r="B854">
        <f t="shared" ca="1" si="13"/>
        <v>69</v>
      </c>
      <c r="C8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4">
        <f ca="1">IF(dict_zuord_Transfers_Storages[[#This Row],[kval_active]],dict_zuord_Transfers_Storages[[#This Row],[ID_Storages]],"")</f>
        <v>69</v>
      </c>
    </row>
    <row r="855" spans="1:4" x14ac:dyDescent="0.45">
      <c r="A855">
        <v>94</v>
      </c>
      <c r="B855">
        <f t="shared" ca="1" si="13"/>
        <v>92</v>
      </c>
      <c r="C8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5">
        <f ca="1">IF(dict_zuord_Transfers_Storages[[#This Row],[kval_active]],dict_zuord_Transfers_Storages[[#This Row],[ID_Storages]],"")</f>
        <v>92</v>
      </c>
    </row>
    <row r="856" spans="1:4" x14ac:dyDescent="0.45">
      <c r="A856">
        <v>94</v>
      </c>
      <c r="B856">
        <f t="shared" ca="1" si="13"/>
        <v>78</v>
      </c>
      <c r="C8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6">
        <f ca="1">IF(dict_zuord_Transfers_Storages[[#This Row],[kval_active]],dict_zuord_Transfers_Storages[[#This Row],[ID_Storages]],"")</f>
        <v>78</v>
      </c>
    </row>
    <row r="857" spans="1:4" x14ac:dyDescent="0.45">
      <c r="A857">
        <v>95</v>
      </c>
      <c r="B857">
        <f t="shared" ca="1" si="13"/>
        <v>19</v>
      </c>
      <c r="C8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7">
        <f ca="1">IF(dict_zuord_Transfers_Storages[[#This Row],[kval_active]],dict_zuord_Transfers_Storages[[#This Row],[ID_Storages]],"")</f>
        <v>19</v>
      </c>
    </row>
    <row r="858" spans="1:4" x14ac:dyDescent="0.45">
      <c r="A858">
        <v>95</v>
      </c>
      <c r="B858">
        <f t="shared" ca="1" si="13"/>
        <v>92</v>
      </c>
      <c r="C8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8">
        <f ca="1">IF(dict_zuord_Transfers_Storages[[#This Row],[kval_active]],dict_zuord_Transfers_Storages[[#This Row],[ID_Storages]],"")</f>
        <v>92</v>
      </c>
    </row>
    <row r="859" spans="1:4" x14ac:dyDescent="0.45">
      <c r="A859">
        <v>95</v>
      </c>
      <c r="B859">
        <f t="shared" ca="1" si="13"/>
        <v>70</v>
      </c>
      <c r="C8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59">
        <f ca="1">IF(dict_zuord_Transfers_Storages[[#This Row],[kval_active]],dict_zuord_Transfers_Storages[[#This Row],[ID_Storages]],"")</f>
        <v>70</v>
      </c>
    </row>
    <row r="860" spans="1:4" x14ac:dyDescent="0.45">
      <c r="A860">
        <v>95</v>
      </c>
      <c r="B860">
        <f t="shared" ca="1" si="13"/>
        <v>6</v>
      </c>
      <c r="C8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0">
        <f ca="1">IF(dict_zuord_Transfers_Storages[[#This Row],[kval_active]],dict_zuord_Transfers_Storages[[#This Row],[ID_Storages]],"")</f>
        <v>6</v>
      </c>
    </row>
    <row r="861" spans="1:4" x14ac:dyDescent="0.45">
      <c r="A861">
        <v>95</v>
      </c>
      <c r="B861">
        <f t="shared" ca="1" si="13"/>
        <v>59</v>
      </c>
      <c r="C8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1">
        <f ca="1">IF(dict_zuord_Transfers_Storages[[#This Row],[kval_active]],dict_zuord_Transfers_Storages[[#This Row],[ID_Storages]],"")</f>
        <v>59</v>
      </c>
    </row>
    <row r="862" spans="1:4" x14ac:dyDescent="0.45">
      <c r="A862">
        <v>95</v>
      </c>
      <c r="B862">
        <f t="shared" ca="1" si="13"/>
        <v>80</v>
      </c>
      <c r="C8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2">
        <f ca="1">IF(dict_zuord_Transfers_Storages[[#This Row],[kval_active]],dict_zuord_Transfers_Storages[[#This Row],[ID_Storages]],"")</f>
        <v>80</v>
      </c>
    </row>
    <row r="863" spans="1:4" x14ac:dyDescent="0.45">
      <c r="A863">
        <v>95</v>
      </c>
      <c r="B863">
        <f t="shared" ca="1" si="13"/>
        <v>72</v>
      </c>
      <c r="C8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3">
        <f ca="1">IF(dict_zuord_Transfers_Storages[[#This Row],[kval_active]],dict_zuord_Transfers_Storages[[#This Row],[ID_Storages]],"")</f>
        <v>72</v>
      </c>
    </row>
    <row r="864" spans="1:4" x14ac:dyDescent="0.45">
      <c r="A864">
        <v>95</v>
      </c>
      <c r="B864">
        <f t="shared" ca="1" si="13"/>
        <v>25</v>
      </c>
      <c r="C8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4">
        <f ca="1">IF(dict_zuord_Transfers_Storages[[#This Row],[kval_active]],dict_zuord_Transfers_Storages[[#This Row],[ID_Storages]],"")</f>
        <v>25</v>
      </c>
    </row>
    <row r="865" spans="1:4" x14ac:dyDescent="0.45">
      <c r="A865">
        <v>95</v>
      </c>
      <c r="B865">
        <f t="shared" ca="1" si="13"/>
        <v>18</v>
      </c>
      <c r="C8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5">
        <f ca="1">IF(dict_zuord_Transfers_Storages[[#This Row],[kval_active]],dict_zuord_Transfers_Storages[[#This Row],[ID_Storages]],"")</f>
        <v>18</v>
      </c>
    </row>
    <row r="866" spans="1:4" x14ac:dyDescent="0.45">
      <c r="A866">
        <v>96</v>
      </c>
      <c r="B866">
        <f t="shared" ca="1" si="13"/>
        <v>11</v>
      </c>
      <c r="C8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6">
        <f ca="1">IF(dict_zuord_Transfers_Storages[[#This Row],[kval_active]],dict_zuord_Transfers_Storages[[#This Row],[ID_Storages]],"")</f>
        <v>11</v>
      </c>
    </row>
    <row r="867" spans="1:4" x14ac:dyDescent="0.45">
      <c r="A867">
        <v>96</v>
      </c>
      <c r="B867">
        <f t="shared" ca="1" si="13"/>
        <v>53</v>
      </c>
      <c r="C8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7">
        <f ca="1">IF(dict_zuord_Transfers_Storages[[#This Row],[kval_active]],dict_zuord_Transfers_Storages[[#This Row],[ID_Storages]],"")</f>
        <v>53</v>
      </c>
    </row>
    <row r="868" spans="1:4" x14ac:dyDescent="0.45">
      <c r="A868">
        <v>96</v>
      </c>
      <c r="B868">
        <f t="shared" ca="1" si="13"/>
        <v>59</v>
      </c>
      <c r="C8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8">
        <f ca="1">IF(dict_zuord_Transfers_Storages[[#This Row],[kval_active]],dict_zuord_Transfers_Storages[[#This Row],[ID_Storages]],"")</f>
        <v>59</v>
      </c>
    </row>
    <row r="869" spans="1:4" x14ac:dyDescent="0.45">
      <c r="A869">
        <v>96</v>
      </c>
      <c r="B869">
        <f t="shared" ca="1" si="13"/>
        <v>65</v>
      </c>
      <c r="C8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69">
        <f ca="1">IF(dict_zuord_Transfers_Storages[[#This Row],[kval_active]],dict_zuord_Transfers_Storages[[#This Row],[ID_Storages]],"")</f>
        <v>65</v>
      </c>
    </row>
    <row r="870" spans="1:4" x14ac:dyDescent="0.45">
      <c r="A870">
        <v>96</v>
      </c>
      <c r="B870">
        <f t="shared" ca="1" si="13"/>
        <v>79</v>
      </c>
      <c r="C8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0">
        <f ca="1">IF(dict_zuord_Transfers_Storages[[#This Row],[kval_active]],dict_zuord_Transfers_Storages[[#This Row],[ID_Storages]],"")</f>
        <v>79</v>
      </c>
    </row>
    <row r="871" spans="1:4" x14ac:dyDescent="0.45">
      <c r="A871">
        <v>96</v>
      </c>
      <c r="B871">
        <f t="shared" ca="1" si="13"/>
        <v>54</v>
      </c>
      <c r="C8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1">
        <f ca="1">IF(dict_zuord_Transfers_Storages[[#This Row],[kval_active]],dict_zuord_Transfers_Storages[[#This Row],[ID_Storages]],"")</f>
        <v>54</v>
      </c>
    </row>
    <row r="872" spans="1:4" x14ac:dyDescent="0.45">
      <c r="A872">
        <v>96</v>
      </c>
      <c r="B872">
        <f t="shared" ca="1" si="13"/>
        <v>93</v>
      </c>
      <c r="C8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2">
        <f ca="1">IF(dict_zuord_Transfers_Storages[[#This Row],[kval_active]],dict_zuord_Transfers_Storages[[#This Row],[ID_Storages]],"")</f>
        <v>93</v>
      </c>
    </row>
    <row r="873" spans="1:4" x14ac:dyDescent="0.45">
      <c r="A873">
        <v>96</v>
      </c>
      <c r="B873">
        <f t="shared" ca="1" si="13"/>
        <v>76</v>
      </c>
      <c r="C8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3">
        <f ca="1">IF(dict_zuord_Transfers_Storages[[#This Row],[kval_active]],dict_zuord_Transfers_Storages[[#This Row],[ID_Storages]],"")</f>
        <v>76</v>
      </c>
    </row>
    <row r="874" spans="1:4" x14ac:dyDescent="0.45">
      <c r="A874">
        <v>96</v>
      </c>
      <c r="B874">
        <f t="shared" ca="1" si="13"/>
        <v>43</v>
      </c>
      <c r="C8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4">
        <f ca="1">IF(dict_zuord_Transfers_Storages[[#This Row],[kval_active]],dict_zuord_Transfers_Storages[[#This Row],[ID_Storages]],"")</f>
        <v>43</v>
      </c>
    </row>
    <row r="875" spans="1:4" x14ac:dyDescent="0.45">
      <c r="A875">
        <v>97</v>
      </c>
      <c r="B875">
        <f t="shared" ca="1" si="13"/>
        <v>98</v>
      </c>
      <c r="C8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5">
        <f ca="1">IF(dict_zuord_Transfers_Storages[[#This Row],[kval_active]],dict_zuord_Transfers_Storages[[#This Row],[ID_Storages]],"")</f>
        <v>98</v>
      </c>
    </row>
    <row r="876" spans="1:4" x14ac:dyDescent="0.45">
      <c r="A876">
        <v>97</v>
      </c>
      <c r="B876">
        <f t="shared" ca="1" si="13"/>
        <v>74</v>
      </c>
      <c r="C8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6">
        <f ca="1">IF(dict_zuord_Transfers_Storages[[#This Row],[kval_active]],dict_zuord_Transfers_Storages[[#This Row],[ID_Storages]],"")</f>
        <v>74</v>
      </c>
    </row>
    <row r="877" spans="1:4" x14ac:dyDescent="0.45">
      <c r="A877">
        <v>97</v>
      </c>
      <c r="B877">
        <f t="shared" ca="1" si="13"/>
        <v>41</v>
      </c>
      <c r="C8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7">
        <f ca="1">IF(dict_zuord_Transfers_Storages[[#This Row],[kval_active]],dict_zuord_Transfers_Storages[[#This Row],[ID_Storages]],"")</f>
        <v>41</v>
      </c>
    </row>
    <row r="878" spans="1:4" x14ac:dyDescent="0.45">
      <c r="A878">
        <v>97</v>
      </c>
      <c r="B878">
        <f t="shared" ca="1" si="13"/>
        <v>33</v>
      </c>
      <c r="C8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8">
        <f ca="1">IF(dict_zuord_Transfers_Storages[[#This Row],[kval_active]],dict_zuord_Transfers_Storages[[#This Row],[ID_Storages]],"")</f>
        <v>33</v>
      </c>
    </row>
    <row r="879" spans="1:4" x14ac:dyDescent="0.45">
      <c r="A879">
        <v>97</v>
      </c>
      <c r="B879">
        <f t="shared" ca="1" si="13"/>
        <v>51</v>
      </c>
      <c r="C8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79">
        <f ca="1">IF(dict_zuord_Transfers_Storages[[#This Row],[kval_active]],dict_zuord_Transfers_Storages[[#This Row],[ID_Storages]],"")</f>
        <v>51</v>
      </c>
    </row>
    <row r="880" spans="1:4" x14ac:dyDescent="0.45">
      <c r="A880">
        <v>97</v>
      </c>
      <c r="B880">
        <f t="shared" ca="1" si="13"/>
        <v>88</v>
      </c>
      <c r="C8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0">
        <f ca="1">IF(dict_zuord_Transfers_Storages[[#This Row],[kval_active]],dict_zuord_Transfers_Storages[[#This Row],[ID_Storages]],"")</f>
        <v>88</v>
      </c>
    </row>
    <row r="881" spans="1:4" x14ac:dyDescent="0.45">
      <c r="A881">
        <v>97</v>
      </c>
      <c r="B881">
        <f t="shared" ca="1" si="13"/>
        <v>5</v>
      </c>
      <c r="C8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1">
        <f ca="1">IF(dict_zuord_Transfers_Storages[[#This Row],[kval_active]],dict_zuord_Transfers_Storages[[#This Row],[ID_Storages]],"")</f>
        <v>5</v>
      </c>
    </row>
    <row r="882" spans="1:4" x14ac:dyDescent="0.45">
      <c r="A882">
        <v>97</v>
      </c>
      <c r="B882">
        <f t="shared" ca="1" si="13"/>
        <v>57</v>
      </c>
      <c r="C8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2">
        <f ca="1">IF(dict_zuord_Transfers_Storages[[#This Row],[kval_active]],dict_zuord_Transfers_Storages[[#This Row],[ID_Storages]],"")</f>
        <v>57</v>
      </c>
    </row>
    <row r="883" spans="1:4" x14ac:dyDescent="0.45">
      <c r="A883">
        <v>97</v>
      </c>
      <c r="B883">
        <f t="shared" ca="1" si="13"/>
        <v>79</v>
      </c>
      <c r="C8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3">
        <f ca="1">IF(dict_zuord_Transfers_Storages[[#This Row],[kval_active]],dict_zuord_Transfers_Storages[[#This Row],[ID_Storages]],"")</f>
        <v>79</v>
      </c>
    </row>
    <row r="884" spans="1:4" x14ac:dyDescent="0.45">
      <c r="A884">
        <v>98</v>
      </c>
      <c r="B884">
        <f t="shared" ca="1" si="13"/>
        <v>39</v>
      </c>
      <c r="C8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4">
        <f ca="1">IF(dict_zuord_Transfers_Storages[[#This Row],[kval_active]],dict_zuord_Transfers_Storages[[#This Row],[ID_Storages]],"")</f>
        <v>39</v>
      </c>
    </row>
    <row r="885" spans="1:4" x14ac:dyDescent="0.45">
      <c r="A885">
        <v>98</v>
      </c>
      <c r="B885">
        <f t="shared" ca="1" si="13"/>
        <v>3</v>
      </c>
      <c r="C8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5">
        <f ca="1">IF(dict_zuord_Transfers_Storages[[#This Row],[kval_active]],dict_zuord_Transfers_Storages[[#This Row],[ID_Storages]],"")</f>
        <v>3</v>
      </c>
    </row>
    <row r="886" spans="1:4" x14ac:dyDescent="0.45">
      <c r="A886">
        <v>98</v>
      </c>
      <c r="B886">
        <f t="shared" ca="1" si="13"/>
        <v>60</v>
      </c>
      <c r="C8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6">
        <f ca="1">IF(dict_zuord_Transfers_Storages[[#This Row],[kval_active]],dict_zuord_Transfers_Storages[[#This Row],[ID_Storages]],"")</f>
        <v>60</v>
      </c>
    </row>
    <row r="887" spans="1:4" x14ac:dyDescent="0.45">
      <c r="A887">
        <v>98</v>
      </c>
      <c r="B887">
        <f t="shared" ca="1" si="13"/>
        <v>13</v>
      </c>
      <c r="C8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7">
        <f ca="1">IF(dict_zuord_Transfers_Storages[[#This Row],[kval_active]],dict_zuord_Transfers_Storages[[#This Row],[ID_Storages]],"")</f>
        <v>13</v>
      </c>
    </row>
    <row r="888" spans="1:4" x14ac:dyDescent="0.45">
      <c r="A888">
        <v>98</v>
      </c>
      <c r="B888">
        <f t="shared" ca="1" si="13"/>
        <v>77</v>
      </c>
      <c r="C8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8">
        <f ca="1">IF(dict_zuord_Transfers_Storages[[#This Row],[kval_active]],dict_zuord_Transfers_Storages[[#This Row],[ID_Storages]],"")</f>
        <v>77</v>
      </c>
    </row>
    <row r="889" spans="1:4" x14ac:dyDescent="0.45">
      <c r="A889">
        <v>98</v>
      </c>
      <c r="B889">
        <f t="shared" ca="1" si="13"/>
        <v>65</v>
      </c>
      <c r="C8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89">
        <f ca="1">IF(dict_zuord_Transfers_Storages[[#This Row],[kval_active]],dict_zuord_Transfers_Storages[[#This Row],[ID_Storages]],"")</f>
        <v>65</v>
      </c>
    </row>
    <row r="890" spans="1:4" x14ac:dyDescent="0.45">
      <c r="A890">
        <v>98</v>
      </c>
      <c r="B890">
        <f t="shared" ca="1" si="13"/>
        <v>3</v>
      </c>
      <c r="C8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0">
        <f ca="1">IF(dict_zuord_Transfers_Storages[[#This Row],[kval_active]],dict_zuord_Transfers_Storages[[#This Row],[ID_Storages]],"")</f>
        <v>3</v>
      </c>
    </row>
    <row r="891" spans="1:4" x14ac:dyDescent="0.45">
      <c r="A891">
        <v>98</v>
      </c>
      <c r="B891">
        <f t="shared" ca="1" si="13"/>
        <v>64</v>
      </c>
      <c r="C8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1">
        <f ca="1">IF(dict_zuord_Transfers_Storages[[#This Row],[kval_active]],dict_zuord_Transfers_Storages[[#This Row],[ID_Storages]],"")</f>
        <v>64</v>
      </c>
    </row>
    <row r="892" spans="1:4" x14ac:dyDescent="0.45">
      <c r="A892">
        <v>98</v>
      </c>
      <c r="B892">
        <f t="shared" ca="1" si="13"/>
        <v>42</v>
      </c>
      <c r="C8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892">
        <f ca="1">IF(dict_zuord_Transfers_Storages[[#This Row],[kval_active]],dict_zuord_Transfers_Storages[[#This Row],[ID_Storages]],"")</f>
        <v>42</v>
      </c>
    </row>
    <row r="893" spans="1:4" x14ac:dyDescent="0.45">
      <c r="A893">
        <v>99</v>
      </c>
      <c r="B893">
        <f t="shared" ca="1" si="13"/>
        <v>40</v>
      </c>
      <c r="C8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3" t="str">
        <f ca="1">IF(dict_zuord_Transfers_Storages[[#This Row],[kval_active]],dict_zuord_Transfers_Storages[[#This Row],[ID_Storages]],"")</f>
        <v/>
      </c>
    </row>
    <row r="894" spans="1:4" x14ac:dyDescent="0.45">
      <c r="A894">
        <v>99</v>
      </c>
      <c r="B894">
        <f t="shared" ca="1" si="13"/>
        <v>60</v>
      </c>
      <c r="C8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4" t="str">
        <f ca="1">IF(dict_zuord_Transfers_Storages[[#This Row],[kval_active]],dict_zuord_Transfers_Storages[[#This Row],[ID_Storages]],"")</f>
        <v/>
      </c>
    </row>
    <row r="895" spans="1:4" x14ac:dyDescent="0.45">
      <c r="A895">
        <v>99</v>
      </c>
      <c r="B895">
        <f t="shared" ca="1" si="13"/>
        <v>28</v>
      </c>
      <c r="C8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5" t="str">
        <f ca="1">IF(dict_zuord_Transfers_Storages[[#This Row],[kval_active]],dict_zuord_Transfers_Storages[[#This Row],[ID_Storages]],"")</f>
        <v/>
      </c>
    </row>
    <row r="896" spans="1:4" x14ac:dyDescent="0.45">
      <c r="A896">
        <v>99</v>
      </c>
      <c r="B896">
        <f t="shared" ca="1" si="13"/>
        <v>9</v>
      </c>
      <c r="C8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6" t="str">
        <f ca="1">IF(dict_zuord_Transfers_Storages[[#This Row],[kval_active]],dict_zuord_Transfers_Storages[[#This Row],[ID_Storages]],"")</f>
        <v/>
      </c>
    </row>
    <row r="897" spans="1:4" x14ac:dyDescent="0.45">
      <c r="A897">
        <v>99</v>
      </c>
      <c r="B897">
        <f t="shared" ca="1" si="13"/>
        <v>4</v>
      </c>
      <c r="C8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7" t="str">
        <f ca="1">IF(dict_zuord_Transfers_Storages[[#This Row],[kval_active]],dict_zuord_Transfers_Storages[[#This Row],[ID_Storages]],"")</f>
        <v/>
      </c>
    </row>
    <row r="898" spans="1:4" x14ac:dyDescent="0.45">
      <c r="A898">
        <v>99</v>
      </c>
      <c r="B898">
        <f t="shared" ref="B898:B961" ca="1" si="14">RANDBETWEEN(0,100)</f>
        <v>18</v>
      </c>
      <c r="C8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8" t="str">
        <f ca="1">IF(dict_zuord_Transfers_Storages[[#This Row],[kval_active]],dict_zuord_Transfers_Storages[[#This Row],[ID_Storages]],"")</f>
        <v/>
      </c>
    </row>
    <row r="899" spans="1:4" x14ac:dyDescent="0.45">
      <c r="A899">
        <v>99</v>
      </c>
      <c r="B899">
        <f t="shared" ca="1" si="14"/>
        <v>46</v>
      </c>
      <c r="C8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899" t="str">
        <f ca="1">IF(dict_zuord_Transfers_Storages[[#This Row],[kval_active]],dict_zuord_Transfers_Storages[[#This Row],[ID_Storages]],"")</f>
        <v/>
      </c>
    </row>
    <row r="900" spans="1:4" x14ac:dyDescent="0.45">
      <c r="A900">
        <v>99</v>
      </c>
      <c r="B900">
        <f t="shared" ca="1" si="14"/>
        <v>88</v>
      </c>
      <c r="C9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0" t="str">
        <f ca="1">IF(dict_zuord_Transfers_Storages[[#This Row],[kval_active]],dict_zuord_Transfers_Storages[[#This Row],[ID_Storages]],"")</f>
        <v/>
      </c>
    </row>
    <row r="901" spans="1:4" x14ac:dyDescent="0.45">
      <c r="A901">
        <v>99</v>
      </c>
      <c r="B901">
        <f t="shared" ca="1" si="14"/>
        <v>60</v>
      </c>
      <c r="C9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1" t="str">
        <f ca="1">IF(dict_zuord_Transfers_Storages[[#This Row],[kval_active]],dict_zuord_Transfers_Storages[[#This Row],[ID_Storages]],"")</f>
        <v/>
      </c>
    </row>
    <row r="902" spans="1:4" x14ac:dyDescent="0.45">
      <c r="A902">
        <v>100</v>
      </c>
      <c r="B902">
        <f t="shared" ca="1" si="14"/>
        <v>14</v>
      </c>
      <c r="C9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2" t="str">
        <f ca="1">IF(dict_zuord_Transfers_Storages[[#This Row],[kval_active]],dict_zuord_Transfers_Storages[[#This Row],[ID_Storages]],"")</f>
        <v/>
      </c>
    </row>
    <row r="903" spans="1:4" x14ac:dyDescent="0.45">
      <c r="A903">
        <v>100</v>
      </c>
      <c r="B903">
        <f t="shared" ca="1" si="14"/>
        <v>86</v>
      </c>
      <c r="C9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3" t="str">
        <f ca="1">IF(dict_zuord_Transfers_Storages[[#This Row],[kval_active]],dict_zuord_Transfers_Storages[[#This Row],[ID_Storages]],"")</f>
        <v/>
      </c>
    </row>
    <row r="904" spans="1:4" x14ac:dyDescent="0.45">
      <c r="A904">
        <v>100</v>
      </c>
      <c r="B904">
        <f t="shared" ca="1" si="14"/>
        <v>83</v>
      </c>
      <c r="C9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4" t="str">
        <f ca="1">IF(dict_zuord_Transfers_Storages[[#This Row],[kval_active]],dict_zuord_Transfers_Storages[[#This Row],[ID_Storages]],"")</f>
        <v/>
      </c>
    </row>
    <row r="905" spans="1:4" x14ac:dyDescent="0.45">
      <c r="A905">
        <v>100</v>
      </c>
      <c r="B905">
        <f t="shared" ca="1" si="14"/>
        <v>87</v>
      </c>
      <c r="C9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5" t="str">
        <f ca="1">IF(dict_zuord_Transfers_Storages[[#This Row],[kval_active]],dict_zuord_Transfers_Storages[[#This Row],[ID_Storages]],"")</f>
        <v/>
      </c>
    </row>
    <row r="906" spans="1:4" x14ac:dyDescent="0.45">
      <c r="A906">
        <v>100</v>
      </c>
      <c r="B906">
        <f t="shared" ca="1" si="14"/>
        <v>63</v>
      </c>
      <c r="C9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6" t="str">
        <f ca="1">IF(dict_zuord_Transfers_Storages[[#This Row],[kval_active]],dict_zuord_Transfers_Storages[[#This Row],[ID_Storages]],"")</f>
        <v/>
      </c>
    </row>
    <row r="907" spans="1:4" x14ac:dyDescent="0.45">
      <c r="A907">
        <v>100</v>
      </c>
      <c r="B907">
        <f t="shared" ca="1" si="14"/>
        <v>79</v>
      </c>
      <c r="C9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7" t="str">
        <f ca="1">IF(dict_zuord_Transfers_Storages[[#This Row],[kval_active]],dict_zuord_Transfers_Storages[[#This Row],[ID_Storages]],"")</f>
        <v/>
      </c>
    </row>
    <row r="908" spans="1:4" x14ac:dyDescent="0.45">
      <c r="A908">
        <v>100</v>
      </c>
      <c r="B908">
        <f t="shared" ca="1" si="14"/>
        <v>2</v>
      </c>
      <c r="C9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8" t="str">
        <f ca="1">IF(dict_zuord_Transfers_Storages[[#This Row],[kval_active]],dict_zuord_Transfers_Storages[[#This Row],[ID_Storages]],"")</f>
        <v/>
      </c>
    </row>
    <row r="909" spans="1:4" x14ac:dyDescent="0.45">
      <c r="A909">
        <v>100</v>
      </c>
      <c r="B909">
        <f t="shared" ca="1" si="14"/>
        <v>7</v>
      </c>
      <c r="C9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09" t="str">
        <f ca="1">IF(dict_zuord_Transfers_Storages[[#This Row],[kval_active]],dict_zuord_Transfers_Storages[[#This Row],[ID_Storages]],"")</f>
        <v/>
      </c>
    </row>
    <row r="910" spans="1:4" x14ac:dyDescent="0.45">
      <c r="A910">
        <v>100</v>
      </c>
      <c r="B910">
        <f t="shared" ca="1" si="14"/>
        <v>81</v>
      </c>
      <c r="C9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0" t="str">
        <f ca="1">IF(dict_zuord_Transfers_Storages[[#This Row],[kval_active]],dict_zuord_Transfers_Storages[[#This Row],[ID_Storages]],"")</f>
        <v/>
      </c>
    </row>
    <row r="911" spans="1:4" x14ac:dyDescent="0.45">
      <c r="A911">
        <v>101</v>
      </c>
      <c r="B911">
        <f t="shared" ca="1" si="14"/>
        <v>59</v>
      </c>
      <c r="C9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1" t="str">
        <f ca="1">IF(dict_zuord_Transfers_Storages[[#This Row],[kval_active]],dict_zuord_Transfers_Storages[[#This Row],[ID_Storages]],"")</f>
        <v/>
      </c>
    </row>
    <row r="912" spans="1:4" x14ac:dyDescent="0.45">
      <c r="A912">
        <v>101</v>
      </c>
      <c r="B912">
        <f t="shared" ca="1" si="14"/>
        <v>70</v>
      </c>
      <c r="C9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2" t="str">
        <f ca="1">IF(dict_zuord_Transfers_Storages[[#This Row],[kval_active]],dict_zuord_Transfers_Storages[[#This Row],[ID_Storages]],"")</f>
        <v/>
      </c>
    </row>
    <row r="913" spans="1:4" x14ac:dyDescent="0.45">
      <c r="A913">
        <v>101</v>
      </c>
      <c r="B913">
        <f t="shared" ca="1" si="14"/>
        <v>58</v>
      </c>
      <c r="C9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3" t="str">
        <f ca="1">IF(dict_zuord_Transfers_Storages[[#This Row],[kval_active]],dict_zuord_Transfers_Storages[[#This Row],[ID_Storages]],"")</f>
        <v/>
      </c>
    </row>
    <row r="914" spans="1:4" x14ac:dyDescent="0.45">
      <c r="A914">
        <v>101</v>
      </c>
      <c r="B914">
        <f t="shared" ca="1" si="14"/>
        <v>19</v>
      </c>
      <c r="C9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4" t="str">
        <f ca="1">IF(dict_zuord_Transfers_Storages[[#This Row],[kval_active]],dict_zuord_Transfers_Storages[[#This Row],[ID_Storages]],"")</f>
        <v/>
      </c>
    </row>
    <row r="915" spans="1:4" x14ac:dyDescent="0.45">
      <c r="A915">
        <v>101</v>
      </c>
      <c r="B915">
        <f t="shared" ca="1" si="14"/>
        <v>48</v>
      </c>
      <c r="C9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5" t="str">
        <f ca="1">IF(dict_zuord_Transfers_Storages[[#This Row],[kval_active]],dict_zuord_Transfers_Storages[[#This Row],[ID_Storages]],"")</f>
        <v/>
      </c>
    </row>
    <row r="916" spans="1:4" x14ac:dyDescent="0.45">
      <c r="A916">
        <v>101</v>
      </c>
      <c r="B916">
        <f t="shared" ca="1" si="14"/>
        <v>22</v>
      </c>
      <c r="C9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6" t="str">
        <f ca="1">IF(dict_zuord_Transfers_Storages[[#This Row],[kval_active]],dict_zuord_Transfers_Storages[[#This Row],[ID_Storages]],"")</f>
        <v/>
      </c>
    </row>
    <row r="917" spans="1:4" x14ac:dyDescent="0.45">
      <c r="A917">
        <v>101</v>
      </c>
      <c r="B917">
        <f t="shared" ca="1" si="14"/>
        <v>53</v>
      </c>
      <c r="C9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7" t="str">
        <f ca="1">IF(dict_zuord_Transfers_Storages[[#This Row],[kval_active]],dict_zuord_Transfers_Storages[[#This Row],[ID_Storages]],"")</f>
        <v/>
      </c>
    </row>
    <row r="918" spans="1:4" x14ac:dyDescent="0.45">
      <c r="A918">
        <v>101</v>
      </c>
      <c r="B918">
        <f t="shared" ca="1" si="14"/>
        <v>63</v>
      </c>
      <c r="C9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8" t="str">
        <f ca="1">IF(dict_zuord_Transfers_Storages[[#This Row],[kval_active]],dict_zuord_Transfers_Storages[[#This Row],[ID_Storages]],"")</f>
        <v/>
      </c>
    </row>
    <row r="919" spans="1:4" x14ac:dyDescent="0.45">
      <c r="A919">
        <v>101</v>
      </c>
      <c r="B919">
        <f t="shared" ca="1" si="14"/>
        <v>67</v>
      </c>
      <c r="C9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19" t="str">
        <f ca="1">IF(dict_zuord_Transfers_Storages[[#This Row],[kval_active]],dict_zuord_Transfers_Storages[[#This Row],[ID_Storages]],"")</f>
        <v/>
      </c>
    </row>
    <row r="920" spans="1:4" x14ac:dyDescent="0.45">
      <c r="A920">
        <v>102</v>
      </c>
      <c r="B920">
        <f t="shared" ca="1" si="14"/>
        <v>90</v>
      </c>
      <c r="C9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0">
        <f ca="1">IF(dict_zuord_Transfers_Storages[[#This Row],[kval_active]],dict_zuord_Transfers_Storages[[#This Row],[ID_Storages]],"")</f>
        <v>90</v>
      </c>
    </row>
    <row r="921" spans="1:4" x14ac:dyDescent="0.45">
      <c r="A921">
        <v>102</v>
      </c>
      <c r="B921">
        <f t="shared" ca="1" si="14"/>
        <v>29</v>
      </c>
      <c r="C9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1">
        <f ca="1">IF(dict_zuord_Transfers_Storages[[#This Row],[kval_active]],dict_zuord_Transfers_Storages[[#This Row],[ID_Storages]],"")</f>
        <v>29</v>
      </c>
    </row>
    <row r="922" spans="1:4" x14ac:dyDescent="0.45">
      <c r="A922">
        <v>102</v>
      </c>
      <c r="B922">
        <f t="shared" ca="1" si="14"/>
        <v>68</v>
      </c>
      <c r="C9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2">
        <f ca="1">IF(dict_zuord_Transfers_Storages[[#This Row],[kval_active]],dict_zuord_Transfers_Storages[[#This Row],[ID_Storages]],"")</f>
        <v>68</v>
      </c>
    </row>
    <row r="923" spans="1:4" x14ac:dyDescent="0.45">
      <c r="A923">
        <v>102</v>
      </c>
      <c r="B923">
        <f t="shared" ca="1" si="14"/>
        <v>63</v>
      </c>
      <c r="C9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3">
        <f ca="1">IF(dict_zuord_Transfers_Storages[[#This Row],[kval_active]],dict_zuord_Transfers_Storages[[#This Row],[ID_Storages]],"")</f>
        <v>63</v>
      </c>
    </row>
    <row r="924" spans="1:4" x14ac:dyDescent="0.45">
      <c r="A924">
        <v>102</v>
      </c>
      <c r="B924">
        <f t="shared" ca="1" si="14"/>
        <v>75</v>
      </c>
      <c r="C9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4">
        <f ca="1">IF(dict_zuord_Transfers_Storages[[#This Row],[kval_active]],dict_zuord_Transfers_Storages[[#This Row],[ID_Storages]],"")</f>
        <v>75</v>
      </c>
    </row>
    <row r="925" spans="1:4" x14ac:dyDescent="0.45">
      <c r="A925">
        <v>102</v>
      </c>
      <c r="B925">
        <f t="shared" ca="1" si="14"/>
        <v>16</v>
      </c>
      <c r="C9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5">
        <f ca="1">IF(dict_zuord_Transfers_Storages[[#This Row],[kval_active]],dict_zuord_Transfers_Storages[[#This Row],[ID_Storages]],"")</f>
        <v>16</v>
      </c>
    </row>
    <row r="926" spans="1:4" x14ac:dyDescent="0.45">
      <c r="A926">
        <v>102</v>
      </c>
      <c r="B926">
        <f t="shared" ca="1" si="14"/>
        <v>98</v>
      </c>
      <c r="C9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6">
        <f ca="1">IF(dict_zuord_Transfers_Storages[[#This Row],[kval_active]],dict_zuord_Transfers_Storages[[#This Row],[ID_Storages]],"")</f>
        <v>98</v>
      </c>
    </row>
    <row r="927" spans="1:4" x14ac:dyDescent="0.45">
      <c r="A927">
        <v>102</v>
      </c>
      <c r="B927">
        <f t="shared" ca="1" si="14"/>
        <v>75</v>
      </c>
      <c r="C9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7">
        <f ca="1">IF(dict_zuord_Transfers_Storages[[#This Row],[kval_active]],dict_zuord_Transfers_Storages[[#This Row],[ID_Storages]],"")</f>
        <v>75</v>
      </c>
    </row>
    <row r="928" spans="1:4" x14ac:dyDescent="0.45">
      <c r="A928">
        <v>102</v>
      </c>
      <c r="B928">
        <f t="shared" ca="1" si="14"/>
        <v>19</v>
      </c>
      <c r="C9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28">
        <f ca="1">IF(dict_zuord_Transfers_Storages[[#This Row],[kval_active]],dict_zuord_Transfers_Storages[[#This Row],[ID_Storages]],"")</f>
        <v>19</v>
      </c>
    </row>
    <row r="929" spans="1:4" x14ac:dyDescent="0.45">
      <c r="A929">
        <v>103</v>
      </c>
      <c r="B929">
        <f t="shared" ca="1" si="14"/>
        <v>3</v>
      </c>
      <c r="C9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29" t="str">
        <f ca="1">IF(dict_zuord_Transfers_Storages[[#This Row],[kval_active]],dict_zuord_Transfers_Storages[[#This Row],[ID_Storages]],"")</f>
        <v/>
      </c>
    </row>
    <row r="930" spans="1:4" x14ac:dyDescent="0.45">
      <c r="A930">
        <v>103</v>
      </c>
      <c r="B930">
        <f t="shared" ca="1" si="14"/>
        <v>36</v>
      </c>
      <c r="C9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0" t="str">
        <f ca="1">IF(dict_zuord_Transfers_Storages[[#This Row],[kval_active]],dict_zuord_Transfers_Storages[[#This Row],[ID_Storages]],"")</f>
        <v/>
      </c>
    </row>
    <row r="931" spans="1:4" x14ac:dyDescent="0.45">
      <c r="A931">
        <v>103</v>
      </c>
      <c r="B931">
        <f t="shared" ca="1" si="14"/>
        <v>9</v>
      </c>
      <c r="C9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1" t="str">
        <f ca="1">IF(dict_zuord_Transfers_Storages[[#This Row],[kval_active]],dict_zuord_Transfers_Storages[[#This Row],[ID_Storages]],"")</f>
        <v/>
      </c>
    </row>
    <row r="932" spans="1:4" x14ac:dyDescent="0.45">
      <c r="A932">
        <v>103</v>
      </c>
      <c r="B932">
        <f t="shared" ca="1" si="14"/>
        <v>30</v>
      </c>
      <c r="C9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2" t="str">
        <f ca="1">IF(dict_zuord_Transfers_Storages[[#This Row],[kval_active]],dict_zuord_Transfers_Storages[[#This Row],[ID_Storages]],"")</f>
        <v/>
      </c>
    </row>
    <row r="933" spans="1:4" x14ac:dyDescent="0.45">
      <c r="A933">
        <v>103</v>
      </c>
      <c r="B933">
        <f t="shared" ca="1" si="14"/>
        <v>51</v>
      </c>
      <c r="C9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3" t="str">
        <f ca="1">IF(dict_zuord_Transfers_Storages[[#This Row],[kval_active]],dict_zuord_Transfers_Storages[[#This Row],[ID_Storages]],"")</f>
        <v/>
      </c>
    </row>
    <row r="934" spans="1:4" x14ac:dyDescent="0.45">
      <c r="A934">
        <v>103</v>
      </c>
      <c r="B934">
        <f t="shared" ca="1" si="14"/>
        <v>75</v>
      </c>
      <c r="C9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4" t="str">
        <f ca="1">IF(dict_zuord_Transfers_Storages[[#This Row],[kval_active]],dict_zuord_Transfers_Storages[[#This Row],[ID_Storages]],"")</f>
        <v/>
      </c>
    </row>
    <row r="935" spans="1:4" x14ac:dyDescent="0.45">
      <c r="A935">
        <v>103</v>
      </c>
      <c r="B935">
        <f t="shared" ca="1" si="14"/>
        <v>53</v>
      </c>
      <c r="C9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5" t="str">
        <f ca="1">IF(dict_zuord_Transfers_Storages[[#This Row],[kval_active]],dict_zuord_Transfers_Storages[[#This Row],[ID_Storages]],"")</f>
        <v/>
      </c>
    </row>
    <row r="936" spans="1:4" x14ac:dyDescent="0.45">
      <c r="A936">
        <v>103</v>
      </c>
      <c r="B936">
        <f t="shared" ca="1" si="14"/>
        <v>49</v>
      </c>
      <c r="C9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6" t="str">
        <f ca="1">IF(dict_zuord_Transfers_Storages[[#This Row],[kval_active]],dict_zuord_Transfers_Storages[[#This Row],[ID_Storages]],"")</f>
        <v/>
      </c>
    </row>
    <row r="937" spans="1:4" x14ac:dyDescent="0.45">
      <c r="A937">
        <v>103</v>
      </c>
      <c r="B937">
        <f t="shared" ca="1" si="14"/>
        <v>95</v>
      </c>
      <c r="C9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7" t="str">
        <f ca="1">IF(dict_zuord_Transfers_Storages[[#This Row],[kval_active]],dict_zuord_Transfers_Storages[[#This Row],[ID_Storages]],"")</f>
        <v/>
      </c>
    </row>
    <row r="938" spans="1:4" x14ac:dyDescent="0.45">
      <c r="A938">
        <v>104</v>
      </c>
      <c r="B938">
        <f t="shared" ca="1" si="14"/>
        <v>68</v>
      </c>
      <c r="C9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8" t="str">
        <f ca="1">IF(dict_zuord_Transfers_Storages[[#This Row],[kval_active]],dict_zuord_Transfers_Storages[[#This Row],[ID_Storages]],"")</f>
        <v/>
      </c>
    </row>
    <row r="939" spans="1:4" x14ac:dyDescent="0.45">
      <c r="A939">
        <v>104</v>
      </c>
      <c r="B939">
        <f t="shared" ca="1" si="14"/>
        <v>18</v>
      </c>
      <c r="C9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39" t="str">
        <f ca="1">IF(dict_zuord_Transfers_Storages[[#This Row],[kval_active]],dict_zuord_Transfers_Storages[[#This Row],[ID_Storages]],"")</f>
        <v/>
      </c>
    </row>
    <row r="940" spans="1:4" x14ac:dyDescent="0.45">
      <c r="A940">
        <v>104</v>
      </c>
      <c r="B940">
        <f t="shared" ca="1" si="14"/>
        <v>80</v>
      </c>
      <c r="C9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0" t="str">
        <f ca="1">IF(dict_zuord_Transfers_Storages[[#This Row],[kval_active]],dict_zuord_Transfers_Storages[[#This Row],[ID_Storages]],"")</f>
        <v/>
      </c>
    </row>
    <row r="941" spans="1:4" x14ac:dyDescent="0.45">
      <c r="A941">
        <v>104</v>
      </c>
      <c r="B941">
        <f t="shared" ca="1" si="14"/>
        <v>31</v>
      </c>
      <c r="C9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1" t="str">
        <f ca="1">IF(dict_zuord_Transfers_Storages[[#This Row],[kval_active]],dict_zuord_Transfers_Storages[[#This Row],[ID_Storages]],"")</f>
        <v/>
      </c>
    </row>
    <row r="942" spans="1:4" x14ac:dyDescent="0.45">
      <c r="A942">
        <v>104</v>
      </c>
      <c r="B942">
        <f t="shared" ca="1" si="14"/>
        <v>2</v>
      </c>
      <c r="C9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2" t="str">
        <f ca="1">IF(dict_zuord_Transfers_Storages[[#This Row],[kval_active]],dict_zuord_Transfers_Storages[[#This Row],[ID_Storages]],"")</f>
        <v/>
      </c>
    </row>
    <row r="943" spans="1:4" x14ac:dyDescent="0.45">
      <c r="A943">
        <v>104</v>
      </c>
      <c r="B943">
        <f t="shared" ca="1" si="14"/>
        <v>23</v>
      </c>
      <c r="C9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3" t="str">
        <f ca="1">IF(dict_zuord_Transfers_Storages[[#This Row],[kval_active]],dict_zuord_Transfers_Storages[[#This Row],[ID_Storages]],"")</f>
        <v/>
      </c>
    </row>
    <row r="944" spans="1:4" x14ac:dyDescent="0.45">
      <c r="A944">
        <v>104</v>
      </c>
      <c r="B944">
        <f t="shared" ca="1" si="14"/>
        <v>14</v>
      </c>
      <c r="C9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4" t="str">
        <f ca="1">IF(dict_zuord_Transfers_Storages[[#This Row],[kval_active]],dict_zuord_Transfers_Storages[[#This Row],[ID_Storages]],"")</f>
        <v/>
      </c>
    </row>
    <row r="945" spans="1:4" x14ac:dyDescent="0.45">
      <c r="A945">
        <v>104</v>
      </c>
      <c r="B945">
        <f t="shared" ca="1" si="14"/>
        <v>59</v>
      </c>
      <c r="C9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5" t="str">
        <f ca="1">IF(dict_zuord_Transfers_Storages[[#This Row],[kval_active]],dict_zuord_Transfers_Storages[[#This Row],[ID_Storages]],"")</f>
        <v/>
      </c>
    </row>
    <row r="946" spans="1:4" x14ac:dyDescent="0.45">
      <c r="A946">
        <v>104</v>
      </c>
      <c r="B946">
        <f t="shared" ca="1" si="14"/>
        <v>44</v>
      </c>
      <c r="C9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6" t="str">
        <f ca="1">IF(dict_zuord_Transfers_Storages[[#This Row],[kval_active]],dict_zuord_Transfers_Storages[[#This Row],[ID_Storages]],"")</f>
        <v/>
      </c>
    </row>
    <row r="947" spans="1:4" x14ac:dyDescent="0.45">
      <c r="A947">
        <v>105</v>
      </c>
      <c r="B947">
        <f t="shared" ca="1" si="14"/>
        <v>6</v>
      </c>
      <c r="C9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7" t="str">
        <f ca="1">IF(dict_zuord_Transfers_Storages[[#This Row],[kval_active]],dict_zuord_Transfers_Storages[[#This Row],[ID_Storages]],"")</f>
        <v/>
      </c>
    </row>
    <row r="948" spans="1:4" x14ac:dyDescent="0.45">
      <c r="A948">
        <v>105</v>
      </c>
      <c r="B948">
        <f t="shared" ca="1" si="14"/>
        <v>13</v>
      </c>
      <c r="C9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8" t="str">
        <f ca="1">IF(dict_zuord_Transfers_Storages[[#This Row],[kval_active]],dict_zuord_Transfers_Storages[[#This Row],[ID_Storages]],"")</f>
        <v/>
      </c>
    </row>
    <row r="949" spans="1:4" x14ac:dyDescent="0.45">
      <c r="A949">
        <v>105</v>
      </c>
      <c r="B949">
        <f t="shared" ca="1" si="14"/>
        <v>69</v>
      </c>
      <c r="C9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49" t="str">
        <f ca="1">IF(dict_zuord_Transfers_Storages[[#This Row],[kval_active]],dict_zuord_Transfers_Storages[[#This Row],[ID_Storages]],"")</f>
        <v/>
      </c>
    </row>
    <row r="950" spans="1:4" x14ac:dyDescent="0.45">
      <c r="A950">
        <v>105</v>
      </c>
      <c r="B950">
        <f t="shared" ca="1" si="14"/>
        <v>83</v>
      </c>
      <c r="C9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0" t="str">
        <f ca="1">IF(dict_zuord_Transfers_Storages[[#This Row],[kval_active]],dict_zuord_Transfers_Storages[[#This Row],[ID_Storages]],"")</f>
        <v/>
      </c>
    </row>
    <row r="951" spans="1:4" x14ac:dyDescent="0.45">
      <c r="A951">
        <v>105</v>
      </c>
      <c r="B951">
        <f t="shared" ca="1" si="14"/>
        <v>19</v>
      </c>
      <c r="C9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1" t="str">
        <f ca="1">IF(dict_zuord_Transfers_Storages[[#This Row],[kval_active]],dict_zuord_Transfers_Storages[[#This Row],[ID_Storages]],"")</f>
        <v/>
      </c>
    </row>
    <row r="952" spans="1:4" x14ac:dyDescent="0.45">
      <c r="A952">
        <v>105</v>
      </c>
      <c r="B952">
        <f t="shared" ca="1" si="14"/>
        <v>26</v>
      </c>
      <c r="C9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2" t="str">
        <f ca="1">IF(dict_zuord_Transfers_Storages[[#This Row],[kval_active]],dict_zuord_Transfers_Storages[[#This Row],[ID_Storages]],"")</f>
        <v/>
      </c>
    </row>
    <row r="953" spans="1:4" x14ac:dyDescent="0.45">
      <c r="A953">
        <v>105</v>
      </c>
      <c r="B953">
        <f t="shared" ca="1" si="14"/>
        <v>71</v>
      </c>
      <c r="C9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3" t="str">
        <f ca="1">IF(dict_zuord_Transfers_Storages[[#This Row],[kval_active]],dict_zuord_Transfers_Storages[[#This Row],[ID_Storages]],"")</f>
        <v/>
      </c>
    </row>
    <row r="954" spans="1:4" x14ac:dyDescent="0.45">
      <c r="A954">
        <v>105</v>
      </c>
      <c r="B954">
        <f t="shared" ca="1" si="14"/>
        <v>57</v>
      </c>
      <c r="C9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4" t="str">
        <f ca="1">IF(dict_zuord_Transfers_Storages[[#This Row],[kval_active]],dict_zuord_Transfers_Storages[[#This Row],[ID_Storages]],"")</f>
        <v/>
      </c>
    </row>
    <row r="955" spans="1:4" x14ac:dyDescent="0.45">
      <c r="A955">
        <v>105</v>
      </c>
      <c r="B955">
        <f t="shared" ca="1" si="14"/>
        <v>39</v>
      </c>
      <c r="C9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55" t="str">
        <f ca="1">IF(dict_zuord_Transfers_Storages[[#This Row],[kval_active]],dict_zuord_Transfers_Storages[[#This Row],[ID_Storages]],"")</f>
        <v/>
      </c>
    </row>
    <row r="956" spans="1:4" x14ac:dyDescent="0.45">
      <c r="A956">
        <v>106</v>
      </c>
      <c r="B956">
        <f t="shared" ca="1" si="14"/>
        <v>69</v>
      </c>
      <c r="C9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6">
        <f ca="1">IF(dict_zuord_Transfers_Storages[[#This Row],[kval_active]],dict_zuord_Transfers_Storages[[#This Row],[ID_Storages]],"")</f>
        <v>69</v>
      </c>
    </row>
    <row r="957" spans="1:4" x14ac:dyDescent="0.45">
      <c r="A957">
        <v>106</v>
      </c>
      <c r="B957">
        <f t="shared" ca="1" si="14"/>
        <v>3</v>
      </c>
      <c r="C9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7">
        <f ca="1">IF(dict_zuord_Transfers_Storages[[#This Row],[kval_active]],dict_zuord_Transfers_Storages[[#This Row],[ID_Storages]],"")</f>
        <v>3</v>
      </c>
    </row>
    <row r="958" spans="1:4" x14ac:dyDescent="0.45">
      <c r="A958">
        <v>106</v>
      </c>
      <c r="B958">
        <f t="shared" ca="1" si="14"/>
        <v>76</v>
      </c>
      <c r="C9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8">
        <f ca="1">IF(dict_zuord_Transfers_Storages[[#This Row],[kval_active]],dict_zuord_Transfers_Storages[[#This Row],[ID_Storages]],"")</f>
        <v>76</v>
      </c>
    </row>
    <row r="959" spans="1:4" x14ac:dyDescent="0.45">
      <c r="A959">
        <v>106</v>
      </c>
      <c r="B959">
        <f t="shared" ca="1" si="14"/>
        <v>20</v>
      </c>
      <c r="C9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59">
        <f ca="1">IF(dict_zuord_Transfers_Storages[[#This Row],[kval_active]],dict_zuord_Transfers_Storages[[#This Row],[ID_Storages]],"")</f>
        <v>20</v>
      </c>
    </row>
    <row r="960" spans="1:4" x14ac:dyDescent="0.45">
      <c r="A960">
        <v>106</v>
      </c>
      <c r="B960">
        <f t="shared" ca="1" si="14"/>
        <v>13</v>
      </c>
      <c r="C9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0">
        <f ca="1">IF(dict_zuord_Transfers_Storages[[#This Row],[kval_active]],dict_zuord_Transfers_Storages[[#This Row],[ID_Storages]],"")</f>
        <v>13</v>
      </c>
    </row>
    <row r="961" spans="1:4" x14ac:dyDescent="0.45">
      <c r="A961">
        <v>106</v>
      </c>
      <c r="B961">
        <f t="shared" ca="1" si="14"/>
        <v>15</v>
      </c>
      <c r="C9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1">
        <f ca="1">IF(dict_zuord_Transfers_Storages[[#This Row],[kval_active]],dict_zuord_Transfers_Storages[[#This Row],[ID_Storages]],"")</f>
        <v>15</v>
      </c>
    </row>
    <row r="962" spans="1:4" x14ac:dyDescent="0.45">
      <c r="A962">
        <v>106</v>
      </c>
      <c r="B962">
        <f t="shared" ref="B962:B1025" ca="1" si="15">RANDBETWEEN(0,100)</f>
        <v>48</v>
      </c>
      <c r="C9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2">
        <f ca="1">IF(dict_zuord_Transfers_Storages[[#This Row],[kval_active]],dict_zuord_Transfers_Storages[[#This Row],[ID_Storages]],"")</f>
        <v>48</v>
      </c>
    </row>
    <row r="963" spans="1:4" x14ac:dyDescent="0.45">
      <c r="A963">
        <v>106</v>
      </c>
      <c r="B963">
        <f t="shared" ca="1" si="15"/>
        <v>100</v>
      </c>
      <c r="C9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3">
        <f ca="1">IF(dict_zuord_Transfers_Storages[[#This Row],[kval_active]],dict_zuord_Transfers_Storages[[#This Row],[ID_Storages]],"")</f>
        <v>100</v>
      </c>
    </row>
    <row r="964" spans="1:4" x14ac:dyDescent="0.45">
      <c r="A964">
        <v>106</v>
      </c>
      <c r="B964">
        <f t="shared" ca="1" si="15"/>
        <v>79</v>
      </c>
      <c r="C9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64">
        <f ca="1">IF(dict_zuord_Transfers_Storages[[#This Row],[kval_active]],dict_zuord_Transfers_Storages[[#This Row],[ID_Storages]],"")</f>
        <v>79</v>
      </c>
    </row>
    <row r="965" spans="1:4" x14ac:dyDescent="0.45">
      <c r="A965">
        <v>107</v>
      </c>
      <c r="B965">
        <f t="shared" ca="1" si="15"/>
        <v>86</v>
      </c>
      <c r="C9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5" t="str">
        <f ca="1">IF(dict_zuord_Transfers_Storages[[#This Row],[kval_active]],dict_zuord_Transfers_Storages[[#This Row],[ID_Storages]],"")</f>
        <v/>
      </c>
    </row>
    <row r="966" spans="1:4" x14ac:dyDescent="0.45">
      <c r="A966">
        <v>107</v>
      </c>
      <c r="B966">
        <f t="shared" ca="1" si="15"/>
        <v>82</v>
      </c>
      <c r="C9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6" t="str">
        <f ca="1">IF(dict_zuord_Transfers_Storages[[#This Row],[kval_active]],dict_zuord_Transfers_Storages[[#This Row],[ID_Storages]],"")</f>
        <v/>
      </c>
    </row>
    <row r="967" spans="1:4" x14ac:dyDescent="0.45">
      <c r="A967">
        <v>107</v>
      </c>
      <c r="B967">
        <f t="shared" ca="1" si="15"/>
        <v>25</v>
      </c>
      <c r="C9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7" t="str">
        <f ca="1">IF(dict_zuord_Transfers_Storages[[#This Row],[kval_active]],dict_zuord_Transfers_Storages[[#This Row],[ID_Storages]],"")</f>
        <v/>
      </c>
    </row>
    <row r="968" spans="1:4" x14ac:dyDescent="0.45">
      <c r="A968">
        <v>107</v>
      </c>
      <c r="B968">
        <f t="shared" ca="1" si="15"/>
        <v>37</v>
      </c>
      <c r="C9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8" t="str">
        <f ca="1">IF(dict_zuord_Transfers_Storages[[#This Row],[kval_active]],dict_zuord_Transfers_Storages[[#This Row],[ID_Storages]],"")</f>
        <v/>
      </c>
    </row>
    <row r="969" spans="1:4" x14ac:dyDescent="0.45">
      <c r="A969">
        <v>107</v>
      </c>
      <c r="B969">
        <f t="shared" ca="1" si="15"/>
        <v>32</v>
      </c>
      <c r="C9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69" t="str">
        <f ca="1">IF(dict_zuord_Transfers_Storages[[#This Row],[kval_active]],dict_zuord_Transfers_Storages[[#This Row],[ID_Storages]],"")</f>
        <v/>
      </c>
    </row>
    <row r="970" spans="1:4" x14ac:dyDescent="0.45">
      <c r="A970">
        <v>107</v>
      </c>
      <c r="B970">
        <f t="shared" ca="1" si="15"/>
        <v>51</v>
      </c>
      <c r="C9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0" t="str">
        <f ca="1">IF(dict_zuord_Transfers_Storages[[#This Row],[kval_active]],dict_zuord_Transfers_Storages[[#This Row],[ID_Storages]],"")</f>
        <v/>
      </c>
    </row>
    <row r="971" spans="1:4" x14ac:dyDescent="0.45">
      <c r="A971">
        <v>107</v>
      </c>
      <c r="B971">
        <f t="shared" ca="1" si="15"/>
        <v>12</v>
      </c>
      <c r="C9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1" t="str">
        <f ca="1">IF(dict_zuord_Transfers_Storages[[#This Row],[kval_active]],dict_zuord_Transfers_Storages[[#This Row],[ID_Storages]],"")</f>
        <v/>
      </c>
    </row>
    <row r="972" spans="1:4" x14ac:dyDescent="0.45">
      <c r="A972">
        <v>107</v>
      </c>
      <c r="B972">
        <f t="shared" ca="1" si="15"/>
        <v>99</v>
      </c>
      <c r="C9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2" t="str">
        <f ca="1">IF(dict_zuord_Transfers_Storages[[#This Row],[kval_active]],dict_zuord_Transfers_Storages[[#This Row],[ID_Storages]],"")</f>
        <v/>
      </c>
    </row>
    <row r="973" spans="1:4" x14ac:dyDescent="0.45">
      <c r="A973">
        <v>107</v>
      </c>
      <c r="B973">
        <f t="shared" ca="1" si="15"/>
        <v>37</v>
      </c>
      <c r="C9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73" t="str">
        <f ca="1">IF(dict_zuord_Transfers_Storages[[#This Row],[kval_active]],dict_zuord_Transfers_Storages[[#This Row],[ID_Storages]],"")</f>
        <v/>
      </c>
    </row>
    <row r="974" spans="1:4" x14ac:dyDescent="0.45">
      <c r="A974">
        <v>108</v>
      </c>
      <c r="B974">
        <f t="shared" ca="1" si="15"/>
        <v>62</v>
      </c>
      <c r="C9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4">
        <f ca="1">IF(dict_zuord_Transfers_Storages[[#This Row],[kval_active]],dict_zuord_Transfers_Storages[[#This Row],[ID_Storages]],"")</f>
        <v>62</v>
      </c>
    </row>
    <row r="975" spans="1:4" x14ac:dyDescent="0.45">
      <c r="A975">
        <v>108</v>
      </c>
      <c r="B975">
        <f t="shared" ca="1" si="15"/>
        <v>53</v>
      </c>
      <c r="C9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5">
        <f ca="1">IF(dict_zuord_Transfers_Storages[[#This Row],[kval_active]],dict_zuord_Transfers_Storages[[#This Row],[ID_Storages]],"")</f>
        <v>53</v>
      </c>
    </row>
    <row r="976" spans="1:4" x14ac:dyDescent="0.45">
      <c r="A976">
        <v>108</v>
      </c>
      <c r="B976">
        <f t="shared" ca="1" si="15"/>
        <v>73</v>
      </c>
      <c r="C9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6">
        <f ca="1">IF(dict_zuord_Transfers_Storages[[#This Row],[kval_active]],dict_zuord_Transfers_Storages[[#This Row],[ID_Storages]],"")</f>
        <v>73</v>
      </c>
    </row>
    <row r="977" spans="1:4" x14ac:dyDescent="0.45">
      <c r="A977">
        <v>108</v>
      </c>
      <c r="B977">
        <f t="shared" ca="1" si="15"/>
        <v>52</v>
      </c>
      <c r="C9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7">
        <f ca="1">IF(dict_zuord_Transfers_Storages[[#This Row],[kval_active]],dict_zuord_Transfers_Storages[[#This Row],[ID_Storages]],"")</f>
        <v>52</v>
      </c>
    </row>
    <row r="978" spans="1:4" x14ac:dyDescent="0.45">
      <c r="A978">
        <v>108</v>
      </c>
      <c r="B978">
        <f t="shared" ca="1" si="15"/>
        <v>83</v>
      </c>
      <c r="C9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8">
        <f ca="1">IF(dict_zuord_Transfers_Storages[[#This Row],[kval_active]],dict_zuord_Transfers_Storages[[#This Row],[ID_Storages]],"")</f>
        <v>83</v>
      </c>
    </row>
    <row r="979" spans="1:4" x14ac:dyDescent="0.45">
      <c r="A979">
        <v>108</v>
      </c>
      <c r="B979">
        <f t="shared" ca="1" si="15"/>
        <v>87</v>
      </c>
      <c r="C9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79">
        <f ca="1">IF(dict_zuord_Transfers_Storages[[#This Row],[kval_active]],dict_zuord_Transfers_Storages[[#This Row],[ID_Storages]],"")</f>
        <v>87</v>
      </c>
    </row>
    <row r="980" spans="1:4" x14ac:dyDescent="0.45">
      <c r="A980">
        <v>108</v>
      </c>
      <c r="B980">
        <f t="shared" ca="1" si="15"/>
        <v>15</v>
      </c>
      <c r="C9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0">
        <f ca="1">IF(dict_zuord_Transfers_Storages[[#This Row],[kval_active]],dict_zuord_Transfers_Storages[[#This Row],[ID_Storages]],"")</f>
        <v>15</v>
      </c>
    </row>
    <row r="981" spans="1:4" x14ac:dyDescent="0.45">
      <c r="A981">
        <v>108</v>
      </c>
      <c r="B981">
        <f t="shared" ca="1" si="15"/>
        <v>16</v>
      </c>
      <c r="C9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1">
        <f ca="1">IF(dict_zuord_Transfers_Storages[[#This Row],[kval_active]],dict_zuord_Transfers_Storages[[#This Row],[ID_Storages]],"")</f>
        <v>16</v>
      </c>
    </row>
    <row r="982" spans="1:4" x14ac:dyDescent="0.45">
      <c r="A982">
        <v>108</v>
      </c>
      <c r="B982">
        <f t="shared" ca="1" si="15"/>
        <v>41</v>
      </c>
      <c r="C9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982">
        <f ca="1">IF(dict_zuord_Transfers_Storages[[#This Row],[kval_active]],dict_zuord_Transfers_Storages[[#This Row],[ID_Storages]],"")</f>
        <v>41</v>
      </c>
    </row>
    <row r="983" spans="1:4" x14ac:dyDescent="0.45">
      <c r="A983">
        <v>109</v>
      </c>
      <c r="B983">
        <f t="shared" ca="1" si="15"/>
        <v>100</v>
      </c>
      <c r="C9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3" t="str">
        <f ca="1">IF(dict_zuord_Transfers_Storages[[#This Row],[kval_active]],dict_zuord_Transfers_Storages[[#This Row],[ID_Storages]],"")</f>
        <v/>
      </c>
    </row>
    <row r="984" spans="1:4" x14ac:dyDescent="0.45">
      <c r="A984">
        <v>109</v>
      </c>
      <c r="B984">
        <f t="shared" ca="1" si="15"/>
        <v>3</v>
      </c>
      <c r="C9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4" t="str">
        <f ca="1">IF(dict_zuord_Transfers_Storages[[#This Row],[kval_active]],dict_zuord_Transfers_Storages[[#This Row],[ID_Storages]],"")</f>
        <v/>
      </c>
    </row>
    <row r="985" spans="1:4" x14ac:dyDescent="0.45">
      <c r="A985">
        <v>109</v>
      </c>
      <c r="B985">
        <f t="shared" ca="1" si="15"/>
        <v>77</v>
      </c>
      <c r="C9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5" t="str">
        <f ca="1">IF(dict_zuord_Transfers_Storages[[#This Row],[kval_active]],dict_zuord_Transfers_Storages[[#This Row],[ID_Storages]],"")</f>
        <v/>
      </c>
    </row>
    <row r="986" spans="1:4" x14ac:dyDescent="0.45">
      <c r="A986">
        <v>109</v>
      </c>
      <c r="B986">
        <f t="shared" ca="1" si="15"/>
        <v>48</v>
      </c>
      <c r="C9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6" t="str">
        <f ca="1">IF(dict_zuord_Transfers_Storages[[#This Row],[kval_active]],dict_zuord_Transfers_Storages[[#This Row],[ID_Storages]],"")</f>
        <v/>
      </c>
    </row>
    <row r="987" spans="1:4" x14ac:dyDescent="0.45">
      <c r="A987">
        <v>109</v>
      </c>
      <c r="B987">
        <f t="shared" ca="1" si="15"/>
        <v>12</v>
      </c>
      <c r="C9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7" t="str">
        <f ca="1">IF(dict_zuord_Transfers_Storages[[#This Row],[kval_active]],dict_zuord_Transfers_Storages[[#This Row],[ID_Storages]],"")</f>
        <v/>
      </c>
    </row>
    <row r="988" spans="1:4" x14ac:dyDescent="0.45">
      <c r="A988">
        <v>109</v>
      </c>
      <c r="B988">
        <f t="shared" ca="1" si="15"/>
        <v>19</v>
      </c>
      <c r="C9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8" t="str">
        <f ca="1">IF(dict_zuord_Transfers_Storages[[#This Row],[kval_active]],dict_zuord_Transfers_Storages[[#This Row],[ID_Storages]],"")</f>
        <v/>
      </c>
    </row>
    <row r="989" spans="1:4" x14ac:dyDescent="0.45">
      <c r="A989">
        <v>109</v>
      </c>
      <c r="B989">
        <f t="shared" ca="1" si="15"/>
        <v>14</v>
      </c>
      <c r="C9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89" t="str">
        <f ca="1">IF(dict_zuord_Transfers_Storages[[#This Row],[kval_active]],dict_zuord_Transfers_Storages[[#This Row],[ID_Storages]],"")</f>
        <v/>
      </c>
    </row>
    <row r="990" spans="1:4" x14ac:dyDescent="0.45">
      <c r="A990">
        <v>109</v>
      </c>
      <c r="B990">
        <f t="shared" ca="1" si="15"/>
        <v>99</v>
      </c>
      <c r="C9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0" t="str">
        <f ca="1">IF(dict_zuord_Transfers_Storages[[#This Row],[kval_active]],dict_zuord_Transfers_Storages[[#This Row],[ID_Storages]],"")</f>
        <v/>
      </c>
    </row>
    <row r="991" spans="1:4" x14ac:dyDescent="0.45">
      <c r="A991">
        <v>109</v>
      </c>
      <c r="B991">
        <f t="shared" ca="1" si="15"/>
        <v>40</v>
      </c>
      <c r="C9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1" t="str">
        <f ca="1">IF(dict_zuord_Transfers_Storages[[#This Row],[kval_active]],dict_zuord_Transfers_Storages[[#This Row],[ID_Storages]],"")</f>
        <v/>
      </c>
    </row>
    <row r="992" spans="1:4" x14ac:dyDescent="0.45">
      <c r="A992">
        <v>110</v>
      </c>
      <c r="B992">
        <f t="shared" ca="1" si="15"/>
        <v>97</v>
      </c>
      <c r="C9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2" t="str">
        <f ca="1">IF(dict_zuord_Transfers_Storages[[#This Row],[kval_active]],dict_zuord_Transfers_Storages[[#This Row],[ID_Storages]],"")</f>
        <v/>
      </c>
    </row>
    <row r="993" spans="1:4" x14ac:dyDescent="0.45">
      <c r="A993">
        <v>110</v>
      </c>
      <c r="B993">
        <f t="shared" ca="1" si="15"/>
        <v>54</v>
      </c>
      <c r="C9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3" t="str">
        <f ca="1">IF(dict_zuord_Transfers_Storages[[#This Row],[kval_active]],dict_zuord_Transfers_Storages[[#This Row],[ID_Storages]],"")</f>
        <v/>
      </c>
    </row>
    <row r="994" spans="1:4" x14ac:dyDescent="0.45">
      <c r="A994">
        <v>110</v>
      </c>
      <c r="B994">
        <f t="shared" ca="1" si="15"/>
        <v>61</v>
      </c>
      <c r="C9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4" t="str">
        <f ca="1">IF(dict_zuord_Transfers_Storages[[#This Row],[kval_active]],dict_zuord_Transfers_Storages[[#This Row],[ID_Storages]],"")</f>
        <v/>
      </c>
    </row>
    <row r="995" spans="1:4" x14ac:dyDescent="0.45">
      <c r="A995">
        <v>110</v>
      </c>
      <c r="B995">
        <f t="shared" ca="1" si="15"/>
        <v>49</v>
      </c>
      <c r="C9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5" t="str">
        <f ca="1">IF(dict_zuord_Transfers_Storages[[#This Row],[kval_active]],dict_zuord_Transfers_Storages[[#This Row],[ID_Storages]],"")</f>
        <v/>
      </c>
    </row>
    <row r="996" spans="1:4" x14ac:dyDescent="0.45">
      <c r="A996">
        <v>110</v>
      </c>
      <c r="B996">
        <f t="shared" ca="1" si="15"/>
        <v>74</v>
      </c>
      <c r="C9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6" t="str">
        <f ca="1">IF(dict_zuord_Transfers_Storages[[#This Row],[kval_active]],dict_zuord_Transfers_Storages[[#This Row],[ID_Storages]],"")</f>
        <v/>
      </c>
    </row>
    <row r="997" spans="1:4" x14ac:dyDescent="0.45">
      <c r="A997">
        <v>110</v>
      </c>
      <c r="B997">
        <f t="shared" ca="1" si="15"/>
        <v>16</v>
      </c>
      <c r="C9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7" t="str">
        <f ca="1">IF(dict_zuord_Transfers_Storages[[#This Row],[kval_active]],dict_zuord_Transfers_Storages[[#This Row],[ID_Storages]],"")</f>
        <v/>
      </c>
    </row>
    <row r="998" spans="1:4" x14ac:dyDescent="0.45">
      <c r="A998">
        <v>110</v>
      </c>
      <c r="B998">
        <f t="shared" ca="1" si="15"/>
        <v>23</v>
      </c>
      <c r="C9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8" t="str">
        <f ca="1">IF(dict_zuord_Transfers_Storages[[#This Row],[kval_active]],dict_zuord_Transfers_Storages[[#This Row],[ID_Storages]],"")</f>
        <v/>
      </c>
    </row>
    <row r="999" spans="1:4" x14ac:dyDescent="0.45">
      <c r="A999">
        <v>110</v>
      </c>
      <c r="B999">
        <f t="shared" ca="1" si="15"/>
        <v>31</v>
      </c>
      <c r="C9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999" t="str">
        <f ca="1">IF(dict_zuord_Transfers_Storages[[#This Row],[kval_active]],dict_zuord_Transfers_Storages[[#This Row],[ID_Storages]],"")</f>
        <v/>
      </c>
    </row>
    <row r="1000" spans="1:4" x14ac:dyDescent="0.45">
      <c r="A1000">
        <v>110</v>
      </c>
      <c r="B1000">
        <f t="shared" ca="1" si="15"/>
        <v>73</v>
      </c>
      <c r="C10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00" t="str">
        <f ca="1">IF(dict_zuord_Transfers_Storages[[#This Row],[kval_active]],dict_zuord_Transfers_Storages[[#This Row],[ID_Storages]],"")</f>
        <v/>
      </c>
    </row>
    <row r="1001" spans="1:4" x14ac:dyDescent="0.45">
      <c r="A1001">
        <v>111</v>
      </c>
      <c r="B1001">
        <f t="shared" ca="1" si="15"/>
        <v>73</v>
      </c>
      <c r="C10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1">
        <f ca="1">IF(dict_zuord_Transfers_Storages[[#This Row],[kval_active]],dict_zuord_Transfers_Storages[[#This Row],[ID_Storages]],"")</f>
        <v>73</v>
      </c>
    </row>
    <row r="1002" spans="1:4" x14ac:dyDescent="0.45">
      <c r="A1002">
        <v>111</v>
      </c>
      <c r="B1002">
        <f t="shared" ca="1" si="15"/>
        <v>45</v>
      </c>
      <c r="C10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2">
        <f ca="1">IF(dict_zuord_Transfers_Storages[[#This Row],[kval_active]],dict_zuord_Transfers_Storages[[#This Row],[ID_Storages]],"")</f>
        <v>45</v>
      </c>
    </row>
    <row r="1003" spans="1:4" x14ac:dyDescent="0.45">
      <c r="A1003">
        <v>111</v>
      </c>
      <c r="B1003">
        <f t="shared" ca="1" si="15"/>
        <v>72</v>
      </c>
      <c r="C10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3">
        <f ca="1">IF(dict_zuord_Transfers_Storages[[#This Row],[kval_active]],dict_zuord_Transfers_Storages[[#This Row],[ID_Storages]],"")</f>
        <v>72</v>
      </c>
    </row>
    <row r="1004" spans="1:4" x14ac:dyDescent="0.45">
      <c r="A1004">
        <v>111</v>
      </c>
      <c r="B1004">
        <f t="shared" ca="1" si="15"/>
        <v>14</v>
      </c>
      <c r="C10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4">
        <f ca="1">IF(dict_zuord_Transfers_Storages[[#This Row],[kval_active]],dict_zuord_Transfers_Storages[[#This Row],[ID_Storages]],"")</f>
        <v>14</v>
      </c>
    </row>
    <row r="1005" spans="1:4" x14ac:dyDescent="0.45">
      <c r="A1005">
        <v>111</v>
      </c>
      <c r="B1005">
        <f t="shared" ca="1" si="15"/>
        <v>55</v>
      </c>
      <c r="C10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5">
        <f ca="1">IF(dict_zuord_Transfers_Storages[[#This Row],[kval_active]],dict_zuord_Transfers_Storages[[#This Row],[ID_Storages]],"")</f>
        <v>55</v>
      </c>
    </row>
    <row r="1006" spans="1:4" x14ac:dyDescent="0.45">
      <c r="A1006">
        <v>111</v>
      </c>
      <c r="B1006">
        <f t="shared" ca="1" si="15"/>
        <v>34</v>
      </c>
      <c r="C10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6">
        <f ca="1">IF(dict_zuord_Transfers_Storages[[#This Row],[kval_active]],dict_zuord_Transfers_Storages[[#This Row],[ID_Storages]],"")</f>
        <v>34</v>
      </c>
    </row>
    <row r="1007" spans="1:4" x14ac:dyDescent="0.45">
      <c r="A1007">
        <v>111</v>
      </c>
      <c r="B1007">
        <f t="shared" ca="1" si="15"/>
        <v>38</v>
      </c>
      <c r="C10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7">
        <f ca="1">IF(dict_zuord_Transfers_Storages[[#This Row],[kval_active]],dict_zuord_Transfers_Storages[[#This Row],[ID_Storages]],"")</f>
        <v>38</v>
      </c>
    </row>
    <row r="1008" spans="1:4" x14ac:dyDescent="0.45">
      <c r="A1008">
        <v>111</v>
      </c>
      <c r="B1008">
        <f t="shared" ca="1" si="15"/>
        <v>29</v>
      </c>
      <c r="C10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8">
        <f ca="1">IF(dict_zuord_Transfers_Storages[[#This Row],[kval_active]],dict_zuord_Transfers_Storages[[#This Row],[ID_Storages]],"")</f>
        <v>29</v>
      </c>
    </row>
    <row r="1009" spans="1:4" x14ac:dyDescent="0.45">
      <c r="A1009">
        <v>111</v>
      </c>
      <c r="B1009">
        <f t="shared" ca="1" si="15"/>
        <v>86</v>
      </c>
      <c r="C10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09">
        <f ca="1">IF(dict_zuord_Transfers_Storages[[#This Row],[kval_active]],dict_zuord_Transfers_Storages[[#This Row],[ID_Storages]],"")</f>
        <v>86</v>
      </c>
    </row>
    <row r="1010" spans="1:4" x14ac:dyDescent="0.45">
      <c r="A1010">
        <v>112</v>
      </c>
      <c r="B1010">
        <f t="shared" ca="1" si="15"/>
        <v>89</v>
      </c>
      <c r="C10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0" t="str">
        <f ca="1">IF(dict_zuord_Transfers_Storages[[#This Row],[kval_active]],dict_zuord_Transfers_Storages[[#This Row],[ID_Storages]],"")</f>
        <v/>
      </c>
    </row>
    <row r="1011" spans="1:4" x14ac:dyDescent="0.45">
      <c r="A1011">
        <v>112</v>
      </c>
      <c r="B1011">
        <f t="shared" ca="1" si="15"/>
        <v>1</v>
      </c>
      <c r="C10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1" t="str">
        <f ca="1">IF(dict_zuord_Transfers_Storages[[#This Row],[kval_active]],dict_zuord_Transfers_Storages[[#This Row],[ID_Storages]],"")</f>
        <v/>
      </c>
    </row>
    <row r="1012" spans="1:4" x14ac:dyDescent="0.45">
      <c r="A1012">
        <v>112</v>
      </c>
      <c r="B1012">
        <f t="shared" ca="1" si="15"/>
        <v>20</v>
      </c>
      <c r="C10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2" t="str">
        <f ca="1">IF(dict_zuord_Transfers_Storages[[#This Row],[kval_active]],dict_zuord_Transfers_Storages[[#This Row],[ID_Storages]],"")</f>
        <v/>
      </c>
    </row>
    <row r="1013" spans="1:4" x14ac:dyDescent="0.45">
      <c r="A1013">
        <v>112</v>
      </c>
      <c r="B1013">
        <f t="shared" ca="1" si="15"/>
        <v>51</v>
      </c>
      <c r="C10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3" t="str">
        <f ca="1">IF(dict_zuord_Transfers_Storages[[#This Row],[kval_active]],dict_zuord_Transfers_Storages[[#This Row],[ID_Storages]],"")</f>
        <v/>
      </c>
    </row>
    <row r="1014" spans="1:4" x14ac:dyDescent="0.45">
      <c r="A1014">
        <v>112</v>
      </c>
      <c r="B1014">
        <f t="shared" ca="1" si="15"/>
        <v>97</v>
      </c>
      <c r="C10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4" t="str">
        <f ca="1">IF(dict_zuord_Transfers_Storages[[#This Row],[kval_active]],dict_zuord_Transfers_Storages[[#This Row],[ID_Storages]],"")</f>
        <v/>
      </c>
    </row>
    <row r="1015" spans="1:4" x14ac:dyDescent="0.45">
      <c r="A1015">
        <v>112</v>
      </c>
      <c r="B1015">
        <f t="shared" ca="1" si="15"/>
        <v>38</v>
      </c>
      <c r="C10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5" t="str">
        <f ca="1">IF(dict_zuord_Transfers_Storages[[#This Row],[kval_active]],dict_zuord_Transfers_Storages[[#This Row],[ID_Storages]],"")</f>
        <v/>
      </c>
    </row>
    <row r="1016" spans="1:4" x14ac:dyDescent="0.45">
      <c r="A1016">
        <v>112</v>
      </c>
      <c r="B1016">
        <f t="shared" ca="1" si="15"/>
        <v>13</v>
      </c>
      <c r="C10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6" t="str">
        <f ca="1">IF(dict_zuord_Transfers_Storages[[#This Row],[kval_active]],dict_zuord_Transfers_Storages[[#This Row],[ID_Storages]],"")</f>
        <v/>
      </c>
    </row>
    <row r="1017" spans="1:4" x14ac:dyDescent="0.45">
      <c r="A1017">
        <v>112</v>
      </c>
      <c r="B1017">
        <f t="shared" ca="1" si="15"/>
        <v>97</v>
      </c>
      <c r="C10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7" t="str">
        <f ca="1">IF(dict_zuord_Transfers_Storages[[#This Row],[kval_active]],dict_zuord_Transfers_Storages[[#This Row],[ID_Storages]],"")</f>
        <v/>
      </c>
    </row>
    <row r="1018" spans="1:4" x14ac:dyDescent="0.45">
      <c r="A1018">
        <v>112</v>
      </c>
      <c r="B1018">
        <f t="shared" ca="1" si="15"/>
        <v>67</v>
      </c>
      <c r="C10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18" t="str">
        <f ca="1">IF(dict_zuord_Transfers_Storages[[#This Row],[kval_active]],dict_zuord_Transfers_Storages[[#This Row],[ID_Storages]],"")</f>
        <v/>
      </c>
    </row>
    <row r="1019" spans="1:4" x14ac:dyDescent="0.45">
      <c r="A1019">
        <v>113</v>
      </c>
      <c r="B1019">
        <f t="shared" ca="1" si="15"/>
        <v>18</v>
      </c>
      <c r="C10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19">
        <f ca="1">IF(dict_zuord_Transfers_Storages[[#This Row],[kval_active]],dict_zuord_Transfers_Storages[[#This Row],[ID_Storages]],"")</f>
        <v>18</v>
      </c>
    </row>
    <row r="1020" spans="1:4" x14ac:dyDescent="0.45">
      <c r="A1020">
        <v>113</v>
      </c>
      <c r="B1020">
        <f t="shared" ca="1" si="15"/>
        <v>84</v>
      </c>
      <c r="C10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0">
        <f ca="1">IF(dict_zuord_Transfers_Storages[[#This Row],[kval_active]],dict_zuord_Transfers_Storages[[#This Row],[ID_Storages]],"")</f>
        <v>84</v>
      </c>
    </row>
    <row r="1021" spans="1:4" x14ac:dyDescent="0.45">
      <c r="A1021">
        <v>113</v>
      </c>
      <c r="B1021">
        <f t="shared" ca="1" si="15"/>
        <v>49</v>
      </c>
      <c r="C10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1">
        <f ca="1">IF(dict_zuord_Transfers_Storages[[#This Row],[kval_active]],dict_zuord_Transfers_Storages[[#This Row],[ID_Storages]],"")</f>
        <v>49</v>
      </c>
    </row>
    <row r="1022" spans="1:4" x14ac:dyDescent="0.45">
      <c r="A1022">
        <v>113</v>
      </c>
      <c r="B1022">
        <f t="shared" ca="1" si="15"/>
        <v>11</v>
      </c>
      <c r="C10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2">
        <f ca="1">IF(dict_zuord_Transfers_Storages[[#This Row],[kval_active]],dict_zuord_Transfers_Storages[[#This Row],[ID_Storages]],"")</f>
        <v>11</v>
      </c>
    </row>
    <row r="1023" spans="1:4" x14ac:dyDescent="0.45">
      <c r="A1023">
        <v>113</v>
      </c>
      <c r="B1023">
        <f t="shared" ca="1" si="15"/>
        <v>80</v>
      </c>
      <c r="C10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3">
        <f ca="1">IF(dict_zuord_Transfers_Storages[[#This Row],[kval_active]],dict_zuord_Transfers_Storages[[#This Row],[ID_Storages]],"")</f>
        <v>80</v>
      </c>
    </row>
    <row r="1024" spans="1:4" x14ac:dyDescent="0.45">
      <c r="A1024">
        <v>113</v>
      </c>
      <c r="B1024">
        <f t="shared" ca="1" si="15"/>
        <v>73</v>
      </c>
      <c r="C10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4">
        <f ca="1">IF(dict_zuord_Transfers_Storages[[#This Row],[kval_active]],dict_zuord_Transfers_Storages[[#This Row],[ID_Storages]],"")</f>
        <v>73</v>
      </c>
    </row>
    <row r="1025" spans="1:4" x14ac:dyDescent="0.45">
      <c r="A1025">
        <v>113</v>
      </c>
      <c r="B1025">
        <f t="shared" ca="1" si="15"/>
        <v>98</v>
      </c>
      <c r="C10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5">
        <f ca="1">IF(dict_zuord_Transfers_Storages[[#This Row],[kval_active]],dict_zuord_Transfers_Storages[[#This Row],[ID_Storages]],"")</f>
        <v>98</v>
      </c>
    </row>
    <row r="1026" spans="1:4" x14ac:dyDescent="0.45">
      <c r="A1026">
        <v>113</v>
      </c>
      <c r="B1026">
        <f t="shared" ref="B1026:B1089" ca="1" si="16">RANDBETWEEN(0,100)</f>
        <v>58</v>
      </c>
      <c r="C10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6">
        <f ca="1">IF(dict_zuord_Transfers_Storages[[#This Row],[kval_active]],dict_zuord_Transfers_Storages[[#This Row],[ID_Storages]],"")</f>
        <v>58</v>
      </c>
    </row>
    <row r="1027" spans="1:4" x14ac:dyDescent="0.45">
      <c r="A1027">
        <v>113</v>
      </c>
      <c r="B1027">
        <f t="shared" ca="1" si="16"/>
        <v>68</v>
      </c>
      <c r="C10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27">
        <f ca="1">IF(dict_zuord_Transfers_Storages[[#This Row],[kval_active]],dict_zuord_Transfers_Storages[[#This Row],[ID_Storages]],"")</f>
        <v>68</v>
      </c>
    </row>
    <row r="1028" spans="1:4" x14ac:dyDescent="0.45">
      <c r="A1028">
        <v>114</v>
      </c>
      <c r="B1028">
        <f t="shared" ca="1" si="16"/>
        <v>95</v>
      </c>
      <c r="C10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8" t="str">
        <f ca="1">IF(dict_zuord_Transfers_Storages[[#This Row],[kval_active]],dict_zuord_Transfers_Storages[[#This Row],[ID_Storages]],"")</f>
        <v/>
      </c>
    </row>
    <row r="1029" spans="1:4" x14ac:dyDescent="0.45">
      <c r="A1029">
        <v>114</v>
      </c>
      <c r="B1029">
        <f t="shared" ca="1" si="16"/>
        <v>100</v>
      </c>
      <c r="C10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29" t="str">
        <f ca="1">IF(dict_zuord_Transfers_Storages[[#This Row],[kval_active]],dict_zuord_Transfers_Storages[[#This Row],[ID_Storages]],"")</f>
        <v/>
      </c>
    </row>
    <row r="1030" spans="1:4" x14ac:dyDescent="0.45">
      <c r="A1030">
        <v>114</v>
      </c>
      <c r="B1030">
        <f t="shared" ca="1" si="16"/>
        <v>6</v>
      </c>
      <c r="C10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0" t="str">
        <f ca="1">IF(dict_zuord_Transfers_Storages[[#This Row],[kval_active]],dict_zuord_Transfers_Storages[[#This Row],[ID_Storages]],"")</f>
        <v/>
      </c>
    </row>
    <row r="1031" spans="1:4" x14ac:dyDescent="0.45">
      <c r="A1031">
        <v>114</v>
      </c>
      <c r="B1031">
        <f t="shared" ca="1" si="16"/>
        <v>69</v>
      </c>
      <c r="C10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1" t="str">
        <f ca="1">IF(dict_zuord_Transfers_Storages[[#This Row],[kval_active]],dict_zuord_Transfers_Storages[[#This Row],[ID_Storages]],"")</f>
        <v/>
      </c>
    </row>
    <row r="1032" spans="1:4" x14ac:dyDescent="0.45">
      <c r="A1032">
        <v>114</v>
      </c>
      <c r="B1032">
        <f t="shared" ca="1" si="16"/>
        <v>66</v>
      </c>
      <c r="C10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2" t="str">
        <f ca="1">IF(dict_zuord_Transfers_Storages[[#This Row],[kval_active]],dict_zuord_Transfers_Storages[[#This Row],[ID_Storages]],"")</f>
        <v/>
      </c>
    </row>
    <row r="1033" spans="1:4" x14ac:dyDescent="0.45">
      <c r="A1033">
        <v>114</v>
      </c>
      <c r="B1033">
        <f t="shared" ca="1" si="16"/>
        <v>15</v>
      </c>
      <c r="C10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3" t="str">
        <f ca="1">IF(dict_zuord_Transfers_Storages[[#This Row],[kval_active]],dict_zuord_Transfers_Storages[[#This Row],[ID_Storages]],"")</f>
        <v/>
      </c>
    </row>
    <row r="1034" spans="1:4" x14ac:dyDescent="0.45">
      <c r="A1034">
        <v>114</v>
      </c>
      <c r="B1034">
        <f t="shared" ca="1" si="16"/>
        <v>69</v>
      </c>
      <c r="C10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4" t="str">
        <f ca="1">IF(dict_zuord_Transfers_Storages[[#This Row],[kval_active]],dict_zuord_Transfers_Storages[[#This Row],[ID_Storages]],"")</f>
        <v/>
      </c>
    </row>
    <row r="1035" spans="1:4" x14ac:dyDescent="0.45">
      <c r="A1035">
        <v>114</v>
      </c>
      <c r="B1035">
        <f t="shared" ca="1" si="16"/>
        <v>39</v>
      </c>
      <c r="C10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5" t="str">
        <f ca="1">IF(dict_zuord_Transfers_Storages[[#This Row],[kval_active]],dict_zuord_Transfers_Storages[[#This Row],[ID_Storages]],"")</f>
        <v/>
      </c>
    </row>
    <row r="1036" spans="1:4" x14ac:dyDescent="0.45">
      <c r="A1036">
        <v>114</v>
      </c>
      <c r="B1036">
        <f t="shared" ca="1" si="16"/>
        <v>4</v>
      </c>
      <c r="C10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6" t="str">
        <f ca="1">IF(dict_zuord_Transfers_Storages[[#This Row],[kval_active]],dict_zuord_Transfers_Storages[[#This Row],[ID_Storages]],"")</f>
        <v/>
      </c>
    </row>
    <row r="1037" spans="1:4" x14ac:dyDescent="0.45">
      <c r="A1037">
        <v>115</v>
      </c>
      <c r="B1037">
        <f t="shared" ca="1" si="16"/>
        <v>82</v>
      </c>
      <c r="C10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7" t="str">
        <f ca="1">IF(dict_zuord_Transfers_Storages[[#This Row],[kval_active]],dict_zuord_Transfers_Storages[[#This Row],[ID_Storages]],"")</f>
        <v/>
      </c>
    </row>
    <row r="1038" spans="1:4" x14ac:dyDescent="0.45">
      <c r="A1038">
        <v>115</v>
      </c>
      <c r="B1038">
        <f t="shared" ca="1" si="16"/>
        <v>97</v>
      </c>
      <c r="C10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8" t="str">
        <f ca="1">IF(dict_zuord_Transfers_Storages[[#This Row],[kval_active]],dict_zuord_Transfers_Storages[[#This Row],[ID_Storages]],"")</f>
        <v/>
      </c>
    </row>
    <row r="1039" spans="1:4" x14ac:dyDescent="0.45">
      <c r="A1039">
        <v>115</v>
      </c>
      <c r="B1039">
        <f t="shared" ca="1" si="16"/>
        <v>25</v>
      </c>
      <c r="C10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39" t="str">
        <f ca="1">IF(dict_zuord_Transfers_Storages[[#This Row],[kval_active]],dict_zuord_Transfers_Storages[[#This Row],[ID_Storages]],"")</f>
        <v/>
      </c>
    </row>
    <row r="1040" spans="1:4" x14ac:dyDescent="0.45">
      <c r="A1040">
        <v>115</v>
      </c>
      <c r="B1040">
        <f t="shared" ca="1" si="16"/>
        <v>99</v>
      </c>
      <c r="C10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0" t="str">
        <f ca="1">IF(dict_zuord_Transfers_Storages[[#This Row],[kval_active]],dict_zuord_Transfers_Storages[[#This Row],[ID_Storages]],"")</f>
        <v/>
      </c>
    </row>
    <row r="1041" spans="1:4" x14ac:dyDescent="0.45">
      <c r="A1041">
        <v>115</v>
      </c>
      <c r="B1041">
        <f t="shared" ca="1" si="16"/>
        <v>13</v>
      </c>
      <c r="C10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1" t="str">
        <f ca="1">IF(dict_zuord_Transfers_Storages[[#This Row],[kval_active]],dict_zuord_Transfers_Storages[[#This Row],[ID_Storages]],"")</f>
        <v/>
      </c>
    </row>
    <row r="1042" spans="1:4" x14ac:dyDescent="0.45">
      <c r="A1042">
        <v>115</v>
      </c>
      <c r="B1042">
        <f t="shared" ca="1" si="16"/>
        <v>87</v>
      </c>
      <c r="C10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2" t="str">
        <f ca="1">IF(dict_zuord_Transfers_Storages[[#This Row],[kval_active]],dict_zuord_Transfers_Storages[[#This Row],[ID_Storages]],"")</f>
        <v/>
      </c>
    </row>
    <row r="1043" spans="1:4" x14ac:dyDescent="0.45">
      <c r="A1043">
        <v>115</v>
      </c>
      <c r="B1043">
        <f t="shared" ca="1" si="16"/>
        <v>12</v>
      </c>
      <c r="C10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3" t="str">
        <f ca="1">IF(dict_zuord_Transfers_Storages[[#This Row],[kval_active]],dict_zuord_Transfers_Storages[[#This Row],[ID_Storages]],"")</f>
        <v/>
      </c>
    </row>
    <row r="1044" spans="1:4" x14ac:dyDescent="0.45">
      <c r="A1044">
        <v>115</v>
      </c>
      <c r="B1044">
        <f t="shared" ca="1" si="16"/>
        <v>50</v>
      </c>
      <c r="C10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4" t="str">
        <f ca="1">IF(dict_zuord_Transfers_Storages[[#This Row],[kval_active]],dict_zuord_Transfers_Storages[[#This Row],[ID_Storages]],"")</f>
        <v/>
      </c>
    </row>
    <row r="1045" spans="1:4" x14ac:dyDescent="0.45">
      <c r="A1045">
        <v>115</v>
      </c>
      <c r="B1045">
        <f t="shared" ca="1" si="16"/>
        <v>75</v>
      </c>
      <c r="C10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45" t="str">
        <f ca="1">IF(dict_zuord_Transfers_Storages[[#This Row],[kval_active]],dict_zuord_Transfers_Storages[[#This Row],[ID_Storages]],"")</f>
        <v/>
      </c>
    </row>
    <row r="1046" spans="1:4" x14ac:dyDescent="0.45">
      <c r="A1046">
        <v>116</v>
      </c>
      <c r="B1046">
        <f t="shared" ca="1" si="16"/>
        <v>34</v>
      </c>
      <c r="C10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6">
        <f ca="1">IF(dict_zuord_Transfers_Storages[[#This Row],[kval_active]],dict_zuord_Transfers_Storages[[#This Row],[ID_Storages]],"")</f>
        <v>34</v>
      </c>
    </row>
    <row r="1047" spans="1:4" x14ac:dyDescent="0.45">
      <c r="A1047">
        <v>116</v>
      </c>
      <c r="B1047">
        <f t="shared" ca="1" si="16"/>
        <v>85</v>
      </c>
      <c r="C10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7">
        <f ca="1">IF(dict_zuord_Transfers_Storages[[#This Row],[kval_active]],dict_zuord_Transfers_Storages[[#This Row],[ID_Storages]],"")</f>
        <v>85</v>
      </c>
    </row>
    <row r="1048" spans="1:4" x14ac:dyDescent="0.45">
      <c r="A1048">
        <v>116</v>
      </c>
      <c r="B1048">
        <f t="shared" ca="1" si="16"/>
        <v>12</v>
      </c>
      <c r="C10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8">
        <f ca="1">IF(dict_zuord_Transfers_Storages[[#This Row],[kval_active]],dict_zuord_Transfers_Storages[[#This Row],[ID_Storages]],"")</f>
        <v>12</v>
      </c>
    </row>
    <row r="1049" spans="1:4" x14ac:dyDescent="0.45">
      <c r="A1049">
        <v>116</v>
      </c>
      <c r="B1049">
        <f t="shared" ca="1" si="16"/>
        <v>76</v>
      </c>
      <c r="C10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49">
        <f ca="1">IF(dict_zuord_Transfers_Storages[[#This Row],[kval_active]],dict_zuord_Transfers_Storages[[#This Row],[ID_Storages]],"")</f>
        <v>76</v>
      </c>
    </row>
    <row r="1050" spans="1:4" x14ac:dyDescent="0.45">
      <c r="A1050">
        <v>116</v>
      </c>
      <c r="B1050">
        <f t="shared" ca="1" si="16"/>
        <v>17</v>
      </c>
      <c r="C10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0">
        <f ca="1">IF(dict_zuord_Transfers_Storages[[#This Row],[kval_active]],dict_zuord_Transfers_Storages[[#This Row],[ID_Storages]],"")</f>
        <v>17</v>
      </c>
    </row>
    <row r="1051" spans="1:4" x14ac:dyDescent="0.45">
      <c r="A1051">
        <v>116</v>
      </c>
      <c r="B1051">
        <f t="shared" ca="1" si="16"/>
        <v>62</v>
      </c>
      <c r="C10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1">
        <f ca="1">IF(dict_zuord_Transfers_Storages[[#This Row],[kval_active]],dict_zuord_Transfers_Storages[[#This Row],[ID_Storages]],"")</f>
        <v>62</v>
      </c>
    </row>
    <row r="1052" spans="1:4" x14ac:dyDescent="0.45">
      <c r="A1052">
        <v>116</v>
      </c>
      <c r="B1052">
        <f t="shared" ca="1" si="16"/>
        <v>26</v>
      </c>
      <c r="C10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2">
        <f ca="1">IF(dict_zuord_Transfers_Storages[[#This Row],[kval_active]],dict_zuord_Transfers_Storages[[#This Row],[ID_Storages]],"")</f>
        <v>26</v>
      </c>
    </row>
    <row r="1053" spans="1:4" x14ac:dyDescent="0.45">
      <c r="A1053">
        <v>116</v>
      </c>
      <c r="B1053">
        <f t="shared" ca="1" si="16"/>
        <v>19</v>
      </c>
      <c r="C10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3">
        <f ca="1">IF(dict_zuord_Transfers_Storages[[#This Row],[kval_active]],dict_zuord_Transfers_Storages[[#This Row],[ID_Storages]],"")</f>
        <v>19</v>
      </c>
    </row>
    <row r="1054" spans="1:4" x14ac:dyDescent="0.45">
      <c r="A1054">
        <v>116</v>
      </c>
      <c r="B1054">
        <f t="shared" ca="1" si="16"/>
        <v>27</v>
      </c>
      <c r="C10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4">
        <f ca="1">IF(dict_zuord_Transfers_Storages[[#This Row],[kval_active]],dict_zuord_Transfers_Storages[[#This Row],[ID_Storages]],"")</f>
        <v>27</v>
      </c>
    </row>
    <row r="1055" spans="1:4" x14ac:dyDescent="0.45">
      <c r="A1055">
        <v>117</v>
      </c>
      <c r="B1055">
        <f t="shared" ca="1" si="16"/>
        <v>58</v>
      </c>
      <c r="C10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5">
        <f ca="1">IF(dict_zuord_Transfers_Storages[[#This Row],[kval_active]],dict_zuord_Transfers_Storages[[#This Row],[ID_Storages]],"")</f>
        <v>58</v>
      </c>
    </row>
    <row r="1056" spans="1:4" x14ac:dyDescent="0.45">
      <c r="A1056">
        <v>117</v>
      </c>
      <c r="B1056">
        <f t="shared" ca="1" si="16"/>
        <v>94</v>
      </c>
      <c r="C10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6">
        <f ca="1">IF(dict_zuord_Transfers_Storages[[#This Row],[kval_active]],dict_zuord_Transfers_Storages[[#This Row],[ID_Storages]],"")</f>
        <v>94</v>
      </c>
    </row>
    <row r="1057" spans="1:4" x14ac:dyDescent="0.45">
      <c r="A1057">
        <v>117</v>
      </c>
      <c r="B1057">
        <f t="shared" ca="1" si="16"/>
        <v>12</v>
      </c>
      <c r="C10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7">
        <f ca="1">IF(dict_zuord_Transfers_Storages[[#This Row],[kval_active]],dict_zuord_Transfers_Storages[[#This Row],[ID_Storages]],"")</f>
        <v>12</v>
      </c>
    </row>
    <row r="1058" spans="1:4" x14ac:dyDescent="0.45">
      <c r="A1058">
        <v>117</v>
      </c>
      <c r="B1058">
        <f t="shared" ca="1" si="16"/>
        <v>87</v>
      </c>
      <c r="C10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8">
        <f ca="1">IF(dict_zuord_Transfers_Storages[[#This Row],[kval_active]],dict_zuord_Transfers_Storages[[#This Row],[ID_Storages]],"")</f>
        <v>87</v>
      </c>
    </row>
    <row r="1059" spans="1:4" x14ac:dyDescent="0.45">
      <c r="A1059">
        <v>117</v>
      </c>
      <c r="B1059">
        <f t="shared" ca="1" si="16"/>
        <v>98</v>
      </c>
      <c r="C10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59">
        <f ca="1">IF(dict_zuord_Transfers_Storages[[#This Row],[kval_active]],dict_zuord_Transfers_Storages[[#This Row],[ID_Storages]],"")</f>
        <v>98</v>
      </c>
    </row>
    <row r="1060" spans="1:4" x14ac:dyDescent="0.45">
      <c r="A1060">
        <v>117</v>
      </c>
      <c r="B1060">
        <f t="shared" ca="1" si="16"/>
        <v>27</v>
      </c>
      <c r="C10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0">
        <f ca="1">IF(dict_zuord_Transfers_Storages[[#This Row],[kval_active]],dict_zuord_Transfers_Storages[[#This Row],[ID_Storages]],"")</f>
        <v>27</v>
      </c>
    </row>
    <row r="1061" spans="1:4" x14ac:dyDescent="0.45">
      <c r="A1061">
        <v>117</v>
      </c>
      <c r="B1061">
        <f t="shared" ca="1" si="16"/>
        <v>26</v>
      </c>
      <c r="C10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1">
        <f ca="1">IF(dict_zuord_Transfers_Storages[[#This Row],[kval_active]],dict_zuord_Transfers_Storages[[#This Row],[ID_Storages]],"")</f>
        <v>26</v>
      </c>
    </row>
    <row r="1062" spans="1:4" x14ac:dyDescent="0.45">
      <c r="A1062">
        <v>117</v>
      </c>
      <c r="B1062">
        <f t="shared" ca="1" si="16"/>
        <v>44</v>
      </c>
      <c r="C10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2">
        <f ca="1">IF(dict_zuord_Transfers_Storages[[#This Row],[kval_active]],dict_zuord_Transfers_Storages[[#This Row],[ID_Storages]],"")</f>
        <v>44</v>
      </c>
    </row>
    <row r="1063" spans="1:4" x14ac:dyDescent="0.45">
      <c r="A1063">
        <v>117</v>
      </c>
      <c r="B1063">
        <f t="shared" ca="1" si="16"/>
        <v>18</v>
      </c>
      <c r="C10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63">
        <f ca="1">IF(dict_zuord_Transfers_Storages[[#This Row],[kval_active]],dict_zuord_Transfers_Storages[[#This Row],[ID_Storages]],"")</f>
        <v>18</v>
      </c>
    </row>
    <row r="1064" spans="1:4" x14ac:dyDescent="0.45">
      <c r="A1064">
        <v>118</v>
      </c>
      <c r="B1064">
        <f t="shared" ca="1" si="16"/>
        <v>3</v>
      </c>
      <c r="C10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4" t="str">
        <f ca="1">IF(dict_zuord_Transfers_Storages[[#This Row],[kval_active]],dict_zuord_Transfers_Storages[[#This Row],[ID_Storages]],"")</f>
        <v/>
      </c>
    </row>
    <row r="1065" spans="1:4" x14ac:dyDescent="0.45">
      <c r="A1065">
        <v>118</v>
      </c>
      <c r="B1065">
        <f t="shared" ca="1" si="16"/>
        <v>73</v>
      </c>
      <c r="C10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5" t="str">
        <f ca="1">IF(dict_zuord_Transfers_Storages[[#This Row],[kval_active]],dict_zuord_Transfers_Storages[[#This Row],[ID_Storages]],"")</f>
        <v/>
      </c>
    </row>
    <row r="1066" spans="1:4" x14ac:dyDescent="0.45">
      <c r="A1066">
        <v>118</v>
      </c>
      <c r="B1066">
        <f t="shared" ca="1" si="16"/>
        <v>63</v>
      </c>
      <c r="C10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6" t="str">
        <f ca="1">IF(dict_zuord_Transfers_Storages[[#This Row],[kval_active]],dict_zuord_Transfers_Storages[[#This Row],[ID_Storages]],"")</f>
        <v/>
      </c>
    </row>
    <row r="1067" spans="1:4" x14ac:dyDescent="0.45">
      <c r="A1067">
        <v>118</v>
      </c>
      <c r="B1067">
        <f t="shared" ca="1" si="16"/>
        <v>95</v>
      </c>
      <c r="C10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7" t="str">
        <f ca="1">IF(dict_zuord_Transfers_Storages[[#This Row],[kval_active]],dict_zuord_Transfers_Storages[[#This Row],[ID_Storages]],"")</f>
        <v/>
      </c>
    </row>
    <row r="1068" spans="1:4" x14ac:dyDescent="0.45">
      <c r="A1068">
        <v>118</v>
      </c>
      <c r="B1068">
        <f t="shared" ca="1" si="16"/>
        <v>0</v>
      </c>
      <c r="C10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8" t="str">
        <f ca="1">IF(dict_zuord_Transfers_Storages[[#This Row],[kval_active]],dict_zuord_Transfers_Storages[[#This Row],[ID_Storages]],"")</f>
        <v/>
      </c>
    </row>
    <row r="1069" spans="1:4" x14ac:dyDescent="0.45">
      <c r="A1069">
        <v>118</v>
      </c>
      <c r="B1069">
        <f t="shared" ca="1" si="16"/>
        <v>73</v>
      </c>
      <c r="C10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69" t="str">
        <f ca="1">IF(dict_zuord_Transfers_Storages[[#This Row],[kval_active]],dict_zuord_Transfers_Storages[[#This Row],[ID_Storages]],"")</f>
        <v/>
      </c>
    </row>
    <row r="1070" spans="1:4" x14ac:dyDescent="0.45">
      <c r="A1070">
        <v>118</v>
      </c>
      <c r="B1070">
        <f t="shared" ca="1" si="16"/>
        <v>71</v>
      </c>
      <c r="C10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0" t="str">
        <f ca="1">IF(dict_zuord_Transfers_Storages[[#This Row],[kval_active]],dict_zuord_Transfers_Storages[[#This Row],[ID_Storages]],"")</f>
        <v/>
      </c>
    </row>
    <row r="1071" spans="1:4" x14ac:dyDescent="0.45">
      <c r="A1071">
        <v>118</v>
      </c>
      <c r="B1071">
        <f t="shared" ca="1" si="16"/>
        <v>69</v>
      </c>
      <c r="C10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1" t="str">
        <f ca="1">IF(dict_zuord_Transfers_Storages[[#This Row],[kval_active]],dict_zuord_Transfers_Storages[[#This Row],[ID_Storages]],"")</f>
        <v/>
      </c>
    </row>
    <row r="1072" spans="1:4" x14ac:dyDescent="0.45">
      <c r="A1072">
        <v>118</v>
      </c>
      <c r="B1072">
        <f t="shared" ca="1" si="16"/>
        <v>15</v>
      </c>
      <c r="C10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2" t="str">
        <f ca="1">IF(dict_zuord_Transfers_Storages[[#This Row],[kval_active]],dict_zuord_Transfers_Storages[[#This Row],[ID_Storages]],"")</f>
        <v/>
      </c>
    </row>
    <row r="1073" spans="1:4" x14ac:dyDescent="0.45">
      <c r="A1073">
        <v>119</v>
      </c>
      <c r="B1073">
        <f t="shared" ca="1" si="16"/>
        <v>46</v>
      </c>
      <c r="C10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3" t="str">
        <f ca="1">IF(dict_zuord_Transfers_Storages[[#This Row],[kval_active]],dict_zuord_Transfers_Storages[[#This Row],[ID_Storages]],"")</f>
        <v/>
      </c>
    </row>
    <row r="1074" spans="1:4" x14ac:dyDescent="0.45">
      <c r="A1074">
        <v>119</v>
      </c>
      <c r="B1074">
        <f t="shared" ca="1" si="16"/>
        <v>49</v>
      </c>
      <c r="C10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4" t="str">
        <f ca="1">IF(dict_zuord_Transfers_Storages[[#This Row],[kval_active]],dict_zuord_Transfers_Storages[[#This Row],[ID_Storages]],"")</f>
        <v/>
      </c>
    </row>
    <row r="1075" spans="1:4" x14ac:dyDescent="0.45">
      <c r="A1075">
        <v>119</v>
      </c>
      <c r="B1075">
        <f t="shared" ca="1" si="16"/>
        <v>99</v>
      </c>
      <c r="C10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5" t="str">
        <f ca="1">IF(dict_zuord_Transfers_Storages[[#This Row],[kval_active]],dict_zuord_Transfers_Storages[[#This Row],[ID_Storages]],"")</f>
        <v/>
      </c>
    </row>
    <row r="1076" spans="1:4" x14ac:dyDescent="0.45">
      <c r="A1076">
        <v>119</v>
      </c>
      <c r="B1076">
        <f t="shared" ca="1" si="16"/>
        <v>46</v>
      </c>
      <c r="C10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6" t="str">
        <f ca="1">IF(dict_zuord_Transfers_Storages[[#This Row],[kval_active]],dict_zuord_Transfers_Storages[[#This Row],[ID_Storages]],"")</f>
        <v/>
      </c>
    </row>
    <row r="1077" spans="1:4" x14ac:dyDescent="0.45">
      <c r="A1077">
        <v>119</v>
      </c>
      <c r="B1077">
        <f t="shared" ca="1" si="16"/>
        <v>64</v>
      </c>
      <c r="C10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7" t="str">
        <f ca="1">IF(dict_zuord_Transfers_Storages[[#This Row],[kval_active]],dict_zuord_Transfers_Storages[[#This Row],[ID_Storages]],"")</f>
        <v/>
      </c>
    </row>
    <row r="1078" spans="1:4" x14ac:dyDescent="0.45">
      <c r="A1078">
        <v>119</v>
      </c>
      <c r="B1078">
        <f t="shared" ca="1" si="16"/>
        <v>59</v>
      </c>
      <c r="C10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8" t="str">
        <f ca="1">IF(dict_zuord_Transfers_Storages[[#This Row],[kval_active]],dict_zuord_Transfers_Storages[[#This Row],[ID_Storages]],"")</f>
        <v/>
      </c>
    </row>
    <row r="1079" spans="1:4" x14ac:dyDescent="0.45">
      <c r="A1079">
        <v>119</v>
      </c>
      <c r="B1079">
        <f t="shared" ca="1" si="16"/>
        <v>10</v>
      </c>
      <c r="C10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79" t="str">
        <f ca="1">IF(dict_zuord_Transfers_Storages[[#This Row],[kval_active]],dict_zuord_Transfers_Storages[[#This Row],[ID_Storages]],"")</f>
        <v/>
      </c>
    </row>
    <row r="1080" spans="1:4" x14ac:dyDescent="0.45">
      <c r="A1080">
        <v>119</v>
      </c>
      <c r="B1080">
        <f t="shared" ca="1" si="16"/>
        <v>30</v>
      </c>
      <c r="C10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0" t="str">
        <f ca="1">IF(dict_zuord_Transfers_Storages[[#This Row],[kval_active]],dict_zuord_Transfers_Storages[[#This Row],[ID_Storages]],"")</f>
        <v/>
      </c>
    </row>
    <row r="1081" spans="1:4" x14ac:dyDescent="0.45">
      <c r="A1081">
        <v>119</v>
      </c>
      <c r="B1081">
        <f t="shared" ca="1" si="16"/>
        <v>86</v>
      </c>
      <c r="C10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81" t="str">
        <f ca="1">IF(dict_zuord_Transfers_Storages[[#This Row],[kval_active]],dict_zuord_Transfers_Storages[[#This Row],[ID_Storages]],"")</f>
        <v/>
      </c>
    </row>
    <row r="1082" spans="1:4" x14ac:dyDescent="0.45">
      <c r="A1082">
        <v>120</v>
      </c>
      <c r="B1082">
        <f t="shared" ca="1" si="16"/>
        <v>69</v>
      </c>
      <c r="C10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2">
        <f ca="1">IF(dict_zuord_Transfers_Storages[[#This Row],[kval_active]],dict_zuord_Transfers_Storages[[#This Row],[ID_Storages]],"")</f>
        <v>69</v>
      </c>
    </row>
    <row r="1083" spans="1:4" x14ac:dyDescent="0.45">
      <c r="A1083">
        <v>120</v>
      </c>
      <c r="B1083">
        <f t="shared" ca="1" si="16"/>
        <v>93</v>
      </c>
      <c r="C10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3">
        <f ca="1">IF(dict_zuord_Transfers_Storages[[#This Row],[kval_active]],dict_zuord_Transfers_Storages[[#This Row],[ID_Storages]],"")</f>
        <v>93</v>
      </c>
    </row>
    <row r="1084" spans="1:4" x14ac:dyDescent="0.45">
      <c r="A1084">
        <v>120</v>
      </c>
      <c r="B1084">
        <f t="shared" ca="1" si="16"/>
        <v>6</v>
      </c>
      <c r="C10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4">
        <f ca="1">IF(dict_zuord_Transfers_Storages[[#This Row],[kval_active]],dict_zuord_Transfers_Storages[[#This Row],[ID_Storages]],"")</f>
        <v>6</v>
      </c>
    </row>
    <row r="1085" spans="1:4" x14ac:dyDescent="0.45">
      <c r="A1085">
        <v>120</v>
      </c>
      <c r="B1085">
        <f t="shared" ca="1" si="16"/>
        <v>37</v>
      </c>
      <c r="C10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5">
        <f ca="1">IF(dict_zuord_Transfers_Storages[[#This Row],[kval_active]],dict_zuord_Transfers_Storages[[#This Row],[ID_Storages]],"")</f>
        <v>37</v>
      </c>
    </row>
    <row r="1086" spans="1:4" x14ac:dyDescent="0.45">
      <c r="A1086">
        <v>120</v>
      </c>
      <c r="B1086">
        <f t="shared" ca="1" si="16"/>
        <v>92</v>
      </c>
      <c r="C10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6">
        <f ca="1">IF(dict_zuord_Transfers_Storages[[#This Row],[kval_active]],dict_zuord_Transfers_Storages[[#This Row],[ID_Storages]],"")</f>
        <v>92</v>
      </c>
    </row>
    <row r="1087" spans="1:4" x14ac:dyDescent="0.45">
      <c r="A1087">
        <v>120</v>
      </c>
      <c r="B1087">
        <f t="shared" ca="1" si="16"/>
        <v>16</v>
      </c>
      <c r="C10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7">
        <f ca="1">IF(dict_zuord_Transfers_Storages[[#This Row],[kval_active]],dict_zuord_Transfers_Storages[[#This Row],[ID_Storages]],"")</f>
        <v>16</v>
      </c>
    </row>
    <row r="1088" spans="1:4" x14ac:dyDescent="0.45">
      <c r="A1088">
        <v>120</v>
      </c>
      <c r="B1088">
        <f t="shared" ca="1" si="16"/>
        <v>82</v>
      </c>
      <c r="C10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8">
        <f ca="1">IF(dict_zuord_Transfers_Storages[[#This Row],[kval_active]],dict_zuord_Transfers_Storages[[#This Row],[ID_Storages]],"")</f>
        <v>82</v>
      </c>
    </row>
    <row r="1089" spans="1:4" x14ac:dyDescent="0.45">
      <c r="A1089">
        <v>120</v>
      </c>
      <c r="B1089">
        <f t="shared" ca="1" si="16"/>
        <v>55</v>
      </c>
      <c r="C10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89">
        <f ca="1">IF(dict_zuord_Transfers_Storages[[#This Row],[kval_active]],dict_zuord_Transfers_Storages[[#This Row],[ID_Storages]],"")</f>
        <v>55</v>
      </c>
    </row>
    <row r="1090" spans="1:4" x14ac:dyDescent="0.45">
      <c r="A1090">
        <v>120</v>
      </c>
      <c r="B1090">
        <f t="shared" ref="B1090:B1153" ca="1" si="17">RANDBETWEEN(0,100)</f>
        <v>9</v>
      </c>
      <c r="C10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090">
        <f ca="1">IF(dict_zuord_Transfers_Storages[[#This Row],[kval_active]],dict_zuord_Transfers_Storages[[#This Row],[ID_Storages]],"")</f>
        <v>9</v>
      </c>
    </row>
    <row r="1091" spans="1:4" x14ac:dyDescent="0.45">
      <c r="A1091">
        <v>121</v>
      </c>
      <c r="B1091">
        <f t="shared" ca="1" si="17"/>
        <v>16</v>
      </c>
      <c r="C10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1" t="str">
        <f ca="1">IF(dict_zuord_Transfers_Storages[[#This Row],[kval_active]],dict_zuord_Transfers_Storages[[#This Row],[ID_Storages]],"")</f>
        <v/>
      </c>
    </row>
    <row r="1092" spans="1:4" x14ac:dyDescent="0.45">
      <c r="A1092">
        <v>121</v>
      </c>
      <c r="B1092">
        <f t="shared" ca="1" si="17"/>
        <v>92</v>
      </c>
      <c r="C10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2" t="str">
        <f ca="1">IF(dict_zuord_Transfers_Storages[[#This Row],[kval_active]],dict_zuord_Transfers_Storages[[#This Row],[ID_Storages]],"")</f>
        <v/>
      </c>
    </row>
    <row r="1093" spans="1:4" x14ac:dyDescent="0.45">
      <c r="A1093">
        <v>121</v>
      </c>
      <c r="B1093">
        <f t="shared" ca="1" si="17"/>
        <v>79</v>
      </c>
      <c r="C10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3" t="str">
        <f ca="1">IF(dict_zuord_Transfers_Storages[[#This Row],[kval_active]],dict_zuord_Transfers_Storages[[#This Row],[ID_Storages]],"")</f>
        <v/>
      </c>
    </row>
    <row r="1094" spans="1:4" x14ac:dyDescent="0.45">
      <c r="A1094">
        <v>121</v>
      </c>
      <c r="B1094">
        <f t="shared" ca="1" si="17"/>
        <v>87</v>
      </c>
      <c r="C10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4" t="str">
        <f ca="1">IF(dict_zuord_Transfers_Storages[[#This Row],[kval_active]],dict_zuord_Transfers_Storages[[#This Row],[ID_Storages]],"")</f>
        <v/>
      </c>
    </row>
    <row r="1095" spans="1:4" x14ac:dyDescent="0.45">
      <c r="A1095">
        <v>121</v>
      </c>
      <c r="B1095">
        <f t="shared" ca="1" si="17"/>
        <v>17</v>
      </c>
      <c r="C10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5" t="str">
        <f ca="1">IF(dict_zuord_Transfers_Storages[[#This Row],[kval_active]],dict_zuord_Transfers_Storages[[#This Row],[ID_Storages]],"")</f>
        <v/>
      </c>
    </row>
    <row r="1096" spans="1:4" x14ac:dyDescent="0.45">
      <c r="A1096">
        <v>121</v>
      </c>
      <c r="B1096">
        <f t="shared" ca="1" si="17"/>
        <v>88</v>
      </c>
      <c r="C10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6" t="str">
        <f ca="1">IF(dict_zuord_Transfers_Storages[[#This Row],[kval_active]],dict_zuord_Transfers_Storages[[#This Row],[ID_Storages]],"")</f>
        <v/>
      </c>
    </row>
    <row r="1097" spans="1:4" x14ac:dyDescent="0.45">
      <c r="A1097">
        <v>121</v>
      </c>
      <c r="B1097">
        <f t="shared" ca="1" si="17"/>
        <v>0</v>
      </c>
      <c r="C10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7" t="str">
        <f ca="1">IF(dict_zuord_Transfers_Storages[[#This Row],[kval_active]],dict_zuord_Transfers_Storages[[#This Row],[ID_Storages]],"")</f>
        <v/>
      </c>
    </row>
    <row r="1098" spans="1:4" x14ac:dyDescent="0.45">
      <c r="A1098">
        <v>121</v>
      </c>
      <c r="B1098">
        <f t="shared" ca="1" si="17"/>
        <v>80</v>
      </c>
      <c r="C10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8" t="str">
        <f ca="1">IF(dict_zuord_Transfers_Storages[[#This Row],[kval_active]],dict_zuord_Transfers_Storages[[#This Row],[ID_Storages]],"")</f>
        <v/>
      </c>
    </row>
    <row r="1099" spans="1:4" x14ac:dyDescent="0.45">
      <c r="A1099">
        <v>121</v>
      </c>
      <c r="B1099">
        <f t="shared" ca="1" si="17"/>
        <v>18</v>
      </c>
      <c r="C10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099" t="str">
        <f ca="1">IF(dict_zuord_Transfers_Storages[[#This Row],[kval_active]],dict_zuord_Transfers_Storages[[#This Row],[ID_Storages]],"")</f>
        <v/>
      </c>
    </row>
    <row r="1100" spans="1:4" x14ac:dyDescent="0.45">
      <c r="A1100">
        <v>122</v>
      </c>
      <c r="B1100">
        <f t="shared" ca="1" si="17"/>
        <v>18</v>
      </c>
      <c r="C11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0" t="str">
        <f ca="1">IF(dict_zuord_Transfers_Storages[[#This Row],[kval_active]],dict_zuord_Transfers_Storages[[#This Row],[ID_Storages]],"")</f>
        <v/>
      </c>
    </row>
    <row r="1101" spans="1:4" x14ac:dyDescent="0.45">
      <c r="A1101">
        <v>122</v>
      </c>
      <c r="B1101">
        <f t="shared" ca="1" si="17"/>
        <v>19</v>
      </c>
      <c r="C11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1" t="str">
        <f ca="1">IF(dict_zuord_Transfers_Storages[[#This Row],[kval_active]],dict_zuord_Transfers_Storages[[#This Row],[ID_Storages]],"")</f>
        <v/>
      </c>
    </row>
    <row r="1102" spans="1:4" x14ac:dyDescent="0.45">
      <c r="A1102">
        <v>122</v>
      </c>
      <c r="B1102">
        <f t="shared" ca="1" si="17"/>
        <v>95</v>
      </c>
      <c r="C11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2" t="str">
        <f ca="1">IF(dict_zuord_Transfers_Storages[[#This Row],[kval_active]],dict_zuord_Transfers_Storages[[#This Row],[ID_Storages]],"")</f>
        <v/>
      </c>
    </row>
    <row r="1103" spans="1:4" x14ac:dyDescent="0.45">
      <c r="A1103">
        <v>122</v>
      </c>
      <c r="B1103">
        <f t="shared" ca="1" si="17"/>
        <v>77</v>
      </c>
      <c r="C11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3" t="str">
        <f ca="1">IF(dict_zuord_Transfers_Storages[[#This Row],[kval_active]],dict_zuord_Transfers_Storages[[#This Row],[ID_Storages]],"")</f>
        <v/>
      </c>
    </row>
    <row r="1104" spans="1:4" x14ac:dyDescent="0.45">
      <c r="A1104">
        <v>122</v>
      </c>
      <c r="B1104">
        <f t="shared" ca="1" si="17"/>
        <v>32</v>
      </c>
      <c r="C11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4" t="str">
        <f ca="1">IF(dict_zuord_Transfers_Storages[[#This Row],[kval_active]],dict_zuord_Transfers_Storages[[#This Row],[ID_Storages]],"")</f>
        <v/>
      </c>
    </row>
    <row r="1105" spans="1:4" x14ac:dyDescent="0.45">
      <c r="A1105">
        <v>122</v>
      </c>
      <c r="B1105">
        <f t="shared" ca="1" si="17"/>
        <v>30</v>
      </c>
      <c r="C11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5" t="str">
        <f ca="1">IF(dict_zuord_Transfers_Storages[[#This Row],[kval_active]],dict_zuord_Transfers_Storages[[#This Row],[ID_Storages]],"")</f>
        <v/>
      </c>
    </row>
    <row r="1106" spans="1:4" x14ac:dyDescent="0.45">
      <c r="A1106">
        <v>122</v>
      </c>
      <c r="B1106">
        <f t="shared" ca="1" si="17"/>
        <v>32</v>
      </c>
      <c r="C11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6" t="str">
        <f ca="1">IF(dict_zuord_Transfers_Storages[[#This Row],[kval_active]],dict_zuord_Transfers_Storages[[#This Row],[ID_Storages]],"")</f>
        <v/>
      </c>
    </row>
    <row r="1107" spans="1:4" x14ac:dyDescent="0.45">
      <c r="A1107">
        <v>122</v>
      </c>
      <c r="B1107">
        <f t="shared" ca="1" si="17"/>
        <v>24</v>
      </c>
      <c r="C11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7" t="str">
        <f ca="1">IF(dict_zuord_Transfers_Storages[[#This Row],[kval_active]],dict_zuord_Transfers_Storages[[#This Row],[ID_Storages]],"")</f>
        <v/>
      </c>
    </row>
    <row r="1108" spans="1:4" x14ac:dyDescent="0.45">
      <c r="A1108">
        <v>122</v>
      </c>
      <c r="B1108">
        <f t="shared" ca="1" si="17"/>
        <v>77</v>
      </c>
      <c r="C11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08" t="str">
        <f ca="1">IF(dict_zuord_Transfers_Storages[[#This Row],[kval_active]],dict_zuord_Transfers_Storages[[#This Row],[ID_Storages]],"")</f>
        <v/>
      </c>
    </row>
    <row r="1109" spans="1:4" x14ac:dyDescent="0.45">
      <c r="A1109">
        <v>123</v>
      </c>
      <c r="B1109">
        <f t="shared" ca="1" si="17"/>
        <v>48</v>
      </c>
      <c r="C11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09">
        <f ca="1">IF(dict_zuord_Transfers_Storages[[#This Row],[kval_active]],dict_zuord_Transfers_Storages[[#This Row],[ID_Storages]],"")</f>
        <v>48</v>
      </c>
    </row>
    <row r="1110" spans="1:4" x14ac:dyDescent="0.45">
      <c r="A1110">
        <v>123</v>
      </c>
      <c r="B1110">
        <f t="shared" ca="1" si="17"/>
        <v>19</v>
      </c>
      <c r="C11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0">
        <f ca="1">IF(dict_zuord_Transfers_Storages[[#This Row],[kval_active]],dict_zuord_Transfers_Storages[[#This Row],[ID_Storages]],"")</f>
        <v>19</v>
      </c>
    </row>
    <row r="1111" spans="1:4" x14ac:dyDescent="0.45">
      <c r="A1111">
        <v>123</v>
      </c>
      <c r="B1111">
        <f t="shared" ca="1" si="17"/>
        <v>33</v>
      </c>
      <c r="C11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1">
        <f ca="1">IF(dict_zuord_Transfers_Storages[[#This Row],[kval_active]],dict_zuord_Transfers_Storages[[#This Row],[ID_Storages]],"")</f>
        <v>33</v>
      </c>
    </row>
    <row r="1112" spans="1:4" x14ac:dyDescent="0.45">
      <c r="A1112">
        <v>123</v>
      </c>
      <c r="B1112">
        <f t="shared" ca="1" si="17"/>
        <v>4</v>
      </c>
      <c r="C11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2">
        <f ca="1">IF(dict_zuord_Transfers_Storages[[#This Row],[kval_active]],dict_zuord_Transfers_Storages[[#This Row],[ID_Storages]],"")</f>
        <v>4</v>
      </c>
    </row>
    <row r="1113" spans="1:4" x14ac:dyDescent="0.45">
      <c r="A1113">
        <v>123</v>
      </c>
      <c r="B1113">
        <f t="shared" ca="1" si="17"/>
        <v>76</v>
      </c>
      <c r="C11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3">
        <f ca="1">IF(dict_zuord_Transfers_Storages[[#This Row],[kval_active]],dict_zuord_Transfers_Storages[[#This Row],[ID_Storages]],"")</f>
        <v>76</v>
      </c>
    </row>
    <row r="1114" spans="1:4" x14ac:dyDescent="0.45">
      <c r="A1114">
        <v>123</v>
      </c>
      <c r="B1114">
        <f t="shared" ca="1" si="17"/>
        <v>35</v>
      </c>
      <c r="C11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4">
        <f ca="1">IF(dict_zuord_Transfers_Storages[[#This Row],[kval_active]],dict_zuord_Transfers_Storages[[#This Row],[ID_Storages]],"")</f>
        <v>35</v>
      </c>
    </row>
    <row r="1115" spans="1:4" x14ac:dyDescent="0.45">
      <c r="A1115">
        <v>123</v>
      </c>
      <c r="B1115">
        <f t="shared" ca="1" si="17"/>
        <v>12</v>
      </c>
      <c r="C11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5">
        <f ca="1">IF(dict_zuord_Transfers_Storages[[#This Row],[kval_active]],dict_zuord_Transfers_Storages[[#This Row],[ID_Storages]],"")</f>
        <v>12</v>
      </c>
    </row>
    <row r="1116" spans="1:4" x14ac:dyDescent="0.45">
      <c r="A1116">
        <v>123</v>
      </c>
      <c r="B1116">
        <f t="shared" ca="1" si="17"/>
        <v>9</v>
      </c>
      <c r="C11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6">
        <f ca="1">IF(dict_zuord_Transfers_Storages[[#This Row],[kval_active]],dict_zuord_Transfers_Storages[[#This Row],[ID_Storages]],"")</f>
        <v>9</v>
      </c>
    </row>
    <row r="1117" spans="1:4" x14ac:dyDescent="0.45">
      <c r="A1117">
        <v>123</v>
      </c>
      <c r="B1117">
        <f t="shared" ca="1" si="17"/>
        <v>53</v>
      </c>
      <c r="C11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7">
        <f ca="1">IF(dict_zuord_Transfers_Storages[[#This Row],[kval_active]],dict_zuord_Transfers_Storages[[#This Row],[ID_Storages]],"")</f>
        <v>53</v>
      </c>
    </row>
    <row r="1118" spans="1:4" x14ac:dyDescent="0.45">
      <c r="A1118">
        <v>124</v>
      </c>
      <c r="B1118">
        <f t="shared" ca="1" si="17"/>
        <v>67</v>
      </c>
      <c r="C11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8">
        <f ca="1">IF(dict_zuord_Transfers_Storages[[#This Row],[kval_active]],dict_zuord_Transfers_Storages[[#This Row],[ID_Storages]],"")</f>
        <v>67</v>
      </c>
    </row>
    <row r="1119" spans="1:4" x14ac:dyDescent="0.45">
      <c r="A1119">
        <v>124</v>
      </c>
      <c r="B1119">
        <f t="shared" ca="1" si="17"/>
        <v>62</v>
      </c>
      <c r="C11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19">
        <f ca="1">IF(dict_zuord_Transfers_Storages[[#This Row],[kval_active]],dict_zuord_Transfers_Storages[[#This Row],[ID_Storages]],"")</f>
        <v>62</v>
      </c>
    </row>
    <row r="1120" spans="1:4" x14ac:dyDescent="0.45">
      <c r="A1120">
        <v>124</v>
      </c>
      <c r="B1120">
        <f t="shared" ca="1" si="17"/>
        <v>57</v>
      </c>
      <c r="C11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0">
        <f ca="1">IF(dict_zuord_Transfers_Storages[[#This Row],[kval_active]],dict_zuord_Transfers_Storages[[#This Row],[ID_Storages]],"")</f>
        <v>57</v>
      </c>
    </row>
    <row r="1121" spans="1:4" x14ac:dyDescent="0.45">
      <c r="A1121">
        <v>124</v>
      </c>
      <c r="B1121">
        <f t="shared" ca="1" si="17"/>
        <v>73</v>
      </c>
      <c r="C11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1">
        <f ca="1">IF(dict_zuord_Transfers_Storages[[#This Row],[kval_active]],dict_zuord_Transfers_Storages[[#This Row],[ID_Storages]],"")</f>
        <v>73</v>
      </c>
    </row>
    <row r="1122" spans="1:4" x14ac:dyDescent="0.45">
      <c r="A1122">
        <v>124</v>
      </c>
      <c r="B1122">
        <f t="shared" ca="1" si="17"/>
        <v>64</v>
      </c>
      <c r="C11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2">
        <f ca="1">IF(dict_zuord_Transfers_Storages[[#This Row],[kval_active]],dict_zuord_Transfers_Storages[[#This Row],[ID_Storages]],"")</f>
        <v>64</v>
      </c>
    </row>
    <row r="1123" spans="1:4" x14ac:dyDescent="0.45">
      <c r="A1123">
        <v>124</v>
      </c>
      <c r="B1123">
        <f t="shared" ca="1" si="17"/>
        <v>66</v>
      </c>
      <c r="C11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3">
        <f ca="1">IF(dict_zuord_Transfers_Storages[[#This Row],[kval_active]],dict_zuord_Transfers_Storages[[#This Row],[ID_Storages]],"")</f>
        <v>66</v>
      </c>
    </row>
    <row r="1124" spans="1:4" x14ac:dyDescent="0.45">
      <c r="A1124">
        <v>124</v>
      </c>
      <c r="B1124">
        <f t="shared" ca="1" si="17"/>
        <v>70</v>
      </c>
      <c r="C11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4">
        <f ca="1">IF(dict_zuord_Transfers_Storages[[#This Row],[kval_active]],dict_zuord_Transfers_Storages[[#This Row],[ID_Storages]],"")</f>
        <v>70</v>
      </c>
    </row>
    <row r="1125" spans="1:4" x14ac:dyDescent="0.45">
      <c r="A1125">
        <v>124</v>
      </c>
      <c r="B1125">
        <f t="shared" ca="1" si="17"/>
        <v>86</v>
      </c>
      <c r="C11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5">
        <f ca="1">IF(dict_zuord_Transfers_Storages[[#This Row],[kval_active]],dict_zuord_Transfers_Storages[[#This Row],[ID_Storages]],"")</f>
        <v>86</v>
      </c>
    </row>
    <row r="1126" spans="1:4" x14ac:dyDescent="0.45">
      <c r="A1126">
        <v>124</v>
      </c>
      <c r="B1126">
        <f t="shared" ca="1" si="17"/>
        <v>45</v>
      </c>
      <c r="C11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6">
        <f ca="1">IF(dict_zuord_Transfers_Storages[[#This Row],[kval_active]],dict_zuord_Transfers_Storages[[#This Row],[ID_Storages]],"")</f>
        <v>45</v>
      </c>
    </row>
    <row r="1127" spans="1:4" x14ac:dyDescent="0.45">
      <c r="A1127">
        <v>125</v>
      </c>
      <c r="B1127">
        <f t="shared" ca="1" si="17"/>
        <v>75</v>
      </c>
      <c r="C11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7">
        <f ca="1">IF(dict_zuord_Transfers_Storages[[#This Row],[kval_active]],dict_zuord_Transfers_Storages[[#This Row],[ID_Storages]],"")</f>
        <v>75</v>
      </c>
    </row>
    <row r="1128" spans="1:4" x14ac:dyDescent="0.45">
      <c r="A1128">
        <v>125</v>
      </c>
      <c r="B1128">
        <f t="shared" ca="1" si="17"/>
        <v>34</v>
      </c>
      <c r="C11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8">
        <f ca="1">IF(dict_zuord_Transfers_Storages[[#This Row],[kval_active]],dict_zuord_Transfers_Storages[[#This Row],[ID_Storages]],"")</f>
        <v>34</v>
      </c>
    </row>
    <row r="1129" spans="1:4" x14ac:dyDescent="0.45">
      <c r="A1129">
        <v>125</v>
      </c>
      <c r="B1129">
        <f t="shared" ca="1" si="17"/>
        <v>85</v>
      </c>
      <c r="C11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29">
        <f ca="1">IF(dict_zuord_Transfers_Storages[[#This Row],[kval_active]],dict_zuord_Transfers_Storages[[#This Row],[ID_Storages]],"")</f>
        <v>85</v>
      </c>
    </row>
    <row r="1130" spans="1:4" x14ac:dyDescent="0.45">
      <c r="A1130">
        <v>125</v>
      </c>
      <c r="B1130">
        <f t="shared" ca="1" si="17"/>
        <v>32</v>
      </c>
      <c r="C11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0">
        <f ca="1">IF(dict_zuord_Transfers_Storages[[#This Row],[kval_active]],dict_zuord_Transfers_Storages[[#This Row],[ID_Storages]],"")</f>
        <v>32</v>
      </c>
    </row>
    <row r="1131" spans="1:4" x14ac:dyDescent="0.45">
      <c r="A1131">
        <v>125</v>
      </c>
      <c r="B1131">
        <f t="shared" ca="1" si="17"/>
        <v>99</v>
      </c>
      <c r="C11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1">
        <f ca="1">IF(dict_zuord_Transfers_Storages[[#This Row],[kval_active]],dict_zuord_Transfers_Storages[[#This Row],[ID_Storages]],"")</f>
        <v>99</v>
      </c>
    </row>
    <row r="1132" spans="1:4" x14ac:dyDescent="0.45">
      <c r="A1132">
        <v>125</v>
      </c>
      <c r="B1132">
        <f t="shared" ca="1" si="17"/>
        <v>49</v>
      </c>
      <c r="C11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2">
        <f ca="1">IF(dict_zuord_Transfers_Storages[[#This Row],[kval_active]],dict_zuord_Transfers_Storages[[#This Row],[ID_Storages]],"")</f>
        <v>49</v>
      </c>
    </row>
    <row r="1133" spans="1:4" x14ac:dyDescent="0.45">
      <c r="A1133">
        <v>125</v>
      </c>
      <c r="B1133">
        <f t="shared" ca="1" si="17"/>
        <v>29</v>
      </c>
      <c r="C11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3">
        <f ca="1">IF(dict_zuord_Transfers_Storages[[#This Row],[kval_active]],dict_zuord_Transfers_Storages[[#This Row],[ID_Storages]],"")</f>
        <v>29</v>
      </c>
    </row>
    <row r="1134" spans="1:4" x14ac:dyDescent="0.45">
      <c r="A1134">
        <v>125</v>
      </c>
      <c r="B1134">
        <f t="shared" ca="1" si="17"/>
        <v>5</v>
      </c>
      <c r="C11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4">
        <f ca="1">IF(dict_zuord_Transfers_Storages[[#This Row],[kval_active]],dict_zuord_Transfers_Storages[[#This Row],[ID_Storages]],"")</f>
        <v>5</v>
      </c>
    </row>
    <row r="1135" spans="1:4" x14ac:dyDescent="0.45">
      <c r="A1135">
        <v>125</v>
      </c>
      <c r="B1135">
        <f t="shared" ca="1" si="17"/>
        <v>66</v>
      </c>
      <c r="C11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5">
        <f ca="1">IF(dict_zuord_Transfers_Storages[[#This Row],[kval_active]],dict_zuord_Transfers_Storages[[#This Row],[ID_Storages]],"")</f>
        <v>66</v>
      </c>
    </row>
    <row r="1136" spans="1:4" x14ac:dyDescent="0.45">
      <c r="A1136">
        <v>126</v>
      </c>
      <c r="B1136">
        <f t="shared" ca="1" si="17"/>
        <v>14</v>
      </c>
      <c r="C11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6">
        <f ca="1">IF(dict_zuord_Transfers_Storages[[#This Row],[kval_active]],dict_zuord_Transfers_Storages[[#This Row],[ID_Storages]],"")</f>
        <v>14</v>
      </c>
    </row>
    <row r="1137" spans="1:4" x14ac:dyDescent="0.45">
      <c r="A1137">
        <v>126</v>
      </c>
      <c r="B1137">
        <f t="shared" ca="1" si="17"/>
        <v>42</v>
      </c>
      <c r="C11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7">
        <f ca="1">IF(dict_zuord_Transfers_Storages[[#This Row],[kval_active]],dict_zuord_Transfers_Storages[[#This Row],[ID_Storages]],"")</f>
        <v>42</v>
      </c>
    </row>
    <row r="1138" spans="1:4" x14ac:dyDescent="0.45">
      <c r="A1138">
        <v>126</v>
      </c>
      <c r="B1138">
        <f t="shared" ca="1" si="17"/>
        <v>51</v>
      </c>
      <c r="C11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8">
        <f ca="1">IF(dict_zuord_Transfers_Storages[[#This Row],[kval_active]],dict_zuord_Transfers_Storages[[#This Row],[ID_Storages]],"")</f>
        <v>51</v>
      </c>
    </row>
    <row r="1139" spans="1:4" x14ac:dyDescent="0.45">
      <c r="A1139">
        <v>126</v>
      </c>
      <c r="B1139">
        <f t="shared" ca="1" si="17"/>
        <v>7</v>
      </c>
      <c r="C11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39">
        <f ca="1">IF(dict_zuord_Transfers_Storages[[#This Row],[kval_active]],dict_zuord_Transfers_Storages[[#This Row],[ID_Storages]],"")</f>
        <v>7</v>
      </c>
    </row>
    <row r="1140" spans="1:4" x14ac:dyDescent="0.45">
      <c r="A1140">
        <v>126</v>
      </c>
      <c r="B1140">
        <f t="shared" ca="1" si="17"/>
        <v>77</v>
      </c>
      <c r="C11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0">
        <f ca="1">IF(dict_zuord_Transfers_Storages[[#This Row],[kval_active]],dict_zuord_Transfers_Storages[[#This Row],[ID_Storages]],"")</f>
        <v>77</v>
      </c>
    </row>
    <row r="1141" spans="1:4" x14ac:dyDescent="0.45">
      <c r="A1141">
        <v>126</v>
      </c>
      <c r="B1141">
        <f t="shared" ca="1" si="17"/>
        <v>89</v>
      </c>
      <c r="C11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1">
        <f ca="1">IF(dict_zuord_Transfers_Storages[[#This Row],[kval_active]],dict_zuord_Transfers_Storages[[#This Row],[ID_Storages]],"")</f>
        <v>89</v>
      </c>
    </row>
    <row r="1142" spans="1:4" x14ac:dyDescent="0.45">
      <c r="A1142">
        <v>126</v>
      </c>
      <c r="B1142">
        <f t="shared" ca="1" si="17"/>
        <v>49</v>
      </c>
      <c r="C11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2">
        <f ca="1">IF(dict_zuord_Transfers_Storages[[#This Row],[kval_active]],dict_zuord_Transfers_Storages[[#This Row],[ID_Storages]],"")</f>
        <v>49</v>
      </c>
    </row>
    <row r="1143" spans="1:4" x14ac:dyDescent="0.45">
      <c r="A1143">
        <v>126</v>
      </c>
      <c r="B1143">
        <f t="shared" ca="1" si="17"/>
        <v>92</v>
      </c>
      <c r="C11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3">
        <f ca="1">IF(dict_zuord_Transfers_Storages[[#This Row],[kval_active]],dict_zuord_Transfers_Storages[[#This Row],[ID_Storages]],"")</f>
        <v>92</v>
      </c>
    </row>
    <row r="1144" spans="1:4" x14ac:dyDescent="0.45">
      <c r="A1144">
        <v>126</v>
      </c>
      <c r="B1144">
        <f t="shared" ca="1" si="17"/>
        <v>71</v>
      </c>
      <c r="C11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44">
        <f ca="1">IF(dict_zuord_Transfers_Storages[[#This Row],[kval_active]],dict_zuord_Transfers_Storages[[#This Row],[ID_Storages]],"")</f>
        <v>71</v>
      </c>
    </row>
    <row r="1145" spans="1:4" x14ac:dyDescent="0.45">
      <c r="A1145">
        <v>127</v>
      </c>
      <c r="B1145">
        <f t="shared" ca="1" si="17"/>
        <v>47</v>
      </c>
      <c r="C11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5" t="str">
        <f ca="1">IF(dict_zuord_Transfers_Storages[[#This Row],[kval_active]],dict_zuord_Transfers_Storages[[#This Row],[ID_Storages]],"")</f>
        <v/>
      </c>
    </row>
    <row r="1146" spans="1:4" x14ac:dyDescent="0.45">
      <c r="A1146">
        <v>127</v>
      </c>
      <c r="B1146">
        <f t="shared" ca="1" si="17"/>
        <v>55</v>
      </c>
      <c r="C11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6" t="str">
        <f ca="1">IF(dict_zuord_Transfers_Storages[[#This Row],[kval_active]],dict_zuord_Transfers_Storages[[#This Row],[ID_Storages]],"")</f>
        <v/>
      </c>
    </row>
    <row r="1147" spans="1:4" x14ac:dyDescent="0.45">
      <c r="A1147">
        <v>127</v>
      </c>
      <c r="B1147">
        <f t="shared" ca="1" si="17"/>
        <v>61</v>
      </c>
      <c r="C11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7" t="str">
        <f ca="1">IF(dict_zuord_Transfers_Storages[[#This Row],[kval_active]],dict_zuord_Transfers_Storages[[#This Row],[ID_Storages]],"")</f>
        <v/>
      </c>
    </row>
    <row r="1148" spans="1:4" x14ac:dyDescent="0.45">
      <c r="A1148">
        <v>127</v>
      </c>
      <c r="B1148">
        <f t="shared" ca="1" si="17"/>
        <v>80</v>
      </c>
      <c r="C11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8" t="str">
        <f ca="1">IF(dict_zuord_Transfers_Storages[[#This Row],[kval_active]],dict_zuord_Transfers_Storages[[#This Row],[ID_Storages]],"")</f>
        <v/>
      </c>
    </row>
    <row r="1149" spans="1:4" x14ac:dyDescent="0.45">
      <c r="A1149">
        <v>127</v>
      </c>
      <c r="B1149">
        <f t="shared" ca="1" si="17"/>
        <v>52</v>
      </c>
      <c r="C11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49" t="str">
        <f ca="1">IF(dict_zuord_Transfers_Storages[[#This Row],[kval_active]],dict_zuord_Transfers_Storages[[#This Row],[ID_Storages]],"")</f>
        <v/>
      </c>
    </row>
    <row r="1150" spans="1:4" x14ac:dyDescent="0.45">
      <c r="A1150">
        <v>127</v>
      </c>
      <c r="B1150">
        <f t="shared" ca="1" si="17"/>
        <v>43</v>
      </c>
      <c r="C11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0" t="str">
        <f ca="1">IF(dict_zuord_Transfers_Storages[[#This Row],[kval_active]],dict_zuord_Transfers_Storages[[#This Row],[ID_Storages]],"")</f>
        <v/>
      </c>
    </row>
    <row r="1151" spans="1:4" x14ac:dyDescent="0.45">
      <c r="A1151">
        <v>127</v>
      </c>
      <c r="B1151">
        <f t="shared" ca="1" si="17"/>
        <v>58</v>
      </c>
      <c r="C11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1" t="str">
        <f ca="1">IF(dict_zuord_Transfers_Storages[[#This Row],[kval_active]],dict_zuord_Transfers_Storages[[#This Row],[ID_Storages]],"")</f>
        <v/>
      </c>
    </row>
    <row r="1152" spans="1:4" x14ac:dyDescent="0.45">
      <c r="A1152">
        <v>127</v>
      </c>
      <c r="B1152">
        <f t="shared" ca="1" si="17"/>
        <v>32</v>
      </c>
      <c r="C11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2" t="str">
        <f ca="1">IF(dict_zuord_Transfers_Storages[[#This Row],[kval_active]],dict_zuord_Transfers_Storages[[#This Row],[ID_Storages]],"")</f>
        <v/>
      </c>
    </row>
    <row r="1153" spans="1:4" x14ac:dyDescent="0.45">
      <c r="A1153">
        <v>127</v>
      </c>
      <c r="B1153">
        <f t="shared" ca="1" si="17"/>
        <v>34</v>
      </c>
      <c r="C11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53" t="str">
        <f ca="1">IF(dict_zuord_Transfers_Storages[[#This Row],[kval_active]],dict_zuord_Transfers_Storages[[#This Row],[ID_Storages]],"")</f>
        <v/>
      </c>
    </row>
    <row r="1154" spans="1:4" x14ac:dyDescent="0.45">
      <c r="A1154">
        <v>128</v>
      </c>
      <c r="B1154">
        <f t="shared" ref="B1154:B1217" ca="1" si="18">RANDBETWEEN(0,100)</f>
        <v>83</v>
      </c>
      <c r="C11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4">
        <f ca="1">IF(dict_zuord_Transfers_Storages[[#This Row],[kval_active]],dict_zuord_Transfers_Storages[[#This Row],[ID_Storages]],"")</f>
        <v>83</v>
      </c>
    </row>
    <row r="1155" spans="1:4" x14ac:dyDescent="0.45">
      <c r="A1155">
        <v>128</v>
      </c>
      <c r="B1155">
        <f t="shared" ca="1" si="18"/>
        <v>88</v>
      </c>
      <c r="C11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5">
        <f ca="1">IF(dict_zuord_Transfers_Storages[[#This Row],[kval_active]],dict_zuord_Transfers_Storages[[#This Row],[ID_Storages]],"")</f>
        <v>88</v>
      </c>
    </row>
    <row r="1156" spans="1:4" x14ac:dyDescent="0.45">
      <c r="A1156">
        <v>128</v>
      </c>
      <c r="B1156">
        <f t="shared" ca="1" si="18"/>
        <v>4</v>
      </c>
      <c r="C11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6">
        <f ca="1">IF(dict_zuord_Transfers_Storages[[#This Row],[kval_active]],dict_zuord_Transfers_Storages[[#This Row],[ID_Storages]],"")</f>
        <v>4</v>
      </c>
    </row>
    <row r="1157" spans="1:4" x14ac:dyDescent="0.45">
      <c r="A1157">
        <v>128</v>
      </c>
      <c r="B1157">
        <f t="shared" ca="1" si="18"/>
        <v>82</v>
      </c>
      <c r="C11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7">
        <f ca="1">IF(dict_zuord_Transfers_Storages[[#This Row],[kval_active]],dict_zuord_Transfers_Storages[[#This Row],[ID_Storages]],"")</f>
        <v>82</v>
      </c>
    </row>
    <row r="1158" spans="1:4" x14ac:dyDescent="0.45">
      <c r="A1158">
        <v>128</v>
      </c>
      <c r="B1158">
        <f t="shared" ca="1" si="18"/>
        <v>55</v>
      </c>
      <c r="C11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8">
        <f ca="1">IF(dict_zuord_Transfers_Storages[[#This Row],[kval_active]],dict_zuord_Transfers_Storages[[#This Row],[ID_Storages]],"")</f>
        <v>55</v>
      </c>
    </row>
    <row r="1159" spans="1:4" x14ac:dyDescent="0.45">
      <c r="A1159">
        <v>128</v>
      </c>
      <c r="B1159">
        <f t="shared" ca="1" si="18"/>
        <v>44</v>
      </c>
      <c r="C11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59">
        <f ca="1">IF(dict_zuord_Transfers_Storages[[#This Row],[kval_active]],dict_zuord_Transfers_Storages[[#This Row],[ID_Storages]],"")</f>
        <v>44</v>
      </c>
    </row>
    <row r="1160" spans="1:4" x14ac:dyDescent="0.45">
      <c r="A1160">
        <v>128</v>
      </c>
      <c r="B1160">
        <f t="shared" ca="1" si="18"/>
        <v>12</v>
      </c>
      <c r="C11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0">
        <f ca="1">IF(dict_zuord_Transfers_Storages[[#This Row],[kval_active]],dict_zuord_Transfers_Storages[[#This Row],[ID_Storages]],"")</f>
        <v>12</v>
      </c>
    </row>
    <row r="1161" spans="1:4" x14ac:dyDescent="0.45">
      <c r="A1161">
        <v>128</v>
      </c>
      <c r="B1161">
        <f t="shared" ca="1" si="18"/>
        <v>55</v>
      </c>
      <c r="C11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1">
        <f ca="1">IF(dict_zuord_Transfers_Storages[[#This Row],[kval_active]],dict_zuord_Transfers_Storages[[#This Row],[ID_Storages]],"")</f>
        <v>55</v>
      </c>
    </row>
    <row r="1162" spans="1:4" x14ac:dyDescent="0.45">
      <c r="A1162">
        <v>128</v>
      </c>
      <c r="B1162">
        <f t="shared" ca="1" si="18"/>
        <v>57</v>
      </c>
      <c r="C11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2">
        <f ca="1">IF(dict_zuord_Transfers_Storages[[#This Row],[kval_active]],dict_zuord_Transfers_Storages[[#This Row],[ID_Storages]],"")</f>
        <v>57</v>
      </c>
    </row>
    <row r="1163" spans="1:4" x14ac:dyDescent="0.45">
      <c r="A1163">
        <v>129</v>
      </c>
      <c r="B1163">
        <f t="shared" ca="1" si="18"/>
        <v>24</v>
      </c>
      <c r="C11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3">
        <f ca="1">IF(dict_zuord_Transfers_Storages[[#This Row],[kval_active]],dict_zuord_Transfers_Storages[[#This Row],[ID_Storages]],"")</f>
        <v>24</v>
      </c>
    </row>
    <row r="1164" spans="1:4" x14ac:dyDescent="0.45">
      <c r="A1164">
        <v>129</v>
      </c>
      <c r="B1164">
        <f t="shared" ca="1" si="18"/>
        <v>58</v>
      </c>
      <c r="C11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4">
        <f ca="1">IF(dict_zuord_Transfers_Storages[[#This Row],[kval_active]],dict_zuord_Transfers_Storages[[#This Row],[ID_Storages]],"")</f>
        <v>58</v>
      </c>
    </row>
    <row r="1165" spans="1:4" x14ac:dyDescent="0.45">
      <c r="A1165">
        <v>129</v>
      </c>
      <c r="B1165">
        <f t="shared" ca="1" si="18"/>
        <v>11</v>
      </c>
      <c r="C11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5">
        <f ca="1">IF(dict_zuord_Transfers_Storages[[#This Row],[kval_active]],dict_zuord_Transfers_Storages[[#This Row],[ID_Storages]],"")</f>
        <v>11</v>
      </c>
    </row>
    <row r="1166" spans="1:4" x14ac:dyDescent="0.45">
      <c r="A1166">
        <v>129</v>
      </c>
      <c r="B1166">
        <f t="shared" ca="1" si="18"/>
        <v>4</v>
      </c>
      <c r="C11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6">
        <f ca="1">IF(dict_zuord_Transfers_Storages[[#This Row],[kval_active]],dict_zuord_Transfers_Storages[[#This Row],[ID_Storages]],"")</f>
        <v>4</v>
      </c>
    </row>
    <row r="1167" spans="1:4" x14ac:dyDescent="0.45">
      <c r="A1167">
        <v>129</v>
      </c>
      <c r="B1167">
        <f t="shared" ca="1" si="18"/>
        <v>59</v>
      </c>
      <c r="C11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7">
        <f ca="1">IF(dict_zuord_Transfers_Storages[[#This Row],[kval_active]],dict_zuord_Transfers_Storages[[#This Row],[ID_Storages]],"")</f>
        <v>59</v>
      </c>
    </row>
    <row r="1168" spans="1:4" x14ac:dyDescent="0.45">
      <c r="A1168">
        <v>129</v>
      </c>
      <c r="B1168">
        <f t="shared" ca="1" si="18"/>
        <v>58</v>
      </c>
      <c r="C11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8">
        <f ca="1">IF(dict_zuord_Transfers_Storages[[#This Row],[kval_active]],dict_zuord_Transfers_Storages[[#This Row],[ID_Storages]],"")</f>
        <v>58</v>
      </c>
    </row>
    <row r="1169" spans="1:4" x14ac:dyDescent="0.45">
      <c r="A1169">
        <v>129</v>
      </c>
      <c r="B1169">
        <f t="shared" ca="1" si="18"/>
        <v>53</v>
      </c>
      <c r="C11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69">
        <f ca="1">IF(dict_zuord_Transfers_Storages[[#This Row],[kval_active]],dict_zuord_Transfers_Storages[[#This Row],[ID_Storages]],"")</f>
        <v>53</v>
      </c>
    </row>
    <row r="1170" spans="1:4" x14ac:dyDescent="0.45">
      <c r="A1170">
        <v>129</v>
      </c>
      <c r="B1170">
        <f t="shared" ca="1" si="18"/>
        <v>78</v>
      </c>
      <c r="C11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0">
        <f ca="1">IF(dict_zuord_Transfers_Storages[[#This Row],[kval_active]],dict_zuord_Transfers_Storages[[#This Row],[ID_Storages]],"")</f>
        <v>78</v>
      </c>
    </row>
    <row r="1171" spans="1:4" x14ac:dyDescent="0.45">
      <c r="A1171">
        <v>129</v>
      </c>
      <c r="B1171">
        <f t="shared" ca="1" si="18"/>
        <v>50</v>
      </c>
      <c r="C11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1">
        <f ca="1">IF(dict_zuord_Transfers_Storages[[#This Row],[kval_active]],dict_zuord_Transfers_Storages[[#This Row],[ID_Storages]],"")</f>
        <v>50</v>
      </c>
    </row>
    <row r="1172" spans="1:4" x14ac:dyDescent="0.45">
      <c r="A1172">
        <v>130</v>
      </c>
      <c r="B1172">
        <f t="shared" ca="1" si="18"/>
        <v>69</v>
      </c>
      <c r="C11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2">
        <f ca="1">IF(dict_zuord_Transfers_Storages[[#This Row],[kval_active]],dict_zuord_Transfers_Storages[[#This Row],[ID_Storages]],"")</f>
        <v>69</v>
      </c>
    </row>
    <row r="1173" spans="1:4" x14ac:dyDescent="0.45">
      <c r="A1173">
        <v>130</v>
      </c>
      <c r="B1173">
        <f t="shared" ca="1" si="18"/>
        <v>17</v>
      </c>
      <c r="C11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3">
        <f ca="1">IF(dict_zuord_Transfers_Storages[[#This Row],[kval_active]],dict_zuord_Transfers_Storages[[#This Row],[ID_Storages]],"")</f>
        <v>17</v>
      </c>
    </row>
    <row r="1174" spans="1:4" x14ac:dyDescent="0.45">
      <c r="A1174">
        <v>130</v>
      </c>
      <c r="B1174">
        <f t="shared" ca="1" si="18"/>
        <v>7</v>
      </c>
      <c r="C11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4">
        <f ca="1">IF(dict_zuord_Transfers_Storages[[#This Row],[kval_active]],dict_zuord_Transfers_Storages[[#This Row],[ID_Storages]],"")</f>
        <v>7</v>
      </c>
    </row>
    <row r="1175" spans="1:4" x14ac:dyDescent="0.45">
      <c r="A1175">
        <v>130</v>
      </c>
      <c r="B1175">
        <f t="shared" ca="1" si="18"/>
        <v>85</v>
      </c>
      <c r="C11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5">
        <f ca="1">IF(dict_zuord_Transfers_Storages[[#This Row],[kval_active]],dict_zuord_Transfers_Storages[[#This Row],[ID_Storages]],"")</f>
        <v>85</v>
      </c>
    </row>
    <row r="1176" spans="1:4" x14ac:dyDescent="0.45">
      <c r="A1176">
        <v>130</v>
      </c>
      <c r="B1176">
        <f t="shared" ca="1" si="18"/>
        <v>31</v>
      </c>
      <c r="C11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6">
        <f ca="1">IF(dict_zuord_Transfers_Storages[[#This Row],[kval_active]],dict_zuord_Transfers_Storages[[#This Row],[ID_Storages]],"")</f>
        <v>31</v>
      </c>
    </row>
    <row r="1177" spans="1:4" x14ac:dyDescent="0.45">
      <c r="A1177">
        <v>130</v>
      </c>
      <c r="B1177">
        <f t="shared" ca="1" si="18"/>
        <v>15</v>
      </c>
      <c r="C11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7">
        <f ca="1">IF(dict_zuord_Transfers_Storages[[#This Row],[kval_active]],dict_zuord_Transfers_Storages[[#This Row],[ID_Storages]],"")</f>
        <v>15</v>
      </c>
    </row>
    <row r="1178" spans="1:4" x14ac:dyDescent="0.45">
      <c r="A1178">
        <v>130</v>
      </c>
      <c r="B1178">
        <f t="shared" ca="1" si="18"/>
        <v>23</v>
      </c>
      <c r="C11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8">
        <f ca="1">IF(dict_zuord_Transfers_Storages[[#This Row],[kval_active]],dict_zuord_Transfers_Storages[[#This Row],[ID_Storages]],"")</f>
        <v>23</v>
      </c>
    </row>
    <row r="1179" spans="1:4" x14ac:dyDescent="0.45">
      <c r="A1179">
        <v>130</v>
      </c>
      <c r="B1179">
        <f t="shared" ca="1" si="18"/>
        <v>15</v>
      </c>
      <c r="C11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79">
        <f ca="1">IF(dict_zuord_Transfers_Storages[[#This Row],[kval_active]],dict_zuord_Transfers_Storages[[#This Row],[ID_Storages]],"")</f>
        <v>15</v>
      </c>
    </row>
    <row r="1180" spans="1:4" x14ac:dyDescent="0.45">
      <c r="A1180">
        <v>130</v>
      </c>
      <c r="B1180">
        <f t="shared" ca="1" si="18"/>
        <v>4</v>
      </c>
      <c r="C11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0">
        <f ca="1">IF(dict_zuord_Transfers_Storages[[#This Row],[kval_active]],dict_zuord_Transfers_Storages[[#This Row],[ID_Storages]],"")</f>
        <v>4</v>
      </c>
    </row>
    <row r="1181" spans="1:4" x14ac:dyDescent="0.45">
      <c r="A1181">
        <v>131</v>
      </c>
      <c r="B1181">
        <f t="shared" ca="1" si="18"/>
        <v>77</v>
      </c>
      <c r="C11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1">
        <f ca="1">IF(dict_zuord_Transfers_Storages[[#This Row],[kval_active]],dict_zuord_Transfers_Storages[[#This Row],[ID_Storages]],"")</f>
        <v>77</v>
      </c>
    </row>
    <row r="1182" spans="1:4" x14ac:dyDescent="0.45">
      <c r="A1182">
        <v>131</v>
      </c>
      <c r="B1182">
        <f t="shared" ca="1" si="18"/>
        <v>14</v>
      </c>
      <c r="C11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2">
        <f ca="1">IF(dict_zuord_Transfers_Storages[[#This Row],[kval_active]],dict_zuord_Transfers_Storages[[#This Row],[ID_Storages]],"")</f>
        <v>14</v>
      </c>
    </row>
    <row r="1183" spans="1:4" x14ac:dyDescent="0.45">
      <c r="A1183">
        <v>131</v>
      </c>
      <c r="B1183">
        <f t="shared" ca="1" si="18"/>
        <v>8</v>
      </c>
      <c r="C11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3">
        <f ca="1">IF(dict_zuord_Transfers_Storages[[#This Row],[kval_active]],dict_zuord_Transfers_Storages[[#This Row],[ID_Storages]],"")</f>
        <v>8</v>
      </c>
    </row>
    <row r="1184" spans="1:4" x14ac:dyDescent="0.45">
      <c r="A1184">
        <v>131</v>
      </c>
      <c r="B1184">
        <f t="shared" ca="1" si="18"/>
        <v>83</v>
      </c>
      <c r="C11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4">
        <f ca="1">IF(dict_zuord_Transfers_Storages[[#This Row],[kval_active]],dict_zuord_Transfers_Storages[[#This Row],[ID_Storages]],"")</f>
        <v>83</v>
      </c>
    </row>
    <row r="1185" spans="1:4" x14ac:dyDescent="0.45">
      <c r="A1185">
        <v>131</v>
      </c>
      <c r="B1185">
        <f t="shared" ca="1" si="18"/>
        <v>98</v>
      </c>
      <c r="C11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5">
        <f ca="1">IF(dict_zuord_Transfers_Storages[[#This Row],[kval_active]],dict_zuord_Transfers_Storages[[#This Row],[ID_Storages]],"")</f>
        <v>98</v>
      </c>
    </row>
    <row r="1186" spans="1:4" x14ac:dyDescent="0.45">
      <c r="A1186">
        <v>131</v>
      </c>
      <c r="B1186">
        <f t="shared" ca="1" si="18"/>
        <v>42</v>
      </c>
      <c r="C11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6">
        <f ca="1">IF(dict_zuord_Transfers_Storages[[#This Row],[kval_active]],dict_zuord_Transfers_Storages[[#This Row],[ID_Storages]],"")</f>
        <v>42</v>
      </c>
    </row>
    <row r="1187" spans="1:4" x14ac:dyDescent="0.45">
      <c r="A1187">
        <v>131</v>
      </c>
      <c r="B1187">
        <f t="shared" ca="1" si="18"/>
        <v>66</v>
      </c>
      <c r="C11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7">
        <f ca="1">IF(dict_zuord_Transfers_Storages[[#This Row],[kval_active]],dict_zuord_Transfers_Storages[[#This Row],[ID_Storages]],"")</f>
        <v>66</v>
      </c>
    </row>
    <row r="1188" spans="1:4" x14ac:dyDescent="0.45">
      <c r="A1188">
        <v>131</v>
      </c>
      <c r="B1188">
        <f t="shared" ca="1" si="18"/>
        <v>43</v>
      </c>
      <c r="C11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8">
        <f ca="1">IF(dict_zuord_Transfers_Storages[[#This Row],[kval_active]],dict_zuord_Transfers_Storages[[#This Row],[ID_Storages]],"")</f>
        <v>43</v>
      </c>
    </row>
    <row r="1189" spans="1:4" x14ac:dyDescent="0.45">
      <c r="A1189">
        <v>131</v>
      </c>
      <c r="B1189">
        <f t="shared" ca="1" si="18"/>
        <v>100</v>
      </c>
      <c r="C11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189">
        <f ca="1">IF(dict_zuord_Transfers_Storages[[#This Row],[kval_active]],dict_zuord_Transfers_Storages[[#This Row],[ID_Storages]],"")</f>
        <v>100</v>
      </c>
    </row>
    <row r="1190" spans="1:4" x14ac:dyDescent="0.45">
      <c r="A1190">
        <v>132</v>
      </c>
      <c r="B1190">
        <f t="shared" ca="1" si="18"/>
        <v>18</v>
      </c>
      <c r="C11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0" t="str">
        <f ca="1">IF(dict_zuord_Transfers_Storages[[#This Row],[kval_active]],dict_zuord_Transfers_Storages[[#This Row],[ID_Storages]],"")</f>
        <v/>
      </c>
    </row>
    <row r="1191" spans="1:4" x14ac:dyDescent="0.45">
      <c r="A1191">
        <v>132</v>
      </c>
      <c r="B1191">
        <f t="shared" ca="1" si="18"/>
        <v>21</v>
      </c>
      <c r="C11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1" t="str">
        <f ca="1">IF(dict_zuord_Transfers_Storages[[#This Row],[kval_active]],dict_zuord_Transfers_Storages[[#This Row],[ID_Storages]],"")</f>
        <v/>
      </c>
    </row>
    <row r="1192" spans="1:4" x14ac:dyDescent="0.45">
      <c r="A1192">
        <v>132</v>
      </c>
      <c r="B1192">
        <f t="shared" ca="1" si="18"/>
        <v>47</v>
      </c>
      <c r="C11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2" t="str">
        <f ca="1">IF(dict_zuord_Transfers_Storages[[#This Row],[kval_active]],dict_zuord_Transfers_Storages[[#This Row],[ID_Storages]],"")</f>
        <v/>
      </c>
    </row>
    <row r="1193" spans="1:4" x14ac:dyDescent="0.45">
      <c r="A1193">
        <v>132</v>
      </c>
      <c r="B1193">
        <f t="shared" ca="1" si="18"/>
        <v>32</v>
      </c>
      <c r="C11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3" t="str">
        <f ca="1">IF(dict_zuord_Transfers_Storages[[#This Row],[kval_active]],dict_zuord_Transfers_Storages[[#This Row],[ID_Storages]],"")</f>
        <v/>
      </c>
    </row>
    <row r="1194" spans="1:4" x14ac:dyDescent="0.45">
      <c r="A1194">
        <v>132</v>
      </c>
      <c r="B1194">
        <f t="shared" ca="1" si="18"/>
        <v>39</v>
      </c>
      <c r="C11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4" t="str">
        <f ca="1">IF(dict_zuord_Transfers_Storages[[#This Row],[kval_active]],dict_zuord_Transfers_Storages[[#This Row],[ID_Storages]],"")</f>
        <v/>
      </c>
    </row>
    <row r="1195" spans="1:4" x14ac:dyDescent="0.45">
      <c r="A1195">
        <v>132</v>
      </c>
      <c r="B1195">
        <f t="shared" ca="1" si="18"/>
        <v>4</v>
      </c>
      <c r="C11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5" t="str">
        <f ca="1">IF(dict_zuord_Transfers_Storages[[#This Row],[kval_active]],dict_zuord_Transfers_Storages[[#This Row],[ID_Storages]],"")</f>
        <v/>
      </c>
    </row>
    <row r="1196" spans="1:4" x14ac:dyDescent="0.45">
      <c r="A1196">
        <v>132</v>
      </c>
      <c r="B1196">
        <f t="shared" ca="1" si="18"/>
        <v>80</v>
      </c>
      <c r="C11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6" t="str">
        <f ca="1">IF(dict_zuord_Transfers_Storages[[#This Row],[kval_active]],dict_zuord_Transfers_Storages[[#This Row],[ID_Storages]],"")</f>
        <v/>
      </c>
    </row>
    <row r="1197" spans="1:4" x14ac:dyDescent="0.45">
      <c r="A1197">
        <v>132</v>
      </c>
      <c r="B1197">
        <f t="shared" ca="1" si="18"/>
        <v>35</v>
      </c>
      <c r="C11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7" t="str">
        <f ca="1">IF(dict_zuord_Transfers_Storages[[#This Row],[kval_active]],dict_zuord_Transfers_Storages[[#This Row],[ID_Storages]],"")</f>
        <v/>
      </c>
    </row>
    <row r="1198" spans="1:4" x14ac:dyDescent="0.45">
      <c r="A1198">
        <v>132</v>
      </c>
      <c r="B1198">
        <f t="shared" ca="1" si="18"/>
        <v>9</v>
      </c>
      <c r="C11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8" t="str">
        <f ca="1">IF(dict_zuord_Transfers_Storages[[#This Row],[kval_active]],dict_zuord_Transfers_Storages[[#This Row],[ID_Storages]],"")</f>
        <v/>
      </c>
    </row>
    <row r="1199" spans="1:4" x14ac:dyDescent="0.45">
      <c r="A1199">
        <v>133</v>
      </c>
      <c r="B1199">
        <f t="shared" ca="1" si="18"/>
        <v>73</v>
      </c>
      <c r="C11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199" t="str">
        <f ca="1">IF(dict_zuord_Transfers_Storages[[#This Row],[kval_active]],dict_zuord_Transfers_Storages[[#This Row],[ID_Storages]],"")</f>
        <v/>
      </c>
    </row>
    <row r="1200" spans="1:4" x14ac:dyDescent="0.45">
      <c r="A1200">
        <v>133</v>
      </c>
      <c r="B1200">
        <f t="shared" ca="1" si="18"/>
        <v>45</v>
      </c>
      <c r="C12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0" t="str">
        <f ca="1">IF(dict_zuord_Transfers_Storages[[#This Row],[kval_active]],dict_zuord_Transfers_Storages[[#This Row],[ID_Storages]],"")</f>
        <v/>
      </c>
    </row>
    <row r="1201" spans="1:4" x14ac:dyDescent="0.45">
      <c r="A1201">
        <v>133</v>
      </c>
      <c r="B1201">
        <f t="shared" ca="1" si="18"/>
        <v>51</v>
      </c>
      <c r="C12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1" t="str">
        <f ca="1">IF(dict_zuord_Transfers_Storages[[#This Row],[kval_active]],dict_zuord_Transfers_Storages[[#This Row],[ID_Storages]],"")</f>
        <v/>
      </c>
    </row>
    <row r="1202" spans="1:4" x14ac:dyDescent="0.45">
      <c r="A1202">
        <v>133</v>
      </c>
      <c r="B1202">
        <f t="shared" ca="1" si="18"/>
        <v>3</v>
      </c>
      <c r="C12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2" t="str">
        <f ca="1">IF(dict_zuord_Transfers_Storages[[#This Row],[kval_active]],dict_zuord_Transfers_Storages[[#This Row],[ID_Storages]],"")</f>
        <v/>
      </c>
    </row>
    <row r="1203" spans="1:4" x14ac:dyDescent="0.45">
      <c r="A1203">
        <v>133</v>
      </c>
      <c r="B1203">
        <f t="shared" ca="1" si="18"/>
        <v>45</v>
      </c>
      <c r="C12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3" t="str">
        <f ca="1">IF(dict_zuord_Transfers_Storages[[#This Row],[kval_active]],dict_zuord_Transfers_Storages[[#This Row],[ID_Storages]],"")</f>
        <v/>
      </c>
    </row>
    <row r="1204" spans="1:4" x14ac:dyDescent="0.45">
      <c r="A1204">
        <v>133</v>
      </c>
      <c r="B1204">
        <f t="shared" ca="1" si="18"/>
        <v>7</v>
      </c>
      <c r="C12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4" t="str">
        <f ca="1">IF(dict_zuord_Transfers_Storages[[#This Row],[kval_active]],dict_zuord_Transfers_Storages[[#This Row],[ID_Storages]],"")</f>
        <v/>
      </c>
    </row>
    <row r="1205" spans="1:4" x14ac:dyDescent="0.45">
      <c r="A1205">
        <v>133</v>
      </c>
      <c r="B1205">
        <f t="shared" ca="1" si="18"/>
        <v>68</v>
      </c>
      <c r="C12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5" t="str">
        <f ca="1">IF(dict_zuord_Transfers_Storages[[#This Row],[kval_active]],dict_zuord_Transfers_Storages[[#This Row],[ID_Storages]],"")</f>
        <v/>
      </c>
    </row>
    <row r="1206" spans="1:4" x14ac:dyDescent="0.45">
      <c r="A1206">
        <v>133</v>
      </c>
      <c r="B1206">
        <f t="shared" ca="1" si="18"/>
        <v>32</v>
      </c>
      <c r="C12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6" t="str">
        <f ca="1">IF(dict_zuord_Transfers_Storages[[#This Row],[kval_active]],dict_zuord_Transfers_Storages[[#This Row],[ID_Storages]],"")</f>
        <v/>
      </c>
    </row>
    <row r="1207" spans="1:4" x14ac:dyDescent="0.45">
      <c r="A1207">
        <v>133</v>
      </c>
      <c r="B1207">
        <f t="shared" ca="1" si="18"/>
        <v>81</v>
      </c>
      <c r="C12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7" t="str">
        <f ca="1">IF(dict_zuord_Transfers_Storages[[#This Row],[kval_active]],dict_zuord_Transfers_Storages[[#This Row],[ID_Storages]],"")</f>
        <v/>
      </c>
    </row>
    <row r="1208" spans="1:4" x14ac:dyDescent="0.45">
      <c r="A1208">
        <v>134</v>
      </c>
      <c r="B1208">
        <f t="shared" ca="1" si="18"/>
        <v>87</v>
      </c>
      <c r="C12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8" t="str">
        <f ca="1">IF(dict_zuord_Transfers_Storages[[#This Row],[kval_active]],dict_zuord_Transfers_Storages[[#This Row],[ID_Storages]],"")</f>
        <v/>
      </c>
    </row>
    <row r="1209" spans="1:4" x14ac:dyDescent="0.45">
      <c r="A1209">
        <v>134</v>
      </c>
      <c r="B1209">
        <f t="shared" ca="1" si="18"/>
        <v>69</v>
      </c>
      <c r="C12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09" t="str">
        <f ca="1">IF(dict_zuord_Transfers_Storages[[#This Row],[kval_active]],dict_zuord_Transfers_Storages[[#This Row],[ID_Storages]],"")</f>
        <v/>
      </c>
    </row>
    <row r="1210" spans="1:4" x14ac:dyDescent="0.45">
      <c r="A1210">
        <v>134</v>
      </c>
      <c r="B1210">
        <f t="shared" ca="1" si="18"/>
        <v>65</v>
      </c>
      <c r="C12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0" t="str">
        <f ca="1">IF(dict_zuord_Transfers_Storages[[#This Row],[kval_active]],dict_zuord_Transfers_Storages[[#This Row],[ID_Storages]],"")</f>
        <v/>
      </c>
    </row>
    <row r="1211" spans="1:4" x14ac:dyDescent="0.45">
      <c r="A1211">
        <v>134</v>
      </c>
      <c r="B1211">
        <f t="shared" ca="1" si="18"/>
        <v>82</v>
      </c>
      <c r="C12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1" t="str">
        <f ca="1">IF(dict_zuord_Transfers_Storages[[#This Row],[kval_active]],dict_zuord_Transfers_Storages[[#This Row],[ID_Storages]],"")</f>
        <v/>
      </c>
    </row>
    <row r="1212" spans="1:4" x14ac:dyDescent="0.45">
      <c r="A1212">
        <v>134</v>
      </c>
      <c r="B1212">
        <f t="shared" ca="1" si="18"/>
        <v>73</v>
      </c>
      <c r="C12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2" t="str">
        <f ca="1">IF(dict_zuord_Transfers_Storages[[#This Row],[kval_active]],dict_zuord_Transfers_Storages[[#This Row],[ID_Storages]],"")</f>
        <v/>
      </c>
    </row>
    <row r="1213" spans="1:4" x14ac:dyDescent="0.45">
      <c r="A1213">
        <v>134</v>
      </c>
      <c r="B1213">
        <f t="shared" ca="1" si="18"/>
        <v>29</v>
      </c>
      <c r="C12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3" t="str">
        <f ca="1">IF(dict_zuord_Transfers_Storages[[#This Row],[kval_active]],dict_zuord_Transfers_Storages[[#This Row],[ID_Storages]],"")</f>
        <v/>
      </c>
    </row>
    <row r="1214" spans="1:4" x14ac:dyDescent="0.45">
      <c r="A1214">
        <v>134</v>
      </c>
      <c r="B1214">
        <f t="shared" ca="1" si="18"/>
        <v>60</v>
      </c>
      <c r="C12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4" t="str">
        <f ca="1">IF(dict_zuord_Transfers_Storages[[#This Row],[kval_active]],dict_zuord_Transfers_Storages[[#This Row],[ID_Storages]],"")</f>
        <v/>
      </c>
    </row>
    <row r="1215" spans="1:4" x14ac:dyDescent="0.45">
      <c r="A1215">
        <v>134</v>
      </c>
      <c r="B1215">
        <f t="shared" ca="1" si="18"/>
        <v>12</v>
      </c>
      <c r="C12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5" t="str">
        <f ca="1">IF(dict_zuord_Transfers_Storages[[#This Row],[kval_active]],dict_zuord_Transfers_Storages[[#This Row],[ID_Storages]],"")</f>
        <v/>
      </c>
    </row>
    <row r="1216" spans="1:4" x14ac:dyDescent="0.45">
      <c r="A1216">
        <v>134</v>
      </c>
      <c r="B1216">
        <f t="shared" ca="1" si="18"/>
        <v>61</v>
      </c>
      <c r="C12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6" t="str">
        <f ca="1">IF(dict_zuord_Transfers_Storages[[#This Row],[kval_active]],dict_zuord_Transfers_Storages[[#This Row],[ID_Storages]],"")</f>
        <v/>
      </c>
    </row>
    <row r="1217" spans="1:4" x14ac:dyDescent="0.45">
      <c r="A1217">
        <v>135</v>
      </c>
      <c r="B1217">
        <f t="shared" ca="1" si="18"/>
        <v>6</v>
      </c>
      <c r="C12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7" t="str">
        <f ca="1">IF(dict_zuord_Transfers_Storages[[#This Row],[kval_active]],dict_zuord_Transfers_Storages[[#This Row],[ID_Storages]],"")</f>
        <v/>
      </c>
    </row>
    <row r="1218" spans="1:4" x14ac:dyDescent="0.45">
      <c r="A1218">
        <v>135</v>
      </c>
      <c r="B1218">
        <f t="shared" ref="B1218:B1281" ca="1" si="19">RANDBETWEEN(0,100)</f>
        <v>24</v>
      </c>
      <c r="C12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8" t="str">
        <f ca="1">IF(dict_zuord_Transfers_Storages[[#This Row],[kval_active]],dict_zuord_Transfers_Storages[[#This Row],[ID_Storages]],"")</f>
        <v/>
      </c>
    </row>
    <row r="1219" spans="1:4" x14ac:dyDescent="0.45">
      <c r="A1219">
        <v>135</v>
      </c>
      <c r="B1219">
        <f t="shared" ca="1" si="19"/>
        <v>78</v>
      </c>
      <c r="C12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19" t="str">
        <f ca="1">IF(dict_zuord_Transfers_Storages[[#This Row],[kval_active]],dict_zuord_Transfers_Storages[[#This Row],[ID_Storages]],"")</f>
        <v/>
      </c>
    </row>
    <row r="1220" spans="1:4" x14ac:dyDescent="0.45">
      <c r="A1220">
        <v>135</v>
      </c>
      <c r="B1220">
        <f t="shared" ca="1" si="19"/>
        <v>36</v>
      </c>
      <c r="C12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0" t="str">
        <f ca="1">IF(dict_zuord_Transfers_Storages[[#This Row],[kval_active]],dict_zuord_Transfers_Storages[[#This Row],[ID_Storages]],"")</f>
        <v/>
      </c>
    </row>
    <row r="1221" spans="1:4" x14ac:dyDescent="0.45">
      <c r="A1221">
        <v>135</v>
      </c>
      <c r="B1221">
        <f t="shared" ca="1" si="19"/>
        <v>6</v>
      </c>
      <c r="C12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1" t="str">
        <f ca="1">IF(dict_zuord_Transfers_Storages[[#This Row],[kval_active]],dict_zuord_Transfers_Storages[[#This Row],[ID_Storages]],"")</f>
        <v/>
      </c>
    </row>
    <row r="1222" spans="1:4" x14ac:dyDescent="0.45">
      <c r="A1222">
        <v>135</v>
      </c>
      <c r="B1222">
        <f t="shared" ca="1" si="19"/>
        <v>32</v>
      </c>
      <c r="C12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2" t="str">
        <f ca="1">IF(dict_zuord_Transfers_Storages[[#This Row],[kval_active]],dict_zuord_Transfers_Storages[[#This Row],[ID_Storages]],"")</f>
        <v/>
      </c>
    </row>
    <row r="1223" spans="1:4" x14ac:dyDescent="0.45">
      <c r="A1223">
        <v>135</v>
      </c>
      <c r="B1223">
        <f t="shared" ca="1" si="19"/>
        <v>74</v>
      </c>
      <c r="C12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3" t="str">
        <f ca="1">IF(dict_zuord_Transfers_Storages[[#This Row],[kval_active]],dict_zuord_Transfers_Storages[[#This Row],[ID_Storages]],"")</f>
        <v/>
      </c>
    </row>
    <row r="1224" spans="1:4" x14ac:dyDescent="0.45">
      <c r="A1224">
        <v>135</v>
      </c>
      <c r="B1224">
        <f t="shared" ca="1" si="19"/>
        <v>76</v>
      </c>
      <c r="C12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4" t="str">
        <f ca="1">IF(dict_zuord_Transfers_Storages[[#This Row],[kval_active]],dict_zuord_Transfers_Storages[[#This Row],[ID_Storages]],"")</f>
        <v/>
      </c>
    </row>
    <row r="1225" spans="1:4" x14ac:dyDescent="0.45">
      <c r="A1225">
        <v>135</v>
      </c>
      <c r="B1225">
        <f t="shared" ca="1" si="19"/>
        <v>98</v>
      </c>
      <c r="C12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25" t="str">
        <f ca="1">IF(dict_zuord_Transfers_Storages[[#This Row],[kval_active]],dict_zuord_Transfers_Storages[[#This Row],[ID_Storages]],"")</f>
        <v/>
      </c>
    </row>
    <row r="1226" spans="1:4" x14ac:dyDescent="0.45">
      <c r="A1226">
        <v>136</v>
      </c>
      <c r="B1226">
        <f t="shared" ca="1" si="19"/>
        <v>3</v>
      </c>
      <c r="C12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6">
        <f ca="1">IF(dict_zuord_Transfers_Storages[[#This Row],[kval_active]],dict_zuord_Transfers_Storages[[#This Row],[ID_Storages]],"")</f>
        <v>3</v>
      </c>
    </row>
    <row r="1227" spans="1:4" x14ac:dyDescent="0.45">
      <c r="A1227">
        <v>136</v>
      </c>
      <c r="B1227">
        <f t="shared" ca="1" si="19"/>
        <v>6</v>
      </c>
      <c r="C12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7">
        <f ca="1">IF(dict_zuord_Transfers_Storages[[#This Row],[kval_active]],dict_zuord_Transfers_Storages[[#This Row],[ID_Storages]],"")</f>
        <v>6</v>
      </c>
    </row>
    <row r="1228" spans="1:4" x14ac:dyDescent="0.45">
      <c r="A1228">
        <v>136</v>
      </c>
      <c r="B1228">
        <f t="shared" ca="1" si="19"/>
        <v>92</v>
      </c>
      <c r="C12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8">
        <f ca="1">IF(dict_zuord_Transfers_Storages[[#This Row],[kval_active]],dict_zuord_Transfers_Storages[[#This Row],[ID_Storages]],"")</f>
        <v>92</v>
      </c>
    </row>
    <row r="1229" spans="1:4" x14ac:dyDescent="0.45">
      <c r="A1229">
        <v>136</v>
      </c>
      <c r="B1229">
        <f t="shared" ca="1" si="19"/>
        <v>8</v>
      </c>
      <c r="C12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29">
        <f ca="1">IF(dict_zuord_Transfers_Storages[[#This Row],[kval_active]],dict_zuord_Transfers_Storages[[#This Row],[ID_Storages]],"")</f>
        <v>8</v>
      </c>
    </row>
    <row r="1230" spans="1:4" x14ac:dyDescent="0.45">
      <c r="A1230">
        <v>136</v>
      </c>
      <c r="B1230">
        <f t="shared" ca="1" si="19"/>
        <v>30</v>
      </c>
      <c r="C12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0">
        <f ca="1">IF(dict_zuord_Transfers_Storages[[#This Row],[kval_active]],dict_zuord_Transfers_Storages[[#This Row],[ID_Storages]],"")</f>
        <v>30</v>
      </c>
    </row>
    <row r="1231" spans="1:4" x14ac:dyDescent="0.45">
      <c r="A1231">
        <v>136</v>
      </c>
      <c r="B1231">
        <f t="shared" ca="1" si="19"/>
        <v>94</v>
      </c>
      <c r="C12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1">
        <f ca="1">IF(dict_zuord_Transfers_Storages[[#This Row],[kval_active]],dict_zuord_Transfers_Storages[[#This Row],[ID_Storages]],"")</f>
        <v>94</v>
      </c>
    </row>
    <row r="1232" spans="1:4" x14ac:dyDescent="0.45">
      <c r="A1232">
        <v>136</v>
      </c>
      <c r="B1232">
        <f t="shared" ca="1" si="19"/>
        <v>80</v>
      </c>
      <c r="C12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2">
        <f ca="1">IF(dict_zuord_Transfers_Storages[[#This Row],[kval_active]],dict_zuord_Transfers_Storages[[#This Row],[ID_Storages]],"")</f>
        <v>80</v>
      </c>
    </row>
    <row r="1233" spans="1:4" x14ac:dyDescent="0.45">
      <c r="A1233">
        <v>136</v>
      </c>
      <c r="B1233">
        <f t="shared" ca="1" si="19"/>
        <v>15</v>
      </c>
      <c r="C12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3">
        <f ca="1">IF(dict_zuord_Transfers_Storages[[#This Row],[kval_active]],dict_zuord_Transfers_Storages[[#This Row],[ID_Storages]],"")</f>
        <v>15</v>
      </c>
    </row>
    <row r="1234" spans="1:4" x14ac:dyDescent="0.45">
      <c r="A1234">
        <v>136</v>
      </c>
      <c r="B1234">
        <f t="shared" ca="1" si="19"/>
        <v>42</v>
      </c>
      <c r="C12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4">
        <f ca="1">IF(dict_zuord_Transfers_Storages[[#This Row],[kval_active]],dict_zuord_Transfers_Storages[[#This Row],[ID_Storages]],"")</f>
        <v>42</v>
      </c>
    </row>
    <row r="1235" spans="1:4" x14ac:dyDescent="0.45">
      <c r="A1235">
        <v>137</v>
      </c>
      <c r="B1235">
        <f t="shared" ca="1" si="19"/>
        <v>53</v>
      </c>
      <c r="C12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5">
        <f ca="1">IF(dict_zuord_Transfers_Storages[[#This Row],[kval_active]],dict_zuord_Transfers_Storages[[#This Row],[ID_Storages]],"")</f>
        <v>53</v>
      </c>
    </row>
    <row r="1236" spans="1:4" x14ac:dyDescent="0.45">
      <c r="A1236">
        <v>137</v>
      </c>
      <c r="B1236">
        <f t="shared" ca="1" si="19"/>
        <v>39</v>
      </c>
      <c r="C12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6">
        <f ca="1">IF(dict_zuord_Transfers_Storages[[#This Row],[kval_active]],dict_zuord_Transfers_Storages[[#This Row],[ID_Storages]],"")</f>
        <v>39</v>
      </c>
    </row>
    <row r="1237" spans="1:4" x14ac:dyDescent="0.45">
      <c r="A1237">
        <v>137</v>
      </c>
      <c r="B1237">
        <f t="shared" ca="1" si="19"/>
        <v>37</v>
      </c>
      <c r="C12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7">
        <f ca="1">IF(dict_zuord_Transfers_Storages[[#This Row],[kval_active]],dict_zuord_Transfers_Storages[[#This Row],[ID_Storages]],"")</f>
        <v>37</v>
      </c>
    </row>
    <row r="1238" spans="1:4" x14ac:dyDescent="0.45">
      <c r="A1238">
        <v>137</v>
      </c>
      <c r="B1238">
        <f t="shared" ca="1" si="19"/>
        <v>52</v>
      </c>
      <c r="C12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8">
        <f ca="1">IF(dict_zuord_Transfers_Storages[[#This Row],[kval_active]],dict_zuord_Transfers_Storages[[#This Row],[ID_Storages]],"")</f>
        <v>52</v>
      </c>
    </row>
    <row r="1239" spans="1:4" x14ac:dyDescent="0.45">
      <c r="A1239">
        <v>137</v>
      </c>
      <c r="B1239">
        <f t="shared" ca="1" si="19"/>
        <v>44</v>
      </c>
      <c r="C12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39">
        <f ca="1">IF(dict_zuord_Transfers_Storages[[#This Row],[kval_active]],dict_zuord_Transfers_Storages[[#This Row],[ID_Storages]],"")</f>
        <v>44</v>
      </c>
    </row>
    <row r="1240" spans="1:4" x14ac:dyDescent="0.45">
      <c r="A1240">
        <v>137</v>
      </c>
      <c r="B1240">
        <f t="shared" ca="1" si="19"/>
        <v>0</v>
      </c>
      <c r="C12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0">
        <f ca="1">IF(dict_zuord_Transfers_Storages[[#This Row],[kval_active]],dict_zuord_Transfers_Storages[[#This Row],[ID_Storages]],"")</f>
        <v>0</v>
      </c>
    </row>
    <row r="1241" spans="1:4" x14ac:dyDescent="0.45">
      <c r="A1241">
        <v>137</v>
      </c>
      <c r="B1241">
        <f t="shared" ca="1" si="19"/>
        <v>86</v>
      </c>
      <c r="C12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1">
        <f ca="1">IF(dict_zuord_Transfers_Storages[[#This Row],[kval_active]],dict_zuord_Transfers_Storages[[#This Row],[ID_Storages]],"")</f>
        <v>86</v>
      </c>
    </row>
    <row r="1242" spans="1:4" x14ac:dyDescent="0.45">
      <c r="A1242">
        <v>137</v>
      </c>
      <c r="B1242">
        <f t="shared" ca="1" si="19"/>
        <v>46</v>
      </c>
      <c r="C12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2">
        <f ca="1">IF(dict_zuord_Transfers_Storages[[#This Row],[kval_active]],dict_zuord_Transfers_Storages[[#This Row],[ID_Storages]],"")</f>
        <v>46</v>
      </c>
    </row>
    <row r="1243" spans="1:4" x14ac:dyDescent="0.45">
      <c r="A1243">
        <v>137</v>
      </c>
      <c r="B1243">
        <f t="shared" ca="1" si="19"/>
        <v>69</v>
      </c>
      <c r="C12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3">
        <f ca="1">IF(dict_zuord_Transfers_Storages[[#This Row],[kval_active]],dict_zuord_Transfers_Storages[[#This Row],[ID_Storages]],"")</f>
        <v>69</v>
      </c>
    </row>
    <row r="1244" spans="1:4" x14ac:dyDescent="0.45">
      <c r="A1244">
        <v>138</v>
      </c>
      <c r="B1244">
        <f t="shared" ca="1" si="19"/>
        <v>37</v>
      </c>
      <c r="C12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4">
        <f ca="1">IF(dict_zuord_Transfers_Storages[[#This Row],[kval_active]],dict_zuord_Transfers_Storages[[#This Row],[ID_Storages]],"")</f>
        <v>37</v>
      </c>
    </row>
    <row r="1245" spans="1:4" x14ac:dyDescent="0.45">
      <c r="A1245">
        <v>138</v>
      </c>
      <c r="B1245">
        <f t="shared" ca="1" si="19"/>
        <v>59</v>
      </c>
      <c r="C12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5">
        <f ca="1">IF(dict_zuord_Transfers_Storages[[#This Row],[kval_active]],dict_zuord_Transfers_Storages[[#This Row],[ID_Storages]],"")</f>
        <v>59</v>
      </c>
    </row>
    <row r="1246" spans="1:4" x14ac:dyDescent="0.45">
      <c r="A1246">
        <v>138</v>
      </c>
      <c r="B1246">
        <f t="shared" ca="1" si="19"/>
        <v>77</v>
      </c>
      <c r="C12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6">
        <f ca="1">IF(dict_zuord_Transfers_Storages[[#This Row],[kval_active]],dict_zuord_Transfers_Storages[[#This Row],[ID_Storages]],"")</f>
        <v>77</v>
      </c>
    </row>
    <row r="1247" spans="1:4" x14ac:dyDescent="0.45">
      <c r="A1247">
        <v>138</v>
      </c>
      <c r="B1247">
        <f t="shared" ca="1" si="19"/>
        <v>89</v>
      </c>
      <c r="C12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7">
        <f ca="1">IF(dict_zuord_Transfers_Storages[[#This Row],[kval_active]],dict_zuord_Transfers_Storages[[#This Row],[ID_Storages]],"")</f>
        <v>89</v>
      </c>
    </row>
    <row r="1248" spans="1:4" x14ac:dyDescent="0.45">
      <c r="A1248">
        <v>138</v>
      </c>
      <c r="B1248">
        <f t="shared" ca="1" si="19"/>
        <v>6</v>
      </c>
      <c r="C12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8">
        <f ca="1">IF(dict_zuord_Transfers_Storages[[#This Row],[kval_active]],dict_zuord_Transfers_Storages[[#This Row],[ID_Storages]],"")</f>
        <v>6</v>
      </c>
    </row>
    <row r="1249" spans="1:4" x14ac:dyDescent="0.45">
      <c r="A1249">
        <v>138</v>
      </c>
      <c r="B1249">
        <f t="shared" ca="1" si="19"/>
        <v>81</v>
      </c>
      <c r="C12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49">
        <f ca="1">IF(dict_zuord_Transfers_Storages[[#This Row],[kval_active]],dict_zuord_Transfers_Storages[[#This Row],[ID_Storages]],"")</f>
        <v>81</v>
      </c>
    </row>
    <row r="1250" spans="1:4" x14ac:dyDescent="0.45">
      <c r="A1250">
        <v>138</v>
      </c>
      <c r="B1250">
        <f t="shared" ca="1" si="19"/>
        <v>54</v>
      </c>
      <c r="C12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0">
        <f ca="1">IF(dict_zuord_Transfers_Storages[[#This Row],[kval_active]],dict_zuord_Transfers_Storages[[#This Row],[ID_Storages]],"")</f>
        <v>54</v>
      </c>
    </row>
    <row r="1251" spans="1:4" x14ac:dyDescent="0.45">
      <c r="A1251">
        <v>138</v>
      </c>
      <c r="B1251">
        <f t="shared" ca="1" si="19"/>
        <v>78</v>
      </c>
      <c r="C12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1">
        <f ca="1">IF(dict_zuord_Transfers_Storages[[#This Row],[kval_active]],dict_zuord_Transfers_Storages[[#This Row],[ID_Storages]],"")</f>
        <v>78</v>
      </c>
    </row>
    <row r="1252" spans="1:4" x14ac:dyDescent="0.45">
      <c r="A1252">
        <v>138</v>
      </c>
      <c r="B1252">
        <f t="shared" ca="1" si="19"/>
        <v>53</v>
      </c>
      <c r="C12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2">
        <f ca="1">IF(dict_zuord_Transfers_Storages[[#This Row],[kval_active]],dict_zuord_Transfers_Storages[[#This Row],[ID_Storages]],"")</f>
        <v>53</v>
      </c>
    </row>
    <row r="1253" spans="1:4" x14ac:dyDescent="0.45">
      <c r="A1253">
        <v>139</v>
      </c>
      <c r="B1253">
        <f t="shared" ca="1" si="19"/>
        <v>27</v>
      </c>
      <c r="C12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3">
        <f ca="1">IF(dict_zuord_Transfers_Storages[[#This Row],[kval_active]],dict_zuord_Transfers_Storages[[#This Row],[ID_Storages]],"")</f>
        <v>27</v>
      </c>
    </row>
    <row r="1254" spans="1:4" x14ac:dyDescent="0.45">
      <c r="A1254">
        <v>139</v>
      </c>
      <c r="B1254">
        <f t="shared" ca="1" si="19"/>
        <v>69</v>
      </c>
      <c r="C12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4">
        <f ca="1">IF(dict_zuord_Transfers_Storages[[#This Row],[kval_active]],dict_zuord_Transfers_Storages[[#This Row],[ID_Storages]],"")</f>
        <v>69</v>
      </c>
    </row>
    <row r="1255" spans="1:4" x14ac:dyDescent="0.45">
      <c r="A1255">
        <v>139</v>
      </c>
      <c r="B1255">
        <f t="shared" ca="1" si="19"/>
        <v>12</v>
      </c>
      <c r="C12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5">
        <f ca="1">IF(dict_zuord_Transfers_Storages[[#This Row],[kval_active]],dict_zuord_Transfers_Storages[[#This Row],[ID_Storages]],"")</f>
        <v>12</v>
      </c>
    </row>
    <row r="1256" spans="1:4" x14ac:dyDescent="0.45">
      <c r="A1256">
        <v>139</v>
      </c>
      <c r="B1256">
        <f t="shared" ca="1" si="19"/>
        <v>86</v>
      </c>
      <c r="C12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6">
        <f ca="1">IF(dict_zuord_Transfers_Storages[[#This Row],[kval_active]],dict_zuord_Transfers_Storages[[#This Row],[ID_Storages]],"")</f>
        <v>86</v>
      </c>
    </row>
    <row r="1257" spans="1:4" x14ac:dyDescent="0.45">
      <c r="A1257">
        <v>139</v>
      </c>
      <c r="B1257">
        <f t="shared" ca="1" si="19"/>
        <v>0</v>
      </c>
      <c r="C12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7">
        <f ca="1">IF(dict_zuord_Transfers_Storages[[#This Row],[kval_active]],dict_zuord_Transfers_Storages[[#This Row],[ID_Storages]],"")</f>
        <v>0</v>
      </c>
    </row>
    <row r="1258" spans="1:4" x14ac:dyDescent="0.45">
      <c r="A1258">
        <v>139</v>
      </c>
      <c r="B1258">
        <f t="shared" ca="1" si="19"/>
        <v>56</v>
      </c>
      <c r="C12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8">
        <f ca="1">IF(dict_zuord_Transfers_Storages[[#This Row],[kval_active]],dict_zuord_Transfers_Storages[[#This Row],[ID_Storages]],"")</f>
        <v>56</v>
      </c>
    </row>
    <row r="1259" spans="1:4" x14ac:dyDescent="0.45">
      <c r="A1259">
        <v>139</v>
      </c>
      <c r="B1259">
        <f t="shared" ca="1" si="19"/>
        <v>6</v>
      </c>
      <c r="C12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59">
        <f ca="1">IF(dict_zuord_Transfers_Storages[[#This Row],[kval_active]],dict_zuord_Transfers_Storages[[#This Row],[ID_Storages]],"")</f>
        <v>6</v>
      </c>
    </row>
    <row r="1260" spans="1:4" x14ac:dyDescent="0.45">
      <c r="A1260">
        <v>139</v>
      </c>
      <c r="B1260">
        <f t="shared" ca="1" si="19"/>
        <v>42</v>
      </c>
      <c r="C12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0">
        <f ca="1">IF(dict_zuord_Transfers_Storages[[#This Row],[kval_active]],dict_zuord_Transfers_Storages[[#This Row],[ID_Storages]],"")</f>
        <v>42</v>
      </c>
    </row>
    <row r="1261" spans="1:4" x14ac:dyDescent="0.45">
      <c r="A1261">
        <v>139</v>
      </c>
      <c r="B1261">
        <f t="shared" ca="1" si="19"/>
        <v>66</v>
      </c>
      <c r="C12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61">
        <f ca="1">IF(dict_zuord_Transfers_Storages[[#This Row],[kval_active]],dict_zuord_Transfers_Storages[[#This Row],[ID_Storages]],"")</f>
        <v>66</v>
      </c>
    </row>
    <row r="1262" spans="1:4" x14ac:dyDescent="0.45">
      <c r="A1262">
        <v>140</v>
      </c>
      <c r="B1262">
        <f t="shared" ca="1" si="19"/>
        <v>30</v>
      </c>
      <c r="C12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2" t="str">
        <f ca="1">IF(dict_zuord_Transfers_Storages[[#This Row],[kval_active]],dict_zuord_Transfers_Storages[[#This Row],[ID_Storages]],"")</f>
        <v/>
      </c>
    </row>
    <row r="1263" spans="1:4" x14ac:dyDescent="0.45">
      <c r="A1263">
        <v>140</v>
      </c>
      <c r="B1263">
        <f t="shared" ca="1" si="19"/>
        <v>49</v>
      </c>
      <c r="C12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3" t="str">
        <f ca="1">IF(dict_zuord_Transfers_Storages[[#This Row],[kval_active]],dict_zuord_Transfers_Storages[[#This Row],[ID_Storages]],"")</f>
        <v/>
      </c>
    </row>
    <row r="1264" spans="1:4" x14ac:dyDescent="0.45">
      <c r="A1264">
        <v>140</v>
      </c>
      <c r="B1264">
        <f t="shared" ca="1" si="19"/>
        <v>78</v>
      </c>
      <c r="C12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4" t="str">
        <f ca="1">IF(dict_zuord_Transfers_Storages[[#This Row],[kval_active]],dict_zuord_Transfers_Storages[[#This Row],[ID_Storages]],"")</f>
        <v/>
      </c>
    </row>
    <row r="1265" spans="1:4" x14ac:dyDescent="0.45">
      <c r="A1265">
        <v>140</v>
      </c>
      <c r="B1265">
        <f t="shared" ca="1" si="19"/>
        <v>18</v>
      </c>
      <c r="C12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5" t="str">
        <f ca="1">IF(dict_zuord_Transfers_Storages[[#This Row],[kval_active]],dict_zuord_Transfers_Storages[[#This Row],[ID_Storages]],"")</f>
        <v/>
      </c>
    </row>
    <row r="1266" spans="1:4" x14ac:dyDescent="0.45">
      <c r="A1266">
        <v>140</v>
      </c>
      <c r="B1266">
        <f t="shared" ca="1" si="19"/>
        <v>2</v>
      </c>
      <c r="C12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6" t="str">
        <f ca="1">IF(dict_zuord_Transfers_Storages[[#This Row],[kval_active]],dict_zuord_Transfers_Storages[[#This Row],[ID_Storages]],"")</f>
        <v/>
      </c>
    </row>
    <row r="1267" spans="1:4" x14ac:dyDescent="0.45">
      <c r="A1267">
        <v>140</v>
      </c>
      <c r="B1267">
        <f t="shared" ca="1" si="19"/>
        <v>79</v>
      </c>
      <c r="C12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7" t="str">
        <f ca="1">IF(dict_zuord_Transfers_Storages[[#This Row],[kval_active]],dict_zuord_Transfers_Storages[[#This Row],[ID_Storages]],"")</f>
        <v/>
      </c>
    </row>
    <row r="1268" spans="1:4" x14ac:dyDescent="0.45">
      <c r="A1268">
        <v>140</v>
      </c>
      <c r="B1268">
        <f t="shared" ca="1" si="19"/>
        <v>95</v>
      </c>
      <c r="C12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8" t="str">
        <f ca="1">IF(dict_zuord_Transfers_Storages[[#This Row],[kval_active]],dict_zuord_Transfers_Storages[[#This Row],[ID_Storages]],"")</f>
        <v/>
      </c>
    </row>
    <row r="1269" spans="1:4" x14ac:dyDescent="0.45">
      <c r="A1269">
        <v>140</v>
      </c>
      <c r="B1269">
        <f t="shared" ca="1" si="19"/>
        <v>79</v>
      </c>
      <c r="C12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69" t="str">
        <f ca="1">IF(dict_zuord_Transfers_Storages[[#This Row],[kval_active]],dict_zuord_Transfers_Storages[[#This Row],[ID_Storages]],"")</f>
        <v/>
      </c>
    </row>
    <row r="1270" spans="1:4" x14ac:dyDescent="0.45">
      <c r="A1270">
        <v>140</v>
      </c>
      <c r="B1270">
        <f t="shared" ca="1" si="19"/>
        <v>17</v>
      </c>
      <c r="C12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0" t="str">
        <f ca="1">IF(dict_zuord_Transfers_Storages[[#This Row],[kval_active]],dict_zuord_Transfers_Storages[[#This Row],[ID_Storages]],"")</f>
        <v/>
      </c>
    </row>
    <row r="1271" spans="1:4" x14ac:dyDescent="0.45">
      <c r="A1271">
        <v>141</v>
      </c>
      <c r="B1271">
        <f t="shared" ca="1" si="19"/>
        <v>2</v>
      </c>
      <c r="C12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1" t="str">
        <f ca="1">IF(dict_zuord_Transfers_Storages[[#This Row],[kval_active]],dict_zuord_Transfers_Storages[[#This Row],[ID_Storages]],"")</f>
        <v/>
      </c>
    </row>
    <row r="1272" spans="1:4" x14ac:dyDescent="0.45">
      <c r="A1272">
        <v>141</v>
      </c>
      <c r="B1272">
        <f t="shared" ca="1" si="19"/>
        <v>59</v>
      </c>
      <c r="C12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2" t="str">
        <f ca="1">IF(dict_zuord_Transfers_Storages[[#This Row],[kval_active]],dict_zuord_Transfers_Storages[[#This Row],[ID_Storages]],"")</f>
        <v/>
      </c>
    </row>
    <row r="1273" spans="1:4" x14ac:dyDescent="0.45">
      <c r="A1273">
        <v>141</v>
      </c>
      <c r="B1273">
        <f t="shared" ca="1" si="19"/>
        <v>100</v>
      </c>
      <c r="C12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3" t="str">
        <f ca="1">IF(dict_zuord_Transfers_Storages[[#This Row],[kval_active]],dict_zuord_Transfers_Storages[[#This Row],[ID_Storages]],"")</f>
        <v/>
      </c>
    </row>
    <row r="1274" spans="1:4" x14ac:dyDescent="0.45">
      <c r="A1274">
        <v>141</v>
      </c>
      <c r="B1274">
        <f t="shared" ca="1" si="19"/>
        <v>58</v>
      </c>
      <c r="C12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4" t="str">
        <f ca="1">IF(dict_zuord_Transfers_Storages[[#This Row],[kval_active]],dict_zuord_Transfers_Storages[[#This Row],[ID_Storages]],"")</f>
        <v/>
      </c>
    </row>
    <row r="1275" spans="1:4" x14ac:dyDescent="0.45">
      <c r="A1275">
        <v>141</v>
      </c>
      <c r="B1275">
        <f t="shared" ca="1" si="19"/>
        <v>30</v>
      </c>
      <c r="C12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5" t="str">
        <f ca="1">IF(dict_zuord_Transfers_Storages[[#This Row],[kval_active]],dict_zuord_Transfers_Storages[[#This Row],[ID_Storages]],"")</f>
        <v/>
      </c>
    </row>
    <row r="1276" spans="1:4" x14ac:dyDescent="0.45">
      <c r="A1276">
        <v>141</v>
      </c>
      <c r="B1276">
        <f t="shared" ca="1" si="19"/>
        <v>61</v>
      </c>
      <c r="C12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6" t="str">
        <f ca="1">IF(dict_zuord_Transfers_Storages[[#This Row],[kval_active]],dict_zuord_Transfers_Storages[[#This Row],[ID_Storages]],"")</f>
        <v/>
      </c>
    </row>
    <row r="1277" spans="1:4" x14ac:dyDescent="0.45">
      <c r="A1277">
        <v>141</v>
      </c>
      <c r="B1277">
        <f t="shared" ca="1" si="19"/>
        <v>62</v>
      </c>
      <c r="C12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7" t="str">
        <f ca="1">IF(dict_zuord_Transfers_Storages[[#This Row],[kval_active]],dict_zuord_Transfers_Storages[[#This Row],[ID_Storages]],"")</f>
        <v/>
      </c>
    </row>
    <row r="1278" spans="1:4" x14ac:dyDescent="0.45">
      <c r="A1278">
        <v>141</v>
      </c>
      <c r="B1278">
        <f t="shared" ca="1" si="19"/>
        <v>43</v>
      </c>
      <c r="C12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8" t="str">
        <f ca="1">IF(dict_zuord_Transfers_Storages[[#This Row],[kval_active]],dict_zuord_Transfers_Storages[[#This Row],[ID_Storages]],"")</f>
        <v/>
      </c>
    </row>
    <row r="1279" spans="1:4" x14ac:dyDescent="0.45">
      <c r="A1279">
        <v>141</v>
      </c>
      <c r="B1279">
        <f t="shared" ca="1" si="19"/>
        <v>90</v>
      </c>
      <c r="C12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79" t="str">
        <f ca="1">IF(dict_zuord_Transfers_Storages[[#This Row],[kval_active]],dict_zuord_Transfers_Storages[[#This Row],[ID_Storages]],"")</f>
        <v/>
      </c>
    </row>
    <row r="1280" spans="1:4" x14ac:dyDescent="0.45">
      <c r="A1280">
        <v>142</v>
      </c>
      <c r="B1280">
        <f t="shared" ca="1" si="19"/>
        <v>50</v>
      </c>
      <c r="C12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0">
        <f ca="1">IF(dict_zuord_Transfers_Storages[[#This Row],[kval_active]],dict_zuord_Transfers_Storages[[#This Row],[ID_Storages]],"")</f>
        <v>50</v>
      </c>
    </row>
    <row r="1281" spans="1:4" x14ac:dyDescent="0.45">
      <c r="A1281">
        <v>142</v>
      </c>
      <c r="B1281">
        <f t="shared" ca="1" si="19"/>
        <v>97</v>
      </c>
      <c r="C12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1">
        <f ca="1">IF(dict_zuord_Transfers_Storages[[#This Row],[kval_active]],dict_zuord_Transfers_Storages[[#This Row],[ID_Storages]],"")</f>
        <v>97</v>
      </c>
    </row>
    <row r="1282" spans="1:4" x14ac:dyDescent="0.45">
      <c r="A1282">
        <v>142</v>
      </c>
      <c r="B1282">
        <f t="shared" ref="B1282:B1345" ca="1" si="20">RANDBETWEEN(0,100)</f>
        <v>56</v>
      </c>
      <c r="C12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2">
        <f ca="1">IF(dict_zuord_Transfers_Storages[[#This Row],[kval_active]],dict_zuord_Transfers_Storages[[#This Row],[ID_Storages]],"")</f>
        <v>56</v>
      </c>
    </row>
    <row r="1283" spans="1:4" x14ac:dyDescent="0.45">
      <c r="A1283">
        <v>142</v>
      </c>
      <c r="B1283">
        <f t="shared" ca="1" si="20"/>
        <v>99</v>
      </c>
      <c r="C12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3">
        <f ca="1">IF(dict_zuord_Transfers_Storages[[#This Row],[kval_active]],dict_zuord_Transfers_Storages[[#This Row],[ID_Storages]],"")</f>
        <v>99</v>
      </c>
    </row>
    <row r="1284" spans="1:4" x14ac:dyDescent="0.45">
      <c r="A1284">
        <v>142</v>
      </c>
      <c r="B1284">
        <f t="shared" ca="1" si="20"/>
        <v>79</v>
      </c>
      <c r="C12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4">
        <f ca="1">IF(dict_zuord_Transfers_Storages[[#This Row],[kval_active]],dict_zuord_Transfers_Storages[[#This Row],[ID_Storages]],"")</f>
        <v>79</v>
      </c>
    </row>
    <row r="1285" spans="1:4" x14ac:dyDescent="0.45">
      <c r="A1285">
        <v>142</v>
      </c>
      <c r="B1285">
        <f t="shared" ca="1" si="20"/>
        <v>19</v>
      </c>
      <c r="C12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5">
        <f ca="1">IF(dict_zuord_Transfers_Storages[[#This Row],[kval_active]],dict_zuord_Transfers_Storages[[#This Row],[ID_Storages]],"")</f>
        <v>19</v>
      </c>
    </row>
    <row r="1286" spans="1:4" x14ac:dyDescent="0.45">
      <c r="A1286">
        <v>142</v>
      </c>
      <c r="B1286">
        <f t="shared" ca="1" si="20"/>
        <v>31</v>
      </c>
      <c r="C12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6">
        <f ca="1">IF(dict_zuord_Transfers_Storages[[#This Row],[kval_active]],dict_zuord_Transfers_Storages[[#This Row],[ID_Storages]],"")</f>
        <v>31</v>
      </c>
    </row>
    <row r="1287" spans="1:4" x14ac:dyDescent="0.45">
      <c r="A1287">
        <v>142</v>
      </c>
      <c r="B1287">
        <f t="shared" ca="1" si="20"/>
        <v>13</v>
      </c>
      <c r="C12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7">
        <f ca="1">IF(dict_zuord_Transfers_Storages[[#This Row],[kval_active]],dict_zuord_Transfers_Storages[[#This Row],[ID_Storages]],"")</f>
        <v>13</v>
      </c>
    </row>
    <row r="1288" spans="1:4" x14ac:dyDescent="0.45">
      <c r="A1288">
        <v>142</v>
      </c>
      <c r="B1288">
        <f t="shared" ca="1" si="20"/>
        <v>48</v>
      </c>
      <c r="C12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8">
        <f ca="1">IF(dict_zuord_Transfers_Storages[[#This Row],[kval_active]],dict_zuord_Transfers_Storages[[#This Row],[ID_Storages]],"")</f>
        <v>48</v>
      </c>
    </row>
    <row r="1289" spans="1:4" x14ac:dyDescent="0.45">
      <c r="A1289">
        <v>143</v>
      </c>
      <c r="B1289">
        <f t="shared" ca="1" si="20"/>
        <v>38</v>
      </c>
      <c r="C12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89">
        <f ca="1">IF(dict_zuord_Transfers_Storages[[#This Row],[kval_active]],dict_zuord_Transfers_Storages[[#This Row],[ID_Storages]],"")</f>
        <v>38</v>
      </c>
    </row>
    <row r="1290" spans="1:4" x14ac:dyDescent="0.45">
      <c r="A1290">
        <v>143</v>
      </c>
      <c r="B1290">
        <f t="shared" ca="1" si="20"/>
        <v>93</v>
      </c>
      <c r="C12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0">
        <f ca="1">IF(dict_zuord_Transfers_Storages[[#This Row],[kval_active]],dict_zuord_Transfers_Storages[[#This Row],[ID_Storages]],"")</f>
        <v>93</v>
      </c>
    </row>
    <row r="1291" spans="1:4" x14ac:dyDescent="0.45">
      <c r="A1291">
        <v>143</v>
      </c>
      <c r="B1291">
        <f t="shared" ca="1" si="20"/>
        <v>98</v>
      </c>
      <c r="C12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1">
        <f ca="1">IF(dict_zuord_Transfers_Storages[[#This Row],[kval_active]],dict_zuord_Transfers_Storages[[#This Row],[ID_Storages]],"")</f>
        <v>98</v>
      </c>
    </row>
    <row r="1292" spans="1:4" x14ac:dyDescent="0.45">
      <c r="A1292">
        <v>143</v>
      </c>
      <c r="B1292">
        <f t="shared" ca="1" si="20"/>
        <v>79</v>
      </c>
      <c r="C12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2">
        <f ca="1">IF(dict_zuord_Transfers_Storages[[#This Row],[kval_active]],dict_zuord_Transfers_Storages[[#This Row],[ID_Storages]],"")</f>
        <v>79</v>
      </c>
    </row>
    <row r="1293" spans="1:4" x14ac:dyDescent="0.45">
      <c r="A1293">
        <v>143</v>
      </c>
      <c r="B1293">
        <f t="shared" ca="1" si="20"/>
        <v>91</v>
      </c>
      <c r="C12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3">
        <f ca="1">IF(dict_zuord_Transfers_Storages[[#This Row],[kval_active]],dict_zuord_Transfers_Storages[[#This Row],[ID_Storages]],"")</f>
        <v>91</v>
      </c>
    </row>
    <row r="1294" spans="1:4" x14ac:dyDescent="0.45">
      <c r="A1294">
        <v>143</v>
      </c>
      <c r="B1294">
        <f t="shared" ca="1" si="20"/>
        <v>1</v>
      </c>
      <c r="C12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4">
        <f ca="1">IF(dict_zuord_Transfers_Storages[[#This Row],[kval_active]],dict_zuord_Transfers_Storages[[#This Row],[ID_Storages]],"")</f>
        <v>1</v>
      </c>
    </row>
    <row r="1295" spans="1:4" x14ac:dyDescent="0.45">
      <c r="A1295">
        <v>143</v>
      </c>
      <c r="B1295">
        <f t="shared" ca="1" si="20"/>
        <v>29</v>
      </c>
      <c r="C12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5">
        <f ca="1">IF(dict_zuord_Transfers_Storages[[#This Row],[kval_active]],dict_zuord_Transfers_Storages[[#This Row],[ID_Storages]],"")</f>
        <v>29</v>
      </c>
    </row>
    <row r="1296" spans="1:4" x14ac:dyDescent="0.45">
      <c r="A1296">
        <v>143</v>
      </c>
      <c r="B1296">
        <f t="shared" ca="1" si="20"/>
        <v>67</v>
      </c>
      <c r="C12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6">
        <f ca="1">IF(dict_zuord_Transfers_Storages[[#This Row],[kval_active]],dict_zuord_Transfers_Storages[[#This Row],[ID_Storages]],"")</f>
        <v>67</v>
      </c>
    </row>
    <row r="1297" spans="1:4" x14ac:dyDescent="0.45">
      <c r="A1297">
        <v>143</v>
      </c>
      <c r="B1297">
        <f t="shared" ca="1" si="20"/>
        <v>88</v>
      </c>
      <c r="C12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297">
        <f ca="1">IF(dict_zuord_Transfers_Storages[[#This Row],[kval_active]],dict_zuord_Transfers_Storages[[#This Row],[ID_Storages]],"")</f>
        <v>88</v>
      </c>
    </row>
    <row r="1298" spans="1:4" x14ac:dyDescent="0.45">
      <c r="A1298">
        <v>144</v>
      </c>
      <c r="B1298">
        <f t="shared" ca="1" si="20"/>
        <v>9</v>
      </c>
      <c r="C12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8" t="str">
        <f ca="1">IF(dict_zuord_Transfers_Storages[[#This Row],[kval_active]],dict_zuord_Transfers_Storages[[#This Row],[ID_Storages]],"")</f>
        <v/>
      </c>
    </row>
    <row r="1299" spans="1:4" x14ac:dyDescent="0.45">
      <c r="A1299">
        <v>144</v>
      </c>
      <c r="B1299">
        <f t="shared" ca="1" si="20"/>
        <v>43</v>
      </c>
      <c r="C12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299" t="str">
        <f ca="1">IF(dict_zuord_Transfers_Storages[[#This Row],[kval_active]],dict_zuord_Transfers_Storages[[#This Row],[ID_Storages]],"")</f>
        <v/>
      </c>
    </row>
    <row r="1300" spans="1:4" x14ac:dyDescent="0.45">
      <c r="A1300">
        <v>144</v>
      </c>
      <c r="B1300">
        <f t="shared" ca="1" si="20"/>
        <v>72</v>
      </c>
      <c r="C13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0" t="str">
        <f ca="1">IF(dict_zuord_Transfers_Storages[[#This Row],[kval_active]],dict_zuord_Transfers_Storages[[#This Row],[ID_Storages]],"")</f>
        <v/>
      </c>
    </row>
    <row r="1301" spans="1:4" x14ac:dyDescent="0.45">
      <c r="A1301">
        <v>144</v>
      </c>
      <c r="B1301">
        <f t="shared" ca="1" si="20"/>
        <v>4</v>
      </c>
      <c r="C13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1" t="str">
        <f ca="1">IF(dict_zuord_Transfers_Storages[[#This Row],[kval_active]],dict_zuord_Transfers_Storages[[#This Row],[ID_Storages]],"")</f>
        <v/>
      </c>
    </row>
    <row r="1302" spans="1:4" x14ac:dyDescent="0.45">
      <c r="A1302">
        <v>144</v>
      </c>
      <c r="B1302">
        <f t="shared" ca="1" si="20"/>
        <v>37</v>
      </c>
      <c r="C13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2" t="str">
        <f ca="1">IF(dict_zuord_Transfers_Storages[[#This Row],[kval_active]],dict_zuord_Transfers_Storages[[#This Row],[ID_Storages]],"")</f>
        <v/>
      </c>
    </row>
    <row r="1303" spans="1:4" x14ac:dyDescent="0.45">
      <c r="A1303">
        <v>144</v>
      </c>
      <c r="B1303">
        <f t="shared" ca="1" si="20"/>
        <v>74</v>
      </c>
      <c r="C13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3" t="str">
        <f ca="1">IF(dict_zuord_Transfers_Storages[[#This Row],[kval_active]],dict_zuord_Transfers_Storages[[#This Row],[ID_Storages]],"")</f>
        <v/>
      </c>
    </row>
    <row r="1304" spans="1:4" x14ac:dyDescent="0.45">
      <c r="A1304">
        <v>144</v>
      </c>
      <c r="B1304">
        <f t="shared" ca="1" si="20"/>
        <v>24</v>
      </c>
      <c r="C13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4" t="str">
        <f ca="1">IF(dict_zuord_Transfers_Storages[[#This Row],[kval_active]],dict_zuord_Transfers_Storages[[#This Row],[ID_Storages]],"")</f>
        <v/>
      </c>
    </row>
    <row r="1305" spans="1:4" x14ac:dyDescent="0.45">
      <c r="A1305">
        <v>144</v>
      </c>
      <c r="B1305">
        <f t="shared" ca="1" si="20"/>
        <v>52</v>
      </c>
      <c r="C13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5" t="str">
        <f ca="1">IF(dict_zuord_Transfers_Storages[[#This Row],[kval_active]],dict_zuord_Transfers_Storages[[#This Row],[ID_Storages]],"")</f>
        <v/>
      </c>
    </row>
    <row r="1306" spans="1:4" x14ac:dyDescent="0.45">
      <c r="A1306">
        <v>144</v>
      </c>
      <c r="B1306">
        <f t="shared" ca="1" si="20"/>
        <v>28</v>
      </c>
      <c r="C13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6" t="str">
        <f ca="1">IF(dict_zuord_Transfers_Storages[[#This Row],[kval_active]],dict_zuord_Transfers_Storages[[#This Row],[ID_Storages]],"")</f>
        <v/>
      </c>
    </row>
    <row r="1307" spans="1:4" x14ac:dyDescent="0.45">
      <c r="A1307">
        <v>145</v>
      </c>
      <c r="B1307">
        <f t="shared" ca="1" si="20"/>
        <v>69</v>
      </c>
      <c r="C13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7" t="str">
        <f ca="1">IF(dict_zuord_Transfers_Storages[[#This Row],[kval_active]],dict_zuord_Transfers_Storages[[#This Row],[ID_Storages]],"")</f>
        <v/>
      </c>
    </row>
    <row r="1308" spans="1:4" x14ac:dyDescent="0.45">
      <c r="A1308">
        <v>145</v>
      </c>
      <c r="B1308">
        <f t="shared" ca="1" si="20"/>
        <v>89</v>
      </c>
      <c r="C13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8" t="str">
        <f ca="1">IF(dict_zuord_Transfers_Storages[[#This Row],[kval_active]],dict_zuord_Transfers_Storages[[#This Row],[ID_Storages]],"")</f>
        <v/>
      </c>
    </row>
    <row r="1309" spans="1:4" x14ac:dyDescent="0.45">
      <c r="A1309">
        <v>145</v>
      </c>
      <c r="B1309">
        <f t="shared" ca="1" si="20"/>
        <v>23</v>
      </c>
      <c r="C13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09" t="str">
        <f ca="1">IF(dict_zuord_Transfers_Storages[[#This Row],[kval_active]],dict_zuord_Transfers_Storages[[#This Row],[ID_Storages]],"")</f>
        <v/>
      </c>
    </row>
    <row r="1310" spans="1:4" x14ac:dyDescent="0.45">
      <c r="A1310">
        <v>145</v>
      </c>
      <c r="B1310">
        <f t="shared" ca="1" si="20"/>
        <v>73</v>
      </c>
      <c r="C13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0" t="str">
        <f ca="1">IF(dict_zuord_Transfers_Storages[[#This Row],[kval_active]],dict_zuord_Transfers_Storages[[#This Row],[ID_Storages]],"")</f>
        <v/>
      </c>
    </row>
    <row r="1311" spans="1:4" x14ac:dyDescent="0.45">
      <c r="A1311">
        <v>145</v>
      </c>
      <c r="B1311">
        <f t="shared" ca="1" si="20"/>
        <v>6</v>
      </c>
      <c r="C13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1" t="str">
        <f ca="1">IF(dict_zuord_Transfers_Storages[[#This Row],[kval_active]],dict_zuord_Transfers_Storages[[#This Row],[ID_Storages]],"")</f>
        <v/>
      </c>
    </row>
    <row r="1312" spans="1:4" x14ac:dyDescent="0.45">
      <c r="A1312">
        <v>145</v>
      </c>
      <c r="B1312">
        <f t="shared" ca="1" si="20"/>
        <v>6</v>
      </c>
      <c r="C13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2" t="str">
        <f ca="1">IF(dict_zuord_Transfers_Storages[[#This Row],[kval_active]],dict_zuord_Transfers_Storages[[#This Row],[ID_Storages]],"")</f>
        <v/>
      </c>
    </row>
    <row r="1313" spans="1:4" x14ac:dyDescent="0.45">
      <c r="A1313">
        <v>145</v>
      </c>
      <c r="B1313">
        <f t="shared" ca="1" si="20"/>
        <v>64</v>
      </c>
      <c r="C13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3" t="str">
        <f ca="1">IF(dict_zuord_Transfers_Storages[[#This Row],[kval_active]],dict_zuord_Transfers_Storages[[#This Row],[ID_Storages]],"")</f>
        <v/>
      </c>
    </row>
    <row r="1314" spans="1:4" x14ac:dyDescent="0.45">
      <c r="A1314">
        <v>145</v>
      </c>
      <c r="B1314">
        <f t="shared" ca="1" si="20"/>
        <v>95</v>
      </c>
      <c r="C13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4" t="str">
        <f ca="1">IF(dict_zuord_Transfers_Storages[[#This Row],[kval_active]],dict_zuord_Transfers_Storages[[#This Row],[ID_Storages]],"")</f>
        <v/>
      </c>
    </row>
    <row r="1315" spans="1:4" x14ac:dyDescent="0.45">
      <c r="A1315">
        <v>145</v>
      </c>
      <c r="B1315">
        <f t="shared" ca="1" si="20"/>
        <v>96</v>
      </c>
      <c r="C13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15" t="str">
        <f ca="1">IF(dict_zuord_Transfers_Storages[[#This Row],[kval_active]],dict_zuord_Transfers_Storages[[#This Row],[ID_Storages]],"")</f>
        <v/>
      </c>
    </row>
    <row r="1316" spans="1:4" x14ac:dyDescent="0.45">
      <c r="A1316">
        <v>146</v>
      </c>
      <c r="B1316">
        <f t="shared" ca="1" si="20"/>
        <v>4</v>
      </c>
      <c r="C13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6">
        <f ca="1">IF(dict_zuord_Transfers_Storages[[#This Row],[kval_active]],dict_zuord_Transfers_Storages[[#This Row],[ID_Storages]],"")</f>
        <v>4</v>
      </c>
    </row>
    <row r="1317" spans="1:4" x14ac:dyDescent="0.45">
      <c r="A1317">
        <v>146</v>
      </c>
      <c r="B1317">
        <f t="shared" ca="1" si="20"/>
        <v>15</v>
      </c>
      <c r="C13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7">
        <f ca="1">IF(dict_zuord_Transfers_Storages[[#This Row],[kval_active]],dict_zuord_Transfers_Storages[[#This Row],[ID_Storages]],"")</f>
        <v>15</v>
      </c>
    </row>
    <row r="1318" spans="1:4" x14ac:dyDescent="0.45">
      <c r="A1318">
        <v>146</v>
      </c>
      <c r="B1318">
        <f t="shared" ca="1" si="20"/>
        <v>15</v>
      </c>
      <c r="C13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8">
        <f ca="1">IF(dict_zuord_Transfers_Storages[[#This Row],[kval_active]],dict_zuord_Transfers_Storages[[#This Row],[ID_Storages]],"")</f>
        <v>15</v>
      </c>
    </row>
    <row r="1319" spans="1:4" x14ac:dyDescent="0.45">
      <c r="A1319">
        <v>146</v>
      </c>
      <c r="B1319">
        <f t="shared" ca="1" si="20"/>
        <v>44</v>
      </c>
      <c r="C13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19">
        <f ca="1">IF(dict_zuord_Transfers_Storages[[#This Row],[kval_active]],dict_zuord_Transfers_Storages[[#This Row],[ID_Storages]],"")</f>
        <v>44</v>
      </c>
    </row>
    <row r="1320" spans="1:4" x14ac:dyDescent="0.45">
      <c r="A1320">
        <v>146</v>
      </c>
      <c r="B1320">
        <f t="shared" ca="1" si="20"/>
        <v>24</v>
      </c>
      <c r="C13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0">
        <f ca="1">IF(dict_zuord_Transfers_Storages[[#This Row],[kval_active]],dict_zuord_Transfers_Storages[[#This Row],[ID_Storages]],"")</f>
        <v>24</v>
      </c>
    </row>
    <row r="1321" spans="1:4" x14ac:dyDescent="0.45">
      <c r="A1321">
        <v>146</v>
      </c>
      <c r="B1321">
        <f t="shared" ca="1" si="20"/>
        <v>43</v>
      </c>
      <c r="C13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1">
        <f ca="1">IF(dict_zuord_Transfers_Storages[[#This Row],[kval_active]],dict_zuord_Transfers_Storages[[#This Row],[ID_Storages]],"")</f>
        <v>43</v>
      </c>
    </row>
    <row r="1322" spans="1:4" x14ac:dyDescent="0.45">
      <c r="A1322">
        <v>146</v>
      </c>
      <c r="B1322">
        <f t="shared" ca="1" si="20"/>
        <v>42</v>
      </c>
      <c r="C13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2">
        <f ca="1">IF(dict_zuord_Transfers_Storages[[#This Row],[kval_active]],dict_zuord_Transfers_Storages[[#This Row],[ID_Storages]],"")</f>
        <v>42</v>
      </c>
    </row>
    <row r="1323" spans="1:4" x14ac:dyDescent="0.45">
      <c r="A1323">
        <v>146</v>
      </c>
      <c r="B1323">
        <f t="shared" ca="1" si="20"/>
        <v>29</v>
      </c>
      <c r="C13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3">
        <f ca="1">IF(dict_zuord_Transfers_Storages[[#This Row],[kval_active]],dict_zuord_Transfers_Storages[[#This Row],[ID_Storages]],"")</f>
        <v>29</v>
      </c>
    </row>
    <row r="1324" spans="1:4" x14ac:dyDescent="0.45">
      <c r="A1324">
        <v>146</v>
      </c>
      <c r="B1324">
        <f t="shared" ca="1" si="20"/>
        <v>37</v>
      </c>
      <c r="C13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24">
        <f ca="1">IF(dict_zuord_Transfers_Storages[[#This Row],[kval_active]],dict_zuord_Transfers_Storages[[#This Row],[ID_Storages]],"")</f>
        <v>37</v>
      </c>
    </row>
    <row r="1325" spans="1:4" x14ac:dyDescent="0.45">
      <c r="A1325">
        <v>147</v>
      </c>
      <c r="B1325">
        <f t="shared" ca="1" si="20"/>
        <v>85</v>
      </c>
      <c r="C13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5" t="str">
        <f ca="1">IF(dict_zuord_Transfers_Storages[[#This Row],[kval_active]],dict_zuord_Transfers_Storages[[#This Row],[ID_Storages]],"")</f>
        <v/>
      </c>
    </row>
    <row r="1326" spans="1:4" x14ac:dyDescent="0.45">
      <c r="A1326">
        <v>147</v>
      </c>
      <c r="B1326">
        <f t="shared" ca="1" si="20"/>
        <v>77</v>
      </c>
      <c r="C13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6" t="str">
        <f ca="1">IF(dict_zuord_Transfers_Storages[[#This Row],[kval_active]],dict_zuord_Transfers_Storages[[#This Row],[ID_Storages]],"")</f>
        <v/>
      </c>
    </row>
    <row r="1327" spans="1:4" x14ac:dyDescent="0.45">
      <c r="A1327">
        <v>147</v>
      </c>
      <c r="B1327">
        <f t="shared" ca="1" si="20"/>
        <v>72</v>
      </c>
      <c r="C13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7" t="str">
        <f ca="1">IF(dict_zuord_Transfers_Storages[[#This Row],[kval_active]],dict_zuord_Transfers_Storages[[#This Row],[ID_Storages]],"")</f>
        <v/>
      </c>
    </row>
    <row r="1328" spans="1:4" x14ac:dyDescent="0.45">
      <c r="A1328">
        <v>147</v>
      </c>
      <c r="B1328">
        <f t="shared" ca="1" si="20"/>
        <v>41</v>
      </c>
      <c r="C13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8" t="str">
        <f ca="1">IF(dict_zuord_Transfers_Storages[[#This Row],[kval_active]],dict_zuord_Transfers_Storages[[#This Row],[ID_Storages]],"")</f>
        <v/>
      </c>
    </row>
    <row r="1329" spans="1:4" x14ac:dyDescent="0.45">
      <c r="A1329">
        <v>147</v>
      </c>
      <c r="B1329">
        <f t="shared" ca="1" si="20"/>
        <v>35</v>
      </c>
      <c r="C13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29" t="str">
        <f ca="1">IF(dict_zuord_Transfers_Storages[[#This Row],[kval_active]],dict_zuord_Transfers_Storages[[#This Row],[ID_Storages]],"")</f>
        <v/>
      </c>
    </row>
    <row r="1330" spans="1:4" x14ac:dyDescent="0.45">
      <c r="A1330">
        <v>147</v>
      </c>
      <c r="B1330">
        <f t="shared" ca="1" si="20"/>
        <v>94</v>
      </c>
      <c r="C13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0" t="str">
        <f ca="1">IF(dict_zuord_Transfers_Storages[[#This Row],[kval_active]],dict_zuord_Transfers_Storages[[#This Row],[ID_Storages]],"")</f>
        <v/>
      </c>
    </row>
    <row r="1331" spans="1:4" x14ac:dyDescent="0.45">
      <c r="A1331">
        <v>147</v>
      </c>
      <c r="B1331">
        <f t="shared" ca="1" si="20"/>
        <v>65</v>
      </c>
      <c r="C13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1" t="str">
        <f ca="1">IF(dict_zuord_Transfers_Storages[[#This Row],[kval_active]],dict_zuord_Transfers_Storages[[#This Row],[ID_Storages]],"")</f>
        <v/>
      </c>
    </row>
    <row r="1332" spans="1:4" x14ac:dyDescent="0.45">
      <c r="A1332">
        <v>147</v>
      </c>
      <c r="B1332">
        <f t="shared" ca="1" si="20"/>
        <v>36</v>
      </c>
      <c r="C13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2" t="str">
        <f ca="1">IF(dict_zuord_Transfers_Storages[[#This Row],[kval_active]],dict_zuord_Transfers_Storages[[#This Row],[ID_Storages]],"")</f>
        <v/>
      </c>
    </row>
    <row r="1333" spans="1:4" x14ac:dyDescent="0.45">
      <c r="A1333">
        <v>147</v>
      </c>
      <c r="B1333">
        <f t="shared" ca="1" si="20"/>
        <v>6</v>
      </c>
      <c r="C13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3" t="str">
        <f ca="1">IF(dict_zuord_Transfers_Storages[[#This Row],[kval_active]],dict_zuord_Transfers_Storages[[#This Row],[ID_Storages]],"")</f>
        <v/>
      </c>
    </row>
    <row r="1334" spans="1:4" x14ac:dyDescent="0.45">
      <c r="A1334">
        <v>148</v>
      </c>
      <c r="B1334">
        <f t="shared" ca="1" si="20"/>
        <v>23</v>
      </c>
      <c r="C13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4" t="str">
        <f ca="1">IF(dict_zuord_Transfers_Storages[[#This Row],[kval_active]],dict_zuord_Transfers_Storages[[#This Row],[ID_Storages]],"")</f>
        <v/>
      </c>
    </row>
    <row r="1335" spans="1:4" x14ac:dyDescent="0.45">
      <c r="A1335">
        <v>148</v>
      </c>
      <c r="B1335">
        <f t="shared" ca="1" si="20"/>
        <v>59</v>
      </c>
      <c r="C13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5" t="str">
        <f ca="1">IF(dict_zuord_Transfers_Storages[[#This Row],[kval_active]],dict_zuord_Transfers_Storages[[#This Row],[ID_Storages]],"")</f>
        <v/>
      </c>
    </row>
    <row r="1336" spans="1:4" x14ac:dyDescent="0.45">
      <c r="A1336">
        <v>148</v>
      </c>
      <c r="B1336">
        <f t="shared" ca="1" si="20"/>
        <v>36</v>
      </c>
      <c r="C13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6" t="str">
        <f ca="1">IF(dict_zuord_Transfers_Storages[[#This Row],[kval_active]],dict_zuord_Transfers_Storages[[#This Row],[ID_Storages]],"")</f>
        <v/>
      </c>
    </row>
    <row r="1337" spans="1:4" x14ac:dyDescent="0.45">
      <c r="A1337">
        <v>148</v>
      </c>
      <c r="B1337">
        <f t="shared" ca="1" si="20"/>
        <v>38</v>
      </c>
      <c r="C13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7" t="str">
        <f ca="1">IF(dict_zuord_Transfers_Storages[[#This Row],[kval_active]],dict_zuord_Transfers_Storages[[#This Row],[ID_Storages]],"")</f>
        <v/>
      </c>
    </row>
    <row r="1338" spans="1:4" x14ac:dyDescent="0.45">
      <c r="A1338">
        <v>148</v>
      </c>
      <c r="B1338">
        <f t="shared" ca="1" si="20"/>
        <v>87</v>
      </c>
      <c r="C13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8" t="str">
        <f ca="1">IF(dict_zuord_Transfers_Storages[[#This Row],[kval_active]],dict_zuord_Transfers_Storages[[#This Row],[ID_Storages]],"")</f>
        <v/>
      </c>
    </row>
    <row r="1339" spans="1:4" x14ac:dyDescent="0.45">
      <c r="A1339">
        <v>148</v>
      </c>
      <c r="B1339">
        <f t="shared" ca="1" si="20"/>
        <v>44</v>
      </c>
      <c r="C13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39" t="str">
        <f ca="1">IF(dict_zuord_Transfers_Storages[[#This Row],[kval_active]],dict_zuord_Transfers_Storages[[#This Row],[ID_Storages]],"")</f>
        <v/>
      </c>
    </row>
    <row r="1340" spans="1:4" x14ac:dyDescent="0.45">
      <c r="A1340">
        <v>148</v>
      </c>
      <c r="B1340">
        <f t="shared" ca="1" si="20"/>
        <v>35</v>
      </c>
      <c r="C13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0" t="str">
        <f ca="1">IF(dict_zuord_Transfers_Storages[[#This Row],[kval_active]],dict_zuord_Transfers_Storages[[#This Row],[ID_Storages]],"")</f>
        <v/>
      </c>
    </row>
    <row r="1341" spans="1:4" x14ac:dyDescent="0.45">
      <c r="A1341">
        <v>148</v>
      </c>
      <c r="B1341">
        <f t="shared" ca="1" si="20"/>
        <v>66</v>
      </c>
      <c r="C13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1" t="str">
        <f ca="1">IF(dict_zuord_Transfers_Storages[[#This Row],[kval_active]],dict_zuord_Transfers_Storages[[#This Row],[ID_Storages]],"")</f>
        <v/>
      </c>
    </row>
    <row r="1342" spans="1:4" x14ac:dyDescent="0.45">
      <c r="A1342">
        <v>148</v>
      </c>
      <c r="B1342">
        <f t="shared" ca="1" si="20"/>
        <v>71</v>
      </c>
      <c r="C13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42" t="str">
        <f ca="1">IF(dict_zuord_Transfers_Storages[[#This Row],[kval_active]],dict_zuord_Transfers_Storages[[#This Row],[ID_Storages]],"")</f>
        <v/>
      </c>
    </row>
    <row r="1343" spans="1:4" x14ac:dyDescent="0.45">
      <c r="A1343">
        <v>149</v>
      </c>
      <c r="B1343">
        <f t="shared" ca="1" si="20"/>
        <v>58</v>
      </c>
      <c r="C13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3">
        <f ca="1">IF(dict_zuord_Transfers_Storages[[#This Row],[kval_active]],dict_zuord_Transfers_Storages[[#This Row],[ID_Storages]],"")</f>
        <v>58</v>
      </c>
    </row>
    <row r="1344" spans="1:4" x14ac:dyDescent="0.45">
      <c r="A1344">
        <v>149</v>
      </c>
      <c r="B1344">
        <f t="shared" ca="1" si="20"/>
        <v>83</v>
      </c>
      <c r="C13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4">
        <f ca="1">IF(dict_zuord_Transfers_Storages[[#This Row],[kval_active]],dict_zuord_Transfers_Storages[[#This Row],[ID_Storages]],"")</f>
        <v>83</v>
      </c>
    </row>
    <row r="1345" spans="1:4" x14ac:dyDescent="0.45">
      <c r="A1345">
        <v>149</v>
      </c>
      <c r="B1345">
        <f t="shared" ca="1" si="20"/>
        <v>15</v>
      </c>
      <c r="C13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5">
        <f ca="1">IF(dict_zuord_Transfers_Storages[[#This Row],[kval_active]],dict_zuord_Transfers_Storages[[#This Row],[ID_Storages]],"")</f>
        <v>15</v>
      </c>
    </row>
    <row r="1346" spans="1:4" x14ac:dyDescent="0.45">
      <c r="A1346">
        <v>149</v>
      </c>
      <c r="B1346">
        <f t="shared" ref="B1346:B1409" ca="1" si="21">RANDBETWEEN(0,100)</f>
        <v>32</v>
      </c>
      <c r="C13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6">
        <f ca="1">IF(dict_zuord_Transfers_Storages[[#This Row],[kval_active]],dict_zuord_Transfers_Storages[[#This Row],[ID_Storages]],"")</f>
        <v>32</v>
      </c>
    </row>
    <row r="1347" spans="1:4" x14ac:dyDescent="0.45">
      <c r="A1347">
        <v>149</v>
      </c>
      <c r="B1347">
        <f t="shared" ca="1" si="21"/>
        <v>12</v>
      </c>
      <c r="C13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7">
        <f ca="1">IF(dict_zuord_Transfers_Storages[[#This Row],[kval_active]],dict_zuord_Transfers_Storages[[#This Row],[ID_Storages]],"")</f>
        <v>12</v>
      </c>
    </row>
    <row r="1348" spans="1:4" x14ac:dyDescent="0.45">
      <c r="A1348">
        <v>149</v>
      </c>
      <c r="B1348">
        <f t="shared" ca="1" si="21"/>
        <v>57</v>
      </c>
      <c r="C13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8">
        <f ca="1">IF(dict_zuord_Transfers_Storages[[#This Row],[kval_active]],dict_zuord_Transfers_Storages[[#This Row],[ID_Storages]],"")</f>
        <v>57</v>
      </c>
    </row>
    <row r="1349" spans="1:4" x14ac:dyDescent="0.45">
      <c r="A1349">
        <v>149</v>
      </c>
      <c r="B1349">
        <f t="shared" ca="1" si="21"/>
        <v>81</v>
      </c>
      <c r="C13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49">
        <f ca="1">IF(dict_zuord_Transfers_Storages[[#This Row],[kval_active]],dict_zuord_Transfers_Storages[[#This Row],[ID_Storages]],"")</f>
        <v>81</v>
      </c>
    </row>
    <row r="1350" spans="1:4" x14ac:dyDescent="0.45">
      <c r="A1350">
        <v>149</v>
      </c>
      <c r="B1350">
        <f t="shared" ca="1" si="21"/>
        <v>94</v>
      </c>
      <c r="C13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0">
        <f ca="1">IF(dict_zuord_Transfers_Storages[[#This Row],[kval_active]],dict_zuord_Transfers_Storages[[#This Row],[ID_Storages]],"")</f>
        <v>94</v>
      </c>
    </row>
    <row r="1351" spans="1:4" x14ac:dyDescent="0.45">
      <c r="A1351">
        <v>149</v>
      </c>
      <c r="B1351">
        <f t="shared" ca="1" si="21"/>
        <v>28</v>
      </c>
      <c r="C13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1">
        <f ca="1">IF(dict_zuord_Transfers_Storages[[#This Row],[kval_active]],dict_zuord_Transfers_Storages[[#This Row],[ID_Storages]],"")</f>
        <v>28</v>
      </c>
    </row>
    <row r="1352" spans="1:4" x14ac:dyDescent="0.45">
      <c r="A1352">
        <v>150</v>
      </c>
      <c r="B1352">
        <f t="shared" ca="1" si="21"/>
        <v>59</v>
      </c>
      <c r="C13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2">
        <f ca="1">IF(dict_zuord_Transfers_Storages[[#This Row],[kval_active]],dict_zuord_Transfers_Storages[[#This Row],[ID_Storages]],"")</f>
        <v>59</v>
      </c>
    </row>
    <row r="1353" spans="1:4" x14ac:dyDescent="0.45">
      <c r="A1353">
        <v>150</v>
      </c>
      <c r="B1353">
        <f t="shared" ca="1" si="21"/>
        <v>92</v>
      </c>
      <c r="C13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3">
        <f ca="1">IF(dict_zuord_Transfers_Storages[[#This Row],[kval_active]],dict_zuord_Transfers_Storages[[#This Row],[ID_Storages]],"")</f>
        <v>92</v>
      </c>
    </row>
    <row r="1354" spans="1:4" x14ac:dyDescent="0.45">
      <c r="A1354">
        <v>150</v>
      </c>
      <c r="B1354">
        <f t="shared" ca="1" si="21"/>
        <v>18</v>
      </c>
      <c r="C13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4">
        <f ca="1">IF(dict_zuord_Transfers_Storages[[#This Row],[kval_active]],dict_zuord_Transfers_Storages[[#This Row],[ID_Storages]],"")</f>
        <v>18</v>
      </c>
    </row>
    <row r="1355" spans="1:4" x14ac:dyDescent="0.45">
      <c r="A1355">
        <v>150</v>
      </c>
      <c r="B1355">
        <f t="shared" ca="1" si="21"/>
        <v>12</v>
      </c>
      <c r="C13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5">
        <f ca="1">IF(dict_zuord_Transfers_Storages[[#This Row],[kval_active]],dict_zuord_Transfers_Storages[[#This Row],[ID_Storages]],"")</f>
        <v>12</v>
      </c>
    </row>
    <row r="1356" spans="1:4" x14ac:dyDescent="0.45">
      <c r="A1356">
        <v>150</v>
      </c>
      <c r="B1356">
        <f t="shared" ca="1" si="21"/>
        <v>37</v>
      </c>
      <c r="C13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6">
        <f ca="1">IF(dict_zuord_Transfers_Storages[[#This Row],[kval_active]],dict_zuord_Transfers_Storages[[#This Row],[ID_Storages]],"")</f>
        <v>37</v>
      </c>
    </row>
    <row r="1357" spans="1:4" x14ac:dyDescent="0.45">
      <c r="A1357">
        <v>150</v>
      </c>
      <c r="B1357">
        <f t="shared" ca="1" si="21"/>
        <v>28</v>
      </c>
      <c r="C13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7">
        <f ca="1">IF(dict_zuord_Transfers_Storages[[#This Row],[kval_active]],dict_zuord_Transfers_Storages[[#This Row],[ID_Storages]],"")</f>
        <v>28</v>
      </c>
    </row>
    <row r="1358" spans="1:4" x14ac:dyDescent="0.45">
      <c r="A1358">
        <v>150</v>
      </c>
      <c r="B1358">
        <f t="shared" ca="1" si="21"/>
        <v>5</v>
      </c>
      <c r="C13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8">
        <f ca="1">IF(dict_zuord_Transfers_Storages[[#This Row],[kval_active]],dict_zuord_Transfers_Storages[[#This Row],[ID_Storages]],"")</f>
        <v>5</v>
      </c>
    </row>
    <row r="1359" spans="1:4" x14ac:dyDescent="0.45">
      <c r="A1359">
        <v>150</v>
      </c>
      <c r="B1359">
        <f t="shared" ca="1" si="21"/>
        <v>47</v>
      </c>
      <c r="C13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59">
        <f ca="1">IF(dict_zuord_Transfers_Storages[[#This Row],[kval_active]],dict_zuord_Transfers_Storages[[#This Row],[ID_Storages]],"")</f>
        <v>47</v>
      </c>
    </row>
    <row r="1360" spans="1:4" x14ac:dyDescent="0.45">
      <c r="A1360">
        <v>150</v>
      </c>
      <c r="B1360">
        <f t="shared" ca="1" si="21"/>
        <v>59</v>
      </c>
      <c r="C13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60">
        <f ca="1">IF(dict_zuord_Transfers_Storages[[#This Row],[kval_active]],dict_zuord_Transfers_Storages[[#This Row],[ID_Storages]],"")</f>
        <v>59</v>
      </c>
    </row>
    <row r="1361" spans="1:4" x14ac:dyDescent="0.45">
      <c r="A1361">
        <v>151</v>
      </c>
      <c r="B1361">
        <f t="shared" ca="1" si="21"/>
        <v>98</v>
      </c>
      <c r="C13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1" t="str">
        <f ca="1">IF(dict_zuord_Transfers_Storages[[#This Row],[kval_active]],dict_zuord_Transfers_Storages[[#This Row],[ID_Storages]],"")</f>
        <v/>
      </c>
    </row>
    <row r="1362" spans="1:4" x14ac:dyDescent="0.45">
      <c r="A1362">
        <v>151</v>
      </c>
      <c r="B1362">
        <f t="shared" ca="1" si="21"/>
        <v>88</v>
      </c>
      <c r="C13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2" t="str">
        <f ca="1">IF(dict_zuord_Transfers_Storages[[#This Row],[kval_active]],dict_zuord_Transfers_Storages[[#This Row],[ID_Storages]],"")</f>
        <v/>
      </c>
    </row>
    <row r="1363" spans="1:4" x14ac:dyDescent="0.45">
      <c r="A1363">
        <v>151</v>
      </c>
      <c r="B1363">
        <f t="shared" ca="1" si="21"/>
        <v>72</v>
      </c>
      <c r="C13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3" t="str">
        <f ca="1">IF(dict_zuord_Transfers_Storages[[#This Row],[kval_active]],dict_zuord_Transfers_Storages[[#This Row],[ID_Storages]],"")</f>
        <v/>
      </c>
    </row>
    <row r="1364" spans="1:4" x14ac:dyDescent="0.45">
      <c r="A1364">
        <v>151</v>
      </c>
      <c r="B1364">
        <f t="shared" ca="1" si="21"/>
        <v>83</v>
      </c>
      <c r="C13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4" t="str">
        <f ca="1">IF(dict_zuord_Transfers_Storages[[#This Row],[kval_active]],dict_zuord_Transfers_Storages[[#This Row],[ID_Storages]],"")</f>
        <v/>
      </c>
    </row>
    <row r="1365" spans="1:4" x14ac:dyDescent="0.45">
      <c r="A1365">
        <v>151</v>
      </c>
      <c r="B1365">
        <f t="shared" ca="1" si="21"/>
        <v>69</v>
      </c>
      <c r="C13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5" t="str">
        <f ca="1">IF(dict_zuord_Transfers_Storages[[#This Row],[kval_active]],dict_zuord_Transfers_Storages[[#This Row],[ID_Storages]],"")</f>
        <v/>
      </c>
    </row>
    <row r="1366" spans="1:4" x14ac:dyDescent="0.45">
      <c r="A1366">
        <v>151</v>
      </c>
      <c r="B1366">
        <f t="shared" ca="1" si="21"/>
        <v>56</v>
      </c>
      <c r="C13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6" t="str">
        <f ca="1">IF(dict_zuord_Transfers_Storages[[#This Row],[kval_active]],dict_zuord_Transfers_Storages[[#This Row],[ID_Storages]],"")</f>
        <v/>
      </c>
    </row>
    <row r="1367" spans="1:4" x14ac:dyDescent="0.45">
      <c r="A1367">
        <v>151</v>
      </c>
      <c r="B1367">
        <f t="shared" ca="1" si="21"/>
        <v>50</v>
      </c>
      <c r="C13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7" t="str">
        <f ca="1">IF(dict_zuord_Transfers_Storages[[#This Row],[kval_active]],dict_zuord_Transfers_Storages[[#This Row],[ID_Storages]],"")</f>
        <v/>
      </c>
    </row>
    <row r="1368" spans="1:4" x14ac:dyDescent="0.45">
      <c r="A1368">
        <v>151</v>
      </c>
      <c r="B1368">
        <f t="shared" ca="1" si="21"/>
        <v>97</v>
      </c>
      <c r="C13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8" t="str">
        <f ca="1">IF(dict_zuord_Transfers_Storages[[#This Row],[kval_active]],dict_zuord_Transfers_Storages[[#This Row],[ID_Storages]],"")</f>
        <v/>
      </c>
    </row>
    <row r="1369" spans="1:4" x14ac:dyDescent="0.45">
      <c r="A1369">
        <v>151</v>
      </c>
      <c r="B1369">
        <f t="shared" ca="1" si="21"/>
        <v>34</v>
      </c>
      <c r="C13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69" t="str">
        <f ca="1">IF(dict_zuord_Transfers_Storages[[#This Row],[kval_active]],dict_zuord_Transfers_Storages[[#This Row],[ID_Storages]],"")</f>
        <v/>
      </c>
    </row>
    <row r="1370" spans="1:4" x14ac:dyDescent="0.45">
      <c r="A1370">
        <v>152</v>
      </c>
      <c r="B1370">
        <f t="shared" ca="1" si="21"/>
        <v>37</v>
      </c>
      <c r="C13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0">
        <f ca="1">IF(dict_zuord_Transfers_Storages[[#This Row],[kval_active]],dict_zuord_Transfers_Storages[[#This Row],[ID_Storages]],"")</f>
        <v>37</v>
      </c>
    </row>
    <row r="1371" spans="1:4" x14ac:dyDescent="0.45">
      <c r="A1371">
        <v>152</v>
      </c>
      <c r="B1371">
        <f t="shared" ca="1" si="21"/>
        <v>38</v>
      </c>
      <c r="C13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1">
        <f ca="1">IF(dict_zuord_Transfers_Storages[[#This Row],[kval_active]],dict_zuord_Transfers_Storages[[#This Row],[ID_Storages]],"")</f>
        <v>38</v>
      </c>
    </row>
    <row r="1372" spans="1:4" x14ac:dyDescent="0.45">
      <c r="A1372">
        <v>152</v>
      </c>
      <c r="B1372">
        <f t="shared" ca="1" si="21"/>
        <v>22</v>
      </c>
      <c r="C13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2">
        <f ca="1">IF(dict_zuord_Transfers_Storages[[#This Row],[kval_active]],dict_zuord_Transfers_Storages[[#This Row],[ID_Storages]],"")</f>
        <v>22</v>
      </c>
    </row>
    <row r="1373" spans="1:4" x14ac:dyDescent="0.45">
      <c r="A1373">
        <v>152</v>
      </c>
      <c r="B1373">
        <f t="shared" ca="1" si="21"/>
        <v>40</v>
      </c>
      <c r="C13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3">
        <f ca="1">IF(dict_zuord_Transfers_Storages[[#This Row],[kval_active]],dict_zuord_Transfers_Storages[[#This Row],[ID_Storages]],"")</f>
        <v>40</v>
      </c>
    </row>
    <row r="1374" spans="1:4" x14ac:dyDescent="0.45">
      <c r="A1374">
        <v>152</v>
      </c>
      <c r="B1374">
        <f t="shared" ca="1" si="21"/>
        <v>94</v>
      </c>
      <c r="C13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4">
        <f ca="1">IF(dict_zuord_Transfers_Storages[[#This Row],[kval_active]],dict_zuord_Transfers_Storages[[#This Row],[ID_Storages]],"")</f>
        <v>94</v>
      </c>
    </row>
    <row r="1375" spans="1:4" x14ac:dyDescent="0.45">
      <c r="A1375">
        <v>152</v>
      </c>
      <c r="B1375">
        <f t="shared" ca="1" si="21"/>
        <v>97</v>
      </c>
      <c r="C13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5">
        <f ca="1">IF(dict_zuord_Transfers_Storages[[#This Row],[kval_active]],dict_zuord_Transfers_Storages[[#This Row],[ID_Storages]],"")</f>
        <v>97</v>
      </c>
    </row>
    <row r="1376" spans="1:4" x14ac:dyDescent="0.45">
      <c r="A1376">
        <v>152</v>
      </c>
      <c r="B1376">
        <f t="shared" ca="1" si="21"/>
        <v>17</v>
      </c>
      <c r="C13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6">
        <f ca="1">IF(dict_zuord_Transfers_Storages[[#This Row],[kval_active]],dict_zuord_Transfers_Storages[[#This Row],[ID_Storages]],"")</f>
        <v>17</v>
      </c>
    </row>
    <row r="1377" spans="1:4" x14ac:dyDescent="0.45">
      <c r="A1377">
        <v>152</v>
      </c>
      <c r="B1377">
        <f t="shared" ca="1" si="21"/>
        <v>7</v>
      </c>
      <c r="C13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7">
        <f ca="1">IF(dict_zuord_Transfers_Storages[[#This Row],[kval_active]],dict_zuord_Transfers_Storages[[#This Row],[ID_Storages]],"")</f>
        <v>7</v>
      </c>
    </row>
    <row r="1378" spans="1:4" x14ac:dyDescent="0.45">
      <c r="A1378">
        <v>152</v>
      </c>
      <c r="B1378">
        <f t="shared" ca="1" si="21"/>
        <v>47</v>
      </c>
      <c r="C13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378">
        <f ca="1">IF(dict_zuord_Transfers_Storages[[#This Row],[kval_active]],dict_zuord_Transfers_Storages[[#This Row],[ID_Storages]],"")</f>
        <v>47</v>
      </c>
    </row>
    <row r="1379" spans="1:4" x14ac:dyDescent="0.45">
      <c r="A1379">
        <v>153</v>
      </c>
      <c r="B1379">
        <f t="shared" ca="1" si="21"/>
        <v>48</v>
      </c>
      <c r="C13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79" t="str">
        <f ca="1">IF(dict_zuord_Transfers_Storages[[#This Row],[kval_active]],dict_zuord_Transfers_Storages[[#This Row],[ID_Storages]],"")</f>
        <v/>
      </c>
    </row>
    <row r="1380" spans="1:4" x14ac:dyDescent="0.45">
      <c r="A1380">
        <v>153</v>
      </c>
      <c r="B1380">
        <f t="shared" ca="1" si="21"/>
        <v>47</v>
      </c>
      <c r="C13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0" t="str">
        <f ca="1">IF(dict_zuord_Transfers_Storages[[#This Row],[kval_active]],dict_zuord_Transfers_Storages[[#This Row],[ID_Storages]],"")</f>
        <v/>
      </c>
    </row>
    <row r="1381" spans="1:4" x14ac:dyDescent="0.45">
      <c r="A1381">
        <v>153</v>
      </c>
      <c r="B1381">
        <f t="shared" ca="1" si="21"/>
        <v>79</v>
      </c>
      <c r="C13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1" t="str">
        <f ca="1">IF(dict_zuord_Transfers_Storages[[#This Row],[kval_active]],dict_zuord_Transfers_Storages[[#This Row],[ID_Storages]],"")</f>
        <v/>
      </c>
    </row>
    <row r="1382" spans="1:4" x14ac:dyDescent="0.45">
      <c r="A1382">
        <v>153</v>
      </c>
      <c r="B1382">
        <f t="shared" ca="1" si="21"/>
        <v>99</v>
      </c>
      <c r="C13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2" t="str">
        <f ca="1">IF(dict_zuord_Transfers_Storages[[#This Row],[kval_active]],dict_zuord_Transfers_Storages[[#This Row],[ID_Storages]],"")</f>
        <v/>
      </c>
    </row>
    <row r="1383" spans="1:4" x14ac:dyDescent="0.45">
      <c r="A1383">
        <v>153</v>
      </c>
      <c r="B1383">
        <f t="shared" ca="1" si="21"/>
        <v>11</v>
      </c>
      <c r="C13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3" t="str">
        <f ca="1">IF(dict_zuord_Transfers_Storages[[#This Row],[kval_active]],dict_zuord_Transfers_Storages[[#This Row],[ID_Storages]],"")</f>
        <v/>
      </c>
    </row>
    <row r="1384" spans="1:4" x14ac:dyDescent="0.45">
      <c r="A1384">
        <v>153</v>
      </c>
      <c r="B1384">
        <f t="shared" ca="1" si="21"/>
        <v>62</v>
      </c>
      <c r="C13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4" t="str">
        <f ca="1">IF(dict_zuord_Transfers_Storages[[#This Row],[kval_active]],dict_zuord_Transfers_Storages[[#This Row],[ID_Storages]],"")</f>
        <v/>
      </c>
    </row>
    <row r="1385" spans="1:4" x14ac:dyDescent="0.45">
      <c r="A1385">
        <v>153</v>
      </c>
      <c r="B1385">
        <f t="shared" ca="1" si="21"/>
        <v>63</v>
      </c>
      <c r="C13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5" t="str">
        <f ca="1">IF(dict_zuord_Transfers_Storages[[#This Row],[kval_active]],dict_zuord_Transfers_Storages[[#This Row],[ID_Storages]],"")</f>
        <v/>
      </c>
    </row>
    <row r="1386" spans="1:4" x14ac:dyDescent="0.45">
      <c r="A1386">
        <v>153</v>
      </c>
      <c r="B1386">
        <f t="shared" ca="1" si="21"/>
        <v>88</v>
      </c>
      <c r="C13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6" t="str">
        <f ca="1">IF(dict_zuord_Transfers_Storages[[#This Row],[kval_active]],dict_zuord_Transfers_Storages[[#This Row],[ID_Storages]],"")</f>
        <v/>
      </c>
    </row>
    <row r="1387" spans="1:4" x14ac:dyDescent="0.45">
      <c r="A1387">
        <v>153</v>
      </c>
      <c r="B1387">
        <f t="shared" ca="1" si="21"/>
        <v>93</v>
      </c>
      <c r="C13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7" t="str">
        <f ca="1">IF(dict_zuord_Transfers_Storages[[#This Row],[kval_active]],dict_zuord_Transfers_Storages[[#This Row],[ID_Storages]],"")</f>
        <v/>
      </c>
    </row>
    <row r="1388" spans="1:4" x14ac:dyDescent="0.45">
      <c r="A1388">
        <v>154</v>
      </c>
      <c r="B1388">
        <f t="shared" ca="1" si="21"/>
        <v>7</v>
      </c>
      <c r="C13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8" t="str">
        <f ca="1">IF(dict_zuord_Transfers_Storages[[#This Row],[kval_active]],dict_zuord_Transfers_Storages[[#This Row],[ID_Storages]],"")</f>
        <v/>
      </c>
    </row>
    <row r="1389" spans="1:4" x14ac:dyDescent="0.45">
      <c r="A1389">
        <v>154</v>
      </c>
      <c r="B1389">
        <f t="shared" ca="1" si="21"/>
        <v>45</v>
      </c>
      <c r="C13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89" t="str">
        <f ca="1">IF(dict_zuord_Transfers_Storages[[#This Row],[kval_active]],dict_zuord_Transfers_Storages[[#This Row],[ID_Storages]],"")</f>
        <v/>
      </c>
    </row>
    <row r="1390" spans="1:4" x14ac:dyDescent="0.45">
      <c r="A1390">
        <v>154</v>
      </c>
      <c r="B1390">
        <f t="shared" ca="1" si="21"/>
        <v>25</v>
      </c>
      <c r="C13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0" t="str">
        <f ca="1">IF(dict_zuord_Transfers_Storages[[#This Row],[kval_active]],dict_zuord_Transfers_Storages[[#This Row],[ID_Storages]],"")</f>
        <v/>
      </c>
    </row>
    <row r="1391" spans="1:4" x14ac:dyDescent="0.45">
      <c r="A1391">
        <v>154</v>
      </c>
      <c r="B1391">
        <f t="shared" ca="1" si="21"/>
        <v>19</v>
      </c>
      <c r="C13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1" t="str">
        <f ca="1">IF(dict_zuord_Transfers_Storages[[#This Row],[kval_active]],dict_zuord_Transfers_Storages[[#This Row],[ID_Storages]],"")</f>
        <v/>
      </c>
    </row>
    <row r="1392" spans="1:4" x14ac:dyDescent="0.45">
      <c r="A1392">
        <v>154</v>
      </c>
      <c r="B1392">
        <f t="shared" ca="1" si="21"/>
        <v>71</v>
      </c>
      <c r="C13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2" t="str">
        <f ca="1">IF(dict_zuord_Transfers_Storages[[#This Row],[kval_active]],dict_zuord_Transfers_Storages[[#This Row],[ID_Storages]],"")</f>
        <v/>
      </c>
    </row>
    <row r="1393" spans="1:4" x14ac:dyDescent="0.45">
      <c r="A1393">
        <v>154</v>
      </c>
      <c r="B1393">
        <f t="shared" ca="1" si="21"/>
        <v>98</v>
      </c>
      <c r="C13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3" t="str">
        <f ca="1">IF(dict_zuord_Transfers_Storages[[#This Row],[kval_active]],dict_zuord_Transfers_Storages[[#This Row],[ID_Storages]],"")</f>
        <v/>
      </c>
    </row>
    <row r="1394" spans="1:4" x14ac:dyDescent="0.45">
      <c r="A1394">
        <v>154</v>
      </c>
      <c r="B1394">
        <f t="shared" ca="1" si="21"/>
        <v>73</v>
      </c>
      <c r="C13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4" t="str">
        <f ca="1">IF(dict_zuord_Transfers_Storages[[#This Row],[kval_active]],dict_zuord_Transfers_Storages[[#This Row],[ID_Storages]],"")</f>
        <v/>
      </c>
    </row>
    <row r="1395" spans="1:4" x14ac:dyDescent="0.45">
      <c r="A1395">
        <v>154</v>
      </c>
      <c r="B1395">
        <f t="shared" ca="1" si="21"/>
        <v>59</v>
      </c>
      <c r="C13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5" t="str">
        <f ca="1">IF(dict_zuord_Transfers_Storages[[#This Row],[kval_active]],dict_zuord_Transfers_Storages[[#This Row],[ID_Storages]],"")</f>
        <v/>
      </c>
    </row>
    <row r="1396" spans="1:4" x14ac:dyDescent="0.45">
      <c r="A1396">
        <v>154</v>
      </c>
      <c r="B1396">
        <f t="shared" ca="1" si="21"/>
        <v>44</v>
      </c>
      <c r="C13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6" t="str">
        <f ca="1">IF(dict_zuord_Transfers_Storages[[#This Row],[kval_active]],dict_zuord_Transfers_Storages[[#This Row],[ID_Storages]],"")</f>
        <v/>
      </c>
    </row>
    <row r="1397" spans="1:4" x14ac:dyDescent="0.45">
      <c r="A1397">
        <v>155</v>
      </c>
      <c r="B1397">
        <f t="shared" ca="1" si="21"/>
        <v>56</v>
      </c>
      <c r="C13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7" t="str">
        <f ca="1">IF(dict_zuord_Transfers_Storages[[#This Row],[kval_active]],dict_zuord_Transfers_Storages[[#This Row],[ID_Storages]],"")</f>
        <v/>
      </c>
    </row>
    <row r="1398" spans="1:4" x14ac:dyDescent="0.45">
      <c r="A1398">
        <v>155</v>
      </c>
      <c r="B1398">
        <f t="shared" ca="1" si="21"/>
        <v>89</v>
      </c>
      <c r="C13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8" t="str">
        <f ca="1">IF(dict_zuord_Transfers_Storages[[#This Row],[kval_active]],dict_zuord_Transfers_Storages[[#This Row],[ID_Storages]],"")</f>
        <v/>
      </c>
    </row>
    <row r="1399" spans="1:4" x14ac:dyDescent="0.45">
      <c r="A1399">
        <v>155</v>
      </c>
      <c r="B1399">
        <f t="shared" ca="1" si="21"/>
        <v>48</v>
      </c>
      <c r="C13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399" t="str">
        <f ca="1">IF(dict_zuord_Transfers_Storages[[#This Row],[kval_active]],dict_zuord_Transfers_Storages[[#This Row],[ID_Storages]],"")</f>
        <v/>
      </c>
    </row>
    <row r="1400" spans="1:4" x14ac:dyDescent="0.45">
      <c r="A1400">
        <v>155</v>
      </c>
      <c r="B1400">
        <f t="shared" ca="1" si="21"/>
        <v>72</v>
      </c>
      <c r="C14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0" t="str">
        <f ca="1">IF(dict_zuord_Transfers_Storages[[#This Row],[kval_active]],dict_zuord_Transfers_Storages[[#This Row],[ID_Storages]],"")</f>
        <v/>
      </c>
    </row>
    <row r="1401" spans="1:4" x14ac:dyDescent="0.45">
      <c r="A1401">
        <v>155</v>
      </c>
      <c r="B1401">
        <f t="shared" ca="1" si="21"/>
        <v>77</v>
      </c>
      <c r="C14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1" t="str">
        <f ca="1">IF(dict_zuord_Transfers_Storages[[#This Row],[kval_active]],dict_zuord_Transfers_Storages[[#This Row],[ID_Storages]],"")</f>
        <v/>
      </c>
    </row>
    <row r="1402" spans="1:4" x14ac:dyDescent="0.45">
      <c r="A1402">
        <v>155</v>
      </c>
      <c r="B1402">
        <f t="shared" ca="1" si="21"/>
        <v>44</v>
      </c>
      <c r="C14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2" t="str">
        <f ca="1">IF(dict_zuord_Transfers_Storages[[#This Row],[kval_active]],dict_zuord_Transfers_Storages[[#This Row],[ID_Storages]],"")</f>
        <v/>
      </c>
    </row>
    <row r="1403" spans="1:4" x14ac:dyDescent="0.45">
      <c r="A1403">
        <v>155</v>
      </c>
      <c r="B1403">
        <f t="shared" ca="1" si="21"/>
        <v>88</v>
      </c>
      <c r="C14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3" t="str">
        <f ca="1">IF(dict_zuord_Transfers_Storages[[#This Row],[kval_active]],dict_zuord_Transfers_Storages[[#This Row],[ID_Storages]],"")</f>
        <v/>
      </c>
    </row>
    <row r="1404" spans="1:4" x14ac:dyDescent="0.45">
      <c r="A1404">
        <v>155</v>
      </c>
      <c r="B1404">
        <f t="shared" ca="1" si="21"/>
        <v>3</v>
      </c>
      <c r="C14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4" t="str">
        <f ca="1">IF(dict_zuord_Transfers_Storages[[#This Row],[kval_active]],dict_zuord_Transfers_Storages[[#This Row],[ID_Storages]],"")</f>
        <v/>
      </c>
    </row>
    <row r="1405" spans="1:4" x14ac:dyDescent="0.45">
      <c r="A1405">
        <v>155</v>
      </c>
      <c r="B1405">
        <f t="shared" ca="1" si="21"/>
        <v>24</v>
      </c>
      <c r="C14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5" t="str">
        <f ca="1">IF(dict_zuord_Transfers_Storages[[#This Row],[kval_active]],dict_zuord_Transfers_Storages[[#This Row],[ID_Storages]],"")</f>
        <v/>
      </c>
    </row>
    <row r="1406" spans="1:4" x14ac:dyDescent="0.45">
      <c r="A1406">
        <v>156</v>
      </c>
      <c r="B1406">
        <f t="shared" ca="1" si="21"/>
        <v>52</v>
      </c>
      <c r="C14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6" t="str">
        <f ca="1">IF(dict_zuord_Transfers_Storages[[#This Row],[kval_active]],dict_zuord_Transfers_Storages[[#This Row],[ID_Storages]],"")</f>
        <v/>
      </c>
    </row>
    <row r="1407" spans="1:4" x14ac:dyDescent="0.45">
      <c r="A1407">
        <v>156</v>
      </c>
      <c r="B1407">
        <f t="shared" ca="1" si="21"/>
        <v>11</v>
      </c>
      <c r="C14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7" t="str">
        <f ca="1">IF(dict_zuord_Transfers_Storages[[#This Row],[kval_active]],dict_zuord_Transfers_Storages[[#This Row],[ID_Storages]],"")</f>
        <v/>
      </c>
    </row>
    <row r="1408" spans="1:4" x14ac:dyDescent="0.45">
      <c r="A1408">
        <v>156</v>
      </c>
      <c r="B1408">
        <f t="shared" ca="1" si="21"/>
        <v>9</v>
      </c>
      <c r="C14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8" t="str">
        <f ca="1">IF(dict_zuord_Transfers_Storages[[#This Row],[kval_active]],dict_zuord_Transfers_Storages[[#This Row],[ID_Storages]],"")</f>
        <v/>
      </c>
    </row>
    <row r="1409" spans="1:4" x14ac:dyDescent="0.45">
      <c r="A1409">
        <v>156</v>
      </c>
      <c r="B1409">
        <f t="shared" ca="1" si="21"/>
        <v>15</v>
      </c>
      <c r="C14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09" t="str">
        <f ca="1">IF(dict_zuord_Transfers_Storages[[#This Row],[kval_active]],dict_zuord_Transfers_Storages[[#This Row],[ID_Storages]],"")</f>
        <v/>
      </c>
    </row>
    <row r="1410" spans="1:4" x14ac:dyDescent="0.45">
      <c r="A1410">
        <v>156</v>
      </c>
      <c r="B1410">
        <f t="shared" ref="B1410:B1473" ca="1" si="22">RANDBETWEEN(0,100)</f>
        <v>38</v>
      </c>
      <c r="C14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0" t="str">
        <f ca="1">IF(dict_zuord_Transfers_Storages[[#This Row],[kval_active]],dict_zuord_Transfers_Storages[[#This Row],[ID_Storages]],"")</f>
        <v/>
      </c>
    </row>
    <row r="1411" spans="1:4" x14ac:dyDescent="0.45">
      <c r="A1411">
        <v>156</v>
      </c>
      <c r="B1411">
        <f t="shared" ca="1" si="22"/>
        <v>82</v>
      </c>
      <c r="C14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1" t="str">
        <f ca="1">IF(dict_zuord_Transfers_Storages[[#This Row],[kval_active]],dict_zuord_Transfers_Storages[[#This Row],[ID_Storages]],"")</f>
        <v/>
      </c>
    </row>
    <row r="1412" spans="1:4" x14ac:dyDescent="0.45">
      <c r="A1412">
        <v>156</v>
      </c>
      <c r="B1412">
        <f t="shared" ca="1" si="22"/>
        <v>64</v>
      </c>
      <c r="C14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2" t="str">
        <f ca="1">IF(dict_zuord_Transfers_Storages[[#This Row],[kval_active]],dict_zuord_Transfers_Storages[[#This Row],[ID_Storages]],"")</f>
        <v/>
      </c>
    </row>
    <row r="1413" spans="1:4" x14ac:dyDescent="0.45">
      <c r="A1413">
        <v>156</v>
      </c>
      <c r="B1413">
        <f t="shared" ca="1" si="22"/>
        <v>15</v>
      </c>
      <c r="C14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3" t="str">
        <f ca="1">IF(dict_zuord_Transfers_Storages[[#This Row],[kval_active]],dict_zuord_Transfers_Storages[[#This Row],[ID_Storages]],"")</f>
        <v/>
      </c>
    </row>
    <row r="1414" spans="1:4" x14ac:dyDescent="0.45">
      <c r="A1414">
        <v>156</v>
      </c>
      <c r="B1414">
        <f t="shared" ca="1" si="22"/>
        <v>92</v>
      </c>
      <c r="C14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14" t="str">
        <f ca="1">IF(dict_zuord_Transfers_Storages[[#This Row],[kval_active]],dict_zuord_Transfers_Storages[[#This Row],[ID_Storages]],"")</f>
        <v/>
      </c>
    </row>
    <row r="1415" spans="1:4" x14ac:dyDescent="0.45">
      <c r="A1415">
        <v>157</v>
      </c>
      <c r="B1415">
        <f t="shared" ca="1" si="22"/>
        <v>75</v>
      </c>
      <c r="C14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5">
        <f ca="1">IF(dict_zuord_Transfers_Storages[[#This Row],[kval_active]],dict_zuord_Transfers_Storages[[#This Row],[ID_Storages]],"")</f>
        <v>75</v>
      </c>
    </row>
    <row r="1416" spans="1:4" x14ac:dyDescent="0.45">
      <c r="A1416">
        <v>157</v>
      </c>
      <c r="B1416">
        <f t="shared" ca="1" si="22"/>
        <v>68</v>
      </c>
      <c r="C14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6">
        <f ca="1">IF(dict_zuord_Transfers_Storages[[#This Row],[kval_active]],dict_zuord_Transfers_Storages[[#This Row],[ID_Storages]],"")</f>
        <v>68</v>
      </c>
    </row>
    <row r="1417" spans="1:4" x14ac:dyDescent="0.45">
      <c r="A1417">
        <v>157</v>
      </c>
      <c r="B1417">
        <f t="shared" ca="1" si="22"/>
        <v>76</v>
      </c>
      <c r="C14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7">
        <f ca="1">IF(dict_zuord_Transfers_Storages[[#This Row],[kval_active]],dict_zuord_Transfers_Storages[[#This Row],[ID_Storages]],"")</f>
        <v>76</v>
      </c>
    </row>
    <row r="1418" spans="1:4" x14ac:dyDescent="0.45">
      <c r="A1418">
        <v>157</v>
      </c>
      <c r="B1418">
        <f t="shared" ca="1" si="22"/>
        <v>26</v>
      </c>
      <c r="C14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8">
        <f ca="1">IF(dict_zuord_Transfers_Storages[[#This Row],[kval_active]],dict_zuord_Transfers_Storages[[#This Row],[ID_Storages]],"")</f>
        <v>26</v>
      </c>
    </row>
    <row r="1419" spans="1:4" x14ac:dyDescent="0.45">
      <c r="A1419">
        <v>157</v>
      </c>
      <c r="B1419">
        <f t="shared" ca="1" si="22"/>
        <v>25</v>
      </c>
      <c r="C14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19">
        <f ca="1">IF(dict_zuord_Transfers_Storages[[#This Row],[kval_active]],dict_zuord_Transfers_Storages[[#This Row],[ID_Storages]],"")</f>
        <v>25</v>
      </c>
    </row>
    <row r="1420" spans="1:4" x14ac:dyDescent="0.45">
      <c r="A1420">
        <v>157</v>
      </c>
      <c r="B1420">
        <f t="shared" ca="1" si="22"/>
        <v>10</v>
      </c>
      <c r="C14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0">
        <f ca="1">IF(dict_zuord_Transfers_Storages[[#This Row],[kval_active]],dict_zuord_Transfers_Storages[[#This Row],[ID_Storages]],"")</f>
        <v>10</v>
      </c>
    </row>
    <row r="1421" spans="1:4" x14ac:dyDescent="0.45">
      <c r="A1421">
        <v>157</v>
      </c>
      <c r="B1421">
        <f t="shared" ca="1" si="22"/>
        <v>52</v>
      </c>
      <c r="C14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1">
        <f ca="1">IF(dict_zuord_Transfers_Storages[[#This Row],[kval_active]],dict_zuord_Transfers_Storages[[#This Row],[ID_Storages]],"")</f>
        <v>52</v>
      </c>
    </row>
    <row r="1422" spans="1:4" x14ac:dyDescent="0.45">
      <c r="A1422">
        <v>157</v>
      </c>
      <c r="B1422">
        <f t="shared" ca="1" si="22"/>
        <v>35</v>
      </c>
      <c r="C14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2">
        <f ca="1">IF(dict_zuord_Transfers_Storages[[#This Row],[kval_active]],dict_zuord_Transfers_Storages[[#This Row],[ID_Storages]],"")</f>
        <v>35</v>
      </c>
    </row>
    <row r="1423" spans="1:4" x14ac:dyDescent="0.45">
      <c r="A1423">
        <v>157</v>
      </c>
      <c r="B1423">
        <f t="shared" ca="1" si="22"/>
        <v>27</v>
      </c>
      <c r="C14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23">
        <f ca="1">IF(dict_zuord_Transfers_Storages[[#This Row],[kval_active]],dict_zuord_Transfers_Storages[[#This Row],[ID_Storages]],"")</f>
        <v>27</v>
      </c>
    </row>
    <row r="1424" spans="1:4" x14ac:dyDescent="0.45">
      <c r="A1424">
        <v>158</v>
      </c>
      <c r="B1424">
        <f t="shared" ca="1" si="22"/>
        <v>21</v>
      </c>
      <c r="C14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4" t="str">
        <f ca="1">IF(dict_zuord_Transfers_Storages[[#This Row],[kval_active]],dict_zuord_Transfers_Storages[[#This Row],[ID_Storages]],"")</f>
        <v/>
      </c>
    </row>
    <row r="1425" spans="1:4" x14ac:dyDescent="0.45">
      <c r="A1425">
        <v>158</v>
      </c>
      <c r="B1425">
        <f t="shared" ca="1" si="22"/>
        <v>28</v>
      </c>
      <c r="C14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5" t="str">
        <f ca="1">IF(dict_zuord_Transfers_Storages[[#This Row],[kval_active]],dict_zuord_Transfers_Storages[[#This Row],[ID_Storages]],"")</f>
        <v/>
      </c>
    </row>
    <row r="1426" spans="1:4" x14ac:dyDescent="0.45">
      <c r="A1426">
        <v>158</v>
      </c>
      <c r="B1426">
        <f t="shared" ca="1" si="22"/>
        <v>2</v>
      </c>
      <c r="C14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6" t="str">
        <f ca="1">IF(dict_zuord_Transfers_Storages[[#This Row],[kval_active]],dict_zuord_Transfers_Storages[[#This Row],[ID_Storages]],"")</f>
        <v/>
      </c>
    </row>
    <row r="1427" spans="1:4" x14ac:dyDescent="0.45">
      <c r="A1427">
        <v>158</v>
      </c>
      <c r="B1427">
        <f t="shared" ca="1" si="22"/>
        <v>95</v>
      </c>
      <c r="C14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7" t="str">
        <f ca="1">IF(dict_zuord_Transfers_Storages[[#This Row],[kval_active]],dict_zuord_Transfers_Storages[[#This Row],[ID_Storages]],"")</f>
        <v/>
      </c>
    </row>
    <row r="1428" spans="1:4" x14ac:dyDescent="0.45">
      <c r="A1428">
        <v>158</v>
      </c>
      <c r="B1428">
        <f t="shared" ca="1" si="22"/>
        <v>73</v>
      </c>
      <c r="C14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8" t="str">
        <f ca="1">IF(dict_zuord_Transfers_Storages[[#This Row],[kval_active]],dict_zuord_Transfers_Storages[[#This Row],[ID_Storages]],"")</f>
        <v/>
      </c>
    </row>
    <row r="1429" spans="1:4" x14ac:dyDescent="0.45">
      <c r="A1429">
        <v>158</v>
      </c>
      <c r="B1429">
        <f t="shared" ca="1" si="22"/>
        <v>19</v>
      </c>
      <c r="C14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29" t="str">
        <f ca="1">IF(dict_zuord_Transfers_Storages[[#This Row],[kval_active]],dict_zuord_Transfers_Storages[[#This Row],[ID_Storages]],"")</f>
        <v/>
      </c>
    </row>
    <row r="1430" spans="1:4" x14ac:dyDescent="0.45">
      <c r="A1430">
        <v>158</v>
      </c>
      <c r="B1430">
        <f t="shared" ca="1" si="22"/>
        <v>25</v>
      </c>
      <c r="C14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0" t="str">
        <f ca="1">IF(dict_zuord_Transfers_Storages[[#This Row],[kval_active]],dict_zuord_Transfers_Storages[[#This Row],[ID_Storages]],"")</f>
        <v/>
      </c>
    </row>
    <row r="1431" spans="1:4" x14ac:dyDescent="0.45">
      <c r="A1431">
        <v>158</v>
      </c>
      <c r="B1431">
        <f t="shared" ca="1" si="22"/>
        <v>62</v>
      </c>
      <c r="C14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1" t="str">
        <f ca="1">IF(dict_zuord_Transfers_Storages[[#This Row],[kval_active]],dict_zuord_Transfers_Storages[[#This Row],[ID_Storages]],"")</f>
        <v/>
      </c>
    </row>
    <row r="1432" spans="1:4" x14ac:dyDescent="0.45">
      <c r="A1432">
        <v>158</v>
      </c>
      <c r="B1432">
        <f t="shared" ca="1" si="22"/>
        <v>58</v>
      </c>
      <c r="C14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32" t="str">
        <f ca="1">IF(dict_zuord_Transfers_Storages[[#This Row],[kval_active]],dict_zuord_Transfers_Storages[[#This Row],[ID_Storages]],"")</f>
        <v/>
      </c>
    </row>
    <row r="1433" spans="1:4" x14ac:dyDescent="0.45">
      <c r="A1433">
        <v>159</v>
      </c>
      <c r="B1433">
        <f t="shared" ca="1" si="22"/>
        <v>18</v>
      </c>
      <c r="C14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3">
        <f ca="1">IF(dict_zuord_Transfers_Storages[[#This Row],[kval_active]],dict_zuord_Transfers_Storages[[#This Row],[ID_Storages]],"")</f>
        <v>18</v>
      </c>
    </row>
    <row r="1434" spans="1:4" x14ac:dyDescent="0.45">
      <c r="A1434">
        <v>159</v>
      </c>
      <c r="B1434">
        <f t="shared" ca="1" si="22"/>
        <v>23</v>
      </c>
      <c r="C14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4">
        <f ca="1">IF(dict_zuord_Transfers_Storages[[#This Row],[kval_active]],dict_zuord_Transfers_Storages[[#This Row],[ID_Storages]],"")</f>
        <v>23</v>
      </c>
    </row>
    <row r="1435" spans="1:4" x14ac:dyDescent="0.45">
      <c r="A1435">
        <v>159</v>
      </c>
      <c r="B1435">
        <f t="shared" ca="1" si="22"/>
        <v>38</v>
      </c>
      <c r="C14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5">
        <f ca="1">IF(dict_zuord_Transfers_Storages[[#This Row],[kval_active]],dict_zuord_Transfers_Storages[[#This Row],[ID_Storages]],"")</f>
        <v>38</v>
      </c>
    </row>
    <row r="1436" spans="1:4" x14ac:dyDescent="0.45">
      <c r="A1436">
        <v>159</v>
      </c>
      <c r="B1436">
        <f t="shared" ca="1" si="22"/>
        <v>2</v>
      </c>
      <c r="C14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6">
        <f ca="1">IF(dict_zuord_Transfers_Storages[[#This Row],[kval_active]],dict_zuord_Transfers_Storages[[#This Row],[ID_Storages]],"")</f>
        <v>2</v>
      </c>
    </row>
    <row r="1437" spans="1:4" x14ac:dyDescent="0.45">
      <c r="A1437">
        <v>159</v>
      </c>
      <c r="B1437">
        <f t="shared" ca="1" si="22"/>
        <v>15</v>
      </c>
      <c r="C14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7">
        <f ca="1">IF(dict_zuord_Transfers_Storages[[#This Row],[kval_active]],dict_zuord_Transfers_Storages[[#This Row],[ID_Storages]],"")</f>
        <v>15</v>
      </c>
    </row>
    <row r="1438" spans="1:4" x14ac:dyDescent="0.45">
      <c r="A1438">
        <v>159</v>
      </c>
      <c r="B1438">
        <f t="shared" ca="1" si="22"/>
        <v>49</v>
      </c>
      <c r="C14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8">
        <f ca="1">IF(dict_zuord_Transfers_Storages[[#This Row],[kval_active]],dict_zuord_Transfers_Storages[[#This Row],[ID_Storages]],"")</f>
        <v>49</v>
      </c>
    </row>
    <row r="1439" spans="1:4" x14ac:dyDescent="0.45">
      <c r="A1439">
        <v>159</v>
      </c>
      <c r="B1439">
        <f t="shared" ca="1" si="22"/>
        <v>25</v>
      </c>
      <c r="C14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39">
        <f ca="1">IF(dict_zuord_Transfers_Storages[[#This Row],[kval_active]],dict_zuord_Transfers_Storages[[#This Row],[ID_Storages]],"")</f>
        <v>25</v>
      </c>
    </row>
    <row r="1440" spans="1:4" x14ac:dyDescent="0.45">
      <c r="A1440">
        <v>159</v>
      </c>
      <c r="B1440">
        <f t="shared" ca="1" si="22"/>
        <v>71</v>
      </c>
      <c r="C14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0">
        <f ca="1">IF(dict_zuord_Transfers_Storages[[#This Row],[kval_active]],dict_zuord_Transfers_Storages[[#This Row],[ID_Storages]],"")</f>
        <v>71</v>
      </c>
    </row>
    <row r="1441" spans="1:4" x14ac:dyDescent="0.45">
      <c r="A1441">
        <v>159</v>
      </c>
      <c r="B1441">
        <f t="shared" ca="1" si="22"/>
        <v>85</v>
      </c>
      <c r="C14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1">
        <f ca="1">IF(dict_zuord_Transfers_Storages[[#This Row],[kval_active]],dict_zuord_Transfers_Storages[[#This Row],[ID_Storages]],"")</f>
        <v>85</v>
      </c>
    </row>
    <row r="1442" spans="1:4" x14ac:dyDescent="0.45">
      <c r="A1442">
        <v>160</v>
      </c>
      <c r="B1442">
        <f t="shared" ca="1" si="22"/>
        <v>75</v>
      </c>
      <c r="C14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2">
        <f ca="1">IF(dict_zuord_Transfers_Storages[[#This Row],[kval_active]],dict_zuord_Transfers_Storages[[#This Row],[ID_Storages]],"")</f>
        <v>75</v>
      </c>
    </row>
    <row r="1443" spans="1:4" x14ac:dyDescent="0.45">
      <c r="A1443">
        <v>160</v>
      </c>
      <c r="B1443">
        <f t="shared" ca="1" si="22"/>
        <v>73</v>
      </c>
      <c r="C14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3">
        <f ca="1">IF(dict_zuord_Transfers_Storages[[#This Row],[kval_active]],dict_zuord_Transfers_Storages[[#This Row],[ID_Storages]],"")</f>
        <v>73</v>
      </c>
    </row>
    <row r="1444" spans="1:4" x14ac:dyDescent="0.45">
      <c r="A1444">
        <v>160</v>
      </c>
      <c r="B1444">
        <f t="shared" ca="1" si="22"/>
        <v>80</v>
      </c>
      <c r="C14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4">
        <f ca="1">IF(dict_zuord_Transfers_Storages[[#This Row],[kval_active]],dict_zuord_Transfers_Storages[[#This Row],[ID_Storages]],"")</f>
        <v>80</v>
      </c>
    </row>
    <row r="1445" spans="1:4" x14ac:dyDescent="0.45">
      <c r="A1445">
        <v>160</v>
      </c>
      <c r="B1445">
        <f t="shared" ca="1" si="22"/>
        <v>70</v>
      </c>
      <c r="C14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5">
        <f ca="1">IF(dict_zuord_Transfers_Storages[[#This Row],[kval_active]],dict_zuord_Transfers_Storages[[#This Row],[ID_Storages]],"")</f>
        <v>70</v>
      </c>
    </row>
    <row r="1446" spans="1:4" x14ac:dyDescent="0.45">
      <c r="A1446">
        <v>160</v>
      </c>
      <c r="B1446">
        <f t="shared" ca="1" si="22"/>
        <v>64</v>
      </c>
      <c r="C14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6">
        <f ca="1">IF(dict_zuord_Transfers_Storages[[#This Row],[kval_active]],dict_zuord_Transfers_Storages[[#This Row],[ID_Storages]],"")</f>
        <v>64</v>
      </c>
    </row>
    <row r="1447" spans="1:4" x14ac:dyDescent="0.45">
      <c r="A1447">
        <v>160</v>
      </c>
      <c r="B1447">
        <f t="shared" ca="1" si="22"/>
        <v>87</v>
      </c>
      <c r="C14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7">
        <f ca="1">IF(dict_zuord_Transfers_Storages[[#This Row],[kval_active]],dict_zuord_Transfers_Storages[[#This Row],[ID_Storages]],"")</f>
        <v>87</v>
      </c>
    </row>
    <row r="1448" spans="1:4" x14ac:dyDescent="0.45">
      <c r="A1448">
        <v>160</v>
      </c>
      <c r="B1448">
        <f t="shared" ca="1" si="22"/>
        <v>79</v>
      </c>
      <c r="C14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8">
        <f ca="1">IF(dict_zuord_Transfers_Storages[[#This Row],[kval_active]],dict_zuord_Transfers_Storages[[#This Row],[ID_Storages]],"")</f>
        <v>79</v>
      </c>
    </row>
    <row r="1449" spans="1:4" x14ac:dyDescent="0.45">
      <c r="A1449">
        <v>160</v>
      </c>
      <c r="B1449">
        <f t="shared" ca="1" si="22"/>
        <v>46</v>
      </c>
      <c r="C14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49">
        <f ca="1">IF(dict_zuord_Transfers_Storages[[#This Row],[kval_active]],dict_zuord_Transfers_Storages[[#This Row],[ID_Storages]],"")</f>
        <v>46</v>
      </c>
    </row>
    <row r="1450" spans="1:4" x14ac:dyDescent="0.45">
      <c r="A1450">
        <v>160</v>
      </c>
      <c r="B1450">
        <f t="shared" ca="1" si="22"/>
        <v>40</v>
      </c>
      <c r="C14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0">
        <f ca="1">IF(dict_zuord_Transfers_Storages[[#This Row],[kval_active]],dict_zuord_Transfers_Storages[[#This Row],[ID_Storages]],"")</f>
        <v>40</v>
      </c>
    </row>
    <row r="1451" spans="1:4" x14ac:dyDescent="0.45">
      <c r="A1451">
        <v>161</v>
      </c>
      <c r="B1451">
        <f t="shared" ca="1" si="22"/>
        <v>84</v>
      </c>
      <c r="C14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1">
        <f ca="1">IF(dict_zuord_Transfers_Storages[[#This Row],[kval_active]],dict_zuord_Transfers_Storages[[#This Row],[ID_Storages]],"")</f>
        <v>84</v>
      </c>
    </row>
    <row r="1452" spans="1:4" x14ac:dyDescent="0.45">
      <c r="A1452">
        <v>161</v>
      </c>
      <c r="B1452">
        <f t="shared" ca="1" si="22"/>
        <v>49</v>
      </c>
      <c r="C14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2">
        <f ca="1">IF(dict_zuord_Transfers_Storages[[#This Row],[kval_active]],dict_zuord_Transfers_Storages[[#This Row],[ID_Storages]],"")</f>
        <v>49</v>
      </c>
    </row>
    <row r="1453" spans="1:4" x14ac:dyDescent="0.45">
      <c r="A1453">
        <v>161</v>
      </c>
      <c r="B1453">
        <f t="shared" ca="1" si="22"/>
        <v>56</v>
      </c>
      <c r="C14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3">
        <f ca="1">IF(dict_zuord_Transfers_Storages[[#This Row],[kval_active]],dict_zuord_Transfers_Storages[[#This Row],[ID_Storages]],"")</f>
        <v>56</v>
      </c>
    </row>
    <row r="1454" spans="1:4" x14ac:dyDescent="0.45">
      <c r="A1454">
        <v>161</v>
      </c>
      <c r="B1454">
        <f t="shared" ca="1" si="22"/>
        <v>34</v>
      </c>
      <c r="C14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4">
        <f ca="1">IF(dict_zuord_Transfers_Storages[[#This Row],[kval_active]],dict_zuord_Transfers_Storages[[#This Row],[ID_Storages]],"")</f>
        <v>34</v>
      </c>
    </row>
    <row r="1455" spans="1:4" x14ac:dyDescent="0.45">
      <c r="A1455">
        <v>161</v>
      </c>
      <c r="B1455">
        <f t="shared" ca="1" si="22"/>
        <v>94</v>
      </c>
      <c r="C14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5">
        <f ca="1">IF(dict_zuord_Transfers_Storages[[#This Row],[kval_active]],dict_zuord_Transfers_Storages[[#This Row],[ID_Storages]],"")</f>
        <v>94</v>
      </c>
    </row>
    <row r="1456" spans="1:4" x14ac:dyDescent="0.45">
      <c r="A1456">
        <v>161</v>
      </c>
      <c r="B1456">
        <f t="shared" ca="1" si="22"/>
        <v>8</v>
      </c>
      <c r="C14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6">
        <f ca="1">IF(dict_zuord_Transfers_Storages[[#This Row],[kval_active]],dict_zuord_Transfers_Storages[[#This Row],[ID_Storages]],"")</f>
        <v>8</v>
      </c>
    </row>
    <row r="1457" spans="1:4" x14ac:dyDescent="0.45">
      <c r="A1457">
        <v>161</v>
      </c>
      <c r="B1457">
        <f t="shared" ca="1" si="22"/>
        <v>63</v>
      </c>
      <c r="C14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7">
        <f ca="1">IF(dict_zuord_Transfers_Storages[[#This Row],[kval_active]],dict_zuord_Transfers_Storages[[#This Row],[ID_Storages]],"")</f>
        <v>63</v>
      </c>
    </row>
    <row r="1458" spans="1:4" x14ac:dyDescent="0.45">
      <c r="A1458">
        <v>161</v>
      </c>
      <c r="B1458">
        <f t="shared" ca="1" si="22"/>
        <v>38</v>
      </c>
      <c r="C14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8">
        <f ca="1">IF(dict_zuord_Transfers_Storages[[#This Row],[kval_active]],dict_zuord_Transfers_Storages[[#This Row],[ID_Storages]],"")</f>
        <v>38</v>
      </c>
    </row>
    <row r="1459" spans="1:4" x14ac:dyDescent="0.45">
      <c r="A1459">
        <v>161</v>
      </c>
      <c r="B1459">
        <f t="shared" ca="1" si="22"/>
        <v>25</v>
      </c>
      <c r="C14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59">
        <f ca="1">IF(dict_zuord_Transfers_Storages[[#This Row],[kval_active]],dict_zuord_Transfers_Storages[[#This Row],[ID_Storages]],"")</f>
        <v>25</v>
      </c>
    </row>
    <row r="1460" spans="1:4" x14ac:dyDescent="0.45">
      <c r="A1460">
        <v>162</v>
      </c>
      <c r="B1460">
        <f t="shared" ca="1" si="22"/>
        <v>60</v>
      </c>
      <c r="C14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0" t="str">
        <f ca="1">IF(dict_zuord_Transfers_Storages[[#This Row],[kval_active]],dict_zuord_Transfers_Storages[[#This Row],[ID_Storages]],"")</f>
        <v/>
      </c>
    </row>
    <row r="1461" spans="1:4" x14ac:dyDescent="0.45">
      <c r="A1461">
        <v>162</v>
      </c>
      <c r="B1461">
        <f t="shared" ca="1" si="22"/>
        <v>90</v>
      </c>
      <c r="C14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1" t="str">
        <f ca="1">IF(dict_zuord_Transfers_Storages[[#This Row],[kval_active]],dict_zuord_Transfers_Storages[[#This Row],[ID_Storages]],"")</f>
        <v/>
      </c>
    </row>
    <row r="1462" spans="1:4" x14ac:dyDescent="0.45">
      <c r="A1462">
        <v>162</v>
      </c>
      <c r="B1462">
        <f t="shared" ca="1" si="22"/>
        <v>96</v>
      </c>
      <c r="C14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2" t="str">
        <f ca="1">IF(dict_zuord_Transfers_Storages[[#This Row],[kval_active]],dict_zuord_Transfers_Storages[[#This Row],[ID_Storages]],"")</f>
        <v/>
      </c>
    </row>
    <row r="1463" spans="1:4" x14ac:dyDescent="0.45">
      <c r="A1463">
        <v>162</v>
      </c>
      <c r="B1463">
        <f t="shared" ca="1" si="22"/>
        <v>13</v>
      </c>
      <c r="C14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3" t="str">
        <f ca="1">IF(dict_zuord_Transfers_Storages[[#This Row],[kval_active]],dict_zuord_Transfers_Storages[[#This Row],[ID_Storages]],"")</f>
        <v/>
      </c>
    </row>
    <row r="1464" spans="1:4" x14ac:dyDescent="0.45">
      <c r="A1464">
        <v>162</v>
      </c>
      <c r="B1464">
        <f t="shared" ca="1" si="22"/>
        <v>8</v>
      </c>
      <c r="C14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4" t="str">
        <f ca="1">IF(dict_zuord_Transfers_Storages[[#This Row],[kval_active]],dict_zuord_Transfers_Storages[[#This Row],[ID_Storages]],"")</f>
        <v/>
      </c>
    </row>
    <row r="1465" spans="1:4" x14ac:dyDescent="0.45">
      <c r="A1465">
        <v>162</v>
      </c>
      <c r="B1465">
        <f t="shared" ca="1" si="22"/>
        <v>35</v>
      </c>
      <c r="C14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5" t="str">
        <f ca="1">IF(dict_zuord_Transfers_Storages[[#This Row],[kval_active]],dict_zuord_Transfers_Storages[[#This Row],[ID_Storages]],"")</f>
        <v/>
      </c>
    </row>
    <row r="1466" spans="1:4" x14ac:dyDescent="0.45">
      <c r="A1466">
        <v>162</v>
      </c>
      <c r="B1466">
        <f t="shared" ca="1" si="22"/>
        <v>100</v>
      </c>
      <c r="C14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6" t="str">
        <f ca="1">IF(dict_zuord_Transfers_Storages[[#This Row],[kval_active]],dict_zuord_Transfers_Storages[[#This Row],[ID_Storages]],"")</f>
        <v/>
      </c>
    </row>
    <row r="1467" spans="1:4" x14ac:dyDescent="0.45">
      <c r="A1467">
        <v>162</v>
      </c>
      <c r="B1467">
        <f t="shared" ca="1" si="22"/>
        <v>23</v>
      </c>
      <c r="C14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7" t="str">
        <f ca="1">IF(dict_zuord_Transfers_Storages[[#This Row],[kval_active]],dict_zuord_Transfers_Storages[[#This Row],[ID_Storages]],"")</f>
        <v/>
      </c>
    </row>
    <row r="1468" spans="1:4" x14ac:dyDescent="0.45">
      <c r="A1468">
        <v>162</v>
      </c>
      <c r="B1468">
        <f t="shared" ca="1" si="22"/>
        <v>38</v>
      </c>
      <c r="C14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68" t="str">
        <f ca="1">IF(dict_zuord_Transfers_Storages[[#This Row],[kval_active]],dict_zuord_Transfers_Storages[[#This Row],[ID_Storages]],"")</f>
        <v/>
      </c>
    </row>
    <row r="1469" spans="1:4" x14ac:dyDescent="0.45">
      <c r="A1469">
        <v>163</v>
      </c>
      <c r="B1469">
        <f t="shared" ca="1" si="22"/>
        <v>52</v>
      </c>
      <c r="C14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69">
        <f ca="1">IF(dict_zuord_Transfers_Storages[[#This Row],[kval_active]],dict_zuord_Transfers_Storages[[#This Row],[ID_Storages]],"")</f>
        <v>52</v>
      </c>
    </row>
    <row r="1470" spans="1:4" x14ac:dyDescent="0.45">
      <c r="A1470">
        <v>163</v>
      </c>
      <c r="B1470">
        <f t="shared" ca="1" si="22"/>
        <v>11</v>
      </c>
      <c r="C14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0">
        <f ca="1">IF(dict_zuord_Transfers_Storages[[#This Row],[kval_active]],dict_zuord_Transfers_Storages[[#This Row],[ID_Storages]],"")</f>
        <v>11</v>
      </c>
    </row>
    <row r="1471" spans="1:4" x14ac:dyDescent="0.45">
      <c r="A1471">
        <v>163</v>
      </c>
      <c r="B1471">
        <f t="shared" ca="1" si="22"/>
        <v>87</v>
      </c>
      <c r="C14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1">
        <f ca="1">IF(dict_zuord_Transfers_Storages[[#This Row],[kval_active]],dict_zuord_Transfers_Storages[[#This Row],[ID_Storages]],"")</f>
        <v>87</v>
      </c>
    </row>
    <row r="1472" spans="1:4" x14ac:dyDescent="0.45">
      <c r="A1472">
        <v>163</v>
      </c>
      <c r="B1472">
        <f t="shared" ca="1" si="22"/>
        <v>32</v>
      </c>
      <c r="C14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2">
        <f ca="1">IF(dict_zuord_Transfers_Storages[[#This Row],[kval_active]],dict_zuord_Transfers_Storages[[#This Row],[ID_Storages]],"")</f>
        <v>32</v>
      </c>
    </row>
    <row r="1473" spans="1:4" x14ac:dyDescent="0.45">
      <c r="A1473">
        <v>163</v>
      </c>
      <c r="B1473">
        <f t="shared" ca="1" si="22"/>
        <v>29</v>
      </c>
      <c r="C14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3">
        <f ca="1">IF(dict_zuord_Transfers_Storages[[#This Row],[kval_active]],dict_zuord_Transfers_Storages[[#This Row],[ID_Storages]],"")</f>
        <v>29</v>
      </c>
    </row>
    <row r="1474" spans="1:4" x14ac:dyDescent="0.45">
      <c r="A1474">
        <v>163</v>
      </c>
      <c r="B1474">
        <f t="shared" ref="B1474:B1537" ca="1" si="23">RANDBETWEEN(0,100)</f>
        <v>28</v>
      </c>
      <c r="C14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4">
        <f ca="1">IF(dict_zuord_Transfers_Storages[[#This Row],[kval_active]],dict_zuord_Transfers_Storages[[#This Row],[ID_Storages]],"")</f>
        <v>28</v>
      </c>
    </row>
    <row r="1475" spans="1:4" x14ac:dyDescent="0.45">
      <c r="A1475">
        <v>163</v>
      </c>
      <c r="B1475">
        <f t="shared" ca="1" si="23"/>
        <v>30</v>
      </c>
      <c r="C14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5">
        <f ca="1">IF(dict_zuord_Transfers_Storages[[#This Row],[kval_active]],dict_zuord_Transfers_Storages[[#This Row],[ID_Storages]],"")</f>
        <v>30</v>
      </c>
    </row>
    <row r="1476" spans="1:4" x14ac:dyDescent="0.45">
      <c r="A1476">
        <v>163</v>
      </c>
      <c r="B1476">
        <f t="shared" ca="1" si="23"/>
        <v>42</v>
      </c>
      <c r="C14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6">
        <f ca="1">IF(dict_zuord_Transfers_Storages[[#This Row],[kval_active]],dict_zuord_Transfers_Storages[[#This Row],[ID_Storages]],"")</f>
        <v>42</v>
      </c>
    </row>
    <row r="1477" spans="1:4" x14ac:dyDescent="0.45">
      <c r="A1477">
        <v>163</v>
      </c>
      <c r="B1477">
        <f t="shared" ca="1" si="23"/>
        <v>56</v>
      </c>
      <c r="C14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77">
        <f ca="1">IF(dict_zuord_Transfers_Storages[[#This Row],[kval_active]],dict_zuord_Transfers_Storages[[#This Row],[ID_Storages]],"")</f>
        <v>56</v>
      </c>
    </row>
    <row r="1478" spans="1:4" x14ac:dyDescent="0.45">
      <c r="A1478">
        <v>164</v>
      </c>
      <c r="B1478">
        <f t="shared" ca="1" si="23"/>
        <v>32</v>
      </c>
      <c r="C14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8" t="str">
        <f ca="1">IF(dict_zuord_Transfers_Storages[[#This Row],[kval_active]],dict_zuord_Transfers_Storages[[#This Row],[ID_Storages]],"")</f>
        <v/>
      </c>
    </row>
    <row r="1479" spans="1:4" x14ac:dyDescent="0.45">
      <c r="A1479">
        <v>164</v>
      </c>
      <c r="B1479">
        <f t="shared" ca="1" si="23"/>
        <v>98</v>
      </c>
      <c r="C14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79" t="str">
        <f ca="1">IF(dict_zuord_Transfers_Storages[[#This Row],[kval_active]],dict_zuord_Transfers_Storages[[#This Row],[ID_Storages]],"")</f>
        <v/>
      </c>
    </row>
    <row r="1480" spans="1:4" x14ac:dyDescent="0.45">
      <c r="A1480">
        <v>164</v>
      </c>
      <c r="B1480">
        <f t="shared" ca="1" si="23"/>
        <v>70</v>
      </c>
      <c r="C14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0" t="str">
        <f ca="1">IF(dict_zuord_Transfers_Storages[[#This Row],[kval_active]],dict_zuord_Transfers_Storages[[#This Row],[ID_Storages]],"")</f>
        <v/>
      </c>
    </row>
    <row r="1481" spans="1:4" x14ac:dyDescent="0.45">
      <c r="A1481">
        <v>164</v>
      </c>
      <c r="B1481">
        <f t="shared" ca="1" si="23"/>
        <v>47</v>
      </c>
      <c r="C14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1" t="str">
        <f ca="1">IF(dict_zuord_Transfers_Storages[[#This Row],[kval_active]],dict_zuord_Transfers_Storages[[#This Row],[ID_Storages]],"")</f>
        <v/>
      </c>
    </row>
    <row r="1482" spans="1:4" x14ac:dyDescent="0.45">
      <c r="A1482">
        <v>164</v>
      </c>
      <c r="B1482">
        <f t="shared" ca="1" si="23"/>
        <v>6</v>
      </c>
      <c r="C14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2" t="str">
        <f ca="1">IF(dict_zuord_Transfers_Storages[[#This Row],[kval_active]],dict_zuord_Transfers_Storages[[#This Row],[ID_Storages]],"")</f>
        <v/>
      </c>
    </row>
    <row r="1483" spans="1:4" x14ac:dyDescent="0.45">
      <c r="A1483">
        <v>164</v>
      </c>
      <c r="B1483">
        <f t="shared" ca="1" si="23"/>
        <v>32</v>
      </c>
      <c r="C14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3" t="str">
        <f ca="1">IF(dict_zuord_Transfers_Storages[[#This Row],[kval_active]],dict_zuord_Transfers_Storages[[#This Row],[ID_Storages]],"")</f>
        <v/>
      </c>
    </row>
    <row r="1484" spans="1:4" x14ac:dyDescent="0.45">
      <c r="A1484">
        <v>164</v>
      </c>
      <c r="B1484">
        <f t="shared" ca="1" si="23"/>
        <v>83</v>
      </c>
      <c r="C14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4" t="str">
        <f ca="1">IF(dict_zuord_Transfers_Storages[[#This Row],[kval_active]],dict_zuord_Transfers_Storages[[#This Row],[ID_Storages]],"")</f>
        <v/>
      </c>
    </row>
    <row r="1485" spans="1:4" x14ac:dyDescent="0.45">
      <c r="A1485">
        <v>164</v>
      </c>
      <c r="B1485">
        <f t="shared" ca="1" si="23"/>
        <v>52</v>
      </c>
      <c r="C14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5" t="str">
        <f ca="1">IF(dict_zuord_Transfers_Storages[[#This Row],[kval_active]],dict_zuord_Transfers_Storages[[#This Row],[ID_Storages]],"")</f>
        <v/>
      </c>
    </row>
    <row r="1486" spans="1:4" x14ac:dyDescent="0.45">
      <c r="A1486">
        <v>164</v>
      </c>
      <c r="B1486">
        <f t="shared" ca="1" si="23"/>
        <v>96</v>
      </c>
      <c r="C14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86" t="str">
        <f ca="1">IF(dict_zuord_Transfers_Storages[[#This Row],[kval_active]],dict_zuord_Transfers_Storages[[#This Row],[ID_Storages]],"")</f>
        <v/>
      </c>
    </row>
    <row r="1487" spans="1:4" x14ac:dyDescent="0.45">
      <c r="A1487">
        <v>165</v>
      </c>
      <c r="B1487">
        <f t="shared" ca="1" si="23"/>
        <v>76</v>
      </c>
      <c r="C14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7">
        <f ca="1">IF(dict_zuord_Transfers_Storages[[#This Row],[kval_active]],dict_zuord_Transfers_Storages[[#This Row],[ID_Storages]],"")</f>
        <v>76</v>
      </c>
    </row>
    <row r="1488" spans="1:4" x14ac:dyDescent="0.45">
      <c r="A1488">
        <v>165</v>
      </c>
      <c r="B1488">
        <f t="shared" ca="1" si="23"/>
        <v>45</v>
      </c>
      <c r="C14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8">
        <f ca="1">IF(dict_zuord_Transfers_Storages[[#This Row],[kval_active]],dict_zuord_Transfers_Storages[[#This Row],[ID_Storages]],"")</f>
        <v>45</v>
      </c>
    </row>
    <row r="1489" spans="1:4" x14ac:dyDescent="0.45">
      <c r="A1489">
        <v>165</v>
      </c>
      <c r="B1489">
        <f t="shared" ca="1" si="23"/>
        <v>99</v>
      </c>
      <c r="C14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89">
        <f ca="1">IF(dict_zuord_Transfers_Storages[[#This Row],[kval_active]],dict_zuord_Transfers_Storages[[#This Row],[ID_Storages]],"")</f>
        <v>99</v>
      </c>
    </row>
    <row r="1490" spans="1:4" x14ac:dyDescent="0.45">
      <c r="A1490">
        <v>165</v>
      </c>
      <c r="B1490">
        <f t="shared" ca="1" si="23"/>
        <v>5</v>
      </c>
      <c r="C14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0">
        <f ca="1">IF(dict_zuord_Transfers_Storages[[#This Row],[kval_active]],dict_zuord_Transfers_Storages[[#This Row],[ID_Storages]],"")</f>
        <v>5</v>
      </c>
    </row>
    <row r="1491" spans="1:4" x14ac:dyDescent="0.45">
      <c r="A1491">
        <v>165</v>
      </c>
      <c r="B1491">
        <f t="shared" ca="1" si="23"/>
        <v>68</v>
      </c>
      <c r="C14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1">
        <f ca="1">IF(dict_zuord_Transfers_Storages[[#This Row],[kval_active]],dict_zuord_Transfers_Storages[[#This Row],[ID_Storages]],"")</f>
        <v>68</v>
      </c>
    </row>
    <row r="1492" spans="1:4" x14ac:dyDescent="0.45">
      <c r="A1492">
        <v>165</v>
      </c>
      <c r="B1492">
        <f t="shared" ca="1" si="23"/>
        <v>98</v>
      </c>
      <c r="C14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2">
        <f ca="1">IF(dict_zuord_Transfers_Storages[[#This Row],[kval_active]],dict_zuord_Transfers_Storages[[#This Row],[ID_Storages]],"")</f>
        <v>98</v>
      </c>
    </row>
    <row r="1493" spans="1:4" x14ac:dyDescent="0.45">
      <c r="A1493">
        <v>165</v>
      </c>
      <c r="B1493">
        <f t="shared" ca="1" si="23"/>
        <v>82</v>
      </c>
      <c r="C14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3">
        <f ca="1">IF(dict_zuord_Transfers_Storages[[#This Row],[kval_active]],dict_zuord_Transfers_Storages[[#This Row],[ID_Storages]],"")</f>
        <v>82</v>
      </c>
    </row>
    <row r="1494" spans="1:4" x14ac:dyDescent="0.45">
      <c r="A1494">
        <v>165</v>
      </c>
      <c r="B1494">
        <f t="shared" ca="1" si="23"/>
        <v>91</v>
      </c>
      <c r="C14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4">
        <f ca="1">IF(dict_zuord_Transfers_Storages[[#This Row],[kval_active]],dict_zuord_Transfers_Storages[[#This Row],[ID_Storages]],"")</f>
        <v>91</v>
      </c>
    </row>
    <row r="1495" spans="1:4" x14ac:dyDescent="0.45">
      <c r="A1495">
        <v>165</v>
      </c>
      <c r="B1495">
        <f t="shared" ca="1" si="23"/>
        <v>94</v>
      </c>
      <c r="C14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495">
        <f ca="1">IF(dict_zuord_Transfers_Storages[[#This Row],[kval_active]],dict_zuord_Transfers_Storages[[#This Row],[ID_Storages]],"")</f>
        <v>94</v>
      </c>
    </row>
    <row r="1496" spans="1:4" x14ac:dyDescent="0.45">
      <c r="A1496">
        <v>166</v>
      </c>
      <c r="B1496">
        <f t="shared" ca="1" si="23"/>
        <v>81</v>
      </c>
      <c r="C14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6" t="str">
        <f ca="1">IF(dict_zuord_Transfers_Storages[[#This Row],[kval_active]],dict_zuord_Transfers_Storages[[#This Row],[ID_Storages]],"")</f>
        <v/>
      </c>
    </row>
    <row r="1497" spans="1:4" x14ac:dyDescent="0.45">
      <c r="A1497">
        <v>166</v>
      </c>
      <c r="B1497">
        <f t="shared" ca="1" si="23"/>
        <v>54</v>
      </c>
      <c r="C14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7" t="str">
        <f ca="1">IF(dict_zuord_Transfers_Storages[[#This Row],[kval_active]],dict_zuord_Transfers_Storages[[#This Row],[ID_Storages]],"")</f>
        <v/>
      </c>
    </row>
    <row r="1498" spans="1:4" x14ac:dyDescent="0.45">
      <c r="A1498">
        <v>166</v>
      </c>
      <c r="B1498">
        <f t="shared" ca="1" si="23"/>
        <v>41</v>
      </c>
      <c r="C14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8" t="str">
        <f ca="1">IF(dict_zuord_Transfers_Storages[[#This Row],[kval_active]],dict_zuord_Transfers_Storages[[#This Row],[ID_Storages]],"")</f>
        <v/>
      </c>
    </row>
    <row r="1499" spans="1:4" x14ac:dyDescent="0.45">
      <c r="A1499">
        <v>166</v>
      </c>
      <c r="B1499">
        <f t="shared" ca="1" si="23"/>
        <v>90</v>
      </c>
      <c r="C14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499" t="str">
        <f ca="1">IF(dict_zuord_Transfers_Storages[[#This Row],[kval_active]],dict_zuord_Transfers_Storages[[#This Row],[ID_Storages]],"")</f>
        <v/>
      </c>
    </row>
    <row r="1500" spans="1:4" x14ac:dyDescent="0.45">
      <c r="A1500">
        <v>166</v>
      </c>
      <c r="B1500">
        <f t="shared" ca="1" si="23"/>
        <v>35</v>
      </c>
      <c r="C15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0" t="str">
        <f ca="1">IF(dict_zuord_Transfers_Storages[[#This Row],[kval_active]],dict_zuord_Transfers_Storages[[#This Row],[ID_Storages]],"")</f>
        <v/>
      </c>
    </row>
    <row r="1501" spans="1:4" x14ac:dyDescent="0.45">
      <c r="A1501">
        <v>166</v>
      </c>
      <c r="B1501">
        <f t="shared" ca="1" si="23"/>
        <v>58</v>
      </c>
      <c r="C15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1" t="str">
        <f ca="1">IF(dict_zuord_Transfers_Storages[[#This Row],[kval_active]],dict_zuord_Transfers_Storages[[#This Row],[ID_Storages]],"")</f>
        <v/>
      </c>
    </row>
    <row r="1502" spans="1:4" x14ac:dyDescent="0.45">
      <c r="A1502">
        <v>166</v>
      </c>
      <c r="B1502">
        <f t="shared" ca="1" si="23"/>
        <v>58</v>
      </c>
      <c r="C15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2" t="str">
        <f ca="1">IF(dict_zuord_Transfers_Storages[[#This Row],[kval_active]],dict_zuord_Transfers_Storages[[#This Row],[ID_Storages]],"")</f>
        <v/>
      </c>
    </row>
    <row r="1503" spans="1:4" x14ac:dyDescent="0.45">
      <c r="A1503">
        <v>166</v>
      </c>
      <c r="B1503">
        <f t="shared" ca="1" si="23"/>
        <v>27</v>
      </c>
      <c r="C15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3" t="str">
        <f ca="1">IF(dict_zuord_Transfers_Storages[[#This Row],[kval_active]],dict_zuord_Transfers_Storages[[#This Row],[ID_Storages]],"")</f>
        <v/>
      </c>
    </row>
    <row r="1504" spans="1:4" x14ac:dyDescent="0.45">
      <c r="A1504">
        <v>166</v>
      </c>
      <c r="B1504">
        <f t="shared" ca="1" si="23"/>
        <v>33</v>
      </c>
      <c r="C15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4" t="str">
        <f ca="1">IF(dict_zuord_Transfers_Storages[[#This Row],[kval_active]],dict_zuord_Transfers_Storages[[#This Row],[ID_Storages]],"")</f>
        <v/>
      </c>
    </row>
    <row r="1505" spans="1:4" x14ac:dyDescent="0.45">
      <c r="A1505">
        <v>167</v>
      </c>
      <c r="B1505">
        <f t="shared" ca="1" si="23"/>
        <v>13</v>
      </c>
      <c r="C15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5" t="str">
        <f ca="1">IF(dict_zuord_Transfers_Storages[[#This Row],[kval_active]],dict_zuord_Transfers_Storages[[#This Row],[ID_Storages]],"")</f>
        <v/>
      </c>
    </row>
    <row r="1506" spans="1:4" x14ac:dyDescent="0.45">
      <c r="A1506">
        <v>167</v>
      </c>
      <c r="B1506">
        <f t="shared" ca="1" si="23"/>
        <v>76</v>
      </c>
      <c r="C15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6" t="str">
        <f ca="1">IF(dict_zuord_Transfers_Storages[[#This Row],[kval_active]],dict_zuord_Transfers_Storages[[#This Row],[ID_Storages]],"")</f>
        <v/>
      </c>
    </row>
    <row r="1507" spans="1:4" x14ac:dyDescent="0.45">
      <c r="A1507">
        <v>167</v>
      </c>
      <c r="B1507">
        <f t="shared" ca="1" si="23"/>
        <v>50</v>
      </c>
      <c r="C15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7" t="str">
        <f ca="1">IF(dict_zuord_Transfers_Storages[[#This Row],[kval_active]],dict_zuord_Transfers_Storages[[#This Row],[ID_Storages]],"")</f>
        <v/>
      </c>
    </row>
    <row r="1508" spans="1:4" x14ac:dyDescent="0.45">
      <c r="A1508">
        <v>167</v>
      </c>
      <c r="B1508">
        <f t="shared" ca="1" si="23"/>
        <v>45</v>
      </c>
      <c r="C15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8" t="str">
        <f ca="1">IF(dict_zuord_Transfers_Storages[[#This Row],[kval_active]],dict_zuord_Transfers_Storages[[#This Row],[ID_Storages]],"")</f>
        <v/>
      </c>
    </row>
    <row r="1509" spans="1:4" x14ac:dyDescent="0.45">
      <c r="A1509">
        <v>167</v>
      </c>
      <c r="B1509">
        <f t="shared" ca="1" si="23"/>
        <v>13</v>
      </c>
      <c r="C15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09" t="str">
        <f ca="1">IF(dict_zuord_Transfers_Storages[[#This Row],[kval_active]],dict_zuord_Transfers_Storages[[#This Row],[ID_Storages]],"")</f>
        <v/>
      </c>
    </row>
    <row r="1510" spans="1:4" x14ac:dyDescent="0.45">
      <c r="A1510">
        <v>167</v>
      </c>
      <c r="B1510">
        <f t="shared" ca="1" si="23"/>
        <v>84</v>
      </c>
      <c r="C15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0" t="str">
        <f ca="1">IF(dict_zuord_Transfers_Storages[[#This Row],[kval_active]],dict_zuord_Transfers_Storages[[#This Row],[ID_Storages]],"")</f>
        <v/>
      </c>
    </row>
    <row r="1511" spans="1:4" x14ac:dyDescent="0.45">
      <c r="A1511">
        <v>167</v>
      </c>
      <c r="B1511">
        <f t="shared" ca="1" si="23"/>
        <v>25</v>
      </c>
      <c r="C15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1" t="str">
        <f ca="1">IF(dict_zuord_Transfers_Storages[[#This Row],[kval_active]],dict_zuord_Transfers_Storages[[#This Row],[ID_Storages]],"")</f>
        <v/>
      </c>
    </row>
    <row r="1512" spans="1:4" x14ac:dyDescent="0.45">
      <c r="A1512">
        <v>167</v>
      </c>
      <c r="B1512">
        <f t="shared" ca="1" si="23"/>
        <v>77</v>
      </c>
      <c r="C15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2" t="str">
        <f ca="1">IF(dict_zuord_Transfers_Storages[[#This Row],[kval_active]],dict_zuord_Transfers_Storages[[#This Row],[ID_Storages]],"")</f>
        <v/>
      </c>
    </row>
    <row r="1513" spans="1:4" x14ac:dyDescent="0.45">
      <c r="A1513">
        <v>167</v>
      </c>
      <c r="B1513">
        <f t="shared" ca="1" si="23"/>
        <v>33</v>
      </c>
      <c r="C15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13" t="str">
        <f ca="1">IF(dict_zuord_Transfers_Storages[[#This Row],[kval_active]],dict_zuord_Transfers_Storages[[#This Row],[ID_Storages]],"")</f>
        <v/>
      </c>
    </row>
    <row r="1514" spans="1:4" x14ac:dyDescent="0.45">
      <c r="A1514">
        <v>168</v>
      </c>
      <c r="B1514">
        <f t="shared" ca="1" si="23"/>
        <v>95</v>
      </c>
      <c r="C15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4">
        <f ca="1">IF(dict_zuord_Transfers_Storages[[#This Row],[kval_active]],dict_zuord_Transfers_Storages[[#This Row],[ID_Storages]],"")</f>
        <v>95</v>
      </c>
    </row>
    <row r="1515" spans="1:4" x14ac:dyDescent="0.45">
      <c r="A1515">
        <v>168</v>
      </c>
      <c r="B1515">
        <f t="shared" ca="1" si="23"/>
        <v>73</v>
      </c>
      <c r="C15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5">
        <f ca="1">IF(dict_zuord_Transfers_Storages[[#This Row],[kval_active]],dict_zuord_Transfers_Storages[[#This Row],[ID_Storages]],"")</f>
        <v>73</v>
      </c>
    </row>
    <row r="1516" spans="1:4" x14ac:dyDescent="0.45">
      <c r="A1516">
        <v>168</v>
      </c>
      <c r="B1516">
        <f t="shared" ca="1" si="23"/>
        <v>81</v>
      </c>
      <c r="C15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6">
        <f ca="1">IF(dict_zuord_Transfers_Storages[[#This Row],[kval_active]],dict_zuord_Transfers_Storages[[#This Row],[ID_Storages]],"")</f>
        <v>81</v>
      </c>
    </row>
    <row r="1517" spans="1:4" x14ac:dyDescent="0.45">
      <c r="A1517">
        <v>168</v>
      </c>
      <c r="B1517">
        <f t="shared" ca="1" si="23"/>
        <v>70</v>
      </c>
      <c r="C15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7">
        <f ca="1">IF(dict_zuord_Transfers_Storages[[#This Row],[kval_active]],dict_zuord_Transfers_Storages[[#This Row],[ID_Storages]],"")</f>
        <v>70</v>
      </c>
    </row>
    <row r="1518" spans="1:4" x14ac:dyDescent="0.45">
      <c r="A1518">
        <v>168</v>
      </c>
      <c r="B1518">
        <f t="shared" ca="1" si="23"/>
        <v>28</v>
      </c>
      <c r="C15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8">
        <f ca="1">IF(dict_zuord_Transfers_Storages[[#This Row],[kval_active]],dict_zuord_Transfers_Storages[[#This Row],[ID_Storages]],"")</f>
        <v>28</v>
      </c>
    </row>
    <row r="1519" spans="1:4" x14ac:dyDescent="0.45">
      <c r="A1519">
        <v>168</v>
      </c>
      <c r="B1519">
        <f t="shared" ca="1" si="23"/>
        <v>74</v>
      </c>
      <c r="C15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19">
        <f ca="1">IF(dict_zuord_Transfers_Storages[[#This Row],[kval_active]],dict_zuord_Transfers_Storages[[#This Row],[ID_Storages]],"")</f>
        <v>74</v>
      </c>
    </row>
    <row r="1520" spans="1:4" x14ac:dyDescent="0.45">
      <c r="A1520">
        <v>168</v>
      </c>
      <c r="B1520">
        <f t="shared" ca="1" si="23"/>
        <v>81</v>
      </c>
      <c r="C15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0">
        <f ca="1">IF(dict_zuord_Transfers_Storages[[#This Row],[kval_active]],dict_zuord_Transfers_Storages[[#This Row],[ID_Storages]],"")</f>
        <v>81</v>
      </c>
    </row>
    <row r="1521" spans="1:4" x14ac:dyDescent="0.45">
      <c r="A1521">
        <v>168</v>
      </c>
      <c r="B1521">
        <f t="shared" ca="1" si="23"/>
        <v>57</v>
      </c>
      <c r="C15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1">
        <f ca="1">IF(dict_zuord_Transfers_Storages[[#This Row],[kval_active]],dict_zuord_Transfers_Storages[[#This Row],[ID_Storages]],"")</f>
        <v>57</v>
      </c>
    </row>
    <row r="1522" spans="1:4" x14ac:dyDescent="0.45">
      <c r="A1522">
        <v>168</v>
      </c>
      <c r="B1522">
        <f t="shared" ca="1" si="23"/>
        <v>97</v>
      </c>
      <c r="C15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2">
        <f ca="1">IF(dict_zuord_Transfers_Storages[[#This Row],[kval_active]],dict_zuord_Transfers_Storages[[#This Row],[ID_Storages]],"")</f>
        <v>97</v>
      </c>
    </row>
    <row r="1523" spans="1:4" x14ac:dyDescent="0.45">
      <c r="A1523">
        <v>169</v>
      </c>
      <c r="B1523">
        <f t="shared" ca="1" si="23"/>
        <v>76</v>
      </c>
      <c r="C15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3">
        <f ca="1">IF(dict_zuord_Transfers_Storages[[#This Row],[kval_active]],dict_zuord_Transfers_Storages[[#This Row],[ID_Storages]],"")</f>
        <v>76</v>
      </c>
    </row>
    <row r="1524" spans="1:4" x14ac:dyDescent="0.45">
      <c r="A1524">
        <v>169</v>
      </c>
      <c r="B1524">
        <f t="shared" ca="1" si="23"/>
        <v>37</v>
      </c>
      <c r="C15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4">
        <f ca="1">IF(dict_zuord_Transfers_Storages[[#This Row],[kval_active]],dict_zuord_Transfers_Storages[[#This Row],[ID_Storages]],"")</f>
        <v>37</v>
      </c>
    </row>
    <row r="1525" spans="1:4" x14ac:dyDescent="0.45">
      <c r="A1525">
        <v>169</v>
      </c>
      <c r="B1525">
        <f t="shared" ca="1" si="23"/>
        <v>67</v>
      </c>
      <c r="C15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5">
        <f ca="1">IF(dict_zuord_Transfers_Storages[[#This Row],[kval_active]],dict_zuord_Transfers_Storages[[#This Row],[ID_Storages]],"")</f>
        <v>67</v>
      </c>
    </row>
    <row r="1526" spans="1:4" x14ac:dyDescent="0.45">
      <c r="A1526">
        <v>169</v>
      </c>
      <c r="B1526">
        <f t="shared" ca="1" si="23"/>
        <v>26</v>
      </c>
      <c r="C15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6">
        <f ca="1">IF(dict_zuord_Transfers_Storages[[#This Row],[kval_active]],dict_zuord_Transfers_Storages[[#This Row],[ID_Storages]],"")</f>
        <v>26</v>
      </c>
    </row>
    <row r="1527" spans="1:4" x14ac:dyDescent="0.45">
      <c r="A1527">
        <v>169</v>
      </c>
      <c r="B1527">
        <f t="shared" ca="1" si="23"/>
        <v>100</v>
      </c>
      <c r="C15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7">
        <f ca="1">IF(dict_zuord_Transfers_Storages[[#This Row],[kval_active]],dict_zuord_Transfers_Storages[[#This Row],[ID_Storages]],"")</f>
        <v>100</v>
      </c>
    </row>
    <row r="1528" spans="1:4" x14ac:dyDescent="0.45">
      <c r="A1528">
        <v>169</v>
      </c>
      <c r="B1528">
        <f t="shared" ca="1" si="23"/>
        <v>94</v>
      </c>
      <c r="C15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8">
        <f ca="1">IF(dict_zuord_Transfers_Storages[[#This Row],[kval_active]],dict_zuord_Transfers_Storages[[#This Row],[ID_Storages]],"")</f>
        <v>94</v>
      </c>
    </row>
    <row r="1529" spans="1:4" x14ac:dyDescent="0.45">
      <c r="A1529">
        <v>169</v>
      </c>
      <c r="B1529">
        <f t="shared" ca="1" si="23"/>
        <v>62</v>
      </c>
      <c r="C15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29">
        <f ca="1">IF(dict_zuord_Transfers_Storages[[#This Row],[kval_active]],dict_zuord_Transfers_Storages[[#This Row],[ID_Storages]],"")</f>
        <v>62</v>
      </c>
    </row>
    <row r="1530" spans="1:4" x14ac:dyDescent="0.45">
      <c r="A1530">
        <v>169</v>
      </c>
      <c r="B1530">
        <f t="shared" ca="1" si="23"/>
        <v>47</v>
      </c>
      <c r="C15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0">
        <f ca="1">IF(dict_zuord_Transfers_Storages[[#This Row],[kval_active]],dict_zuord_Transfers_Storages[[#This Row],[ID_Storages]],"")</f>
        <v>47</v>
      </c>
    </row>
    <row r="1531" spans="1:4" x14ac:dyDescent="0.45">
      <c r="A1531">
        <v>169</v>
      </c>
      <c r="B1531">
        <f t="shared" ca="1" si="23"/>
        <v>74</v>
      </c>
      <c r="C15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31">
        <f ca="1">IF(dict_zuord_Transfers_Storages[[#This Row],[kval_active]],dict_zuord_Transfers_Storages[[#This Row],[ID_Storages]],"")</f>
        <v>74</v>
      </c>
    </row>
    <row r="1532" spans="1:4" x14ac:dyDescent="0.45">
      <c r="A1532">
        <v>170</v>
      </c>
      <c r="B1532">
        <f t="shared" ca="1" si="23"/>
        <v>42</v>
      </c>
      <c r="C15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2" t="str">
        <f ca="1">IF(dict_zuord_Transfers_Storages[[#This Row],[kval_active]],dict_zuord_Transfers_Storages[[#This Row],[ID_Storages]],"")</f>
        <v/>
      </c>
    </row>
    <row r="1533" spans="1:4" x14ac:dyDescent="0.45">
      <c r="A1533">
        <v>170</v>
      </c>
      <c r="B1533">
        <f t="shared" ca="1" si="23"/>
        <v>6</v>
      </c>
      <c r="C15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3" t="str">
        <f ca="1">IF(dict_zuord_Transfers_Storages[[#This Row],[kval_active]],dict_zuord_Transfers_Storages[[#This Row],[ID_Storages]],"")</f>
        <v/>
      </c>
    </row>
    <row r="1534" spans="1:4" x14ac:dyDescent="0.45">
      <c r="A1534">
        <v>170</v>
      </c>
      <c r="B1534">
        <f t="shared" ca="1" si="23"/>
        <v>63</v>
      </c>
      <c r="C15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4" t="str">
        <f ca="1">IF(dict_zuord_Transfers_Storages[[#This Row],[kval_active]],dict_zuord_Transfers_Storages[[#This Row],[ID_Storages]],"")</f>
        <v/>
      </c>
    </row>
    <row r="1535" spans="1:4" x14ac:dyDescent="0.45">
      <c r="A1535">
        <v>170</v>
      </c>
      <c r="B1535">
        <f t="shared" ca="1" si="23"/>
        <v>69</v>
      </c>
      <c r="C15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5" t="str">
        <f ca="1">IF(dict_zuord_Transfers_Storages[[#This Row],[kval_active]],dict_zuord_Transfers_Storages[[#This Row],[ID_Storages]],"")</f>
        <v/>
      </c>
    </row>
    <row r="1536" spans="1:4" x14ac:dyDescent="0.45">
      <c r="A1536">
        <v>170</v>
      </c>
      <c r="B1536">
        <f t="shared" ca="1" si="23"/>
        <v>85</v>
      </c>
      <c r="C15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6" t="str">
        <f ca="1">IF(dict_zuord_Transfers_Storages[[#This Row],[kval_active]],dict_zuord_Transfers_Storages[[#This Row],[ID_Storages]],"")</f>
        <v/>
      </c>
    </row>
    <row r="1537" spans="1:4" x14ac:dyDescent="0.45">
      <c r="A1537">
        <v>170</v>
      </c>
      <c r="B1537">
        <f t="shared" ca="1" si="23"/>
        <v>51</v>
      </c>
      <c r="C15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7" t="str">
        <f ca="1">IF(dict_zuord_Transfers_Storages[[#This Row],[kval_active]],dict_zuord_Transfers_Storages[[#This Row],[ID_Storages]],"")</f>
        <v/>
      </c>
    </row>
    <row r="1538" spans="1:4" x14ac:dyDescent="0.45">
      <c r="A1538">
        <v>170</v>
      </c>
      <c r="B1538">
        <f t="shared" ref="B1538:B1601" ca="1" si="24">RANDBETWEEN(0,100)</f>
        <v>42</v>
      </c>
      <c r="C15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8" t="str">
        <f ca="1">IF(dict_zuord_Transfers_Storages[[#This Row],[kval_active]],dict_zuord_Transfers_Storages[[#This Row],[ID_Storages]],"")</f>
        <v/>
      </c>
    </row>
    <row r="1539" spans="1:4" x14ac:dyDescent="0.45">
      <c r="A1539">
        <v>170</v>
      </c>
      <c r="B1539">
        <f t="shared" ca="1" si="24"/>
        <v>9</v>
      </c>
      <c r="C15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39" t="str">
        <f ca="1">IF(dict_zuord_Transfers_Storages[[#This Row],[kval_active]],dict_zuord_Transfers_Storages[[#This Row],[ID_Storages]],"")</f>
        <v/>
      </c>
    </row>
    <row r="1540" spans="1:4" x14ac:dyDescent="0.45">
      <c r="A1540">
        <v>170</v>
      </c>
      <c r="B1540">
        <f t="shared" ca="1" si="24"/>
        <v>74</v>
      </c>
      <c r="C15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0" t="str">
        <f ca="1">IF(dict_zuord_Transfers_Storages[[#This Row],[kval_active]],dict_zuord_Transfers_Storages[[#This Row],[ID_Storages]],"")</f>
        <v/>
      </c>
    </row>
    <row r="1541" spans="1:4" x14ac:dyDescent="0.45">
      <c r="A1541">
        <v>171</v>
      </c>
      <c r="B1541">
        <f t="shared" ca="1" si="24"/>
        <v>65</v>
      </c>
      <c r="C15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1" t="str">
        <f ca="1">IF(dict_zuord_Transfers_Storages[[#This Row],[kval_active]],dict_zuord_Transfers_Storages[[#This Row],[ID_Storages]],"")</f>
        <v/>
      </c>
    </row>
    <row r="1542" spans="1:4" x14ac:dyDescent="0.45">
      <c r="A1542">
        <v>171</v>
      </c>
      <c r="B1542">
        <f t="shared" ca="1" si="24"/>
        <v>23</v>
      </c>
      <c r="C15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2" t="str">
        <f ca="1">IF(dict_zuord_Transfers_Storages[[#This Row],[kval_active]],dict_zuord_Transfers_Storages[[#This Row],[ID_Storages]],"")</f>
        <v/>
      </c>
    </row>
    <row r="1543" spans="1:4" x14ac:dyDescent="0.45">
      <c r="A1543">
        <v>171</v>
      </c>
      <c r="B1543">
        <f t="shared" ca="1" si="24"/>
        <v>78</v>
      </c>
      <c r="C15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3" t="str">
        <f ca="1">IF(dict_zuord_Transfers_Storages[[#This Row],[kval_active]],dict_zuord_Transfers_Storages[[#This Row],[ID_Storages]],"")</f>
        <v/>
      </c>
    </row>
    <row r="1544" spans="1:4" x14ac:dyDescent="0.45">
      <c r="A1544">
        <v>171</v>
      </c>
      <c r="B1544">
        <f t="shared" ca="1" si="24"/>
        <v>12</v>
      </c>
      <c r="C15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4" t="str">
        <f ca="1">IF(dict_zuord_Transfers_Storages[[#This Row],[kval_active]],dict_zuord_Transfers_Storages[[#This Row],[ID_Storages]],"")</f>
        <v/>
      </c>
    </row>
    <row r="1545" spans="1:4" x14ac:dyDescent="0.45">
      <c r="A1545">
        <v>171</v>
      </c>
      <c r="B1545">
        <f t="shared" ca="1" si="24"/>
        <v>39</v>
      </c>
      <c r="C15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5" t="str">
        <f ca="1">IF(dict_zuord_Transfers_Storages[[#This Row],[kval_active]],dict_zuord_Transfers_Storages[[#This Row],[ID_Storages]],"")</f>
        <v/>
      </c>
    </row>
    <row r="1546" spans="1:4" x14ac:dyDescent="0.45">
      <c r="A1546">
        <v>171</v>
      </c>
      <c r="B1546">
        <f t="shared" ca="1" si="24"/>
        <v>90</v>
      </c>
      <c r="C15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6" t="str">
        <f ca="1">IF(dict_zuord_Transfers_Storages[[#This Row],[kval_active]],dict_zuord_Transfers_Storages[[#This Row],[ID_Storages]],"")</f>
        <v/>
      </c>
    </row>
    <row r="1547" spans="1:4" x14ac:dyDescent="0.45">
      <c r="A1547">
        <v>171</v>
      </c>
      <c r="B1547">
        <f t="shared" ca="1" si="24"/>
        <v>14</v>
      </c>
      <c r="C15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7" t="str">
        <f ca="1">IF(dict_zuord_Transfers_Storages[[#This Row],[kval_active]],dict_zuord_Transfers_Storages[[#This Row],[ID_Storages]],"")</f>
        <v/>
      </c>
    </row>
    <row r="1548" spans="1:4" x14ac:dyDescent="0.45">
      <c r="A1548">
        <v>171</v>
      </c>
      <c r="B1548">
        <f t="shared" ca="1" si="24"/>
        <v>4</v>
      </c>
      <c r="C15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8" t="str">
        <f ca="1">IF(dict_zuord_Transfers_Storages[[#This Row],[kval_active]],dict_zuord_Transfers_Storages[[#This Row],[ID_Storages]],"")</f>
        <v/>
      </c>
    </row>
    <row r="1549" spans="1:4" x14ac:dyDescent="0.45">
      <c r="A1549">
        <v>171</v>
      </c>
      <c r="B1549">
        <f t="shared" ca="1" si="24"/>
        <v>42</v>
      </c>
      <c r="C15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49" t="str">
        <f ca="1">IF(dict_zuord_Transfers_Storages[[#This Row],[kval_active]],dict_zuord_Transfers_Storages[[#This Row],[ID_Storages]],"")</f>
        <v/>
      </c>
    </row>
    <row r="1550" spans="1:4" x14ac:dyDescent="0.45">
      <c r="A1550">
        <v>172</v>
      </c>
      <c r="B1550">
        <f t="shared" ca="1" si="24"/>
        <v>62</v>
      </c>
      <c r="C15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0">
        <f ca="1">IF(dict_zuord_Transfers_Storages[[#This Row],[kval_active]],dict_zuord_Transfers_Storages[[#This Row],[ID_Storages]],"")</f>
        <v>62</v>
      </c>
    </row>
    <row r="1551" spans="1:4" x14ac:dyDescent="0.45">
      <c r="A1551">
        <v>172</v>
      </c>
      <c r="B1551">
        <f t="shared" ca="1" si="24"/>
        <v>28</v>
      </c>
      <c r="C15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1">
        <f ca="1">IF(dict_zuord_Transfers_Storages[[#This Row],[kval_active]],dict_zuord_Transfers_Storages[[#This Row],[ID_Storages]],"")</f>
        <v>28</v>
      </c>
    </row>
    <row r="1552" spans="1:4" x14ac:dyDescent="0.45">
      <c r="A1552">
        <v>172</v>
      </c>
      <c r="B1552">
        <f t="shared" ca="1" si="24"/>
        <v>69</v>
      </c>
      <c r="C15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2">
        <f ca="1">IF(dict_zuord_Transfers_Storages[[#This Row],[kval_active]],dict_zuord_Transfers_Storages[[#This Row],[ID_Storages]],"")</f>
        <v>69</v>
      </c>
    </row>
    <row r="1553" spans="1:4" x14ac:dyDescent="0.45">
      <c r="A1553">
        <v>172</v>
      </c>
      <c r="B1553">
        <f t="shared" ca="1" si="24"/>
        <v>62</v>
      </c>
      <c r="C15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3">
        <f ca="1">IF(dict_zuord_Transfers_Storages[[#This Row],[kval_active]],dict_zuord_Transfers_Storages[[#This Row],[ID_Storages]],"")</f>
        <v>62</v>
      </c>
    </row>
    <row r="1554" spans="1:4" x14ac:dyDescent="0.45">
      <c r="A1554">
        <v>172</v>
      </c>
      <c r="B1554">
        <f t="shared" ca="1" si="24"/>
        <v>79</v>
      </c>
      <c r="C15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4">
        <f ca="1">IF(dict_zuord_Transfers_Storages[[#This Row],[kval_active]],dict_zuord_Transfers_Storages[[#This Row],[ID_Storages]],"")</f>
        <v>79</v>
      </c>
    </row>
    <row r="1555" spans="1:4" x14ac:dyDescent="0.45">
      <c r="A1555">
        <v>172</v>
      </c>
      <c r="B1555">
        <f t="shared" ca="1" si="24"/>
        <v>30</v>
      </c>
      <c r="C15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5">
        <f ca="1">IF(dict_zuord_Transfers_Storages[[#This Row],[kval_active]],dict_zuord_Transfers_Storages[[#This Row],[ID_Storages]],"")</f>
        <v>30</v>
      </c>
    </row>
    <row r="1556" spans="1:4" x14ac:dyDescent="0.45">
      <c r="A1556">
        <v>172</v>
      </c>
      <c r="B1556">
        <f t="shared" ca="1" si="24"/>
        <v>31</v>
      </c>
      <c r="C15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6">
        <f ca="1">IF(dict_zuord_Transfers_Storages[[#This Row],[kval_active]],dict_zuord_Transfers_Storages[[#This Row],[ID_Storages]],"")</f>
        <v>31</v>
      </c>
    </row>
    <row r="1557" spans="1:4" x14ac:dyDescent="0.45">
      <c r="A1557">
        <v>172</v>
      </c>
      <c r="B1557">
        <f t="shared" ca="1" si="24"/>
        <v>3</v>
      </c>
      <c r="C15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7">
        <f ca="1">IF(dict_zuord_Transfers_Storages[[#This Row],[kval_active]],dict_zuord_Transfers_Storages[[#This Row],[ID_Storages]],"")</f>
        <v>3</v>
      </c>
    </row>
    <row r="1558" spans="1:4" x14ac:dyDescent="0.45">
      <c r="A1558">
        <v>172</v>
      </c>
      <c r="B1558">
        <f t="shared" ca="1" si="24"/>
        <v>27</v>
      </c>
      <c r="C15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58">
        <f ca="1">IF(dict_zuord_Transfers_Storages[[#This Row],[kval_active]],dict_zuord_Transfers_Storages[[#This Row],[ID_Storages]],"")</f>
        <v>27</v>
      </c>
    </row>
    <row r="1559" spans="1:4" x14ac:dyDescent="0.45">
      <c r="A1559">
        <v>173</v>
      </c>
      <c r="B1559">
        <f t="shared" ca="1" si="24"/>
        <v>16</v>
      </c>
      <c r="C15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59" t="str">
        <f ca="1">IF(dict_zuord_Transfers_Storages[[#This Row],[kval_active]],dict_zuord_Transfers_Storages[[#This Row],[ID_Storages]],"")</f>
        <v/>
      </c>
    </row>
    <row r="1560" spans="1:4" x14ac:dyDescent="0.45">
      <c r="A1560">
        <v>173</v>
      </c>
      <c r="B1560">
        <f t="shared" ca="1" si="24"/>
        <v>87</v>
      </c>
      <c r="C15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0" t="str">
        <f ca="1">IF(dict_zuord_Transfers_Storages[[#This Row],[kval_active]],dict_zuord_Transfers_Storages[[#This Row],[ID_Storages]],"")</f>
        <v/>
      </c>
    </row>
    <row r="1561" spans="1:4" x14ac:dyDescent="0.45">
      <c r="A1561">
        <v>173</v>
      </c>
      <c r="B1561">
        <f t="shared" ca="1" si="24"/>
        <v>76</v>
      </c>
      <c r="C15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1" t="str">
        <f ca="1">IF(dict_zuord_Transfers_Storages[[#This Row],[kval_active]],dict_zuord_Transfers_Storages[[#This Row],[ID_Storages]],"")</f>
        <v/>
      </c>
    </row>
    <row r="1562" spans="1:4" x14ac:dyDescent="0.45">
      <c r="A1562">
        <v>173</v>
      </c>
      <c r="B1562">
        <f t="shared" ca="1" si="24"/>
        <v>92</v>
      </c>
      <c r="C15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2" t="str">
        <f ca="1">IF(dict_zuord_Transfers_Storages[[#This Row],[kval_active]],dict_zuord_Transfers_Storages[[#This Row],[ID_Storages]],"")</f>
        <v/>
      </c>
    </row>
    <row r="1563" spans="1:4" x14ac:dyDescent="0.45">
      <c r="A1563">
        <v>173</v>
      </c>
      <c r="B1563">
        <f t="shared" ca="1" si="24"/>
        <v>35</v>
      </c>
      <c r="C15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3" t="str">
        <f ca="1">IF(dict_zuord_Transfers_Storages[[#This Row],[kval_active]],dict_zuord_Transfers_Storages[[#This Row],[ID_Storages]],"")</f>
        <v/>
      </c>
    </row>
    <row r="1564" spans="1:4" x14ac:dyDescent="0.45">
      <c r="A1564">
        <v>173</v>
      </c>
      <c r="B1564">
        <f t="shared" ca="1" si="24"/>
        <v>98</v>
      </c>
      <c r="C15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4" t="str">
        <f ca="1">IF(dict_zuord_Transfers_Storages[[#This Row],[kval_active]],dict_zuord_Transfers_Storages[[#This Row],[ID_Storages]],"")</f>
        <v/>
      </c>
    </row>
    <row r="1565" spans="1:4" x14ac:dyDescent="0.45">
      <c r="A1565">
        <v>173</v>
      </c>
      <c r="B1565">
        <f t="shared" ca="1" si="24"/>
        <v>89</v>
      </c>
      <c r="C15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5" t="str">
        <f ca="1">IF(dict_zuord_Transfers_Storages[[#This Row],[kval_active]],dict_zuord_Transfers_Storages[[#This Row],[ID_Storages]],"")</f>
        <v/>
      </c>
    </row>
    <row r="1566" spans="1:4" x14ac:dyDescent="0.45">
      <c r="A1566">
        <v>173</v>
      </c>
      <c r="B1566">
        <f t="shared" ca="1" si="24"/>
        <v>65</v>
      </c>
      <c r="C15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6" t="str">
        <f ca="1">IF(dict_zuord_Transfers_Storages[[#This Row],[kval_active]],dict_zuord_Transfers_Storages[[#This Row],[ID_Storages]],"")</f>
        <v/>
      </c>
    </row>
    <row r="1567" spans="1:4" x14ac:dyDescent="0.45">
      <c r="A1567">
        <v>173</v>
      </c>
      <c r="B1567">
        <f t="shared" ca="1" si="24"/>
        <v>46</v>
      </c>
      <c r="C15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7" t="str">
        <f ca="1">IF(dict_zuord_Transfers_Storages[[#This Row],[kval_active]],dict_zuord_Transfers_Storages[[#This Row],[ID_Storages]],"")</f>
        <v/>
      </c>
    </row>
    <row r="1568" spans="1:4" x14ac:dyDescent="0.45">
      <c r="A1568">
        <v>174</v>
      </c>
      <c r="B1568">
        <f t="shared" ca="1" si="24"/>
        <v>55</v>
      </c>
      <c r="C15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8" t="str">
        <f ca="1">IF(dict_zuord_Transfers_Storages[[#This Row],[kval_active]],dict_zuord_Transfers_Storages[[#This Row],[ID_Storages]],"")</f>
        <v/>
      </c>
    </row>
    <row r="1569" spans="1:4" x14ac:dyDescent="0.45">
      <c r="A1569">
        <v>174</v>
      </c>
      <c r="B1569">
        <f t="shared" ca="1" si="24"/>
        <v>8</v>
      </c>
      <c r="C15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69" t="str">
        <f ca="1">IF(dict_zuord_Transfers_Storages[[#This Row],[kval_active]],dict_zuord_Transfers_Storages[[#This Row],[ID_Storages]],"")</f>
        <v/>
      </c>
    </row>
    <row r="1570" spans="1:4" x14ac:dyDescent="0.45">
      <c r="A1570">
        <v>174</v>
      </c>
      <c r="B1570">
        <f t="shared" ca="1" si="24"/>
        <v>39</v>
      </c>
      <c r="C15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0" t="str">
        <f ca="1">IF(dict_zuord_Transfers_Storages[[#This Row],[kval_active]],dict_zuord_Transfers_Storages[[#This Row],[ID_Storages]],"")</f>
        <v/>
      </c>
    </row>
    <row r="1571" spans="1:4" x14ac:dyDescent="0.45">
      <c r="A1571">
        <v>174</v>
      </c>
      <c r="B1571">
        <f t="shared" ca="1" si="24"/>
        <v>39</v>
      </c>
      <c r="C15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1" t="str">
        <f ca="1">IF(dict_zuord_Transfers_Storages[[#This Row],[kval_active]],dict_zuord_Transfers_Storages[[#This Row],[ID_Storages]],"")</f>
        <v/>
      </c>
    </row>
    <row r="1572" spans="1:4" x14ac:dyDescent="0.45">
      <c r="A1572">
        <v>174</v>
      </c>
      <c r="B1572">
        <f t="shared" ca="1" si="24"/>
        <v>94</v>
      </c>
      <c r="C15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2" t="str">
        <f ca="1">IF(dict_zuord_Transfers_Storages[[#This Row],[kval_active]],dict_zuord_Transfers_Storages[[#This Row],[ID_Storages]],"")</f>
        <v/>
      </c>
    </row>
    <row r="1573" spans="1:4" x14ac:dyDescent="0.45">
      <c r="A1573">
        <v>174</v>
      </c>
      <c r="B1573">
        <f t="shared" ca="1" si="24"/>
        <v>13</v>
      </c>
      <c r="C15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3" t="str">
        <f ca="1">IF(dict_zuord_Transfers_Storages[[#This Row],[kval_active]],dict_zuord_Transfers_Storages[[#This Row],[ID_Storages]],"")</f>
        <v/>
      </c>
    </row>
    <row r="1574" spans="1:4" x14ac:dyDescent="0.45">
      <c r="A1574">
        <v>174</v>
      </c>
      <c r="B1574">
        <f t="shared" ca="1" si="24"/>
        <v>43</v>
      </c>
      <c r="C15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4" t="str">
        <f ca="1">IF(dict_zuord_Transfers_Storages[[#This Row],[kval_active]],dict_zuord_Transfers_Storages[[#This Row],[ID_Storages]],"")</f>
        <v/>
      </c>
    </row>
    <row r="1575" spans="1:4" x14ac:dyDescent="0.45">
      <c r="A1575">
        <v>174</v>
      </c>
      <c r="B1575">
        <f t="shared" ca="1" si="24"/>
        <v>94</v>
      </c>
      <c r="C15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5" t="str">
        <f ca="1">IF(dict_zuord_Transfers_Storages[[#This Row],[kval_active]],dict_zuord_Transfers_Storages[[#This Row],[ID_Storages]],"")</f>
        <v/>
      </c>
    </row>
    <row r="1576" spans="1:4" x14ac:dyDescent="0.45">
      <c r="A1576">
        <v>174</v>
      </c>
      <c r="B1576">
        <f t="shared" ca="1" si="24"/>
        <v>32</v>
      </c>
      <c r="C15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576" t="str">
        <f ca="1">IF(dict_zuord_Transfers_Storages[[#This Row],[kval_active]],dict_zuord_Transfers_Storages[[#This Row],[ID_Storages]],"")</f>
        <v/>
      </c>
    </row>
    <row r="1577" spans="1:4" x14ac:dyDescent="0.45">
      <c r="A1577">
        <v>175</v>
      </c>
      <c r="B1577">
        <f t="shared" ca="1" si="24"/>
        <v>4</v>
      </c>
      <c r="C15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7">
        <f ca="1">IF(dict_zuord_Transfers_Storages[[#This Row],[kval_active]],dict_zuord_Transfers_Storages[[#This Row],[ID_Storages]],"")</f>
        <v>4</v>
      </c>
    </row>
    <row r="1578" spans="1:4" x14ac:dyDescent="0.45">
      <c r="A1578">
        <v>175</v>
      </c>
      <c r="B1578">
        <f t="shared" ca="1" si="24"/>
        <v>77</v>
      </c>
      <c r="C15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8">
        <f ca="1">IF(dict_zuord_Transfers_Storages[[#This Row],[kval_active]],dict_zuord_Transfers_Storages[[#This Row],[ID_Storages]],"")</f>
        <v>77</v>
      </c>
    </row>
    <row r="1579" spans="1:4" x14ac:dyDescent="0.45">
      <c r="A1579">
        <v>175</v>
      </c>
      <c r="B1579">
        <f t="shared" ca="1" si="24"/>
        <v>59</v>
      </c>
      <c r="C15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79">
        <f ca="1">IF(dict_zuord_Transfers_Storages[[#This Row],[kval_active]],dict_zuord_Transfers_Storages[[#This Row],[ID_Storages]],"")</f>
        <v>59</v>
      </c>
    </row>
    <row r="1580" spans="1:4" x14ac:dyDescent="0.45">
      <c r="A1580">
        <v>175</v>
      </c>
      <c r="B1580">
        <f t="shared" ca="1" si="24"/>
        <v>36</v>
      </c>
      <c r="C15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0">
        <f ca="1">IF(dict_zuord_Transfers_Storages[[#This Row],[kval_active]],dict_zuord_Transfers_Storages[[#This Row],[ID_Storages]],"")</f>
        <v>36</v>
      </c>
    </row>
    <row r="1581" spans="1:4" x14ac:dyDescent="0.45">
      <c r="A1581">
        <v>175</v>
      </c>
      <c r="B1581">
        <f t="shared" ca="1" si="24"/>
        <v>73</v>
      </c>
      <c r="C15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1">
        <f ca="1">IF(dict_zuord_Transfers_Storages[[#This Row],[kval_active]],dict_zuord_Transfers_Storages[[#This Row],[ID_Storages]],"")</f>
        <v>73</v>
      </c>
    </row>
    <row r="1582" spans="1:4" x14ac:dyDescent="0.45">
      <c r="A1582">
        <v>175</v>
      </c>
      <c r="B1582">
        <f t="shared" ca="1" si="24"/>
        <v>68</v>
      </c>
      <c r="C15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2">
        <f ca="1">IF(dict_zuord_Transfers_Storages[[#This Row],[kval_active]],dict_zuord_Transfers_Storages[[#This Row],[ID_Storages]],"")</f>
        <v>68</v>
      </c>
    </row>
    <row r="1583" spans="1:4" x14ac:dyDescent="0.45">
      <c r="A1583">
        <v>175</v>
      </c>
      <c r="B1583">
        <f t="shared" ca="1" si="24"/>
        <v>55</v>
      </c>
      <c r="C15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3">
        <f ca="1">IF(dict_zuord_Transfers_Storages[[#This Row],[kval_active]],dict_zuord_Transfers_Storages[[#This Row],[ID_Storages]],"")</f>
        <v>55</v>
      </c>
    </row>
    <row r="1584" spans="1:4" x14ac:dyDescent="0.45">
      <c r="A1584">
        <v>175</v>
      </c>
      <c r="B1584">
        <f t="shared" ca="1" si="24"/>
        <v>5</v>
      </c>
      <c r="C15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4">
        <f ca="1">IF(dict_zuord_Transfers_Storages[[#This Row],[kval_active]],dict_zuord_Transfers_Storages[[#This Row],[ID_Storages]],"")</f>
        <v>5</v>
      </c>
    </row>
    <row r="1585" spans="1:4" x14ac:dyDescent="0.45">
      <c r="A1585">
        <v>175</v>
      </c>
      <c r="B1585">
        <f t="shared" ca="1" si="24"/>
        <v>21</v>
      </c>
      <c r="C15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5">
        <f ca="1">IF(dict_zuord_Transfers_Storages[[#This Row],[kval_active]],dict_zuord_Transfers_Storages[[#This Row],[ID_Storages]],"")</f>
        <v>21</v>
      </c>
    </row>
    <row r="1586" spans="1:4" x14ac:dyDescent="0.45">
      <c r="A1586">
        <v>176</v>
      </c>
      <c r="B1586">
        <f t="shared" ca="1" si="24"/>
        <v>9</v>
      </c>
      <c r="C15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6">
        <f ca="1">IF(dict_zuord_Transfers_Storages[[#This Row],[kval_active]],dict_zuord_Transfers_Storages[[#This Row],[ID_Storages]],"")</f>
        <v>9</v>
      </c>
    </row>
    <row r="1587" spans="1:4" x14ac:dyDescent="0.45">
      <c r="A1587">
        <v>176</v>
      </c>
      <c r="B1587">
        <f t="shared" ca="1" si="24"/>
        <v>18</v>
      </c>
      <c r="C15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7">
        <f ca="1">IF(dict_zuord_Transfers_Storages[[#This Row],[kval_active]],dict_zuord_Transfers_Storages[[#This Row],[ID_Storages]],"")</f>
        <v>18</v>
      </c>
    </row>
    <row r="1588" spans="1:4" x14ac:dyDescent="0.45">
      <c r="A1588">
        <v>176</v>
      </c>
      <c r="B1588">
        <f t="shared" ca="1" si="24"/>
        <v>23</v>
      </c>
      <c r="C15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8">
        <f ca="1">IF(dict_zuord_Transfers_Storages[[#This Row],[kval_active]],dict_zuord_Transfers_Storages[[#This Row],[ID_Storages]],"")</f>
        <v>23</v>
      </c>
    </row>
    <row r="1589" spans="1:4" x14ac:dyDescent="0.45">
      <c r="A1589">
        <v>176</v>
      </c>
      <c r="B1589">
        <f t="shared" ca="1" si="24"/>
        <v>75</v>
      </c>
      <c r="C15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89">
        <f ca="1">IF(dict_zuord_Transfers_Storages[[#This Row],[kval_active]],dict_zuord_Transfers_Storages[[#This Row],[ID_Storages]],"")</f>
        <v>75</v>
      </c>
    </row>
    <row r="1590" spans="1:4" x14ac:dyDescent="0.45">
      <c r="A1590">
        <v>176</v>
      </c>
      <c r="B1590">
        <f t="shared" ca="1" si="24"/>
        <v>87</v>
      </c>
      <c r="C15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0">
        <f ca="1">IF(dict_zuord_Transfers_Storages[[#This Row],[kval_active]],dict_zuord_Transfers_Storages[[#This Row],[ID_Storages]],"")</f>
        <v>87</v>
      </c>
    </row>
    <row r="1591" spans="1:4" x14ac:dyDescent="0.45">
      <c r="A1591">
        <v>176</v>
      </c>
      <c r="B1591">
        <f t="shared" ca="1" si="24"/>
        <v>78</v>
      </c>
      <c r="C15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1">
        <f ca="1">IF(dict_zuord_Transfers_Storages[[#This Row],[kval_active]],dict_zuord_Transfers_Storages[[#This Row],[ID_Storages]],"")</f>
        <v>78</v>
      </c>
    </row>
    <row r="1592" spans="1:4" x14ac:dyDescent="0.45">
      <c r="A1592">
        <v>176</v>
      </c>
      <c r="B1592">
        <f t="shared" ca="1" si="24"/>
        <v>40</v>
      </c>
      <c r="C15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2">
        <f ca="1">IF(dict_zuord_Transfers_Storages[[#This Row],[kval_active]],dict_zuord_Transfers_Storages[[#This Row],[ID_Storages]],"")</f>
        <v>40</v>
      </c>
    </row>
    <row r="1593" spans="1:4" x14ac:dyDescent="0.45">
      <c r="A1593">
        <v>176</v>
      </c>
      <c r="B1593">
        <f t="shared" ca="1" si="24"/>
        <v>96</v>
      </c>
      <c r="C15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3">
        <f ca="1">IF(dict_zuord_Transfers_Storages[[#This Row],[kval_active]],dict_zuord_Transfers_Storages[[#This Row],[ID_Storages]],"")</f>
        <v>96</v>
      </c>
    </row>
    <row r="1594" spans="1:4" x14ac:dyDescent="0.45">
      <c r="A1594">
        <v>176</v>
      </c>
      <c r="B1594">
        <f t="shared" ca="1" si="24"/>
        <v>66</v>
      </c>
      <c r="C15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4">
        <f ca="1">IF(dict_zuord_Transfers_Storages[[#This Row],[kval_active]],dict_zuord_Transfers_Storages[[#This Row],[ID_Storages]],"")</f>
        <v>66</v>
      </c>
    </row>
    <row r="1595" spans="1:4" x14ac:dyDescent="0.45">
      <c r="A1595">
        <v>177</v>
      </c>
      <c r="B1595">
        <f t="shared" ca="1" si="24"/>
        <v>19</v>
      </c>
      <c r="C15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5">
        <f ca="1">IF(dict_zuord_Transfers_Storages[[#This Row],[kval_active]],dict_zuord_Transfers_Storages[[#This Row],[ID_Storages]],"")</f>
        <v>19</v>
      </c>
    </row>
    <row r="1596" spans="1:4" x14ac:dyDescent="0.45">
      <c r="A1596">
        <v>177</v>
      </c>
      <c r="B1596">
        <f t="shared" ca="1" si="24"/>
        <v>82</v>
      </c>
      <c r="C15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6">
        <f ca="1">IF(dict_zuord_Transfers_Storages[[#This Row],[kval_active]],dict_zuord_Transfers_Storages[[#This Row],[ID_Storages]],"")</f>
        <v>82</v>
      </c>
    </row>
    <row r="1597" spans="1:4" x14ac:dyDescent="0.45">
      <c r="A1597">
        <v>177</v>
      </c>
      <c r="B1597">
        <f t="shared" ca="1" si="24"/>
        <v>12</v>
      </c>
      <c r="C15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7">
        <f ca="1">IF(dict_zuord_Transfers_Storages[[#This Row],[kval_active]],dict_zuord_Transfers_Storages[[#This Row],[ID_Storages]],"")</f>
        <v>12</v>
      </c>
    </row>
    <row r="1598" spans="1:4" x14ac:dyDescent="0.45">
      <c r="A1598">
        <v>177</v>
      </c>
      <c r="B1598">
        <f t="shared" ca="1" si="24"/>
        <v>7</v>
      </c>
      <c r="C15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8">
        <f ca="1">IF(dict_zuord_Transfers_Storages[[#This Row],[kval_active]],dict_zuord_Transfers_Storages[[#This Row],[ID_Storages]],"")</f>
        <v>7</v>
      </c>
    </row>
    <row r="1599" spans="1:4" x14ac:dyDescent="0.45">
      <c r="A1599">
        <v>177</v>
      </c>
      <c r="B1599">
        <f t="shared" ca="1" si="24"/>
        <v>16</v>
      </c>
      <c r="C15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599">
        <f ca="1">IF(dict_zuord_Transfers_Storages[[#This Row],[kval_active]],dict_zuord_Transfers_Storages[[#This Row],[ID_Storages]],"")</f>
        <v>16</v>
      </c>
    </row>
    <row r="1600" spans="1:4" x14ac:dyDescent="0.45">
      <c r="A1600">
        <v>177</v>
      </c>
      <c r="B1600">
        <f t="shared" ca="1" si="24"/>
        <v>63</v>
      </c>
      <c r="C16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0">
        <f ca="1">IF(dict_zuord_Transfers_Storages[[#This Row],[kval_active]],dict_zuord_Transfers_Storages[[#This Row],[ID_Storages]],"")</f>
        <v>63</v>
      </c>
    </row>
    <row r="1601" spans="1:4" x14ac:dyDescent="0.45">
      <c r="A1601">
        <v>177</v>
      </c>
      <c r="B1601">
        <f t="shared" ca="1" si="24"/>
        <v>91</v>
      </c>
      <c r="C16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1">
        <f ca="1">IF(dict_zuord_Transfers_Storages[[#This Row],[kval_active]],dict_zuord_Transfers_Storages[[#This Row],[ID_Storages]],"")</f>
        <v>91</v>
      </c>
    </row>
    <row r="1602" spans="1:4" x14ac:dyDescent="0.45">
      <c r="A1602">
        <v>177</v>
      </c>
      <c r="B1602">
        <f t="shared" ref="B1602:B1665" ca="1" si="25">RANDBETWEEN(0,100)</f>
        <v>92</v>
      </c>
      <c r="C16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2">
        <f ca="1">IF(dict_zuord_Transfers_Storages[[#This Row],[kval_active]],dict_zuord_Transfers_Storages[[#This Row],[ID_Storages]],"")</f>
        <v>92</v>
      </c>
    </row>
    <row r="1603" spans="1:4" x14ac:dyDescent="0.45">
      <c r="A1603">
        <v>177</v>
      </c>
      <c r="B1603">
        <f t="shared" ca="1" si="25"/>
        <v>2</v>
      </c>
      <c r="C16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3">
        <f ca="1">IF(dict_zuord_Transfers_Storages[[#This Row],[kval_active]],dict_zuord_Transfers_Storages[[#This Row],[ID_Storages]],"")</f>
        <v>2</v>
      </c>
    </row>
    <row r="1604" spans="1:4" x14ac:dyDescent="0.45">
      <c r="A1604">
        <v>178</v>
      </c>
      <c r="B1604">
        <f t="shared" ca="1" si="25"/>
        <v>98</v>
      </c>
      <c r="C16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4">
        <f ca="1">IF(dict_zuord_Transfers_Storages[[#This Row],[kval_active]],dict_zuord_Transfers_Storages[[#This Row],[ID_Storages]],"")</f>
        <v>98</v>
      </c>
    </row>
    <row r="1605" spans="1:4" x14ac:dyDescent="0.45">
      <c r="A1605">
        <v>178</v>
      </c>
      <c r="B1605">
        <f t="shared" ca="1" si="25"/>
        <v>33</v>
      </c>
      <c r="C16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5">
        <f ca="1">IF(dict_zuord_Transfers_Storages[[#This Row],[kval_active]],dict_zuord_Transfers_Storages[[#This Row],[ID_Storages]],"")</f>
        <v>33</v>
      </c>
    </row>
    <row r="1606" spans="1:4" x14ac:dyDescent="0.45">
      <c r="A1606">
        <v>178</v>
      </c>
      <c r="B1606">
        <f t="shared" ca="1" si="25"/>
        <v>35</v>
      </c>
      <c r="C16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6">
        <f ca="1">IF(dict_zuord_Transfers_Storages[[#This Row],[kval_active]],dict_zuord_Transfers_Storages[[#This Row],[ID_Storages]],"")</f>
        <v>35</v>
      </c>
    </row>
    <row r="1607" spans="1:4" x14ac:dyDescent="0.45">
      <c r="A1607">
        <v>178</v>
      </c>
      <c r="B1607">
        <f t="shared" ca="1" si="25"/>
        <v>65</v>
      </c>
      <c r="C16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7">
        <f ca="1">IF(dict_zuord_Transfers_Storages[[#This Row],[kval_active]],dict_zuord_Transfers_Storages[[#This Row],[ID_Storages]],"")</f>
        <v>65</v>
      </c>
    </row>
    <row r="1608" spans="1:4" x14ac:dyDescent="0.45">
      <c r="A1608">
        <v>178</v>
      </c>
      <c r="B1608">
        <f t="shared" ca="1" si="25"/>
        <v>64</v>
      </c>
      <c r="C16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8">
        <f ca="1">IF(dict_zuord_Transfers_Storages[[#This Row],[kval_active]],dict_zuord_Transfers_Storages[[#This Row],[ID_Storages]],"")</f>
        <v>64</v>
      </c>
    </row>
    <row r="1609" spans="1:4" x14ac:dyDescent="0.45">
      <c r="A1609">
        <v>178</v>
      </c>
      <c r="B1609">
        <f t="shared" ca="1" si="25"/>
        <v>68</v>
      </c>
      <c r="C16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09">
        <f ca="1">IF(dict_zuord_Transfers_Storages[[#This Row],[kval_active]],dict_zuord_Transfers_Storages[[#This Row],[ID_Storages]],"")</f>
        <v>68</v>
      </c>
    </row>
    <row r="1610" spans="1:4" x14ac:dyDescent="0.45">
      <c r="A1610">
        <v>178</v>
      </c>
      <c r="B1610">
        <f t="shared" ca="1" si="25"/>
        <v>19</v>
      </c>
      <c r="C16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0">
        <f ca="1">IF(dict_zuord_Transfers_Storages[[#This Row],[kval_active]],dict_zuord_Transfers_Storages[[#This Row],[ID_Storages]],"")</f>
        <v>19</v>
      </c>
    </row>
    <row r="1611" spans="1:4" x14ac:dyDescent="0.45">
      <c r="A1611">
        <v>178</v>
      </c>
      <c r="B1611">
        <f t="shared" ca="1" si="25"/>
        <v>37</v>
      </c>
      <c r="C16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1">
        <f ca="1">IF(dict_zuord_Transfers_Storages[[#This Row],[kval_active]],dict_zuord_Transfers_Storages[[#This Row],[ID_Storages]],"")</f>
        <v>37</v>
      </c>
    </row>
    <row r="1612" spans="1:4" x14ac:dyDescent="0.45">
      <c r="A1612">
        <v>178</v>
      </c>
      <c r="B1612">
        <f t="shared" ca="1" si="25"/>
        <v>97</v>
      </c>
      <c r="C16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2">
        <f ca="1">IF(dict_zuord_Transfers_Storages[[#This Row],[kval_active]],dict_zuord_Transfers_Storages[[#This Row],[ID_Storages]],"")</f>
        <v>97</v>
      </c>
    </row>
    <row r="1613" spans="1:4" x14ac:dyDescent="0.45">
      <c r="A1613">
        <v>179</v>
      </c>
      <c r="B1613">
        <f t="shared" ca="1" si="25"/>
        <v>97</v>
      </c>
      <c r="C16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3">
        <f ca="1">IF(dict_zuord_Transfers_Storages[[#This Row],[kval_active]],dict_zuord_Transfers_Storages[[#This Row],[ID_Storages]],"")</f>
        <v>97</v>
      </c>
    </row>
    <row r="1614" spans="1:4" x14ac:dyDescent="0.45">
      <c r="A1614">
        <v>179</v>
      </c>
      <c r="B1614">
        <f t="shared" ca="1" si="25"/>
        <v>94</v>
      </c>
      <c r="C16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4">
        <f ca="1">IF(dict_zuord_Transfers_Storages[[#This Row],[kval_active]],dict_zuord_Transfers_Storages[[#This Row],[ID_Storages]],"")</f>
        <v>94</v>
      </c>
    </row>
    <row r="1615" spans="1:4" x14ac:dyDescent="0.45">
      <c r="A1615">
        <v>179</v>
      </c>
      <c r="B1615">
        <f t="shared" ca="1" si="25"/>
        <v>47</v>
      </c>
      <c r="C16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5">
        <f ca="1">IF(dict_zuord_Transfers_Storages[[#This Row],[kval_active]],dict_zuord_Transfers_Storages[[#This Row],[ID_Storages]],"")</f>
        <v>47</v>
      </c>
    </row>
    <row r="1616" spans="1:4" x14ac:dyDescent="0.45">
      <c r="A1616">
        <v>179</v>
      </c>
      <c r="B1616">
        <f t="shared" ca="1" si="25"/>
        <v>15</v>
      </c>
      <c r="C16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6">
        <f ca="1">IF(dict_zuord_Transfers_Storages[[#This Row],[kval_active]],dict_zuord_Transfers_Storages[[#This Row],[ID_Storages]],"")</f>
        <v>15</v>
      </c>
    </row>
    <row r="1617" spans="1:4" x14ac:dyDescent="0.45">
      <c r="A1617">
        <v>179</v>
      </c>
      <c r="B1617">
        <f t="shared" ca="1" si="25"/>
        <v>5</v>
      </c>
      <c r="C16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7">
        <f ca="1">IF(dict_zuord_Transfers_Storages[[#This Row],[kval_active]],dict_zuord_Transfers_Storages[[#This Row],[ID_Storages]],"")</f>
        <v>5</v>
      </c>
    </row>
    <row r="1618" spans="1:4" x14ac:dyDescent="0.45">
      <c r="A1618">
        <v>179</v>
      </c>
      <c r="B1618">
        <f t="shared" ca="1" si="25"/>
        <v>64</v>
      </c>
      <c r="C16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8">
        <f ca="1">IF(dict_zuord_Transfers_Storages[[#This Row],[kval_active]],dict_zuord_Transfers_Storages[[#This Row],[ID_Storages]],"")</f>
        <v>64</v>
      </c>
    </row>
    <row r="1619" spans="1:4" x14ac:dyDescent="0.45">
      <c r="A1619">
        <v>179</v>
      </c>
      <c r="B1619">
        <f t="shared" ca="1" si="25"/>
        <v>86</v>
      </c>
      <c r="C16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19">
        <f ca="1">IF(dict_zuord_Transfers_Storages[[#This Row],[kval_active]],dict_zuord_Transfers_Storages[[#This Row],[ID_Storages]],"")</f>
        <v>86</v>
      </c>
    </row>
    <row r="1620" spans="1:4" x14ac:dyDescent="0.45">
      <c r="A1620">
        <v>179</v>
      </c>
      <c r="B1620">
        <f t="shared" ca="1" si="25"/>
        <v>59</v>
      </c>
      <c r="C16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0">
        <f ca="1">IF(dict_zuord_Transfers_Storages[[#This Row],[kval_active]],dict_zuord_Transfers_Storages[[#This Row],[ID_Storages]],"")</f>
        <v>59</v>
      </c>
    </row>
    <row r="1621" spans="1:4" x14ac:dyDescent="0.45">
      <c r="A1621">
        <v>179</v>
      </c>
      <c r="B1621">
        <f t="shared" ca="1" si="25"/>
        <v>83</v>
      </c>
      <c r="C16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1">
        <f ca="1">IF(dict_zuord_Transfers_Storages[[#This Row],[kval_active]],dict_zuord_Transfers_Storages[[#This Row],[ID_Storages]],"")</f>
        <v>83</v>
      </c>
    </row>
    <row r="1622" spans="1:4" x14ac:dyDescent="0.45">
      <c r="A1622">
        <v>180</v>
      </c>
      <c r="B1622">
        <f t="shared" ca="1" si="25"/>
        <v>49</v>
      </c>
      <c r="C16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2">
        <f ca="1">IF(dict_zuord_Transfers_Storages[[#This Row],[kval_active]],dict_zuord_Transfers_Storages[[#This Row],[ID_Storages]],"")</f>
        <v>49</v>
      </c>
    </row>
    <row r="1623" spans="1:4" x14ac:dyDescent="0.45">
      <c r="A1623">
        <v>180</v>
      </c>
      <c r="B1623">
        <f t="shared" ca="1" si="25"/>
        <v>46</v>
      </c>
      <c r="C16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3">
        <f ca="1">IF(dict_zuord_Transfers_Storages[[#This Row],[kval_active]],dict_zuord_Transfers_Storages[[#This Row],[ID_Storages]],"")</f>
        <v>46</v>
      </c>
    </row>
    <row r="1624" spans="1:4" x14ac:dyDescent="0.45">
      <c r="A1624">
        <v>180</v>
      </c>
      <c r="B1624">
        <f t="shared" ca="1" si="25"/>
        <v>34</v>
      </c>
      <c r="C16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4">
        <f ca="1">IF(dict_zuord_Transfers_Storages[[#This Row],[kval_active]],dict_zuord_Transfers_Storages[[#This Row],[ID_Storages]],"")</f>
        <v>34</v>
      </c>
    </row>
    <row r="1625" spans="1:4" x14ac:dyDescent="0.45">
      <c r="A1625">
        <v>180</v>
      </c>
      <c r="B1625">
        <f t="shared" ca="1" si="25"/>
        <v>3</v>
      </c>
      <c r="C16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5">
        <f ca="1">IF(dict_zuord_Transfers_Storages[[#This Row],[kval_active]],dict_zuord_Transfers_Storages[[#This Row],[ID_Storages]],"")</f>
        <v>3</v>
      </c>
    </row>
    <row r="1626" spans="1:4" x14ac:dyDescent="0.45">
      <c r="A1626">
        <v>180</v>
      </c>
      <c r="B1626">
        <f t="shared" ca="1" si="25"/>
        <v>28</v>
      </c>
      <c r="C16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6">
        <f ca="1">IF(dict_zuord_Transfers_Storages[[#This Row],[kval_active]],dict_zuord_Transfers_Storages[[#This Row],[ID_Storages]],"")</f>
        <v>28</v>
      </c>
    </row>
    <row r="1627" spans="1:4" x14ac:dyDescent="0.45">
      <c r="A1627">
        <v>180</v>
      </c>
      <c r="B1627">
        <f t="shared" ca="1" si="25"/>
        <v>61</v>
      </c>
      <c r="C16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7">
        <f ca="1">IF(dict_zuord_Transfers_Storages[[#This Row],[kval_active]],dict_zuord_Transfers_Storages[[#This Row],[ID_Storages]],"")</f>
        <v>61</v>
      </c>
    </row>
    <row r="1628" spans="1:4" x14ac:dyDescent="0.45">
      <c r="A1628">
        <v>180</v>
      </c>
      <c r="B1628">
        <f t="shared" ca="1" si="25"/>
        <v>5</v>
      </c>
      <c r="C16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8">
        <f ca="1">IF(dict_zuord_Transfers_Storages[[#This Row],[kval_active]],dict_zuord_Transfers_Storages[[#This Row],[ID_Storages]],"")</f>
        <v>5</v>
      </c>
    </row>
    <row r="1629" spans="1:4" x14ac:dyDescent="0.45">
      <c r="A1629">
        <v>180</v>
      </c>
      <c r="B1629">
        <f t="shared" ca="1" si="25"/>
        <v>83</v>
      </c>
      <c r="C16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29">
        <f ca="1">IF(dict_zuord_Transfers_Storages[[#This Row],[kval_active]],dict_zuord_Transfers_Storages[[#This Row],[ID_Storages]],"")</f>
        <v>83</v>
      </c>
    </row>
    <row r="1630" spans="1:4" x14ac:dyDescent="0.45">
      <c r="A1630">
        <v>180</v>
      </c>
      <c r="B1630">
        <f t="shared" ca="1" si="25"/>
        <v>78</v>
      </c>
      <c r="C16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30">
        <f ca="1">IF(dict_zuord_Transfers_Storages[[#This Row],[kval_active]],dict_zuord_Transfers_Storages[[#This Row],[ID_Storages]],"")</f>
        <v>78</v>
      </c>
    </row>
    <row r="1631" spans="1:4" x14ac:dyDescent="0.45">
      <c r="A1631">
        <v>181</v>
      </c>
      <c r="B1631">
        <f t="shared" ca="1" si="25"/>
        <v>3</v>
      </c>
      <c r="C16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1" t="str">
        <f ca="1">IF(dict_zuord_Transfers_Storages[[#This Row],[kval_active]],dict_zuord_Transfers_Storages[[#This Row],[ID_Storages]],"")</f>
        <v/>
      </c>
    </row>
    <row r="1632" spans="1:4" x14ac:dyDescent="0.45">
      <c r="A1632">
        <v>181</v>
      </c>
      <c r="B1632">
        <f t="shared" ca="1" si="25"/>
        <v>39</v>
      </c>
      <c r="C16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2" t="str">
        <f ca="1">IF(dict_zuord_Transfers_Storages[[#This Row],[kval_active]],dict_zuord_Transfers_Storages[[#This Row],[ID_Storages]],"")</f>
        <v/>
      </c>
    </row>
    <row r="1633" spans="1:4" x14ac:dyDescent="0.45">
      <c r="A1633">
        <v>181</v>
      </c>
      <c r="B1633">
        <f t="shared" ca="1" si="25"/>
        <v>19</v>
      </c>
      <c r="C16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3" t="str">
        <f ca="1">IF(dict_zuord_Transfers_Storages[[#This Row],[kval_active]],dict_zuord_Transfers_Storages[[#This Row],[ID_Storages]],"")</f>
        <v/>
      </c>
    </row>
    <row r="1634" spans="1:4" x14ac:dyDescent="0.45">
      <c r="A1634">
        <v>181</v>
      </c>
      <c r="B1634">
        <f t="shared" ca="1" si="25"/>
        <v>33</v>
      </c>
      <c r="C16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4" t="str">
        <f ca="1">IF(dict_zuord_Transfers_Storages[[#This Row],[kval_active]],dict_zuord_Transfers_Storages[[#This Row],[ID_Storages]],"")</f>
        <v/>
      </c>
    </row>
    <row r="1635" spans="1:4" x14ac:dyDescent="0.45">
      <c r="A1635">
        <v>181</v>
      </c>
      <c r="B1635">
        <f t="shared" ca="1" si="25"/>
        <v>50</v>
      </c>
      <c r="C16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5" t="str">
        <f ca="1">IF(dict_zuord_Transfers_Storages[[#This Row],[kval_active]],dict_zuord_Transfers_Storages[[#This Row],[ID_Storages]],"")</f>
        <v/>
      </c>
    </row>
    <row r="1636" spans="1:4" x14ac:dyDescent="0.45">
      <c r="A1636">
        <v>181</v>
      </c>
      <c r="B1636">
        <f t="shared" ca="1" si="25"/>
        <v>22</v>
      </c>
      <c r="C16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6" t="str">
        <f ca="1">IF(dict_zuord_Transfers_Storages[[#This Row],[kval_active]],dict_zuord_Transfers_Storages[[#This Row],[ID_Storages]],"")</f>
        <v/>
      </c>
    </row>
    <row r="1637" spans="1:4" x14ac:dyDescent="0.45">
      <c r="A1637">
        <v>181</v>
      </c>
      <c r="B1637">
        <f t="shared" ca="1" si="25"/>
        <v>40</v>
      </c>
      <c r="C16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7" t="str">
        <f ca="1">IF(dict_zuord_Transfers_Storages[[#This Row],[kval_active]],dict_zuord_Transfers_Storages[[#This Row],[ID_Storages]],"")</f>
        <v/>
      </c>
    </row>
    <row r="1638" spans="1:4" x14ac:dyDescent="0.45">
      <c r="A1638">
        <v>181</v>
      </c>
      <c r="B1638">
        <f t="shared" ca="1" si="25"/>
        <v>0</v>
      </c>
      <c r="C16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8" t="str">
        <f ca="1">IF(dict_zuord_Transfers_Storages[[#This Row],[kval_active]],dict_zuord_Transfers_Storages[[#This Row],[ID_Storages]],"")</f>
        <v/>
      </c>
    </row>
    <row r="1639" spans="1:4" x14ac:dyDescent="0.45">
      <c r="A1639">
        <v>181</v>
      </c>
      <c r="B1639">
        <f t="shared" ca="1" si="25"/>
        <v>86</v>
      </c>
      <c r="C16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39" t="str">
        <f ca="1">IF(dict_zuord_Transfers_Storages[[#This Row],[kval_active]],dict_zuord_Transfers_Storages[[#This Row],[ID_Storages]],"")</f>
        <v/>
      </c>
    </row>
    <row r="1640" spans="1:4" x14ac:dyDescent="0.45">
      <c r="A1640">
        <v>182</v>
      </c>
      <c r="B1640">
        <f t="shared" ca="1" si="25"/>
        <v>29</v>
      </c>
      <c r="C16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0" t="str">
        <f ca="1">IF(dict_zuord_Transfers_Storages[[#This Row],[kval_active]],dict_zuord_Transfers_Storages[[#This Row],[ID_Storages]],"")</f>
        <v/>
      </c>
    </row>
    <row r="1641" spans="1:4" x14ac:dyDescent="0.45">
      <c r="A1641">
        <v>182</v>
      </c>
      <c r="B1641">
        <f t="shared" ca="1" si="25"/>
        <v>49</v>
      </c>
      <c r="C16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1" t="str">
        <f ca="1">IF(dict_zuord_Transfers_Storages[[#This Row],[kval_active]],dict_zuord_Transfers_Storages[[#This Row],[ID_Storages]],"")</f>
        <v/>
      </c>
    </row>
    <row r="1642" spans="1:4" x14ac:dyDescent="0.45">
      <c r="A1642">
        <v>182</v>
      </c>
      <c r="B1642">
        <f t="shared" ca="1" si="25"/>
        <v>44</v>
      </c>
      <c r="C16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2" t="str">
        <f ca="1">IF(dict_zuord_Transfers_Storages[[#This Row],[kval_active]],dict_zuord_Transfers_Storages[[#This Row],[ID_Storages]],"")</f>
        <v/>
      </c>
    </row>
    <row r="1643" spans="1:4" x14ac:dyDescent="0.45">
      <c r="A1643">
        <v>182</v>
      </c>
      <c r="B1643">
        <f t="shared" ca="1" si="25"/>
        <v>66</v>
      </c>
      <c r="C16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3" t="str">
        <f ca="1">IF(dict_zuord_Transfers_Storages[[#This Row],[kval_active]],dict_zuord_Transfers_Storages[[#This Row],[ID_Storages]],"")</f>
        <v/>
      </c>
    </row>
    <row r="1644" spans="1:4" x14ac:dyDescent="0.45">
      <c r="A1644">
        <v>182</v>
      </c>
      <c r="B1644">
        <f t="shared" ca="1" si="25"/>
        <v>51</v>
      </c>
      <c r="C16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4" t="str">
        <f ca="1">IF(dict_zuord_Transfers_Storages[[#This Row],[kval_active]],dict_zuord_Transfers_Storages[[#This Row],[ID_Storages]],"")</f>
        <v/>
      </c>
    </row>
    <row r="1645" spans="1:4" x14ac:dyDescent="0.45">
      <c r="A1645">
        <v>182</v>
      </c>
      <c r="B1645">
        <f t="shared" ca="1" si="25"/>
        <v>21</v>
      </c>
      <c r="C16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5" t="str">
        <f ca="1">IF(dict_zuord_Transfers_Storages[[#This Row],[kval_active]],dict_zuord_Transfers_Storages[[#This Row],[ID_Storages]],"")</f>
        <v/>
      </c>
    </row>
    <row r="1646" spans="1:4" x14ac:dyDescent="0.45">
      <c r="A1646">
        <v>182</v>
      </c>
      <c r="B1646">
        <f t="shared" ca="1" si="25"/>
        <v>15</v>
      </c>
      <c r="C16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6" t="str">
        <f ca="1">IF(dict_zuord_Transfers_Storages[[#This Row],[kval_active]],dict_zuord_Transfers_Storages[[#This Row],[ID_Storages]],"")</f>
        <v/>
      </c>
    </row>
    <row r="1647" spans="1:4" x14ac:dyDescent="0.45">
      <c r="A1647">
        <v>182</v>
      </c>
      <c r="B1647">
        <f t="shared" ca="1" si="25"/>
        <v>5</v>
      </c>
      <c r="C16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7" t="str">
        <f ca="1">IF(dict_zuord_Transfers_Storages[[#This Row],[kval_active]],dict_zuord_Transfers_Storages[[#This Row],[ID_Storages]],"")</f>
        <v/>
      </c>
    </row>
    <row r="1648" spans="1:4" x14ac:dyDescent="0.45">
      <c r="A1648">
        <v>182</v>
      </c>
      <c r="B1648">
        <f t="shared" ca="1" si="25"/>
        <v>29</v>
      </c>
      <c r="C16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48" t="str">
        <f ca="1">IF(dict_zuord_Transfers_Storages[[#This Row],[kval_active]],dict_zuord_Transfers_Storages[[#This Row],[ID_Storages]],"")</f>
        <v/>
      </c>
    </row>
    <row r="1649" spans="1:4" x14ac:dyDescent="0.45">
      <c r="A1649">
        <v>183</v>
      </c>
      <c r="B1649">
        <f t="shared" ca="1" si="25"/>
        <v>55</v>
      </c>
      <c r="C16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49">
        <f ca="1">IF(dict_zuord_Transfers_Storages[[#This Row],[kval_active]],dict_zuord_Transfers_Storages[[#This Row],[ID_Storages]],"")</f>
        <v>55</v>
      </c>
    </row>
    <row r="1650" spans="1:4" x14ac:dyDescent="0.45">
      <c r="A1650">
        <v>183</v>
      </c>
      <c r="B1650">
        <f t="shared" ca="1" si="25"/>
        <v>70</v>
      </c>
      <c r="C16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0">
        <f ca="1">IF(dict_zuord_Transfers_Storages[[#This Row],[kval_active]],dict_zuord_Transfers_Storages[[#This Row],[ID_Storages]],"")</f>
        <v>70</v>
      </c>
    </row>
    <row r="1651" spans="1:4" x14ac:dyDescent="0.45">
      <c r="A1651">
        <v>183</v>
      </c>
      <c r="B1651">
        <f t="shared" ca="1" si="25"/>
        <v>9</v>
      </c>
      <c r="C16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1">
        <f ca="1">IF(dict_zuord_Transfers_Storages[[#This Row],[kval_active]],dict_zuord_Transfers_Storages[[#This Row],[ID_Storages]],"")</f>
        <v>9</v>
      </c>
    </row>
    <row r="1652" spans="1:4" x14ac:dyDescent="0.45">
      <c r="A1652">
        <v>183</v>
      </c>
      <c r="B1652">
        <f t="shared" ca="1" si="25"/>
        <v>79</v>
      </c>
      <c r="C16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2">
        <f ca="1">IF(dict_zuord_Transfers_Storages[[#This Row],[kval_active]],dict_zuord_Transfers_Storages[[#This Row],[ID_Storages]],"")</f>
        <v>79</v>
      </c>
    </row>
    <row r="1653" spans="1:4" x14ac:dyDescent="0.45">
      <c r="A1653">
        <v>183</v>
      </c>
      <c r="B1653">
        <f t="shared" ca="1" si="25"/>
        <v>85</v>
      </c>
      <c r="C16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3">
        <f ca="1">IF(dict_zuord_Transfers_Storages[[#This Row],[kval_active]],dict_zuord_Transfers_Storages[[#This Row],[ID_Storages]],"")</f>
        <v>85</v>
      </c>
    </row>
    <row r="1654" spans="1:4" x14ac:dyDescent="0.45">
      <c r="A1654">
        <v>183</v>
      </c>
      <c r="B1654">
        <f t="shared" ca="1" si="25"/>
        <v>14</v>
      </c>
      <c r="C16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4">
        <f ca="1">IF(dict_zuord_Transfers_Storages[[#This Row],[kval_active]],dict_zuord_Transfers_Storages[[#This Row],[ID_Storages]],"")</f>
        <v>14</v>
      </c>
    </row>
    <row r="1655" spans="1:4" x14ac:dyDescent="0.45">
      <c r="A1655">
        <v>183</v>
      </c>
      <c r="B1655">
        <f t="shared" ca="1" si="25"/>
        <v>10</v>
      </c>
      <c r="C16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5">
        <f ca="1">IF(dict_zuord_Transfers_Storages[[#This Row],[kval_active]],dict_zuord_Transfers_Storages[[#This Row],[ID_Storages]],"")</f>
        <v>10</v>
      </c>
    </row>
    <row r="1656" spans="1:4" x14ac:dyDescent="0.45">
      <c r="A1656">
        <v>183</v>
      </c>
      <c r="B1656">
        <f t="shared" ca="1" si="25"/>
        <v>52</v>
      </c>
      <c r="C16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6">
        <f ca="1">IF(dict_zuord_Transfers_Storages[[#This Row],[kval_active]],dict_zuord_Transfers_Storages[[#This Row],[ID_Storages]],"")</f>
        <v>52</v>
      </c>
    </row>
    <row r="1657" spans="1:4" x14ac:dyDescent="0.45">
      <c r="A1657">
        <v>183</v>
      </c>
      <c r="B1657">
        <f t="shared" ca="1" si="25"/>
        <v>75</v>
      </c>
      <c r="C16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57">
        <f ca="1">IF(dict_zuord_Transfers_Storages[[#This Row],[kval_active]],dict_zuord_Transfers_Storages[[#This Row],[ID_Storages]],"")</f>
        <v>75</v>
      </c>
    </row>
    <row r="1658" spans="1:4" x14ac:dyDescent="0.45">
      <c r="A1658">
        <v>184</v>
      </c>
      <c r="B1658">
        <f t="shared" ca="1" si="25"/>
        <v>93</v>
      </c>
      <c r="C16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8" t="str">
        <f ca="1">IF(dict_zuord_Transfers_Storages[[#This Row],[kval_active]],dict_zuord_Transfers_Storages[[#This Row],[ID_Storages]],"")</f>
        <v/>
      </c>
    </row>
    <row r="1659" spans="1:4" x14ac:dyDescent="0.45">
      <c r="A1659">
        <v>184</v>
      </c>
      <c r="B1659">
        <f t="shared" ca="1" si="25"/>
        <v>9</v>
      </c>
      <c r="C16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59" t="str">
        <f ca="1">IF(dict_zuord_Transfers_Storages[[#This Row],[kval_active]],dict_zuord_Transfers_Storages[[#This Row],[ID_Storages]],"")</f>
        <v/>
      </c>
    </row>
    <row r="1660" spans="1:4" x14ac:dyDescent="0.45">
      <c r="A1660">
        <v>184</v>
      </c>
      <c r="B1660">
        <f t="shared" ca="1" si="25"/>
        <v>49</v>
      </c>
      <c r="C16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0" t="str">
        <f ca="1">IF(dict_zuord_Transfers_Storages[[#This Row],[kval_active]],dict_zuord_Transfers_Storages[[#This Row],[ID_Storages]],"")</f>
        <v/>
      </c>
    </row>
    <row r="1661" spans="1:4" x14ac:dyDescent="0.45">
      <c r="A1661">
        <v>184</v>
      </c>
      <c r="B1661">
        <f t="shared" ca="1" si="25"/>
        <v>79</v>
      </c>
      <c r="C16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1" t="str">
        <f ca="1">IF(dict_zuord_Transfers_Storages[[#This Row],[kval_active]],dict_zuord_Transfers_Storages[[#This Row],[ID_Storages]],"")</f>
        <v/>
      </c>
    </row>
    <row r="1662" spans="1:4" x14ac:dyDescent="0.45">
      <c r="A1662">
        <v>184</v>
      </c>
      <c r="B1662">
        <f t="shared" ca="1" si="25"/>
        <v>80</v>
      </c>
      <c r="C16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2" t="str">
        <f ca="1">IF(dict_zuord_Transfers_Storages[[#This Row],[kval_active]],dict_zuord_Transfers_Storages[[#This Row],[ID_Storages]],"")</f>
        <v/>
      </c>
    </row>
    <row r="1663" spans="1:4" x14ac:dyDescent="0.45">
      <c r="A1663">
        <v>184</v>
      </c>
      <c r="B1663">
        <f t="shared" ca="1" si="25"/>
        <v>67</v>
      </c>
      <c r="C16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3" t="str">
        <f ca="1">IF(dict_zuord_Transfers_Storages[[#This Row],[kval_active]],dict_zuord_Transfers_Storages[[#This Row],[ID_Storages]],"")</f>
        <v/>
      </c>
    </row>
    <row r="1664" spans="1:4" x14ac:dyDescent="0.45">
      <c r="A1664">
        <v>184</v>
      </c>
      <c r="B1664">
        <f t="shared" ca="1" si="25"/>
        <v>76</v>
      </c>
      <c r="C16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4" t="str">
        <f ca="1">IF(dict_zuord_Transfers_Storages[[#This Row],[kval_active]],dict_zuord_Transfers_Storages[[#This Row],[ID_Storages]],"")</f>
        <v/>
      </c>
    </row>
    <row r="1665" spans="1:4" x14ac:dyDescent="0.45">
      <c r="A1665">
        <v>184</v>
      </c>
      <c r="B1665">
        <f t="shared" ca="1" si="25"/>
        <v>94</v>
      </c>
      <c r="C16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5" t="str">
        <f ca="1">IF(dict_zuord_Transfers_Storages[[#This Row],[kval_active]],dict_zuord_Transfers_Storages[[#This Row],[ID_Storages]],"")</f>
        <v/>
      </c>
    </row>
    <row r="1666" spans="1:4" x14ac:dyDescent="0.45">
      <c r="A1666">
        <v>184</v>
      </c>
      <c r="B1666">
        <f t="shared" ref="B1666:B1729" ca="1" si="26">RANDBETWEEN(0,100)</f>
        <v>24</v>
      </c>
      <c r="C16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66" t="str">
        <f ca="1">IF(dict_zuord_Transfers_Storages[[#This Row],[kval_active]],dict_zuord_Transfers_Storages[[#This Row],[ID_Storages]],"")</f>
        <v/>
      </c>
    </row>
    <row r="1667" spans="1:4" x14ac:dyDescent="0.45">
      <c r="A1667">
        <v>185</v>
      </c>
      <c r="B1667">
        <f t="shared" ca="1" si="26"/>
        <v>1</v>
      </c>
      <c r="C16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7">
        <f ca="1">IF(dict_zuord_Transfers_Storages[[#This Row],[kval_active]],dict_zuord_Transfers_Storages[[#This Row],[ID_Storages]],"")</f>
        <v>1</v>
      </c>
    </row>
    <row r="1668" spans="1:4" x14ac:dyDescent="0.45">
      <c r="A1668">
        <v>185</v>
      </c>
      <c r="B1668">
        <f t="shared" ca="1" si="26"/>
        <v>47</v>
      </c>
      <c r="C16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8">
        <f ca="1">IF(dict_zuord_Transfers_Storages[[#This Row],[kval_active]],dict_zuord_Transfers_Storages[[#This Row],[ID_Storages]],"")</f>
        <v>47</v>
      </c>
    </row>
    <row r="1669" spans="1:4" x14ac:dyDescent="0.45">
      <c r="A1669">
        <v>185</v>
      </c>
      <c r="B1669">
        <f t="shared" ca="1" si="26"/>
        <v>60</v>
      </c>
      <c r="C16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69">
        <f ca="1">IF(dict_zuord_Transfers_Storages[[#This Row],[kval_active]],dict_zuord_Transfers_Storages[[#This Row],[ID_Storages]],"")</f>
        <v>60</v>
      </c>
    </row>
    <row r="1670" spans="1:4" x14ac:dyDescent="0.45">
      <c r="A1670">
        <v>185</v>
      </c>
      <c r="B1670">
        <f t="shared" ca="1" si="26"/>
        <v>72</v>
      </c>
      <c r="C16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0">
        <f ca="1">IF(dict_zuord_Transfers_Storages[[#This Row],[kval_active]],dict_zuord_Transfers_Storages[[#This Row],[ID_Storages]],"")</f>
        <v>72</v>
      </c>
    </row>
    <row r="1671" spans="1:4" x14ac:dyDescent="0.45">
      <c r="A1671">
        <v>185</v>
      </c>
      <c r="B1671">
        <f t="shared" ca="1" si="26"/>
        <v>88</v>
      </c>
      <c r="C16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1">
        <f ca="1">IF(dict_zuord_Transfers_Storages[[#This Row],[kval_active]],dict_zuord_Transfers_Storages[[#This Row],[ID_Storages]],"")</f>
        <v>88</v>
      </c>
    </row>
    <row r="1672" spans="1:4" x14ac:dyDescent="0.45">
      <c r="A1672">
        <v>185</v>
      </c>
      <c r="B1672">
        <f t="shared" ca="1" si="26"/>
        <v>3</v>
      </c>
      <c r="C16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2">
        <f ca="1">IF(dict_zuord_Transfers_Storages[[#This Row],[kval_active]],dict_zuord_Transfers_Storages[[#This Row],[ID_Storages]],"")</f>
        <v>3</v>
      </c>
    </row>
    <row r="1673" spans="1:4" x14ac:dyDescent="0.45">
      <c r="A1673">
        <v>185</v>
      </c>
      <c r="B1673">
        <f t="shared" ca="1" si="26"/>
        <v>56</v>
      </c>
      <c r="C16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3">
        <f ca="1">IF(dict_zuord_Transfers_Storages[[#This Row],[kval_active]],dict_zuord_Transfers_Storages[[#This Row],[ID_Storages]],"")</f>
        <v>56</v>
      </c>
    </row>
    <row r="1674" spans="1:4" x14ac:dyDescent="0.45">
      <c r="A1674">
        <v>185</v>
      </c>
      <c r="B1674">
        <f t="shared" ca="1" si="26"/>
        <v>61</v>
      </c>
      <c r="C16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4">
        <f ca="1">IF(dict_zuord_Transfers_Storages[[#This Row],[kval_active]],dict_zuord_Transfers_Storages[[#This Row],[ID_Storages]],"")</f>
        <v>61</v>
      </c>
    </row>
    <row r="1675" spans="1:4" x14ac:dyDescent="0.45">
      <c r="A1675">
        <v>185</v>
      </c>
      <c r="B1675">
        <f t="shared" ca="1" si="26"/>
        <v>85</v>
      </c>
      <c r="C16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75">
        <f ca="1">IF(dict_zuord_Transfers_Storages[[#This Row],[kval_active]],dict_zuord_Transfers_Storages[[#This Row],[ID_Storages]],"")</f>
        <v>85</v>
      </c>
    </row>
    <row r="1676" spans="1:4" x14ac:dyDescent="0.45">
      <c r="A1676">
        <v>186</v>
      </c>
      <c r="B1676">
        <f t="shared" ca="1" si="26"/>
        <v>87</v>
      </c>
      <c r="C16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6" t="str">
        <f ca="1">IF(dict_zuord_Transfers_Storages[[#This Row],[kval_active]],dict_zuord_Transfers_Storages[[#This Row],[ID_Storages]],"")</f>
        <v/>
      </c>
    </row>
    <row r="1677" spans="1:4" x14ac:dyDescent="0.45">
      <c r="A1677">
        <v>186</v>
      </c>
      <c r="B1677">
        <f t="shared" ca="1" si="26"/>
        <v>83</v>
      </c>
      <c r="C16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7" t="str">
        <f ca="1">IF(dict_zuord_Transfers_Storages[[#This Row],[kval_active]],dict_zuord_Transfers_Storages[[#This Row],[ID_Storages]],"")</f>
        <v/>
      </c>
    </row>
    <row r="1678" spans="1:4" x14ac:dyDescent="0.45">
      <c r="A1678">
        <v>186</v>
      </c>
      <c r="B1678">
        <f t="shared" ca="1" si="26"/>
        <v>90</v>
      </c>
      <c r="C16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8" t="str">
        <f ca="1">IF(dict_zuord_Transfers_Storages[[#This Row],[kval_active]],dict_zuord_Transfers_Storages[[#This Row],[ID_Storages]],"")</f>
        <v/>
      </c>
    </row>
    <row r="1679" spans="1:4" x14ac:dyDescent="0.45">
      <c r="A1679">
        <v>186</v>
      </c>
      <c r="B1679">
        <f t="shared" ca="1" si="26"/>
        <v>65</v>
      </c>
      <c r="C16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79" t="str">
        <f ca="1">IF(dict_zuord_Transfers_Storages[[#This Row],[kval_active]],dict_zuord_Transfers_Storages[[#This Row],[ID_Storages]],"")</f>
        <v/>
      </c>
    </row>
    <row r="1680" spans="1:4" x14ac:dyDescent="0.45">
      <c r="A1680">
        <v>186</v>
      </c>
      <c r="B1680">
        <f t="shared" ca="1" si="26"/>
        <v>86</v>
      </c>
      <c r="C16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0" t="str">
        <f ca="1">IF(dict_zuord_Transfers_Storages[[#This Row],[kval_active]],dict_zuord_Transfers_Storages[[#This Row],[ID_Storages]],"")</f>
        <v/>
      </c>
    </row>
    <row r="1681" spans="1:4" x14ac:dyDescent="0.45">
      <c r="A1681">
        <v>186</v>
      </c>
      <c r="B1681">
        <f t="shared" ca="1" si="26"/>
        <v>1</v>
      </c>
      <c r="C16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1" t="str">
        <f ca="1">IF(dict_zuord_Transfers_Storages[[#This Row],[kval_active]],dict_zuord_Transfers_Storages[[#This Row],[ID_Storages]],"")</f>
        <v/>
      </c>
    </row>
    <row r="1682" spans="1:4" x14ac:dyDescent="0.45">
      <c r="A1682">
        <v>186</v>
      </c>
      <c r="B1682">
        <f t="shared" ca="1" si="26"/>
        <v>5</v>
      </c>
      <c r="C16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2" t="str">
        <f ca="1">IF(dict_zuord_Transfers_Storages[[#This Row],[kval_active]],dict_zuord_Transfers_Storages[[#This Row],[ID_Storages]],"")</f>
        <v/>
      </c>
    </row>
    <row r="1683" spans="1:4" x14ac:dyDescent="0.45">
      <c r="A1683">
        <v>186</v>
      </c>
      <c r="B1683">
        <f t="shared" ca="1" si="26"/>
        <v>51</v>
      </c>
      <c r="C16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3" t="str">
        <f ca="1">IF(dict_zuord_Transfers_Storages[[#This Row],[kval_active]],dict_zuord_Transfers_Storages[[#This Row],[ID_Storages]],"")</f>
        <v/>
      </c>
    </row>
    <row r="1684" spans="1:4" x14ac:dyDescent="0.45">
      <c r="A1684">
        <v>186</v>
      </c>
      <c r="B1684">
        <f t="shared" ca="1" si="26"/>
        <v>50</v>
      </c>
      <c r="C16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4" t="str">
        <f ca="1">IF(dict_zuord_Transfers_Storages[[#This Row],[kval_active]],dict_zuord_Transfers_Storages[[#This Row],[ID_Storages]],"")</f>
        <v/>
      </c>
    </row>
    <row r="1685" spans="1:4" x14ac:dyDescent="0.45">
      <c r="A1685">
        <v>187</v>
      </c>
      <c r="B1685">
        <f t="shared" ca="1" si="26"/>
        <v>28</v>
      </c>
      <c r="C16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5" t="str">
        <f ca="1">IF(dict_zuord_Transfers_Storages[[#This Row],[kval_active]],dict_zuord_Transfers_Storages[[#This Row],[ID_Storages]],"")</f>
        <v/>
      </c>
    </row>
    <row r="1686" spans="1:4" x14ac:dyDescent="0.45">
      <c r="A1686">
        <v>187</v>
      </c>
      <c r="B1686">
        <f t="shared" ca="1" si="26"/>
        <v>33</v>
      </c>
      <c r="C16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6" t="str">
        <f ca="1">IF(dict_zuord_Transfers_Storages[[#This Row],[kval_active]],dict_zuord_Transfers_Storages[[#This Row],[ID_Storages]],"")</f>
        <v/>
      </c>
    </row>
    <row r="1687" spans="1:4" x14ac:dyDescent="0.45">
      <c r="A1687">
        <v>187</v>
      </c>
      <c r="B1687">
        <f t="shared" ca="1" si="26"/>
        <v>65</v>
      </c>
      <c r="C16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7" t="str">
        <f ca="1">IF(dict_zuord_Transfers_Storages[[#This Row],[kval_active]],dict_zuord_Transfers_Storages[[#This Row],[ID_Storages]],"")</f>
        <v/>
      </c>
    </row>
    <row r="1688" spans="1:4" x14ac:dyDescent="0.45">
      <c r="A1688">
        <v>187</v>
      </c>
      <c r="B1688">
        <f t="shared" ca="1" si="26"/>
        <v>37</v>
      </c>
      <c r="C16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8" t="str">
        <f ca="1">IF(dict_zuord_Transfers_Storages[[#This Row],[kval_active]],dict_zuord_Transfers_Storages[[#This Row],[ID_Storages]],"")</f>
        <v/>
      </c>
    </row>
    <row r="1689" spans="1:4" x14ac:dyDescent="0.45">
      <c r="A1689">
        <v>187</v>
      </c>
      <c r="B1689">
        <f t="shared" ca="1" si="26"/>
        <v>9</v>
      </c>
      <c r="C16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89" t="str">
        <f ca="1">IF(dict_zuord_Transfers_Storages[[#This Row],[kval_active]],dict_zuord_Transfers_Storages[[#This Row],[ID_Storages]],"")</f>
        <v/>
      </c>
    </row>
    <row r="1690" spans="1:4" x14ac:dyDescent="0.45">
      <c r="A1690">
        <v>187</v>
      </c>
      <c r="B1690">
        <f t="shared" ca="1" si="26"/>
        <v>26</v>
      </c>
      <c r="C16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0" t="str">
        <f ca="1">IF(dict_zuord_Transfers_Storages[[#This Row],[kval_active]],dict_zuord_Transfers_Storages[[#This Row],[ID_Storages]],"")</f>
        <v/>
      </c>
    </row>
    <row r="1691" spans="1:4" x14ac:dyDescent="0.45">
      <c r="A1691">
        <v>187</v>
      </c>
      <c r="B1691">
        <f t="shared" ca="1" si="26"/>
        <v>88</v>
      </c>
      <c r="C16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1" t="str">
        <f ca="1">IF(dict_zuord_Transfers_Storages[[#This Row],[kval_active]],dict_zuord_Transfers_Storages[[#This Row],[ID_Storages]],"")</f>
        <v/>
      </c>
    </row>
    <row r="1692" spans="1:4" x14ac:dyDescent="0.45">
      <c r="A1692">
        <v>187</v>
      </c>
      <c r="B1692">
        <f t="shared" ca="1" si="26"/>
        <v>17</v>
      </c>
      <c r="C16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2" t="str">
        <f ca="1">IF(dict_zuord_Transfers_Storages[[#This Row],[kval_active]],dict_zuord_Transfers_Storages[[#This Row],[ID_Storages]],"")</f>
        <v/>
      </c>
    </row>
    <row r="1693" spans="1:4" x14ac:dyDescent="0.45">
      <c r="A1693">
        <v>187</v>
      </c>
      <c r="B1693">
        <f t="shared" ca="1" si="26"/>
        <v>92</v>
      </c>
      <c r="C16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693" t="str">
        <f ca="1">IF(dict_zuord_Transfers_Storages[[#This Row],[kval_active]],dict_zuord_Transfers_Storages[[#This Row],[ID_Storages]],"")</f>
        <v/>
      </c>
    </row>
    <row r="1694" spans="1:4" x14ac:dyDescent="0.45">
      <c r="A1694">
        <v>188</v>
      </c>
      <c r="B1694">
        <f t="shared" ca="1" si="26"/>
        <v>95</v>
      </c>
      <c r="C16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4">
        <f ca="1">IF(dict_zuord_Transfers_Storages[[#This Row],[kval_active]],dict_zuord_Transfers_Storages[[#This Row],[ID_Storages]],"")</f>
        <v>95</v>
      </c>
    </row>
    <row r="1695" spans="1:4" x14ac:dyDescent="0.45">
      <c r="A1695">
        <v>188</v>
      </c>
      <c r="B1695">
        <f t="shared" ca="1" si="26"/>
        <v>84</v>
      </c>
      <c r="C16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5">
        <f ca="1">IF(dict_zuord_Transfers_Storages[[#This Row],[kval_active]],dict_zuord_Transfers_Storages[[#This Row],[ID_Storages]],"")</f>
        <v>84</v>
      </c>
    </row>
    <row r="1696" spans="1:4" x14ac:dyDescent="0.45">
      <c r="A1696">
        <v>188</v>
      </c>
      <c r="B1696">
        <f t="shared" ca="1" si="26"/>
        <v>12</v>
      </c>
      <c r="C16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6">
        <f ca="1">IF(dict_zuord_Transfers_Storages[[#This Row],[kval_active]],dict_zuord_Transfers_Storages[[#This Row],[ID_Storages]],"")</f>
        <v>12</v>
      </c>
    </row>
    <row r="1697" spans="1:4" x14ac:dyDescent="0.45">
      <c r="A1697">
        <v>188</v>
      </c>
      <c r="B1697">
        <f t="shared" ca="1" si="26"/>
        <v>55</v>
      </c>
      <c r="C16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7">
        <f ca="1">IF(dict_zuord_Transfers_Storages[[#This Row],[kval_active]],dict_zuord_Transfers_Storages[[#This Row],[ID_Storages]],"")</f>
        <v>55</v>
      </c>
    </row>
    <row r="1698" spans="1:4" x14ac:dyDescent="0.45">
      <c r="A1698">
        <v>188</v>
      </c>
      <c r="B1698">
        <f t="shared" ca="1" si="26"/>
        <v>10</v>
      </c>
      <c r="C16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8">
        <f ca="1">IF(dict_zuord_Transfers_Storages[[#This Row],[kval_active]],dict_zuord_Transfers_Storages[[#This Row],[ID_Storages]],"")</f>
        <v>10</v>
      </c>
    </row>
    <row r="1699" spans="1:4" x14ac:dyDescent="0.45">
      <c r="A1699">
        <v>188</v>
      </c>
      <c r="B1699">
        <f t="shared" ca="1" si="26"/>
        <v>24</v>
      </c>
      <c r="C16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699">
        <f ca="1">IF(dict_zuord_Transfers_Storages[[#This Row],[kval_active]],dict_zuord_Transfers_Storages[[#This Row],[ID_Storages]],"")</f>
        <v>24</v>
      </c>
    </row>
    <row r="1700" spans="1:4" x14ac:dyDescent="0.45">
      <c r="A1700">
        <v>188</v>
      </c>
      <c r="B1700">
        <f t="shared" ca="1" si="26"/>
        <v>11</v>
      </c>
      <c r="C17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0">
        <f ca="1">IF(dict_zuord_Transfers_Storages[[#This Row],[kval_active]],dict_zuord_Transfers_Storages[[#This Row],[ID_Storages]],"")</f>
        <v>11</v>
      </c>
    </row>
    <row r="1701" spans="1:4" x14ac:dyDescent="0.45">
      <c r="A1701">
        <v>188</v>
      </c>
      <c r="B1701">
        <f t="shared" ca="1" si="26"/>
        <v>4</v>
      </c>
      <c r="C17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1">
        <f ca="1">IF(dict_zuord_Transfers_Storages[[#This Row],[kval_active]],dict_zuord_Transfers_Storages[[#This Row],[ID_Storages]],"")</f>
        <v>4</v>
      </c>
    </row>
    <row r="1702" spans="1:4" x14ac:dyDescent="0.45">
      <c r="A1702">
        <v>188</v>
      </c>
      <c r="B1702">
        <f t="shared" ca="1" si="26"/>
        <v>0</v>
      </c>
      <c r="C17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2">
        <f ca="1">IF(dict_zuord_Transfers_Storages[[#This Row],[kval_active]],dict_zuord_Transfers_Storages[[#This Row],[ID_Storages]],"")</f>
        <v>0</v>
      </c>
    </row>
    <row r="1703" spans="1:4" x14ac:dyDescent="0.45">
      <c r="A1703">
        <v>189</v>
      </c>
      <c r="B1703">
        <f t="shared" ca="1" si="26"/>
        <v>16</v>
      </c>
      <c r="C17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3">
        <f ca="1">IF(dict_zuord_Transfers_Storages[[#This Row],[kval_active]],dict_zuord_Transfers_Storages[[#This Row],[ID_Storages]],"")</f>
        <v>16</v>
      </c>
    </row>
    <row r="1704" spans="1:4" x14ac:dyDescent="0.45">
      <c r="A1704">
        <v>189</v>
      </c>
      <c r="B1704">
        <f t="shared" ca="1" si="26"/>
        <v>50</v>
      </c>
      <c r="C17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4">
        <f ca="1">IF(dict_zuord_Transfers_Storages[[#This Row],[kval_active]],dict_zuord_Transfers_Storages[[#This Row],[ID_Storages]],"")</f>
        <v>50</v>
      </c>
    </row>
    <row r="1705" spans="1:4" x14ac:dyDescent="0.45">
      <c r="A1705">
        <v>189</v>
      </c>
      <c r="B1705">
        <f t="shared" ca="1" si="26"/>
        <v>33</v>
      </c>
      <c r="C17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5">
        <f ca="1">IF(dict_zuord_Transfers_Storages[[#This Row],[kval_active]],dict_zuord_Transfers_Storages[[#This Row],[ID_Storages]],"")</f>
        <v>33</v>
      </c>
    </row>
    <row r="1706" spans="1:4" x14ac:dyDescent="0.45">
      <c r="A1706">
        <v>189</v>
      </c>
      <c r="B1706">
        <f t="shared" ca="1" si="26"/>
        <v>2</v>
      </c>
      <c r="C17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6">
        <f ca="1">IF(dict_zuord_Transfers_Storages[[#This Row],[kval_active]],dict_zuord_Transfers_Storages[[#This Row],[ID_Storages]],"")</f>
        <v>2</v>
      </c>
    </row>
    <row r="1707" spans="1:4" x14ac:dyDescent="0.45">
      <c r="A1707">
        <v>189</v>
      </c>
      <c r="B1707">
        <f t="shared" ca="1" si="26"/>
        <v>41</v>
      </c>
      <c r="C17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7">
        <f ca="1">IF(dict_zuord_Transfers_Storages[[#This Row],[kval_active]],dict_zuord_Transfers_Storages[[#This Row],[ID_Storages]],"")</f>
        <v>41</v>
      </c>
    </row>
    <row r="1708" spans="1:4" x14ac:dyDescent="0.45">
      <c r="A1708">
        <v>189</v>
      </c>
      <c r="B1708">
        <f t="shared" ca="1" si="26"/>
        <v>17</v>
      </c>
      <c r="C17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8">
        <f ca="1">IF(dict_zuord_Transfers_Storages[[#This Row],[kval_active]],dict_zuord_Transfers_Storages[[#This Row],[ID_Storages]],"")</f>
        <v>17</v>
      </c>
    </row>
    <row r="1709" spans="1:4" x14ac:dyDescent="0.45">
      <c r="A1709">
        <v>189</v>
      </c>
      <c r="B1709">
        <f t="shared" ca="1" si="26"/>
        <v>79</v>
      </c>
      <c r="C17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09">
        <f ca="1">IF(dict_zuord_Transfers_Storages[[#This Row],[kval_active]],dict_zuord_Transfers_Storages[[#This Row],[ID_Storages]],"")</f>
        <v>79</v>
      </c>
    </row>
    <row r="1710" spans="1:4" x14ac:dyDescent="0.45">
      <c r="A1710">
        <v>189</v>
      </c>
      <c r="B1710">
        <f t="shared" ca="1" si="26"/>
        <v>27</v>
      </c>
      <c r="C17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0">
        <f ca="1">IF(dict_zuord_Transfers_Storages[[#This Row],[kval_active]],dict_zuord_Transfers_Storages[[#This Row],[ID_Storages]],"")</f>
        <v>27</v>
      </c>
    </row>
    <row r="1711" spans="1:4" x14ac:dyDescent="0.45">
      <c r="A1711">
        <v>189</v>
      </c>
      <c r="B1711">
        <f t="shared" ca="1" si="26"/>
        <v>38</v>
      </c>
      <c r="C171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11">
        <f ca="1">IF(dict_zuord_Transfers_Storages[[#This Row],[kval_active]],dict_zuord_Transfers_Storages[[#This Row],[ID_Storages]],"")</f>
        <v>38</v>
      </c>
    </row>
    <row r="1712" spans="1:4" x14ac:dyDescent="0.45">
      <c r="A1712">
        <v>190</v>
      </c>
      <c r="B1712">
        <f t="shared" ca="1" si="26"/>
        <v>11</v>
      </c>
      <c r="C171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2" t="str">
        <f ca="1">IF(dict_zuord_Transfers_Storages[[#This Row],[kval_active]],dict_zuord_Transfers_Storages[[#This Row],[ID_Storages]],"")</f>
        <v/>
      </c>
    </row>
    <row r="1713" spans="1:4" x14ac:dyDescent="0.45">
      <c r="A1713">
        <v>190</v>
      </c>
      <c r="B1713">
        <f t="shared" ca="1" si="26"/>
        <v>57</v>
      </c>
      <c r="C171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3" t="str">
        <f ca="1">IF(dict_zuord_Transfers_Storages[[#This Row],[kval_active]],dict_zuord_Transfers_Storages[[#This Row],[ID_Storages]],"")</f>
        <v/>
      </c>
    </row>
    <row r="1714" spans="1:4" x14ac:dyDescent="0.45">
      <c r="A1714">
        <v>190</v>
      </c>
      <c r="B1714">
        <f t="shared" ca="1" si="26"/>
        <v>31</v>
      </c>
      <c r="C171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4" t="str">
        <f ca="1">IF(dict_zuord_Transfers_Storages[[#This Row],[kval_active]],dict_zuord_Transfers_Storages[[#This Row],[ID_Storages]],"")</f>
        <v/>
      </c>
    </row>
    <row r="1715" spans="1:4" x14ac:dyDescent="0.45">
      <c r="A1715">
        <v>190</v>
      </c>
      <c r="B1715">
        <f t="shared" ca="1" si="26"/>
        <v>81</v>
      </c>
      <c r="C171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5" t="str">
        <f ca="1">IF(dict_zuord_Transfers_Storages[[#This Row],[kval_active]],dict_zuord_Transfers_Storages[[#This Row],[ID_Storages]],"")</f>
        <v/>
      </c>
    </row>
    <row r="1716" spans="1:4" x14ac:dyDescent="0.45">
      <c r="A1716">
        <v>190</v>
      </c>
      <c r="B1716">
        <f t="shared" ca="1" si="26"/>
        <v>34</v>
      </c>
      <c r="C171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6" t="str">
        <f ca="1">IF(dict_zuord_Transfers_Storages[[#This Row],[kval_active]],dict_zuord_Transfers_Storages[[#This Row],[ID_Storages]],"")</f>
        <v/>
      </c>
    </row>
    <row r="1717" spans="1:4" x14ac:dyDescent="0.45">
      <c r="A1717">
        <v>190</v>
      </c>
      <c r="B1717">
        <f t="shared" ca="1" si="26"/>
        <v>58</v>
      </c>
      <c r="C171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7" t="str">
        <f ca="1">IF(dict_zuord_Transfers_Storages[[#This Row],[kval_active]],dict_zuord_Transfers_Storages[[#This Row],[ID_Storages]],"")</f>
        <v/>
      </c>
    </row>
    <row r="1718" spans="1:4" x14ac:dyDescent="0.45">
      <c r="A1718">
        <v>190</v>
      </c>
      <c r="B1718">
        <f t="shared" ca="1" si="26"/>
        <v>51</v>
      </c>
      <c r="C171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8" t="str">
        <f ca="1">IF(dict_zuord_Transfers_Storages[[#This Row],[kval_active]],dict_zuord_Transfers_Storages[[#This Row],[ID_Storages]],"")</f>
        <v/>
      </c>
    </row>
    <row r="1719" spans="1:4" x14ac:dyDescent="0.45">
      <c r="A1719">
        <v>190</v>
      </c>
      <c r="B1719">
        <f t="shared" ca="1" si="26"/>
        <v>58</v>
      </c>
      <c r="C171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19" t="str">
        <f ca="1">IF(dict_zuord_Transfers_Storages[[#This Row],[kval_active]],dict_zuord_Transfers_Storages[[#This Row],[ID_Storages]],"")</f>
        <v/>
      </c>
    </row>
    <row r="1720" spans="1:4" x14ac:dyDescent="0.45">
      <c r="A1720">
        <v>190</v>
      </c>
      <c r="B1720">
        <f t="shared" ca="1" si="26"/>
        <v>18</v>
      </c>
      <c r="C172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0" t="str">
        <f ca="1">IF(dict_zuord_Transfers_Storages[[#This Row],[kval_active]],dict_zuord_Transfers_Storages[[#This Row],[ID_Storages]],"")</f>
        <v/>
      </c>
    </row>
    <row r="1721" spans="1:4" x14ac:dyDescent="0.45">
      <c r="A1721">
        <v>191</v>
      </c>
      <c r="B1721">
        <f t="shared" ca="1" si="26"/>
        <v>67</v>
      </c>
      <c r="C172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1" t="str">
        <f ca="1">IF(dict_zuord_Transfers_Storages[[#This Row],[kval_active]],dict_zuord_Transfers_Storages[[#This Row],[ID_Storages]],"")</f>
        <v/>
      </c>
    </row>
    <row r="1722" spans="1:4" x14ac:dyDescent="0.45">
      <c r="A1722">
        <v>191</v>
      </c>
      <c r="B1722">
        <f t="shared" ca="1" si="26"/>
        <v>85</v>
      </c>
      <c r="C172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2" t="str">
        <f ca="1">IF(dict_zuord_Transfers_Storages[[#This Row],[kval_active]],dict_zuord_Transfers_Storages[[#This Row],[ID_Storages]],"")</f>
        <v/>
      </c>
    </row>
    <row r="1723" spans="1:4" x14ac:dyDescent="0.45">
      <c r="A1723">
        <v>191</v>
      </c>
      <c r="B1723">
        <f t="shared" ca="1" si="26"/>
        <v>58</v>
      </c>
      <c r="C172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3" t="str">
        <f ca="1">IF(dict_zuord_Transfers_Storages[[#This Row],[kval_active]],dict_zuord_Transfers_Storages[[#This Row],[ID_Storages]],"")</f>
        <v/>
      </c>
    </row>
    <row r="1724" spans="1:4" x14ac:dyDescent="0.45">
      <c r="A1724">
        <v>191</v>
      </c>
      <c r="B1724">
        <f t="shared" ca="1" si="26"/>
        <v>94</v>
      </c>
      <c r="C172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4" t="str">
        <f ca="1">IF(dict_zuord_Transfers_Storages[[#This Row],[kval_active]],dict_zuord_Transfers_Storages[[#This Row],[ID_Storages]],"")</f>
        <v/>
      </c>
    </row>
    <row r="1725" spans="1:4" x14ac:dyDescent="0.45">
      <c r="A1725">
        <v>191</v>
      </c>
      <c r="B1725">
        <f t="shared" ca="1" si="26"/>
        <v>75</v>
      </c>
      <c r="C172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5" t="str">
        <f ca="1">IF(dict_zuord_Transfers_Storages[[#This Row],[kval_active]],dict_zuord_Transfers_Storages[[#This Row],[ID_Storages]],"")</f>
        <v/>
      </c>
    </row>
    <row r="1726" spans="1:4" x14ac:dyDescent="0.45">
      <c r="A1726">
        <v>191</v>
      </c>
      <c r="B1726">
        <f t="shared" ca="1" si="26"/>
        <v>88</v>
      </c>
      <c r="C172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6" t="str">
        <f ca="1">IF(dict_zuord_Transfers_Storages[[#This Row],[kval_active]],dict_zuord_Transfers_Storages[[#This Row],[ID_Storages]],"")</f>
        <v/>
      </c>
    </row>
    <row r="1727" spans="1:4" x14ac:dyDescent="0.45">
      <c r="A1727">
        <v>191</v>
      </c>
      <c r="B1727">
        <f t="shared" ca="1" si="26"/>
        <v>55</v>
      </c>
      <c r="C172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7" t="str">
        <f ca="1">IF(dict_zuord_Transfers_Storages[[#This Row],[kval_active]],dict_zuord_Transfers_Storages[[#This Row],[ID_Storages]],"")</f>
        <v/>
      </c>
    </row>
    <row r="1728" spans="1:4" x14ac:dyDescent="0.45">
      <c r="A1728">
        <v>191</v>
      </c>
      <c r="B1728">
        <f t="shared" ca="1" si="26"/>
        <v>92</v>
      </c>
      <c r="C172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8" t="str">
        <f ca="1">IF(dict_zuord_Transfers_Storages[[#This Row],[kval_active]],dict_zuord_Transfers_Storages[[#This Row],[ID_Storages]],"")</f>
        <v/>
      </c>
    </row>
    <row r="1729" spans="1:4" x14ac:dyDescent="0.45">
      <c r="A1729">
        <v>191</v>
      </c>
      <c r="B1729">
        <f t="shared" ca="1" si="26"/>
        <v>88</v>
      </c>
      <c r="C172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729" t="str">
        <f ca="1">IF(dict_zuord_Transfers_Storages[[#This Row],[kval_active]],dict_zuord_Transfers_Storages[[#This Row],[ID_Storages]],"")</f>
        <v/>
      </c>
    </row>
    <row r="1730" spans="1:4" x14ac:dyDescent="0.45">
      <c r="A1730">
        <v>192</v>
      </c>
      <c r="B1730">
        <f t="shared" ref="B1730:B1793" ca="1" si="27">RANDBETWEEN(0,100)</f>
        <v>37</v>
      </c>
      <c r="C173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0">
        <f ca="1">IF(dict_zuord_Transfers_Storages[[#This Row],[kval_active]],dict_zuord_Transfers_Storages[[#This Row],[ID_Storages]],"")</f>
        <v>37</v>
      </c>
    </row>
    <row r="1731" spans="1:4" x14ac:dyDescent="0.45">
      <c r="A1731">
        <v>192</v>
      </c>
      <c r="B1731">
        <f t="shared" ca="1" si="27"/>
        <v>2</v>
      </c>
      <c r="C173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1">
        <f ca="1">IF(dict_zuord_Transfers_Storages[[#This Row],[kval_active]],dict_zuord_Transfers_Storages[[#This Row],[ID_Storages]],"")</f>
        <v>2</v>
      </c>
    </row>
    <row r="1732" spans="1:4" x14ac:dyDescent="0.45">
      <c r="A1732">
        <v>192</v>
      </c>
      <c r="B1732">
        <f t="shared" ca="1" si="27"/>
        <v>97</v>
      </c>
      <c r="C173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2">
        <f ca="1">IF(dict_zuord_Transfers_Storages[[#This Row],[kval_active]],dict_zuord_Transfers_Storages[[#This Row],[ID_Storages]],"")</f>
        <v>97</v>
      </c>
    </row>
    <row r="1733" spans="1:4" x14ac:dyDescent="0.45">
      <c r="A1733">
        <v>192</v>
      </c>
      <c r="B1733">
        <f t="shared" ca="1" si="27"/>
        <v>69</v>
      </c>
      <c r="C173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3">
        <f ca="1">IF(dict_zuord_Transfers_Storages[[#This Row],[kval_active]],dict_zuord_Transfers_Storages[[#This Row],[ID_Storages]],"")</f>
        <v>69</v>
      </c>
    </row>
    <row r="1734" spans="1:4" x14ac:dyDescent="0.45">
      <c r="A1734">
        <v>192</v>
      </c>
      <c r="B1734">
        <f t="shared" ca="1" si="27"/>
        <v>68</v>
      </c>
      <c r="C173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4">
        <f ca="1">IF(dict_zuord_Transfers_Storages[[#This Row],[kval_active]],dict_zuord_Transfers_Storages[[#This Row],[ID_Storages]],"")</f>
        <v>68</v>
      </c>
    </row>
    <row r="1735" spans="1:4" x14ac:dyDescent="0.45">
      <c r="A1735">
        <v>192</v>
      </c>
      <c r="B1735">
        <f t="shared" ca="1" si="27"/>
        <v>16</v>
      </c>
      <c r="C173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5">
        <f ca="1">IF(dict_zuord_Transfers_Storages[[#This Row],[kval_active]],dict_zuord_Transfers_Storages[[#This Row],[ID_Storages]],"")</f>
        <v>16</v>
      </c>
    </row>
    <row r="1736" spans="1:4" x14ac:dyDescent="0.45">
      <c r="A1736">
        <v>192</v>
      </c>
      <c r="B1736">
        <f t="shared" ca="1" si="27"/>
        <v>79</v>
      </c>
      <c r="C173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6">
        <f ca="1">IF(dict_zuord_Transfers_Storages[[#This Row],[kval_active]],dict_zuord_Transfers_Storages[[#This Row],[ID_Storages]],"")</f>
        <v>79</v>
      </c>
    </row>
    <row r="1737" spans="1:4" x14ac:dyDescent="0.45">
      <c r="A1737">
        <v>192</v>
      </c>
      <c r="B1737">
        <f t="shared" ca="1" si="27"/>
        <v>7</v>
      </c>
      <c r="C173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7">
        <f ca="1">IF(dict_zuord_Transfers_Storages[[#This Row],[kval_active]],dict_zuord_Transfers_Storages[[#This Row],[ID_Storages]],"")</f>
        <v>7</v>
      </c>
    </row>
    <row r="1738" spans="1:4" x14ac:dyDescent="0.45">
      <c r="A1738">
        <v>192</v>
      </c>
      <c r="B1738">
        <f t="shared" ca="1" si="27"/>
        <v>45</v>
      </c>
      <c r="C173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8">
        <f ca="1">IF(dict_zuord_Transfers_Storages[[#This Row],[kval_active]],dict_zuord_Transfers_Storages[[#This Row],[ID_Storages]],"")</f>
        <v>45</v>
      </c>
    </row>
    <row r="1739" spans="1:4" x14ac:dyDescent="0.45">
      <c r="A1739">
        <v>193</v>
      </c>
      <c r="B1739">
        <f t="shared" ca="1" si="27"/>
        <v>54</v>
      </c>
      <c r="C173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39">
        <f ca="1">IF(dict_zuord_Transfers_Storages[[#This Row],[kval_active]],dict_zuord_Transfers_Storages[[#This Row],[ID_Storages]],"")</f>
        <v>54</v>
      </c>
    </row>
    <row r="1740" spans="1:4" x14ac:dyDescent="0.45">
      <c r="A1740">
        <v>193</v>
      </c>
      <c r="B1740">
        <f t="shared" ca="1" si="27"/>
        <v>64</v>
      </c>
      <c r="C174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0">
        <f ca="1">IF(dict_zuord_Transfers_Storages[[#This Row],[kval_active]],dict_zuord_Transfers_Storages[[#This Row],[ID_Storages]],"")</f>
        <v>64</v>
      </c>
    </row>
    <row r="1741" spans="1:4" x14ac:dyDescent="0.45">
      <c r="A1741">
        <v>193</v>
      </c>
      <c r="B1741">
        <f t="shared" ca="1" si="27"/>
        <v>67</v>
      </c>
      <c r="C174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1">
        <f ca="1">IF(dict_zuord_Transfers_Storages[[#This Row],[kval_active]],dict_zuord_Transfers_Storages[[#This Row],[ID_Storages]],"")</f>
        <v>67</v>
      </c>
    </row>
    <row r="1742" spans="1:4" x14ac:dyDescent="0.45">
      <c r="A1742">
        <v>193</v>
      </c>
      <c r="B1742">
        <f t="shared" ca="1" si="27"/>
        <v>19</v>
      </c>
      <c r="C174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2">
        <f ca="1">IF(dict_zuord_Transfers_Storages[[#This Row],[kval_active]],dict_zuord_Transfers_Storages[[#This Row],[ID_Storages]],"")</f>
        <v>19</v>
      </c>
    </row>
    <row r="1743" spans="1:4" x14ac:dyDescent="0.45">
      <c r="A1743">
        <v>193</v>
      </c>
      <c r="B1743">
        <f t="shared" ca="1" si="27"/>
        <v>98</v>
      </c>
      <c r="C174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3">
        <f ca="1">IF(dict_zuord_Transfers_Storages[[#This Row],[kval_active]],dict_zuord_Transfers_Storages[[#This Row],[ID_Storages]],"")</f>
        <v>98</v>
      </c>
    </row>
    <row r="1744" spans="1:4" x14ac:dyDescent="0.45">
      <c r="A1744">
        <v>193</v>
      </c>
      <c r="B1744">
        <f t="shared" ca="1" si="27"/>
        <v>63</v>
      </c>
      <c r="C174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4">
        <f ca="1">IF(dict_zuord_Transfers_Storages[[#This Row],[kval_active]],dict_zuord_Transfers_Storages[[#This Row],[ID_Storages]],"")</f>
        <v>63</v>
      </c>
    </row>
    <row r="1745" spans="1:4" x14ac:dyDescent="0.45">
      <c r="A1745">
        <v>193</v>
      </c>
      <c r="B1745">
        <f t="shared" ca="1" si="27"/>
        <v>28</v>
      </c>
      <c r="C174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5">
        <f ca="1">IF(dict_zuord_Transfers_Storages[[#This Row],[kval_active]],dict_zuord_Transfers_Storages[[#This Row],[ID_Storages]],"")</f>
        <v>28</v>
      </c>
    </row>
    <row r="1746" spans="1:4" x14ac:dyDescent="0.45">
      <c r="A1746">
        <v>193</v>
      </c>
      <c r="B1746">
        <f t="shared" ca="1" si="27"/>
        <v>98</v>
      </c>
      <c r="C174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6">
        <f ca="1">IF(dict_zuord_Transfers_Storages[[#This Row],[kval_active]],dict_zuord_Transfers_Storages[[#This Row],[ID_Storages]],"")</f>
        <v>98</v>
      </c>
    </row>
    <row r="1747" spans="1:4" x14ac:dyDescent="0.45">
      <c r="A1747">
        <v>193</v>
      </c>
      <c r="B1747">
        <f t="shared" ca="1" si="27"/>
        <v>71</v>
      </c>
      <c r="C174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7">
        <f ca="1">IF(dict_zuord_Transfers_Storages[[#This Row],[kval_active]],dict_zuord_Transfers_Storages[[#This Row],[ID_Storages]],"")</f>
        <v>71</v>
      </c>
    </row>
    <row r="1748" spans="1:4" x14ac:dyDescent="0.45">
      <c r="A1748">
        <v>194</v>
      </c>
      <c r="B1748">
        <f t="shared" ca="1" si="27"/>
        <v>44</v>
      </c>
      <c r="C174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8">
        <f ca="1">IF(dict_zuord_Transfers_Storages[[#This Row],[kval_active]],dict_zuord_Transfers_Storages[[#This Row],[ID_Storages]],"")</f>
        <v>44</v>
      </c>
    </row>
    <row r="1749" spans="1:4" x14ac:dyDescent="0.45">
      <c r="A1749">
        <v>194</v>
      </c>
      <c r="B1749">
        <f t="shared" ca="1" si="27"/>
        <v>52</v>
      </c>
      <c r="C174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49">
        <f ca="1">IF(dict_zuord_Transfers_Storages[[#This Row],[kval_active]],dict_zuord_Transfers_Storages[[#This Row],[ID_Storages]],"")</f>
        <v>52</v>
      </c>
    </row>
    <row r="1750" spans="1:4" x14ac:dyDescent="0.45">
      <c r="A1750">
        <v>194</v>
      </c>
      <c r="B1750">
        <f t="shared" ca="1" si="27"/>
        <v>54</v>
      </c>
      <c r="C175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0">
        <f ca="1">IF(dict_zuord_Transfers_Storages[[#This Row],[kval_active]],dict_zuord_Transfers_Storages[[#This Row],[ID_Storages]],"")</f>
        <v>54</v>
      </c>
    </row>
    <row r="1751" spans="1:4" x14ac:dyDescent="0.45">
      <c r="A1751">
        <v>194</v>
      </c>
      <c r="B1751">
        <f t="shared" ca="1" si="27"/>
        <v>21</v>
      </c>
      <c r="C175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1">
        <f ca="1">IF(dict_zuord_Transfers_Storages[[#This Row],[kval_active]],dict_zuord_Transfers_Storages[[#This Row],[ID_Storages]],"")</f>
        <v>21</v>
      </c>
    </row>
    <row r="1752" spans="1:4" x14ac:dyDescent="0.45">
      <c r="A1752">
        <v>194</v>
      </c>
      <c r="B1752">
        <f t="shared" ca="1" si="27"/>
        <v>76</v>
      </c>
      <c r="C175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2">
        <f ca="1">IF(dict_zuord_Transfers_Storages[[#This Row],[kval_active]],dict_zuord_Transfers_Storages[[#This Row],[ID_Storages]],"")</f>
        <v>76</v>
      </c>
    </row>
    <row r="1753" spans="1:4" x14ac:dyDescent="0.45">
      <c r="A1753">
        <v>194</v>
      </c>
      <c r="B1753">
        <f t="shared" ca="1" si="27"/>
        <v>52</v>
      </c>
      <c r="C175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3">
        <f ca="1">IF(dict_zuord_Transfers_Storages[[#This Row],[kval_active]],dict_zuord_Transfers_Storages[[#This Row],[ID_Storages]],"")</f>
        <v>52</v>
      </c>
    </row>
    <row r="1754" spans="1:4" x14ac:dyDescent="0.45">
      <c r="A1754">
        <v>194</v>
      </c>
      <c r="B1754">
        <f t="shared" ca="1" si="27"/>
        <v>7</v>
      </c>
      <c r="C175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4">
        <f ca="1">IF(dict_zuord_Transfers_Storages[[#This Row],[kval_active]],dict_zuord_Transfers_Storages[[#This Row],[ID_Storages]],"")</f>
        <v>7</v>
      </c>
    </row>
    <row r="1755" spans="1:4" x14ac:dyDescent="0.45">
      <c r="A1755">
        <v>194</v>
      </c>
      <c r="B1755">
        <f t="shared" ca="1" si="27"/>
        <v>26</v>
      </c>
      <c r="C175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5">
        <f ca="1">IF(dict_zuord_Transfers_Storages[[#This Row],[kval_active]],dict_zuord_Transfers_Storages[[#This Row],[ID_Storages]],"")</f>
        <v>26</v>
      </c>
    </row>
    <row r="1756" spans="1:4" x14ac:dyDescent="0.45">
      <c r="A1756">
        <v>194</v>
      </c>
      <c r="B1756">
        <f t="shared" ca="1" si="27"/>
        <v>25</v>
      </c>
      <c r="C175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6">
        <f ca="1">IF(dict_zuord_Transfers_Storages[[#This Row],[kval_active]],dict_zuord_Transfers_Storages[[#This Row],[ID_Storages]],"")</f>
        <v>25</v>
      </c>
    </row>
    <row r="1757" spans="1:4" x14ac:dyDescent="0.45">
      <c r="A1757">
        <v>195</v>
      </c>
      <c r="B1757">
        <f t="shared" ca="1" si="27"/>
        <v>52</v>
      </c>
      <c r="C175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7">
        <f ca="1">IF(dict_zuord_Transfers_Storages[[#This Row],[kval_active]],dict_zuord_Transfers_Storages[[#This Row],[ID_Storages]],"")</f>
        <v>52</v>
      </c>
    </row>
    <row r="1758" spans="1:4" x14ac:dyDescent="0.45">
      <c r="A1758">
        <v>195</v>
      </c>
      <c r="B1758">
        <f t="shared" ca="1" si="27"/>
        <v>9</v>
      </c>
      <c r="C175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8">
        <f ca="1">IF(dict_zuord_Transfers_Storages[[#This Row],[kval_active]],dict_zuord_Transfers_Storages[[#This Row],[ID_Storages]],"")</f>
        <v>9</v>
      </c>
    </row>
    <row r="1759" spans="1:4" x14ac:dyDescent="0.45">
      <c r="A1759">
        <v>195</v>
      </c>
      <c r="B1759">
        <f t="shared" ca="1" si="27"/>
        <v>50</v>
      </c>
      <c r="C175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59">
        <f ca="1">IF(dict_zuord_Transfers_Storages[[#This Row],[kval_active]],dict_zuord_Transfers_Storages[[#This Row],[ID_Storages]],"")</f>
        <v>50</v>
      </c>
    </row>
    <row r="1760" spans="1:4" x14ac:dyDescent="0.45">
      <c r="A1760">
        <v>195</v>
      </c>
      <c r="B1760">
        <f t="shared" ca="1" si="27"/>
        <v>6</v>
      </c>
      <c r="C176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0">
        <f ca="1">IF(dict_zuord_Transfers_Storages[[#This Row],[kval_active]],dict_zuord_Transfers_Storages[[#This Row],[ID_Storages]],"")</f>
        <v>6</v>
      </c>
    </row>
    <row r="1761" spans="1:4" x14ac:dyDescent="0.45">
      <c r="A1761">
        <v>195</v>
      </c>
      <c r="B1761">
        <f t="shared" ca="1" si="27"/>
        <v>52</v>
      </c>
      <c r="C176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1">
        <f ca="1">IF(dict_zuord_Transfers_Storages[[#This Row],[kval_active]],dict_zuord_Transfers_Storages[[#This Row],[ID_Storages]],"")</f>
        <v>52</v>
      </c>
    </row>
    <row r="1762" spans="1:4" x14ac:dyDescent="0.45">
      <c r="A1762">
        <v>195</v>
      </c>
      <c r="B1762">
        <f t="shared" ca="1" si="27"/>
        <v>33</v>
      </c>
      <c r="C176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2">
        <f ca="1">IF(dict_zuord_Transfers_Storages[[#This Row],[kval_active]],dict_zuord_Transfers_Storages[[#This Row],[ID_Storages]],"")</f>
        <v>33</v>
      </c>
    </row>
    <row r="1763" spans="1:4" x14ac:dyDescent="0.45">
      <c r="A1763">
        <v>195</v>
      </c>
      <c r="B1763">
        <f t="shared" ca="1" si="27"/>
        <v>75</v>
      </c>
      <c r="C176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3">
        <f ca="1">IF(dict_zuord_Transfers_Storages[[#This Row],[kval_active]],dict_zuord_Transfers_Storages[[#This Row],[ID_Storages]],"")</f>
        <v>75</v>
      </c>
    </row>
    <row r="1764" spans="1:4" x14ac:dyDescent="0.45">
      <c r="A1764">
        <v>195</v>
      </c>
      <c r="B1764">
        <f t="shared" ca="1" si="27"/>
        <v>23</v>
      </c>
      <c r="C176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4">
        <f ca="1">IF(dict_zuord_Transfers_Storages[[#This Row],[kval_active]],dict_zuord_Transfers_Storages[[#This Row],[ID_Storages]],"")</f>
        <v>23</v>
      </c>
    </row>
    <row r="1765" spans="1:4" x14ac:dyDescent="0.45">
      <c r="A1765">
        <v>195</v>
      </c>
      <c r="B1765">
        <f t="shared" ca="1" si="27"/>
        <v>28</v>
      </c>
      <c r="C176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5">
        <f ca="1">IF(dict_zuord_Transfers_Storages[[#This Row],[kval_active]],dict_zuord_Transfers_Storages[[#This Row],[ID_Storages]],"")</f>
        <v>28</v>
      </c>
    </row>
    <row r="1766" spans="1:4" x14ac:dyDescent="0.45">
      <c r="A1766">
        <v>196</v>
      </c>
      <c r="B1766">
        <f t="shared" ca="1" si="27"/>
        <v>76</v>
      </c>
      <c r="C176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6">
        <f ca="1">IF(dict_zuord_Transfers_Storages[[#This Row],[kval_active]],dict_zuord_Transfers_Storages[[#This Row],[ID_Storages]],"")</f>
        <v>76</v>
      </c>
    </row>
    <row r="1767" spans="1:4" x14ac:dyDescent="0.45">
      <c r="A1767">
        <v>196</v>
      </c>
      <c r="B1767">
        <f t="shared" ca="1" si="27"/>
        <v>91</v>
      </c>
      <c r="C176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7">
        <f ca="1">IF(dict_zuord_Transfers_Storages[[#This Row],[kval_active]],dict_zuord_Transfers_Storages[[#This Row],[ID_Storages]],"")</f>
        <v>91</v>
      </c>
    </row>
    <row r="1768" spans="1:4" x14ac:dyDescent="0.45">
      <c r="A1768">
        <v>196</v>
      </c>
      <c r="B1768">
        <f t="shared" ca="1" si="27"/>
        <v>35</v>
      </c>
      <c r="C176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8">
        <f ca="1">IF(dict_zuord_Transfers_Storages[[#This Row],[kval_active]],dict_zuord_Transfers_Storages[[#This Row],[ID_Storages]],"")</f>
        <v>35</v>
      </c>
    </row>
    <row r="1769" spans="1:4" x14ac:dyDescent="0.45">
      <c r="A1769">
        <v>196</v>
      </c>
      <c r="B1769">
        <f t="shared" ca="1" si="27"/>
        <v>94</v>
      </c>
      <c r="C176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69">
        <f ca="1">IF(dict_zuord_Transfers_Storages[[#This Row],[kval_active]],dict_zuord_Transfers_Storages[[#This Row],[ID_Storages]],"")</f>
        <v>94</v>
      </c>
    </row>
    <row r="1770" spans="1:4" x14ac:dyDescent="0.45">
      <c r="A1770">
        <v>196</v>
      </c>
      <c r="B1770">
        <f t="shared" ca="1" si="27"/>
        <v>17</v>
      </c>
      <c r="C177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0">
        <f ca="1">IF(dict_zuord_Transfers_Storages[[#This Row],[kval_active]],dict_zuord_Transfers_Storages[[#This Row],[ID_Storages]],"")</f>
        <v>17</v>
      </c>
    </row>
    <row r="1771" spans="1:4" x14ac:dyDescent="0.45">
      <c r="A1771">
        <v>196</v>
      </c>
      <c r="B1771">
        <f t="shared" ca="1" si="27"/>
        <v>92</v>
      </c>
      <c r="C177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1">
        <f ca="1">IF(dict_zuord_Transfers_Storages[[#This Row],[kval_active]],dict_zuord_Transfers_Storages[[#This Row],[ID_Storages]],"")</f>
        <v>92</v>
      </c>
    </row>
    <row r="1772" spans="1:4" x14ac:dyDescent="0.45">
      <c r="A1772">
        <v>196</v>
      </c>
      <c r="B1772">
        <f t="shared" ca="1" si="27"/>
        <v>89</v>
      </c>
      <c r="C177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2">
        <f ca="1">IF(dict_zuord_Transfers_Storages[[#This Row],[kval_active]],dict_zuord_Transfers_Storages[[#This Row],[ID_Storages]],"")</f>
        <v>89</v>
      </c>
    </row>
    <row r="1773" spans="1:4" x14ac:dyDescent="0.45">
      <c r="A1773">
        <v>196</v>
      </c>
      <c r="B1773">
        <f t="shared" ca="1" si="27"/>
        <v>75</v>
      </c>
      <c r="C177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3">
        <f ca="1">IF(dict_zuord_Transfers_Storages[[#This Row],[kval_active]],dict_zuord_Transfers_Storages[[#This Row],[ID_Storages]],"")</f>
        <v>75</v>
      </c>
    </row>
    <row r="1774" spans="1:4" x14ac:dyDescent="0.45">
      <c r="A1774">
        <v>196</v>
      </c>
      <c r="B1774">
        <f t="shared" ca="1" si="27"/>
        <v>50</v>
      </c>
      <c r="C177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4">
        <f ca="1">IF(dict_zuord_Transfers_Storages[[#This Row],[kval_active]],dict_zuord_Transfers_Storages[[#This Row],[ID_Storages]],"")</f>
        <v>50</v>
      </c>
    </row>
    <row r="1775" spans="1:4" x14ac:dyDescent="0.45">
      <c r="A1775">
        <v>197</v>
      </c>
      <c r="B1775">
        <f t="shared" ca="1" si="27"/>
        <v>33</v>
      </c>
      <c r="C177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5">
        <f ca="1">IF(dict_zuord_Transfers_Storages[[#This Row],[kval_active]],dict_zuord_Transfers_Storages[[#This Row],[ID_Storages]],"")</f>
        <v>33</v>
      </c>
    </row>
    <row r="1776" spans="1:4" x14ac:dyDescent="0.45">
      <c r="A1776">
        <v>197</v>
      </c>
      <c r="B1776">
        <f t="shared" ca="1" si="27"/>
        <v>86</v>
      </c>
      <c r="C177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6">
        <f ca="1">IF(dict_zuord_Transfers_Storages[[#This Row],[kval_active]],dict_zuord_Transfers_Storages[[#This Row],[ID_Storages]],"")</f>
        <v>86</v>
      </c>
    </row>
    <row r="1777" spans="1:4" x14ac:dyDescent="0.45">
      <c r="A1777">
        <v>197</v>
      </c>
      <c r="B1777">
        <f t="shared" ca="1" si="27"/>
        <v>31</v>
      </c>
      <c r="C177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7">
        <f ca="1">IF(dict_zuord_Transfers_Storages[[#This Row],[kval_active]],dict_zuord_Transfers_Storages[[#This Row],[ID_Storages]],"")</f>
        <v>31</v>
      </c>
    </row>
    <row r="1778" spans="1:4" x14ac:dyDescent="0.45">
      <c r="A1778">
        <v>197</v>
      </c>
      <c r="B1778">
        <f t="shared" ca="1" si="27"/>
        <v>5</v>
      </c>
      <c r="C177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8">
        <f ca="1">IF(dict_zuord_Transfers_Storages[[#This Row],[kval_active]],dict_zuord_Transfers_Storages[[#This Row],[ID_Storages]],"")</f>
        <v>5</v>
      </c>
    </row>
    <row r="1779" spans="1:4" x14ac:dyDescent="0.45">
      <c r="A1779">
        <v>197</v>
      </c>
      <c r="B1779">
        <f t="shared" ca="1" si="27"/>
        <v>76</v>
      </c>
      <c r="C177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79">
        <f ca="1">IF(dict_zuord_Transfers_Storages[[#This Row],[kval_active]],dict_zuord_Transfers_Storages[[#This Row],[ID_Storages]],"")</f>
        <v>76</v>
      </c>
    </row>
    <row r="1780" spans="1:4" x14ac:dyDescent="0.45">
      <c r="A1780">
        <v>197</v>
      </c>
      <c r="B1780">
        <f t="shared" ca="1" si="27"/>
        <v>69</v>
      </c>
      <c r="C178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0">
        <f ca="1">IF(dict_zuord_Transfers_Storages[[#This Row],[kval_active]],dict_zuord_Transfers_Storages[[#This Row],[ID_Storages]],"")</f>
        <v>69</v>
      </c>
    </row>
    <row r="1781" spans="1:4" x14ac:dyDescent="0.45">
      <c r="A1781">
        <v>197</v>
      </c>
      <c r="B1781">
        <f t="shared" ca="1" si="27"/>
        <v>5</v>
      </c>
      <c r="C178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1">
        <f ca="1">IF(dict_zuord_Transfers_Storages[[#This Row],[kval_active]],dict_zuord_Transfers_Storages[[#This Row],[ID_Storages]],"")</f>
        <v>5</v>
      </c>
    </row>
    <row r="1782" spans="1:4" x14ac:dyDescent="0.45">
      <c r="A1782">
        <v>197</v>
      </c>
      <c r="B1782">
        <f t="shared" ca="1" si="27"/>
        <v>1</v>
      </c>
      <c r="C178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2">
        <f ca="1">IF(dict_zuord_Transfers_Storages[[#This Row],[kval_active]],dict_zuord_Transfers_Storages[[#This Row],[ID_Storages]],"")</f>
        <v>1</v>
      </c>
    </row>
    <row r="1783" spans="1:4" x14ac:dyDescent="0.45">
      <c r="A1783">
        <v>197</v>
      </c>
      <c r="B1783">
        <f t="shared" ca="1" si="27"/>
        <v>56</v>
      </c>
      <c r="C178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3">
        <f ca="1">IF(dict_zuord_Transfers_Storages[[#This Row],[kval_active]],dict_zuord_Transfers_Storages[[#This Row],[ID_Storages]],"")</f>
        <v>56</v>
      </c>
    </row>
    <row r="1784" spans="1:4" x14ac:dyDescent="0.45">
      <c r="A1784">
        <v>198</v>
      </c>
      <c r="B1784">
        <f t="shared" ca="1" si="27"/>
        <v>41</v>
      </c>
      <c r="C178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4">
        <f ca="1">IF(dict_zuord_Transfers_Storages[[#This Row],[kval_active]],dict_zuord_Transfers_Storages[[#This Row],[ID_Storages]],"")</f>
        <v>41</v>
      </c>
    </row>
    <row r="1785" spans="1:4" x14ac:dyDescent="0.45">
      <c r="A1785">
        <v>198</v>
      </c>
      <c r="B1785">
        <f t="shared" ca="1" si="27"/>
        <v>60</v>
      </c>
      <c r="C178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5">
        <f ca="1">IF(dict_zuord_Transfers_Storages[[#This Row],[kval_active]],dict_zuord_Transfers_Storages[[#This Row],[ID_Storages]],"")</f>
        <v>60</v>
      </c>
    </row>
    <row r="1786" spans="1:4" x14ac:dyDescent="0.45">
      <c r="A1786">
        <v>198</v>
      </c>
      <c r="B1786">
        <f t="shared" ca="1" si="27"/>
        <v>12</v>
      </c>
      <c r="C178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6">
        <f ca="1">IF(dict_zuord_Transfers_Storages[[#This Row],[kval_active]],dict_zuord_Transfers_Storages[[#This Row],[ID_Storages]],"")</f>
        <v>12</v>
      </c>
    </row>
    <row r="1787" spans="1:4" x14ac:dyDescent="0.45">
      <c r="A1787">
        <v>198</v>
      </c>
      <c r="B1787">
        <f t="shared" ca="1" si="27"/>
        <v>10</v>
      </c>
      <c r="C178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7">
        <f ca="1">IF(dict_zuord_Transfers_Storages[[#This Row],[kval_active]],dict_zuord_Transfers_Storages[[#This Row],[ID_Storages]],"")</f>
        <v>10</v>
      </c>
    </row>
    <row r="1788" spans="1:4" x14ac:dyDescent="0.45">
      <c r="A1788">
        <v>198</v>
      </c>
      <c r="B1788">
        <f t="shared" ca="1" si="27"/>
        <v>38</v>
      </c>
      <c r="C178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8">
        <f ca="1">IF(dict_zuord_Transfers_Storages[[#This Row],[kval_active]],dict_zuord_Transfers_Storages[[#This Row],[ID_Storages]],"")</f>
        <v>38</v>
      </c>
    </row>
    <row r="1789" spans="1:4" x14ac:dyDescent="0.45">
      <c r="A1789">
        <v>198</v>
      </c>
      <c r="B1789">
        <f t="shared" ca="1" si="27"/>
        <v>93</v>
      </c>
      <c r="C178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89">
        <f ca="1">IF(dict_zuord_Transfers_Storages[[#This Row],[kval_active]],dict_zuord_Transfers_Storages[[#This Row],[ID_Storages]],"")</f>
        <v>93</v>
      </c>
    </row>
    <row r="1790" spans="1:4" x14ac:dyDescent="0.45">
      <c r="A1790">
        <v>198</v>
      </c>
      <c r="B1790">
        <f t="shared" ca="1" si="27"/>
        <v>23</v>
      </c>
      <c r="C179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0">
        <f ca="1">IF(dict_zuord_Transfers_Storages[[#This Row],[kval_active]],dict_zuord_Transfers_Storages[[#This Row],[ID_Storages]],"")</f>
        <v>23</v>
      </c>
    </row>
    <row r="1791" spans="1:4" x14ac:dyDescent="0.45">
      <c r="A1791">
        <v>198</v>
      </c>
      <c r="B1791">
        <f t="shared" ca="1" si="27"/>
        <v>57</v>
      </c>
      <c r="C179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1">
        <f ca="1">IF(dict_zuord_Transfers_Storages[[#This Row],[kval_active]],dict_zuord_Transfers_Storages[[#This Row],[ID_Storages]],"")</f>
        <v>57</v>
      </c>
    </row>
    <row r="1792" spans="1:4" x14ac:dyDescent="0.45">
      <c r="A1792">
        <v>198</v>
      </c>
      <c r="B1792">
        <f t="shared" ca="1" si="27"/>
        <v>57</v>
      </c>
      <c r="C179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2">
        <f ca="1">IF(dict_zuord_Transfers_Storages[[#This Row],[kval_active]],dict_zuord_Transfers_Storages[[#This Row],[ID_Storages]],"")</f>
        <v>57</v>
      </c>
    </row>
    <row r="1793" spans="1:4" x14ac:dyDescent="0.45">
      <c r="A1793">
        <v>199</v>
      </c>
      <c r="B1793">
        <f t="shared" ca="1" si="27"/>
        <v>71</v>
      </c>
      <c r="C179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3">
        <f ca="1">IF(dict_zuord_Transfers_Storages[[#This Row],[kval_active]],dict_zuord_Transfers_Storages[[#This Row],[ID_Storages]],"")</f>
        <v>71</v>
      </c>
    </row>
    <row r="1794" spans="1:4" x14ac:dyDescent="0.45">
      <c r="A1794">
        <v>199</v>
      </c>
      <c r="B1794">
        <f t="shared" ref="B1794:B1810" ca="1" si="28">RANDBETWEEN(0,100)</f>
        <v>92</v>
      </c>
      <c r="C179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4">
        <f ca="1">IF(dict_zuord_Transfers_Storages[[#This Row],[kval_active]],dict_zuord_Transfers_Storages[[#This Row],[ID_Storages]],"")</f>
        <v>92</v>
      </c>
    </row>
    <row r="1795" spans="1:4" x14ac:dyDescent="0.45">
      <c r="A1795">
        <v>199</v>
      </c>
      <c r="B1795">
        <f t="shared" ca="1" si="28"/>
        <v>69</v>
      </c>
      <c r="C179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5">
        <f ca="1">IF(dict_zuord_Transfers_Storages[[#This Row],[kval_active]],dict_zuord_Transfers_Storages[[#This Row],[ID_Storages]],"")</f>
        <v>69</v>
      </c>
    </row>
    <row r="1796" spans="1:4" x14ac:dyDescent="0.45">
      <c r="A1796">
        <v>199</v>
      </c>
      <c r="B1796">
        <f t="shared" ca="1" si="28"/>
        <v>80</v>
      </c>
      <c r="C179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6">
        <f ca="1">IF(dict_zuord_Transfers_Storages[[#This Row],[kval_active]],dict_zuord_Transfers_Storages[[#This Row],[ID_Storages]],"")</f>
        <v>80</v>
      </c>
    </row>
    <row r="1797" spans="1:4" x14ac:dyDescent="0.45">
      <c r="A1797">
        <v>199</v>
      </c>
      <c r="B1797">
        <f t="shared" ca="1" si="28"/>
        <v>13</v>
      </c>
      <c r="C179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7">
        <f ca="1">IF(dict_zuord_Transfers_Storages[[#This Row],[kval_active]],dict_zuord_Transfers_Storages[[#This Row],[ID_Storages]],"")</f>
        <v>13</v>
      </c>
    </row>
    <row r="1798" spans="1:4" x14ac:dyDescent="0.45">
      <c r="A1798">
        <v>199</v>
      </c>
      <c r="B1798">
        <f t="shared" ca="1" si="28"/>
        <v>75</v>
      </c>
      <c r="C179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8">
        <f ca="1">IF(dict_zuord_Transfers_Storages[[#This Row],[kval_active]],dict_zuord_Transfers_Storages[[#This Row],[ID_Storages]],"")</f>
        <v>75</v>
      </c>
    </row>
    <row r="1799" spans="1:4" x14ac:dyDescent="0.45">
      <c r="A1799">
        <v>199</v>
      </c>
      <c r="B1799">
        <f t="shared" ca="1" si="28"/>
        <v>44</v>
      </c>
      <c r="C179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799">
        <f ca="1">IF(dict_zuord_Transfers_Storages[[#This Row],[kval_active]],dict_zuord_Transfers_Storages[[#This Row],[ID_Storages]],"")</f>
        <v>44</v>
      </c>
    </row>
    <row r="1800" spans="1:4" x14ac:dyDescent="0.45">
      <c r="A1800">
        <v>199</v>
      </c>
      <c r="B1800">
        <f t="shared" ca="1" si="28"/>
        <v>55</v>
      </c>
      <c r="C180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0">
        <f ca="1">IF(dict_zuord_Transfers_Storages[[#This Row],[kval_active]],dict_zuord_Transfers_Storages[[#This Row],[ID_Storages]],"")</f>
        <v>55</v>
      </c>
    </row>
    <row r="1801" spans="1:4" x14ac:dyDescent="0.45">
      <c r="A1801">
        <v>199</v>
      </c>
      <c r="B1801">
        <f t="shared" ca="1" si="28"/>
        <v>61</v>
      </c>
      <c r="C1801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1</v>
      </c>
      <c r="D1801">
        <f ca="1">IF(dict_zuord_Transfers_Storages[[#This Row],[kval_active]],dict_zuord_Transfers_Storages[[#This Row],[ID_Storages]],"")</f>
        <v>61</v>
      </c>
    </row>
    <row r="1802" spans="1:4" x14ac:dyDescent="0.45">
      <c r="A1802">
        <v>200</v>
      </c>
      <c r="B1802">
        <f t="shared" ca="1" si="28"/>
        <v>91</v>
      </c>
      <c r="C1802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2" t="str">
        <f ca="1">IF(dict_zuord_Transfers_Storages[[#This Row],[kval_active]],dict_zuord_Transfers_Storages[[#This Row],[ID_Storages]],"")</f>
        <v/>
      </c>
    </row>
    <row r="1803" spans="1:4" x14ac:dyDescent="0.45">
      <c r="A1803">
        <v>200</v>
      </c>
      <c r="B1803">
        <f t="shared" ca="1" si="28"/>
        <v>38</v>
      </c>
      <c r="C1803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3" t="str">
        <f ca="1">IF(dict_zuord_Transfers_Storages[[#This Row],[kval_active]],dict_zuord_Transfers_Storages[[#This Row],[ID_Storages]],"")</f>
        <v/>
      </c>
    </row>
    <row r="1804" spans="1:4" x14ac:dyDescent="0.45">
      <c r="A1804">
        <v>200</v>
      </c>
      <c r="B1804">
        <f t="shared" ca="1" si="28"/>
        <v>45</v>
      </c>
      <c r="C1804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4" t="str">
        <f ca="1">IF(dict_zuord_Transfers_Storages[[#This Row],[kval_active]],dict_zuord_Transfers_Storages[[#This Row],[ID_Storages]],"")</f>
        <v/>
      </c>
    </row>
    <row r="1805" spans="1:4" x14ac:dyDescent="0.45">
      <c r="A1805">
        <v>200</v>
      </c>
      <c r="B1805">
        <f t="shared" ca="1" si="28"/>
        <v>86</v>
      </c>
      <c r="C1805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5" t="str">
        <f ca="1">IF(dict_zuord_Transfers_Storages[[#This Row],[kval_active]],dict_zuord_Transfers_Storages[[#This Row],[ID_Storages]],"")</f>
        <v/>
      </c>
    </row>
    <row r="1806" spans="1:4" x14ac:dyDescent="0.45">
      <c r="A1806">
        <v>200</v>
      </c>
      <c r="B1806">
        <f t="shared" ca="1" si="28"/>
        <v>100</v>
      </c>
      <c r="C1806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6" t="str">
        <f ca="1">IF(dict_zuord_Transfers_Storages[[#This Row],[kval_active]],dict_zuord_Transfers_Storages[[#This Row],[ID_Storages]],"")</f>
        <v/>
      </c>
    </row>
    <row r="1807" spans="1:4" x14ac:dyDescent="0.45">
      <c r="A1807">
        <v>200</v>
      </c>
      <c r="B1807">
        <f t="shared" ca="1" si="28"/>
        <v>3</v>
      </c>
      <c r="C1807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7" t="str">
        <f ca="1">IF(dict_zuord_Transfers_Storages[[#This Row],[kval_active]],dict_zuord_Transfers_Storages[[#This Row],[ID_Storages]],"")</f>
        <v/>
      </c>
    </row>
    <row r="1808" spans="1:4" x14ac:dyDescent="0.45">
      <c r="A1808">
        <v>200</v>
      </c>
      <c r="B1808">
        <f t="shared" ca="1" si="28"/>
        <v>2</v>
      </c>
      <c r="C1808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8" t="str">
        <f ca="1">IF(dict_zuord_Transfers_Storages[[#This Row],[kval_active]],dict_zuord_Transfers_Storages[[#This Row],[ID_Storages]],"")</f>
        <v/>
      </c>
    </row>
    <row r="1809" spans="1:4" x14ac:dyDescent="0.45">
      <c r="A1809">
        <v>200</v>
      </c>
      <c r="B1809">
        <f t="shared" ca="1" si="28"/>
        <v>5</v>
      </c>
      <c r="C1809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09" t="str">
        <f ca="1">IF(dict_zuord_Transfers_Storages[[#This Row],[kval_active]],dict_zuord_Transfers_Storages[[#This Row],[ID_Storages]],"")</f>
        <v/>
      </c>
    </row>
    <row r="1810" spans="1:4" x14ac:dyDescent="0.45">
      <c r="A1810">
        <v>200</v>
      </c>
      <c r="B1810">
        <f t="shared" ca="1" si="28"/>
        <v>36</v>
      </c>
      <c r="C1810" s="3" t="b">
        <f ca="1">IF(MIN(SUMPRODUCT(SUBTOTAL(103,OFFSET(table_Transfers[ID],ROW(table_Transfers[ID])-MIN(ROW(table_Transfers[ID])),,1))*INDEX(table_Transfers[kval_active],MATCH(dict_zuord_Transfers_Storages[[#This Row],[ID_Transfers]],table_Transfers[ID],0))),SUMPRODUCT(SUBTOTAL(103,OFFSET(table_Storages[ID],ROW(table_Storages[ID])-MIN(ROW(table_Storages[ID])),,1))*(table_Storages[ID]=dict_zuord_Transfers_Storages[[#This Row],[ID_Storages]])))&gt;0,TRUE,FALSE)</f>
        <v>0</v>
      </c>
      <c r="D1810" t="str">
        <f ca="1">IF(dict_zuord_Transfers_Storages[[#This Row],[kval_active]],dict_zuord_Transfers_Storages[[#This Row],[ID_Storages]],"")</f>
        <v/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/>
  <dimension ref="A1:C1000"/>
  <sheetViews>
    <sheetView workbookViewId="0"/>
  </sheetViews>
  <sheetFormatPr baseColWidth="10" defaultRowHeight="14.25" x14ac:dyDescent="0.45"/>
  <cols>
    <col min="1" max="1" width="16.59765625" bestFit="1" customWidth="1"/>
    <col min="3" max="3" width="12" bestFit="1" customWidth="1"/>
  </cols>
  <sheetData>
    <row r="1" spans="1:3" x14ac:dyDescent="0.45">
      <c r="A1" t="s">
        <v>28</v>
      </c>
      <c r="B1" t="s">
        <v>118</v>
      </c>
      <c r="C1" t="s">
        <v>66</v>
      </c>
    </row>
    <row r="2" spans="1:3" x14ac:dyDescent="0.45">
      <c r="A2">
        <f>IFERROR(table_DataQualities[ID],"")</f>
        <v>0</v>
      </c>
      <c r="B2">
        <f>IFERROR(table_DataQualities[unit_ID],"")</f>
        <v>100</v>
      </c>
      <c r="C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3" spans="1:3" x14ac:dyDescent="0.45">
      <c r="A3">
        <f>IFERROR(table_DataQualities[ID],"")</f>
        <v>1</v>
      </c>
      <c r="B3">
        <f ca="1">IFERROR(table_DataQualities[unit_ID],"")</f>
        <v>1000</v>
      </c>
      <c r="C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4" spans="1:3" x14ac:dyDescent="0.45">
      <c r="A4">
        <f>IFERROR(table_DataQualities[ID],"")</f>
        <v>2</v>
      </c>
      <c r="B4">
        <f>IFERROR(table_DataQualities[unit_ID],"")</f>
        <v>100</v>
      </c>
      <c r="C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5" spans="1:3" x14ac:dyDescent="0.45">
      <c r="A5">
        <f>IFERROR(table_DataQualities[ID],"")</f>
        <v>3</v>
      </c>
      <c r="B5">
        <f ca="1">IFERROR(table_DataQualities[unit_ID],"")</f>
        <v>800</v>
      </c>
      <c r="C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6" spans="1:3" x14ac:dyDescent="0.45">
      <c r="A6">
        <f>IFERROR(table_DataQualities[ID],"")</f>
        <v>4</v>
      </c>
      <c r="B6">
        <f>IFERROR(table_DataQualities[unit_ID],"")</f>
        <v>100</v>
      </c>
      <c r="C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7" spans="1:3" x14ac:dyDescent="0.45">
      <c r="A7">
        <f>IFERROR(table_DataQualities[ID],"")</f>
        <v>5</v>
      </c>
      <c r="B7">
        <f ca="1">IFERROR(table_DataQualities[unit_ID],"")</f>
        <v>900</v>
      </c>
      <c r="C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8" spans="1:3" x14ac:dyDescent="0.45">
      <c r="A8">
        <f>IFERROR(table_DataQualities[ID],"")</f>
        <v>6</v>
      </c>
      <c r="B8">
        <f>IFERROR(table_DataQualities[unit_ID],"")</f>
        <v>100</v>
      </c>
      <c r="C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9" spans="1:3" x14ac:dyDescent="0.45">
      <c r="A9">
        <f>IFERROR(table_DataQualities[ID],"")</f>
        <v>7</v>
      </c>
      <c r="B9">
        <f ca="1">IFERROR(table_DataQualities[unit_ID],"")</f>
        <v>700</v>
      </c>
      <c r="C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0" spans="1:3" x14ac:dyDescent="0.45">
      <c r="A10">
        <f>IFERROR(table_DataQualities[ID],"")</f>
        <v>8</v>
      </c>
      <c r="B10">
        <f>IFERROR(table_DataQualities[unit_ID],"")</f>
        <v>100</v>
      </c>
      <c r="C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1" spans="1:3" x14ac:dyDescent="0.45">
      <c r="A11">
        <f>IFERROR(table_DataQualities[ID],"")</f>
        <v>9</v>
      </c>
      <c r="B11">
        <f ca="1">IFERROR(table_DataQualities[unit_ID],"")</f>
        <v>600</v>
      </c>
      <c r="C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2" spans="1:3" x14ac:dyDescent="0.45">
      <c r="A12">
        <f>IFERROR(table_DataQualities[ID],"")</f>
        <v>10</v>
      </c>
      <c r="B12">
        <f>IFERROR(table_DataQualities[unit_ID],"")</f>
        <v>100</v>
      </c>
      <c r="C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3" spans="1:3" x14ac:dyDescent="0.45">
      <c r="A13">
        <f>IFERROR(table_DataQualities[ID],"")</f>
        <v>11</v>
      </c>
      <c r="B13">
        <f ca="1">IFERROR(table_DataQualities[unit_ID],"")</f>
        <v>1000</v>
      </c>
      <c r="C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4" spans="1:3" x14ac:dyDescent="0.45">
      <c r="A14">
        <f>IFERROR(table_DataQualities[ID],"")</f>
        <v>12</v>
      </c>
      <c r="B14">
        <f>IFERROR(table_DataQualities[unit_ID],"")</f>
        <v>100</v>
      </c>
      <c r="C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5" spans="1:3" x14ac:dyDescent="0.45">
      <c r="A15">
        <f>IFERROR(table_DataQualities[ID],"")</f>
        <v>13</v>
      </c>
      <c r="B15">
        <f ca="1">IFERROR(table_DataQualities[unit_ID],"")</f>
        <v>900</v>
      </c>
      <c r="C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6" spans="1:3" x14ac:dyDescent="0.45">
      <c r="A16">
        <f>IFERROR(table_DataQualities[ID],"")</f>
        <v>14</v>
      </c>
      <c r="B16">
        <f>IFERROR(table_DataQualities[unit_ID],"")</f>
        <v>100</v>
      </c>
      <c r="C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7" spans="1:3" x14ac:dyDescent="0.45">
      <c r="A17">
        <f>IFERROR(table_DataQualities[ID],"")</f>
        <v>15</v>
      </c>
      <c r="B17">
        <f ca="1">IFERROR(table_DataQualities[unit_ID],"")</f>
        <v>500</v>
      </c>
      <c r="C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1</v>
      </c>
    </row>
    <row r="18" spans="1:3" x14ac:dyDescent="0.45">
      <c r="A18">
        <f>IFERROR(table_DataQualities[ID],"")</f>
        <v>16</v>
      </c>
      <c r="B18">
        <f>IFERROR(table_DataQualities[unit_ID],"")</f>
        <v>100</v>
      </c>
      <c r="C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" spans="1:3" x14ac:dyDescent="0.45">
      <c r="A19">
        <f>IFERROR(table_DataQualities[ID],"")</f>
        <v>17</v>
      </c>
      <c r="B19">
        <f ca="1">IFERROR(table_DataQualities[unit_ID],"")</f>
        <v>800</v>
      </c>
      <c r="C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" spans="1:3" x14ac:dyDescent="0.45">
      <c r="A20">
        <f>IFERROR(table_DataQualities[ID],"")</f>
        <v>18</v>
      </c>
      <c r="B20">
        <f>IFERROR(table_DataQualities[unit_ID],"")</f>
        <v>100</v>
      </c>
      <c r="C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" spans="1:3" x14ac:dyDescent="0.45">
      <c r="A21">
        <f>IFERROR(table_DataQualities[ID],"")</f>
        <v>19</v>
      </c>
      <c r="B21">
        <f ca="1">IFERROR(table_DataQualities[unit_ID],"")</f>
        <v>800</v>
      </c>
      <c r="C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" spans="1:3" x14ac:dyDescent="0.45">
      <c r="A22">
        <f>IFERROR(table_DataQualities[ID],"")</f>
        <v>20</v>
      </c>
      <c r="B22">
        <f>IFERROR(table_DataQualities[unit_ID],"")</f>
        <v>100</v>
      </c>
      <c r="C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" spans="1:3" x14ac:dyDescent="0.45">
      <c r="A23">
        <f>IFERROR(table_DataQualities[ID],"")</f>
        <v>21</v>
      </c>
      <c r="B23">
        <f ca="1">IFERROR(table_DataQualities[unit_ID],"")</f>
        <v>600</v>
      </c>
      <c r="C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" spans="1:3" x14ac:dyDescent="0.45">
      <c r="A24">
        <f>IFERROR(table_DataQualities[ID],"")</f>
        <v>22</v>
      </c>
      <c r="B24">
        <f>IFERROR(table_DataQualities[unit_ID],"")</f>
        <v>100</v>
      </c>
      <c r="C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" spans="1:3" x14ac:dyDescent="0.45">
      <c r="A25">
        <f>IFERROR(table_DataQualities[ID],"")</f>
        <v>23</v>
      </c>
      <c r="B25">
        <f ca="1">IFERROR(table_DataQualities[unit_ID],"")</f>
        <v>600</v>
      </c>
      <c r="C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" spans="1:3" x14ac:dyDescent="0.45">
      <c r="A26">
        <f>IFERROR(table_DataQualities[ID],"")</f>
        <v>24</v>
      </c>
      <c r="B26">
        <f>IFERROR(table_DataQualities[unit_ID],"")</f>
        <v>100</v>
      </c>
      <c r="C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" spans="1:3" x14ac:dyDescent="0.45">
      <c r="A27">
        <f>IFERROR(table_DataQualities[ID],"")</f>
        <v>25</v>
      </c>
      <c r="B27">
        <f ca="1">IFERROR(table_DataQualities[unit_ID],"")</f>
        <v>900</v>
      </c>
      <c r="C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" spans="1:3" x14ac:dyDescent="0.45">
      <c r="A28">
        <f>IFERROR(table_DataQualities[ID],"")</f>
        <v>26</v>
      </c>
      <c r="B28">
        <f>IFERROR(table_DataQualities[unit_ID],"")</f>
        <v>100</v>
      </c>
      <c r="C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" spans="1:3" x14ac:dyDescent="0.45">
      <c r="A29">
        <f>IFERROR(table_DataQualities[ID],"")</f>
        <v>27</v>
      </c>
      <c r="B29">
        <f ca="1">IFERROR(table_DataQualities[unit_ID],"")</f>
        <v>700</v>
      </c>
      <c r="C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" spans="1:3" x14ac:dyDescent="0.45">
      <c r="A30">
        <f>IFERROR(table_DataQualities[ID],"")</f>
        <v>28</v>
      </c>
      <c r="B30">
        <f>IFERROR(table_DataQualities[unit_ID],"")</f>
        <v>100</v>
      </c>
      <c r="C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" spans="1:3" x14ac:dyDescent="0.45">
      <c r="A31">
        <f>IFERROR(table_DataQualities[ID],"")</f>
        <v>29</v>
      </c>
      <c r="B31">
        <f ca="1">IFERROR(table_DataQualities[unit_ID],"")</f>
        <v>900</v>
      </c>
      <c r="C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" spans="1:3" x14ac:dyDescent="0.45">
      <c r="A32" s="3">
        <f>IFERROR(table_DataQualities[ID],"")</f>
        <v>30</v>
      </c>
      <c r="B32" s="3">
        <f>IFERROR(table_DataQualities[unit_ID],"")</f>
        <v>100</v>
      </c>
      <c r="C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" spans="1:3" x14ac:dyDescent="0.45">
      <c r="A33" s="3">
        <f>IFERROR(table_DataQualities[ID],"")</f>
        <v>31</v>
      </c>
      <c r="B33" s="3">
        <f ca="1">IFERROR(table_DataQualities[unit_ID],"")</f>
        <v>700</v>
      </c>
      <c r="C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" spans="1:3" x14ac:dyDescent="0.45">
      <c r="A34" s="3">
        <f>IFERROR(table_DataQualities[ID],"")</f>
        <v>32</v>
      </c>
      <c r="B34" s="3">
        <f>IFERROR(table_DataQualities[unit_ID],"")</f>
        <v>100</v>
      </c>
      <c r="C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" spans="1:3" x14ac:dyDescent="0.45">
      <c r="A35" s="3">
        <f>IFERROR(table_DataQualities[ID],"")</f>
        <v>33</v>
      </c>
      <c r="B35" s="3">
        <f ca="1">IFERROR(table_DataQualities[unit_ID],"")</f>
        <v>700</v>
      </c>
      <c r="C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" spans="1:3" x14ac:dyDescent="0.45">
      <c r="A36" s="3">
        <f>IFERROR(table_DataQualities[ID],"")</f>
        <v>34</v>
      </c>
      <c r="B36" s="3">
        <f>IFERROR(table_DataQualities[unit_ID],"")</f>
        <v>100</v>
      </c>
      <c r="C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" spans="1:3" x14ac:dyDescent="0.45">
      <c r="A37" s="3">
        <f>IFERROR(table_DataQualities[ID],"")</f>
        <v>35</v>
      </c>
      <c r="B37" s="3">
        <f ca="1">IFERROR(table_DataQualities[unit_ID],"")</f>
        <v>700</v>
      </c>
      <c r="C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" spans="1:3" x14ac:dyDescent="0.45">
      <c r="A38" s="3">
        <f>IFERROR(table_DataQualities[ID],"")</f>
        <v>36</v>
      </c>
      <c r="B38" s="3">
        <f>IFERROR(table_DataQualities[unit_ID],"")</f>
        <v>100</v>
      </c>
      <c r="C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" spans="1:3" x14ac:dyDescent="0.45">
      <c r="A39" s="3">
        <f>IFERROR(table_DataQualities[ID],"")</f>
        <v>37</v>
      </c>
      <c r="B39" s="3">
        <f ca="1">IFERROR(table_DataQualities[unit_ID],"")</f>
        <v>600</v>
      </c>
      <c r="C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" spans="1:3" x14ac:dyDescent="0.45">
      <c r="A40" s="3">
        <f>IFERROR(table_DataQualities[ID],"")</f>
        <v>38</v>
      </c>
      <c r="B40" s="3">
        <f>IFERROR(table_DataQualities[unit_ID],"")</f>
        <v>100</v>
      </c>
      <c r="C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" spans="1:3" x14ac:dyDescent="0.45">
      <c r="A41" s="3">
        <f>IFERROR(table_DataQualities[ID],"")</f>
        <v>39</v>
      </c>
      <c r="B41" s="3">
        <f ca="1">IFERROR(table_DataQualities[unit_ID],"")</f>
        <v>500</v>
      </c>
      <c r="C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" spans="1:3" x14ac:dyDescent="0.45">
      <c r="A42" s="3">
        <f>IFERROR(table_DataQualities[ID],"")</f>
        <v>40</v>
      </c>
      <c r="B42" s="3">
        <f>IFERROR(table_DataQualities[unit_ID],"")</f>
        <v>100</v>
      </c>
      <c r="C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" spans="1:3" x14ac:dyDescent="0.45">
      <c r="A43" s="3">
        <f>IFERROR(table_DataQualities[ID],"")</f>
        <v>41</v>
      </c>
      <c r="B43" s="3">
        <f ca="1">IFERROR(table_DataQualities[unit_ID],"")</f>
        <v>800</v>
      </c>
      <c r="C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" spans="1:3" x14ac:dyDescent="0.45">
      <c r="A44" s="3">
        <f>IFERROR(table_DataQualities[ID],"")</f>
        <v>42</v>
      </c>
      <c r="B44" s="3">
        <f>IFERROR(table_DataQualities[unit_ID],"")</f>
        <v>100</v>
      </c>
      <c r="C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" spans="1:3" x14ac:dyDescent="0.45">
      <c r="A45" s="3">
        <f>IFERROR(table_DataQualities[ID],"")</f>
        <v>43</v>
      </c>
      <c r="B45" s="3">
        <f ca="1">IFERROR(table_DataQualities[unit_ID],"")</f>
        <v>900</v>
      </c>
      <c r="C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" spans="1:3" x14ac:dyDescent="0.45">
      <c r="A46" s="3">
        <f>IFERROR(table_DataQualities[ID],"")</f>
        <v>44</v>
      </c>
      <c r="B46" s="3">
        <f>IFERROR(table_DataQualities[unit_ID],"")</f>
        <v>100</v>
      </c>
      <c r="C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" spans="1:3" x14ac:dyDescent="0.45">
      <c r="A47" s="3">
        <f>IFERROR(table_DataQualities[ID],"")</f>
        <v>45</v>
      </c>
      <c r="B47" s="3">
        <f ca="1">IFERROR(table_DataQualities[unit_ID],"")</f>
        <v>700</v>
      </c>
      <c r="C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" spans="1:3" x14ac:dyDescent="0.45">
      <c r="A48" s="3">
        <f>IFERROR(table_DataQualities[ID],"")</f>
        <v>46</v>
      </c>
      <c r="B48" s="3">
        <f>IFERROR(table_DataQualities[unit_ID],"")</f>
        <v>100</v>
      </c>
      <c r="C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" spans="1:3" x14ac:dyDescent="0.45">
      <c r="A49" s="3">
        <f>IFERROR(table_DataQualities[ID],"")</f>
        <v>47</v>
      </c>
      <c r="B49" s="3">
        <f ca="1">IFERROR(table_DataQualities[unit_ID],"")</f>
        <v>600</v>
      </c>
      <c r="C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" spans="1:3" x14ac:dyDescent="0.45">
      <c r="A50" s="3">
        <f>IFERROR(table_DataQualities[ID],"")</f>
        <v>48</v>
      </c>
      <c r="B50" s="3">
        <f>IFERROR(table_DataQualities[unit_ID],"")</f>
        <v>100</v>
      </c>
      <c r="C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" spans="1:3" x14ac:dyDescent="0.45">
      <c r="A51" s="3">
        <f>IFERROR(table_DataQualities[ID],"")</f>
        <v>49</v>
      </c>
      <c r="B51" s="3">
        <f ca="1">IFERROR(table_DataQualities[unit_ID],"")</f>
        <v>800</v>
      </c>
      <c r="C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" spans="1:3" x14ac:dyDescent="0.45">
      <c r="A52" s="3">
        <f>IFERROR(table_DataQualities[ID],"")</f>
        <v>50</v>
      </c>
      <c r="B52" s="3">
        <f>IFERROR(table_DataQualities[unit_ID],"")</f>
        <v>100</v>
      </c>
      <c r="C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" spans="1:3" x14ac:dyDescent="0.45">
      <c r="A53" s="3">
        <f>IFERROR(table_DataQualities[ID],"")</f>
        <v>51</v>
      </c>
      <c r="B53" s="3">
        <f ca="1">IFERROR(table_DataQualities[unit_ID],"")</f>
        <v>900</v>
      </c>
      <c r="C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" spans="1:3" x14ac:dyDescent="0.45">
      <c r="A54" s="3">
        <f>IFERROR(table_DataQualities[ID],"")</f>
        <v>52</v>
      </c>
      <c r="B54" s="3">
        <f>IFERROR(table_DataQualities[unit_ID],"")</f>
        <v>100</v>
      </c>
      <c r="C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" spans="1:3" x14ac:dyDescent="0.45">
      <c r="A55" s="3">
        <f>IFERROR(table_DataQualities[ID],"")</f>
        <v>53</v>
      </c>
      <c r="B55" s="3">
        <f ca="1">IFERROR(table_DataQualities[unit_ID],"")</f>
        <v>1000</v>
      </c>
      <c r="C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" spans="1:3" x14ac:dyDescent="0.45">
      <c r="A56" s="3">
        <f>IFERROR(table_DataQualities[ID],"")</f>
        <v>54</v>
      </c>
      <c r="B56" s="3">
        <f>IFERROR(table_DataQualities[unit_ID],"")</f>
        <v>100</v>
      </c>
      <c r="C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" spans="1:3" x14ac:dyDescent="0.45">
      <c r="A57" s="3">
        <f>IFERROR(table_DataQualities[ID],"")</f>
        <v>55</v>
      </c>
      <c r="B57" s="3">
        <f ca="1">IFERROR(table_DataQualities[unit_ID],"")</f>
        <v>800</v>
      </c>
      <c r="C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" spans="1:3" x14ac:dyDescent="0.45">
      <c r="A58" s="3">
        <f>IFERROR(table_DataQualities[ID],"")</f>
        <v>56</v>
      </c>
      <c r="B58" s="3">
        <f>IFERROR(table_DataQualities[unit_ID],"")</f>
        <v>100</v>
      </c>
      <c r="C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" spans="1:3" x14ac:dyDescent="0.45">
      <c r="A59" s="3">
        <f>IFERROR(table_DataQualities[ID],"")</f>
        <v>57</v>
      </c>
      <c r="B59" s="3">
        <f ca="1">IFERROR(table_DataQualities[unit_ID],"")</f>
        <v>1000</v>
      </c>
      <c r="C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" spans="1:3" x14ac:dyDescent="0.45">
      <c r="A60" s="3">
        <f>IFERROR(table_DataQualities[ID],"")</f>
        <v>58</v>
      </c>
      <c r="B60" s="3">
        <f>IFERROR(table_DataQualities[unit_ID],"")</f>
        <v>100</v>
      </c>
      <c r="C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" spans="1:3" x14ac:dyDescent="0.45">
      <c r="A61" s="3">
        <f>IFERROR(table_DataQualities[ID],"")</f>
        <v>59</v>
      </c>
      <c r="B61" s="3">
        <f ca="1">IFERROR(table_DataQualities[unit_ID],"")</f>
        <v>1000</v>
      </c>
      <c r="C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" spans="1:3" x14ac:dyDescent="0.45">
      <c r="A62" s="3">
        <f>IFERROR(table_DataQualities[ID],"")</f>
        <v>60</v>
      </c>
      <c r="B62" s="3">
        <f>IFERROR(table_DataQualities[unit_ID],"")</f>
        <v>100</v>
      </c>
      <c r="C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" spans="1:3" x14ac:dyDescent="0.45">
      <c r="A63" s="3">
        <f>IFERROR(table_DataQualities[ID],"")</f>
        <v>61</v>
      </c>
      <c r="B63" s="3">
        <f ca="1">IFERROR(table_DataQualities[unit_ID],"")</f>
        <v>900</v>
      </c>
      <c r="C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" spans="1:3" x14ac:dyDescent="0.45">
      <c r="A64" s="3">
        <f>IFERROR(table_DataQualities[ID],"")</f>
        <v>62</v>
      </c>
      <c r="B64" s="3">
        <f>IFERROR(table_DataQualities[unit_ID],"")</f>
        <v>100</v>
      </c>
      <c r="C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" spans="1:3" x14ac:dyDescent="0.45">
      <c r="A65" s="3">
        <f>IFERROR(table_DataQualities[ID],"")</f>
        <v>63</v>
      </c>
      <c r="B65" s="3">
        <f ca="1">IFERROR(table_DataQualities[unit_ID],"")</f>
        <v>700</v>
      </c>
      <c r="C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" spans="1:3" x14ac:dyDescent="0.45">
      <c r="A66" s="3">
        <f>IFERROR(table_DataQualities[ID],"")</f>
        <v>64</v>
      </c>
      <c r="B66" s="3">
        <f>IFERROR(table_DataQualities[unit_ID],"")</f>
        <v>100</v>
      </c>
      <c r="C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" spans="1:3" x14ac:dyDescent="0.45">
      <c r="A67" s="3">
        <f>IFERROR(table_DataQualities[ID],"")</f>
        <v>65</v>
      </c>
      <c r="B67" s="3">
        <f ca="1">IFERROR(table_DataQualities[unit_ID],"")</f>
        <v>800</v>
      </c>
      <c r="C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" spans="1:3" x14ac:dyDescent="0.45">
      <c r="A68" s="3">
        <f>IFERROR(table_DataQualities[ID],"")</f>
        <v>66</v>
      </c>
      <c r="B68" s="3">
        <f>IFERROR(table_DataQualities[unit_ID],"")</f>
        <v>100</v>
      </c>
      <c r="C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" spans="1:3" x14ac:dyDescent="0.45">
      <c r="A69" s="3">
        <f>IFERROR(table_DataQualities[ID],"")</f>
        <v>67</v>
      </c>
      <c r="B69" s="3">
        <f ca="1">IFERROR(table_DataQualities[unit_ID],"")</f>
        <v>900</v>
      </c>
      <c r="C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" spans="1:3" x14ac:dyDescent="0.45">
      <c r="A70" s="3">
        <f>IFERROR(table_DataQualities[ID],"")</f>
        <v>68</v>
      </c>
      <c r="B70" s="3">
        <f>IFERROR(table_DataQualities[unit_ID],"")</f>
        <v>100</v>
      </c>
      <c r="C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" spans="1:3" x14ac:dyDescent="0.45">
      <c r="A71" s="3">
        <f>IFERROR(table_DataQualities[ID],"")</f>
        <v>69</v>
      </c>
      <c r="B71" s="3">
        <f ca="1">IFERROR(table_DataQualities[unit_ID],"")</f>
        <v>500</v>
      </c>
      <c r="C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" spans="1:3" x14ac:dyDescent="0.45">
      <c r="A72" s="3">
        <f>IFERROR(table_DataQualities[ID],"")</f>
        <v>70</v>
      </c>
      <c r="B72" s="3">
        <f>IFERROR(table_DataQualities[unit_ID],"")</f>
        <v>100</v>
      </c>
      <c r="C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" spans="1:3" x14ac:dyDescent="0.45">
      <c r="A73" s="3">
        <f>IFERROR(table_DataQualities[ID],"")</f>
        <v>71</v>
      </c>
      <c r="B73" s="3">
        <f ca="1">IFERROR(table_DataQualities[unit_ID],"")</f>
        <v>900</v>
      </c>
      <c r="C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" spans="1:3" x14ac:dyDescent="0.45">
      <c r="A74" s="3">
        <f>IFERROR(table_DataQualities[ID],"")</f>
        <v>72</v>
      </c>
      <c r="B74" s="3">
        <f>IFERROR(table_DataQualities[unit_ID],"")</f>
        <v>100</v>
      </c>
      <c r="C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" spans="1:3" x14ac:dyDescent="0.45">
      <c r="A75" s="3">
        <f>IFERROR(table_DataQualities[ID],"")</f>
        <v>73</v>
      </c>
      <c r="B75" s="3">
        <f ca="1">IFERROR(table_DataQualities[unit_ID],"")</f>
        <v>700</v>
      </c>
      <c r="C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" spans="1:3" x14ac:dyDescent="0.45">
      <c r="A76" s="3">
        <f>IFERROR(table_DataQualities[ID],"")</f>
        <v>74</v>
      </c>
      <c r="B76" s="3">
        <f>IFERROR(table_DataQualities[unit_ID],"")</f>
        <v>100</v>
      </c>
      <c r="C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" spans="1:3" x14ac:dyDescent="0.45">
      <c r="A77" s="3">
        <f>IFERROR(table_DataQualities[ID],"")</f>
        <v>75</v>
      </c>
      <c r="B77" s="3">
        <f ca="1">IFERROR(table_DataQualities[unit_ID],"")</f>
        <v>800</v>
      </c>
      <c r="C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" spans="1:3" x14ac:dyDescent="0.45">
      <c r="A78" s="3">
        <f>IFERROR(table_DataQualities[ID],"")</f>
        <v>76</v>
      </c>
      <c r="B78" s="3">
        <f>IFERROR(table_DataQualities[unit_ID],"")</f>
        <v>100</v>
      </c>
      <c r="C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" spans="1:3" x14ac:dyDescent="0.45">
      <c r="A79" s="3">
        <f>IFERROR(table_DataQualities[ID],"")</f>
        <v>77</v>
      </c>
      <c r="B79" s="3">
        <f ca="1">IFERROR(table_DataQualities[unit_ID],"")</f>
        <v>900</v>
      </c>
      <c r="C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" spans="1:3" x14ac:dyDescent="0.45">
      <c r="A80" s="3">
        <f>IFERROR(table_DataQualities[ID],"")</f>
        <v>78</v>
      </c>
      <c r="B80" s="3">
        <f>IFERROR(table_DataQualities[unit_ID],"")</f>
        <v>100</v>
      </c>
      <c r="C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" spans="1:3" x14ac:dyDescent="0.45">
      <c r="A81" s="3">
        <f>IFERROR(table_DataQualities[ID],"")</f>
        <v>79</v>
      </c>
      <c r="B81" s="3">
        <f ca="1">IFERROR(table_DataQualities[unit_ID],"")</f>
        <v>700</v>
      </c>
      <c r="C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" spans="1:3" x14ac:dyDescent="0.45">
      <c r="A82" s="3">
        <f>IFERROR(table_DataQualities[ID],"")</f>
        <v>80</v>
      </c>
      <c r="B82" s="3">
        <f>IFERROR(table_DataQualities[unit_ID],"")</f>
        <v>100</v>
      </c>
      <c r="C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" spans="1:3" x14ac:dyDescent="0.45">
      <c r="A83" s="3">
        <f>IFERROR(table_DataQualities[ID],"")</f>
        <v>81</v>
      </c>
      <c r="B83" s="3">
        <f ca="1">IFERROR(table_DataQualities[unit_ID],"")</f>
        <v>800</v>
      </c>
      <c r="C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" spans="1:3" x14ac:dyDescent="0.45">
      <c r="A84" s="3">
        <f>IFERROR(table_DataQualities[ID],"")</f>
        <v>82</v>
      </c>
      <c r="B84" s="3">
        <f>IFERROR(table_DataQualities[unit_ID],"")</f>
        <v>100</v>
      </c>
      <c r="C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" spans="1:3" x14ac:dyDescent="0.45">
      <c r="A85" s="3">
        <f>IFERROR(table_DataQualities[ID],"")</f>
        <v>83</v>
      </c>
      <c r="B85" s="3">
        <f ca="1">IFERROR(table_DataQualities[unit_ID],"")</f>
        <v>800</v>
      </c>
      <c r="C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" spans="1:3" x14ac:dyDescent="0.45">
      <c r="A86" s="3">
        <f>IFERROR(table_DataQualities[ID],"")</f>
        <v>84</v>
      </c>
      <c r="B86" s="3">
        <f>IFERROR(table_DataQualities[unit_ID],"")</f>
        <v>100</v>
      </c>
      <c r="C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" spans="1:3" x14ac:dyDescent="0.45">
      <c r="A87" s="3">
        <f>IFERROR(table_DataQualities[ID],"")</f>
        <v>85</v>
      </c>
      <c r="B87" s="3">
        <f ca="1">IFERROR(table_DataQualities[unit_ID],"")</f>
        <v>800</v>
      </c>
      <c r="C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" spans="1:3" x14ac:dyDescent="0.45">
      <c r="A88" s="3">
        <f>IFERROR(table_DataQualities[ID],"")</f>
        <v>86</v>
      </c>
      <c r="B88" s="3">
        <f>IFERROR(table_DataQualities[unit_ID],"")</f>
        <v>100</v>
      </c>
      <c r="C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" spans="1:3" x14ac:dyDescent="0.45">
      <c r="A89" s="3">
        <f>IFERROR(table_DataQualities[ID],"")</f>
        <v>87</v>
      </c>
      <c r="B89" s="3">
        <f ca="1">IFERROR(table_DataQualities[unit_ID],"")</f>
        <v>500</v>
      </c>
      <c r="C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" spans="1:3" x14ac:dyDescent="0.45">
      <c r="A90" s="3">
        <f>IFERROR(table_DataQualities[ID],"")</f>
        <v>88</v>
      </c>
      <c r="B90" s="3">
        <f>IFERROR(table_DataQualities[unit_ID],"")</f>
        <v>100</v>
      </c>
      <c r="C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" spans="1:3" x14ac:dyDescent="0.45">
      <c r="A91" s="3">
        <f>IFERROR(table_DataQualities[ID],"")</f>
        <v>89</v>
      </c>
      <c r="B91" s="3">
        <f ca="1">IFERROR(table_DataQualities[unit_ID],"")</f>
        <v>900</v>
      </c>
      <c r="C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" spans="1:3" x14ac:dyDescent="0.45">
      <c r="A92" s="3">
        <f>IFERROR(table_DataQualities[ID],"")</f>
        <v>90</v>
      </c>
      <c r="B92" s="3">
        <f>IFERROR(table_DataQualities[unit_ID],"")</f>
        <v>100</v>
      </c>
      <c r="C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" spans="1:3" x14ac:dyDescent="0.45">
      <c r="A93" s="3">
        <f>IFERROR(table_DataQualities[ID],"")</f>
        <v>91</v>
      </c>
      <c r="B93" s="3">
        <f ca="1">IFERROR(table_DataQualities[unit_ID],"")</f>
        <v>1000</v>
      </c>
      <c r="C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" spans="1:3" x14ac:dyDescent="0.45">
      <c r="A94" s="3">
        <f>IFERROR(table_DataQualities[ID],"")</f>
        <v>92</v>
      </c>
      <c r="B94" s="3">
        <f>IFERROR(table_DataQualities[unit_ID],"")</f>
        <v>100</v>
      </c>
      <c r="C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" spans="1:3" x14ac:dyDescent="0.45">
      <c r="A95" s="3">
        <f>IFERROR(table_DataQualities[ID],"")</f>
        <v>93</v>
      </c>
      <c r="B95" s="3">
        <f ca="1">IFERROR(table_DataQualities[unit_ID],"")</f>
        <v>900</v>
      </c>
      <c r="C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" spans="1:3" x14ac:dyDescent="0.45">
      <c r="A96" s="3">
        <f>IFERROR(table_DataQualities[ID],"")</f>
        <v>94</v>
      </c>
      <c r="B96" s="3">
        <f>IFERROR(table_DataQualities[unit_ID],"")</f>
        <v>100</v>
      </c>
      <c r="C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" spans="1:3" x14ac:dyDescent="0.45">
      <c r="A97" s="3">
        <f>IFERROR(table_DataQualities[ID],"")</f>
        <v>95</v>
      </c>
      <c r="B97" s="3">
        <f ca="1">IFERROR(table_DataQualities[unit_ID],"")</f>
        <v>900</v>
      </c>
      <c r="C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" spans="1:3" x14ac:dyDescent="0.45">
      <c r="A98" s="3">
        <f>IFERROR(table_DataQualities[ID],"")</f>
        <v>96</v>
      </c>
      <c r="B98" s="3">
        <f>IFERROR(table_DataQualities[unit_ID],"")</f>
        <v>100</v>
      </c>
      <c r="C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" spans="1:3" x14ac:dyDescent="0.45">
      <c r="A99" s="3">
        <f>IFERROR(table_DataQualities[ID],"")</f>
        <v>97</v>
      </c>
      <c r="B99" s="3">
        <f ca="1">IFERROR(table_DataQualities[unit_ID],"")</f>
        <v>800</v>
      </c>
      <c r="C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" spans="1:3" x14ac:dyDescent="0.45">
      <c r="A100" s="3">
        <f>IFERROR(table_DataQualities[ID],"")</f>
        <v>98</v>
      </c>
      <c r="B100" s="3">
        <f>IFERROR(table_DataQualities[unit_ID],"")</f>
        <v>100</v>
      </c>
      <c r="C1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1" spans="1:3" x14ac:dyDescent="0.45">
      <c r="A101" s="3">
        <f>IFERROR(table_DataQualities[ID],"")</f>
        <v>99</v>
      </c>
      <c r="B101" s="3">
        <f ca="1">IFERROR(table_DataQualities[unit_ID],"")</f>
        <v>600</v>
      </c>
      <c r="C1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2" spans="1:3" x14ac:dyDescent="0.45">
      <c r="A102" s="3">
        <f>IFERROR(table_DataQualities[ID],"")</f>
        <v>100</v>
      </c>
      <c r="B102" s="3">
        <f>IFERROR(table_DataQualities[unit_ID],"")</f>
        <v>100</v>
      </c>
      <c r="C1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3" spans="1:3" x14ac:dyDescent="0.45">
      <c r="A103" s="3">
        <f>IFERROR(table_DataQualities[ID],"")</f>
        <v>101</v>
      </c>
      <c r="B103" s="3">
        <f ca="1">IFERROR(table_DataQualities[unit_ID],"")</f>
        <v>600</v>
      </c>
      <c r="C1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4" spans="1:3" x14ac:dyDescent="0.45">
      <c r="A104" s="3">
        <f>IFERROR(table_DataQualities[ID],"")</f>
        <v>102</v>
      </c>
      <c r="B104" s="3">
        <f>IFERROR(table_DataQualities[unit_ID],"")</f>
        <v>100</v>
      </c>
      <c r="C1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5" spans="1:3" x14ac:dyDescent="0.45">
      <c r="A105" s="3">
        <f>IFERROR(table_DataQualities[ID],"")</f>
        <v>103</v>
      </c>
      <c r="B105" s="3">
        <f ca="1">IFERROR(table_DataQualities[unit_ID],"")</f>
        <v>500</v>
      </c>
      <c r="C1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6" spans="1:3" x14ac:dyDescent="0.45">
      <c r="A106" s="3">
        <f>IFERROR(table_DataQualities[ID],"")</f>
        <v>104</v>
      </c>
      <c r="B106" s="3">
        <f>IFERROR(table_DataQualities[unit_ID],"")</f>
        <v>100</v>
      </c>
      <c r="C1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7" spans="1:3" x14ac:dyDescent="0.45">
      <c r="A107" s="3">
        <f>IFERROR(table_DataQualities[ID],"")</f>
        <v>105</v>
      </c>
      <c r="B107" s="3">
        <f ca="1">IFERROR(table_DataQualities[unit_ID],"")</f>
        <v>600</v>
      </c>
      <c r="C1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8" spans="1:3" x14ac:dyDescent="0.45">
      <c r="A108" s="3">
        <f>IFERROR(table_DataQualities[ID],"")</f>
        <v>106</v>
      </c>
      <c r="B108" s="3">
        <f>IFERROR(table_DataQualities[unit_ID],"")</f>
        <v>100</v>
      </c>
      <c r="C1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9" spans="1:3" x14ac:dyDescent="0.45">
      <c r="A109" s="3">
        <f>IFERROR(table_DataQualities[ID],"")</f>
        <v>107</v>
      </c>
      <c r="B109" s="3">
        <f ca="1">IFERROR(table_DataQualities[unit_ID],"")</f>
        <v>800</v>
      </c>
      <c r="C1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0" spans="1:3" x14ac:dyDescent="0.45">
      <c r="A110" s="3">
        <f>IFERROR(table_DataQualities[ID],"")</f>
        <v>108</v>
      </c>
      <c r="B110" s="3">
        <f>IFERROR(table_DataQualities[unit_ID],"")</f>
        <v>100</v>
      </c>
      <c r="C1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1" spans="1:3" x14ac:dyDescent="0.45">
      <c r="A111" s="3">
        <f>IFERROR(table_DataQualities[ID],"")</f>
        <v>109</v>
      </c>
      <c r="B111" s="3">
        <f ca="1">IFERROR(table_DataQualities[unit_ID],"")</f>
        <v>1000</v>
      </c>
      <c r="C1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2" spans="1:3" x14ac:dyDescent="0.45">
      <c r="A112" s="3">
        <f>IFERROR(table_DataQualities[ID],"")</f>
        <v>110</v>
      </c>
      <c r="B112" s="3">
        <f>IFERROR(table_DataQualities[unit_ID],"")</f>
        <v>100</v>
      </c>
      <c r="C1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3" spans="1:3" x14ac:dyDescent="0.45">
      <c r="A113" s="3">
        <f>IFERROR(table_DataQualities[ID],"")</f>
        <v>111</v>
      </c>
      <c r="B113" s="3">
        <f ca="1">IFERROR(table_DataQualities[unit_ID],"")</f>
        <v>600</v>
      </c>
      <c r="C1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4" spans="1:3" x14ac:dyDescent="0.45">
      <c r="A114" s="3">
        <f>IFERROR(table_DataQualities[ID],"")</f>
        <v>112</v>
      </c>
      <c r="B114" s="3">
        <f>IFERROR(table_DataQualities[unit_ID],"")</f>
        <v>100</v>
      </c>
      <c r="C1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5" spans="1:3" x14ac:dyDescent="0.45">
      <c r="A115" s="3">
        <f>IFERROR(table_DataQualities[ID],"")</f>
        <v>113</v>
      </c>
      <c r="B115" s="3">
        <f ca="1">IFERROR(table_DataQualities[unit_ID],"")</f>
        <v>800</v>
      </c>
      <c r="C1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6" spans="1:3" x14ac:dyDescent="0.45">
      <c r="A116" s="3">
        <f>IFERROR(table_DataQualities[ID],"")</f>
        <v>114</v>
      </c>
      <c r="B116" s="3">
        <f>IFERROR(table_DataQualities[unit_ID],"")</f>
        <v>100</v>
      </c>
      <c r="C1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7" spans="1:3" x14ac:dyDescent="0.45">
      <c r="A117" s="3">
        <f>IFERROR(table_DataQualities[ID],"")</f>
        <v>115</v>
      </c>
      <c r="B117" s="3">
        <f ca="1">IFERROR(table_DataQualities[unit_ID],"")</f>
        <v>700</v>
      </c>
      <c r="C1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8" spans="1:3" x14ac:dyDescent="0.45">
      <c r="A118" s="3">
        <f>IFERROR(table_DataQualities[ID],"")</f>
        <v>116</v>
      </c>
      <c r="B118" s="3">
        <f>IFERROR(table_DataQualities[unit_ID],"")</f>
        <v>100</v>
      </c>
      <c r="C1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19" spans="1:3" x14ac:dyDescent="0.45">
      <c r="A119" s="3">
        <f>IFERROR(table_DataQualities[ID],"")</f>
        <v>117</v>
      </c>
      <c r="B119" s="3">
        <f ca="1">IFERROR(table_DataQualities[unit_ID],"")</f>
        <v>600</v>
      </c>
      <c r="C1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0" spans="1:3" x14ac:dyDescent="0.45">
      <c r="A120" s="3">
        <f>IFERROR(table_DataQualities[ID],"")</f>
        <v>118</v>
      </c>
      <c r="B120" s="3">
        <f>IFERROR(table_DataQualities[unit_ID],"")</f>
        <v>100</v>
      </c>
      <c r="C1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1" spans="1:3" x14ac:dyDescent="0.45">
      <c r="A121" s="3">
        <f>IFERROR(table_DataQualities[ID],"")</f>
        <v>119</v>
      </c>
      <c r="B121" s="3">
        <f ca="1">IFERROR(table_DataQualities[unit_ID],"")</f>
        <v>800</v>
      </c>
      <c r="C1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2" spans="1:3" x14ac:dyDescent="0.45">
      <c r="A122" s="3">
        <f>IFERROR(table_DataQualities[ID],"")</f>
        <v>120</v>
      </c>
      <c r="B122" s="3">
        <f>IFERROR(table_DataQualities[unit_ID],"")</f>
        <v>100</v>
      </c>
      <c r="C1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3" spans="1:3" x14ac:dyDescent="0.45">
      <c r="A123" s="3">
        <f>IFERROR(table_DataQualities[ID],"")</f>
        <v>121</v>
      </c>
      <c r="B123" s="3">
        <f ca="1">IFERROR(table_DataQualities[unit_ID],"")</f>
        <v>900</v>
      </c>
      <c r="C1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4" spans="1:3" x14ac:dyDescent="0.45">
      <c r="A124" s="3">
        <f>IFERROR(table_DataQualities[ID],"")</f>
        <v>122</v>
      </c>
      <c r="B124" s="3">
        <f>IFERROR(table_DataQualities[unit_ID],"")</f>
        <v>100</v>
      </c>
      <c r="C1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5" spans="1:3" x14ac:dyDescent="0.45">
      <c r="A125" s="3">
        <f>IFERROR(table_DataQualities[ID],"")</f>
        <v>123</v>
      </c>
      <c r="B125" s="3">
        <f ca="1">IFERROR(table_DataQualities[unit_ID],"")</f>
        <v>900</v>
      </c>
      <c r="C1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6" spans="1:3" x14ac:dyDescent="0.45">
      <c r="A126" s="3">
        <f>IFERROR(table_DataQualities[ID],"")</f>
        <v>124</v>
      </c>
      <c r="B126" s="3">
        <f>IFERROR(table_DataQualities[unit_ID],"")</f>
        <v>100</v>
      </c>
      <c r="C1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7" spans="1:3" x14ac:dyDescent="0.45">
      <c r="A127" s="3">
        <f>IFERROR(table_DataQualities[ID],"")</f>
        <v>125</v>
      </c>
      <c r="B127" s="3">
        <f ca="1">IFERROR(table_DataQualities[unit_ID],"")</f>
        <v>600</v>
      </c>
      <c r="C1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8" spans="1:3" x14ac:dyDescent="0.45">
      <c r="A128" s="3">
        <f>IFERROR(table_DataQualities[ID],"")</f>
        <v>126</v>
      </c>
      <c r="B128" s="3">
        <f>IFERROR(table_DataQualities[unit_ID],"")</f>
        <v>100</v>
      </c>
      <c r="C1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29" spans="1:3" x14ac:dyDescent="0.45">
      <c r="A129" s="3">
        <f>IFERROR(table_DataQualities[ID],"")</f>
        <v>127</v>
      </c>
      <c r="B129" s="3">
        <f ca="1">IFERROR(table_DataQualities[unit_ID],"")</f>
        <v>500</v>
      </c>
      <c r="C1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0" spans="1:3" x14ac:dyDescent="0.45">
      <c r="A130" s="3">
        <f>IFERROR(table_DataQualities[ID],"")</f>
        <v>128</v>
      </c>
      <c r="B130" s="3">
        <f>IFERROR(table_DataQualities[unit_ID],"")</f>
        <v>100</v>
      </c>
      <c r="C1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1" spans="1:3" x14ac:dyDescent="0.45">
      <c r="A131" s="3">
        <f>IFERROR(table_DataQualities[ID],"")</f>
        <v>129</v>
      </c>
      <c r="B131" s="3">
        <f ca="1">IFERROR(table_DataQualities[unit_ID],"")</f>
        <v>900</v>
      </c>
      <c r="C1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2" spans="1:3" x14ac:dyDescent="0.45">
      <c r="A132" s="3">
        <f>IFERROR(table_DataQualities[ID],"")</f>
        <v>130</v>
      </c>
      <c r="B132" s="3">
        <f>IFERROR(table_DataQualities[unit_ID],"")</f>
        <v>100</v>
      </c>
      <c r="C1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3" spans="1:3" x14ac:dyDescent="0.45">
      <c r="A133" s="3">
        <f>IFERROR(table_DataQualities[ID],"")</f>
        <v>131</v>
      </c>
      <c r="B133" s="3">
        <f ca="1">IFERROR(table_DataQualities[unit_ID],"")</f>
        <v>800</v>
      </c>
      <c r="C1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4" spans="1:3" x14ac:dyDescent="0.45">
      <c r="A134" s="3">
        <f>IFERROR(table_DataQualities[ID],"")</f>
        <v>132</v>
      </c>
      <c r="B134" s="3">
        <f>IFERROR(table_DataQualities[unit_ID],"")</f>
        <v>100</v>
      </c>
      <c r="C1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5" spans="1:3" x14ac:dyDescent="0.45">
      <c r="A135" s="3">
        <f>IFERROR(table_DataQualities[ID],"")</f>
        <v>133</v>
      </c>
      <c r="B135" s="3">
        <f ca="1">IFERROR(table_DataQualities[unit_ID],"")</f>
        <v>600</v>
      </c>
      <c r="C1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6" spans="1:3" x14ac:dyDescent="0.45">
      <c r="A136" s="3">
        <f>IFERROR(table_DataQualities[ID],"")</f>
        <v>134</v>
      </c>
      <c r="B136" s="3">
        <f>IFERROR(table_DataQualities[unit_ID],"")</f>
        <v>100</v>
      </c>
      <c r="C1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7" spans="1:3" x14ac:dyDescent="0.45">
      <c r="A137" s="3">
        <f>IFERROR(table_DataQualities[ID],"")</f>
        <v>135</v>
      </c>
      <c r="B137" s="3">
        <f ca="1">IFERROR(table_DataQualities[unit_ID],"")</f>
        <v>900</v>
      </c>
      <c r="C1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8" spans="1:3" x14ac:dyDescent="0.45">
      <c r="A138" s="3">
        <f>IFERROR(table_DataQualities[ID],"")</f>
        <v>136</v>
      </c>
      <c r="B138" s="3">
        <f>IFERROR(table_DataQualities[unit_ID],"")</f>
        <v>100</v>
      </c>
      <c r="C1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39" spans="1:3" x14ac:dyDescent="0.45">
      <c r="A139" s="3">
        <f>IFERROR(table_DataQualities[ID],"")</f>
        <v>137</v>
      </c>
      <c r="B139" s="3">
        <f ca="1">IFERROR(table_DataQualities[unit_ID],"")</f>
        <v>500</v>
      </c>
      <c r="C1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0" spans="1:3" x14ac:dyDescent="0.45">
      <c r="A140" s="3">
        <f>IFERROR(table_DataQualities[ID],"")</f>
        <v>138</v>
      </c>
      <c r="B140" s="3">
        <f>IFERROR(table_DataQualities[unit_ID],"")</f>
        <v>100</v>
      </c>
      <c r="C1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1" spans="1:3" x14ac:dyDescent="0.45">
      <c r="A141" s="3">
        <f>IFERROR(table_DataQualities[ID],"")</f>
        <v>139</v>
      </c>
      <c r="B141" s="3">
        <f ca="1">IFERROR(table_DataQualities[unit_ID],"")</f>
        <v>500</v>
      </c>
      <c r="C1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2" spans="1:3" x14ac:dyDescent="0.45">
      <c r="A142" s="3">
        <f>IFERROR(table_DataQualities[ID],"")</f>
        <v>140</v>
      </c>
      <c r="B142" s="3">
        <f>IFERROR(table_DataQualities[unit_ID],"")</f>
        <v>100</v>
      </c>
      <c r="C1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3" spans="1:3" x14ac:dyDescent="0.45">
      <c r="A143" s="3">
        <f>IFERROR(table_DataQualities[ID],"")</f>
        <v>141</v>
      </c>
      <c r="B143" s="3">
        <f ca="1">IFERROR(table_DataQualities[unit_ID],"")</f>
        <v>1000</v>
      </c>
      <c r="C1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4" spans="1:3" x14ac:dyDescent="0.45">
      <c r="A144" s="3">
        <f>IFERROR(table_DataQualities[ID],"")</f>
        <v>142</v>
      </c>
      <c r="B144" s="3">
        <f>IFERROR(table_DataQualities[unit_ID],"")</f>
        <v>100</v>
      </c>
      <c r="C1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5" spans="1:3" x14ac:dyDescent="0.45">
      <c r="A145" s="3">
        <f>IFERROR(table_DataQualities[ID],"")</f>
        <v>143</v>
      </c>
      <c r="B145" s="3">
        <f ca="1">IFERROR(table_DataQualities[unit_ID],"")</f>
        <v>500</v>
      </c>
      <c r="C1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6" spans="1:3" x14ac:dyDescent="0.45">
      <c r="A146" s="3">
        <f>IFERROR(table_DataQualities[ID],"")</f>
        <v>144</v>
      </c>
      <c r="B146" s="3">
        <f>IFERROR(table_DataQualities[unit_ID],"")</f>
        <v>100</v>
      </c>
      <c r="C1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7" spans="1:3" x14ac:dyDescent="0.45">
      <c r="A147" s="3">
        <f>IFERROR(table_DataQualities[ID],"")</f>
        <v>145</v>
      </c>
      <c r="B147" s="3">
        <f ca="1">IFERROR(table_DataQualities[unit_ID],"")</f>
        <v>1000</v>
      </c>
      <c r="C1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8" spans="1:3" x14ac:dyDescent="0.45">
      <c r="A148" s="3">
        <f>IFERROR(table_DataQualities[ID],"")</f>
        <v>146</v>
      </c>
      <c r="B148" s="3">
        <f>IFERROR(table_DataQualities[unit_ID],"")</f>
        <v>100</v>
      </c>
      <c r="C1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49" spans="1:3" x14ac:dyDescent="0.45">
      <c r="A149" s="3">
        <f>IFERROR(table_DataQualities[ID],"")</f>
        <v>147</v>
      </c>
      <c r="B149" s="3">
        <f ca="1">IFERROR(table_DataQualities[unit_ID],"")</f>
        <v>1000</v>
      </c>
      <c r="C1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0" spans="1:3" x14ac:dyDescent="0.45">
      <c r="A150" s="3">
        <f>IFERROR(table_DataQualities[ID],"")</f>
        <v>148</v>
      </c>
      <c r="B150" s="3">
        <f>IFERROR(table_DataQualities[unit_ID],"")</f>
        <v>100</v>
      </c>
      <c r="C1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1" spans="1:3" x14ac:dyDescent="0.45">
      <c r="A151" s="3">
        <f>IFERROR(table_DataQualities[ID],"")</f>
        <v>149</v>
      </c>
      <c r="B151" s="3">
        <f ca="1">IFERROR(table_DataQualities[unit_ID],"")</f>
        <v>600</v>
      </c>
      <c r="C1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2" spans="1:3" x14ac:dyDescent="0.45">
      <c r="A152" s="3">
        <f>IFERROR(table_DataQualities[ID],"")</f>
        <v>150</v>
      </c>
      <c r="B152" s="3">
        <f>IFERROR(table_DataQualities[unit_ID],"")</f>
        <v>100</v>
      </c>
      <c r="C1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3" spans="1:3" x14ac:dyDescent="0.45">
      <c r="A153" s="3">
        <f>IFERROR(table_DataQualities[ID],"")</f>
        <v>151</v>
      </c>
      <c r="B153" s="3">
        <f ca="1">IFERROR(table_DataQualities[unit_ID],"")</f>
        <v>900</v>
      </c>
      <c r="C1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4" spans="1:3" x14ac:dyDescent="0.45">
      <c r="A154" s="3">
        <f>IFERROR(table_DataQualities[ID],"")</f>
        <v>152</v>
      </c>
      <c r="B154" s="3">
        <f>IFERROR(table_DataQualities[unit_ID],"")</f>
        <v>100</v>
      </c>
      <c r="C1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5" spans="1:3" x14ac:dyDescent="0.45">
      <c r="A155" s="3">
        <f>IFERROR(table_DataQualities[ID],"")</f>
        <v>153</v>
      </c>
      <c r="B155" s="3">
        <f ca="1">IFERROR(table_DataQualities[unit_ID],"")</f>
        <v>800</v>
      </c>
      <c r="C1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6" spans="1:3" x14ac:dyDescent="0.45">
      <c r="A156" s="3">
        <f>IFERROR(table_DataQualities[ID],"")</f>
        <v>154</v>
      </c>
      <c r="B156" s="3">
        <f>IFERROR(table_DataQualities[unit_ID],"")</f>
        <v>100</v>
      </c>
      <c r="C1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7" spans="1:3" x14ac:dyDescent="0.45">
      <c r="A157" s="3">
        <f>IFERROR(table_DataQualities[ID],"")</f>
        <v>155</v>
      </c>
      <c r="B157" s="3">
        <f ca="1">IFERROR(table_DataQualities[unit_ID],"")</f>
        <v>600</v>
      </c>
      <c r="C1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8" spans="1:3" x14ac:dyDescent="0.45">
      <c r="A158" s="3">
        <f>IFERROR(table_DataQualities[ID],"")</f>
        <v>156</v>
      </c>
      <c r="B158" s="3">
        <f>IFERROR(table_DataQualities[unit_ID],"")</f>
        <v>100</v>
      </c>
      <c r="C1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59" spans="1:3" x14ac:dyDescent="0.45">
      <c r="A159" s="3">
        <f>IFERROR(table_DataQualities[ID],"")</f>
        <v>157</v>
      </c>
      <c r="B159" s="3">
        <f ca="1">IFERROR(table_DataQualities[unit_ID],"")</f>
        <v>600</v>
      </c>
      <c r="C1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0" spans="1:3" x14ac:dyDescent="0.45">
      <c r="A160" s="3">
        <f>IFERROR(table_DataQualities[ID],"")</f>
        <v>158</v>
      </c>
      <c r="B160" s="3">
        <f>IFERROR(table_DataQualities[unit_ID],"")</f>
        <v>100</v>
      </c>
      <c r="C1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1" spans="1:3" x14ac:dyDescent="0.45">
      <c r="A161" s="3">
        <f>IFERROR(table_DataQualities[ID],"")</f>
        <v>159</v>
      </c>
      <c r="B161" s="3">
        <f ca="1">IFERROR(table_DataQualities[unit_ID],"")</f>
        <v>600</v>
      </c>
      <c r="C1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2" spans="1:3" x14ac:dyDescent="0.45">
      <c r="A162" s="3">
        <f>IFERROR(table_DataQualities[ID],"")</f>
        <v>160</v>
      </c>
      <c r="B162" s="3">
        <f>IFERROR(table_DataQualities[unit_ID],"")</f>
        <v>100</v>
      </c>
      <c r="C1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3" spans="1:3" x14ac:dyDescent="0.45">
      <c r="A163" s="3">
        <f>IFERROR(table_DataQualities[ID],"")</f>
        <v>161</v>
      </c>
      <c r="B163" s="3">
        <f ca="1">IFERROR(table_DataQualities[unit_ID],"")</f>
        <v>600</v>
      </c>
      <c r="C1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4" spans="1:3" x14ac:dyDescent="0.45">
      <c r="A164" s="3">
        <f>IFERROR(table_DataQualities[ID],"")</f>
        <v>162</v>
      </c>
      <c r="B164" s="3">
        <f>IFERROR(table_DataQualities[unit_ID],"")</f>
        <v>100</v>
      </c>
      <c r="C1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5" spans="1:3" x14ac:dyDescent="0.45">
      <c r="A165" s="3">
        <f>IFERROR(table_DataQualities[ID],"")</f>
        <v>163</v>
      </c>
      <c r="B165" s="3">
        <f ca="1">IFERROR(table_DataQualities[unit_ID],"")</f>
        <v>500</v>
      </c>
      <c r="C1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6" spans="1:3" x14ac:dyDescent="0.45">
      <c r="A166" s="3">
        <f>IFERROR(table_DataQualities[ID],"")</f>
        <v>164</v>
      </c>
      <c r="B166" s="3">
        <f>IFERROR(table_DataQualities[unit_ID],"")</f>
        <v>100</v>
      </c>
      <c r="C1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7" spans="1:3" x14ac:dyDescent="0.45">
      <c r="A167" s="3">
        <f>IFERROR(table_DataQualities[ID],"")</f>
        <v>165</v>
      </c>
      <c r="B167" s="3">
        <f ca="1">IFERROR(table_DataQualities[unit_ID],"")</f>
        <v>700</v>
      </c>
      <c r="C1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8" spans="1:3" x14ac:dyDescent="0.45">
      <c r="A168" s="3">
        <f>IFERROR(table_DataQualities[ID],"")</f>
        <v>166</v>
      </c>
      <c r="B168" s="3">
        <f>IFERROR(table_DataQualities[unit_ID],"")</f>
        <v>100</v>
      </c>
      <c r="C1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69" spans="1:3" x14ac:dyDescent="0.45">
      <c r="A169" s="3">
        <f>IFERROR(table_DataQualities[ID],"")</f>
        <v>167</v>
      </c>
      <c r="B169" s="3">
        <f ca="1">IFERROR(table_DataQualities[unit_ID],"")</f>
        <v>500</v>
      </c>
      <c r="C1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0" spans="1:3" x14ac:dyDescent="0.45">
      <c r="A170" s="3">
        <f>IFERROR(table_DataQualities[ID],"")</f>
        <v>168</v>
      </c>
      <c r="B170" s="3">
        <f>IFERROR(table_DataQualities[unit_ID],"")</f>
        <v>100</v>
      </c>
      <c r="C1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1" spans="1:3" x14ac:dyDescent="0.45">
      <c r="A171" s="3">
        <f>IFERROR(table_DataQualities[ID],"")</f>
        <v>169</v>
      </c>
      <c r="B171" s="3">
        <f ca="1">IFERROR(table_DataQualities[unit_ID],"")</f>
        <v>700</v>
      </c>
      <c r="C1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2" spans="1:3" x14ac:dyDescent="0.45">
      <c r="A172" s="3">
        <f>IFERROR(table_DataQualities[ID],"")</f>
        <v>170</v>
      </c>
      <c r="B172" s="3">
        <f>IFERROR(table_DataQualities[unit_ID],"")</f>
        <v>100</v>
      </c>
      <c r="C1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3" spans="1:3" x14ac:dyDescent="0.45">
      <c r="A173" s="3">
        <f>IFERROR(table_DataQualities[ID],"")</f>
        <v>171</v>
      </c>
      <c r="B173" s="3">
        <f ca="1">IFERROR(table_DataQualities[unit_ID],"")</f>
        <v>900</v>
      </c>
      <c r="C1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4" spans="1:3" x14ac:dyDescent="0.45">
      <c r="A174" s="3">
        <f>IFERROR(table_DataQualities[ID],"")</f>
        <v>172</v>
      </c>
      <c r="B174" s="3">
        <f>IFERROR(table_DataQualities[unit_ID],"")</f>
        <v>100</v>
      </c>
      <c r="C1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5" spans="1:3" x14ac:dyDescent="0.45">
      <c r="A175" s="3">
        <f>IFERROR(table_DataQualities[ID],"")</f>
        <v>173</v>
      </c>
      <c r="B175" s="3">
        <f ca="1">IFERROR(table_DataQualities[unit_ID],"")</f>
        <v>1000</v>
      </c>
      <c r="C1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6" spans="1:3" x14ac:dyDescent="0.45">
      <c r="A176" s="3">
        <f>IFERROR(table_DataQualities[ID],"")</f>
        <v>174</v>
      </c>
      <c r="B176" s="3">
        <f>IFERROR(table_DataQualities[unit_ID],"")</f>
        <v>100</v>
      </c>
      <c r="C1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7" spans="1:3" x14ac:dyDescent="0.45">
      <c r="A177" s="3">
        <f>IFERROR(table_DataQualities[ID],"")</f>
        <v>175</v>
      </c>
      <c r="B177" s="3">
        <f ca="1">IFERROR(table_DataQualities[unit_ID],"")</f>
        <v>1000</v>
      </c>
      <c r="C1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8" spans="1:3" x14ac:dyDescent="0.45">
      <c r="A178" s="3">
        <f>IFERROR(table_DataQualities[ID],"")</f>
        <v>176</v>
      </c>
      <c r="B178" s="3">
        <f>IFERROR(table_DataQualities[unit_ID],"")</f>
        <v>100</v>
      </c>
      <c r="C1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79" spans="1:3" x14ac:dyDescent="0.45">
      <c r="A179" s="3">
        <f>IFERROR(table_DataQualities[ID],"")</f>
        <v>177</v>
      </c>
      <c r="B179" s="3">
        <f ca="1">IFERROR(table_DataQualities[unit_ID],"")</f>
        <v>1000</v>
      </c>
      <c r="C1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0" spans="1:3" x14ac:dyDescent="0.45">
      <c r="A180" s="3">
        <f>IFERROR(table_DataQualities[ID],"")</f>
        <v>178</v>
      </c>
      <c r="B180" s="3">
        <f>IFERROR(table_DataQualities[unit_ID],"")</f>
        <v>100</v>
      </c>
      <c r="C1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1" spans="1:3" x14ac:dyDescent="0.45">
      <c r="A181" s="3">
        <f>IFERROR(table_DataQualities[ID],"")</f>
        <v>179</v>
      </c>
      <c r="B181" s="3">
        <f ca="1">IFERROR(table_DataQualities[unit_ID],"")</f>
        <v>600</v>
      </c>
      <c r="C1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2" spans="1:3" x14ac:dyDescent="0.45">
      <c r="A182" s="3">
        <f>IFERROR(table_DataQualities[ID],"")</f>
        <v>180</v>
      </c>
      <c r="B182" s="3">
        <f>IFERROR(table_DataQualities[unit_ID],"")</f>
        <v>100</v>
      </c>
      <c r="C1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3" spans="1:3" x14ac:dyDescent="0.45">
      <c r="A183" s="3">
        <f>IFERROR(table_DataQualities[ID],"")</f>
        <v>181</v>
      </c>
      <c r="B183" s="3">
        <f ca="1">IFERROR(table_DataQualities[unit_ID],"")</f>
        <v>600</v>
      </c>
      <c r="C1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4" spans="1:3" x14ac:dyDescent="0.45">
      <c r="A184" s="3">
        <f>IFERROR(table_DataQualities[ID],"")</f>
        <v>182</v>
      </c>
      <c r="B184" s="3">
        <f>IFERROR(table_DataQualities[unit_ID],"")</f>
        <v>100</v>
      </c>
      <c r="C1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5" spans="1:3" x14ac:dyDescent="0.45">
      <c r="A185" s="3">
        <f>IFERROR(table_DataQualities[ID],"")</f>
        <v>183</v>
      </c>
      <c r="B185" s="3">
        <f ca="1">IFERROR(table_DataQualities[unit_ID],"")</f>
        <v>900</v>
      </c>
      <c r="C1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6" spans="1:3" x14ac:dyDescent="0.45">
      <c r="A186" s="3">
        <f>IFERROR(table_DataQualities[ID],"")</f>
        <v>184</v>
      </c>
      <c r="B186" s="3">
        <f>IFERROR(table_DataQualities[unit_ID],"")</f>
        <v>100</v>
      </c>
      <c r="C1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7" spans="1:3" x14ac:dyDescent="0.45">
      <c r="A187" s="3">
        <f>IFERROR(table_DataQualities[ID],"")</f>
        <v>185</v>
      </c>
      <c r="B187" s="3">
        <f ca="1">IFERROR(table_DataQualities[unit_ID],"")</f>
        <v>900</v>
      </c>
      <c r="C1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8" spans="1:3" x14ac:dyDescent="0.45">
      <c r="A188" s="3">
        <f>IFERROR(table_DataQualities[ID],"")</f>
        <v>186</v>
      </c>
      <c r="B188" s="3">
        <f>IFERROR(table_DataQualities[unit_ID],"")</f>
        <v>100</v>
      </c>
      <c r="C1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89" spans="1:3" x14ac:dyDescent="0.45">
      <c r="A189" s="3">
        <f>IFERROR(table_DataQualities[ID],"")</f>
        <v>187</v>
      </c>
      <c r="B189" s="3">
        <f ca="1">IFERROR(table_DataQualities[unit_ID],"")</f>
        <v>900</v>
      </c>
      <c r="C1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0" spans="1:3" x14ac:dyDescent="0.45">
      <c r="A190" s="3">
        <f>IFERROR(table_DataQualities[ID],"")</f>
        <v>188</v>
      </c>
      <c r="B190" s="3">
        <f>IFERROR(table_DataQualities[unit_ID],"")</f>
        <v>100</v>
      </c>
      <c r="C1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1" spans="1:3" x14ac:dyDescent="0.45">
      <c r="A191" s="3">
        <f>IFERROR(table_DataQualities[ID],"")</f>
        <v>189</v>
      </c>
      <c r="B191" s="3">
        <f ca="1">IFERROR(table_DataQualities[unit_ID],"")</f>
        <v>700</v>
      </c>
      <c r="C1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2" spans="1:3" x14ac:dyDescent="0.45">
      <c r="A192" s="3">
        <f>IFERROR(table_DataQualities[ID],"")</f>
        <v>190</v>
      </c>
      <c r="B192" s="3">
        <f>IFERROR(table_DataQualities[unit_ID],"")</f>
        <v>100</v>
      </c>
      <c r="C1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3" spans="1:3" x14ac:dyDescent="0.45">
      <c r="A193" s="3">
        <f>IFERROR(table_DataQualities[ID],"")</f>
        <v>191</v>
      </c>
      <c r="B193" s="3">
        <f ca="1">IFERROR(table_DataQualities[unit_ID],"")</f>
        <v>700</v>
      </c>
      <c r="C1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4" spans="1:3" x14ac:dyDescent="0.45">
      <c r="A194" s="3">
        <f>IFERROR(table_DataQualities[ID],"")</f>
        <v>192</v>
      </c>
      <c r="B194" s="3">
        <f>IFERROR(table_DataQualities[unit_ID],"")</f>
        <v>100</v>
      </c>
      <c r="C1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5" spans="1:3" x14ac:dyDescent="0.45">
      <c r="A195" s="3">
        <f>IFERROR(table_DataQualities[ID],"")</f>
        <v>193</v>
      </c>
      <c r="B195" s="3">
        <f ca="1">IFERROR(table_DataQualities[unit_ID],"")</f>
        <v>700</v>
      </c>
      <c r="C1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6" spans="1:3" x14ac:dyDescent="0.45">
      <c r="A196" s="3">
        <f>IFERROR(table_DataQualities[ID],"")</f>
        <v>194</v>
      </c>
      <c r="B196" s="3">
        <f>IFERROR(table_DataQualities[unit_ID],"")</f>
        <v>100</v>
      </c>
      <c r="C1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7" spans="1:3" x14ac:dyDescent="0.45">
      <c r="A197" s="3">
        <f>IFERROR(table_DataQualities[ID],"")</f>
        <v>195</v>
      </c>
      <c r="B197" s="3">
        <f ca="1">IFERROR(table_DataQualities[unit_ID],"")</f>
        <v>600</v>
      </c>
      <c r="C1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8" spans="1:3" x14ac:dyDescent="0.45">
      <c r="A198" s="3">
        <f>IFERROR(table_DataQualities[ID],"")</f>
        <v>196</v>
      </c>
      <c r="B198" s="3">
        <f>IFERROR(table_DataQualities[unit_ID],"")</f>
        <v>100</v>
      </c>
      <c r="C1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99" spans="1:3" x14ac:dyDescent="0.45">
      <c r="A199" s="3">
        <f>IFERROR(table_DataQualities[ID],"")</f>
        <v>197</v>
      </c>
      <c r="B199" s="3">
        <f ca="1">IFERROR(table_DataQualities[unit_ID],"")</f>
        <v>1000</v>
      </c>
      <c r="C1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0" spans="1:3" x14ac:dyDescent="0.45">
      <c r="A200" s="3">
        <f>IFERROR(table_DataQualities[ID],"")</f>
        <v>198</v>
      </c>
      <c r="B200" s="3">
        <f>IFERROR(table_DataQualities[unit_ID],"")</f>
        <v>100</v>
      </c>
      <c r="C2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1" spans="1:3" x14ac:dyDescent="0.45">
      <c r="A201" s="3">
        <f>IFERROR(table_DataQualities[ID],"")</f>
        <v>199</v>
      </c>
      <c r="B201" s="3">
        <f ca="1">IFERROR(table_DataQualities[unit_ID],"")</f>
        <v>500</v>
      </c>
      <c r="C2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2" spans="1:3" x14ac:dyDescent="0.45">
      <c r="A202" s="3">
        <f>IFERROR(table_DataQualities[ID],"")</f>
        <v>200</v>
      </c>
      <c r="B202" s="3">
        <f>IFERROR(table_DataQualities[unit_ID],"")</f>
        <v>100</v>
      </c>
      <c r="C2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3" spans="1:3" x14ac:dyDescent="0.45">
      <c r="A203" s="3">
        <f>IFERROR(table_DataQualities[ID],"")</f>
        <v>201</v>
      </c>
      <c r="B203" s="3">
        <f ca="1">IFERROR(table_DataQualities[unit_ID],"")</f>
        <v>800</v>
      </c>
      <c r="C2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4" spans="1:3" x14ac:dyDescent="0.45">
      <c r="A204" s="3">
        <f>IFERROR(table_DataQualities[ID],"")</f>
        <v>202</v>
      </c>
      <c r="B204" s="3">
        <f>IFERROR(table_DataQualities[unit_ID],"")</f>
        <v>100</v>
      </c>
      <c r="C2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5" spans="1:3" x14ac:dyDescent="0.45">
      <c r="A205" s="3">
        <f>IFERROR(table_DataQualities[ID],"")</f>
        <v>203</v>
      </c>
      <c r="B205" s="3">
        <f ca="1">IFERROR(table_DataQualities[unit_ID],"")</f>
        <v>1000</v>
      </c>
      <c r="C2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6" spans="1:3" x14ac:dyDescent="0.45">
      <c r="A206" s="3">
        <f>IFERROR(table_DataQualities[ID],"")</f>
        <v>204</v>
      </c>
      <c r="B206" s="3">
        <f>IFERROR(table_DataQualities[unit_ID],"")</f>
        <v>100</v>
      </c>
      <c r="C2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7" spans="1:3" x14ac:dyDescent="0.45">
      <c r="A207" s="3">
        <f>IFERROR(table_DataQualities[ID],"")</f>
        <v>205</v>
      </c>
      <c r="B207" s="3">
        <f ca="1">IFERROR(table_DataQualities[unit_ID],"")</f>
        <v>800</v>
      </c>
      <c r="C2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8" spans="1:3" x14ac:dyDescent="0.45">
      <c r="A208" s="3">
        <f>IFERROR(table_DataQualities[ID],"")</f>
        <v>206</v>
      </c>
      <c r="B208" s="3">
        <f>IFERROR(table_DataQualities[unit_ID],"")</f>
        <v>100</v>
      </c>
      <c r="C2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09" spans="1:3" x14ac:dyDescent="0.45">
      <c r="A209" s="3">
        <f>IFERROR(table_DataQualities[ID],"")</f>
        <v>207</v>
      </c>
      <c r="B209" s="3">
        <f ca="1">IFERROR(table_DataQualities[unit_ID],"")</f>
        <v>700</v>
      </c>
      <c r="C2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0" spans="1:3" x14ac:dyDescent="0.45">
      <c r="A210" s="3">
        <f>IFERROR(table_DataQualities[ID],"")</f>
        <v>208</v>
      </c>
      <c r="B210" s="3">
        <f>IFERROR(table_DataQualities[unit_ID],"")</f>
        <v>100</v>
      </c>
      <c r="C2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1" spans="1:3" x14ac:dyDescent="0.45">
      <c r="A211" s="3">
        <f>IFERROR(table_DataQualities[ID],"")</f>
        <v>209</v>
      </c>
      <c r="B211" s="3">
        <f ca="1">IFERROR(table_DataQualities[unit_ID],"")</f>
        <v>700</v>
      </c>
      <c r="C2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2" spans="1:3" x14ac:dyDescent="0.45">
      <c r="A212" s="3">
        <f>IFERROR(table_DataQualities[ID],"")</f>
        <v>210</v>
      </c>
      <c r="B212" s="3">
        <f>IFERROR(table_DataQualities[unit_ID],"")</f>
        <v>100</v>
      </c>
      <c r="C2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3" spans="1:3" x14ac:dyDescent="0.45">
      <c r="A213" s="3">
        <f>IFERROR(table_DataQualities[ID],"")</f>
        <v>211</v>
      </c>
      <c r="B213" s="3">
        <f ca="1">IFERROR(table_DataQualities[unit_ID],"")</f>
        <v>1000</v>
      </c>
      <c r="C2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4" spans="1:3" x14ac:dyDescent="0.45">
      <c r="A214" s="3">
        <f>IFERROR(table_DataQualities[ID],"")</f>
        <v>212</v>
      </c>
      <c r="B214" s="3">
        <f>IFERROR(table_DataQualities[unit_ID],"")</f>
        <v>100</v>
      </c>
      <c r="C2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5" spans="1:3" x14ac:dyDescent="0.45">
      <c r="A215" s="3">
        <f>IFERROR(table_DataQualities[ID],"")</f>
        <v>213</v>
      </c>
      <c r="B215" s="3">
        <f ca="1">IFERROR(table_DataQualities[unit_ID],"")</f>
        <v>500</v>
      </c>
      <c r="C2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6" spans="1:3" x14ac:dyDescent="0.45">
      <c r="A216" s="3">
        <f>IFERROR(table_DataQualities[ID],"")</f>
        <v>214</v>
      </c>
      <c r="B216" s="3">
        <f>IFERROR(table_DataQualities[unit_ID],"")</f>
        <v>100</v>
      </c>
      <c r="C2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7" spans="1:3" x14ac:dyDescent="0.45">
      <c r="A217" s="3">
        <f>IFERROR(table_DataQualities[ID],"")</f>
        <v>215</v>
      </c>
      <c r="B217" s="3">
        <f ca="1">IFERROR(table_DataQualities[unit_ID],"")</f>
        <v>1000</v>
      </c>
      <c r="C2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8" spans="1:3" x14ac:dyDescent="0.45">
      <c r="A218" s="3">
        <f>IFERROR(table_DataQualities[ID],"")</f>
        <v>216</v>
      </c>
      <c r="B218" s="3">
        <f>IFERROR(table_DataQualities[unit_ID],"")</f>
        <v>100</v>
      </c>
      <c r="C2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19" spans="1:3" x14ac:dyDescent="0.45">
      <c r="A219" s="3">
        <f>IFERROR(table_DataQualities[ID],"")</f>
        <v>217</v>
      </c>
      <c r="B219" s="3">
        <f ca="1">IFERROR(table_DataQualities[unit_ID],"")</f>
        <v>1000</v>
      </c>
      <c r="C2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0" spans="1:3" x14ac:dyDescent="0.45">
      <c r="A220" s="3">
        <f>IFERROR(table_DataQualities[ID],"")</f>
        <v>218</v>
      </c>
      <c r="B220" s="3">
        <f>IFERROR(table_DataQualities[unit_ID],"")</f>
        <v>100</v>
      </c>
      <c r="C2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1" spans="1:3" x14ac:dyDescent="0.45">
      <c r="A221" s="3">
        <f>IFERROR(table_DataQualities[ID],"")</f>
        <v>219</v>
      </c>
      <c r="B221" s="3">
        <f ca="1">IFERROR(table_DataQualities[unit_ID],"")</f>
        <v>500</v>
      </c>
      <c r="C2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2" spans="1:3" x14ac:dyDescent="0.45">
      <c r="A222" s="3">
        <f>IFERROR(table_DataQualities[ID],"")</f>
        <v>220</v>
      </c>
      <c r="B222" s="3">
        <f>IFERROR(table_DataQualities[unit_ID],"")</f>
        <v>100</v>
      </c>
      <c r="C2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3" spans="1:3" x14ac:dyDescent="0.45">
      <c r="A223" s="3">
        <f>IFERROR(table_DataQualities[ID],"")</f>
        <v>221</v>
      </c>
      <c r="B223" s="3">
        <f ca="1">IFERROR(table_DataQualities[unit_ID],"")</f>
        <v>1000</v>
      </c>
      <c r="C2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4" spans="1:3" x14ac:dyDescent="0.45">
      <c r="A224" s="3">
        <f>IFERROR(table_DataQualities[ID],"")</f>
        <v>222</v>
      </c>
      <c r="B224" s="3">
        <f>IFERROR(table_DataQualities[unit_ID],"")</f>
        <v>100</v>
      </c>
      <c r="C2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5" spans="1:3" x14ac:dyDescent="0.45">
      <c r="A225" s="3">
        <f>IFERROR(table_DataQualities[ID],"")</f>
        <v>223</v>
      </c>
      <c r="B225" s="3">
        <f ca="1">IFERROR(table_DataQualities[unit_ID],"")</f>
        <v>600</v>
      </c>
      <c r="C2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6" spans="1:3" x14ac:dyDescent="0.45">
      <c r="A226" s="3">
        <f>IFERROR(table_DataQualities[ID],"")</f>
        <v>224</v>
      </c>
      <c r="B226" s="3">
        <f>IFERROR(table_DataQualities[unit_ID],"")</f>
        <v>100</v>
      </c>
      <c r="C2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7" spans="1:3" x14ac:dyDescent="0.45">
      <c r="A227" s="3">
        <f>IFERROR(table_DataQualities[ID],"")</f>
        <v>225</v>
      </c>
      <c r="B227" s="3">
        <f ca="1">IFERROR(table_DataQualities[unit_ID],"")</f>
        <v>800</v>
      </c>
      <c r="C2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8" spans="1:3" x14ac:dyDescent="0.45">
      <c r="A228" s="3">
        <f>IFERROR(table_DataQualities[ID],"")</f>
        <v>226</v>
      </c>
      <c r="B228" s="3">
        <f>IFERROR(table_DataQualities[unit_ID],"")</f>
        <v>100</v>
      </c>
      <c r="C2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29" spans="1:3" x14ac:dyDescent="0.45">
      <c r="A229" s="3">
        <f>IFERROR(table_DataQualities[ID],"")</f>
        <v>227</v>
      </c>
      <c r="B229" s="3">
        <f ca="1">IFERROR(table_DataQualities[unit_ID],"")</f>
        <v>800</v>
      </c>
      <c r="C2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0" spans="1:3" x14ac:dyDescent="0.45">
      <c r="A230" s="3">
        <f>IFERROR(table_DataQualities[ID],"")</f>
        <v>228</v>
      </c>
      <c r="B230" s="3">
        <f>IFERROR(table_DataQualities[unit_ID],"")</f>
        <v>100</v>
      </c>
      <c r="C2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1" spans="1:3" x14ac:dyDescent="0.45">
      <c r="A231" s="3">
        <f>IFERROR(table_DataQualities[ID],"")</f>
        <v>229</v>
      </c>
      <c r="B231" s="3">
        <f ca="1">IFERROR(table_DataQualities[unit_ID],"")</f>
        <v>600</v>
      </c>
      <c r="C2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2" spans="1:3" x14ac:dyDescent="0.45">
      <c r="A232" s="3">
        <f>IFERROR(table_DataQualities[ID],"")</f>
        <v>230</v>
      </c>
      <c r="B232" s="3">
        <f>IFERROR(table_DataQualities[unit_ID],"")</f>
        <v>100</v>
      </c>
      <c r="C2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3" spans="1:3" x14ac:dyDescent="0.45">
      <c r="A233" s="3">
        <f>IFERROR(table_DataQualities[ID],"")</f>
        <v>231</v>
      </c>
      <c r="B233" s="3">
        <f ca="1">IFERROR(table_DataQualities[unit_ID],"")</f>
        <v>500</v>
      </c>
      <c r="C2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4" spans="1:3" x14ac:dyDescent="0.45">
      <c r="A234" s="3">
        <f>IFERROR(table_DataQualities[ID],"")</f>
        <v>232</v>
      </c>
      <c r="B234" s="3">
        <f>IFERROR(table_DataQualities[unit_ID],"")</f>
        <v>100</v>
      </c>
      <c r="C2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5" spans="1:3" x14ac:dyDescent="0.45">
      <c r="A235" s="3">
        <f>IFERROR(table_DataQualities[ID],"")</f>
        <v>233</v>
      </c>
      <c r="B235" s="3">
        <f ca="1">IFERROR(table_DataQualities[unit_ID],"")</f>
        <v>500</v>
      </c>
      <c r="C2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6" spans="1:3" x14ac:dyDescent="0.45">
      <c r="A236" s="3">
        <f>IFERROR(table_DataQualities[ID],"")</f>
        <v>234</v>
      </c>
      <c r="B236" s="3">
        <f>IFERROR(table_DataQualities[unit_ID],"")</f>
        <v>100</v>
      </c>
      <c r="C2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7" spans="1:3" x14ac:dyDescent="0.45">
      <c r="A237" s="3">
        <f>IFERROR(table_DataQualities[ID],"")</f>
        <v>235</v>
      </c>
      <c r="B237" s="3">
        <f ca="1">IFERROR(table_DataQualities[unit_ID],"")</f>
        <v>800</v>
      </c>
      <c r="C2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8" spans="1:3" x14ac:dyDescent="0.45">
      <c r="A238" s="3">
        <f>IFERROR(table_DataQualities[ID],"")</f>
        <v>236</v>
      </c>
      <c r="B238" s="3">
        <f>IFERROR(table_DataQualities[unit_ID],"")</f>
        <v>100</v>
      </c>
      <c r="C2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39" spans="1:3" x14ac:dyDescent="0.45">
      <c r="A239" s="3">
        <f>IFERROR(table_DataQualities[ID],"")</f>
        <v>237</v>
      </c>
      <c r="B239" s="3">
        <f ca="1">IFERROR(table_DataQualities[unit_ID],"")</f>
        <v>900</v>
      </c>
      <c r="C2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0" spans="1:3" x14ac:dyDescent="0.45">
      <c r="A240" s="3">
        <f>IFERROR(table_DataQualities[ID],"")</f>
        <v>238</v>
      </c>
      <c r="B240" s="3">
        <f>IFERROR(table_DataQualities[unit_ID],"")</f>
        <v>100</v>
      </c>
      <c r="C2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1" spans="1:3" x14ac:dyDescent="0.45">
      <c r="A241" s="3">
        <f>IFERROR(table_DataQualities[ID],"")</f>
        <v>239</v>
      </c>
      <c r="B241" s="3">
        <f ca="1">IFERROR(table_DataQualities[unit_ID],"")</f>
        <v>700</v>
      </c>
      <c r="C2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2" spans="1:3" x14ac:dyDescent="0.45">
      <c r="A242" s="3">
        <f>IFERROR(table_DataQualities[ID],"")</f>
        <v>240</v>
      </c>
      <c r="B242" s="3">
        <f>IFERROR(table_DataQualities[unit_ID],"")</f>
        <v>100</v>
      </c>
      <c r="C2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3" spans="1:3" x14ac:dyDescent="0.45">
      <c r="A243" s="3">
        <f>IFERROR(table_DataQualities[ID],"")</f>
        <v>241</v>
      </c>
      <c r="B243" s="3">
        <f ca="1">IFERROR(table_DataQualities[unit_ID],"")</f>
        <v>1000</v>
      </c>
      <c r="C2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4" spans="1:3" x14ac:dyDescent="0.45">
      <c r="A244" s="3">
        <f>IFERROR(table_DataQualities[ID],"")</f>
        <v>242</v>
      </c>
      <c r="B244" s="3">
        <f>IFERROR(table_DataQualities[unit_ID],"")</f>
        <v>100</v>
      </c>
      <c r="C2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5" spans="1:3" x14ac:dyDescent="0.45">
      <c r="A245" s="3">
        <f>IFERROR(table_DataQualities[ID],"")</f>
        <v>243</v>
      </c>
      <c r="B245" s="3">
        <f ca="1">IFERROR(table_DataQualities[unit_ID],"")</f>
        <v>1000</v>
      </c>
      <c r="C2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6" spans="1:3" x14ac:dyDescent="0.45">
      <c r="A246" s="3">
        <f>IFERROR(table_DataQualities[ID],"")</f>
        <v>244</v>
      </c>
      <c r="B246" s="3">
        <f>IFERROR(table_DataQualities[unit_ID],"")</f>
        <v>100</v>
      </c>
      <c r="C2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7" spans="1:3" x14ac:dyDescent="0.45">
      <c r="A247" s="3">
        <f>IFERROR(table_DataQualities[ID],"")</f>
        <v>245</v>
      </c>
      <c r="B247" s="3">
        <f ca="1">IFERROR(table_DataQualities[unit_ID],"")</f>
        <v>900</v>
      </c>
      <c r="C2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8" spans="1:3" x14ac:dyDescent="0.45">
      <c r="A248" s="3">
        <f>IFERROR(table_DataQualities[ID],"")</f>
        <v>246</v>
      </c>
      <c r="B248" s="3">
        <f>IFERROR(table_DataQualities[unit_ID],"")</f>
        <v>100</v>
      </c>
      <c r="C2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49" spans="1:3" x14ac:dyDescent="0.45">
      <c r="A249" s="3">
        <f>IFERROR(table_DataQualities[ID],"")</f>
        <v>247</v>
      </c>
      <c r="B249" s="3">
        <f ca="1">IFERROR(table_DataQualities[unit_ID],"")</f>
        <v>800</v>
      </c>
      <c r="C2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0" spans="1:3" x14ac:dyDescent="0.45">
      <c r="A250" s="3">
        <f>IFERROR(table_DataQualities[ID],"")</f>
        <v>248</v>
      </c>
      <c r="B250" s="3">
        <f>IFERROR(table_DataQualities[unit_ID],"")</f>
        <v>100</v>
      </c>
      <c r="C2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1" spans="1:3" x14ac:dyDescent="0.45">
      <c r="A251" s="3">
        <f>IFERROR(table_DataQualities[ID],"")</f>
        <v>249</v>
      </c>
      <c r="B251" s="3">
        <f ca="1">IFERROR(table_DataQualities[unit_ID],"")</f>
        <v>800</v>
      </c>
      <c r="C2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2" spans="1:3" x14ac:dyDescent="0.45">
      <c r="A252" s="3">
        <f>IFERROR(table_DataQualities[ID],"")</f>
        <v>250</v>
      </c>
      <c r="B252" s="3">
        <f>IFERROR(table_DataQualities[unit_ID],"")</f>
        <v>100</v>
      </c>
      <c r="C2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3" spans="1:3" x14ac:dyDescent="0.45">
      <c r="A253" s="3">
        <f>IFERROR(table_DataQualities[ID],"")</f>
        <v>251</v>
      </c>
      <c r="B253" s="3">
        <f ca="1">IFERROR(table_DataQualities[unit_ID],"")</f>
        <v>600</v>
      </c>
      <c r="C2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4" spans="1:3" x14ac:dyDescent="0.45">
      <c r="A254" s="3">
        <f>IFERROR(table_DataQualities[ID],"")</f>
        <v>252</v>
      </c>
      <c r="B254" s="3">
        <f>IFERROR(table_DataQualities[unit_ID],"")</f>
        <v>100</v>
      </c>
      <c r="C2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5" spans="1:3" x14ac:dyDescent="0.45">
      <c r="A255" s="3">
        <f>IFERROR(table_DataQualities[ID],"")</f>
        <v>253</v>
      </c>
      <c r="B255" s="3">
        <f ca="1">IFERROR(table_DataQualities[unit_ID],"")</f>
        <v>800</v>
      </c>
      <c r="C2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6" spans="1:3" x14ac:dyDescent="0.45">
      <c r="A256" s="3">
        <f>IFERROR(table_DataQualities[ID],"")</f>
        <v>254</v>
      </c>
      <c r="B256" s="3">
        <f>IFERROR(table_DataQualities[unit_ID],"")</f>
        <v>100</v>
      </c>
      <c r="C2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7" spans="1:3" x14ac:dyDescent="0.45">
      <c r="A257" s="3">
        <f>IFERROR(table_DataQualities[ID],"")</f>
        <v>255</v>
      </c>
      <c r="B257" s="3">
        <f ca="1">IFERROR(table_DataQualities[unit_ID],"")</f>
        <v>600</v>
      </c>
      <c r="C2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8" spans="1:3" x14ac:dyDescent="0.45">
      <c r="A258" s="3">
        <f>IFERROR(table_DataQualities[ID],"")</f>
        <v>256</v>
      </c>
      <c r="B258" s="3">
        <f>IFERROR(table_DataQualities[unit_ID],"")</f>
        <v>100</v>
      </c>
      <c r="C2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59" spans="1:3" x14ac:dyDescent="0.45">
      <c r="A259" s="3">
        <f>IFERROR(table_DataQualities[ID],"")</f>
        <v>257</v>
      </c>
      <c r="B259" s="3">
        <f ca="1">IFERROR(table_DataQualities[unit_ID],"")</f>
        <v>800</v>
      </c>
      <c r="C2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0" spans="1:3" x14ac:dyDescent="0.45">
      <c r="A260" s="3">
        <f>IFERROR(table_DataQualities[ID],"")</f>
        <v>258</v>
      </c>
      <c r="B260" s="3">
        <f>IFERROR(table_DataQualities[unit_ID],"")</f>
        <v>100</v>
      </c>
      <c r="C2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1" spans="1:3" x14ac:dyDescent="0.45">
      <c r="A261" s="3">
        <f>IFERROR(table_DataQualities[ID],"")</f>
        <v>259</v>
      </c>
      <c r="B261" s="3">
        <f ca="1">IFERROR(table_DataQualities[unit_ID],"")</f>
        <v>600</v>
      </c>
      <c r="C2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2" spans="1:3" x14ac:dyDescent="0.45">
      <c r="A262" s="3">
        <f>IFERROR(table_DataQualities[ID],"")</f>
        <v>260</v>
      </c>
      <c r="B262" s="3">
        <f>IFERROR(table_DataQualities[unit_ID],"")</f>
        <v>100</v>
      </c>
      <c r="C2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3" spans="1:3" x14ac:dyDescent="0.45">
      <c r="A263" s="3">
        <f>IFERROR(table_DataQualities[ID],"")</f>
        <v>261</v>
      </c>
      <c r="B263" s="3">
        <f ca="1">IFERROR(table_DataQualities[unit_ID],"")</f>
        <v>700</v>
      </c>
      <c r="C2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4" spans="1:3" x14ac:dyDescent="0.45">
      <c r="A264" s="3">
        <f>IFERROR(table_DataQualities[ID],"")</f>
        <v>262</v>
      </c>
      <c r="B264" s="3">
        <f>IFERROR(table_DataQualities[unit_ID],"")</f>
        <v>100</v>
      </c>
      <c r="C2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5" spans="1:3" x14ac:dyDescent="0.45">
      <c r="A265" s="3">
        <f>IFERROR(table_DataQualities[ID],"")</f>
        <v>263</v>
      </c>
      <c r="B265" s="3">
        <f ca="1">IFERROR(table_DataQualities[unit_ID],"")</f>
        <v>800</v>
      </c>
      <c r="C2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6" spans="1:3" x14ac:dyDescent="0.45">
      <c r="A266" s="3">
        <f>IFERROR(table_DataQualities[ID],"")</f>
        <v>264</v>
      </c>
      <c r="B266" s="3">
        <f>IFERROR(table_DataQualities[unit_ID],"")</f>
        <v>100</v>
      </c>
      <c r="C2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7" spans="1:3" x14ac:dyDescent="0.45">
      <c r="A267" s="3">
        <f>IFERROR(table_DataQualities[ID],"")</f>
        <v>265</v>
      </c>
      <c r="B267" s="3">
        <f ca="1">IFERROR(table_DataQualities[unit_ID],"")</f>
        <v>1000</v>
      </c>
      <c r="C2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8" spans="1:3" x14ac:dyDescent="0.45">
      <c r="A268" s="3">
        <f>IFERROR(table_DataQualities[ID],"")</f>
        <v>266</v>
      </c>
      <c r="B268" s="3">
        <f>IFERROR(table_DataQualities[unit_ID],"")</f>
        <v>100</v>
      </c>
      <c r="C2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69" spans="1:3" x14ac:dyDescent="0.45">
      <c r="A269" s="3">
        <f>IFERROR(table_DataQualities[ID],"")</f>
        <v>267</v>
      </c>
      <c r="B269" s="3">
        <f ca="1">IFERROR(table_DataQualities[unit_ID],"")</f>
        <v>700</v>
      </c>
      <c r="C2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0" spans="1:3" x14ac:dyDescent="0.45">
      <c r="A270" s="3">
        <f>IFERROR(table_DataQualities[ID],"")</f>
        <v>268</v>
      </c>
      <c r="B270" s="3">
        <f>IFERROR(table_DataQualities[unit_ID],"")</f>
        <v>100</v>
      </c>
      <c r="C2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1" spans="1:3" x14ac:dyDescent="0.45">
      <c r="A271" s="3">
        <f>IFERROR(table_DataQualities[ID],"")</f>
        <v>269</v>
      </c>
      <c r="B271" s="3">
        <f ca="1">IFERROR(table_DataQualities[unit_ID],"")</f>
        <v>500</v>
      </c>
      <c r="C2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2" spans="1:3" x14ac:dyDescent="0.45">
      <c r="A272" s="3">
        <f>IFERROR(table_DataQualities[ID],"")</f>
        <v>270</v>
      </c>
      <c r="B272" s="3">
        <f>IFERROR(table_DataQualities[unit_ID],"")</f>
        <v>100</v>
      </c>
      <c r="C2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3" spans="1:3" x14ac:dyDescent="0.45">
      <c r="A273" s="3">
        <f>IFERROR(table_DataQualities[ID],"")</f>
        <v>271</v>
      </c>
      <c r="B273" s="3">
        <f ca="1">IFERROR(table_DataQualities[unit_ID],"")</f>
        <v>600</v>
      </c>
      <c r="C2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4" spans="1:3" x14ac:dyDescent="0.45">
      <c r="A274" s="3">
        <f>IFERROR(table_DataQualities[ID],"")</f>
        <v>272</v>
      </c>
      <c r="B274" s="3">
        <f>IFERROR(table_DataQualities[unit_ID],"")</f>
        <v>100</v>
      </c>
      <c r="C2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5" spans="1:3" x14ac:dyDescent="0.45">
      <c r="A275" s="3">
        <f>IFERROR(table_DataQualities[ID],"")</f>
        <v>273</v>
      </c>
      <c r="B275" s="3">
        <f ca="1">IFERROR(table_DataQualities[unit_ID],"")</f>
        <v>700</v>
      </c>
      <c r="C2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6" spans="1:3" x14ac:dyDescent="0.45">
      <c r="A276" s="3">
        <f>IFERROR(table_DataQualities[ID],"")</f>
        <v>274</v>
      </c>
      <c r="B276" s="3">
        <f>IFERROR(table_DataQualities[unit_ID],"")</f>
        <v>100</v>
      </c>
      <c r="C2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7" spans="1:3" x14ac:dyDescent="0.45">
      <c r="A277" s="3">
        <f>IFERROR(table_DataQualities[ID],"")</f>
        <v>275</v>
      </c>
      <c r="B277" s="3">
        <f ca="1">IFERROR(table_DataQualities[unit_ID],"")</f>
        <v>1000</v>
      </c>
      <c r="C2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8" spans="1:3" x14ac:dyDescent="0.45">
      <c r="A278" s="3">
        <f>IFERROR(table_DataQualities[ID],"")</f>
        <v>276</v>
      </c>
      <c r="B278" s="3">
        <f>IFERROR(table_DataQualities[unit_ID],"")</f>
        <v>100</v>
      </c>
      <c r="C2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79" spans="1:3" x14ac:dyDescent="0.45">
      <c r="A279" s="3">
        <f>IFERROR(table_DataQualities[ID],"")</f>
        <v>277</v>
      </c>
      <c r="B279" s="3">
        <f ca="1">IFERROR(table_DataQualities[unit_ID],"")</f>
        <v>500</v>
      </c>
      <c r="C2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0" spans="1:3" x14ac:dyDescent="0.45">
      <c r="A280" s="3">
        <f>IFERROR(table_DataQualities[ID],"")</f>
        <v>278</v>
      </c>
      <c r="B280" s="3">
        <f>IFERROR(table_DataQualities[unit_ID],"")</f>
        <v>100</v>
      </c>
      <c r="C2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1" spans="1:3" x14ac:dyDescent="0.45">
      <c r="A281" s="3">
        <f>IFERROR(table_DataQualities[ID],"")</f>
        <v>279</v>
      </c>
      <c r="B281" s="3">
        <f ca="1">IFERROR(table_DataQualities[unit_ID],"")</f>
        <v>500</v>
      </c>
      <c r="C2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2" spans="1:3" x14ac:dyDescent="0.45">
      <c r="A282" s="3">
        <f>IFERROR(table_DataQualities[ID],"")</f>
        <v>280</v>
      </c>
      <c r="B282" s="3">
        <f>IFERROR(table_DataQualities[unit_ID],"")</f>
        <v>100</v>
      </c>
      <c r="C2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3" spans="1:3" x14ac:dyDescent="0.45">
      <c r="A283" s="3">
        <f>IFERROR(table_DataQualities[ID],"")</f>
        <v>281</v>
      </c>
      <c r="B283" s="3">
        <f ca="1">IFERROR(table_DataQualities[unit_ID],"")</f>
        <v>600</v>
      </c>
      <c r="C2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4" spans="1:3" x14ac:dyDescent="0.45">
      <c r="A284" s="3">
        <f>IFERROR(table_DataQualities[ID],"")</f>
        <v>282</v>
      </c>
      <c r="B284" s="3">
        <f>IFERROR(table_DataQualities[unit_ID],"")</f>
        <v>100</v>
      </c>
      <c r="C2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5" spans="1:3" x14ac:dyDescent="0.45">
      <c r="A285" s="3">
        <f>IFERROR(table_DataQualities[ID],"")</f>
        <v>283</v>
      </c>
      <c r="B285" s="3">
        <f ca="1">IFERROR(table_DataQualities[unit_ID],"")</f>
        <v>800</v>
      </c>
      <c r="C2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6" spans="1:3" x14ac:dyDescent="0.45">
      <c r="A286" s="3">
        <f>IFERROR(table_DataQualities[ID],"")</f>
        <v>284</v>
      </c>
      <c r="B286" s="3">
        <f>IFERROR(table_DataQualities[unit_ID],"")</f>
        <v>100</v>
      </c>
      <c r="C2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7" spans="1:3" x14ac:dyDescent="0.45">
      <c r="A287" s="3">
        <f>IFERROR(table_DataQualities[ID],"")</f>
        <v>285</v>
      </c>
      <c r="B287" s="3">
        <f ca="1">IFERROR(table_DataQualities[unit_ID],"")</f>
        <v>600</v>
      </c>
      <c r="C2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8" spans="1:3" x14ac:dyDescent="0.45">
      <c r="A288" s="3">
        <f>IFERROR(table_DataQualities[ID],"")</f>
        <v>286</v>
      </c>
      <c r="B288" s="3">
        <f>IFERROR(table_DataQualities[unit_ID],"")</f>
        <v>100</v>
      </c>
      <c r="C2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89" spans="1:3" x14ac:dyDescent="0.45">
      <c r="A289" s="3">
        <f>IFERROR(table_DataQualities[ID],"")</f>
        <v>287</v>
      </c>
      <c r="B289" s="3">
        <f ca="1">IFERROR(table_DataQualities[unit_ID],"")</f>
        <v>500</v>
      </c>
      <c r="C2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0" spans="1:3" x14ac:dyDescent="0.45">
      <c r="A290" s="3">
        <f>IFERROR(table_DataQualities[ID],"")</f>
        <v>288</v>
      </c>
      <c r="B290" s="3">
        <f>IFERROR(table_DataQualities[unit_ID],"")</f>
        <v>100</v>
      </c>
      <c r="C2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1" spans="1:3" x14ac:dyDescent="0.45">
      <c r="A291" s="3">
        <f>IFERROR(table_DataQualities[ID],"")</f>
        <v>289</v>
      </c>
      <c r="B291" s="3">
        <f ca="1">IFERROR(table_DataQualities[unit_ID],"")</f>
        <v>500</v>
      </c>
      <c r="C2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2" spans="1:3" x14ac:dyDescent="0.45">
      <c r="A292" s="3">
        <f>IFERROR(table_DataQualities[ID],"")</f>
        <v>290</v>
      </c>
      <c r="B292" s="3">
        <f>IFERROR(table_DataQualities[unit_ID],"")</f>
        <v>100</v>
      </c>
      <c r="C2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3" spans="1:3" x14ac:dyDescent="0.45">
      <c r="A293" s="3">
        <f>IFERROR(table_DataQualities[ID],"")</f>
        <v>291</v>
      </c>
      <c r="B293" s="3">
        <f ca="1">IFERROR(table_DataQualities[unit_ID],"")</f>
        <v>900</v>
      </c>
      <c r="C2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4" spans="1:3" x14ac:dyDescent="0.45">
      <c r="A294" s="3">
        <f>IFERROR(table_DataQualities[ID],"")</f>
        <v>292</v>
      </c>
      <c r="B294" s="3">
        <f>IFERROR(table_DataQualities[unit_ID],"")</f>
        <v>100</v>
      </c>
      <c r="C2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5" spans="1:3" x14ac:dyDescent="0.45">
      <c r="A295" s="3">
        <f>IFERROR(table_DataQualities[ID],"")</f>
        <v>293</v>
      </c>
      <c r="B295" s="3">
        <f ca="1">IFERROR(table_DataQualities[unit_ID],"")</f>
        <v>600</v>
      </c>
      <c r="C2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6" spans="1:3" x14ac:dyDescent="0.45">
      <c r="A296" s="3">
        <f>IFERROR(table_DataQualities[ID],"")</f>
        <v>294</v>
      </c>
      <c r="B296" s="3">
        <f>IFERROR(table_DataQualities[unit_ID],"")</f>
        <v>100</v>
      </c>
      <c r="C2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7" spans="1:3" x14ac:dyDescent="0.45">
      <c r="A297" s="3">
        <f>IFERROR(table_DataQualities[ID],"")</f>
        <v>295</v>
      </c>
      <c r="B297" s="3">
        <f ca="1">IFERROR(table_DataQualities[unit_ID],"")</f>
        <v>500</v>
      </c>
      <c r="C2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8" spans="1:3" x14ac:dyDescent="0.45">
      <c r="A298" s="3">
        <f>IFERROR(table_DataQualities[ID],"")</f>
        <v>296</v>
      </c>
      <c r="B298" s="3">
        <f>IFERROR(table_DataQualities[unit_ID],"")</f>
        <v>100</v>
      </c>
      <c r="C2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299" spans="1:3" x14ac:dyDescent="0.45">
      <c r="A299" s="3">
        <f>IFERROR(table_DataQualities[ID],"")</f>
        <v>297</v>
      </c>
      <c r="B299" s="3">
        <f ca="1">IFERROR(table_DataQualities[unit_ID],"")</f>
        <v>500</v>
      </c>
      <c r="C2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0" spans="1:3" x14ac:dyDescent="0.45">
      <c r="A300" s="3">
        <f>IFERROR(table_DataQualities[ID],"")</f>
        <v>298</v>
      </c>
      <c r="B300" s="3">
        <f>IFERROR(table_DataQualities[unit_ID],"")</f>
        <v>100</v>
      </c>
      <c r="C3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1" spans="1:3" x14ac:dyDescent="0.45">
      <c r="A301" s="3">
        <f>IFERROR(table_DataQualities[ID],"")</f>
        <v>299</v>
      </c>
      <c r="B301" s="3">
        <f ca="1">IFERROR(table_DataQualities[unit_ID],"")</f>
        <v>1000</v>
      </c>
      <c r="C3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2" spans="1:3" x14ac:dyDescent="0.45">
      <c r="A302" s="3">
        <f>IFERROR(table_DataQualities[ID],"")</f>
        <v>300</v>
      </c>
      <c r="B302" s="3">
        <f>IFERROR(table_DataQualities[unit_ID],"")</f>
        <v>100</v>
      </c>
      <c r="C3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3" spans="1:3" x14ac:dyDescent="0.45">
      <c r="A303" s="3">
        <f>IFERROR(table_DataQualities[ID],"")</f>
        <v>301</v>
      </c>
      <c r="B303" s="3">
        <f ca="1">IFERROR(table_DataQualities[unit_ID],"")</f>
        <v>500</v>
      </c>
      <c r="C3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4" spans="1:3" x14ac:dyDescent="0.45">
      <c r="A304" s="3">
        <f>IFERROR(table_DataQualities[ID],"")</f>
        <v>302</v>
      </c>
      <c r="B304" s="3">
        <f>IFERROR(table_DataQualities[unit_ID],"")</f>
        <v>100</v>
      </c>
      <c r="C3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5" spans="1:3" x14ac:dyDescent="0.45">
      <c r="A305" s="3">
        <f>IFERROR(table_DataQualities[ID],"")</f>
        <v>303</v>
      </c>
      <c r="B305" s="3">
        <f ca="1">IFERROR(table_DataQualities[unit_ID],"")</f>
        <v>800</v>
      </c>
      <c r="C3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6" spans="1:3" x14ac:dyDescent="0.45">
      <c r="A306" s="3">
        <f>IFERROR(table_DataQualities[ID],"")</f>
        <v>304</v>
      </c>
      <c r="B306" s="3">
        <f>IFERROR(table_DataQualities[unit_ID],"")</f>
        <v>100</v>
      </c>
      <c r="C3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7" spans="1:3" x14ac:dyDescent="0.45">
      <c r="A307" s="3">
        <f>IFERROR(table_DataQualities[ID],"")</f>
        <v>305</v>
      </c>
      <c r="B307" s="3">
        <f ca="1">IFERROR(table_DataQualities[unit_ID],"")</f>
        <v>500</v>
      </c>
      <c r="C3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8" spans="1:3" x14ac:dyDescent="0.45">
      <c r="A308" s="3">
        <f>IFERROR(table_DataQualities[ID],"")</f>
        <v>306</v>
      </c>
      <c r="B308" s="3">
        <f>IFERROR(table_DataQualities[unit_ID],"")</f>
        <v>100</v>
      </c>
      <c r="C3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09" spans="1:3" x14ac:dyDescent="0.45">
      <c r="A309" s="3">
        <f>IFERROR(table_DataQualities[ID],"")</f>
        <v>307</v>
      </c>
      <c r="B309" s="3">
        <f ca="1">IFERROR(table_DataQualities[unit_ID],"")</f>
        <v>500</v>
      </c>
      <c r="C3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0" spans="1:3" x14ac:dyDescent="0.45">
      <c r="A310" s="3">
        <f>IFERROR(table_DataQualities[ID],"")</f>
        <v>308</v>
      </c>
      <c r="B310" s="3">
        <f>IFERROR(table_DataQualities[unit_ID],"")</f>
        <v>100</v>
      </c>
      <c r="C3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1" spans="1:3" x14ac:dyDescent="0.45">
      <c r="A311" s="3">
        <f>IFERROR(table_DataQualities[ID],"")</f>
        <v>309</v>
      </c>
      <c r="B311" s="3">
        <f ca="1">IFERROR(table_DataQualities[unit_ID],"")</f>
        <v>1000</v>
      </c>
      <c r="C3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2" spans="1:3" x14ac:dyDescent="0.45">
      <c r="A312" s="3">
        <f>IFERROR(table_DataQualities[ID],"")</f>
        <v>310</v>
      </c>
      <c r="B312" s="3">
        <f>IFERROR(table_DataQualities[unit_ID],"")</f>
        <v>100</v>
      </c>
      <c r="C3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3" spans="1:3" x14ac:dyDescent="0.45">
      <c r="A313" s="3">
        <f>IFERROR(table_DataQualities[ID],"")</f>
        <v>311</v>
      </c>
      <c r="B313" s="3">
        <f ca="1">IFERROR(table_DataQualities[unit_ID],"")</f>
        <v>600</v>
      </c>
      <c r="C3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4" spans="1:3" x14ac:dyDescent="0.45">
      <c r="A314" s="3">
        <f>IFERROR(table_DataQualities[ID],"")</f>
        <v>312</v>
      </c>
      <c r="B314" s="3">
        <f>IFERROR(table_DataQualities[unit_ID],"")</f>
        <v>100</v>
      </c>
      <c r="C3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5" spans="1:3" x14ac:dyDescent="0.45">
      <c r="A315" s="3">
        <f>IFERROR(table_DataQualities[ID],"")</f>
        <v>313</v>
      </c>
      <c r="B315" s="3">
        <f ca="1">IFERROR(table_DataQualities[unit_ID],"")</f>
        <v>800</v>
      </c>
      <c r="C3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6" spans="1:3" x14ac:dyDescent="0.45">
      <c r="A316" s="3">
        <f>IFERROR(table_DataQualities[ID],"")</f>
        <v>314</v>
      </c>
      <c r="B316" s="3">
        <f>IFERROR(table_DataQualities[unit_ID],"")</f>
        <v>100</v>
      </c>
      <c r="C3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7" spans="1:3" x14ac:dyDescent="0.45">
      <c r="A317" s="3">
        <f>IFERROR(table_DataQualities[ID],"")</f>
        <v>315</v>
      </c>
      <c r="B317" s="3">
        <f ca="1">IFERROR(table_DataQualities[unit_ID],"")</f>
        <v>900</v>
      </c>
      <c r="C3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8" spans="1:3" x14ac:dyDescent="0.45">
      <c r="A318" s="3">
        <f>IFERROR(table_DataQualities[ID],"")</f>
        <v>316</v>
      </c>
      <c r="B318" s="3">
        <f>IFERROR(table_DataQualities[unit_ID],"")</f>
        <v>100</v>
      </c>
      <c r="C3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19" spans="1:3" x14ac:dyDescent="0.45">
      <c r="A319" s="3">
        <f>IFERROR(table_DataQualities[ID],"")</f>
        <v>317</v>
      </c>
      <c r="B319" s="3">
        <f ca="1">IFERROR(table_DataQualities[unit_ID],"")</f>
        <v>700</v>
      </c>
      <c r="C3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0" spans="1:3" x14ac:dyDescent="0.45">
      <c r="A320" s="3">
        <f>IFERROR(table_DataQualities[ID],"")</f>
        <v>318</v>
      </c>
      <c r="B320" s="3">
        <f>IFERROR(table_DataQualities[unit_ID],"")</f>
        <v>100</v>
      </c>
      <c r="C3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1" spans="1:3" x14ac:dyDescent="0.45">
      <c r="A321" s="3">
        <f>IFERROR(table_DataQualities[ID],"")</f>
        <v>319</v>
      </c>
      <c r="B321" s="3">
        <f ca="1">IFERROR(table_DataQualities[unit_ID],"")</f>
        <v>700</v>
      </c>
      <c r="C3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2" spans="1:3" x14ac:dyDescent="0.45">
      <c r="A322" s="3">
        <f>IFERROR(table_DataQualities[ID],"")</f>
        <v>320</v>
      </c>
      <c r="B322" s="3">
        <f>IFERROR(table_DataQualities[unit_ID],"")</f>
        <v>100</v>
      </c>
      <c r="C3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3" spans="1:3" x14ac:dyDescent="0.45">
      <c r="A323" s="3">
        <f>IFERROR(table_DataQualities[ID],"")</f>
        <v>321</v>
      </c>
      <c r="B323" s="3">
        <f ca="1">IFERROR(table_DataQualities[unit_ID],"")</f>
        <v>500</v>
      </c>
      <c r="C3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4" spans="1:3" x14ac:dyDescent="0.45">
      <c r="A324" s="3">
        <f>IFERROR(table_DataQualities[ID],"")</f>
        <v>322</v>
      </c>
      <c r="B324" s="3">
        <f>IFERROR(table_DataQualities[unit_ID],"")</f>
        <v>100</v>
      </c>
      <c r="C3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5" spans="1:3" x14ac:dyDescent="0.45">
      <c r="A325" s="3">
        <f>IFERROR(table_DataQualities[ID],"")</f>
        <v>323</v>
      </c>
      <c r="B325" s="3">
        <f ca="1">IFERROR(table_DataQualities[unit_ID],"")</f>
        <v>500</v>
      </c>
      <c r="C3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6" spans="1:3" x14ac:dyDescent="0.45">
      <c r="A326" s="3">
        <f>IFERROR(table_DataQualities[ID],"")</f>
        <v>324</v>
      </c>
      <c r="B326" s="3">
        <f>IFERROR(table_DataQualities[unit_ID],"")</f>
        <v>100</v>
      </c>
      <c r="C3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7" spans="1:3" x14ac:dyDescent="0.45">
      <c r="A327" s="3">
        <f>IFERROR(table_DataQualities[ID],"")</f>
        <v>325</v>
      </c>
      <c r="B327" s="3">
        <f ca="1">IFERROR(table_DataQualities[unit_ID],"")</f>
        <v>700</v>
      </c>
      <c r="C3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8" spans="1:3" x14ac:dyDescent="0.45">
      <c r="A328" s="3">
        <f>IFERROR(table_DataQualities[ID],"")</f>
        <v>326</v>
      </c>
      <c r="B328" s="3">
        <f>IFERROR(table_DataQualities[unit_ID],"")</f>
        <v>100</v>
      </c>
      <c r="C3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29" spans="1:3" x14ac:dyDescent="0.45">
      <c r="A329" s="3">
        <f>IFERROR(table_DataQualities[ID],"")</f>
        <v>327</v>
      </c>
      <c r="B329" s="3">
        <f ca="1">IFERROR(table_DataQualities[unit_ID],"")</f>
        <v>900</v>
      </c>
      <c r="C3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0" spans="1:3" x14ac:dyDescent="0.45">
      <c r="A330" s="3">
        <f>IFERROR(table_DataQualities[ID],"")</f>
        <v>328</v>
      </c>
      <c r="B330" s="3">
        <f>IFERROR(table_DataQualities[unit_ID],"")</f>
        <v>100</v>
      </c>
      <c r="C3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1" spans="1:3" x14ac:dyDescent="0.45">
      <c r="A331" s="3">
        <f>IFERROR(table_DataQualities[ID],"")</f>
        <v>329</v>
      </c>
      <c r="B331" s="3">
        <f ca="1">IFERROR(table_DataQualities[unit_ID],"")</f>
        <v>700</v>
      </c>
      <c r="C3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2" spans="1:3" x14ac:dyDescent="0.45">
      <c r="A332" s="3">
        <f>IFERROR(table_DataQualities[ID],"")</f>
        <v>330</v>
      </c>
      <c r="B332" s="3">
        <f>IFERROR(table_DataQualities[unit_ID],"")</f>
        <v>100</v>
      </c>
      <c r="C3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3" spans="1:3" x14ac:dyDescent="0.45">
      <c r="A333" s="3">
        <f>IFERROR(table_DataQualities[ID],"")</f>
        <v>331</v>
      </c>
      <c r="B333" s="3">
        <f ca="1">IFERROR(table_DataQualities[unit_ID],"")</f>
        <v>600</v>
      </c>
      <c r="C3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4" spans="1:3" x14ac:dyDescent="0.45">
      <c r="A334" s="3">
        <f>IFERROR(table_DataQualities[ID],"")</f>
        <v>332</v>
      </c>
      <c r="B334" s="3">
        <f>IFERROR(table_DataQualities[unit_ID],"")</f>
        <v>100</v>
      </c>
      <c r="C3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5" spans="1:3" x14ac:dyDescent="0.45">
      <c r="A335" s="3">
        <f>IFERROR(table_DataQualities[ID],"")</f>
        <v>333</v>
      </c>
      <c r="B335" s="3">
        <f ca="1">IFERROR(table_DataQualities[unit_ID],"")</f>
        <v>700</v>
      </c>
      <c r="C3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6" spans="1:3" x14ac:dyDescent="0.45">
      <c r="A336" s="3">
        <f>IFERROR(table_DataQualities[ID],"")</f>
        <v>334</v>
      </c>
      <c r="B336" s="3">
        <f>IFERROR(table_DataQualities[unit_ID],"")</f>
        <v>100</v>
      </c>
      <c r="C3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7" spans="1:3" x14ac:dyDescent="0.45">
      <c r="A337" s="3">
        <f>IFERROR(table_DataQualities[ID],"")</f>
        <v>335</v>
      </c>
      <c r="B337" s="3">
        <f ca="1">IFERROR(table_DataQualities[unit_ID],"")</f>
        <v>800</v>
      </c>
      <c r="C3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8" spans="1:3" x14ac:dyDescent="0.45">
      <c r="A338" s="3">
        <f>IFERROR(table_DataQualities[ID],"")</f>
        <v>336</v>
      </c>
      <c r="B338" s="3">
        <f>IFERROR(table_DataQualities[unit_ID],"")</f>
        <v>100</v>
      </c>
      <c r="C3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39" spans="1:3" x14ac:dyDescent="0.45">
      <c r="A339" s="3">
        <f>IFERROR(table_DataQualities[ID],"")</f>
        <v>337</v>
      </c>
      <c r="B339" s="3">
        <f ca="1">IFERROR(table_DataQualities[unit_ID],"")</f>
        <v>900</v>
      </c>
      <c r="C3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0" spans="1:3" x14ac:dyDescent="0.45">
      <c r="A340" s="3">
        <f>IFERROR(table_DataQualities[ID],"")</f>
        <v>338</v>
      </c>
      <c r="B340" s="3">
        <f>IFERROR(table_DataQualities[unit_ID],"")</f>
        <v>100</v>
      </c>
      <c r="C3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1" spans="1:3" x14ac:dyDescent="0.45">
      <c r="A341" s="3">
        <f>IFERROR(table_DataQualities[ID],"")</f>
        <v>339</v>
      </c>
      <c r="B341" s="3">
        <f ca="1">IFERROR(table_DataQualities[unit_ID],"")</f>
        <v>600</v>
      </c>
      <c r="C3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2" spans="1:3" x14ac:dyDescent="0.45">
      <c r="A342" s="3">
        <f>IFERROR(table_DataQualities[ID],"")</f>
        <v>340</v>
      </c>
      <c r="B342" s="3">
        <f>IFERROR(table_DataQualities[unit_ID],"")</f>
        <v>100</v>
      </c>
      <c r="C3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3" spans="1:3" x14ac:dyDescent="0.45">
      <c r="A343" s="3">
        <f>IFERROR(table_DataQualities[ID],"")</f>
        <v>341</v>
      </c>
      <c r="B343" s="3">
        <f ca="1">IFERROR(table_DataQualities[unit_ID],"")</f>
        <v>700</v>
      </c>
      <c r="C3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4" spans="1:3" x14ac:dyDescent="0.45">
      <c r="A344" s="3">
        <f>IFERROR(table_DataQualities[ID],"")</f>
        <v>342</v>
      </c>
      <c r="B344" s="3">
        <f>IFERROR(table_DataQualities[unit_ID],"")</f>
        <v>100</v>
      </c>
      <c r="C3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5" spans="1:3" x14ac:dyDescent="0.45">
      <c r="A345" s="3">
        <f>IFERROR(table_DataQualities[ID],"")</f>
        <v>343</v>
      </c>
      <c r="B345" s="3">
        <f ca="1">IFERROR(table_DataQualities[unit_ID],"")</f>
        <v>600</v>
      </c>
      <c r="C3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6" spans="1:3" x14ac:dyDescent="0.45">
      <c r="A346" s="3">
        <f>IFERROR(table_DataQualities[ID],"")</f>
        <v>344</v>
      </c>
      <c r="B346" s="3">
        <f>IFERROR(table_DataQualities[unit_ID],"")</f>
        <v>100</v>
      </c>
      <c r="C3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7" spans="1:3" x14ac:dyDescent="0.45">
      <c r="A347" s="3">
        <f>IFERROR(table_DataQualities[ID],"")</f>
        <v>345</v>
      </c>
      <c r="B347" s="3">
        <f ca="1">IFERROR(table_DataQualities[unit_ID],"")</f>
        <v>500</v>
      </c>
      <c r="C3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8" spans="1:3" x14ac:dyDescent="0.45">
      <c r="A348" s="3">
        <f>IFERROR(table_DataQualities[ID],"")</f>
        <v>346</v>
      </c>
      <c r="B348" s="3">
        <f>IFERROR(table_DataQualities[unit_ID],"")</f>
        <v>100</v>
      </c>
      <c r="C3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49" spans="1:3" x14ac:dyDescent="0.45">
      <c r="A349" s="3">
        <f>IFERROR(table_DataQualities[ID],"")</f>
        <v>347</v>
      </c>
      <c r="B349" s="3">
        <f ca="1">IFERROR(table_DataQualities[unit_ID],"")</f>
        <v>700</v>
      </c>
      <c r="C3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0" spans="1:3" x14ac:dyDescent="0.45">
      <c r="A350" s="3">
        <f>IFERROR(table_DataQualities[ID],"")</f>
        <v>348</v>
      </c>
      <c r="B350" s="3">
        <f>IFERROR(table_DataQualities[unit_ID],"")</f>
        <v>100</v>
      </c>
      <c r="C3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1" spans="1:3" x14ac:dyDescent="0.45">
      <c r="A351" s="3">
        <f>IFERROR(table_DataQualities[ID],"")</f>
        <v>349</v>
      </c>
      <c r="B351" s="3">
        <f ca="1">IFERROR(table_DataQualities[unit_ID],"")</f>
        <v>800</v>
      </c>
      <c r="C3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2" spans="1:3" x14ac:dyDescent="0.45">
      <c r="A352" s="3">
        <f>IFERROR(table_DataQualities[ID],"")</f>
        <v>350</v>
      </c>
      <c r="B352" s="3">
        <f>IFERROR(table_DataQualities[unit_ID],"")</f>
        <v>100</v>
      </c>
      <c r="C3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3" spans="1:3" x14ac:dyDescent="0.45">
      <c r="A353" s="3">
        <f>IFERROR(table_DataQualities[ID],"")</f>
        <v>351</v>
      </c>
      <c r="B353" s="3">
        <f ca="1">IFERROR(table_DataQualities[unit_ID],"")</f>
        <v>600</v>
      </c>
      <c r="C3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4" spans="1:3" x14ac:dyDescent="0.45">
      <c r="A354" s="3">
        <f>IFERROR(table_DataQualities[ID],"")</f>
        <v>352</v>
      </c>
      <c r="B354" s="3">
        <f>IFERROR(table_DataQualities[unit_ID],"")</f>
        <v>100</v>
      </c>
      <c r="C3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5" spans="1:3" x14ac:dyDescent="0.45">
      <c r="A355" s="3">
        <f>IFERROR(table_DataQualities[ID],"")</f>
        <v>353</v>
      </c>
      <c r="B355" s="3">
        <f ca="1">IFERROR(table_DataQualities[unit_ID],"")</f>
        <v>800</v>
      </c>
      <c r="C3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6" spans="1:3" x14ac:dyDescent="0.45">
      <c r="A356" s="3">
        <f>IFERROR(table_DataQualities[ID],"")</f>
        <v>354</v>
      </c>
      <c r="B356" s="3">
        <f>IFERROR(table_DataQualities[unit_ID],"")</f>
        <v>100</v>
      </c>
      <c r="C3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7" spans="1:3" x14ac:dyDescent="0.45">
      <c r="A357" s="3">
        <f>IFERROR(table_DataQualities[ID],"")</f>
        <v>355</v>
      </c>
      <c r="B357" s="3">
        <f ca="1">IFERROR(table_DataQualities[unit_ID],"")</f>
        <v>900</v>
      </c>
      <c r="C3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8" spans="1:3" x14ac:dyDescent="0.45">
      <c r="A358" s="3">
        <f>IFERROR(table_DataQualities[ID],"")</f>
        <v>356</v>
      </c>
      <c r="B358" s="3">
        <f>IFERROR(table_DataQualities[unit_ID],"")</f>
        <v>100</v>
      </c>
      <c r="C3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59" spans="1:3" x14ac:dyDescent="0.45">
      <c r="A359" s="3">
        <f>IFERROR(table_DataQualities[ID],"")</f>
        <v>357</v>
      </c>
      <c r="B359" s="3">
        <f ca="1">IFERROR(table_DataQualities[unit_ID],"")</f>
        <v>800</v>
      </c>
      <c r="C3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0" spans="1:3" x14ac:dyDescent="0.45">
      <c r="A360" s="3">
        <f>IFERROR(table_DataQualities[ID],"")</f>
        <v>358</v>
      </c>
      <c r="B360" s="3">
        <f>IFERROR(table_DataQualities[unit_ID],"")</f>
        <v>100</v>
      </c>
      <c r="C3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1" spans="1:3" x14ac:dyDescent="0.45">
      <c r="A361" s="3">
        <f>IFERROR(table_DataQualities[ID],"")</f>
        <v>359</v>
      </c>
      <c r="B361" s="3">
        <f ca="1">IFERROR(table_DataQualities[unit_ID],"")</f>
        <v>800</v>
      </c>
      <c r="C3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2" spans="1:3" x14ac:dyDescent="0.45">
      <c r="A362" s="3">
        <f>IFERROR(table_DataQualities[ID],"")</f>
        <v>360</v>
      </c>
      <c r="B362" s="3">
        <f>IFERROR(table_DataQualities[unit_ID],"")</f>
        <v>100</v>
      </c>
      <c r="C3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3" spans="1:3" x14ac:dyDescent="0.45">
      <c r="A363" s="3">
        <f>IFERROR(table_DataQualities[ID],"")</f>
        <v>361</v>
      </c>
      <c r="B363" s="3">
        <f ca="1">IFERROR(table_DataQualities[unit_ID],"")</f>
        <v>800</v>
      </c>
      <c r="C3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4" spans="1:3" x14ac:dyDescent="0.45">
      <c r="A364" s="3">
        <f>IFERROR(table_DataQualities[ID],"")</f>
        <v>362</v>
      </c>
      <c r="B364" s="3">
        <f>IFERROR(table_DataQualities[unit_ID],"")</f>
        <v>100</v>
      </c>
      <c r="C3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5" spans="1:3" x14ac:dyDescent="0.45">
      <c r="A365" s="3">
        <f>IFERROR(table_DataQualities[ID],"")</f>
        <v>363</v>
      </c>
      <c r="B365" s="3">
        <f ca="1">IFERROR(table_DataQualities[unit_ID],"")</f>
        <v>600</v>
      </c>
      <c r="C3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6" spans="1:3" x14ac:dyDescent="0.45">
      <c r="A366" s="3">
        <f>IFERROR(table_DataQualities[ID],"")</f>
        <v>364</v>
      </c>
      <c r="B366" s="3">
        <f>IFERROR(table_DataQualities[unit_ID],"")</f>
        <v>100</v>
      </c>
      <c r="C3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7" spans="1:3" x14ac:dyDescent="0.45">
      <c r="A367" s="3">
        <f>IFERROR(table_DataQualities[ID],"")</f>
        <v>365</v>
      </c>
      <c r="B367" s="3">
        <f ca="1">IFERROR(table_DataQualities[unit_ID],"")</f>
        <v>500</v>
      </c>
      <c r="C3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8" spans="1:3" x14ac:dyDescent="0.45">
      <c r="A368" s="3">
        <f>IFERROR(table_DataQualities[ID],"")</f>
        <v>366</v>
      </c>
      <c r="B368" s="3">
        <f>IFERROR(table_DataQualities[unit_ID],"")</f>
        <v>100</v>
      </c>
      <c r="C3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69" spans="1:3" x14ac:dyDescent="0.45">
      <c r="A369" s="3">
        <f>IFERROR(table_DataQualities[ID],"")</f>
        <v>367</v>
      </c>
      <c r="B369" s="3">
        <f ca="1">IFERROR(table_DataQualities[unit_ID],"")</f>
        <v>700</v>
      </c>
      <c r="C3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0" spans="1:3" x14ac:dyDescent="0.45">
      <c r="A370" s="3">
        <f>IFERROR(table_DataQualities[ID],"")</f>
        <v>368</v>
      </c>
      <c r="B370" s="3">
        <f>IFERROR(table_DataQualities[unit_ID],"")</f>
        <v>100</v>
      </c>
      <c r="C3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1" spans="1:3" x14ac:dyDescent="0.45">
      <c r="A371" s="3">
        <f>IFERROR(table_DataQualities[ID],"")</f>
        <v>369</v>
      </c>
      <c r="B371" s="3">
        <f ca="1">IFERROR(table_DataQualities[unit_ID],"")</f>
        <v>600</v>
      </c>
      <c r="C3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2" spans="1:3" x14ac:dyDescent="0.45">
      <c r="A372" s="3">
        <f>IFERROR(table_DataQualities[ID],"")</f>
        <v>370</v>
      </c>
      <c r="B372" s="3">
        <f>IFERROR(table_DataQualities[unit_ID],"")</f>
        <v>100</v>
      </c>
      <c r="C3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3" spans="1:3" x14ac:dyDescent="0.45">
      <c r="A373" s="3">
        <f>IFERROR(table_DataQualities[ID],"")</f>
        <v>371</v>
      </c>
      <c r="B373" s="3">
        <f ca="1">IFERROR(table_DataQualities[unit_ID],"")</f>
        <v>500</v>
      </c>
      <c r="C3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4" spans="1:3" x14ac:dyDescent="0.45">
      <c r="A374" s="3">
        <f>IFERROR(table_DataQualities[ID],"")</f>
        <v>372</v>
      </c>
      <c r="B374" s="3">
        <f>IFERROR(table_DataQualities[unit_ID],"")</f>
        <v>100</v>
      </c>
      <c r="C3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5" spans="1:3" x14ac:dyDescent="0.45">
      <c r="A375" s="3">
        <f>IFERROR(table_DataQualities[ID],"")</f>
        <v>373</v>
      </c>
      <c r="B375" s="3">
        <f ca="1">IFERROR(table_DataQualities[unit_ID],"")</f>
        <v>900</v>
      </c>
      <c r="C3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6" spans="1:3" x14ac:dyDescent="0.45">
      <c r="A376" s="3">
        <f>IFERROR(table_DataQualities[ID],"")</f>
        <v>374</v>
      </c>
      <c r="B376" s="3">
        <f>IFERROR(table_DataQualities[unit_ID],"")</f>
        <v>100</v>
      </c>
      <c r="C3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7" spans="1:3" x14ac:dyDescent="0.45">
      <c r="A377" s="3">
        <f>IFERROR(table_DataQualities[ID],"")</f>
        <v>375</v>
      </c>
      <c r="B377" s="3">
        <f ca="1">IFERROR(table_DataQualities[unit_ID],"")</f>
        <v>500</v>
      </c>
      <c r="C3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8" spans="1:3" x14ac:dyDescent="0.45">
      <c r="A378" s="3">
        <f>IFERROR(table_DataQualities[ID],"")</f>
        <v>376</v>
      </c>
      <c r="B378" s="3">
        <f>IFERROR(table_DataQualities[unit_ID],"")</f>
        <v>100</v>
      </c>
      <c r="C3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79" spans="1:3" x14ac:dyDescent="0.45">
      <c r="A379" s="3">
        <f>IFERROR(table_DataQualities[ID],"")</f>
        <v>377</v>
      </c>
      <c r="B379" s="3">
        <f ca="1">IFERROR(table_DataQualities[unit_ID],"")</f>
        <v>600</v>
      </c>
      <c r="C3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0" spans="1:3" x14ac:dyDescent="0.45">
      <c r="A380" s="3">
        <f>IFERROR(table_DataQualities[ID],"")</f>
        <v>378</v>
      </c>
      <c r="B380" s="3">
        <f>IFERROR(table_DataQualities[unit_ID],"")</f>
        <v>100</v>
      </c>
      <c r="C3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1" spans="1:3" x14ac:dyDescent="0.45">
      <c r="A381" s="3">
        <f>IFERROR(table_DataQualities[ID],"")</f>
        <v>379</v>
      </c>
      <c r="B381" s="3">
        <f ca="1">IFERROR(table_DataQualities[unit_ID],"")</f>
        <v>700</v>
      </c>
      <c r="C3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2" spans="1:3" x14ac:dyDescent="0.45">
      <c r="A382" s="3">
        <f>IFERROR(table_DataQualities[ID],"")</f>
        <v>380</v>
      </c>
      <c r="B382" s="3">
        <f>IFERROR(table_DataQualities[unit_ID],"")</f>
        <v>100</v>
      </c>
      <c r="C3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3" spans="1:3" x14ac:dyDescent="0.45">
      <c r="A383" s="3">
        <f>IFERROR(table_DataQualities[ID],"")</f>
        <v>381</v>
      </c>
      <c r="B383" s="3">
        <f ca="1">IFERROR(table_DataQualities[unit_ID],"")</f>
        <v>600</v>
      </c>
      <c r="C3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4" spans="1:3" x14ac:dyDescent="0.45">
      <c r="A384" s="3">
        <f>IFERROR(table_DataQualities[ID],"")</f>
        <v>382</v>
      </c>
      <c r="B384" s="3">
        <f>IFERROR(table_DataQualities[unit_ID],"")</f>
        <v>100</v>
      </c>
      <c r="C3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5" spans="1:3" x14ac:dyDescent="0.45">
      <c r="A385" s="3">
        <f>IFERROR(table_DataQualities[ID],"")</f>
        <v>383</v>
      </c>
      <c r="B385" s="3">
        <f ca="1">IFERROR(table_DataQualities[unit_ID],"")</f>
        <v>500</v>
      </c>
      <c r="C3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6" spans="1:3" x14ac:dyDescent="0.45">
      <c r="A386" s="3">
        <f>IFERROR(table_DataQualities[ID],"")</f>
        <v>384</v>
      </c>
      <c r="B386" s="3">
        <f>IFERROR(table_DataQualities[unit_ID],"")</f>
        <v>100</v>
      </c>
      <c r="C3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7" spans="1:3" x14ac:dyDescent="0.45">
      <c r="A387" s="3">
        <f>IFERROR(table_DataQualities[ID],"")</f>
        <v>385</v>
      </c>
      <c r="B387" s="3">
        <f ca="1">IFERROR(table_DataQualities[unit_ID],"")</f>
        <v>800</v>
      </c>
      <c r="C3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8" spans="1:3" x14ac:dyDescent="0.45">
      <c r="A388" s="3">
        <f>IFERROR(table_DataQualities[ID],"")</f>
        <v>386</v>
      </c>
      <c r="B388" s="3">
        <f>IFERROR(table_DataQualities[unit_ID],"")</f>
        <v>100</v>
      </c>
      <c r="C3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89" spans="1:3" x14ac:dyDescent="0.45">
      <c r="A389" s="3">
        <f>IFERROR(table_DataQualities[ID],"")</f>
        <v>387</v>
      </c>
      <c r="B389" s="3">
        <f ca="1">IFERROR(table_DataQualities[unit_ID],"")</f>
        <v>800</v>
      </c>
      <c r="C3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0" spans="1:3" x14ac:dyDescent="0.45">
      <c r="A390" s="3">
        <f>IFERROR(table_DataQualities[ID],"")</f>
        <v>388</v>
      </c>
      <c r="B390" s="3">
        <f>IFERROR(table_DataQualities[unit_ID],"")</f>
        <v>100</v>
      </c>
      <c r="C3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1" spans="1:3" x14ac:dyDescent="0.45">
      <c r="A391" s="3">
        <f>IFERROR(table_DataQualities[ID],"")</f>
        <v>389</v>
      </c>
      <c r="B391" s="3">
        <f ca="1">IFERROR(table_DataQualities[unit_ID],"")</f>
        <v>1000</v>
      </c>
      <c r="C3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2" spans="1:3" x14ac:dyDescent="0.45">
      <c r="A392" s="3">
        <f>IFERROR(table_DataQualities[ID],"")</f>
        <v>390</v>
      </c>
      <c r="B392" s="3">
        <f>IFERROR(table_DataQualities[unit_ID],"")</f>
        <v>100</v>
      </c>
      <c r="C3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3" spans="1:3" x14ac:dyDescent="0.45">
      <c r="A393" s="3">
        <f>IFERROR(table_DataQualities[ID],"")</f>
        <v>391</v>
      </c>
      <c r="B393" s="3">
        <f ca="1">IFERROR(table_DataQualities[unit_ID],"")</f>
        <v>600</v>
      </c>
      <c r="C3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4" spans="1:3" x14ac:dyDescent="0.45">
      <c r="A394" s="3">
        <f>IFERROR(table_DataQualities[ID],"")</f>
        <v>392</v>
      </c>
      <c r="B394" s="3">
        <f>IFERROR(table_DataQualities[unit_ID],"")</f>
        <v>100</v>
      </c>
      <c r="C3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5" spans="1:3" x14ac:dyDescent="0.45">
      <c r="A395" s="3">
        <f>IFERROR(table_DataQualities[ID],"")</f>
        <v>393</v>
      </c>
      <c r="B395" s="3">
        <f ca="1">IFERROR(table_DataQualities[unit_ID],"")</f>
        <v>1000</v>
      </c>
      <c r="C3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6" spans="1:3" x14ac:dyDescent="0.45">
      <c r="A396" s="3">
        <f>IFERROR(table_DataQualities[ID],"")</f>
        <v>394</v>
      </c>
      <c r="B396" s="3">
        <f>IFERROR(table_DataQualities[unit_ID],"")</f>
        <v>100</v>
      </c>
      <c r="C3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7" spans="1:3" x14ac:dyDescent="0.45">
      <c r="A397" s="3">
        <f>IFERROR(table_DataQualities[ID],"")</f>
        <v>395</v>
      </c>
      <c r="B397" s="3">
        <f ca="1">IFERROR(table_DataQualities[unit_ID],"")</f>
        <v>1000</v>
      </c>
      <c r="C3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8" spans="1:3" x14ac:dyDescent="0.45">
      <c r="A398" s="3">
        <f>IFERROR(table_DataQualities[ID],"")</f>
        <v>396</v>
      </c>
      <c r="B398" s="3">
        <f>IFERROR(table_DataQualities[unit_ID],"")</f>
        <v>100</v>
      </c>
      <c r="C3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399" spans="1:3" x14ac:dyDescent="0.45">
      <c r="A399" s="3">
        <f>IFERROR(table_DataQualities[ID],"")</f>
        <v>397</v>
      </c>
      <c r="B399" s="3">
        <f ca="1">IFERROR(table_DataQualities[unit_ID],"")</f>
        <v>800</v>
      </c>
      <c r="C3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0" spans="1:3" x14ac:dyDescent="0.45">
      <c r="A400" s="3">
        <f>IFERROR(table_DataQualities[ID],"")</f>
        <v>398</v>
      </c>
      <c r="B400" s="3">
        <f>IFERROR(table_DataQualities[unit_ID],"")</f>
        <v>100</v>
      </c>
      <c r="C4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1" spans="1:3" x14ac:dyDescent="0.45">
      <c r="A401" s="3">
        <f>IFERROR(table_DataQualities[ID],"")</f>
        <v>399</v>
      </c>
      <c r="B401" s="3">
        <f ca="1">IFERROR(table_DataQualities[unit_ID],"")</f>
        <v>800</v>
      </c>
      <c r="C4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2" spans="1:3" x14ac:dyDescent="0.45">
      <c r="A402" s="3">
        <f>IFERROR(table_DataQualities[ID],"")</f>
        <v>400</v>
      </c>
      <c r="B402" s="3">
        <f>IFERROR(table_DataQualities[unit_ID],"")</f>
        <v>100</v>
      </c>
      <c r="C4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3" spans="1:3" x14ac:dyDescent="0.45">
      <c r="A403" s="3">
        <f>IFERROR(table_DataQualities[ID],"")</f>
        <v>401</v>
      </c>
      <c r="B403" s="3">
        <f ca="1">IFERROR(table_DataQualities[unit_ID],"")</f>
        <v>600</v>
      </c>
      <c r="C4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4" spans="1:3" x14ac:dyDescent="0.45">
      <c r="A404" s="3" t="str">
        <f>IFERROR(table_DataQualities[ID],"")</f>
        <v/>
      </c>
      <c r="B404" s="3" t="str">
        <f>IFERROR(table_DataQualities[unit_ID],"")</f>
        <v/>
      </c>
      <c r="C4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5" spans="1:3" x14ac:dyDescent="0.45">
      <c r="A405" s="3" t="str">
        <f>IFERROR(table_DataQualities[ID],"")</f>
        <v/>
      </c>
      <c r="B405" s="3" t="str">
        <f>IFERROR(table_DataQualities[unit_ID],"")</f>
        <v/>
      </c>
      <c r="C4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6" spans="1:3" x14ac:dyDescent="0.45">
      <c r="A406" s="3" t="str">
        <f>IFERROR(table_DataQualities[ID],"")</f>
        <v/>
      </c>
      <c r="B406" s="3" t="str">
        <f>IFERROR(table_DataQualities[unit_ID],"")</f>
        <v/>
      </c>
      <c r="C4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7" spans="1:3" x14ac:dyDescent="0.45">
      <c r="A407" s="3" t="str">
        <f>IFERROR(table_DataQualities[ID],"")</f>
        <v/>
      </c>
      <c r="B407" s="3" t="str">
        <f>IFERROR(table_DataQualities[unit_ID],"")</f>
        <v/>
      </c>
      <c r="C4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8" spans="1:3" x14ac:dyDescent="0.45">
      <c r="A408" s="3" t="str">
        <f>IFERROR(table_DataQualities[ID],"")</f>
        <v/>
      </c>
      <c r="B408" s="3" t="str">
        <f>IFERROR(table_DataQualities[unit_ID],"")</f>
        <v/>
      </c>
      <c r="C4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09" spans="1:3" x14ac:dyDescent="0.45">
      <c r="A409" s="3" t="str">
        <f>IFERROR(table_DataQualities[ID],"")</f>
        <v/>
      </c>
      <c r="B409" s="3" t="str">
        <f>IFERROR(table_DataQualities[unit_ID],"")</f>
        <v/>
      </c>
      <c r="C4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0" spans="1:3" x14ac:dyDescent="0.45">
      <c r="A410" s="3" t="str">
        <f>IFERROR(table_DataQualities[ID],"")</f>
        <v/>
      </c>
      <c r="B410" s="3" t="str">
        <f>IFERROR(table_DataQualities[unit_ID],"")</f>
        <v/>
      </c>
      <c r="C4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1" spans="1:3" x14ac:dyDescent="0.45">
      <c r="A411" s="3" t="str">
        <f>IFERROR(table_DataQualities[ID],"")</f>
        <v/>
      </c>
      <c r="B411" s="3" t="str">
        <f>IFERROR(table_DataQualities[unit_ID],"")</f>
        <v/>
      </c>
      <c r="C4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2" spans="1:3" x14ac:dyDescent="0.45">
      <c r="A412" s="3" t="str">
        <f>IFERROR(table_DataQualities[ID],"")</f>
        <v/>
      </c>
      <c r="B412" s="3" t="str">
        <f>IFERROR(table_DataQualities[unit_ID],"")</f>
        <v/>
      </c>
      <c r="C4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3" spans="1:3" x14ac:dyDescent="0.45">
      <c r="A413" s="3" t="str">
        <f>IFERROR(table_DataQualities[ID],"")</f>
        <v/>
      </c>
      <c r="B413" s="3" t="str">
        <f>IFERROR(table_DataQualities[unit_ID],"")</f>
        <v/>
      </c>
      <c r="C4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4" spans="1:3" x14ac:dyDescent="0.45">
      <c r="A414" s="3" t="str">
        <f>IFERROR(table_DataQualities[ID],"")</f>
        <v/>
      </c>
      <c r="B414" s="3" t="str">
        <f>IFERROR(table_DataQualities[unit_ID],"")</f>
        <v/>
      </c>
      <c r="C4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5" spans="1:3" x14ac:dyDescent="0.45">
      <c r="A415" s="3" t="str">
        <f>IFERROR(table_DataQualities[ID],"")</f>
        <v/>
      </c>
      <c r="B415" s="3" t="str">
        <f>IFERROR(table_DataQualities[unit_ID],"")</f>
        <v/>
      </c>
      <c r="C4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6" spans="1:3" x14ac:dyDescent="0.45">
      <c r="A416" s="3" t="str">
        <f>IFERROR(table_DataQualities[ID],"")</f>
        <v/>
      </c>
      <c r="B416" s="3" t="str">
        <f>IFERROR(table_DataQualities[unit_ID],"")</f>
        <v/>
      </c>
      <c r="C4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7" spans="1:3" x14ac:dyDescent="0.45">
      <c r="A417" s="3" t="str">
        <f>IFERROR(table_DataQualities[ID],"")</f>
        <v/>
      </c>
      <c r="B417" s="3" t="str">
        <f>IFERROR(table_DataQualities[unit_ID],"")</f>
        <v/>
      </c>
      <c r="C4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8" spans="1:3" x14ac:dyDescent="0.45">
      <c r="A418" s="3" t="str">
        <f>IFERROR(table_DataQualities[ID],"")</f>
        <v/>
      </c>
      <c r="B418" s="3" t="str">
        <f>IFERROR(table_DataQualities[unit_ID],"")</f>
        <v/>
      </c>
      <c r="C4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19" spans="1:3" x14ac:dyDescent="0.45">
      <c r="A419" s="3" t="str">
        <f>IFERROR(table_DataQualities[ID],"")</f>
        <v/>
      </c>
      <c r="B419" s="3" t="str">
        <f>IFERROR(table_DataQualities[unit_ID],"")</f>
        <v/>
      </c>
      <c r="C4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0" spans="1:3" x14ac:dyDescent="0.45">
      <c r="A420" s="3" t="str">
        <f>IFERROR(table_DataQualities[ID],"")</f>
        <v/>
      </c>
      <c r="B420" s="3" t="str">
        <f>IFERROR(table_DataQualities[unit_ID],"")</f>
        <v/>
      </c>
      <c r="C4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1" spans="1:3" x14ac:dyDescent="0.45">
      <c r="A421" s="3" t="str">
        <f>IFERROR(table_DataQualities[ID],"")</f>
        <v/>
      </c>
      <c r="B421" s="3" t="str">
        <f>IFERROR(table_DataQualities[unit_ID],"")</f>
        <v/>
      </c>
      <c r="C4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2" spans="1:3" x14ac:dyDescent="0.45">
      <c r="A422" s="3" t="str">
        <f>IFERROR(table_DataQualities[ID],"")</f>
        <v/>
      </c>
      <c r="B422" s="3" t="str">
        <f>IFERROR(table_DataQualities[unit_ID],"")</f>
        <v/>
      </c>
      <c r="C4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3" spans="1:3" x14ac:dyDescent="0.45">
      <c r="A423" s="3" t="str">
        <f>IFERROR(table_DataQualities[ID],"")</f>
        <v/>
      </c>
      <c r="B423" s="3" t="str">
        <f>IFERROR(table_DataQualities[unit_ID],"")</f>
        <v/>
      </c>
      <c r="C4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4" spans="1:3" x14ac:dyDescent="0.45">
      <c r="A424" s="3" t="str">
        <f>IFERROR(table_DataQualities[ID],"")</f>
        <v/>
      </c>
      <c r="B424" s="3" t="str">
        <f>IFERROR(table_DataQualities[unit_ID],"")</f>
        <v/>
      </c>
      <c r="C4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5" spans="1:3" x14ac:dyDescent="0.45">
      <c r="A425" s="3" t="str">
        <f>IFERROR(table_DataQualities[ID],"")</f>
        <v/>
      </c>
      <c r="B425" s="3" t="str">
        <f>IFERROR(table_DataQualities[unit_ID],"")</f>
        <v/>
      </c>
      <c r="C4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6" spans="1:3" x14ac:dyDescent="0.45">
      <c r="A426" s="3" t="str">
        <f>IFERROR(table_DataQualities[ID],"")</f>
        <v/>
      </c>
      <c r="B426" s="3" t="str">
        <f>IFERROR(table_DataQualities[unit_ID],"")</f>
        <v/>
      </c>
      <c r="C4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7" spans="1:3" x14ac:dyDescent="0.45">
      <c r="A427" s="3" t="str">
        <f>IFERROR(table_DataQualities[ID],"")</f>
        <v/>
      </c>
      <c r="B427" s="3" t="str">
        <f>IFERROR(table_DataQualities[unit_ID],"")</f>
        <v/>
      </c>
      <c r="C4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8" spans="1:3" x14ac:dyDescent="0.45">
      <c r="A428" s="3" t="str">
        <f>IFERROR(table_DataQualities[ID],"")</f>
        <v/>
      </c>
      <c r="B428" s="3" t="str">
        <f>IFERROR(table_DataQualities[unit_ID],"")</f>
        <v/>
      </c>
      <c r="C4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29" spans="1:3" x14ac:dyDescent="0.45">
      <c r="A429" s="3" t="str">
        <f>IFERROR(table_DataQualities[ID],"")</f>
        <v/>
      </c>
      <c r="B429" s="3" t="str">
        <f>IFERROR(table_DataQualities[unit_ID],"")</f>
        <v/>
      </c>
      <c r="C4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0" spans="1:3" x14ac:dyDescent="0.45">
      <c r="A430" s="3" t="str">
        <f>IFERROR(table_DataQualities[ID],"")</f>
        <v/>
      </c>
      <c r="B430" s="3" t="str">
        <f>IFERROR(table_DataQualities[unit_ID],"")</f>
        <v/>
      </c>
      <c r="C4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1" spans="1:3" x14ac:dyDescent="0.45">
      <c r="A431" s="3" t="str">
        <f>IFERROR(table_DataQualities[ID],"")</f>
        <v/>
      </c>
      <c r="B431" s="3" t="str">
        <f>IFERROR(table_DataQualities[unit_ID],"")</f>
        <v/>
      </c>
      <c r="C4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2" spans="1:3" x14ac:dyDescent="0.45">
      <c r="A432" s="3" t="str">
        <f>IFERROR(table_DataQualities[ID],"")</f>
        <v/>
      </c>
      <c r="B432" s="3" t="str">
        <f>IFERROR(table_DataQualities[unit_ID],"")</f>
        <v/>
      </c>
      <c r="C4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3" spans="1:3" x14ac:dyDescent="0.45">
      <c r="A433" s="3" t="str">
        <f>IFERROR(table_DataQualities[ID],"")</f>
        <v/>
      </c>
      <c r="B433" s="3" t="str">
        <f>IFERROR(table_DataQualities[unit_ID],"")</f>
        <v/>
      </c>
      <c r="C4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4" spans="1:3" x14ac:dyDescent="0.45">
      <c r="A434" s="3" t="str">
        <f>IFERROR(table_DataQualities[ID],"")</f>
        <v/>
      </c>
      <c r="B434" s="3" t="str">
        <f>IFERROR(table_DataQualities[unit_ID],"")</f>
        <v/>
      </c>
      <c r="C4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5" spans="1:3" x14ac:dyDescent="0.45">
      <c r="A435" s="3" t="str">
        <f>IFERROR(table_DataQualities[ID],"")</f>
        <v/>
      </c>
      <c r="B435" s="3" t="str">
        <f>IFERROR(table_DataQualities[unit_ID],"")</f>
        <v/>
      </c>
      <c r="C4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6" spans="1:3" x14ac:dyDescent="0.45">
      <c r="A436" s="3" t="str">
        <f>IFERROR(table_DataQualities[ID],"")</f>
        <v/>
      </c>
      <c r="B436" s="3" t="str">
        <f>IFERROR(table_DataQualities[unit_ID],"")</f>
        <v/>
      </c>
      <c r="C4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7" spans="1:3" x14ac:dyDescent="0.45">
      <c r="A437" s="3" t="str">
        <f>IFERROR(table_DataQualities[ID],"")</f>
        <v/>
      </c>
      <c r="B437" s="3" t="str">
        <f>IFERROR(table_DataQualities[unit_ID],"")</f>
        <v/>
      </c>
      <c r="C4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8" spans="1:3" x14ac:dyDescent="0.45">
      <c r="A438" s="3" t="str">
        <f>IFERROR(table_DataQualities[ID],"")</f>
        <v/>
      </c>
      <c r="B438" s="3" t="str">
        <f>IFERROR(table_DataQualities[unit_ID],"")</f>
        <v/>
      </c>
      <c r="C4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39" spans="1:3" x14ac:dyDescent="0.45">
      <c r="A439" s="3" t="str">
        <f>IFERROR(table_DataQualities[ID],"")</f>
        <v/>
      </c>
      <c r="B439" s="3" t="str">
        <f>IFERROR(table_DataQualities[unit_ID],"")</f>
        <v/>
      </c>
      <c r="C4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0" spans="1:3" x14ac:dyDescent="0.45">
      <c r="A440" s="3" t="str">
        <f>IFERROR(table_DataQualities[ID],"")</f>
        <v/>
      </c>
      <c r="B440" s="3" t="str">
        <f>IFERROR(table_DataQualities[unit_ID],"")</f>
        <v/>
      </c>
      <c r="C4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1" spans="1:3" x14ac:dyDescent="0.45">
      <c r="A441" s="3" t="str">
        <f>IFERROR(table_DataQualities[ID],"")</f>
        <v/>
      </c>
      <c r="B441" s="3" t="str">
        <f>IFERROR(table_DataQualities[unit_ID],"")</f>
        <v/>
      </c>
      <c r="C4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2" spans="1:3" x14ac:dyDescent="0.45">
      <c r="A442" s="3" t="str">
        <f>IFERROR(table_DataQualities[ID],"")</f>
        <v/>
      </c>
      <c r="B442" s="3" t="str">
        <f>IFERROR(table_DataQualities[unit_ID],"")</f>
        <v/>
      </c>
      <c r="C4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3" spans="1:3" x14ac:dyDescent="0.45">
      <c r="A443" s="3" t="str">
        <f>IFERROR(table_DataQualities[ID],"")</f>
        <v/>
      </c>
      <c r="B443" s="3" t="str">
        <f>IFERROR(table_DataQualities[unit_ID],"")</f>
        <v/>
      </c>
      <c r="C4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4" spans="1:3" x14ac:dyDescent="0.45">
      <c r="A444" s="3" t="str">
        <f>IFERROR(table_DataQualities[ID],"")</f>
        <v/>
      </c>
      <c r="B444" s="3" t="str">
        <f>IFERROR(table_DataQualities[unit_ID],"")</f>
        <v/>
      </c>
      <c r="C4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5" spans="1:3" x14ac:dyDescent="0.45">
      <c r="A445" s="3" t="str">
        <f>IFERROR(table_DataQualities[ID],"")</f>
        <v/>
      </c>
      <c r="B445" s="3" t="str">
        <f>IFERROR(table_DataQualities[unit_ID],"")</f>
        <v/>
      </c>
      <c r="C4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6" spans="1:3" x14ac:dyDescent="0.45">
      <c r="A446" s="3" t="str">
        <f>IFERROR(table_DataQualities[ID],"")</f>
        <v/>
      </c>
      <c r="B446" s="3" t="str">
        <f>IFERROR(table_DataQualities[unit_ID],"")</f>
        <v/>
      </c>
      <c r="C4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7" spans="1:3" x14ac:dyDescent="0.45">
      <c r="A447" s="3" t="str">
        <f>IFERROR(table_DataQualities[ID],"")</f>
        <v/>
      </c>
      <c r="B447" s="3" t="str">
        <f>IFERROR(table_DataQualities[unit_ID],"")</f>
        <v/>
      </c>
      <c r="C4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8" spans="1:3" x14ac:dyDescent="0.45">
      <c r="A448" s="3" t="str">
        <f>IFERROR(table_DataQualities[ID],"")</f>
        <v/>
      </c>
      <c r="B448" s="3" t="str">
        <f>IFERROR(table_DataQualities[unit_ID],"")</f>
        <v/>
      </c>
      <c r="C4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49" spans="1:3" x14ac:dyDescent="0.45">
      <c r="A449" s="3" t="str">
        <f>IFERROR(table_DataQualities[ID],"")</f>
        <v/>
      </c>
      <c r="B449" s="3" t="str">
        <f>IFERROR(table_DataQualities[unit_ID],"")</f>
        <v/>
      </c>
      <c r="C4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0" spans="1:3" x14ac:dyDescent="0.45">
      <c r="A450" s="3" t="str">
        <f>IFERROR(table_DataQualities[ID],"")</f>
        <v/>
      </c>
      <c r="B450" s="3" t="str">
        <f>IFERROR(table_DataQualities[unit_ID],"")</f>
        <v/>
      </c>
      <c r="C4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1" spans="1:3" x14ac:dyDescent="0.45">
      <c r="A451" s="3" t="str">
        <f>IFERROR(table_DataQualities[ID],"")</f>
        <v/>
      </c>
      <c r="B451" s="3" t="str">
        <f>IFERROR(table_DataQualities[unit_ID],"")</f>
        <v/>
      </c>
      <c r="C4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2" spans="1:3" x14ac:dyDescent="0.45">
      <c r="A452" s="3" t="str">
        <f>IFERROR(table_DataQualities[ID],"")</f>
        <v/>
      </c>
      <c r="B452" s="3" t="str">
        <f>IFERROR(table_DataQualities[unit_ID],"")</f>
        <v/>
      </c>
      <c r="C4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3" spans="1:3" x14ac:dyDescent="0.45">
      <c r="A453" s="3" t="str">
        <f>IFERROR(table_DataQualities[ID],"")</f>
        <v/>
      </c>
      <c r="B453" s="3" t="str">
        <f>IFERROR(table_DataQualities[unit_ID],"")</f>
        <v/>
      </c>
      <c r="C4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4" spans="1:3" x14ac:dyDescent="0.45">
      <c r="A454" s="3" t="str">
        <f>IFERROR(table_DataQualities[ID],"")</f>
        <v/>
      </c>
      <c r="B454" s="3" t="str">
        <f>IFERROR(table_DataQualities[unit_ID],"")</f>
        <v/>
      </c>
      <c r="C4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5" spans="1:3" x14ac:dyDescent="0.45">
      <c r="A455" s="3" t="str">
        <f>IFERROR(table_DataQualities[ID],"")</f>
        <v/>
      </c>
      <c r="B455" s="3" t="str">
        <f>IFERROR(table_DataQualities[unit_ID],"")</f>
        <v/>
      </c>
      <c r="C4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6" spans="1:3" x14ac:dyDescent="0.45">
      <c r="A456" s="3" t="str">
        <f>IFERROR(table_DataQualities[ID],"")</f>
        <v/>
      </c>
      <c r="B456" s="3" t="str">
        <f>IFERROR(table_DataQualities[unit_ID],"")</f>
        <v/>
      </c>
      <c r="C4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7" spans="1:3" x14ac:dyDescent="0.45">
      <c r="A457" s="3" t="str">
        <f>IFERROR(table_DataQualities[ID],"")</f>
        <v/>
      </c>
      <c r="B457" s="3" t="str">
        <f>IFERROR(table_DataQualities[unit_ID],"")</f>
        <v/>
      </c>
      <c r="C4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8" spans="1:3" x14ac:dyDescent="0.45">
      <c r="A458" s="3" t="str">
        <f>IFERROR(table_DataQualities[ID],"")</f>
        <v/>
      </c>
      <c r="B458" s="3" t="str">
        <f>IFERROR(table_DataQualities[unit_ID],"")</f>
        <v/>
      </c>
      <c r="C4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59" spans="1:3" x14ac:dyDescent="0.45">
      <c r="A459" s="3" t="str">
        <f>IFERROR(table_DataQualities[ID],"")</f>
        <v/>
      </c>
      <c r="B459" s="3" t="str">
        <f>IFERROR(table_DataQualities[unit_ID],"")</f>
        <v/>
      </c>
      <c r="C4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0" spans="1:3" x14ac:dyDescent="0.45">
      <c r="A460" s="3" t="str">
        <f>IFERROR(table_DataQualities[ID],"")</f>
        <v/>
      </c>
      <c r="B460" s="3" t="str">
        <f>IFERROR(table_DataQualities[unit_ID],"")</f>
        <v/>
      </c>
      <c r="C4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1" spans="1:3" x14ac:dyDescent="0.45">
      <c r="A461" s="3" t="str">
        <f>IFERROR(table_DataQualities[ID],"")</f>
        <v/>
      </c>
      <c r="B461" s="3" t="str">
        <f>IFERROR(table_DataQualities[unit_ID],"")</f>
        <v/>
      </c>
      <c r="C4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2" spans="1:3" x14ac:dyDescent="0.45">
      <c r="A462" s="3" t="str">
        <f>IFERROR(table_DataQualities[ID],"")</f>
        <v/>
      </c>
      <c r="B462" s="3" t="str">
        <f>IFERROR(table_DataQualities[unit_ID],"")</f>
        <v/>
      </c>
      <c r="C4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3" spans="1:3" x14ac:dyDescent="0.45">
      <c r="A463" s="3" t="str">
        <f>IFERROR(table_DataQualities[ID],"")</f>
        <v/>
      </c>
      <c r="B463" s="3" t="str">
        <f>IFERROR(table_DataQualities[unit_ID],"")</f>
        <v/>
      </c>
      <c r="C4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4" spans="1:3" x14ac:dyDescent="0.45">
      <c r="A464" s="3" t="str">
        <f>IFERROR(table_DataQualities[ID],"")</f>
        <v/>
      </c>
      <c r="B464" s="3" t="str">
        <f>IFERROR(table_DataQualities[unit_ID],"")</f>
        <v/>
      </c>
      <c r="C4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5" spans="1:3" x14ac:dyDescent="0.45">
      <c r="A465" s="3" t="str">
        <f>IFERROR(table_DataQualities[ID],"")</f>
        <v/>
      </c>
      <c r="B465" s="3" t="str">
        <f>IFERROR(table_DataQualities[unit_ID],"")</f>
        <v/>
      </c>
      <c r="C4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6" spans="1:3" x14ac:dyDescent="0.45">
      <c r="A466" s="3" t="str">
        <f>IFERROR(table_DataQualities[ID],"")</f>
        <v/>
      </c>
      <c r="B466" s="3" t="str">
        <f>IFERROR(table_DataQualities[unit_ID],"")</f>
        <v/>
      </c>
      <c r="C4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7" spans="1:3" x14ac:dyDescent="0.45">
      <c r="A467" s="3" t="str">
        <f>IFERROR(table_DataQualities[ID],"")</f>
        <v/>
      </c>
      <c r="B467" s="3" t="str">
        <f>IFERROR(table_DataQualities[unit_ID],"")</f>
        <v/>
      </c>
      <c r="C4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8" spans="1:3" x14ac:dyDescent="0.45">
      <c r="A468" s="3" t="str">
        <f>IFERROR(table_DataQualities[ID],"")</f>
        <v/>
      </c>
      <c r="B468" s="3" t="str">
        <f>IFERROR(table_DataQualities[unit_ID],"")</f>
        <v/>
      </c>
      <c r="C4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69" spans="1:3" x14ac:dyDescent="0.45">
      <c r="A469" s="3" t="str">
        <f>IFERROR(table_DataQualities[ID],"")</f>
        <v/>
      </c>
      <c r="B469" s="3" t="str">
        <f>IFERROR(table_DataQualities[unit_ID],"")</f>
        <v/>
      </c>
      <c r="C4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0" spans="1:3" x14ac:dyDescent="0.45">
      <c r="A470" s="3" t="str">
        <f>IFERROR(table_DataQualities[ID],"")</f>
        <v/>
      </c>
      <c r="B470" s="3" t="str">
        <f>IFERROR(table_DataQualities[unit_ID],"")</f>
        <v/>
      </c>
      <c r="C4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1" spans="1:3" x14ac:dyDescent="0.45">
      <c r="A471" s="3" t="str">
        <f>IFERROR(table_DataQualities[ID],"")</f>
        <v/>
      </c>
      <c r="B471" s="3" t="str">
        <f>IFERROR(table_DataQualities[unit_ID],"")</f>
        <v/>
      </c>
      <c r="C4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2" spans="1:3" x14ac:dyDescent="0.45">
      <c r="A472" s="3" t="str">
        <f>IFERROR(table_DataQualities[ID],"")</f>
        <v/>
      </c>
      <c r="B472" s="3" t="str">
        <f>IFERROR(table_DataQualities[unit_ID],"")</f>
        <v/>
      </c>
      <c r="C4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3" spans="1:3" x14ac:dyDescent="0.45">
      <c r="A473" s="3" t="str">
        <f>IFERROR(table_DataQualities[ID],"")</f>
        <v/>
      </c>
      <c r="B473" s="3" t="str">
        <f>IFERROR(table_DataQualities[unit_ID],"")</f>
        <v/>
      </c>
      <c r="C4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4" spans="1:3" x14ac:dyDescent="0.45">
      <c r="A474" s="3" t="str">
        <f>IFERROR(table_DataQualities[ID],"")</f>
        <v/>
      </c>
      <c r="B474" s="3" t="str">
        <f>IFERROR(table_DataQualities[unit_ID],"")</f>
        <v/>
      </c>
      <c r="C4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5" spans="1:3" x14ac:dyDescent="0.45">
      <c r="A475" s="3" t="str">
        <f>IFERROR(table_DataQualities[ID],"")</f>
        <v/>
      </c>
      <c r="B475" s="3" t="str">
        <f>IFERROR(table_DataQualities[unit_ID],"")</f>
        <v/>
      </c>
      <c r="C4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6" spans="1:3" x14ac:dyDescent="0.45">
      <c r="A476" s="3" t="str">
        <f>IFERROR(table_DataQualities[ID],"")</f>
        <v/>
      </c>
      <c r="B476" s="3" t="str">
        <f>IFERROR(table_DataQualities[unit_ID],"")</f>
        <v/>
      </c>
      <c r="C4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7" spans="1:3" x14ac:dyDescent="0.45">
      <c r="A477" s="3" t="str">
        <f>IFERROR(table_DataQualities[ID],"")</f>
        <v/>
      </c>
      <c r="B477" s="3" t="str">
        <f>IFERROR(table_DataQualities[unit_ID],"")</f>
        <v/>
      </c>
      <c r="C4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8" spans="1:3" x14ac:dyDescent="0.45">
      <c r="A478" s="3" t="str">
        <f>IFERROR(table_DataQualities[ID],"")</f>
        <v/>
      </c>
      <c r="B478" s="3" t="str">
        <f>IFERROR(table_DataQualities[unit_ID],"")</f>
        <v/>
      </c>
      <c r="C4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79" spans="1:3" x14ac:dyDescent="0.45">
      <c r="A479" s="3" t="str">
        <f>IFERROR(table_DataQualities[ID],"")</f>
        <v/>
      </c>
      <c r="B479" s="3" t="str">
        <f>IFERROR(table_DataQualities[unit_ID],"")</f>
        <v/>
      </c>
      <c r="C4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0" spans="1:3" x14ac:dyDescent="0.45">
      <c r="A480" s="3" t="str">
        <f>IFERROR(table_DataQualities[ID],"")</f>
        <v/>
      </c>
      <c r="B480" s="3" t="str">
        <f>IFERROR(table_DataQualities[unit_ID],"")</f>
        <v/>
      </c>
      <c r="C4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1" spans="1:3" x14ac:dyDescent="0.45">
      <c r="A481" s="3" t="str">
        <f>IFERROR(table_DataQualities[ID],"")</f>
        <v/>
      </c>
      <c r="B481" s="3" t="str">
        <f>IFERROR(table_DataQualities[unit_ID],"")</f>
        <v/>
      </c>
      <c r="C4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2" spans="1:3" x14ac:dyDescent="0.45">
      <c r="A482" s="3" t="str">
        <f>IFERROR(table_DataQualities[ID],"")</f>
        <v/>
      </c>
      <c r="B482" s="3" t="str">
        <f>IFERROR(table_DataQualities[unit_ID],"")</f>
        <v/>
      </c>
      <c r="C4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3" spans="1:3" x14ac:dyDescent="0.45">
      <c r="A483" s="3" t="str">
        <f>IFERROR(table_DataQualities[ID],"")</f>
        <v/>
      </c>
      <c r="B483" s="3" t="str">
        <f>IFERROR(table_DataQualities[unit_ID],"")</f>
        <v/>
      </c>
      <c r="C4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4" spans="1:3" x14ac:dyDescent="0.45">
      <c r="A484" s="3" t="str">
        <f>IFERROR(table_DataQualities[ID],"")</f>
        <v/>
      </c>
      <c r="B484" s="3" t="str">
        <f>IFERROR(table_DataQualities[unit_ID],"")</f>
        <v/>
      </c>
      <c r="C4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5" spans="1:3" x14ac:dyDescent="0.45">
      <c r="A485" s="3" t="str">
        <f>IFERROR(table_DataQualities[ID],"")</f>
        <v/>
      </c>
      <c r="B485" s="3" t="str">
        <f>IFERROR(table_DataQualities[unit_ID],"")</f>
        <v/>
      </c>
      <c r="C4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6" spans="1:3" x14ac:dyDescent="0.45">
      <c r="A486" s="3" t="str">
        <f>IFERROR(table_DataQualities[ID],"")</f>
        <v/>
      </c>
      <c r="B486" s="3" t="str">
        <f>IFERROR(table_DataQualities[unit_ID],"")</f>
        <v/>
      </c>
      <c r="C4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7" spans="1:3" x14ac:dyDescent="0.45">
      <c r="A487" s="3" t="str">
        <f>IFERROR(table_DataQualities[ID],"")</f>
        <v/>
      </c>
      <c r="B487" s="3" t="str">
        <f>IFERROR(table_DataQualities[unit_ID],"")</f>
        <v/>
      </c>
      <c r="C4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8" spans="1:3" x14ac:dyDescent="0.45">
      <c r="A488" s="3" t="str">
        <f>IFERROR(table_DataQualities[ID],"")</f>
        <v/>
      </c>
      <c r="B488" s="3" t="str">
        <f>IFERROR(table_DataQualities[unit_ID],"")</f>
        <v/>
      </c>
      <c r="C4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89" spans="1:3" x14ac:dyDescent="0.45">
      <c r="A489" s="3" t="str">
        <f>IFERROR(table_DataQualities[ID],"")</f>
        <v/>
      </c>
      <c r="B489" s="3" t="str">
        <f>IFERROR(table_DataQualities[unit_ID],"")</f>
        <v/>
      </c>
      <c r="C4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0" spans="1:3" x14ac:dyDescent="0.45">
      <c r="A490" s="3" t="str">
        <f>IFERROR(table_DataQualities[ID],"")</f>
        <v/>
      </c>
      <c r="B490" s="3" t="str">
        <f>IFERROR(table_DataQualities[unit_ID],"")</f>
        <v/>
      </c>
      <c r="C4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1" spans="1:3" x14ac:dyDescent="0.45">
      <c r="A491" s="3" t="str">
        <f>IFERROR(table_DataQualities[ID],"")</f>
        <v/>
      </c>
      <c r="B491" s="3" t="str">
        <f>IFERROR(table_DataQualities[unit_ID],"")</f>
        <v/>
      </c>
      <c r="C4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2" spans="1:3" x14ac:dyDescent="0.45">
      <c r="A492" s="3" t="str">
        <f>IFERROR(table_DataQualities[ID],"")</f>
        <v/>
      </c>
      <c r="B492" s="3" t="str">
        <f>IFERROR(table_DataQualities[unit_ID],"")</f>
        <v/>
      </c>
      <c r="C4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3" spans="1:3" x14ac:dyDescent="0.45">
      <c r="A493" s="3" t="str">
        <f>IFERROR(table_DataQualities[ID],"")</f>
        <v/>
      </c>
      <c r="B493" s="3" t="str">
        <f>IFERROR(table_DataQualities[unit_ID],"")</f>
        <v/>
      </c>
      <c r="C4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4" spans="1:3" x14ac:dyDescent="0.45">
      <c r="A494" s="3" t="str">
        <f>IFERROR(table_DataQualities[ID],"")</f>
        <v/>
      </c>
      <c r="B494" s="3" t="str">
        <f>IFERROR(table_DataQualities[unit_ID],"")</f>
        <v/>
      </c>
      <c r="C4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5" spans="1:3" x14ac:dyDescent="0.45">
      <c r="A495" s="3" t="str">
        <f>IFERROR(table_DataQualities[ID],"")</f>
        <v/>
      </c>
      <c r="B495" s="3" t="str">
        <f>IFERROR(table_DataQualities[unit_ID],"")</f>
        <v/>
      </c>
      <c r="C4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6" spans="1:3" x14ac:dyDescent="0.45">
      <c r="A496" s="3" t="str">
        <f>IFERROR(table_DataQualities[ID],"")</f>
        <v/>
      </c>
      <c r="B496" s="3" t="str">
        <f>IFERROR(table_DataQualities[unit_ID],"")</f>
        <v/>
      </c>
      <c r="C4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7" spans="1:3" x14ac:dyDescent="0.45">
      <c r="A497" s="3" t="str">
        <f>IFERROR(table_DataQualities[ID],"")</f>
        <v/>
      </c>
      <c r="B497" s="3" t="str">
        <f>IFERROR(table_DataQualities[unit_ID],"")</f>
        <v/>
      </c>
      <c r="C4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8" spans="1:3" x14ac:dyDescent="0.45">
      <c r="A498" s="3" t="str">
        <f>IFERROR(table_DataQualities[ID],"")</f>
        <v/>
      </c>
      <c r="B498" s="3" t="str">
        <f>IFERROR(table_DataQualities[unit_ID],"")</f>
        <v/>
      </c>
      <c r="C4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499" spans="1:3" x14ac:dyDescent="0.45">
      <c r="A499" s="3" t="str">
        <f>IFERROR(table_DataQualities[ID],"")</f>
        <v/>
      </c>
      <c r="B499" s="3" t="str">
        <f>IFERROR(table_DataQualities[unit_ID],"")</f>
        <v/>
      </c>
      <c r="C4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0" spans="1:3" x14ac:dyDescent="0.45">
      <c r="A500" s="3" t="str">
        <f>IFERROR(table_DataQualities[ID],"")</f>
        <v/>
      </c>
      <c r="B500" s="3" t="str">
        <f>IFERROR(table_DataQualities[unit_ID],"")</f>
        <v/>
      </c>
      <c r="C5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1" spans="1:3" x14ac:dyDescent="0.45">
      <c r="A501" s="3" t="str">
        <f>IFERROR(table_DataQualities[ID],"")</f>
        <v/>
      </c>
      <c r="B501" s="3" t="str">
        <f>IFERROR(table_DataQualities[unit_ID],"")</f>
        <v/>
      </c>
      <c r="C5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2" spans="1:3" x14ac:dyDescent="0.45">
      <c r="A502" s="3" t="str">
        <f>IFERROR(table_DataQualities[ID],"")</f>
        <v/>
      </c>
      <c r="B502" s="3" t="str">
        <f>IFERROR(table_DataQualities[unit_ID],"")</f>
        <v/>
      </c>
      <c r="C5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3" spans="1:3" x14ac:dyDescent="0.45">
      <c r="A503" s="3" t="str">
        <f>IFERROR(table_DataQualities[ID],"")</f>
        <v/>
      </c>
      <c r="B503" s="3" t="str">
        <f>IFERROR(table_DataQualities[unit_ID],"")</f>
        <v/>
      </c>
      <c r="C5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4" spans="1:3" x14ac:dyDescent="0.45">
      <c r="A504" s="3" t="str">
        <f>IFERROR(table_DataQualities[ID],"")</f>
        <v/>
      </c>
      <c r="B504" s="3" t="str">
        <f>IFERROR(table_DataQualities[unit_ID],"")</f>
        <v/>
      </c>
      <c r="C5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5" spans="1:3" x14ac:dyDescent="0.45">
      <c r="A505" s="3" t="str">
        <f>IFERROR(table_DataQualities[ID],"")</f>
        <v/>
      </c>
      <c r="B505" s="3" t="str">
        <f>IFERROR(table_DataQualities[unit_ID],"")</f>
        <v/>
      </c>
      <c r="C5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6" spans="1:3" x14ac:dyDescent="0.45">
      <c r="A506" s="3" t="str">
        <f>IFERROR(table_DataQualities[ID],"")</f>
        <v/>
      </c>
      <c r="B506" s="3" t="str">
        <f>IFERROR(table_DataQualities[unit_ID],"")</f>
        <v/>
      </c>
      <c r="C5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7" spans="1:3" x14ac:dyDescent="0.45">
      <c r="A507" s="3" t="str">
        <f>IFERROR(table_DataQualities[ID],"")</f>
        <v/>
      </c>
      <c r="B507" s="3" t="str">
        <f>IFERROR(table_DataQualities[unit_ID],"")</f>
        <v/>
      </c>
      <c r="C5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8" spans="1:3" x14ac:dyDescent="0.45">
      <c r="A508" s="3" t="str">
        <f>IFERROR(table_DataQualities[ID],"")</f>
        <v/>
      </c>
      <c r="B508" s="3" t="str">
        <f>IFERROR(table_DataQualities[unit_ID],"")</f>
        <v/>
      </c>
      <c r="C5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09" spans="1:3" x14ac:dyDescent="0.45">
      <c r="A509" s="3" t="str">
        <f>IFERROR(table_DataQualities[ID],"")</f>
        <v/>
      </c>
      <c r="B509" s="3" t="str">
        <f>IFERROR(table_DataQualities[unit_ID],"")</f>
        <v/>
      </c>
      <c r="C5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0" spans="1:3" x14ac:dyDescent="0.45">
      <c r="A510" s="3" t="str">
        <f>IFERROR(table_DataQualities[ID],"")</f>
        <v/>
      </c>
      <c r="B510" s="3" t="str">
        <f>IFERROR(table_DataQualities[unit_ID],"")</f>
        <v/>
      </c>
      <c r="C5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1" spans="1:3" x14ac:dyDescent="0.45">
      <c r="A511" s="3" t="str">
        <f>IFERROR(table_DataQualities[ID],"")</f>
        <v/>
      </c>
      <c r="B511" s="3" t="str">
        <f>IFERROR(table_DataQualities[unit_ID],"")</f>
        <v/>
      </c>
      <c r="C5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2" spans="1:3" x14ac:dyDescent="0.45">
      <c r="A512" s="3" t="str">
        <f>IFERROR(table_DataQualities[ID],"")</f>
        <v/>
      </c>
      <c r="B512" s="3" t="str">
        <f>IFERROR(table_DataQualities[unit_ID],"")</f>
        <v/>
      </c>
      <c r="C5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3" spans="1:3" x14ac:dyDescent="0.45">
      <c r="A513" s="3" t="str">
        <f>IFERROR(table_DataQualities[ID],"")</f>
        <v/>
      </c>
      <c r="B513" s="3" t="str">
        <f>IFERROR(table_DataQualities[unit_ID],"")</f>
        <v/>
      </c>
      <c r="C5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4" spans="1:3" x14ac:dyDescent="0.45">
      <c r="A514" s="3" t="str">
        <f>IFERROR(table_DataQualities[ID],"")</f>
        <v/>
      </c>
      <c r="B514" s="3" t="str">
        <f>IFERROR(table_DataQualities[unit_ID],"")</f>
        <v/>
      </c>
      <c r="C5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5" spans="1:3" x14ac:dyDescent="0.45">
      <c r="A515" s="3" t="str">
        <f>IFERROR(table_DataQualities[ID],"")</f>
        <v/>
      </c>
      <c r="B515" s="3" t="str">
        <f>IFERROR(table_DataQualities[unit_ID],"")</f>
        <v/>
      </c>
      <c r="C5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6" spans="1:3" x14ac:dyDescent="0.45">
      <c r="A516" s="3" t="str">
        <f>IFERROR(table_DataQualities[ID],"")</f>
        <v/>
      </c>
      <c r="B516" s="3" t="str">
        <f>IFERROR(table_DataQualities[unit_ID],"")</f>
        <v/>
      </c>
      <c r="C5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7" spans="1:3" x14ac:dyDescent="0.45">
      <c r="A517" s="3" t="str">
        <f>IFERROR(table_DataQualities[ID],"")</f>
        <v/>
      </c>
      <c r="B517" s="3" t="str">
        <f>IFERROR(table_DataQualities[unit_ID],"")</f>
        <v/>
      </c>
      <c r="C5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8" spans="1:3" x14ac:dyDescent="0.45">
      <c r="A518" s="3" t="str">
        <f>IFERROR(table_DataQualities[ID],"")</f>
        <v/>
      </c>
      <c r="B518" s="3" t="str">
        <f>IFERROR(table_DataQualities[unit_ID],"")</f>
        <v/>
      </c>
      <c r="C5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19" spans="1:3" x14ac:dyDescent="0.45">
      <c r="A519" s="3" t="str">
        <f>IFERROR(table_DataQualities[ID],"")</f>
        <v/>
      </c>
      <c r="B519" s="3" t="str">
        <f>IFERROR(table_DataQualities[unit_ID],"")</f>
        <v/>
      </c>
      <c r="C5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0" spans="1:3" x14ac:dyDescent="0.45">
      <c r="A520" s="3" t="str">
        <f>IFERROR(table_DataQualities[ID],"")</f>
        <v/>
      </c>
      <c r="B520" s="3" t="str">
        <f>IFERROR(table_DataQualities[unit_ID],"")</f>
        <v/>
      </c>
      <c r="C5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1" spans="1:3" x14ac:dyDescent="0.45">
      <c r="A521" s="3" t="str">
        <f>IFERROR(table_DataQualities[ID],"")</f>
        <v/>
      </c>
      <c r="B521" s="3" t="str">
        <f>IFERROR(table_DataQualities[unit_ID],"")</f>
        <v/>
      </c>
      <c r="C5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2" spans="1:3" x14ac:dyDescent="0.45">
      <c r="A522" s="3" t="str">
        <f>IFERROR(table_DataQualities[ID],"")</f>
        <v/>
      </c>
      <c r="B522" s="3" t="str">
        <f>IFERROR(table_DataQualities[unit_ID],"")</f>
        <v/>
      </c>
      <c r="C5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3" spans="1:3" x14ac:dyDescent="0.45">
      <c r="A523" s="3" t="str">
        <f>IFERROR(table_DataQualities[ID],"")</f>
        <v/>
      </c>
      <c r="B523" s="3" t="str">
        <f>IFERROR(table_DataQualities[unit_ID],"")</f>
        <v/>
      </c>
      <c r="C5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4" spans="1:3" x14ac:dyDescent="0.45">
      <c r="A524" s="3" t="str">
        <f>IFERROR(table_DataQualities[ID],"")</f>
        <v/>
      </c>
      <c r="B524" s="3" t="str">
        <f>IFERROR(table_DataQualities[unit_ID],"")</f>
        <v/>
      </c>
      <c r="C5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5" spans="1:3" x14ac:dyDescent="0.45">
      <c r="A525" s="3" t="str">
        <f>IFERROR(table_DataQualities[ID],"")</f>
        <v/>
      </c>
      <c r="B525" s="3" t="str">
        <f>IFERROR(table_DataQualities[unit_ID],"")</f>
        <v/>
      </c>
      <c r="C5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6" spans="1:3" x14ac:dyDescent="0.45">
      <c r="A526" s="3" t="str">
        <f>IFERROR(table_DataQualities[ID],"")</f>
        <v/>
      </c>
      <c r="B526" s="3" t="str">
        <f>IFERROR(table_DataQualities[unit_ID],"")</f>
        <v/>
      </c>
      <c r="C5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7" spans="1:3" x14ac:dyDescent="0.45">
      <c r="A527" s="3" t="str">
        <f>IFERROR(table_DataQualities[ID],"")</f>
        <v/>
      </c>
      <c r="B527" s="3" t="str">
        <f>IFERROR(table_DataQualities[unit_ID],"")</f>
        <v/>
      </c>
      <c r="C5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8" spans="1:3" x14ac:dyDescent="0.45">
      <c r="A528" s="3" t="str">
        <f>IFERROR(table_DataQualities[ID],"")</f>
        <v/>
      </c>
      <c r="B528" s="3" t="str">
        <f>IFERROR(table_DataQualities[unit_ID],"")</f>
        <v/>
      </c>
      <c r="C5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29" spans="1:3" x14ac:dyDescent="0.45">
      <c r="A529" s="3" t="str">
        <f>IFERROR(table_DataQualities[ID],"")</f>
        <v/>
      </c>
      <c r="B529" s="3" t="str">
        <f>IFERROR(table_DataQualities[unit_ID],"")</f>
        <v/>
      </c>
      <c r="C5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0" spans="1:3" x14ac:dyDescent="0.45">
      <c r="A530" s="3" t="str">
        <f>IFERROR(table_DataQualities[ID],"")</f>
        <v/>
      </c>
      <c r="B530" s="3" t="str">
        <f>IFERROR(table_DataQualities[unit_ID],"")</f>
        <v/>
      </c>
      <c r="C5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1" spans="1:3" x14ac:dyDescent="0.45">
      <c r="A531" s="3" t="str">
        <f>IFERROR(table_DataQualities[ID],"")</f>
        <v/>
      </c>
      <c r="B531" s="3" t="str">
        <f>IFERROR(table_DataQualities[unit_ID],"")</f>
        <v/>
      </c>
      <c r="C5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2" spans="1:3" x14ac:dyDescent="0.45">
      <c r="A532" s="3" t="str">
        <f>IFERROR(table_DataQualities[ID],"")</f>
        <v/>
      </c>
      <c r="B532" s="3" t="str">
        <f>IFERROR(table_DataQualities[unit_ID],"")</f>
        <v/>
      </c>
      <c r="C5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3" spans="1:3" x14ac:dyDescent="0.45">
      <c r="A533" s="3" t="str">
        <f>IFERROR(table_DataQualities[ID],"")</f>
        <v/>
      </c>
      <c r="B533" s="3" t="str">
        <f>IFERROR(table_DataQualities[unit_ID],"")</f>
        <v/>
      </c>
      <c r="C5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4" spans="1:3" x14ac:dyDescent="0.45">
      <c r="A534" s="3" t="str">
        <f>IFERROR(table_DataQualities[ID],"")</f>
        <v/>
      </c>
      <c r="B534" s="3" t="str">
        <f>IFERROR(table_DataQualities[unit_ID],"")</f>
        <v/>
      </c>
      <c r="C5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5" spans="1:3" x14ac:dyDescent="0.45">
      <c r="A535" s="3" t="str">
        <f>IFERROR(table_DataQualities[ID],"")</f>
        <v/>
      </c>
      <c r="B535" s="3" t="str">
        <f>IFERROR(table_DataQualities[unit_ID],"")</f>
        <v/>
      </c>
      <c r="C5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6" spans="1:3" x14ac:dyDescent="0.45">
      <c r="A536" s="3" t="str">
        <f>IFERROR(table_DataQualities[ID],"")</f>
        <v/>
      </c>
      <c r="B536" s="3" t="str">
        <f>IFERROR(table_DataQualities[unit_ID],"")</f>
        <v/>
      </c>
      <c r="C5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7" spans="1:3" x14ac:dyDescent="0.45">
      <c r="A537" s="3" t="str">
        <f>IFERROR(table_DataQualities[ID],"")</f>
        <v/>
      </c>
      <c r="B537" s="3" t="str">
        <f>IFERROR(table_DataQualities[unit_ID],"")</f>
        <v/>
      </c>
      <c r="C5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8" spans="1:3" x14ac:dyDescent="0.45">
      <c r="A538" s="3" t="str">
        <f>IFERROR(table_DataQualities[ID],"")</f>
        <v/>
      </c>
      <c r="B538" s="3" t="str">
        <f>IFERROR(table_DataQualities[unit_ID],"")</f>
        <v/>
      </c>
      <c r="C5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39" spans="1:3" x14ac:dyDescent="0.45">
      <c r="A539" s="3" t="str">
        <f>IFERROR(table_DataQualities[ID],"")</f>
        <v/>
      </c>
      <c r="B539" s="3" t="str">
        <f>IFERROR(table_DataQualities[unit_ID],"")</f>
        <v/>
      </c>
      <c r="C5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0" spans="1:3" x14ac:dyDescent="0.45">
      <c r="A540" s="3" t="str">
        <f>IFERROR(table_DataQualities[ID],"")</f>
        <v/>
      </c>
      <c r="B540" s="3" t="str">
        <f>IFERROR(table_DataQualities[unit_ID],"")</f>
        <v/>
      </c>
      <c r="C5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1" spans="1:3" x14ac:dyDescent="0.45">
      <c r="A541" s="3" t="str">
        <f>IFERROR(table_DataQualities[ID],"")</f>
        <v/>
      </c>
      <c r="B541" s="3" t="str">
        <f>IFERROR(table_DataQualities[unit_ID],"")</f>
        <v/>
      </c>
      <c r="C5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2" spans="1:3" x14ac:dyDescent="0.45">
      <c r="A542" s="3" t="str">
        <f>IFERROR(table_DataQualities[ID],"")</f>
        <v/>
      </c>
      <c r="B542" s="3" t="str">
        <f>IFERROR(table_DataQualities[unit_ID],"")</f>
        <v/>
      </c>
      <c r="C5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3" spans="1:3" x14ac:dyDescent="0.45">
      <c r="A543" s="3" t="str">
        <f>IFERROR(table_DataQualities[ID],"")</f>
        <v/>
      </c>
      <c r="B543" s="3" t="str">
        <f>IFERROR(table_DataQualities[unit_ID],"")</f>
        <v/>
      </c>
      <c r="C5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4" spans="1:3" x14ac:dyDescent="0.45">
      <c r="A544" s="3" t="str">
        <f>IFERROR(table_DataQualities[ID],"")</f>
        <v/>
      </c>
      <c r="B544" s="3" t="str">
        <f>IFERROR(table_DataQualities[unit_ID],"")</f>
        <v/>
      </c>
      <c r="C5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5" spans="1:3" x14ac:dyDescent="0.45">
      <c r="A545" s="3" t="str">
        <f>IFERROR(table_DataQualities[ID],"")</f>
        <v/>
      </c>
      <c r="B545" s="3" t="str">
        <f>IFERROR(table_DataQualities[unit_ID],"")</f>
        <v/>
      </c>
      <c r="C5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6" spans="1:3" x14ac:dyDescent="0.45">
      <c r="A546" s="3" t="str">
        <f>IFERROR(table_DataQualities[ID],"")</f>
        <v/>
      </c>
      <c r="B546" s="3" t="str">
        <f>IFERROR(table_DataQualities[unit_ID],"")</f>
        <v/>
      </c>
      <c r="C5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7" spans="1:3" x14ac:dyDescent="0.45">
      <c r="A547" s="3" t="str">
        <f>IFERROR(table_DataQualities[ID],"")</f>
        <v/>
      </c>
      <c r="B547" s="3" t="str">
        <f>IFERROR(table_DataQualities[unit_ID],"")</f>
        <v/>
      </c>
      <c r="C5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8" spans="1:3" x14ac:dyDescent="0.45">
      <c r="A548" s="3" t="str">
        <f>IFERROR(table_DataQualities[ID],"")</f>
        <v/>
      </c>
      <c r="B548" s="3" t="str">
        <f>IFERROR(table_DataQualities[unit_ID],"")</f>
        <v/>
      </c>
      <c r="C5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49" spans="1:3" x14ac:dyDescent="0.45">
      <c r="A549" s="3" t="str">
        <f>IFERROR(table_DataQualities[ID],"")</f>
        <v/>
      </c>
      <c r="B549" s="3" t="str">
        <f>IFERROR(table_DataQualities[unit_ID],"")</f>
        <v/>
      </c>
      <c r="C5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0" spans="1:3" x14ac:dyDescent="0.45">
      <c r="A550" s="3" t="str">
        <f>IFERROR(table_DataQualities[ID],"")</f>
        <v/>
      </c>
      <c r="B550" s="3" t="str">
        <f>IFERROR(table_DataQualities[unit_ID],"")</f>
        <v/>
      </c>
      <c r="C5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1" spans="1:3" x14ac:dyDescent="0.45">
      <c r="A551" s="3" t="str">
        <f>IFERROR(table_DataQualities[ID],"")</f>
        <v/>
      </c>
      <c r="B551" s="3" t="str">
        <f>IFERROR(table_DataQualities[unit_ID],"")</f>
        <v/>
      </c>
      <c r="C5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2" spans="1:3" x14ac:dyDescent="0.45">
      <c r="A552" s="3" t="str">
        <f>IFERROR(table_DataQualities[ID],"")</f>
        <v/>
      </c>
      <c r="B552" s="3" t="str">
        <f>IFERROR(table_DataQualities[unit_ID],"")</f>
        <v/>
      </c>
      <c r="C5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3" spans="1:3" x14ac:dyDescent="0.45">
      <c r="A553" s="3" t="str">
        <f>IFERROR(table_DataQualities[ID],"")</f>
        <v/>
      </c>
      <c r="B553" s="3" t="str">
        <f>IFERROR(table_DataQualities[unit_ID],"")</f>
        <v/>
      </c>
      <c r="C5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4" spans="1:3" x14ac:dyDescent="0.45">
      <c r="A554" s="3" t="str">
        <f>IFERROR(table_DataQualities[ID],"")</f>
        <v/>
      </c>
      <c r="B554" s="3" t="str">
        <f>IFERROR(table_DataQualities[unit_ID],"")</f>
        <v/>
      </c>
      <c r="C5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5" spans="1:3" x14ac:dyDescent="0.45">
      <c r="A555" s="3" t="str">
        <f>IFERROR(table_DataQualities[ID],"")</f>
        <v/>
      </c>
      <c r="B555" s="3" t="str">
        <f>IFERROR(table_DataQualities[unit_ID],"")</f>
        <v/>
      </c>
      <c r="C5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6" spans="1:3" x14ac:dyDescent="0.45">
      <c r="A556" s="3" t="str">
        <f>IFERROR(table_DataQualities[ID],"")</f>
        <v/>
      </c>
      <c r="B556" s="3" t="str">
        <f>IFERROR(table_DataQualities[unit_ID],"")</f>
        <v/>
      </c>
      <c r="C5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7" spans="1:3" x14ac:dyDescent="0.45">
      <c r="A557" s="3" t="str">
        <f>IFERROR(table_DataQualities[ID],"")</f>
        <v/>
      </c>
      <c r="B557" s="3" t="str">
        <f>IFERROR(table_DataQualities[unit_ID],"")</f>
        <v/>
      </c>
      <c r="C5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8" spans="1:3" x14ac:dyDescent="0.45">
      <c r="A558" s="3" t="str">
        <f>IFERROR(table_DataQualities[ID],"")</f>
        <v/>
      </c>
      <c r="B558" s="3" t="str">
        <f>IFERROR(table_DataQualities[unit_ID],"")</f>
        <v/>
      </c>
      <c r="C5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59" spans="1:3" x14ac:dyDescent="0.45">
      <c r="A559" s="3" t="str">
        <f>IFERROR(table_DataQualities[ID],"")</f>
        <v/>
      </c>
      <c r="B559" s="3" t="str">
        <f>IFERROR(table_DataQualities[unit_ID],"")</f>
        <v/>
      </c>
      <c r="C5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0" spans="1:3" x14ac:dyDescent="0.45">
      <c r="A560" s="3" t="str">
        <f>IFERROR(table_DataQualities[ID],"")</f>
        <v/>
      </c>
      <c r="B560" s="3" t="str">
        <f>IFERROR(table_DataQualities[unit_ID],"")</f>
        <v/>
      </c>
      <c r="C5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1" spans="1:3" x14ac:dyDescent="0.45">
      <c r="A561" s="3" t="str">
        <f>IFERROR(table_DataQualities[ID],"")</f>
        <v/>
      </c>
      <c r="B561" s="3" t="str">
        <f>IFERROR(table_DataQualities[unit_ID],"")</f>
        <v/>
      </c>
      <c r="C5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2" spans="1:3" x14ac:dyDescent="0.45">
      <c r="A562" s="3" t="str">
        <f>IFERROR(table_DataQualities[ID],"")</f>
        <v/>
      </c>
      <c r="B562" s="3" t="str">
        <f>IFERROR(table_DataQualities[unit_ID],"")</f>
        <v/>
      </c>
      <c r="C5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3" spans="1:3" x14ac:dyDescent="0.45">
      <c r="A563" s="3" t="str">
        <f>IFERROR(table_DataQualities[ID],"")</f>
        <v/>
      </c>
      <c r="B563" s="3" t="str">
        <f>IFERROR(table_DataQualities[unit_ID],"")</f>
        <v/>
      </c>
      <c r="C5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4" spans="1:3" x14ac:dyDescent="0.45">
      <c r="A564" s="3" t="str">
        <f>IFERROR(table_DataQualities[ID],"")</f>
        <v/>
      </c>
      <c r="B564" s="3" t="str">
        <f>IFERROR(table_DataQualities[unit_ID],"")</f>
        <v/>
      </c>
      <c r="C5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5" spans="1:3" x14ac:dyDescent="0.45">
      <c r="A565" s="3" t="str">
        <f>IFERROR(table_DataQualities[ID],"")</f>
        <v/>
      </c>
      <c r="B565" s="3" t="str">
        <f>IFERROR(table_DataQualities[unit_ID],"")</f>
        <v/>
      </c>
      <c r="C5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6" spans="1:3" x14ac:dyDescent="0.45">
      <c r="A566" s="3" t="str">
        <f>IFERROR(table_DataQualities[ID],"")</f>
        <v/>
      </c>
      <c r="B566" s="3" t="str">
        <f>IFERROR(table_DataQualities[unit_ID],"")</f>
        <v/>
      </c>
      <c r="C5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7" spans="1:3" x14ac:dyDescent="0.45">
      <c r="A567" s="3" t="str">
        <f>IFERROR(table_DataQualities[ID],"")</f>
        <v/>
      </c>
      <c r="B567" s="3" t="str">
        <f>IFERROR(table_DataQualities[unit_ID],"")</f>
        <v/>
      </c>
      <c r="C5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8" spans="1:3" x14ac:dyDescent="0.45">
      <c r="A568" s="3" t="str">
        <f>IFERROR(table_DataQualities[ID],"")</f>
        <v/>
      </c>
      <c r="B568" s="3" t="str">
        <f>IFERROR(table_DataQualities[unit_ID],"")</f>
        <v/>
      </c>
      <c r="C5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69" spans="1:3" x14ac:dyDescent="0.45">
      <c r="A569" s="3" t="str">
        <f>IFERROR(table_DataQualities[ID],"")</f>
        <v/>
      </c>
      <c r="B569" s="3" t="str">
        <f>IFERROR(table_DataQualities[unit_ID],"")</f>
        <v/>
      </c>
      <c r="C5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0" spans="1:3" x14ac:dyDescent="0.45">
      <c r="A570" s="3" t="str">
        <f>IFERROR(table_DataQualities[ID],"")</f>
        <v/>
      </c>
      <c r="B570" s="3" t="str">
        <f>IFERROR(table_DataQualities[unit_ID],"")</f>
        <v/>
      </c>
      <c r="C5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1" spans="1:3" x14ac:dyDescent="0.45">
      <c r="A571" s="3" t="str">
        <f>IFERROR(table_DataQualities[ID],"")</f>
        <v/>
      </c>
      <c r="B571" s="3" t="str">
        <f>IFERROR(table_DataQualities[unit_ID],"")</f>
        <v/>
      </c>
      <c r="C5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2" spans="1:3" x14ac:dyDescent="0.45">
      <c r="A572" s="3" t="str">
        <f>IFERROR(table_DataQualities[ID],"")</f>
        <v/>
      </c>
      <c r="B572" s="3" t="str">
        <f>IFERROR(table_DataQualities[unit_ID],"")</f>
        <v/>
      </c>
      <c r="C5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3" spans="1:3" x14ac:dyDescent="0.45">
      <c r="A573" s="3" t="str">
        <f>IFERROR(table_DataQualities[ID],"")</f>
        <v/>
      </c>
      <c r="B573" s="3" t="str">
        <f>IFERROR(table_DataQualities[unit_ID],"")</f>
        <v/>
      </c>
      <c r="C5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4" spans="1:3" x14ac:dyDescent="0.45">
      <c r="A574" s="3" t="str">
        <f>IFERROR(table_DataQualities[ID],"")</f>
        <v/>
      </c>
      <c r="B574" s="3" t="str">
        <f>IFERROR(table_DataQualities[unit_ID],"")</f>
        <v/>
      </c>
      <c r="C5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5" spans="1:3" x14ac:dyDescent="0.45">
      <c r="A575" s="3" t="str">
        <f>IFERROR(table_DataQualities[ID],"")</f>
        <v/>
      </c>
      <c r="B575" s="3" t="str">
        <f>IFERROR(table_DataQualities[unit_ID],"")</f>
        <v/>
      </c>
      <c r="C5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6" spans="1:3" x14ac:dyDescent="0.45">
      <c r="A576" s="3" t="str">
        <f>IFERROR(table_DataQualities[ID],"")</f>
        <v/>
      </c>
      <c r="B576" s="3" t="str">
        <f>IFERROR(table_DataQualities[unit_ID],"")</f>
        <v/>
      </c>
      <c r="C5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7" spans="1:3" x14ac:dyDescent="0.45">
      <c r="A577" s="3" t="str">
        <f>IFERROR(table_DataQualities[ID],"")</f>
        <v/>
      </c>
      <c r="B577" s="3" t="str">
        <f>IFERROR(table_DataQualities[unit_ID],"")</f>
        <v/>
      </c>
      <c r="C5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8" spans="1:3" x14ac:dyDescent="0.45">
      <c r="A578" s="3" t="str">
        <f>IFERROR(table_DataQualities[ID],"")</f>
        <v/>
      </c>
      <c r="B578" s="3" t="str">
        <f>IFERROR(table_DataQualities[unit_ID],"")</f>
        <v/>
      </c>
      <c r="C5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79" spans="1:3" x14ac:dyDescent="0.45">
      <c r="A579" s="3" t="str">
        <f>IFERROR(table_DataQualities[ID],"")</f>
        <v/>
      </c>
      <c r="B579" s="3" t="str">
        <f>IFERROR(table_DataQualities[unit_ID],"")</f>
        <v/>
      </c>
      <c r="C5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0" spans="1:3" x14ac:dyDescent="0.45">
      <c r="A580" s="3" t="str">
        <f>IFERROR(table_DataQualities[ID],"")</f>
        <v/>
      </c>
      <c r="B580" s="3" t="str">
        <f>IFERROR(table_DataQualities[unit_ID],"")</f>
        <v/>
      </c>
      <c r="C5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1" spans="1:3" x14ac:dyDescent="0.45">
      <c r="A581" s="3" t="str">
        <f>IFERROR(table_DataQualities[ID],"")</f>
        <v/>
      </c>
      <c r="B581" s="3" t="str">
        <f>IFERROR(table_DataQualities[unit_ID],"")</f>
        <v/>
      </c>
      <c r="C5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2" spans="1:3" x14ac:dyDescent="0.45">
      <c r="A582" s="3" t="str">
        <f>IFERROR(table_DataQualities[ID],"")</f>
        <v/>
      </c>
      <c r="B582" s="3" t="str">
        <f>IFERROR(table_DataQualities[unit_ID],"")</f>
        <v/>
      </c>
      <c r="C5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3" spans="1:3" x14ac:dyDescent="0.45">
      <c r="A583" s="3" t="str">
        <f>IFERROR(table_DataQualities[ID],"")</f>
        <v/>
      </c>
      <c r="B583" s="3" t="str">
        <f>IFERROR(table_DataQualities[unit_ID],"")</f>
        <v/>
      </c>
      <c r="C5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4" spans="1:3" x14ac:dyDescent="0.45">
      <c r="A584" s="3" t="str">
        <f>IFERROR(table_DataQualities[ID],"")</f>
        <v/>
      </c>
      <c r="B584" s="3" t="str">
        <f>IFERROR(table_DataQualities[unit_ID],"")</f>
        <v/>
      </c>
      <c r="C5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5" spans="1:3" x14ac:dyDescent="0.45">
      <c r="A585" s="3" t="str">
        <f>IFERROR(table_DataQualities[ID],"")</f>
        <v/>
      </c>
      <c r="B585" s="3" t="str">
        <f>IFERROR(table_DataQualities[unit_ID],"")</f>
        <v/>
      </c>
      <c r="C5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6" spans="1:3" x14ac:dyDescent="0.45">
      <c r="A586" s="3" t="str">
        <f>IFERROR(table_DataQualities[ID],"")</f>
        <v/>
      </c>
      <c r="B586" s="3" t="str">
        <f>IFERROR(table_DataQualities[unit_ID],"")</f>
        <v/>
      </c>
      <c r="C5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7" spans="1:3" x14ac:dyDescent="0.45">
      <c r="A587" s="3" t="str">
        <f>IFERROR(table_DataQualities[ID],"")</f>
        <v/>
      </c>
      <c r="B587" s="3" t="str">
        <f>IFERROR(table_DataQualities[unit_ID],"")</f>
        <v/>
      </c>
      <c r="C5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8" spans="1:3" x14ac:dyDescent="0.45">
      <c r="A588" s="3" t="str">
        <f>IFERROR(table_DataQualities[ID],"")</f>
        <v/>
      </c>
      <c r="B588" s="3" t="str">
        <f>IFERROR(table_DataQualities[unit_ID],"")</f>
        <v/>
      </c>
      <c r="C5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89" spans="1:3" x14ac:dyDescent="0.45">
      <c r="A589" s="3" t="str">
        <f>IFERROR(table_DataQualities[ID],"")</f>
        <v/>
      </c>
      <c r="B589" s="3" t="str">
        <f>IFERROR(table_DataQualities[unit_ID],"")</f>
        <v/>
      </c>
      <c r="C5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0" spans="1:3" x14ac:dyDescent="0.45">
      <c r="A590" s="3" t="str">
        <f>IFERROR(table_DataQualities[ID],"")</f>
        <v/>
      </c>
      <c r="B590" s="3" t="str">
        <f>IFERROR(table_DataQualities[unit_ID],"")</f>
        <v/>
      </c>
      <c r="C5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1" spans="1:3" x14ac:dyDescent="0.45">
      <c r="A591" s="3" t="str">
        <f>IFERROR(table_DataQualities[ID],"")</f>
        <v/>
      </c>
      <c r="B591" s="3" t="str">
        <f>IFERROR(table_DataQualities[unit_ID],"")</f>
        <v/>
      </c>
      <c r="C5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2" spans="1:3" x14ac:dyDescent="0.45">
      <c r="A592" s="3" t="str">
        <f>IFERROR(table_DataQualities[ID],"")</f>
        <v/>
      </c>
      <c r="B592" s="3" t="str">
        <f>IFERROR(table_DataQualities[unit_ID],"")</f>
        <v/>
      </c>
      <c r="C5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3" spans="1:3" x14ac:dyDescent="0.45">
      <c r="A593" s="3" t="str">
        <f>IFERROR(table_DataQualities[ID],"")</f>
        <v/>
      </c>
      <c r="B593" s="3" t="str">
        <f>IFERROR(table_DataQualities[unit_ID],"")</f>
        <v/>
      </c>
      <c r="C5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4" spans="1:3" x14ac:dyDescent="0.45">
      <c r="A594" s="3" t="str">
        <f>IFERROR(table_DataQualities[ID],"")</f>
        <v/>
      </c>
      <c r="B594" s="3" t="str">
        <f>IFERROR(table_DataQualities[unit_ID],"")</f>
        <v/>
      </c>
      <c r="C5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5" spans="1:3" x14ac:dyDescent="0.45">
      <c r="A595" s="3" t="str">
        <f>IFERROR(table_DataQualities[ID],"")</f>
        <v/>
      </c>
      <c r="B595" s="3" t="str">
        <f>IFERROR(table_DataQualities[unit_ID],"")</f>
        <v/>
      </c>
      <c r="C5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6" spans="1:3" x14ac:dyDescent="0.45">
      <c r="A596" s="3" t="str">
        <f>IFERROR(table_DataQualities[ID],"")</f>
        <v/>
      </c>
      <c r="B596" s="3" t="str">
        <f>IFERROR(table_DataQualities[unit_ID],"")</f>
        <v/>
      </c>
      <c r="C5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7" spans="1:3" x14ac:dyDescent="0.45">
      <c r="A597" s="3" t="str">
        <f>IFERROR(table_DataQualities[ID],"")</f>
        <v/>
      </c>
      <c r="B597" s="3" t="str">
        <f>IFERROR(table_DataQualities[unit_ID],"")</f>
        <v/>
      </c>
      <c r="C5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8" spans="1:3" x14ac:dyDescent="0.45">
      <c r="A598" s="3" t="str">
        <f>IFERROR(table_DataQualities[ID],"")</f>
        <v/>
      </c>
      <c r="B598" s="3" t="str">
        <f>IFERROR(table_DataQualities[unit_ID],"")</f>
        <v/>
      </c>
      <c r="C5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599" spans="1:3" x14ac:dyDescent="0.45">
      <c r="A599" s="3" t="str">
        <f>IFERROR(table_DataQualities[ID],"")</f>
        <v/>
      </c>
      <c r="B599" s="3" t="str">
        <f>IFERROR(table_DataQualities[unit_ID],"")</f>
        <v/>
      </c>
      <c r="C5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0" spans="1:3" x14ac:dyDescent="0.45">
      <c r="A600" s="3" t="str">
        <f>IFERROR(table_DataQualities[ID],"")</f>
        <v/>
      </c>
      <c r="B600" s="3" t="str">
        <f>IFERROR(table_DataQualities[unit_ID],"")</f>
        <v/>
      </c>
      <c r="C6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1" spans="1:3" x14ac:dyDescent="0.45">
      <c r="A601" s="3" t="str">
        <f>IFERROR(table_DataQualities[ID],"")</f>
        <v/>
      </c>
      <c r="B601" s="3" t="str">
        <f>IFERROR(table_DataQualities[unit_ID],"")</f>
        <v/>
      </c>
      <c r="C6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2" spans="1:3" x14ac:dyDescent="0.45">
      <c r="A602" s="3" t="str">
        <f>IFERROR(table_DataQualities[ID],"")</f>
        <v/>
      </c>
      <c r="B602" s="3" t="str">
        <f>IFERROR(table_DataQualities[unit_ID],"")</f>
        <v/>
      </c>
      <c r="C6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3" spans="1:3" x14ac:dyDescent="0.45">
      <c r="A603" s="3" t="str">
        <f>IFERROR(table_DataQualities[ID],"")</f>
        <v/>
      </c>
      <c r="B603" s="3" t="str">
        <f>IFERROR(table_DataQualities[unit_ID],"")</f>
        <v/>
      </c>
      <c r="C6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4" spans="1:3" x14ac:dyDescent="0.45">
      <c r="A604" s="3" t="str">
        <f>IFERROR(table_DataQualities[ID],"")</f>
        <v/>
      </c>
      <c r="B604" s="3" t="str">
        <f>IFERROR(table_DataQualities[unit_ID],"")</f>
        <v/>
      </c>
      <c r="C6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5" spans="1:3" x14ac:dyDescent="0.45">
      <c r="A605" s="3" t="str">
        <f>IFERROR(table_DataQualities[ID],"")</f>
        <v/>
      </c>
      <c r="B605" s="3" t="str">
        <f>IFERROR(table_DataQualities[unit_ID],"")</f>
        <v/>
      </c>
      <c r="C6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6" spans="1:3" x14ac:dyDescent="0.45">
      <c r="A606" s="3" t="str">
        <f>IFERROR(table_DataQualities[ID],"")</f>
        <v/>
      </c>
      <c r="B606" s="3" t="str">
        <f>IFERROR(table_DataQualities[unit_ID],"")</f>
        <v/>
      </c>
      <c r="C6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7" spans="1:3" x14ac:dyDescent="0.45">
      <c r="A607" s="3" t="str">
        <f>IFERROR(table_DataQualities[ID],"")</f>
        <v/>
      </c>
      <c r="B607" s="3" t="str">
        <f>IFERROR(table_DataQualities[unit_ID],"")</f>
        <v/>
      </c>
      <c r="C6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8" spans="1:3" x14ac:dyDescent="0.45">
      <c r="A608" s="3" t="str">
        <f>IFERROR(table_DataQualities[ID],"")</f>
        <v/>
      </c>
      <c r="B608" s="3" t="str">
        <f>IFERROR(table_DataQualities[unit_ID],"")</f>
        <v/>
      </c>
      <c r="C6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09" spans="1:3" x14ac:dyDescent="0.45">
      <c r="A609" s="3" t="str">
        <f>IFERROR(table_DataQualities[ID],"")</f>
        <v/>
      </c>
      <c r="B609" s="3" t="str">
        <f>IFERROR(table_DataQualities[unit_ID],"")</f>
        <v/>
      </c>
      <c r="C6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0" spans="1:3" x14ac:dyDescent="0.45">
      <c r="A610" s="3" t="str">
        <f>IFERROR(table_DataQualities[ID],"")</f>
        <v/>
      </c>
      <c r="B610" s="3" t="str">
        <f>IFERROR(table_DataQualities[unit_ID],"")</f>
        <v/>
      </c>
      <c r="C6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1" spans="1:3" x14ac:dyDescent="0.45">
      <c r="A611" s="3" t="str">
        <f>IFERROR(table_DataQualities[ID],"")</f>
        <v/>
      </c>
      <c r="B611" s="3" t="str">
        <f>IFERROR(table_DataQualities[unit_ID],"")</f>
        <v/>
      </c>
      <c r="C6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2" spans="1:3" x14ac:dyDescent="0.45">
      <c r="A612" s="3" t="str">
        <f>IFERROR(table_DataQualities[ID],"")</f>
        <v/>
      </c>
      <c r="B612" s="3" t="str">
        <f>IFERROR(table_DataQualities[unit_ID],"")</f>
        <v/>
      </c>
      <c r="C6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3" spans="1:3" x14ac:dyDescent="0.45">
      <c r="A613" s="3" t="str">
        <f>IFERROR(table_DataQualities[ID],"")</f>
        <v/>
      </c>
      <c r="B613" s="3" t="str">
        <f>IFERROR(table_DataQualities[unit_ID],"")</f>
        <v/>
      </c>
      <c r="C6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4" spans="1:3" x14ac:dyDescent="0.45">
      <c r="A614" s="3" t="str">
        <f>IFERROR(table_DataQualities[ID],"")</f>
        <v/>
      </c>
      <c r="B614" s="3" t="str">
        <f>IFERROR(table_DataQualities[unit_ID],"")</f>
        <v/>
      </c>
      <c r="C6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5" spans="1:3" x14ac:dyDescent="0.45">
      <c r="A615" s="3" t="str">
        <f>IFERROR(table_DataQualities[ID],"")</f>
        <v/>
      </c>
      <c r="B615" s="3" t="str">
        <f>IFERROR(table_DataQualities[unit_ID],"")</f>
        <v/>
      </c>
      <c r="C6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6" spans="1:3" x14ac:dyDescent="0.45">
      <c r="A616" s="3" t="str">
        <f>IFERROR(table_DataQualities[ID],"")</f>
        <v/>
      </c>
      <c r="B616" s="3" t="str">
        <f>IFERROR(table_DataQualities[unit_ID],"")</f>
        <v/>
      </c>
      <c r="C6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7" spans="1:3" x14ac:dyDescent="0.45">
      <c r="A617" s="3" t="str">
        <f>IFERROR(table_DataQualities[ID],"")</f>
        <v/>
      </c>
      <c r="B617" s="3" t="str">
        <f>IFERROR(table_DataQualities[unit_ID],"")</f>
        <v/>
      </c>
      <c r="C6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8" spans="1:3" x14ac:dyDescent="0.45">
      <c r="A618" s="3" t="str">
        <f>IFERROR(table_DataQualities[ID],"")</f>
        <v/>
      </c>
      <c r="B618" s="3" t="str">
        <f>IFERROR(table_DataQualities[unit_ID],"")</f>
        <v/>
      </c>
      <c r="C6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19" spans="1:3" x14ac:dyDescent="0.45">
      <c r="A619" s="3" t="str">
        <f>IFERROR(table_DataQualities[ID],"")</f>
        <v/>
      </c>
      <c r="B619" s="3" t="str">
        <f>IFERROR(table_DataQualities[unit_ID],"")</f>
        <v/>
      </c>
      <c r="C6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0" spans="1:3" x14ac:dyDescent="0.45">
      <c r="A620" s="3" t="str">
        <f>IFERROR(table_DataQualities[ID],"")</f>
        <v/>
      </c>
      <c r="B620" s="3" t="str">
        <f>IFERROR(table_DataQualities[unit_ID],"")</f>
        <v/>
      </c>
      <c r="C6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1" spans="1:3" x14ac:dyDescent="0.45">
      <c r="A621" s="3" t="str">
        <f>IFERROR(table_DataQualities[ID],"")</f>
        <v/>
      </c>
      <c r="B621" s="3" t="str">
        <f>IFERROR(table_DataQualities[unit_ID],"")</f>
        <v/>
      </c>
      <c r="C6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2" spans="1:3" x14ac:dyDescent="0.45">
      <c r="A622" s="3" t="str">
        <f>IFERROR(table_DataQualities[ID],"")</f>
        <v/>
      </c>
      <c r="B622" s="3" t="str">
        <f>IFERROR(table_DataQualities[unit_ID],"")</f>
        <v/>
      </c>
      <c r="C6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3" spans="1:3" x14ac:dyDescent="0.45">
      <c r="A623" s="3" t="str">
        <f>IFERROR(table_DataQualities[ID],"")</f>
        <v/>
      </c>
      <c r="B623" s="3" t="str">
        <f>IFERROR(table_DataQualities[unit_ID],"")</f>
        <v/>
      </c>
      <c r="C6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4" spans="1:3" x14ac:dyDescent="0.45">
      <c r="A624" s="3" t="str">
        <f>IFERROR(table_DataQualities[ID],"")</f>
        <v/>
      </c>
      <c r="B624" s="3" t="str">
        <f>IFERROR(table_DataQualities[unit_ID],"")</f>
        <v/>
      </c>
      <c r="C6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5" spans="1:3" x14ac:dyDescent="0.45">
      <c r="A625" s="3" t="str">
        <f>IFERROR(table_DataQualities[ID],"")</f>
        <v/>
      </c>
      <c r="B625" s="3" t="str">
        <f>IFERROR(table_DataQualities[unit_ID],"")</f>
        <v/>
      </c>
      <c r="C6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6" spans="1:3" x14ac:dyDescent="0.45">
      <c r="A626" s="3" t="str">
        <f>IFERROR(table_DataQualities[ID],"")</f>
        <v/>
      </c>
      <c r="B626" s="3" t="str">
        <f>IFERROR(table_DataQualities[unit_ID],"")</f>
        <v/>
      </c>
      <c r="C6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7" spans="1:3" x14ac:dyDescent="0.45">
      <c r="A627" s="3" t="str">
        <f>IFERROR(table_DataQualities[ID],"")</f>
        <v/>
      </c>
      <c r="B627" s="3" t="str">
        <f>IFERROR(table_DataQualities[unit_ID],"")</f>
        <v/>
      </c>
      <c r="C6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8" spans="1:3" x14ac:dyDescent="0.45">
      <c r="A628" s="3" t="str">
        <f>IFERROR(table_DataQualities[ID],"")</f>
        <v/>
      </c>
      <c r="B628" s="3" t="str">
        <f>IFERROR(table_DataQualities[unit_ID],"")</f>
        <v/>
      </c>
      <c r="C6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29" spans="1:3" x14ac:dyDescent="0.45">
      <c r="A629" s="3" t="str">
        <f>IFERROR(table_DataQualities[ID],"")</f>
        <v/>
      </c>
      <c r="B629" s="3" t="str">
        <f>IFERROR(table_DataQualities[unit_ID],"")</f>
        <v/>
      </c>
      <c r="C6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0" spans="1:3" x14ac:dyDescent="0.45">
      <c r="A630" s="3" t="str">
        <f>IFERROR(table_DataQualities[ID],"")</f>
        <v/>
      </c>
      <c r="B630" s="3" t="str">
        <f>IFERROR(table_DataQualities[unit_ID],"")</f>
        <v/>
      </c>
      <c r="C6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1" spans="1:3" x14ac:dyDescent="0.45">
      <c r="A631" s="3" t="str">
        <f>IFERROR(table_DataQualities[ID],"")</f>
        <v/>
      </c>
      <c r="B631" s="3" t="str">
        <f>IFERROR(table_DataQualities[unit_ID],"")</f>
        <v/>
      </c>
      <c r="C6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2" spans="1:3" x14ac:dyDescent="0.45">
      <c r="A632" s="3" t="str">
        <f>IFERROR(table_DataQualities[ID],"")</f>
        <v/>
      </c>
      <c r="B632" s="3" t="str">
        <f>IFERROR(table_DataQualities[unit_ID],"")</f>
        <v/>
      </c>
      <c r="C6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3" spans="1:3" x14ac:dyDescent="0.45">
      <c r="A633" s="3" t="str">
        <f>IFERROR(table_DataQualities[ID],"")</f>
        <v/>
      </c>
      <c r="B633" s="3" t="str">
        <f>IFERROR(table_DataQualities[unit_ID],"")</f>
        <v/>
      </c>
      <c r="C6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4" spans="1:3" x14ac:dyDescent="0.45">
      <c r="A634" s="3" t="str">
        <f>IFERROR(table_DataQualities[ID],"")</f>
        <v/>
      </c>
      <c r="B634" s="3" t="str">
        <f>IFERROR(table_DataQualities[unit_ID],"")</f>
        <v/>
      </c>
      <c r="C6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5" spans="1:3" x14ac:dyDescent="0.45">
      <c r="A635" s="3" t="str">
        <f>IFERROR(table_DataQualities[ID],"")</f>
        <v/>
      </c>
      <c r="B635" s="3" t="str">
        <f>IFERROR(table_DataQualities[unit_ID],"")</f>
        <v/>
      </c>
      <c r="C6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6" spans="1:3" x14ac:dyDescent="0.45">
      <c r="A636" s="3" t="str">
        <f>IFERROR(table_DataQualities[ID],"")</f>
        <v/>
      </c>
      <c r="B636" s="3" t="str">
        <f>IFERROR(table_DataQualities[unit_ID],"")</f>
        <v/>
      </c>
      <c r="C6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7" spans="1:3" x14ac:dyDescent="0.45">
      <c r="A637" s="3" t="str">
        <f>IFERROR(table_DataQualities[ID],"")</f>
        <v/>
      </c>
      <c r="B637" s="3" t="str">
        <f>IFERROR(table_DataQualities[unit_ID],"")</f>
        <v/>
      </c>
      <c r="C6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8" spans="1:3" x14ac:dyDescent="0.45">
      <c r="A638" s="3" t="str">
        <f>IFERROR(table_DataQualities[ID],"")</f>
        <v/>
      </c>
      <c r="B638" s="3" t="str">
        <f>IFERROR(table_DataQualities[unit_ID],"")</f>
        <v/>
      </c>
      <c r="C6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39" spans="1:3" x14ac:dyDescent="0.45">
      <c r="A639" s="3" t="str">
        <f>IFERROR(table_DataQualities[ID],"")</f>
        <v/>
      </c>
      <c r="B639" s="3" t="str">
        <f>IFERROR(table_DataQualities[unit_ID],"")</f>
        <v/>
      </c>
      <c r="C6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0" spans="1:3" x14ac:dyDescent="0.45">
      <c r="A640" s="3" t="str">
        <f>IFERROR(table_DataQualities[ID],"")</f>
        <v/>
      </c>
      <c r="B640" s="3" t="str">
        <f>IFERROR(table_DataQualities[unit_ID],"")</f>
        <v/>
      </c>
      <c r="C6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1" spans="1:3" x14ac:dyDescent="0.45">
      <c r="A641" s="3" t="str">
        <f>IFERROR(table_DataQualities[ID],"")</f>
        <v/>
      </c>
      <c r="B641" s="3" t="str">
        <f>IFERROR(table_DataQualities[unit_ID],"")</f>
        <v/>
      </c>
      <c r="C6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2" spans="1:3" x14ac:dyDescent="0.45">
      <c r="A642" s="3" t="str">
        <f>IFERROR(table_DataQualities[ID],"")</f>
        <v/>
      </c>
      <c r="B642" s="3" t="str">
        <f>IFERROR(table_DataQualities[unit_ID],"")</f>
        <v/>
      </c>
      <c r="C6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3" spans="1:3" x14ac:dyDescent="0.45">
      <c r="A643" s="3" t="str">
        <f>IFERROR(table_DataQualities[ID],"")</f>
        <v/>
      </c>
      <c r="B643" s="3" t="str">
        <f>IFERROR(table_DataQualities[unit_ID],"")</f>
        <v/>
      </c>
      <c r="C6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4" spans="1:3" x14ac:dyDescent="0.45">
      <c r="A644" s="3" t="str">
        <f>IFERROR(table_DataQualities[ID],"")</f>
        <v/>
      </c>
      <c r="B644" s="3" t="str">
        <f>IFERROR(table_DataQualities[unit_ID],"")</f>
        <v/>
      </c>
      <c r="C6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5" spans="1:3" x14ac:dyDescent="0.45">
      <c r="A645" s="3" t="str">
        <f>IFERROR(table_DataQualities[ID],"")</f>
        <v/>
      </c>
      <c r="B645" s="3" t="str">
        <f>IFERROR(table_DataQualities[unit_ID],"")</f>
        <v/>
      </c>
      <c r="C6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6" spans="1:3" x14ac:dyDescent="0.45">
      <c r="A646" s="3" t="str">
        <f>IFERROR(table_DataQualities[ID],"")</f>
        <v/>
      </c>
      <c r="B646" s="3" t="str">
        <f>IFERROR(table_DataQualities[unit_ID],"")</f>
        <v/>
      </c>
      <c r="C6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7" spans="1:3" x14ac:dyDescent="0.45">
      <c r="A647" s="3" t="str">
        <f>IFERROR(table_DataQualities[ID],"")</f>
        <v/>
      </c>
      <c r="B647" s="3" t="str">
        <f>IFERROR(table_DataQualities[unit_ID],"")</f>
        <v/>
      </c>
      <c r="C6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8" spans="1:3" x14ac:dyDescent="0.45">
      <c r="A648" s="3" t="str">
        <f>IFERROR(table_DataQualities[ID],"")</f>
        <v/>
      </c>
      <c r="B648" s="3" t="str">
        <f>IFERROR(table_DataQualities[unit_ID],"")</f>
        <v/>
      </c>
      <c r="C6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49" spans="1:3" x14ac:dyDescent="0.45">
      <c r="A649" s="3" t="str">
        <f>IFERROR(table_DataQualities[ID],"")</f>
        <v/>
      </c>
      <c r="B649" s="3" t="str">
        <f>IFERROR(table_DataQualities[unit_ID],"")</f>
        <v/>
      </c>
      <c r="C6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0" spans="1:3" x14ac:dyDescent="0.45">
      <c r="A650" s="3" t="str">
        <f>IFERROR(table_DataQualities[ID],"")</f>
        <v/>
      </c>
      <c r="B650" s="3" t="str">
        <f>IFERROR(table_DataQualities[unit_ID],"")</f>
        <v/>
      </c>
      <c r="C6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1" spans="1:3" x14ac:dyDescent="0.45">
      <c r="A651" s="3" t="str">
        <f>IFERROR(table_DataQualities[ID],"")</f>
        <v/>
      </c>
      <c r="B651" s="3" t="str">
        <f>IFERROR(table_DataQualities[unit_ID],"")</f>
        <v/>
      </c>
      <c r="C6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2" spans="1:3" x14ac:dyDescent="0.45">
      <c r="A652" s="3" t="str">
        <f>IFERROR(table_DataQualities[ID],"")</f>
        <v/>
      </c>
      <c r="B652" s="3" t="str">
        <f>IFERROR(table_DataQualities[unit_ID],"")</f>
        <v/>
      </c>
      <c r="C6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3" spans="1:3" x14ac:dyDescent="0.45">
      <c r="A653" s="3" t="str">
        <f>IFERROR(table_DataQualities[ID],"")</f>
        <v/>
      </c>
      <c r="B653" s="3" t="str">
        <f>IFERROR(table_DataQualities[unit_ID],"")</f>
        <v/>
      </c>
      <c r="C6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4" spans="1:3" x14ac:dyDescent="0.45">
      <c r="A654" s="3" t="str">
        <f>IFERROR(table_DataQualities[ID],"")</f>
        <v/>
      </c>
      <c r="B654" s="3" t="str">
        <f>IFERROR(table_DataQualities[unit_ID],"")</f>
        <v/>
      </c>
      <c r="C6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5" spans="1:3" x14ac:dyDescent="0.45">
      <c r="A655" s="3" t="str">
        <f>IFERROR(table_DataQualities[ID],"")</f>
        <v/>
      </c>
      <c r="B655" s="3" t="str">
        <f>IFERROR(table_DataQualities[unit_ID],"")</f>
        <v/>
      </c>
      <c r="C6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6" spans="1:3" x14ac:dyDescent="0.45">
      <c r="A656" s="3" t="str">
        <f>IFERROR(table_DataQualities[ID],"")</f>
        <v/>
      </c>
      <c r="B656" s="3" t="str">
        <f>IFERROR(table_DataQualities[unit_ID],"")</f>
        <v/>
      </c>
      <c r="C6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7" spans="1:3" x14ac:dyDescent="0.45">
      <c r="A657" s="3" t="str">
        <f>IFERROR(table_DataQualities[ID],"")</f>
        <v/>
      </c>
      <c r="B657" s="3" t="str">
        <f>IFERROR(table_DataQualities[unit_ID],"")</f>
        <v/>
      </c>
      <c r="C6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8" spans="1:3" x14ac:dyDescent="0.45">
      <c r="A658" s="3" t="str">
        <f>IFERROR(table_DataQualities[ID],"")</f>
        <v/>
      </c>
      <c r="B658" s="3" t="str">
        <f>IFERROR(table_DataQualities[unit_ID],"")</f>
        <v/>
      </c>
      <c r="C6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59" spans="1:3" x14ac:dyDescent="0.45">
      <c r="A659" s="3" t="str">
        <f>IFERROR(table_DataQualities[ID],"")</f>
        <v/>
      </c>
      <c r="B659" s="3" t="str">
        <f>IFERROR(table_DataQualities[unit_ID],"")</f>
        <v/>
      </c>
      <c r="C6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0" spans="1:3" x14ac:dyDescent="0.45">
      <c r="A660" s="3" t="str">
        <f>IFERROR(table_DataQualities[ID],"")</f>
        <v/>
      </c>
      <c r="B660" s="3" t="str">
        <f>IFERROR(table_DataQualities[unit_ID],"")</f>
        <v/>
      </c>
      <c r="C6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1" spans="1:3" x14ac:dyDescent="0.45">
      <c r="A661" s="3" t="str">
        <f>IFERROR(table_DataQualities[ID],"")</f>
        <v/>
      </c>
      <c r="B661" s="3" t="str">
        <f>IFERROR(table_DataQualities[unit_ID],"")</f>
        <v/>
      </c>
      <c r="C6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2" spans="1:3" x14ac:dyDescent="0.45">
      <c r="A662" s="3" t="str">
        <f>IFERROR(table_DataQualities[ID],"")</f>
        <v/>
      </c>
      <c r="B662" s="3" t="str">
        <f>IFERROR(table_DataQualities[unit_ID],"")</f>
        <v/>
      </c>
      <c r="C6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3" spans="1:3" x14ac:dyDescent="0.45">
      <c r="A663" s="3" t="str">
        <f>IFERROR(table_DataQualities[ID],"")</f>
        <v/>
      </c>
      <c r="B663" s="3" t="str">
        <f>IFERROR(table_DataQualities[unit_ID],"")</f>
        <v/>
      </c>
      <c r="C6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4" spans="1:3" x14ac:dyDescent="0.45">
      <c r="A664" s="3" t="str">
        <f>IFERROR(table_DataQualities[ID],"")</f>
        <v/>
      </c>
      <c r="B664" s="3" t="str">
        <f>IFERROR(table_DataQualities[unit_ID],"")</f>
        <v/>
      </c>
      <c r="C6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5" spans="1:3" x14ac:dyDescent="0.45">
      <c r="A665" s="3" t="str">
        <f>IFERROR(table_DataQualities[ID],"")</f>
        <v/>
      </c>
      <c r="B665" s="3" t="str">
        <f>IFERROR(table_DataQualities[unit_ID],"")</f>
        <v/>
      </c>
      <c r="C6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6" spans="1:3" x14ac:dyDescent="0.45">
      <c r="A666" s="3" t="str">
        <f>IFERROR(table_DataQualities[ID],"")</f>
        <v/>
      </c>
      <c r="B666" s="3" t="str">
        <f>IFERROR(table_DataQualities[unit_ID],"")</f>
        <v/>
      </c>
      <c r="C6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7" spans="1:3" x14ac:dyDescent="0.45">
      <c r="A667" s="3" t="str">
        <f>IFERROR(table_DataQualities[ID],"")</f>
        <v/>
      </c>
      <c r="B667" s="3" t="str">
        <f>IFERROR(table_DataQualities[unit_ID],"")</f>
        <v/>
      </c>
      <c r="C6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8" spans="1:3" x14ac:dyDescent="0.45">
      <c r="A668" s="3" t="str">
        <f>IFERROR(table_DataQualities[ID],"")</f>
        <v/>
      </c>
      <c r="B668" s="3" t="str">
        <f>IFERROR(table_DataQualities[unit_ID],"")</f>
        <v/>
      </c>
      <c r="C6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69" spans="1:3" x14ac:dyDescent="0.45">
      <c r="A669" s="3" t="str">
        <f>IFERROR(table_DataQualities[ID],"")</f>
        <v/>
      </c>
      <c r="B669" s="3" t="str">
        <f>IFERROR(table_DataQualities[unit_ID],"")</f>
        <v/>
      </c>
      <c r="C6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0" spans="1:3" x14ac:dyDescent="0.45">
      <c r="A670" s="3" t="str">
        <f>IFERROR(table_DataQualities[ID],"")</f>
        <v/>
      </c>
      <c r="B670" s="3" t="str">
        <f>IFERROR(table_DataQualities[unit_ID],"")</f>
        <v/>
      </c>
      <c r="C6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1" spans="1:3" x14ac:dyDescent="0.45">
      <c r="A671" s="3" t="str">
        <f>IFERROR(table_DataQualities[ID],"")</f>
        <v/>
      </c>
      <c r="B671" s="3" t="str">
        <f>IFERROR(table_DataQualities[unit_ID],"")</f>
        <v/>
      </c>
      <c r="C6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2" spans="1:3" x14ac:dyDescent="0.45">
      <c r="A672" s="3" t="str">
        <f>IFERROR(table_DataQualities[ID],"")</f>
        <v/>
      </c>
      <c r="B672" s="3" t="str">
        <f>IFERROR(table_DataQualities[unit_ID],"")</f>
        <v/>
      </c>
      <c r="C6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3" spans="1:3" x14ac:dyDescent="0.45">
      <c r="A673" s="3" t="str">
        <f>IFERROR(table_DataQualities[ID],"")</f>
        <v/>
      </c>
      <c r="B673" s="3" t="str">
        <f>IFERROR(table_DataQualities[unit_ID],"")</f>
        <v/>
      </c>
      <c r="C6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4" spans="1:3" x14ac:dyDescent="0.45">
      <c r="A674" s="3" t="str">
        <f>IFERROR(table_DataQualities[ID],"")</f>
        <v/>
      </c>
      <c r="B674" s="3" t="str">
        <f>IFERROR(table_DataQualities[unit_ID],"")</f>
        <v/>
      </c>
      <c r="C6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5" spans="1:3" x14ac:dyDescent="0.45">
      <c r="A675" s="3" t="str">
        <f>IFERROR(table_DataQualities[ID],"")</f>
        <v/>
      </c>
      <c r="B675" s="3" t="str">
        <f>IFERROR(table_DataQualities[unit_ID],"")</f>
        <v/>
      </c>
      <c r="C6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6" spans="1:3" x14ac:dyDescent="0.45">
      <c r="A676" s="3" t="str">
        <f>IFERROR(table_DataQualities[ID],"")</f>
        <v/>
      </c>
      <c r="B676" s="3" t="str">
        <f>IFERROR(table_DataQualities[unit_ID],"")</f>
        <v/>
      </c>
      <c r="C6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7" spans="1:3" x14ac:dyDescent="0.45">
      <c r="A677" s="3" t="str">
        <f>IFERROR(table_DataQualities[ID],"")</f>
        <v/>
      </c>
      <c r="B677" s="3" t="str">
        <f>IFERROR(table_DataQualities[unit_ID],"")</f>
        <v/>
      </c>
      <c r="C6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8" spans="1:3" x14ac:dyDescent="0.45">
      <c r="A678" s="3" t="str">
        <f>IFERROR(table_DataQualities[ID],"")</f>
        <v/>
      </c>
      <c r="B678" s="3" t="str">
        <f>IFERROR(table_DataQualities[unit_ID],"")</f>
        <v/>
      </c>
      <c r="C6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79" spans="1:3" x14ac:dyDescent="0.45">
      <c r="A679" s="3" t="str">
        <f>IFERROR(table_DataQualities[ID],"")</f>
        <v/>
      </c>
      <c r="B679" s="3" t="str">
        <f>IFERROR(table_DataQualities[unit_ID],"")</f>
        <v/>
      </c>
      <c r="C6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0" spans="1:3" x14ac:dyDescent="0.45">
      <c r="A680" s="3" t="str">
        <f>IFERROR(table_DataQualities[ID],"")</f>
        <v/>
      </c>
      <c r="B680" s="3" t="str">
        <f>IFERROR(table_DataQualities[unit_ID],"")</f>
        <v/>
      </c>
      <c r="C6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1" spans="1:3" x14ac:dyDescent="0.45">
      <c r="A681" s="3" t="str">
        <f>IFERROR(table_DataQualities[ID],"")</f>
        <v/>
      </c>
      <c r="B681" s="3" t="str">
        <f>IFERROR(table_DataQualities[unit_ID],"")</f>
        <v/>
      </c>
      <c r="C6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2" spans="1:3" x14ac:dyDescent="0.45">
      <c r="A682" s="3" t="str">
        <f>IFERROR(table_DataQualities[ID],"")</f>
        <v/>
      </c>
      <c r="B682" s="3" t="str">
        <f>IFERROR(table_DataQualities[unit_ID],"")</f>
        <v/>
      </c>
      <c r="C6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3" spans="1:3" x14ac:dyDescent="0.45">
      <c r="A683" s="3" t="str">
        <f>IFERROR(table_DataQualities[ID],"")</f>
        <v/>
      </c>
      <c r="B683" s="3" t="str">
        <f>IFERROR(table_DataQualities[unit_ID],"")</f>
        <v/>
      </c>
      <c r="C6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4" spans="1:3" x14ac:dyDescent="0.45">
      <c r="A684" s="3" t="str">
        <f>IFERROR(table_DataQualities[ID],"")</f>
        <v/>
      </c>
      <c r="B684" s="3" t="str">
        <f>IFERROR(table_DataQualities[unit_ID],"")</f>
        <v/>
      </c>
      <c r="C6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5" spans="1:3" x14ac:dyDescent="0.45">
      <c r="A685" s="3" t="str">
        <f>IFERROR(table_DataQualities[ID],"")</f>
        <v/>
      </c>
      <c r="B685" s="3" t="str">
        <f>IFERROR(table_DataQualities[unit_ID],"")</f>
        <v/>
      </c>
      <c r="C6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6" spans="1:3" x14ac:dyDescent="0.45">
      <c r="A686" s="3" t="str">
        <f>IFERROR(table_DataQualities[ID],"")</f>
        <v/>
      </c>
      <c r="B686" s="3" t="str">
        <f>IFERROR(table_DataQualities[unit_ID],"")</f>
        <v/>
      </c>
      <c r="C6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7" spans="1:3" x14ac:dyDescent="0.45">
      <c r="A687" s="3" t="str">
        <f>IFERROR(table_DataQualities[ID],"")</f>
        <v/>
      </c>
      <c r="B687" s="3" t="str">
        <f>IFERROR(table_DataQualities[unit_ID],"")</f>
        <v/>
      </c>
      <c r="C6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8" spans="1:3" x14ac:dyDescent="0.45">
      <c r="A688" s="3" t="str">
        <f>IFERROR(table_DataQualities[ID],"")</f>
        <v/>
      </c>
      <c r="B688" s="3" t="str">
        <f>IFERROR(table_DataQualities[unit_ID],"")</f>
        <v/>
      </c>
      <c r="C6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89" spans="1:3" x14ac:dyDescent="0.45">
      <c r="A689" s="3" t="str">
        <f>IFERROR(table_DataQualities[ID],"")</f>
        <v/>
      </c>
      <c r="B689" s="3" t="str">
        <f>IFERROR(table_DataQualities[unit_ID],"")</f>
        <v/>
      </c>
      <c r="C6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0" spans="1:3" x14ac:dyDescent="0.45">
      <c r="A690" s="3" t="str">
        <f>IFERROR(table_DataQualities[ID],"")</f>
        <v/>
      </c>
      <c r="B690" s="3" t="str">
        <f>IFERROR(table_DataQualities[unit_ID],"")</f>
        <v/>
      </c>
      <c r="C6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1" spans="1:3" x14ac:dyDescent="0.45">
      <c r="A691" s="3" t="str">
        <f>IFERROR(table_DataQualities[ID],"")</f>
        <v/>
      </c>
      <c r="B691" s="3" t="str">
        <f>IFERROR(table_DataQualities[unit_ID],"")</f>
        <v/>
      </c>
      <c r="C6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2" spans="1:3" x14ac:dyDescent="0.45">
      <c r="A692" s="3" t="str">
        <f>IFERROR(table_DataQualities[ID],"")</f>
        <v/>
      </c>
      <c r="B692" s="3" t="str">
        <f>IFERROR(table_DataQualities[unit_ID],"")</f>
        <v/>
      </c>
      <c r="C6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3" spans="1:3" x14ac:dyDescent="0.45">
      <c r="A693" s="3" t="str">
        <f>IFERROR(table_DataQualities[ID],"")</f>
        <v/>
      </c>
      <c r="B693" s="3" t="str">
        <f>IFERROR(table_DataQualities[unit_ID],"")</f>
        <v/>
      </c>
      <c r="C6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4" spans="1:3" x14ac:dyDescent="0.45">
      <c r="A694" s="3" t="str">
        <f>IFERROR(table_DataQualities[ID],"")</f>
        <v/>
      </c>
      <c r="B694" s="3" t="str">
        <f>IFERROR(table_DataQualities[unit_ID],"")</f>
        <v/>
      </c>
      <c r="C6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5" spans="1:3" x14ac:dyDescent="0.45">
      <c r="A695" s="3" t="str">
        <f>IFERROR(table_DataQualities[ID],"")</f>
        <v/>
      </c>
      <c r="B695" s="3" t="str">
        <f>IFERROR(table_DataQualities[unit_ID],"")</f>
        <v/>
      </c>
      <c r="C6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6" spans="1:3" x14ac:dyDescent="0.45">
      <c r="A696" s="3" t="str">
        <f>IFERROR(table_DataQualities[ID],"")</f>
        <v/>
      </c>
      <c r="B696" s="3" t="str">
        <f>IFERROR(table_DataQualities[unit_ID],"")</f>
        <v/>
      </c>
      <c r="C6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7" spans="1:3" x14ac:dyDescent="0.45">
      <c r="A697" s="3" t="str">
        <f>IFERROR(table_DataQualities[ID],"")</f>
        <v/>
      </c>
      <c r="B697" s="3" t="str">
        <f>IFERROR(table_DataQualities[unit_ID],"")</f>
        <v/>
      </c>
      <c r="C6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8" spans="1:3" x14ac:dyDescent="0.45">
      <c r="A698" s="3" t="str">
        <f>IFERROR(table_DataQualities[ID],"")</f>
        <v/>
      </c>
      <c r="B698" s="3" t="str">
        <f>IFERROR(table_DataQualities[unit_ID],"")</f>
        <v/>
      </c>
      <c r="C6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699" spans="1:3" x14ac:dyDescent="0.45">
      <c r="A699" s="3" t="str">
        <f>IFERROR(table_DataQualities[ID],"")</f>
        <v/>
      </c>
      <c r="B699" s="3" t="str">
        <f>IFERROR(table_DataQualities[unit_ID],"")</f>
        <v/>
      </c>
      <c r="C6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0" spans="1:3" x14ac:dyDescent="0.45">
      <c r="A700" s="3" t="str">
        <f>IFERROR(table_DataQualities[ID],"")</f>
        <v/>
      </c>
      <c r="B700" s="3" t="str">
        <f>IFERROR(table_DataQualities[unit_ID],"")</f>
        <v/>
      </c>
      <c r="C7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1" spans="1:3" x14ac:dyDescent="0.45">
      <c r="A701" s="3" t="str">
        <f>IFERROR(table_DataQualities[ID],"")</f>
        <v/>
      </c>
      <c r="B701" s="3" t="str">
        <f>IFERROR(table_DataQualities[unit_ID],"")</f>
        <v/>
      </c>
      <c r="C7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2" spans="1:3" x14ac:dyDescent="0.45">
      <c r="A702" s="3" t="str">
        <f>IFERROR(table_DataQualities[ID],"")</f>
        <v/>
      </c>
      <c r="B702" s="3" t="str">
        <f>IFERROR(table_DataQualities[unit_ID],"")</f>
        <v/>
      </c>
      <c r="C7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3" spans="1:3" x14ac:dyDescent="0.45">
      <c r="A703" s="3" t="str">
        <f>IFERROR(table_DataQualities[ID],"")</f>
        <v/>
      </c>
      <c r="B703" s="3" t="str">
        <f>IFERROR(table_DataQualities[unit_ID],"")</f>
        <v/>
      </c>
      <c r="C7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4" spans="1:3" x14ac:dyDescent="0.45">
      <c r="A704" s="3" t="str">
        <f>IFERROR(table_DataQualities[ID],"")</f>
        <v/>
      </c>
      <c r="B704" s="3" t="str">
        <f>IFERROR(table_DataQualities[unit_ID],"")</f>
        <v/>
      </c>
      <c r="C7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5" spans="1:3" x14ac:dyDescent="0.45">
      <c r="A705" s="3" t="str">
        <f>IFERROR(table_DataQualities[ID],"")</f>
        <v/>
      </c>
      <c r="B705" s="3" t="str">
        <f>IFERROR(table_DataQualities[unit_ID],"")</f>
        <v/>
      </c>
      <c r="C7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6" spans="1:3" x14ac:dyDescent="0.45">
      <c r="A706" s="3" t="str">
        <f>IFERROR(table_DataQualities[ID],"")</f>
        <v/>
      </c>
      <c r="B706" s="3" t="str">
        <f>IFERROR(table_DataQualities[unit_ID],"")</f>
        <v/>
      </c>
      <c r="C7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7" spans="1:3" x14ac:dyDescent="0.45">
      <c r="A707" s="3" t="str">
        <f>IFERROR(table_DataQualities[ID],"")</f>
        <v/>
      </c>
      <c r="B707" s="3" t="str">
        <f>IFERROR(table_DataQualities[unit_ID],"")</f>
        <v/>
      </c>
      <c r="C7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8" spans="1:3" x14ac:dyDescent="0.45">
      <c r="A708" s="3" t="str">
        <f>IFERROR(table_DataQualities[ID],"")</f>
        <v/>
      </c>
      <c r="B708" s="3" t="str">
        <f>IFERROR(table_DataQualities[unit_ID],"")</f>
        <v/>
      </c>
      <c r="C7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09" spans="1:3" x14ac:dyDescent="0.45">
      <c r="A709" s="3" t="str">
        <f>IFERROR(table_DataQualities[ID],"")</f>
        <v/>
      </c>
      <c r="B709" s="3" t="str">
        <f>IFERROR(table_DataQualities[unit_ID],"")</f>
        <v/>
      </c>
      <c r="C7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0" spans="1:3" x14ac:dyDescent="0.45">
      <c r="A710" s="3" t="str">
        <f>IFERROR(table_DataQualities[ID],"")</f>
        <v/>
      </c>
      <c r="B710" s="3" t="str">
        <f>IFERROR(table_DataQualities[unit_ID],"")</f>
        <v/>
      </c>
      <c r="C7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1" spans="1:3" x14ac:dyDescent="0.45">
      <c r="A711" s="3" t="str">
        <f>IFERROR(table_DataQualities[ID],"")</f>
        <v/>
      </c>
      <c r="B711" s="3" t="str">
        <f>IFERROR(table_DataQualities[unit_ID],"")</f>
        <v/>
      </c>
      <c r="C7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2" spans="1:3" x14ac:dyDescent="0.45">
      <c r="A712" s="3" t="str">
        <f>IFERROR(table_DataQualities[ID],"")</f>
        <v/>
      </c>
      <c r="B712" s="3" t="str">
        <f>IFERROR(table_DataQualities[unit_ID],"")</f>
        <v/>
      </c>
      <c r="C7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3" spans="1:3" x14ac:dyDescent="0.45">
      <c r="A713" s="3" t="str">
        <f>IFERROR(table_DataQualities[ID],"")</f>
        <v/>
      </c>
      <c r="B713" s="3" t="str">
        <f>IFERROR(table_DataQualities[unit_ID],"")</f>
        <v/>
      </c>
      <c r="C7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4" spans="1:3" x14ac:dyDescent="0.45">
      <c r="A714" s="3" t="str">
        <f>IFERROR(table_DataQualities[ID],"")</f>
        <v/>
      </c>
      <c r="B714" s="3" t="str">
        <f>IFERROR(table_DataQualities[unit_ID],"")</f>
        <v/>
      </c>
      <c r="C7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5" spans="1:3" x14ac:dyDescent="0.45">
      <c r="A715" s="3" t="str">
        <f>IFERROR(table_DataQualities[ID],"")</f>
        <v/>
      </c>
      <c r="B715" s="3" t="str">
        <f>IFERROR(table_DataQualities[unit_ID],"")</f>
        <v/>
      </c>
      <c r="C7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6" spans="1:3" x14ac:dyDescent="0.45">
      <c r="A716" s="3" t="str">
        <f>IFERROR(table_DataQualities[ID],"")</f>
        <v/>
      </c>
      <c r="B716" s="3" t="str">
        <f>IFERROR(table_DataQualities[unit_ID],"")</f>
        <v/>
      </c>
      <c r="C7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7" spans="1:3" x14ac:dyDescent="0.45">
      <c r="A717" s="3" t="str">
        <f>IFERROR(table_DataQualities[ID],"")</f>
        <v/>
      </c>
      <c r="B717" s="3" t="str">
        <f>IFERROR(table_DataQualities[unit_ID],"")</f>
        <v/>
      </c>
      <c r="C7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8" spans="1:3" x14ac:dyDescent="0.45">
      <c r="A718" s="3" t="str">
        <f>IFERROR(table_DataQualities[ID],"")</f>
        <v/>
      </c>
      <c r="B718" s="3" t="str">
        <f>IFERROR(table_DataQualities[unit_ID],"")</f>
        <v/>
      </c>
      <c r="C7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19" spans="1:3" x14ac:dyDescent="0.45">
      <c r="A719" s="3" t="str">
        <f>IFERROR(table_DataQualities[ID],"")</f>
        <v/>
      </c>
      <c r="B719" s="3" t="str">
        <f>IFERROR(table_DataQualities[unit_ID],"")</f>
        <v/>
      </c>
      <c r="C7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0" spans="1:3" x14ac:dyDescent="0.45">
      <c r="A720" s="3" t="str">
        <f>IFERROR(table_DataQualities[ID],"")</f>
        <v/>
      </c>
      <c r="B720" s="3" t="str">
        <f>IFERROR(table_DataQualities[unit_ID],"")</f>
        <v/>
      </c>
      <c r="C7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1" spans="1:3" x14ac:dyDescent="0.45">
      <c r="A721" s="3" t="str">
        <f>IFERROR(table_DataQualities[ID],"")</f>
        <v/>
      </c>
      <c r="B721" s="3" t="str">
        <f>IFERROR(table_DataQualities[unit_ID],"")</f>
        <v/>
      </c>
      <c r="C7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2" spans="1:3" x14ac:dyDescent="0.45">
      <c r="A722" s="3" t="str">
        <f>IFERROR(table_DataQualities[ID],"")</f>
        <v/>
      </c>
      <c r="B722" s="3" t="str">
        <f>IFERROR(table_DataQualities[unit_ID],"")</f>
        <v/>
      </c>
      <c r="C7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3" spans="1:3" x14ac:dyDescent="0.45">
      <c r="A723" s="3" t="str">
        <f>IFERROR(table_DataQualities[ID],"")</f>
        <v/>
      </c>
      <c r="B723" s="3" t="str">
        <f>IFERROR(table_DataQualities[unit_ID],"")</f>
        <v/>
      </c>
      <c r="C7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4" spans="1:3" x14ac:dyDescent="0.45">
      <c r="A724" s="3" t="str">
        <f>IFERROR(table_DataQualities[ID],"")</f>
        <v/>
      </c>
      <c r="B724" s="3" t="str">
        <f>IFERROR(table_DataQualities[unit_ID],"")</f>
        <v/>
      </c>
      <c r="C7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5" spans="1:3" x14ac:dyDescent="0.45">
      <c r="A725" s="3" t="str">
        <f>IFERROR(table_DataQualities[ID],"")</f>
        <v/>
      </c>
      <c r="B725" s="3" t="str">
        <f>IFERROR(table_DataQualities[unit_ID],"")</f>
        <v/>
      </c>
      <c r="C7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6" spans="1:3" x14ac:dyDescent="0.45">
      <c r="A726" s="3" t="str">
        <f>IFERROR(table_DataQualities[ID],"")</f>
        <v/>
      </c>
      <c r="B726" s="3" t="str">
        <f>IFERROR(table_DataQualities[unit_ID],"")</f>
        <v/>
      </c>
      <c r="C7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7" spans="1:3" x14ac:dyDescent="0.45">
      <c r="A727" s="3" t="str">
        <f>IFERROR(table_DataQualities[ID],"")</f>
        <v/>
      </c>
      <c r="B727" s="3" t="str">
        <f>IFERROR(table_DataQualities[unit_ID],"")</f>
        <v/>
      </c>
      <c r="C7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8" spans="1:3" x14ac:dyDescent="0.45">
      <c r="A728" s="3" t="str">
        <f>IFERROR(table_DataQualities[ID],"")</f>
        <v/>
      </c>
      <c r="B728" s="3" t="str">
        <f>IFERROR(table_DataQualities[unit_ID],"")</f>
        <v/>
      </c>
      <c r="C7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29" spans="1:3" x14ac:dyDescent="0.45">
      <c r="A729" s="3" t="str">
        <f>IFERROR(table_DataQualities[ID],"")</f>
        <v/>
      </c>
      <c r="B729" s="3" t="str">
        <f>IFERROR(table_DataQualities[unit_ID],"")</f>
        <v/>
      </c>
      <c r="C7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0" spans="1:3" x14ac:dyDescent="0.45">
      <c r="A730" s="3" t="str">
        <f>IFERROR(table_DataQualities[ID],"")</f>
        <v/>
      </c>
      <c r="B730" s="3" t="str">
        <f>IFERROR(table_DataQualities[unit_ID],"")</f>
        <v/>
      </c>
      <c r="C7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1" spans="1:3" x14ac:dyDescent="0.45">
      <c r="A731" s="3" t="str">
        <f>IFERROR(table_DataQualities[ID],"")</f>
        <v/>
      </c>
      <c r="B731" s="3" t="str">
        <f>IFERROR(table_DataQualities[unit_ID],"")</f>
        <v/>
      </c>
      <c r="C7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2" spans="1:3" x14ac:dyDescent="0.45">
      <c r="A732" s="3" t="str">
        <f>IFERROR(table_DataQualities[ID],"")</f>
        <v/>
      </c>
      <c r="B732" s="3" t="str">
        <f>IFERROR(table_DataQualities[unit_ID],"")</f>
        <v/>
      </c>
      <c r="C7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3" spans="1:3" x14ac:dyDescent="0.45">
      <c r="A733" s="3" t="str">
        <f>IFERROR(table_DataQualities[ID],"")</f>
        <v/>
      </c>
      <c r="B733" s="3" t="str">
        <f>IFERROR(table_DataQualities[unit_ID],"")</f>
        <v/>
      </c>
      <c r="C7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4" spans="1:3" x14ac:dyDescent="0.45">
      <c r="A734" s="3" t="str">
        <f>IFERROR(table_DataQualities[ID],"")</f>
        <v/>
      </c>
      <c r="B734" s="3" t="str">
        <f>IFERROR(table_DataQualities[unit_ID],"")</f>
        <v/>
      </c>
      <c r="C7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5" spans="1:3" x14ac:dyDescent="0.45">
      <c r="A735" s="3" t="str">
        <f>IFERROR(table_DataQualities[ID],"")</f>
        <v/>
      </c>
      <c r="B735" s="3" t="str">
        <f>IFERROR(table_DataQualities[unit_ID],"")</f>
        <v/>
      </c>
      <c r="C7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6" spans="1:3" x14ac:dyDescent="0.45">
      <c r="A736" s="3" t="str">
        <f>IFERROR(table_DataQualities[ID],"")</f>
        <v/>
      </c>
      <c r="B736" s="3" t="str">
        <f>IFERROR(table_DataQualities[unit_ID],"")</f>
        <v/>
      </c>
      <c r="C7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7" spans="1:3" x14ac:dyDescent="0.45">
      <c r="A737" s="3" t="str">
        <f>IFERROR(table_DataQualities[ID],"")</f>
        <v/>
      </c>
      <c r="B737" s="3" t="str">
        <f>IFERROR(table_DataQualities[unit_ID],"")</f>
        <v/>
      </c>
      <c r="C7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8" spans="1:3" x14ac:dyDescent="0.45">
      <c r="A738" s="3" t="str">
        <f>IFERROR(table_DataQualities[ID],"")</f>
        <v/>
      </c>
      <c r="B738" s="3" t="str">
        <f>IFERROR(table_DataQualities[unit_ID],"")</f>
        <v/>
      </c>
      <c r="C7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39" spans="1:3" x14ac:dyDescent="0.45">
      <c r="A739" s="3" t="str">
        <f>IFERROR(table_DataQualities[ID],"")</f>
        <v/>
      </c>
      <c r="B739" s="3" t="str">
        <f>IFERROR(table_DataQualities[unit_ID],"")</f>
        <v/>
      </c>
      <c r="C7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0" spans="1:3" x14ac:dyDescent="0.45">
      <c r="A740" s="3" t="str">
        <f>IFERROR(table_DataQualities[ID],"")</f>
        <v/>
      </c>
      <c r="B740" s="3" t="str">
        <f>IFERROR(table_DataQualities[unit_ID],"")</f>
        <v/>
      </c>
      <c r="C7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1" spans="1:3" x14ac:dyDescent="0.45">
      <c r="A741" s="3" t="str">
        <f>IFERROR(table_DataQualities[ID],"")</f>
        <v/>
      </c>
      <c r="B741" s="3" t="str">
        <f>IFERROR(table_DataQualities[unit_ID],"")</f>
        <v/>
      </c>
      <c r="C7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2" spans="1:3" x14ac:dyDescent="0.45">
      <c r="A742" s="3" t="str">
        <f>IFERROR(table_DataQualities[ID],"")</f>
        <v/>
      </c>
      <c r="B742" s="3" t="str">
        <f>IFERROR(table_DataQualities[unit_ID],"")</f>
        <v/>
      </c>
      <c r="C7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3" spans="1:3" x14ac:dyDescent="0.45">
      <c r="A743" s="3" t="str">
        <f>IFERROR(table_DataQualities[ID],"")</f>
        <v/>
      </c>
      <c r="B743" s="3" t="str">
        <f>IFERROR(table_DataQualities[unit_ID],"")</f>
        <v/>
      </c>
      <c r="C7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4" spans="1:3" x14ac:dyDescent="0.45">
      <c r="A744" s="3" t="str">
        <f>IFERROR(table_DataQualities[ID],"")</f>
        <v/>
      </c>
      <c r="B744" s="3" t="str">
        <f>IFERROR(table_DataQualities[unit_ID],"")</f>
        <v/>
      </c>
      <c r="C7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5" spans="1:3" x14ac:dyDescent="0.45">
      <c r="A745" s="3" t="str">
        <f>IFERROR(table_DataQualities[ID],"")</f>
        <v/>
      </c>
      <c r="B745" s="3" t="str">
        <f>IFERROR(table_DataQualities[unit_ID],"")</f>
        <v/>
      </c>
      <c r="C7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6" spans="1:3" x14ac:dyDescent="0.45">
      <c r="A746" s="3" t="str">
        <f>IFERROR(table_DataQualities[ID],"")</f>
        <v/>
      </c>
      <c r="B746" s="3" t="str">
        <f>IFERROR(table_DataQualities[unit_ID],"")</f>
        <v/>
      </c>
      <c r="C7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7" spans="1:3" x14ac:dyDescent="0.45">
      <c r="A747" s="3" t="str">
        <f>IFERROR(table_DataQualities[ID],"")</f>
        <v/>
      </c>
      <c r="B747" s="3" t="str">
        <f>IFERROR(table_DataQualities[unit_ID],"")</f>
        <v/>
      </c>
      <c r="C7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8" spans="1:3" x14ac:dyDescent="0.45">
      <c r="A748" s="3" t="str">
        <f>IFERROR(table_DataQualities[ID],"")</f>
        <v/>
      </c>
      <c r="B748" s="3" t="str">
        <f>IFERROR(table_DataQualities[unit_ID],"")</f>
        <v/>
      </c>
      <c r="C7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49" spans="1:3" x14ac:dyDescent="0.45">
      <c r="A749" s="3" t="str">
        <f>IFERROR(table_DataQualities[ID],"")</f>
        <v/>
      </c>
      <c r="B749" s="3" t="str">
        <f>IFERROR(table_DataQualities[unit_ID],"")</f>
        <v/>
      </c>
      <c r="C7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0" spans="1:3" x14ac:dyDescent="0.45">
      <c r="A750" s="3" t="str">
        <f>IFERROR(table_DataQualities[ID],"")</f>
        <v/>
      </c>
      <c r="B750" s="3" t="str">
        <f>IFERROR(table_DataQualities[unit_ID],"")</f>
        <v/>
      </c>
      <c r="C7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1" spans="1:3" x14ac:dyDescent="0.45">
      <c r="A751" s="3" t="str">
        <f>IFERROR(table_DataQualities[ID],"")</f>
        <v/>
      </c>
      <c r="B751" s="3" t="str">
        <f>IFERROR(table_DataQualities[unit_ID],"")</f>
        <v/>
      </c>
      <c r="C7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2" spans="1:3" x14ac:dyDescent="0.45">
      <c r="A752" s="3" t="str">
        <f>IFERROR(table_DataQualities[ID],"")</f>
        <v/>
      </c>
      <c r="B752" s="3" t="str">
        <f>IFERROR(table_DataQualities[unit_ID],"")</f>
        <v/>
      </c>
      <c r="C7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3" spans="1:3" x14ac:dyDescent="0.45">
      <c r="A753" s="3" t="str">
        <f>IFERROR(table_DataQualities[ID],"")</f>
        <v/>
      </c>
      <c r="B753" s="3" t="str">
        <f>IFERROR(table_DataQualities[unit_ID],"")</f>
        <v/>
      </c>
      <c r="C7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4" spans="1:3" x14ac:dyDescent="0.45">
      <c r="A754" s="3" t="str">
        <f>IFERROR(table_DataQualities[ID],"")</f>
        <v/>
      </c>
      <c r="B754" s="3" t="str">
        <f>IFERROR(table_DataQualities[unit_ID],"")</f>
        <v/>
      </c>
      <c r="C7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5" spans="1:3" x14ac:dyDescent="0.45">
      <c r="A755" s="3" t="str">
        <f>IFERROR(table_DataQualities[ID],"")</f>
        <v/>
      </c>
      <c r="B755" s="3" t="str">
        <f>IFERROR(table_DataQualities[unit_ID],"")</f>
        <v/>
      </c>
      <c r="C7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6" spans="1:3" x14ac:dyDescent="0.45">
      <c r="A756" s="3" t="str">
        <f>IFERROR(table_DataQualities[ID],"")</f>
        <v/>
      </c>
      <c r="B756" s="3" t="str">
        <f>IFERROR(table_DataQualities[unit_ID],"")</f>
        <v/>
      </c>
      <c r="C7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7" spans="1:3" x14ac:dyDescent="0.45">
      <c r="A757" s="3" t="str">
        <f>IFERROR(table_DataQualities[ID],"")</f>
        <v/>
      </c>
      <c r="B757" s="3" t="str">
        <f>IFERROR(table_DataQualities[unit_ID],"")</f>
        <v/>
      </c>
      <c r="C7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8" spans="1:3" x14ac:dyDescent="0.45">
      <c r="A758" s="3" t="str">
        <f>IFERROR(table_DataQualities[ID],"")</f>
        <v/>
      </c>
      <c r="B758" s="3" t="str">
        <f>IFERROR(table_DataQualities[unit_ID],"")</f>
        <v/>
      </c>
      <c r="C7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59" spans="1:3" x14ac:dyDescent="0.45">
      <c r="A759" s="3" t="str">
        <f>IFERROR(table_DataQualities[ID],"")</f>
        <v/>
      </c>
      <c r="B759" s="3" t="str">
        <f>IFERROR(table_DataQualities[unit_ID],"")</f>
        <v/>
      </c>
      <c r="C7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0" spans="1:3" x14ac:dyDescent="0.45">
      <c r="A760" s="3" t="str">
        <f>IFERROR(table_DataQualities[ID],"")</f>
        <v/>
      </c>
      <c r="B760" s="3" t="str">
        <f>IFERROR(table_DataQualities[unit_ID],"")</f>
        <v/>
      </c>
      <c r="C7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1" spans="1:3" x14ac:dyDescent="0.45">
      <c r="A761" s="3" t="str">
        <f>IFERROR(table_DataQualities[ID],"")</f>
        <v/>
      </c>
      <c r="B761" s="3" t="str">
        <f>IFERROR(table_DataQualities[unit_ID],"")</f>
        <v/>
      </c>
      <c r="C7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2" spans="1:3" x14ac:dyDescent="0.45">
      <c r="A762" s="3" t="str">
        <f>IFERROR(table_DataQualities[ID],"")</f>
        <v/>
      </c>
      <c r="B762" s="3" t="str">
        <f>IFERROR(table_DataQualities[unit_ID],"")</f>
        <v/>
      </c>
      <c r="C7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3" spans="1:3" x14ac:dyDescent="0.45">
      <c r="A763" s="3" t="str">
        <f>IFERROR(table_DataQualities[ID],"")</f>
        <v/>
      </c>
      <c r="B763" s="3" t="str">
        <f>IFERROR(table_DataQualities[unit_ID],"")</f>
        <v/>
      </c>
      <c r="C7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4" spans="1:3" x14ac:dyDescent="0.45">
      <c r="A764" s="3" t="str">
        <f>IFERROR(table_DataQualities[ID],"")</f>
        <v/>
      </c>
      <c r="B764" s="3" t="str">
        <f>IFERROR(table_DataQualities[unit_ID],"")</f>
        <v/>
      </c>
      <c r="C7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5" spans="1:3" x14ac:dyDescent="0.45">
      <c r="A765" s="3" t="str">
        <f>IFERROR(table_DataQualities[ID],"")</f>
        <v/>
      </c>
      <c r="B765" s="3" t="str">
        <f>IFERROR(table_DataQualities[unit_ID],"")</f>
        <v/>
      </c>
      <c r="C7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6" spans="1:3" x14ac:dyDescent="0.45">
      <c r="A766" s="3" t="str">
        <f>IFERROR(table_DataQualities[ID],"")</f>
        <v/>
      </c>
      <c r="B766" s="3" t="str">
        <f>IFERROR(table_DataQualities[unit_ID],"")</f>
        <v/>
      </c>
      <c r="C7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7" spans="1:3" x14ac:dyDescent="0.45">
      <c r="A767" s="3" t="str">
        <f>IFERROR(table_DataQualities[ID],"")</f>
        <v/>
      </c>
      <c r="B767" s="3" t="str">
        <f>IFERROR(table_DataQualities[unit_ID],"")</f>
        <v/>
      </c>
      <c r="C7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8" spans="1:3" x14ac:dyDescent="0.45">
      <c r="A768" s="3" t="str">
        <f>IFERROR(table_DataQualities[ID],"")</f>
        <v/>
      </c>
      <c r="B768" s="3" t="str">
        <f>IFERROR(table_DataQualities[unit_ID],"")</f>
        <v/>
      </c>
      <c r="C7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69" spans="1:3" x14ac:dyDescent="0.45">
      <c r="A769" s="3" t="str">
        <f>IFERROR(table_DataQualities[ID],"")</f>
        <v/>
      </c>
      <c r="B769" s="3" t="str">
        <f>IFERROR(table_DataQualities[unit_ID],"")</f>
        <v/>
      </c>
      <c r="C7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0" spans="1:3" x14ac:dyDescent="0.45">
      <c r="A770" s="3" t="str">
        <f>IFERROR(table_DataQualities[ID],"")</f>
        <v/>
      </c>
      <c r="B770" s="3" t="str">
        <f>IFERROR(table_DataQualities[unit_ID],"")</f>
        <v/>
      </c>
      <c r="C7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1" spans="1:3" x14ac:dyDescent="0.45">
      <c r="A771" s="3" t="str">
        <f>IFERROR(table_DataQualities[ID],"")</f>
        <v/>
      </c>
      <c r="B771" s="3" t="str">
        <f>IFERROR(table_DataQualities[unit_ID],"")</f>
        <v/>
      </c>
      <c r="C7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2" spans="1:3" x14ac:dyDescent="0.45">
      <c r="A772" s="3" t="str">
        <f>IFERROR(table_DataQualities[ID],"")</f>
        <v/>
      </c>
      <c r="B772" s="3" t="str">
        <f>IFERROR(table_DataQualities[unit_ID],"")</f>
        <v/>
      </c>
      <c r="C7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3" spans="1:3" x14ac:dyDescent="0.45">
      <c r="A773" s="3" t="str">
        <f>IFERROR(table_DataQualities[ID],"")</f>
        <v/>
      </c>
      <c r="B773" s="3" t="str">
        <f>IFERROR(table_DataQualities[unit_ID],"")</f>
        <v/>
      </c>
      <c r="C7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4" spans="1:3" x14ac:dyDescent="0.45">
      <c r="A774" s="3" t="str">
        <f>IFERROR(table_DataQualities[ID],"")</f>
        <v/>
      </c>
      <c r="B774" s="3" t="str">
        <f>IFERROR(table_DataQualities[unit_ID],"")</f>
        <v/>
      </c>
      <c r="C7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5" spans="1:3" x14ac:dyDescent="0.45">
      <c r="A775" s="3" t="str">
        <f>IFERROR(table_DataQualities[ID],"")</f>
        <v/>
      </c>
      <c r="B775" s="3" t="str">
        <f>IFERROR(table_DataQualities[unit_ID],"")</f>
        <v/>
      </c>
      <c r="C7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6" spans="1:3" x14ac:dyDescent="0.45">
      <c r="A776" s="3" t="str">
        <f>IFERROR(table_DataQualities[ID],"")</f>
        <v/>
      </c>
      <c r="B776" s="3" t="str">
        <f>IFERROR(table_DataQualities[unit_ID],"")</f>
        <v/>
      </c>
      <c r="C7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7" spans="1:3" x14ac:dyDescent="0.45">
      <c r="A777" s="3" t="str">
        <f>IFERROR(table_DataQualities[ID],"")</f>
        <v/>
      </c>
      <c r="B777" s="3" t="str">
        <f>IFERROR(table_DataQualities[unit_ID],"")</f>
        <v/>
      </c>
      <c r="C7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8" spans="1:3" x14ac:dyDescent="0.45">
      <c r="A778" s="3" t="str">
        <f>IFERROR(table_DataQualities[ID],"")</f>
        <v/>
      </c>
      <c r="B778" s="3" t="str">
        <f>IFERROR(table_DataQualities[unit_ID],"")</f>
        <v/>
      </c>
      <c r="C7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79" spans="1:3" x14ac:dyDescent="0.45">
      <c r="A779" s="3" t="str">
        <f>IFERROR(table_DataQualities[ID],"")</f>
        <v/>
      </c>
      <c r="B779" s="3" t="str">
        <f>IFERROR(table_DataQualities[unit_ID],"")</f>
        <v/>
      </c>
      <c r="C7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0" spans="1:3" x14ac:dyDescent="0.45">
      <c r="A780" s="3" t="str">
        <f>IFERROR(table_DataQualities[ID],"")</f>
        <v/>
      </c>
      <c r="B780" s="3" t="str">
        <f>IFERROR(table_DataQualities[unit_ID],"")</f>
        <v/>
      </c>
      <c r="C7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1" spans="1:3" x14ac:dyDescent="0.45">
      <c r="A781" s="3" t="str">
        <f>IFERROR(table_DataQualities[ID],"")</f>
        <v/>
      </c>
      <c r="B781" s="3" t="str">
        <f>IFERROR(table_DataQualities[unit_ID],"")</f>
        <v/>
      </c>
      <c r="C7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2" spans="1:3" x14ac:dyDescent="0.45">
      <c r="A782" s="3" t="str">
        <f>IFERROR(table_DataQualities[ID],"")</f>
        <v/>
      </c>
      <c r="B782" s="3" t="str">
        <f>IFERROR(table_DataQualities[unit_ID],"")</f>
        <v/>
      </c>
      <c r="C7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3" spans="1:3" x14ac:dyDescent="0.45">
      <c r="A783" s="3" t="str">
        <f>IFERROR(table_DataQualities[ID],"")</f>
        <v/>
      </c>
      <c r="B783" s="3" t="str">
        <f>IFERROR(table_DataQualities[unit_ID],"")</f>
        <v/>
      </c>
      <c r="C7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4" spans="1:3" x14ac:dyDescent="0.45">
      <c r="A784" s="3" t="str">
        <f>IFERROR(table_DataQualities[ID],"")</f>
        <v/>
      </c>
      <c r="B784" s="3" t="str">
        <f>IFERROR(table_DataQualities[unit_ID],"")</f>
        <v/>
      </c>
      <c r="C7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5" spans="1:3" x14ac:dyDescent="0.45">
      <c r="A785" s="3" t="str">
        <f>IFERROR(table_DataQualities[ID],"")</f>
        <v/>
      </c>
      <c r="B785" s="3" t="str">
        <f>IFERROR(table_DataQualities[unit_ID],"")</f>
        <v/>
      </c>
      <c r="C7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6" spans="1:3" x14ac:dyDescent="0.45">
      <c r="A786" s="3" t="str">
        <f>IFERROR(table_DataQualities[ID],"")</f>
        <v/>
      </c>
      <c r="B786" s="3" t="str">
        <f>IFERROR(table_DataQualities[unit_ID],"")</f>
        <v/>
      </c>
      <c r="C7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7" spans="1:3" x14ac:dyDescent="0.45">
      <c r="A787" s="3" t="str">
        <f>IFERROR(table_DataQualities[ID],"")</f>
        <v/>
      </c>
      <c r="B787" s="3" t="str">
        <f>IFERROR(table_DataQualities[unit_ID],"")</f>
        <v/>
      </c>
      <c r="C7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8" spans="1:3" x14ac:dyDescent="0.45">
      <c r="A788" s="3" t="str">
        <f>IFERROR(table_DataQualities[ID],"")</f>
        <v/>
      </c>
      <c r="B788" s="3" t="str">
        <f>IFERROR(table_DataQualities[unit_ID],"")</f>
        <v/>
      </c>
      <c r="C7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89" spans="1:3" x14ac:dyDescent="0.45">
      <c r="A789" s="3" t="str">
        <f>IFERROR(table_DataQualities[ID],"")</f>
        <v/>
      </c>
      <c r="B789" s="3" t="str">
        <f>IFERROR(table_DataQualities[unit_ID],"")</f>
        <v/>
      </c>
      <c r="C7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0" spans="1:3" x14ac:dyDescent="0.45">
      <c r="A790" s="3" t="str">
        <f>IFERROR(table_DataQualities[ID],"")</f>
        <v/>
      </c>
      <c r="B790" s="3" t="str">
        <f>IFERROR(table_DataQualities[unit_ID],"")</f>
        <v/>
      </c>
      <c r="C7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1" spans="1:3" x14ac:dyDescent="0.45">
      <c r="A791" s="3" t="str">
        <f>IFERROR(table_DataQualities[ID],"")</f>
        <v/>
      </c>
      <c r="B791" s="3" t="str">
        <f>IFERROR(table_DataQualities[unit_ID],"")</f>
        <v/>
      </c>
      <c r="C7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2" spans="1:3" x14ac:dyDescent="0.45">
      <c r="A792" s="3" t="str">
        <f>IFERROR(table_DataQualities[ID],"")</f>
        <v/>
      </c>
      <c r="B792" s="3" t="str">
        <f>IFERROR(table_DataQualities[unit_ID],"")</f>
        <v/>
      </c>
      <c r="C7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3" spans="1:3" x14ac:dyDescent="0.45">
      <c r="A793" s="3" t="str">
        <f>IFERROR(table_DataQualities[ID],"")</f>
        <v/>
      </c>
      <c r="B793" s="3" t="str">
        <f>IFERROR(table_DataQualities[unit_ID],"")</f>
        <v/>
      </c>
      <c r="C7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4" spans="1:3" x14ac:dyDescent="0.45">
      <c r="A794" s="3" t="str">
        <f>IFERROR(table_DataQualities[ID],"")</f>
        <v/>
      </c>
      <c r="B794" s="3" t="str">
        <f>IFERROR(table_DataQualities[unit_ID],"")</f>
        <v/>
      </c>
      <c r="C7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5" spans="1:3" x14ac:dyDescent="0.45">
      <c r="A795" s="3" t="str">
        <f>IFERROR(table_DataQualities[ID],"")</f>
        <v/>
      </c>
      <c r="B795" s="3" t="str">
        <f>IFERROR(table_DataQualities[unit_ID],"")</f>
        <v/>
      </c>
      <c r="C7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6" spans="1:3" x14ac:dyDescent="0.45">
      <c r="A796" s="3" t="str">
        <f>IFERROR(table_DataQualities[ID],"")</f>
        <v/>
      </c>
      <c r="B796" s="3" t="str">
        <f>IFERROR(table_DataQualities[unit_ID],"")</f>
        <v/>
      </c>
      <c r="C7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7" spans="1:3" x14ac:dyDescent="0.45">
      <c r="A797" s="3" t="str">
        <f>IFERROR(table_DataQualities[ID],"")</f>
        <v/>
      </c>
      <c r="B797" s="3" t="str">
        <f>IFERROR(table_DataQualities[unit_ID],"")</f>
        <v/>
      </c>
      <c r="C7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8" spans="1:3" x14ac:dyDescent="0.45">
      <c r="A798" s="3" t="str">
        <f>IFERROR(table_DataQualities[ID],"")</f>
        <v/>
      </c>
      <c r="B798" s="3" t="str">
        <f>IFERROR(table_DataQualities[unit_ID],"")</f>
        <v/>
      </c>
      <c r="C7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799" spans="1:3" x14ac:dyDescent="0.45">
      <c r="A799" s="3" t="str">
        <f>IFERROR(table_DataQualities[ID],"")</f>
        <v/>
      </c>
      <c r="B799" s="3" t="str">
        <f>IFERROR(table_DataQualities[unit_ID],"")</f>
        <v/>
      </c>
      <c r="C7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0" spans="1:3" x14ac:dyDescent="0.45">
      <c r="A800" s="3" t="str">
        <f>IFERROR(table_DataQualities[ID],"")</f>
        <v/>
      </c>
      <c r="B800" s="3" t="str">
        <f>IFERROR(table_DataQualities[unit_ID],"")</f>
        <v/>
      </c>
      <c r="C8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1" spans="1:3" x14ac:dyDescent="0.45">
      <c r="A801" s="3" t="str">
        <f>IFERROR(table_DataQualities[ID],"")</f>
        <v/>
      </c>
      <c r="B801" s="3" t="str">
        <f>IFERROR(table_DataQualities[unit_ID],"")</f>
        <v/>
      </c>
      <c r="C8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2" spans="1:3" x14ac:dyDescent="0.45">
      <c r="A802" s="3" t="str">
        <f>IFERROR(table_DataQualities[ID],"")</f>
        <v/>
      </c>
      <c r="B802" s="3" t="str">
        <f>IFERROR(table_DataQualities[unit_ID],"")</f>
        <v/>
      </c>
      <c r="C8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3" spans="1:3" x14ac:dyDescent="0.45">
      <c r="A803" s="3" t="str">
        <f>IFERROR(table_DataQualities[ID],"")</f>
        <v/>
      </c>
      <c r="B803" s="3" t="str">
        <f>IFERROR(table_DataQualities[unit_ID],"")</f>
        <v/>
      </c>
      <c r="C8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4" spans="1:3" x14ac:dyDescent="0.45">
      <c r="A804" s="3" t="str">
        <f>IFERROR(table_DataQualities[ID],"")</f>
        <v/>
      </c>
      <c r="B804" s="3" t="str">
        <f>IFERROR(table_DataQualities[unit_ID],"")</f>
        <v/>
      </c>
      <c r="C8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5" spans="1:3" x14ac:dyDescent="0.45">
      <c r="A805" s="3" t="str">
        <f>IFERROR(table_DataQualities[ID],"")</f>
        <v/>
      </c>
      <c r="B805" s="3" t="str">
        <f>IFERROR(table_DataQualities[unit_ID],"")</f>
        <v/>
      </c>
      <c r="C8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6" spans="1:3" x14ac:dyDescent="0.45">
      <c r="A806" s="3" t="str">
        <f>IFERROR(table_DataQualities[ID],"")</f>
        <v/>
      </c>
      <c r="B806" s="3" t="str">
        <f>IFERROR(table_DataQualities[unit_ID],"")</f>
        <v/>
      </c>
      <c r="C8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7" spans="1:3" x14ac:dyDescent="0.45">
      <c r="A807" s="3" t="str">
        <f>IFERROR(table_DataQualities[ID],"")</f>
        <v/>
      </c>
      <c r="B807" s="3" t="str">
        <f>IFERROR(table_DataQualities[unit_ID],"")</f>
        <v/>
      </c>
      <c r="C8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8" spans="1:3" x14ac:dyDescent="0.45">
      <c r="A808" s="3" t="str">
        <f>IFERROR(table_DataQualities[ID],"")</f>
        <v/>
      </c>
      <c r="B808" s="3" t="str">
        <f>IFERROR(table_DataQualities[unit_ID],"")</f>
        <v/>
      </c>
      <c r="C8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09" spans="1:3" x14ac:dyDescent="0.45">
      <c r="A809" s="3" t="str">
        <f>IFERROR(table_DataQualities[ID],"")</f>
        <v/>
      </c>
      <c r="B809" s="3" t="str">
        <f>IFERROR(table_DataQualities[unit_ID],"")</f>
        <v/>
      </c>
      <c r="C8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0" spans="1:3" x14ac:dyDescent="0.45">
      <c r="A810" s="3" t="str">
        <f>IFERROR(table_DataQualities[ID],"")</f>
        <v/>
      </c>
      <c r="B810" s="3" t="str">
        <f>IFERROR(table_DataQualities[unit_ID],"")</f>
        <v/>
      </c>
      <c r="C8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1" spans="1:3" x14ac:dyDescent="0.45">
      <c r="A811" s="3" t="str">
        <f>IFERROR(table_DataQualities[ID],"")</f>
        <v/>
      </c>
      <c r="B811" s="3" t="str">
        <f>IFERROR(table_DataQualities[unit_ID],"")</f>
        <v/>
      </c>
      <c r="C8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2" spans="1:3" x14ac:dyDescent="0.45">
      <c r="A812" s="3" t="str">
        <f>IFERROR(table_DataQualities[ID],"")</f>
        <v/>
      </c>
      <c r="B812" s="3" t="str">
        <f>IFERROR(table_DataQualities[unit_ID],"")</f>
        <v/>
      </c>
      <c r="C8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3" spans="1:3" x14ac:dyDescent="0.45">
      <c r="A813" s="3" t="str">
        <f>IFERROR(table_DataQualities[ID],"")</f>
        <v/>
      </c>
      <c r="B813" s="3" t="str">
        <f>IFERROR(table_DataQualities[unit_ID],"")</f>
        <v/>
      </c>
      <c r="C8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4" spans="1:3" x14ac:dyDescent="0.45">
      <c r="A814" s="3" t="str">
        <f>IFERROR(table_DataQualities[ID],"")</f>
        <v/>
      </c>
      <c r="B814" s="3" t="str">
        <f>IFERROR(table_DataQualities[unit_ID],"")</f>
        <v/>
      </c>
      <c r="C8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5" spans="1:3" x14ac:dyDescent="0.45">
      <c r="A815" s="3" t="str">
        <f>IFERROR(table_DataQualities[ID],"")</f>
        <v/>
      </c>
      <c r="B815" s="3" t="str">
        <f>IFERROR(table_DataQualities[unit_ID],"")</f>
        <v/>
      </c>
      <c r="C8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6" spans="1:3" x14ac:dyDescent="0.45">
      <c r="A816" s="3" t="str">
        <f>IFERROR(table_DataQualities[ID],"")</f>
        <v/>
      </c>
      <c r="B816" s="3" t="str">
        <f>IFERROR(table_DataQualities[unit_ID],"")</f>
        <v/>
      </c>
      <c r="C8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7" spans="1:3" x14ac:dyDescent="0.45">
      <c r="A817" s="3" t="str">
        <f>IFERROR(table_DataQualities[ID],"")</f>
        <v/>
      </c>
      <c r="B817" s="3" t="str">
        <f>IFERROR(table_DataQualities[unit_ID],"")</f>
        <v/>
      </c>
      <c r="C8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8" spans="1:3" x14ac:dyDescent="0.45">
      <c r="A818" s="3" t="str">
        <f>IFERROR(table_DataQualities[ID],"")</f>
        <v/>
      </c>
      <c r="B818" s="3" t="str">
        <f>IFERROR(table_DataQualities[unit_ID],"")</f>
        <v/>
      </c>
      <c r="C8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19" spans="1:3" x14ac:dyDescent="0.45">
      <c r="A819" s="3" t="str">
        <f>IFERROR(table_DataQualities[ID],"")</f>
        <v/>
      </c>
      <c r="B819" s="3" t="str">
        <f>IFERROR(table_DataQualities[unit_ID],"")</f>
        <v/>
      </c>
      <c r="C8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0" spans="1:3" x14ac:dyDescent="0.45">
      <c r="A820" s="3" t="str">
        <f>IFERROR(table_DataQualities[ID],"")</f>
        <v/>
      </c>
      <c r="B820" s="3" t="str">
        <f>IFERROR(table_DataQualities[unit_ID],"")</f>
        <v/>
      </c>
      <c r="C8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1" spans="1:3" x14ac:dyDescent="0.45">
      <c r="A821" s="3" t="str">
        <f>IFERROR(table_DataQualities[ID],"")</f>
        <v/>
      </c>
      <c r="B821" s="3" t="str">
        <f>IFERROR(table_DataQualities[unit_ID],"")</f>
        <v/>
      </c>
      <c r="C8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2" spans="1:3" x14ac:dyDescent="0.45">
      <c r="A822" s="3" t="str">
        <f>IFERROR(table_DataQualities[ID],"")</f>
        <v/>
      </c>
      <c r="B822" s="3" t="str">
        <f>IFERROR(table_DataQualities[unit_ID],"")</f>
        <v/>
      </c>
      <c r="C8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3" spans="1:3" x14ac:dyDescent="0.45">
      <c r="A823" s="3" t="str">
        <f>IFERROR(table_DataQualities[ID],"")</f>
        <v/>
      </c>
      <c r="B823" s="3" t="str">
        <f>IFERROR(table_DataQualities[unit_ID],"")</f>
        <v/>
      </c>
      <c r="C8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4" spans="1:3" x14ac:dyDescent="0.45">
      <c r="A824" s="3" t="str">
        <f>IFERROR(table_DataQualities[ID],"")</f>
        <v/>
      </c>
      <c r="B824" s="3" t="str">
        <f>IFERROR(table_DataQualities[unit_ID],"")</f>
        <v/>
      </c>
      <c r="C8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5" spans="1:3" x14ac:dyDescent="0.45">
      <c r="A825" s="3" t="str">
        <f>IFERROR(table_DataQualities[ID],"")</f>
        <v/>
      </c>
      <c r="B825" s="3" t="str">
        <f>IFERROR(table_DataQualities[unit_ID],"")</f>
        <v/>
      </c>
      <c r="C8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6" spans="1:3" x14ac:dyDescent="0.45">
      <c r="A826" s="3" t="str">
        <f>IFERROR(table_DataQualities[ID],"")</f>
        <v/>
      </c>
      <c r="B826" s="3" t="str">
        <f>IFERROR(table_DataQualities[unit_ID],"")</f>
        <v/>
      </c>
      <c r="C8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7" spans="1:3" x14ac:dyDescent="0.45">
      <c r="A827" s="3" t="str">
        <f>IFERROR(table_DataQualities[ID],"")</f>
        <v/>
      </c>
      <c r="B827" s="3" t="str">
        <f>IFERROR(table_DataQualities[unit_ID],"")</f>
        <v/>
      </c>
      <c r="C8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8" spans="1:3" x14ac:dyDescent="0.45">
      <c r="A828" s="3" t="str">
        <f>IFERROR(table_DataQualities[ID],"")</f>
        <v/>
      </c>
      <c r="B828" s="3" t="str">
        <f>IFERROR(table_DataQualities[unit_ID],"")</f>
        <v/>
      </c>
      <c r="C8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29" spans="1:3" x14ac:dyDescent="0.45">
      <c r="A829" s="3" t="str">
        <f>IFERROR(table_DataQualities[ID],"")</f>
        <v/>
      </c>
      <c r="B829" s="3" t="str">
        <f>IFERROR(table_DataQualities[unit_ID],"")</f>
        <v/>
      </c>
      <c r="C8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0" spans="1:3" x14ac:dyDescent="0.45">
      <c r="A830" s="3" t="str">
        <f>IFERROR(table_DataQualities[ID],"")</f>
        <v/>
      </c>
      <c r="B830" s="3" t="str">
        <f>IFERROR(table_DataQualities[unit_ID],"")</f>
        <v/>
      </c>
      <c r="C8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1" spans="1:3" x14ac:dyDescent="0.45">
      <c r="A831" s="3" t="str">
        <f>IFERROR(table_DataQualities[ID],"")</f>
        <v/>
      </c>
      <c r="B831" s="3" t="str">
        <f>IFERROR(table_DataQualities[unit_ID],"")</f>
        <v/>
      </c>
      <c r="C8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2" spans="1:3" x14ac:dyDescent="0.45">
      <c r="A832" s="3" t="str">
        <f>IFERROR(table_DataQualities[ID],"")</f>
        <v/>
      </c>
      <c r="B832" s="3" t="str">
        <f>IFERROR(table_DataQualities[unit_ID],"")</f>
        <v/>
      </c>
      <c r="C8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3" spans="1:3" x14ac:dyDescent="0.45">
      <c r="A833" s="3" t="str">
        <f>IFERROR(table_DataQualities[ID],"")</f>
        <v/>
      </c>
      <c r="B833" s="3" t="str">
        <f>IFERROR(table_DataQualities[unit_ID],"")</f>
        <v/>
      </c>
      <c r="C8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4" spans="1:3" x14ac:dyDescent="0.45">
      <c r="A834" s="3" t="str">
        <f>IFERROR(table_DataQualities[ID],"")</f>
        <v/>
      </c>
      <c r="B834" s="3" t="str">
        <f>IFERROR(table_DataQualities[unit_ID],"")</f>
        <v/>
      </c>
      <c r="C8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5" spans="1:3" x14ac:dyDescent="0.45">
      <c r="A835" s="3" t="str">
        <f>IFERROR(table_DataQualities[ID],"")</f>
        <v/>
      </c>
      <c r="B835" s="3" t="str">
        <f>IFERROR(table_DataQualities[unit_ID],"")</f>
        <v/>
      </c>
      <c r="C8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6" spans="1:3" x14ac:dyDescent="0.45">
      <c r="A836" s="3" t="str">
        <f>IFERROR(table_DataQualities[ID],"")</f>
        <v/>
      </c>
      <c r="B836" s="3" t="str">
        <f>IFERROR(table_DataQualities[unit_ID],"")</f>
        <v/>
      </c>
      <c r="C8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7" spans="1:3" x14ac:dyDescent="0.45">
      <c r="A837" s="3" t="str">
        <f>IFERROR(table_DataQualities[ID],"")</f>
        <v/>
      </c>
      <c r="B837" s="3" t="str">
        <f>IFERROR(table_DataQualities[unit_ID],"")</f>
        <v/>
      </c>
      <c r="C8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8" spans="1:3" x14ac:dyDescent="0.45">
      <c r="A838" s="3" t="str">
        <f>IFERROR(table_DataQualities[ID],"")</f>
        <v/>
      </c>
      <c r="B838" s="3" t="str">
        <f>IFERROR(table_DataQualities[unit_ID],"")</f>
        <v/>
      </c>
      <c r="C8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39" spans="1:3" x14ac:dyDescent="0.45">
      <c r="A839" s="3" t="str">
        <f>IFERROR(table_DataQualities[ID],"")</f>
        <v/>
      </c>
      <c r="B839" s="3" t="str">
        <f>IFERROR(table_DataQualities[unit_ID],"")</f>
        <v/>
      </c>
      <c r="C8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0" spans="1:3" x14ac:dyDescent="0.45">
      <c r="A840" s="3" t="str">
        <f>IFERROR(table_DataQualities[ID],"")</f>
        <v/>
      </c>
      <c r="B840" s="3" t="str">
        <f>IFERROR(table_DataQualities[unit_ID],"")</f>
        <v/>
      </c>
      <c r="C8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1" spans="1:3" x14ac:dyDescent="0.45">
      <c r="A841" s="3" t="str">
        <f>IFERROR(table_DataQualities[ID],"")</f>
        <v/>
      </c>
      <c r="B841" s="3" t="str">
        <f>IFERROR(table_DataQualities[unit_ID],"")</f>
        <v/>
      </c>
      <c r="C8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2" spans="1:3" x14ac:dyDescent="0.45">
      <c r="A842" s="3" t="str">
        <f>IFERROR(table_DataQualities[ID],"")</f>
        <v/>
      </c>
      <c r="B842" s="3" t="str">
        <f>IFERROR(table_DataQualities[unit_ID],"")</f>
        <v/>
      </c>
      <c r="C8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3" spans="1:3" x14ac:dyDescent="0.45">
      <c r="A843" s="3" t="str">
        <f>IFERROR(table_DataQualities[ID],"")</f>
        <v/>
      </c>
      <c r="B843" s="3" t="str">
        <f>IFERROR(table_DataQualities[unit_ID],"")</f>
        <v/>
      </c>
      <c r="C8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4" spans="1:3" x14ac:dyDescent="0.45">
      <c r="A844" s="3" t="str">
        <f>IFERROR(table_DataQualities[ID],"")</f>
        <v/>
      </c>
      <c r="B844" s="3" t="str">
        <f>IFERROR(table_DataQualities[unit_ID],"")</f>
        <v/>
      </c>
      <c r="C8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5" spans="1:3" x14ac:dyDescent="0.45">
      <c r="A845" s="3" t="str">
        <f>IFERROR(table_DataQualities[ID],"")</f>
        <v/>
      </c>
      <c r="B845" s="3" t="str">
        <f>IFERROR(table_DataQualities[unit_ID],"")</f>
        <v/>
      </c>
      <c r="C8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6" spans="1:3" x14ac:dyDescent="0.45">
      <c r="A846" s="3" t="str">
        <f>IFERROR(table_DataQualities[ID],"")</f>
        <v/>
      </c>
      <c r="B846" s="3" t="str">
        <f>IFERROR(table_DataQualities[unit_ID],"")</f>
        <v/>
      </c>
      <c r="C8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7" spans="1:3" x14ac:dyDescent="0.45">
      <c r="A847" s="3" t="str">
        <f>IFERROR(table_DataQualities[ID],"")</f>
        <v/>
      </c>
      <c r="B847" s="3" t="str">
        <f>IFERROR(table_DataQualities[unit_ID],"")</f>
        <v/>
      </c>
      <c r="C8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8" spans="1:3" x14ac:dyDescent="0.45">
      <c r="A848" s="3" t="str">
        <f>IFERROR(table_DataQualities[ID],"")</f>
        <v/>
      </c>
      <c r="B848" s="3" t="str">
        <f>IFERROR(table_DataQualities[unit_ID],"")</f>
        <v/>
      </c>
      <c r="C8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49" spans="1:3" x14ac:dyDescent="0.45">
      <c r="A849" s="3" t="str">
        <f>IFERROR(table_DataQualities[ID],"")</f>
        <v/>
      </c>
      <c r="B849" s="3" t="str">
        <f>IFERROR(table_DataQualities[unit_ID],"")</f>
        <v/>
      </c>
      <c r="C8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0" spans="1:3" x14ac:dyDescent="0.45">
      <c r="A850" s="3" t="str">
        <f>IFERROR(table_DataQualities[ID],"")</f>
        <v/>
      </c>
      <c r="B850" s="3" t="str">
        <f>IFERROR(table_DataQualities[unit_ID],"")</f>
        <v/>
      </c>
      <c r="C8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1" spans="1:3" x14ac:dyDescent="0.45">
      <c r="A851" s="3" t="str">
        <f>IFERROR(table_DataQualities[ID],"")</f>
        <v/>
      </c>
      <c r="B851" s="3" t="str">
        <f>IFERROR(table_DataQualities[unit_ID],"")</f>
        <v/>
      </c>
      <c r="C8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2" spans="1:3" x14ac:dyDescent="0.45">
      <c r="A852" s="3" t="str">
        <f>IFERROR(table_DataQualities[ID],"")</f>
        <v/>
      </c>
      <c r="B852" s="3" t="str">
        <f>IFERROR(table_DataQualities[unit_ID],"")</f>
        <v/>
      </c>
      <c r="C8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3" spans="1:3" x14ac:dyDescent="0.45">
      <c r="A853" s="3" t="str">
        <f>IFERROR(table_DataQualities[ID],"")</f>
        <v/>
      </c>
      <c r="B853" s="3" t="str">
        <f>IFERROR(table_DataQualities[unit_ID],"")</f>
        <v/>
      </c>
      <c r="C8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4" spans="1:3" x14ac:dyDescent="0.45">
      <c r="A854" s="3" t="str">
        <f>IFERROR(table_DataQualities[ID],"")</f>
        <v/>
      </c>
      <c r="B854" s="3" t="str">
        <f>IFERROR(table_DataQualities[unit_ID],"")</f>
        <v/>
      </c>
      <c r="C8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5" spans="1:3" x14ac:dyDescent="0.45">
      <c r="A855" s="3" t="str">
        <f>IFERROR(table_DataQualities[ID],"")</f>
        <v/>
      </c>
      <c r="B855" s="3" t="str">
        <f>IFERROR(table_DataQualities[unit_ID],"")</f>
        <v/>
      </c>
      <c r="C8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6" spans="1:3" x14ac:dyDescent="0.45">
      <c r="A856" s="3" t="str">
        <f>IFERROR(table_DataQualities[ID],"")</f>
        <v/>
      </c>
      <c r="B856" s="3" t="str">
        <f>IFERROR(table_DataQualities[unit_ID],"")</f>
        <v/>
      </c>
      <c r="C8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7" spans="1:3" x14ac:dyDescent="0.45">
      <c r="A857" s="3" t="str">
        <f>IFERROR(table_DataQualities[ID],"")</f>
        <v/>
      </c>
      <c r="B857" s="3" t="str">
        <f>IFERROR(table_DataQualities[unit_ID],"")</f>
        <v/>
      </c>
      <c r="C8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8" spans="1:3" x14ac:dyDescent="0.45">
      <c r="A858" s="3" t="str">
        <f>IFERROR(table_DataQualities[ID],"")</f>
        <v/>
      </c>
      <c r="B858" s="3" t="str">
        <f>IFERROR(table_DataQualities[unit_ID],"")</f>
        <v/>
      </c>
      <c r="C8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59" spans="1:3" x14ac:dyDescent="0.45">
      <c r="A859" s="3" t="str">
        <f>IFERROR(table_DataQualities[ID],"")</f>
        <v/>
      </c>
      <c r="B859" s="3" t="str">
        <f>IFERROR(table_DataQualities[unit_ID],"")</f>
        <v/>
      </c>
      <c r="C8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0" spans="1:3" x14ac:dyDescent="0.45">
      <c r="A860" s="3" t="str">
        <f>IFERROR(table_DataQualities[ID],"")</f>
        <v/>
      </c>
      <c r="B860" s="3" t="str">
        <f>IFERROR(table_DataQualities[unit_ID],"")</f>
        <v/>
      </c>
      <c r="C8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1" spans="1:3" x14ac:dyDescent="0.45">
      <c r="A861" s="3" t="str">
        <f>IFERROR(table_DataQualities[ID],"")</f>
        <v/>
      </c>
      <c r="B861" s="3" t="str">
        <f>IFERROR(table_DataQualities[unit_ID],"")</f>
        <v/>
      </c>
      <c r="C8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2" spans="1:3" x14ac:dyDescent="0.45">
      <c r="A862" s="3" t="str">
        <f>IFERROR(table_DataQualities[ID],"")</f>
        <v/>
      </c>
      <c r="B862" s="3" t="str">
        <f>IFERROR(table_DataQualities[unit_ID],"")</f>
        <v/>
      </c>
      <c r="C8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3" spans="1:3" x14ac:dyDescent="0.45">
      <c r="A863" s="3" t="str">
        <f>IFERROR(table_DataQualities[ID],"")</f>
        <v/>
      </c>
      <c r="B863" s="3" t="str">
        <f>IFERROR(table_DataQualities[unit_ID],"")</f>
        <v/>
      </c>
      <c r="C8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4" spans="1:3" x14ac:dyDescent="0.45">
      <c r="A864" s="3" t="str">
        <f>IFERROR(table_DataQualities[ID],"")</f>
        <v/>
      </c>
      <c r="B864" s="3" t="str">
        <f>IFERROR(table_DataQualities[unit_ID],"")</f>
        <v/>
      </c>
      <c r="C8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5" spans="1:3" x14ac:dyDescent="0.45">
      <c r="A865" s="3" t="str">
        <f>IFERROR(table_DataQualities[ID],"")</f>
        <v/>
      </c>
      <c r="B865" s="3" t="str">
        <f>IFERROR(table_DataQualities[unit_ID],"")</f>
        <v/>
      </c>
      <c r="C8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6" spans="1:3" x14ac:dyDescent="0.45">
      <c r="A866" s="3" t="str">
        <f>IFERROR(table_DataQualities[ID],"")</f>
        <v/>
      </c>
      <c r="B866" s="3" t="str">
        <f>IFERROR(table_DataQualities[unit_ID],"")</f>
        <v/>
      </c>
      <c r="C8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7" spans="1:3" x14ac:dyDescent="0.45">
      <c r="A867" s="3" t="str">
        <f>IFERROR(table_DataQualities[ID],"")</f>
        <v/>
      </c>
      <c r="B867" s="3" t="str">
        <f>IFERROR(table_DataQualities[unit_ID],"")</f>
        <v/>
      </c>
      <c r="C8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8" spans="1:3" x14ac:dyDescent="0.45">
      <c r="A868" s="3" t="str">
        <f>IFERROR(table_DataQualities[ID],"")</f>
        <v/>
      </c>
      <c r="B868" s="3" t="str">
        <f>IFERROR(table_DataQualities[unit_ID],"")</f>
        <v/>
      </c>
      <c r="C8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69" spans="1:3" x14ac:dyDescent="0.45">
      <c r="A869" s="3" t="str">
        <f>IFERROR(table_DataQualities[ID],"")</f>
        <v/>
      </c>
      <c r="B869" s="3" t="str">
        <f>IFERROR(table_DataQualities[unit_ID],"")</f>
        <v/>
      </c>
      <c r="C8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0" spans="1:3" x14ac:dyDescent="0.45">
      <c r="A870" s="3" t="str">
        <f>IFERROR(table_DataQualities[ID],"")</f>
        <v/>
      </c>
      <c r="B870" s="3" t="str">
        <f>IFERROR(table_DataQualities[unit_ID],"")</f>
        <v/>
      </c>
      <c r="C8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1" spans="1:3" x14ac:dyDescent="0.45">
      <c r="A871" s="3" t="str">
        <f>IFERROR(table_DataQualities[ID],"")</f>
        <v/>
      </c>
      <c r="B871" s="3" t="str">
        <f>IFERROR(table_DataQualities[unit_ID],"")</f>
        <v/>
      </c>
      <c r="C8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2" spans="1:3" x14ac:dyDescent="0.45">
      <c r="A872" s="3" t="str">
        <f>IFERROR(table_DataQualities[ID],"")</f>
        <v/>
      </c>
      <c r="B872" s="3" t="str">
        <f>IFERROR(table_DataQualities[unit_ID],"")</f>
        <v/>
      </c>
      <c r="C8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3" spans="1:3" x14ac:dyDescent="0.45">
      <c r="A873" s="3" t="str">
        <f>IFERROR(table_DataQualities[ID],"")</f>
        <v/>
      </c>
      <c r="B873" s="3" t="str">
        <f>IFERROR(table_DataQualities[unit_ID],"")</f>
        <v/>
      </c>
      <c r="C8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4" spans="1:3" x14ac:dyDescent="0.45">
      <c r="A874" s="3" t="str">
        <f>IFERROR(table_DataQualities[ID],"")</f>
        <v/>
      </c>
      <c r="B874" s="3" t="str">
        <f>IFERROR(table_DataQualities[unit_ID],"")</f>
        <v/>
      </c>
      <c r="C8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5" spans="1:3" x14ac:dyDescent="0.45">
      <c r="A875" s="3" t="str">
        <f>IFERROR(table_DataQualities[ID],"")</f>
        <v/>
      </c>
      <c r="B875" s="3" t="str">
        <f>IFERROR(table_DataQualities[unit_ID],"")</f>
        <v/>
      </c>
      <c r="C8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6" spans="1:3" x14ac:dyDescent="0.45">
      <c r="A876" s="3" t="str">
        <f>IFERROR(table_DataQualities[ID],"")</f>
        <v/>
      </c>
      <c r="B876" s="3" t="str">
        <f>IFERROR(table_DataQualities[unit_ID],"")</f>
        <v/>
      </c>
      <c r="C8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7" spans="1:3" x14ac:dyDescent="0.45">
      <c r="A877" s="3" t="str">
        <f>IFERROR(table_DataQualities[ID],"")</f>
        <v/>
      </c>
      <c r="B877" s="3" t="str">
        <f>IFERROR(table_DataQualities[unit_ID],"")</f>
        <v/>
      </c>
      <c r="C8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8" spans="1:3" x14ac:dyDescent="0.45">
      <c r="A878" s="3" t="str">
        <f>IFERROR(table_DataQualities[ID],"")</f>
        <v/>
      </c>
      <c r="B878" s="3" t="str">
        <f>IFERROR(table_DataQualities[unit_ID],"")</f>
        <v/>
      </c>
      <c r="C8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79" spans="1:3" x14ac:dyDescent="0.45">
      <c r="A879" s="3" t="str">
        <f>IFERROR(table_DataQualities[ID],"")</f>
        <v/>
      </c>
      <c r="B879" s="3" t="str">
        <f>IFERROR(table_DataQualities[unit_ID],"")</f>
        <v/>
      </c>
      <c r="C8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0" spans="1:3" x14ac:dyDescent="0.45">
      <c r="A880" s="3" t="str">
        <f>IFERROR(table_DataQualities[ID],"")</f>
        <v/>
      </c>
      <c r="B880" s="3" t="str">
        <f>IFERROR(table_DataQualities[unit_ID],"")</f>
        <v/>
      </c>
      <c r="C8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1" spans="1:3" x14ac:dyDescent="0.45">
      <c r="A881" s="3" t="str">
        <f>IFERROR(table_DataQualities[ID],"")</f>
        <v/>
      </c>
      <c r="B881" s="3" t="str">
        <f>IFERROR(table_DataQualities[unit_ID],"")</f>
        <v/>
      </c>
      <c r="C8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2" spans="1:3" x14ac:dyDescent="0.45">
      <c r="A882" s="3" t="str">
        <f>IFERROR(table_DataQualities[ID],"")</f>
        <v/>
      </c>
      <c r="B882" s="3" t="str">
        <f>IFERROR(table_DataQualities[unit_ID],"")</f>
        <v/>
      </c>
      <c r="C8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3" spans="1:3" x14ac:dyDescent="0.45">
      <c r="A883" s="3" t="str">
        <f>IFERROR(table_DataQualities[ID],"")</f>
        <v/>
      </c>
      <c r="B883" s="3" t="str">
        <f>IFERROR(table_DataQualities[unit_ID],"")</f>
        <v/>
      </c>
      <c r="C8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4" spans="1:3" x14ac:dyDescent="0.45">
      <c r="A884" s="3" t="str">
        <f>IFERROR(table_DataQualities[ID],"")</f>
        <v/>
      </c>
      <c r="B884" s="3" t="str">
        <f>IFERROR(table_DataQualities[unit_ID],"")</f>
        <v/>
      </c>
      <c r="C8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5" spans="1:3" x14ac:dyDescent="0.45">
      <c r="A885" s="3" t="str">
        <f>IFERROR(table_DataQualities[ID],"")</f>
        <v/>
      </c>
      <c r="B885" s="3" t="str">
        <f>IFERROR(table_DataQualities[unit_ID],"")</f>
        <v/>
      </c>
      <c r="C8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6" spans="1:3" x14ac:dyDescent="0.45">
      <c r="A886" s="3" t="str">
        <f>IFERROR(table_DataQualities[ID],"")</f>
        <v/>
      </c>
      <c r="B886" s="3" t="str">
        <f>IFERROR(table_DataQualities[unit_ID],"")</f>
        <v/>
      </c>
      <c r="C8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7" spans="1:3" x14ac:dyDescent="0.45">
      <c r="A887" s="3" t="str">
        <f>IFERROR(table_DataQualities[ID],"")</f>
        <v/>
      </c>
      <c r="B887" s="3" t="str">
        <f>IFERROR(table_DataQualities[unit_ID],"")</f>
        <v/>
      </c>
      <c r="C8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8" spans="1:3" x14ac:dyDescent="0.45">
      <c r="A888" s="3" t="str">
        <f>IFERROR(table_DataQualities[ID],"")</f>
        <v/>
      </c>
      <c r="B888" s="3" t="str">
        <f>IFERROR(table_DataQualities[unit_ID],"")</f>
        <v/>
      </c>
      <c r="C8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89" spans="1:3" x14ac:dyDescent="0.45">
      <c r="A889" s="3" t="str">
        <f>IFERROR(table_DataQualities[ID],"")</f>
        <v/>
      </c>
      <c r="B889" s="3" t="str">
        <f>IFERROR(table_DataQualities[unit_ID],"")</f>
        <v/>
      </c>
      <c r="C8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0" spans="1:3" x14ac:dyDescent="0.45">
      <c r="A890" s="3" t="str">
        <f>IFERROR(table_DataQualities[ID],"")</f>
        <v/>
      </c>
      <c r="B890" s="3" t="str">
        <f>IFERROR(table_DataQualities[unit_ID],"")</f>
        <v/>
      </c>
      <c r="C8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1" spans="1:3" x14ac:dyDescent="0.45">
      <c r="A891" s="3" t="str">
        <f>IFERROR(table_DataQualities[ID],"")</f>
        <v/>
      </c>
      <c r="B891" s="3" t="str">
        <f>IFERROR(table_DataQualities[unit_ID],"")</f>
        <v/>
      </c>
      <c r="C8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2" spans="1:3" x14ac:dyDescent="0.45">
      <c r="A892" s="3" t="str">
        <f>IFERROR(table_DataQualities[ID],"")</f>
        <v/>
      </c>
      <c r="B892" s="3" t="str">
        <f>IFERROR(table_DataQualities[unit_ID],"")</f>
        <v/>
      </c>
      <c r="C8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3" spans="1:3" x14ac:dyDescent="0.45">
      <c r="A893" s="3" t="str">
        <f>IFERROR(table_DataQualities[ID],"")</f>
        <v/>
      </c>
      <c r="B893" s="3" t="str">
        <f>IFERROR(table_DataQualities[unit_ID],"")</f>
        <v/>
      </c>
      <c r="C8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4" spans="1:3" x14ac:dyDescent="0.45">
      <c r="A894" s="3" t="str">
        <f>IFERROR(table_DataQualities[ID],"")</f>
        <v/>
      </c>
      <c r="B894" s="3" t="str">
        <f>IFERROR(table_DataQualities[unit_ID],"")</f>
        <v/>
      </c>
      <c r="C8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5" spans="1:3" x14ac:dyDescent="0.45">
      <c r="A895" s="3" t="str">
        <f>IFERROR(table_DataQualities[ID],"")</f>
        <v/>
      </c>
      <c r="B895" s="3" t="str">
        <f>IFERROR(table_DataQualities[unit_ID],"")</f>
        <v/>
      </c>
      <c r="C8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6" spans="1:3" x14ac:dyDescent="0.45">
      <c r="A896" s="3" t="str">
        <f>IFERROR(table_DataQualities[ID],"")</f>
        <v/>
      </c>
      <c r="B896" s="3" t="str">
        <f>IFERROR(table_DataQualities[unit_ID],"")</f>
        <v/>
      </c>
      <c r="C8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7" spans="1:3" x14ac:dyDescent="0.45">
      <c r="A897" s="3" t="str">
        <f>IFERROR(table_DataQualities[ID],"")</f>
        <v/>
      </c>
      <c r="B897" s="3" t="str">
        <f>IFERROR(table_DataQualities[unit_ID],"")</f>
        <v/>
      </c>
      <c r="C8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8" spans="1:3" x14ac:dyDescent="0.45">
      <c r="A898" s="3" t="str">
        <f>IFERROR(table_DataQualities[ID],"")</f>
        <v/>
      </c>
      <c r="B898" s="3" t="str">
        <f>IFERROR(table_DataQualities[unit_ID],"")</f>
        <v/>
      </c>
      <c r="C8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899" spans="1:3" x14ac:dyDescent="0.45">
      <c r="A899" s="3" t="str">
        <f>IFERROR(table_DataQualities[ID],"")</f>
        <v/>
      </c>
      <c r="B899" s="3" t="str">
        <f>IFERROR(table_DataQualities[unit_ID],"")</f>
        <v/>
      </c>
      <c r="C8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0" spans="1:3" x14ac:dyDescent="0.45">
      <c r="A900" s="3" t="str">
        <f>IFERROR(table_DataQualities[ID],"")</f>
        <v/>
      </c>
      <c r="B900" s="3" t="str">
        <f>IFERROR(table_DataQualities[unit_ID],"")</f>
        <v/>
      </c>
      <c r="C9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1" spans="1:3" x14ac:dyDescent="0.45">
      <c r="A901" s="3" t="str">
        <f>IFERROR(table_DataQualities[ID],"")</f>
        <v/>
      </c>
      <c r="B901" s="3" t="str">
        <f>IFERROR(table_DataQualities[unit_ID],"")</f>
        <v/>
      </c>
      <c r="C90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2" spans="1:3" x14ac:dyDescent="0.45">
      <c r="A902" s="3" t="str">
        <f>IFERROR(table_DataQualities[ID],"")</f>
        <v/>
      </c>
      <c r="B902" s="3" t="str">
        <f>IFERROR(table_DataQualities[unit_ID],"")</f>
        <v/>
      </c>
      <c r="C90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3" spans="1:3" x14ac:dyDescent="0.45">
      <c r="A903" s="3" t="str">
        <f>IFERROR(table_DataQualities[ID],"")</f>
        <v/>
      </c>
      <c r="B903" s="3" t="str">
        <f>IFERROR(table_DataQualities[unit_ID],"")</f>
        <v/>
      </c>
      <c r="C90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4" spans="1:3" x14ac:dyDescent="0.45">
      <c r="A904" s="3" t="str">
        <f>IFERROR(table_DataQualities[ID],"")</f>
        <v/>
      </c>
      <c r="B904" s="3" t="str">
        <f>IFERROR(table_DataQualities[unit_ID],"")</f>
        <v/>
      </c>
      <c r="C90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5" spans="1:3" x14ac:dyDescent="0.45">
      <c r="A905" s="3" t="str">
        <f>IFERROR(table_DataQualities[ID],"")</f>
        <v/>
      </c>
      <c r="B905" s="3" t="str">
        <f>IFERROR(table_DataQualities[unit_ID],"")</f>
        <v/>
      </c>
      <c r="C90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6" spans="1:3" x14ac:dyDescent="0.45">
      <c r="A906" s="3" t="str">
        <f>IFERROR(table_DataQualities[ID],"")</f>
        <v/>
      </c>
      <c r="B906" s="3" t="str">
        <f>IFERROR(table_DataQualities[unit_ID],"")</f>
        <v/>
      </c>
      <c r="C90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7" spans="1:3" x14ac:dyDescent="0.45">
      <c r="A907" s="3" t="str">
        <f>IFERROR(table_DataQualities[ID],"")</f>
        <v/>
      </c>
      <c r="B907" s="3" t="str">
        <f>IFERROR(table_DataQualities[unit_ID],"")</f>
        <v/>
      </c>
      <c r="C90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8" spans="1:3" x14ac:dyDescent="0.45">
      <c r="A908" s="3" t="str">
        <f>IFERROR(table_DataQualities[ID],"")</f>
        <v/>
      </c>
      <c r="B908" s="3" t="str">
        <f>IFERROR(table_DataQualities[unit_ID],"")</f>
        <v/>
      </c>
      <c r="C90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09" spans="1:3" x14ac:dyDescent="0.45">
      <c r="A909" s="3" t="str">
        <f>IFERROR(table_DataQualities[ID],"")</f>
        <v/>
      </c>
      <c r="B909" s="3" t="str">
        <f>IFERROR(table_DataQualities[unit_ID],"")</f>
        <v/>
      </c>
      <c r="C90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0" spans="1:3" x14ac:dyDescent="0.45">
      <c r="A910" s="3" t="str">
        <f>IFERROR(table_DataQualities[ID],"")</f>
        <v/>
      </c>
      <c r="B910" s="3" t="str">
        <f>IFERROR(table_DataQualities[unit_ID],"")</f>
        <v/>
      </c>
      <c r="C91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1" spans="1:3" x14ac:dyDescent="0.45">
      <c r="A911" s="3" t="str">
        <f>IFERROR(table_DataQualities[ID],"")</f>
        <v/>
      </c>
      <c r="B911" s="3" t="str">
        <f>IFERROR(table_DataQualities[unit_ID],"")</f>
        <v/>
      </c>
      <c r="C91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2" spans="1:3" x14ac:dyDescent="0.45">
      <c r="A912" s="3" t="str">
        <f>IFERROR(table_DataQualities[ID],"")</f>
        <v/>
      </c>
      <c r="B912" s="3" t="str">
        <f>IFERROR(table_DataQualities[unit_ID],"")</f>
        <v/>
      </c>
      <c r="C91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3" spans="1:3" x14ac:dyDescent="0.45">
      <c r="A913" s="3" t="str">
        <f>IFERROR(table_DataQualities[ID],"")</f>
        <v/>
      </c>
      <c r="B913" s="3" t="str">
        <f>IFERROR(table_DataQualities[unit_ID],"")</f>
        <v/>
      </c>
      <c r="C91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4" spans="1:3" x14ac:dyDescent="0.45">
      <c r="A914" s="3" t="str">
        <f>IFERROR(table_DataQualities[ID],"")</f>
        <v/>
      </c>
      <c r="B914" s="3" t="str">
        <f>IFERROR(table_DataQualities[unit_ID],"")</f>
        <v/>
      </c>
      <c r="C91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5" spans="1:3" x14ac:dyDescent="0.45">
      <c r="A915" s="3" t="str">
        <f>IFERROR(table_DataQualities[ID],"")</f>
        <v/>
      </c>
      <c r="B915" s="3" t="str">
        <f>IFERROR(table_DataQualities[unit_ID],"")</f>
        <v/>
      </c>
      <c r="C91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6" spans="1:3" x14ac:dyDescent="0.45">
      <c r="A916" s="3" t="str">
        <f>IFERROR(table_DataQualities[ID],"")</f>
        <v/>
      </c>
      <c r="B916" s="3" t="str">
        <f>IFERROR(table_DataQualities[unit_ID],"")</f>
        <v/>
      </c>
      <c r="C91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7" spans="1:3" x14ac:dyDescent="0.45">
      <c r="A917" s="3" t="str">
        <f>IFERROR(table_DataQualities[ID],"")</f>
        <v/>
      </c>
      <c r="B917" s="3" t="str">
        <f>IFERROR(table_DataQualities[unit_ID],"")</f>
        <v/>
      </c>
      <c r="C91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8" spans="1:3" x14ac:dyDescent="0.45">
      <c r="A918" s="3" t="str">
        <f>IFERROR(table_DataQualities[ID],"")</f>
        <v/>
      </c>
      <c r="B918" s="3" t="str">
        <f>IFERROR(table_DataQualities[unit_ID],"")</f>
        <v/>
      </c>
      <c r="C91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19" spans="1:3" x14ac:dyDescent="0.45">
      <c r="A919" s="3" t="str">
        <f>IFERROR(table_DataQualities[ID],"")</f>
        <v/>
      </c>
      <c r="B919" s="3" t="str">
        <f>IFERROR(table_DataQualities[unit_ID],"")</f>
        <v/>
      </c>
      <c r="C91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0" spans="1:3" x14ac:dyDescent="0.45">
      <c r="A920" s="3" t="str">
        <f>IFERROR(table_DataQualities[ID],"")</f>
        <v/>
      </c>
      <c r="B920" s="3" t="str">
        <f>IFERROR(table_DataQualities[unit_ID],"")</f>
        <v/>
      </c>
      <c r="C92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1" spans="1:3" x14ac:dyDescent="0.45">
      <c r="A921" s="3" t="str">
        <f>IFERROR(table_DataQualities[ID],"")</f>
        <v/>
      </c>
      <c r="B921" s="3" t="str">
        <f>IFERROR(table_DataQualities[unit_ID],"")</f>
        <v/>
      </c>
      <c r="C92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2" spans="1:3" x14ac:dyDescent="0.45">
      <c r="A922" s="3" t="str">
        <f>IFERROR(table_DataQualities[ID],"")</f>
        <v/>
      </c>
      <c r="B922" s="3" t="str">
        <f>IFERROR(table_DataQualities[unit_ID],"")</f>
        <v/>
      </c>
      <c r="C92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3" spans="1:3" x14ac:dyDescent="0.45">
      <c r="A923" s="3" t="str">
        <f>IFERROR(table_DataQualities[ID],"")</f>
        <v/>
      </c>
      <c r="B923" s="3" t="str">
        <f>IFERROR(table_DataQualities[unit_ID],"")</f>
        <v/>
      </c>
      <c r="C92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4" spans="1:3" x14ac:dyDescent="0.45">
      <c r="A924" s="3" t="str">
        <f>IFERROR(table_DataQualities[ID],"")</f>
        <v/>
      </c>
      <c r="B924" s="3" t="str">
        <f>IFERROR(table_DataQualities[unit_ID],"")</f>
        <v/>
      </c>
      <c r="C92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5" spans="1:3" x14ac:dyDescent="0.45">
      <c r="A925" s="3" t="str">
        <f>IFERROR(table_DataQualities[ID],"")</f>
        <v/>
      </c>
      <c r="B925" s="3" t="str">
        <f>IFERROR(table_DataQualities[unit_ID],"")</f>
        <v/>
      </c>
      <c r="C92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6" spans="1:3" x14ac:dyDescent="0.45">
      <c r="A926" s="3" t="str">
        <f>IFERROR(table_DataQualities[ID],"")</f>
        <v/>
      </c>
      <c r="B926" s="3" t="str">
        <f>IFERROR(table_DataQualities[unit_ID],"")</f>
        <v/>
      </c>
      <c r="C92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7" spans="1:3" x14ac:dyDescent="0.45">
      <c r="A927" s="3" t="str">
        <f>IFERROR(table_DataQualities[ID],"")</f>
        <v/>
      </c>
      <c r="B927" s="3" t="str">
        <f>IFERROR(table_DataQualities[unit_ID],"")</f>
        <v/>
      </c>
      <c r="C92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8" spans="1:3" x14ac:dyDescent="0.45">
      <c r="A928" s="3" t="str">
        <f>IFERROR(table_DataQualities[ID],"")</f>
        <v/>
      </c>
      <c r="B928" s="3" t="str">
        <f>IFERROR(table_DataQualities[unit_ID],"")</f>
        <v/>
      </c>
      <c r="C92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29" spans="1:3" x14ac:dyDescent="0.45">
      <c r="A929" s="3" t="str">
        <f>IFERROR(table_DataQualities[ID],"")</f>
        <v/>
      </c>
      <c r="B929" s="3" t="str">
        <f>IFERROR(table_DataQualities[unit_ID],"")</f>
        <v/>
      </c>
      <c r="C92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0" spans="1:3" x14ac:dyDescent="0.45">
      <c r="A930" s="3" t="str">
        <f>IFERROR(table_DataQualities[ID],"")</f>
        <v/>
      </c>
      <c r="B930" s="3" t="str">
        <f>IFERROR(table_DataQualities[unit_ID],"")</f>
        <v/>
      </c>
      <c r="C93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1" spans="1:3" x14ac:dyDescent="0.45">
      <c r="A931" s="3" t="str">
        <f>IFERROR(table_DataQualities[ID],"")</f>
        <v/>
      </c>
      <c r="B931" s="3" t="str">
        <f>IFERROR(table_DataQualities[unit_ID],"")</f>
        <v/>
      </c>
      <c r="C93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2" spans="1:3" x14ac:dyDescent="0.45">
      <c r="A932" s="3" t="str">
        <f>IFERROR(table_DataQualities[ID],"")</f>
        <v/>
      </c>
      <c r="B932" s="3" t="str">
        <f>IFERROR(table_DataQualities[unit_ID],"")</f>
        <v/>
      </c>
      <c r="C93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3" spans="1:3" x14ac:dyDescent="0.45">
      <c r="A933" s="3" t="str">
        <f>IFERROR(table_DataQualities[ID],"")</f>
        <v/>
      </c>
      <c r="B933" s="3" t="str">
        <f>IFERROR(table_DataQualities[unit_ID],"")</f>
        <v/>
      </c>
      <c r="C93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4" spans="1:3" x14ac:dyDescent="0.45">
      <c r="A934" s="3" t="str">
        <f>IFERROR(table_DataQualities[ID],"")</f>
        <v/>
      </c>
      <c r="B934" s="3" t="str">
        <f>IFERROR(table_DataQualities[unit_ID],"")</f>
        <v/>
      </c>
      <c r="C93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5" spans="1:3" x14ac:dyDescent="0.45">
      <c r="A935" s="3" t="str">
        <f>IFERROR(table_DataQualities[ID],"")</f>
        <v/>
      </c>
      <c r="B935" s="3" t="str">
        <f>IFERROR(table_DataQualities[unit_ID],"")</f>
        <v/>
      </c>
      <c r="C93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6" spans="1:3" x14ac:dyDescent="0.45">
      <c r="A936" s="3" t="str">
        <f>IFERROR(table_DataQualities[ID],"")</f>
        <v/>
      </c>
      <c r="B936" s="3" t="str">
        <f>IFERROR(table_DataQualities[unit_ID],"")</f>
        <v/>
      </c>
      <c r="C93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7" spans="1:3" x14ac:dyDescent="0.45">
      <c r="A937" s="3" t="str">
        <f>IFERROR(table_DataQualities[ID],"")</f>
        <v/>
      </c>
      <c r="B937" s="3" t="str">
        <f>IFERROR(table_DataQualities[unit_ID],"")</f>
        <v/>
      </c>
      <c r="C93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8" spans="1:3" x14ac:dyDescent="0.45">
      <c r="A938" s="3" t="str">
        <f>IFERROR(table_DataQualities[ID],"")</f>
        <v/>
      </c>
      <c r="B938" s="3" t="str">
        <f>IFERROR(table_DataQualities[unit_ID],"")</f>
        <v/>
      </c>
      <c r="C93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39" spans="1:3" x14ac:dyDescent="0.45">
      <c r="A939" s="3" t="str">
        <f>IFERROR(table_DataQualities[ID],"")</f>
        <v/>
      </c>
      <c r="B939" s="3" t="str">
        <f>IFERROR(table_DataQualities[unit_ID],"")</f>
        <v/>
      </c>
      <c r="C93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0" spans="1:3" x14ac:dyDescent="0.45">
      <c r="A940" s="3" t="str">
        <f>IFERROR(table_DataQualities[ID],"")</f>
        <v/>
      </c>
      <c r="B940" s="3" t="str">
        <f>IFERROR(table_DataQualities[unit_ID],"")</f>
        <v/>
      </c>
      <c r="C94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1" spans="1:3" x14ac:dyDescent="0.45">
      <c r="A941" s="3" t="str">
        <f>IFERROR(table_DataQualities[ID],"")</f>
        <v/>
      </c>
      <c r="B941" s="3" t="str">
        <f>IFERROR(table_DataQualities[unit_ID],"")</f>
        <v/>
      </c>
      <c r="C94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2" spans="1:3" x14ac:dyDescent="0.45">
      <c r="A942" s="3" t="str">
        <f>IFERROR(table_DataQualities[ID],"")</f>
        <v/>
      </c>
      <c r="B942" s="3" t="str">
        <f>IFERROR(table_DataQualities[unit_ID],"")</f>
        <v/>
      </c>
      <c r="C94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3" spans="1:3" x14ac:dyDescent="0.45">
      <c r="A943" s="3" t="str">
        <f>IFERROR(table_DataQualities[ID],"")</f>
        <v/>
      </c>
      <c r="B943" s="3" t="str">
        <f>IFERROR(table_DataQualities[unit_ID],"")</f>
        <v/>
      </c>
      <c r="C94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4" spans="1:3" x14ac:dyDescent="0.45">
      <c r="A944" s="3" t="str">
        <f>IFERROR(table_DataQualities[ID],"")</f>
        <v/>
      </c>
      <c r="B944" s="3" t="str">
        <f>IFERROR(table_DataQualities[unit_ID],"")</f>
        <v/>
      </c>
      <c r="C94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5" spans="1:3" x14ac:dyDescent="0.45">
      <c r="A945" s="3" t="str">
        <f>IFERROR(table_DataQualities[ID],"")</f>
        <v/>
      </c>
      <c r="B945" s="3" t="str">
        <f>IFERROR(table_DataQualities[unit_ID],"")</f>
        <v/>
      </c>
      <c r="C94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6" spans="1:3" x14ac:dyDescent="0.45">
      <c r="A946" s="3" t="str">
        <f>IFERROR(table_DataQualities[ID],"")</f>
        <v/>
      </c>
      <c r="B946" s="3" t="str">
        <f>IFERROR(table_DataQualities[unit_ID],"")</f>
        <v/>
      </c>
      <c r="C94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7" spans="1:3" x14ac:dyDescent="0.45">
      <c r="A947" s="3" t="str">
        <f>IFERROR(table_DataQualities[ID],"")</f>
        <v/>
      </c>
      <c r="B947" s="3" t="str">
        <f>IFERROR(table_DataQualities[unit_ID],"")</f>
        <v/>
      </c>
      <c r="C94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8" spans="1:3" x14ac:dyDescent="0.45">
      <c r="A948" s="3" t="str">
        <f>IFERROR(table_DataQualities[ID],"")</f>
        <v/>
      </c>
      <c r="B948" s="3" t="str">
        <f>IFERROR(table_DataQualities[unit_ID],"")</f>
        <v/>
      </c>
      <c r="C94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49" spans="1:3" x14ac:dyDescent="0.45">
      <c r="A949" s="3" t="str">
        <f>IFERROR(table_DataQualities[ID],"")</f>
        <v/>
      </c>
      <c r="B949" s="3" t="str">
        <f>IFERROR(table_DataQualities[unit_ID],"")</f>
        <v/>
      </c>
      <c r="C94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0" spans="1:3" x14ac:dyDescent="0.45">
      <c r="A950" s="3" t="str">
        <f>IFERROR(table_DataQualities[ID],"")</f>
        <v/>
      </c>
      <c r="B950" s="3" t="str">
        <f>IFERROR(table_DataQualities[unit_ID],"")</f>
        <v/>
      </c>
      <c r="C95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1" spans="1:3" x14ac:dyDescent="0.45">
      <c r="A951" s="3" t="str">
        <f>IFERROR(table_DataQualities[ID],"")</f>
        <v/>
      </c>
      <c r="B951" s="3" t="str">
        <f>IFERROR(table_DataQualities[unit_ID],"")</f>
        <v/>
      </c>
      <c r="C95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2" spans="1:3" x14ac:dyDescent="0.45">
      <c r="A952" s="3" t="str">
        <f>IFERROR(table_DataQualities[ID],"")</f>
        <v/>
      </c>
      <c r="B952" s="3" t="str">
        <f>IFERROR(table_DataQualities[unit_ID],"")</f>
        <v/>
      </c>
      <c r="C95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3" spans="1:3" x14ac:dyDescent="0.45">
      <c r="A953" s="3" t="str">
        <f>IFERROR(table_DataQualities[ID],"")</f>
        <v/>
      </c>
      <c r="B953" s="3" t="str">
        <f>IFERROR(table_DataQualities[unit_ID],"")</f>
        <v/>
      </c>
      <c r="C95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4" spans="1:3" x14ac:dyDescent="0.45">
      <c r="A954" s="3" t="str">
        <f>IFERROR(table_DataQualities[ID],"")</f>
        <v/>
      </c>
      <c r="B954" s="3" t="str">
        <f>IFERROR(table_DataQualities[unit_ID],"")</f>
        <v/>
      </c>
      <c r="C95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5" spans="1:3" x14ac:dyDescent="0.45">
      <c r="A955" s="3" t="str">
        <f>IFERROR(table_DataQualities[ID],"")</f>
        <v/>
      </c>
      <c r="B955" s="3" t="str">
        <f>IFERROR(table_DataQualities[unit_ID],"")</f>
        <v/>
      </c>
      <c r="C95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6" spans="1:3" x14ac:dyDescent="0.45">
      <c r="A956" s="3" t="str">
        <f>IFERROR(table_DataQualities[ID],"")</f>
        <v/>
      </c>
      <c r="B956" s="3" t="str">
        <f>IFERROR(table_DataQualities[unit_ID],"")</f>
        <v/>
      </c>
      <c r="C95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7" spans="1:3" x14ac:dyDescent="0.45">
      <c r="A957" s="3" t="str">
        <f>IFERROR(table_DataQualities[ID],"")</f>
        <v/>
      </c>
      <c r="B957" s="3" t="str">
        <f>IFERROR(table_DataQualities[unit_ID],"")</f>
        <v/>
      </c>
      <c r="C95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8" spans="1:3" x14ac:dyDescent="0.45">
      <c r="A958" s="3" t="str">
        <f>IFERROR(table_DataQualities[ID],"")</f>
        <v/>
      </c>
      <c r="B958" s="3" t="str">
        <f>IFERROR(table_DataQualities[unit_ID],"")</f>
        <v/>
      </c>
      <c r="C95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59" spans="1:3" x14ac:dyDescent="0.45">
      <c r="A959" s="3" t="str">
        <f>IFERROR(table_DataQualities[ID],"")</f>
        <v/>
      </c>
      <c r="B959" s="3" t="str">
        <f>IFERROR(table_DataQualities[unit_ID],"")</f>
        <v/>
      </c>
      <c r="C95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0" spans="1:3" x14ac:dyDescent="0.45">
      <c r="A960" s="3" t="str">
        <f>IFERROR(table_DataQualities[ID],"")</f>
        <v/>
      </c>
      <c r="B960" s="3" t="str">
        <f>IFERROR(table_DataQualities[unit_ID],"")</f>
        <v/>
      </c>
      <c r="C96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1" spans="1:3" x14ac:dyDescent="0.45">
      <c r="A961" s="3" t="str">
        <f>IFERROR(table_DataQualities[ID],"")</f>
        <v/>
      </c>
      <c r="B961" s="3" t="str">
        <f>IFERROR(table_DataQualities[unit_ID],"")</f>
        <v/>
      </c>
      <c r="C96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2" spans="1:3" x14ac:dyDescent="0.45">
      <c r="A962" s="3" t="str">
        <f>IFERROR(table_DataQualities[ID],"")</f>
        <v/>
      </c>
      <c r="B962" s="3" t="str">
        <f>IFERROR(table_DataQualities[unit_ID],"")</f>
        <v/>
      </c>
      <c r="C96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3" spans="1:3" x14ac:dyDescent="0.45">
      <c r="A963" s="3" t="str">
        <f>IFERROR(table_DataQualities[ID],"")</f>
        <v/>
      </c>
      <c r="B963" s="3" t="str">
        <f>IFERROR(table_DataQualities[unit_ID],"")</f>
        <v/>
      </c>
      <c r="C96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4" spans="1:3" x14ac:dyDescent="0.45">
      <c r="A964" s="3" t="str">
        <f>IFERROR(table_DataQualities[ID],"")</f>
        <v/>
      </c>
      <c r="B964" s="3" t="str">
        <f>IFERROR(table_DataQualities[unit_ID],"")</f>
        <v/>
      </c>
      <c r="C96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5" spans="1:3" x14ac:dyDescent="0.45">
      <c r="A965" s="3" t="str">
        <f>IFERROR(table_DataQualities[ID],"")</f>
        <v/>
      </c>
      <c r="B965" s="3" t="str">
        <f>IFERROR(table_DataQualities[unit_ID],"")</f>
        <v/>
      </c>
      <c r="C96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6" spans="1:3" x14ac:dyDescent="0.45">
      <c r="A966" s="3" t="str">
        <f>IFERROR(table_DataQualities[ID],"")</f>
        <v/>
      </c>
      <c r="B966" s="3" t="str">
        <f>IFERROR(table_DataQualities[unit_ID],"")</f>
        <v/>
      </c>
      <c r="C96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7" spans="1:3" x14ac:dyDescent="0.45">
      <c r="A967" s="3" t="str">
        <f>IFERROR(table_DataQualities[ID],"")</f>
        <v/>
      </c>
      <c r="B967" s="3" t="str">
        <f>IFERROR(table_DataQualities[unit_ID],"")</f>
        <v/>
      </c>
      <c r="C96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8" spans="1:3" x14ac:dyDescent="0.45">
      <c r="A968" s="3" t="str">
        <f>IFERROR(table_DataQualities[ID],"")</f>
        <v/>
      </c>
      <c r="B968" s="3" t="str">
        <f>IFERROR(table_DataQualities[unit_ID],"")</f>
        <v/>
      </c>
      <c r="C96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69" spans="1:3" x14ac:dyDescent="0.45">
      <c r="A969" s="3" t="str">
        <f>IFERROR(table_DataQualities[ID],"")</f>
        <v/>
      </c>
      <c r="B969" s="3" t="str">
        <f>IFERROR(table_DataQualities[unit_ID],"")</f>
        <v/>
      </c>
      <c r="C96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0" spans="1:3" x14ac:dyDescent="0.45">
      <c r="A970" s="3" t="str">
        <f>IFERROR(table_DataQualities[ID],"")</f>
        <v/>
      </c>
      <c r="B970" s="3" t="str">
        <f>IFERROR(table_DataQualities[unit_ID],"")</f>
        <v/>
      </c>
      <c r="C97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1" spans="1:3" x14ac:dyDescent="0.45">
      <c r="A971" s="3" t="str">
        <f>IFERROR(table_DataQualities[ID],"")</f>
        <v/>
      </c>
      <c r="B971" s="3" t="str">
        <f>IFERROR(table_DataQualities[unit_ID],"")</f>
        <v/>
      </c>
      <c r="C97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2" spans="1:3" x14ac:dyDescent="0.45">
      <c r="A972" s="3" t="str">
        <f>IFERROR(table_DataQualities[ID],"")</f>
        <v/>
      </c>
      <c r="B972" s="3" t="str">
        <f>IFERROR(table_DataQualities[unit_ID],"")</f>
        <v/>
      </c>
      <c r="C97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3" spans="1:3" x14ac:dyDescent="0.45">
      <c r="A973" s="3" t="str">
        <f>IFERROR(table_DataQualities[ID],"")</f>
        <v/>
      </c>
      <c r="B973" s="3" t="str">
        <f>IFERROR(table_DataQualities[unit_ID],"")</f>
        <v/>
      </c>
      <c r="C97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4" spans="1:3" x14ac:dyDescent="0.45">
      <c r="A974" s="3" t="str">
        <f>IFERROR(table_DataQualities[ID],"")</f>
        <v/>
      </c>
      <c r="B974" s="3" t="str">
        <f>IFERROR(table_DataQualities[unit_ID],"")</f>
        <v/>
      </c>
      <c r="C97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5" spans="1:3" x14ac:dyDescent="0.45">
      <c r="A975" s="3" t="str">
        <f>IFERROR(table_DataQualities[ID],"")</f>
        <v/>
      </c>
      <c r="B975" s="3" t="str">
        <f>IFERROR(table_DataQualities[unit_ID],"")</f>
        <v/>
      </c>
      <c r="C97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6" spans="1:3" x14ac:dyDescent="0.45">
      <c r="A976" s="3" t="str">
        <f>IFERROR(table_DataQualities[ID],"")</f>
        <v/>
      </c>
      <c r="B976" s="3" t="str">
        <f>IFERROR(table_DataQualities[unit_ID],"")</f>
        <v/>
      </c>
      <c r="C97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7" spans="1:3" x14ac:dyDescent="0.45">
      <c r="A977" s="3" t="str">
        <f>IFERROR(table_DataQualities[ID],"")</f>
        <v/>
      </c>
      <c r="B977" s="3" t="str">
        <f>IFERROR(table_DataQualities[unit_ID],"")</f>
        <v/>
      </c>
      <c r="C97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8" spans="1:3" x14ac:dyDescent="0.45">
      <c r="A978" s="3" t="str">
        <f>IFERROR(table_DataQualities[ID],"")</f>
        <v/>
      </c>
      <c r="B978" s="3" t="str">
        <f>IFERROR(table_DataQualities[unit_ID],"")</f>
        <v/>
      </c>
      <c r="C97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79" spans="1:3" x14ac:dyDescent="0.45">
      <c r="A979" s="3" t="str">
        <f>IFERROR(table_DataQualities[ID],"")</f>
        <v/>
      </c>
      <c r="B979" s="3" t="str">
        <f>IFERROR(table_DataQualities[unit_ID],"")</f>
        <v/>
      </c>
      <c r="C97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0" spans="1:3" x14ac:dyDescent="0.45">
      <c r="A980" s="3" t="str">
        <f>IFERROR(table_DataQualities[ID],"")</f>
        <v/>
      </c>
      <c r="B980" s="3" t="str">
        <f>IFERROR(table_DataQualities[unit_ID],"")</f>
        <v/>
      </c>
      <c r="C98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1" spans="1:3" x14ac:dyDescent="0.45">
      <c r="A981" s="3" t="str">
        <f>IFERROR(table_DataQualities[ID],"")</f>
        <v/>
      </c>
      <c r="B981" s="3" t="str">
        <f>IFERROR(table_DataQualities[unit_ID],"")</f>
        <v/>
      </c>
      <c r="C98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2" spans="1:3" x14ac:dyDescent="0.45">
      <c r="A982" s="3" t="str">
        <f>IFERROR(table_DataQualities[ID],"")</f>
        <v/>
      </c>
      <c r="B982" s="3" t="str">
        <f>IFERROR(table_DataQualities[unit_ID],"")</f>
        <v/>
      </c>
      <c r="C98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3" spans="1:3" x14ac:dyDescent="0.45">
      <c r="A983" s="3" t="str">
        <f>IFERROR(table_DataQualities[ID],"")</f>
        <v/>
      </c>
      <c r="B983" s="3" t="str">
        <f>IFERROR(table_DataQualities[unit_ID],"")</f>
        <v/>
      </c>
      <c r="C98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4" spans="1:3" x14ac:dyDescent="0.45">
      <c r="A984" s="3" t="str">
        <f>IFERROR(table_DataQualities[ID],"")</f>
        <v/>
      </c>
      <c r="B984" s="3" t="str">
        <f>IFERROR(table_DataQualities[unit_ID],"")</f>
        <v/>
      </c>
      <c r="C98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5" spans="1:3" x14ac:dyDescent="0.45">
      <c r="A985" s="3" t="str">
        <f>IFERROR(table_DataQualities[ID],"")</f>
        <v/>
      </c>
      <c r="B985" s="3" t="str">
        <f>IFERROR(table_DataQualities[unit_ID],"")</f>
        <v/>
      </c>
      <c r="C98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6" spans="1:3" x14ac:dyDescent="0.45">
      <c r="A986" s="3" t="str">
        <f>IFERROR(table_DataQualities[ID],"")</f>
        <v/>
      </c>
      <c r="B986" s="3" t="str">
        <f>IFERROR(table_DataQualities[unit_ID],"")</f>
        <v/>
      </c>
      <c r="C98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7" spans="1:3" x14ac:dyDescent="0.45">
      <c r="A987" s="3" t="str">
        <f>IFERROR(table_DataQualities[ID],"")</f>
        <v/>
      </c>
      <c r="B987" s="3" t="str">
        <f>IFERROR(table_DataQualities[unit_ID],"")</f>
        <v/>
      </c>
      <c r="C98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8" spans="1:3" x14ac:dyDescent="0.45">
      <c r="A988" s="3" t="str">
        <f>IFERROR(table_DataQualities[ID],"")</f>
        <v/>
      </c>
      <c r="B988" s="3" t="str">
        <f>IFERROR(table_DataQualities[unit_ID],"")</f>
        <v/>
      </c>
      <c r="C98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89" spans="1:3" x14ac:dyDescent="0.45">
      <c r="A989" s="3" t="str">
        <f>IFERROR(table_DataQualities[ID],"")</f>
        <v/>
      </c>
      <c r="B989" s="3" t="str">
        <f>IFERROR(table_DataQualities[unit_ID],"")</f>
        <v/>
      </c>
      <c r="C98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0" spans="1:3" x14ac:dyDescent="0.45">
      <c r="A990" s="3" t="str">
        <f>IFERROR(table_DataQualities[ID],"")</f>
        <v/>
      </c>
      <c r="B990" s="3" t="str">
        <f>IFERROR(table_DataQualities[unit_ID],"")</f>
        <v/>
      </c>
      <c r="C99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1" spans="1:3" x14ac:dyDescent="0.45">
      <c r="A991" s="3" t="str">
        <f>IFERROR(table_DataQualities[ID],"")</f>
        <v/>
      </c>
      <c r="B991" s="3" t="str">
        <f>IFERROR(table_DataQualities[unit_ID],"")</f>
        <v/>
      </c>
      <c r="C991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2" spans="1:3" x14ac:dyDescent="0.45">
      <c r="A992" s="3" t="str">
        <f>IFERROR(table_DataQualities[ID],"")</f>
        <v/>
      </c>
      <c r="B992" s="3" t="str">
        <f>IFERROR(table_DataQualities[unit_ID],"")</f>
        <v/>
      </c>
      <c r="C992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3" spans="1:3" x14ac:dyDescent="0.45">
      <c r="A993" s="3" t="str">
        <f>IFERROR(table_DataQualities[ID],"")</f>
        <v/>
      </c>
      <c r="B993" s="3" t="str">
        <f>IFERROR(table_DataQualities[unit_ID],"")</f>
        <v/>
      </c>
      <c r="C993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4" spans="1:3" x14ac:dyDescent="0.45">
      <c r="A994" s="3" t="str">
        <f>IFERROR(table_DataQualities[ID],"")</f>
        <v/>
      </c>
      <c r="B994" s="3" t="str">
        <f>IFERROR(table_DataQualities[unit_ID],"")</f>
        <v/>
      </c>
      <c r="C994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5" spans="1:3" x14ac:dyDescent="0.45">
      <c r="A995" s="3" t="str">
        <f>IFERROR(table_DataQualities[ID],"")</f>
        <v/>
      </c>
      <c r="B995" s="3" t="str">
        <f>IFERROR(table_DataQualities[unit_ID],"")</f>
        <v/>
      </c>
      <c r="C995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6" spans="1:3" x14ac:dyDescent="0.45">
      <c r="A996" s="3" t="str">
        <f>IFERROR(table_DataQualities[ID],"")</f>
        <v/>
      </c>
      <c r="B996" s="3" t="str">
        <f>IFERROR(table_DataQualities[unit_ID],"")</f>
        <v/>
      </c>
      <c r="C996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7" spans="1:3" x14ac:dyDescent="0.45">
      <c r="A997" s="3" t="str">
        <f>IFERROR(table_DataQualities[ID],"")</f>
        <v/>
      </c>
      <c r="B997" s="3" t="str">
        <f>IFERROR(table_DataQualities[unit_ID],"")</f>
        <v/>
      </c>
      <c r="C997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8" spans="1:3" x14ac:dyDescent="0.45">
      <c r="A998" s="3" t="str">
        <f>IFERROR(table_DataQualities[ID],"")</f>
        <v/>
      </c>
      <c r="B998" s="3" t="str">
        <f>IFERROR(table_DataQualities[unit_ID],"")</f>
        <v/>
      </c>
      <c r="C998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999" spans="1:3" x14ac:dyDescent="0.45">
      <c r="A999" s="3" t="str">
        <f>IFERROR(table_DataQualities[ID],"")</f>
        <v/>
      </c>
      <c r="B999" s="3" t="str">
        <f>IFERROR(table_DataQualities[unit_ID],"")</f>
        <v/>
      </c>
      <c r="C999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  <row r="1000" spans="1:3" x14ac:dyDescent="0.45">
      <c r="A1000" s="3" t="str">
        <f>IFERROR(table_DataQualities[ID],"")</f>
        <v/>
      </c>
      <c r="B1000" s="3" t="str">
        <f>IFERROR(table_DataQualities[unit_ID],"")</f>
        <v/>
      </c>
      <c r="C1000" s="3" t="b">
        <f ca="1">IFERROR(IF(AND(VLOOKUP(dict_zuord_DQ_Units[[#This Row],[ID_DataQualities]],table_DataQualities[],14,FALSE),MIN(SUMPRODUCT(SUBTOTAL(103,OFFSET(table_Units[ID],ROW(table_Units[ID])-MIN(ROW(table_Units[ID])),,1))*(table_Units[ID]=dict_zuord_DQ_Units[[#This Row],[ID_Units]])))&gt;0),TRUE,FALSE),FALSE)</f>
        <v>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/>
  <dimension ref="A1:M31"/>
  <sheetViews>
    <sheetView workbookViewId="0"/>
  </sheetViews>
  <sheetFormatPr baseColWidth="10" defaultRowHeight="14.25" x14ac:dyDescent="0.45"/>
  <cols>
    <col min="1" max="1" width="18" customWidth="1"/>
    <col min="2" max="4" width="13.86328125" customWidth="1"/>
    <col min="6" max="7" width="10.73046875" style="8"/>
    <col min="8" max="8" width="14.1328125" style="8" bestFit="1" customWidth="1"/>
    <col min="9" max="9" width="20.3984375" bestFit="1" customWidth="1"/>
    <col min="10" max="10" width="17.1328125" bestFit="1" customWidth="1"/>
    <col min="11" max="11" width="18.86328125" bestFit="1" customWidth="1"/>
    <col min="12" max="12" width="13.9296875" bestFit="1" customWidth="1"/>
    <col min="13" max="13" width="13.53125" bestFit="1" customWidth="1"/>
  </cols>
  <sheetData>
    <row r="1" spans="1:13" x14ac:dyDescent="0.45">
      <c r="A1" t="s">
        <v>28</v>
      </c>
      <c r="B1" t="s">
        <v>27</v>
      </c>
      <c r="C1" t="s">
        <v>66</v>
      </c>
      <c r="D1" t="s">
        <v>136</v>
      </c>
      <c r="E1" t="s">
        <v>137</v>
      </c>
      <c r="F1" s="7" t="s">
        <v>138</v>
      </c>
      <c r="G1" s="7" t="s">
        <v>139</v>
      </c>
      <c r="H1" s="7" t="s">
        <v>30</v>
      </c>
      <c r="I1" t="s">
        <v>24</v>
      </c>
      <c r="J1" t="s">
        <v>91</v>
      </c>
      <c r="K1" t="s">
        <v>92</v>
      </c>
      <c r="L1" t="s">
        <v>142</v>
      </c>
      <c r="M1" t="s">
        <v>141</v>
      </c>
    </row>
    <row r="2" spans="1:13" x14ac:dyDescent="0.45">
      <c r="A2">
        <v>0</v>
      </c>
      <c r="B2">
        <v>22</v>
      </c>
      <c r="C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">
        <v>50</v>
      </c>
      <c r="E2">
        <v>0.01</v>
      </c>
      <c r="F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0.01</v>
      </c>
      <c r="H2" s="9" t="str">
        <f>VLOOKUP(VLOOKUP(dict_DQ_Meth_max_deprecated[[#This Row],[ID_DataQualities]],table_DataQualities[],3),table_Units[],2)</f>
        <v>Hz</v>
      </c>
      <c r="I2">
        <v>0</v>
      </c>
      <c r="J2">
        <v>10</v>
      </c>
      <c r="K2">
        <v>0.02</v>
      </c>
      <c r="L2">
        <f ca="1">VLOOKUP(dict_DQ_Meth_max_deprecated[[#This Row],[ID_DataQualities]],table_DataQualities!$A:$I,8,FALSE)</f>
        <v>0.65400000000000003</v>
      </c>
      <c r="M2">
        <f ca="1">VLOOKUP($A2,table_DataQualities!$A:$I,9,FALSE)</f>
        <v>7347.4</v>
      </c>
    </row>
    <row r="3" spans="1:13" x14ac:dyDescent="0.45">
      <c r="A3">
        <v>1</v>
      </c>
      <c r="B3">
        <v>22</v>
      </c>
      <c r="C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">
        <v>0.01</v>
      </c>
      <c r="E3">
        <v>10</v>
      </c>
      <c r="F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0.01</v>
      </c>
      <c r="G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3" s="9" t="str">
        <f ca="1">VLOOKUP(VLOOKUP(dict_DQ_Meth_max_deprecated[[#This Row],[ID_DataQualities]],table_DataQualities[],3),table_Units[],2)</f>
        <v>bit</v>
      </c>
      <c r="I3">
        <v>0</v>
      </c>
      <c r="J3">
        <v>300</v>
      </c>
      <c r="K3">
        <v>0.02</v>
      </c>
      <c r="L3">
        <f ca="1">VLOOKUP(dict_DQ_Meth_max_deprecated[[#This Row],[ID_DataQualities]],table_DataQualities!$A:$I,8,FALSE)</f>
        <v>9</v>
      </c>
      <c r="M3">
        <f ca="1">VLOOKUP($A3,table_DataQualities!$A:$I,9,FALSE)</f>
        <v>9295</v>
      </c>
    </row>
    <row r="4" spans="1:13" x14ac:dyDescent="0.45">
      <c r="A4">
        <v>0</v>
      </c>
      <c r="B4">
        <v>23</v>
      </c>
      <c r="C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4">
        <v>50</v>
      </c>
      <c r="E4">
        <v>10</v>
      </c>
      <c r="F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4" s="9" t="str">
        <f>VLOOKUP(VLOOKUP(dict_DQ_Meth_max_deprecated[[#This Row],[ID_DataQualities]],table_DataQualities[],3),table_Units[],2)</f>
        <v>Hz</v>
      </c>
      <c r="I4">
        <v>0</v>
      </c>
      <c r="J4">
        <v>20</v>
      </c>
      <c r="K4">
        <v>0.02</v>
      </c>
      <c r="L4">
        <f ca="1">VLOOKUP(dict_DQ_Meth_max_deprecated[[#This Row],[ID_DataQualities]],table_DataQualities!$A:$I,8,FALSE)</f>
        <v>0.65400000000000003</v>
      </c>
      <c r="M4">
        <f ca="1">VLOOKUP($A4,table_DataQualities!$A:$I,9,FALSE)</f>
        <v>7347.4</v>
      </c>
    </row>
    <row r="5" spans="1:13" x14ac:dyDescent="0.45">
      <c r="A5">
        <v>1</v>
      </c>
      <c r="B5">
        <v>23</v>
      </c>
      <c r="C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5">
        <v>0.01</v>
      </c>
      <c r="E5">
        <v>1000</v>
      </c>
      <c r="F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0.01</v>
      </c>
      <c r="G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1000</v>
      </c>
      <c r="H5" s="9" t="str">
        <f ca="1">VLOOKUP(VLOOKUP(dict_DQ_Meth_max_deprecated[[#This Row],[ID_DataQualities]],table_DataQualities[],3),table_Units[],2)</f>
        <v>bit</v>
      </c>
      <c r="I5">
        <v>0</v>
      </c>
      <c r="J5">
        <v>300</v>
      </c>
      <c r="K5">
        <v>0.02</v>
      </c>
      <c r="L5">
        <f ca="1">VLOOKUP(dict_DQ_Meth_max_deprecated[[#This Row],[ID_DataQualities]],table_DataQualities!$A:$I,8,FALSE)</f>
        <v>9</v>
      </c>
      <c r="M5">
        <f ca="1">VLOOKUP($A5,table_DataQualities!$A:$I,9,FALSE)</f>
        <v>9295</v>
      </c>
    </row>
    <row r="6" spans="1:13" x14ac:dyDescent="0.45">
      <c r="A6">
        <v>2</v>
      </c>
      <c r="B6">
        <v>24</v>
      </c>
      <c r="C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6">
        <v>0.1</v>
      </c>
      <c r="E6">
        <v>2000</v>
      </c>
      <c r="F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0.1</v>
      </c>
      <c r="G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2000</v>
      </c>
      <c r="H6" s="9" t="str">
        <f>VLOOKUP(VLOOKUP(dict_DQ_Meth_max_deprecated[[#This Row],[ID_DataQualities]],table_DataQualities[],3),table_Units[],2)</f>
        <v>Hz</v>
      </c>
      <c r="I6">
        <v>0</v>
      </c>
      <c r="J6">
        <v>10</v>
      </c>
      <c r="K6">
        <v>1</v>
      </c>
      <c r="L6">
        <f ca="1">VLOOKUP(dict_DQ_Meth_max_deprecated[[#This Row],[ID_DataQualities]],table_DataQualities!$A:$I,8,FALSE)</f>
        <v>0.439</v>
      </c>
      <c r="M6">
        <f ca="1">VLOOKUP($A6,table_DataQualities!$A:$I,9,FALSE)</f>
        <v>1614.3</v>
      </c>
    </row>
    <row r="7" spans="1:13" x14ac:dyDescent="0.45">
      <c r="A7">
        <v>3</v>
      </c>
      <c r="B7">
        <v>24</v>
      </c>
      <c r="C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7">
        <v>200</v>
      </c>
      <c r="E7">
        <v>200</v>
      </c>
      <c r="F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</v>
      </c>
      <c r="G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200</v>
      </c>
      <c r="H7" s="9" t="str">
        <f ca="1">VLOOKUP(VLOOKUP(dict_DQ_Meth_max_deprecated[[#This Row],[ID_DataQualities]],table_DataQualities[],3),table_Units[],2)</f>
        <v>+/- cm³/s</v>
      </c>
      <c r="I7">
        <v>0</v>
      </c>
      <c r="J7">
        <v>300</v>
      </c>
      <c r="K7">
        <v>1</v>
      </c>
      <c r="L7">
        <f ca="1">VLOOKUP(dict_DQ_Meth_max_deprecated[[#This Row],[ID_DataQualities]],table_DataQualities!$A:$I,8,FALSE)</f>
        <v>4.4999999999999997E-3</v>
      </c>
      <c r="M7">
        <f ca="1">VLOOKUP($A7,table_DataQualities!$A:$I,9,FALSE)</f>
        <v>0.35099999999999998</v>
      </c>
    </row>
    <row r="8" spans="1:13" x14ac:dyDescent="0.45">
      <c r="A8">
        <v>10</v>
      </c>
      <c r="B8">
        <v>24</v>
      </c>
      <c r="C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8">
        <v>8</v>
      </c>
      <c r="E8">
        <v>8</v>
      </c>
      <c r="F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8" s="9" t="str">
        <f>VLOOKUP(VLOOKUP(dict_DQ_Meth_max_deprecated[[#This Row],[ID_DataQualities]],table_DataQualities[],3),table_Units[],2)</f>
        <v>Hz</v>
      </c>
      <c r="I8">
        <v>0</v>
      </c>
      <c r="K8">
        <v>1</v>
      </c>
      <c r="L8">
        <f ca="1">VLOOKUP(dict_DQ_Meth_max_deprecated[[#This Row],[ID_DataQualities]],table_DataQualities!$A:$I,8,FALSE)</f>
        <v>0.42799999999999999</v>
      </c>
      <c r="M8">
        <f ca="1">VLOOKUP($A8,table_DataQualities!$A:$I,9,FALSE)</f>
        <v>4034.6</v>
      </c>
    </row>
    <row r="9" spans="1:13" x14ac:dyDescent="0.45">
      <c r="A9">
        <v>11</v>
      </c>
      <c r="B9">
        <v>24</v>
      </c>
      <c r="C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9">
        <v>10</v>
      </c>
      <c r="E9">
        <v>10</v>
      </c>
      <c r="F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10</v>
      </c>
      <c r="G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9" s="9" t="str">
        <f ca="1">VLOOKUP(VLOOKUP(dict_DQ_Meth_max_deprecated[[#This Row],[ID_DataQualities]],table_DataQualities[],3),table_Units[],2)</f>
        <v>bit</v>
      </c>
      <c r="L9">
        <f ca="1">VLOOKUP(dict_DQ_Meth_max_deprecated[[#This Row],[ID_DataQualities]],table_DataQualities!$A:$I,8,FALSE)</f>
        <v>1</v>
      </c>
      <c r="M9">
        <f ca="1">VLOOKUP($A9,table_DataQualities!$A:$I,9,FALSE)</f>
        <v>4671</v>
      </c>
    </row>
    <row r="10" spans="1:13" x14ac:dyDescent="0.45">
      <c r="A10">
        <v>2</v>
      </c>
      <c r="B10">
        <v>25</v>
      </c>
      <c r="C1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0">
        <v>1</v>
      </c>
      <c r="E10">
        <v>10</v>
      </c>
      <c r="F1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</v>
      </c>
      <c r="G1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10" s="9" t="str">
        <f>VLOOKUP(VLOOKUP(dict_DQ_Meth_max_deprecated[[#This Row],[ID_DataQualities]],table_DataQualities[],3),table_Units[],2)</f>
        <v>Hz</v>
      </c>
      <c r="I10">
        <v>0</v>
      </c>
      <c r="J10">
        <v>10</v>
      </c>
      <c r="K10">
        <v>1</v>
      </c>
      <c r="L10">
        <f ca="1">VLOOKUP(dict_DQ_Meth_max_deprecated[[#This Row],[ID_DataQualities]],table_DataQualities!$A:$I,8,FALSE)</f>
        <v>0.439</v>
      </c>
      <c r="M10">
        <f ca="1">VLOOKUP($A10,table_DataQualities!$A:$I,9,FALSE)</f>
        <v>1614.3</v>
      </c>
    </row>
    <row r="11" spans="1:13" x14ac:dyDescent="0.45">
      <c r="A11">
        <v>3</v>
      </c>
      <c r="B11">
        <v>25</v>
      </c>
      <c r="C1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1">
        <v>125</v>
      </c>
      <c r="E11">
        <v>125</v>
      </c>
      <c r="F1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125</v>
      </c>
      <c r="G1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125</v>
      </c>
      <c r="H11" s="9" t="str">
        <f ca="1">VLOOKUP(VLOOKUP(dict_DQ_Meth_max_deprecated[[#This Row],[ID_DataQualities]],table_DataQualities[],3),table_Units[],2)</f>
        <v>+/- cm³/s</v>
      </c>
      <c r="I11">
        <v>0</v>
      </c>
      <c r="J11">
        <v>5000</v>
      </c>
      <c r="K11">
        <v>1</v>
      </c>
      <c r="L11">
        <f ca="1">VLOOKUP(dict_DQ_Meth_max_deprecated[[#This Row],[ID_DataQualities]],table_DataQualities!$A:$I,8,FALSE)</f>
        <v>4.4999999999999997E-3</v>
      </c>
      <c r="M11">
        <f ca="1">VLOOKUP($A11,table_DataQualities!$A:$I,9,FALSE)</f>
        <v>0.35099999999999998</v>
      </c>
    </row>
    <row r="12" spans="1:13" x14ac:dyDescent="0.45">
      <c r="A12">
        <v>10</v>
      </c>
      <c r="B12">
        <v>25</v>
      </c>
      <c r="C1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2">
        <v>24</v>
      </c>
      <c r="E12">
        <v>24</v>
      </c>
      <c r="F1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24</v>
      </c>
      <c r="G1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24</v>
      </c>
      <c r="H12" s="9" t="str">
        <f>VLOOKUP(VLOOKUP(dict_DQ_Meth_max_deprecated[[#This Row],[ID_DataQualities]],table_DataQualities[],3),table_Units[],2)</f>
        <v>Hz</v>
      </c>
      <c r="I12">
        <v>0</v>
      </c>
      <c r="K12">
        <v>1</v>
      </c>
      <c r="L12">
        <f ca="1">VLOOKUP(dict_DQ_Meth_max_deprecated[[#This Row],[ID_DataQualities]],table_DataQualities!$A:$I,8,FALSE)</f>
        <v>0.42799999999999999</v>
      </c>
      <c r="M12">
        <f ca="1">VLOOKUP($A12,table_DataQualities!$A:$I,9,FALSE)</f>
        <v>4034.6</v>
      </c>
    </row>
    <row r="13" spans="1:13" x14ac:dyDescent="0.45">
      <c r="A13">
        <v>11</v>
      </c>
      <c r="B13">
        <v>25</v>
      </c>
      <c r="C1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3">
        <v>40</v>
      </c>
      <c r="E13">
        <v>40</v>
      </c>
      <c r="F1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40</v>
      </c>
      <c r="G1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40</v>
      </c>
      <c r="H13" s="9" t="str">
        <f ca="1">VLOOKUP(VLOOKUP(dict_DQ_Meth_max_deprecated[[#This Row],[ID_DataQualities]],table_DataQualities[],3),table_Units[],2)</f>
        <v>bit</v>
      </c>
      <c r="L13">
        <f ca="1">VLOOKUP(dict_DQ_Meth_max_deprecated[[#This Row],[ID_DataQualities]],table_DataQualities!$A:$I,8,FALSE)</f>
        <v>1</v>
      </c>
      <c r="M13">
        <f ca="1">VLOOKUP($A13,table_DataQualities!$A:$I,9,FALSE)</f>
        <v>4671</v>
      </c>
    </row>
    <row r="14" spans="1:13" x14ac:dyDescent="0.45">
      <c r="A14">
        <v>0</v>
      </c>
      <c r="B14">
        <v>26</v>
      </c>
      <c r="C1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4">
        <v>50</v>
      </c>
      <c r="E14">
        <v>1</v>
      </c>
      <c r="F1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</v>
      </c>
      <c r="G1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14" s="9" t="str">
        <f>VLOOKUP(VLOOKUP(dict_DQ_Meth_max_deprecated[[#This Row],[ID_DataQualities]],table_DataQualities[],3),table_Units[],2)</f>
        <v>Hz</v>
      </c>
      <c r="I14">
        <v>0</v>
      </c>
      <c r="J14">
        <v>10</v>
      </c>
      <c r="K14">
        <v>0.02</v>
      </c>
      <c r="L14">
        <f ca="1">VLOOKUP(dict_DQ_Meth_max_deprecated[[#This Row],[ID_DataQualities]],table_DataQualities!$A:$I,8,FALSE)</f>
        <v>0.65400000000000003</v>
      </c>
      <c r="M14">
        <f ca="1">VLOOKUP($A14,table_DataQualities!$A:$I,9,FALSE)</f>
        <v>7347.4</v>
      </c>
    </row>
    <row r="15" spans="1:13" x14ac:dyDescent="0.45">
      <c r="A15">
        <v>1</v>
      </c>
      <c r="B15">
        <v>26</v>
      </c>
      <c r="C1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5">
        <v>0.01</v>
      </c>
      <c r="E15">
        <v>1</v>
      </c>
      <c r="F1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0.01</v>
      </c>
      <c r="G1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15" s="9" t="str">
        <f ca="1">VLOOKUP(VLOOKUP(dict_DQ_Meth_max_deprecated[[#This Row],[ID_DataQualities]],table_DataQualities[],3),table_Units[],2)</f>
        <v>bit</v>
      </c>
      <c r="I15">
        <v>0</v>
      </c>
      <c r="J15">
        <v>300</v>
      </c>
      <c r="K15">
        <v>0.02</v>
      </c>
      <c r="L15">
        <f ca="1">VLOOKUP(dict_DQ_Meth_max_deprecated[[#This Row],[ID_DataQualities]],table_DataQualities!$A:$I,8,FALSE)</f>
        <v>9</v>
      </c>
      <c r="M15">
        <f ca="1">VLOOKUP($A15,table_DataQualities!$A:$I,9,FALSE)</f>
        <v>9295</v>
      </c>
    </row>
    <row r="16" spans="1:13" x14ac:dyDescent="0.45">
      <c r="A16">
        <v>2</v>
      </c>
      <c r="B16">
        <v>26</v>
      </c>
      <c r="C1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6">
        <v>0.5</v>
      </c>
      <c r="E16">
        <v>150</v>
      </c>
      <c r="F1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1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</v>
      </c>
      <c r="H16" s="9" t="str">
        <f>VLOOKUP(VLOOKUP(dict_DQ_Meth_max_deprecated[[#This Row],[ID_DataQualities]],table_DataQualities[],3),table_Units[],2)</f>
        <v>Hz</v>
      </c>
      <c r="I16">
        <v>0</v>
      </c>
      <c r="J16">
        <v>10</v>
      </c>
      <c r="K16">
        <v>1</v>
      </c>
      <c r="L16">
        <f ca="1">VLOOKUP(dict_DQ_Meth_max_deprecated[[#This Row],[ID_DataQualities]],table_DataQualities!$A:$I,8,FALSE)</f>
        <v>0.439</v>
      </c>
      <c r="M16">
        <f ca="1">VLOOKUP($A16,table_DataQualities!$A:$I,9,FALSE)</f>
        <v>1614.3</v>
      </c>
    </row>
    <row r="17" spans="1:13" x14ac:dyDescent="0.45">
      <c r="A17">
        <v>3</v>
      </c>
      <c r="B17">
        <v>26</v>
      </c>
      <c r="C1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7">
        <v>130</v>
      </c>
      <c r="E17">
        <v>130</v>
      </c>
      <c r="F1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130</v>
      </c>
      <c r="G1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130</v>
      </c>
      <c r="H17" s="9" t="str">
        <f ca="1">VLOOKUP(VLOOKUP(dict_DQ_Meth_max_deprecated[[#This Row],[ID_DataQualities]],table_DataQualities[],3),table_Units[],2)</f>
        <v>+/- cm³/s</v>
      </c>
      <c r="I17">
        <v>0</v>
      </c>
      <c r="J17">
        <v>300</v>
      </c>
      <c r="K17">
        <v>1</v>
      </c>
      <c r="L17">
        <f ca="1">VLOOKUP(dict_DQ_Meth_max_deprecated[[#This Row],[ID_DataQualities]],table_DataQualities!$A:$I,8,FALSE)</f>
        <v>4.4999999999999997E-3</v>
      </c>
      <c r="M17">
        <f ca="1">VLOOKUP($A17,table_DataQualities!$A:$I,9,FALSE)</f>
        <v>0.35099999999999998</v>
      </c>
    </row>
    <row r="18" spans="1:13" x14ac:dyDescent="0.45">
      <c r="A18">
        <v>10</v>
      </c>
      <c r="B18">
        <v>26</v>
      </c>
      <c r="C1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8">
        <v>8</v>
      </c>
      <c r="E18">
        <v>8</v>
      </c>
      <c r="F18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8</v>
      </c>
      <c r="G18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8</v>
      </c>
      <c r="H18" s="9" t="str">
        <f>VLOOKUP(VLOOKUP(dict_DQ_Meth_max_deprecated[[#This Row],[ID_DataQualities]],table_DataQualities[],3),table_Units[],2)</f>
        <v>Hz</v>
      </c>
      <c r="I18">
        <v>0</v>
      </c>
      <c r="K18">
        <v>1</v>
      </c>
      <c r="L18">
        <f ca="1">VLOOKUP(dict_DQ_Meth_max_deprecated[[#This Row],[ID_DataQualities]],table_DataQualities!$A:$I,8,FALSE)</f>
        <v>0.42799999999999999</v>
      </c>
      <c r="M18">
        <f ca="1">VLOOKUP($A18,table_DataQualities!$A:$I,9,FALSE)</f>
        <v>4034.6</v>
      </c>
    </row>
    <row r="19" spans="1:13" x14ac:dyDescent="0.45">
      <c r="A19">
        <v>11</v>
      </c>
      <c r="B19">
        <v>26</v>
      </c>
      <c r="C1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19">
        <v>30</v>
      </c>
      <c r="E19">
        <v>30</v>
      </c>
      <c r="F19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30</v>
      </c>
      <c r="G19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30</v>
      </c>
      <c r="H19" s="9" t="str">
        <f ca="1">VLOOKUP(VLOOKUP(dict_DQ_Meth_max_deprecated[[#This Row],[ID_DataQualities]],table_DataQualities[],3),table_Units[],2)</f>
        <v>bit</v>
      </c>
      <c r="L19">
        <f ca="1">VLOOKUP(dict_DQ_Meth_max_deprecated[[#This Row],[ID_DataQualities]],table_DataQualities!$A:$I,8,FALSE)</f>
        <v>1</v>
      </c>
      <c r="M19">
        <f ca="1">VLOOKUP($A19,table_DataQualities!$A:$I,9,FALSE)</f>
        <v>4671</v>
      </c>
    </row>
    <row r="20" spans="1:13" x14ac:dyDescent="0.45">
      <c r="A20">
        <v>4</v>
      </c>
      <c r="B20">
        <v>27</v>
      </c>
      <c r="C2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0">
        <v>0.5</v>
      </c>
      <c r="E20">
        <v>0.4</v>
      </c>
      <c r="F20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0.5</v>
      </c>
      <c r="G20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0.4</v>
      </c>
      <c r="H20" s="9" t="str">
        <f>VLOOKUP(VLOOKUP(dict_DQ_Meth_max_deprecated[[#This Row],[ID_DataQualities]],table_DataQualities[],3),table_Units[],2)</f>
        <v>Hz</v>
      </c>
      <c r="L20">
        <f ca="1">VLOOKUP(dict_DQ_Meth_max_deprecated[[#This Row],[ID_DataQualities]],table_DataQualities!$A:$I,8,FALSE)</f>
        <v>0.78500000000000003</v>
      </c>
      <c r="M20">
        <f ca="1">VLOOKUP($A20,table_DataQualities!$A:$I,9,FALSE)</f>
        <v>8777.7999999999993</v>
      </c>
    </row>
    <row r="21" spans="1:13" x14ac:dyDescent="0.45">
      <c r="A21">
        <v>5</v>
      </c>
      <c r="B21">
        <v>27</v>
      </c>
      <c r="C2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1">
        <v>10</v>
      </c>
      <c r="E21">
        <v>200</v>
      </c>
      <c r="F21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</v>
      </c>
      <c r="G21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21" s="9" t="str">
        <f ca="1">VLOOKUP(VLOOKUP(dict_DQ_Meth_max_deprecated[[#This Row],[ID_DataQualities]],table_DataQualities[],3),table_Units[],2)</f>
        <v>+/- mm</v>
      </c>
      <c r="L21">
        <f ca="1">VLOOKUP(dict_DQ_Meth_max_deprecated[[#This Row],[ID_DataQualities]],table_DataQualities!$A:$I,8,FALSE)</f>
        <v>8.5999999999999993E-2</v>
      </c>
      <c r="M21">
        <f ca="1">VLOOKUP($A21,table_DataQualities!$A:$I,9,FALSE)</f>
        <v>2.4500000000000002</v>
      </c>
    </row>
    <row r="22" spans="1:13" x14ac:dyDescent="0.45">
      <c r="A22">
        <v>4</v>
      </c>
      <c r="B22">
        <v>28</v>
      </c>
      <c r="C22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2">
        <v>0.35</v>
      </c>
      <c r="E22">
        <v>0.3</v>
      </c>
      <c r="F22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0.35</v>
      </c>
      <c r="G22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0.3</v>
      </c>
      <c r="H22" s="9" t="str">
        <f>VLOOKUP(VLOOKUP(dict_DQ_Meth_max_deprecated[[#This Row],[ID_DataQualities]],table_DataQualities[],3),table_Units[],2)</f>
        <v>Hz</v>
      </c>
      <c r="L22">
        <f ca="1">VLOOKUP(dict_DQ_Meth_max_deprecated[[#This Row],[ID_DataQualities]],table_DataQualities!$A:$I,8,FALSE)</f>
        <v>0.78500000000000003</v>
      </c>
      <c r="M22">
        <f ca="1">VLOOKUP($A22,table_DataQualities!$A:$I,9,FALSE)</f>
        <v>8777.7999999999993</v>
      </c>
    </row>
    <row r="23" spans="1:13" x14ac:dyDescent="0.45">
      <c r="A23">
        <v>5</v>
      </c>
      <c r="B23">
        <v>28</v>
      </c>
      <c r="C23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3">
        <v>20</v>
      </c>
      <c r="E23">
        <v>400</v>
      </c>
      <c r="F23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400</v>
      </c>
      <c r="G23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20</v>
      </c>
      <c r="H23" s="9" t="str">
        <f ca="1">VLOOKUP(VLOOKUP(dict_DQ_Meth_max_deprecated[[#This Row],[ID_DataQualities]],table_DataQualities[],3),table_Units[],2)</f>
        <v>+/- mm</v>
      </c>
      <c r="L23">
        <f ca="1">VLOOKUP(dict_DQ_Meth_max_deprecated[[#This Row],[ID_DataQualities]],table_DataQualities!$A:$I,8,FALSE)</f>
        <v>8.5999999999999993E-2</v>
      </c>
      <c r="M23">
        <f ca="1">VLOOKUP($A23,table_DataQualities!$A:$I,9,FALSE)</f>
        <v>2.4500000000000002</v>
      </c>
    </row>
    <row r="24" spans="1:13" x14ac:dyDescent="0.45">
      <c r="A24">
        <v>8</v>
      </c>
      <c r="B24">
        <v>29</v>
      </c>
      <c r="C24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4">
        <v>5000</v>
      </c>
      <c r="E24">
        <v>15000</v>
      </c>
      <c r="F24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5000</v>
      </c>
      <c r="G24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15000</v>
      </c>
      <c r="H24" s="9" t="str">
        <f>VLOOKUP(VLOOKUP(dict_DQ_Meth_max_deprecated[[#This Row],[ID_DataQualities]],table_DataQualities[],3),table_Units[],2)</f>
        <v>Hz</v>
      </c>
      <c r="L24">
        <f ca="1">VLOOKUP(dict_DQ_Meth_max_deprecated[[#This Row],[ID_DataQualities]],table_DataQualities!$A:$I,8,FALSE)</f>
        <v>0.105</v>
      </c>
      <c r="M24">
        <f ca="1">VLOOKUP($A24,table_DataQualities!$A:$I,9,FALSE)</f>
        <v>4955.3999999999996</v>
      </c>
    </row>
    <row r="25" spans="1:13" x14ac:dyDescent="0.45">
      <c r="A25">
        <v>9</v>
      </c>
      <c r="B25">
        <v>29</v>
      </c>
      <c r="C25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5">
        <v>30</v>
      </c>
      <c r="E25">
        <v>120</v>
      </c>
      <c r="F25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120</v>
      </c>
      <c r="G25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30</v>
      </c>
      <c r="H25" s="9" t="str">
        <f ca="1">VLOOKUP(VLOOKUP(dict_DQ_Meth_max_deprecated[[#This Row],[ID_DataQualities]],table_DataQualities[],3),table_Units[],2)</f>
        <v>+/- W</v>
      </c>
      <c r="L25">
        <f ca="1">VLOOKUP(dict_DQ_Meth_max_deprecated[[#This Row],[ID_DataQualities]],table_DataQualities!$A:$I,8,FALSE)</f>
        <v>5.3999999999999999E-2</v>
      </c>
      <c r="M25">
        <f ca="1">VLOOKUP($A25,table_DataQualities!$A:$I,9,FALSE)</f>
        <v>1.59</v>
      </c>
    </row>
    <row r="26" spans="1:13" x14ac:dyDescent="0.45">
      <c r="A26">
        <v>8</v>
      </c>
      <c r="B26">
        <v>30</v>
      </c>
      <c r="C26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6">
        <v>9000</v>
      </c>
      <c r="E26">
        <v>100000</v>
      </c>
      <c r="F26" s="8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9000</v>
      </c>
      <c r="G26" s="8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100000</v>
      </c>
      <c r="H26" s="9" t="str">
        <f>VLOOKUP(VLOOKUP(dict_DQ_Meth_max_deprecated[[#This Row],[ID_DataQualities]],table_DataQualities[],3),table_Units[],2)</f>
        <v>Hz</v>
      </c>
      <c r="L26">
        <f ca="1">VLOOKUP(dict_DQ_Meth_max_deprecated[[#This Row],[ID_DataQualities]],table_DataQualities!$A:$I,8,FALSE)</f>
        <v>0.105</v>
      </c>
      <c r="M26">
        <f ca="1">VLOOKUP($A26,table_DataQualities!$A:$I,9,FALSE)</f>
        <v>4955.3999999999996</v>
      </c>
    </row>
    <row r="27" spans="1:13" x14ac:dyDescent="0.45">
      <c r="A27">
        <v>9</v>
      </c>
      <c r="B27">
        <v>30</v>
      </c>
      <c r="C27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7">
        <v>10</v>
      </c>
      <c r="E27">
        <v>500</v>
      </c>
      <c r="F27" s="8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500</v>
      </c>
      <c r="G27" s="8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</v>
      </c>
      <c r="H27" s="9" t="str">
        <f ca="1">VLOOKUP(VLOOKUP(dict_DQ_Meth_max_deprecated[[#This Row],[ID_DataQualities]],table_DataQualities[],3),table_Units[],2)</f>
        <v>+/- W</v>
      </c>
      <c r="L27">
        <f ca="1">VLOOKUP(dict_DQ_Meth_max_deprecated[[#This Row],[ID_DataQualities]],table_DataQualities!$A:$I,8,FALSE)</f>
        <v>5.3999999999999999E-2</v>
      </c>
      <c r="M27">
        <f ca="1">VLOOKUP($A27,table_DataQualities!$A:$I,9,FALSE)</f>
        <v>1.59</v>
      </c>
    </row>
    <row r="28" spans="1:13" x14ac:dyDescent="0.45">
      <c r="A28">
        <v>6</v>
      </c>
      <c r="B28">
        <v>31</v>
      </c>
      <c r="C28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8">
        <v>20</v>
      </c>
      <c r="E28">
        <v>120</v>
      </c>
      <c r="F28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</v>
      </c>
      <c r="G28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120</v>
      </c>
      <c r="H28" s="9" t="str">
        <f>VLOOKUP(VLOOKUP(dict_DQ_Meth_max_deprecated[[#This Row],[ID_DataQualities]],table_DataQualities[],3),table_Units[],2)</f>
        <v>Hz</v>
      </c>
      <c r="L28" s="3">
        <f ca="1">VLOOKUP(dict_DQ_Meth_max_deprecated[[#This Row],[ID_DataQualities]],table_DataQualities!$A:$I,8,FALSE)</f>
        <v>0.97699999999999998</v>
      </c>
      <c r="M28" s="3">
        <f ca="1">VLOOKUP($A28,table_DataQualities!$A:$I,9,FALSE)</f>
        <v>4716.2</v>
      </c>
    </row>
    <row r="29" spans="1:13" x14ac:dyDescent="0.45">
      <c r="A29">
        <v>7</v>
      </c>
      <c r="B29">
        <v>31</v>
      </c>
      <c r="C29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29">
        <v>1</v>
      </c>
      <c r="E29">
        <v>2000</v>
      </c>
      <c r="F29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2000</v>
      </c>
      <c r="G29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29" s="9" t="str">
        <f ca="1">VLOOKUP(VLOOKUP(dict_DQ_Meth_max_deprecated[[#This Row],[ID_DataQualities]],table_DataQualities[],3),table_Units[],2)</f>
        <v>+/- mm/s</v>
      </c>
      <c r="L29" s="3">
        <f ca="1">VLOOKUP(dict_DQ_Meth_max_deprecated[[#This Row],[ID_DataQualities]],table_DataQualities!$A:$I,8,FALSE)</f>
        <v>0.03</v>
      </c>
      <c r="M29" s="3">
        <f ca="1">VLOOKUP($A29,table_DataQualities!$A:$I,9,FALSE)</f>
        <v>1.9</v>
      </c>
    </row>
    <row r="30" spans="1:13" x14ac:dyDescent="0.45">
      <c r="A30">
        <v>6</v>
      </c>
      <c r="B30">
        <v>32</v>
      </c>
      <c r="C30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0">
        <v>15</v>
      </c>
      <c r="E30">
        <v>100</v>
      </c>
      <c r="F30" s="9">
        <f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15</v>
      </c>
      <c r="G30" s="9">
        <f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100</v>
      </c>
      <c r="H30" s="9" t="str">
        <f>VLOOKUP(VLOOKUP(dict_DQ_Meth_max_deprecated[[#This Row],[ID_DataQualities]],table_DataQualities[],3),table_Units[],2)</f>
        <v>Hz</v>
      </c>
      <c r="L30" s="3">
        <f ca="1">VLOOKUP(dict_DQ_Meth_max_deprecated[[#This Row],[ID_DataQualities]],table_DataQualities!$A:$I,8,FALSE)</f>
        <v>0.97699999999999998</v>
      </c>
      <c r="M30" s="3">
        <f ca="1">VLOOKUP($A30,table_DataQualities!$A:$I,9,FALSE)</f>
        <v>4716.2</v>
      </c>
    </row>
    <row r="31" spans="1:13" x14ac:dyDescent="0.45">
      <c r="A31">
        <v>7</v>
      </c>
      <c r="B31">
        <v>32</v>
      </c>
      <c r="C31" s="3" t="b">
        <f ca="1">IFERROR(IF(AND(VLOOKUP(dict_DQ_Meth_max_deprecated[[#This Row],[ID_DataQualities]],table_DataQualities[],14,FALSE),MIN(SUMPRODUCT(SUBTOTAL(103,OFFSET(table_Methods[ID],ROW(table_Methods[ID])-MIN(ROW(table_Methods[ID])),,1))*(table_Methods[ID]=dict_DQ_Meth_max_deprecated[[#This Row],[ID_Methods]])))&gt;0),TRUE,FALSE),FALSE)</f>
        <v>1</v>
      </c>
      <c r="D31">
        <v>1</v>
      </c>
      <c r="E31">
        <v>1200</v>
      </c>
      <c r="F31" s="9">
        <f ca="1">IF(VLOOKUP(VLOOKUP(dict_DQ_Meth_max_deprecated[[#This Row],[ID_DataQualities]],table_DataQualities[],3),table_Units[],5)&gt;0,dict_DQ_Meth_max_deprecated[[#This Row],[z_J_worst]],IF(VLOOKUP(VLOOKUP(dict_DQ_Meth_max_deprecated[[#This Row],[ID_DataQualities]],table_DataQualities[],3),table_Units[],6)=1,dict_DQ_Meth_max_deprecated[[#This Row],[z_J_best]]))</f>
        <v>1200</v>
      </c>
      <c r="G31" s="9">
        <f ca="1">IF(VLOOKUP(VLOOKUP(dict_DQ_Meth_max_deprecated[[#This Row],[ID_DataQualities]],table_DataQualities[],3),table_Units[],5)&gt;0,dict_DQ_Meth_max_deprecated[[#This Row],[z_J_best]],IF(VLOOKUP(VLOOKUP(dict_DQ_Meth_max_deprecated[[#This Row],[ID_DataQualities]],table_DataQualities[],3),table_Units[],6)=1,dict_DQ_Meth_max_deprecated[[#This Row],[z_J_worst]]))</f>
        <v>1</v>
      </c>
      <c r="H31" s="9" t="str">
        <f ca="1">VLOOKUP(VLOOKUP(dict_DQ_Meth_max_deprecated[[#This Row],[ID_DataQualities]],table_DataQualities[],3),table_Units[],2)</f>
        <v>+/- mm/s</v>
      </c>
      <c r="L31" s="3">
        <f ca="1">VLOOKUP(dict_DQ_Meth_max_deprecated[[#This Row],[ID_DataQualities]],table_DataQualities!$A:$I,8,FALSE)</f>
        <v>0.03</v>
      </c>
      <c r="M31" s="3">
        <f ca="1">VLOOKUP($A31,table_DataQualities!$A:$I,9,FALSE)</f>
        <v>1.9</v>
      </c>
    </row>
  </sheetData>
  <conditionalFormatting sqref="G1:G1048576">
    <cfRule type="cellIs" dxfId="11" priority="1" operator="greaterThan">
      <formula>$M1</formula>
    </cfRule>
    <cfRule type="cellIs" dxfId="10" priority="6" operator="lessThan">
      <formula>$F1</formula>
    </cfRule>
  </conditionalFormatting>
  <conditionalFormatting sqref="F1:F1048576">
    <cfRule type="cellIs" dxfId="9" priority="2" operator="lessThan">
      <formula>$L1</formula>
    </cfRule>
  </conditionalFormatting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1A9B17-8D90-473C-9B86-4B3C172DDD5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21</vt:i4>
      </vt:variant>
    </vt:vector>
  </HeadingPairs>
  <TitlesOfParts>
    <vt:vector size="21" baseType="lpstr">
      <vt:lpstr>Formular</vt:lpstr>
      <vt:lpstr>Einstellungen</vt:lpstr>
      <vt:lpstr>Translator</vt:lpstr>
      <vt:lpstr>table_Variables</vt:lpstr>
      <vt:lpstr>table_DataQualities</vt:lpstr>
      <vt:lpstr>table_Units</vt:lpstr>
      <vt:lpstr>table_Units_bild</vt:lpstr>
      <vt:lpstr>table_Methods</vt:lpstr>
      <vt:lpstr>table_Persons</vt:lpstr>
      <vt:lpstr>table_Positions</vt:lpstr>
      <vt:lpstr>table_Transfers</vt:lpstr>
      <vt:lpstr>table_Storages</vt:lpstr>
      <vt:lpstr>dict_DQ_Meth_max</vt:lpstr>
      <vt:lpstr>dict_zul_Var_Meth</vt:lpstr>
      <vt:lpstr>dict_zuord_Var_DQ</vt:lpstr>
      <vt:lpstr>dict_zuord_Meth_Per</vt:lpstr>
      <vt:lpstr>dict_zuord_Meth_Pos</vt:lpstr>
      <vt:lpstr>dict_zuord_Meth_Transfers</vt:lpstr>
      <vt:lpstr>dict_zuord_Transfers_Storages</vt:lpstr>
      <vt:lpstr>dict_zuord_DQ_Units</vt:lpstr>
      <vt:lpstr>dict_DQ_Meth_max_deprecated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Philipps, Norman</dc:creator>
  <cp:lastModifiedBy>Norman Philipps</cp:lastModifiedBy>
  <dcterms:created xsi:type="dcterms:W3CDTF">2019-01-16T11:00:56Z</dcterms:created>
  <dcterms:modified xsi:type="dcterms:W3CDTF">2019-03-21T19:31:31Z</dcterms:modified>
</cp:coreProperties>
</file>